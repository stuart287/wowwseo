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EC - Domains" sheetId="1" r:id="rId5"/>
    <sheet state="visible" name="PEEC - URLs - All" sheetId="2" r:id="rId6"/>
    <sheet state="visible" name="Title Contains Besttop" sheetId="3" r:id="rId7"/>
    <sheet state="visible" name="URLs YouTube" sheetId="4" r:id="rId8"/>
    <sheet state="visible" name="URLs Incubeta" sheetId="5" r:id="rId9"/>
    <sheet state="visible" name="URLs Instagram" sheetId="6" r:id="rId10"/>
    <sheet state="visible" name="URLs Sortlist" sheetId="7" r:id="rId11"/>
    <sheet state="visible" name="URLs Clutch.co" sheetId="8" r:id="rId12"/>
    <sheet state="visible" name="URLs Semrush" sheetId="9" r:id="rId13"/>
    <sheet state="visible" name="URLs Directive Consulting" sheetId="10" r:id="rId14"/>
    <sheet state="visible" name="URLs Design Rush" sheetId="11" r:id="rId15"/>
    <sheet state="hidden" name="URLs TripAdvisor" sheetId="12" r:id="rId16"/>
    <sheet state="visible" name="URLs Reddit" sheetId="13" r:id="rId17"/>
    <sheet state="visible" name="URLs Quora" sheetId="14" r:id="rId18"/>
    <sheet state="visible" name="URLs Medium" sheetId="15" r:id="rId19"/>
    <sheet state="visible" name="URLs Directories" sheetId="16" r:id="rId20"/>
    <sheet state="visible" name="URLs Facebook" sheetId="17" r:id="rId21"/>
    <sheet state="visible" name="URLs LinkedIn" sheetId="18" r:id="rId22"/>
    <sheet state="visible" name="URLs Wikipedia" sheetId="19" r:id="rId23"/>
    <sheet state="visible" name="Types Alternative" sheetId="20" r:id="rId24"/>
    <sheet state="visible" name="Types Article" sheetId="21" r:id="rId25"/>
    <sheet state="visible" name="Types Category" sheetId="22" r:id="rId26"/>
    <sheet state="visible" name="Types Comparison" sheetId="23" r:id="rId27"/>
    <sheet state="visible" name="Types Discussion" sheetId="24" r:id="rId28"/>
    <sheet state="visible" name="Types Homepage" sheetId="25" r:id="rId29"/>
    <sheet state="visible" name="Types How-to guide" sheetId="26" r:id="rId30"/>
    <sheet state="visible" name="Types Listicle" sheetId="27" r:id="rId31"/>
    <sheet state="visible" name="Types Other" sheetId="28" r:id="rId32"/>
    <sheet state="visible" name="Types Product page" sheetId="29" r:id="rId33"/>
    <sheet state="visible" name="Types Profile" sheetId="30" r:id="rId34"/>
  </sheets>
  <definedNames>
    <definedName hidden="1" localSheetId="0" name="_xlnm._FilterDatabase">'PEEC - Domains'!$A$1:$Z$997</definedName>
    <definedName hidden="1" localSheetId="1" name="_xlnm._FilterDatabase">'PEEC - URLs - All'!$A$1:$Z$2074</definedName>
    <definedName hidden="1" localSheetId="2" name="_xlnm._FilterDatabase">'Title Contains Besttop'!$A$1:$Z$801</definedName>
    <definedName hidden="1" localSheetId="3" name="_xlnm._FilterDatabase">'URLs YouTube'!$A$1:$Z$802</definedName>
    <definedName hidden="1" localSheetId="4" name="_xlnm._FilterDatabase">'URLs Incubeta'!$A$1:$Z$802</definedName>
    <definedName hidden="1" localSheetId="5" name="_xlnm._FilterDatabase">'URLs Instagram'!$A$1:$Z$802</definedName>
    <definedName hidden="1" localSheetId="6" name="_xlnm._FilterDatabase">'URLs Sortlist'!$A$1:$Z$802</definedName>
    <definedName hidden="1" localSheetId="7" name="_xlnm._FilterDatabase">'URLs Clutch.co'!$A$1:$Z$802</definedName>
    <definedName hidden="1" localSheetId="8" name="_xlnm._FilterDatabase">'URLs Semrush'!$A$1:$Z$802</definedName>
    <definedName hidden="1" localSheetId="9" name="_xlnm._FilterDatabase">'URLs Directive Consulting'!$A$1:$Z$802</definedName>
    <definedName hidden="1" localSheetId="10" name="_xlnm._FilterDatabase">'URLs Design Rush'!$A$1:$Z$802</definedName>
    <definedName hidden="1" localSheetId="11" name="_xlnm._FilterDatabase">'URLs TripAdvisor'!$A$1:$Z$802</definedName>
    <definedName hidden="1" localSheetId="12" name="_xlnm._FilterDatabase">'URLs Reddit'!$A$1:$Z$802</definedName>
    <definedName hidden="1" localSheetId="13" name="_xlnm._FilterDatabase">'URLs Quora'!$A$1:$Z$802</definedName>
    <definedName hidden="1" localSheetId="14" name="_xlnm._FilterDatabase">'URLs Medium'!$A$1:$Z$802</definedName>
    <definedName hidden="1" localSheetId="15" name="_xlnm._FilterDatabase">'URLs Directories'!$A$1:$Z$802</definedName>
    <definedName hidden="1" localSheetId="16" name="_xlnm._FilterDatabase">'URLs Facebook'!$A$1:$Z$802</definedName>
    <definedName hidden="1" localSheetId="17" name="_xlnm._FilterDatabase">'URLs LinkedIn'!$A$1:$Z$802</definedName>
    <definedName hidden="1" localSheetId="18" name="_xlnm._FilterDatabase">'URLs Wikipedia'!$A$1:$Z$802</definedName>
    <definedName hidden="1" localSheetId="19" name="_xlnm._FilterDatabase">'Types Alternative'!$A$1:$Z$802</definedName>
    <definedName hidden="1" localSheetId="20" name="_xlnm._FilterDatabase">'Types Article'!$A$1:$Z$802</definedName>
    <definedName hidden="1" localSheetId="21" name="_xlnm._FilterDatabase">'Types Category'!$A$1:$Z$802</definedName>
    <definedName hidden="1" localSheetId="22" name="_xlnm._FilterDatabase">'Types Comparison'!$A$1:$Z$802</definedName>
    <definedName hidden="1" localSheetId="23" name="_xlnm._FilterDatabase">'Types Discussion'!$A$1:$Z$802</definedName>
    <definedName hidden="1" localSheetId="24" name="_xlnm._FilterDatabase">'Types Homepage'!$A$1:$Z$802</definedName>
    <definedName hidden="1" localSheetId="25" name="_xlnm._FilterDatabase">'Types How-to guide'!$A$1:$Z$802</definedName>
    <definedName hidden="1" localSheetId="26" name="_xlnm._FilterDatabase">'Types Listicle'!$A$1:$Z$802</definedName>
    <definedName hidden="1" localSheetId="27" name="_xlnm._FilterDatabase">'Types Other'!$A$1:$Z$802</definedName>
    <definedName hidden="1" localSheetId="28" name="_xlnm._FilterDatabase">'Types Product page'!$A$1:$Z$802</definedName>
    <definedName hidden="1" localSheetId="29" name="_xlnm._FilterDatabase">'Types Profile'!$A$1:$Z$802</definedName>
  </definedNames>
  <calcPr/>
</workbook>
</file>

<file path=xl/sharedStrings.xml><?xml version="1.0" encoding="utf-8"?>
<sst xmlns="http://schemas.openxmlformats.org/spreadsheetml/2006/main" count="11315" uniqueCount="4247">
  <si>
    <t>url</t>
  </si>
  <si>
    <t>title</t>
  </si>
  <si>
    <t>domain</t>
  </si>
  <si>
    <t>url_classification</t>
  </si>
  <si>
    <t>domain_classification</t>
  </si>
  <si>
    <t>type</t>
  </si>
  <si>
    <t>mentioned</t>
  </si>
  <si>
    <t>mentions</t>
  </si>
  <si>
    <t>retrievals</t>
  </si>
  <si>
    <t>retrieved_percentage</t>
  </si>
  <si>
    <t>citation_rate</t>
  </si>
  <si>
    <t>https://www.23digital.com.au/top-13-full-service-digital-marketing-agencies-in-australia/</t>
  </si>
  <si>
    <t>retrievals_delta</t>
  </si>
  <si>
    <t>retrieved</t>
  </si>
  <si>
    <t>retrieval_rate</t>
  </si>
  <si>
    <t>citation_rate_delta</t>
  </si>
  <si>
    <t>Top 13 Full-Service Digital Marketing Agencies in Australia</t>
  </si>
  <si>
    <t>23digital.com.au</t>
  </si>
  <si>
    <t>clutch.co</t>
  </si>
  <si>
    <t>LISTICLE</t>
  </si>
  <si>
    <t>COMPETITOR</t>
  </si>
  <si>
    <t>Listicle</t>
  </si>
  <si>
    <t>Corporate</t>
  </si>
  <si>
    <t>Clearwater Agency, Luminary, Farsiight, Soup Agency, Digital Nomads HQ, Impressive, SIXGUN, Emote Digital, Salt &amp; Fuessel, StudioHawk, Intesols, Undivided, Alley Group, Supple Digital, Human Digital, MyWork, Ninja Promo, 80/20 Digital, EvenDigit, Huge, Online Marketing Gurus, Rocket Agency, Edge Marketing, Marketix Digital, DNM Digital, Megaphone, Paradox Marketing, Omnicom Media Group, First Page, Click Click Media, Momentum, Earned Media, Reform Digital, Insil, Bench Media, AdVisible, In Marketing We Trust, Prosperity Media, eMarket Experts, Sparro, First Page Australia, Chello, Version2, Measured, MK Media, Team 400, Dentsu, Eight Clients, ROI Growth Agency, RAW Studio, Digitxl, CUT THRU, BMF, weDiscover, Loud Days, WebSavvy, XPON, Alpha Digital, Growth Digital</t>
  </si>
  <si>
    <t>23 Digital, Digital Nomads HQ, Megaphone, Rocket Agency, Emote Digital, Clearwater Agency, Earned Media, Soup Agency, Impressive, Reef Digital Agency, Webprofits, King Kong, Sparro, Brainlabs, Farsiight</t>
  </si>
  <si>
    <t>semrush.com</t>
  </si>
  <si>
    <t>https://agencies.semrush.com/list/australia/</t>
  </si>
  <si>
    <t>Clearwater Agency, Impressive, Online Marketing Gurus, Digital Nomads HQ, Soup Agency, Supple Digital, Click Click Media, Measured, Edge Marketing, DNM Digital, Human Digital, Earned Media, Omnicom Media Group, First Page, Momentum, First Page Australia, 80/20 Digital, Bench Media, Bonfire, Rocket Agency, Salt &amp; Fuessel, Megaphone, StudioHawk, Megantic, Huge</t>
  </si>
  <si>
    <t>digitalagencynetwork.com</t>
  </si>
  <si>
    <t>Best Digital Marketing Agencies in Australia 2026 | Semrush</t>
  </si>
  <si>
    <t>CATEGORY_PAGE</t>
  </si>
  <si>
    <t>Reference</t>
  </si>
  <si>
    <t>CORPORATE</t>
  </si>
  <si>
    <t>In Marketing We Trust, Clearwater Agency, Luminary, Digital Nomads HQ, Impressive, Soup Agency, Emote Digital, Jaywing, Supple Digital, 80/20 Digital, Online Marketing Gurus, Human Digital, Zib Digital, Alpha Digital, Momentum, Measured, Insil, Bench Media, AdVisible, Huge, HERO, The Monkeys, weDiscover</t>
  </si>
  <si>
    <t>Category Page</t>
  </si>
  <si>
    <t>Edge Marketing, Digital Nomads HQ, Supple Digital, DNM Digital, Soup Agency, First Page, Clearwater Agency, Measured, Earned Media, Impressive, Online Marketing Gurus, Omnicom Media Group, Human Digital, Click Click Media</t>
  </si>
  <si>
    <t>sortlist.com</t>
  </si>
  <si>
    <t>https://digitalnomadshq.com.au/blog/top-digital-marketing-agencies/</t>
  </si>
  <si>
    <t>Impressive, Clearwater Agency, Momentum, Digital Nomads HQ, Soup Agency, HERO, Measured, Supple Digital, Earned Media, SIXGUN, Ninja Promo, CUT THRU, Adcore Elite, 23 Digital, 80/20 Digital, Intelligent Resourcing, Alpha Digital, AdVisible, Sparro, Deloitte, Team 400</t>
  </si>
  <si>
    <t>digitalnomadshq.com.au</t>
  </si>
  <si>
    <t>Top Digital Marketing Agencies in Australia (2026)</t>
  </si>
  <si>
    <t>Competitor</t>
  </si>
  <si>
    <t>Clearwater Agency, Online Marketing Gurus, Digital Nomads HQ, Supple Digital, eMarket Experts, SearchMax, Megaphone, Earned Media, Omnicom Media Group, Impressive, StudioHawk, Safari Digital, Gorilla 360, Rocket Agency, Bench Media, Paradox Marketing, Farsiight, Brainlabs, Sparro, Saatchi &amp; Saatchi, Alpha Digital, XPON, CUT THRU, Soup Agency, WPP, Huge, Measured, Team 400</t>
  </si>
  <si>
    <t>talonsmarketing.com.au</t>
  </si>
  <si>
    <t>Digital Nomads HQ, Sparro, CUT THRU, Megaphone, Farsiight, Saatchi &amp; Saatchi, Alpha Digital, Rocket Agency, Brainlabs, XPON</t>
  </si>
  <si>
    <t>https://clutch.co/au/agencies/digital-marketing</t>
  </si>
  <si>
    <t>Clearwater Agency, Talons Marketing, Online Marketing Gurus, Digital Nomads HQ, SIXGUN, Salt &amp; Fuessel, Intesols, Supple Digital, eMarket Experts, First Page, In Marketing We Trust, Rocket Agency, Prosperity Media, Webprofits, Huge, StudioHawk, Alley Group, Measured, Megantic</t>
  </si>
  <si>
    <t>Top Digital Marketing Agencies in Australia - Jul 2026 Rankings \| Clutch.co</t>
  </si>
  <si>
    <t>resolutiondigital.com.au</t>
  </si>
  <si>
    <t>Clearwater Agency, Soup Agency, Luminary, Farsiight, Digital Nomads HQ, SIXGUN, Impressive, Intesols, 80/20 Digital, MyWork, Ninja Promo, Human Digital, Undivided, Salt &amp; Fuessel, Emote Digital, StudioHawk, Supple Digital, Alley Group, EvenDigit</t>
  </si>
  <si>
    <t>https://www.adcore.com/blog/top-10-digital-marketing-agencies-in-australia/</t>
  </si>
  <si>
    <t>Resolution Digital, Omnicom Media Group, TRKKN, weDiscover, PHD, Measured</t>
  </si>
  <si>
    <t>Top 10 Digital Marketing Agencies in Australia [2026] | Adcore Blog</t>
  </si>
  <si>
    <t>adcore.com</t>
  </si>
  <si>
    <t>Impressive, Clearwater Agency, Farsiight, Brainlabs, Sparro, Digital Nomads HQ, Rocket Agency, Soup Agency, Emote Digital, Webprofits, King Kong, Reef Digital Agency, Megaphone, 23 Digital, Earned Media, Measured</t>
  </si>
  <si>
    <t>impressive.com.au</t>
  </si>
  <si>
    <t>Adcore Elite, Momentum, First Page, First Page Australia, Sparro, Clearwater Agency, Impressive, Alpha Digital, Digital Nomads HQ, Megaphone, Farsiight, Soup Agency</t>
  </si>
  <si>
    <t>https://clutch.co/au/agencies</t>
  </si>
  <si>
    <t>Deloitte, Impressive, Growth Digital, Luminary, Rocket Agency, Prosperity Media, Bonfire, Salt &amp; Fuessel, Predicta Digital, Earned Media, Measured, First Page</t>
  </si>
  <si>
    <t>Top Advertising Agencies in Australia - Jul 2026 Rankings \| Clutch.co</t>
  </si>
  <si>
    <t>leadsnow.ai</t>
  </si>
  <si>
    <t>Chello, Human Digital, Soup Agency, Farsiight, DNM Digital, In Marketing We Trust, Version2, Impressive, Ninja Promo, Bench Media, Insil</t>
  </si>
  <si>
    <t>https://leadsnow.ai/best-ai-marketing-agencies-australia/</t>
  </si>
  <si>
    <t>Online Marketing Gurus, HERO, StudioHawk, Uprise Digital, LeadsNow.ai, Megantic, Earned Media, Omnicom Media Group, Rocket Agency, Bushnote, Alpha Digital, King Kong, Absolutely AI, Megaphone, XPON, Brainlabs, Sparro, Webprofits, Measured</t>
  </si>
  <si>
    <t>thatware.co</t>
  </si>
  <si>
    <t>Best AI Marketing Agencies in Australia (2026) - Leads Now AI</t>
  </si>
  <si>
    <t>Digital Nomads HQ, Supple Digital, StudioHawk, ROI Growth Agency, Intesols, Predicta Digital, Gorilla 360, Prosperity Media, Luminary, PK SEO, Clearwater Agency, Measured, Zib Digital, Safari Digital, Ninja Promo</t>
  </si>
  <si>
    <t>LeadsNow.ai, King Kong, Megaphone, Omnicom Media Group, Online Marketing Gurus, XPON, Alpha Digital, Rocket Agency, Absolutely AI, Bushnote</t>
  </si>
  <si>
    <t>https://www.theardor.com.au/top-digital-marketing-agencies-in-australia/</t>
  </si>
  <si>
    <t>Impressive, Clearwater Agency, Momentum, Farsiight, Sparro, Digital Nomads HQ, Soup Agency, Adcore Elite, First Page Australia, Alpha Digital, Megaphone, First Page, Online Marketing Gurus, Digital Movement</t>
  </si>
  <si>
    <t>bushnote.com</t>
  </si>
  <si>
    <t>We Reviewed 160 Digital Marketing Agencies in Australia: 13 Passed</t>
  </si>
  <si>
    <t>theardor.com.au</t>
  </si>
  <si>
    <t>Online Marketing Gurus, Rocket Agency, Prosperity Media, Bushnote, StudioHawk, Marketix Digital, Omnicom Media Group, Impressive, Digital Nomads HQ, Salt &amp; Fuessel, Measured, Gorilla 360, First Page, Sparro, Webprofits, Alpha Digital, King Kong, Reload Media, Publicis Groupe, GroupM, PHD, OMD, EssenceMediacom, Deloitte, Luminary, Accenture Song, Deloitte Digital, Resolution Digital, Intesols, Covert, Emote Digital, The Monkeys, Thinkerbell</t>
  </si>
  <si>
    <t>Ninja Promo, Digital Nomads HQ, Sparro, Megaphone, Farsiight, Saatchi &amp; Saatchi, Brainlabs, Publicis Groupe</t>
  </si>
  <si>
    <t>https://agencies.semrush.com/list/advertising/australia/</t>
  </si>
  <si>
    <t>mediaplusdigital.co</t>
  </si>
  <si>
    <t>Best Advertising Agencies in Australia 2026 | Semrush</t>
  </si>
  <si>
    <t>Sparro, Digital Nomads HQ, Rocket Agency, First Page Australia, Alley Group, Marketix Digital, First Page, Prosperity Media, Impressive, Online Marketing Gurus, Bushnote, Webprofits, StudioHawk, Intesols, Megantic, Omnicom Media Group, Clearwater Agency, Supple Digital, Megaphone, Momentum, Luminary, Brainlabs, WPP, King Kong, Wavemaker, Measured, EssenceMediacom, OMD, Reload Media</t>
  </si>
  <si>
    <t>Edge Marketing, Momentum, Supple Digital, DNM Digital, Soup Agency, First Page, Clearwater Agency, Measured, Earned Media, Impressive, Online Marketing Gurus, Omnicom Media Group, Click Click Media, First Page Australia</t>
  </si>
  <si>
    <t>designrush.com</t>
  </si>
  <si>
    <t>https://talonsmarketing.com.au/6-best-aeo-agencies-australia/</t>
  </si>
  <si>
    <t>Online Marketing Gurus, Digital Nomads HQ, Impressive, SIXGUN, First Page Australia, Supple Digital, eMarket Experts, Deloitte, 23 Digital, First Page, Predicta Digital, Soup Agency, Growth Digital, Saatchi &amp; Saatchi, UR Digital, In Marketing We Trust, Luminary, Digitxl, The Monkeys, Elephant In The Boardroom, Omnicom Media Group, Huge, Intero Digital, HERO, Power Digital, Measured, Clearwater Agency, Human Digital, Reload Media, AdVisible, Zib Digital, Edge Marketing, 80/20 Digital</t>
  </si>
  <si>
    <t>6 Best AEO Agencies in Australia for 2026 - Talons Marketing</t>
  </si>
  <si>
    <t>reddit.com</t>
  </si>
  <si>
    <t>UGC</t>
  </si>
  <si>
    <t>Talons Marketing, In Marketing We Trust, Prosperity Media, Webprofits, Rocket Agency, Digital Nomads HQ</t>
  </si>
  <si>
    <t>First Page, Talons Marketing, Online Marketing Gurus, Impressive, SIXGUN, StudioHawk, Supple Digital, Measured, Omnicom Media Group, Lifesight, HERO, Thinkerbell, Huge, The Monkeys, Clemenger BBDO, In Marketing We Trust, Digital Nomads HQ, Rocket Agency, Alley Group, Marketix Digital, Haus, Workmagic, Earned Media, Ninja Promo, Bonfire, Clearwater Agency, Get AI Ready, Team 400</t>
  </si>
  <si>
    <t>https://www.sortlist.com/s/paid-media/australia-au</t>
  </si>
  <si>
    <t>The 10 Best Paid Media Agencies in Australia - 2026 Reviews</t>
  </si>
  <si>
    <t>Clearwater Agency, Online Marketing Gurus, Digital Nomads HQ, eMarket Experts, Supple Digital, SearchMax, Megaphone, Omnicom Media Group, Brainlabs, Farsiight, Sparro, Saatchi &amp; Saatchi, Publicis Groupe, Ninja Promo, Momentum, Impressive, Earned Media, StudioHawk, Gorilla 360, SIXGUN, First Page</t>
  </si>
  <si>
    <t>Measured, Earned Media, Clearwater Agency, Impressive, Supple Digital, SIXGUN, Digital Nomads HQ, Soup Agency, HERO</t>
  </si>
  <si>
    <t>https://talonsmarketing.com.au/8-best-generative-engine-optimisation-geo-agencies-australia/</t>
  </si>
  <si>
    <t>8 Best Generative Engine Optimisation (GEO) Agencies in Australia for 2026 - Talons Marketing</t>
  </si>
  <si>
    <t>Talons Marketing, In Marketing We Trust, Megantic, Prosperity Media, Webprofits, Rocket Agency, Digital Nomads HQ</t>
  </si>
  <si>
    <t>undivided.com.au</t>
  </si>
  <si>
    <t>https://www.formulate.com.au/articles/best-ai-seo-agencies-in-australia-2026/#:~:text=This%20sits%20alongside%20a%20mature%20technical%20SEO,of%20the%20discipline.%20%2D%20Jaywing.%20Best%20for.</t>
  </si>
  <si>
    <t>Sparro, Impressive, Measured, Undivided, King Kong, Jaywing, Earned Media</t>
  </si>
  <si>
    <t>thehero.co</t>
  </si>
  <si>
    <t>Best AI SEO Agencies in Australia (2026) &amp;#8211; Formulate Design Blog</t>
  </si>
  <si>
    <t>formulate.com.au</t>
  </si>
  <si>
    <t>Momentum, HERO, VML, Earned Media, PHD, Huge, Measured</t>
  </si>
  <si>
    <t>EDITORIAL</t>
  </si>
  <si>
    <t>Prosperity Media, Jaywing</t>
  </si>
  <si>
    <t>roi.com.au</t>
  </si>
  <si>
    <t>https://intelligentresourcing.co/blogs/best-aeo-agencies-australia</t>
  </si>
  <si>
    <t>ROI Growth Agency, Growth Digital, Deloitte, Momentum, HERO, Measured</t>
  </si>
  <si>
    <t>goodfirms.co</t>
  </si>
  <si>
    <t>Best GEO and AEO Agencies in Australia 2026: Not Doing Traditional SEO</t>
  </si>
  <si>
    <t>intelligentresourcing.co</t>
  </si>
  <si>
    <t>Get AI Ready, Digital Movement, Uprise Digital, Omnicom Media Group, Farsiight, First Page, Impressive, Team 400, Digital Nomads HQ, SIXGUN, Emote Digital, AdVisible, Supple Digital, eMarket Experts, Elephant In The Boardroom, CUT THRU, Measured, BMF, Bench Media, Edge Marketing, Chello, Soup Agency, Reload Media, Intesols</t>
  </si>
  <si>
    <t>theredrepublic.com</t>
  </si>
  <si>
    <t>Intelligent Resourcing, ROI Growth Agency, Luminary, Covert, UR Digital, Ziff Digital, Digital Nomads HQ, In Marketing We Trust</t>
  </si>
  <si>
    <t>https://agencies.semrush.com/list/display-advertising/australia/</t>
  </si>
  <si>
    <t>HERO, The Red Republic</t>
  </si>
  <si>
    <t>Best Display Ads Agencies in Australia 2026 | Semrush</t>
  </si>
  <si>
    <t>OTHER</t>
  </si>
  <si>
    <t>Other</t>
  </si>
  <si>
    <t>Soup Agency, First Page, Clearwater Agency, Measured, Earned Media, Impressive, Online Marketing Gurus, Omnicom Media Group, Click Click Media, First Page Australia, Bench Media</t>
  </si>
  <si>
    <t>https://sparro.com.au/</t>
  </si>
  <si>
    <t>Editorial</t>
  </si>
  <si>
    <t>Prosperity Media, Luminary, Alley Group, First Page, Jaywing</t>
  </si>
  <si>
    <t>rocketagency.com.au</t>
  </si>
  <si>
    <t>Sparro: Award-Winning Digital Marketing Agency</t>
  </si>
  <si>
    <t>sparro.com.au</t>
  </si>
  <si>
    <t>HOMEPAGE</t>
  </si>
  <si>
    <t>Homepage</t>
  </si>
  <si>
    <t>Sparro, Brainlabs, Huge</t>
  </si>
  <si>
    <t>Rocket Agency, HERO, First Page, Impressive</t>
  </si>
  <si>
    <t>https://theredrepublic.com/top-5-best-advertising-agencies-australia-2026/</t>
  </si>
  <si>
    <t>Our Top 5: The Best Creative Advertising Agencies Leading Australia into 2026 | The Red Republic</t>
  </si>
  <si>
    <t>Luminary, In Marketing We Trust, Digital Nomads HQ, ROI Growth Agency, UR Digital, Intelligent Resourcing, Covert, Ziff Digital, Measured</t>
  </si>
  <si>
    <t>uprisedigital.com.au</t>
  </si>
  <si>
    <t>The Red Republic, HERO</t>
  </si>
  <si>
    <t>https://clutch.co/au/agencies/ppc</t>
  </si>
  <si>
    <t>Top PPC Agencies in Australia - Jul 2026 Rankings | Clutch.co</t>
  </si>
  <si>
    <t>Online Marketing Gurus, Rocket Agency, AdVisible, Uprise Digital, Gorilla 360, Omnicom Media Group, Clearwater Agency, Digital Nomads HQ, Soup Agency, Emote Digital, Salt &amp; Fuessel, Intesols, Alley Group, Megaphone, Ninja Promo, EvenDigit, Sparro, StudioHawk, King Kong, Impressive, Alpha Digital, Farsiight</t>
  </si>
  <si>
    <t>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t>
  </si>
  <si>
    <t>measured.com</t>
  </si>
  <si>
    <t>https://www.bushnote.com/articles/best-aeo-agencies-in-australia-in-2026</t>
  </si>
  <si>
    <t>Haus, Measured, Analytic Partners</t>
  </si>
  <si>
    <t>Australia's Best AEO Agencies for AI Search 2026</t>
  </si>
  <si>
    <t>ensun.io</t>
  </si>
  <si>
    <t>Online Marketing Gurus, Loves Data, Omnicom Media Group</t>
  </si>
  <si>
    <t>Measured, Bushnote, Luminary, StudioHawk, Online Marketing Gurus</t>
  </si>
  <si>
    <t>https://www.undivided.com.au/</t>
  </si>
  <si>
    <t>Digital Marketing Agency with Guaranteed ROI | UNDIVIDED</t>
  </si>
  <si>
    <t>Huge, Brainlabs, Sparro</t>
  </si>
  <si>
    <t>smartosc.com</t>
  </si>
  <si>
    <t>Undivided, Earned Media, Measured</t>
  </si>
  <si>
    <t>https://digitalagencynetwork.com/agencies/australia/ai-marketing/</t>
  </si>
  <si>
    <t>Luminary, Deloitte Digital, Impressive, Rocket Agency, Bonfire, Megaphone, Deloitte, SmartOSC, First Page, KPMG, Clearwater Agency, Emote Digital, King Kong, Bench Media, Supple Digital, Eight Clients, Metric Labs</t>
  </si>
  <si>
    <t>digitaldigest.au</t>
  </si>
  <si>
    <t>Top AI Marketing Agencies in Australia (2026)</t>
  </si>
  <si>
    <t>Huge, Farsiight, Online Marketing Gurus, Digital Nomads HQ, Impressive, Emote Digital, DNM Digital, Human Digital, Megaphone, Paradox Marketing, CUT THRU, Omnicom Media Group, First Page, Clearwater Agency, Rocket Agency, Soup Agency, Deloitte, Earned Media, Brainlabs, Sparro, StudioHawk, AdVisible, King Kong, Prosperity Media, Luminary, Intesols</t>
  </si>
  <si>
    <t>bbe.io</t>
  </si>
  <si>
    <t>Impressive, HERO, VML</t>
  </si>
  <si>
    <t>themanifest.com</t>
  </si>
  <si>
    <t>PROFILE</t>
  </si>
  <si>
    <t>REFERENCE</t>
  </si>
  <si>
    <t>Profile</t>
  </si>
  <si>
    <t>In Marketing We Trust, Soup Agency</t>
  </si>
  <si>
    <t>https://ninjapromo.io/top-digital-marketing-agencies-in-australia</t>
  </si>
  <si>
    <t>Impressive, Luminary, Sparro, Digital Nomads HQ, SIXGUN, Salt &amp; Fuessel, Alley Group, Insil, Reform Digital, MyWork, EvenDigit, Clearwater Agency, Online Marketing Gurus, Farsiight, Rocket Agency, Soup Agency, Emote Digital, StudioHawk, Intesols, Supple Digital, eMarket Experts, Marketix Digital, Human Digital, Megaphone, Earned Media, Paradox Marketing, 80/20 Digital, Bench Media, DNM Digital, MK Media, In Marketing We Trust, HERO, Chello, Eight Clients</t>
  </si>
  <si>
    <t>clickclickmedia.com.au</t>
  </si>
  <si>
    <t>Top 12 Digital Marketing Agencies in Australia for 2026</t>
  </si>
  <si>
    <t>ninjapromo.io</t>
  </si>
  <si>
    <t>Click Click Media, Measured, HERO, Impressive</t>
  </si>
  <si>
    <t>Ninja Promo, 23 Digital, PHD, Clearwater Agency, Alpha Digital, XPON, Impressive, Measured, Emote Digital, Gorilla 360, Earned Media</t>
  </si>
  <si>
    <t>https://clutch.co/au/agencies/social-media-marketing#:~:text=farsiight%20is%20a%20digital%20marketing%20agency%20specializing,return%20on%20ad%20spend%20and%20customer%20acquisition.</t>
  </si>
  <si>
    <t>Clearwater Agency, Impressive, Emote Digital, PHD, Alpha Digital, Measured, XPON, 23 Digital, Gorilla 360, Earned Media, Ninja Promo</t>
  </si>
  <si>
    <t>Top Social Media Marketing Companies in Australia - Jul 2026 Rankings | Clutch.co</t>
  </si>
  <si>
    <t>inmarketingwetrust.com.au</t>
  </si>
  <si>
    <t>Soup Agency, Impressive, Digital Nomads HQ, SIXGUN, Farsiight, Human Digital, Emote Digital, Intesols, MyWork, Salt &amp; Fuessel, Alley Group, EvenDigit, Rocket Agency, Clearwater Agency, DNM Digital, Edge Marketing, Megaphone</t>
  </si>
  <si>
    <t>https://impressive.com.au/</t>
  </si>
  <si>
    <t>In Marketing We Trust, Analytic Partners</t>
  </si>
  <si>
    <t>Impressive Digital: Melbourne's Premium Digital Marketing Agency</t>
  </si>
  <si>
    <t>sourceforge.net</t>
  </si>
  <si>
    <t>Impressive, Growth Digital, Deloitte</t>
  </si>
  <si>
    <t>Measured, Haus, Analytic Partners, Lifesight, Workmagic</t>
  </si>
  <si>
    <t>https://impressive.com.au/best-ai-seo-agencies-melbourne/</t>
  </si>
  <si>
    <t>xpon.ai</t>
  </si>
  <si>
    <t>XPON, Dentsu, WPP</t>
  </si>
  <si>
    <t>Best AI SEO Agencies in Melbourne: 2026 Guide</t>
  </si>
  <si>
    <t>lengreo.com</t>
  </si>
  <si>
    <t>Impressive, Salt &amp; Fuessel, Predicta Digital, Luminary, Rocket Agency, Prosperity Media, Earned Media, Bonfire</t>
  </si>
  <si>
    <t>https://ensun.io/search/marketing-analytics/australia</t>
  </si>
  <si>
    <t>Luminary, Salt &amp; Fuessel, StudioHawk, Supple Digital, Predicta Digital</t>
  </si>
  <si>
    <t>Top 100 Marketing Analytics Companies in Australia (2026) \| ensun</t>
  </si>
  <si>
    <t>clickclickbangbang.com.au</t>
  </si>
  <si>
    <t>Loves Data, Online Marketing Gurus, Omnicom Media Group</t>
  </si>
  <si>
    <t>https://www.thehero.co/news/top-10-best-ad-agency-in-australia-leading-sydney-melbourne-brisbane</t>
  </si>
  <si>
    <t>Online Marketing Gurus, Rocket Agency, Reload Media, King Kong, Megaphone, Deloitte, Omnicom Media Group, Brainlabs, Impressive, Sparro, WebSavvy, Momentum</t>
  </si>
  <si>
    <t>HERO Tops Best Creative Ad Agency Hot List for Australia, Across Sydney, Melbourne and Brisbane</t>
  </si>
  <si>
    <t>getaiready.com.au</t>
  </si>
  <si>
    <t>HERO, Momentum</t>
  </si>
  <si>
    <t>Momentum, Get AI Ready</t>
  </si>
  <si>
    <t>https://digitalagencynetwork.com/agencies/australia/</t>
  </si>
  <si>
    <t>google.com</t>
  </si>
  <si>
    <t>New Engen</t>
  </si>
  <si>
    <t>Best Digital Marketing Agencies in Australia | Digital Agency Network</t>
  </si>
  <si>
    <t>cometly.com</t>
  </si>
  <si>
    <t>Emote Digital, Luminary, Supple Digital, 80/20 Digital, Clearwater Agency, Digital Nomads HQ, Soup Agency, Impressive, Jaywing, In Marketing We Trust</t>
  </si>
  <si>
    <t>https://agencies.semrush.com/list/smm/australia/</t>
  </si>
  <si>
    <t>Measured, Impressive, Haus, Lifesight</t>
  </si>
  <si>
    <t>linkedin.com</t>
  </si>
  <si>
    <t>Best Social Media Marketing Agencies in Australia 2026 | Semrush</t>
  </si>
  <si>
    <t>Digital Nomads HQ, DNM Digital, Soup Agency, First Page, Clearwater Agency, Measured, Earned Media, Impressive, Online Marketing Gurus, Omnicom Media Group, Human Digital, Click Click Media, Bench Media</t>
  </si>
  <si>
    <t>https://www.reddit.com/r/BestInAustralia/comments/1rwwbcw/5_best_digital_marketing_agencies_leveraging_ai/</t>
  </si>
  <si>
    <t>Clearwater Agency, Digital Nomads HQ, Online Marketing Gurus, First Page Australia, StudioHawk, Supple Digital, Megaphone, First Page, Huge, Impressive, Sparro, Rocket Agency, King Kong, DNM Digital, Omnicom Media Group, Emote Digital, Brainlabs, Thinkerbell, Luminary, Metric Labs, Accenture Song, Ogilvy Australia, Howatson+Company, Clemenger BBDO, The Monkeys, BMF, Bear Meets Eagle On Fire, OMD, Earned Media, Measured, EssenceMediacom, Dentsu, PHD, TRKKN, In Marketing We Trust, Saatchi &amp; Saatchi, Leo Australia, Momentum, Farsiight, Alpha Digital, Reload Media, XPON, Alley Group, Incubeta</t>
  </si>
  <si>
    <t>localsearch.com.au</t>
  </si>
  <si>
    <t>5 Best Digital Marketing Agencies Leveraging AI in Australia (2026 Guide)</t>
  </si>
  <si>
    <t>Clearwater Agency, Prosperity Media, Online Marketing Gurus, Sparro, Brainlabs, King Kong, SIXGUN, StudioHawk, Measured, Omnicom Media Group, First Page</t>
  </si>
  <si>
    <t>DISCUSSION</t>
  </si>
  <si>
    <t>titanblue.com.au</t>
  </si>
  <si>
    <t>Discussion</t>
  </si>
  <si>
    <t>Rocket Agency, Marketix Digital, Alley Group, In Marketing We Trust, Digital Nomads HQ</t>
  </si>
  <si>
    <t>https://agencies.semrush.com/list/ai-optimization/sydney/</t>
  </si>
  <si>
    <t>Online Marketing Gurus, Rocket Agency, Prosperity Media, Megantic, StudioHawk, Safari Digital, Omnicom Media Group, Impressive, King Kong, Megaphone, Huge, Uprise Digital</t>
  </si>
  <si>
    <t>inbeat.agency</t>
  </si>
  <si>
    <t>Resolution Digital, Impressive, Rocket Agency, Soup Agency, Bonfire, Alpha Digital, Supple Digital, Bench Media, Reef Digital Agency, AdVisible, Zib Digital, 23 Digital, Gorilla 360, Measured, Momentum, PHD, Online Marketing Gurus, King Kong, Metric Labs, Jaywing, Marketix Digital</t>
  </si>
  <si>
    <t>Best AI Search Optimization Agencies in Sydney 2026 | Semrush</t>
  </si>
  <si>
    <t>marginmedia.com.au</t>
  </si>
  <si>
    <t>DNM Digital, Online Marketing Gurus, Omnicom Media Group, Earned Media, Huge, Edge Marketing, First Page, Clearwater Agency, Measured</t>
  </si>
  <si>
    <t>https://clutch.co/au/agencies/creative</t>
  </si>
  <si>
    <t>Top Creative Agencies in Australia - Jul 2026 Rankings \| Clutch.co</t>
  </si>
  <si>
    <t>Clearwater Agency, Momentum, Sparro, Rocket Agency, Emote Digital, AdVisible, Reef Digital Agency, Zib Digital</t>
  </si>
  <si>
    <t>Chello, Human Digital, Impressive, Measured, Dentsu</t>
  </si>
  <si>
    <t>raw.studio</t>
  </si>
  <si>
    <t>RAW Studio, CUT THRU, Luminary, Digital Nomads HQ, HERO</t>
  </si>
  <si>
    <t>https://digitalnomadshq.com.au/blog/best-aeo-answer-engine-optimisation-agencies/</t>
  </si>
  <si>
    <t>emotedigital.com.au</t>
  </si>
  <si>
    <t>Best AEO (Answer Engine Optimisation) Agencies 2026</t>
  </si>
  <si>
    <t>Impressive, Emote Digital</t>
  </si>
  <si>
    <t>Digital Nomads HQ</t>
  </si>
  <si>
    <t>globalgenie.com.au</t>
  </si>
  <si>
    <t>https://mediaplusdigital.co/au/ai-marketing-agencies-in-australia/#:~:text=Kamexa%20is%20often%20ranked%20among%20top%20AI,businesses%20that%20want%20deep%20AI%20implementation.%203.</t>
  </si>
  <si>
    <t>Impressive, Emote Digital, King Kong, Intero Digital, MyWork</t>
  </si>
  <si>
    <t>Top 10 AI Marketing Agencies in Australia (2026) - MPD Australia</t>
  </si>
  <si>
    <t>slashdot.org</t>
  </si>
  <si>
    <t>Haus, Measured, Edge Marketing, Analytic Partners, Lifesight, Workmagic</t>
  </si>
  <si>
    <t>Alley Group, Rocket Agency, Marketix Digital, Digital Nomads HQ, First Page, First Page Australia, Sparro</t>
  </si>
  <si>
    <t>https://clutch.co/au/agencies/ppc/display</t>
  </si>
  <si>
    <t>purshology.com</t>
  </si>
  <si>
    <t>Top Display Advertising Services in Australia - Jul 2026 Rankings | Clutch.co</t>
  </si>
  <si>
    <t>Online Marketing Gurus, Digital Nomads HQ, Rocket Agency, SIXGUN, First Page Australia, StudioHawk, NP Digital Australia, Measured, First Page</t>
  </si>
  <si>
    <t>Intesols, First Page, Soup Agency, Impressive, Salt &amp; Fuessel, EvenDigit, Paradox Marketing, Click Click Media</t>
  </si>
  <si>
    <t>conquerradigital.com.au</t>
  </si>
  <si>
    <t>https://business.localsearch.com.au/blog/top-digital-marketing-agencies-australia-2026</t>
  </si>
  <si>
    <t>Clearwater Agency, Momentum, Online Marketing Gurus, Sparro, Bushnote, Webprofits, Alpha Digital, King Kong, Omnicom Media Group, First Page, Resolution Digital, Rocket Agency, Soup Agency, Bench Media, Megaphone, WebSavvy, Digital Nomads HQ, OMD</t>
  </si>
  <si>
    <t>The Top 10 Digital Marketing Agencies in Australia for 2026: Our Honest Take</t>
  </si>
  <si>
    <t>team400.ai</t>
  </si>
  <si>
    <t>Huge, Team 400, KPMG, Deloitte</t>
  </si>
  <si>
    <t>Sparro, Brainlabs, King Kong, Online Marketing Gurus, Omnicom Media Group, First Page, StudioHawk, Prosperity Media, Clearwater Agency, SIXGUN, Measured</t>
  </si>
  <si>
    <t>https://sourceforge.net/software/incrementality-testing/australia/</t>
  </si>
  <si>
    <t>triplewhale.com</t>
  </si>
  <si>
    <t>Best Incrementality Testing Tools in Australia of 2026 - Reviews &amp;amp; Comparison</t>
  </si>
  <si>
    <t>Haus, Measured</t>
  </si>
  <si>
    <t>sellforte.com</t>
  </si>
  <si>
    <t>Measured, Lifesight, Workmagic, Haus, Analytic Partners</t>
  </si>
  <si>
    <t>https://thatware.co/top-10-ai-search-companies-in-australia/</t>
  </si>
  <si>
    <t>Huge, Measured, Haus</t>
  </si>
  <si>
    <t>edisonai.au</t>
  </si>
  <si>
    <t>Top AI Search Optimisation Companies Australia | 10 Best AI Firms</t>
  </si>
  <si>
    <t>Impressive, Measured, KPMG, Edison AI, Deloitte, Momentum, Mantel Group</t>
  </si>
  <si>
    <t>bandt.com.au</t>
  </si>
  <si>
    <t>StudioHawk, Intesols, Gorilla 360, Supple Digital, Predicta Digital, ROI Growth Agency, Digital Nomads HQ</t>
  </si>
  <si>
    <t>https://agencies.semrush.com/list/analytics-data-science/australia/</t>
  </si>
  <si>
    <t>In Marketing We Trust, Momentum, WPP, HERO, Howatson+Company, Mindshare, Bench Media, Wavemaker, Thinkerbell, Saatchi &amp; Saatchi, EssenceMediacom, We Are Social, PHD, Leo Australia, Impressive, Accenture Song, BMF, The Monkeys, OMD, DDB Australia, Bear Meets Eagle On Fire, Huge, Dentsu, Resolution Digital, Omnicom Media Group, Deloitte Digital, Clemenger BBDO, Deloitte, Earned Media, Mutinex, PMG, Brainlabs, Sparro, Publicis Groupe, Publicis Media, Lifesight, VML</t>
  </si>
  <si>
    <t>brandburp.com</t>
  </si>
  <si>
    <t>Best Data Analytics Services in Australia 2026 | Semrush</t>
  </si>
  <si>
    <t>Soup Agency, First Page, Clearwater Agency, Measured, Earned Media, Impressive, Online Marketing Gurus, Omnicom Media Group, Click Click Media, 80/20 Digital, Bonfire, Huge, Megantic</t>
  </si>
  <si>
    <t>https://inmarketingwetrust.com.au/platforms/google-marketing-platform/</t>
  </si>
  <si>
    <t>inbeat.co</t>
  </si>
  <si>
    <t>Google Marketing Platform Partners - In Marketing We Trust</t>
  </si>
  <si>
    <t>Resolution Digital, Online Marketing Gurus, Sparro, Soup Agency, Impressive, Emote Digital, First Page Australia, Ogilvy Australia, Alpha Digital, King Kong, Megaphone, Zib Digital, Eight Clients, Earned Media, First Page</t>
  </si>
  <si>
    <t>metapress.com</t>
  </si>
  <si>
    <t>PRODUCT_PAGE</t>
  </si>
  <si>
    <t>Product Page</t>
  </si>
  <si>
    <t>In Marketing We Trust</t>
  </si>
  <si>
    <t>Soup Agency, Impressive, Emote Digital, Megantic, NP Digital Australia</t>
  </si>
  <si>
    <t>https://mediaplusdigital.co/au/geo-agencies-in-australia/</t>
  </si>
  <si>
    <t>metriclabs.com.au</t>
  </si>
  <si>
    <t>Top 10 GEO Agencies in Australia (2026) - MPD Australia</t>
  </si>
  <si>
    <t>Metric Labs, Measured</t>
  </si>
  <si>
    <t>Online Marketing Gurus, StudioHawk, Bushnote, Prosperity Media, Impressive, Webprofits, Megantic, Digital Nomads HQ, Intesols, Omnicom Media Group</t>
  </si>
  <si>
    <t>10seos.com</t>
  </si>
  <si>
    <t>https://talonsmarketing.com.au/10-best-ai-seo-agencies-in-australia/</t>
  </si>
  <si>
    <t>Intesols, eMarket Experts</t>
  </si>
  <si>
    <t>10 Best AI SEO Agencies in Australia (2026 Guide) - Talons Marketing</t>
  </si>
  <si>
    <t>noirandblanco.com</t>
  </si>
  <si>
    <t>Talons Marketing, eMarket Experts, Supple Digital, Salt &amp; Fuessel, SIXGUN, Intesols, Clearwater Agency, Online Marketing Gurus, First Page, Digital Nomads HQ</t>
  </si>
  <si>
    <t>https://thatware.co/top-10-aeo-companies-in-australia/</t>
  </si>
  <si>
    <t>Soup Agency, Alley Group, Supple Digital, Earned Media, 80/20 Digital, First Page</t>
  </si>
  <si>
    <t>tdsaustralia.com.au</t>
  </si>
  <si>
    <t>Top AEO Companies in Australia \| 10 Best Australia AEO Firms</t>
  </si>
  <si>
    <t>https://leadsnow.ai/best-ai-seo-aeo-agencies-australia/</t>
  </si>
  <si>
    <t>WPP, Chello, Hulsbosch, Digital Nomads HQ, Soup Agency, RAW Studio, CUT THRU</t>
  </si>
  <si>
    <t>vanguardian.com.au</t>
  </si>
  <si>
    <t>Best AI SEO &amp;amp; Answer Engine Optimisation (AEO) Agencies in Australia (2026) - Leads Now AI</t>
  </si>
  <si>
    <t>LeadsNow.ai, Earned Media, StudioHawk, Omnicom Media Group, Uprise Digital, HERO, Online Marketing Gurus, Megantic</t>
  </si>
  <si>
    <t>https://marginmedia.com.au/our-blog/top-digital-marketing-agencies-australia#:~:text=Their%20team%20takes%20an%20evidence%2Dbased%20approach%2C%20using,%26%20PPC%2C%20CRO%2C%20digital%20strategy%2C%20content%20optimisation.</t>
  </si>
  <si>
    <t>Sparro, Blue Sense Digital</t>
  </si>
  <si>
    <t>absolutelyai.com.au</t>
  </si>
  <si>
    <t>Top 15 Digital Marketing Agencies in Australia for 2026</t>
  </si>
  <si>
    <t>HERO, Absolutely AI</t>
  </si>
  <si>
    <t>Clearwater Agency, Reef Digital Agency, Zib Digital, Rocket Agency, AdVisible, Sparro, Emote Digital, Momentum</t>
  </si>
  <si>
    <t>saltandfuessel.com.au</t>
  </si>
  <si>
    <t>https://roi.com.au/know-how/challenges/roi-profitability/what-incrementality-testing-reveals-about-true-marketing-roi-in-australia-in-2026</t>
  </si>
  <si>
    <t>Salt &amp; Fuessel</t>
  </si>
  <si>
    <t>youtube.com</t>
  </si>
  <si>
    <t>What incrementality testing reveals about true marketing ROI in Australia in 2026 | AI Marketing Agency Australia | roi.com.au</t>
  </si>
  <si>
    <t>ARTICLE</t>
  </si>
  <si>
    <t>Article</t>
  </si>
  <si>
    <t>Rocket Agency, Emote Digital, OMD, Digital Movement, First Page, Huge, Momentum, Brainlabs, PHD, Prosperity Media, HERO, Alley Group, Bench Media</t>
  </si>
  <si>
    <t>ROI Growth Agency</t>
  </si>
  <si>
    <t>https://www.smartosc.com/top-10-ai-marketing-agency-in-australia/</t>
  </si>
  <si>
    <t>caribbeannationalweekly.com</t>
  </si>
  <si>
    <t>Top 10 AI Marketing Agencies in Australia Driving Data-Led Growth - SmartOSC</t>
  </si>
  <si>
    <t>Prosperity Media, Farsiight, Rocket Agency, Impressive, Webprofits, StudioHawk, NP Digital Australia, Alpha Digital, Reef Digital Agency</t>
  </si>
  <si>
    <t>findcreatives.com.au</t>
  </si>
  <si>
    <t>SmartOSC, Eight Clients, Clearwater Agency, Supple Digital, Emote Digital, King Kong, Bench Media</t>
  </si>
  <si>
    <t>https://digitalagencynetwork.com/agencies/australia/geo/</t>
  </si>
  <si>
    <t>Chello</t>
  </si>
  <si>
    <t>Top GEO Agencies in Australia for Generative Engine Optimization (2026)</t>
  </si>
  <si>
    <t>theaustralian.com.au</t>
  </si>
  <si>
    <t>Luminary, Digital Nomads HQ, Clearwater Agency, In Marketing We Trust</t>
  </si>
  <si>
    <t>https://www.emotedigital.com.au/digital-marketing-agency-melbourne/google-partner/</t>
  </si>
  <si>
    <t>Momentum, Deloitte Digital, Deloitte, Accenture Song, Publicis Groupe, KPMG, The Monkeys, GroupM, WPP</t>
  </si>
  <si>
    <t>Your trusted Google partner in Australia</t>
  </si>
  <si>
    <t>bushletter.com</t>
  </si>
  <si>
    <t>Luminary, Online Marketing Gurus, Impressive, Bushnote, Webprofits, Omnicom Media Group, Resolution Digital, Sparro, King Kong, Measured, Soup Agency, Uprise Digital, Prosperity Media, StudioHawk, Reload Media</t>
  </si>
  <si>
    <t>Emote Digital, Impressive</t>
  </si>
  <si>
    <t>prosperitymedia.com.au</t>
  </si>
  <si>
    <t>https://getaiready.com.au/</t>
  </si>
  <si>
    <t>AI Consulting Australia | Enterprise AI Strategy</t>
  </si>
  <si>
    <t>Prosperity Media, Undivided, Jaywing, Measured, HERO</t>
  </si>
  <si>
    <t>mayple.com</t>
  </si>
  <si>
    <t>Get AI Ready, Momentum</t>
  </si>
  <si>
    <t>https://www.globalgenie.com.au/top-digital-marketing-agencies-in-australia/</t>
  </si>
  <si>
    <t>Impressive</t>
  </si>
  <si>
    <t>mkmedia.com.au</t>
  </si>
  <si>
    <t>Top 7 Digital Marketing Agencies in Australia (2026 Rankings)</t>
  </si>
  <si>
    <t>Huge, MK Media</t>
  </si>
  <si>
    <t>ogilvy.com.au</t>
  </si>
  <si>
    <t>Emote Digital, Intero Digital, Impressive, King Kong, MyWork</t>
  </si>
  <si>
    <t>https://www.measured.com/faq/best-incrementality-testing-companies-software-for-marketing-2026/</t>
  </si>
  <si>
    <t>Ogilvy Australia, WPP</t>
  </si>
  <si>
    <t>segmentstream.com</t>
  </si>
  <si>
    <t>Best Incrementality Testing Companies &amp;amp; Software for Marketing (2026)</t>
  </si>
  <si>
    <t>Haus, Measured, Lifesight, LiftLab, Workmagic, Impressive, Momentum</t>
  </si>
  <si>
    <t>farsiight.com</t>
  </si>
  <si>
    <t>Measured, Haus, Analytic Partners</t>
  </si>
  <si>
    <t>https://slashdot.org/software/incrementality-testing/in-australia/</t>
  </si>
  <si>
    <t>Impressive, Huge, Farsiight</t>
  </si>
  <si>
    <t>hikemytraffic.com</t>
  </si>
  <si>
    <t>Top Incrementality Testing Tools in Australia in 2026</t>
  </si>
  <si>
    <t>Rocket Agency, Emote Digital, Digital Movement, OMD, First Page, Alley Group, Bench Media</t>
  </si>
  <si>
    <t>techradar.com</t>
  </si>
  <si>
    <t>Measured, Lifesight, Workmagic, Haus, Edge Marketing, Analytic Partners</t>
  </si>
  <si>
    <t>https://www.sortlist.com/s/display-advertising/australia-au</t>
  </si>
  <si>
    <t>Huge</t>
  </si>
  <si>
    <t>The 10 Best Display Advertising Agencies in Australia - 2026 Reviews</t>
  </si>
  <si>
    <t>redpandas.com.au</t>
  </si>
  <si>
    <t>Measured, Earned Media, Clearwater Agency, Impressive, Supple Digital, SIXGUN, Soup Agency, HERO, Digital Nomads HQ, Momentum, CUT THRU</t>
  </si>
  <si>
    <t>https://xpon.ai/google-marketing-platform/</t>
  </si>
  <si>
    <t>Megaphone</t>
  </si>
  <si>
    <t>Google Marketing Platform Partner | XPON</t>
  </si>
  <si>
    <t>skyscale.com.au</t>
  </si>
  <si>
    <t>XPON</t>
  </si>
  <si>
    <t>https://lengreo.com/australia-aeo-geo-llmo-companies/</t>
  </si>
  <si>
    <t>airanklab.com</t>
  </si>
  <si>
    <t>7 Best Australia's Companies for AEO, GEO, and LLMO (2026)</t>
  </si>
  <si>
    <t>HERO, Supple Digital, StudioHawk, First Page</t>
  </si>
  <si>
    <t>Salt &amp; Fuessel, Luminary</t>
  </si>
  <si>
    <t>digitalreference.co</t>
  </si>
  <si>
    <t>https://www.purshology.com/2026/07/8-top-ai-driven-marketing-agencies-redefining-search-in-australia/</t>
  </si>
  <si>
    <t>Momentum, Online Marketing Gurus, Digital Nomads HQ, Digital Movement, Omnicom Media Group</t>
  </si>
  <si>
    <t>8-Top AI-Driven Marketing Agencies Redefining Search in Australia - purshoLOGY</t>
  </si>
  <si>
    <t>mystrika.com</t>
  </si>
  <si>
    <t>Measured, NP Digital Australia, SIXGUN, StudioHawk, Online Marketing Gurus, Rocket Agency, First Page, First Page Australia, Digital Nomads HQ</t>
  </si>
  <si>
    <t>Clearwater Agency, Luminary, Digital Nomads HQ, Impressive, Rocket Agency, Soup Agency, Online Marketing Gurus, DNM Digital, Salt &amp; Fuessel, First Page Australia, Webprofits, Bonfire, Bench Media, Click Click Media, Supple Digital, Measured, Edge Marketing, Megantic, Human Digital, Megaphone, Earned Media, 80/20 Digital, Omnicom Media Group, First Page</t>
  </si>
  <si>
    <t>https://www.resolutiondigital.com.au/services/measurement/</t>
  </si>
  <si>
    <t>newsfromperth.com</t>
  </si>
  <si>
    <t>Digital Analytics Services | Resolution Digital Australia</t>
  </si>
  <si>
    <t>programminginsider.com</t>
  </si>
  <si>
    <t>Digital Nomads HQ, NP Digital Australia, Click Click Media, Safari Digital, Megantic, Zib Digital, 80/20 Digital</t>
  </si>
  <si>
    <t>Resolution Digital, Omnicom Media Group</t>
  </si>
  <si>
    <t>https://thatware.co/top-10-geo-companies-in-australia/</t>
  </si>
  <si>
    <t>savit.au</t>
  </si>
  <si>
    <t>Impressive, Online Marketing Gurus, StudioHawk, First Page Australia, Supple Digital, Omnicom Media Group, First Page, Soup Agency, We Are Social, Megaphone</t>
  </si>
  <si>
    <t>Top GEO Companies in Australia | 10 Best Australia GEO Firms</t>
  </si>
  <si>
    <t>fastlanerecruit.com</t>
  </si>
  <si>
    <t>Luminary, Intesols, Predicta Digital, PK SEO, Prosperity Media</t>
  </si>
  <si>
    <t>https://uprisedigital.com.au/blog/social-media-agencies-melbourne/</t>
  </si>
  <si>
    <t>Online Marketing Gurus, Soup Agency, First Page Australia, Ogilvy Australia, WPP, Supple Digital, Edge Marketing, KPMG, Clemenger BBDO, Omnicom Media Group, First Page, Luminary, Farsiight, Digital Nomads HQ, Clearwater Agency, SIXGUN, Emote Digital, Salt &amp; Fuessel, StudioHawk, Intesols, King Kong, Human Digital, Megaphone, 80/20 Digital</t>
  </si>
  <si>
    <t>3pdigital.com.au</t>
  </si>
  <si>
    <t>Top 15 Social Media Marketing Agencies in Melbourne (2026)</t>
  </si>
  <si>
    <t>Momentum, Measured</t>
  </si>
  <si>
    <t>Uprise Digital, Soup Agency, Megaphone, EvenDigit, Emote Digital, Salt &amp; Fuessel, Digital Nomads HQ, Clearwater Agency, Intesols, Ninja Promo, Alley Group</t>
  </si>
  <si>
    <t>digitalsurfer.com.au</t>
  </si>
  <si>
    <t>https://clutch.co/au/consulting/ai</t>
  </si>
  <si>
    <t>Top AI Consultants in Australia - Jul 2026 Rankings \| Clutch.co</t>
  </si>
  <si>
    <t>Luminary, Impressive, Huge, In Marketing We Trust, Team 400</t>
  </si>
  <si>
    <t>mentionfirst.ai</t>
  </si>
  <si>
    <t>https://digitalagencynetwork.com/agencies/australia/creative/</t>
  </si>
  <si>
    <t>Digital Nomads HQ, Online Marketing Gurus, Emote Digital, Supple Digital, Omnicom Media Group, StudioHawk, PK SEO</t>
  </si>
  <si>
    <t>Top Creative Agencies in Australia (2026)</t>
  </si>
  <si>
    <t>wmtips.com</t>
  </si>
  <si>
    <t>Jaywing, Clearwater Agency, Emote Digital</t>
  </si>
  <si>
    <t>https://www.goodfirms.co/advertising-companies/creative/australia</t>
  </si>
  <si>
    <t>avinashvagh.com</t>
  </si>
  <si>
    <t>Top Creative Agencies in Australia - 2026 Reviews | Goodfirms</t>
  </si>
  <si>
    <t>Digital Nomads HQ, Measured, In Marketing We Trust, Prosperity Media, Talons Marketing, Elephant In The Boardroom</t>
  </si>
  <si>
    <t>Uprise Digital, CUT THRU, BMF, Measured, Digital Movement</t>
  </si>
  <si>
    <t>softwaresuggest.com</t>
  </si>
  <si>
    <t>https://www.undivided.com.au/blog/top-5-digital-agencies-in-australia</t>
  </si>
  <si>
    <t>Top 5 Digital Agencies in Australia</t>
  </si>
  <si>
    <t>superbcompanies.com</t>
  </si>
  <si>
    <t>Undivided, Sparro, Jaywing, King Kong, Impressive, Earned Media, Measured</t>
  </si>
  <si>
    <t>https://www.bbe.io/best-advertising-agencies-2026-melbourne-sydney-brisbane#:~:text=HERO%20dominated%20the%20new%20AdNews%20category%20with,2026%20AdNews%20Independent%20Agency%20of%20the%20Year.</t>
  </si>
  <si>
    <t>Luminary, Impressive, Emote Digital</t>
  </si>
  <si>
    <t>omnieclipse.ai</t>
  </si>
  <si>
    <t>The BBE Best: Top Creative Advertising Agencies for 2026 in Sydney, Melbourne and Brisbane</t>
  </si>
  <si>
    <t>HERO, Impressive</t>
  </si>
  <si>
    <t>Luminary, Talons Marketing, Brainlabs, Bushnote, Intesols, Omni Eclipse</t>
  </si>
  <si>
    <t>https://www.bushnote.com/articles/best-ai-search-agency-australia</t>
  </si>
  <si>
    <t>bonfire.com.au</t>
  </si>
  <si>
    <t>Best AI Search Agency Australia | AEO and GEO Experts (2026)</t>
  </si>
  <si>
    <t>Bonfire, Measured, Edge Marketing, Rocket Agency, Thinkerbell, Huge, Impressive, HERO</t>
  </si>
  <si>
    <t>Bushnote, Luminary, Rocket Agency, Covert, Intesols</t>
  </si>
  <si>
    <t>https://www.designrush.com/agency/creative-agencies/au</t>
  </si>
  <si>
    <t>adnews.com.au</t>
  </si>
  <si>
    <t>Dentsu, WPP, Mindshare, OMD, EssenceMediacom, PHD, Omnicom Media Group, Momentum, Wavemaker, Publicis Media, HERO, Publicis Groupe, Howatson+Company, VML, Reload Media, Saatchi &amp; Saatchi, Accenture Song, Clemenger BBDO, Thinkerbell, BMF</t>
  </si>
  <si>
    <t>Top Creative Agencies in Australia | 2026</t>
  </si>
  <si>
    <t>studiohawk.com.au</t>
  </si>
  <si>
    <t>https://raw.studio/blog/top-10-creative-design-agencies-in-australia-in-2026/#:~:text=Luminary%20is%20one%20of%20the%20most%20established,where%20UX%2C%20accessibility%2C%20and%20governance%20are%20critical.</t>
  </si>
  <si>
    <t>StudioHawk, Measured, First Page</t>
  </si>
  <si>
    <t>alphadigital.com.au</t>
  </si>
  <si>
    <t>Top 10 Creative Design Agencies in Australia in 2026 | Raw.Studio</t>
  </si>
  <si>
    <t>RAW Studio, CUT THRU, Digital Nomads HQ, Luminary, HERO</t>
  </si>
  <si>
    <t>https://www.resolutiondigital.com.au/performance-marketing-agency/#:~:text=Our%20marketing%20performance%20measurement%20capabilities%20range%20from,of%20the%20most%20accoladed%20Google%20Premier%20Partners.</t>
  </si>
  <si>
    <t>Alpha Digital</t>
  </si>
  <si>
    <t>gorilla360.com.au</t>
  </si>
  <si>
    <t>Performance Marketing Agency | Resolution Digital Australia</t>
  </si>
  <si>
    <t>Gorilla 360, Huge, Momentum, Impressive</t>
  </si>
  <si>
    <t>https://www.resolutiondigital.com.au/services/cro/google-marketing-platform/</t>
  </si>
  <si>
    <t>ethinos.com.au</t>
  </si>
  <si>
    <t>Google Marketing Platform Services | Resolution Digital Australia</t>
  </si>
  <si>
    <t>alleygroup.com.au</t>
  </si>
  <si>
    <t>Resolution Digital, TRKKN, Omnicom Media Group</t>
  </si>
  <si>
    <t>https://www.triplewhale.com/blog/best-incrementality-testing-tools</t>
  </si>
  <si>
    <t>Impressive, Alley Group, Earned Media</t>
  </si>
  <si>
    <t>agencyvista.com</t>
  </si>
  <si>
    <t>The Best Incrementality Testing Tools for Marketers in 2026 | Triple Whale</t>
  </si>
  <si>
    <t>Dentsu, Deloitte Digital, GroupM, OMD, Deloitte, Making Science, Adswerve, Brainlabs, Croud</t>
  </si>
  <si>
    <t>COMPARISON</t>
  </si>
  <si>
    <t>Comparison</t>
  </si>
  <si>
    <t>hockeystack.com</t>
  </si>
  <si>
    <t>https://blog.brandburp.com/choose-the-right-display-ad-agency-in-australia/</t>
  </si>
  <si>
    <t>Measured, Huge</t>
  </si>
  <si>
    <t>melottimedia.com.au</t>
  </si>
  <si>
    <t>Choose the Right Display Ad Agency in Australia</t>
  </si>
  <si>
    <t>https://clickclickmedia.com.au/ppc-agency/display-ads/</t>
  </si>
  <si>
    <t>noice.net.au</t>
  </si>
  <si>
    <t>Display Ads Agency Sydney | 17 Years, Proven Reach &amp;amp; Results</t>
  </si>
  <si>
    <t>protiviti.com</t>
  </si>
  <si>
    <t>HERO</t>
  </si>
  <si>
    <t>Click Click Media, Measured</t>
  </si>
  <si>
    <t>https://clutch.co/au/agencies/media-buying</t>
  </si>
  <si>
    <t>withgoogle.com</t>
  </si>
  <si>
    <t>Top Media Buying Agencies in Australia - Jul 2026 Rankings \| Clutch.co</t>
  </si>
  <si>
    <t>Acadia, HERO</t>
  </si>
  <si>
    <t>Soup Agency, DNM Digital, Bench Media, Impressive, MK Media</t>
  </si>
  <si>
    <t>adbeacon.com</t>
  </si>
  <si>
    <t>https://digitalagencynetwork.com/agencies/australia/social-media-marketing/</t>
  </si>
  <si>
    <t>zibdigital.com.au</t>
  </si>
  <si>
    <t>Best Social Media Marketing Agencies in Australia | Digital Agency Network</t>
  </si>
  <si>
    <t>Emote Digital, Clearwater Agency, Supple Digital, Soup Agency, Digital Nomads HQ, Impressive, Momentum, Measured, Human Digital</t>
  </si>
  <si>
    <t>https://digitalagencynetwork.com/agencies/sydney/geo/</t>
  </si>
  <si>
    <t>HERO, Measured, Zib Digital, First Page</t>
  </si>
  <si>
    <t>hashmeta.ai</t>
  </si>
  <si>
    <t>Top GEO Agencies in Sydney for Generative Engine Optimization (2026)</t>
  </si>
  <si>
    <t>Impressive, Emote Digital, Rocket Agency, Reef Digital Agency, King Kong, Absolutely AI, Zib Digital</t>
  </si>
  <si>
    <t>Luminary, Digital Nomads HQ, In Marketing We Trust</t>
  </si>
  <si>
    <t>https://www.inbeat.co/articles/top-marketing-agencies-australia/</t>
  </si>
  <si>
    <t>rankingco.com.au</t>
  </si>
  <si>
    <t>RankingCo</t>
  </si>
  <si>
    <t>Top 31 Marketing Agencies in Australia for Collaboration in 2025</t>
  </si>
  <si>
    <t>amplifir.com.au</t>
  </si>
  <si>
    <t>Sparro, King Kong, Earned Media, Alpha Digital, First Page, First Page Australia, Megaphone, Zib Digital, Soup Agency, Emote Digital, Online Marketing Gurus, Ogilvy Australia, Eight Clients, Resolution Digital, Impressive</t>
  </si>
  <si>
    <t>Amplifir</t>
  </si>
  <si>
    <t>https://metapress.com/the-6-best-australian-agencies-for-navigating-the-ai-search-era/</t>
  </si>
  <si>
    <t>airconsulting.ai</t>
  </si>
  <si>
    <t>The 6 Best Australian Agencies for Navigating the AI Search Era</t>
  </si>
  <si>
    <t>godigitalalpha.com</t>
  </si>
  <si>
    <t>NP Digital Australia, Impressive, Megantic, Emote Digital, Soup Agency</t>
  </si>
  <si>
    <t>https://www.resolutiondigital.com.au/services/measurement/attribution/</t>
  </si>
  <si>
    <t>Clearwater Agency, Sparro, Rocket Agency, First Page Australia, Reload Media, Megaphone, First Page</t>
  </si>
  <si>
    <t>infraworx.com.au</t>
  </si>
  <si>
    <t>Infraworx</t>
  </si>
  <si>
    <t>onlinemarketinggurus.com.au</t>
  </si>
  <si>
    <t>Digital Attribution Model | Resolution Digital Australia</t>
  </si>
  <si>
    <t>https://team400.ai/ai-consulting-company</t>
  </si>
  <si>
    <t>Online Marketing Gurus, HERO, Measured, Omnicom Media Group</t>
  </si>
  <si>
    <t>oski.site</t>
  </si>
  <si>
    <t>PHD</t>
  </si>
  <si>
    <t>AI Consulting Company Australia | AI Consulting Firms | Team 400</t>
  </si>
  <si>
    <t>salesmate.io</t>
  </si>
  <si>
    <t>Team 400, Huge</t>
  </si>
  <si>
    <t>https://clickclickbangbang.com.au/google-display-advertising-companies/</t>
  </si>
  <si>
    <t>topseobrands.com</t>
  </si>
  <si>
    <t>Top google display advertising companies in Australia (2025)</t>
  </si>
  <si>
    <t>Intesols, Impressive</t>
  </si>
  <si>
    <t>elioplus.com</t>
  </si>
  <si>
    <t>Reload Media, WebSavvy, Sparro, Brainlabs, Megaphone, Impressive</t>
  </si>
  <si>
    <t>https://metriclabs.com.au/</t>
  </si>
  <si>
    <t>Impressive, King Kong, eMarket Experts</t>
  </si>
  <si>
    <t>greenbook.org</t>
  </si>
  <si>
    <t>A Data Analytics Agency | Metric Labs</t>
  </si>
  <si>
    <t>Accenture Song, Mindshare, PHD</t>
  </si>
  <si>
    <t>medium.com</t>
  </si>
  <si>
    <t>https://www.absolutelyai.com.au/aiagency#:~:text=AI%20Agency%20%7C%20Absolutely%20AI.%20AI%20Agency.,The%20team%20behind%20your%20favourite%20AI%20Agency.</t>
  </si>
  <si>
    <t>Momentum</t>
  </si>
  <si>
    <t>stellaheystella.com</t>
  </si>
  <si>
    <t>AI Agency | Absolutely AI</t>
  </si>
  <si>
    <t>Haus, Measured, PHD</t>
  </si>
  <si>
    <t>Absolutely AI, HERO</t>
  </si>
  <si>
    <t>https://clutch.co/au/agencies/ppc/advertising-industry</t>
  </si>
  <si>
    <t>topgeoagencies.com</t>
  </si>
  <si>
    <t>Top PPC Agencies for Ad Agencies in Australia - Jul 2026 Rankings | Clutch.co</t>
  </si>
  <si>
    <t>Soup Agency, Impressive, Alley Group, Rocket Agency, DNM Digital, Megaphone, Online Marketing Gurus, Omnicom Media Group</t>
  </si>
  <si>
    <t>First Page</t>
  </si>
  <si>
    <t>https://noirandblanco.com/best-digital-marketing-agencies-in-australia/</t>
  </si>
  <si>
    <t>tynmagazine.com</t>
  </si>
  <si>
    <t>11 Best Digital Marketing Agencies in Australia</t>
  </si>
  <si>
    <t>capterra.com.au</t>
  </si>
  <si>
    <t>Supple Digital, Alley Group, 80/20 Digital, Earned Media</t>
  </si>
  <si>
    <t>Measured</t>
  </si>
  <si>
    <t>https://tdsaustralia.com.au/best-brand-design-agency-australia/?srsltid=AfmBOoqgyBP8Mx3xalA9482IFmPBsWmB_7IcuOz2wt01IXzLQd8IhP8w</t>
  </si>
  <si>
    <t>edisonmoment.com</t>
  </si>
  <si>
    <t>Measured, HERO</t>
  </si>
  <si>
    <t>The 12 Best Brand Design Agencies in Australia (2025–2026)</t>
  </si>
  <si>
    <t>google.com.au</t>
  </si>
  <si>
    <t>Hulsbosch, WPP, Chello</t>
  </si>
  <si>
    <t>liftlab.com</t>
  </si>
  <si>
    <t>https://vanguardian.com.au/digital-marketing-agencies-australia/</t>
  </si>
  <si>
    <t>HERO, LiftLab</t>
  </si>
  <si>
    <t>20 Leading Digital Marketing Agencies In Australia For 2026</t>
  </si>
  <si>
    <t>itprofiles.com</t>
  </si>
  <si>
    <t>Momentum, GroupM, Bench Media, OMD, Clearwater Agency, Farsiight, Sparro, Digital Nomads HQ, Soup Agency, SIXGUN, Insil, Edge Marketing, eMarket Experts, Marketix Digital, DNM Digital, Reform Digital, AdVisible, Clemenger BBDO</t>
  </si>
  <si>
    <t>iabaustralia.com.au</t>
  </si>
  <si>
    <t>https://www.caribbeannationalweekly.com/posts/top-generative-engine-optimisation-geo-agencies-for-australian-brands</t>
  </si>
  <si>
    <t>Institutional</t>
  </si>
  <si>
    <t>Dentsu, PHD, Mutinex, Lifesight, WPP, Analytic Partners</t>
  </si>
  <si>
    <t>ami.org.au</t>
  </si>
  <si>
    <t>Top Generative Engine Optimisation Agencies for Brands</t>
  </si>
  <si>
    <t>We Are Social, Bonfire</t>
  </si>
  <si>
    <t>appsflyer.com</t>
  </si>
  <si>
    <t>NP Digital Australia, StudioHawk, Impressive, Prosperity Media, Rocket Agency, Reef Digital Agency, Webprofits, Farsiight, Alpha Digital</t>
  </si>
  <si>
    <t>https://edisonai.au/insights/top-ai-consulting-firms-australia#:~:text=Quick%20answer.%20Australia's%20best%20AI%20consulting%20firm,for%20secure%20Microsoft%20365%20and%20Copilot%20adoption.</t>
  </si>
  <si>
    <t>cleveraussie.com</t>
  </si>
  <si>
    <t>Top 7 AI Consulting Firms in Australia (2026) \| Edison AI</t>
  </si>
  <si>
    <t>Impressive, Momentum, Rocket Agency</t>
  </si>
  <si>
    <t>Edison AI, Deloitte, KPMG, Mantel Group, Momentum, Measured</t>
  </si>
  <si>
    <t>growthmanager.ai</t>
  </si>
  <si>
    <t>https://findcreatives.com.au/journal/top-creative-agencies-in-australia</t>
  </si>
  <si>
    <t>Top Creative Agencies in Australia | Find Creatives</t>
  </si>
  <si>
    <t>horntech.com.au</t>
  </si>
  <si>
    <t>https://www.sortlist.com/s/paid-media/sydney-au</t>
  </si>
  <si>
    <t>realmindsai.com.au</t>
  </si>
  <si>
    <t>The 10 Best Paid Media Agencies in Sydney - 2026 Reviews</t>
  </si>
  <si>
    <t>Impressive, Supple Digital, Measured, Earned Media, Clearwater Agency, SIXGUN, Ninja Promo, Momentum, Soup Agency, HERO, Digital Nomads HQ</t>
  </si>
  <si>
    <t>https://www.sortlist.com/s/performance-marketing/australia-au</t>
  </si>
  <si>
    <t>supermetrics.com</t>
  </si>
  <si>
    <t>The 10 Best Performance Marketing Agencies in Australia - 2026 Reviews</t>
  </si>
  <si>
    <t>Measured, Earned Media, Clearwater Agency, Impressive, Supple Digital, SIXGUN, Digital Nomads HQ, Soup Agency, HERO, Momentum, CUT THRU</t>
  </si>
  <si>
    <t>techbehemoths.com</t>
  </si>
  <si>
    <t>https://titanblue.com.au/best-seo-agency-australia/</t>
  </si>
  <si>
    <t>7 Of The Best SEO Agency Australia Picks For 2026</t>
  </si>
  <si>
    <t>SIXGUN, WebSavvy</t>
  </si>
  <si>
    <t>thedigitalelevator.com</t>
  </si>
  <si>
    <t>StudioHawk, Prosperity Media, Rocket Agency, Safari Digital, Online Marketing Gurus, Omnicom Media Group, Megantic</t>
  </si>
  <si>
    <t>https://conquerradigital.com.au/top-10-programmatic-ads-agencies-in-the-australia/</t>
  </si>
  <si>
    <t>Intero Digital</t>
  </si>
  <si>
    <t>thinkcreativeagency.com.au</t>
  </si>
  <si>
    <t>Top 10 Programmatic Ads Agencies In The Australia | Conquerra Digital</t>
  </si>
  <si>
    <t>upliftgtm.com</t>
  </si>
  <si>
    <t>Soup Agency, Bench Media, Rocket Agency, Megaphone, Resolution Digital, WebSavvy, Clearwater Agency, Momentum</t>
  </si>
  <si>
    <t>https://www.ogilvy.com.au/</t>
  </si>
  <si>
    <t>ven.com.au</t>
  </si>
  <si>
    <t>Ogilvy Australia</t>
  </si>
  <si>
    <t>loudface.co</t>
  </si>
  <si>
    <t>https://rocketagency.com.au/services/social-media-ads-agency</t>
  </si>
  <si>
    <t>Measured, Earned Media, First Page</t>
  </si>
  <si>
    <t>exaltgrowth.com</t>
  </si>
  <si>
    <t>Social Media Marketing Agency Australia: Ad Experts | Rocket</t>
  </si>
  <si>
    <t>Prosperity Media, Luminary, StudioHawk, Predicta Digital, Earned Media, Impressive, First Page, Soup Agency, Marketix Digital, PK SEO</t>
  </si>
  <si>
    <t>soupagency.com.au</t>
  </si>
  <si>
    <t>Rocket Agency, HERO</t>
  </si>
  <si>
    <t>https://saltandfuessel.com.au/aeo-geo-services-melbourne#:~:text=Generative%20Engine%20Optimisation%20that%20drives%20next%2Dgen%20visibility.,one%20AI%20tools%20trust%2C%20reference%2C%20and%20cite.</t>
  </si>
  <si>
    <t>Momentum, Soup Agency, Measured, Dentsu, PHD, WPP, Mindshare, Publicis Groupe, VML</t>
  </si>
  <si>
    <t>digitalmindsgroup.com.au</t>
  </si>
  <si>
    <t>GEO Agency Australia - Salt &amp;amp; Fuessel</t>
  </si>
  <si>
    <t>onpoint.com.au</t>
  </si>
  <si>
    <t>https://www.airanklab.com/blog/best-ai-seo-agencies-australia</t>
  </si>
  <si>
    <t>aeoagencyservices.com</t>
  </si>
  <si>
    <t>7 Best AI SEO Agencies in Australia 2026: Ranked | AI Rank Lab - Free SEO, AEO &amp;amp; GEO Analyzer</t>
  </si>
  <si>
    <t>Impressive, Prosperity Media, Momentum, Online Marketing Gurus, Digital Nomads HQ, StudioHawk, First Page Australia, Safari Digital, Supple Digital, Earned Media, Omnicom Media Group, First Page</t>
  </si>
  <si>
    <t>https://clutch.co/au/agencies/social-media-marketing/facebook</t>
  </si>
  <si>
    <t>aimldigital.com.au</t>
  </si>
  <si>
    <t>Top Facebook Advertising Agencies in Australia - Jul 2026 Rankings | Clutch.co</t>
  </si>
  <si>
    <t>Digital Nomads HQ, SIXGUN, Intesols, Impressive, Farsiight, Soup Agency, Emote Digital, Human Digital, Salt &amp; Fuessel, EvenDigit, Rocket Agency, Clearwater Agency, DNM Digital, Edge Marketing, Megaphone, Online Marketing Gurus, Omnicom Media Group, Paradox Marketing, Bench Media, Insil</t>
  </si>
  <si>
    <t>applabx.com</t>
  </si>
  <si>
    <t>https://www.cometly.com/post/marketing-incrementality-testing-tools</t>
  </si>
  <si>
    <t>Online Marketing Gurus, Digital Nomads HQ, Measured, HERO, Emote Digital, StudioHawk, Intesols, Supple Digital, Omnicom Media Group, First Page</t>
  </si>
  <si>
    <t>9 Best Marketing Incrementality Testing Tools 2026</t>
  </si>
  <si>
    <t>builtin.com</t>
  </si>
  <si>
    <t>Clearwater Agency, Online Marketing Gurus, Rocket Agency, Soup Agency, Emote Digital, StudioHawk, AdVisible, Human Digital, Megaphone, Omnicom Media Group</t>
  </si>
  <si>
    <t>deducive.com</t>
  </si>
  <si>
    <t>Measured, Lifesight, Haus</t>
  </si>
  <si>
    <t>https://mystrika.com/directory/agencies/top/data-analytics-in-country-australia</t>
  </si>
  <si>
    <t>Top Rated Data Analytics Agencies in Australia - Directory - Mystrika | Stop Cold Emailing. Start Conversations</t>
  </si>
  <si>
    <t>hyperdot.com.au</t>
  </si>
  <si>
    <t>Digital Nomads HQ, DNM Digital, Edge Marketing, Soup Agency, Supple Digital, 80/20 Digital, Bench Media, Bonfire, Measured, Clearwater Agency, Earned Media, Click Click Media, First Page, First Page Australia, Human Digital, Impressive, Megaphone, Online Marketing Gurus, Omnicom Media Group, Salt &amp; Fuessel, Luminary, Megantic, Rocket Agency, Webprofits</t>
  </si>
  <si>
    <t>https://newsfromperth.com/business/our-top-7-ai-geo-generative-engine-optimisation-agencies-in-australia/</t>
  </si>
  <si>
    <t>magnetoitsolutions.com</t>
  </si>
  <si>
    <t>Our Top 7 AI GEO (Generative Engine Optimisation) Agencies in Australia – News from Perth</t>
  </si>
  <si>
    <t>marketingsystems.com.au</t>
  </si>
  <si>
    <t>https://www.sortlist.com/s/creative/australia-au</t>
  </si>
  <si>
    <t>somo.agency</t>
  </si>
  <si>
    <t>The 10 Best Creative Agencies in Australia - 2026 Reviews</t>
  </si>
  <si>
    <t>vocal.media</t>
  </si>
  <si>
    <t>Reload Media, Megaphone</t>
  </si>
  <si>
    <t>wearesocial.com</t>
  </si>
  <si>
    <t>Momentum, Impressive, Ninja Promo</t>
  </si>
  <si>
    <t>https://www.sortlist.com/s/performance-marketing/melbourne-au</t>
  </si>
  <si>
    <t>We Are Social</t>
  </si>
  <si>
    <t>The 10 Best Performance Marketing Agencies in Melbourne - 2026 Reviews</t>
  </si>
  <si>
    <t>advancer.com.au</t>
  </si>
  <si>
    <t>Measured, Earned Media, Clearwater Agency, SIXGUN, Impressive, Supple Digital, Momentum, Adcore Elite, 80/20 Digital, Deloitte</t>
  </si>
  <si>
    <t>https://support.google.com/tagmanager/answer/7237700?hl=en-au</t>
  </si>
  <si>
    <t>Measured, Reload Media</t>
  </si>
  <si>
    <t>smartinc.com</t>
  </si>
  <si>
    <t>Google Marketing Platform Partners - Tag Manager Help</t>
  </si>
  <si>
    <t>Momentum, HERO</t>
  </si>
  <si>
    <t>teamlewis.com</t>
  </si>
  <si>
    <t>https://agencies.semrush.com/list/ai-optimization/australia/small-business/</t>
  </si>
  <si>
    <t>Best AI Search Optimization Agencies for Small Business in Australia 2026 | Semrush</t>
  </si>
  <si>
    <t>hashtag.net.au</t>
  </si>
  <si>
    <t>DNM Digital, First Page, Clearwater Agency, Measured, Earned Media, Online Marketing Gurus, Omnicom Media Group, Huge</t>
  </si>
  <si>
    <t>https://impressive.com.au/performance-marketing-agency-sydney/</t>
  </si>
  <si>
    <t>Impressive, Clearwater Agency, Prosperity Media, Soup Agency, Emote Digital, NP Digital Australia, King Kong, Safari Digital, Measured</t>
  </si>
  <si>
    <t>Marketing Agency Sydney | Award-Winning Digital Marketing Agency</t>
  </si>
  <si>
    <t>agrtech.com.au</t>
  </si>
  <si>
    <t>Impressive, First Page, Deloitte</t>
  </si>
  <si>
    <t>https://programminginsider.com/the-10-best-agencies-for-seo-and-geo-visibility-in-australia/</t>
  </si>
  <si>
    <t>Intero Digital, Earned Media, First Page</t>
  </si>
  <si>
    <t>The 10 Best Agencies for SEO and GEO Visibility in Australia - Programming Insider</t>
  </si>
  <si>
    <t>architecturaldigest.com</t>
  </si>
  <si>
    <t>NP Digital Australia, Zib Digital, Safari Digital, Megantic, 80/20 Digital, Click Click Media, Digital Nomads HQ</t>
  </si>
  <si>
    <t>https://www.sortlist.com/s/marketing-analytics/australia-au</t>
  </si>
  <si>
    <t>bluesensedigital.com.au</t>
  </si>
  <si>
    <t>The 10 Best Marketing Analytics Companies in Australia - 2026 Reviews</t>
  </si>
  <si>
    <t>Measured, Blue Sense Digital</t>
  </si>
  <si>
    <t>Digital Nomads HQ, Momentum, Soup Agency, HERO, SIXGUN, Impressive, Intelligent Resourcing, Ninja Promo</t>
  </si>
  <si>
    <t>mediaweek.com.au</t>
  </si>
  <si>
    <t>https://www.designrush.com/agency/ad-agencies/au</t>
  </si>
  <si>
    <t>Top Australia Advertising Agencies | 2026</t>
  </si>
  <si>
    <t>OMD, TRKKN, Omnicom Media Group, Bench Media, Measured, Leo Australia, Earned Media, VML, Momentum, WPP, Mindshare, EssenceMediacom, Wavemaker, HERO, Clemenger BBDO, BMF</t>
  </si>
  <si>
    <t>Growth Digital, Soup Agency</t>
  </si>
  <si>
    <t>mightyhive.com</t>
  </si>
  <si>
    <t>https://digitalsurfer.com.au/ai-seo#:~:text=We've%20spent%2010%2B%20years%20building%20the%20technical,and%20a%20future%2Dfacing%20strategy%20in%20one%20campaign.</t>
  </si>
  <si>
    <t>AI SEO Agency Services Australia \| Digital Surfer</t>
  </si>
  <si>
    <t>position.digital</t>
  </si>
  <si>
    <t>Huge, Earned Media, First Page</t>
  </si>
  <si>
    <t>promoguy.nl</t>
  </si>
  <si>
    <t>https://mentionfirst.ai/best-ai-seo-agencies-in-australia-the-2026-rankings/</t>
  </si>
  <si>
    <t>Haus, Measured, Lifesight, LiftLab, Workmagic</t>
  </si>
  <si>
    <t>source-digital.com.au</t>
  </si>
  <si>
    <t>Best AI SEO Agencies in Australia: The 2026 Rankings - Mention First AI</t>
  </si>
  <si>
    <t>Online Marketing Gurus, Omnicom Media Group, Digital Nomads HQ, Supple Digital, Emote Digital</t>
  </si>
  <si>
    <t>submerge.digital</t>
  </si>
  <si>
    <t>https://roi.com.au/our-expertise/</t>
  </si>
  <si>
    <t>Impressive, Measured</t>
  </si>
  <si>
    <t>trpagency.com.au</t>
  </si>
  <si>
    <t>Our Expertise | AI Marketing Agency Australia | roi.com.au</t>
  </si>
  <si>
    <t>Deloitte, ROI Growth Agency</t>
  </si>
  <si>
    <t>https://www.smartosc.com/top-10-ai-consulting-firms-in-australia/</t>
  </si>
  <si>
    <t>50pros.com</t>
  </si>
  <si>
    <t>Top 10 AI Consulting Firms in Australia for Enterprise Transformation - SmartOSC</t>
  </si>
  <si>
    <t>SmartOSC, Deloitte, KPMG</t>
  </si>
  <si>
    <t>admatic.com</t>
  </si>
  <si>
    <t>https://www.softwaresuggest.com/services/marketing-analytics-companies/australia</t>
  </si>
  <si>
    <t>bmf.com.au</t>
  </si>
  <si>
    <t>Top Marketing analytics Companies in Australia for 2025</t>
  </si>
  <si>
    <t>BMF</t>
  </si>
  <si>
    <t>clearwateragency.com.au</t>
  </si>
  <si>
    <t>https://superbcompanies.com/categories/creative-agencies-in-australia/</t>
  </si>
  <si>
    <t>Clearwater Agency</t>
  </si>
  <si>
    <t>Top 100 Creative Agencies in Australia - Jul 2026 | Ranking | SuperbCompanies</t>
  </si>
  <si>
    <t>dnmdigital.com.au</t>
  </si>
  <si>
    <t>DNM Digital</t>
  </si>
  <si>
    <t>Emote Digital, Luminary, Impressive</t>
  </si>
  <si>
    <t>pivotus.com.au</t>
  </si>
  <si>
    <t>https://www.thehero.co/news/leading-advertising-agencies-in-australia-2026-creative-benchmark</t>
  </si>
  <si>
    <t>Leading Advertising Agencies in Australia 2026: The Creative Benchmark</t>
  </si>
  <si>
    <t>aivy.com.au</t>
  </si>
  <si>
    <t>HERO, VML</t>
  </si>
  <si>
    <t>https://www.wmtips.com/technologies/marketing-attribution/country/au/</t>
  </si>
  <si>
    <t>bconic.com</t>
  </si>
  <si>
    <t>Bot check</t>
  </si>
  <si>
    <t>bluemoonmarketing.com.au</t>
  </si>
  <si>
    <t>https://agencies.semrush.com/list/machine-learning-and-ai/australia/</t>
  </si>
  <si>
    <t>Best Machine Learning and AI Services in Australia 2026 | Semrush</t>
  </si>
  <si>
    <t>clicksgeek.com</t>
  </si>
  <si>
    <t>Soup Agency, First Page, Clearwater Agency, Measured, Earned Media, Impressive, Online Marketing Gurus, Omnicom Media Group, 80/20 Digital</t>
  </si>
  <si>
    <t>https://mediaplusdigital.co/au/top-digital-media-agencies-in-australia/</t>
  </si>
  <si>
    <t>directiveconsulting.com</t>
  </si>
  <si>
    <t>Top 10 Digital Media Agencies in Australia (2026): Compared by Specialisation - MPD Australia</t>
  </si>
  <si>
    <t>Intero Digital, Deloitte, Earned Media, First Page</t>
  </si>
  <si>
    <t>OMD, EssenceMediacom, WPP, Wavemaker, Sparro, Brainlabs, Impressive, King Kong, Rocket Agency, Megaphone, Clearwater Agency, Luminary, Measured, Momentum</t>
  </si>
  <si>
    <t>epicit.com.au</t>
  </si>
  <si>
    <t>https://omnieclipse.ai/au/blog/best-aeo-agencies-australia-2026</t>
  </si>
  <si>
    <t>fusepointinsights.com</t>
  </si>
  <si>
    <t>Best AEO Agencies in Australia for 2026 | Omni Eclipse</t>
  </si>
  <si>
    <t>Omni Eclipse, Talons Marketing, Luminary, Intesols, Brainlabs, Bushnote</t>
  </si>
  <si>
    <t>Power Digital, Measured, Momentum</t>
  </si>
  <si>
    <t>https://www.reddit.com/r/Superframeworks/comments/1twfxf1/10_best_ai_seo_geoaeo_agencies_for_2026_no/</t>
  </si>
  <si>
    <t>generativeengineoptimisation.com.au</t>
  </si>
  <si>
    <t>10 Best AI SEO (GEO/AEO) Agencies for 2026: No Self-Ranking, Verified by Clutch Reviews and Real AI-Citation Proof</t>
  </si>
  <si>
    <t>Huge, First Page</t>
  </si>
  <si>
    <t>https://www.bushnote.com/articles/best-10-aeo-agencies-in-australia-to-promote-b2c-companies-in-2026</t>
  </si>
  <si>
    <t>govanator.com</t>
  </si>
  <si>
    <t>Best 10 AEO Agencies in Australia for B2C Brands (2026)</t>
  </si>
  <si>
    <t>Clearwater Agency, Online Marketing Gurus, Digital Nomads HQ, Rocket Agency, Impressive, Webprofits, Reload Media, Supple Digital, Alpha Digital, eMarket Experts, SearchMax, Megaphone, Zib Digital</t>
  </si>
  <si>
    <t>Bushnote, Online Marketing Gurus, Omnicom Media Group, Prosperity Media, Rocket Agency, StudioHawk, Marketix Digital</t>
  </si>
  <si>
    <t>gtm8020.com</t>
  </si>
  <si>
    <t>https://clutch.co/au/agencies/ppc/google-adwords</t>
  </si>
  <si>
    <t>Top Google Ads PPC Agencies in Australia - Jul 2026 Rankings \| Clutch.co</t>
  </si>
  <si>
    <t>influencermarketinghub.com</t>
  </si>
  <si>
    <t>Digital Nomads HQ, SIXGUN, Human Digital, Farsiight, Intesols, MyWork, Soup Agency, 80/20 Digital, Impressive, Salt &amp; Fuessel, Emote Digital, Supple Digital, EvenDigit, Rocket Agency, Clearwater Agency, DNM Digital, Megaphone, Momentum</t>
  </si>
  <si>
    <t>https://www.digitalreference.co/design-professionals/best-creative-agencies-in-australia</t>
  </si>
  <si>
    <t>Farsiight, Sparro, Emote Digital, Megaphone, Clearwater Agency, Insil, Reef Digital Agency, Edge Marketing, AdVisible</t>
  </si>
  <si>
    <t>marketingeye.com.au</t>
  </si>
  <si>
    <t>Best Creative Agencies &amp;amp; Creative Firms in Australia</t>
  </si>
  <si>
    <t>myohomarketing.com.au</t>
  </si>
  <si>
    <t>https://www.ethinos.com.au/</t>
  </si>
  <si>
    <t>Ethinos | Australia's GEO Agency | Generative Engine Optimisation</t>
  </si>
  <si>
    <t>rokitupmedia.com.au</t>
  </si>
  <si>
    <t>Rocket Agency, Emote Digital, King Kong, Zib Digital</t>
  </si>
  <si>
    <t>https://hikemytraffic.com/ai-digital-marketing-services-in-australia/</t>
  </si>
  <si>
    <t>silverbackstrategies.com</t>
  </si>
  <si>
    <t>12 Best AI-Powered Digital Marketing Services in Australia (2026)</t>
  </si>
  <si>
    <t>virtualadagency.com.au</t>
  </si>
  <si>
    <t>OMD, Rocket Agency, Digital Movement, First Page, Emote Digital</t>
  </si>
  <si>
    <t>https://noice.net.au/services/ai-strategy-consulting/</t>
  </si>
  <si>
    <t>AI Consulting &amp;amp; Strategy in Australia | Noice</t>
  </si>
  <si>
    <t>Impressive, Online Marketing Gurus, Brainlabs, Sparro, Rocket Agency, King Kong, Reload Media, Omnicom Media Group</t>
  </si>
  <si>
    <t>revium.com.au</t>
  </si>
  <si>
    <t>https://partnersdirectory.withgoogle.com/</t>
  </si>
  <si>
    <t>campaignbrief.com</t>
  </si>
  <si>
    <t>Google Partners Directory - Find a Partner for Business Growth</t>
  </si>
  <si>
    <t>BMF, The Monkeys, Clemenger BBDO, Luminary, Momentum, Huge, Dentsu, HERO, Howatson+Company, Click Click Media, Jaywing, Thinkerbell, Saatchi &amp; Saatchi, EssenceMediacom, OMD, PHD, VML, Bear Meets Eagle On Fire, Mindshare, In Marketing We Trust, Accenture Song</t>
  </si>
  <si>
    <t>unifida.com.au</t>
  </si>
  <si>
    <t>HERO, Acadia</t>
  </si>
  <si>
    <t>https://prosperitymedia.com.au/generative-ai-seo-services/</t>
  </si>
  <si>
    <t>andmine.com.au</t>
  </si>
  <si>
    <t>Generative AI SEO Services - GEO Agency Australia</t>
  </si>
  <si>
    <t>Prosperity Media, HERO</t>
  </si>
  <si>
    <t>bimodal.io</t>
  </si>
  <si>
    <t>https://www.protiviti.com/au-en/artificial-intelligence-services</t>
  </si>
  <si>
    <t>Artificial Intelligence (AI) Consulting | Protiviti Australia</t>
  </si>
  <si>
    <t>homerdigitalmarketing.com</t>
  </si>
  <si>
    <t>Clearwater Agency, Online Marketing Gurus, Brainlabs, Sparro, Impressive, Rocket Agency, Metric Labs, Alpha Digital, Click Click Media, Megaphone, WebSavvy, Omnicom Media Group, Bonfire, Reload Media, King Kong</t>
  </si>
  <si>
    <t>latentview.com</t>
  </si>
  <si>
    <t>https://www.redpandas.com.au/blog/best-paid-media-agencies-in-australia-an-unbiased-review/</t>
  </si>
  <si>
    <t>mantelgroup.com.au</t>
  </si>
  <si>
    <t>Best Paid Media Agencies in Australia: An Unbiased Review&amp;nbsp; | RedPandas Digital</t>
  </si>
  <si>
    <t>Mantel Group</t>
  </si>
  <si>
    <t>marketixdigital.com.au</t>
  </si>
  <si>
    <t>https://www.resolutiondigital.com.au/services/measurement/reporting/</t>
  </si>
  <si>
    <t>Marketix Digital</t>
  </si>
  <si>
    <t>multimediax.com.au</t>
  </si>
  <si>
    <t>Marketing Reporting &amp;amp; Dashboards | Resolution Digital Australia</t>
  </si>
  <si>
    <t>nuundigital.com</t>
  </si>
  <si>
    <t>https://skyscale.com.au/blogs/best-aeo-agencies-melbourne-2025</t>
  </si>
  <si>
    <t>one-x.au</t>
  </si>
  <si>
    <t>Best AEO Agencies in Melbourne: How to Choose the Right Partner</t>
  </si>
  <si>
    <t>https://studiohawk.com.au/seo-services/ai-seo/</t>
  </si>
  <si>
    <t>onelittleweb.com</t>
  </si>
  <si>
    <t>AI SEO Agency Services | AI Search Experts</t>
  </si>
  <si>
    <t>Supple Digital</t>
  </si>
  <si>
    <t>pinemarsh.com</t>
  </si>
  <si>
    <t>StudioHawk</t>
  </si>
  <si>
    <t>https://themanifest.com/au/creative/agencies</t>
  </si>
  <si>
    <t>simplyai.com.au</t>
  </si>
  <si>
    <t>The Best Creative Companies in Australia - Jul 2026 | The Manifest</t>
  </si>
  <si>
    <t>synap.au</t>
  </si>
  <si>
    <t>hubspot.com</t>
  </si>
  <si>
    <t>Chello, Human Digital</t>
  </si>
  <si>
    <t>https://www.10seos.com/au/display-advertising-companies-in-australia?page=4</t>
  </si>
  <si>
    <t>deptagency.com</t>
  </si>
  <si>
    <t>Top 10 Display Advertising Companies For Best Services-Australia | July 2026</t>
  </si>
  <si>
    <t>intesols.com.au</t>
  </si>
  <si>
    <t>Intesols</t>
  </si>
  <si>
    <t>aipivot.com.au</t>
  </si>
  <si>
    <t>https://www.adbeacon.com/19-best-marketing-attribution-software-solutions-in-2026/</t>
  </si>
  <si>
    <t>Deloitte</t>
  </si>
  <si>
    <t>19 Best Marketing Attribution Software Solutions in 2026 | AdBeacon</t>
  </si>
  <si>
    <t>elephantroom.com.au</t>
  </si>
  <si>
    <t>https://www.adbeacon.com/7-best-marketing-attribution-tools-compared-2026/</t>
  </si>
  <si>
    <t>launcherlab.com.au</t>
  </si>
  <si>
    <t>7 Best Marketing Attribution Tools Compared (2026) | AdBeacon</t>
  </si>
  <si>
    <t>adcountable.com</t>
  </si>
  <si>
    <t>https://agencyvista.com/lists/google-marketing-platform-sales-partners/page/2/</t>
  </si>
  <si>
    <t>corporatedesignsolutions.com.au</t>
  </si>
  <si>
    <t>Google Marketing Platform Sales Partners. May 2025 Reviews. | Agency Vista</t>
  </si>
  <si>
    <t>eightclients.com.au</t>
  </si>
  <si>
    <t>GroupM, OMD, Dentsu, Deloitte Digital, Deloitte</t>
  </si>
  <si>
    <t>https://www.airconsulting.ai/</t>
  </si>
  <si>
    <t>Eight Clients</t>
  </si>
  <si>
    <t>fabulate.com.au</t>
  </si>
  <si>
    <t>gartner.com</t>
  </si>
  <si>
    <t>Unknown</t>
  </si>
  <si>
    <t>Haus, Measured, Lifesight, Workmagic</t>
  </si>
  <si>
    <t>https://amplifir.com.au/services/data-advanced-analytics/attribution-modelling/</t>
  </si>
  <si>
    <t>getapexanalytics.com</t>
  </si>
  <si>
    <t>Attribution Modelling Services | Marketing Attribution Agency | Amplifir</t>
  </si>
  <si>
    <t>getrecast.com</t>
  </si>
  <si>
    <t>hustlemarketers.com</t>
  </si>
  <si>
    <t>https://www.bushnote.com/articles/top-ai-marketing-agencies-australia-2025-f19a3</t>
  </si>
  <si>
    <t>Clearwater Agency, Online Marketing Gurus, Farsiight, Digital Nomads HQ, Rocket Agency, Alpha Digital, Megaphone, Omnicom Media Group</t>
  </si>
  <si>
    <t>Top AI Marketing Agencies Australia 2025</t>
  </si>
  <si>
    <t>icreativez.com</t>
  </si>
  <si>
    <t>Bushnote, Deloitte Digital, Deloitte, Accenture Song</t>
  </si>
  <si>
    <t>https://clutch.co/au/consulting/ai/strategy</t>
  </si>
  <si>
    <t>SearchMax, First Page</t>
  </si>
  <si>
    <t>Top AI Strategy Companies in Australia - Jul 2026 Rankings \| Clutch.co</t>
  </si>
  <si>
    <t>pa.com.au</t>
  </si>
  <si>
    <t>In Marketing We Trust, Impressive, Team 400</t>
  </si>
  <si>
    <t>https://www.cometly.com/post/marketing-attribution-consultant-services</t>
  </si>
  <si>
    <t>pixelhatch.com.au</t>
  </si>
  <si>
    <t>Best Marketing Attribution Consultant Services 2026</t>
  </si>
  <si>
    <t>pmgs.com.au</t>
  </si>
  <si>
    <t>https://www.cometly.com/post/marketing-attribution-platform-for-agencies</t>
  </si>
  <si>
    <t>HERO, First Page, Impressive</t>
  </si>
  <si>
    <t>rightsideup.com</t>
  </si>
  <si>
    <t>Best Marketing Attribution Platform For Agencies 2026</t>
  </si>
  <si>
    <t>https://digitalagencynetwork.com/agencies/australia/online-advertising/</t>
  </si>
  <si>
    <t>rubix.com.au</t>
  </si>
  <si>
    <t>Best Online Advertising Agencies in Australia</t>
  </si>
  <si>
    <t>Emote Digital, 80/20 Digital, Clearwater Agency, Jaywing, Impressive, In Marketing We Trust, Digital Nomads HQ, Human Digital, Online Marketing Gurus, Zib Digital</t>
  </si>
  <si>
    <t>shoutdigital.com.au</t>
  </si>
  <si>
    <t>https://digitalagencynetwork.com/agencies/melbourne/ai-marketing/</t>
  </si>
  <si>
    <t>Impressive, Salt &amp; Fuessel, UR Digital, Gorilla 360</t>
  </si>
  <si>
    <t>syntermedia.ai</t>
  </si>
  <si>
    <t>Top AI Marketing Agencies in Melbourne (2026)</t>
  </si>
  <si>
    <t>Emote Digital, Luminary, Soup Agency</t>
  </si>
  <si>
    <t>digitxl.com.au</t>
  </si>
  <si>
    <t>Digitxl, First Page, Momentum, HERO</t>
  </si>
  <si>
    <t>airstack.ai</t>
  </si>
  <si>
    <t>https://digitaldigest.au/best-digital-marketing-agencies/</t>
  </si>
  <si>
    <t>bluerock.com.au</t>
  </si>
  <si>
    <t>arxiv.org</t>
  </si>
  <si>
    <t>AdVisible, Digital Nomads HQ, Impressive, Sparro, Brainlabs, Online Marketing Gurus, Megaphone, King Kong, StudioHawk, Rocket Agency, Clearwater Agency, Emote Digital, Human Digital</t>
  </si>
  <si>
    <t>Earned Media</t>
  </si>
  <si>
    <t>https://godigitalalpha.com/best-performance-marketing-services-in-australia-2025/</t>
  </si>
  <si>
    <t>australian.digital</t>
  </si>
  <si>
    <t>blurn.com</t>
  </si>
  <si>
    <t>Best Performance Marketing Services in Australia | Go Digital Alpha</t>
  </si>
  <si>
    <t>capedigital.com.au</t>
  </si>
  <si>
    <t>Impressive, Rocket Agency, King Kong, Digital Movement</t>
  </si>
  <si>
    <t>Reload Media, Megaphone, First Page, First Page Australia, Rocket Agency, Clearwater Agency, Sparro</t>
  </si>
  <si>
    <t>crescendoagency.ai</t>
  </si>
  <si>
    <t>https://www.hockeystack.com/blog-posts/best-marketing-attribution-software</t>
  </si>
  <si>
    <t>digitalchoice.com.au</t>
  </si>
  <si>
    <t>19 Best Marketing Attribution Software Solutions Reviewed for 2026</t>
  </si>
  <si>
    <t>frankdigital.agency</t>
  </si>
  <si>
    <t>Rocket Agency, SearchMax</t>
  </si>
  <si>
    <t>haus.io</t>
  </si>
  <si>
    <t>https://oski.site/blog/ai-consulting-companies-australia/</t>
  </si>
  <si>
    <t>PHD, Haus</t>
  </si>
  <si>
    <t>integralmind.au</t>
  </si>
  <si>
    <t>Top AI Consulting Companies in Australia 2026</t>
  </si>
  <si>
    <t>https://www.rankingco.com.au/2024-premier-google-partner</t>
  </si>
  <si>
    <t>juicebox.com.au</t>
  </si>
  <si>
    <t>liondigital.com.au</t>
  </si>
  <si>
    <t>marketingmonk.so</t>
  </si>
  <si>
    <t>https://www.resolutiondigital.com.au/services/cro/ab-testing/</t>
  </si>
  <si>
    <t>metaflow.life</t>
  </si>
  <si>
    <t>Mindshare, First Page</t>
  </si>
  <si>
    <t>omegaadvertising.com.au</t>
  </si>
  <si>
    <t>A/B/n and Multivariate Testing | CRO | Resolution Digital Australia</t>
  </si>
  <si>
    <t>Resolution Digital, PHD, Omnicom Media Group</t>
  </si>
  <si>
    <t>https://www.resolutiondigital.com.au/services/measurement/marketing-mix-modelling/</t>
  </si>
  <si>
    <t>onetoo.com.au</t>
  </si>
  <si>
    <t>ruleranalytics.com</t>
  </si>
  <si>
    <t>Leading Marketing Mix Modelling (MMM) Agency | Resolution Digital Australia</t>
  </si>
  <si>
    <t>Resolution Digital, Measured, Omnicom Media Group</t>
  </si>
  <si>
    <t>https://roi.com.au/</t>
  </si>
  <si>
    <t>searchmax.com.au</t>
  </si>
  <si>
    <t>ROI Growth Agency - Superhuman AI Marketing | AI Marketing Agency Australia | roi.com.au</t>
  </si>
  <si>
    <t>SearchMax</t>
  </si>
  <si>
    <t>ROI Growth Agency, Deloitte</t>
  </si>
  <si>
    <t>techguide.com.au</t>
  </si>
  <si>
    <t>https://www.salesmate.io/blog/marketing-attribution-software/</t>
  </si>
  <si>
    <t>Prosperity Media, Online Marketing Gurus, Farsiight, SIXGUN, Alpha Digital, NP Digital Australia, Reef Digital Agency, Zib Digital</t>
  </si>
  <si>
    <t>11 Best Marketing Attribution Software (2026 Guide)</t>
  </si>
  <si>
    <t>townsquare.agency</t>
  </si>
  <si>
    <t>vulbmedia.com</t>
  </si>
  <si>
    <t>https://sellforte.com/blog/best-incrementality-testing-tools</t>
  </si>
  <si>
    <t>firstpage.com.au</t>
  </si>
  <si>
    <t>Momentum, First Page Australia, Measured, First Page, Huge</t>
  </si>
  <si>
    <t>Best Incrementality Testing Tools in 2026: In-depth Vendor Comparison</t>
  </si>
  <si>
    <t>dejanmarketing.com</t>
  </si>
  <si>
    <t>Huge, PHD</t>
  </si>
  <si>
    <t>Measured, Haus</t>
  </si>
  <si>
    <t>appfillip.com</t>
  </si>
  <si>
    <t>https://www.sortlist.com/media-planning/australia-au</t>
  </si>
  <si>
    <t>digitalon.ai</t>
  </si>
  <si>
    <t>The 10 Best Media Agencies in Australia - 2026 Reviews</t>
  </si>
  <si>
    <t>Impressive, CUT THRU, Momentum, Earned Media, SIXGUN</t>
  </si>
  <si>
    <t>https://www.sortlist.com/s/paid-media/australian-capital-territory-act-au</t>
  </si>
  <si>
    <t>zipdo.co</t>
  </si>
  <si>
    <t>Publicis Groupe, WPP, Deloitte, Publicis Media</t>
  </si>
  <si>
    <t>acam.ai</t>
  </si>
  <si>
    <t>The 10 Best Paid Media Agencies in Australian Capital Territory - 2026 Reviews</t>
  </si>
  <si>
    <t>Measured, Earned Media, Clearwater Agency, SIXGUN, Impressive, Supple Digital, Ninja Promo, Momentum, Digital Nomads HQ, Soup Agency, HERO, 23 Digital</t>
  </si>
  <si>
    <t>aioptimisation.com.au</t>
  </si>
  <si>
    <t>https://team400.ai/blog/2026-04-top-ai-consultants-australia</t>
  </si>
  <si>
    <t>Top AI Consultants in Australia (2026) | Team 400 Blog</t>
  </si>
  <si>
    <t>Team 400, KPMG, Deloitte</t>
  </si>
  <si>
    <t>amplitude.com</t>
  </si>
  <si>
    <t>https://www.techradar.com/pro/aeo-vs-seo-whats-the-difference-and-do-you-need-both</t>
  </si>
  <si>
    <t>apacsearchawards.com</t>
  </si>
  <si>
    <t>AEO vs SEO: What's the difference &amp;amp; do you need both? | TechRadar</t>
  </si>
  <si>
    <t>Clearwater Agency, Impressive, Prosperity Media, Rocket Agency, SIXGUN, StudioHawk, AdVisible, Adcore Elite, Jaywing, Megantic</t>
  </si>
  <si>
    <t>bestadsontv.com</t>
  </si>
  <si>
    <t>https://www.thehero.co/news/top-10-best-advertising-agencies-leading-australia-2025-sydney-melbourne-brisbane</t>
  </si>
  <si>
    <t>builtinmelbourne.com</t>
  </si>
  <si>
    <t>HERO Tops Best Creative Advertising Agencies In Australia (2025) for Sydney, Melbourne and Brisbane</t>
  </si>
  <si>
    <t>Dentsu, Emote Digital, Salt &amp; Fuessel, Ogilvy Australia, King Kong, Megaphone</t>
  </si>
  <si>
    <t>builtinsydney.au</t>
  </si>
  <si>
    <t>https://www.topseobrands.com/au/best-display-advertising-firms-in-australia</t>
  </si>
  <si>
    <t>Soup Agency, Webprofits, AdVisible, Human Digital, Rocket Agency, Bench Media</t>
  </si>
  <si>
    <t>businessinfopro.com</t>
  </si>
  <si>
    <t>Best Display Advertising Firms in Australia | Top SEO Brands</t>
  </si>
  <si>
    <t>businessinsider.com</t>
  </si>
  <si>
    <t>https://agencies.semrush.com/list/display-advertising/sydney/</t>
  </si>
  <si>
    <t>Measured, KPMG, Deloitte</t>
  </si>
  <si>
    <t>clickedon.co</t>
  </si>
  <si>
    <t>Best Display Ads Agencies in Sydney 2026 | Semrush</t>
  </si>
  <si>
    <t>Soup Agency, Online Marketing Gurus, Omnicom Media Group, Click Click Media, Bench Media, Rocket Agency, First Page, Clearwater Agency, Measured, Earned Media, Impressive</t>
  </si>
  <si>
    <t>dilate.com.au</t>
  </si>
  <si>
    <t>https://agencies.semrush.com/list/programmatic-advertising/australia/</t>
  </si>
  <si>
    <t>Momentum, Huge</t>
  </si>
  <si>
    <t>idhlagency.com</t>
  </si>
  <si>
    <t>Best Programmatic Advertising Agencies in Australia 2026 | Semrush</t>
  </si>
  <si>
    <t>IDHL</t>
  </si>
  <si>
    <t>DNM Digital, Soup Agency, First Page, Impressive, Online Marketing Gurus, Omnicom Media Group, Click Click Media, Bench Media, 80/20 Digital, Salt &amp; Fuessel, Bonfire, Rocket Agency</t>
  </si>
  <si>
    <t>intelliagent.com.au</t>
  </si>
  <si>
    <t>https://alleygroup.com.au/acquisition/ppc-agency/google-partner/</t>
  </si>
  <si>
    <t>Google Premier Partner Agency - Alley Group</t>
  </si>
  <si>
    <t>itcc.co</t>
  </si>
  <si>
    <t>leadsrx.com</t>
  </si>
  <si>
    <t>Alley Group, Impressive</t>
  </si>
  <si>
    <t>https://auratechinsights.medium.com/top-10-ai-development-and-consulting-companies-in-australia-7093eee60fbe</t>
  </si>
  <si>
    <t>Huge, Measured</t>
  </si>
  <si>
    <t>lifesight.io</t>
  </si>
  <si>
    <t>Haus, Measured, Lifesight</t>
  </si>
  <si>
    <t>mi-3.com.au</t>
  </si>
  <si>
    <t>Top 10 AI Development and Consulting Companies in Australia | by Aura Tech Insights | Medium</t>
  </si>
  <si>
    <t>In Marketing We Trust, WPP, Mutinex, Dentsu, Impressive, Bonfire, Omnicom Media Group, Howatson+Company</t>
  </si>
  <si>
    <t>mkt-sci.com</t>
  </si>
  <si>
    <t>https://www.bbe.io/top-ranked-best-advertising-agency-leaders-australia-2026-sydney-melbourne-brisbane</t>
  </si>
  <si>
    <t>modmetrica.com.au</t>
  </si>
  <si>
    <t>The BBE Best: The Best Creative Leaders of the Top Advertising Agencies in Australia</t>
  </si>
  <si>
    <t>nogood.io</t>
  </si>
  <si>
    <t>Power Digital, Huge, Measured, Intero Digital, Earned Media</t>
  </si>
  <si>
    <t>https://www.goodfirms.co/directory/country/top-digital-marketing-companies/au/</t>
  </si>
  <si>
    <t>orm-tech.com</t>
  </si>
  <si>
    <t>Top Digital Marketing Agencies in Australia - 2026 Reviews | Goodfirms</t>
  </si>
  <si>
    <t>paisdigital.com.au</t>
  </si>
  <si>
    <t>Impressive, CUT THRU, eMarket Experts, SIXGUN, Elephant In The Boardroom, Supple Digital, AdVisible, Digital Nomads HQ, Emote Digital</t>
  </si>
  <si>
    <t>https://www.greenbook.org/market-research-companies/australia</t>
  </si>
  <si>
    <t>reuters.com</t>
  </si>
  <si>
    <t>Top Marketing Research Firms in Australia — Greenbook</t>
  </si>
  <si>
    <t>Publicis Groupe, HERO</t>
  </si>
  <si>
    <t>webprofits.com.au</t>
  </si>
  <si>
    <t>Mindshare, PHD, Accenture Song</t>
  </si>
  <si>
    <t>https://www.hashmeta.ai/en/blog/top-10-best-ai-marketing-agencies-in-australia-expert-comparison-guide</t>
  </si>
  <si>
    <t>Webprofits</t>
  </si>
  <si>
    <t>worldmetrics.org</t>
  </si>
  <si>
    <t>Top 10 Best AI Marketing Agencies in Australia: Expert Comparison Guide | Hashmeta AI Marketing Blog</t>
  </si>
  <si>
    <t>Deloitte Digital, Webprofits, WPP, KPMG, Deloitte</t>
  </si>
  <si>
    <t>zyppy.com</t>
  </si>
  <si>
    <t>Rocket Agency, Zib Digital, King Kong, Reef Digital Agency, Impressive, Absolutely AI</t>
  </si>
  <si>
    <t>captovate.com.au</t>
  </si>
  <si>
    <t>https://inbeat.agency/blog/top-marketing-measurement-and-analytics-companies</t>
  </si>
  <si>
    <t>nettyawards.com</t>
  </si>
  <si>
    <t>Top 15 Marketing Measurement and Analytics Firms Unlocking ROI Clarity in 2026 - inBeat Agency</t>
  </si>
  <si>
    <t>Measured, Megaphone</t>
  </si>
  <si>
    <t>https://www.savit.au/top-social-media-marketing-agencies-in-australia-for-2026-whos-building-brands-that-actually-sell/</t>
  </si>
  <si>
    <t>incremental.com</t>
  </si>
  <si>
    <t>WPP</t>
  </si>
  <si>
    <t>reloadmedia.com.au</t>
  </si>
  <si>
    <t>Top Social Media Marketing Agencies in Australia 2026</t>
  </si>
  <si>
    <t>Reload Media, Impressive, Measured</t>
  </si>
  <si>
    <t>usercall.co</t>
  </si>
  <si>
    <t>We Are Social, Impressive, Soup Agency, Megaphone, Supple Digital</t>
  </si>
  <si>
    <t>https://segmentstream.com/blog/articles/top-10-incrementality-testing-tools</t>
  </si>
  <si>
    <t>weDiscover</t>
  </si>
  <si>
    <t>warc.com</t>
  </si>
  <si>
    <t>10 Best Incrementality Testing Tools (2026) — SegmentStream</t>
  </si>
  <si>
    <t>WPP, VML</t>
  </si>
  <si>
    <t>adaptad.com.au</t>
  </si>
  <si>
    <t>Measured, Haus, Lifesight, Workmagic, LiftLab</t>
  </si>
  <si>
    <t>adopsandadtech.com.au</t>
  </si>
  <si>
    <t>https://sellforte.com/</t>
  </si>
  <si>
    <t>MMM, Incrementality Testing &amp;amp; Attribution | Sellforte</t>
  </si>
  <si>
    <t>advisible.com.au</t>
  </si>
  <si>
    <t>https://www.semrush.com/agencies/list/analytics-data-science/melbourne/</t>
  </si>
  <si>
    <t>Measured, AdVisible</t>
  </si>
  <si>
    <t>agoraagency.com.au</t>
  </si>
  <si>
    <t>Best Data Analytics Services in Melbourne 2026 \| Semrush</t>
  </si>
  <si>
    <t>Soup Agency, First Page, Clearwater Agency, Measured, Earned Media, Impressive, Online Marketing Gurus, Omnicom Media Group, 80/20 Digital, Bonfire, Megantic, Click Click Media</t>
  </si>
  <si>
    <t>https://themanifest.com/au/programmatic/agencies</t>
  </si>
  <si>
    <t>digitalmarketingsupermarket.com</t>
  </si>
  <si>
    <t>Top-Rated Programmatic Advertising &amp;amp; RTB Platforms for Retail, Automotive, Travel in Australia, Sydney, Melbourne | Vetted &amp;amp; Reviewed July 2026 | The Manifest</t>
  </si>
  <si>
    <t>Huge, Impressive, Bonfire, First Page, Ninja Promo</t>
  </si>
  <si>
    <t>Soup Agency, Bench Media, DNM Digital, In Marketing We Trust</t>
  </si>
  <si>
    <t>dimeagency.co</t>
  </si>
  <si>
    <t>https://topgeoagencies.com/</t>
  </si>
  <si>
    <t>droga5.com.au</t>
  </si>
  <si>
    <t>The GEO 250 — Best Generative Engine Optimization (GEO) Agencies | TopGEOAgencies.com</t>
  </si>
  <si>
    <t>elephantintheboardroom.com.au</t>
  </si>
  <si>
    <t>https://tynmagazine.com/best-answer-engine-optimisation-aeo-agencies-in-australia/</t>
  </si>
  <si>
    <t>Elephant In The Boardroom</t>
  </si>
  <si>
    <t>enterprisemonkey.com.au</t>
  </si>
  <si>
    <t>Impressive, Measured, Team 400, Deloitte</t>
  </si>
  <si>
    <t>evolut.com.au</t>
  </si>
  <si>
    <t>https://www.undivided.com.au/services/measurement</t>
  </si>
  <si>
    <t>facebook.com</t>
  </si>
  <si>
    <t>Measured, Deloitte</t>
  </si>
  <si>
    <t>firstpagesage.com</t>
  </si>
  <si>
    <t>Undivided Measurement</t>
  </si>
  <si>
    <t>Undivided, Measured, Earned Media</t>
  </si>
  <si>
    <t>Impressive, First Page, Earned Media</t>
  </si>
  <si>
    <t>https://www.youtube.com/watch?v=ZaxGzqO8OCk</t>
  </si>
  <si>
    <t>gaper.io</t>
  </si>
  <si>
    <t>What Are the Best Generative Engine Optimization (GEO) Agencies in Australia?</t>
  </si>
  <si>
    <t>google.co.uk</t>
  </si>
  <si>
    <t>havstrategy.com</t>
  </si>
  <si>
    <t>Brainlabs</t>
  </si>
  <si>
    <t>https://3pdigital.com.au/services/analytics</t>
  </si>
  <si>
    <t>hotwireglobal.com.au</t>
  </si>
  <si>
    <t>Analytics &amp;amp; Reporting Services Australia | 3P Digital</t>
  </si>
  <si>
    <t>improvado.io</t>
  </si>
  <si>
    <t>weDiscover, Measured</t>
  </si>
  <si>
    <t>indigosystems.au</t>
  </si>
  <si>
    <t>https://www.alphadigital.com.au/</t>
  </si>
  <si>
    <t>krishtechnolabs.com</t>
  </si>
  <si>
    <t>Award Winning Digital Marketing Agency Australia: Alpha Digital</t>
  </si>
  <si>
    <t>linea-analytics.com</t>
  </si>
  <si>
    <t>https://www.appsflyer.com/blog/tips-strategy/incrementality-testing-for-marketers/</t>
  </si>
  <si>
    <t>louddays.com</t>
  </si>
  <si>
    <t>Momentum, Loud Days, Impressive, Measured</t>
  </si>
  <si>
    <t>marshalltech.io</t>
  </si>
  <si>
    <t>Incrementality testing 101: Marketers 2023 guide | AppsFlyer</t>
  </si>
  <si>
    <t>miniloop.ai</t>
  </si>
  <si>
    <t>https://www.capterra.com.au/directory/31081/marketing-attribution/software</t>
  </si>
  <si>
    <t>Impressive, Intero Digital</t>
  </si>
  <si>
    <t>mutinex.co</t>
  </si>
  <si>
    <t>Mutinex</t>
  </si>
  <si>
    <t>nexit.com.au</t>
  </si>
  <si>
    <t>niftymarketing.com.au</t>
  </si>
  <si>
    <t>https://www.cleveraussie.com/best-creative-agencies-australia/</t>
  </si>
  <si>
    <t>ocmsolution.com</t>
  </si>
  <si>
    <t>Australia’s 5 Creative Agencies That’ve Got What It Takes [2026 ]</t>
  </si>
  <si>
    <t>Impressive, Sparro, Rocket Agency, AdVisible, We Are Social</t>
  </si>
  <si>
    <t>outgrow.co</t>
  </si>
  <si>
    <t>Dentsu, Intesols, Ogilvy Australia, Saatchi &amp; Saatchi, DDB Australia</t>
  </si>
  <si>
    <t>Rocket Agency, Momentum, Impressive</t>
  </si>
  <si>
    <t>performancemarketer.com.au</t>
  </si>
  <si>
    <t>https://clutch.co/au/agencies/digital</t>
  </si>
  <si>
    <t>Huge, Momentum, Undivided</t>
  </si>
  <si>
    <t>Top Full-Service Digital Agencies in Australia - Jul 2026 Rankings \| Clutch.co</t>
  </si>
  <si>
    <t>Digital Nomads HQ, MyWork, Farsiight, Soup Agency, Emote Digital, Intesols, Luminary, Human Digital, Impressive, Salt &amp; Fuessel, Alley Group, Clearwater Agency, DNM Digital, Paradox Marketing</t>
  </si>
  <si>
    <t>https://digitaldigest.au/google-ads-agencies/</t>
  </si>
  <si>
    <t>primedaiconsulting.com</t>
  </si>
  <si>
    <t>13 Best Google Ads Agencies Australia 2025 | Expert Reviews</t>
  </si>
  <si>
    <t>Huge, Digital Nomads HQ, Impressive, Online Marketing Gurus, Omnicom Media Group, Megaphone, Farsiight, Paradox Marketing, Human Digital, CUT THRU, Emote Digital, DNM Digital, First Page</t>
  </si>
  <si>
    <t>Absolutely AI, Get AI Ready</t>
  </si>
  <si>
    <t>https://edisonai.au/insights/best-ai-consulting-firms-in-australia</t>
  </si>
  <si>
    <t>prwire.com.au</t>
  </si>
  <si>
    <t>Best AI Consulting Firms in Australia (2026) \| Edison AI</t>
  </si>
  <si>
    <t>Edison AI, Deloitte, KPMG, Measured, Impressive</t>
  </si>
  <si>
    <t>pwd.com.au</t>
  </si>
  <si>
    <t>https://edisonmoment.com/agency/best/performance-marketing-agency-australia</t>
  </si>
  <si>
    <t>HERO, Bonfire, Clemenger BBDO, OMD</t>
  </si>
  <si>
    <t>risexventuress.com</t>
  </si>
  <si>
    <t>Performance Marketing Agency in Australia | Edison Moment</t>
  </si>
  <si>
    <t>searchagency.com.au</t>
  </si>
  <si>
    <t>HERO, Measured</t>
  </si>
  <si>
    <t>https://elioplus.com/asia-pacific/australia/channel-partners/google</t>
  </si>
  <si>
    <t>sensedatalab.com.au</t>
  </si>
  <si>
    <t>Best Google partners &amp; resellers in Australia \| Elioplus</t>
  </si>
  <si>
    <t>seocompare.co.uk</t>
  </si>
  <si>
    <t>King Kong, Impressive, eMarket Experts</t>
  </si>
  <si>
    <t>https://growthmanager.ai/best-geo-agency</t>
  </si>
  <si>
    <t>socialchameleon.com</t>
  </si>
  <si>
    <t>Best GEO agencies in 2026, reviewed and ranked</t>
  </si>
  <si>
    <t>Huge, Salt &amp; Fuessel, Alpha Digital, Megaphone, Digital Movement, Luminary, Online Marketing Gurus, Farsiight, Digital Nomads HQ, Impressive, Rocket Agency, Emote Digital, Saatchi &amp; Saatchi, Paradox Marketing</t>
  </si>
  <si>
    <t>tamedmarketing.com.au</t>
  </si>
  <si>
    <t>https://horntech.com.au/ai-search-optimization/</t>
  </si>
  <si>
    <t>techbullion.com</t>
  </si>
  <si>
    <t>AI Search Optimisation Sydney | GEO &amp;amp; AI SEO Agency</t>
  </si>
  <si>
    <t>Clearwater Agency, Soup Agency, First Page Australia, StudioHawk, NP Digital Australia, King Kong, Reef Digital Agency, Megantic, First Page</t>
  </si>
  <si>
    <t>https://www.mayple.com/resources/social-media-marketing/social-media-agencies-australia</t>
  </si>
  <si>
    <t>thefrontdigital.com.au</t>
  </si>
  <si>
    <t>Top 7 Social Media Agencies in Australia</t>
  </si>
  <si>
    <t>theonlinegroup.com.au</t>
  </si>
  <si>
    <t>upcity.com</t>
  </si>
  <si>
    <t>Dentsu, Omnicom Media Group</t>
  </si>
  <si>
    <t>bluethings.co</t>
  </si>
  <si>
    <t>Online Marketing Gurus, Impressive, Clearwater Agency, SIXGUN, First Page Australia, AdVisible, Supple Digital, eMarket Experts, Marketix Digital, KPMG, Gorilla 360, Safari Digital, Earned Media, Omnicom Media Group, First Page</t>
  </si>
  <si>
    <t>elsner.com.au</t>
  </si>
  <si>
    <t>https://realmindsai.com.au/ai-consulting-melbourne/</t>
  </si>
  <si>
    <t>Clearwater Agency, Prosperity Media, StudioHawk, Reef Digital Agency</t>
  </si>
  <si>
    <t>avenuegroupaus.com.au</t>
  </si>
  <si>
    <t>AI Consulting Melbourne — Local Team | Real Minds AI</t>
  </si>
  <si>
    <t>Prosperity Media, SIXGUN, Megantic, First Page</t>
  </si>
  <si>
    <t>circana.com</t>
  </si>
  <si>
    <t>https://www.semrush.com/agencies/list/display-advertising/australia/</t>
  </si>
  <si>
    <t>oneclub.org</t>
  </si>
  <si>
    <t>Best Display Ads Agencies in Australia 2026 \| Semrush</t>
  </si>
  <si>
    <t>thinkerbell.com</t>
  </si>
  <si>
    <t>https://www.stellaheystella.com/blog/incrementality-testing-platforms-the-complete-guide-to-measuring-true-marketing-impact-2025</t>
  </si>
  <si>
    <t>WPP, Measured, Thinkerbell, Momentum, OMD</t>
  </si>
  <si>
    <t>1stpage.com.au</t>
  </si>
  <si>
    <t>Incrementality Testing Platforms: The Complete Guide to Measuring True Marketing Impact (2025) | Stella</t>
  </si>
  <si>
    <t>aeroleads.com</t>
  </si>
  <si>
    <t>HOW_TO_GUIDE</t>
  </si>
  <si>
    <t>agencylist.com</t>
  </si>
  <si>
    <t>How-To Guide</t>
  </si>
  <si>
    <t>https://supermetrics.com/blog/incrementality-testing</t>
  </si>
  <si>
    <t>aimash.com.au</t>
  </si>
  <si>
    <t>Incrementality Testing – The Only Guide You Need</t>
  </si>
  <si>
    <t>aireadyaudit.com.au</t>
  </si>
  <si>
    <t>https://techbehemoths.com/companies/google-marketing-platform/australia</t>
  </si>
  <si>
    <t>analyzify.com</t>
  </si>
  <si>
    <t>Top 20+ Google Marketing Platform Companies in Australia (2026) - TechBehemoths</t>
  </si>
  <si>
    <t>Insil, AdVisible, Digital Nomads HQ, Megaphone, Reef Digital Agency</t>
  </si>
  <si>
    <t>anirup.com</t>
  </si>
  <si>
    <t>Clearwater Agency, Online Marketing Gurus, Digital Nomads HQ, Supple Digital, eMarket Experts, Megaphone, Omnicom Media Group</t>
  </si>
  <si>
    <t>arcadiandigital.com.au</t>
  </si>
  <si>
    <t>SIXGUN</t>
  </si>
  <si>
    <t>https://thedigitalelevator.com/blog/best-generative-engine-optimization-geo-agencies/</t>
  </si>
  <si>
    <t>artd.com.au</t>
  </si>
  <si>
    <t>The 12 Best Generative Engine Optimization (GEO) Agencies of 2026 | Digital Elevator</t>
  </si>
  <si>
    <t>asanalytics.com.au</t>
  </si>
  <si>
    <t>avidtrak.com</t>
  </si>
  <si>
    <t>https://ven.com.au/services/ai-strategy-consulting/</t>
  </si>
  <si>
    <t>AI Strategy Consulting Melbourne | Business AI Advisory | Ven Agency</t>
  </si>
  <si>
    <t>bcg.com</t>
  </si>
  <si>
    <t>bestforexapp.com</t>
  </si>
  <si>
    <t>https://zibdigital.com.au/ai-services#:~:text=AI%20marketing%20services.%20An%20AI%20marketing%20agency,partner%20model.%20%2D%20AI%20SEO.%20AI%2Dpowered%20SEO.</t>
  </si>
  <si>
    <t>betterpeople.com.au</t>
  </si>
  <si>
    <t>AI Marketing Agency Australia | AI Marketing Services · Zib Digital</t>
  </si>
  <si>
    <t>blanktheory.com.au</t>
  </si>
  <si>
    <t>Zib Digital</t>
  </si>
  <si>
    <t>https://aeoagencyservices.com/Blog-Page/best-aeo-agency-in-australia-top-answer-engine-optimization-companies</t>
  </si>
  <si>
    <t>bondipages.com</t>
  </si>
  <si>
    <t>Momentum, Sparro, Digital Nomads HQ, Megaphone, First Page</t>
  </si>
  <si>
    <t>brainlabsdigital.com</t>
  </si>
  <si>
    <t>Best AEO Agency in Australia: 14 Top Answer Engine Optimization Companies - Web Of Picasso</t>
  </si>
  <si>
    <t>Brainlabs, Sparro</t>
  </si>
  <si>
    <t>braive.com.au</t>
  </si>
  <si>
    <t>Digital Nomads HQ, First Page, First Page Australia, StudioHawk, Prosperity Media, Safari Digital, Supple Digital, Online Marketing Gurus, Earned Media, Impressive, Omnicom Media Group, Momentum</t>
  </si>
  <si>
    <t>https://agencies.semrush.com/list/display-advertising/australia/small-business/</t>
  </si>
  <si>
    <t>brandinginasia.com</t>
  </si>
  <si>
    <t>Best Display Ads Agencies for Small Business in Australia 2026 | Semrush</t>
  </si>
  <si>
    <t>In Marketing We Trust, Publicis Groupe, Ogilvy Australia</t>
  </si>
  <si>
    <t>cartermedia.com.au</t>
  </si>
  <si>
    <t>Soup Agency, First Page, Clearwater Agency, Measured, Earned Media, Impressive, Online Marketing Gurus, Omnicom Media Group, Click Click Media, First Page Australia, 80/20 Digital</t>
  </si>
  <si>
    <t>https://agencies.semrush.com/list/display-advertising/perth/</t>
  </si>
  <si>
    <t>cassandra.app</t>
  </si>
  <si>
    <t>contevo.com.au</t>
  </si>
  <si>
    <t>Best Display Ads Agencies in Perth 2026 | Semrush</t>
  </si>
  <si>
    <t>Bonfire, Soup Agency, First Page, Clearwater Agency, Measured, Earned Media, Impressive, Online Marketing Gurus, Omnicom Media Group, Click Click Media</t>
  </si>
  <si>
    <t>https://aimldigital.com.au/</t>
  </si>
  <si>
    <t>crmstrategy.com.au</t>
  </si>
  <si>
    <t>Lifesight</t>
  </si>
  <si>
    <t>AIML Digital | #1 Digital Marketing Agency Perth</t>
  </si>
  <si>
    <t>datasauce.com</t>
  </si>
  <si>
    <t>decisionfoundry.com</t>
  </si>
  <si>
    <t>https://ami.org.au/knowledge-hub/acams-ai-readiness-report-reveals-australian-marketing-teams-lagging-in-ai-maturity/</t>
  </si>
  <si>
    <t>defence.gov.au</t>
  </si>
  <si>
    <t>ACAM's AI readiness report reveals Australian marketing teams lagging in AI maturity - AMI</t>
  </si>
  <si>
    <t>defyn.com.au</t>
  </si>
  <si>
    <t>INSTITUTIONAL</t>
  </si>
  <si>
    <t>https://avinashvagh.com/blog/best-geo-agencies-australia</t>
  </si>
  <si>
    <t>digitalchamp.com.au</t>
  </si>
  <si>
    <t>Best GEO Agency Australia: 6 SaaS Options for 2026</t>
  </si>
  <si>
    <t>digitalhitmen.com.au</t>
  </si>
  <si>
    <t>digitalsearchgroup.com.au</t>
  </si>
  <si>
    <t>Talons Marketing, Prosperity Media, In Marketing We Trust, Elephant In The Boardroom</t>
  </si>
  <si>
    <t>https://blog.applabx.com/top-10-best-geo-agencies-in-australia-in-2026/</t>
  </si>
  <si>
    <t>Online Marketing Gurus, Measured</t>
  </si>
  <si>
    <t>digiwolf.au</t>
  </si>
  <si>
    <t>Top 10 Best GEO Agencies in Australia in 2026</t>
  </si>
  <si>
    <t>distl.com.au</t>
  </si>
  <si>
    <t>StudioHawk, Online Marketing Gurus, Intesols, Supple Digital, Digital Nomads HQ, Emote Digital, Omnicom Media Group, First Page, Measured, HERO</t>
  </si>
  <si>
    <t>edgeonline.com.au</t>
  </si>
  <si>
    <t>https://builtin.com/articles/digital-marketing-company-australia</t>
  </si>
  <si>
    <t>Measured, Edge Marketing</t>
  </si>
  <si>
    <t>21 Digital Marketing Companies in Australia to Know | Built In</t>
  </si>
  <si>
    <t>enterprisemarketingportal.google</t>
  </si>
  <si>
    <t>flowworks.com.au</t>
  </si>
  <si>
    <t>Rocket Agency, Megaphone, Online Marketing Gurus, Clearwater Agency, StudioHawk, Soup Agency, Emote Digital, Omnicom Media Group, AdVisible, Human Digital</t>
  </si>
  <si>
    <t>https://www.bushnote.com/articles/best-10-aeo-agencies-in-australia-to-promote-b2b-companies-in-2026</t>
  </si>
  <si>
    <t>flypix.ai</t>
  </si>
  <si>
    <t>Best 10 AEO Agencies in Australia for B2B Companies (2026)</t>
  </si>
  <si>
    <t>ftalliance.com.au</t>
  </si>
  <si>
    <t>Luminary, Bushnote, Prosperity Media, Online Marketing Gurus</t>
  </si>
  <si>
    <t>https://clickclickmedia.com.au/ppc-agency/google-ads/</t>
  </si>
  <si>
    <t>funnel.io</t>
  </si>
  <si>
    <t>Google Ads Agency Sydney | Premier Partner, Senior Team</t>
  </si>
  <si>
    <t>furtherinsight.com.au</t>
  </si>
  <si>
    <t>Click Click Media, HERO</t>
  </si>
  <si>
    <t>https://clutch.co/au/agencies/programmatic</t>
  </si>
  <si>
    <t>gdaybroadcast.com.au</t>
  </si>
  <si>
    <t>Top Programmatic Advertising Companies in Australia - Jul 2026 Rankings | Clutch.co</t>
  </si>
  <si>
    <t>Clearwater Agency, Impressive, Luminary, Online Marketing Gurus, Emote Digital, Megaphone, Elephant In The Boardroom</t>
  </si>
  <si>
    <t>Soup Agency, Impressive, DNM Digital, In Marketing We Trust, Bench Media</t>
  </si>
  <si>
    <t>https://www.cometly.com/post/marketing-attribution-tools-for-agencies</t>
  </si>
  <si>
    <t>getapp.com.au</t>
  </si>
  <si>
    <t>gispeople.com.au</t>
  </si>
  <si>
    <t>Best Marketing Attribution Tools For Agencies 2026</t>
  </si>
  <si>
    <t>https://www.deducive.com/</t>
  </si>
  <si>
    <t>gravitatedigital.com.au</t>
  </si>
  <si>
    <t>Deducive - Decision-Grade Marketing Measurement</t>
  </si>
  <si>
    <t>growaidigital.com.au</t>
  </si>
  <si>
    <t>https://www.designrush.com/agency/social-media-marketing/au</t>
  </si>
  <si>
    <t>growthspreeofficial.com</t>
  </si>
  <si>
    <t>Top Social Media Marketing Agencies in Australia | 2026</t>
  </si>
  <si>
    <t>impact.com</t>
  </si>
  <si>
    <t>Supple Digital, eMarket Experts, Online Marketing Gurus, SIXGUN, Digital Nomads HQ, Impressive, Deloitte, HERO</t>
  </si>
  <si>
    <t>https://www.digitalmindsgroup.com.au/</t>
  </si>
  <si>
    <t>intelegain.com</t>
  </si>
  <si>
    <t>Digital Minds Group</t>
  </si>
  <si>
    <t>intelligence.gov.au</t>
  </si>
  <si>
    <t>ionline.com.au</t>
  </si>
  <si>
    <t>https://digitalnomadshq.com.au/blog/google-ads-companies/</t>
  </si>
  <si>
    <t>itpro.com</t>
  </si>
  <si>
    <t>jellyfish.com</t>
  </si>
  <si>
    <t>Top 10 Google Ads Companies in Australia [2026 Updated]</t>
  </si>
  <si>
    <t>Digital Nomads HQ, Clearwater Agency, Online Marketing Gurus, eMarket Experts, Megaphone, SearchMax, Supple Digital, Earned Media, Omnicom Media Group</t>
  </si>
  <si>
    <t>https://farsiight.com/services/digital-strategy/performance-marketing-sydney/</t>
  </si>
  <si>
    <t>lbbonline.com</t>
  </si>
  <si>
    <t>Award-Winning Performance Marketing Agency in Sydney</t>
  </si>
  <si>
    <t>Momentum, Dentsu, Accenture Song, HERO, Howatson+Company, Ogilvy Australia, Thinkerbell, The Monkeys, We Are Social, Bear Meets Eagle On Fire</t>
  </si>
  <si>
    <t>listcorp.com</t>
  </si>
  <si>
    <t>Farsiight, Huge</t>
  </si>
  <si>
    <t>luminary.com</t>
  </si>
  <si>
    <t>https://fastlanerecruit.com/blog/top-15-advertising-agencies-in-australia/#:~:text=A%20global%20leader%20in%20creative%20communications%2C%20Leo,insight%2C%20helping%20companies%20forge%20deep%20audience%20connections.</t>
  </si>
  <si>
    <t>Luminary</t>
  </si>
  <si>
    <t>madebyevoke.com</t>
  </si>
  <si>
    <t>Top 15 Advertising Agencies in Australia</t>
  </si>
  <si>
    <t>Ogilvy Australia, Clemenger BBDO, DDB Australia</t>
  </si>
  <si>
    <t>marketingcosmos.com</t>
  </si>
  <si>
    <t>Bonfire, Metric Labs</t>
  </si>
  <si>
    <t>Clemenger BBDO, Supple Digital, Online Marketing Gurus, Ogilvy Australia, WPP, Omnicom Media Group, Edge Marketing, Soup Agency, First Page, First Page Australia, KPMG</t>
  </si>
  <si>
    <t>mass-analytics.com</t>
  </si>
  <si>
    <t>https://impressive.com.au/performance-marketing-agency-melbourne/</t>
  </si>
  <si>
    <t>mckenzie.com.au</t>
  </si>
  <si>
    <t>Performance Marketing Agency Melbourne | Impressive</t>
  </si>
  <si>
    <t>Impressive, Deloitte</t>
  </si>
  <si>
    <t>meaningfulsocialclub.com</t>
  </si>
  <si>
    <t>https://www.loudface.co/blog/best-aeo-agencies-2026</t>
  </si>
  <si>
    <t>Best AEO &amp;amp; AI Search Agencies in 2026 (Ranked) | LoudFace</t>
  </si>
  <si>
    <t>megaphonemedia.com.au</t>
  </si>
  <si>
    <t>HERO, Megaphone</t>
  </si>
  <si>
    <t>First Page, Measured, Earned Media</t>
  </si>
  <si>
    <t>mindanchorai.com.au</t>
  </si>
  <si>
    <t>https://www.mkmedia.com.au/media-attribution-research/</t>
  </si>
  <si>
    <t>modernmarketingpartners.com</t>
  </si>
  <si>
    <t>Media Attribution: Improve Marketing ROI | MK Media</t>
  </si>
  <si>
    <t>MK Media, Huge</t>
  </si>
  <si>
    <t>Earned Media, First Page</t>
  </si>
  <si>
    <t>https://www.onlinemarketinggurus.com.au/social-media-advertising/</t>
  </si>
  <si>
    <t>mumbrella.com.au</t>
  </si>
  <si>
    <t>BMF, Rocket Agency</t>
  </si>
  <si>
    <t>Social Media Marketing Services Built By Social Specialists</t>
  </si>
  <si>
    <t>navigatortech.com.au</t>
  </si>
  <si>
    <t>nelsononeill.com.au</t>
  </si>
  <si>
    <t>Online Marketing Gurus, Omnicom Media Group, Measured, HERO</t>
  </si>
  <si>
    <t>https://somo.agency/au/paid-social/</t>
  </si>
  <si>
    <t>ngis.com.au</t>
  </si>
  <si>
    <t>Paid Social Agency Australia | Performance Marketing | SOMO</t>
  </si>
  <si>
    <t>opinosis-analytics.com</t>
  </si>
  <si>
    <t>https://thinkcreativeagency.com.au/digital-marketing/marketing-analytics-agency/</t>
  </si>
  <si>
    <t>Data-Driven Marketing Analytics Agency Sydney | Think Creative</t>
  </si>
  <si>
    <t>Impressive, MyWork</t>
  </si>
  <si>
    <t>paramark.com.au</t>
  </si>
  <si>
    <t>printvideoweb.com.au</t>
  </si>
  <si>
    <t>https://vocal.media/01/australia-s-leading-performance-marketing-services</t>
  </si>
  <si>
    <t>qagency.com.au</t>
  </si>
  <si>
    <t>Australia's Leading Performance Marketing Services | 01</t>
  </si>
  <si>
    <t>rankmefirst.ai</t>
  </si>
  <si>
    <t>https://wearesocial.com/au/</t>
  </si>
  <si>
    <t>rightfirms.co</t>
  </si>
  <si>
    <t>Creative Agency - We Are Social Australia</t>
  </si>
  <si>
    <t>rix-digital.com</t>
  </si>
  <si>
    <t>safaridigital.com.au</t>
  </si>
  <si>
    <t>https://agencies.semrush.com/list/ai-optimization/australia/mid-business/</t>
  </si>
  <si>
    <t>Safari Digital</t>
  </si>
  <si>
    <t>sandlabs.com.au</t>
  </si>
  <si>
    <t>Best AI Search Optimization Agencies for Mid Business in Australia 2026 | Semrush</t>
  </si>
  <si>
    <t>DNM Digital, Edge Marketing, First Page, Clearwater Agency, Measured, Earned Media, Online Marketing Gurus, Omnicom Media Group, Huge</t>
  </si>
  <si>
    <t>https://agrtech.com.au/ai/top-10-best-geo-optimization-agencies-in-the-world/</t>
  </si>
  <si>
    <t>scalemaster.com.au</t>
  </si>
  <si>
    <t>Top GEO Optimization Agencies in the World 2026</t>
  </si>
  <si>
    <t>searchministry.au</t>
  </si>
  <si>
    <t>Intero Digital, First Page, Earned Media</t>
  </si>
  <si>
    <t>seoworks.com</t>
  </si>
  <si>
    <t>https://www.architecturaldigest.com/story/is-your-business-ready-for-the-ai-overview-era</t>
  </si>
  <si>
    <t>Brainlabs, Measured</t>
  </si>
  <si>
    <t>singlegrain.com</t>
  </si>
  <si>
    <t>Measured, Impressive, VML</t>
  </si>
  <si>
    <t>Is Your Business Ready for the AI Overview Era? | Architectural Digest</t>
  </si>
  <si>
    <t>stantec.com</t>
  </si>
  <si>
    <t>techyflavors.com</t>
  </si>
  <si>
    <t>https://www.bandt.com.au/agencies/agency-scorecards/</t>
  </si>
  <si>
    <t>Prosperity Media, NP Digital Australia, Safari Digital, Measured, Zib Digital, 80/20 Digital</t>
  </si>
  <si>
    <t>thehypesociety.com.au</t>
  </si>
  <si>
    <t>Agency Scorecards | B&amp;amp;T</t>
  </si>
  <si>
    <t>theravenlabs.com</t>
  </si>
  <si>
    <t>WPP, Momentum, VML, OMD, PHD, HERO, Mindshare, Thinkerbell, Leo Australia, Wavemaker, We Are Social, Bench Media, Howatson+Company, Saatchi &amp; Saatchi</t>
  </si>
  <si>
    <t>https://www.bushletter.com/best-aeo-agencies-australia-2026-ai-engine-test/</t>
  </si>
  <si>
    <t>tridant.com</t>
  </si>
  <si>
    <t>Best AEO agencies in Australia for 2026: we asked four AI engines who they cite</t>
  </si>
  <si>
    <t>umitech.com.au</t>
  </si>
  <si>
    <t>Bushnote, Reload Media, StudioHawk, Prosperity Media, Webprofits, Impressive</t>
  </si>
  <si>
    <t>unglobalcompact.org.au</t>
  </si>
  <si>
    <t>https://www.bushletter.com/the-10-best-aeo-agencies-for-australian-financial-services-firms-in-2026/</t>
  </si>
  <si>
    <t>Measured, Thinkerbell</t>
  </si>
  <si>
    <t>vtdigital.com.au</t>
  </si>
  <si>
    <t>Best AEO agencies for Australian financial services 2026</t>
  </si>
  <si>
    <t>Bushnote, Luminary, Webprofits, Impressive, Online Marketing Gurus, Omnicom Media Group</t>
  </si>
  <si>
    <t>https://www.bushnote.com/articles/top-ai-marketing-agencies-australia-2025</t>
  </si>
  <si>
    <t>webtonic.io</t>
  </si>
  <si>
    <t>Top AI Marketing Agencies Australia 2025: Strategic Shift</t>
  </si>
  <si>
    <t>Incubeta, Tinuiti, Power Digital, PMG, Dentsu, Brainlabs, GroupM, Reload Media, Croud</t>
  </si>
  <si>
    <t>Bushnote</t>
  </si>
  <si>
    <t>wsj.com</t>
  </si>
  <si>
    <t>https://www.designrush.com/agency/digital-marketing/au</t>
  </si>
  <si>
    <t>Publicis Groupe, Momentum</t>
  </si>
  <si>
    <t>yaanidigital.com</t>
  </si>
  <si>
    <t>Top Digital Marketing Agencies in Australia | 2026</t>
  </si>
  <si>
    <t>First Page, First Page Australia, Impressive, Deloitte, Supple Digital, eMarket Experts, Online Marketing Gurus, SIXGUN, Digital Nomads HQ, 23 Digital</t>
  </si>
  <si>
    <t>youfinddigital.com</t>
  </si>
  <si>
    <t>https://digitaldigest.au/ai-seo-agencies/</t>
  </si>
  <si>
    <t>Intero Digital, First Page</t>
  </si>
  <si>
    <t>9 Best AI SEO Agencies in Australia (2026)</t>
  </si>
  <si>
    <t>wpp.com</t>
  </si>
  <si>
    <t>Digital Nomads HQ, Prosperity Media, StudioHawk, Impressive, Luminary, Intesols</t>
  </si>
  <si>
    <t>WPP, VML, Huge, Impressive, Mindshare, EssenceMediacom</t>
  </si>
  <si>
    <t>businessage.com</t>
  </si>
  <si>
    <t>https://digitaldigest.au/best-social-media-agencies/</t>
  </si>
  <si>
    <t>Clearwater Agency, Intesols</t>
  </si>
  <si>
    <t>aana.com.au</t>
  </si>
  <si>
    <t>15 Best Social Media Agencies in 2025 (With Reviews)</t>
  </si>
  <si>
    <t>Impressive, Online Marketing Gurus, Omnicom Media Group, Deloitte, Soup Agency, Farsiight, Megaphone, Paradox Marketing, Emote Digital, Human Digital, DNM Digital, Rocket Agency, Clearwater Agency, Earned Media</t>
  </si>
  <si>
    <t>https://www.exaltgrowth.com/generative-engine-optimization/top-australian-saas-geo-agencies</t>
  </si>
  <si>
    <t>adma.com.au</t>
  </si>
  <si>
    <t>In Marketing We Trust, Huge, Deloitte Digital, Deloitte</t>
  </si>
  <si>
    <t>allgeo.com.au</t>
  </si>
  <si>
    <t>Top 10 Australian SaaS GEO Agencies in 2026</t>
  </si>
  <si>
    <t>analyticpartners.com</t>
  </si>
  <si>
    <t>Prosperity Media, First Page, Impressive, StudioHawk, Luminary, Predicta Digital, Earned Media</t>
  </si>
  <si>
    <t>Analytic Partners</t>
  </si>
  <si>
    <t>https://getaiready.com.au/about</t>
  </si>
  <si>
    <t>douglaspartners.com.au</t>
  </si>
  <si>
    <t>edgeangel.co</t>
  </si>
  <si>
    <t>About Get AI Ready | Senior AI Practitioners Australia</t>
  </si>
  <si>
    <t>incubeta.com</t>
  </si>
  <si>
    <t>Get AI Ready</t>
  </si>
  <si>
    <t>https://getaiready.com.au/solutions</t>
  </si>
  <si>
    <t>You</t>
  </si>
  <si>
    <t>Incubeta</t>
  </si>
  <si>
    <t>lambagency.com.au</t>
  </si>
  <si>
    <t>Enterprise AI Consulting Australia | Get AI Ready</t>
  </si>
  <si>
    <t>merkle.com</t>
  </si>
  <si>
    <t>https://www.google.com.au/intl/en/ads/publisher/partners/find-a-partner/</t>
  </si>
  <si>
    <t>Huge, Dentsu</t>
  </si>
  <si>
    <t>nature.com.au</t>
  </si>
  <si>
    <t>Find a Publishing Partner \| Certified Publishing Partner – Google</t>
  </si>
  <si>
    <t>websavvy.com.au</t>
  </si>
  <si>
    <t>WebSavvy</t>
  </si>
  <si>
    <t>https://www.hashtag.net.au/news/technology/146815-top-agencies-using-ai-to-improve-search-visibility-for-australian-brands</t>
  </si>
  <si>
    <t>6sense.com</t>
  </si>
  <si>
    <t>Top Agencies Using AI to Improve Search Visibility for Australian Brands</t>
  </si>
  <si>
    <t>aamax.co</t>
  </si>
  <si>
    <t>Resolution Digital, Online Marketing Gurus, Dentsu, Sparro, StudioHawk, Webprofits, WPP</t>
  </si>
  <si>
    <t>abbacustechnologies.com</t>
  </si>
  <si>
    <t>NP Digital Australia, Impressive, Safari Digital, Clearwater Agency, King Kong, Emote Digital, Soup Agency, Prosperity Media, Measured</t>
  </si>
  <si>
    <t>https://itprofiles.com/services/ppc/australia</t>
  </si>
  <si>
    <t>Luminary, Digital Nomads HQ, Human Digital</t>
  </si>
  <si>
    <t>Official Jul 2026 Rankings: Top PPC Companies in Australia | ITProfiles</t>
  </si>
  <si>
    <t>abf.gov.au</t>
  </si>
  <si>
    <t>accenture.com</t>
  </si>
  <si>
    <t>Soup Agency, Digital Nomads HQ, Farsiight, Clearwater Agency, eMarket Experts, DNM Digital, Marketix Digital, SIXGUN, Insil, Sparro, Reform Digital, Edge Marketing</t>
  </si>
  <si>
    <t>https://liftlab.com/platform/incrementality-testing-engine/</t>
  </si>
  <si>
    <t>The Monkeys</t>
  </si>
  <si>
    <t>accuracast.com</t>
  </si>
  <si>
    <t>Incrementality Testing &amp;amp; GEO Experimentation Platform | LiftLab</t>
  </si>
  <si>
    <t>activfreight.com.au</t>
  </si>
  <si>
    <t>LiftLab, HERO</t>
  </si>
  <si>
    <t>addaptive.com.au</t>
  </si>
  <si>
    <t>https://www.measured.com/</t>
  </si>
  <si>
    <t>adelaidemetrics.com</t>
  </si>
  <si>
    <t>Measured | Media Effectiveness Platform</t>
  </si>
  <si>
    <t>https://www.melottimedia.com.au/ai-marketing-services/ai-search-optimisation/</t>
  </si>
  <si>
    <t>adobe.com</t>
  </si>
  <si>
    <t>adsoftheworld.com</t>
  </si>
  <si>
    <t>AI Search Optimisation for Australian Businesses Sydney &amp;amp; Melbourne | Melotti Content Media</t>
  </si>
  <si>
    <t>advertisingcouncil.org.au</t>
  </si>
  <si>
    <t>https://mightyhive.com/mightyhive-named-top-aunz-google-marketing-platform-partner-second-year-row</t>
  </si>
  <si>
    <t>Howatson+Company, VML, Leo Australia, Mindshare, Accenture Song, Dentsu, Wavemaker</t>
  </si>
  <si>
    <t>agenticmarketingpro.com</t>
  </si>
  <si>
    <t>MightyHive Named Top AUNZ Google Marketing Platform Partner Second Year in a Row | MightyHive</t>
  </si>
  <si>
    <t>agentum.com.au</t>
  </si>
  <si>
    <t>aiavenue.com.au</t>
  </si>
  <si>
    <t>https://www.mkmedia.com.au/marketing-attribution-software/</t>
  </si>
  <si>
    <t>aiconsultinggroup.com.au</t>
  </si>
  <si>
    <t>https://www.position.digital/blog/top-geo-agencies/</t>
  </si>
  <si>
    <t>aify.com.au</t>
  </si>
  <si>
    <t>Top 13 Generative Engine Optimization (GEO) Agencies in 2026</t>
  </si>
  <si>
    <t>Huge, First Page, Earned Media</t>
  </si>
  <si>
    <t>aiims.group</t>
  </si>
  <si>
    <t>Huge, AdVisible</t>
  </si>
  <si>
    <t>https://promoguy.nl/blog/2026/02/12/incrementality-testing-for-marketing-promotion/</t>
  </si>
  <si>
    <t>aistrategyconsulting.com.au</t>
  </si>
  <si>
    <t>Incrementality Testing For Marketing &amp;amp; Promotion - Promoguy Digital Marketing Agency</t>
  </si>
  <si>
    <t>alphaapexgroup.com</t>
  </si>
  <si>
    <t>Lifesight, Haus, Measured, Workmagic, LiftLab</t>
  </si>
  <si>
    <t>https://www.reddit.com/r/agency/comments/1ok212i/performance_marketing_incrementality/</t>
  </si>
  <si>
    <t>als-cs.com</t>
  </si>
  <si>
    <t>alyka.com.au</t>
  </si>
  <si>
    <t>Performance Marketing Incrementality</t>
  </si>
  <si>
    <t>Haus, Measured, Workmagic</t>
  </si>
  <si>
    <t>https://rocketagency.com.au/services/seo-agency/generative-ai-seo</t>
  </si>
  <si>
    <t>aoyglobalawards.com</t>
  </si>
  <si>
    <t>Generative AI SEO | Maximise Your SEO Impact | Rocket Agency</t>
  </si>
  <si>
    <t>Accenture Song</t>
  </si>
  <si>
    <t>aperitifagency.com.au</t>
  </si>
  <si>
    <t>https://rocketagency.com.au/services/seo-agency/geo</t>
  </si>
  <si>
    <t>arc.dev</t>
  </si>
  <si>
    <t>GEO Services in Australia | Boost AI Visibility &amp;amp; Traffic</t>
  </si>
  <si>
    <t>Power Digital, Momentum, Online Marketing Gurus, Impressive, Soup Agency, KPMG, Omnicom Media Group</t>
  </si>
  <si>
    <t>archetype.co</t>
  </si>
  <si>
    <t>Rocket Agency, First Page, HERO</t>
  </si>
  <si>
    <t>https://www.sortlist.com/s/performance-marketing/sydney-au</t>
  </si>
  <si>
    <t>archservices.com.au</t>
  </si>
  <si>
    <t>The 10 Best Performance Marketing Agencies in Sydney - 2026 Reviews</t>
  </si>
  <si>
    <t>arrowmedia.com.au</t>
  </si>
  <si>
    <t>atomic212.com.au</t>
  </si>
  <si>
    <t>Impressive, Supple Digital, Measured, Earned Media, Clearwater Agency, SIXGUN, Momentum, Soup Agency, HERO, Digital Nomads HQ, Sparro, AdVisible</t>
  </si>
  <si>
    <t>https://soupagency.com.au/blog/top-digital-marketing-agencies/#:~:text=Soup%20is%20a%20strong%20fit%20for%20businesses,connecting%20those%20channels%20across%20the%20customer%20journey.</t>
  </si>
  <si>
    <t>ausasiaonline.com.au</t>
  </si>
  <si>
    <t>Top Digital Marketing Agencies in Australia: Options Worth Considering - SOUP Agency</t>
  </si>
  <si>
    <t>ausgeotest.com.au</t>
  </si>
  <si>
    <t>Soup Agency, Measured, Momentum</t>
  </si>
  <si>
    <t>https://source-digital.com.au/aeo-australia</t>
  </si>
  <si>
    <t>ausindigenousai.com.au</t>
  </si>
  <si>
    <t>AEO Australia | Answer Engine Optimisation | Source Digital</t>
  </si>
  <si>
    <t>aussiemarketing.com.au</t>
  </si>
  <si>
    <t>avionaustralia.com</t>
  </si>
  <si>
    <t>https://submerge.digital/measurement/marketing-attribution-agency/</t>
  </si>
  <si>
    <t>axios.com</t>
  </si>
  <si>
    <t>Marketing Attribution Agency - Powering Insights - Submerge</t>
  </si>
  <si>
    <t>Measured, Impressive</t>
  </si>
  <si>
    <t>benchmedia.com</t>
  </si>
  <si>
    <t>https://support.google.com/analytics/answer/7237700?hl=en</t>
  </si>
  <si>
    <t>Bench Media</t>
  </si>
  <si>
    <t>bestanswerengineoptimizationservices.com</t>
  </si>
  <si>
    <t>Google Marketing Platform Partners - Analytics Help</t>
  </si>
  <si>
    <t>https://www.teamlewis.com/au/data-analytics-agency/#:~:text=Reporting%20is%20only%20as%20good%20as%20the,Us.%20How%20It%20Works%20%2D%20Market%20Analysis.</t>
  </si>
  <si>
    <t>bestgeoagency.com.au</t>
  </si>
  <si>
    <t>Leading Data Analytics Agency in Australia | TEAM LEWIS</t>
  </si>
  <si>
    <t>Luminary, Online Marketing Gurus, Momentum, Prosperity Media, StudioHawk, Reload Media, King Kong</t>
  </si>
  <si>
    <t>birdeye.com</t>
  </si>
  <si>
    <t>https://theredrepublic.com/top-10-best-advertising-agencies-leading-australia-2025/</t>
  </si>
  <si>
    <t>Clearwater Agency, Soup Agency, Megaphone</t>
  </si>
  <si>
    <t>bizwisdom.com.au</t>
  </si>
  <si>
    <t>Our Top 5: The Best Creative Advertising Agencies Leading Australia in 2025 | The Red Republic</t>
  </si>
  <si>
    <t>blog.google</t>
  </si>
  <si>
    <t>https://www.upliftgtm.com/blog/best-aeo-agencies</t>
  </si>
  <si>
    <t>bmgww.com</t>
  </si>
  <si>
    <t>Best AEO Agencies 2026: Top 12 Answer Engine Optimization Firms</t>
  </si>
  <si>
    <t>brandwolfcreative.com</t>
  </si>
  <si>
    <t>brightwaterdigital.com.au</t>
  </si>
  <si>
    <t>https://uprisedigital.com.au/blog/best-google-ads-agencies-sydney/</t>
  </si>
  <si>
    <t>bytetracks.com.au</t>
  </si>
  <si>
    <t>8 Best Google Ads Agencies in Sydney (2026) - Uprise Digital</t>
  </si>
  <si>
    <t>Uprise Digital, Rocket Agency, AdVisible, Online Marketing Gurus, Gorilla 360, Omnicom Media Group</t>
  </si>
  <si>
    <t>https://agencies.semrush.com/list/analytics-data-science/australia/small-business/</t>
  </si>
  <si>
    <t>caffeinate.com.au</t>
  </si>
  <si>
    <t>Best Data Analytics Services for Small Business in Australia 2026 | Semrush</t>
  </si>
  <si>
    <t>calypsodesigns.com.au</t>
  </si>
  <si>
    <t>Soup Agency, First Page, Clearwater Agency, Measured, Earned Media, Impressive, Online Marketing Gurus, Omnicom Media Group, Click Click Media, 80/20 Digital, Huge, Megantic</t>
  </si>
  <si>
    <t>https://bconic.com/</t>
  </si>
  <si>
    <t>cantydigital.com.au</t>
  </si>
  <si>
    <t>Bconic: Independent Marketing Measurement Platform</t>
  </si>
  <si>
    <t>Clearwater Agency, Digital Nomads HQ, Soup Agency, Megaphone</t>
  </si>
  <si>
    <t>choosedigital.com.au</t>
  </si>
  <si>
    <t>https://bluemoonmarketing.com.au/best-aeo-agency-in-australia/</t>
  </si>
  <si>
    <t>cjco.com.au</t>
  </si>
  <si>
    <t>Huge, Impressive</t>
  </si>
  <si>
    <t>clemengerbbdo.com</t>
  </si>
  <si>
    <t>Clemenger BBDO</t>
  </si>
  <si>
    <t>cmwgeosciences.com</t>
  </si>
  <si>
    <t>https://www.bluesensedigital.com.au/</t>
  </si>
  <si>
    <t>codiant.ai</t>
  </si>
  <si>
    <t>Blue Sense Digital | Performance media, judged by the P&amp;amp;L</t>
  </si>
  <si>
    <t>compliancecouncil.com.au</t>
  </si>
  <si>
    <t>contentfx.com</t>
  </si>
  <si>
    <t>Blue Sense Digital, Measured</t>
  </si>
  <si>
    <t>https://bmf.com.au/</t>
  </si>
  <si>
    <t>conversioncreative.com.au</t>
  </si>
  <si>
    <t>BMF — Australia’s Most Effective Creative Agency</t>
  </si>
  <si>
    <t>couriermail.com.au</t>
  </si>
  <si>
    <t>https://www.bonfire.com.au/services/performance-media/google-ads/</t>
  </si>
  <si>
    <t>creativemode.com.au</t>
  </si>
  <si>
    <t>Google Ads Agency Perth | Leading Google Premier Partner</t>
  </si>
  <si>
    <t>dailybulletin.com.au</t>
  </si>
  <si>
    <t>Bonfire</t>
  </si>
  <si>
    <t>Emote Digital, Clearwater Agency, Rocket Agency, Soup Agency, Measured, NP Digital Australia, Impressive, Prosperity Media, Safari Digital, Webprofits</t>
  </si>
  <si>
    <t>https://www.bushnote.com/articles/best-digital-marketing-agency-for-ai-search-australia</t>
  </si>
  <si>
    <t>darkroomagency.com</t>
  </si>
  <si>
    <t>Tinuiti, Power Digital, Impressive</t>
  </si>
  <si>
    <t>Best Digital Marketing Agencies for AI Search in Australia</t>
  </si>
  <si>
    <t>defencesa.com</t>
  </si>
  <si>
    <t>Bushnote, Sparro, Resolution Digital, Reload Media</t>
  </si>
  <si>
    <t>https://clearwateragency.com.au/ai-seo-agency</t>
  </si>
  <si>
    <t>dentsu.com</t>
  </si>
  <si>
    <t>AI SEO Agency Australia | Expert AI Search Services</t>
  </si>
  <si>
    <t>Dentsu</t>
  </si>
  <si>
    <t>designmagazine.com.au</t>
  </si>
  <si>
    <t>Hulsbosch, CUT THRU</t>
  </si>
  <si>
    <t>digitaldeluxe.com.au</t>
  </si>
  <si>
    <t>https://clicksgeek.com/marketing-attribution-tracking-services/</t>
  </si>
  <si>
    <t>digitalmoose.com.au</t>
  </si>
  <si>
    <t>9 Best Marketing Attribution Tracking Services 2026</t>
  </si>
  <si>
    <t>Measured, Momentum, HERO</t>
  </si>
  <si>
    <t>drakecontent.com.au</t>
  </si>
  <si>
    <t>https://directiveconsulting.com/blog/best-geo-agencies/</t>
  </si>
  <si>
    <t>dreamdata.io</t>
  </si>
  <si>
    <t>25 Best GEO Agencies For B2B - Directive</t>
  </si>
  <si>
    <t>earnedmedia.com.au</t>
  </si>
  <si>
    <t>Impressive, Earned Media</t>
  </si>
  <si>
    <t>ebiquity.com</t>
  </si>
  <si>
    <t>Earned Media, Intero Digital, First Page, Deloitte</t>
  </si>
  <si>
    <t>https://www.epicit.com.au/our-services/ai-services/ai-assessment/</t>
  </si>
  <si>
    <t>elevionconsulting.com.au</t>
  </si>
  <si>
    <t>AI Readiness Assessment Australia | Epic IT</t>
  </si>
  <si>
    <t>engineroom.com.au</t>
  </si>
  <si>
    <t>https://farsiight.com/services/digital-strategy/performance-marketing-melbourne/#:~:text=At%20farsiight%2C%20we%20specialise%20in,Education%2C%20Travel%2C%20and%20more.</t>
  </si>
  <si>
    <t>esomar.org</t>
  </si>
  <si>
    <t>Award-Winning Performance Marketing Agency in Melbourne</t>
  </si>
  <si>
    <t>estran.io</t>
  </si>
  <si>
    <t>Farsiight, Huge, Impressive</t>
  </si>
  <si>
    <t>https://www.generativeengineoptimisation.com.au/</t>
  </si>
  <si>
    <t>eventbrite.com.au</t>
  </si>
  <si>
    <t>Loves Data</t>
  </si>
  <si>
    <t>evolvingdigital.com.au</t>
  </si>
  <si>
    <t>Generative Engine Optimisation Australia — Be Found in the Age of AI</t>
  </si>
  <si>
    <t>eykdata.com</t>
  </si>
  <si>
    <t>First Page, Huge</t>
  </si>
  <si>
    <t>fastdatascience.com</t>
  </si>
  <si>
    <t>https://www.google.com/ads/publisher/partners/find-a-partner/</t>
  </si>
  <si>
    <t>firewiredigital.com.au</t>
  </si>
  <si>
    <t>https://govanator.com/best-performance-marketing-services-in-australia/</t>
  </si>
  <si>
    <t>fisherdigital.com.au</t>
  </si>
  <si>
    <t>Best Performance Marketing Services in Australia</t>
  </si>
  <si>
    <t>fivestones.net</t>
  </si>
  <si>
    <t>Digital Nomads HQ, Clearwater Agency, Online Marketing Gurus, eMarket Experts, Megaphone, SearchMax, Supple Digital, Reload Media, Webprofits, Alpha Digital, Rocket Agency, Impressive, Zib Digital</t>
  </si>
  <si>
    <t>https://www.gtm8020.com/blog/best-aeo-agencies</t>
  </si>
  <si>
    <t>fixnhour.com</t>
  </si>
  <si>
    <t>Best AEO Agencies - 2026 — GTM 8020</t>
  </si>
  <si>
    <t>flurodigital.com</t>
  </si>
  <si>
    <t>https://www.linkedin.com/pulse/top-data-analytics-services-australia-vanator-assist-dcjvf?trk=public_post</t>
  </si>
  <si>
    <t>forvio.com</t>
  </si>
  <si>
    <t>fzpdigital.com</t>
  </si>
  <si>
    <t>Top Data Analytics Services in Australia</t>
  </si>
  <si>
    <t>Impressive, Huge</t>
  </si>
  <si>
    <t>gbg-group.com.au</t>
  </si>
  <si>
    <t>https://www.marketingeye.com.au/ai-marketing-consultant-services.html</t>
  </si>
  <si>
    <t>gcmag.com.au</t>
  </si>
  <si>
    <t>Online Marketing Gurus, Farsiight, Impressive, Soup Agency, First Page Australia, NP Digital Australia, Alpha Digital, King Kong, Supple Digital, Measured, Earned Media, 80/20 Digital, Omnicom Media Group, First Page</t>
  </si>
  <si>
    <t>AI Marketing Consulting Services - Marketing Eye</t>
  </si>
  <si>
    <t>gemfind.com</t>
  </si>
  <si>
    <t>geo-logix.com.au</t>
  </si>
  <si>
    <t>https://www.marketingsystems.com.au/services/measurement-agency</t>
  </si>
  <si>
    <t>geoconsultants.com.au</t>
  </si>
  <si>
    <t>Marketing Measurement Agency Melbourne | Marketing Systems</t>
  </si>
  <si>
    <t>geodigital.com.au</t>
  </si>
  <si>
    <t>geooptimisation.com.au</t>
  </si>
  <si>
    <t>https://www.measured.com/faq/what-is-incrementality-testing/</t>
  </si>
  <si>
    <t>Rocket Agency, Luminary, First Page, Prosperity Media</t>
  </si>
  <si>
    <t>georankai.com</t>
  </si>
  <si>
    <t>What is Incrementality Testing (w/ Calculations &amp;amp; Examples)</t>
  </si>
  <si>
    <t>https://myohomarketing.com.au/generative-engine-optimisation/</t>
  </si>
  <si>
    <t>ggconsultants.com.au</t>
  </si>
  <si>
    <t>Generative Engine Optimisation (GEO) Services | Leading GEO Agency in Australia - Myoho Marketing</t>
  </si>
  <si>
    <t>grantthornton.com.au</t>
  </si>
  <si>
    <t>https://omnieclipse.ai/blog/best-aeo-agencies-australia-2026</t>
  </si>
  <si>
    <t>growth-hackers.net</t>
  </si>
  <si>
    <t>https://pivotus.com.au/marketingintelligence/#:~:text=Organic%20Social%20%26%20EDM%20Performance.%20Effortlessly%20compare,%2D%20Controlled%20Experiments.%20%2D%20Marketing%20Mix%20Modelling.</t>
  </si>
  <si>
    <t>growthaffect.com.au</t>
  </si>
  <si>
    <t>Marketing Intelligence | Pivotus</t>
  </si>
  <si>
    <t>gtechsol.com.au</t>
  </si>
  <si>
    <t>https://www.resolutiondigital.com.au/services/measurement/analytics/</t>
  </si>
  <si>
    <t>havas.com</t>
  </si>
  <si>
    <t>App &amp;amp; Website Analytics | Resolution Digital Australia</t>
  </si>
  <si>
    <t>hedgehogmarketing.com.au</t>
  </si>
  <si>
    <t>Resolution Digital, weDiscover, Omnicom Media Group</t>
  </si>
  <si>
    <t>https://rokitupmedia.com.au/top-10-affordable-media-agencies-in-australia-for-small-businesses/</t>
  </si>
  <si>
    <t>hellopeople.com.au</t>
  </si>
  <si>
    <t>Top 10 Affordable Media Agencies in Australia for Small Businesses - Rokitup Media</t>
  </si>
  <si>
    <t>hindsight.com.au</t>
  </si>
  <si>
    <t>Zib Digital, Emote Digital, Rocket Agency, King Kong</t>
  </si>
  <si>
    <t>hirewithnear.com</t>
  </si>
  <si>
    <t>https://www.silverbackstrategies.com/lists/best-geo-agencies-generative-engine-optimization-in-2026-ranked-reviewed/</t>
  </si>
  <si>
    <t>hoefonsecurityseals.com</t>
  </si>
  <si>
    <t>Best GEO Agencies (Generative Engine Optimization) in 2026 (Ranked &amp;amp; Reviewed) | Silverback Strategies</t>
  </si>
  <si>
    <t>honchosearch.com</t>
  </si>
  <si>
    <t>humanova.com.au</t>
  </si>
  <si>
    <t>https://www.smartinc.com/news/top-10-best-ad-agency-in-australia-leading-sydney-melbourne-brisbane#:~:text=2.%20Blue%2DChip%20Client%20Portfolios%20and%20Commercial%20Impact.,simple%20aesthetics%20to%20solve%20complex%20business%20problems.</t>
  </si>
  <si>
    <t>i4s.au</t>
  </si>
  <si>
    <t>HERO Tops Best Creative Ad Agency Hot List for Australia, Across Sydney, Melbourne and Brisbane — SMART</t>
  </si>
  <si>
    <t>Online Marketing Gurus, Impressive, Reload Media, WebSavvy, Omnicom Media Group</t>
  </si>
  <si>
    <t>ichelonconsulting.com</t>
  </si>
  <si>
    <t>https://www.sortlist.com/s/programmatic-advertising/australia-au</t>
  </si>
  <si>
    <t>iconagency.com.au</t>
  </si>
  <si>
    <t>The 10 Best Programmatic Advertising Companies in Australia - 2026 Reviews</t>
  </si>
  <si>
    <t>incrmntal.com</t>
  </si>
  <si>
    <t>https://www.sortlist.com/social-media/australia-au</t>
  </si>
  <si>
    <t>indexandomarketing.com</t>
  </si>
  <si>
    <t>The 10 Best Social Media Agencies in Australia - 2026 Reviews</t>
  </si>
  <si>
    <t>influencer-hero.com</t>
  </si>
  <si>
    <t>Measured, Earned Media, Clearwater Agency, Impressive, Supple Digital, Soup Agency, HERO, Digital Nomads HQ, SIXGUN</t>
  </si>
  <si>
    <t>https://trpagency.com.au/campaign-measurement-agency-australia/#:~:text=If%20your%20reporting%20feels%20shallow%2C%20confusing%20or,sales%20across%20both%20brand%20and%20performance%20channels.</t>
  </si>
  <si>
    <t>HERO, Emote Digital, Earned Media</t>
  </si>
  <si>
    <t>infokus.com.au</t>
  </si>
  <si>
    <t>Campaign Measurement Agency | Results-Focused Attribution &amp;amp; Analytics Specialists</t>
  </si>
  <si>
    <t>insighten.com.au</t>
  </si>
  <si>
    <t>instagram.com</t>
  </si>
  <si>
    <t>https://www.10seos.com/au/display-advertising-companies-in-australia?page=2</t>
  </si>
  <si>
    <t>Absolutely AI</t>
  </si>
  <si>
    <t>interteammarketing.com</t>
  </si>
  <si>
    <t>Ninja Promo</t>
  </si>
  <si>
    <t>https://www.adnews.com.au/news/wpp-media-maintains-recma-lead</t>
  </si>
  <si>
    <t>invademarketing.com</t>
  </si>
  <si>
    <t>WPP Media maintains RECMA lead - AdNews</t>
  </si>
  <si>
    <t>ipsos.com</t>
  </si>
  <si>
    <t>ironpathinteractive.com.au</t>
  </si>
  <si>
    <t>WPP, EssenceMediacom, Omnicom Media Group, OMD, Mindshare, PHD, Dentsu</t>
  </si>
  <si>
    <t>https://agencies.semrush.com/list/ai-optimization/australia/</t>
  </si>
  <si>
    <t>itbrief.asia</t>
  </si>
  <si>
    <t>Best AI Search Optimization Agencies in Australia 2026 | Semrush</t>
  </si>
  <si>
    <t>itbrief.com.au</t>
  </si>
  <si>
    <t>https://agencies.semrush.com/list/display-advertising/arts-entertainment/australia/</t>
  </si>
  <si>
    <t>jacinthsolutions.com.au</t>
  </si>
  <si>
    <t>Best Media &amp;amp; Entertainment Display Ads Agencies in Australia 2026 | Semrush</t>
  </si>
  <si>
    <t>jbedigital.com.au</t>
  </si>
  <si>
    <t>Soup Agency, First Page, Online Marketing Gurus, Omnicom Media Group, 80/20 Digital, Measured</t>
  </si>
  <si>
    <t>https://www.andmine.com.au/</t>
  </si>
  <si>
    <t>kamexa.ai</t>
  </si>
  <si>
    <t>AndMine™ AI Digital Agency - #1 Melbourne, Sydney, Big AI, Marketing, Technology</t>
  </si>
  <si>
    <t>kersai.com</t>
  </si>
  <si>
    <t>keyspace.com.au</t>
  </si>
  <si>
    <t>https://www.bbe.io/top-10-best-advertising-agency-leaders-australia-2025-sydney-melbourne-brisbane</t>
  </si>
  <si>
    <t>Impressive, SearchMax</t>
  </si>
  <si>
    <t>kineticconsulting.com.au</t>
  </si>
  <si>
    <t>kingkong.co</t>
  </si>
  <si>
    <t>https://www.bimodal.io/</t>
  </si>
  <si>
    <t>Huge, HERO, King Kong</t>
  </si>
  <si>
    <t>Marketing Science Platform. Experiment, validate, and optimise your marketing with Bimodal</t>
  </si>
  <si>
    <t>koadigital.com.au</t>
  </si>
  <si>
    <t>kodedigital.com.au</t>
  </si>
  <si>
    <t>https://www.bushnote.com/articles/best-10-aeo-agencies-in-australia-to-promote-b2b-saas-companies-in-2026</t>
  </si>
  <si>
    <t>kuehne-nagel.com</t>
  </si>
  <si>
    <t>Best 10 AEO Agencies in Australia for B2B SaaS in 2026</t>
  </si>
  <si>
    <t>Bushnote, Webprofits, StudioHawk, Prosperity Media, Impressive, Luminary, Salt &amp; Fuessel</t>
  </si>
  <si>
    <t>kwasi.com</t>
  </si>
  <si>
    <t>https://clutch.co/agencies/performance-marketing</t>
  </si>
  <si>
    <t>leaddigital.com.au</t>
  </si>
  <si>
    <t>Top Performance Marketing Agencies - Jul 2026 Rankings | Clutch.co</t>
  </si>
  <si>
    <t>Impressive, Momentum, Edge Marketing</t>
  </si>
  <si>
    <t>https://digitalagencynetwork.com/agencies/sydney/ai-marketing/</t>
  </si>
  <si>
    <t>lightningventures.com.au</t>
  </si>
  <si>
    <t>Top AI Marketing Agencies in Sydney (2026)</t>
  </si>
  <si>
    <t>localiq.com</t>
  </si>
  <si>
    <t>Luminary, In Marketing We Trust, Soup Agency</t>
  </si>
  <si>
    <t>https://edisonmoment.com/agency/best/digital-marketing-agency-australia</t>
  </si>
  <si>
    <t>louder.com.au</t>
  </si>
  <si>
    <t>Digital Marketing Agency in Australia | Edison Moment</t>
  </si>
  <si>
    <t>lovesdata.com</t>
  </si>
  <si>
    <t>https://gorilla360.com.au/google-ads/sydney/</t>
  </si>
  <si>
    <t>luckyboy.agency</t>
  </si>
  <si>
    <t>Google Ads Agency Sydney [Google Premier Partner]</t>
  </si>
  <si>
    <t>lumifywork.com</t>
  </si>
  <si>
    <t>madsunmedia.com</t>
  </si>
  <si>
    <t>Gorilla 360, Huge</t>
  </si>
  <si>
    <t>https://hyperdot.com.au/about-hyperdot/</t>
  </si>
  <si>
    <t>makeitbigmedia.com</t>
  </si>
  <si>
    <t>About Us | Hyperdot</t>
  </si>
  <si>
    <t>mammothgeospatial.com</t>
  </si>
  <si>
    <t>https://impressive.com.au/social-media-marketing/</t>
  </si>
  <si>
    <t>marketing-interactive.com</t>
  </si>
  <si>
    <t>Social Media Marketing Agency | Award-Winning Social Media Agency</t>
  </si>
  <si>
    <t>The Monkeys, Momentum, BMF</t>
  </si>
  <si>
    <t>marketingattribution.com</t>
  </si>
  <si>
    <t>https://influencermarketinghub.com/social-media-marketing-agencies-australia/</t>
  </si>
  <si>
    <t>marketingattributionsoftware.com</t>
  </si>
  <si>
    <t>Top 13 Social Media Marketing Agencies in Australia</t>
  </si>
  <si>
    <t>matomo.org</t>
  </si>
  <si>
    <t>Megaphone, Farsiight, Emote Digital, Sparro</t>
  </si>
  <si>
    <t>maturedge.com.au</t>
  </si>
  <si>
    <t>https://www.infraworx.com.au/ai-automation-consulting-sydney/</t>
  </si>
  <si>
    <t>mediaright.au</t>
  </si>
  <si>
    <t>AI Consultants &amp;amp; Automation Agency Sydney | Infraworx</t>
  </si>
  <si>
    <t>megaphone.com.au</t>
  </si>
  <si>
    <t>Huge, Megaphone</t>
  </si>
  <si>
    <t>methodworks.com.au</t>
  </si>
  <si>
    <t>https://www.latentview.com/glossary/incrementality-testing/</t>
  </si>
  <si>
    <t>mida.so</t>
  </si>
  <si>
    <t>What Is Incrementality Testing? Purpose, Best Practices &amp;amp; Frameworks</t>
  </si>
  <si>
    <t>mooning.com</t>
  </si>
  <si>
    <t>moveaheadmedia.com.au</t>
  </si>
  <si>
    <t>https://marketixdigital.com.au/ai-seo-agency/</t>
  </si>
  <si>
    <t>munro.agency</t>
  </si>
  <si>
    <t>Dentsu, Croud, Deloitte Digital, Accenture Song, Saatchi &amp; Saatchi, WPP, Publicis Groupe, Mindshare, KPMG, Deloitte, Earned Media, VML</t>
  </si>
  <si>
    <t>mvrdigital.co</t>
  </si>
  <si>
    <t>🌎 AI SEO Agency | Generative AI SEO Service | Marketix | Marketix Digital</t>
  </si>
  <si>
    <t>nexttabagency.com</t>
  </si>
  <si>
    <t>nimbull.com.au</t>
  </si>
  <si>
    <t>https://www.mayple.com/resources/googleadvertising/google-ads-agencies-australia</t>
  </si>
  <si>
    <t>nutshell.com</t>
  </si>
  <si>
    <t>5 Best Google Ads Agencies in Australia for Local...</t>
  </si>
  <si>
    <t>odindigital.com.au</t>
  </si>
  <si>
    <t>HERO, First Page</t>
  </si>
  <si>
    <t>https://www.multimediax.com.au/google-ads-agency/</t>
  </si>
  <si>
    <t>ogilvypr.com.au</t>
  </si>
  <si>
    <t>Google Ads Agency Sydney - Multimediax | PPC</t>
  </si>
  <si>
    <t>oneclickdigital.net.au</t>
  </si>
  <si>
    <t>Impressive, GroupM, WPP, Ogilvy Australia, Mindshare, Clemenger BBDO, EssenceMediacom, Wavemaker, BMF, VML</t>
  </si>
  <si>
    <t>oneegg.com.au</t>
  </si>
  <si>
    <t>https://www.nuundigital.com/services/data-analytics/marketing-analytics-attribution</t>
  </si>
  <si>
    <t>oneorangecow.com</t>
  </si>
  <si>
    <t>NUUN Digital | Revenue-accountable partner</t>
  </si>
  <si>
    <t>optimising.com.au</t>
  </si>
  <si>
    <t>https://one-x.au/data-driven-marketing-australian-companies/</t>
  </si>
  <si>
    <t>osher.com.au</t>
  </si>
  <si>
    <t>Maximising ROI: Data-Driven Marketing for Australian Companies</t>
  </si>
  <si>
    <t>paperstack.com.au</t>
  </si>
  <si>
    <t>https://onelittleweb.com/top-agencies/top-performance-marketing-agencies/</t>
  </si>
  <si>
    <t>paramark.com</t>
  </si>
  <si>
    <t>paulmartinmarketing.com</t>
  </si>
  <si>
    <t>Top Performance Marketing Agencies 2026 – Ranked &amp;amp; Reviewed</t>
  </si>
  <si>
    <t>peertopeermarketing.co</t>
  </si>
  <si>
    <t>https://pinemarsh.com/</t>
  </si>
  <si>
    <t>Huge, Dentsu, GroupM, WPP</t>
  </si>
  <si>
    <t>performics.com</t>
  </si>
  <si>
    <t>Pinemarsh — Independent Marketing Measurement</t>
  </si>
  <si>
    <t>Publicis Groupe</t>
  </si>
  <si>
    <t>pimms.io</t>
  </si>
  <si>
    <t>https://revium.com.au/</t>
  </si>
  <si>
    <t>pivotalagency.com.au</t>
  </si>
  <si>
    <t>Digital &amp;amp; AI Consulting | Australia's Foremost Digital &amp;amp; AI Consultancy | Revium</t>
  </si>
  <si>
    <t>pivotale.ai</t>
  </si>
  <si>
    <t>precisiondatapartners.com.au</t>
  </si>
  <si>
    <t>https://rocketagency.com.au/services/google-ads-agency</t>
  </si>
  <si>
    <t>presenc.ai</t>
  </si>
  <si>
    <t>Google Ads Agency: Award-Winning Services | Rocket Agency</t>
  </si>
  <si>
    <t>provokemedia.com</t>
  </si>
  <si>
    <t>Rocket Agency</t>
  </si>
  <si>
    <t>https://roi.com.au/service/digital-marketing-agency-australia-2026/</t>
  </si>
  <si>
    <t>Dentsu, Impressive, WPP, Ogilvy Australia, Earned Media</t>
  </si>
  <si>
    <t>purealanalytics.co.uk</t>
  </si>
  <si>
    <t>Digital Marketing Agency Australia (2026) | AI Marketing Agency Australia | roi.com.au</t>
  </si>
  <si>
    <t>Growth Digital, ROI Growth Agency</t>
  </si>
  <si>
    <t>puroai.com.au</t>
  </si>
  <si>
    <t>https://simplyai.com.au/</t>
  </si>
  <si>
    <t>rapidmedia.com.au</t>
  </si>
  <si>
    <t>SimplyAi - Agentic AI &amp;amp; Data Automation Consulting Australia</t>
  </si>
  <si>
    <t>razorfish.com.au</t>
  </si>
  <si>
    <t>https://www.sortlist.com/digital-marketing/australia-au</t>
  </si>
  <si>
    <t>reformdigital.com.au</t>
  </si>
  <si>
    <t>Reform Digital</t>
  </si>
  <si>
    <t>The 10 Best Digital Marketing Agencies in Australia - 2026 Reviews</t>
  </si>
  <si>
    <t>rfp.wiki</t>
  </si>
  <si>
    <t>VML, Accenture Song, WPP</t>
  </si>
  <si>
    <t>Measured, Earned Media, Clearwater Agency, Impressive, Supple Digital, Digital Nomads HQ, Soup Agency, HERO, Momentum</t>
  </si>
  <si>
    <t>https://www.sortlist.com/l/australia-au</t>
  </si>
  <si>
    <t>riseuplabs.com</t>
  </si>
  <si>
    <t>Sparro, Digital Nomads HQ, Emote Digital</t>
  </si>
  <si>
    <t>roboticmarketer.com</t>
  </si>
  <si>
    <t>The 10 Best Marketing Agencies in Australia - 2026 Reviews</t>
  </si>
  <si>
    <t>Measured, Earned Media, Clearwater Agency, Digital Nomads HQ, Soup Agency, HERO, Impressive, Supple Digital</t>
  </si>
  <si>
    <t>https://talonsmarketing.com.au/10-best-chatgpt-optimisation-agencies-australia/</t>
  </si>
  <si>
    <t>rocketreach.co</t>
  </si>
  <si>
    <t>rzlt.io</t>
  </si>
  <si>
    <t>10 Best ChatGPT Optimisation Agencies in Australia (2026) - Talons Marketing</t>
  </si>
  <si>
    <t>Talons Marketing, StudioHawk, Intesols, Online Marketing Gurus, Alley Group, Huge, Measured</t>
  </si>
  <si>
    <t>salesforce.com</t>
  </si>
  <si>
    <t>https://www.theaustralian.com.au/sponsored-content/beyond-ai-pilots-the-organisations-turning-ai-ambition-into-action/news-story/415e261ad0bf616e51c3b7b79b17a86f</t>
  </si>
  <si>
    <t>savvyaustralia.com</t>
  </si>
  <si>
    <t>scopicstudios.com</t>
  </si>
  <si>
    <t>Beyond AI pilots, the organisations turning AI ambition into action \| The Australian</t>
  </si>
  <si>
    <t>sd-group.com.au</t>
  </si>
  <si>
    <t>Momentum, Deloitte Digital, Deloitte</t>
  </si>
  <si>
    <t>sedigital.com.au</t>
  </si>
  <si>
    <t>https://www.thehero.co/news</t>
  </si>
  <si>
    <t>segments.com.au</t>
  </si>
  <si>
    <t>The Best of Australia’s Top-Ranked Creative Advertising &amp;amp; Marketing Performance Agency | HERO News</t>
  </si>
  <si>
    <t>Edge Marketing</t>
  </si>
  <si>
    <t>semhook.com</t>
  </si>
  <si>
    <t>https://themanifest.com/au/media-buying/agencies</t>
  </si>
  <si>
    <t>seomelbourne.com</t>
  </si>
  <si>
    <t>The Best Media Planning and Buying Companies in Australia - Jul 2026 | The Manifest</t>
  </si>
  <si>
    <t>shakostats.com</t>
  </si>
  <si>
    <t>Soup Agency, Bench Media, DNM Digital, MK Media</t>
  </si>
  <si>
    <t>https://virtualadagency.com.au/best-digital-marketing-companies/</t>
  </si>
  <si>
    <t>shokeproductions.com</t>
  </si>
  <si>
    <t>Finding the 7 Best Digital Marketing Companies in Australia for 2026</t>
  </si>
  <si>
    <t>shuffledigital.com.au</t>
  </si>
  <si>
    <t>StudioHawk, Alley Group, Prosperity Media</t>
  </si>
  <si>
    <t>skai.io</t>
  </si>
  <si>
    <t>Online Marketing Gurus, Omnicom Media Group, Sparro, Brainlabs, Reload Media, Impressive, Rocket Agency, King Kong</t>
  </si>
  <si>
    <t>https://www.23digital.com.au/performance-marketing-agency/</t>
  </si>
  <si>
    <t>slalom.com</t>
  </si>
  <si>
    <t>smashbrandgroup.com.au</t>
  </si>
  <si>
    <t>Performance Marketing | Performance Marketing Agency | 23 Digital</t>
  </si>
  <si>
    <t>23 Digital, Measured</t>
  </si>
  <si>
    <t>https://www.50pros.com/hire/advertising/attribution-and-measurement</t>
  </si>
  <si>
    <t>sotatek.com.au</t>
  </si>
  <si>
    <t>spruik.co</t>
  </si>
  <si>
    <t>Top Attribution &amp; Measurement Agencies to Hire in June 2026</t>
  </si>
  <si>
    <t>stackdigital.com.au</t>
  </si>
  <si>
    <t>https://www.adcountable.com/</t>
  </si>
  <si>
    <t>stratabeat.com</t>
  </si>
  <si>
    <t>Earned Media, Impressive, First Page</t>
  </si>
  <si>
    <t>strategicai.marketing</t>
  </si>
  <si>
    <t>strategyeye.com</t>
  </si>
  <si>
    <t>Tinuiti, PMG, Brainlabs</t>
  </si>
  <si>
    <t>https://www.advancer.com.au/ai-consulting-brisbane</t>
  </si>
  <si>
    <t>studioandcomarketing.com.au</t>
  </si>
  <si>
    <t>studioslate.com.au</t>
  </si>
  <si>
    <t>AI Consulting Brisbane Australia | Advancer – The AI Agency — Advancer – The AI Agency | AI Consulting Brisbane &amp;amp; Automation in Australia</t>
  </si>
  <si>
    <t>summitguard.com.au</t>
  </si>
  <si>
    <t>https://avinashvagh.com/blog/best-aeo-agencies-australia</t>
  </si>
  <si>
    <t>techtalkradio.com.au</t>
  </si>
  <si>
    <t>Best AEO Agencies in Australia for SaaS Founders 2026</t>
  </si>
  <si>
    <t>Measured, Digital Nomads HQ</t>
  </si>
  <si>
    <t>https://www.bbe.io/leading-advertising-agencies-in-australia-2025-sydney-melbourne-brisbane</t>
  </si>
  <si>
    <t>thedigitalhub.com.au</t>
  </si>
  <si>
    <t>BBE Agency | Better Brand Experiences | Strategy, Creative, Digital, Brand, Performance Marketing Agency</t>
  </si>
  <si>
    <t>thedrum.com</t>
  </si>
  <si>
    <t>https://www.bbe.io/top-10-advertising-agencies-2026-melbourne-sydney-brisbane</t>
  </si>
  <si>
    <t>themarketer.news</t>
  </si>
  <si>
    <t>Rocket Agency, Bonfire, Thinkerbell</t>
  </si>
  <si>
    <t>thesearchspecialist.com.au</t>
  </si>
  <si>
    <t>thestable.com.au</t>
  </si>
  <si>
    <t>Howatson+Company, VML, Mindshare, Accenture Song, Dentsu, Wavemaker</t>
  </si>
  <si>
    <t>thetimes.com.au</t>
  </si>
  <si>
    <t>https://clickclickbangbang.com.au/social-media-marketing-firms/</t>
  </si>
  <si>
    <t>Top 7 Social Media Marketing Firms for 2026</t>
  </si>
  <si>
    <t>tiktok.com</t>
  </si>
  <si>
    <t>Momentum, Megaphone, Reload Media, Sparro, Brainlabs</t>
  </si>
  <si>
    <t>https://clickclickmedia.com.au/paid-social-agency/</t>
  </si>
  <si>
    <t>tmr.agency</t>
  </si>
  <si>
    <t>topseos.com</t>
  </si>
  <si>
    <t>Paid Social Agency Sydney | Meta, TikTok &amp;amp; LinkedIn Ads</t>
  </si>
  <si>
    <t>tripledart.com</t>
  </si>
  <si>
    <t>https://clutch.co/au/consulting/ai/sydney</t>
  </si>
  <si>
    <t>trkkn.com</t>
  </si>
  <si>
    <t>TRKKN</t>
  </si>
  <si>
    <t>Top AI Consultants in Sydney - Jul 2026 Rankings \| Clutch.co</t>
  </si>
  <si>
    <t>trustpilot.com</t>
  </si>
  <si>
    <t>Luminary, In Marketing We Trust, Impressive, Huge, Team 400</t>
  </si>
  <si>
    <t>https://conquerradigital.com.au/top-10-digital-marketing-agencies-in-australia/</t>
  </si>
  <si>
    <t>tussledigital.com</t>
  </si>
  <si>
    <t>unify.net.au</t>
  </si>
  <si>
    <t>Top 10 Digital Marketing Agencies In Australia | Conquerra Digital</t>
  </si>
  <si>
    <t>King Kong, Online Marketing Gurus, Clearwater Agency, Sparro, First Page, Alpha Digital, Webprofits, Bushnote, Omnicom Media Group, Momentum</t>
  </si>
  <si>
    <t>upgrad.com</t>
  </si>
  <si>
    <t>https://corporatedesignsolutions.com.au/top-10-generative-engine-optimisation-agencies-western-australia/</t>
  </si>
  <si>
    <t>uptech.team</t>
  </si>
  <si>
    <t>urbanbased.com.au</t>
  </si>
  <si>
    <t>Our Top 10 AI GEO (Generative Engine Optimisation) Agencies in Western Australia 2025 Rankings – corporatedesignsolutions.com.au</t>
  </si>
  <si>
    <t>v2.ai</t>
  </si>
  <si>
    <t>vegavid.com</t>
  </si>
  <si>
    <t>vonnimedia.com.au</t>
  </si>
  <si>
    <t>https://eightclients.com.au/ai-marketing-agency/#:~:text=Imagine%20your%20social%20media%20campaigns%2C%20supercharged%20by,AI%20meets%20creativity%20and%20strategy%20meets%20technology.</t>
  </si>
  <si>
    <t>webplanners.com.au</t>
  </si>
  <si>
    <t>AI Marketing Agency | Eight Clients</t>
  </si>
  <si>
    <t>werankle.com</t>
  </si>
  <si>
    <t>https://www.elephantroom.com.au/measurement</t>
  </si>
  <si>
    <t>whitehatagency.com.au</t>
  </si>
  <si>
    <t>KPMG, Measured</t>
  </si>
  <si>
    <t>Ecommerce Data Analytics Agency | Elephant Room</t>
  </si>
  <si>
    <t>wilsonai.com</t>
  </si>
  <si>
    <t>wmegroup.com.au</t>
  </si>
  <si>
    <t>Earned Media, StudioHawk, King Kong, Omnicom Media Group, Huge, Digital Nomads HQ, Supple Digital, SIXGUN, First Page, Prosperity Media, Online Marketing Gurus, First Page Australia, Safari Digital, Deloitte</t>
  </si>
  <si>
    <t>https://fabulate.com.au/page/ai-marketing-australia</t>
  </si>
  <si>
    <t>yelp.com</t>
  </si>
  <si>
    <t>zoominfo.com</t>
  </si>
  <si>
    <t>Momentum, Metric Labs</t>
  </si>
  <si>
    <t>https://fastlanerecruit.com/blog/top-20-digital-marketing-companies-in-australia/</t>
  </si>
  <si>
    <t>Top Digital Marketing Agencies Australia 2026</t>
  </si>
  <si>
    <t>Clearwater Agency, Soup Agency, Luminary, Farsiight, Digital Nomads HQ, SIXGUN, Human Digital, Intesols, 80/20 Digital, Salt &amp; Fuessel, Emote Digital, StudioHawk, King Kong, Megaphone, KPMG</t>
  </si>
  <si>
    <t>https://fusepointinsights.com/service/incrementality-experiments/</t>
  </si>
  <si>
    <t>Incrementality Experiments for Marketing Measurement | fusepoint</t>
  </si>
  <si>
    <t>Power Digital</t>
  </si>
  <si>
    <t>https://www.gartner.com/reviews/market/incrementality-measurement-platforms</t>
  </si>
  <si>
    <t>Best Incrementality Measurement Platforms Reviews 2026 \| Gartner Peer Insights</t>
  </si>
  <si>
    <t>https://www.getapexanalytics.com/</t>
  </si>
  <si>
    <t>Apex Analytics: Marketing Attribution &amp;amp; Incrementality Measurement</t>
  </si>
  <si>
    <t>https://getrecast.com/experimentation/</t>
  </si>
  <si>
    <t>Experimentation - Recast</t>
  </si>
  <si>
    <t>https://hikemytraffic.com/ai-digital-marketing-agencies-in-australia/</t>
  </si>
  <si>
    <t>Top 7 AI Digital Marketing Agencies in Australia</t>
  </si>
  <si>
    <t>Alley Group, Bench Media</t>
  </si>
  <si>
    <t>https://hustlemarketers.com/best-google-ads-agency-australia/</t>
  </si>
  <si>
    <t>Best Google Ads Agency in Australia 2026: 12 Picks</t>
  </si>
  <si>
    <t>Online Marketing Gurus, Rocket Agency, Megaphone, Clearwater Agency, Omnicom Media Group, Digital Nomads HQ, Farsiight, Alpha Digital</t>
  </si>
  <si>
    <t>https://www.iabaustralia.com.au/news/iab-australia-starts-work-on-industry-wide-future-of-measurement-initiative-focus-on-strengthening-how-advertising-opportunities-and-outcomes-are-assessed/</t>
  </si>
  <si>
    <t>IAB Australia starts work on industry-wide Future of Measure</t>
  </si>
  <si>
    <t>https://www.icreativez.com/marketing-companies-by-country/premier-digital-marketing-agencies-australia-2026.html</t>
  </si>
  <si>
    <t>10 Premier Digital Marketing Agencies in Australia | Enterprise Choice 2026</t>
  </si>
  <si>
    <t>https://impressive.com.au/data-and-analytics/#:~:text=Impressive%20is%20committed%20to%20providing%20innovative%20data,experience%20in%20every%20aspect%20of%20your%20business.</t>
  </si>
  <si>
    <t>Data &amp;amp; Analytics | Impressive</t>
  </si>
  <si>
    <t>Impressive, First Page</t>
  </si>
  <si>
    <t>https://www.infraworx.com.au/ai-strategy-consulting-sydney/</t>
  </si>
  <si>
    <t>AI Consultants &amp; Automation Agency Sydney \| Infraworx</t>
  </si>
  <si>
    <t>https://inmarketingwetrust.com.au/platforms/</t>
  </si>
  <si>
    <t>Marketing Platforms &amp;amp; Solutions - In Marketing We Trust</t>
  </si>
  <si>
    <t>https://www.launcherlab.com.au/lift-test-incrementality</t>
  </si>
  <si>
    <t>Lift Test - Measurement the incremental impact of marketing campaigns</t>
  </si>
  <si>
    <t>https://lengreo.com/australia-perth-aeo-geo-llmo-companies/</t>
  </si>
  <si>
    <t>Top 6 AEO, GEO and LLMO Companies in Perth, Australia (2026)</t>
  </si>
  <si>
    <t>https://www.linkedin.com/pulse/digital-marketing-agencies-australia-abhinav-puri-oeg4f</t>
  </si>
  <si>
    <t>Top 12 Digital Marketing Agencies in Australia 2025</t>
  </si>
  <si>
    <t>Digital Nomads HQ, Impressive, Sparro, King Kong, Megaphone, Emote Digital</t>
  </si>
  <si>
    <t>https://www.loudface.co/blog/best-aeo-agencies-b2b-saas-2026</t>
  </si>
  <si>
    <t>Best AEO &amp;amp; GEO Agencies for B2B SaaS in 2026 | LoudFace</t>
  </si>
  <si>
    <t>https://magnetoitsolutions.com/au/answer-engine-optimization</t>
  </si>
  <si>
    <t>Australia's Top Answer Engine Optimisation Company | MIS</t>
  </si>
  <si>
    <t>https://mantelgroup.com.au/</t>
  </si>
  <si>
    <t>Mantel | Australia's Tech &amp;amp; AI Consultancy | AI, Data, Cloud &amp;amp; More</t>
  </si>
  <si>
    <t>https://www.measured.com/faq/best-incrementality-testing-companies-software-for-marketing-2025/</t>
  </si>
  <si>
    <t>Best Incrementality Testing Companies &amp; Software for Marketing (2026)</t>
  </si>
  <si>
    <t>https://onpoint.com.au/blog/independent-vs-network-media-agencies-australia</t>
  </si>
  <si>
    <t>https://www.pa.com.au/solutions/ai-consulting-services/</t>
  </si>
  <si>
    <t>Generative AI Consulting Services from Professional Advantage Australia</t>
  </si>
  <si>
    <t>https://pixelhatch.com.au/consulting/</t>
  </si>
  <si>
    <t>Agentic Branding Consulting | Pixelhatch</t>
  </si>
  <si>
    <t>https://www.rightsideup.com/blog/guide-to-marketing-incrementality-testing</t>
  </si>
  <si>
    <t>Marketing Incrementality Testing: A Complete Guide to Measuring What Matters</t>
  </si>
  <si>
    <t>https://www.rubix.com.au/ai-consulting-australia</t>
  </si>
  <si>
    <t>AI Consulting in Australia | RUBIX</t>
  </si>
  <si>
    <t>https://www.shoutdigital.com.au/blog/best-geo-agency-in-melbourne-for-e-commerce-a-direct-comparison-2026/</t>
  </si>
  <si>
    <t>Best GEO Agency Melbourne for E-Commerce (2026): Honest Comparison</t>
  </si>
  <si>
    <t>Impressive, Gorilla 360, Salt &amp; Fuessel, UR Digital</t>
  </si>
  <si>
    <t>https://sourceforge.net/software/marketing-attribution/australia/</t>
  </si>
  <si>
    <t>Best Marketing Attribution Software in Australia of 2026 - Reviews &amp;amp; Comparison</t>
  </si>
  <si>
    <t>https://support.google.com/tagmanager/answer/7237700?hl=en</t>
  </si>
  <si>
    <t>https://www.synap.au/</t>
  </si>
  <si>
    <t>AI Consulting Melbourne | Custom AI Agents - Synap</t>
  </si>
  <si>
    <t>https://syntermedia.ai/blog/best-attribution-software-marketing-teams</t>
  </si>
  <si>
    <t>10 Best Attribution Software for Marketing Teams (2026 Compared) | Synter</t>
  </si>
  <si>
    <t>https://team400.ai/blog/2026-02-choosing-ai-consultants-australia-guide</t>
  </si>
  <si>
    <t>Choosing AI Consultants in Australia: Brisbane, Sydney and Melbourne | Team 400 Blog</t>
  </si>
  <si>
    <t>Team 400</t>
  </si>
  <si>
    <t>https://www.thehero.co/news/australias-top-creative-agency-named-in-business-best-performers#:~:text=The%20report%20found%20food%20manufacturing%20was%20the,PR%20and%20CX%2C%20according%20to%20the%20report.</t>
  </si>
  <si>
    <t>Australia's Top Creative Agency Named By TrinityP3 and B&amp;amp;T In New Business Rankings Best Performers</t>
  </si>
  <si>
    <t>https://titanblue.com.au/companies-for-social-media-marketing/?srsltid=AfmBOoq21wO8ZjboQuZ1D2V8SlPXLR8gDWQUvPiH1eQa9htbHDXUXWx_</t>
  </si>
  <si>
    <t>Top 8 companies for social media marketing in Australia</t>
  </si>
  <si>
    <t>Impressive, Megaphone, King Kong</t>
  </si>
  <si>
    <t>https://www.undivided.com.au/services</t>
  </si>
  <si>
    <t>Digital Marketing Services Australia | Online Marketing Services</t>
  </si>
  <si>
    <t>https://xpon.ai/resources/how-to-choose-a-google-marketing-platform-partner-australia/</t>
  </si>
  <si>
    <t>How to Choose a Google Marketing Platform Partner in Australia | XPON</t>
  </si>
  <si>
    <t>XPON, WPP, Dentsu</t>
  </si>
  <si>
    <t>https://agencies.semrush.com/list/display-advertising/western-australia/</t>
  </si>
  <si>
    <t>Best Display Ads Agencies in Western Australia 2026 | Semrush</t>
  </si>
  <si>
    <t>https://aipivot.com.au/blog/what-is-a-geo-agency</t>
  </si>
  <si>
    <t>What Is a GEO Agency? GEO for Australian Businesses | AI Pivot Toolbox</t>
  </si>
  <si>
    <t>https://www.airstack.ai/</t>
  </si>
  <si>
    <t>AirStack | Australian AI Consultants</t>
  </si>
  <si>
    <t>https://australian.digital/web-analytics-consulting-services/</t>
  </si>
  <si>
    <t>Web Analytics Consulting Services | Australian Digital</t>
  </si>
  <si>
    <t>https://www.bluerock.com.au/ai-consulting-services/#:~:text=Process%20Automation%20(RPA%20%2B%20AI)%3A%20Automate%20repetitive,Ensure%20ethical%2C%20secure%2C%20and%20compliant%20AI%20use.</t>
  </si>
  <si>
    <t>AI Consulting Services | BlueRock Digital</t>
  </si>
  <si>
    <t>https://blurn.com/au/digital-marketing-services/direct-display-advertising-services/</t>
  </si>
  <si>
    <t>Rated Best Direct Display Advertising in Australia | Blurn, Sydney</t>
  </si>
  <si>
    <t>https://www.bushletter.com/the-10-best-aeo-agencies-for-australian-law-firms-in-2026/</t>
  </si>
  <si>
    <t>Best AEO agencies for Australian law firms 2026</t>
  </si>
  <si>
    <t>Bushnote, Uprise Digital, Webprofits</t>
  </si>
  <si>
    <t>https://capedigital.com.au/post/top-10-digital-marketing-agency-in-australia</t>
  </si>
  <si>
    <t>Cape Digital | Top 10 Digital Marketing Agencies in Australia</t>
  </si>
  <si>
    <t>Rocket Agency, Impressive, King Kong, Digital Movement</t>
  </si>
  <si>
    <t>https://www.capterra.com.au/software/188418/cross-channel-attribution-planning</t>
  </si>
  <si>
    <t>https://clutch.co/au/agencies/conversion-optimization</t>
  </si>
  <si>
    <t>Top Conversion Rate Optimization Services in Australia - Jul 2026 Rankings \| Clutch.co</t>
  </si>
  <si>
    <t>Human Digital, CUT THRU, Impressive, Huge, Reform Digital, ROI Growth Agency, RAW Studio, Digitxl</t>
  </si>
  <si>
    <t>https://clutch.co/au/agencies/creative/sydney</t>
  </si>
  <si>
    <t>Top Creative Agencies in Sydney - Jul 2026 Rankings \| Clutch.co</t>
  </si>
  <si>
    <t>Chello, Human Digital, Impressive, Huge, Dentsu, BMF</t>
  </si>
  <si>
    <t>https://clutch.co/au/agencies/ppc/display?page=2</t>
  </si>
  <si>
    <t>Page 2 - Top Display Advertising Services in Australia - Jul 2026 Rankings | Clutch.co</t>
  </si>
  <si>
    <t>First Page, Impressive, Paradox Marketing, Intesols, Soup Agency, Salt &amp; Fuessel, Click Click Media</t>
  </si>
  <si>
    <t>https://clutch.co/au/it-services/analytics</t>
  </si>
  <si>
    <t>Top Big Data Analytics Companies in Australia - Jul 2026 Rankings | Clutch.co</t>
  </si>
  <si>
    <t>https://www.crescendoagency.ai/ai-agency-australia/</t>
  </si>
  <si>
    <t>AI Agency Australia: AI Marketing, Automation &amp;amp; Growth Services</t>
  </si>
  <si>
    <t>https://www.deptagency.com/en-au/service/google-marketing-platform/</t>
  </si>
  <si>
    <t>Google Marketing Platform (GMP) - DEPT®</t>
  </si>
  <si>
    <t>https://www.designrush.com/agency/paid-media-pay-per-click/au?page=6</t>
  </si>
  <si>
    <t>Top PPC Services in Australia - Page 6</t>
  </si>
  <si>
    <t>Reload Media, Impressive, Zib Digital, AdVisible</t>
  </si>
  <si>
    <t>https://dnmdigital.com.au/data-and-analytics/</t>
  </si>
  <si>
    <t>Data &amp;amp; Analytics Agency | Marketing Analytics Services</t>
  </si>
  <si>
    <t>https://ecosystem.hubspot.com/marketplace/solutions/paid-advertising/consumer-services/australia</t>
  </si>
  <si>
    <t>https://ecosystem.hubspot.com/marketplace/solutions/paid-advertising/government/australia</t>
  </si>
  <si>
    <t>https://ecosystem.hubspot.com/marketplace/solutions/paid-advertising/telecom-mobile-communications/australia</t>
  </si>
  <si>
    <t>https://www.exaltgrowth.com/generative-engine-optimization/top-sydney-saas-geo-agencies</t>
  </si>
  <si>
    <t>Top 8 Sydney SaaS GEO Agencies in 2026</t>
  </si>
  <si>
    <t>Prosperity Media, Impressive, Soup Agency, PK SEO, Earned Media, Marketix Digital</t>
  </si>
  <si>
    <t>https://frankdigital.agency/google-ads/google-display-advertising-companies/</t>
  </si>
  <si>
    <t>7 Top Google Display Advertising Companies in Australia for 2025</t>
  </si>
  <si>
    <t>https://www.google.com.au/ads/publisher/partners/find-a-partner/</t>
  </si>
  <si>
    <t>Publisher-Partner finden</t>
  </si>
  <si>
    <t>https://www.google.com/intl/en_GB/ads/publisher/partners/find-a-partner/</t>
  </si>
  <si>
    <t>Find a Publishing Partner</t>
  </si>
  <si>
    <t>https://www.hashmeta.ai/en/blog/top-10-ai-agencies-in-australia-expert-guide-to-choosing-your-ai-marketing-partner</t>
  </si>
  <si>
    <t>Top 10 AI Agencies in Australia: Expert Guide to Choosing Your AI Marketing Partner | Hashmeta AI Marketing Blog</t>
  </si>
  <si>
    <t>https://www.haus.io/blog/choosing-the-best-incrementality-testing-tool</t>
  </si>
  <si>
    <t>Incrementality Testing: How to Choose the Best Tool</t>
  </si>
  <si>
    <t>Haus, PHD</t>
  </si>
  <si>
    <t>https://homerdigitalmarketing.com/pay-per-click-agency/</t>
  </si>
  <si>
    <t>Top 12 Pay Per Click Agency Options in Australia for 2024 - Homer Digital Marketing</t>
  </si>
  <si>
    <t>WebSavvy, Sparro, Brainlabs, Reload Media, Alpha Digital, Bonfire, Rocket Agency, Impressive, Clearwater Agency, Click Click Media</t>
  </si>
  <si>
    <t>https://inbeat.agency/blog/incrementality-testing</t>
  </si>
  <si>
    <t>Incrementality Testing: Calculations, Examples, and More for 2025 - inBeat Agency</t>
  </si>
  <si>
    <t>https://inbeat.agency/blog/top-digital-marketing-agencies-sydney</t>
  </si>
  <si>
    <t>Best 30+ Digital Marketing Agencies in Sydney – Reviewed in June 2025 - inBeat Agency</t>
  </si>
  <si>
    <t>Rocket Agency, AdVisible, Impressive, Soup Agency, Bench Media, 23 Digital, Zib Digital, Gorilla 360, Resolution Digital, Supple Digital, Alpha Digital, Bonfire, Reef Digital Agency</t>
  </si>
  <si>
    <t>https://inbeat.agency/blog/top-marketing-analytics-agencies</t>
  </si>
  <si>
    <t>Top 15 Marketing Analytics Agencies Defining 2026 - inBeat Agency</t>
  </si>
  <si>
    <t>PHD, Momentum</t>
  </si>
  <si>
    <t>https://integralmind.au/</t>
  </si>
  <si>
    <t>AI Consulting Australia | Strategy, Implementation &amp;amp; Managed AI | Integral Mind</t>
  </si>
  <si>
    <t>https://www.juicebox.com.au/generative-engine-optimisation/</t>
  </si>
  <si>
    <t>GEO &amp;amp; AI Search Optimisation | Perth | Juicebox</t>
  </si>
  <si>
    <t>https://www.linkedin.com/pulse/top-ai-seo-agencies-australia-watch-year-shivanshi-rai-dpy2c</t>
  </si>
  <si>
    <t>Top AI SEO Agencies in Australia to Watch This Year</t>
  </si>
  <si>
    <t>Supple Digital, Digital Nomads HQ, StudioHawk, First Page, First Page Australia, Online Marketing Gurus, Clearwater Agency, Megaphone</t>
  </si>
  <si>
    <t>https://liondigital.com.au/lion-digital-a-premier-google-partner-placed-in-the-top-3-of-agencies/</t>
  </si>
  <si>
    <t>Premier Google Partner - Top 3% of agencies | LION Digital</t>
  </si>
  <si>
    <t>https://www.marketingmonk.so/agency-directory/country/australia/service/performance-marketing</t>
  </si>
  <si>
    <t>Marketing Monk</t>
  </si>
  <si>
    <t>https://metaflow.life/blog/best-aeo-agencies-2026</t>
  </si>
  <si>
    <t>First Page, Mindshare</t>
  </si>
  <si>
    <t>https://omegaadvertising.com.au/top-5-digital-marketing-agencies-in-australia-for-ai-seo/</t>
  </si>
  <si>
    <t>Top 5 Digital Marketing Agencies in Australia for AI SEO – Omega Advertising</t>
  </si>
  <si>
    <t>https://www.onetoo.com.au/aeo-agency</t>
  </si>
  <si>
    <t>AEO + GEO Agency Melbourne, Be the Answer - ONETOO</t>
  </si>
  <si>
    <t>https://www.pmgs.com.au/social-media-marketing/paid-social-ads/</t>
  </si>
  <si>
    <t>Paid Social Ads Australia | Facebook, Instagram | PMGS</t>
  </si>
  <si>
    <t>https://prosperitymedia.com.au/the-6-best-seo-agencies-in-sydney-2026/#:~:text=Recognisable%20clients%3A%20PepsiCo%2C%20St.%20George%20Bank%2C%20IAG%2C,at%20the%202018%20SEMrush%20Search%20Marketing%20Awards.</t>
  </si>
  <si>
    <t>The 6 Best SEO Agencies in Sydney 2026 - Prosperity Media</t>
  </si>
  <si>
    <t>Prosperity Media, Jaywing, Undivided, Measured</t>
  </si>
  <si>
    <t>https://raw.studio/blog/top-branding-agencies-in-australia-in-2026/#:~:text=FutureBrand%20takes%20a%20highly%20strategic,Key%20strengths%3A</t>
  </si>
  <si>
    <t>Top Branding Agencies in Australia in 2026 | Raw.Studio</t>
  </si>
  <si>
    <t>RAW Studio, CUT THRU</t>
  </si>
  <si>
    <t>https://www.reddit.com/r/ecommerce/comments/1qusfa4/looking_for_best_incrementality_testing_tools/</t>
  </si>
  <si>
    <t>Looking for best incrementality testing tools (advice/recommendation)</t>
  </si>
  <si>
    <t>Haus, Lifesight, Measured</t>
  </si>
  <si>
    <t>https://www.redpandas.com.au/all/best-paid-media-agencies-in-australia-an-unbiased-review/</t>
  </si>
  <si>
    <t>https://www.resolutiondigital.com.au/services/cro/google-marketing-platform/analytics-360/</t>
  </si>
  <si>
    <t>Google Analytics 360 Agency Services | Resolution Digital Australia</t>
  </si>
  <si>
    <t>https://www.resolutiondigital.com.au/services/measurement/propensity-modelling/</t>
  </si>
  <si>
    <t>Propensity Modelling Agency | Resolution Digital Australia</t>
  </si>
  <si>
    <t>https://www.resolutiondigital.com.au/technology/partners/google-marketing-platform/</t>
  </si>
  <si>
    <t>https://www.savit.au/the-best-ppc-agencies-in-australia-2026-where-to-spend-your-google-ads-budget/</t>
  </si>
  <si>
    <t>Top PPC Agencies in Australia for 2026</t>
  </si>
  <si>
    <t>Online Marketing Gurus, Omnicom Media Group, First Page, First Page Australia, Impressive, Supple Digital, StudioHawk</t>
  </si>
  <si>
    <t>https://www.searchmax.com.au/searchmax-among-the-top-3-of-google-partners-in-the-country/</t>
  </si>
  <si>
    <t>Google Premier Partner - Top 3% of Google Agencies in Australia</t>
  </si>
  <si>
    <t>https://segmentstream.com/blog/articles/best-attribution-tools</t>
  </si>
  <si>
    <t>10 Best Marketing Attribution Tools &amp;amp; Platforms (2026) — SegmentStream</t>
  </si>
  <si>
    <t>https://www.sortlist.com/s/paid-media/melbourne-au</t>
  </si>
  <si>
    <t>The 10 Best Paid Media Agencies in Melbourne - 2026 Reviews</t>
  </si>
  <si>
    <t>Measured, Earned Media, Clearwater Agency, Impressive, SIXGUN, Supple Digital, Momentum, Adcore Elite</t>
  </si>
  <si>
    <t>https://www.techguide.com.au/news/computers-news/the-best-ai-optimisation-agencies-in-australia/</t>
  </si>
  <si>
    <t>The Best AI Optimisation Agencies in Australia - Tech Guide</t>
  </si>
  <si>
    <t>NP Digital Australia, Prosperity Media, Reef Digital Agency, Farsiight, Alpha Digital, SIXGUN, Zib Digital, Online Marketing Gurus</t>
  </si>
  <si>
    <t>https://www.theardor.com.au/google-ads-agencies-in-australia/</t>
  </si>
  <si>
    <t>11 Best Google Ads (Adwords) Agencies in Australia (2026)</t>
  </si>
  <si>
    <t>Digital Nomads HQ, Clearwater Agency, Online Marketing Gurus, eMarket Experts, Megaphone, Supple Digital, SearchMax, Omnicom Media Group</t>
  </si>
  <si>
    <t>https://townsquare.agency/news/ts-once-again-ranked-one-of-australias-best-creative-agencies/</t>
  </si>
  <si>
    <t>TS once again ranked one of Australia’s best creative agencies - Town Square</t>
  </si>
  <si>
    <t>https://www.unifida.com.au/marketing-attribution</t>
  </si>
  <si>
    <t>Marketing Attribution | AI Driven Insight - UniFida Australia</t>
  </si>
  <si>
    <t>https://uprisedigital.com.au/aeo/#:~:text=We%20run%20your%20key%20service%20queries%20through,and%20which%20competitors%20are%20currently%20getting%20recommended.</t>
  </si>
  <si>
    <t>AEO - AI SEO Agency Australia | Rank in ChatGPT &amp;amp; AI Search</t>
  </si>
  <si>
    <t>Uprise Digital, Impressive</t>
  </si>
  <si>
    <t>https://vulbmedia.com/top-creative-agencies-in-sydney/</t>
  </si>
  <si>
    <t>Top Creative Agencies in Sydney (2025) | Vulb Media Insights – Vulb Media</t>
  </si>
  <si>
    <t>https://admatic.com/lp/media-agency/melbourne</t>
  </si>
  <si>
    <t>Media Agency Melbourne | Media Planning, Programmatic &amp;amp; BVOD | ADMATIC</t>
  </si>
  <si>
    <t>https://www.adnews.com.au/news/only-half-of-australian-marketers-use-attribution-modelling</t>
  </si>
  <si>
    <t>Only half of Australian marketers use attribution modelling - AdNews</t>
  </si>
  <si>
    <t>https://agencies.semrush.com/list/display-advertising/ecommerce/australia/</t>
  </si>
  <si>
    <t>Best Ecommerce Display Ads Agencies in Australia 2026 | Semrush</t>
  </si>
  <si>
    <t>Soup Agency, First Page, Clearwater Agency, Measured, Earned Media, Impressive, Online Marketing Gurus, Omnicom Media Group, First Page Australia, 80/20 Digital, Salt &amp; Fuessel, Megaphone, Bonfire</t>
  </si>
  <si>
    <t>https://agencies.semrush.com/list/ppc/australia/</t>
  </si>
  <si>
    <t>Best PPC Agencies in Australia 2026 | Semrush</t>
  </si>
  <si>
    <t>https://www.aioptimisation.com.au/</t>
  </si>
  <si>
    <t>AI Inspire</t>
  </si>
  <si>
    <t>https://amplitude.com/explore/experiment/incrementality-testing</t>
  </si>
  <si>
    <t>What Is Incrementality Testing for Modern Marketers</t>
  </si>
  <si>
    <t>https://apacsearchawards.com/2025/07/07/top-20-award-winning-apac-marketing-agencies/</t>
  </si>
  <si>
    <t>Top 20 Award Winning Agencies (and two others to note) | APAC Search Awards</t>
  </si>
  <si>
    <t>Megantic, Prosperity Media, Rocket Agency, StudioHawk, Impressive, Adcore Elite, Clearwater Agency, Jaywing, SIXGUN, AdVisible</t>
  </si>
  <si>
    <t>https://appfillip.com/analytics/in/australia</t>
  </si>
  <si>
    <t>https://www.bestadsontv.com/rankings.php?category=All&amp;country=Australia&amp;period=-10&amp;role=agency</t>
  </si>
  <si>
    <t>https://www.bonfire.com.au/</t>
  </si>
  <si>
    <t>Digital Marketing Agency Perth WA - ROI &amp;amp; Data Driven Performance</t>
  </si>
  <si>
    <t>https://builtinmelbourne.com/articles/digital-marketing-companies-melbourne</t>
  </si>
  <si>
    <t>20 Top Digital Marketing Companies in Melbourne | Built In Melbourne</t>
  </si>
  <si>
    <t>Emote Digital, Megaphone, Salt &amp; Fuessel, Ogilvy Australia, King Kong, Dentsu</t>
  </si>
  <si>
    <t>https://www.bushletter.com/top-10-aeo-agencies-sydney-nsw-2026/</t>
  </si>
  <si>
    <t>9 AEO agencies in Sydney for 2026 | Bushletter</t>
  </si>
  <si>
    <t>Bushnote, Soup Agency</t>
  </si>
  <si>
    <t>https://www.bushnote.com/articles/best-digital-marketing-agencies-australia-2025</t>
  </si>
  <si>
    <t>Australia's Top 15 Digital Marketing Agencies 2025</t>
  </si>
  <si>
    <t>Bushnote, Thinkerbell, Measured, The Monkeys, Accenture Song, Sparro, Webprofits, King Kong, Alpha Digital, Emote Digital, Deloitte Digital, Deloitte</t>
  </si>
  <si>
    <t>https://www.bushnote.com/articles/leading-media-buying-agencies-australia</t>
  </si>
  <si>
    <t>Australia's Top 10 Media Buying Agencies: 2024 Guide</t>
  </si>
  <si>
    <t>Bushnote, Deloitte, OMD, PHD, EssenceMediacom, GroupM, Publicis Groupe</t>
  </si>
  <si>
    <t>https://businessinfopro.com/blogs/information-technology-blog/top-ai-development-consulting-firms-in-australia/</t>
  </si>
  <si>
    <t>Top 10 AI Development and Consulting Companies in Australia</t>
  </si>
  <si>
    <t>https://campaignbrief.com/category/agencies/</t>
  </si>
  <si>
    <t>Agencies – Campaign Brief</t>
  </si>
  <si>
    <t>Clemenger BBDO, Momentum, Thinkerbell, Bear Meets Eagle On Fire, OMD, HERO, Saatchi &amp; Saatchi, Dentsu, EssenceMediacom, Howatson+Company, Luminary, Jaywing, BMF, Huge, PHD, VML, Click Click Media</t>
  </si>
  <si>
    <t>https://clutch.co/au/agencies/business-services-industry</t>
  </si>
  <si>
    <t>Top Advertising Agencies for B2B in Australia - Jul 2026 Rankings | Clutch.co</t>
  </si>
  <si>
    <t>Version2, Impressive, Chello, Human Digital, Soup Agency, Farsiight, DNM Digital, Ninja Promo, Insil, First Page</t>
  </si>
  <si>
    <t>https://clutch.co/au/agencies/melbourne</t>
  </si>
  <si>
    <t>Top Advertising Agencies in Melbourne, Australia - Jul 2026 Rankings \| Clutch.co</t>
  </si>
  <si>
    <t>Version2, Impressive, Ninja Promo, WebSavvy</t>
  </si>
  <si>
    <t>https://clutch.co/au/agencies/ppc%3Fpage%3D2</t>
  </si>
  <si>
    <t>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t>
  </si>
  <si>
    <t>https://clutch.co/au/agencies/ppc/sydney</t>
  </si>
  <si>
    <t>Top PPC Agencies in Sydney - Jul 2026 Rankings \| Clutch.co</t>
  </si>
  <si>
    <t>Human Digital, Soup Agency, Supple Digital, Alley Group, Digital Nomads HQ, Rocket Agency, Impressive, Huge, DNM Digital, Megaphone, Online Marketing Gurus, Marketix Digital, First Page, Sparro, Insil, AdVisible</t>
  </si>
  <si>
    <t>https://conquerradigital.com.au/top-10-programmatic-ads-agencies-in-brisbane/</t>
  </si>
  <si>
    <t>Top 10 Programmatic Ads Agencies In Brisbane | Conquerra Digital</t>
  </si>
  <si>
    <t>Soup Agency, Alpha Digital, Digital Nomads HQ, Momentum</t>
  </si>
  <si>
    <t>https://dejanmarketing.com/best-ai-seo-agencies/#:~:text=If%20you%20want%20AI%2Daware%20SEO%20that%20feels,technical%20SEO%2C%20product%20management%2C%20and%20applied%20AI.</t>
  </si>
  <si>
    <t>Best AI SEO agencies to watch out for in 2026</t>
  </si>
  <si>
    <t>https://digitalchoice.com.au/data-analytics/</t>
  </si>
  <si>
    <t>Data Analytics - Digital Choice</t>
  </si>
  <si>
    <t>https://digitalon.ai/ai-consultants-australia</t>
  </si>
  <si>
    <t>AI Consultants Australia | DIGITALON AI</t>
  </si>
  <si>
    <t>https://www.digitalreference.co/insights/marketing-professionals/best-digital-marketing-agencies-companies-in-australia</t>
  </si>
  <si>
    <t>Best Digital Marketing Agencies &amp;amp; Digital Marketing Firms in Australia</t>
  </si>
  <si>
    <t>Digital Movement, Momentum, Digital Nomads HQ, Online Marketing Gurus, Omnicom Media Group</t>
  </si>
  <si>
    <t>https://edisonai.au/insights/best-ai-consultants-for-small-business-australia</t>
  </si>
  <si>
    <t>Best AI Consultants for Small Business Australia (2026) \| Edison AI</t>
  </si>
  <si>
    <t>Edison AI, Mantel Group, Momentum, Measured</t>
  </si>
  <si>
    <t>https://ensun.io/search/ai-marketing/australia</t>
  </si>
  <si>
    <t>Top 100 AI Marketing Companies in Australia (2026) \| ensun</t>
  </si>
  <si>
    <t>https://www.goodfirms.co/directory/city/top-digital-marketing-companies/media-planning-buying/melbourne</t>
  </si>
  <si>
    <t>Top Media Buying Agencies in Melbourne - 2026 Reviews | Goodfirms</t>
  </si>
  <si>
    <t>Emote Digital, eMarket Experts, SIXGUN, Impressive</t>
  </si>
  <si>
    <t>https://www.goodfirms.co/directory/country/top-digital-marketing-companies/media-planning-buying/australia</t>
  </si>
  <si>
    <t>Top Media Buying Agencies in Australia - 2026 Reviews | Goodfirms</t>
  </si>
  <si>
    <t>Emote Digital, Bench Media, Reload Media, Soup Agency, Impressive, eMarket Experts, CUT THRU</t>
  </si>
  <si>
    <t>https://gorilla360.com.au/google-ads/</t>
  </si>
  <si>
    <t>Google Ads Agency [Google Premier Partner]</t>
  </si>
  <si>
    <t>Gorilla 360</t>
  </si>
  <si>
    <t>https://www.idhlagency.com/digital-marketing/measurement-attribution</t>
  </si>
  <si>
    <t>Marketing Attribution Services | Marketing Attribution Agency | IDHL</t>
  </si>
  <si>
    <t>https://itcc.co/aeo-agency-australia/</t>
  </si>
  <si>
    <t>AI SEO, AEO, GEO Agency Australia | AI Search Experts Melbourne</t>
  </si>
  <si>
    <t>https://leadsnow.ai/best-high-ticket-marketing-agencies-australia/</t>
  </si>
  <si>
    <t>Best High-Ticket Marketing Agencies in Australia (2026) - Leads Now AI</t>
  </si>
  <si>
    <t>LeadsNow.ai, King Kong, Megaphone, Omnicom Media Group, Online Marketing Gurus, Webprofits, Sparro, Brainlabs, Rocket Agency</t>
  </si>
  <si>
    <t>https://leadsrx.com/resource/35-marketing-attribution-software-companies/</t>
  </si>
  <si>
    <t>35 Best Marketing Attribution Software For You to Consider</t>
  </si>
  <si>
    <t>https://lengreo.com/australia-brisbane-aeo-geo-llmo-companies/</t>
  </si>
  <si>
    <t>6 Best AEO, GEO &amp;amp; LLMO Companies in Brisbane, Australia (2026)</t>
  </si>
  <si>
    <t>Supple Digital, StudioHawk</t>
  </si>
  <si>
    <t>https://liftlab.com/solutions/incrementality-testing/</t>
  </si>
  <si>
    <t>Incrementality Testing &amp;amp; MMM Calibration | LiftLab</t>
  </si>
  <si>
    <t>LiftLab</t>
  </si>
  <si>
    <t>https://magnetoitsolutions.com/au/generative-engine-optimization</t>
  </si>
  <si>
    <t>Collaborate with Australia's Leading GEO Agency</t>
  </si>
  <si>
    <t>https://www.mkt-sci.com/</t>
  </si>
  <si>
    <t>https://modmetrica.com.au/</t>
  </si>
  <si>
    <t>ModMetrica – Business Marketing Measurement Partner</t>
  </si>
  <si>
    <t>https://nogood.io/blog/performance-marketing-agencies/</t>
  </si>
  <si>
    <t>Top Performance Marketing Agencies in 2026 | NoGood</t>
  </si>
  <si>
    <t>Power Digital, Intero Digital, Measured, Earned Media, Huge</t>
  </si>
  <si>
    <t>https://orm-tech.com/blog/best-marketing-attribution-software/</t>
  </si>
  <si>
    <t>9 Best Marketing Attribution Software for B2B (2026) | ORM</t>
  </si>
  <si>
    <t>https://www.rankingco.com.au/google-premier-partner-2026</t>
  </si>
  <si>
    <t>Google Premier Partner 2026</t>
  </si>
  <si>
    <t>https://www.reddit.com/r/AskAnAustralian/comments/1kygrc6/advertising_agencies_in_aus/</t>
  </si>
  <si>
    <t>Advertising agencies in Aus</t>
  </si>
  <si>
    <t>HERO, Thinkerbell</t>
  </si>
  <si>
    <t>https://www.resolutiondigital.com.au/services/cro/google-marketing-platform/google-marketing-platform-for-agencies/</t>
  </si>
  <si>
    <t>Google Marketing Platform for Agencies | Resolution Digital Australia</t>
  </si>
  <si>
    <t>https://www.reuters.com/business/publicis-raises-growth-target-ai-driven-marketing-demand-stays-strong-2026-07-16/</t>
  </si>
  <si>
    <t>Publicis raises growth target as AI-driven marketing demand stays strong \| Reuters</t>
  </si>
  <si>
    <t>https://roi.com.au/service/performance-marketing-agency-australia-2026/</t>
  </si>
  <si>
    <t>Performance Marketing Agency Australia (2026) | AI Marketing Agency Australia | roi.com.au</t>
  </si>
  <si>
    <t>https://www.ruleranalytics.com/</t>
  </si>
  <si>
    <t>Unified Marketing Measurement, Attribution &amp;amp; AI | Ruler Analytics</t>
  </si>
  <si>
    <t>https://skyscale.com.au/</t>
  </si>
  <si>
    <t>Melbourne AI SEO &amp;amp; AEO Agency | Boost AI Search Ranking | SkyScale</t>
  </si>
  <si>
    <t>https://www.sortlist.com/s/display-advertising/brisbane-qld-au</t>
  </si>
  <si>
    <t>The 10 Best Display Advertising Agencies in Brisbane - 2026 Reviews</t>
  </si>
  <si>
    <t>Measured, Earned Media, Clearwater Agency, SIXGUN, Soup Agency, HERO, Impressive, Supple Digital, Ninja Promo, Digital Nomads HQ, Momentum, Alpha Digital</t>
  </si>
  <si>
    <t>https://support.google.com/analytics/answer/7237700?hl=en-AU</t>
  </si>
  <si>
    <t>https://tdsaustralia.com.au/top-50-brand-design-agencies-australia/</t>
  </si>
  <si>
    <t>Top 50 Branding Agencies in Australia (April 2026) | Ranked by Experts | TDS Australia</t>
  </si>
  <si>
    <t>Hulsbosch, CUT THRU, Chello, RAW Studio, Digital Nomads HQ, Soup Agency, WPP</t>
  </si>
  <si>
    <t>https://www.techradar.com/pro/how-to-use-an-aeo-tool-for-your-small-business</t>
  </si>
  <si>
    <t>How to use an AEO tool for your small business | TechRadar</t>
  </si>
  <si>
    <t>https://www.theaustralian.com.au/business/media/the-little-agencies-attracting-big-dollars/news-story/2a4a9f535e088c25718a59cba4451cda</t>
  </si>
  <si>
    <t>Subscribe to The Australian \| Newspaper home delivery, website, iPad, iPhone &amp; Android apps</t>
  </si>
  <si>
    <t>https://theredrepublic.com/australias-top-10-best-ad-agencies-leading-creative-and-advertising/</t>
  </si>
  <si>
    <t>Australia's Top 5 Best Ad Agencies for Creative and Advertising | The Red Republic</t>
  </si>
  <si>
    <t>https://uprisedigital.com.au/blog/best-solar-marketing-agencies-in-australia/</t>
  </si>
  <si>
    <t>The 10 Best Solar Marketing Agencies in Australia (2026) - Uprise Digital</t>
  </si>
  <si>
    <t>Uprise Digital, Megaphone, Online Marketing Gurus, Omnicom Media Group, Digital Nomads HQ, StudioHawk, Sparro, King Kong</t>
  </si>
  <si>
    <t>https://worldmetrics.org/service/melbourne-marketing/</t>
  </si>
  <si>
    <t>Top 10 Best Melbourne Marketing Services | Ranked for 2026</t>
  </si>
  <si>
    <t>Webprofits, WPP, Deloitte Digital, Deloitte, KPMG</t>
  </si>
  <si>
    <t>https://zyppy.com/companies/c/marketing-attribution/</t>
  </si>
  <si>
    <t>Top Marketing Attribution Companies - July 2026</t>
  </si>
  <si>
    <t>https://3pdigital.com.au/blog/how-to-choose-an-analytics-agency-australia</t>
  </si>
  <si>
    <t>How to Choose an Analytics Agency in Australia: What to Look For in 2026</t>
  </si>
  <si>
    <t>https://3pdigital.com.au/blog/paid-media-agency-australia-what-to-look-for-and-how-to-choose</t>
  </si>
  <si>
    <t>https://www.50pros.com/hire/digital-marketing/marketing-attribution</t>
  </si>
  <si>
    <t>Top Marketing Attribution Agencies to Hire in June 2026</t>
  </si>
  <si>
    <t>https://www.acam.ai/</t>
  </si>
  <si>
    <t>ACAM | The Australian Centre for AI in Marketing</t>
  </si>
  <si>
    <t>https://www.adaptad.com.au/</t>
  </si>
  <si>
    <t>https://admatic.com/lp/marketing-agency/melbourne</t>
  </si>
  <si>
    <t>Marketing Agency Melbourne | Strategy, Media &amp;amp; Performance | ADMATIC</t>
  </si>
  <si>
    <t>https://www.adopsandadtech.com.au/google-partner</t>
  </si>
  <si>
    <t>Google Platform Partner Specialist — a&amp;amp;a</t>
  </si>
  <si>
    <t>https://www.advancer.com.au/</t>
  </si>
  <si>
    <t>Advancer - The AI Agency | AI Services Brisbane | AI Consulting | Automation | Voice AI | AI Agents</t>
  </si>
  <si>
    <t>https://advisible.com.au/google-premier-partner-what-it-means/</t>
  </si>
  <si>
    <t>What Being a Google Premier Partner Really Means (And Why AdVisible Went to Google HQ)</t>
  </si>
  <si>
    <t>AdVisible, Measured</t>
  </si>
  <si>
    <t>https://agencies.semrush.com/list/analytics-data-science/information-technology/australia/</t>
  </si>
  <si>
    <t>Best IT Data Analytics Services in Australia 2026 | Semrush</t>
  </si>
  <si>
    <t>Soup Agency, First Page, Online Marketing Gurus, Omnicom Media Group, 80/20 Digital, Earned Media</t>
  </si>
  <si>
    <t>https://agencies.semrush.com/list/display-advertising/australia/enterprise-business/</t>
  </si>
  <si>
    <t>Best Display Ads Agencies for Enterprise Business in Australia 2026 | Semrush</t>
  </si>
  <si>
    <t>https://agencies.semrush.com/list/display-advertising/melbourne/</t>
  </si>
  <si>
    <t>Best Display Ads Agencies in Melbourne 2026 | Semrush</t>
  </si>
  <si>
    <t>https://agencies.semrush.com/list/ppc/arts-entertainment/australia/</t>
  </si>
  <si>
    <t>Best Media &amp;amp; Entertainment PPC Agencies in Australia 2026 | Semrush</t>
  </si>
  <si>
    <t>Supple Digital, Soup Agency, First Page, Online Marketing Gurus, Omnicom Media Group, 80/20 Digital, Measured</t>
  </si>
  <si>
    <t>https://agoraagency.com.au/performance-marketing</t>
  </si>
  <si>
    <t>Performance Marketing Agency - Market Leading Results | Agora Agency Australia</t>
  </si>
  <si>
    <t>https://aivy.com.au/resources/best-ai-marketing-tools-australia/</t>
  </si>
  <si>
    <t>Best AI Tools for Marketing in Australia (2026 Guide)</t>
  </si>
  <si>
    <t>https://aivy.com.au/resources/best-ai-search-engine-optimisation-tools-australia/</t>
  </si>
  <si>
    <t>Best AI search engine optimisation tools (Australia 2026)</t>
  </si>
  <si>
    <t>https://arxiv.org/abs/2604.16369</t>
  </si>
  <si>
    <t>[2604.16369] Why AI Readiness Is an Organizational Learning Problem, Not a Technology Purchase</t>
  </si>
  <si>
    <t>https://www.bandt.com.au/bts-ones-to-watch-creative-agencies-2/</t>
  </si>
  <si>
    <t>B&amp;amp;T's Ones To Watch: Creative Agencies - B&amp;amp;T</t>
  </si>
  <si>
    <t>WPP, Clemenger BBDO, Impressive, The Monkeys, Deloitte Digital, Deloitte</t>
  </si>
  <si>
    <t>https://www.bushnote.com/articles/best-digital-marketing-agency-australia-2025</t>
  </si>
  <si>
    <t>Top 12 Digital Agencies Australia 2025: SEO, PPC, Social</t>
  </si>
  <si>
    <t>Bushnote, Online Marketing Gurus, Omnicom Media Group, Sparro, Reload Media, King Kong, Alpha Digital, Rocket Agency, Impressive, Webprofits</t>
  </si>
  <si>
    <t>https://www.businessinsider.com/ai-consulting-mckinsey-pwc-deloitte-bcg-kpmg-accenture-ey-ibm-2026-5</t>
  </si>
  <si>
    <t>How AI Is Upending the Consulting Industry - Business Insider</t>
  </si>
  <si>
    <t>Deloitte, KPMG, Measured</t>
  </si>
  <si>
    <t>https://www.captovate.com.au/geo#:~:text=How%20Captovate%20Optimises%20Your%20Business%20for%20AI,Strategy.%20Adapting%20for%20voice%20and%20AI%2Ddriven%20queries.</t>
  </si>
  <si>
    <t>GEO Services | Captovate AI Digital Marketing Agency</t>
  </si>
  <si>
    <t>https://clickclickbangbang.com.au/best-facebook-ads-agency/</t>
  </si>
  <si>
    <t>7 Best Facebook Ads Agency Picks for Australian Businesses in 2026</t>
  </si>
  <si>
    <t>Megaphone, Online Marketing Gurus, Deloitte, Omnicom Media Group, Rocket Agency, Reload Media, King Kong</t>
  </si>
  <si>
    <t>https://clickclickbangbang.com.au/ppc-management-companies/</t>
  </si>
  <si>
    <t>Top 12 PPC Management Companies in Australia for 2025</t>
  </si>
  <si>
    <t>Sparro, Brainlabs, WebSavvy, Reload Media, Online Marketing Gurus, Omnicom Media Group, Impressive, Rocket Agency</t>
  </si>
  <si>
    <t>https://clutch.co/au/agencies/social-media-marketing/tik-tok</t>
  </si>
  <si>
    <t>Top TikTok Advertising Agencies in Australia - Jul 2026 Rankings | Clutch.co</t>
  </si>
  <si>
    <t>Impressive, Digital Nomads HQ, Soup Agency, Emote Digital, Salt &amp; Fuessel, Edge Marketing, Megaphone, Paradox Marketing, Momentum, Bench Media, Reform Digital, Eight Clients</t>
  </si>
  <si>
    <t>https://www.designrush.com/agency/digital-agencies/au</t>
  </si>
  <si>
    <t>Top Digital Agencies in Australia | 2026</t>
  </si>
  <si>
    <t>Impressive, Digital Nomads HQ, 80/20 Digital, Luminary, Edge Marketing</t>
  </si>
  <si>
    <t>https://www.designrush.com/agency/paid-media-pay-per-click/au/melbourne</t>
  </si>
  <si>
    <t>Top PPC Agencies in Melbourne | 2026</t>
  </si>
  <si>
    <t>eMarket Experts, First Page, Supple Digital, Online Marketing Gurus, SIXGUN, Predicta Digital, First Page Australia, Impressive</t>
  </si>
  <si>
    <t>https://digitalagencynetwork.com/agencies/australia/industry/it-technology/</t>
  </si>
  <si>
    <t>Top Technology Marketing Agencies in Australia (2026)</t>
  </si>
  <si>
    <t>Clearwater Agency, Digital Nomads HQ, Emote Digital, Impressive</t>
  </si>
  <si>
    <t>https://digitalagencynetwork.com/google-reveals-in-marketing-we-trust-in-top-1-of-google-agency-partners-in-australia/</t>
  </si>
  <si>
    <t>In Marketing We Trust Agency \| Digital Agency Network</t>
  </si>
  <si>
    <t>In Marketing We Trust, Huge, HERO, Alpha Digital, The Monkeys</t>
  </si>
  <si>
    <t>https://www.digitxl.com.au/google-analytics-consulting/</t>
  </si>
  <si>
    <t>GA4 Consultants | Digitxl - Certified Google Analytics Agency</t>
  </si>
  <si>
    <t>Digitxl</t>
  </si>
  <si>
    <t>https://dimeagency.co/</t>
  </si>
  <si>
    <t>DIME Agency | Sydney Performance Marketing, Google Ads &amp; Social Ads</t>
  </si>
  <si>
    <t>https://droga5.com.au/</t>
  </si>
  <si>
    <t>https://edisonai.au/insights/top-ai-agencies-in-australia</t>
  </si>
  <si>
    <t>Top AI Agencies in Australia (2026 Guide) \| Edison AI</t>
  </si>
  <si>
    <t>Edison AI, Impressive, Measured</t>
  </si>
  <si>
    <t>https://www.elephantintheboardroom.com.au/geo-agency</t>
  </si>
  <si>
    <t>GEO Agency Australia | Generative Engine Optimization Agency</t>
  </si>
  <si>
    <t>https://ensun.io/search/geospatial-gis/australia</t>
  </si>
  <si>
    <t>Top 100 Geospatial (Gis) Companies in Australia (2026) \| ensun</t>
  </si>
  <si>
    <t>https://enterprisemonkey.com.au/top-10-ai-consulting-firms-melbourne-2026-complete-guide/</t>
  </si>
  <si>
    <t>Top 10 AI Consulting Firms in Melbourne (2026): The Complete Guide | Web, App &amp;amp; Software Development Company in Melbourne &amp;amp; Geelong.</t>
  </si>
  <si>
    <t>Deloitte, Team 400, Impressive, Measured</t>
  </si>
  <si>
    <t>https://evolut.com.au/service/ai-marketing-content</t>
  </si>
  <si>
    <t>AI Marketing Agency | Evolut | Brisbane, Sydney, Melbourne</t>
  </si>
  <si>
    <t>https://firstpage.com.au/seo/#:~:text=Our%20SEO%20strategists%2C%20in%2Dhouse%20web%20developers%20and,SEO.%20%2D%20Shopify%20SEO.%20%2D%20WordPress%20SEO.</t>
  </si>
  <si>
    <t>SEO Agency Melbourne | Award-Winning SEO Company Australia</t>
  </si>
  <si>
    <t>First Page, Measured, Momentum, First Page Australia</t>
  </si>
  <si>
    <t>https://gaper.io/best-aeo-agencies</t>
  </si>
  <si>
    <t>Best AEO Agencies in 2026: Answer Engine Optimization Shortlist · Gaper</t>
  </si>
  <si>
    <t>https://getaiready.com.au/locations/sydney</t>
  </si>
  <si>
    <t>AI Consulting Sydney | Databricks Partner NSW | Get AI Ready</t>
  </si>
  <si>
    <t>https://www.goodfirms.co/advertising-companies/sydney</t>
  </si>
  <si>
    <t>Best Advertising Agencies in Sydney - 2026 Reviews | Goodfirms</t>
  </si>
  <si>
    <t>CUT THRU, BMF, Bench Media, Chello, Edge Marketing</t>
  </si>
  <si>
    <t>https://www.goodfirms.co/company/get-ai-ready</t>
  </si>
  <si>
    <t>Get AI Ready Reviews &amp;amp; Ratings | Goodfirms</t>
  </si>
  <si>
    <t>https://www.goodfirms.co/directory/country/top-digital-marketing-companies/au?sort_by=matrix</t>
  </si>
  <si>
    <t>eMarket Experts, Impressive, AdVisible, SIXGUN, Supple Digital, Digital Nomads HQ, CUT THRU, Intesols, Emote Digital</t>
  </si>
  <si>
    <t>https://www.google.co.uk/intl/en/ads/publisher/partners/find-a-partner/</t>
  </si>
  <si>
    <t>https://www.google.com/partners</t>
  </si>
  <si>
    <t>https://www.hashmeta.ai/zh/blog/top-10-ai-agencies-in-australia-expert-guide-to-choosing-your-ai-marketing-partner</t>
  </si>
  <si>
    <t>https://www.havstrategy.com/best-performance-marketing-agency-in-australia/</t>
  </si>
  <si>
    <t>Best Performance Marketing Agency in Australia</t>
  </si>
  <si>
    <t>https://www.hotwireglobal.com.au/our-services/ai-consulting-tech/</t>
  </si>
  <si>
    <t>AI Consulting &amp;amp; Tech | Hotwire Asia Pacific</t>
  </si>
  <si>
    <t>https://hyperdot.com.au/</t>
  </si>
  <si>
    <t>AI SEO Agency Sydney | GEO &amp;amp; AEO Specialists | Hyperdot</t>
  </si>
  <si>
    <t>https://iabaustralia.com.au/news/iab-australia-helps-marketers-set-the-scene-for-continuous-improvement-through-experimentation/</t>
  </si>
  <si>
    <t>IAB Australia: Driving Marketing Improvement Through Experimentation</t>
  </si>
  <si>
    <t>Dentsu, Lifesight, Mutinex, PHD</t>
  </si>
  <si>
    <t>https://inbeat.agency/blog/top-ppc-agencies-sydney</t>
  </si>
  <si>
    <t>Top 31 PPC Agencies in Sydney (Tried and Tested in January 2025) - inBeat Agency</t>
  </si>
  <si>
    <t>Marketix Digital, Metric Labs, Online Marketing Gurus, Rocket Agency, King Kong, 23 Digital, Jaywing</t>
  </si>
  <si>
    <t>https://www.incremental.com/</t>
  </si>
  <si>
    <t>Incremental | Causal Intelligence for Commerce Media</t>
  </si>
  <si>
    <t>https://www.indigosystems.au/</t>
  </si>
  <si>
    <t>https://inmarketingwetrust.com.au/ai-agentic/ai-operations/</t>
  </si>
  <si>
    <t>AI Operations - In Marketing We Trust</t>
  </si>
  <si>
    <t>https://www.intelliagent.com.au/</t>
  </si>
  <si>
    <t>IntelliAgent — AI Consulting for Australian Businesses</t>
  </si>
  <si>
    <t>https://www.intesols.com.au/services/generative-engine-optimisation/</t>
  </si>
  <si>
    <t>Trusted Generative Engine Optimisation Company in Australia | Intesols</t>
  </si>
  <si>
    <t>https://itprofiles.com/services/media-planning-and-buying/australia</t>
  </si>
  <si>
    <t>56 Best Media Planning and Buying Companies in Australia - Jul 2026 Rankings | ITProfiles</t>
  </si>
  <si>
    <t>Bench Media, Momentum, GroupM, OMD</t>
  </si>
  <si>
    <t>https://kb.triplewhale.com/en/articles/12441418-incrementality</t>
  </si>
  <si>
    <t>Incrementality | Triple Whale Help Center</t>
  </si>
  <si>
    <t>https://www.krishtechnolabs.com/google/</t>
  </si>
  <si>
    <t>Google Partner \| Cloud &amp; Marketing Consulting Partner \| Krish</t>
  </si>
  <si>
    <t>https://lifesight.io/</t>
  </si>
  <si>
    <t>Lifesight | Agentic Unified Marketing Measurement</t>
  </si>
  <si>
    <t>Lifesight, Measured, Haus</t>
  </si>
  <si>
    <t>https://linea-analytics.com/</t>
  </si>
  <si>
    <t>Linea Analytics — True Marketing Impact Measurement (Always-on MMM)</t>
  </si>
  <si>
    <t>https://www.marshalltech.io/ai-consultant</t>
  </si>
  <si>
    <t>AI Consultant Australia | Marshall Tech, Led by Nick Hugh | Marshall Tech</t>
  </si>
  <si>
    <t>https://www.mediaweek.com.au/wpp-media-tops-recma-australia-rankings-2025/</t>
  </si>
  <si>
    <t>WPP Media tops RECMA Australia rankings 2025</t>
  </si>
  <si>
    <t>WPP, EssenceMediacom, Mindshare, Wavemaker, Momentum</t>
  </si>
  <si>
    <t>https://www.melottimedia.com.au/ai-marketing-services/</t>
  </si>
  <si>
    <t>AI Marketing Agency Sydney &amp;amp; Melbourne | AEO &amp;amp; GEO | Melotti Content Media</t>
  </si>
  <si>
    <t>https://www.miniloop.ai/blog/best-geo-agencies</t>
  </si>
  <si>
    <t>Best GEO Agencies 2026: Generative Engine Optimization Companies</t>
  </si>
  <si>
    <t>https://mutinex.co/</t>
  </si>
  <si>
    <t>Mutinex - Beyond Market Mix Modeling</t>
  </si>
  <si>
    <t>https://nettyawards.com/a-look-at-australias-top-digital-agencies-in-2025/</t>
  </si>
  <si>
    <t>A Look at Australia’s Top Digital Agencies in 2025 - Netty Awards</t>
  </si>
  <si>
    <t>Megaphone, Measured</t>
  </si>
  <si>
    <t>https://nexit.com.au/ai-search-optimisation/</t>
  </si>
  <si>
    <t>AI Search Optimisation — AEO &amp;amp; GEO Australia | NexIT Solutions</t>
  </si>
  <si>
    <t>https://niftymarketing.com.au/services/answer-engine-optimisation-services/</t>
  </si>
  <si>
    <t>Answer Engine Optimisation Services Sydney | AEO Agency</t>
  </si>
  <si>
    <t>https://www.ocmsolution.com/digital-agencies-in-sydney/</t>
  </si>
  <si>
    <t>Top 10 Best Digital Agencies &amp;amp; Marketing Companies in Sydney, Australia – OCM Solution – Best Change Management Solution, Content, Services</t>
  </si>
  <si>
    <t>AdVisible, Sparro, We Are Social, Rocket Agency, Impressive</t>
  </si>
  <si>
    <t>https://onpoint.com.au/media-buying-agency-melbourne</t>
  </si>
  <si>
    <t>https://outgrow.co/blog/advertising-agencies-australia</t>
  </si>
  <si>
    <t>Top 14 Advertising Agencies in Australia You Must Know</t>
  </si>
  <si>
    <t>Saatchi &amp; Saatchi, Dentsu, Ogilvy Australia, DDB Australia, Intesols</t>
  </si>
  <si>
    <t>https://www.paisdigital.com.au/</t>
  </si>
  <si>
    <t>Digital Performance Marketing Agency Australia | Pais Digital</t>
  </si>
  <si>
    <t>https://performancemarketer.com.au/</t>
  </si>
  <si>
    <t>Google &amp;amp; Meta Ads, SEO &amp;amp; Conversion Tracking Expert | Performance Marketer</t>
  </si>
  <si>
    <t>https://primedaiconsulting.com/</t>
  </si>
  <si>
    <t>AI Consulting Australia | AI Readiness Assessment | Primed AI</t>
  </si>
  <si>
    <t>https://prwire.com.au/pr/127124/rankingco-rises-into-australia-s-top-3-of-google-partners-as-a-2026-premier-partner</t>
  </si>
  <si>
    <t>RankingCo rises into Australia’s top 3% of Google Partners as a 2026 Premier Partner</t>
  </si>
  <si>
    <t>https://pwd.com.au/blog/best-digital-marketing-company-perth/</t>
  </si>
  <si>
    <t>Best Digital Marketing Company in Perth 2026 \| PWD</t>
  </si>
  <si>
    <t>HERO, Clemenger BBDO, OMD, Bonfire</t>
  </si>
  <si>
    <t>https://www.reddit.com/r/adtech/comments/1u5mwrq/measurement_source_of_truth/</t>
  </si>
  <si>
    <t>Measurement source of truth</t>
  </si>
  <si>
    <t>https://www.risexventuress.com/ai-marketing-agency-location/australia</t>
  </si>
  <si>
    <t>AI Marketing Agency in Australia | RiseX Venturess</t>
  </si>
  <si>
    <t>https://rocketagency.com.au/about/digital-marketing-awards</t>
  </si>
  <si>
    <t>Digital Marketing Awards: Australia &amp;amp; Global | Rocket Agency</t>
  </si>
  <si>
    <t>Rocket Agency, Impressive</t>
  </si>
  <si>
    <t>https://searchagency.com.au/</t>
  </si>
  <si>
    <t>Search Agency Australia | SEO, AI Search &amp;amp; Digital Marketing</t>
  </si>
  <si>
    <t>https://seocompare.co.uk/ai-search-agencies-australia/</t>
  </si>
  <si>
    <t>4 Best AI Search Agencies Australia - 2026 Guide | SEOCompare</t>
  </si>
  <si>
    <t>https://www.smartosc.com/ai-consulting-services-in-australia/</t>
  </si>
  <si>
    <t>Top-Rated AI Consulting Services Used by Australian Businesses - SmartOSC</t>
  </si>
  <si>
    <t>SmartOSC, Deloitte</t>
  </si>
  <si>
    <t>https://www.sortlist.com/s/data-driven-marketing/australia-au</t>
  </si>
  <si>
    <t>The 10 Best Data Driven Marketing Agencies in Australia - 2026 Reviews</t>
  </si>
  <si>
    <t>Measured, Earned Media, Clearwater Agency, SIXGUN, Soup Agency, HERO, Ninja Promo</t>
  </si>
  <si>
    <t>https://www.sortlist.com/s/paid-media/new-south-wales-nsw-au</t>
  </si>
  <si>
    <t>The 10 Best Paid Media Agencies in New South Wales - 2026 Reviews</t>
  </si>
  <si>
    <t>Impressive, Supple Digital, CUT THRU, Measured, Earned Media, Clearwater Agency, SIXGUN, Ninja Promo</t>
  </si>
  <si>
    <t>https://www.tamedmarketing.com.au/</t>
  </si>
  <si>
    <t>Melbourne Performance Marketing Agency | Tamed Marketing</t>
  </si>
  <si>
    <t>https://techbullion.com/top-australian-geo-agencies-helping-brands-appear-in-ai-generated-answers/</t>
  </si>
  <si>
    <t>Top Australian GEO Agencies Helping Brands Appear in AI-Generated Answers - TechBullion</t>
  </si>
  <si>
    <t>NP Digital Australia, Soup Agency, Reef Digital Agency, First Page, First Page Australia, King Kong, Megantic, StudioHawk, Clearwater Agency</t>
  </si>
  <si>
    <t>https://www.thefrontdigital.com.au/services/ai-readiness-consulting</t>
  </si>
  <si>
    <t>AI readiness consulting Melbourne | The Front Digital</t>
  </si>
  <si>
    <t>https://www.thehero.co/news/australias-best-marketing-advertising-firm-2026-top-100</t>
  </si>
  <si>
    <t>Australia's Top Creative Agency in 2026 Global 100 Best Marketing and Advertising Awards Is HERO</t>
  </si>
  <si>
    <t>https://themanifest.com/au/digital-marketing/agencies</t>
  </si>
  <si>
    <t>The Best Digital Marketing Companies in Australia - Jul 2026 | The Manifest</t>
  </si>
  <si>
    <t>Digital Nomads HQ, SIXGUN, Megaphone, Paradox Marketing, Marketix Digital, eMarket Experts, Intesols, Soup Agency, Earned Media, Online Marketing Gurus, Rocket Agency, Human Digital, Emote Digital, Farsiight, 80/20 Digital, MyWork, Clearwater Agency, Supple Digital, StudioHawk, EvenDigit, Alley Group</t>
  </si>
  <si>
    <t>https://themanifest.com/au/digital-marketing/agencies?page=1</t>
  </si>
  <si>
    <t>Salt &amp; Fuessel, Impressive, Insil, Luminary, Sparro, Reform Digital, Digital Nomads HQ, EvenDigit, Alley Group, SIXGUN, MyWork</t>
  </si>
  <si>
    <t>https://theonlinegroup.com.au/ai-automation/ai-marketing-agency</t>
  </si>
  <si>
    <t>AI Marketing Agency | The Online Group Pty Ltd</t>
  </si>
  <si>
    <t>https://titanblue.com.au/ai-search-optimisation-agency/?srsltid=AfmBOooc8qrkvV3f6HsRqxexLRCbojm5HjPSA0Pu7mziX52P3MBgox1-</t>
  </si>
  <si>
    <t>AI Search Optimisation Agency: Boost AU Business in 2026</t>
  </si>
  <si>
    <t>https://www.unifida.com.au/</t>
  </si>
  <si>
    <t>UniFida Customer Data Platform + Marketing Attribution</t>
  </si>
  <si>
    <t>https://upcity.com/au/creative</t>
  </si>
  <si>
    <t>Top 30 Creative Agencies in Australia - May 2025 Reviews</t>
  </si>
  <si>
    <t>Omnicom Media Group, Dentsu</t>
  </si>
  <si>
    <t>https://www.usercall.co/post/top-20-market-research-companies-in-australia-2025#:~:text=10.%20Bastion%20Insights%20%E2%80%93%20Cremorne.%20They%20combine,FMCG%2C%20this%20niche%20firm%20provides%20unmatched%20expertise.</t>
  </si>
  <si>
    <t>Top 20 Market Research Companies in Australia (Who to Hire in 2026)</t>
  </si>
  <si>
    <t>https://www.warc.com/en/rankings/creative-100</t>
  </si>
  <si>
    <t>Creative 100 Overview</t>
  </si>
  <si>
    <t>https://webprofits.com.au/about.html</t>
  </si>
  <si>
    <t>About | The Best Performance Marketers in Australia | Webprofits</t>
  </si>
  <si>
    <t>https://zipdo.co/service/attribution/</t>
  </si>
  <si>
    <t>Top 10 Best Attribution Services (2026 Expert Review)</t>
  </si>
  <si>
    <t>Deloitte, WPP, Publicis Media, Publicis Groupe</t>
  </si>
  <si>
    <t>https://www.1stpage.com.au/services/answer-engine-optimization/</t>
  </si>
  <si>
    <t>Answer Engine Optimization Services \| 1stPage Australia</t>
  </si>
  <si>
    <t>https://3pdigital.com.au/digital-performance-agency-australia</t>
  </si>
  <si>
    <t>Digital Performance Agency Australia | 3P Digital</t>
  </si>
  <si>
    <t>Measured, Momentum</t>
  </si>
  <si>
    <t>https://3pdigital.com.au/multi-channel-attribution-modelling</t>
  </si>
  <si>
    <t>Customer Journey Mapping &amp; Optimisation \| 3P Digital</t>
  </si>
  <si>
    <t>https://www.adnews.com.au/news/comvergence-omd-tops-australia-for-media-agency-billings-and-market-share</t>
  </si>
  <si>
    <t>COMvergence:&amp;nbsp;OMD tops Australia for media agency billings and market share - AdNews</t>
  </si>
  <si>
    <t>OMD, EssenceMediacom, Wavemaker, WPP, Omnicom Media Group, Publicis Media, Momentum</t>
  </si>
  <si>
    <t>https://www.adnews.com.au/news/the-adnews-agency-of-the-year-award-2025-winners-revealed</t>
  </si>
  <si>
    <t>The AdNews Agency of the Year Award 2025 winners revealed - AdNews</t>
  </si>
  <si>
    <t>BMF, Accenture Song, Howatson+Company, Thinkerbell, Mindshare, PHD, HERO, Reload Media, Saatchi &amp; Saatchi, OMD, Wavemaker, Dentsu, VML, Clemenger BBDO, WPP</t>
  </si>
  <si>
    <t>https://www.advancer.com.au/about</t>
  </si>
  <si>
    <t>About Advancer | Transform Your Business Today With AI — Advancer – The AI Agency | AI Consulting Brisbane &amp;amp; Automation in Australia</t>
  </si>
  <si>
    <t>Reload Media</t>
  </si>
  <si>
    <t>https://aeroleads.com/list/top-geospatial-companies-in-australia</t>
  </si>
  <si>
    <t>Top 39 Geospatial Companies in Australia - Emails &amp; Contacts</t>
  </si>
  <si>
    <t>https://agencies.semrush.com/list/advertising/melbourne/</t>
  </si>
  <si>
    <t>Best Advertising Agencies in Melbourne 2026 | Semrush</t>
  </si>
  <si>
    <t>Supple Digital, Soup Agency, First Page, Clearwater Agency, Measured, Earned Media, Impressive, Online Marketing Gurus, Omnicom Media Group, First Page Australia, 80/20 Digital, Salt &amp; Fuessel, Megaphone</t>
  </si>
  <si>
    <t>https://agencies.semrush.com/list/analytics-data-science/melbourne/</t>
  </si>
  <si>
    <t>Best Data Analytics Services in Melbourne 2026 | Semrush</t>
  </si>
  <si>
    <t>https://agencies.semrush.com/list/analytics-data-science/melbourne/enterprise-business/</t>
  </si>
  <si>
    <t>Best Data Analytics Services for Enterprise Business in Melbourne 2026 | Semrush</t>
  </si>
  <si>
    <t>Soup Agency, First Page, Clearwater Agency, Measured, Earned Media, Impressive, Online Marketing Gurus, Omnicom Media Group, Bonfire, Megantic, Click Click Media, Huge</t>
  </si>
  <si>
    <t>https://agencies.semrush.com/list/display-advertising/melbourne/small-business/</t>
  </si>
  <si>
    <t>Best Display Ads Agencies for Small Business in Melbourne 2026 | Semrush</t>
  </si>
  <si>
    <t>Soup Agency, First Page, Clearwater Agency, Measured, Earned Media, Impressive, Online Marketing Gurus, Omnicom Media Group, First Page Australia, 80/20 Digital, Megaphone, Salt &amp; Fuessel</t>
  </si>
  <si>
    <t>https://agencies.semrush.com/list/facebook-advertising/australia/</t>
  </si>
  <si>
    <t>Best Facebook Advertising Agencies in Australia 2026 | Semrush</t>
  </si>
  <si>
    <t>https://agencies.semrush.com/list/machine-learning-and-ai/sydney/</t>
  </si>
  <si>
    <t>Best Machine Learning and AI Services in Sydney 2026 | Semrush</t>
  </si>
  <si>
    <t>Soup Agency, Online Marketing Gurus, Omnicom Media Group, Earned Media, First Page, Clearwater Agency, Measured, Impressive, 80/20 Digital</t>
  </si>
  <si>
    <t>https://agencies.semrush.com/list/smm/sydney/</t>
  </si>
  <si>
    <t>Best Social Media Marketing Agencies in Sydney 2026 | Semrush</t>
  </si>
  <si>
    <t>DNM Digital, Soup Agency, Online Marketing Gurus, Omnicom Media Group, Human Digital, Digital Nomads HQ, Click Click Media, Bench Media, Earned Media, Rocket Agency, First Page, Clearwater Agency, Measured</t>
  </si>
  <si>
    <t>https://agencylist.com/services/measurement-and-coverage-reports/au/</t>
  </si>
  <si>
    <t>Top Measurement and Coverage Reports Agencies in Australia</t>
  </si>
  <si>
    <t>https://www.aimash.com.au/</t>
  </si>
  <si>
    <t>AI-Powered Marketing Agency in Australia | Aimash</t>
  </si>
  <si>
    <t>https://aireadyaudit.com.au/</t>
  </si>
  <si>
    <t>AI Readiness, Tools &amp;amp; AI Search Audits | AIReady Australia</t>
  </si>
  <si>
    <t>https://aivy.com.au/ai-consulting/</t>
  </si>
  <si>
    <t>AI Consulting Services &amp;amp; Strategy for Australian Businesses</t>
  </si>
  <si>
    <t>https://www.alphadigital.com.au/performance/</t>
  </si>
  <si>
    <t>Performance Marketing Agency Australia | Alpha Digital</t>
  </si>
  <si>
    <t>https://www.alphadigital.com.au/performance/display-programmatic/</t>
  </si>
  <si>
    <t>Programmatic Display Advertising Agency Australia | Alpha Digital</t>
  </si>
  <si>
    <t>https://analyzify.com/hub/digital-marketing-agencies-in-au</t>
  </si>
  <si>
    <t>Top 12 Digital Marketing Agencies In Australia | Analyzify</t>
  </si>
  <si>
    <t>Digital Nomads HQ, Megaphone, Insil, AdVisible, Reef Digital Agency</t>
  </si>
  <si>
    <t>https://anirup.com/top-10-google-ads-agency-australia/</t>
  </si>
  <si>
    <t>Top 10 Google Ads Agency In Australia 2026 | Melbourne &amp;amp; Sydney</t>
  </si>
  <si>
    <t>Digital Nomads HQ, Clearwater Agency, Megaphone, Online Marketing Gurus, Omnicom Media Group, eMarket Experts, Supple Digital</t>
  </si>
  <si>
    <t>https://arcadiandigital.com.au/services/digital-marketing/answer-engine-optimisation-aeo</t>
  </si>
  <si>
    <t>Answer Engine Optimisation - AEO Agency | Arcadian Digital</t>
  </si>
  <si>
    <t>https://www.artd.com.au/our-projects/australian-trusted-trader-10-year-monitoring-and-evaluation-strategy/</t>
  </si>
  <si>
    <t>Australian Trusted Trader 10-year monitoring and evaluation strategy | ARTD</t>
  </si>
  <si>
    <t>https://au.linkedin.com/company/thinkerbellagency</t>
  </si>
  <si>
    <t>Thinkerbell | LinkedIn</t>
  </si>
  <si>
    <t>Thinkerbell, Measured, EssenceMediacom, Howatson+Company, BMF, Clemenger BBDO, Ogilvy Australia</t>
  </si>
  <si>
    <t>https://au.linkedin.com/company/xpontechnologies</t>
  </si>
  <si>
    <t>XPON | LinkedIn</t>
  </si>
  <si>
    <t>XPON, Momentum, Incubeta</t>
  </si>
  <si>
    <t>https://avenuegroupaus.com.au/top-seo-companies-in-australia/#:~:text=Megantic.%20One%20of%20the%20few%20e%2Dcommerce%2Doriented%20SEO,E%2Dcommerce%20SEO%20is%20a%20very%20specific%20field.</t>
  </si>
  <si>
    <t>Top 10 SEO Companies in Australia to Consider in 2026</t>
  </si>
  <si>
    <t>First Page, Prosperity Media, SIXGUN, Megantic</t>
  </si>
  <si>
    <t>https://avidtrak.com/resource/best-market-attribution-software</t>
  </si>
  <si>
    <t>9 Best Marketing Attribution Software for Agencies</t>
  </si>
  <si>
    <t>https://www.bbe.io/top-10-most-innovative-australian-ad-agencies-and-best-creative-campaigns/</t>
  </si>
  <si>
    <t>https://www.bcg.com/capabilities/artificial-intelligence</t>
  </si>
  <si>
    <t>AI @ Scale | AI Consulting and Strategy | BCG</t>
  </si>
  <si>
    <t>https://bestforexapp.com/best-ai-marketing-agency-australia-2026-2/</t>
  </si>
  <si>
    <t>Who Runs Australia’s AI Marketing Scene in 2026? - Best Forex App</t>
  </si>
  <si>
    <t>https://www.betterpeople.com.au/</t>
  </si>
  <si>
    <t>Better People - AI, Data and Cloud Training Provider</t>
  </si>
  <si>
    <t>https://www.blanktheory.com.au/approach/performance-marketing/</t>
  </si>
  <si>
    <t>Performance Marketing Agency \| Performance Marketing Services \| Blank Theory</t>
  </si>
  <si>
    <t>https://www.bluethings.co/blog/top-seo-agencies-australia#:~:text=Mid%2Dmarket%20and%20enterprise%20businesses%20operating%20in%20competitive,ThreatX%2C%20and%20Tiddle.%20Key%20services.%20SEO%20management.</t>
  </si>
  <si>
    <t>Top 20 SEO Agencies in Australia for 2026 and Beyond</t>
  </si>
  <si>
    <t>eMarket Experts, First Page, First Page Australia, Safari Digital, AdVisible, Impressive, KPMG, Online Marketing Gurus, Omnicom Media Group, Marketix Digital, Earned Media, Supple Digital, Gorilla 360, Clearwater Agency, SIXGUN</t>
  </si>
  <si>
    <t>https://bondipages.com/best-marketing-in-australia/</t>
  </si>
  <si>
    <t>Best Marketing in Australia: 7 Agencies That Actually Deliver (2026)</t>
  </si>
  <si>
    <t>Digital Nomads HQ, Sparro, Megaphone, First Page, Momentum</t>
  </si>
  <si>
    <t>https://www.bonfire.com.au/about/</t>
  </si>
  <si>
    <t>About - Bonfire Digital</t>
  </si>
  <si>
    <t>Bonfire, Impressive, HERO</t>
  </si>
  <si>
    <t>https://www.bonfire.com.au/melbourne/programmatic-advertising/</t>
  </si>
  <si>
    <t>Programmatic Advertising Agency Melbourne | Display Ad Services</t>
  </si>
  <si>
    <t>Bonfire, Measured</t>
  </si>
  <si>
    <t>https://www.brainlabsdigital.com/brainlabs-acquires-sparro-largest-independent-digital-media-agency-australia/</t>
  </si>
  <si>
    <t>Brainlabs acquires Sparro - Australia’s largest independent digital media agency</t>
  </si>
  <si>
    <t>https://www.braive.com.au/</t>
  </si>
  <si>
    <t>AI Strategy &amp;amp; Automation Agency Australia | BRAIVE</t>
  </si>
  <si>
    <t>https://builtinsydney.au/articles/digital-marketing-companies-sydney</t>
  </si>
  <si>
    <t>20 Top Digital Marketing Companies in Sydney | Built In Sydney</t>
  </si>
  <si>
    <t>AdVisible, Soup Agency, Human Digital, Webprofits</t>
  </si>
  <si>
    <t>https://builtinsydney.au/articles/marketing-companies-sydney</t>
  </si>
  <si>
    <t>20 Marketing Companies in Sydney to Know | Built In Sydney</t>
  </si>
  <si>
    <t>Rocket Agency, Bench Media</t>
  </si>
  <si>
    <t>https://business.google.com/en-all/support/work-with-a-partner/</t>
  </si>
  <si>
    <t>Work with a Google Partner for a Successful Campaign – Google Ads</t>
  </si>
  <si>
    <t>https://business.google.com/us/accelerate/announcements/meridian-geox-googles-new-open-source-geo-incrementality-solution/</t>
  </si>
  <si>
    <t>https://www.capterra.com.au/software/132822/bizible</t>
  </si>
  <si>
    <t>https://cartermedia.com.au/</t>
  </si>
  <si>
    <t>https://cassandra.app/platform</t>
  </si>
  <si>
    <t>MMM &amp;amp; Geo Incrementality Testing Platform | Cassandra</t>
  </si>
  <si>
    <t>https://clickedon.co/services/digital-strategy</t>
  </si>
  <si>
    <t>Digital Strategy Agency Sydney \| ClickedOn \| ClickedOn</t>
  </si>
  <si>
    <t>https://clutch.co/au/agencies/creative/melbourne</t>
  </si>
  <si>
    <t>Top Creative Agencies in Melbourne - Jul 2026 Rankings | Clutch.co</t>
  </si>
  <si>
    <t>https://clutch.co/au/agencies/market-research</t>
  </si>
  <si>
    <t>Top Market Research Companies in Australia - Jul 2026 Rankings | Clutch.co</t>
  </si>
  <si>
    <t>Impressive, Huge, weDiscover</t>
  </si>
  <si>
    <t>https://clutch.co/au/agencies/social-media-marketing/facebook?page=9</t>
  </si>
  <si>
    <t>Page 9 - Top Facebook Advertising Agencies in Australia - Jul 2026 Rankings | Clutch.co</t>
  </si>
  <si>
    <t>Impressive, Digital Nomads HQ, SIXGUN, Megaphone, Intesols, Farsiight, Soup Agency, Online Marketing Gurus, Paradox Marketing, Emote Digital, Rocket Agency, Human Digital, Bench Media, Insil, Clearwater Agency, Salt &amp; Fuessel</t>
  </si>
  <si>
    <t>https://clutch.co/au/seo-firms</t>
  </si>
  <si>
    <t>Top SEO Companies in Australia - Jul 2026 Rankings | Clutch.co</t>
  </si>
  <si>
    <t>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t>
  </si>
  <si>
    <t>https://clutch.co/profile/megaphone-marketing</t>
  </si>
  <si>
    <t>Megaphone Marketing Reviews (107), Pricing, Services &amp; Verified Ratings</t>
  </si>
  <si>
    <t>Megaphone, Impressive, Huge</t>
  </si>
  <si>
    <t>https://conquerradigital.com.au/top-10-programmatic-ads-agencies-in-melbourne/</t>
  </si>
  <si>
    <t>Top 10 Programmatic Ads Agencies In Melbourne | Conquerra Digital</t>
  </si>
  <si>
    <t>Megaphone, Rocket Agency, Soup Agency, Bench Media, WebSavvy, Resolution Digital, Momentum</t>
  </si>
  <si>
    <t>https://www.crmstrategy.com.au/marketing-attribution-solutions-and-advanced-analytics-2/</t>
  </si>
  <si>
    <t>Marketing Attribution Solutions and Advanced Analytics - Empowering Your Business for Exceptional Growth</t>
  </si>
  <si>
    <t>https://www.datasauce.com/</t>
  </si>
  <si>
    <t>DataSauce | Digital Performance Marketing Agency</t>
  </si>
  <si>
    <t>https://www.decisionfoundry.com/marketing-measurement-analytics-services/</t>
  </si>
  <si>
    <t>Marketing Measurement Analytics Services</t>
  </si>
  <si>
    <t>https://www.defence.gov.au/about/strategic-planning/ago-strategy-2025-2027</t>
  </si>
  <si>
    <t>https://defyn.com.au/branding-sydney/</t>
  </si>
  <si>
    <t>Brand Strategy Agency in Sydney | Build a Better Brand</t>
  </si>
  <si>
    <t>https://www.designrush.com/agency/ad-agencies/au/melbourne</t>
  </si>
  <si>
    <t>Top Advertising Agencies in Melbourne | 2026</t>
  </si>
  <si>
    <t>Elephant In The Boardroom, Omnicom Media Group, First Page, First Page Australia, The Monkeys</t>
  </si>
  <si>
    <t>https://www.designrush.com/agency/digital-marketing/analytics</t>
  </si>
  <si>
    <t>Top Marketing Analytics Agencies in 2026</t>
  </si>
  <si>
    <t>Huge, Supple Digital, Deloitte, Intero Digital</t>
  </si>
  <si>
    <t>https://www.designrush.com/agency/paid-media-pay-per-click/au/sydney</t>
  </si>
  <si>
    <t>Top PPC Agencies in Sydney | 2026</t>
  </si>
  <si>
    <t>Impressive, Supple Digital, Online Marketing Gurus, Soup Agency, Clearwater Agency, Human Digital</t>
  </si>
  <si>
    <t>https://digitalagencynetwork.com/agencies/melbourne/geo/</t>
  </si>
  <si>
    <t>Top GEO Agencies in Melbourne for Generative Engine Optimization (2026)</t>
  </si>
  <si>
    <t>Emote Digital, Luminary, Clearwater Agency, Digital Nomads HQ</t>
  </si>
  <si>
    <t>https://digitalchamp.com.au/platypus-australia/</t>
  </si>
  <si>
    <t>Platypus Australia - Australia #1 Performance Marketing Agency | Digital Champ</t>
  </si>
  <si>
    <t>https://www.digitalhitmen.com.au/seo-perth/geo/</t>
  </si>
  <si>
    <t>GEO Agency Perth | Show Up in ChatGPT, AI Overviews &amp;amp; More</t>
  </si>
  <si>
    <t>https://digitalnomadshq.com.au/blog/best-seo-agencies/</t>
  </si>
  <si>
    <t>Best SEO Agencies in Australia [Updated 2026]</t>
  </si>
  <si>
    <t>Digital Nomads HQ, StudioHawk, Online Marketing Gurus, Gorilla 360, Supple Digital, Safari Digital, Clearwater Agency, Impressive, Omnicom Media Group</t>
  </si>
  <si>
    <t>https://digitalnomadshq.com.au/blog/search-engine-marketing-agencies/</t>
  </si>
  <si>
    <t>Top 10 Search Engine Marketing Agencies in Australia 2026</t>
  </si>
  <si>
    <t>Digital Nomads HQ, Online Marketing Gurus, Supple Digital, eMarket Experts, Rocket Agency, Omnicom Media Group</t>
  </si>
  <si>
    <t>https://digitalsearchgroup.com.au/</t>
  </si>
  <si>
    <t>AI Digital Marketing Agency | #1 Search Marketing Services</t>
  </si>
  <si>
    <t>https://www.digiwolf.au/services/analytics</t>
  </si>
  <si>
    <t>Analytics &amp;amp; Performance Reporting | DigiWolf — Sydney</t>
  </si>
  <si>
    <t>https://www.dilate.com.au/</t>
  </si>
  <si>
    <t>Full-Service Digital Marketing Agency Perth | Dilate Digital</t>
  </si>
  <si>
    <t>Huge, Momentum</t>
  </si>
  <si>
    <t>https://distl.com.au/seo/generative-engine-optimisation/</t>
  </si>
  <si>
    <t>AI SEO Perth | Generative Search Optimisation | Get Cited in ChatGPT &amp;amp; AI Overviews</t>
  </si>
  <si>
    <t>https://dnmdigital.com.au/seo-agency/ai-seo/#:~:text=Our%20LLM%20SEO%20services%20help,LLMs%20and%20AI%20search%20engines.</t>
  </si>
  <si>
    <t>AI SEO Agency Australia | AEO &amp;amp; GEO Services | DNM Digital</t>
  </si>
  <si>
    <t>https://ecosystem.hubspot.com/marketplace/solutions/paid-advertising/australia</t>
  </si>
  <si>
    <t>The 228 Best Paid Advertising Agencies or Service Providers in Australia \| HubSpot</t>
  </si>
  <si>
    <t>https://www.edgeonline.com.au/ai-seo-aio/#:~:text=Our%20live%20dashboards%20track%20your%20brand's%20presence,optimised%20for%20the%20latest%20AI%2Dpowered%20search%20results.</t>
  </si>
  <si>
    <t>AI SEO Agency Australia | Making your brand visible in AI Results</t>
  </si>
  <si>
    <t>https://www.elsner.com.au/top-10-seo-agencies-australia-2026/</t>
  </si>
  <si>
    <t>Top 10 SEO Agencies in Australia 2026 | Results &amp;amp; Expertise</t>
  </si>
  <si>
    <t>StudioHawk, Prosperity Media, Clearwater Agency, Reef Digital Agency</t>
  </si>
  <si>
    <t>https://ensun.io/search/display-advertising/australia</t>
  </si>
  <si>
    <t>Top 100 Display Advertising Companies in Australia (2026) \| ensun</t>
  </si>
  <si>
    <t>https://ensun.io/search/geospatial-data/australia</t>
  </si>
  <si>
    <t>Top 100 Geospatial Data Companies in Australia (2026) \| ensun</t>
  </si>
  <si>
    <t>https://enterprisemarketingportal.google/work-with-partners</t>
  </si>
  <si>
    <t>Work with Partners</t>
  </si>
  <si>
    <t>https://firstpagesage.com/seo-blog/the-top-generative-engine-optimization-geo-agencies/</t>
  </si>
  <si>
    <t>The Top Generative Engine Optimization (GEO) Agencies of 2026 – First Page Sage</t>
  </si>
  <si>
    <t>First Page, Impressive</t>
  </si>
  <si>
    <t>https://flowworks.com.au/</t>
  </si>
  <si>
    <t>FlowWorks | AI Consulting &amp;amp; Automation Australia</t>
  </si>
  <si>
    <t>https://flypix.ai/geospatial-companies-in-australia/</t>
  </si>
  <si>
    <t>10 Best Geospatial Companies in Australia (2026)</t>
  </si>
  <si>
    <t>https://furtherinsight.com.au/our-services/marketing-mix-modelling/</t>
  </si>
  <si>
    <t>Marketing Mix Modelling - Further Insight</t>
  </si>
  <si>
    <t>https://gdaybroadcast.com.au/marketing-agencies-in-melbourne/</t>
  </si>
  <si>
    <t>Top 10 Marketing Agencies in Melbourne - G'Day Broadcast</t>
  </si>
  <si>
    <t>Clearwater Agency, Impressive, Emote Digital, Megaphone, Luminary, Online Marketing Gurus, Elephant In The Boardroom</t>
  </si>
  <si>
    <t>https://www.getapp.com.au/directory/1317/marketing-attribution/software?page=5</t>
  </si>
  <si>
    <t>https://www.gispeople.com.au/locate-gis-companies-in-australia-new-zealand/</t>
  </si>
  <si>
    <t>Locate GIS companies in Australia &amp;amp; New Zealand - GIS People</t>
  </si>
  <si>
    <t>https://www.goodfirms.co/directory/country/top-digital-marketing-companies/advertising-ppc/australia</t>
  </si>
  <si>
    <t>Top PPC Agencies in Australia - 2026 Reviews | Goodfirms</t>
  </si>
  <si>
    <t>Impressive, SIXGUN, eMarket Experts, Elephant In The Boardroom, Digital Nomads HQ, CUT THRU, Emote Digital</t>
  </si>
  <si>
    <t>https://www.goodfirms.co/directory/country/top-digital-marketing-companies/au?sort_by=rating</t>
  </si>
  <si>
    <t>CUT THRU, Impressive, Elephant In The Boardroom, eMarket Experts, SIXGUN, Supple Digital, AdVisible, Intesols, Emote Digital</t>
  </si>
  <si>
    <t>https://www.google.com.au/partners/</t>
  </si>
  <si>
    <t>https://www.google.com/partners/agency?id=3839074243</t>
  </si>
  <si>
    <t>https://www.google.com/searchviewer/10?svid=CAwSHRIbCgNwdnESFENnMHZaeTh4TVdZMGNXTXpYM3BrGAo</t>
  </si>
  <si>
    <t>https://www.gravitatedigital.com.au/search-engine-optimisation/geo-agency</t>
  </si>
  <si>
    <t>Generative Engine Optimisation (GEO) Agency | Gravitate Digital</t>
  </si>
  <si>
    <t>https://www.growaidigital.com.au/</t>
  </si>
  <si>
    <t>https://www.growthspreeofficial.com/blogs/best-b2b-saas-agencies-cross-channel-attribution-2026</t>
  </si>
  <si>
    <t>The Best B2B SaaS Cross-Channel Attribution Agencies (2026)</t>
  </si>
  <si>
    <t>https://www.iabaustralia.com.au/news/iab-australia-releases-mmm-landscape-report-and-marketers-checklist/</t>
  </si>
  <si>
    <t>IAB Australia releases MMM Landscape Report and marketers' c</t>
  </si>
  <si>
    <t>Dentsu, Lifesight, Mutinex, WPP</t>
  </si>
  <si>
    <t>https://impact.com/videos/state-of-affiliate-marketing-australia-affa-vid-ed-apj/</t>
  </si>
  <si>
    <t>State of Affiliate Marketing in Australia: 2026 Trends</t>
  </si>
  <si>
    <t>https://improvado.io/blog/choosing-marketing-attribution-software</t>
  </si>
  <si>
    <t>Marketing Attribution Software Guide 2026 | Improvado</t>
  </si>
  <si>
    <t>Measured, weDiscover</t>
  </si>
  <si>
    <t>https://inmarketingwetrust.com.au/</t>
  </si>
  <si>
    <t>Data &amp;amp; Analytics, AI &amp;amp; Agentic, Measurement - In Marketing We Trust</t>
  </si>
  <si>
    <t>https://www.intelegain.com/top-10-ai-development-and-consulting-companies-in-australia/</t>
  </si>
  <si>
    <t>https://www.intelligence.gov.au/agencies/ago</t>
  </si>
  <si>
    <t>AGO \| National Intelligence Community</t>
  </si>
  <si>
    <t>https://www.intesols.com.au/services/answer-engine-optimisation/#:~:text=As%20an%20AEO%20Agency%2C%20we%20bring%20tested,matters%20most%2C%20in%20front%20of%20your%20customers.</t>
  </si>
  <si>
    <t>AEO Agency in Melbourne | Answer Engine Optimisation for Real Enquiries</t>
  </si>
  <si>
    <t>https://ionline.com.au/paid-advertising/</t>
  </si>
  <si>
    <t>Paid Ads Agency Australia | Google Ads and Meta Ads</t>
  </si>
  <si>
    <t>https://www.itpro.com/business/business-strategy/ai-projects-are-stalling-at-mid-market-firms-google-cloud-and-accenture-want-to-solve-that</t>
  </si>
  <si>
    <t>AI projects are stalling at mid-market firms – Google Cloud and Accenture want to solve that | IT Pro</t>
  </si>
  <si>
    <t>https://itprofiles.com/services/ppc/sydney</t>
  </si>
  <si>
    <t>The Definitive List: Best PPC Companies in Sydney in Jul 2026 | ITProfiles</t>
  </si>
  <si>
    <t>AdVisible, Sparro</t>
  </si>
  <si>
    <t>https://lbbonline.com/news/a-to-z-aunz-indies-2025</t>
  </si>
  <si>
    <t>An A to Z of the 70+ AUNZ Indies You Need To Know About | LBBOnline</t>
  </si>
  <si>
    <t>Momentum, Bear Meets Eagle On Fire, HERO, Ogilvy Australia, Accenture Song, Howatson+Company, The Monkeys, Dentsu, Thinkerbell, We Are Social</t>
  </si>
  <si>
    <t>https://leadsnow.ai/best-pay-per-result-marketing-agencies-australia-2026/</t>
  </si>
  <si>
    <t>Best Pay-Per-Result Marketing Agencies in Australia (2026) | LeadsNow AI</t>
  </si>
  <si>
    <t>LeadsNow.ai</t>
  </si>
  <si>
    <t>https://liftlab.com/platform/unified-marketing-measurement/</t>
  </si>
  <si>
    <t>Unified Marketing Measurement Platform (MMM + Incrementality) | LiftLab</t>
  </si>
  <si>
    <t>https://www.linkedin.com/company/sparro-digital</t>
  </si>
  <si>
    <t>Sparro | LinkedIn</t>
  </si>
  <si>
    <t>Sparro, Brainlabs, Huge, Rocket Agency, Thinkerbell, Impressive, Online Marketing Gurus</t>
  </si>
  <si>
    <t>https://www.linkedin.com/pulse/best-performance-marketing-services-australia-vanator-assist-jhjyc</t>
  </si>
  <si>
    <t>Digital Nomads HQ, Clearwater Agency, Online Marketing Gurus</t>
  </si>
  <si>
    <t>https://www.listcorp.com/asx/xpn/xpon-technologies-group-limited/news/divestment-of-google-gmp-and-gcp-business-to-incubeta-3364858.html</t>
  </si>
  <si>
    <t>https://www.louddays.com/programmatic-advertising-agency-guide/</t>
  </si>
  <si>
    <t>Programmatic Advertising Agency 2026 Guide | Loud Days</t>
  </si>
  <si>
    <t>Loud Days, Measured, Impressive</t>
  </si>
  <si>
    <t>https://www.luminary.com/generative-engine-optimisation</t>
  </si>
  <si>
    <t>Generative engine optimisation (GEO) &amp;amp; SEO agency — Luminary</t>
  </si>
  <si>
    <t>https://madebyevoke.com/blog/top-branding-agencies-melbourne</t>
  </si>
  <si>
    <t>Top 10 Branding Agencies in Melbourne, Australia (2026) — Ranked | Evoke Studio</t>
  </si>
  <si>
    <t>Clemenger BBDO, Ogilvy Australia, DDB Australia</t>
  </si>
  <si>
    <t>https://marketingplatform.google.com/about/partners/?authuser=1</t>
  </si>
  <si>
    <t>Meet Your New Marketing Partner - Google Marketing Platform Partners</t>
  </si>
  <si>
    <t>https://www.marketingsystems.com.au/blog/incrementality-testing-gold-standard-measuring-marketing-impact</t>
  </si>
  <si>
    <t>Incrementality Testing for Marketing Impact</t>
  </si>
  <si>
    <t>https://mckenzie.com.au/services/google/</t>
  </si>
  <si>
    <t>Google Premier Partner | McKenzie Partners</t>
  </si>
  <si>
    <t>https://meaningfulsocialclub.com/#:~:text=We'll%20be%20sure%20to%20boost%20your%20key,team%20but%20need%20some%20coaching%20or%20strategy%3F</t>
  </si>
  <si>
    <t>Social Media Agency Melbourne</t>
  </si>
  <si>
    <t>https://www.mediaweek.com.au/creative-agency-50-power-list-2023/</t>
  </si>
  <si>
    <t>Creative Agency 50 Power List: 2023 \| Mediaweek</t>
  </si>
  <si>
    <t>https://www.melottimedia.com.au/ai-marketing-services/localised-ai-search-optimisation/</t>
  </si>
  <si>
    <t>Localised AI Search Optimisation for Australian Businesses Sydney &amp;amp; Melbourne | Melotti Content Media</t>
  </si>
  <si>
    <t>https://mindanchorai.com.au/</t>
  </si>
  <si>
    <t>MindAnchor-AI Consulting — AI Governance for Regulated Australian SMEs</t>
  </si>
  <si>
    <t>https://www.modernmarketingpartners.com/2026/03/19/14-best-answer-engine-optimization-agencies-aeo-insights-company-rankings-for-2026/</t>
  </si>
  <si>
    <t>15 Best Answer Engine Optimization Agencies: AEO Insights Company Rankings for 2026</t>
  </si>
  <si>
    <t>First Page, Earned Media</t>
  </si>
  <si>
    <t>https://navigatortech.com.au/</t>
  </si>
  <si>
    <t>Microsoft 365 &amp;amp; AI Readiness Specialist | Copilot, Power Platform &amp;amp; ICT Strategy | Sunshine Coast &amp;amp; Brisbane | Navigator Technology</t>
  </si>
  <si>
    <t>https://www.nelsononeill.com.au/data-tracking-and-reporting/</t>
  </si>
  <si>
    <t>Digital Marketing Data Tracking &amp;amp; Reporting Solutions Australia</t>
  </si>
  <si>
    <t>https://www.ngis.com.au/</t>
  </si>
  <si>
    <t>NGIS | Impact through Geospatial</t>
  </si>
  <si>
    <t>https://www.onlinemarketinggurus.com.au/</t>
  </si>
  <si>
    <t>Digital Marketing Agency Australia | 60+ Awards Won</t>
  </si>
  <si>
    <t>Online Marketing Gurus, Omnicom Media Group</t>
  </si>
  <si>
    <t>https://www.opinosis-analytics.com/ai-consulting-in-australia/</t>
  </si>
  <si>
    <t>AI Consulting Company in Australia | AI Agents | Expert-Led | Machine Learning Consulting</t>
  </si>
  <si>
    <t>MyWork, Impressive</t>
  </si>
  <si>
    <t>https://paramark.com.au/articles/seo-cost-australia/</t>
  </si>
  <si>
    <t>How much does SEO cost in Australia in 2026? | Paramark</t>
  </si>
  <si>
    <t>https://printvideoweb.com.au/blog/30-best-digital-marketing-agencies-in-australia/</t>
  </si>
  <si>
    <t>Top 30 Digital Marketing Agencies in Australia for 2025</t>
  </si>
  <si>
    <t>https://www.qagency.com.au/ai-consultation</t>
  </si>
  <si>
    <t>AI Consulting Sydney | Practical AI for Australian Businesses | Q Agency</t>
  </si>
  <si>
    <t>https://rankmefirst.ai/</t>
  </si>
  <si>
    <t>RankMeFirst.ai | GEO &amp;amp; AI SEO Agency Melbourne</t>
  </si>
  <si>
    <t>https://www.reddit.com/r/MktgSupermarket/comments/1qoc7o0/looking_for_digital_marketing_agencies_in_perth/</t>
  </si>
  <si>
    <t>Looking for digital marketing agencies in Perth? Here's a list of 10 options</t>
  </si>
  <si>
    <t>https://www.reddit.com/r/aeo/comments/1twcbr2/best_aeo_agency_guide_what_to_look_for_in_an/</t>
  </si>
  <si>
    <t>Best AEO Agency Guide What to Look for in an Answer Engine Partner?</t>
  </si>
  <si>
    <t>https://www.reloadmedia.com.au/</t>
  </si>
  <si>
    <t>Reload Media | Independent Media &amp;amp; Performance Agency Australia</t>
  </si>
  <si>
    <t>https://www.rightfirms.co/directory/geo-services/country/australia</t>
  </si>
  <si>
    <t>Top GEO Services Companies in Australia | RightFirms</t>
  </si>
  <si>
    <t>https://rix-digital.com/mmm-vs-incrementality</t>
  </si>
  <si>
    <t>MMM vs Incrementality Testing | Rix Digital</t>
  </si>
  <si>
    <t>https://rocketagency.com.au/services/ppc-agency/display-ads</t>
  </si>
  <si>
    <t>Google Display Advertising &amp;amp; Services | Rocket Agency</t>
  </si>
  <si>
    <t>https://roi.com.au/know-how/ai-seo-geo-answer-engine-optimisation/what-are-the-best-geo-tools-for-australian-businesses</t>
  </si>
  <si>
    <t>What are the best GEO tools for Australian businesses? | AI Marketing Agency Australia | roi.com.au</t>
  </si>
  <si>
    <t>https://www.safaridigital.com.au/seo-services/</t>
  </si>
  <si>
    <t>SEO Services Australia | AI-Ready SEO/AEO/GEO Strategies for 2026</t>
  </si>
  <si>
    <t>https://sandlabs.com.au/blog/top-ai-consulting-companies-australia</t>
  </si>
  <si>
    <t>Top 10 AI Consulting Companies in Australia (2026) - Sandlabs</t>
  </si>
  <si>
    <t>https://www.scalemaster.com.au/</t>
  </si>
  <si>
    <t>https://searchministry.au/seo-service/ai-seo</t>
  </si>
  <si>
    <t>AI SEO Services Australia — GEO and AEO Specialists | SearchMinistry</t>
  </si>
  <si>
    <t>https://segmentstream.com/blog/articles/measured-com-alternatives</t>
  </si>
  <si>
    <t>9 Best Measured Alternatives &amp;amp; Competitors for Incrementality Testing in 2026 — SegmentStream</t>
  </si>
  <si>
    <t>ALTERNATIVE</t>
  </si>
  <si>
    <t>Alternative</t>
  </si>
  <si>
    <t>Measured, Haus, Lifesight, Workmagic, LiftLab, Momentum</t>
  </si>
  <si>
    <t>https://www.semrush.com/agencies/list/analytics-data-science/australia/</t>
  </si>
  <si>
    <t>Best Data Analytics Services in Australia 2026 \| Semrush</t>
  </si>
  <si>
    <t>https://sensedatalab.com.au/google-analytics-4-consulting.html</t>
  </si>
  <si>
    <t>GA4 Consulting - Sense Data Lab</t>
  </si>
  <si>
    <t>https://www.seoworks.com/lists/best-aeo-answer-engine-optimisation-agencies/</t>
  </si>
  <si>
    <t>20 Best Answer Engine Optimisation (AEO) Agencies (2026) | The SEO Works</t>
  </si>
  <si>
    <t>Measured, Brainlabs</t>
  </si>
  <si>
    <t>https://www.smartosc.com/why-choose-digital-marketing-and-data-analytics-services-australia/</t>
  </si>
  <si>
    <t>Why Choose Digital Marketing and Data Analytics Services Australia - SmartOSC</t>
  </si>
  <si>
    <t>SmartOSC, Impressive, First Page, Deloitte Digital, Deloitte, Megaphone, Bonfire, Rocket Agency, Luminary</t>
  </si>
  <si>
    <t>https://socialchameleon.com/top-25-digital-marketing-agencies-in-australia/</t>
  </si>
  <si>
    <t>25 Best Digital Marketing Agencies Australia 2025 | Social Chameleon</t>
  </si>
  <si>
    <t>Huge, Salt &amp; Fuessel, Megaphone, Digital Movement, Alpha Digital</t>
  </si>
  <si>
    <t>https://www.sortlist.com/s/artificial-intelligence/sydney-au</t>
  </si>
  <si>
    <t>The 10 Best Artificial Intelligence Agencies in Sydney - 2026 Reviews</t>
  </si>
  <si>
    <t>https://www.sortlist.com/s/performance-marketing/queensland-qld-au</t>
  </si>
  <si>
    <t>The 10 Best Performance Marketing Agencies in Queensland - 2026 Reviews</t>
  </si>
  <si>
    <t>Digital Nomads HQ, Soup Agency, HERO, Measured, Earned Media, Clearwater Agency, SIXGUN, Impressive, Supple Digital, Momentum, Alpha Digital, 23 Digital</t>
  </si>
  <si>
    <t>https://www.sortlist.com/s/sm-analytics/australia-au</t>
  </si>
  <si>
    <t>The 10 Best SM Analytics Consultants in Australia - 2026 Reviews</t>
  </si>
  <si>
    <t>Measured, Earned Media, Clearwater Agency, SIXGUN, Impressive, Digital Nomads HQ</t>
  </si>
  <si>
    <t>https://www.sortlist.com/web-analytics/melbourne-au</t>
  </si>
  <si>
    <t>The 10 Best Web Analytics Agencies in Melbourne - 2026 Reviews</t>
  </si>
  <si>
    <t>Impressive, SIXGUN, 23 Digital</t>
  </si>
  <si>
    <t>https://sparro.com.au/digital-marketing/</t>
  </si>
  <si>
    <t>Marketing Agency | Sparro by Brainlabs: Independent Digital Marketing</t>
  </si>
  <si>
    <t>Sparro</t>
  </si>
  <si>
    <t>https://www.stantec.com/au/services/geospatial</t>
  </si>
  <si>
    <t>Geospatial</t>
  </si>
  <si>
    <t>https://support.google.com/tagmanager/answer/7237700?hl=en-AU</t>
  </si>
  <si>
    <t>https://www.techradar.com/pro/hubspot-increased-leads-by-1850-percent-and-we-asked-them-how-the-aeo-playbook</t>
  </si>
  <si>
    <t>HubSpot increased leads by 1850%, and we asked them how: The AEO playbook | TechRadar</t>
  </si>
  <si>
    <t>https://www.techyflavors.com/2026/07/top-ai-driven-seo-agencies-in-australia.html</t>
  </si>
  <si>
    <t>Top AI-Driven SEO Agencies in Australia for Enterprise Companies</t>
  </si>
  <si>
    <t>NP Digital Australia, Zib Digital, Prosperity Media, 80/20 Digital, Safari Digital, Measured</t>
  </si>
  <si>
    <t>https://thatware.co/top-10-seo-companies-in-australia/</t>
  </si>
  <si>
    <t>Top SEO Companies in Australia | 10 Best Australia SEO Firms</t>
  </si>
  <si>
    <t>Ninja Promo, Supple Digital, Safari Digital, Digital Nomads HQ, Clearwater Agency, Gorilla 360, Measured, Zib Digital</t>
  </si>
  <si>
    <t>https://www.theaustralian.com.au/business/growth-agenda/a-special-decade-as-independent-creative-agency-celebrates-milestone/news-story/3ff6c415d05d580c07433ced667fdd66</t>
  </si>
  <si>
    <t>https://www.theaustralian.com.au/business/growth-agenda/accenture-song-targets-media-agencies-in-move-to-full-service-agency/news-story/375b942d4fa210237d0f10a227265b8f</t>
  </si>
  <si>
    <t>Accenture Song targets media agencies in ambitious move to full service \| The Australian</t>
  </si>
  <si>
    <t>Accenture Song, Momentum, Publicis Groupe, KPMG, Deloitte, The Monkeys</t>
  </si>
  <si>
    <t>https://www.theaustralian.com.au/business/growth-agenda/us-tech-challenger-tackles-marketings-big-attribution-problem/news-story/fdf53a9daba98edcceb53edf3adc1ea5</t>
  </si>
  <si>
    <t>https://www.theaustralian.com.au/business/leadership/abused-and-misunderstood-why-this-ceo-offers-her-staff-autism-and-adhd-tests/news-story/c3157f767ce6b443baee0e882fc89559</t>
  </si>
  <si>
    <t>https://www.thehero.co/about</t>
  </si>
  <si>
    <t>ABOUT | Leading Creative &amp;amp; Brand Partner for Australia’s Best Brands and Marketing Performance HERO</t>
  </si>
  <si>
    <t>HERO, Momentum, PHD</t>
  </si>
  <si>
    <t>https://www.thehero.co/work</t>
  </si>
  <si>
    <t>Award-winning Creative Campaigns For Real-World Results | AI-Driven Advertising Creativity &amp;amp; Tech</t>
  </si>
  <si>
    <t>https://themanifest.com/au/social-media/tiktok/agencies</t>
  </si>
  <si>
    <t>The Best TikTok Advertising Companies in Australia - Jul 2026 | The Manifest</t>
  </si>
  <si>
    <t>Digital Nomads HQ, Megaphone, Soup Agency, Paradox Marketing, Emote Digital, Bench Media, Salt &amp; Fuessel, Reform Digital</t>
  </si>
  <si>
    <t>https://www.theravenlabs.com/ai-readiness/</t>
  </si>
  <si>
    <t>AI Readiness Assessment | Prepare Your Business for AI | Raven Labs Melbourne</t>
  </si>
  <si>
    <t>https://thinkerbell.com/</t>
  </si>
  <si>
    <t>Thinkerbell | Creative Company</t>
  </si>
  <si>
    <t>Thinkerbell, Measured, WPP</t>
  </si>
  <si>
    <t>https://www.tridant.com/data-analytics/</t>
  </si>
  <si>
    <t>Australia's Leading Data Analytics Company - Tridant</t>
  </si>
  <si>
    <t>https://umitech.com.au/google-partner/</t>
  </si>
  <si>
    <t>Google Partner — Umitech | 2026</t>
  </si>
  <si>
    <t>https://www.undivided.com.au/direct-response-marketing-agency</t>
  </si>
  <si>
    <t>About Us</t>
  </si>
  <si>
    <t>Undivided</t>
  </si>
  <si>
    <t>https://unglobalcompact.org.au/our-members/thinkerbell/</t>
  </si>
  <si>
    <t>Thinkerbell - UN Global Compact Network Australia</t>
  </si>
  <si>
    <t>Thinkerbell, Measured</t>
  </si>
  <si>
    <t>https://www.upliftgtm.com/blog/best-geo-agencies</t>
  </si>
  <si>
    <t>Best GEO Agencies 2026: Top 12 Generative Engine Optimization Firms</t>
  </si>
  <si>
    <t>https://www.wsj.com/business/earnings/publicis-raises-guidance-citing-new-business-wins-ad4f0d98</t>
  </si>
  <si>
    <t>Publicis Raises Guidance, Citing New Business Wins - WSJ</t>
  </si>
  <si>
    <t>https://xpon.ai/resources/best-ai-marketing-tools-for-2025/</t>
  </si>
  <si>
    <t>Best AI Marketing Tools 2026: Australia &amp;amp; NZ Guide | XPON</t>
  </si>
  <si>
    <t>https://yaanidigital.com/au/analytics-attribution</t>
  </si>
  <si>
    <t>Analytics &amp;amp; Attribution Services in Australia | Yaani Digital</t>
  </si>
  <si>
    <t>https://www.youfinddigital.com/blog/best-geo-agency-for-ai-search.html</t>
  </si>
  <si>
    <t>15 Best GEO Agencies in 2026 | Top Generative Engine Optimization Firms</t>
  </si>
  <si>
    <t>https://www.youtube.com/watch?v=3y6n2-qGxnE</t>
  </si>
  <si>
    <t>12 Best AI Digital Marketing Services in Australia | Solve Traffic &amp; Sales Problems in 2026</t>
  </si>
  <si>
    <t>https://www.youtube.com/watch?v=Mggba8bAXVU</t>
  </si>
  <si>
    <t>How Australia's Top SEO Agency Is Ranking Clients in ChatGPT | James Norquay</t>
  </si>
  <si>
    <t>Prosperity Media, Huge, HERO</t>
  </si>
  <si>
    <t>https://zibdigital.com.au/seo-agency#:~:text=They're%20engineered%20to%20be%20the%20reference.%20%2D,SEO%20clients%2C%20local%20trades%20to%20ASX%20brands.</t>
  </si>
  <si>
    <t>SEO Agency Australia · Zib Digital</t>
  </si>
  <si>
    <t>https://zipdo.co/service/marketing-attribution/</t>
  </si>
  <si>
    <t>Top 10 Best Marketing Attribution Services | Top Picks 2026</t>
  </si>
  <si>
    <t>https://www.10seos.com/au/display-advertising-companies-in-australia?page=16</t>
  </si>
  <si>
    <t>https://www.10seos.com/au/display-advertising-companies-in-melbourne-australia</t>
  </si>
  <si>
    <t>Top 10 Display Advertising Companies For Best Services-Melbourne-Australia | July 2026</t>
  </si>
  <si>
    <t>eMarket Experts, Intesols</t>
  </si>
  <si>
    <t>https://6sense.com/blog/best-account-based-marketing-platforms/</t>
  </si>
  <si>
    <t>Best Account Based Marketing Platforms | 6sense</t>
  </si>
  <si>
    <t>https://aamax.co/blog/top-10-best-digital-marketing-companies-in-australia</t>
  </si>
  <si>
    <t>Top 10 Best Digital Marketing Companies in Australia</t>
  </si>
  <si>
    <t>WPP, Dentsu, Resolution Digital, Sparro, StudioHawk, Webprofits, Online Marketing Gurus</t>
  </si>
  <si>
    <t>https://aana.com.au/metrics-that-matter-how-to-power-marketing-conversations-with-the-c-suite/#:~:text=In%20your%20view%2C%20how%20will%20MMM%20evolve,death%20of%20the%20cookie%20shouldn't%20alarm%20marketers.</t>
  </si>
  <si>
    <t>Metrics that Matter: how to power marketing conversations with the C-Suite – AANA</t>
  </si>
  <si>
    <t>https://www.abbacustechnologies.com/top-ecommerce-development-firms-in-sydney/</t>
  </si>
  <si>
    <t>Top Ecommerce Development Firms in Sydney</t>
  </si>
  <si>
    <t>Human Digital, Digital Nomads HQ, Luminary</t>
  </si>
  <si>
    <t>https://www.abf.gov.au/about-us/what-we-do/trustedtrader/benefits/mutual-recognition-arrangements</t>
  </si>
  <si>
    <t>Australian Border Force Website</t>
  </si>
  <si>
    <t>https://www.absolutelyai.com.au/ai-video-services</t>
  </si>
  <si>
    <t>AI Video Services | Absolutely AI</t>
  </si>
  <si>
    <t>https://www.acam.ai/ai-advantage</t>
  </si>
  <si>
    <t>AI Advantage</t>
  </si>
  <si>
    <t>https://www.accuracast.com/services/ai/optimisation/</t>
  </si>
  <si>
    <t>AI SEO Agency: AI Search Optimisation (AEO / GEO) Services - AccuraCast</t>
  </si>
  <si>
    <t>https://www.activfreight.com.au/services/customs-tariff-consulting/</t>
  </si>
  <si>
    <t>Customs &amp;amp; Tariff Consulting | ActivFreight</t>
  </si>
  <si>
    <t>https://www.adcore.com/blog/5-best-digital-marketing-agencies-in-melbourne/</t>
  </si>
  <si>
    <t>5 Best Digital Marketing Agencies in Melbourne [2026] | Adcore Blog</t>
  </si>
  <si>
    <t>Adcore Elite, Online Marketing Gurus, Clearwater Agency, Digital Movement</t>
  </si>
  <si>
    <t>https://addaptive.com.au/</t>
  </si>
  <si>
    <t>Addaptive | AI Capability for Mid-Market Business</t>
  </si>
  <si>
    <t>https://www.adelaidemetrics.com/#:~:text=Adelaide%20%E2%80%94%20Attention%20Metrics%20for%20Digital%20Media.,Request%20a%20demo.%20Get%20free%20attention%20guides.</t>
  </si>
  <si>
    <t>Adelaide — Attention Metrics for Digital Media</t>
  </si>
  <si>
    <t>https://adma.com.au/resources-hub</t>
  </si>
  <si>
    <t>Marketing Resources and AI Insights | Stay Ahead with ADMA</t>
  </si>
  <si>
    <t>In Marketing We Trust, Deloitte, Deloitte Digital, Huge</t>
  </si>
  <si>
    <t>https://adma.com.au/resources/author/adma</t>
  </si>
  <si>
    <t>Resources | ADMA</t>
  </si>
  <si>
    <t>https://admatic.com/lp/digital-agency/auckland</t>
  </si>
  <si>
    <t>Digital Agency Auckland | Paid Media, SEO &amp;amp; Programmatic | ADMATIC</t>
  </si>
  <si>
    <t>https://admatic.com/lp/digital-agency/sydney</t>
  </si>
  <si>
    <t>Digital Agency Sydney | Paid Media, SEO &amp;amp; Programmatic | ADMATIC</t>
  </si>
  <si>
    <t>https://www.adnews.com.au/news/aimco-s-2025-winners-revealed</t>
  </si>
  <si>
    <t>AiMCO's 2025 winners revealed - AdNews</t>
  </si>
  <si>
    <t>Wavemaker, WPP, HERO, Omnicom Media Group, EssenceMediacom, Mindshare</t>
  </si>
  <si>
    <t>https://www.adnews.com.au/news/coca-cola-launches-global-media-review</t>
  </si>
  <si>
    <t>Coca-Cola launches global media review - AdNews</t>
  </si>
  <si>
    <t>WPP, Publicis Groupe, Dentsu, EssenceMediacom</t>
  </si>
  <si>
    <t>https://www.adnews.com.au/news/hatched-wins-who-gives-a-crap-media-account</t>
  </si>
  <si>
    <t>Hatched wins Who Gives A Crap media account - AdNews</t>
  </si>
  <si>
    <t>https://www.adsoftheworld.com/agencies/the-monkeys</t>
  </si>
  <si>
    <t>Agency: The Monkeys • Ads of the World™ | Part of The Clio Network</t>
  </si>
  <si>
    <t>https://www.advancer.com.au/ai-consultants-brisbane</t>
  </si>
  <si>
    <t>AI Consultants Brisbane | Artificial Intelligence Consulting | Strategy, Roadmap &amp;amp; ROI | Advancer — Advancer – The AI Agency | AI Consulting Brisbane &amp;amp; Automation in Australia</t>
  </si>
  <si>
    <t>https://advertisingcouncil.org.au/news/vml-wins-australian-agency-of-the-year-title-at-spikes-asia-2026-vml-droga5-anz-and-leo-secure-one-grand-prix-each/</t>
  </si>
  <si>
    <t>VML wins Australian Agency of the Year title at Spikes Asia 2026; VML, Droga5 ANZ and Leo secure one Grand Prix each - Advertising Council Australia</t>
  </si>
  <si>
    <t>VML, Accenture Song, Leo Australia, Howatson+Company, Mindshare, Wavemaker, Dentsu</t>
  </si>
  <si>
    <t>https://agencies.semrush.com/list/advertising/australia/mid-business/</t>
  </si>
  <si>
    <t>Best Advertising Agencies for Mid Business in Australia 2026 | Semrush</t>
  </si>
  <si>
    <t>Edge Marketing, DNM Digital, Supple Digital, Soup Agency, Momentum, First Page, Clearwater Agency, Measured, Earned Media, Impressive, Online Marketing Gurus, Omnicom Media Group, Click Click Media, First Page Australia</t>
  </si>
  <si>
    <t>https://agencies.semrush.com/list/ai-optimization/australia/enterprise-business/</t>
  </si>
  <si>
    <t>Best AI Search Optimization Agencies for Enterprise Business in Australia 2026 | Semrush</t>
  </si>
  <si>
    <t>https://agencies.semrush.com/list/ai-optimization/melbourne/</t>
  </si>
  <si>
    <t>Best AI Search Optimization Agencies in Melbourne 2026 | Semrush</t>
  </si>
  <si>
    <t>First Page, Clearwater Agency, Measured, Earned Media, Online Marketing Gurus, Omnicom Media Group, Edge Marketing, DNM Digital</t>
  </si>
  <si>
    <t>https://agencies.semrush.com/list/analytics-data-science/arts-entertainment/australia/</t>
  </si>
  <si>
    <t>Best Media &amp;amp; Entertainment Data Analytics Services in Australia 2026 | Semrush</t>
  </si>
  <si>
    <t>https://agencies.semrush.com/list/analytics-data-science/sydney/</t>
  </si>
  <si>
    <t>Best Data Analytics Services in Sydney 2026 | Semrush</t>
  </si>
  <si>
    <t>Soup Agency, Online Marketing Gurus, Omnicom Media Group, Click Click Media, Earned Media, Clearwater Agency, Huge, First Page, Measured, Impressive, 80/20 Digital</t>
  </si>
  <si>
    <t>https://agencies.semrush.com/list/display-advertising/business-professional-services/australia/</t>
  </si>
  <si>
    <t>Best B2B Services Display Ads Agencies in Australia 2026 | Semrush</t>
  </si>
  <si>
    <t>Soup Agency, First Page, Clearwater Agency, Measured, Earned Media, Impressive, Online Marketing Gurus, Omnicom Media Group, First Page Australia, 80/20 Digital, Megaphone, Bonfire</t>
  </si>
  <si>
    <t>https://agencies.semrush.com/list/display-advertising/canberra/</t>
  </si>
  <si>
    <t>Best Display Ads Agencies in Canberra 2026 | Semrush</t>
  </si>
  <si>
    <t>Soup Agency, First Page, Clearwater Agency, Measured, Earned Media, Impressive, Online Marketing Gurus, Omnicom Media Group, Click Click Media, First Page Australia</t>
  </si>
  <si>
    <t>https://agencies.semrush.com/list/enterprise-business/australia/</t>
  </si>
  <si>
    <t>Best Digital Marketing Agencies for Enterprise Business in Australia 2026 | Semrush</t>
  </si>
  <si>
    <t>Supple Digital, DNM Digital, Soup Agency, First Page, Clearwater Agency, Measured, Earned Media, Impressive, Online Marketing Gurus, Omnicom Media Group, Human Digital, Click Click Media, StudioHawk, First Page Australia</t>
  </si>
  <si>
    <t>https://agencies.semrush.com/list/market-analysis/australia/</t>
  </si>
  <si>
    <t>Best Market Research Companies in Australia 2026 | Semrush</t>
  </si>
  <si>
    <t>Soup Agency, First Page, Clearwater Agency, Measured, Earned Media, Impressive, Online Marketing Gurus, Omnicom Media Group, Human Digital, Click Click Media, 80/20 Digital, Salt &amp; Fuessel, Megaphone</t>
  </si>
  <si>
    <t>https://agencies.semrush.com/list/ppc/brisbane/</t>
  </si>
  <si>
    <t>Best PPC Agencies in Brisbane 2026 | Semrush</t>
  </si>
  <si>
    <t>Edge Marketing, Supple Digital, Soup Agency, Momentum, DNM Digital, First Page, Clearwater Agency, Measured, Earned Media, Impressive</t>
  </si>
  <si>
    <t>https://agencies.semrush.com/list/ppc/melbourne/</t>
  </si>
  <si>
    <t>Best PPC Agencies in Melbourne 2026 | Semrush</t>
  </si>
  <si>
    <t>Supple Digital, Soup Agency, First Page, Clearwater Agency, Measured, Earned Media, Impressive, Online Marketing Gurus, Omnicom Media Group, First Page Australia, 80/20 Digital, Salt &amp; Fuessel, Megaphone, Bonfire</t>
  </si>
  <si>
    <t>https://agencies.semrush.com/list/programmatic-advertising/australia/mid-business/</t>
  </si>
  <si>
    <t>Best Programmatic Advertising Agencies for Mid Business in Australia 2026 | Semrush</t>
  </si>
  <si>
    <t>https://agencies.semrush.com/list/programmatic-advertising/australia/small-business/</t>
  </si>
  <si>
    <t>Best Programmatic Advertising Agencies for Small Business in Australia 2026 | Semrush</t>
  </si>
  <si>
    <t>DNM Digital, Soup Agency, First Page, Impressive, Online Marketing Gurus, Omnicom Media Group, Click Click Media, 80/20 Digital, Salt &amp; Fuessel, Rocket Agency</t>
  </si>
  <si>
    <t>https://agencies.semrush.com/list/programmatic-advertising/ecommerce/australia/</t>
  </si>
  <si>
    <t>Best Ecommerce Programmatic Advertising Agencies in Australia 2026 | Semrush</t>
  </si>
  <si>
    <t>DNM Digital, Soup Agency, First Page, Impressive, Online Marketing Gurus, Omnicom Media Group, 80/20 Digital, Salt &amp; Fuessel, Bonfire, Rocket Agency, Measured</t>
  </si>
  <si>
    <t>https://agencies.semrush.com/list/programmatic-advertising/sydney/</t>
  </si>
  <si>
    <t>Best Programmatic Advertising Agencies in Sydney 2026 | Semrush</t>
  </si>
  <si>
    <t>DNM Digital, Soup Agency, Online Marketing Gurus, Omnicom Media Group, Click Click Media, Bench Media, Rocket Agency, First Page, Impressive, Measured</t>
  </si>
  <si>
    <t>https://agencies.semrush.com/list/search-engine-marketing/australia/</t>
  </si>
  <si>
    <t>Best Search Engine Marketing Companies in Australia 2026 | Semrush</t>
  </si>
  <si>
    <t>Edge Marketing, Momentum, Supple Digital, DNM Digital, Soup Agency, First Page, Clearwater Agency, Measured, Earned Media, Impressive, Online Marketing Gurus, Omnicom Media Group, Click Click Media, StudioHawk, Bench Media</t>
  </si>
  <si>
    <t>https://agencies.semrush.com/list/smm/australia/small-business/</t>
  </si>
  <si>
    <t>Best Social Media Marketing Agencies for Small Business in Australia 2026 | Semrush</t>
  </si>
  <si>
    <t>Digital Nomads HQ, DNM Digital, Soup Agency, First Page, Clearwater Agency, Measured, Earned Media, Impressive, Online Marketing Gurus, Omnicom Media Group, Click Click Media, 80/20 Digital</t>
  </si>
  <si>
    <t>https://agencyvista.com/lists/google-marketing-platform-sales-partners/</t>
  </si>
  <si>
    <t>Brainlabs, Adswerve, Deloitte Digital, Deloitte, Dentsu, Croud, Making Science</t>
  </si>
  <si>
    <t>https://agenticmarketingpro.com/incrementality-testing/</t>
  </si>
  <si>
    <t>Modern Incrementality Testing: Moving the Needle in 2026</t>
  </si>
  <si>
    <t>https://agentum.com.au/</t>
  </si>
  <si>
    <t>Agentum | AI Consulting &amp;amp; Intelligent Platforms | Australia</t>
  </si>
  <si>
    <t>https://aiavenue.com.au/</t>
  </si>
  <si>
    <t>AI Training and Consulting Australia | AI Avenue</t>
  </si>
  <si>
    <t>https://aiconsultinggroup.com.au</t>
  </si>
  <si>
    <t>Boost Your ROI with Expert AI &amp;amp; ML Solutions | AI Consulting</t>
  </si>
  <si>
    <t>https://aify.com.au/</t>
  </si>
  <si>
    <t>Home - aify</t>
  </si>
  <si>
    <t>https://aiims.group/services/best-seo-agency-australia/</t>
  </si>
  <si>
    <t>Best SEO Agency Australia | Award-Winning Digital Marketing Agency | AIIMS Group</t>
  </si>
  <si>
    <t>https://aipivot.com.au/blog/how-to-choose-ai-seo-agency-australia</t>
  </si>
  <si>
    <t>How to Choose an AI SEO Agency in Australia (2026) | AI Pivot Toolbox</t>
  </si>
  <si>
    <t>https://aipivot.com.au/geo-generative-engine-optimisation</t>
  </si>
  <si>
    <t>GEO Agency Australia | Get Cited by AI Search | AI Pivot Toolbox</t>
  </si>
  <si>
    <t>https://aistrategyconsulting.com.au/</t>
  </si>
  <si>
    <t>AI Strategy Consulting | AI Training &amp;amp; Implementation</t>
  </si>
  <si>
    <t>https://alleygroup.com.au/</t>
  </si>
  <si>
    <t>Digital Marketing Agency Sydney &amp;amp; Melbourne - Alley Group</t>
  </si>
  <si>
    <t>https://alleygroup.com.au/contact/melbourne/</t>
  </si>
  <si>
    <t>Digital Marketing Agency Melbourne | Alley Group</t>
  </si>
  <si>
    <t>Alley Group, Earned Media</t>
  </si>
  <si>
    <t>https://alleygroup.com.au/strategy/performance/</t>
  </si>
  <si>
    <t>Performance Marketing Agency - Alley Group</t>
  </si>
  <si>
    <t>https://allgeo.com.au/</t>
  </si>
  <si>
    <t>Geotechnical &amp;amp; Environmental Engineering Services Sydney | Alliance Geotechnical</t>
  </si>
  <si>
    <t>https://allgeo.com.au/geotechnical/</t>
  </si>
  <si>
    <t>Geotechnical - Alliance Geotechnical</t>
  </si>
  <si>
    <t>https://www.alphaapexgroup.com/blog/top-ai-consulting-firms</t>
  </si>
  <si>
    <t>Top AI Consulting Firms for Business Transformation in 2026 — Alpha Apex Group - Consulting &amp;amp; Executive Search Firm</t>
  </si>
  <si>
    <t>Deloitte, Impressive</t>
  </si>
  <si>
    <t>https://www.alphadigital.com.au/contact/</t>
  </si>
  <si>
    <t>Contact Us | Get in Touch | Alpha Digital</t>
  </si>
  <si>
    <t>https://www.als-cs.com/glossary/a/authorized-economic-operator-aeo-trusted-trader-programs/</t>
  </si>
  <si>
    <t>Authorized Economic Operator (AEO) &amp;amp; Trusted Trader Programs</t>
  </si>
  <si>
    <t>https://www.alyka.com.au/our-services/digital-marketing/programmatic-ads</t>
  </si>
  <si>
    <t>Programmatic Ads Agency Perth | ALYKA | ALYKA</t>
  </si>
  <si>
    <t>https://ami.org.au/knowledge-hub/australian-marketing-institute-announces-2025-marketing-excellence-award-winners/</t>
  </si>
  <si>
    <t>Australian Marketing Institute Announces 2025 Marketing Excellence Awards Winners - AMI</t>
  </si>
  <si>
    <t>Bonfire, We Are Social</t>
  </si>
  <si>
    <t>https://analyticpartners.com/#:~:text=%E2%80%9CGlobal%20enterprises%20looking%20to%20get%20started%20with,more.%20Our%20Hands%2Don%20Approach%20to%20Smarter%20Decisioning.</t>
  </si>
  <si>
    <t>Marketing Measurement &amp;amp; Commercial Analytics | Analytic Partners</t>
  </si>
  <si>
    <t>https://www.aoyglobalawards.com/finalists/droga5-anz-part-of-accenture-song-2jony4abg4wj6hj</t>
  </si>
  <si>
    <t>Campaign's AOY Global Awards</t>
  </si>
  <si>
    <t>https://apac.archetype.co/en-au/ai-chatgpt-consultancy-australia</t>
  </si>
  <si>
    <t>Archetype Australia | AI &amp;amp; ChatGPT Consultancy for Teams and Leaders</t>
  </si>
  <si>
    <t>https://aperitifagency.com.au/paid-social/</t>
  </si>
  <si>
    <t>Paid Social Media Advertising Agency Melbourne</t>
  </si>
  <si>
    <t>https://arc.dev/employer-blog/social-media-agencies/</t>
  </si>
  <si>
    <t>Top 22 Social Media Agencies for Tech Companies in 2025</t>
  </si>
  <si>
    <t>Momentum, KPMG, Online Marketing Gurus, Omnicom Media Group, Power Digital, Impressive, Soup Agency</t>
  </si>
  <si>
    <t>https://www.archservices.com.au/sesa-2/authorised-engineering-organisation-aeo</t>
  </si>
  <si>
    <t>Authorised Engineering Organisation (AEO)</t>
  </si>
  <si>
    <t>https://www.arrowmedia.com.au/programmatic-display-advertising/</t>
  </si>
  <si>
    <t>Programmatic Display Advertising &amp;#8211; Arrow Media</t>
  </si>
  <si>
    <t>https://arxiv.org/abs/2403.14674</t>
  </si>
  <si>
    <t>[2403.14674] Packaging Up Media Mix Modeling: An Introduction to Robyn's Open-Source Approach</t>
  </si>
  <si>
    <t>https://arxiv.org/abs/2509.08919</t>
  </si>
  <si>
    <t>[2509.08919] Generative Engine Optimization: How to Dominate AI Search</t>
  </si>
  <si>
    <t>https://www.asanalytics.com.au/</t>
  </si>
  <si>
    <t>Australian Spatial Analytics · Geospatial and Engineering data services · Careers for young neurodivergent adults</t>
  </si>
  <si>
    <t>https://www.asanalytics.com.au/data-services</t>
  </si>
  <si>
    <t>Australian Data Services · Geospatial · Digital Engineering · GIS · BIM · CAD · Drafting &amp;amp; Design · As-builts · Data creation, cleansing, conversion &amp;amp; quality · LiDAR · remote sensing</t>
  </si>
  <si>
    <t>https://atomic212.com.au/brand-demand-and-incrementality-why-and-how-agency-marketing-relationships-kpis-and-operating-models-must-rapidly-evolve/</t>
  </si>
  <si>
    <t>BRAND, DEMAND AND INCREMENTALITY: WHY AND HOW AGENCY-MARKETING RELATIONSHIPS, KPIs AND OPERATING MODELS MUST RAPIDLY EVOLVE – Atomic 212°</t>
  </si>
  <si>
    <t>https://au.bmgww.com/</t>
  </si>
  <si>
    <t>Ecommerce Marketing Agency Melbourne &amp;amp; Sydney | Beyond Media Global</t>
  </si>
  <si>
    <t>https://au.linkedin.com/company/alley-group</t>
  </si>
  <si>
    <t>Alley Group | LinkedIn</t>
  </si>
  <si>
    <t>Alley Group, Huge, Rocket Agency</t>
  </si>
  <si>
    <t>https://au.linkedin.com/company/alpha-digital</t>
  </si>
  <si>
    <t>Alpha Digital | LinkedIn</t>
  </si>
  <si>
    <t>Alpha Digital, XPON, Momentum, Huge, Reload Media, Farsiight</t>
  </si>
  <si>
    <t>https://au.linkedin.com/company/bmf-advertising-pty-ltd-</t>
  </si>
  <si>
    <t>BMF Australia | LinkedIn</t>
  </si>
  <si>
    <t>BMF, Huge, Thinkerbell, Howatson+Company, Clemenger BBDO, Ogilvy Australia, Leo Australia</t>
  </si>
  <si>
    <t>https://au.linkedin.com/company/clemenger-bbdo</t>
  </si>
  <si>
    <t>Clemenger BBDO | LinkedIn</t>
  </si>
  <si>
    <t>Clemenger BBDO, Earned Media, OMD, Huge, Thinkerbell, Howatson+Company, BMF, Ogilvy Australia</t>
  </si>
  <si>
    <t>https://au.linkedin.com/company/droga5-anz</t>
  </si>
  <si>
    <t>Droga5 ANZ | LinkedIn</t>
  </si>
  <si>
    <t>The Monkeys, Accenture Song, Huge, Thinkerbell, BMF, Howatson+Company, Clemenger BBDO, Ogilvy Australia, Bear Meets Eagle On Fire</t>
  </si>
  <si>
    <t>https://au.linkedin.com/company/ground-control-data</t>
  </si>
  <si>
    <t>Ground Control Data | LinkedIn</t>
  </si>
  <si>
    <t>https://au.linkedin.com/company/metric-labs</t>
  </si>
  <si>
    <t>Metric Labs | LinkedIn</t>
  </si>
  <si>
    <t>Metric Labs, Luminary</t>
  </si>
  <si>
    <t>https://au.linkedin.com/company/ogilvy-australia</t>
  </si>
  <si>
    <t>Ogilvy Australia | LinkedIn</t>
  </si>
  <si>
    <t>Ogilvy Australia, Huge, Thinkerbell, BMF, Saatchi &amp; Saatchi, Howatson+Company, Clemenger BBDO</t>
  </si>
  <si>
    <t>https://au.linkedin.com/company/online-marketing-gurus</t>
  </si>
  <si>
    <t>Online Marketing Gurus | LinkedIn</t>
  </si>
  <si>
    <t>Online Marketing Gurus, Omnicom Media Group, Huge, Rocket Agency, StudioHawk, Megaphone, Sparro, Impressive, King Kong, Clearwater Agency, First Page, DNM Digital</t>
  </si>
  <si>
    <t>https://au.linkedin.com/company/trkkn</t>
  </si>
  <si>
    <t>TRKKN | LinkedIn</t>
  </si>
  <si>
    <t>TRKKN, Omnicom Media Group, Huge, Measured, Dentsu, PHD</t>
  </si>
  <si>
    <t>https://au.linkedin.com/in/iampaulio</t>
  </si>
  <si>
    <t>Paul Hewett - In Marketing We Trust \| LinkedIn</t>
  </si>
  <si>
    <t>In Marketing We Trust, Thinkerbell, Measured</t>
  </si>
  <si>
    <t>https://au.trustpilot.com/review/megaphone.com.au</t>
  </si>
  <si>
    <t>https://aus.havas.com/havas-host/</t>
  </si>
  <si>
    <t>Havas Host Australia</t>
  </si>
  <si>
    <t>https://www.ausasiaonline.com.au/ai-seo/</t>
  </si>
  <si>
    <t>AI SEO Agency Australia | Rank on AI Engines</t>
  </si>
  <si>
    <t>https://www.ausgeotest.com.au/</t>
  </si>
  <si>
    <t>Australian Geotechnical Testing | AGT Expert Geotechnical Testing Australia Wide</t>
  </si>
  <si>
    <t>https://ausindigenousai.com.au/ai-consulting/</t>
  </si>
  <si>
    <t>AI Consulting Services | Artificial Intelligence Company in Australia</t>
  </si>
  <si>
    <t>https://aussiemarketing.com.au/performance-marketing-services/</t>
  </si>
  <si>
    <t>Performance Marketing Agency Australia | Track Results</t>
  </si>
  <si>
    <t>https://www.avionaustralia.com/certifications/</t>
  </si>
  <si>
    <t>Certifications - Avion Australia</t>
  </si>
  <si>
    <t>https://www.axios.com/2026/07/16/geo-communications-marketing-strategy</t>
  </si>
  <si>
    <t>GEO and AI: How brands are shifting their strategies</t>
  </si>
  <si>
    <t>https://www.bandt.com.au/agency-scorecard-in-marketing-we-trust/</t>
  </si>
  <si>
    <t>Agency Scorecard: In Marketing We Trust - B&amp;amp;T</t>
  </si>
  <si>
    <t>WPP, In Marketing We Trust, Momentum</t>
  </si>
  <si>
    <t>https://www.bandt.com.au/bt-awards-agency-of-the-year-winners-2024/</t>
  </si>
  <si>
    <t>B&amp;amp;T Awards: Agency Of The Year Winners 2024 - B&amp;amp;T</t>
  </si>
  <si>
    <t>Howatson+Company, BMF, Sparro, Brainlabs, Impressive, Huge, EssenceMediacom</t>
  </si>
  <si>
    <t>https://www.bandt.com.au/bts-ones-to-watch-creative-agencies/</t>
  </si>
  <si>
    <t>WPP, Saatchi &amp; Saatchi, Impressive, BMF, The Monkeys, Accenture Song, Howatson+Company, DDB Australia, Bear Meets Eagle On Fire, OMD</t>
  </si>
  <si>
    <t>https://www.bandt.com.au/droga5-bts-agency-scorecard-2026/</t>
  </si>
  <si>
    <t>Droga5: B&amp;amp;T's Agency Scorecard 2026 - B&amp;amp;T</t>
  </si>
  <si>
    <t>WPP, Accenture Song, Impressive, Momentum</t>
  </si>
  <si>
    <t>https://www.bandt.com.au/iab-australia-releases-landscape-report-to-guide-marketers-through-mmm-implementation/</t>
  </si>
  <si>
    <t>IAB Australia Releases Landscape Report To Guide Marketers Through MMM Implementation - B&amp;amp;T</t>
  </si>
  <si>
    <t>WPP, Dentsu, Lifesight, Mutinex</t>
  </si>
  <si>
    <t>https://www.bandt.com.au/impressive-elevates-sam-makwana-to-gm-amid-slew-of-promotions/</t>
  </si>
  <si>
    <t>Impressive Elevates Sam Makwana To GM Amid Slew Of Promotions&amp;nbsp; - B&amp;amp;T</t>
  </si>
  <si>
    <t>WPP, Impressive, Huge, PHD</t>
  </si>
  <si>
    <t>https://www.bandt.com.au/match-wood-bts-agency-scorecard-2026/</t>
  </si>
  <si>
    <t>Match &amp;amp; Wood: B&amp;amp;T's Agency Scorecard 2026 - B&amp;amp;T</t>
  </si>
  <si>
    <t>WPP, OMD</t>
  </si>
  <si>
    <t>https://www.bandt.com.au/meet-gain-theory-wpps-marketing-effectiveness-arm-targeting-australia-for-growth/</t>
  </si>
  <si>
    <t>Meet Gain Theory, WPP’s Marketing Effectiveness Arm Targeting Australia For Growth - B&amp;amp;T</t>
  </si>
  <si>
    <t>WPP, Huge, Mutinex</t>
  </si>
  <si>
    <t>https://www.bandt.com.au/omnicom-resolution-digital-launch-resolution-kinetic-in-australia/</t>
  </si>
  <si>
    <t>Omnicom &amp;amp; Resolution Digital Launch Resolution Kinetic In Australia - B&amp;amp;T</t>
  </si>
  <si>
    <t>WPP, Resolution Digital, Omnicom Media Group</t>
  </si>
  <si>
    <t>https://www.bandt.com.au/publicis-wpp-media-dominate-new-business-indies-quietly-climb-rankings/</t>
  </si>
  <si>
    <t>Publicis &amp;amp; WPP Media Dominate New Business, Indies Quietly Climb Rankings - B&amp;amp;T</t>
  </si>
  <si>
    <t>WPP, Publicis Groupe, Momentum, OMD, Mindshare, Dentsu, EssenceMediacom, Sparro, Brainlabs, PHD, PMG, Accenture Song, Publicis Media</t>
  </si>
  <si>
    <t>https://www.bandt.com.au/special-bts-agency-scorecard-2026/</t>
  </si>
  <si>
    <t>Special: B&amp;amp;T's Agency Scorecard 2026 - B&amp;amp;T</t>
  </si>
  <si>
    <t>WPP, Earned Media</t>
  </si>
  <si>
    <t>https://www.bandt.com.au/the-monkeys-is-dead-long-live-droga5-anz/</t>
  </si>
  <si>
    <t>The Monkeys Is Dead, Long Live Droga5 ANZ - B&amp;amp;T</t>
  </si>
  <si>
    <t>WPP, Dentsu, The Monkeys, Accenture Song</t>
  </si>
  <si>
    <t>https://www.bandt.com.au/the-next-evolution-for-ground-control-data-marketing-evolution/</t>
  </si>
  <si>
    <t>The Next Evolution For Ground Control Data &amp;amp; Marketing Evolution - B&amp;amp;T</t>
  </si>
  <si>
    <t>WPP, PHD</t>
  </si>
  <si>
    <t>https://www.bandt.com.au/wpp-media-pulls-away-from-omnicom-essencemediacom-gains-on-leader-omd/</t>
  </si>
  <si>
    <t>WPP Media Pulls Away From Omnicom, EssenceMediacom Gains On Leader OMD - B&amp;amp;T</t>
  </si>
  <si>
    <t>WPP, Dentsu, EssenceMediacom, OMD, Publicis Groupe, Publicis Media, PHD, Mindshare, Accenture Song, Wavemaker, Omnicom Media Group</t>
  </si>
  <si>
    <t>https://www.bbe.io/leading-advertising-agency-in-australia</t>
  </si>
  <si>
    <t>https://benchmedia.com/paid-media/display-advertising/</t>
  </si>
  <si>
    <t>Display Advertising Sydney - Programmatic Banner Ads</t>
  </si>
  <si>
    <t>https://bestanswerengineoptimizationservices.com/</t>
  </si>
  <si>
    <t>Best Answer Engine Optimization Services - Best Answer Engine Optimization Services</t>
  </si>
  <si>
    <t>https://bestgeoagency.com.au/guides/8-best-geo-agencies-for-b2b-and-expert-led-companies/</t>
  </si>
  <si>
    <t>8 Best GEO Agencies for B2B and Expert-Led Companies | Best GEO Agency</t>
  </si>
  <si>
    <t>Prosperity Media, Online Marketing Gurus, StudioHawk, Reload Media, King Kong, Luminary, Momentum</t>
  </si>
  <si>
    <t>https://birdeye.com/blog/social-media-marketing-companies-australia/</t>
  </si>
  <si>
    <t>Social Media Marketing Companies in Australia vs Birdeye Social AI</t>
  </si>
  <si>
    <t>Megaphone, Clearwater Agency, Soup Agency</t>
  </si>
  <si>
    <t>https://www.bizwisdom.com.au/services/display-advertising/#:~:text=BizWisdom%20leverage%20the%20latest%20programmatic,LEARN%20HOW</t>
  </si>
  <si>
    <t>Programmatic Advertising Agency - BizWisdom</t>
  </si>
  <si>
    <t>https://blog.google/products/marketingplatform/360/introducing-google-marketing-platform-partners/</t>
  </si>
  <si>
    <t>From Basecamp to Summit: Achieving New Heights with Google Marketing Platform Partners</t>
  </si>
  <si>
    <t>https://www.bluesensedigital.com.au/capabilities#:~:text=Owns%20growth%20strategy%20across%20the%20portfolio%3A%20the,the%20concepts%20and%20angles%20that%20drive%20profit.</t>
  </si>
  <si>
    <t>Capabilities | Blue Sense Digital</t>
  </si>
  <si>
    <t>https://bmf.com.au/news/2025-mumbrella-awards/</t>
  </si>
  <si>
    <t>BMF — BMF takes home four Mumbrella Awards, including creative agency of the year</t>
  </si>
  <si>
    <t>https://www.bonfire.com.au/resource/bonfire-retains-google-premier-partner-status-for-10th-consecutive-year/</t>
  </si>
  <si>
    <t>Bonfire retains Google Premier Partner status for 10th consecutive year - Bonfire Digital</t>
  </si>
  <si>
    <t>https://www.bonfire.com.au/resource/bonfire-wins-agency-of-the-year-at-2025-ami-marketing-excellence-awards/</t>
  </si>
  <si>
    <t>Bonfire Wins Agency of the Year at 2025 AMI Marketing Excellence Awards - Bonfire Digital</t>
  </si>
  <si>
    <t>Bonfire, Thinkerbell, Rocket Agency</t>
  </si>
  <si>
    <t>https://www.bonfire.com.au/resource/bonfires-chelsea-craddock-wins-agency-rockstar-at-google-honours-awards/</t>
  </si>
  <si>
    <t>Bonfire’s Chelsea Craddock wins Agency Rockstar at Google Honours Awards - Bonfire Digital</t>
  </si>
  <si>
    <t>Bonfire, Huge, Thinkerbell, Rocket Agency</t>
  </si>
  <si>
    <t>https://www.bonfire.com.au/services/marketing-strategy/</t>
  </si>
  <si>
    <t>Digital Marketing Strategy Perth | Award-Winning Agency</t>
  </si>
  <si>
    <t>Bonfire, Impressive</t>
  </si>
  <si>
    <t>https://www.bonfire.com.au/services/performance-media/</t>
  </si>
  <si>
    <t>Digital &amp;amp; Online Advertising Services Perth - Ads, Facebook &amp;amp; More</t>
  </si>
  <si>
    <t>Bonfire, Edge Marketing</t>
  </si>
  <si>
    <t>https://www.brandinginasia.com/in-marketing-we-trust-announces-leadership-promotions-and-appointments/</t>
  </si>
  <si>
    <t>In Marketing We Trust Announces Leadership Promotions and Appointments | Branding in Asia</t>
  </si>
  <si>
    <t>In Marketing We Trust, Publicis Groupe</t>
  </si>
  <si>
    <t>https://www.brandinginasia.com/lite-n-easy-appoints-ogilvy-australia-as-agency-of-record/</t>
  </si>
  <si>
    <t>Lite n’ Easy Appoints Ogilvy Australia as Agency of Record | Branding in Asia</t>
  </si>
  <si>
    <t>https://brandwolfcreative.com/definitions/top-geo-companies-australia</t>
  </si>
  <si>
    <t>https://brightwaterdigital.com.au/blog/what-is-aeo#:~:text=Create%20dedicated%20FAQ%20pages%20or%20blog%20posts,your%20listings%20and%20make%20them%20identical%20everywhere.</t>
  </si>
  <si>
    <t>What Is Answer Engine Optimisation (AEO) and Why Australian Businesses Need It Now | Brightwater Digital</t>
  </si>
  <si>
    <t>https://www.bushletter.com/best-digital-marketing-media-buying-agencies-australia-2026/</t>
  </si>
  <si>
    <t>Best Digital Marketing &amp;amp; Media Buying Agencies 2026</t>
  </si>
  <si>
    <t>Bushnote, Sparro, Measured, King Kong, Resolution Digital, Webprofits</t>
  </si>
  <si>
    <t>https://www.bushnote.com/articles/top-ai-search-agencies-sydney-generative-engine-optimisation</t>
  </si>
  <si>
    <t>Sydney's Top 5 AI Search Agencies: Future of Marketing</t>
  </si>
  <si>
    <t>Bushnote, Luminary</t>
  </si>
  <si>
    <t>https://www.bushnote.com/articles/top-ai-search-optimisation-agencies-australia-2026</t>
  </si>
  <si>
    <t>Top 10 AI Search Optimisation Agencies in Australia 2026</t>
  </si>
  <si>
    <t>Bushnote, StudioHawk, Prosperity Media, Digital Nomads HQ, Online Marketing Gurus, First Page, Measured, Impressive, Rocket Agency, Gorilla 360, Salt &amp; Fuessel</t>
  </si>
  <si>
    <t>https://business.adobe.com/au/blog/basics/marketing-attribution</t>
  </si>
  <si>
    <t>Marketing attribution — models and best practices</t>
  </si>
  <si>
    <t>https://www.businessage.com/post/6-best-ai-native-seo-agencies-in-melbourne-that-optimise-for-geo-and-aeo#:~:text=%23%20The%206%20best%20AI%20SEO%20agencies,AI%2Dassisted%2C%20delivery%2Dfocused%20%7C%20Enterprise%20technical%20SEO%20depth</t>
  </si>
  <si>
    <t>6 Best AI-Native SEO Agencies in Melbourne That Optimise for GEO and AEO</t>
  </si>
  <si>
    <t>Intesols, Clearwater Agency</t>
  </si>
  <si>
    <t>https://www.businessinsider.com/bain-cmo-erika-serow-cannes-lions-2026-7</t>
  </si>
  <si>
    <t>Bain's Erika Serow Says AI Strategy Has Evolved for the Better - Business Insider</t>
  </si>
  <si>
    <t>https://bytetracks.com.au/media-mix-modeling</t>
  </si>
  <si>
    <t>Media mix modeling | Bytetracks</t>
  </si>
  <si>
    <t>https://caffeinate.com.au/</t>
  </si>
  <si>
    <t>AI-First Digital Marketing Agency Perth | Caffeinate Digital</t>
  </si>
  <si>
    <t>https://calypsodesigns.com.au/top-10-google-ads-management-agencies-in-australia-a-2026/</t>
  </si>
  <si>
    <t>Top 10 Google Ads Management Agencies in Australia: A 2026 Complete Guide – Calypso Designs</t>
  </si>
  <si>
    <t>https://campaignbrief.com/bestads-rankings-which-are-the-top-australian-ad-agencies-and-clients-of-the-decade/</t>
  </si>
  <si>
    <t>Bestads Rankings: Which are the Top Australian ad agencies and clients of the decade? – Campaign Brief</t>
  </si>
  <si>
    <t>Clemenger BBDO, The Monkeys, BMF</t>
  </si>
  <si>
    <t>https://campaignbrief.com/ikea-australia-appoints-host-havas-as-new-creative-agency-ends-partnership-with-chep/</t>
  </si>
  <si>
    <t>IKEA Australia appoints Host/Havas as new creative agency; ends partnership with CHEP – Campaign Brief</t>
  </si>
  <si>
    <t>Mindshare</t>
  </si>
  <si>
    <t>https://campaignbrief.com/in-marketing-we-trust-joins-top-1-of-google-agency-partners-in-australia/</t>
  </si>
  <si>
    <t>In Marketing We Trust joins Top 1% of Google Agency Partners in Australia – Campaign Brief</t>
  </si>
  <si>
    <t>https://campaignbrief.com/its-hello-not-goodbye-a-retrospective-look-at-the-monkeys-and-welcome-to-droga5/</t>
  </si>
  <si>
    <t>It’s hello, not goodbye: A retrospective look at The Monkeys and welcome to Droga5 – Campaign Brief</t>
  </si>
  <si>
    <t>The Monkeys, Accenture Song</t>
  </si>
  <si>
    <t>https://cantydigital.com.au/top-10-australian-amazon-marketing-agencies/</t>
  </si>
  <si>
    <t>Top 10 Australian Amazon Marketing Agencies | Canty Digital</t>
  </si>
  <si>
    <t>Megaphone, Clearwater Agency, Soup Agency, Digital Nomads HQ</t>
  </si>
  <si>
    <t>https://choosedigital.com.au/</t>
  </si>
  <si>
    <t>CHOOSE Digital: Australia’s Premier Digital Marketing Agency</t>
  </si>
  <si>
    <t>https://www.circana.com/au#:~:text=Streamline%20and%20strengthen%20for%20more%20efficient%20operations,marketing%20investments%20across%20all%20channels%20and%20touchpoints.</t>
  </si>
  <si>
    <t>Transforming Complexity into Clarity with Circana</t>
  </si>
  <si>
    <t>https://www.circana.com/liquid-testing</t>
  </si>
  <si>
    <t>Liquid Testing: Self-Serve Incrementality Testing | Circana</t>
  </si>
  <si>
    <t>https://www.cjco.com.au/display-advertising-agency/</t>
  </si>
  <si>
    <t>Real Display Advertising Solutions | CJ&amp;amp;CO</t>
  </si>
  <si>
    <t>https://clemengerbbdo.com/</t>
  </si>
  <si>
    <t>ClemengerBBDO Australia</t>
  </si>
  <si>
    <t>https://clickclickbangbang.com.au/best-google-ads-manager/</t>
  </si>
  <si>
    <t>7 Best Google Ads Managers in Australia for 2026</t>
  </si>
  <si>
    <t>Sparro, Brainlabs, WebSavvy, Rocket Agency, Reload Media, Online Marketing Gurus, Omnicom Media Group, Megaphone</t>
  </si>
  <si>
    <t>https://clickclickmedia.com.au/paid-social-agency/meta-ads/</t>
  </si>
  <si>
    <t>Meta Ads Agency Sydney | No Lock-In | Free Audit</t>
  </si>
  <si>
    <t>Click Click Media, Impressive, Measured</t>
  </si>
  <si>
    <t>https://clickclickmedia.com.au/ppc-agency/programmatic-ads/#:~:text=DV360%20(Google's%20enterprise%20DSP)%20and%20The%20Trade,work%20follows%20IAB%20Australia%20brand%20safety%20standards.</t>
  </si>
  <si>
    <t>Programmatic Advertising Agency Sydney | Criteo Partner</t>
  </si>
  <si>
    <t>Click Click Media</t>
  </si>
  <si>
    <t>https://www.clickedon.co/</t>
  </si>
  <si>
    <t>AI Marketing Agency Sydney | ClickedOn | ClickedOn</t>
  </si>
  <si>
    <t>https://www.clickedon.co/services/performance-marketing/google-ads</t>
  </si>
  <si>
    <t>Google Ads Agency Sydney | Premier Partner | ClickedOn | ClickedOn</t>
  </si>
  <si>
    <t>https://cloud.google.com/find-a-partner/partner/trakken-web-services</t>
  </si>
  <si>
    <t>https://clutch.co/agencies/ppc/display</t>
  </si>
  <si>
    <t>Top Display Advertising Agencies - Jul 2026 Rankings | Clutch.co</t>
  </si>
  <si>
    <t>EvenDigit, Ninja Promo, Impressive, Intesols, Soup Agency, Salt &amp; Fuessel</t>
  </si>
  <si>
    <t>https://clutch.co/au/agencies/branding</t>
  </si>
  <si>
    <t>Top Branding Agencies in Australia - Jul 2026 Rankings \| Clutch.co</t>
  </si>
  <si>
    <t>Chello, CUT THRU, 80/20 Digital, Alley Group, Impressive, Rocket Agency</t>
  </si>
  <si>
    <t>https://clutch.co/au/agencies/media-buying/sydney</t>
  </si>
  <si>
    <t>Top Media Buying Agencies in Sydney - Jul 2026 Rankings | Clutch.co</t>
  </si>
  <si>
    <t>Impressive, Momentum, Soup Agency, DNM Digital, Bench Media</t>
  </si>
  <si>
    <t>https://clutch.co/au/agencies/media-buying?page=2</t>
  </si>
  <si>
    <t>Page 2 - Top Media Buying Agencies in Australia - Jul 2026 Rankings \| Clutch.co</t>
  </si>
  <si>
    <t>https://clutch.co/au/agencies/ppc/brisbane</t>
  </si>
  <si>
    <t>Top PPC Agencies in Brisbane - Jul 2026 Rankings | Clutch.co</t>
  </si>
  <si>
    <t>Soup Agency, Farsiight, Impressive, MyWork, Supple Digital, Digital Nomads HQ, Edge Marketing, Megaphone, Alpha Digital, Growth Digital</t>
  </si>
  <si>
    <t>https://clutch.co/au/agencies/ppc/google-adwords/sydney</t>
  </si>
  <si>
    <t>Top Adwords PPC Agencies in Sydney - Jul 2026 Rankings \| Clutch.co</t>
  </si>
  <si>
    <t>Human Digital, Soup Agency, Supple Digital, Digital Nomads HQ, Rocket Agency, DNM Digital, Impressive, Megaphone, Online Marketing Gurus, Marketix Digital, Insil, Sparro, AdVisible, Click Click Media</t>
  </si>
  <si>
    <t>https://clutch.co/au/agencies/ppc/melbourne</t>
  </si>
  <si>
    <t>Top PPC Agencies in Melbourne - Jul 2026 Rankings \| Clutch.co</t>
  </si>
  <si>
    <t>EvenDigit, SIXGUN, Intesols, Impressive, Emote Digital, 80/20 Digital, Supple Digital, Alley Group, Soup Agency, Salt &amp; Fuessel, Digital Nomads HQ, Clearwater Agency, Megaphone, Reform Digital</t>
  </si>
  <si>
    <t>https://clutch.co/au/agencies/ppc?page=2</t>
  </si>
  <si>
    <t>Page 2 - Top PPC Agencies in Australia - Jul 2026 Rankings | Clutch.co</t>
  </si>
  <si>
    <t>Soup Agency, Impressive, Insil, Reform Digital, AdVisible, Megaphone, Digital Nomads HQ, Farsiight, SIXGUN, Human Digital, Paradox Marketing, Rocket Agency, Online Marketing Gurus, Intesols, MyWork, Emote Digital, Clearwater Agency, Salt &amp; Fuessel, 80/20 Digital, Marketix Digital</t>
  </si>
  <si>
    <t>https://clutch.co/au/agencies/programmatic/sydney</t>
  </si>
  <si>
    <t>Top Programmatic Advertising Agencies in Sydney - Jul 2026 Rankings | Clutch.co</t>
  </si>
  <si>
    <t>Soup Agency, DNM Digital, In Marketing We Trust, Bench Media, Impressive</t>
  </si>
  <si>
    <t>https://clutch.co/au/agencies/seo/technical</t>
  </si>
  <si>
    <t>Top Technical SEO Agencies in Australia - Jul 2026 Rankings | Clutch.co</t>
  </si>
  <si>
    <t>Intesols, Impressive, StudioHawk, Soup Agency, Luminary, Emote Digital, Salt &amp; Fuessel, EvenDigit, First Page, DNM Digital, Edge Marketing, In Marketing We Trust, eMarket Experts, Marketix Digital, Megaphone, Paradox Marketing, Prosperity Media</t>
  </si>
  <si>
    <t>https://clutch.co/au/agencies/social-media-marketing/facebook/sydney</t>
  </si>
  <si>
    <t>Top Facebook Advertising Agencies in Sydney - Jul 2026 Rankings \| Clutch.co</t>
  </si>
  <si>
    <t>Soup Agency, Human Digital, Digital Nomads HQ, Rocket Agency, DNM Digital, Impressive, Megaphone, Online Marketing Gurus, Omnicom Media Group, Bench Media, Insil, Huge, AdVisible</t>
  </si>
  <si>
    <t>https://clutch.co/au/agencies/social-media-marketing/facebook?page=6</t>
  </si>
  <si>
    <t>Page 6 - Top Facebook Advertising Agencies in Australia - Jul 2026 Rankings \| Clutch.co</t>
  </si>
  <si>
    <t>Digital Nomads HQ, SIXGUN, Intesols, Farsiight, Soup Agency, Emote Digital, Impressive, Human Digital, Megaphone, Online Marketing Gurus, Paradox Marketing, Rocket Agency, Bench Media, Insil, Clearwater Agency, Salt &amp; Fuessel</t>
  </si>
  <si>
    <t>https://clutch.co/au/agencies/social-media-marketing/tik-tok/melbourne</t>
  </si>
  <si>
    <t>Top TikTok Advertising Agencies in Melbourne - Jul 2026 Rankings | Clutch.co</t>
  </si>
  <si>
    <t>Impressive, Emote Digital, Salt &amp; Fuessel, Digital Nomads HQ, Megaphone, Reform Digital, Eight Clients</t>
  </si>
  <si>
    <t>https://clutch.co/au/agencies/social-media-marketing/tik-tok/sydney</t>
  </si>
  <si>
    <t>Top TikTok Advertising Agencies in Sydney - Jul 2026 Rankings | Clutch.co</t>
  </si>
  <si>
    <t>Soup Agency, Impressive, Digital Nomads HQ, Megaphone, Bench Media, Eight Clients</t>
  </si>
  <si>
    <t>https://clutch.co/au/agencies/social-media-marketing/tik-tok?page=2</t>
  </si>
  <si>
    <t>Page 2 - Top TikTok Advertising Agencies in Australia - Jul 2026 Rankings | Clutch.co</t>
  </si>
  <si>
    <t>Impressive, Digital Nomads HQ, Megaphone, Soup Agency, Paradox Marketing, Emote Digital, Bench Media, Salt &amp; Fuessel, Reform Digital</t>
  </si>
  <si>
    <t>https://clutch.co/au/agencies?page=7</t>
  </si>
  <si>
    <t>Page 7 - Top Advertising Agencies in Australia - Jul 2026 Rankings | Clutch.co</t>
  </si>
  <si>
    <t>Version2, Impressive, weDiscover, Ninja Promo, Loud Days, Chello, Human Digital, Soup Agency, Bench Media, Farsiight, Insil, DNM Digital</t>
  </si>
  <si>
    <t>https://clutch.co/profile/xpon-technologies</t>
  </si>
  <si>
    <t>XPON Technologies Reviews (1), Pricing, Services &amp;amp; Verified Ratings</t>
  </si>
  <si>
    <t>XPON, Impressive</t>
  </si>
  <si>
    <t>https://cmwgeosciences.com/</t>
  </si>
  <si>
    <t>Geotechnical Engineers | CMW Geosciences</t>
  </si>
  <si>
    <t>https://codiant.ai/blog/how-to-choose-the-right-ai-consulting-company-in-australia/</t>
  </si>
  <si>
    <t>How to Choose an AI Consulting Partner in Australia</t>
  </si>
  <si>
    <t>https://www.cometly.com/post/multi-touch-attribution-platform</t>
  </si>
  <si>
    <t>9 Best Multi Touch Attribution Platforms 2026 Guide</t>
  </si>
  <si>
    <t>https://compliancecouncil.com.au/insights/guide-to-becoming-a-tao/</t>
  </si>
  <si>
    <t>Guide to Becoming a TAO | Compliance Council</t>
  </si>
  <si>
    <t>https://conquerradigital.com.au/top-9-programmatic-ads-agencies-in-adelaide/</t>
  </si>
  <si>
    <t>Top 9 Programmatic Ads Agencies In Adelaide | Conquerra Digital</t>
  </si>
  <si>
    <t>OMD, Momentum</t>
  </si>
  <si>
    <t>https://www.contentfx.com/what-we-do</t>
  </si>
  <si>
    <t>What We Do | ContentFX</t>
  </si>
  <si>
    <t>https://contevo.com.au/data-analytics/</t>
  </si>
  <si>
    <t>Digital Marketing Data Analytics Agency Melbourne</t>
  </si>
  <si>
    <t>https://contevo.com.au/programmatic-advertising/</t>
  </si>
  <si>
    <t>Programmatic Agency Melbourne | Media Buying &amp;amp; Planning</t>
  </si>
  <si>
    <t>https://conversioncreative.com.au/agencies/adgility/</t>
  </si>
  <si>
    <t>Adgility - Conversion Creative</t>
  </si>
  <si>
    <t>https://www.couriermail.com.au/news/northern-territory/nt-tourism-appoints-sydney-agency-for-brand-refresh-with-22bn-goal/news-story/464d6fb6a0b0effc95cc5a2dab0e62ed</t>
  </si>
  <si>
    <t>Couriermail.com.au \| Subscribe to The Courier Mail for exclusive stories</t>
  </si>
  <si>
    <t>https://www.creativemode.com.au/ai-search-optimisation-brisbane/#:~:text=That's%20why%20I'm%20here%20to%20help.%20AI,(AI%20SEO)%20%2D%20Generative%20Engine%20Optimisation%20(GEO)</t>
  </si>
  <si>
    <t>AI Search Marketing Brisbane | CREATIVE MODE | AI SEO</t>
  </si>
  <si>
    <t>https://www.dailybulletin.com.au/news/technology/96125-best-australian-agencies-for-content-that-ranks-in-ai</t>
  </si>
  <si>
    <t>Best Australian Agencies for Content that Ranks in AI</t>
  </si>
  <si>
    <t>NP Digital Australia, Prosperity Media, Impressive, Rocket Agency, Clearwater Agency, Webprofits, Emote Digital, Soup Agency, Safari Digital, Measured</t>
  </si>
  <si>
    <t>https://www.darkroomagency.com/observatory/the-12-top-rated-paid-media-agencies-this-year</t>
  </si>
  <si>
    <t>Top-Rated Paid Media Agencies for Scalable Growth</t>
  </si>
  <si>
    <t>https://defencesa.com/industry/industry-directory/customs-agency-services-pty-ltd/</t>
  </si>
  <si>
    <t>Customs Agency Services PTY LTD – Defence SA</t>
  </si>
  <si>
    <t>https://www.dentsu.com/au/en/solutions/global-alliance-partners/google</t>
  </si>
  <si>
    <t>dentsu</t>
  </si>
  <si>
    <t>https://www.deptagency.com/en-au/partner/google/</t>
  </si>
  <si>
    <t>Google Premier Partner - GMP &amp;amp; GCP - DEPT®</t>
  </si>
  <si>
    <t>https://www.deptagency.com/en-au/partner/google-marketing-platform/</t>
  </si>
  <si>
    <t>Google Marketing Platform - DEPT®</t>
  </si>
  <si>
    <t>https://www.deptagency.com/partner/google/</t>
  </si>
  <si>
    <t>Google Premier Partner | Reseller | GMP &amp;amp; GCP - DEPT®</t>
  </si>
  <si>
    <t>https://designmagazine.com.au/best-australian-design-studios/</t>
  </si>
  <si>
    <t>Best Australian Design Studios 2026: An Editorial Roundup</t>
  </si>
  <si>
    <t>https://www.designrush.com/agency/conversion-optimization/au</t>
  </si>
  <si>
    <t>Top Conversion Rate Optimization Services in Australia | 2026</t>
  </si>
  <si>
    <t>Impressive, Deloitte, eMarket Experts, SIXGUN, In Marketing We Trust, Luminary, Soup Agency, Growth Digital, Digitxl</t>
  </si>
  <si>
    <t>https://www.designrush.com/agency/digital-marketing/trends/incrementality-testing</t>
  </si>
  <si>
    <t>Incrementality Testing: Measure True Marketing Impact</t>
  </si>
  <si>
    <t>Measured, Power Digital</t>
  </si>
  <si>
    <t>https://www.designrush.com/agency/paid-media-pay-per-click/au</t>
  </si>
  <si>
    <t>Top PPC Services in Australia | 2026</t>
  </si>
  <si>
    <t>Impressive, Supple Digital, eMarket Experts, Online Marketing Gurus, SIXGUN, Digital Nomads HQ, Soup Agency, 80/20 Digital</t>
  </si>
  <si>
    <t>https://www.designrush.com/agency/paid-media-pay-per-click/google-adwords/au</t>
  </si>
  <si>
    <t>Top Google Ads Agencies in Australia | 2026</t>
  </si>
  <si>
    <t>Impressive, Supple Digital, eMarket Experts, Online Marketing Gurus, SIXGUN, Digital Nomads HQ</t>
  </si>
  <si>
    <t>https://www.designrush.com/agency/search-engine-optimization/au</t>
  </si>
  <si>
    <t>Top SEO Agencies in Australia | 2026</t>
  </si>
  <si>
    <t>Impressive, First Page, First Page Australia, Supple Digital, eMarket Experts, Online Marketing Gurus, SIXGUN, UR Digital, Digital Nomads HQ, Saatchi &amp; Saatchi</t>
  </si>
  <si>
    <t>https://digitalagencynetwork.com/agencies/australia/creative/page/4/</t>
  </si>
  <si>
    <t>Best Creative Agencies in Australia</t>
  </si>
  <si>
    <t>https://digitalagencynetwork.com/agencies/sydney/</t>
  </si>
  <si>
    <t>Best Digital Marketing Agencies in Sydney (2026)</t>
  </si>
  <si>
    <t>Luminary, Supple Digital, Jaywing, In Marketing We Trust, Digital Nomads HQ, Soup Agency, Emote Digital, Human Digital, Online Marketing Gurus, Insil, Zib Digital, Bench Media, AdVisible</t>
  </si>
  <si>
    <t>https://digitalagencynetwork.com/agency/alpha-digital/</t>
  </si>
  <si>
    <t>Alpha Digital Agency | Digital Agency Network</t>
  </si>
  <si>
    <t>https://digitalchoice.com.au/programmatic-ads/</t>
  </si>
  <si>
    <t>Programmatic Ads - Digital Choice</t>
  </si>
  <si>
    <t>https://digitaldeluxe.com.au/paid-social-advertising/</t>
  </si>
  <si>
    <t>Paid Social Advertising Agency Melbourne | Digital Deluxe</t>
  </si>
  <si>
    <t>https://digitaldigest.au/social-media-marketing-companies/</t>
  </si>
  <si>
    <t>15 Best Social Media Marketing Companies in Australia 2025</t>
  </si>
  <si>
    <t>Digital Nomads HQ, Online Marketing Gurus, Omnicom Media Group, Impressive, Soup Agency, Megaphone, Farsiight, Paradox Marketing, Emote Digital, Rocket Agency, Clearwater Agency</t>
  </si>
  <si>
    <t>https://digitalmarketingsupermarket.com/blog/best-ai-marketing-agencies/</t>
  </si>
  <si>
    <t>Best AI Marketing Agencies: The Definitive 2025 Guide to Finding Your Perfect Partner - Digital Marketing Supermarket</t>
  </si>
  <si>
    <t>Impressive, Ninja Promo</t>
  </si>
  <si>
    <t>https://digitalmarketingsupermarket.com/blog/best-ai-marketing-agencies-2026/</t>
  </si>
  <si>
    <t>Best AI Marketing Agencies: The Definitive 2026 Guide to Finding Your Perfect Partner - Digital Marketing Supermarket</t>
  </si>
  <si>
    <t>https://digitalmarketingsupermarket.com/blog/digital-marketing-agencies-in-perth/</t>
  </si>
  <si>
    <t>Digital Marketing Agencies in Perth: Your Complete Guide to Finding the Right Partner in 2025 - Digital Marketing Supermarket</t>
  </si>
  <si>
    <t>Bonfire, Impressive, First Page, Huge</t>
  </si>
  <si>
    <t>https://digitalmoose.com.au/</t>
  </si>
  <si>
    <t>Digital Moose | Digital Marketing &amp;amp; Advertising Agency Australia</t>
  </si>
  <si>
    <t>HERO, Measured, Momentum</t>
  </si>
  <si>
    <t>https://digitalnomadshq.com.au/ai-seo/</t>
  </si>
  <si>
    <t>AI SEO &amp;amp; GEO Services Australia | Digital Nomads HQ</t>
  </si>
  <si>
    <t>Digital Nomads HQ, Team 400, Huge, Measured</t>
  </si>
  <si>
    <t>https://digitalnomadshq.com.au/blog/best-graphic-design-companies/</t>
  </si>
  <si>
    <t>15 Best Graphic Design Companies in Australia (2026)</t>
  </si>
  <si>
    <t>Digital Nomads HQ, CUT THRU, Soup Agency, Farsiight, Clearwater Agency</t>
  </si>
  <si>
    <t>https://digitalnomadshq.com.au/blog/best-ppc-agency/</t>
  </si>
  <si>
    <t>Best PPC Agencies in Australia (Updated 2026)</t>
  </si>
  <si>
    <t>Digital Nomads HQ, Megaphone, Soup Agency, Farsiight, Gorilla 360, Impressive, Huge</t>
  </si>
  <si>
    <t>https://digitalnomadshq.com.au/blog/pr-firms/</t>
  </si>
  <si>
    <t>14 Best PR Firms in Australia - Find Your PR Agency...</t>
  </si>
  <si>
    <t>Digital Nomads HQ, WPP, Impressive</t>
  </si>
  <si>
    <t>https://digitalnomadshq.com.au/blog/social-media-companies/</t>
  </si>
  <si>
    <t>Top Social Media Marketing Companies in Australia in 2026</t>
  </si>
  <si>
    <t>Digital Nomads HQ, Online Marketing Gurus, Clearwater Agency, Paradox Marketing, Megaphone, Bench Media, Omnicom Media Group, Earned Media</t>
  </si>
  <si>
    <t>https://www.digitxl.com.au/analytics-agency/</t>
  </si>
  <si>
    <t>Analytics Agency: Digital Data &amp;amp; Marketing Analytics Experts</t>
  </si>
  <si>
    <t>https://www.digitxl.com.au/conversion-rate-optimisation-brisbane/</t>
  </si>
  <si>
    <t>Conversion Rate Optimisation Brisbane for Growth - Digitxl</t>
  </si>
  <si>
    <t>Digitxl, Momentum, HERO</t>
  </si>
  <si>
    <t>https://www.digitxl.com.au/google-marketing-consultant/</t>
  </si>
  <si>
    <t>Google Marketing Consultants | Get a Free Consultation</t>
  </si>
  <si>
    <t>https://www.digitxl.com.au/seo-melbourne/</t>
  </si>
  <si>
    <t>SEO Agency Melbourne | Smarter Strategies, Better SEO Services.</t>
  </si>
  <si>
    <t>Digitxl, First Page</t>
  </si>
  <si>
    <t>https://www.dilate.com.au/banner-advertising/</t>
  </si>
  <si>
    <t>Display &amp;amp; Banner Advertising Services Perth | Dilate Digital</t>
  </si>
  <si>
    <t>https://www.dilate.com.au/geo-services/</t>
  </si>
  <si>
    <t>GEO - The Future of SEO | Dilate Digital</t>
  </si>
  <si>
    <t>https://directory.esomar.org/search/%2A?from=5</t>
  </si>
  <si>
    <t>ESOMAR \| Directory</t>
  </si>
  <si>
    <t>https://dnmdigital.com.au/ppc-agency/display-ads/</t>
  </si>
  <si>
    <t>Google Display Ads Agency Sydney | Targeted Ad Solutions</t>
  </si>
  <si>
    <t>https://www.douglaspartners.com.au/</t>
  </si>
  <si>
    <t>Geotechnical Engineering Consultants Australia | Douglas Partners</t>
  </si>
  <si>
    <t>https://www.douglaspartners.com.au/expertise/geotechnical/</t>
  </si>
  <si>
    <t>Geotechnical Investigation Services | Analysis &amp;amp; Design | Douglas Partners</t>
  </si>
  <si>
    <t>https://www.drakecontent.com.au/services/instagram-ads</t>
  </si>
  <si>
    <t>Drake Content | Expert Instagram Ads Agency in Australia</t>
  </si>
  <si>
    <t>https://dreamdata.io/incrementality-b2b-marketing</t>
  </si>
  <si>
    <t>Incrementality - Why you need to consider it | Dreamdata</t>
  </si>
  <si>
    <t>https://www.earnedmedia.com.au/services/ai-seo-agency</t>
  </si>
  <si>
    <t>AI SEO Agency — Generative Engine Optimisation (GEO) | Earned Media</t>
  </si>
  <si>
    <t>Earned Media, Impressive</t>
  </si>
  <si>
    <t>https://ebiquity.com/solutions/grow/testmatch/</t>
  </si>
  <si>
    <t>TestMatch - Ebiquity</t>
  </si>
  <si>
    <t>https://ecosystem.hubspot.com/marketplace/solutions/paid-advertising/consulting-advisory/australia</t>
  </si>
  <si>
    <t>https://ecosystem.hubspot.com/marketplace/solutions/paid-advertising/non-profit/australia</t>
  </si>
  <si>
    <t>https://edgeangel.co/en/marketing-activation/advanced-media-measurement</t>
  </si>
  <si>
    <t>Advanced Media Measurement - EdgeAngel</t>
  </si>
  <si>
    <t>https://edgeangel.co/marketing-activation/advanced-media-measurement</t>
  </si>
  <si>
    <t>https://edisonai.au/about</t>
  </si>
  <si>
    <t>About Edison AI. Founder-led AI implementation and training</t>
  </si>
  <si>
    <t>Edison AI</t>
  </si>
  <si>
    <t>https://edisonai.au/insights/top-ai-implementation-agencies-australia</t>
  </si>
  <si>
    <t>Top 7 AI Implementation Agencies in Australia (2026) \| Edison AI</t>
  </si>
  <si>
    <t>https://www.elephantroom.com.au/</t>
  </si>
  <si>
    <t>eCommerce Paid Media Growth Agency | Elephant Room</t>
  </si>
  <si>
    <t>https://elevionconsulting.com.au/ai-readiness-assessment/</t>
  </si>
  <si>
    <t>Government IT, AI &amp;amp; Transformation Consulting | Elevion</t>
  </si>
  <si>
    <t>https://elioplus.com/asia-pacific/australia/victoria/melbourne/channel-partners/google</t>
  </si>
  <si>
    <t>Best Google partners &amp; resellers in Melbourne \| Elioplus</t>
  </si>
  <si>
    <t>https://www.engineroom.com.au/</t>
  </si>
  <si>
    <t>EngineRoom | Innovative Growth Marketing &amp;amp; Digital Solutions</t>
  </si>
  <si>
    <t>https://estran.io/agence-geo</t>
  </si>
  <si>
    <t>GEO Agency: Definition, Method and Deliverables in 2026 | Estran</t>
  </si>
  <si>
    <t>https://www.eventbrite.com.au/blog/case-studies/loves-data-chooses-eventbrite-one-stop-shop-wide-range-events-ds1d/</t>
  </si>
  <si>
    <t>Why Loves Data chooses Eventbrite as Their One-Stop-Shop for a Wide Range of Events - Eventbrite Blog</t>
  </si>
  <si>
    <t>https://evolvingdigital.com.au/geo-agency/</t>
  </si>
  <si>
    <t>Generative Engine Optimisation Agency | Evolving Digital</t>
  </si>
  <si>
    <t>https://www.eykdata.com/eyk-data-incrementality</t>
  </si>
  <si>
    <t>Eyk Data | Incrementality testing and Unified Marketing Measurement</t>
  </si>
  <si>
    <t>https://www.facebook.com/business/marketing-partners/business-innovation-technology-podcast/Marketing_Mix_Modeling_Utilizing_Open_Source</t>
  </si>
  <si>
    <t>MMM: Utilizing Open Source Technologies to Improve Advertising ROI \| Meta for Business</t>
  </si>
  <si>
    <t>Deloitte, Measured</t>
  </si>
  <si>
    <t>https://www.facebook.com/metriclabsau/</t>
  </si>
  <si>
    <t>https://www.facebook.com/sparrogram/</t>
  </si>
  <si>
    <t>Facebook</t>
  </si>
  <si>
    <t>https://fastdatascience.com/data-science-consulting/predictive-analytics-consulting/</t>
  </si>
  <si>
    <t>Predictive Analytics Consulting Services</t>
  </si>
  <si>
    <t>https://firewiredigital.com.au/geo-agency/</t>
  </si>
  <si>
    <t>GEO agency Australia | Firewire</t>
  </si>
  <si>
    <t>https://firstpage.com.au/ai-seo/</t>
  </si>
  <si>
    <t>AI SEO Agency Australia – Boost AI Search Rankings</t>
  </si>
  <si>
    <t>First Page, Huge, First Page Australia</t>
  </si>
  <si>
    <t>https://firstpagesage.com/seo-blog/the-top-answer-engine-optimization-aeo-companies/</t>
  </si>
  <si>
    <t>The Top Answer Engine Optimization (AEO) Companies of 2026 – First Page Sage</t>
  </si>
  <si>
    <t>https://www.fisherdigital.com.au/programmatic-advertising/</t>
  </si>
  <si>
    <t>Programmatic Advertising Agency Perth | Fisher Digital</t>
  </si>
  <si>
    <t>https://fivestones.net/</t>
  </si>
  <si>
    <t>FiveStones - your trusted ad tech solutions partner</t>
  </si>
  <si>
    <t>https://fixnhour.com/companies/social-media-marketing-agencies/australia</t>
  </si>
  <si>
    <t>Top Social Media Marketing Agencies in Australia | Best SMM Services 2026 | July 2026 Rankings</t>
  </si>
  <si>
    <t>https://www.flurodigital.com/</t>
  </si>
  <si>
    <t>Fluro Digital - Australian Peformance Agency</t>
  </si>
  <si>
    <t>https://www.formulate.com.au/articles/top-seven-seo-agencies-in-melbourne/</t>
  </si>
  <si>
    <t>Top Seven SEO Agencies in Melbourne &amp;#8211; Formulate Design Blog</t>
  </si>
  <si>
    <t>Alley Group, Prosperity Media, Luminary, First Page</t>
  </si>
  <si>
    <t>https://www.forvio.com/product/geo-lift-tests</t>
  </si>
  <si>
    <t>GEO Lift Testing</t>
  </si>
  <si>
    <t>https://www.ftalliance.com.au/australian-trusted-trader#:~:text=FTA%20is%20a%20founding%20member,co%2Ddesign%20this%20important%20reform.</t>
  </si>
  <si>
    <t>Australian Trusted Trader</t>
  </si>
  <si>
    <t>https://www.ftalliance.com.au/data/news_attachments/4.%20australian%20trusted%20trader.pdf#:~:text=What%20is%20ATT%3F%20%E2%80%A2%20A%20voluntary%20trade,to%20a%20range%20of%20trade%20facilitation%20benefits.</t>
  </si>
  <si>
    <t>https://funnel.io/blog/incrementality</t>
  </si>
  <si>
    <t>What is incrementality? The marketer's guide for 2025.</t>
  </si>
  <si>
    <t>https://funnel.io/case-studies/sparro</t>
  </si>
  <si>
    <t>Sparro’s data team drives additional revenue with Funnel</t>
  </si>
  <si>
    <t>Sparro, Brainlabs</t>
  </si>
  <si>
    <t>https://fusepointinsights.com/blog/mastering-incrementality-testing/</t>
  </si>
  <si>
    <t>Incrementality Testing: How to Measure Incremental Lift and Optimize Spend | fusepoint</t>
  </si>
  <si>
    <t>https://fusepointinsights.com/our-methodology/</t>
  </si>
  <si>
    <t>Measurement &amp;amp; Analytics Services For Growth | fusepoint</t>
  </si>
  <si>
    <t>Momentum, Power Digital</t>
  </si>
  <si>
    <t>https://fzpdigital.com/marketing-firms/</t>
  </si>
  <si>
    <t>Marketing Firms: Ultimate 2025 Guide</t>
  </si>
  <si>
    <t>https://www.gbg-group.com.au/</t>
  </si>
  <si>
    <t>GBG Group – Australia’s Leading Geophysical Consultancy</t>
  </si>
  <si>
    <t>https://gcmag.com.au/how-to-choose-an-ai-seo-agency-in-australia/</t>
  </si>
  <si>
    <t>How to Choose an AI SEO Agency in Australia</t>
  </si>
  <si>
    <t>NP Digital Australia, King Kong, Online Marketing Gurus, Omnicom Media Group, Supple Digital, Alpha Digital, Farsiight, 80/20 Digital, First Page, First Page Australia, Soup Agency, Measured, Earned Media, Impressive</t>
  </si>
  <si>
    <t>https://gemfind.com/blogs/digital-marketing/google-marketing-partner</t>
  </si>
  <si>
    <t>Your Guide to Google Marketing Partners: Finding the Right Fit</t>
  </si>
  <si>
    <t>https://www.geo-logix.com.au/geotechnical-engineering/</t>
  </si>
  <si>
    <t>Geo-Logix Pty Ltd Geotechnical Engineering Services &amp;amp; Geotechnical Consultants Australia</t>
  </si>
  <si>
    <t>http://geoconsultants.com.au/</t>
  </si>
  <si>
    <t>Geotechnical Consultants Australia Pty Ltd (GCA) - Consistent, Professional and Reliable</t>
  </si>
  <si>
    <t>https://geodigital.com.au/</t>
  </si>
  <si>
    <t>GEO Digital | Digital Marketing Company | Leading AEO, GEO Agency</t>
  </si>
  <si>
    <t>https://geooptimisation.com.au/best-geo-agencies-australia-2026/</t>
  </si>
  <si>
    <t>Best GEO Agencies in Australia 2026: An Honest Comparison | GEO Optimisation Australia</t>
  </si>
  <si>
    <t>Luminary, Prosperity Media, Rocket Agency, First Page</t>
  </si>
  <si>
    <t>https://georankai.com/about/</t>
  </si>
  <si>
    <t>https://ggconsultants.com.au/</t>
  </si>
  <si>
    <t>GGC – Geotechnical and Geological Consultants</t>
  </si>
  <si>
    <t>https://gmp.incubeta.com/</t>
  </si>
  <si>
    <t>Incubeta | GMP Growth Lab</t>
  </si>
  <si>
    <t>OWN</t>
  </si>
  <si>
    <t>https://www.goodfirms.co/advertising-companies/creative/melbourne</t>
  </si>
  <si>
    <t>Top Creative Agencies in Melbourne - 2026 Reviews | Goodfirms</t>
  </si>
  <si>
    <t>Uprise Digital, Omnicom Media Group, Digital Movement</t>
  </si>
  <si>
    <t>https://www.goodfirms.co/artificial-intelligence/ai-consulting</t>
  </si>
  <si>
    <t>Top 10+ AI Consulting Companies - 2026 Reviews | Goodfirms</t>
  </si>
  <si>
    <t>Impressive, Team 400</t>
  </si>
  <si>
    <t>https://www.goodfirms.co/artificial-intelligence/sydney</t>
  </si>
  <si>
    <t>Top Artificial Intelligence Companies in Sydney - 2026 Reviews | Goodfirms</t>
  </si>
  <si>
    <t>Team 400, Impressive, Get AI Ready</t>
  </si>
  <si>
    <t>https://www.goodfirms.co/directory/city/top-digital-marketing-companies/advertising-ppc/brisbane</t>
  </si>
  <si>
    <t>Top PPC Agencies in Brisbane - 2026 Reviews | Goodfirms</t>
  </si>
  <si>
    <t>Farsiight, First Page</t>
  </si>
  <si>
    <t>https://www.goodfirms.co/directory/city/top-digital-marketing-companies/media-planning-buying/sydney</t>
  </si>
  <si>
    <t>Top Media Buying Agencies in Sydney - 2026 Reviews | Goodfirms</t>
  </si>
  <si>
    <t>Bench Media, Soup Agency, AdVisible, Impressive, CUT THRU</t>
  </si>
  <si>
    <t>https://www.google.com/searchviewer/10?svid=CAwSGxIZCgNwdnESEkNnc3ZaeTh4ZEdZeWNEQTVNQRgK</t>
  </si>
  <si>
    <t>https://www.google.com/searchviewer/10?svid=CAwSGxIZCgNwdnESEkNnc3ZaeTh4ZEdvek5XUm1iQRgK</t>
  </si>
  <si>
    <t>https://www.google.com/searchviewer/10?svid=CAwSGxIZCgNwdnESEkNnc3ZaeTh4ZG10eU1IZzRhZxgK</t>
  </si>
  <si>
    <t>https://www.google.com/searchviewer/10?svid=CAwSGxIZCgNwdnESEkNnc3ZaeTh4ZGw5NU9XSXpOZxgK</t>
  </si>
  <si>
    <t>https://www.google.com/searchviewer/10?svid=CAwSHBIaCgNwdnESE0Nnd3ZaeTh4YUdZd2Rub3hPRGMYCg</t>
  </si>
  <si>
    <t>https://www.google.com/searchviewer/10?svid=CAwSHRIbCgNwdnESFENnMHZaeTh4TVc0eE16UTRYM055GAo</t>
  </si>
  <si>
    <t>https://www.google.com/searchviewer/10?svid=CAwSHRIbCgNwdnESFENnMHZaeTh4TVdNMmJEbHRaR2R6GAo</t>
  </si>
  <si>
    <t>https://www.google.com/searchviewer/10?svid=CAwSHRIbCgNwdnESFENnMHZaeTh4TVdSNk1ISnJkbkJ1GAo</t>
  </si>
  <si>
    <t>https://www.google.com/searchviewer/10?svid=CAwSHRIbCgNwdnESFENnMHZaeTh4TVdjMmNHWnphRGgzGAo</t>
  </si>
  <si>
    <t>https://www.google.com/searchviewer/10?svid=CAwSHRIbCgNwdnESFENnMHZaeTh4TVdkbmNtc3lZM05vGAo</t>
  </si>
  <si>
    <t>https://www.google.com/searchviewer/10?svid=CAwSHRIbCgNwdnESFENnMHZaeTh4TVdnME5uTXllalZ4GAo</t>
  </si>
  <si>
    <t>https://www.google.com/searchviewer/10?svid=CAwSHRIbCgNwdnESFENnMHZaeTh4TVdnd1lqbGtPVGhrGAo</t>
  </si>
  <si>
    <t>https://www.google.com/searchviewer/10?svid=CAwSHRIbCgNwdnESFENnMHZaeTh4TVdneWEyMXlaR2RyGAo</t>
  </si>
  <si>
    <t>https://www.google.com/searchviewer/10?svid=CAwSHRIbCgNwdnESFENnMHZaeTh4TVdneWNXMXpOblEyGAo</t>
  </si>
  <si>
    <t>https://www.google.com/searchviewer/10?svid=CAwSHRIbCgNwdnESFENnMHZaeTh4TVdoa2N6TnFkbDgwGAo</t>
  </si>
  <si>
    <t>https://www.google.com/searchviewer/10?svid=CAwSHRIbCgNwdnESFENnMHZaeTh4TVdwek1UUmpaR3A0GAo</t>
  </si>
  <si>
    <t>https://www.google.com/searchviewer/10?svid=CAwSHRIbCgNwdnESFENnMHZaeTh4TVhKbllucG9jVE56GAo</t>
  </si>
  <si>
    <t>https://www.google.com/searchviewer/10?svid=CAwSHRIbCgNwdnESFENnMHZaeTh4TVhNM2VYZzJNV2hxGAo</t>
  </si>
  <si>
    <t>https://www.google.com/searchviewer/10?svid=CAwSHRIbCgNwdnESFENnMHZaeTh4TVhRMWJIbDZObUl4GAo</t>
  </si>
  <si>
    <t>https://www.google.com/searchviewer/10?svid=CAwSHRIbCgNwdnESFENnMHZaeTh4TVhReU9UbDBiR28wGAo</t>
  </si>
  <si>
    <t>https://www.google.com/searchviewer/10?svid=CAwSHRIbCgNwdnESFENnMHZaeTh4TVhad2VIQnVPVjgzGAo</t>
  </si>
  <si>
    <t>https://www.google.com/searchviewer/10?svid=CAwSHRIbCgNwdnESFENnMHZaeTh4TVhrME5IUjBNbTAxGAo</t>
  </si>
  <si>
    <t>https://gorilla360.com.au/cro-agency/</t>
  </si>
  <si>
    <t>Conversion Rate Optimisation Agency Australia</t>
  </si>
  <si>
    <t>https://gorilla360.com.au/geo/</t>
  </si>
  <si>
    <t>GEO Agency Australia [Future Proof Your Business]</t>
  </si>
  <si>
    <t>Gorilla 360, Momentum</t>
  </si>
  <si>
    <t>https://gorilla360.com.au/google-analytics-agency/</t>
  </si>
  <si>
    <t>Google Analytics Agency Australia | Gorilla 360</t>
  </si>
  <si>
    <t>https://gorilla360.com.au/instagram-advertising/</t>
  </si>
  <si>
    <t>Instagram Ads Agency [Get Real Results] Gorilla 360</t>
  </si>
  <si>
    <t>Gorilla 360, Impressive</t>
  </si>
  <si>
    <t>https://www.grantthornton.com.au/services/tax/international-tax/global-trade-and-customs/</t>
  </si>
  <si>
    <t>Global trade and customs | Grant Thornton Australia</t>
  </si>
  <si>
    <t>https://www.growth-hackers.net/best-analytics-marketing-agencies/</t>
  </si>
  <si>
    <t>Top 11 Analytics Marketing Agencies in 2026 | Hire the Best Analytics Marketing Agency | Growth Hackers</t>
  </si>
  <si>
    <t>https://www.growthaffect.com.au/pages/about-us</t>
  </si>
  <si>
    <t>About Growth Affect CRO | Conversion Rate Optimisation Agency</t>
  </si>
  <si>
    <t>https://gtechsol.com.au/digital-marketing/marketing-analytics/</t>
  </si>
  <si>
    <t>Marketing Analytics &amp;amp; Reporting Services | G-Tech Solutions</t>
  </si>
  <si>
    <t>https://hedgehogmarketing.com.au/ai-marketing</t>
  </si>
  <si>
    <t>AI Marketing Consultant AU | Hedgehog Marketing</t>
  </si>
  <si>
    <t>https://hellopeople.com.au/ai-solutions/ai-strategy-and-readiness</t>
  </si>
  <si>
    <t>AI Strategy &amp;amp; Readiness Australia | HELLO PEOPLE</t>
  </si>
  <si>
    <t>https://hikemytraffic.com/ai-digital-marketing-companies-in-australia/</t>
  </si>
  <si>
    <t>Top 10 AI Digital Marketing Companies in Australia 2026</t>
  </si>
  <si>
    <t>https://hindsight.com.au/</t>
  </si>
  <si>
    <t>Hindsight Creative | Creative Branding Studio | Creative Agency</t>
  </si>
  <si>
    <t>https://www.hirewithnear.com/blog/graphic-designer-recruitment-agencies</t>
  </si>
  <si>
    <t>Graphic Design Recruitment Agency: 10 Top Picks for 2026</t>
  </si>
  <si>
    <t>https://www.hockeystack.com/blog-posts/types-of-marketing-analytics-and-how-they-affect-marketing-strategies</t>
  </si>
  <si>
    <t>Types of Marketing Analytics and How They Affect Marketing Strategies</t>
  </si>
  <si>
    <t>https://hoefonsecurityseals.com/business/authorized-economic-operator-aeo/</t>
  </si>
  <si>
    <t>Authorized Economic Operator (AEO). The complete guide - Hoefon</t>
  </si>
  <si>
    <t>https://homerdigitalmarketing.com/instagram-ads-agency/</t>
  </si>
  <si>
    <t>12 Best Instagram Ads Agencies in Australia (2026 Guide)</t>
  </si>
  <si>
    <t>Megaphone, Impressive, Online Marketing Gurus, Omnicom Media Group, Rocket Agency, Alpha Digital, Clearwater Agency, WebSavvy, Sparro, Brainlabs, Metric Labs, Click Click Media</t>
  </si>
  <si>
    <t>https://homerdigitalmarketing.com/lead-gen-agency/</t>
  </si>
  <si>
    <t>6 Best Lead Gen Agencies in Australia for Service Businesses (2026 Guide)</t>
  </si>
  <si>
    <t>King Kong</t>
  </si>
  <si>
    <t>https://honchosearch.com/pages/services-paid-media?srsltid=AfmBOorq_y31HueuHmbhKFTurnKIaEM3AceJ85hmK4BBO6GJiNnAwqf0</t>
  </si>
  <si>
    <t>https://www.humanova.com.au/</t>
  </si>
  <si>
    <t>https://www.i4s.au/best-ppc-agency-in-2025/</t>
  </si>
  <si>
    <t>Best PPC Agency in 2025| I4S</t>
  </si>
  <si>
    <t>Impressive, WebSavvy, Online Marketing Gurus, Omnicom Media Group, Reload Media</t>
  </si>
  <si>
    <t>https://www.iabaustralia.com.au/resource/market-mix-modelling-landscape-report-2025/</t>
  </si>
  <si>
    <t>Market Mix Modelling Landscape Report 2025 Insights</t>
  </si>
  <si>
    <t>Analytic Partners, Lifesight, Mutinex</t>
  </si>
  <si>
    <t>https://www.iabaustralia.com.au/wp-content/uploads/2025/09/IAB-Australia-Market-Mix-Modelling-Landscape-December-2025.pdf</t>
  </si>
  <si>
    <t>https://ichelonconsulting.com/aeo-agency-australia</t>
  </si>
  <si>
    <t>Best AEO Agency in Australia · Healthcare-Only · ICG</t>
  </si>
  <si>
    <t>https://iconagency.com.au/geo-services-australia</t>
  </si>
  <si>
    <t>GEO services in Australia - ICON</t>
  </si>
  <si>
    <t>https://impressive.com.au/measurement-planning-implementation/</t>
  </si>
  <si>
    <t>Measurement Planning &amp;amp; Implementation | Impressive</t>
  </si>
  <si>
    <t>https://impressive.com.au/paid-media/</t>
  </si>
  <si>
    <t>Paid Media Agency for Targeted Growth | Impressive</t>
  </si>
  <si>
    <t>https://impressive.com.au/ppc/</t>
  </si>
  <si>
    <t>Google Ads Agency Melbourne | PPC Management | Impressive</t>
  </si>
  <si>
    <t>Impressive, Measured, First Page, Deloitte</t>
  </si>
  <si>
    <t>https://impressive.com.au/seo-gold-coast/</t>
  </si>
  <si>
    <t>SEO Agency on the Gold Coast | Performance-Driven SEO | Impressive</t>
  </si>
  <si>
    <t>Impressive, Deloitte, First Page</t>
  </si>
  <si>
    <t>https://impressive.com.au/seo-services/#:~:text=%2B66%25%20Rola.%20%2B147%25%20Synergie%20Skin.%20%2B459%25%20T2.,related%20content%20together%20to%20push%20relevance%20site%2Dwide.</t>
  </si>
  <si>
    <t>SEO Agency Melbourne | Award-Winning SEO Services</t>
  </si>
  <si>
    <t>https://improvado.io/blog/multi-touch-attribution-solutions</t>
  </si>
  <si>
    <t>12 Best Multi-Touch Attribution Solutions (2026)</t>
  </si>
  <si>
    <t>https://www.incremental.com/solutions</t>
  </si>
  <si>
    <t>Retail Media Incrementality Measurement &amp;amp; Optimization | Incremental — Incremental</t>
  </si>
  <si>
    <t>https://www.incrmntal.com/solutions/agencies</t>
  </si>
  <si>
    <t>Marketing measurement solution for Agencies</t>
  </si>
  <si>
    <t>https://incubeta.com/news-and-resources/incubeta-joins-googles-international-growth-program/</t>
  </si>
  <si>
    <t>Incubeta Joins Google’s International Growth Program. | Incubeta</t>
  </si>
  <si>
    <t>https://www.indexandomarketing.com/en/</t>
  </si>
  <si>
    <t>International marketing agency | Indexando Marketing</t>
  </si>
  <si>
    <t>https://www.influencer-hero.com/agencies/best-influencer-marketing-agencies-australia</t>
  </si>
  <si>
    <t>Best Influencer Marketing Agencies in Australia</t>
  </si>
  <si>
    <t>https://influencermarketinghub.com/digital-marketing-agency-australia/</t>
  </si>
  <si>
    <t>Top 13 Digital Marketing Agencies in Australia</t>
  </si>
  <si>
    <t>Reef Digital Agency, Edge Marketing, AdVisible, Clearwater Agency, Insil</t>
  </si>
  <si>
    <t>https://info.jellyfish.com/en-au/local-page/australia</t>
  </si>
  <si>
    <t>Jellyfish Australia - We give brands a platform to perform</t>
  </si>
  <si>
    <t>https://infokus.com.au/</t>
  </si>
  <si>
    <t>AI Marketing Agency for Professional Services | Infokus</t>
  </si>
  <si>
    <t>https://inmarketingwetrust.com.au/ai-agentic/ai-discovery/</t>
  </si>
  <si>
    <t>AI Discovery - In Marketing We Trust</t>
  </si>
  <si>
    <t>https://inmarketingwetrust.com.au/contact/</t>
  </si>
  <si>
    <t>Contact - In Marketing We Trust</t>
  </si>
  <si>
    <t>https://inmarketingwetrust.com.au/reverse-engineering-the-dark-funnel/</t>
  </si>
  <si>
    <t>Reverse-Engineering the Dark Funnel - In Marketing We Trust</t>
  </si>
  <si>
    <t>https://www.insighten.com.au/media-attribution#:~:text=Media%20Attribution%20%7C%20Insighten,Conversion%20Rate%20Optimisation</t>
  </si>
  <si>
    <t>Media Attribution | Insighten</t>
  </si>
  <si>
    <t>https://www.instagram.com/p/DWmua7IDz4F/</t>
  </si>
  <si>
    <t>We’re incredibly excited to welcome @absolutely.ai as Master Partner for Something Digital 2026.
Absolutely AI is Australia’s leading AI-first creative agency, working with brands and institutions to push the boundaries of storytelling, campaigns and content at scale. From cinematic AI films to hands-on creative workshops with global teams, they bring together emerging technology and creative thinking to explore what’s next.
At Something Digital 2026, you’ll see Absolutely AI in action, leading one of masterclasses as well as debuting a brand new side event, The Australian AI Film Awards. Details to be announced soon 👀</t>
  </si>
  <si>
    <t>https://www.intelliagent.com.au/about</t>
  </si>
  <si>
    <t>About IntelliAgent | AI Consulting for Australian Businesses</t>
  </si>
  <si>
    <t>https://intelligentresourcing.co/blogs/top-gtm-engineering-agencies-australia</t>
  </si>
  <si>
    <t>Top GTM Engineering Agencies in Australia 2026</t>
  </si>
  <si>
    <t>Intelligent Resourcing, Measured</t>
  </si>
  <si>
    <t>https://www.interteammarketing.com/blog/best-b2b-ppc-agencies</t>
  </si>
  <si>
    <t>10 Best B2B PPC Agencies for High-Growth Companies [2026]</t>
  </si>
  <si>
    <t>https://www.intesols.com.au/services/ai-seo-agency/</t>
  </si>
  <si>
    <t>AI SEO Experts | ChatGPT &amp;amp; AI GEO Solutions | Intesols</t>
  </si>
  <si>
    <t>https://invademarketing.com/top-rated-digital-marketing-agencies-australia/</t>
  </si>
  <si>
    <t>Top-Rated Digital Marketing Agencies Australia | Grow Online</t>
  </si>
  <si>
    <t>https://www.ipsos.com/en-au/unified-marketing-measurement-optimisation-mta</t>
  </si>
  <si>
    <t>Unified Marketing Measurement &amp;amp; Optimisation | MTA | Ipsos</t>
  </si>
  <si>
    <t>https://ironpathinteractive.com.au/performance-marketing-agency-sydney</t>
  </si>
  <si>
    <t>https://itbrief.asia/story/in-marketing-we-trust-unveils-new-leaders-advisory-board</t>
  </si>
  <si>
    <t>In Marketing We Trust unveils new leaders &amp;amp; advisory board</t>
  </si>
  <si>
    <t>https://itbrief.com.au/story/australian-marketers-eager-on-ai-but-most-lack-readiness-report-finds</t>
  </si>
  <si>
    <t>Australian marketers eager on AI but most lack readiness, report finds</t>
  </si>
  <si>
    <t>https://itprofiles.com/services/advertising-marketing/melbourne</t>
  </si>
  <si>
    <t>Melbourne Marketing Market Leaders Ranked – Jul 2026 Edition | ITProfiles</t>
  </si>
  <si>
    <t>Momentum, eMarket Experts, Clemenger BBDO</t>
  </si>
  <si>
    <t>https://jacinthsolutions.com.au/blog</t>
  </si>
  <si>
    <t>Jacinth Solutions \| AI-Powered Business Infrastructure</t>
  </si>
  <si>
    <t>https://www.jbedigital.com.au/ai-seo/</t>
  </si>
  <si>
    <t>Answer Engine Optimisation Agency | AEO &amp;amp; GEO AI Marketing</t>
  </si>
  <si>
    <t>https://www.jellyfish.com/en-us/news/jellyfish-wins-google-australias-gmp-partner-of-the-year/</t>
  </si>
  <si>
    <t>Jellyfish wins Google Australia's GMP partner of the year award</t>
  </si>
  <si>
    <t>https://kamexa.ai/top-5-ai-agencies-in-queensland-2025-kamexa-leads-brisbane-gold-coast/</t>
  </si>
  <si>
    <t>Top 5 AI Agencies in Queensland 2025: Kamexa Leads Brisbane &amp;amp; Gold Coast - Kamexa AI</t>
  </si>
  <si>
    <t>https://kersai.com/best-ai-companies-in-australia-for-business-transformation/</t>
  </si>
  <si>
    <t>Best AI Companies in Australia for Business Transformation | KERSAI</t>
  </si>
  <si>
    <t>https://keyspace.com.au/most-recommended-google-ads-agencies-in-australia/</t>
  </si>
  <si>
    <t>Most Recommended Google Ads Agencies in Australia – Key Space</t>
  </si>
  <si>
    <t>https://www.kineticconsulting.com.au/artificial-intelligence-consulting/</t>
  </si>
  <si>
    <t>AI Consulting</t>
  </si>
  <si>
    <t>https://kingkong.co/au/</t>
  </si>
  <si>
    <t>King Kong® | Direct-Response Digital Marketing Agency</t>
  </si>
  <si>
    <t>King Kong, HERO, Huge</t>
  </si>
  <si>
    <t>https://koadigital.com.au/services/meta-ads-management/</t>
  </si>
  <si>
    <t>Meta Ads Management | Facebook &amp;amp; Instagram Advertising Experts | KOA Digital</t>
  </si>
  <si>
    <t>https://kodedigital.com.au/digital-services/banner-design/</t>
  </si>
  <si>
    <t>Banner Design - Kode Digital AU</t>
  </si>
  <si>
    <t>https://www.kuehne-nagel.com/au/services/customs-clearance/import-customs-clearance</t>
  </si>
  <si>
    <t>Import customs clearance and transit services | Kuehne+Nagel Australia</t>
  </si>
  <si>
    <t>https://kwasi.com/</t>
  </si>
  <si>
    <t>Kwasi | Growth &amp;amp; Performance Marketing Agency In Australia</t>
  </si>
  <si>
    <t>https://www.lambagency.com.au/digital-strategy/data-insights#:~:text=Get%20the%20visibility%20to%20lead%20with%20confidence.,and%20a%20step%20ahead.%20TALK%20TO%20US.</t>
  </si>
  <si>
    <t>Data, Reporting &amp;amp; Insights. Lamb Agency.</t>
  </si>
  <si>
    <t>https://www.launcherlab.com.au/lift-test</t>
  </si>
  <si>
    <t>Lift Test</t>
  </si>
  <si>
    <t>https://leaddigital.com.au/</t>
  </si>
  <si>
    <t>Lead Digital | AI SEO Digital Marketing Agency Australia</t>
  </si>
  <si>
    <t>https://leadsnow.ai/</t>
  </si>
  <si>
    <t>Leads Now AI | Pay-Per-Result Marketing &amp;amp; Sales Via AI</t>
  </si>
  <si>
    <t>LeadsNow.ai, Measured</t>
  </si>
  <si>
    <t>https://leadsnow.ai/ai-for-business/</t>
  </si>
  <si>
    <t>AI for Business in Australia | AI Marketing Agency, AI Sales Agent | LeadsNow</t>
  </si>
  <si>
    <t>LeadsNow.ai, King Kong, Webprofits, Measured</t>
  </si>
  <si>
    <t>https://leadsnow.ai/ai-sales-agents-australia/</t>
  </si>
  <si>
    <t>AI Sales Agents in Australia: Pay-Per-Result Appointment Setting - Leads Now AI</t>
  </si>
  <si>
    <t>https://lengreo.com/australia-adelaide-aeo-geo-llmo-companies/</t>
  </si>
  <si>
    <t>Top 5 AEO, LLMO and GEO Companies in Adelaide, Australia (2026)</t>
  </si>
  <si>
    <t>https://lengreo.com/australia-melbourne-aeo-geo-llmo-companies/</t>
  </si>
  <si>
    <t>Top 7 AEO, GEO &amp;amp; LLMO Companies in Melbourne, Australia (2026)</t>
  </si>
  <si>
    <t>Predicta Digital, Luminary, Salt &amp; Fuessel</t>
  </si>
  <si>
    <t>https://lifesight.io/product/geo-based-incrementality-testing/</t>
  </si>
  <si>
    <t>Geo-Based Incrementality Testing - Lifesight</t>
  </si>
  <si>
    <t>https://liftlab.com/</t>
  </si>
  <si>
    <t>Agile MMM &amp;amp; Incrementality Testing Built for Growth Leaders | LiftLab</t>
  </si>
  <si>
    <t>https://www.lightningventures.com.au/ai-agency/sydney/#:~:text=Top%20AI%20Agency%20in%20Sydney.%20Lightning%20Ventures,build%20for%20Sydney%20businesses%20%2D%20AI%20Integration.</t>
  </si>
  <si>
    <t>Top AI Agency in Sydney | Lightning Ventures</t>
  </si>
  <si>
    <t>https://localiq.com/au/products/social-ads/instagram-ads/</t>
  </si>
  <si>
    <t>Instagram Marketing Agency Australia | Targeted Ads&amp;nbsp;</t>
  </si>
  <si>
    <t>https://www.louddays.com/performance-marketing-agency-australia-guide/</t>
  </si>
  <si>
    <t>How to Choose a Performance Marketing Agency in Australia</t>
  </si>
  <si>
    <t>Loud Days, Momentum</t>
  </si>
  <si>
    <t>https://louder.com.au/services/measurement/</t>
  </si>
  <si>
    <t>Measurement | Louder</t>
  </si>
  <si>
    <t>https://www.lovesdata.com/</t>
  </si>
  <si>
    <t>Loves Data – Learn Google Analytics, Google Ads &amp;amp; More</t>
  </si>
  <si>
    <t>https://luckyboy.agency/advertising-agency-collingwood</t>
  </si>
  <si>
    <t>Advertising Agency Collingwood, Melbourne | Lucky Boy Agency | Lucky Boy Agency</t>
  </si>
  <si>
    <t>https://www.lumifywork.com/en-au/ai-advisory-services/</t>
  </si>
  <si>
    <t>AI Advisory Services | AI Consulting &amp;amp; Strategy for Business | Lumify Work</t>
  </si>
  <si>
    <t>https://m.yelp.com/biz/loves-data-pty-ltd-mosman</t>
  </si>
  <si>
    <t>LOVES DATA PTY LTD - Updated July 2026 - 1110 Middle Head Rd Cnr, Mosman New South Wales, Australia - Marketing - Phone Number - Yelp</t>
  </si>
  <si>
    <t>https://www.madsunmedia.com/au/services/social-media-marketing</t>
  </si>
  <si>
    <t>Social Media Marketing Agency Australia | Facebook, Instagram &amp;amp; LinkedIn | Madsun Media</t>
  </si>
  <si>
    <t>https://makeitbigmedia.com/</t>
  </si>
  <si>
    <t>Make It Big Media | SEO, AI Marketing &amp;amp; Business Automation | Melbourne, Australia</t>
  </si>
  <si>
    <t>https://mammothgeospatial.com/</t>
  </si>
  <si>
    <t>Mammoth Geospatial | Leading open source GIS and QGIS provider, based in Perth, Australia</t>
  </si>
  <si>
    <t>https://mantelgroup.com.au/services/ai/</t>
  </si>
  <si>
    <t>AI Consulting Services &amp;amp; Solutions | Artificial Intelligence Experts | Mantel</t>
  </si>
  <si>
    <t>https://www.marketing-interactive.com/bmf-lands-creative-heavyweight-scott-nowell-as-chair</t>
  </si>
  <si>
    <t>BMF lands creative heavyweight Scott Nowell as chair | Marketing-Interactive</t>
  </si>
  <si>
    <t>BMF, The Monkeys, Momentum</t>
  </si>
  <si>
    <t>https://www.marketingattribution.com/</t>
  </si>
  <si>
    <t>Know What Works | Marketing Attribution</t>
  </si>
  <si>
    <t>https://www.marketingattributionsoftware.com/</t>
  </si>
  <si>
    <t>Best Marketing Attribution Software 2026 — Full Comparison of 18 Tools</t>
  </si>
  <si>
    <t>https://marketingcosmos.com/agencies/data-analytics/sydney</t>
  </si>
  <si>
    <t>TOP Data Analytics Companies in Sydney - Marketing Cosmos</t>
  </si>
  <si>
    <t>https://marketingcosmos.com/agencies/display-ads/perth</t>
  </si>
  <si>
    <t>TOP Display Ads Companies in Perth - Marketing Cosmos</t>
  </si>
  <si>
    <t>https://marketingplatform.google.com/about/partners/find-a-partner</t>
  </si>
  <si>
    <t>https://mass-analytics.com/marketing-mix-modeling-blogs/how-geo-experiments-measure-incrementality/</t>
  </si>
  <si>
    <t>How Geo Experiments Measure Incrementality -</t>
  </si>
  <si>
    <t>https://mass-analytics.com/mmm-solutions/incrementality-measurement-mass-analytics/#:~:text=Run%20the%20campaign%20in%20test,Incrementality%20as%20calibration.</t>
  </si>
  <si>
    <t>Incrementality Measurement | MASS Analytics</t>
  </si>
  <si>
    <t>https://matomo.org/blog/2024/03/incrementality-testing/</t>
  </si>
  <si>
    <t>Incrementality Testing: Quick-Start Guide (With Calculations) - Analytics Platform - Matomo</t>
  </si>
  <si>
    <t>https://maturedge.com.au/generative-engine-optimization/</t>
  </si>
  <si>
    <t>Generative Engine Optimization (GEO) Services | MaturEdge</t>
  </si>
  <si>
    <t>https://www.mayple.com/resources/paid-advertising/ppc-agencies-australia</t>
  </si>
  <si>
    <t>Top 6 PPC Agencies in Australia to Hire in 2026</t>
  </si>
  <si>
    <t>https://www.measured.com/incremental-lift-tests/</t>
  </si>
  <si>
    <t>Measured: Incrementality Testing</t>
  </si>
  <si>
    <t>https://mediaplusdigital.co/au/best-social-media-marketing-agencies-in-australia/</t>
  </si>
  <si>
    <t>10 Best Social Media Marketing Agencies in Australia (2026 Guide) - MPD Australia</t>
  </si>
  <si>
    <t>King Kong, Reload Media</t>
  </si>
  <si>
    <t>https://mediaplusdigital.co/au/digital-marketing-agencies-in-australia/</t>
  </si>
  <si>
    <t>Top 10 Digital Marketing Agencies in Australia (2026 Guide) - MPD Australia</t>
  </si>
  <si>
    <t>Online Marketing Gurus, Supple Digital, First Page, First Page Australia, Megaphone, Clearwater Agency, Impressive, Digital Nomads HQ</t>
  </si>
  <si>
    <t>https://mediaright.au/services/digital/</t>
  </si>
  <si>
    <t>https://www.mediaweek.com.au/asahi-beverages-bmf-kerfuffle-creative-agency-appointment</t>
  </si>
  <si>
    <t>Asahi appoints BMF and Kerfuffle, drops Clemenger and Droga5 | Mediaweek</t>
  </si>
  <si>
    <t>BMF, Clemenger BBDO, Mindshare, Measured</t>
  </si>
  <si>
    <t>https://www.mediaweek.com.au/cannes-2026-winners-show-the-power-of-australias-integrated-approach/#:~:text=But%20the%20awards%20that%20Australian,Australia's%20first%20Media%20Grand%20Prix.</t>
  </si>
  <si>
    <t>Cannes 2026: Australia's Integrated Approach Wins</t>
  </si>
  <si>
    <t>Bench Media, Leo Australia, VML, Measured, Earned Media</t>
  </si>
  <si>
    <t>https://www.mediaweek.com.au/majority-of-aussie-marketers-still-at-a-beginner-level-with-ai-says-acam-report/</t>
  </si>
  <si>
    <t>Majority of Aussie marketers still at a beginner level with AI, says ACAM report \| Mediaweek</t>
  </si>
  <si>
    <t>https://www.mediaweek.com.au/omnicom-media-group-launches-trkkn-analytics-in-australia/</t>
  </si>
  <si>
    <t>Omnicom Media Group launches TRKKN Analytics in Australia</t>
  </si>
  <si>
    <t>Omnicom Media Group, TRKKN, OMD</t>
  </si>
  <si>
    <t>https://megaphone.com.au/27-best-apps-for-marketing/</t>
  </si>
  <si>
    <t>The 27 Best Apps for Marketing Your Business in 2022</t>
  </si>
  <si>
    <t>Megaphone, Huge</t>
  </si>
  <si>
    <t>https://megaphonemedia.com.au/media-planning-buying-agency/</t>
  </si>
  <si>
    <t>Media Planning and Buying Agency • Megaphone Media</t>
  </si>
  <si>
    <t>Megaphone, HERO</t>
  </si>
  <si>
    <t>https://megaphonemedia.com.au/meta-ads-agency/</t>
  </si>
  <si>
    <t>Meta Ads Agency • Megaphone Media</t>
  </si>
  <si>
    <t>https://mentionfirst.ai/what-are-the-best-ai-seo-companies-in-australia-and-how-to-choose-one/</t>
  </si>
  <si>
    <t>What are the best AI SEO companies in Australia and how to choose one? - Mention First AI</t>
  </si>
  <si>
    <t>PK SEO, StudioHawk, Supple Digital</t>
  </si>
  <si>
    <t>https://www.merkle.com/en/about-us/partnerships/google.html</t>
  </si>
  <si>
    <t>Merkle &amp;amp; Google Partnership - GMP &amp;amp; GCP Expertise | Merkle</t>
  </si>
  <si>
    <t>https://www.merkle.com/en/about-us/partnerships/google/solutions.html</t>
  </si>
  <si>
    <t>Our Suite of Google Solutions by Merkle</t>
  </si>
  <si>
    <t>https://methodworks.com.au/</t>
  </si>
  <si>
    <t>MethodWorks | AI Readiness Program for Australian Mid-Market</t>
  </si>
  <si>
    <t>https://metriclabs.com.au/ga4-ecommerce-tracking/</t>
  </si>
  <si>
    <t>Google Analytics 4 ecommerce tracking | Metric Labs</t>
  </si>
  <si>
    <t>Metric Labs</t>
  </si>
  <si>
    <t>https://metriclabs.com.au/performance-media-services/</t>
  </si>
  <si>
    <t>Performance Media Services | Paid Search and SEO | Metric Labs</t>
  </si>
  <si>
    <t>https://www.mi-3.com.au/</t>
  </si>
  <si>
    <t>Welcome to Mi3 | Mi3</t>
  </si>
  <si>
    <t>WPP, In Marketing We Trust, Mutinex</t>
  </si>
  <si>
    <t>https://www.mi-3.com.au/06-08-2025/marketing-we-trust-restructures-leadership-and-forms-advisory-board</t>
  </si>
  <si>
    <t>In Marketing We Trust restructures leadership and forms advisory board | Mi3</t>
  </si>
  <si>
    <t>https://www.mi-3.com.au/14-07-2026/marketing-we-trust-secures-gold-marketech-apac-awards-ai-driven-content-campaign</t>
  </si>
  <si>
    <t>In Marketing We Trust secures gold at Marketech APAC Awards for AI-driven content campaign | Mi3</t>
  </si>
  <si>
    <t>In Marketing We Trust, Bonfire, Dentsu, Impressive</t>
  </si>
  <si>
    <t>https://www.mi-3.com.au/editorial-series/mmms-next-wave#:~:text=Download%20the%20report%20inside%20this%20series%20for,the%20pin%2Dup%20of%20what%20not%20to%20do.</t>
  </si>
  <si>
    <t>MMM’s Next Wave | Partnered by Mutinex | Mi3</t>
  </si>
  <si>
    <t>Mutinex, Omnicom Media Group, Howatson+Company</t>
  </si>
  <si>
    <t>https://www.mida.so/cro-agency/country/australia#:~:text=Their%20focus%20on%20thorough%20upfront,Perth%2C%20Australia</t>
  </si>
  <si>
    <t>Top 8 CRO Agencies in Australia (2026) | Mida</t>
  </si>
  <si>
    <t>https://mooning.com/</t>
  </si>
  <si>
    <t>Mooning — AI Marketing Agency | Creative Intelligence for Ambitious Brands</t>
  </si>
  <si>
    <t>https://www.moveaheadmedia.com.au/paid-media/programmatic/#:~:text=Move%20Ahead%20Media%20will%20assign%20you%20a,a%20significant%20return%20on%20your%20advertising%20investment.</t>
  </si>
  <si>
    <t>Programmatic Advertising Agency | Move Ahead Media</t>
  </si>
  <si>
    <t>https://mumbrella.com.au/canva-partners-with-rocket-agency-to-scale-creative-production-for-in-house-marketing-teams-925804</t>
  </si>
  <si>
    <t>https://mumbrella.com.au/pro/entity/bmf/</t>
  </si>
  <si>
    <t>BMF - Mumbrella Pro</t>
  </si>
  <si>
    <t>https://www.munro.agency/insights/top-marketing-companies-in-the-world/</t>
  </si>
  <si>
    <t>Top 50 Marketing Companies in the World Ranked by Revenue - The Munro Agency</t>
  </si>
  <si>
    <t>Croud, Saatchi &amp; Saatchi, VML, Mindshare, WPP, Earned Media, Dentsu, Publicis Groupe, Accenture Song, Deloitte Digital, Deloitte, KPMG</t>
  </si>
  <si>
    <t>https://www.mvrdigital.co/services/data-analytics</t>
  </si>
  <si>
    <t>Marketing Analytics &amp;amp; GA4 Agency | Data, Tracking, Attribution | MVR Digital</t>
  </si>
  <si>
    <t>https://nature.com.au/market-research/#:~:text=Optimise%20execution.%20Guide%20performance.%20Learn%20More.%20Nature,and%20advanced%20analytics.%20Brand%20strategy.%20Data%20visualisation.</t>
  </si>
  <si>
    <t>Nature - A leading Australian market research company</t>
  </si>
  <si>
    <t>https://newsroom.accenture.com/news/2017/accenture-acquires-creative-and-design-agencies-the-monkeys-and-maud-to-expand-its-customer-experience-capabilities-in-australia-and-new-zealand</t>
  </si>
  <si>
    <t>Accenture Acquires Creative and Design Agencies The Monkeys and Maud to Expand its Customer Experience Capabilities in Australia and New Zealand</t>
  </si>
  <si>
    <t>https://newsroom.tiktok.com/en-au/australias-most-creative-brands-and-agencies-crowned-at-the-2025-tiktok-ad-awards</t>
  </si>
  <si>
    <t>Australia's most creative brands and agencies crowned at the 2025 TikTok Ad Awards - Newsroom \| TikTok</t>
  </si>
  <si>
    <t>https://nexttabagency.com/services/social-media-ads/</t>
  </si>
  <si>
    <t>Social Media Advertising Agency Australia — Facebook, Instagram, TikTok, LinkedIn Ads | Next Tab Agency</t>
  </si>
  <si>
    <t>https://nimbull.com.au/ai-consulting/</t>
  </si>
  <si>
    <t>AI Consulting for Businesses | Nimbull Sydney</t>
  </si>
  <si>
    <t>https://noirandblanco.com/best-digital-marketing-agencies-in-melbourne/</t>
  </si>
  <si>
    <t>11 Best Digital Marketing Agencies in Melbourne</t>
  </si>
  <si>
    <t>Supple Digital, Alley Group, 80/20 Digital, Earned Media, First Page, Soup Agency</t>
  </si>
  <si>
    <t>https://www.nutshell.com/blog/top-geo-agencies</t>
  </si>
  <si>
    <t>The 10 Top GEO Agencies of 2026 (Reviewed)</t>
  </si>
  <si>
    <t>https://odindigital.com.au/services/instagram-advertising</t>
  </si>
  <si>
    <t>Digital Marketing Agency Australia | Odin Digital</t>
  </si>
  <si>
    <t>https://www.ogilvypr.com.au/</t>
  </si>
  <si>
    <t>Ogilvy PR</t>
  </si>
  <si>
    <t>https://oneclickdigital.net.au/who-is-the-largest-ad-agency-in-australia/</t>
  </si>
  <si>
    <t>Who is the Largest Ad Agency in Australia? | One Click Digital</t>
  </si>
  <si>
    <t>WPP, Ogilvy Australia, VML, GroupM, Mindshare, Wavemaker, EssenceMediacom, Impressive, BMF, Clemenger BBDO</t>
  </si>
  <si>
    <t>https://www.oneclub.org/awards/rankings/-archive/agency/2025/all/all/all/36</t>
  </si>
  <si>
    <t>https://www.oneclub.org/awards/theoneshow/-agency/Droga5%2BANZ%2C%2Bpart%2Bof%2BAccenture%2BSong%2B%5Bs%5D%2BSydney/2026/all/4</t>
  </si>
  <si>
    <t>https://www.oneclub.org/awards/theoneshow/-agency/Droga5%2BANZ%2C%2Bpart%2Bof%2BAccenture%2BSong%2B%5Bs%5D%2BSydney/2026/all/all</t>
  </si>
  <si>
    <t>https://www.oneegg.com.au/blog/generative-seo-pricing-australia/</t>
  </si>
  <si>
    <t>Generative SEO Pricing Australia 2026 | Cost Guide | One Egg</t>
  </si>
  <si>
    <t>https://www.oneorangecow.com/services/generative-engine-optimisation-geo-services-sydney</t>
  </si>
  <si>
    <t>One Orange Cow | GEO Services Sydney - One Orange Cow</t>
  </si>
  <si>
    <t>https://www.onlinemarketinggurus.com.au/about/</t>
  </si>
  <si>
    <t>About OMG - Digital Marketing Agency Australia \| 60+ Awards Won</t>
  </si>
  <si>
    <t>https://onpoint.com.au/media-agency-melbourne</t>
  </si>
  <si>
    <t>https://onpoint.com.au/performance-media/programmatic-ads</t>
  </si>
  <si>
    <t>https://www.optimising.com.au/blog/5-best-seo-agencies-in-sydney</t>
  </si>
  <si>
    <t>The 5 Best SEO Agencies in Sydney | Optimising</t>
  </si>
  <si>
    <t>https://osher.com.au/ai-consulting-brisbane/</t>
  </si>
  <si>
    <t>AI Consulting Brisbane | AI Consultants for Business | Osher Digital</t>
  </si>
  <si>
    <t>https://www.paisdigital.com.au/conversion-rate-optimisation/</t>
  </si>
  <si>
    <t>Australia's Most Dynamic Conversion Rate Optimisation Agency</t>
  </si>
  <si>
    <t>https://www.paperstack.com.au/what-is-aeo/#:~:text=This%20means%3A%20%2D%20Users%20are%20asking%20longer%2C,Helps%20your%20content%20surface%20in%20AI%2Ddriven%20answers.</t>
  </si>
  <si>
    <t>What is AEO (Answer Engine Optimisation)? - Paperstack Agency</t>
  </si>
  <si>
    <t>https://paramark.com/</t>
  </si>
  <si>
    <t>Paramark - Incrementality Measurement Redefined</t>
  </si>
  <si>
    <t>https://www.paulmartinmarketing.com/ai-search-consultant/</t>
  </si>
  <si>
    <t>AI Search &amp;amp; GEO Consultant | Paul Martin Marketing</t>
  </si>
  <si>
    <t>https://peertopeermarketing.co/performance-agencies/</t>
  </si>
  <si>
    <t>18 Best Performance Marketing Agencies to Boost Your ROI [2026]</t>
  </si>
  <si>
    <t>https://www.performics.com/au/</t>
  </si>
  <si>
    <t>https://pimms.io/blog/top-10-marketing-attribution-tools-you-need-in-2025</t>
  </si>
  <si>
    <t>Best Marketing Attribution Tools 2025: ROI Tracking &amp;amp; Analytics</t>
  </si>
  <si>
    <t>https://www.pivotalagency.com.au/google-ads-management</t>
  </si>
  <si>
    <t>Google Ads Management Gold Coast &amp;amp; Brisbane | Pivotal Agency</t>
  </si>
  <si>
    <t>https://www.pivotale.ai/frequently-asked-questions</t>
  </si>
  <si>
    <t>Pivotale AI | How do I start AI project for my company?</t>
  </si>
  <si>
    <t>https://www.pmgs.com.au/industries/ecommerce/</t>
  </si>
  <si>
    <t>eCommerce Marketing Agency Melbourne | PMGS</t>
  </si>
  <si>
    <t>https://www.precisiondatapartners.com.au/sydney/</t>
  </si>
  <si>
    <t>AI Consulting Sydney | Precision Data Partners</t>
  </si>
  <si>
    <t>https://presenc.ai/compare/measured-vs-haus-vs-statsig</t>
  </si>
  <si>
    <t>Measured vs Haus vs Statsig: Lift Testing Vendors | Presenc AI</t>
  </si>
  <si>
    <t>https://prosperitymedia.com.au/digital-pr-packages/</t>
  </si>
  <si>
    <t>Award-Winning Digital PR Agency Australia - Prosperity Media</t>
  </si>
  <si>
    <t>https://www.provokemedia.com/events-awards/agencies-of-the-year/the-best-agencies-in-asia-pacific-2025/the-14-best-agencies-in-australia-and-new-zealand/ogilvy-australia</t>
  </si>
  <si>
    <t>Ogilvy Australia, WPP, Impressive, Earned Media, Dentsu</t>
  </si>
  <si>
    <t>https://purealanalytics.co.uk/</t>
  </si>
  <si>
    <t>Pureal Analytics — Marketing measurement, modelled properly</t>
  </si>
  <si>
    <t>https://puroai.com.au/</t>
  </si>
  <si>
    <t>Puro — AI Consulting for Australian SMEs</t>
  </si>
  <si>
    <t>https://rapidmedia.com.au/market-research/</t>
  </si>
  <si>
    <t>Market Research &amp;amp; Insights | Strategic Market Research Agency Australia</t>
  </si>
  <si>
    <t>https://www.razorfish.com.au/work</t>
  </si>
  <si>
    <t>Our Work | Case Studies and Agency Work by Razorfish</t>
  </si>
  <si>
    <t>https://www.reddit.com/r/AIConsultingAustralia/comments/1r3gb5b/who_are_the_top_ai_consulting_companies_in/</t>
  </si>
  <si>
    <t>Who are the top AI Consulting Companies in Australia?</t>
  </si>
  <si>
    <t>Team 400, Get AI Ready, Impressive</t>
  </si>
  <si>
    <t>https://www.reddit.com/r/AskMarketing/comments/1r6neq7/i_run_one_of_australias_top_20_digital_agencies/</t>
  </si>
  <si>
    <t>I run one of Australia's top 20 digital agencies, and I think the model is broken for SMB's</t>
  </si>
  <si>
    <t>https://www.reddit.com/r/BestInAustralia/comments/1pun446/7_best_seo_agencies_in_melbourne_2026_guide/</t>
  </si>
  <si>
    <t>7 Best SEO Agencies in Melbourne (2026 Guide)</t>
  </si>
  <si>
    <t>Impressive, Talons Marketing, StudioHawk, SIXGUN, Supple Digital, Measured, Online Marketing Gurus, Omnicom Media Group</t>
  </si>
  <si>
    <t>https://www.reddit.com/r/BestInAustralia/comments/1s8fbyv/best_seo_company_in_melbourne_april_2026/</t>
  </si>
  <si>
    <t>Best SEO Company In Melbourne April 2026</t>
  </si>
  <si>
    <t>StudioHawk, Supple Digital, Bonfire, Clearwater Agency, SIXGUN, Earned Media, Measured, Talons Marketing</t>
  </si>
  <si>
    <t>https://www.reddit.com/r/BestInAustralia/comments/1tghlmb/5_best_seo_agencies_in_southbank_2026/</t>
  </si>
  <si>
    <t>5 Best SEO Agencies in Southbank 2026</t>
  </si>
  <si>
    <t>Talons Marketing, StudioHawk, Clearwater Agency, Online Marketing Gurus, Impressive</t>
  </si>
  <si>
    <t>https://www.reddit.com/r/DigitalMarketing/comments/1pd7lti/can_someone_explain_geo_and_aeo_in_a_simple_way/#:~:text=So%20instead%20of%20just%20ranking%20on%20a,even%20on%20platforms%20like%20Google's%20answer%20box.</t>
  </si>
  <si>
    <t>Can someone explain GEO and AEO in a simple way? Trying to understand these newer terms clearly.</t>
  </si>
  <si>
    <t>https://www.reddit.com/r/DigitalMarketing/comments/1tdo237/which_performance_marketing_agencies_specialize/</t>
  </si>
  <si>
    <t>Which performance marketing agencies specialize in driving measurable leads and revenue, not just traffic?</t>
  </si>
  <si>
    <t>https://www.reddit.com/r/LLMTraffic/comments/1t44tn7/which_geo_marketing_agencies_are_actually_worth/</t>
  </si>
  <si>
    <t>Which "GEO marketing" agencies are actually worth talking to?</t>
  </si>
  <si>
    <t>Online Marketing Gurus, Earned Media, Measured</t>
  </si>
  <si>
    <t>https://www.reddit.com/r/MktgSupermarket/comments/1qom30j/compiled_a_directory_of_25_ai_marketing_agencies/</t>
  </si>
  <si>
    <t>Compiled a directory of 25 AI marketing agencies — here's the breakdown by category</t>
  </si>
  <si>
    <t>https://www.reddit.com/r/advertising/comments/1d5ypn3</t>
  </si>
  <si>
    <t>Creative Ad Agencies in Australia?</t>
  </si>
  <si>
    <t>The Monkeys, Clemenger BBDO, HERO</t>
  </si>
  <si>
    <t>https://reformdigital.com.au/services/social-media-advertising/instagram-ads/</t>
  </si>
  <si>
    <t>Instagram Advertising Agency Australia | Reform Digital</t>
  </si>
  <si>
    <t>https://www.reloadmedia.com.au/contact/</t>
  </si>
  <si>
    <t>Contact Us | Reload Media</t>
  </si>
  <si>
    <t>https://www.reloadmedia.com.au/performance/advertising/</t>
  </si>
  <si>
    <t>Performance Marketing Agency Australia | Reload Media</t>
  </si>
  <si>
    <t>Reload Media, Measured, Impressive</t>
  </si>
  <si>
    <t>https://www.resolutiondigital.com.au/about/</t>
  </si>
  <si>
    <t>About Resolution Digital | Resolution Digital Australia</t>
  </si>
  <si>
    <t>https://www.resolutiondigital.com.au/insights/omnicom-media-group-launches-trkkn-in-anz/</t>
  </si>
  <si>
    <t>Omnicom Media Group launches TRKKN | Resolution Digital</t>
  </si>
  <si>
    <t>Resolution Digital, Omnicom Media Group, TRKKN</t>
  </si>
  <si>
    <t>https://www.resolutiondigital.com.au/insights/resolution-digital-2022-google-premier-partner/</t>
  </si>
  <si>
    <t>Resolution Digital has achieved 2022 Google Premier Partner Status</t>
  </si>
  <si>
    <t>https://www.resolutiondigital.com.au/insights/resolution-digital-launches-resolution-kinetic-anz/</t>
  </si>
  <si>
    <t>Resolution Kinetic launch | Resolution Digital Australia</t>
  </si>
  <si>
    <t>https://www.resolutiondigital.com.au/services/cro/conversion-audit/</t>
  </si>
  <si>
    <t>Conversion Audit | CRO | Resolution Digital Australia</t>
  </si>
  <si>
    <t>https://www.resolutiondigital.com.au/services/cro/google-marketing-platform/display-and-video-360/</t>
  </si>
  <si>
    <t>Google Display &amp;amp; Video 360 Agency Services | Resolution Digital Australia</t>
  </si>
  <si>
    <t>https://www.resolutiondigital.com.au/services/cro/google-marketing-platform/looker-studio/</t>
  </si>
  <si>
    <t>Google Looker Studio Agency Services | Resolution Digital Australia</t>
  </si>
  <si>
    <t>https://www.resolutiondigital.com.au/technology/partners/google-marketing-platform/campaign-manager-360/</t>
  </si>
  <si>
    <t>Google Campaign Manager 360 Solutions \| Resolution Digital Australia</t>
  </si>
  <si>
    <t>https://www.rfp.wiki/advertising-media-communications-services/integrated-creative-brand-agencies/droga5</t>
  </si>
  <si>
    <t>Droga5 · Rating Snapshot: Score &amp;amp; Reviews (2026)</t>
  </si>
  <si>
    <t>Accenture Song, WPP, VML</t>
  </si>
  <si>
    <t>https://riseuplabs.com/top-web-design-agencies-in-australia/</t>
  </si>
  <si>
    <t>Top Web Design Agencies in Australia (2026): Best Companies, Reviews, &amp;amp; Expert Guide - Riseup Labs</t>
  </si>
  <si>
    <t>Emote Digital, Digital Nomads HQ, Sparro</t>
  </si>
  <si>
    <t>https://www.roboticmarketer.com/how-ai-marketing-consultants-boost-productivity-and-roi/</t>
  </si>
  <si>
    <t>How AI Marketing Consultants Boost Success for Businesses?</t>
  </si>
  <si>
    <t>https://rocketagency.com.au/</t>
  </si>
  <si>
    <t>Digital Marketing Agency | 30+ Awards Won | Rocket</t>
  </si>
  <si>
    <t>https://rocketagency.com.au/services/ppc-agency/programmatic</t>
  </si>
  <si>
    <t>Programmatic Advertising Agency | Rocket Agency</t>
  </si>
  <si>
    <t>https://rocketagency.com.au/services/seo-agency/aeo</t>
  </si>
  <si>
    <t>AI AEO Agency</t>
  </si>
  <si>
    <t>https://rocketreach.co/sparro-profile_b5d92a07f42e5d84</t>
  </si>
  <si>
    <t>Sparro Information</t>
  </si>
  <si>
    <t>https://roi.com.au/about-us</t>
  </si>
  <si>
    <t>ABOUT US | AI Marketing Agency Australia | roi.com.au</t>
  </si>
  <si>
    <t>https://roi.com.au/know-how/challenges/roi-profitability/what-analytics-platforms-work-best</t>
  </si>
  <si>
    <t>What analytics platforms work best | AI Marketing Agency Australia | roi.com.au</t>
  </si>
  <si>
    <t>https://roi.com.au/page/16/</t>
  </si>
  <si>
    <t>ROI Growth Agency, HERO, Measured</t>
  </si>
  <si>
    <t>https://www.ruleranalytics.com/blog/analytics/marketing-attribution-software/</t>
  </si>
  <si>
    <t>12 Marketing Attribution Software and Tools to Level Up Your Measurement in 2026 | Ruler Analytics</t>
  </si>
  <si>
    <t>https://www.rzlt.io/blog/best-ai-marketing-agencies-in-2026-the-definitive-guide-by-specialty</t>
  </si>
  <si>
    <t>Best AI Marketing Agencies in 2026: The Definitive Guide</t>
  </si>
  <si>
    <t>https://www.salesforce.com/au/marketing/ai/best-ai-marketing-tools/</t>
  </si>
  <si>
    <t>20 Best AI Marketing Tools in 2026 \| Salesforce AU</t>
  </si>
  <si>
    <t>https://saltandfuessel.com.au/ai-seo-agency-melbourne#:~:text=There's%20no%20shortcut%20to%20being%20the%20preferred,opportunity%20to%20be%20cited.%20Entity%2Dbased%20content%20strategy.</t>
  </si>
  <si>
    <t>AI SEO - Salt &amp;amp; Fuessel</t>
  </si>
  <si>
    <t>https://savvyaustralia.com/</t>
  </si>
  <si>
    <t>AI Coaching for Australian Businesses | Severino Murze</t>
  </si>
  <si>
    <t>https://scopicstudios.com/blog/best-incrementality-testing-tools-2026/</t>
  </si>
  <si>
    <t>8 Best Incrementality Testing Tools for Measurement</t>
  </si>
  <si>
    <t>https://sd-group.com.au/en/blog</t>
  </si>
  <si>
    <t>Stochastic Dominance Group Pty Ltd :: Blog</t>
  </si>
  <si>
    <t>https://sedigital.com.au/services/tracking-systems</t>
  </si>
  <si>
    <t>https://www.segments.com.au/</t>
  </si>
  <si>
    <t>Home Page | Segments</t>
  </si>
  <si>
    <t>https://semhook.com/measurement-and-modelling</t>
  </si>
  <si>
    <t>Advanced Marketing Measurement | MMM &amp;amp; Lift Testing | SEM Hook</t>
  </si>
  <si>
    <t>https://sensedatalab.com.au/</t>
  </si>
  <si>
    <t>GA4, GTM &amp;amp; Measurement Strategy Australia | Sense Data Lab</t>
  </si>
  <si>
    <t>https://seomelbourne.com/ai-seo-melbourne/</t>
  </si>
  <si>
    <t>AI SEO Agency Melbourne | ChatGPT, Gemini &amp;amp; AI Overviews</t>
  </si>
  <si>
    <t>https://shakostats.com/unified-marketing-measurement</t>
  </si>
  <si>
    <t>Unified Marketing Measurement | Shako Stats</t>
  </si>
  <si>
    <t>https://shokeproductions.com/Post/top-marketing-agencies-in-australia-for-tech-and-ai</t>
  </si>
  <si>
    <t>Top Marketing Agencies in Australia for Tech and AI by Shoke Productions</t>
  </si>
  <si>
    <t>https://shuffledigital.com.au/best-seo-agencies-in-australia/</t>
  </si>
  <si>
    <t>Best SEO Agencies in Australia by Shuffle [Updated 2026]</t>
  </si>
  <si>
    <t>Prosperity Media, Alley Group, StudioHawk</t>
  </si>
  <si>
    <t>https://www.singlegrain.com/artificial-intelligence/top-14-ai-marketing-agencies-in-2025/</t>
  </si>
  <si>
    <t>Top 14 AI Marketing Agencies in 2025: Expert Analysis &amp;amp; Rankings</t>
  </si>
  <si>
    <t>VML, Impressive</t>
  </si>
  <si>
    <t>https://www.singlegrain.com/geo/the-complete-guide-to-generative-engine-optimization-geo/</t>
  </si>
  <si>
    <t>The Complete Guide to Generative Engine Optimization (GEO)</t>
  </si>
  <si>
    <t>https://skai.io/blog/a-dozen-examples-of-incrementality-tests/</t>
  </si>
  <si>
    <t>What Is Incrementality Testing | The Marketers Experiment Guide</t>
  </si>
  <si>
    <t>https://www.slalom.com/us/en#:~:text=Slalom%20is%20a%20fiercely%20human,consulting%20that%20drives%20real%20impact</t>
  </si>
  <si>
    <t>Business consulting firm &amp;amp; AI consulting firm | Slalom</t>
  </si>
  <si>
    <t>https://www.smartinc.com/</t>
  </si>
  <si>
    <t>SMART | A Smarter Strategic and Creative Agency | Sydney, Melbourne, Brisbane | Top Ad Talent For Best Advertising Results</t>
  </si>
  <si>
    <t>https://www.smartosc.com/data-analytics-agency-australia-for-smarter-decision-making/#:~:text=Get%20to%20know%20us%20or,'single%20source%20of%20truth'.</t>
  </si>
  <si>
    <t>Data Analytics Agency Australia for Smarter Decision-Making - SmartOSC</t>
  </si>
  <si>
    <t>SmartOSC, Metric Labs</t>
  </si>
  <si>
    <t>https://smashbrandgroup.com.au/reporting-and-analytics#:~:text=Built%20for%20clarity%2C%20accountability%20and%20better%20decisions.,performance%20opportunities.%20%2D%20Custom%20Reporting%20%2B%20Insights.</t>
  </si>
  <si>
    <t>Reporting and Analytics</t>
  </si>
  <si>
    <t>https://socialchameleon.com/top-30-marketing-agencies-australia-2/</t>
  </si>
  <si>
    <t>Top 30 Marketing Agencies in Australia | Social Chameleon Marketing</t>
  </si>
  <si>
    <t>Impressive, Online Marketing Gurus, Farsiight, Digital Nomads HQ, Saatchi &amp; Saatchi, Luminary, Emote Digital, Rocket Agency, Paradox Marketing, Huge</t>
  </si>
  <si>
    <t>https://www.sortlist.com/digital-marketing/australia-au?custom=advertising%2Caustralia-au</t>
  </si>
  <si>
    <t>https://www.sortlist.com/marketing-communication</t>
  </si>
  <si>
    <t>The 100 Best Marketing Communication Agencies - 2026 Reviews</t>
  </si>
  <si>
    <t>https://www.sortlist.com/s/display-advertising/new-south-wales-nsw-au</t>
  </si>
  <si>
    <t>The 10 Best Display Advertising Agencies in New South Wales - 2026 Reviews</t>
  </si>
  <si>
    <t>Impressive, Supple Digital, CUT THRU, Measured, Earned Media, Clearwater Agency, SIXGUN, Ninja Promo, Momentum, Soup Agency, HERO, Digital Nomads HQ</t>
  </si>
  <si>
    <t>https://www.sortlist.com/s/display-advertising/sydney-au</t>
  </si>
  <si>
    <t>The 10 Best Display Advertising Agencies in Sydney - 2026 Reviews</t>
  </si>
  <si>
    <t>Impressive, Supple Digital, Measured, Earned Media, Clearwater Agency, SIXGUN, Ninja Promo, Momentum, Soup Agency, HERO, Digital Nomads HQ, AdVisible, Alpha Digital</t>
  </si>
  <si>
    <t>https://www.sortlist.com/s/display-advertising/western-australia-wa-au</t>
  </si>
  <si>
    <t>Clearwater Agency, Measured, Earned Media, Supple Digital, Impressive, SIXGUN, Soup Agency, HERO, Digital Nomads HQ, Momentum, CUT THRU</t>
  </si>
  <si>
    <t>https://www.sortlist.com/s/linkedin-advertising/australia-au</t>
  </si>
  <si>
    <t>The 10 Best LinkedIn Ads Agencies in Australia - 2026 Reviews</t>
  </si>
  <si>
    <t>SIXGUN, Impressive, Ninja Promo, AdVisible, 23 Digital</t>
  </si>
  <si>
    <t>https://www.sortlist.com/s/paid-media/victoria-vic-au</t>
  </si>
  <si>
    <t>The 10 Best Paid Media Agencies in Victoria - 2026 Reviews</t>
  </si>
  <si>
    <t>Measured, Earned Media, Clearwater Agency, Impressive, SIXGUN, Supple Digital, Momentum, 80/20 Digital</t>
  </si>
  <si>
    <t>https://www.sortlist.com/s/performance-marketing/victoria-vic-au</t>
  </si>
  <si>
    <t>The 10 Best Performance Marketing Agencies in Victoria - 2026 Reviews</t>
  </si>
  <si>
    <t>Measured, Earned Media, Clearwater Agency, SIXGUN, Impressive, Supple Digital, Momentum, 80/20 Digital, Adcore Elite</t>
  </si>
  <si>
    <t>https://www.sortlist.com/s/performance-marketing/western-australia-wa-au</t>
  </si>
  <si>
    <t>The 10 Best Performance Marketing Agencies in Western Australia - 2026 Reviews</t>
  </si>
  <si>
    <t>Measured, Earned Media, Clearwater Agency, SIXGUN, Impressive, Supple Digital, Momentum, Digital Nomads HQ, Soup Agency, HERO, Alpha Digital, 23 Digital</t>
  </si>
  <si>
    <t>https://www.sortlist.com/s/programmatic-advertising/sydney-au</t>
  </si>
  <si>
    <t>The 10 Best Programmatic Advertising Companies in Sydney - 2026 Reviews</t>
  </si>
  <si>
    <t>Impressive, Supple Digital, Measured, Earned Media, Clearwater Agency, SIXGUN, Soup Agency, HERO, Digital Nomads HQ</t>
  </si>
  <si>
    <t>https://www.sortlist.com/s/tiktok-advertising/australia-au</t>
  </si>
  <si>
    <t>The 10 Best TikTok Advertising Agencies in Australia - 2026 Reviews</t>
  </si>
  <si>
    <t>Soup Agency, HERO, Adcore Elite, 23 Digital</t>
  </si>
  <si>
    <t>https://www.sortlist.com/web-analytics/australia-au</t>
  </si>
  <si>
    <t>The 10 Best Web Analytics Agencies in Australia - 2026 Reviews</t>
  </si>
  <si>
    <t>Impressive, SIXGUN</t>
  </si>
  <si>
    <t>https://sotatek.com.au/blogs/ai-solutions-in-australia/</t>
  </si>
  <si>
    <t>Top 5 Best Providers for AI Solutions in Australia</t>
  </si>
  <si>
    <t>https://soupagency.com.au/blog/10-best-ppc-agencies-sydney/</t>
  </si>
  <si>
    <t>Best PPC Agencies in Sydney \| Top 10 Reviewed - SOUP Agency</t>
  </si>
  <si>
    <t>Soup Agency, Publicis Groupe, Dentsu, Mindshare, WPP, VML, PHD</t>
  </si>
  <si>
    <t>https://sparro.com.au/home-2/</t>
  </si>
  <si>
    <t>Home | Sparro by Brainlabs: Independent Digital Marketing</t>
  </si>
  <si>
    <t>https://spruik.co/adelaide/claude-ai-consulting/</t>
  </si>
  <si>
    <t>Claude AI Consulting Adelaide | AI Adoption for Business Teams | Spruik</t>
  </si>
  <si>
    <t>https://stackdigital.com.au/top-5-ai-seo-agencies-in-australia-2025-rankings/</t>
  </si>
  <si>
    <t>Top 7 AI SEO Agencies in Australia (2025 Rankings) – Modern Digital Marketing Agency</t>
  </si>
  <si>
    <t>https://www.stellaheystella.com/</t>
  </si>
  <si>
    <t>Stella: Know what’s causing growth. Know what to do next.</t>
  </si>
  <si>
    <t>https://stratabeat.com/best-geo-agency/</t>
  </si>
  <si>
    <t>The 10 Best GEO Agencies in 2026 | Stratabeat</t>
  </si>
  <si>
    <t>First Page, Impressive, Earned Media</t>
  </si>
  <si>
    <t>https://strategicai.marketing/</t>
  </si>
  <si>
    <t>Strategic AI Marketing — AI Consultancy Sydney $1–10M</t>
  </si>
  <si>
    <t>https://www.strategyeye.com/top-13-performance-marketing-agencies/</t>
  </si>
  <si>
    <t>Top 13 Performance Marketing Agencies - StrategyEye</t>
  </si>
  <si>
    <t>Tinuiti, Brainlabs, PMG</t>
  </si>
  <si>
    <t>https://studioandcomarketing.com.au/what-is-geo-in-digital-marketing-and-how-does-it-impact-seo/</t>
  </si>
  <si>
    <t>What is GEO in digital marketing and how does it impact SEO? - Studio &amp;amp; Co Marketing</t>
  </si>
  <si>
    <t>https://studiohawk.com.au/#:~:text=No%20generalists%20here%2C%20just%20a,rewriting%20the%20SEO%20agency%20playbook.</t>
  </si>
  <si>
    <t>StudioHawk | Specialist SEO Agency Australia</t>
  </si>
  <si>
    <t>StudioHawk, First Page, Measured</t>
  </si>
  <si>
    <t>https://studiohawk.com.au/seo-services/#:~:text=The%20SEO%20masters%20partnering%20with%20you.%20In,for%20us%3B%20we%20live%20and%20breathe%20search.</t>
  </si>
  <si>
    <t>SEO Agency Melbourne | Award-Winning SEO Company | StudioHawk</t>
  </si>
  <si>
    <t>https://studioslate.com.au/services/social-media-advertising</t>
  </si>
  <si>
    <t>Social Media Advertising Sydney | Studio Slate | Studio Slate</t>
  </si>
  <si>
    <t>https://summitguard.com.au/</t>
  </si>
  <si>
    <t>Summit Guard | AI Governance Consulting for Australian Business</t>
  </si>
  <si>
    <t>https://support.google.com/google-ads/answer/11410677?hl=en-AU</t>
  </si>
  <si>
    <t>Google Partners directory - Google Ads Help</t>
  </si>
  <si>
    <t>https://www.synap.au/readiness-assessment</t>
  </si>
  <si>
    <t>AI Readiness Assessment — Find Where AI Pays Off in Your Business | Synap - Synap</t>
  </si>
  <si>
    <t>https://team400.ai/</t>
  </si>
  <si>
    <t>AI Agency, AI Consultants, AI Agent Builders | Sydney Brisbane Melbourne | AI Agency, .NET, React | Team 400</t>
  </si>
  <si>
    <t>Huge, Team 400</t>
  </si>
  <si>
    <t>https://www.techradar.com/pro/companies-that-can-serve-both-human-and-agent-audiences-will-be-the-ones-that-survive-wordpress-vip-cto-spells-out-the-future-of-seo-geo-and-more</t>
  </si>
  <si>
    <t>States push back against rising AI-driven electricity infrastructure costs | TechRadar</t>
  </si>
  <si>
    <t>https://techtalkradio.com.au/top-australian-ppc-agencies-pricing-results-and-quality/</t>
  </si>
  <si>
    <t>Top Australian PPC Agencies: Pricing, Results and Quality – Tech Talk Radio</t>
  </si>
  <si>
    <t>https://www.theardor.com.au/best-seo-companies-in-australia/</t>
  </si>
  <si>
    <t>15 Best SEO Companies in Australia (2026 Ranked &amp;amp; Reviewed)</t>
  </si>
  <si>
    <t>Ninja Promo, First Page, Digital Nomads HQ, Clearwater Agency, StudioHawk, SIXGUN, Online Marketing Gurus, Gorilla 360, Supple Digital, Omnicom Media Group</t>
  </si>
  <si>
    <t>https://www.theardor.com.au/top-pr-agencies/</t>
  </si>
  <si>
    <t>16 Top PR Agencies Australia | Trusted Public Relations Firm</t>
  </si>
  <si>
    <t>Earned Media, Impressive, Momentum</t>
  </si>
  <si>
    <t>https://www.theaustralian.com.au/business/growth-agenda/wpps-media-ambitions-wont-impact-groupms-local-growth/news-story/7af81a0f6c387b9b8cecf519a403824d</t>
  </si>
  <si>
    <t>WPP, GroupM</t>
  </si>
  <si>
    <t>https://www.thedigitalhub.com.au/ai-seo-services/</t>
  </si>
  <si>
    <t>GEO &amp;amp; AI SEO Services - AI SEO Agency - The Digital Hub Sydney</t>
  </si>
  <si>
    <t>https://www.thedrum.com/news/why-deliveroo-is-putting-incrementality-testing-back-on-the-menu-1</t>
  </si>
  <si>
    <t>Why Deliveroo is putting incrementality testing back on the menu | The Drum</t>
  </si>
  <si>
    <t>https://www.thehero.co/</t>
  </si>
  <si>
    <t>HERO | Sydney, Melbourne &amp;amp; Brisbane</t>
  </si>
  <si>
    <t>https://www.thehero.co/best/advertising/agency/australia</t>
  </si>
  <si>
    <t>HERO Award-Winning Creative Advertising Agency Australia | Sydney, Melbourne, Brisbane</t>
  </si>
  <si>
    <t>https://www.thehero.co/news/advertising-marketings-best-agencies-top-sydney-2026-mumbrella-awards-list</t>
  </si>
  <si>
    <t>Advertising &amp;amp; Marketing’s Best Agencies In Sydney Top 2026 Mumbrella Awards List</t>
  </si>
  <si>
    <t>https://www.thehero.co/news/sydneys-top-ad-agencies-and-the-best-sydney-creative-agency-for-2026</t>
  </si>
  <si>
    <t>Sydney's Top Ad Agencies and The Best Sydney Creative Agency for 2026</t>
  </si>
  <si>
    <t>https://www.thehero.co/news/top-10-best-ad-agency-in-sydney-leading-australia-at-wina-2026</t>
  </si>
  <si>
    <t>HERO Wins Best Sydney Creative Ad Agency at Global WINA Awards for Top Result in Australian History</t>
  </si>
  <si>
    <t>HERO, Huge, Measured, Momentum</t>
  </si>
  <si>
    <t>https://www.thehero.co/services-creative-performance-ai</t>
  </si>
  <si>
    <t>Australia's Best Creative, Performance &amp;amp; Top AI Innovation Agency | HERO</t>
  </si>
  <si>
    <t>HERO, Earned Media</t>
  </si>
  <si>
    <t>https://www.thehypesociety.com.au/#:~:text=Australia's%20Best%20Performance%20Creative%20Agency,Our%20strategies%20incorporate%20the</t>
  </si>
  <si>
    <t>Top Creative Agency in Melbourne 2026 | TheHypeSociety</t>
  </si>
  <si>
    <t>https://www.thehypesociety.com.au/growth-marketing/</t>
  </si>
  <si>
    <t>Growth Marketing - TheHypeSociety</t>
  </si>
  <si>
    <t>https://themanifest.com/au/programmatic/agencies/sydney</t>
  </si>
  <si>
    <t>The Best Programmatic Advertising Companies in Sydney - Jul 2026 | The Manifest</t>
  </si>
  <si>
    <t>https://themanifest.com/au/social-media/linkedin/agencies</t>
  </si>
  <si>
    <t>The Best LinkedIn Advertising Companies in Australia - Jul 2026 | The Manifest</t>
  </si>
  <si>
    <t>Human Digital, Digital Nomads HQ, Farsiight, SIXGUN, Megaphone, Soup Agency, Paradox Marketing, Emote Digital, Rocket Agency, Intesols, Bench Media, Clearwater Agency, Impressive, Insil, Salt &amp; Fuessel, EvenDigit</t>
  </si>
  <si>
    <t>https://themanifest.com/au/social-media/tiktok/agencies/sydney</t>
  </si>
  <si>
    <t>The Best TikTok Advertising Companies in Sydney - Jul 2026 | The Manifest</t>
  </si>
  <si>
    <t>Megaphone, Soup Agency, Bench Media, Eight Clients, Digital Nomads HQ</t>
  </si>
  <si>
    <t>https://www.themarketer.news/post/bonfire-named-2025-ami-marketing-excellence-award-agency-of-the-year</t>
  </si>
  <si>
    <t>Bonfire Named 2025 AMI Marketing Excellence Award Agency of the Year</t>
  </si>
  <si>
    <t>https://thesearchspecialist.com.au/ai-seo-geo-services/</t>
  </si>
  <si>
    <t>AI SEO &amp;amp; GEO Services Perth – The Search Specialist</t>
  </si>
  <si>
    <t>https://www.thestable.com.au/163920-2/</t>
  </si>
  <si>
    <t>Spikes Asia winners: AUNZ’s indies show what they can do &amp;amp; Droga5’s flirt with nudity pays off – The Stable</t>
  </si>
  <si>
    <t>Howatson+Company, Mindshare, Wavemaker, Dentsu, VML, Accenture Song</t>
  </si>
  <si>
    <t>https://thetimes.com.au/news/articles/51019-the-best-ai-automation-agencies-in-australia-in-2026#:~:text=The%20leading%20AI%20automation%20agencies,IT%20team%20to%20run%20it.</t>
  </si>
  <si>
    <t>The best AI automation agencies in Australia in 2026</t>
  </si>
  <si>
    <t>https://thinkcreativeagency.com.au</t>
  </si>
  <si>
    <t>Creative Agency Sydney | Think Creative</t>
  </si>
  <si>
    <t>https://thinkerbell.com/news/thinkerbell-wins-vegemite/</t>
  </si>
  <si>
    <t>Thinkerbell wins Vegemite! - Thinkerbell</t>
  </si>
  <si>
    <t>Thinkerbell, Momentum, OMD</t>
  </si>
  <si>
    <t>https://titanblue.com.au/ai-search-agency-australia-guide/?srsltid=AfmBOoqQqbz535GTClpgwdaCgMGmpM3IfxnZwzM2wGpTm0YLUBpcjQA7</t>
  </si>
  <si>
    <t>AI Search Agency Australia | Titan Blue</t>
  </si>
  <si>
    <t>Uprise Digital</t>
  </si>
  <si>
    <t>https://titanblue.com.au/social-media-marketing-companies/</t>
  </si>
  <si>
    <t>https://tmr.agency/social-media-ads/</t>
  </si>
  <si>
    <t>Social Media Advertising Northern Beaches | Meta &amp;amp; LinkedIn</t>
  </si>
  <si>
    <t>https://www.topseos.com/australia/directory/display-advertising-companies</t>
  </si>
  <si>
    <t>Directory of Display Advertising Companies in Australia.</t>
  </si>
  <si>
    <t>https://www.tripledart.com/ai-seo/best-generative-engine-optimization-agencies</t>
  </si>
  <si>
    <t>17 Best GEO Agencies in 2026</t>
  </si>
  <si>
    <t>https://www.triplewhale.com/blog/incrementality-testing-methods</t>
  </si>
  <si>
    <t>A Guide to Incrementality Testing Methods: Different Ways to Measure True Marketing Impact | Triple Whale</t>
  </si>
  <si>
    <t>https://www.trkkn.com/products-tools</t>
  </si>
  <si>
    <t>Your partner for the Google Marketing Platform and the Google Cloud | TRKKN</t>
  </si>
  <si>
    <t>https://www.tussledigital.com/services/performance-marketing/</t>
  </si>
  <si>
    <t>performance marketing - Tussle Digital</t>
  </si>
  <si>
    <t>https://www.undivided.com.au/about-us</t>
  </si>
  <si>
    <t>https://www.undivided.com.au/drtv</t>
  </si>
  <si>
    <t>Digital Marketing Services Australia \| Online Marketing Services</t>
  </si>
  <si>
    <t>https://www.undivided.com.au/services/media/social/commerce</t>
  </si>
  <si>
    <t>Social Commerce Marketing | Undivided Media</t>
  </si>
  <si>
    <t>https://unify.net.au/services/programmatic/</t>
  </si>
  <si>
    <t>Programmatic Advertising Agency Perth | Unify Digital</t>
  </si>
  <si>
    <t>https://www.upgrad.com/au/machine-learning-ai/</t>
  </si>
  <si>
    <t>Artificial Intelligence &amp;amp; Machine Learning Courses for Australia Learners | upGrad Australia</t>
  </si>
  <si>
    <t>https://uprisedigital.com.au/ai-seo/#:~:text=Home%20%E2%80%BA%20AI%20SEO,Perplexity%20is%20becoming%20increasingly%20important.</t>
  </si>
  <si>
    <t>Leading AI SEO Agency Australia | AI Search Visibility</t>
  </si>
  <si>
    <t>https://uprisedigital.com.au/blog/google-ads-agencies-in-brisbane/</t>
  </si>
  <si>
    <t>10 Best Google Ads Agencies in Brisbane (2026) - Uprise Digital</t>
  </si>
  <si>
    <t>Uprise Digital, Farsiight, Alpha Digital, Gorilla 360, Online Marketing Gurus, Omnicom Media Group</t>
  </si>
  <si>
    <t>https://www.uptech.team/hire-ai-developers</t>
  </si>
  <si>
    <t>Hire AI Developers</t>
  </si>
  <si>
    <t>https://urbanbased.com.au/</t>
  </si>
  <si>
    <t>Digital Performance Marketing Agency in Australia | Urban Based</t>
  </si>
  <si>
    <t>https://www.v2.ai/</t>
  </si>
  <si>
    <t>V2 AI | Enterprise AI Consultancy Australia APAC</t>
  </si>
  <si>
    <t>https://vegavid.com/blog/top-ai-agent-development-companies-in-australia</t>
  </si>
  <si>
    <t>Top 10 AI Agent Development Companies in Australia To Hire in 2026 | Vegavid</t>
  </si>
  <si>
    <t>https://virtualadagency.com.au/companies-for-social-media-marketing/#:~:text=Virtual%20Ad%20Agency%20(VAA)%20distinguishes%20itself%20as,top%2Dof%2Dfunnel%20creative%20campaigns%20with%20bottom%2Dfunnel%20business%20outcomes.</t>
  </si>
  <si>
    <t>Top 12 Companies for Social Media Marketing in Australia (2026 Guide)</t>
  </si>
  <si>
    <t>https://www.vonnimedia.com.au/</t>
  </si>
  <si>
    <t>https://vtdigital.com.au/performance-marketing-agency/</t>
  </si>
  <si>
    <t>Performance Marketing Agency in Sydney - VT Digital</t>
  </si>
  <si>
    <t>https://vtdigital.com.au/seo-strategies-2025-what-aeo-geo-aio-and-sxo-actually-mean/</t>
  </si>
  <si>
    <t>SEO 2025: AEO, GEO, AIO &amp;amp; SXO for Australian Businesses</t>
  </si>
  <si>
    <t>https://www.warc.com/en/data-benchmarks/rankings-creative-100-overview</t>
  </si>
  <si>
    <t>https://www.webplanners.com.au/ai-seo/geo</t>
  </si>
  <si>
    <t>Melbourne’s Leading GEO Company | Rank on ChatGPT, Claude, Gemini</t>
  </si>
  <si>
    <t>https://webprofits.com.au/</t>
  </si>
  <si>
    <t>Webprofits | Performance Marketing Agency for Ecommerce &amp;amp; Lead Gen</t>
  </si>
  <si>
    <t>https://websavvy.com.au/</t>
  </si>
  <si>
    <t>WebSavvy | Melbourne’s Premier Digital Marketing Agency</t>
  </si>
  <si>
    <t>https://websavvy.com.au/services/display-video/</t>
  </si>
  <si>
    <t>Display &amp;amp; Video Programmatic Campaigns That Convert | WebSavvy</t>
  </si>
  <si>
    <t>https://www.webtonic.io/blog/best-performance-marketing-agencies-2026</t>
  </si>
  <si>
    <t>28 Best Performance Marketing Agencies for 2026</t>
  </si>
  <si>
    <t>Tinuiti, Brainlabs, Croud, Power Digital</t>
  </si>
  <si>
    <t>https://www.webtonic.io/blog/top-paid-media-agencies</t>
  </si>
  <si>
    <t>The 51 Top Paid Media Agencies as of 2026</t>
  </si>
  <si>
    <t>Tinuiti, Dentsu, Brainlabs, GroupM, Power Digital, PMG, Incubeta, Reload Media</t>
  </si>
  <si>
    <t>https://www.werankle.com/en</t>
  </si>
  <si>
    <t>WeRankle — GEO Agency | Generative Engine Optimization</t>
  </si>
  <si>
    <t>https://whitehatagency.com.au/ai-consulting/</t>
  </si>
  <si>
    <t>AI Consulting | 90-Day Transformation, $12M+ ROI | Whitehat</t>
  </si>
  <si>
    <t>https://wilsonai.com/AI-Consultants-Australia.php</t>
  </si>
  <si>
    <t>AI Consultants</t>
  </si>
  <si>
    <t>https://wmegroup.com.au/blog/best-seo-agencies-australia/</t>
  </si>
  <si>
    <t>The Best SEO Agencies in Australia (2026) - WME</t>
  </si>
  <si>
    <t>StudioHawk, Deloitte, Online Marketing Gurus, Omnicom Media Group, Prosperity Media, Earned Media, Safari Digital, Digital Nomads HQ, SIXGUN, Supple Digital, King Kong, Huge, First Page, First Page Australia</t>
  </si>
  <si>
    <t>https://www.wmtips.com/technologies/marketing-attribution/</t>
  </si>
  <si>
    <t>Top 25+ Marketing Attribution Platforms by Market Share (2026)</t>
  </si>
  <si>
    <t>https://www.wpp.com/en/news/2025/03/wpp-claims-top-honours-on-the-warc-creative-100</t>
  </si>
  <si>
    <t>WPP claims top honours on the WARC Creative 100 for third consecutive year | WPP</t>
  </si>
  <si>
    <t>https://www.wpp.com/en/news/2025/06/wpp-wins-creative-company-of-the-year-at-cannes-lions-2025</t>
  </si>
  <si>
    <t>WPP wins Creative Company of the Year at Cannes Lions 2025 | WPP</t>
  </si>
  <si>
    <t>WPP, Mindshare, VML, Impressive, Huge</t>
  </si>
  <si>
    <t>https://www.wpp.com/en/news/2026/03/wpp-claims-top-spot-on-warc-creative-100-for-fourth-consecutive-year</t>
  </si>
  <si>
    <t>WPP claims top spot on WARC Creative 100 for fourth consecutive year | WPP</t>
  </si>
  <si>
    <t>https://www.wpp.com/en/news/wpp-agencies-triumph-at-cannes-lions-2026-with-ogilvy-and-vml-claiming-the-top-two-creative-network-honours</t>
  </si>
  <si>
    <t>WPP agencies triumph at Cannes Lions 2026, with Ogilvy and VML claiming the top two creative network honours | WPP</t>
  </si>
  <si>
    <t>WPP, VML, Impressive, EssenceMediacom</t>
  </si>
  <si>
    <t>https://xpon.ai/au/resources/google-analytics-360-pricing/</t>
  </si>
  <si>
    <t>Google Analytics 360 Pricing | XPON Technologies | XPON Australia</t>
  </si>
  <si>
    <t>https://xpon.ai/google-cloud/</t>
  </si>
  <si>
    <t>Google Cloud for Marketing | XPON</t>
  </si>
  <si>
    <t>https://xpon.ai/resources/google-marketing-platform-partner/</t>
  </si>
  <si>
    <t>The Benefits of Certified Google Marketing Platform Partners | XPON</t>
  </si>
  <si>
    <t>https://www.youtube.com/watch?v=IxHlhnkaTC4&amp;t=408</t>
  </si>
  <si>
    <t>11 Best AI Agents for Marketing for 2026 (Ranked by Best Use Cases)</t>
  </si>
  <si>
    <t>https://www.youtube.com/watch?v=Ko4i_WqyPwE&amp;t=263</t>
  </si>
  <si>
    <t>Digital Marketing in Australia in 2026 - Your Questions Answered | Smarter Marketer Podcast</t>
  </si>
  <si>
    <t>Rocket Agency, Huge</t>
  </si>
  <si>
    <t>https://www.youtube.com/watch?v=OJN95taKMwo</t>
  </si>
  <si>
    <t>Top 7 AI-Powered Digital Marketing Agencies in Australia | Start an AI Marketing Agency</t>
  </si>
  <si>
    <t>https://www.youtube.com/watch?v=XhMbeN7cH34&amp;t=707</t>
  </si>
  <si>
    <t>Incrementality Testing: How to Actually Measure Marketing Effectiveness (2026)</t>
  </si>
  <si>
    <t>https://www.youtube.com/watch?v=fdPFLXFJlwo&amp;t=30</t>
  </si>
  <si>
    <t>6 Best Revenue Attribution Agencies for B2B SaaS in 2026</t>
  </si>
  <si>
    <t>https://www.zoominfo.com/c/metric-labs/447146165</t>
  </si>
  <si>
    <t>Metric Labs - Overview, News &amp; Similar companies \| ZoomInfo.com</t>
  </si>
  <si>
    <t>Metric Labs, Momentum</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</si>
</sst>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FFFFFF"/>
      <name val="Arial"/>
    </font>
    <font>
      <color rgb="FFFFFFFF"/>
      <name val="Arial"/>
    </font>
    <font>
      <color theme="1"/>
      <name val="Arial"/>
    </font>
    <font>
      <u/>
      <color rgb="FF0000FF"/>
    </font>
    <font>
      <color theme="1"/>
      <name val="Arial"/>
      <scheme val="minor"/>
    </font>
    <font>
      <u/>
      <color rgb="FF0000FF"/>
    </font>
    <font>
      <u/>
      <color rgb="FF0000FF"/>
      <name val="Arial"/>
    </font>
    <font>
      <u/>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2" numFmtId="0" xfId="0" applyAlignment="1" applyFont="1">
      <alignment readingOrder="0" vertical="bottom"/>
    </xf>
    <xf borderId="0" fillId="2" fontId="2" numFmtId="0" xfId="0" applyAlignment="1" applyFont="1">
      <alignment vertical="bottom"/>
    </xf>
    <xf borderId="0" fillId="2" fontId="3" numFmtId="0" xfId="0" applyAlignment="1" applyFont="1">
      <alignment vertical="bottom"/>
    </xf>
    <xf borderId="0" fillId="2" fontId="1" numFmtId="0" xfId="0" applyAlignment="1" applyFont="1">
      <alignment readingOrder="0"/>
    </xf>
    <xf borderId="0" fillId="0" fontId="4" numFmtId="0" xfId="0" applyFont="1"/>
    <xf borderId="0" fillId="0" fontId="5" numFmtId="0" xfId="0" applyFont="1"/>
    <xf borderId="0" fillId="2" fontId="1" numFmtId="0" xfId="0" applyFont="1"/>
    <xf borderId="0" fillId="0" fontId="6" numFmtId="0" xfId="0" applyAlignment="1" applyFont="1">
      <alignment readingOrder="0"/>
    </xf>
    <xf borderId="0" fillId="0" fontId="3" numFmtId="0" xfId="0" applyAlignment="1" applyFont="1">
      <alignment readingOrder="0" vertical="bottom"/>
    </xf>
    <xf borderId="0" fillId="0" fontId="7" numFmtId="0" xfId="0" applyAlignment="1" applyFont="1">
      <alignment readingOrder="0" vertical="bottom"/>
    </xf>
    <xf borderId="0" fillId="0" fontId="3" numFmtId="0" xfId="0" applyAlignment="1" applyFont="1">
      <alignment vertical="bottom"/>
    </xf>
    <xf borderId="0" fillId="0" fontId="3" numFmtId="0" xfId="0" applyAlignment="1" applyFont="1">
      <alignment vertical="bottom"/>
    </xf>
    <xf borderId="0" fillId="0" fontId="5" numFmtId="0" xfId="0" applyAlignment="1" applyFont="1">
      <alignment readingOrder="0"/>
    </xf>
    <xf borderId="0" fillId="0" fontId="3"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myohomarketing.com.au" TargetMode="External"/><Relationship Id="rId194" Type="http://schemas.openxmlformats.org/officeDocument/2006/relationships/hyperlink" Target="http://revium.com.au" TargetMode="External"/><Relationship Id="rId193" Type="http://schemas.openxmlformats.org/officeDocument/2006/relationships/hyperlink" Target="http://virtualadagency.com.au" TargetMode="External"/><Relationship Id="rId192" Type="http://schemas.openxmlformats.org/officeDocument/2006/relationships/hyperlink" Target="http://silverbackstrategies.com" TargetMode="External"/><Relationship Id="rId191" Type="http://schemas.openxmlformats.org/officeDocument/2006/relationships/hyperlink" Target="http://rokitupmedia.com.au" TargetMode="External"/><Relationship Id="rId187" Type="http://schemas.openxmlformats.org/officeDocument/2006/relationships/hyperlink" Target="http://gtm8020.com" TargetMode="External"/><Relationship Id="rId186" Type="http://schemas.openxmlformats.org/officeDocument/2006/relationships/hyperlink" Target="http://govanator.com" TargetMode="External"/><Relationship Id="rId185" Type="http://schemas.openxmlformats.org/officeDocument/2006/relationships/hyperlink" Target="http://generativeengineoptimisation.com.au" TargetMode="External"/><Relationship Id="rId184" Type="http://schemas.openxmlformats.org/officeDocument/2006/relationships/hyperlink" Target="http://fusepointinsights.com" TargetMode="External"/><Relationship Id="rId189" Type="http://schemas.openxmlformats.org/officeDocument/2006/relationships/hyperlink" Target="http://marketingeye.com.au" TargetMode="External"/><Relationship Id="rId188" Type="http://schemas.openxmlformats.org/officeDocument/2006/relationships/hyperlink" Target="http://influencermarketinghub.com" TargetMode="External"/><Relationship Id="rId183" Type="http://schemas.openxmlformats.org/officeDocument/2006/relationships/hyperlink" Target="http://epicit.com.au" TargetMode="External"/><Relationship Id="rId182" Type="http://schemas.openxmlformats.org/officeDocument/2006/relationships/hyperlink" Target="http://directiveconsulting.com" TargetMode="External"/><Relationship Id="rId181" Type="http://schemas.openxmlformats.org/officeDocument/2006/relationships/hyperlink" Target="http://clicksgeek.com" TargetMode="External"/><Relationship Id="rId180" Type="http://schemas.openxmlformats.org/officeDocument/2006/relationships/hyperlink" Target="http://bluemoonmarketing.com.au" TargetMode="External"/><Relationship Id="rId176" Type="http://schemas.openxmlformats.org/officeDocument/2006/relationships/hyperlink" Target="http://dnmdigital.com.au" TargetMode="External"/><Relationship Id="rId297" Type="http://schemas.openxmlformats.org/officeDocument/2006/relationships/hyperlink" Target="http://evolut.com.au" TargetMode="External"/><Relationship Id="rId175" Type="http://schemas.openxmlformats.org/officeDocument/2006/relationships/hyperlink" Target="http://clearwateragency.com.au" TargetMode="External"/><Relationship Id="rId296" Type="http://schemas.openxmlformats.org/officeDocument/2006/relationships/hyperlink" Target="http://enterprisemonkey.com.au" TargetMode="External"/><Relationship Id="rId174" Type="http://schemas.openxmlformats.org/officeDocument/2006/relationships/hyperlink" Target="http://bmf.com.au" TargetMode="External"/><Relationship Id="rId295" Type="http://schemas.openxmlformats.org/officeDocument/2006/relationships/hyperlink" Target="http://elephantintheboardroom.com.au" TargetMode="External"/><Relationship Id="rId173" Type="http://schemas.openxmlformats.org/officeDocument/2006/relationships/hyperlink" Target="http://admatic.com" TargetMode="External"/><Relationship Id="rId294" Type="http://schemas.openxmlformats.org/officeDocument/2006/relationships/hyperlink" Target="http://droga5.com.au" TargetMode="External"/><Relationship Id="rId179" Type="http://schemas.openxmlformats.org/officeDocument/2006/relationships/hyperlink" Target="http://bconic.com" TargetMode="External"/><Relationship Id="rId178" Type="http://schemas.openxmlformats.org/officeDocument/2006/relationships/hyperlink" Target="http://aivy.com.au" TargetMode="External"/><Relationship Id="rId299" Type="http://schemas.openxmlformats.org/officeDocument/2006/relationships/hyperlink" Target="http://firstpagesage.com" TargetMode="External"/><Relationship Id="rId177" Type="http://schemas.openxmlformats.org/officeDocument/2006/relationships/hyperlink" Target="http://pivotus.com.au" TargetMode="External"/><Relationship Id="rId298" Type="http://schemas.openxmlformats.org/officeDocument/2006/relationships/hyperlink" Target="http://facebook.com" TargetMode="External"/><Relationship Id="rId198" Type="http://schemas.openxmlformats.org/officeDocument/2006/relationships/hyperlink" Target="http://bimodal.io" TargetMode="External"/><Relationship Id="rId197" Type="http://schemas.openxmlformats.org/officeDocument/2006/relationships/hyperlink" Target="http://andmine.com.au" TargetMode="External"/><Relationship Id="rId196" Type="http://schemas.openxmlformats.org/officeDocument/2006/relationships/hyperlink" Target="http://unifida.com.au" TargetMode="External"/><Relationship Id="rId195" Type="http://schemas.openxmlformats.org/officeDocument/2006/relationships/hyperlink" Target="http://campaignbrief.com" TargetMode="External"/><Relationship Id="rId199" Type="http://schemas.openxmlformats.org/officeDocument/2006/relationships/hyperlink" Target="http://homerdigitalmarketing.com" TargetMode="External"/><Relationship Id="rId150" Type="http://schemas.openxmlformats.org/officeDocument/2006/relationships/hyperlink" Target="http://onpoint.com.au" TargetMode="External"/><Relationship Id="rId271" Type="http://schemas.openxmlformats.org/officeDocument/2006/relationships/hyperlink" Target="http://lifesight.io" TargetMode="External"/><Relationship Id="rId392" Type="http://schemas.openxmlformats.org/officeDocument/2006/relationships/hyperlink" Target="http://meaningfulsocialclub.com" TargetMode="External"/><Relationship Id="rId270" Type="http://schemas.openxmlformats.org/officeDocument/2006/relationships/hyperlink" Target="http://leadsrx.com" TargetMode="External"/><Relationship Id="rId391" Type="http://schemas.openxmlformats.org/officeDocument/2006/relationships/hyperlink" Target="http://mckenzie.com.au" TargetMode="External"/><Relationship Id="rId390" Type="http://schemas.openxmlformats.org/officeDocument/2006/relationships/hyperlink" Target="http://mass-analytics.com" TargetMode="External"/><Relationship Id="rId1" Type="http://schemas.openxmlformats.org/officeDocument/2006/relationships/hyperlink" Target="http://clutch.co" TargetMode="External"/><Relationship Id="rId2" Type="http://schemas.openxmlformats.org/officeDocument/2006/relationships/hyperlink" Target="http://semrush.com" TargetMode="External"/><Relationship Id="rId3" Type="http://schemas.openxmlformats.org/officeDocument/2006/relationships/hyperlink" Target="http://digitalagencynetwork.com" TargetMode="External"/><Relationship Id="rId149" Type="http://schemas.openxmlformats.org/officeDocument/2006/relationships/hyperlink" Target="http://digitalmindsgroup.com.au" TargetMode="External"/><Relationship Id="rId4" Type="http://schemas.openxmlformats.org/officeDocument/2006/relationships/hyperlink" Target="http://sortlist.com" TargetMode="External"/><Relationship Id="rId148" Type="http://schemas.openxmlformats.org/officeDocument/2006/relationships/hyperlink" Target="http://soupagency.com.au" TargetMode="External"/><Relationship Id="rId269" Type="http://schemas.openxmlformats.org/officeDocument/2006/relationships/hyperlink" Target="http://itcc.co" TargetMode="External"/><Relationship Id="rId9" Type="http://schemas.openxmlformats.org/officeDocument/2006/relationships/hyperlink" Target="http://impressive.com.au" TargetMode="External"/><Relationship Id="rId143" Type="http://schemas.openxmlformats.org/officeDocument/2006/relationships/hyperlink" Target="http://thinkcreativeagency.com.au" TargetMode="External"/><Relationship Id="rId264" Type="http://schemas.openxmlformats.org/officeDocument/2006/relationships/hyperlink" Target="http://businessinsider.com" TargetMode="External"/><Relationship Id="rId385" Type="http://schemas.openxmlformats.org/officeDocument/2006/relationships/hyperlink" Target="http://lbbonline.com" TargetMode="External"/><Relationship Id="rId142" Type="http://schemas.openxmlformats.org/officeDocument/2006/relationships/hyperlink" Target="http://thedigitalelevator.com" TargetMode="External"/><Relationship Id="rId263" Type="http://schemas.openxmlformats.org/officeDocument/2006/relationships/hyperlink" Target="http://businessinfopro.com" TargetMode="External"/><Relationship Id="rId384" Type="http://schemas.openxmlformats.org/officeDocument/2006/relationships/hyperlink" Target="http://jellyfish.com" TargetMode="External"/><Relationship Id="rId141" Type="http://schemas.openxmlformats.org/officeDocument/2006/relationships/hyperlink" Target="http://techbehemoths.com" TargetMode="External"/><Relationship Id="rId262" Type="http://schemas.openxmlformats.org/officeDocument/2006/relationships/hyperlink" Target="http://builtinsydney.au" TargetMode="External"/><Relationship Id="rId383" Type="http://schemas.openxmlformats.org/officeDocument/2006/relationships/hyperlink" Target="http://itpro.com" TargetMode="External"/><Relationship Id="rId140" Type="http://schemas.openxmlformats.org/officeDocument/2006/relationships/hyperlink" Target="http://supermetrics.com" TargetMode="External"/><Relationship Id="rId261" Type="http://schemas.openxmlformats.org/officeDocument/2006/relationships/hyperlink" Target="http://builtinmelbourne.com" TargetMode="External"/><Relationship Id="rId382" Type="http://schemas.openxmlformats.org/officeDocument/2006/relationships/hyperlink" Target="http://ionline.com.au" TargetMode="External"/><Relationship Id="rId5" Type="http://schemas.openxmlformats.org/officeDocument/2006/relationships/hyperlink" Target="http://digitalnomadshq.com.au" TargetMode="External"/><Relationship Id="rId147" Type="http://schemas.openxmlformats.org/officeDocument/2006/relationships/hyperlink" Target="http://exaltgrowth.com" TargetMode="External"/><Relationship Id="rId268" Type="http://schemas.openxmlformats.org/officeDocument/2006/relationships/hyperlink" Target="http://intelliagent.com.au" TargetMode="External"/><Relationship Id="rId389" Type="http://schemas.openxmlformats.org/officeDocument/2006/relationships/hyperlink" Target="http://marketingcosmos.com" TargetMode="External"/><Relationship Id="rId6" Type="http://schemas.openxmlformats.org/officeDocument/2006/relationships/hyperlink" Target="http://talonsmarketing.com.au" TargetMode="External"/><Relationship Id="rId146" Type="http://schemas.openxmlformats.org/officeDocument/2006/relationships/hyperlink" Target="http://loudface.co" TargetMode="External"/><Relationship Id="rId267" Type="http://schemas.openxmlformats.org/officeDocument/2006/relationships/hyperlink" Target="http://idhlagency.com" TargetMode="External"/><Relationship Id="rId388" Type="http://schemas.openxmlformats.org/officeDocument/2006/relationships/hyperlink" Target="http://madebyevoke.com" TargetMode="External"/><Relationship Id="rId7" Type="http://schemas.openxmlformats.org/officeDocument/2006/relationships/hyperlink" Target="http://resolutiondigital.com.au" TargetMode="External"/><Relationship Id="rId145" Type="http://schemas.openxmlformats.org/officeDocument/2006/relationships/hyperlink" Target="http://ven.com.au" TargetMode="External"/><Relationship Id="rId266" Type="http://schemas.openxmlformats.org/officeDocument/2006/relationships/hyperlink" Target="http://dilate.com.au" TargetMode="External"/><Relationship Id="rId387" Type="http://schemas.openxmlformats.org/officeDocument/2006/relationships/hyperlink" Target="http://luminary.com" TargetMode="External"/><Relationship Id="rId8" Type="http://schemas.openxmlformats.org/officeDocument/2006/relationships/hyperlink" Target="http://23digital.com.au" TargetMode="External"/><Relationship Id="rId144" Type="http://schemas.openxmlformats.org/officeDocument/2006/relationships/hyperlink" Target="http://upliftgtm.com" TargetMode="External"/><Relationship Id="rId265" Type="http://schemas.openxmlformats.org/officeDocument/2006/relationships/hyperlink" Target="http://clickedon.co" TargetMode="External"/><Relationship Id="rId386" Type="http://schemas.openxmlformats.org/officeDocument/2006/relationships/hyperlink" Target="http://listcorp.com" TargetMode="External"/><Relationship Id="rId260" Type="http://schemas.openxmlformats.org/officeDocument/2006/relationships/hyperlink" Target="http://bestadsontv.com" TargetMode="External"/><Relationship Id="rId381" Type="http://schemas.openxmlformats.org/officeDocument/2006/relationships/hyperlink" Target="http://intelligence.gov.au" TargetMode="External"/><Relationship Id="rId380" Type="http://schemas.openxmlformats.org/officeDocument/2006/relationships/hyperlink" Target="http://intelegain.com" TargetMode="External"/><Relationship Id="rId139" Type="http://schemas.openxmlformats.org/officeDocument/2006/relationships/hyperlink" Target="http://realmindsai.com.au" TargetMode="External"/><Relationship Id="rId138" Type="http://schemas.openxmlformats.org/officeDocument/2006/relationships/hyperlink" Target="http://horntech.com.au" TargetMode="External"/><Relationship Id="rId259" Type="http://schemas.openxmlformats.org/officeDocument/2006/relationships/hyperlink" Target="http://apacsearchawards.com" TargetMode="External"/><Relationship Id="rId137" Type="http://schemas.openxmlformats.org/officeDocument/2006/relationships/hyperlink" Target="http://growthmanager.ai" TargetMode="External"/><Relationship Id="rId258" Type="http://schemas.openxmlformats.org/officeDocument/2006/relationships/hyperlink" Target="http://amplitude.com" TargetMode="External"/><Relationship Id="rId379" Type="http://schemas.openxmlformats.org/officeDocument/2006/relationships/hyperlink" Target="http://impact.com" TargetMode="External"/><Relationship Id="rId132" Type="http://schemas.openxmlformats.org/officeDocument/2006/relationships/hyperlink" Target="http://itprofiles.com" TargetMode="External"/><Relationship Id="rId253" Type="http://schemas.openxmlformats.org/officeDocument/2006/relationships/hyperlink" Target="http://appfillip.com" TargetMode="External"/><Relationship Id="rId374" Type="http://schemas.openxmlformats.org/officeDocument/2006/relationships/hyperlink" Target="http://getapp.com.au" TargetMode="External"/><Relationship Id="rId495" Type="http://schemas.openxmlformats.org/officeDocument/2006/relationships/hyperlink" Target="http://defencesa.com" TargetMode="External"/><Relationship Id="rId131" Type="http://schemas.openxmlformats.org/officeDocument/2006/relationships/hyperlink" Target="http://liftlab.com" TargetMode="External"/><Relationship Id="rId252" Type="http://schemas.openxmlformats.org/officeDocument/2006/relationships/hyperlink" Target="http://dejanmarketing.com" TargetMode="External"/><Relationship Id="rId373" Type="http://schemas.openxmlformats.org/officeDocument/2006/relationships/hyperlink" Target="http://gdaybroadcast.com.au" TargetMode="External"/><Relationship Id="rId494" Type="http://schemas.openxmlformats.org/officeDocument/2006/relationships/hyperlink" Target="http://darkroomagency.com" TargetMode="External"/><Relationship Id="rId130" Type="http://schemas.openxmlformats.org/officeDocument/2006/relationships/hyperlink" Target="http://google.com.au" TargetMode="External"/><Relationship Id="rId251" Type="http://schemas.openxmlformats.org/officeDocument/2006/relationships/hyperlink" Target="http://firstpage.com.au" TargetMode="External"/><Relationship Id="rId372" Type="http://schemas.openxmlformats.org/officeDocument/2006/relationships/hyperlink" Target="http://furtherinsight.com.au" TargetMode="External"/><Relationship Id="rId493" Type="http://schemas.openxmlformats.org/officeDocument/2006/relationships/hyperlink" Target="http://dailybulletin.com.au" TargetMode="External"/><Relationship Id="rId250" Type="http://schemas.openxmlformats.org/officeDocument/2006/relationships/hyperlink" Target="http://vulbmedia.com" TargetMode="External"/><Relationship Id="rId371" Type="http://schemas.openxmlformats.org/officeDocument/2006/relationships/hyperlink" Target="http://funnel.io" TargetMode="External"/><Relationship Id="rId492" Type="http://schemas.openxmlformats.org/officeDocument/2006/relationships/hyperlink" Target="http://creativemode.com.au" TargetMode="External"/><Relationship Id="rId136" Type="http://schemas.openxmlformats.org/officeDocument/2006/relationships/hyperlink" Target="http://cleveraussie.com" TargetMode="External"/><Relationship Id="rId257" Type="http://schemas.openxmlformats.org/officeDocument/2006/relationships/hyperlink" Target="http://aioptimisation.com.au" TargetMode="External"/><Relationship Id="rId378" Type="http://schemas.openxmlformats.org/officeDocument/2006/relationships/hyperlink" Target="http://growthspreeofficial.com" TargetMode="External"/><Relationship Id="rId499" Type="http://schemas.openxmlformats.org/officeDocument/2006/relationships/hyperlink" Target="http://digitalmoose.com.au" TargetMode="External"/><Relationship Id="rId135" Type="http://schemas.openxmlformats.org/officeDocument/2006/relationships/hyperlink" Target="http://appsflyer.com" TargetMode="External"/><Relationship Id="rId256" Type="http://schemas.openxmlformats.org/officeDocument/2006/relationships/hyperlink" Target="http://acam.ai" TargetMode="External"/><Relationship Id="rId377" Type="http://schemas.openxmlformats.org/officeDocument/2006/relationships/hyperlink" Target="http://growaidigital.com.au" TargetMode="External"/><Relationship Id="rId498" Type="http://schemas.openxmlformats.org/officeDocument/2006/relationships/hyperlink" Target="http://digitaldeluxe.com.au" TargetMode="External"/><Relationship Id="rId134" Type="http://schemas.openxmlformats.org/officeDocument/2006/relationships/hyperlink" Target="http://ami.org.au" TargetMode="External"/><Relationship Id="rId255" Type="http://schemas.openxmlformats.org/officeDocument/2006/relationships/hyperlink" Target="http://zipdo.co" TargetMode="External"/><Relationship Id="rId376" Type="http://schemas.openxmlformats.org/officeDocument/2006/relationships/hyperlink" Target="http://gravitatedigital.com.au" TargetMode="External"/><Relationship Id="rId497" Type="http://schemas.openxmlformats.org/officeDocument/2006/relationships/hyperlink" Target="http://designmagazine.com.au" TargetMode="External"/><Relationship Id="rId133" Type="http://schemas.openxmlformats.org/officeDocument/2006/relationships/hyperlink" Target="http://iabaustralia.com.au" TargetMode="External"/><Relationship Id="rId254" Type="http://schemas.openxmlformats.org/officeDocument/2006/relationships/hyperlink" Target="http://digitalon.ai" TargetMode="External"/><Relationship Id="rId375" Type="http://schemas.openxmlformats.org/officeDocument/2006/relationships/hyperlink" Target="http://gispeople.com.au" TargetMode="External"/><Relationship Id="rId496" Type="http://schemas.openxmlformats.org/officeDocument/2006/relationships/hyperlink" Target="http://dentsu.com" TargetMode="External"/><Relationship Id="rId172" Type="http://schemas.openxmlformats.org/officeDocument/2006/relationships/hyperlink" Target="http://50pros.com" TargetMode="External"/><Relationship Id="rId293" Type="http://schemas.openxmlformats.org/officeDocument/2006/relationships/hyperlink" Target="http://dimeagency.co" TargetMode="External"/><Relationship Id="rId171" Type="http://schemas.openxmlformats.org/officeDocument/2006/relationships/hyperlink" Target="http://trpagency.com.au" TargetMode="External"/><Relationship Id="rId292" Type="http://schemas.openxmlformats.org/officeDocument/2006/relationships/hyperlink" Target="http://digitalmarketingsupermarket.com" TargetMode="External"/><Relationship Id="rId170" Type="http://schemas.openxmlformats.org/officeDocument/2006/relationships/hyperlink" Target="http://source-digital.com.au" TargetMode="External"/><Relationship Id="rId291" Type="http://schemas.openxmlformats.org/officeDocument/2006/relationships/hyperlink" Target="http://agoraagency.com.au" TargetMode="External"/><Relationship Id="rId290" Type="http://schemas.openxmlformats.org/officeDocument/2006/relationships/hyperlink" Target="http://advisible.com.au" TargetMode="External"/><Relationship Id="rId165" Type="http://schemas.openxmlformats.org/officeDocument/2006/relationships/hyperlink" Target="http://architecturaldigest.com" TargetMode="External"/><Relationship Id="rId286" Type="http://schemas.openxmlformats.org/officeDocument/2006/relationships/hyperlink" Target="http://usercall.co" TargetMode="External"/><Relationship Id="rId164" Type="http://schemas.openxmlformats.org/officeDocument/2006/relationships/hyperlink" Target="http://agrtech.com.au" TargetMode="External"/><Relationship Id="rId285" Type="http://schemas.openxmlformats.org/officeDocument/2006/relationships/hyperlink" Target="http://reloadmedia.com.au" TargetMode="External"/><Relationship Id="rId163" Type="http://schemas.openxmlformats.org/officeDocument/2006/relationships/hyperlink" Target="http://hashtag.net.au" TargetMode="External"/><Relationship Id="rId284" Type="http://schemas.openxmlformats.org/officeDocument/2006/relationships/hyperlink" Target="http://incremental.com" TargetMode="External"/><Relationship Id="rId162" Type="http://schemas.openxmlformats.org/officeDocument/2006/relationships/hyperlink" Target="http://teamlewis.com" TargetMode="External"/><Relationship Id="rId283" Type="http://schemas.openxmlformats.org/officeDocument/2006/relationships/hyperlink" Target="http://nettyawards.com" TargetMode="External"/><Relationship Id="rId169" Type="http://schemas.openxmlformats.org/officeDocument/2006/relationships/hyperlink" Target="http://promoguy.nl" TargetMode="External"/><Relationship Id="rId168" Type="http://schemas.openxmlformats.org/officeDocument/2006/relationships/hyperlink" Target="http://mightyhive.com" TargetMode="External"/><Relationship Id="rId289" Type="http://schemas.openxmlformats.org/officeDocument/2006/relationships/hyperlink" Target="http://adopsandadtech.com.au" TargetMode="External"/><Relationship Id="rId167" Type="http://schemas.openxmlformats.org/officeDocument/2006/relationships/hyperlink" Target="http://mediaweek.com.au" TargetMode="External"/><Relationship Id="rId288" Type="http://schemas.openxmlformats.org/officeDocument/2006/relationships/hyperlink" Target="http://adaptad.com.au" TargetMode="External"/><Relationship Id="rId166" Type="http://schemas.openxmlformats.org/officeDocument/2006/relationships/hyperlink" Target="http://bluesensedigital.com.au" TargetMode="External"/><Relationship Id="rId287" Type="http://schemas.openxmlformats.org/officeDocument/2006/relationships/hyperlink" Target="http://warc.com" TargetMode="External"/><Relationship Id="rId161" Type="http://schemas.openxmlformats.org/officeDocument/2006/relationships/hyperlink" Target="http://smartinc.com" TargetMode="External"/><Relationship Id="rId282" Type="http://schemas.openxmlformats.org/officeDocument/2006/relationships/hyperlink" Target="http://captovate.com.au" TargetMode="External"/><Relationship Id="rId160" Type="http://schemas.openxmlformats.org/officeDocument/2006/relationships/hyperlink" Target="http://advancer.com.au" TargetMode="External"/><Relationship Id="rId281" Type="http://schemas.openxmlformats.org/officeDocument/2006/relationships/hyperlink" Target="http://zyppy.com" TargetMode="External"/><Relationship Id="rId280" Type="http://schemas.openxmlformats.org/officeDocument/2006/relationships/hyperlink" Target="http://worldmetrics.org" TargetMode="External"/><Relationship Id="rId159" Type="http://schemas.openxmlformats.org/officeDocument/2006/relationships/hyperlink" Target="http://wearesocial.com" TargetMode="External"/><Relationship Id="rId154" Type="http://schemas.openxmlformats.org/officeDocument/2006/relationships/hyperlink" Target="http://builtin.com" TargetMode="External"/><Relationship Id="rId275" Type="http://schemas.openxmlformats.org/officeDocument/2006/relationships/hyperlink" Target="http://nogood.io" TargetMode="External"/><Relationship Id="rId396" Type="http://schemas.openxmlformats.org/officeDocument/2006/relationships/hyperlink" Target="http://mumbrella.com.au" TargetMode="External"/><Relationship Id="rId153" Type="http://schemas.openxmlformats.org/officeDocument/2006/relationships/hyperlink" Target="http://applabx.com" TargetMode="External"/><Relationship Id="rId274" Type="http://schemas.openxmlformats.org/officeDocument/2006/relationships/hyperlink" Target="http://modmetrica.com.au" TargetMode="External"/><Relationship Id="rId395" Type="http://schemas.openxmlformats.org/officeDocument/2006/relationships/hyperlink" Target="http://modernmarketingpartners.com" TargetMode="External"/><Relationship Id="rId152" Type="http://schemas.openxmlformats.org/officeDocument/2006/relationships/hyperlink" Target="http://aimldigital.com.au" TargetMode="External"/><Relationship Id="rId273" Type="http://schemas.openxmlformats.org/officeDocument/2006/relationships/hyperlink" Target="http://mkt-sci.com" TargetMode="External"/><Relationship Id="rId394" Type="http://schemas.openxmlformats.org/officeDocument/2006/relationships/hyperlink" Target="http://mindanchorai.com.au" TargetMode="External"/><Relationship Id="rId151" Type="http://schemas.openxmlformats.org/officeDocument/2006/relationships/hyperlink" Target="http://aeoagencyservices.com" TargetMode="External"/><Relationship Id="rId272" Type="http://schemas.openxmlformats.org/officeDocument/2006/relationships/hyperlink" Target="http://mi-3.com.au" TargetMode="External"/><Relationship Id="rId393" Type="http://schemas.openxmlformats.org/officeDocument/2006/relationships/hyperlink" Target="http://megaphonemedia.com.au" TargetMode="External"/><Relationship Id="rId158" Type="http://schemas.openxmlformats.org/officeDocument/2006/relationships/hyperlink" Target="http://marketingsystems.com.au" TargetMode="External"/><Relationship Id="rId279" Type="http://schemas.openxmlformats.org/officeDocument/2006/relationships/hyperlink" Target="http://webprofits.com.au" TargetMode="External"/><Relationship Id="rId157" Type="http://schemas.openxmlformats.org/officeDocument/2006/relationships/hyperlink" Target="http://magnetoitsolutions.com" TargetMode="External"/><Relationship Id="rId278" Type="http://schemas.openxmlformats.org/officeDocument/2006/relationships/hyperlink" Target="http://reuters.com" TargetMode="External"/><Relationship Id="rId399" Type="http://schemas.openxmlformats.org/officeDocument/2006/relationships/hyperlink" Target="http://ngis.com.au" TargetMode="External"/><Relationship Id="rId156" Type="http://schemas.openxmlformats.org/officeDocument/2006/relationships/hyperlink" Target="http://hyperdot.com.au" TargetMode="External"/><Relationship Id="rId277" Type="http://schemas.openxmlformats.org/officeDocument/2006/relationships/hyperlink" Target="http://paisdigital.com.au" TargetMode="External"/><Relationship Id="rId398" Type="http://schemas.openxmlformats.org/officeDocument/2006/relationships/hyperlink" Target="http://nelsononeill.com.au" TargetMode="External"/><Relationship Id="rId155" Type="http://schemas.openxmlformats.org/officeDocument/2006/relationships/hyperlink" Target="http://deducive.com" TargetMode="External"/><Relationship Id="rId276" Type="http://schemas.openxmlformats.org/officeDocument/2006/relationships/hyperlink" Target="http://orm-tech.com" TargetMode="External"/><Relationship Id="rId397" Type="http://schemas.openxmlformats.org/officeDocument/2006/relationships/hyperlink" Target="http://navigatortech.com.au" TargetMode="External"/><Relationship Id="rId40" Type="http://schemas.openxmlformats.org/officeDocument/2006/relationships/hyperlink" Target="http://clickclickbangbang.com.au" TargetMode="External"/><Relationship Id="rId42" Type="http://schemas.openxmlformats.org/officeDocument/2006/relationships/hyperlink" Target="http://google.com" TargetMode="External"/><Relationship Id="rId41" Type="http://schemas.openxmlformats.org/officeDocument/2006/relationships/hyperlink" Target="http://getaiready.com.au" TargetMode="External"/><Relationship Id="rId44" Type="http://schemas.openxmlformats.org/officeDocument/2006/relationships/hyperlink" Target="http://linkedin.com" TargetMode="External"/><Relationship Id="rId43" Type="http://schemas.openxmlformats.org/officeDocument/2006/relationships/hyperlink" Target="http://cometly.com" TargetMode="External"/><Relationship Id="rId46" Type="http://schemas.openxmlformats.org/officeDocument/2006/relationships/hyperlink" Target="http://titanblue.com.au" TargetMode="External"/><Relationship Id="rId45" Type="http://schemas.openxmlformats.org/officeDocument/2006/relationships/hyperlink" Target="http://localsearch.com.au" TargetMode="External"/><Relationship Id="rId509" Type="http://schemas.openxmlformats.org/officeDocument/2006/relationships/hyperlink" Target="http://evolvingdigital.com.au" TargetMode="External"/><Relationship Id="rId508" Type="http://schemas.openxmlformats.org/officeDocument/2006/relationships/hyperlink" Target="http://eventbrite.com.au" TargetMode="External"/><Relationship Id="rId629" Type="http://schemas.openxmlformats.org/officeDocument/2006/relationships/hyperlink" Target="http://slalom.com" TargetMode="External"/><Relationship Id="rId503" Type="http://schemas.openxmlformats.org/officeDocument/2006/relationships/hyperlink" Target="http://ebiquity.com" TargetMode="External"/><Relationship Id="rId624" Type="http://schemas.openxmlformats.org/officeDocument/2006/relationships/hyperlink" Target="http://seomelbourne.com" TargetMode="External"/><Relationship Id="rId502" Type="http://schemas.openxmlformats.org/officeDocument/2006/relationships/hyperlink" Target="http://earnedmedia.com.au" TargetMode="External"/><Relationship Id="rId623" Type="http://schemas.openxmlformats.org/officeDocument/2006/relationships/hyperlink" Target="http://semhook.com" TargetMode="External"/><Relationship Id="rId501" Type="http://schemas.openxmlformats.org/officeDocument/2006/relationships/hyperlink" Target="http://dreamdata.io" TargetMode="External"/><Relationship Id="rId622" Type="http://schemas.openxmlformats.org/officeDocument/2006/relationships/hyperlink" Target="http://segments.com.au" TargetMode="External"/><Relationship Id="rId500" Type="http://schemas.openxmlformats.org/officeDocument/2006/relationships/hyperlink" Target="http://drakecontent.com.au" TargetMode="External"/><Relationship Id="rId621" Type="http://schemas.openxmlformats.org/officeDocument/2006/relationships/hyperlink" Target="http://sedigital.com.au" TargetMode="External"/><Relationship Id="rId507" Type="http://schemas.openxmlformats.org/officeDocument/2006/relationships/hyperlink" Target="http://estran.io" TargetMode="External"/><Relationship Id="rId628" Type="http://schemas.openxmlformats.org/officeDocument/2006/relationships/hyperlink" Target="http://skai.io" TargetMode="External"/><Relationship Id="rId506" Type="http://schemas.openxmlformats.org/officeDocument/2006/relationships/hyperlink" Target="http://esomar.org" TargetMode="External"/><Relationship Id="rId627" Type="http://schemas.openxmlformats.org/officeDocument/2006/relationships/hyperlink" Target="http://shuffledigital.com.au" TargetMode="External"/><Relationship Id="rId505" Type="http://schemas.openxmlformats.org/officeDocument/2006/relationships/hyperlink" Target="http://engineroom.com.au" TargetMode="External"/><Relationship Id="rId626" Type="http://schemas.openxmlformats.org/officeDocument/2006/relationships/hyperlink" Target="http://shokeproductions.com" TargetMode="External"/><Relationship Id="rId504" Type="http://schemas.openxmlformats.org/officeDocument/2006/relationships/hyperlink" Target="http://elevionconsulting.com.au" TargetMode="External"/><Relationship Id="rId625" Type="http://schemas.openxmlformats.org/officeDocument/2006/relationships/hyperlink" Target="http://shakostats.com" TargetMode="External"/><Relationship Id="rId48" Type="http://schemas.openxmlformats.org/officeDocument/2006/relationships/hyperlink" Target="http://emotedigital.com.au" TargetMode="External"/><Relationship Id="rId47" Type="http://schemas.openxmlformats.org/officeDocument/2006/relationships/hyperlink" Target="http://marginmedia.com.au" TargetMode="External"/><Relationship Id="rId49" Type="http://schemas.openxmlformats.org/officeDocument/2006/relationships/hyperlink" Target="http://globalgenie.com.au" TargetMode="External"/><Relationship Id="rId620" Type="http://schemas.openxmlformats.org/officeDocument/2006/relationships/hyperlink" Target="http://sd-group.com.au" TargetMode="External"/><Relationship Id="rId31" Type="http://schemas.openxmlformats.org/officeDocument/2006/relationships/hyperlink" Target="http://digitaldigest.au" TargetMode="External"/><Relationship Id="rId30" Type="http://schemas.openxmlformats.org/officeDocument/2006/relationships/hyperlink" Target="http://smartosc.com" TargetMode="External"/><Relationship Id="rId33" Type="http://schemas.openxmlformats.org/officeDocument/2006/relationships/hyperlink" Target="http://themanifest.com" TargetMode="External"/><Relationship Id="rId32" Type="http://schemas.openxmlformats.org/officeDocument/2006/relationships/hyperlink" Target="http://bbe.io" TargetMode="External"/><Relationship Id="rId35" Type="http://schemas.openxmlformats.org/officeDocument/2006/relationships/hyperlink" Target="http://ninjapromo.io" TargetMode="External"/><Relationship Id="rId34" Type="http://schemas.openxmlformats.org/officeDocument/2006/relationships/hyperlink" Target="http://clickclickmedia.com.au" TargetMode="External"/><Relationship Id="rId619" Type="http://schemas.openxmlformats.org/officeDocument/2006/relationships/hyperlink" Target="http://scopicstudios.com" TargetMode="External"/><Relationship Id="rId618" Type="http://schemas.openxmlformats.org/officeDocument/2006/relationships/hyperlink" Target="http://savvyaustralia.com" TargetMode="External"/><Relationship Id="rId613" Type="http://schemas.openxmlformats.org/officeDocument/2006/relationships/hyperlink" Target="http://riseuplabs.com" TargetMode="External"/><Relationship Id="rId612" Type="http://schemas.openxmlformats.org/officeDocument/2006/relationships/hyperlink" Target="http://reformdigital.com.au" TargetMode="External"/><Relationship Id="rId611" Type="http://schemas.openxmlformats.org/officeDocument/2006/relationships/hyperlink" Target="http://razorfish.com.au" TargetMode="External"/><Relationship Id="rId610" Type="http://schemas.openxmlformats.org/officeDocument/2006/relationships/hyperlink" Target="http://rapidmedia.com.au" TargetMode="External"/><Relationship Id="rId617" Type="http://schemas.openxmlformats.org/officeDocument/2006/relationships/hyperlink" Target="http://salesforce.com" TargetMode="External"/><Relationship Id="rId616" Type="http://schemas.openxmlformats.org/officeDocument/2006/relationships/hyperlink" Target="http://rzlt.io" TargetMode="External"/><Relationship Id="rId615" Type="http://schemas.openxmlformats.org/officeDocument/2006/relationships/hyperlink" Target="http://rocketreach.co" TargetMode="External"/><Relationship Id="rId614" Type="http://schemas.openxmlformats.org/officeDocument/2006/relationships/hyperlink" Target="http://roboticmarketer.com" TargetMode="External"/><Relationship Id="rId37" Type="http://schemas.openxmlformats.org/officeDocument/2006/relationships/hyperlink" Target="http://sourceforge.net" TargetMode="External"/><Relationship Id="rId36" Type="http://schemas.openxmlformats.org/officeDocument/2006/relationships/hyperlink" Target="http://inmarketingwetrust.com.au" TargetMode="External"/><Relationship Id="rId39" Type="http://schemas.openxmlformats.org/officeDocument/2006/relationships/hyperlink" Target="http://lengreo.com" TargetMode="External"/><Relationship Id="rId38" Type="http://schemas.openxmlformats.org/officeDocument/2006/relationships/hyperlink" Target="http://xpon.ai" TargetMode="External"/><Relationship Id="rId20" Type="http://schemas.openxmlformats.org/officeDocument/2006/relationships/hyperlink" Target="http://roi.com.au" TargetMode="External"/><Relationship Id="rId22" Type="http://schemas.openxmlformats.org/officeDocument/2006/relationships/hyperlink" Target="http://theredrepublic.com" TargetMode="External"/><Relationship Id="rId21" Type="http://schemas.openxmlformats.org/officeDocument/2006/relationships/hyperlink" Target="http://goodfirms.co" TargetMode="External"/><Relationship Id="rId24" Type="http://schemas.openxmlformats.org/officeDocument/2006/relationships/hyperlink" Target="http://rocketagency.com.au" TargetMode="External"/><Relationship Id="rId23" Type="http://schemas.openxmlformats.org/officeDocument/2006/relationships/hyperlink" Target="http://formulate.com.au" TargetMode="External"/><Relationship Id="rId409" Type="http://schemas.openxmlformats.org/officeDocument/2006/relationships/hyperlink" Target="http://scalemaster.com.au" TargetMode="External"/><Relationship Id="rId404" Type="http://schemas.openxmlformats.org/officeDocument/2006/relationships/hyperlink" Target="http://rankmefirst.ai" TargetMode="External"/><Relationship Id="rId525" Type="http://schemas.openxmlformats.org/officeDocument/2006/relationships/hyperlink" Target="http://geooptimisation.com.au" TargetMode="External"/><Relationship Id="rId646" Type="http://schemas.openxmlformats.org/officeDocument/2006/relationships/hyperlink" Target="http://topseos.com" TargetMode="External"/><Relationship Id="rId403" Type="http://schemas.openxmlformats.org/officeDocument/2006/relationships/hyperlink" Target="http://qagency.com.au" TargetMode="External"/><Relationship Id="rId524" Type="http://schemas.openxmlformats.org/officeDocument/2006/relationships/hyperlink" Target="http://geodigital.com.au" TargetMode="External"/><Relationship Id="rId645" Type="http://schemas.openxmlformats.org/officeDocument/2006/relationships/hyperlink" Target="http://tiktok.com" TargetMode="External"/><Relationship Id="rId402" Type="http://schemas.openxmlformats.org/officeDocument/2006/relationships/hyperlink" Target="http://printvideoweb.com.au" TargetMode="External"/><Relationship Id="rId523" Type="http://schemas.openxmlformats.org/officeDocument/2006/relationships/hyperlink" Target="http://geoconsultants.com.au" TargetMode="External"/><Relationship Id="rId644" Type="http://schemas.openxmlformats.org/officeDocument/2006/relationships/hyperlink" Target="http://thetimes.com.au" TargetMode="External"/><Relationship Id="rId401" Type="http://schemas.openxmlformats.org/officeDocument/2006/relationships/hyperlink" Target="http://paramark.com.au" TargetMode="External"/><Relationship Id="rId522" Type="http://schemas.openxmlformats.org/officeDocument/2006/relationships/hyperlink" Target="http://geo-logix.com.au" TargetMode="External"/><Relationship Id="rId643" Type="http://schemas.openxmlformats.org/officeDocument/2006/relationships/hyperlink" Target="http://thestable.com.au" TargetMode="External"/><Relationship Id="rId408" Type="http://schemas.openxmlformats.org/officeDocument/2006/relationships/hyperlink" Target="http://sandlabs.com.au" TargetMode="External"/><Relationship Id="rId529" Type="http://schemas.openxmlformats.org/officeDocument/2006/relationships/hyperlink" Target="http://growth-hackers.net" TargetMode="External"/><Relationship Id="rId407" Type="http://schemas.openxmlformats.org/officeDocument/2006/relationships/hyperlink" Target="http://safaridigital.com.au" TargetMode="External"/><Relationship Id="rId528" Type="http://schemas.openxmlformats.org/officeDocument/2006/relationships/hyperlink" Target="http://grantthornton.com.au" TargetMode="External"/><Relationship Id="rId649" Type="http://schemas.openxmlformats.org/officeDocument/2006/relationships/hyperlink" Target="http://trustpilot.com" TargetMode="External"/><Relationship Id="rId406" Type="http://schemas.openxmlformats.org/officeDocument/2006/relationships/hyperlink" Target="http://rix-digital.com" TargetMode="External"/><Relationship Id="rId527" Type="http://schemas.openxmlformats.org/officeDocument/2006/relationships/hyperlink" Target="http://ggconsultants.com.au" TargetMode="External"/><Relationship Id="rId648" Type="http://schemas.openxmlformats.org/officeDocument/2006/relationships/hyperlink" Target="http://trkkn.com" TargetMode="External"/><Relationship Id="rId405" Type="http://schemas.openxmlformats.org/officeDocument/2006/relationships/hyperlink" Target="http://rightfirms.co" TargetMode="External"/><Relationship Id="rId526" Type="http://schemas.openxmlformats.org/officeDocument/2006/relationships/hyperlink" Target="http://georankai.com" TargetMode="External"/><Relationship Id="rId647" Type="http://schemas.openxmlformats.org/officeDocument/2006/relationships/hyperlink" Target="http://tripledart.com" TargetMode="External"/><Relationship Id="rId26" Type="http://schemas.openxmlformats.org/officeDocument/2006/relationships/hyperlink" Target="http://uprisedigital.com.au" TargetMode="External"/><Relationship Id="rId25" Type="http://schemas.openxmlformats.org/officeDocument/2006/relationships/hyperlink" Target="http://intelligentresourcing.co" TargetMode="External"/><Relationship Id="rId28" Type="http://schemas.openxmlformats.org/officeDocument/2006/relationships/hyperlink" Target="http://ensun.io" TargetMode="External"/><Relationship Id="rId27" Type="http://schemas.openxmlformats.org/officeDocument/2006/relationships/hyperlink" Target="http://measured.com" TargetMode="External"/><Relationship Id="rId400" Type="http://schemas.openxmlformats.org/officeDocument/2006/relationships/hyperlink" Target="http://opinosis-analytics.com" TargetMode="External"/><Relationship Id="rId521" Type="http://schemas.openxmlformats.org/officeDocument/2006/relationships/hyperlink" Target="http://gemfind.com" TargetMode="External"/><Relationship Id="rId642" Type="http://schemas.openxmlformats.org/officeDocument/2006/relationships/hyperlink" Target="http://thesearchspecialist.com.au" TargetMode="External"/><Relationship Id="rId29" Type="http://schemas.openxmlformats.org/officeDocument/2006/relationships/hyperlink" Target="http://sparro.com.au" TargetMode="External"/><Relationship Id="rId520" Type="http://schemas.openxmlformats.org/officeDocument/2006/relationships/hyperlink" Target="http://gcmag.com.au" TargetMode="External"/><Relationship Id="rId641" Type="http://schemas.openxmlformats.org/officeDocument/2006/relationships/hyperlink" Target="http://thedrum.com" TargetMode="External"/><Relationship Id="rId640" Type="http://schemas.openxmlformats.org/officeDocument/2006/relationships/hyperlink" Target="http://thedigitalhub.com.au" TargetMode="External"/><Relationship Id="rId11" Type="http://schemas.openxmlformats.org/officeDocument/2006/relationships/hyperlink" Target="http://thatware.co" TargetMode="External"/><Relationship Id="rId10" Type="http://schemas.openxmlformats.org/officeDocument/2006/relationships/hyperlink" Target="http://leadsnow.ai" TargetMode="External"/><Relationship Id="rId13" Type="http://schemas.openxmlformats.org/officeDocument/2006/relationships/hyperlink" Target="http://bushnote.com" TargetMode="External"/><Relationship Id="rId12" Type="http://schemas.openxmlformats.org/officeDocument/2006/relationships/hyperlink" Target="http://adcore.com" TargetMode="External"/><Relationship Id="rId519" Type="http://schemas.openxmlformats.org/officeDocument/2006/relationships/hyperlink" Target="http://gbg-group.com.au" TargetMode="External"/><Relationship Id="rId514" Type="http://schemas.openxmlformats.org/officeDocument/2006/relationships/hyperlink" Target="http://fivestones.net" TargetMode="External"/><Relationship Id="rId635" Type="http://schemas.openxmlformats.org/officeDocument/2006/relationships/hyperlink" Target="http://strategyeye.com" TargetMode="External"/><Relationship Id="rId513" Type="http://schemas.openxmlformats.org/officeDocument/2006/relationships/hyperlink" Target="http://fisherdigital.com.au" TargetMode="External"/><Relationship Id="rId634" Type="http://schemas.openxmlformats.org/officeDocument/2006/relationships/hyperlink" Target="http://stratabeat.com" TargetMode="External"/><Relationship Id="rId512" Type="http://schemas.openxmlformats.org/officeDocument/2006/relationships/hyperlink" Target="http://firewiredigital.com.au" TargetMode="External"/><Relationship Id="rId633" Type="http://schemas.openxmlformats.org/officeDocument/2006/relationships/hyperlink" Target="http://stackdigital.com.au" TargetMode="External"/><Relationship Id="rId511" Type="http://schemas.openxmlformats.org/officeDocument/2006/relationships/hyperlink" Target="http://fastdatascience.com" TargetMode="External"/><Relationship Id="rId632" Type="http://schemas.openxmlformats.org/officeDocument/2006/relationships/hyperlink" Target="http://spruik.co" TargetMode="External"/><Relationship Id="rId518" Type="http://schemas.openxmlformats.org/officeDocument/2006/relationships/hyperlink" Target="http://fzpdigital.com" TargetMode="External"/><Relationship Id="rId639" Type="http://schemas.openxmlformats.org/officeDocument/2006/relationships/hyperlink" Target="http://techtalkradio.com.au" TargetMode="External"/><Relationship Id="rId517" Type="http://schemas.openxmlformats.org/officeDocument/2006/relationships/hyperlink" Target="http://forvio.com" TargetMode="External"/><Relationship Id="rId638" Type="http://schemas.openxmlformats.org/officeDocument/2006/relationships/hyperlink" Target="http://summitguard.com.au" TargetMode="External"/><Relationship Id="rId516" Type="http://schemas.openxmlformats.org/officeDocument/2006/relationships/hyperlink" Target="http://flurodigital.com" TargetMode="External"/><Relationship Id="rId637" Type="http://schemas.openxmlformats.org/officeDocument/2006/relationships/hyperlink" Target="http://studioslate.com.au" TargetMode="External"/><Relationship Id="rId515" Type="http://schemas.openxmlformats.org/officeDocument/2006/relationships/hyperlink" Target="http://fixnhour.com" TargetMode="External"/><Relationship Id="rId636" Type="http://schemas.openxmlformats.org/officeDocument/2006/relationships/hyperlink" Target="http://studioandcomarketing.com.au" TargetMode="External"/><Relationship Id="rId15" Type="http://schemas.openxmlformats.org/officeDocument/2006/relationships/hyperlink" Target="http://designrush.com" TargetMode="External"/><Relationship Id="rId14" Type="http://schemas.openxmlformats.org/officeDocument/2006/relationships/hyperlink" Target="http://mediaplusdigital.co" TargetMode="External"/><Relationship Id="rId17" Type="http://schemas.openxmlformats.org/officeDocument/2006/relationships/hyperlink" Target="http://theardor.com.au" TargetMode="External"/><Relationship Id="rId16" Type="http://schemas.openxmlformats.org/officeDocument/2006/relationships/hyperlink" Target="http://reddit.com" TargetMode="External"/><Relationship Id="rId19" Type="http://schemas.openxmlformats.org/officeDocument/2006/relationships/hyperlink" Target="http://thehero.co" TargetMode="External"/><Relationship Id="rId510" Type="http://schemas.openxmlformats.org/officeDocument/2006/relationships/hyperlink" Target="http://eykdata.com" TargetMode="External"/><Relationship Id="rId631" Type="http://schemas.openxmlformats.org/officeDocument/2006/relationships/hyperlink" Target="http://sotatek.com.au" TargetMode="External"/><Relationship Id="rId18" Type="http://schemas.openxmlformats.org/officeDocument/2006/relationships/hyperlink" Target="http://undivided.com.au" TargetMode="External"/><Relationship Id="rId630" Type="http://schemas.openxmlformats.org/officeDocument/2006/relationships/hyperlink" Target="http://smashbrandgroup.com.au" TargetMode="External"/><Relationship Id="rId84" Type="http://schemas.openxmlformats.org/officeDocument/2006/relationships/hyperlink" Target="http://digitalreference.co" TargetMode="External"/><Relationship Id="rId83" Type="http://schemas.openxmlformats.org/officeDocument/2006/relationships/hyperlink" Target="http://airanklab.com" TargetMode="External"/><Relationship Id="rId86" Type="http://schemas.openxmlformats.org/officeDocument/2006/relationships/hyperlink" Target="http://newsfromperth.com" TargetMode="External"/><Relationship Id="rId85" Type="http://schemas.openxmlformats.org/officeDocument/2006/relationships/hyperlink" Target="http://mystrika.com" TargetMode="External"/><Relationship Id="rId88" Type="http://schemas.openxmlformats.org/officeDocument/2006/relationships/hyperlink" Target="http://savit.au" TargetMode="External"/><Relationship Id="rId87" Type="http://schemas.openxmlformats.org/officeDocument/2006/relationships/hyperlink" Target="http://programminginsider.com" TargetMode="External"/><Relationship Id="rId89" Type="http://schemas.openxmlformats.org/officeDocument/2006/relationships/hyperlink" Target="http://fastlanerecruit.com" TargetMode="External"/><Relationship Id="rId80" Type="http://schemas.openxmlformats.org/officeDocument/2006/relationships/hyperlink" Target="http://techradar.com" TargetMode="External"/><Relationship Id="rId82" Type="http://schemas.openxmlformats.org/officeDocument/2006/relationships/hyperlink" Target="http://skyscale.com.au" TargetMode="External"/><Relationship Id="rId81" Type="http://schemas.openxmlformats.org/officeDocument/2006/relationships/hyperlink" Target="http://redpandas.com.au" TargetMode="External"/><Relationship Id="rId73" Type="http://schemas.openxmlformats.org/officeDocument/2006/relationships/hyperlink" Target="http://prosperitymedia.com.au" TargetMode="External"/><Relationship Id="rId72" Type="http://schemas.openxmlformats.org/officeDocument/2006/relationships/hyperlink" Target="http://bushletter.com" TargetMode="External"/><Relationship Id="rId75" Type="http://schemas.openxmlformats.org/officeDocument/2006/relationships/hyperlink" Target="http://mkmedia.com.au" TargetMode="External"/><Relationship Id="rId74" Type="http://schemas.openxmlformats.org/officeDocument/2006/relationships/hyperlink" Target="http://mayple.com" TargetMode="External"/><Relationship Id="rId77" Type="http://schemas.openxmlformats.org/officeDocument/2006/relationships/hyperlink" Target="http://segmentstream.com" TargetMode="External"/><Relationship Id="rId76" Type="http://schemas.openxmlformats.org/officeDocument/2006/relationships/hyperlink" Target="http://ogilvy.com.au" TargetMode="External"/><Relationship Id="rId79" Type="http://schemas.openxmlformats.org/officeDocument/2006/relationships/hyperlink" Target="http://hikemytraffic.com" TargetMode="External"/><Relationship Id="rId78" Type="http://schemas.openxmlformats.org/officeDocument/2006/relationships/hyperlink" Target="http://farsiight.com" TargetMode="External"/><Relationship Id="rId71" Type="http://schemas.openxmlformats.org/officeDocument/2006/relationships/hyperlink" Target="http://theaustralian.com.au" TargetMode="External"/><Relationship Id="rId70" Type="http://schemas.openxmlformats.org/officeDocument/2006/relationships/hyperlink" Target="http://findcreatives.com.au" TargetMode="External"/><Relationship Id="rId62" Type="http://schemas.openxmlformats.org/officeDocument/2006/relationships/hyperlink" Target="http://10seos.com" TargetMode="External"/><Relationship Id="rId61" Type="http://schemas.openxmlformats.org/officeDocument/2006/relationships/hyperlink" Target="http://metriclabs.com.au" TargetMode="External"/><Relationship Id="rId64" Type="http://schemas.openxmlformats.org/officeDocument/2006/relationships/hyperlink" Target="http://tdsaustralia.com.au" TargetMode="External"/><Relationship Id="rId63" Type="http://schemas.openxmlformats.org/officeDocument/2006/relationships/hyperlink" Target="http://noirandblanco.com" TargetMode="External"/><Relationship Id="rId66" Type="http://schemas.openxmlformats.org/officeDocument/2006/relationships/hyperlink" Target="http://absolutelyai.com.au" TargetMode="External"/><Relationship Id="rId65" Type="http://schemas.openxmlformats.org/officeDocument/2006/relationships/hyperlink" Target="http://vanguardian.com.au" TargetMode="External"/><Relationship Id="rId68" Type="http://schemas.openxmlformats.org/officeDocument/2006/relationships/hyperlink" Target="http://youtube.com" TargetMode="External"/><Relationship Id="rId67" Type="http://schemas.openxmlformats.org/officeDocument/2006/relationships/hyperlink" Target="http://saltandfuessel.com.au" TargetMode="External"/><Relationship Id="rId609" Type="http://schemas.openxmlformats.org/officeDocument/2006/relationships/hyperlink" Target="http://puroai.com.au" TargetMode="External"/><Relationship Id="rId608" Type="http://schemas.openxmlformats.org/officeDocument/2006/relationships/hyperlink" Target="http://purealanalytics.co.uk" TargetMode="External"/><Relationship Id="rId607" Type="http://schemas.openxmlformats.org/officeDocument/2006/relationships/hyperlink" Target="http://provokemedia.com" TargetMode="External"/><Relationship Id="rId60" Type="http://schemas.openxmlformats.org/officeDocument/2006/relationships/hyperlink" Target="http://metapress.com" TargetMode="External"/><Relationship Id="rId602" Type="http://schemas.openxmlformats.org/officeDocument/2006/relationships/hyperlink" Target="http://pimms.io" TargetMode="External"/><Relationship Id="rId601" Type="http://schemas.openxmlformats.org/officeDocument/2006/relationships/hyperlink" Target="http://performics.com" TargetMode="External"/><Relationship Id="rId600" Type="http://schemas.openxmlformats.org/officeDocument/2006/relationships/hyperlink" Target="http://peertopeermarketing.co" TargetMode="External"/><Relationship Id="rId606" Type="http://schemas.openxmlformats.org/officeDocument/2006/relationships/hyperlink" Target="http://presenc.ai" TargetMode="External"/><Relationship Id="rId605" Type="http://schemas.openxmlformats.org/officeDocument/2006/relationships/hyperlink" Target="http://precisiondatapartners.com.au" TargetMode="External"/><Relationship Id="rId604" Type="http://schemas.openxmlformats.org/officeDocument/2006/relationships/hyperlink" Target="http://pivotale.ai" TargetMode="External"/><Relationship Id="rId603" Type="http://schemas.openxmlformats.org/officeDocument/2006/relationships/hyperlink" Target="http://pivotalagency.com.au" TargetMode="External"/><Relationship Id="rId69" Type="http://schemas.openxmlformats.org/officeDocument/2006/relationships/hyperlink" Target="http://caribbeannationalweekly.com" TargetMode="External"/><Relationship Id="rId51" Type="http://schemas.openxmlformats.org/officeDocument/2006/relationships/hyperlink" Target="http://purshology.com" TargetMode="External"/><Relationship Id="rId50" Type="http://schemas.openxmlformats.org/officeDocument/2006/relationships/hyperlink" Target="http://slashdot.org" TargetMode="External"/><Relationship Id="rId53" Type="http://schemas.openxmlformats.org/officeDocument/2006/relationships/hyperlink" Target="http://team400.ai" TargetMode="External"/><Relationship Id="rId52" Type="http://schemas.openxmlformats.org/officeDocument/2006/relationships/hyperlink" Target="http://conquerradigital.com.au" TargetMode="External"/><Relationship Id="rId55" Type="http://schemas.openxmlformats.org/officeDocument/2006/relationships/hyperlink" Target="http://sellforte.com" TargetMode="External"/><Relationship Id="rId54" Type="http://schemas.openxmlformats.org/officeDocument/2006/relationships/hyperlink" Target="http://triplewhale.com" TargetMode="External"/><Relationship Id="rId57" Type="http://schemas.openxmlformats.org/officeDocument/2006/relationships/hyperlink" Target="http://bandt.com.au" TargetMode="External"/><Relationship Id="rId56" Type="http://schemas.openxmlformats.org/officeDocument/2006/relationships/hyperlink" Target="http://edisonai.au" TargetMode="External"/><Relationship Id="rId59" Type="http://schemas.openxmlformats.org/officeDocument/2006/relationships/hyperlink" Target="http://inbeat.co" TargetMode="External"/><Relationship Id="rId58" Type="http://schemas.openxmlformats.org/officeDocument/2006/relationships/hyperlink" Target="http://brandburp.com" TargetMode="External"/><Relationship Id="rId590" Type="http://schemas.openxmlformats.org/officeDocument/2006/relationships/hyperlink" Target="http://odindigital.com.au" TargetMode="External"/><Relationship Id="rId107" Type="http://schemas.openxmlformats.org/officeDocument/2006/relationships/hyperlink" Target="http://melottimedia.com.au" TargetMode="External"/><Relationship Id="rId228" Type="http://schemas.openxmlformats.org/officeDocument/2006/relationships/hyperlink" Target="http://rightsideup.com" TargetMode="External"/><Relationship Id="rId349" Type="http://schemas.openxmlformats.org/officeDocument/2006/relationships/hyperlink" Target="http://betterpeople.com.au" TargetMode="External"/><Relationship Id="rId106" Type="http://schemas.openxmlformats.org/officeDocument/2006/relationships/hyperlink" Target="http://hockeystack.com" TargetMode="External"/><Relationship Id="rId227" Type="http://schemas.openxmlformats.org/officeDocument/2006/relationships/hyperlink" Target="http://pmgs.com.au" TargetMode="External"/><Relationship Id="rId348" Type="http://schemas.openxmlformats.org/officeDocument/2006/relationships/hyperlink" Target="http://bestforexapp.com" TargetMode="External"/><Relationship Id="rId469" Type="http://schemas.openxmlformats.org/officeDocument/2006/relationships/hyperlink" Target="http://avionaustralia.com" TargetMode="External"/><Relationship Id="rId105" Type="http://schemas.openxmlformats.org/officeDocument/2006/relationships/hyperlink" Target="http://agencyvista.com" TargetMode="External"/><Relationship Id="rId226" Type="http://schemas.openxmlformats.org/officeDocument/2006/relationships/hyperlink" Target="http://pixelhatch.com.au" TargetMode="External"/><Relationship Id="rId347" Type="http://schemas.openxmlformats.org/officeDocument/2006/relationships/hyperlink" Target="http://bcg.com" TargetMode="External"/><Relationship Id="rId468" Type="http://schemas.openxmlformats.org/officeDocument/2006/relationships/hyperlink" Target="http://aussiemarketing.com.au" TargetMode="External"/><Relationship Id="rId589" Type="http://schemas.openxmlformats.org/officeDocument/2006/relationships/hyperlink" Target="http://nutshell.com" TargetMode="External"/><Relationship Id="rId104" Type="http://schemas.openxmlformats.org/officeDocument/2006/relationships/hyperlink" Target="http://alleygroup.com.au" TargetMode="External"/><Relationship Id="rId225" Type="http://schemas.openxmlformats.org/officeDocument/2006/relationships/hyperlink" Target="http://pa.com.au" TargetMode="External"/><Relationship Id="rId346" Type="http://schemas.openxmlformats.org/officeDocument/2006/relationships/hyperlink" Target="http://avidtrak.com" TargetMode="External"/><Relationship Id="rId467" Type="http://schemas.openxmlformats.org/officeDocument/2006/relationships/hyperlink" Target="http://ausindigenousai.com.au" TargetMode="External"/><Relationship Id="rId588" Type="http://schemas.openxmlformats.org/officeDocument/2006/relationships/hyperlink" Target="http://nimbull.com.au" TargetMode="External"/><Relationship Id="rId109" Type="http://schemas.openxmlformats.org/officeDocument/2006/relationships/hyperlink" Target="http://protiviti.com" TargetMode="External"/><Relationship Id="rId108" Type="http://schemas.openxmlformats.org/officeDocument/2006/relationships/hyperlink" Target="http://noice.net.au" TargetMode="External"/><Relationship Id="rId229" Type="http://schemas.openxmlformats.org/officeDocument/2006/relationships/hyperlink" Target="http://rubix.com.au" TargetMode="External"/><Relationship Id="rId220" Type="http://schemas.openxmlformats.org/officeDocument/2006/relationships/hyperlink" Target="http://gartner.com" TargetMode="External"/><Relationship Id="rId341" Type="http://schemas.openxmlformats.org/officeDocument/2006/relationships/hyperlink" Target="http://analyzify.com" TargetMode="External"/><Relationship Id="rId462" Type="http://schemas.openxmlformats.org/officeDocument/2006/relationships/hyperlink" Target="http://archservices.com.au" TargetMode="External"/><Relationship Id="rId583" Type="http://schemas.openxmlformats.org/officeDocument/2006/relationships/hyperlink" Target="http://mida.so" TargetMode="External"/><Relationship Id="rId340" Type="http://schemas.openxmlformats.org/officeDocument/2006/relationships/hyperlink" Target="http://aireadyaudit.com.au" TargetMode="External"/><Relationship Id="rId461" Type="http://schemas.openxmlformats.org/officeDocument/2006/relationships/hyperlink" Target="http://archetype.co" TargetMode="External"/><Relationship Id="rId582" Type="http://schemas.openxmlformats.org/officeDocument/2006/relationships/hyperlink" Target="http://methodworks.com.au" TargetMode="External"/><Relationship Id="rId460" Type="http://schemas.openxmlformats.org/officeDocument/2006/relationships/hyperlink" Target="http://aperitifagency.com.au" TargetMode="External"/><Relationship Id="rId581" Type="http://schemas.openxmlformats.org/officeDocument/2006/relationships/hyperlink" Target="http://megaphone.com.au" TargetMode="External"/><Relationship Id="rId580" Type="http://schemas.openxmlformats.org/officeDocument/2006/relationships/hyperlink" Target="http://mediaright.au" TargetMode="External"/><Relationship Id="rId103" Type="http://schemas.openxmlformats.org/officeDocument/2006/relationships/hyperlink" Target="http://ethinos.com.au" TargetMode="External"/><Relationship Id="rId224" Type="http://schemas.openxmlformats.org/officeDocument/2006/relationships/hyperlink" Target="http://icreativez.com" TargetMode="External"/><Relationship Id="rId345" Type="http://schemas.openxmlformats.org/officeDocument/2006/relationships/hyperlink" Target="http://asanalytics.com.au" TargetMode="External"/><Relationship Id="rId466" Type="http://schemas.openxmlformats.org/officeDocument/2006/relationships/hyperlink" Target="http://ausgeotest.com.au" TargetMode="External"/><Relationship Id="rId587" Type="http://schemas.openxmlformats.org/officeDocument/2006/relationships/hyperlink" Target="http://nexttabagency.com" TargetMode="External"/><Relationship Id="rId102" Type="http://schemas.openxmlformats.org/officeDocument/2006/relationships/hyperlink" Target="http://gorilla360.com.au" TargetMode="External"/><Relationship Id="rId223" Type="http://schemas.openxmlformats.org/officeDocument/2006/relationships/hyperlink" Target="http://hustlemarketers.com" TargetMode="External"/><Relationship Id="rId344" Type="http://schemas.openxmlformats.org/officeDocument/2006/relationships/hyperlink" Target="http://artd.com.au" TargetMode="External"/><Relationship Id="rId465" Type="http://schemas.openxmlformats.org/officeDocument/2006/relationships/hyperlink" Target="http://ausasiaonline.com.au" TargetMode="External"/><Relationship Id="rId586" Type="http://schemas.openxmlformats.org/officeDocument/2006/relationships/hyperlink" Target="http://mvrdigital.co" TargetMode="External"/><Relationship Id="rId101" Type="http://schemas.openxmlformats.org/officeDocument/2006/relationships/hyperlink" Target="http://alphadigital.com.au" TargetMode="External"/><Relationship Id="rId222" Type="http://schemas.openxmlformats.org/officeDocument/2006/relationships/hyperlink" Target="http://getrecast.com" TargetMode="External"/><Relationship Id="rId343" Type="http://schemas.openxmlformats.org/officeDocument/2006/relationships/hyperlink" Target="http://arcadiandigital.com.au" TargetMode="External"/><Relationship Id="rId464" Type="http://schemas.openxmlformats.org/officeDocument/2006/relationships/hyperlink" Target="http://atomic212.com.au" TargetMode="External"/><Relationship Id="rId585" Type="http://schemas.openxmlformats.org/officeDocument/2006/relationships/hyperlink" Target="http://moveaheadmedia.com.au" TargetMode="External"/><Relationship Id="rId100" Type="http://schemas.openxmlformats.org/officeDocument/2006/relationships/hyperlink" Target="http://studiohawk.com.au" TargetMode="External"/><Relationship Id="rId221" Type="http://schemas.openxmlformats.org/officeDocument/2006/relationships/hyperlink" Target="http://getapexanalytics.com" TargetMode="External"/><Relationship Id="rId342" Type="http://schemas.openxmlformats.org/officeDocument/2006/relationships/hyperlink" Target="http://anirup.com" TargetMode="External"/><Relationship Id="rId463" Type="http://schemas.openxmlformats.org/officeDocument/2006/relationships/hyperlink" Target="http://arrowmedia.com.au" TargetMode="External"/><Relationship Id="rId584" Type="http://schemas.openxmlformats.org/officeDocument/2006/relationships/hyperlink" Target="http://mooning.com" TargetMode="External"/><Relationship Id="rId217" Type="http://schemas.openxmlformats.org/officeDocument/2006/relationships/hyperlink" Target="http://corporatedesignsolutions.com.au" TargetMode="External"/><Relationship Id="rId338" Type="http://schemas.openxmlformats.org/officeDocument/2006/relationships/hyperlink" Target="http://agencylist.com" TargetMode="External"/><Relationship Id="rId459" Type="http://schemas.openxmlformats.org/officeDocument/2006/relationships/hyperlink" Target="http://aoyglobalawards.com" TargetMode="External"/><Relationship Id="rId216" Type="http://schemas.openxmlformats.org/officeDocument/2006/relationships/hyperlink" Target="http://adcountable.com" TargetMode="External"/><Relationship Id="rId337" Type="http://schemas.openxmlformats.org/officeDocument/2006/relationships/hyperlink" Target="http://aeroleads.com" TargetMode="External"/><Relationship Id="rId458" Type="http://schemas.openxmlformats.org/officeDocument/2006/relationships/hyperlink" Target="http://alyka.com.au" TargetMode="External"/><Relationship Id="rId579" Type="http://schemas.openxmlformats.org/officeDocument/2006/relationships/hyperlink" Target="http://maturedge.com.au" TargetMode="External"/><Relationship Id="rId215" Type="http://schemas.openxmlformats.org/officeDocument/2006/relationships/hyperlink" Target="http://launcherlab.com.au" TargetMode="External"/><Relationship Id="rId336" Type="http://schemas.openxmlformats.org/officeDocument/2006/relationships/hyperlink" Target="http://1stpage.com.au" TargetMode="External"/><Relationship Id="rId457" Type="http://schemas.openxmlformats.org/officeDocument/2006/relationships/hyperlink" Target="http://als-cs.com" TargetMode="External"/><Relationship Id="rId578" Type="http://schemas.openxmlformats.org/officeDocument/2006/relationships/hyperlink" Target="http://matomo.org" TargetMode="External"/><Relationship Id="rId214" Type="http://schemas.openxmlformats.org/officeDocument/2006/relationships/hyperlink" Target="http://elephantroom.com.au" TargetMode="External"/><Relationship Id="rId335" Type="http://schemas.openxmlformats.org/officeDocument/2006/relationships/hyperlink" Target="http://thinkerbell.com" TargetMode="External"/><Relationship Id="rId456" Type="http://schemas.openxmlformats.org/officeDocument/2006/relationships/hyperlink" Target="http://alphaapexgroup.com" TargetMode="External"/><Relationship Id="rId577" Type="http://schemas.openxmlformats.org/officeDocument/2006/relationships/hyperlink" Target="http://marketingattributionsoftware.com" TargetMode="External"/><Relationship Id="rId219" Type="http://schemas.openxmlformats.org/officeDocument/2006/relationships/hyperlink" Target="http://fabulate.com.au" TargetMode="External"/><Relationship Id="rId218" Type="http://schemas.openxmlformats.org/officeDocument/2006/relationships/hyperlink" Target="http://eightclients.com.au" TargetMode="External"/><Relationship Id="rId339" Type="http://schemas.openxmlformats.org/officeDocument/2006/relationships/hyperlink" Target="http://aimash.com.au" TargetMode="External"/><Relationship Id="rId330" Type="http://schemas.openxmlformats.org/officeDocument/2006/relationships/hyperlink" Target="http://bluethings.co" TargetMode="External"/><Relationship Id="rId451" Type="http://schemas.openxmlformats.org/officeDocument/2006/relationships/hyperlink" Target="http://agentum.com.au" TargetMode="External"/><Relationship Id="rId572" Type="http://schemas.openxmlformats.org/officeDocument/2006/relationships/hyperlink" Target="http://madsunmedia.com" TargetMode="External"/><Relationship Id="rId450" Type="http://schemas.openxmlformats.org/officeDocument/2006/relationships/hyperlink" Target="http://agenticmarketingpro.com" TargetMode="External"/><Relationship Id="rId571" Type="http://schemas.openxmlformats.org/officeDocument/2006/relationships/hyperlink" Target="http://lumifywork.com" TargetMode="External"/><Relationship Id="rId570" Type="http://schemas.openxmlformats.org/officeDocument/2006/relationships/hyperlink" Target="http://lovesdata.com" TargetMode="External"/><Relationship Id="rId213" Type="http://schemas.openxmlformats.org/officeDocument/2006/relationships/hyperlink" Target="http://aipivot.com.au" TargetMode="External"/><Relationship Id="rId334" Type="http://schemas.openxmlformats.org/officeDocument/2006/relationships/hyperlink" Target="http://oneclub.org" TargetMode="External"/><Relationship Id="rId455" Type="http://schemas.openxmlformats.org/officeDocument/2006/relationships/hyperlink" Target="http://aistrategyconsulting.com.au" TargetMode="External"/><Relationship Id="rId576" Type="http://schemas.openxmlformats.org/officeDocument/2006/relationships/hyperlink" Target="http://marketingattribution.com" TargetMode="External"/><Relationship Id="rId212" Type="http://schemas.openxmlformats.org/officeDocument/2006/relationships/hyperlink" Target="http://intesols.com.au" TargetMode="External"/><Relationship Id="rId333" Type="http://schemas.openxmlformats.org/officeDocument/2006/relationships/hyperlink" Target="http://circana.com" TargetMode="External"/><Relationship Id="rId454" Type="http://schemas.openxmlformats.org/officeDocument/2006/relationships/hyperlink" Target="http://aify.com.au" TargetMode="External"/><Relationship Id="rId575" Type="http://schemas.openxmlformats.org/officeDocument/2006/relationships/hyperlink" Target="http://marketing-interactive.com" TargetMode="External"/><Relationship Id="rId211" Type="http://schemas.openxmlformats.org/officeDocument/2006/relationships/hyperlink" Target="http://deptagency.com" TargetMode="External"/><Relationship Id="rId332" Type="http://schemas.openxmlformats.org/officeDocument/2006/relationships/hyperlink" Target="http://avenuegroupaus.com.au" TargetMode="External"/><Relationship Id="rId453" Type="http://schemas.openxmlformats.org/officeDocument/2006/relationships/hyperlink" Target="http://aiconsultinggroup.com.au" TargetMode="External"/><Relationship Id="rId574" Type="http://schemas.openxmlformats.org/officeDocument/2006/relationships/hyperlink" Target="http://mammothgeospatial.com" TargetMode="External"/><Relationship Id="rId210" Type="http://schemas.openxmlformats.org/officeDocument/2006/relationships/hyperlink" Target="http://hubspot.com" TargetMode="External"/><Relationship Id="rId331" Type="http://schemas.openxmlformats.org/officeDocument/2006/relationships/hyperlink" Target="http://elsner.com.au" TargetMode="External"/><Relationship Id="rId452" Type="http://schemas.openxmlformats.org/officeDocument/2006/relationships/hyperlink" Target="http://aiavenue.com.au" TargetMode="External"/><Relationship Id="rId573" Type="http://schemas.openxmlformats.org/officeDocument/2006/relationships/hyperlink" Target="http://makeitbigmedia.com" TargetMode="External"/><Relationship Id="rId370" Type="http://schemas.openxmlformats.org/officeDocument/2006/relationships/hyperlink" Target="http://ftalliance.com.au" TargetMode="External"/><Relationship Id="rId491" Type="http://schemas.openxmlformats.org/officeDocument/2006/relationships/hyperlink" Target="http://couriermail.com.au" TargetMode="External"/><Relationship Id="rId490" Type="http://schemas.openxmlformats.org/officeDocument/2006/relationships/hyperlink" Target="http://conversioncreative.com.au" TargetMode="External"/><Relationship Id="rId129" Type="http://schemas.openxmlformats.org/officeDocument/2006/relationships/hyperlink" Target="http://edisonmoment.com" TargetMode="External"/><Relationship Id="rId128" Type="http://schemas.openxmlformats.org/officeDocument/2006/relationships/hyperlink" Target="http://capterra.com.au" TargetMode="External"/><Relationship Id="rId249" Type="http://schemas.openxmlformats.org/officeDocument/2006/relationships/hyperlink" Target="http://techguide.com.au" TargetMode="External"/><Relationship Id="rId127" Type="http://schemas.openxmlformats.org/officeDocument/2006/relationships/hyperlink" Target="http://tynmagazine.com" TargetMode="External"/><Relationship Id="rId248" Type="http://schemas.openxmlformats.org/officeDocument/2006/relationships/hyperlink" Target="http://searchmax.com.au" TargetMode="External"/><Relationship Id="rId369" Type="http://schemas.openxmlformats.org/officeDocument/2006/relationships/hyperlink" Target="http://flypix.ai" TargetMode="External"/><Relationship Id="rId126" Type="http://schemas.openxmlformats.org/officeDocument/2006/relationships/hyperlink" Target="http://topgeoagencies.com" TargetMode="External"/><Relationship Id="rId247" Type="http://schemas.openxmlformats.org/officeDocument/2006/relationships/hyperlink" Target="http://ruleranalytics.com" TargetMode="External"/><Relationship Id="rId368" Type="http://schemas.openxmlformats.org/officeDocument/2006/relationships/hyperlink" Target="http://flowworks.com.au" TargetMode="External"/><Relationship Id="rId489" Type="http://schemas.openxmlformats.org/officeDocument/2006/relationships/hyperlink" Target="http://contentfx.com" TargetMode="External"/><Relationship Id="rId121" Type="http://schemas.openxmlformats.org/officeDocument/2006/relationships/hyperlink" Target="http://topseobrands.com" TargetMode="External"/><Relationship Id="rId242" Type="http://schemas.openxmlformats.org/officeDocument/2006/relationships/hyperlink" Target="http://juicebox.com.au" TargetMode="External"/><Relationship Id="rId363" Type="http://schemas.openxmlformats.org/officeDocument/2006/relationships/hyperlink" Target="http://digitalhitmen.com.au" TargetMode="External"/><Relationship Id="rId484" Type="http://schemas.openxmlformats.org/officeDocument/2006/relationships/hyperlink" Target="http://cjco.com.au" TargetMode="External"/><Relationship Id="rId120" Type="http://schemas.openxmlformats.org/officeDocument/2006/relationships/hyperlink" Target="http://salesmate.io" TargetMode="External"/><Relationship Id="rId241" Type="http://schemas.openxmlformats.org/officeDocument/2006/relationships/hyperlink" Target="http://integralmind.au" TargetMode="External"/><Relationship Id="rId362" Type="http://schemas.openxmlformats.org/officeDocument/2006/relationships/hyperlink" Target="http://digitalchamp.com.au" TargetMode="External"/><Relationship Id="rId483" Type="http://schemas.openxmlformats.org/officeDocument/2006/relationships/hyperlink" Target="http://choosedigital.com.au" TargetMode="External"/><Relationship Id="rId240" Type="http://schemas.openxmlformats.org/officeDocument/2006/relationships/hyperlink" Target="http://haus.io" TargetMode="External"/><Relationship Id="rId361" Type="http://schemas.openxmlformats.org/officeDocument/2006/relationships/hyperlink" Target="http://defyn.com.au" TargetMode="External"/><Relationship Id="rId482" Type="http://schemas.openxmlformats.org/officeDocument/2006/relationships/hyperlink" Target="http://cantydigital.com.au" TargetMode="External"/><Relationship Id="rId360" Type="http://schemas.openxmlformats.org/officeDocument/2006/relationships/hyperlink" Target="http://defence.gov.au" TargetMode="External"/><Relationship Id="rId481" Type="http://schemas.openxmlformats.org/officeDocument/2006/relationships/hyperlink" Target="http://calypsodesigns.com.au" TargetMode="External"/><Relationship Id="rId125" Type="http://schemas.openxmlformats.org/officeDocument/2006/relationships/hyperlink" Target="http://stellaheystella.com" TargetMode="External"/><Relationship Id="rId246" Type="http://schemas.openxmlformats.org/officeDocument/2006/relationships/hyperlink" Target="http://onetoo.com.au" TargetMode="External"/><Relationship Id="rId367" Type="http://schemas.openxmlformats.org/officeDocument/2006/relationships/hyperlink" Target="http://edgeonline.com.au" TargetMode="External"/><Relationship Id="rId488" Type="http://schemas.openxmlformats.org/officeDocument/2006/relationships/hyperlink" Target="http://compliancecouncil.com.au" TargetMode="External"/><Relationship Id="rId124" Type="http://schemas.openxmlformats.org/officeDocument/2006/relationships/hyperlink" Target="http://medium.com" TargetMode="External"/><Relationship Id="rId245" Type="http://schemas.openxmlformats.org/officeDocument/2006/relationships/hyperlink" Target="http://omegaadvertising.com.au" TargetMode="External"/><Relationship Id="rId366" Type="http://schemas.openxmlformats.org/officeDocument/2006/relationships/hyperlink" Target="http://distl.com.au" TargetMode="External"/><Relationship Id="rId487" Type="http://schemas.openxmlformats.org/officeDocument/2006/relationships/hyperlink" Target="http://codiant.ai" TargetMode="External"/><Relationship Id="rId123" Type="http://schemas.openxmlformats.org/officeDocument/2006/relationships/hyperlink" Target="http://greenbook.org" TargetMode="External"/><Relationship Id="rId244" Type="http://schemas.openxmlformats.org/officeDocument/2006/relationships/hyperlink" Target="http://marketingmonk.so" TargetMode="External"/><Relationship Id="rId365" Type="http://schemas.openxmlformats.org/officeDocument/2006/relationships/hyperlink" Target="http://digiwolf.au" TargetMode="External"/><Relationship Id="rId486" Type="http://schemas.openxmlformats.org/officeDocument/2006/relationships/hyperlink" Target="http://cmwgeosciences.com" TargetMode="External"/><Relationship Id="rId122" Type="http://schemas.openxmlformats.org/officeDocument/2006/relationships/hyperlink" Target="http://elioplus.com" TargetMode="External"/><Relationship Id="rId243" Type="http://schemas.openxmlformats.org/officeDocument/2006/relationships/hyperlink" Target="http://liondigital.com.au" TargetMode="External"/><Relationship Id="rId364" Type="http://schemas.openxmlformats.org/officeDocument/2006/relationships/hyperlink" Target="http://digitalsearchgroup.com.au" TargetMode="External"/><Relationship Id="rId485" Type="http://schemas.openxmlformats.org/officeDocument/2006/relationships/hyperlink" Target="http://clemengerbbdo.com" TargetMode="External"/><Relationship Id="rId95" Type="http://schemas.openxmlformats.org/officeDocument/2006/relationships/hyperlink" Target="http://softwaresuggest.com" TargetMode="External"/><Relationship Id="rId94" Type="http://schemas.openxmlformats.org/officeDocument/2006/relationships/hyperlink" Target="http://avinashvagh.com" TargetMode="External"/><Relationship Id="rId97" Type="http://schemas.openxmlformats.org/officeDocument/2006/relationships/hyperlink" Target="http://omnieclipse.ai" TargetMode="External"/><Relationship Id="rId96" Type="http://schemas.openxmlformats.org/officeDocument/2006/relationships/hyperlink" Target="http://superbcompanies.com" TargetMode="External"/><Relationship Id="rId99" Type="http://schemas.openxmlformats.org/officeDocument/2006/relationships/hyperlink" Target="http://adnews.com.au" TargetMode="External"/><Relationship Id="rId480" Type="http://schemas.openxmlformats.org/officeDocument/2006/relationships/hyperlink" Target="http://caffeinate.com.au" TargetMode="External"/><Relationship Id="rId98" Type="http://schemas.openxmlformats.org/officeDocument/2006/relationships/hyperlink" Target="http://bonfire.com.au" TargetMode="External"/><Relationship Id="rId91" Type="http://schemas.openxmlformats.org/officeDocument/2006/relationships/hyperlink" Target="http://digitalsurfer.com.au" TargetMode="External"/><Relationship Id="rId90" Type="http://schemas.openxmlformats.org/officeDocument/2006/relationships/hyperlink" Target="http://3pdigital.com.au" TargetMode="External"/><Relationship Id="rId93" Type="http://schemas.openxmlformats.org/officeDocument/2006/relationships/hyperlink" Target="http://wmtips.com" TargetMode="External"/><Relationship Id="rId92" Type="http://schemas.openxmlformats.org/officeDocument/2006/relationships/hyperlink" Target="http://mentionfirst.ai" TargetMode="External"/><Relationship Id="rId118" Type="http://schemas.openxmlformats.org/officeDocument/2006/relationships/hyperlink" Target="http://infraworx.com.au" TargetMode="External"/><Relationship Id="rId239" Type="http://schemas.openxmlformats.org/officeDocument/2006/relationships/hyperlink" Target="http://digitalchoice.com.au" TargetMode="External"/><Relationship Id="rId117" Type="http://schemas.openxmlformats.org/officeDocument/2006/relationships/hyperlink" Target="http://godigitalalpha.com" TargetMode="External"/><Relationship Id="rId238" Type="http://schemas.openxmlformats.org/officeDocument/2006/relationships/hyperlink" Target="http://crescendoagency.ai" TargetMode="External"/><Relationship Id="rId359" Type="http://schemas.openxmlformats.org/officeDocument/2006/relationships/hyperlink" Target="http://decisionfoundry.com" TargetMode="External"/><Relationship Id="rId116" Type="http://schemas.openxmlformats.org/officeDocument/2006/relationships/hyperlink" Target="http://airconsulting.ai" TargetMode="External"/><Relationship Id="rId237" Type="http://schemas.openxmlformats.org/officeDocument/2006/relationships/hyperlink" Target="http://capedigital.com.au" TargetMode="External"/><Relationship Id="rId358" Type="http://schemas.openxmlformats.org/officeDocument/2006/relationships/hyperlink" Target="http://datasauce.com" TargetMode="External"/><Relationship Id="rId479" Type="http://schemas.openxmlformats.org/officeDocument/2006/relationships/hyperlink" Target="http://bytetracks.com.au" TargetMode="External"/><Relationship Id="rId115" Type="http://schemas.openxmlformats.org/officeDocument/2006/relationships/hyperlink" Target="http://amplifir.com.au" TargetMode="External"/><Relationship Id="rId236" Type="http://schemas.openxmlformats.org/officeDocument/2006/relationships/hyperlink" Target="http://blurn.com" TargetMode="External"/><Relationship Id="rId357" Type="http://schemas.openxmlformats.org/officeDocument/2006/relationships/hyperlink" Target="http://crmstrategy.com.au" TargetMode="External"/><Relationship Id="rId478" Type="http://schemas.openxmlformats.org/officeDocument/2006/relationships/hyperlink" Target="http://brightwaterdigital.com.au" TargetMode="External"/><Relationship Id="rId599" Type="http://schemas.openxmlformats.org/officeDocument/2006/relationships/hyperlink" Target="http://paulmartinmarketing.com" TargetMode="External"/><Relationship Id="rId119" Type="http://schemas.openxmlformats.org/officeDocument/2006/relationships/hyperlink" Target="http://onlinemarketinggurus.com.au" TargetMode="External"/><Relationship Id="rId110" Type="http://schemas.openxmlformats.org/officeDocument/2006/relationships/hyperlink" Target="http://withgoogle.com" TargetMode="External"/><Relationship Id="rId231" Type="http://schemas.openxmlformats.org/officeDocument/2006/relationships/hyperlink" Target="http://syntermedia.ai" TargetMode="External"/><Relationship Id="rId352" Type="http://schemas.openxmlformats.org/officeDocument/2006/relationships/hyperlink" Target="http://brainlabsdigital.com" TargetMode="External"/><Relationship Id="rId473" Type="http://schemas.openxmlformats.org/officeDocument/2006/relationships/hyperlink" Target="http://bestgeoagency.com.au" TargetMode="External"/><Relationship Id="rId594" Type="http://schemas.openxmlformats.org/officeDocument/2006/relationships/hyperlink" Target="http://oneorangecow.com" TargetMode="External"/><Relationship Id="rId230" Type="http://schemas.openxmlformats.org/officeDocument/2006/relationships/hyperlink" Target="http://shoutdigital.com.au" TargetMode="External"/><Relationship Id="rId351" Type="http://schemas.openxmlformats.org/officeDocument/2006/relationships/hyperlink" Target="http://bondipages.com" TargetMode="External"/><Relationship Id="rId472" Type="http://schemas.openxmlformats.org/officeDocument/2006/relationships/hyperlink" Target="http://bestanswerengineoptimizationservices.com" TargetMode="External"/><Relationship Id="rId593" Type="http://schemas.openxmlformats.org/officeDocument/2006/relationships/hyperlink" Target="http://oneegg.com.au" TargetMode="External"/><Relationship Id="rId350" Type="http://schemas.openxmlformats.org/officeDocument/2006/relationships/hyperlink" Target="http://blanktheory.com.au" TargetMode="External"/><Relationship Id="rId471" Type="http://schemas.openxmlformats.org/officeDocument/2006/relationships/hyperlink" Target="http://benchmedia.com" TargetMode="External"/><Relationship Id="rId592" Type="http://schemas.openxmlformats.org/officeDocument/2006/relationships/hyperlink" Target="http://oneclickdigital.net.au" TargetMode="External"/><Relationship Id="rId470" Type="http://schemas.openxmlformats.org/officeDocument/2006/relationships/hyperlink" Target="http://axios.com" TargetMode="External"/><Relationship Id="rId591" Type="http://schemas.openxmlformats.org/officeDocument/2006/relationships/hyperlink" Target="http://ogilvypr.com.au" TargetMode="External"/><Relationship Id="rId114" Type="http://schemas.openxmlformats.org/officeDocument/2006/relationships/hyperlink" Target="http://rankingco.com.au" TargetMode="External"/><Relationship Id="rId235" Type="http://schemas.openxmlformats.org/officeDocument/2006/relationships/hyperlink" Target="http://arxiv.org" TargetMode="External"/><Relationship Id="rId356" Type="http://schemas.openxmlformats.org/officeDocument/2006/relationships/hyperlink" Target="http://contevo.com.au" TargetMode="External"/><Relationship Id="rId477" Type="http://schemas.openxmlformats.org/officeDocument/2006/relationships/hyperlink" Target="http://brandwolfcreative.com" TargetMode="External"/><Relationship Id="rId598" Type="http://schemas.openxmlformats.org/officeDocument/2006/relationships/hyperlink" Target="http://paramark.com" TargetMode="External"/><Relationship Id="rId113" Type="http://schemas.openxmlformats.org/officeDocument/2006/relationships/hyperlink" Target="http://hashmeta.ai" TargetMode="External"/><Relationship Id="rId234" Type="http://schemas.openxmlformats.org/officeDocument/2006/relationships/hyperlink" Target="http://bluerock.com.au" TargetMode="External"/><Relationship Id="rId355" Type="http://schemas.openxmlformats.org/officeDocument/2006/relationships/hyperlink" Target="http://cartermedia.com.au" TargetMode="External"/><Relationship Id="rId476" Type="http://schemas.openxmlformats.org/officeDocument/2006/relationships/hyperlink" Target="http://bmgww.com" TargetMode="External"/><Relationship Id="rId597" Type="http://schemas.openxmlformats.org/officeDocument/2006/relationships/hyperlink" Target="http://paperstack.com.au" TargetMode="External"/><Relationship Id="rId112" Type="http://schemas.openxmlformats.org/officeDocument/2006/relationships/hyperlink" Target="http://zibdigital.com.au" TargetMode="External"/><Relationship Id="rId233" Type="http://schemas.openxmlformats.org/officeDocument/2006/relationships/hyperlink" Target="http://airstack.ai" TargetMode="External"/><Relationship Id="rId354" Type="http://schemas.openxmlformats.org/officeDocument/2006/relationships/hyperlink" Target="http://brandinginasia.com" TargetMode="External"/><Relationship Id="rId475" Type="http://schemas.openxmlformats.org/officeDocument/2006/relationships/hyperlink" Target="http://bizwisdom.com.au" TargetMode="External"/><Relationship Id="rId596" Type="http://schemas.openxmlformats.org/officeDocument/2006/relationships/hyperlink" Target="http://osher.com.au" TargetMode="External"/><Relationship Id="rId111" Type="http://schemas.openxmlformats.org/officeDocument/2006/relationships/hyperlink" Target="http://adbeacon.com" TargetMode="External"/><Relationship Id="rId232" Type="http://schemas.openxmlformats.org/officeDocument/2006/relationships/hyperlink" Target="http://digitxl.com.au" TargetMode="External"/><Relationship Id="rId353" Type="http://schemas.openxmlformats.org/officeDocument/2006/relationships/hyperlink" Target="http://braive.com.au" TargetMode="External"/><Relationship Id="rId474" Type="http://schemas.openxmlformats.org/officeDocument/2006/relationships/hyperlink" Target="http://birdeye.com" TargetMode="External"/><Relationship Id="rId595" Type="http://schemas.openxmlformats.org/officeDocument/2006/relationships/hyperlink" Target="http://optimising.com.au" TargetMode="External"/><Relationship Id="rId305" Type="http://schemas.openxmlformats.org/officeDocument/2006/relationships/hyperlink" Target="http://indigosystems.au" TargetMode="External"/><Relationship Id="rId426" Type="http://schemas.openxmlformats.org/officeDocument/2006/relationships/hyperlink" Target="http://businessage.com" TargetMode="External"/><Relationship Id="rId547" Type="http://schemas.openxmlformats.org/officeDocument/2006/relationships/hyperlink" Target="http://insighten.com.au" TargetMode="External"/><Relationship Id="rId304" Type="http://schemas.openxmlformats.org/officeDocument/2006/relationships/hyperlink" Target="http://improvado.io" TargetMode="External"/><Relationship Id="rId425" Type="http://schemas.openxmlformats.org/officeDocument/2006/relationships/hyperlink" Target="http://wpp.com" TargetMode="External"/><Relationship Id="rId546" Type="http://schemas.openxmlformats.org/officeDocument/2006/relationships/hyperlink" Target="http://infokus.com.au" TargetMode="External"/><Relationship Id="rId303" Type="http://schemas.openxmlformats.org/officeDocument/2006/relationships/hyperlink" Target="http://hotwireglobal.com.au" TargetMode="External"/><Relationship Id="rId424" Type="http://schemas.openxmlformats.org/officeDocument/2006/relationships/hyperlink" Target="http://youfinddigital.com" TargetMode="External"/><Relationship Id="rId545" Type="http://schemas.openxmlformats.org/officeDocument/2006/relationships/hyperlink" Target="http://influencer-hero.com" TargetMode="External"/><Relationship Id="rId302" Type="http://schemas.openxmlformats.org/officeDocument/2006/relationships/hyperlink" Target="http://havstrategy.com" TargetMode="External"/><Relationship Id="rId423" Type="http://schemas.openxmlformats.org/officeDocument/2006/relationships/hyperlink" Target="http://yaanidigital.com" TargetMode="External"/><Relationship Id="rId544" Type="http://schemas.openxmlformats.org/officeDocument/2006/relationships/hyperlink" Target="http://indexandomarketing.com" TargetMode="External"/><Relationship Id="rId309" Type="http://schemas.openxmlformats.org/officeDocument/2006/relationships/hyperlink" Target="http://marshalltech.io" TargetMode="External"/><Relationship Id="rId308" Type="http://schemas.openxmlformats.org/officeDocument/2006/relationships/hyperlink" Target="http://louddays.com" TargetMode="External"/><Relationship Id="rId429" Type="http://schemas.openxmlformats.org/officeDocument/2006/relationships/hyperlink" Target="http://allgeo.com.au" TargetMode="External"/><Relationship Id="rId307" Type="http://schemas.openxmlformats.org/officeDocument/2006/relationships/hyperlink" Target="http://linea-analytics.com" TargetMode="External"/><Relationship Id="rId428" Type="http://schemas.openxmlformats.org/officeDocument/2006/relationships/hyperlink" Target="http://adma.com.au" TargetMode="External"/><Relationship Id="rId549" Type="http://schemas.openxmlformats.org/officeDocument/2006/relationships/hyperlink" Target="http://interteammarketing.com" TargetMode="External"/><Relationship Id="rId306" Type="http://schemas.openxmlformats.org/officeDocument/2006/relationships/hyperlink" Target="http://krishtechnolabs.com" TargetMode="External"/><Relationship Id="rId427" Type="http://schemas.openxmlformats.org/officeDocument/2006/relationships/hyperlink" Target="http://aana.com.au" TargetMode="External"/><Relationship Id="rId548" Type="http://schemas.openxmlformats.org/officeDocument/2006/relationships/hyperlink" Target="http://instagram.com" TargetMode="External"/><Relationship Id="rId660" Type="http://schemas.openxmlformats.org/officeDocument/2006/relationships/hyperlink" Target="http://wilsonai.com" TargetMode="External"/><Relationship Id="rId301" Type="http://schemas.openxmlformats.org/officeDocument/2006/relationships/hyperlink" Target="http://google.co.uk" TargetMode="External"/><Relationship Id="rId422" Type="http://schemas.openxmlformats.org/officeDocument/2006/relationships/hyperlink" Target="http://wsj.com" TargetMode="External"/><Relationship Id="rId543" Type="http://schemas.openxmlformats.org/officeDocument/2006/relationships/hyperlink" Target="http://incrmntal.com" TargetMode="External"/><Relationship Id="rId664" Type="http://schemas.openxmlformats.org/officeDocument/2006/relationships/drawing" Target="../drawings/drawing1.xml"/><Relationship Id="rId300" Type="http://schemas.openxmlformats.org/officeDocument/2006/relationships/hyperlink" Target="http://gaper.io" TargetMode="External"/><Relationship Id="rId421" Type="http://schemas.openxmlformats.org/officeDocument/2006/relationships/hyperlink" Target="http://webtonic.io" TargetMode="External"/><Relationship Id="rId542" Type="http://schemas.openxmlformats.org/officeDocument/2006/relationships/hyperlink" Target="http://iconagency.com.au" TargetMode="External"/><Relationship Id="rId663" Type="http://schemas.openxmlformats.org/officeDocument/2006/relationships/hyperlink" Target="http://zoominfo.com" TargetMode="External"/><Relationship Id="rId420" Type="http://schemas.openxmlformats.org/officeDocument/2006/relationships/hyperlink" Target="http://vtdigital.com.au" TargetMode="External"/><Relationship Id="rId541" Type="http://schemas.openxmlformats.org/officeDocument/2006/relationships/hyperlink" Target="http://ichelonconsulting.com" TargetMode="External"/><Relationship Id="rId662" Type="http://schemas.openxmlformats.org/officeDocument/2006/relationships/hyperlink" Target="http://yelp.com" TargetMode="External"/><Relationship Id="rId540" Type="http://schemas.openxmlformats.org/officeDocument/2006/relationships/hyperlink" Target="http://i4s.au" TargetMode="External"/><Relationship Id="rId661" Type="http://schemas.openxmlformats.org/officeDocument/2006/relationships/hyperlink" Target="http://wmegroup.com.au" TargetMode="External"/><Relationship Id="rId415" Type="http://schemas.openxmlformats.org/officeDocument/2006/relationships/hyperlink" Target="http://thehypesociety.com.au" TargetMode="External"/><Relationship Id="rId536" Type="http://schemas.openxmlformats.org/officeDocument/2006/relationships/hyperlink" Target="http://hirewithnear.com" TargetMode="External"/><Relationship Id="rId657" Type="http://schemas.openxmlformats.org/officeDocument/2006/relationships/hyperlink" Target="http://webplanners.com.au" TargetMode="External"/><Relationship Id="rId414" Type="http://schemas.openxmlformats.org/officeDocument/2006/relationships/hyperlink" Target="http://techyflavors.com" TargetMode="External"/><Relationship Id="rId535" Type="http://schemas.openxmlformats.org/officeDocument/2006/relationships/hyperlink" Target="http://hindsight.com.au" TargetMode="External"/><Relationship Id="rId656" Type="http://schemas.openxmlformats.org/officeDocument/2006/relationships/hyperlink" Target="http://vonnimedia.com.au" TargetMode="External"/><Relationship Id="rId413" Type="http://schemas.openxmlformats.org/officeDocument/2006/relationships/hyperlink" Target="http://stantec.com" TargetMode="External"/><Relationship Id="rId534" Type="http://schemas.openxmlformats.org/officeDocument/2006/relationships/hyperlink" Target="http://hellopeople.com.au" TargetMode="External"/><Relationship Id="rId655" Type="http://schemas.openxmlformats.org/officeDocument/2006/relationships/hyperlink" Target="http://vegavid.com" TargetMode="External"/><Relationship Id="rId412" Type="http://schemas.openxmlformats.org/officeDocument/2006/relationships/hyperlink" Target="http://singlegrain.com" TargetMode="External"/><Relationship Id="rId533" Type="http://schemas.openxmlformats.org/officeDocument/2006/relationships/hyperlink" Target="http://hedgehogmarketing.com.au" TargetMode="External"/><Relationship Id="rId654" Type="http://schemas.openxmlformats.org/officeDocument/2006/relationships/hyperlink" Target="http://v2.ai" TargetMode="External"/><Relationship Id="rId419" Type="http://schemas.openxmlformats.org/officeDocument/2006/relationships/hyperlink" Target="http://unglobalcompact.org.au" TargetMode="External"/><Relationship Id="rId418" Type="http://schemas.openxmlformats.org/officeDocument/2006/relationships/hyperlink" Target="http://umitech.com.au" TargetMode="External"/><Relationship Id="rId539" Type="http://schemas.openxmlformats.org/officeDocument/2006/relationships/hyperlink" Target="http://humanova.com.au" TargetMode="External"/><Relationship Id="rId417" Type="http://schemas.openxmlformats.org/officeDocument/2006/relationships/hyperlink" Target="http://tridant.com" TargetMode="External"/><Relationship Id="rId538" Type="http://schemas.openxmlformats.org/officeDocument/2006/relationships/hyperlink" Target="http://honchosearch.com" TargetMode="External"/><Relationship Id="rId659" Type="http://schemas.openxmlformats.org/officeDocument/2006/relationships/hyperlink" Target="http://whitehatagency.com.au" TargetMode="External"/><Relationship Id="rId416" Type="http://schemas.openxmlformats.org/officeDocument/2006/relationships/hyperlink" Target="http://theravenlabs.com" TargetMode="External"/><Relationship Id="rId537" Type="http://schemas.openxmlformats.org/officeDocument/2006/relationships/hyperlink" Target="http://hoefonsecurityseals.com" TargetMode="External"/><Relationship Id="rId658" Type="http://schemas.openxmlformats.org/officeDocument/2006/relationships/hyperlink" Target="http://werankle.com" TargetMode="External"/><Relationship Id="rId411" Type="http://schemas.openxmlformats.org/officeDocument/2006/relationships/hyperlink" Target="http://seoworks.com" TargetMode="External"/><Relationship Id="rId532" Type="http://schemas.openxmlformats.org/officeDocument/2006/relationships/hyperlink" Target="http://havas.com" TargetMode="External"/><Relationship Id="rId653" Type="http://schemas.openxmlformats.org/officeDocument/2006/relationships/hyperlink" Target="http://urbanbased.com.au" TargetMode="External"/><Relationship Id="rId410" Type="http://schemas.openxmlformats.org/officeDocument/2006/relationships/hyperlink" Target="http://searchministry.au" TargetMode="External"/><Relationship Id="rId531" Type="http://schemas.openxmlformats.org/officeDocument/2006/relationships/hyperlink" Target="http://gtechsol.com.au" TargetMode="External"/><Relationship Id="rId652" Type="http://schemas.openxmlformats.org/officeDocument/2006/relationships/hyperlink" Target="http://upgrad.com" TargetMode="External"/><Relationship Id="rId530" Type="http://schemas.openxmlformats.org/officeDocument/2006/relationships/hyperlink" Target="http://growthaffect.com.au" TargetMode="External"/><Relationship Id="rId651" Type="http://schemas.openxmlformats.org/officeDocument/2006/relationships/hyperlink" Target="http://unify.net.au" TargetMode="External"/><Relationship Id="rId650" Type="http://schemas.openxmlformats.org/officeDocument/2006/relationships/hyperlink" Target="http://tussledigital.com" TargetMode="External"/><Relationship Id="rId206" Type="http://schemas.openxmlformats.org/officeDocument/2006/relationships/hyperlink" Target="http://onelittleweb.com" TargetMode="External"/><Relationship Id="rId327" Type="http://schemas.openxmlformats.org/officeDocument/2006/relationships/hyperlink" Target="http://thefrontdigital.com.au" TargetMode="External"/><Relationship Id="rId448" Type="http://schemas.openxmlformats.org/officeDocument/2006/relationships/hyperlink" Target="http://adsoftheworld.com" TargetMode="External"/><Relationship Id="rId569" Type="http://schemas.openxmlformats.org/officeDocument/2006/relationships/hyperlink" Target="http://louder.com.au" TargetMode="External"/><Relationship Id="rId205" Type="http://schemas.openxmlformats.org/officeDocument/2006/relationships/hyperlink" Target="http://one-x.au" TargetMode="External"/><Relationship Id="rId326" Type="http://schemas.openxmlformats.org/officeDocument/2006/relationships/hyperlink" Target="http://techbullion.com" TargetMode="External"/><Relationship Id="rId447" Type="http://schemas.openxmlformats.org/officeDocument/2006/relationships/hyperlink" Target="http://adobe.com" TargetMode="External"/><Relationship Id="rId568" Type="http://schemas.openxmlformats.org/officeDocument/2006/relationships/hyperlink" Target="http://localiq.com" TargetMode="External"/><Relationship Id="rId204" Type="http://schemas.openxmlformats.org/officeDocument/2006/relationships/hyperlink" Target="http://nuundigital.com" TargetMode="External"/><Relationship Id="rId325" Type="http://schemas.openxmlformats.org/officeDocument/2006/relationships/hyperlink" Target="http://tamedmarketing.com.au" TargetMode="External"/><Relationship Id="rId446" Type="http://schemas.openxmlformats.org/officeDocument/2006/relationships/hyperlink" Target="http://adelaidemetrics.com" TargetMode="External"/><Relationship Id="rId567" Type="http://schemas.openxmlformats.org/officeDocument/2006/relationships/hyperlink" Target="http://lightningventures.com.au" TargetMode="External"/><Relationship Id="rId203" Type="http://schemas.openxmlformats.org/officeDocument/2006/relationships/hyperlink" Target="http://multimediax.com.au" TargetMode="External"/><Relationship Id="rId324" Type="http://schemas.openxmlformats.org/officeDocument/2006/relationships/hyperlink" Target="http://socialchameleon.com" TargetMode="External"/><Relationship Id="rId445" Type="http://schemas.openxmlformats.org/officeDocument/2006/relationships/hyperlink" Target="http://addaptive.com.au" TargetMode="External"/><Relationship Id="rId566" Type="http://schemas.openxmlformats.org/officeDocument/2006/relationships/hyperlink" Target="http://leaddigital.com.au" TargetMode="External"/><Relationship Id="rId209" Type="http://schemas.openxmlformats.org/officeDocument/2006/relationships/hyperlink" Target="http://synap.au" TargetMode="External"/><Relationship Id="rId208" Type="http://schemas.openxmlformats.org/officeDocument/2006/relationships/hyperlink" Target="http://simplyai.com.au" TargetMode="External"/><Relationship Id="rId329" Type="http://schemas.openxmlformats.org/officeDocument/2006/relationships/hyperlink" Target="http://upcity.com" TargetMode="External"/><Relationship Id="rId207" Type="http://schemas.openxmlformats.org/officeDocument/2006/relationships/hyperlink" Target="http://pinemarsh.com" TargetMode="External"/><Relationship Id="rId328" Type="http://schemas.openxmlformats.org/officeDocument/2006/relationships/hyperlink" Target="http://theonlinegroup.com.au" TargetMode="External"/><Relationship Id="rId449" Type="http://schemas.openxmlformats.org/officeDocument/2006/relationships/hyperlink" Target="http://advertisingcouncil.org.au" TargetMode="External"/><Relationship Id="rId440" Type="http://schemas.openxmlformats.org/officeDocument/2006/relationships/hyperlink" Target="http://abbacustechnologies.com" TargetMode="External"/><Relationship Id="rId561" Type="http://schemas.openxmlformats.org/officeDocument/2006/relationships/hyperlink" Target="http://kingkong.co" TargetMode="External"/><Relationship Id="rId560" Type="http://schemas.openxmlformats.org/officeDocument/2006/relationships/hyperlink" Target="http://kineticconsulting.com.au" TargetMode="External"/><Relationship Id="rId202" Type="http://schemas.openxmlformats.org/officeDocument/2006/relationships/hyperlink" Target="http://marketixdigital.com.au" TargetMode="External"/><Relationship Id="rId323" Type="http://schemas.openxmlformats.org/officeDocument/2006/relationships/hyperlink" Target="http://seocompare.co.uk" TargetMode="External"/><Relationship Id="rId444" Type="http://schemas.openxmlformats.org/officeDocument/2006/relationships/hyperlink" Target="http://activfreight.com.au" TargetMode="External"/><Relationship Id="rId565" Type="http://schemas.openxmlformats.org/officeDocument/2006/relationships/hyperlink" Target="http://kwasi.com" TargetMode="External"/><Relationship Id="rId201" Type="http://schemas.openxmlformats.org/officeDocument/2006/relationships/hyperlink" Target="http://mantelgroup.com.au" TargetMode="External"/><Relationship Id="rId322" Type="http://schemas.openxmlformats.org/officeDocument/2006/relationships/hyperlink" Target="http://sensedatalab.com.au" TargetMode="External"/><Relationship Id="rId443" Type="http://schemas.openxmlformats.org/officeDocument/2006/relationships/hyperlink" Target="http://accuracast.com" TargetMode="External"/><Relationship Id="rId564" Type="http://schemas.openxmlformats.org/officeDocument/2006/relationships/hyperlink" Target="http://kuehne-nagel.com" TargetMode="External"/><Relationship Id="rId200" Type="http://schemas.openxmlformats.org/officeDocument/2006/relationships/hyperlink" Target="http://latentview.com" TargetMode="External"/><Relationship Id="rId321" Type="http://schemas.openxmlformats.org/officeDocument/2006/relationships/hyperlink" Target="http://searchagency.com.au" TargetMode="External"/><Relationship Id="rId442" Type="http://schemas.openxmlformats.org/officeDocument/2006/relationships/hyperlink" Target="http://accenture.com" TargetMode="External"/><Relationship Id="rId563" Type="http://schemas.openxmlformats.org/officeDocument/2006/relationships/hyperlink" Target="http://kodedigital.com.au" TargetMode="External"/><Relationship Id="rId320" Type="http://schemas.openxmlformats.org/officeDocument/2006/relationships/hyperlink" Target="http://risexventuress.com" TargetMode="External"/><Relationship Id="rId441" Type="http://schemas.openxmlformats.org/officeDocument/2006/relationships/hyperlink" Target="http://abf.gov.au" TargetMode="External"/><Relationship Id="rId562" Type="http://schemas.openxmlformats.org/officeDocument/2006/relationships/hyperlink" Target="http://koadigital.com.au" TargetMode="External"/><Relationship Id="rId316" Type="http://schemas.openxmlformats.org/officeDocument/2006/relationships/hyperlink" Target="http://performancemarketer.com.au" TargetMode="External"/><Relationship Id="rId437" Type="http://schemas.openxmlformats.org/officeDocument/2006/relationships/hyperlink" Target="http://websavvy.com.au" TargetMode="External"/><Relationship Id="rId558" Type="http://schemas.openxmlformats.org/officeDocument/2006/relationships/hyperlink" Target="http://kersai.com" TargetMode="External"/><Relationship Id="rId315" Type="http://schemas.openxmlformats.org/officeDocument/2006/relationships/hyperlink" Target="http://outgrow.co" TargetMode="External"/><Relationship Id="rId436" Type="http://schemas.openxmlformats.org/officeDocument/2006/relationships/hyperlink" Target="http://nature.com.au" TargetMode="External"/><Relationship Id="rId557" Type="http://schemas.openxmlformats.org/officeDocument/2006/relationships/hyperlink" Target="http://kamexa.ai" TargetMode="External"/><Relationship Id="rId314" Type="http://schemas.openxmlformats.org/officeDocument/2006/relationships/hyperlink" Target="http://ocmsolution.com" TargetMode="External"/><Relationship Id="rId435" Type="http://schemas.openxmlformats.org/officeDocument/2006/relationships/hyperlink" Target="http://merkle.com" TargetMode="External"/><Relationship Id="rId556" Type="http://schemas.openxmlformats.org/officeDocument/2006/relationships/hyperlink" Target="http://jbedigital.com.au" TargetMode="External"/><Relationship Id="rId313" Type="http://schemas.openxmlformats.org/officeDocument/2006/relationships/hyperlink" Target="http://niftymarketing.com.au" TargetMode="External"/><Relationship Id="rId434" Type="http://schemas.openxmlformats.org/officeDocument/2006/relationships/hyperlink" Target="http://lambagency.com.au" TargetMode="External"/><Relationship Id="rId555" Type="http://schemas.openxmlformats.org/officeDocument/2006/relationships/hyperlink" Target="http://jacinthsolutions.com.au" TargetMode="External"/><Relationship Id="rId319" Type="http://schemas.openxmlformats.org/officeDocument/2006/relationships/hyperlink" Target="http://pwd.com.au" TargetMode="External"/><Relationship Id="rId318" Type="http://schemas.openxmlformats.org/officeDocument/2006/relationships/hyperlink" Target="http://prwire.com.au" TargetMode="External"/><Relationship Id="rId439" Type="http://schemas.openxmlformats.org/officeDocument/2006/relationships/hyperlink" Target="http://aamax.co" TargetMode="External"/><Relationship Id="rId317" Type="http://schemas.openxmlformats.org/officeDocument/2006/relationships/hyperlink" Target="http://primedaiconsulting.com" TargetMode="External"/><Relationship Id="rId438" Type="http://schemas.openxmlformats.org/officeDocument/2006/relationships/hyperlink" Target="http://6sense.com" TargetMode="External"/><Relationship Id="rId559" Type="http://schemas.openxmlformats.org/officeDocument/2006/relationships/hyperlink" Target="http://keyspace.com.au" TargetMode="External"/><Relationship Id="rId550" Type="http://schemas.openxmlformats.org/officeDocument/2006/relationships/hyperlink" Target="http://invademarketing.com" TargetMode="External"/><Relationship Id="rId312" Type="http://schemas.openxmlformats.org/officeDocument/2006/relationships/hyperlink" Target="http://nexit.com.au" TargetMode="External"/><Relationship Id="rId433" Type="http://schemas.openxmlformats.org/officeDocument/2006/relationships/hyperlink" Target="http://incubeta.com" TargetMode="External"/><Relationship Id="rId554" Type="http://schemas.openxmlformats.org/officeDocument/2006/relationships/hyperlink" Target="http://itbrief.com.au" TargetMode="External"/><Relationship Id="rId311" Type="http://schemas.openxmlformats.org/officeDocument/2006/relationships/hyperlink" Target="http://mutinex.co" TargetMode="External"/><Relationship Id="rId432" Type="http://schemas.openxmlformats.org/officeDocument/2006/relationships/hyperlink" Target="http://edgeangel.co" TargetMode="External"/><Relationship Id="rId553" Type="http://schemas.openxmlformats.org/officeDocument/2006/relationships/hyperlink" Target="http://itbrief.asia" TargetMode="External"/><Relationship Id="rId310" Type="http://schemas.openxmlformats.org/officeDocument/2006/relationships/hyperlink" Target="http://miniloop.ai" TargetMode="External"/><Relationship Id="rId431" Type="http://schemas.openxmlformats.org/officeDocument/2006/relationships/hyperlink" Target="http://douglaspartners.com.au" TargetMode="External"/><Relationship Id="rId552" Type="http://schemas.openxmlformats.org/officeDocument/2006/relationships/hyperlink" Target="http://ironpathinteractive.com.au" TargetMode="External"/><Relationship Id="rId430" Type="http://schemas.openxmlformats.org/officeDocument/2006/relationships/hyperlink" Target="http://analyticpartners.com" TargetMode="External"/><Relationship Id="rId551" Type="http://schemas.openxmlformats.org/officeDocument/2006/relationships/hyperlink" Target="http://ipsos.com"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stellaheystella.com/blog/incrementality-testing-platforms-the-complete-guide-to-measuring-true-marketing-impact-2025" TargetMode="External"/><Relationship Id="rId391" Type="http://schemas.openxmlformats.org/officeDocument/2006/relationships/hyperlink" Target="http://semrush.com" TargetMode="External"/><Relationship Id="rId390" Type="http://schemas.openxmlformats.org/officeDocument/2006/relationships/hyperlink" Target="https://www.semrush.com/agencies/list/display-advertising/australia/" TargetMode="External"/><Relationship Id="rId1" Type="http://schemas.openxmlformats.org/officeDocument/2006/relationships/hyperlink" Target="https://www.23digital.com.au/top-13-full-service-digital-marketing-agencies-in-australia/" TargetMode="External"/><Relationship Id="rId2" Type="http://schemas.openxmlformats.org/officeDocument/2006/relationships/hyperlink" Target="http://23digital.com.au" TargetMode="External"/><Relationship Id="rId3" Type="http://schemas.openxmlformats.org/officeDocument/2006/relationships/hyperlink" Target="https://agencies.semrush.com/list/australia/" TargetMode="External"/><Relationship Id="rId4" Type="http://schemas.openxmlformats.org/officeDocument/2006/relationships/hyperlink" Target="http://semrush.com" TargetMode="External"/><Relationship Id="rId2180" Type="http://schemas.openxmlformats.org/officeDocument/2006/relationships/hyperlink" Target="http://instagram.com" TargetMode="External"/><Relationship Id="rId2181" Type="http://schemas.openxmlformats.org/officeDocument/2006/relationships/hyperlink" Target="https://www.intelliagent.com.au/about" TargetMode="External"/><Relationship Id="rId2182" Type="http://schemas.openxmlformats.org/officeDocument/2006/relationships/hyperlink" Target="http://intelliagent.com.au" TargetMode="External"/><Relationship Id="rId2183" Type="http://schemas.openxmlformats.org/officeDocument/2006/relationships/hyperlink" Target="https://intelligentresourcing.co/blogs/top-gtm-engineering-agencies-australia" TargetMode="External"/><Relationship Id="rId9" Type="http://schemas.openxmlformats.org/officeDocument/2006/relationships/hyperlink" Target="https://www.adcore.com/blog/top-10-digital-marketing-agencies-in-australia/" TargetMode="External"/><Relationship Id="rId385" Type="http://schemas.openxmlformats.org/officeDocument/2006/relationships/hyperlink" Target="http://horntech.com.au" TargetMode="External"/><Relationship Id="rId2184" Type="http://schemas.openxmlformats.org/officeDocument/2006/relationships/hyperlink" Target="http://intelligentresourcing.co" TargetMode="External"/><Relationship Id="rId384" Type="http://schemas.openxmlformats.org/officeDocument/2006/relationships/hyperlink" Target="https://horntech.com.au/ai-search-optimization/" TargetMode="External"/><Relationship Id="rId2185" Type="http://schemas.openxmlformats.org/officeDocument/2006/relationships/hyperlink" Target="https://www.interteammarketing.com/blog/best-b2b-ppc-agencies" TargetMode="External"/><Relationship Id="rId383" Type="http://schemas.openxmlformats.org/officeDocument/2006/relationships/hyperlink" Target="http://growthmanager.ai" TargetMode="External"/><Relationship Id="rId2186" Type="http://schemas.openxmlformats.org/officeDocument/2006/relationships/hyperlink" Target="http://interteammarketing.com" TargetMode="External"/><Relationship Id="rId382" Type="http://schemas.openxmlformats.org/officeDocument/2006/relationships/hyperlink" Target="https://growthmanager.ai/best-geo-agency" TargetMode="External"/><Relationship Id="rId2187" Type="http://schemas.openxmlformats.org/officeDocument/2006/relationships/hyperlink" Target="https://www.intesols.com.au/services/ai-seo-agency/" TargetMode="External"/><Relationship Id="rId5" Type="http://schemas.openxmlformats.org/officeDocument/2006/relationships/hyperlink" Target="https://digitalnomadshq.com.au/blog/top-digital-marketing-agencies/" TargetMode="External"/><Relationship Id="rId389" Type="http://schemas.openxmlformats.org/officeDocument/2006/relationships/hyperlink" Target="http://realmindsai.com.au" TargetMode="External"/><Relationship Id="rId2188" Type="http://schemas.openxmlformats.org/officeDocument/2006/relationships/hyperlink" Target="http://intesols.com.au" TargetMode="External"/><Relationship Id="rId6" Type="http://schemas.openxmlformats.org/officeDocument/2006/relationships/hyperlink" Target="http://digitalnomadshq.com.au" TargetMode="External"/><Relationship Id="rId388" Type="http://schemas.openxmlformats.org/officeDocument/2006/relationships/hyperlink" Target="https://realmindsai.com.au/ai-consulting-melbourne/" TargetMode="External"/><Relationship Id="rId2189" Type="http://schemas.openxmlformats.org/officeDocument/2006/relationships/hyperlink" Target="https://invademarketing.com/top-rated-digital-marketing-agencies-australia/" TargetMode="External"/><Relationship Id="rId7" Type="http://schemas.openxmlformats.org/officeDocument/2006/relationships/hyperlink" Target="https://clutch.co/au/agencies/digital-marketing" TargetMode="External"/><Relationship Id="rId387" Type="http://schemas.openxmlformats.org/officeDocument/2006/relationships/hyperlink" Target="http://mayple.com" TargetMode="External"/><Relationship Id="rId8" Type="http://schemas.openxmlformats.org/officeDocument/2006/relationships/hyperlink" Target="http://clutch.co" TargetMode="External"/><Relationship Id="rId386" Type="http://schemas.openxmlformats.org/officeDocument/2006/relationships/hyperlink" Target="https://www.mayple.com/resources/social-media-marketing/social-media-agencies-australia" TargetMode="External"/><Relationship Id="rId381" Type="http://schemas.openxmlformats.org/officeDocument/2006/relationships/hyperlink" Target="http://elioplus.com" TargetMode="External"/><Relationship Id="rId380" Type="http://schemas.openxmlformats.org/officeDocument/2006/relationships/hyperlink" Target="https://elioplus.com/asia-pacific/australia/channel-partners/google" TargetMode="External"/><Relationship Id="rId379" Type="http://schemas.openxmlformats.org/officeDocument/2006/relationships/hyperlink" Target="http://edisonmoment.com" TargetMode="External"/><Relationship Id="rId2170" Type="http://schemas.openxmlformats.org/officeDocument/2006/relationships/hyperlink" Target="http://infokus.com.au" TargetMode="External"/><Relationship Id="rId2171" Type="http://schemas.openxmlformats.org/officeDocument/2006/relationships/hyperlink" Target="https://inmarketingwetrust.com.au/ai-agentic/ai-discovery/" TargetMode="External"/><Relationship Id="rId2172" Type="http://schemas.openxmlformats.org/officeDocument/2006/relationships/hyperlink" Target="http://inmarketingwetrust.com.au" TargetMode="External"/><Relationship Id="rId374" Type="http://schemas.openxmlformats.org/officeDocument/2006/relationships/hyperlink" Target="https://digitaldigest.au/google-ads-agencies/" TargetMode="External"/><Relationship Id="rId2173" Type="http://schemas.openxmlformats.org/officeDocument/2006/relationships/hyperlink" Target="https://inmarketingwetrust.com.au/contact/" TargetMode="External"/><Relationship Id="rId373" Type="http://schemas.openxmlformats.org/officeDocument/2006/relationships/hyperlink" Target="http://clutch.co" TargetMode="External"/><Relationship Id="rId2174" Type="http://schemas.openxmlformats.org/officeDocument/2006/relationships/hyperlink" Target="http://inmarketingwetrust.com.au" TargetMode="External"/><Relationship Id="rId372" Type="http://schemas.openxmlformats.org/officeDocument/2006/relationships/hyperlink" Target="https://clutch.co/au/agencies/digital" TargetMode="External"/><Relationship Id="rId2175" Type="http://schemas.openxmlformats.org/officeDocument/2006/relationships/hyperlink" Target="https://inmarketingwetrust.com.au/reverse-engineering-the-dark-funnel/" TargetMode="External"/><Relationship Id="rId371" Type="http://schemas.openxmlformats.org/officeDocument/2006/relationships/hyperlink" Target="http://cleveraussie.com" TargetMode="External"/><Relationship Id="rId2176" Type="http://schemas.openxmlformats.org/officeDocument/2006/relationships/hyperlink" Target="http://inmarketingwetrust.com.au" TargetMode="External"/><Relationship Id="rId378" Type="http://schemas.openxmlformats.org/officeDocument/2006/relationships/hyperlink" Target="https://edisonmoment.com/agency/best/performance-marketing-agency-australia" TargetMode="External"/><Relationship Id="rId2177" Type="http://schemas.openxmlformats.org/officeDocument/2006/relationships/hyperlink" Target="https://www.insighten.com.au/media-attribution" TargetMode="External"/><Relationship Id="rId377" Type="http://schemas.openxmlformats.org/officeDocument/2006/relationships/hyperlink" Target="http://edisonai.au" TargetMode="External"/><Relationship Id="rId2178" Type="http://schemas.openxmlformats.org/officeDocument/2006/relationships/hyperlink" Target="http://insighten.com.au" TargetMode="External"/><Relationship Id="rId376" Type="http://schemas.openxmlformats.org/officeDocument/2006/relationships/hyperlink" Target="https://edisonai.au/insights/best-ai-consulting-firms-in-australia" TargetMode="External"/><Relationship Id="rId2179" Type="http://schemas.openxmlformats.org/officeDocument/2006/relationships/hyperlink" Target="https://www.instagram.com/p/DWmua7IDz4F/" TargetMode="External"/><Relationship Id="rId375" Type="http://schemas.openxmlformats.org/officeDocument/2006/relationships/hyperlink" Target="http://digitaldigest.au" TargetMode="External"/><Relationship Id="rId2190" Type="http://schemas.openxmlformats.org/officeDocument/2006/relationships/hyperlink" Target="http://invademarketing.com" TargetMode="External"/><Relationship Id="rId2191" Type="http://schemas.openxmlformats.org/officeDocument/2006/relationships/hyperlink" Target="https://www.ipsos.com/en-au/unified-marketing-measurement-optimisation-mta" TargetMode="External"/><Relationship Id="rId2192" Type="http://schemas.openxmlformats.org/officeDocument/2006/relationships/hyperlink" Target="http://ipsos.com" TargetMode="External"/><Relationship Id="rId2193" Type="http://schemas.openxmlformats.org/officeDocument/2006/relationships/hyperlink" Target="https://ironpathinteractive.com.au/performance-marketing-agency-sydney" TargetMode="External"/><Relationship Id="rId2194" Type="http://schemas.openxmlformats.org/officeDocument/2006/relationships/hyperlink" Target="http://ironpathinteractive.com.au" TargetMode="External"/><Relationship Id="rId396" Type="http://schemas.openxmlformats.org/officeDocument/2006/relationships/hyperlink" Target="https://techbehemoths.com/companies/google-marketing-platform/australia" TargetMode="External"/><Relationship Id="rId2195" Type="http://schemas.openxmlformats.org/officeDocument/2006/relationships/hyperlink" Target="https://itbrief.asia/story/in-marketing-we-trust-unveils-new-leaders-advisory-board" TargetMode="External"/><Relationship Id="rId395" Type="http://schemas.openxmlformats.org/officeDocument/2006/relationships/hyperlink" Target="http://supermetrics.com" TargetMode="External"/><Relationship Id="rId2196" Type="http://schemas.openxmlformats.org/officeDocument/2006/relationships/hyperlink" Target="http://itbrief.asia" TargetMode="External"/><Relationship Id="rId394" Type="http://schemas.openxmlformats.org/officeDocument/2006/relationships/hyperlink" Target="https://supermetrics.com/blog/incrementality-testing" TargetMode="External"/><Relationship Id="rId2197" Type="http://schemas.openxmlformats.org/officeDocument/2006/relationships/hyperlink" Target="https://itbrief.com.au/story/australian-marketers-eager-on-ai-but-most-lack-readiness-report-finds" TargetMode="External"/><Relationship Id="rId393" Type="http://schemas.openxmlformats.org/officeDocument/2006/relationships/hyperlink" Target="http://stellaheystella.com" TargetMode="External"/><Relationship Id="rId2198" Type="http://schemas.openxmlformats.org/officeDocument/2006/relationships/hyperlink" Target="http://itbrief.com.au" TargetMode="External"/><Relationship Id="rId2199" Type="http://schemas.openxmlformats.org/officeDocument/2006/relationships/hyperlink" Target="https://itprofiles.com/services/advertising-marketing/melbourne" TargetMode="External"/><Relationship Id="rId399" Type="http://schemas.openxmlformats.org/officeDocument/2006/relationships/hyperlink" Target="http://thedigitalelevator.com" TargetMode="External"/><Relationship Id="rId398" Type="http://schemas.openxmlformats.org/officeDocument/2006/relationships/hyperlink" Target="https://thedigitalelevator.com/blog/best-generative-engine-optimization-geo-agencies/" TargetMode="External"/><Relationship Id="rId397" Type="http://schemas.openxmlformats.org/officeDocument/2006/relationships/hyperlink" Target="http://techbehemoths.com" TargetMode="External"/><Relationship Id="rId1730" Type="http://schemas.openxmlformats.org/officeDocument/2006/relationships/hyperlink" Target="https://benchmedia.com/paid-media/display-advertising/" TargetMode="External"/><Relationship Id="rId1731" Type="http://schemas.openxmlformats.org/officeDocument/2006/relationships/hyperlink" Target="http://benchmedia.com" TargetMode="External"/><Relationship Id="rId1732" Type="http://schemas.openxmlformats.org/officeDocument/2006/relationships/hyperlink" Target="https://bestanswerengineoptimizationservices.com/" TargetMode="External"/><Relationship Id="rId1733" Type="http://schemas.openxmlformats.org/officeDocument/2006/relationships/hyperlink" Target="http://bestanswerengineoptimizationservices.com" TargetMode="External"/><Relationship Id="rId1734" Type="http://schemas.openxmlformats.org/officeDocument/2006/relationships/hyperlink" Target="https://bestgeoagency.com.au/guides/8-best-geo-agencies-for-b2b-and-expert-led-companies/" TargetMode="External"/><Relationship Id="rId1735" Type="http://schemas.openxmlformats.org/officeDocument/2006/relationships/hyperlink" Target="http://bestgeoagency.com.au" TargetMode="External"/><Relationship Id="rId1736" Type="http://schemas.openxmlformats.org/officeDocument/2006/relationships/hyperlink" Target="https://birdeye.com/blog/social-media-marketing-companies-australia/" TargetMode="External"/><Relationship Id="rId1737" Type="http://schemas.openxmlformats.org/officeDocument/2006/relationships/hyperlink" Target="http://birdeye.com" TargetMode="External"/><Relationship Id="rId1738" Type="http://schemas.openxmlformats.org/officeDocument/2006/relationships/hyperlink" Target="https://www.bizwisdom.com.au/services/display-advertising/" TargetMode="External"/><Relationship Id="rId1739" Type="http://schemas.openxmlformats.org/officeDocument/2006/relationships/hyperlink" Target="http://bizwisdom.com.au" TargetMode="External"/><Relationship Id="rId1720" Type="http://schemas.openxmlformats.org/officeDocument/2006/relationships/hyperlink" Target="https://www.bandt.com.au/special-bts-agency-scorecard-2026/" TargetMode="External"/><Relationship Id="rId1721" Type="http://schemas.openxmlformats.org/officeDocument/2006/relationships/hyperlink" Target="http://bandt.com.au" TargetMode="External"/><Relationship Id="rId1722" Type="http://schemas.openxmlformats.org/officeDocument/2006/relationships/hyperlink" Target="https://www.bandt.com.au/the-monkeys-is-dead-long-live-droga5-anz/" TargetMode="External"/><Relationship Id="rId1723" Type="http://schemas.openxmlformats.org/officeDocument/2006/relationships/hyperlink" Target="http://bandt.com.au" TargetMode="External"/><Relationship Id="rId1724" Type="http://schemas.openxmlformats.org/officeDocument/2006/relationships/hyperlink" Target="https://www.bandt.com.au/the-next-evolution-for-ground-control-data-marketing-evolution/" TargetMode="External"/><Relationship Id="rId1725" Type="http://schemas.openxmlformats.org/officeDocument/2006/relationships/hyperlink" Target="http://bandt.com.au" TargetMode="External"/><Relationship Id="rId1726" Type="http://schemas.openxmlformats.org/officeDocument/2006/relationships/hyperlink" Target="https://www.bandt.com.au/wpp-media-pulls-away-from-omnicom-essencemediacom-gains-on-leader-omd/" TargetMode="External"/><Relationship Id="rId1727" Type="http://schemas.openxmlformats.org/officeDocument/2006/relationships/hyperlink" Target="http://bandt.com.au" TargetMode="External"/><Relationship Id="rId1728" Type="http://schemas.openxmlformats.org/officeDocument/2006/relationships/hyperlink" Target="https://www.bbe.io/leading-advertising-agency-in-australia" TargetMode="External"/><Relationship Id="rId1729" Type="http://schemas.openxmlformats.org/officeDocument/2006/relationships/hyperlink" Target="http://bbe.io" TargetMode="External"/><Relationship Id="rId1752" Type="http://schemas.openxmlformats.org/officeDocument/2006/relationships/hyperlink" Target="http://bonfire.com.au" TargetMode="External"/><Relationship Id="rId1753" Type="http://schemas.openxmlformats.org/officeDocument/2006/relationships/hyperlink" Target="https://www.bonfire.com.au/services/performance-media/" TargetMode="External"/><Relationship Id="rId2600" Type="http://schemas.openxmlformats.org/officeDocument/2006/relationships/hyperlink" Target="http://thehero.co" TargetMode="External"/><Relationship Id="rId1754" Type="http://schemas.openxmlformats.org/officeDocument/2006/relationships/hyperlink" Target="http://bonfire.com.au" TargetMode="External"/><Relationship Id="rId2601" Type="http://schemas.openxmlformats.org/officeDocument/2006/relationships/hyperlink" Target="https://www.thehero.co/best/advertising/agency/australia" TargetMode="External"/><Relationship Id="rId1755" Type="http://schemas.openxmlformats.org/officeDocument/2006/relationships/hyperlink" Target="https://www.brandinginasia.com/in-marketing-we-trust-announces-leadership-promotions-and-appointments/" TargetMode="External"/><Relationship Id="rId2602" Type="http://schemas.openxmlformats.org/officeDocument/2006/relationships/hyperlink" Target="http://thehero.co" TargetMode="External"/><Relationship Id="rId1756" Type="http://schemas.openxmlformats.org/officeDocument/2006/relationships/hyperlink" Target="http://brandinginasia.com" TargetMode="External"/><Relationship Id="rId2603" Type="http://schemas.openxmlformats.org/officeDocument/2006/relationships/hyperlink" Target="https://www.thehero.co/news/advertising-marketings-best-agencies-top-sydney-2026-mumbrella-awards-list" TargetMode="External"/><Relationship Id="rId1757" Type="http://schemas.openxmlformats.org/officeDocument/2006/relationships/hyperlink" Target="https://www.brandinginasia.com/lite-n-easy-appoints-ogilvy-australia-as-agency-of-record/" TargetMode="External"/><Relationship Id="rId2604" Type="http://schemas.openxmlformats.org/officeDocument/2006/relationships/hyperlink" Target="http://thehero.co" TargetMode="External"/><Relationship Id="rId1758" Type="http://schemas.openxmlformats.org/officeDocument/2006/relationships/hyperlink" Target="http://brandinginasia.com" TargetMode="External"/><Relationship Id="rId2605" Type="http://schemas.openxmlformats.org/officeDocument/2006/relationships/hyperlink" Target="https://www.thehero.co/news/sydneys-top-ad-agencies-and-the-best-sydney-creative-agency-for-2026" TargetMode="External"/><Relationship Id="rId1759" Type="http://schemas.openxmlformats.org/officeDocument/2006/relationships/hyperlink" Target="https://brandwolfcreative.com/definitions/top-geo-companies-australia" TargetMode="External"/><Relationship Id="rId2606" Type="http://schemas.openxmlformats.org/officeDocument/2006/relationships/hyperlink" Target="http://thehero.co" TargetMode="External"/><Relationship Id="rId808" Type="http://schemas.openxmlformats.org/officeDocument/2006/relationships/hyperlink" Target="http://juicebox.com.au" TargetMode="External"/><Relationship Id="rId2607" Type="http://schemas.openxmlformats.org/officeDocument/2006/relationships/hyperlink" Target="https://www.thehero.co/news/top-10-best-ad-agency-in-sydney-leading-australia-at-wina-2026" TargetMode="External"/><Relationship Id="rId807" Type="http://schemas.openxmlformats.org/officeDocument/2006/relationships/hyperlink" Target="https://www.juicebox.com.au/generative-engine-optimisation/" TargetMode="External"/><Relationship Id="rId2608" Type="http://schemas.openxmlformats.org/officeDocument/2006/relationships/hyperlink" Target="http://thehero.co" TargetMode="External"/><Relationship Id="rId806" Type="http://schemas.openxmlformats.org/officeDocument/2006/relationships/hyperlink" Target="http://integralmind.au" TargetMode="External"/><Relationship Id="rId2609" Type="http://schemas.openxmlformats.org/officeDocument/2006/relationships/hyperlink" Target="https://www.thehero.co/services-creative-performance-ai" TargetMode="External"/><Relationship Id="rId805" Type="http://schemas.openxmlformats.org/officeDocument/2006/relationships/hyperlink" Target="https://integralmind.au/" TargetMode="External"/><Relationship Id="rId809" Type="http://schemas.openxmlformats.org/officeDocument/2006/relationships/hyperlink" Target="https://www.linkedin.com/pulse/top-ai-seo-agencies-australia-watch-year-shivanshi-rai-dpy2c" TargetMode="External"/><Relationship Id="rId800" Type="http://schemas.openxmlformats.org/officeDocument/2006/relationships/hyperlink" Target="https://homerdigitalmarketing.com/pay-per-click-agency/" TargetMode="External"/><Relationship Id="rId804" Type="http://schemas.openxmlformats.org/officeDocument/2006/relationships/hyperlink" Target="https://inbeat.agency/blog/top-marketing-analytics-agencies" TargetMode="External"/><Relationship Id="rId803" Type="http://schemas.openxmlformats.org/officeDocument/2006/relationships/hyperlink" Target="https://inbeat.agency/blog/top-digital-marketing-agencies-sydney" TargetMode="External"/><Relationship Id="rId802" Type="http://schemas.openxmlformats.org/officeDocument/2006/relationships/hyperlink" Target="https://inbeat.agency/blog/incrementality-testing" TargetMode="External"/><Relationship Id="rId801" Type="http://schemas.openxmlformats.org/officeDocument/2006/relationships/hyperlink" Target="http://homerdigitalmarketing.com" TargetMode="External"/><Relationship Id="rId1750" Type="http://schemas.openxmlformats.org/officeDocument/2006/relationships/hyperlink" Target="http://bonfire.com.au" TargetMode="External"/><Relationship Id="rId1751" Type="http://schemas.openxmlformats.org/officeDocument/2006/relationships/hyperlink" Target="https://www.bonfire.com.au/services/marketing-strategy/" TargetMode="External"/><Relationship Id="rId1741" Type="http://schemas.openxmlformats.org/officeDocument/2006/relationships/hyperlink" Target="https://www.bluesensedigital.com.au/capabilities" TargetMode="External"/><Relationship Id="rId1742" Type="http://schemas.openxmlformats.org/officeDocument/2006/relationships/hyperlink" Target="http://bluesensedigital.com.au" TargetMode="External"/><Relationship Id="rId1743" Type="http://schemas.openxmlformats.org/officeDocument/2006/relationships/hyperlink" Target="https://bmf.com.au/news/2025-mumbrella-awards/" TargetMode="External"/><Relationship Id="rId1744" Type="http://schemas.openxmlformats.org/officeDocument/2006/relationships/hyperlink" Target="http://bmf.com.au" TargetMode="External"/><Relationship Id="rId1745" Type="http://schemas.openxmlformats.org/officeDocument/2006/relationships/hyperlink" Target="https://www.bonfire.com.au/resource/bonfire-retains-google-premier-partner-status-for-10th-consecutive-year/" TargetMode="External"/><Relationship Id="rId1746" Type="http://schemas.openxmlformats.org/officeDocument/2006/relationships/hyperlink" Target="http://bonfire.com.au" TargetMode="External"/><Relationship Id="rId1747" Type="http://schemas.openxmlformats.org/officeDocument/2006/relationships/hyperlink" Target="https://www.bonfire.com.au/resource/bonfire-wins-agency-of-the-year-at-2025-ami-marketing-excellence-awards/" TargetMode="External"/><Relationship Id="rId1748" Type="http://schemas.openxmlformats.org/officeDocument/2006/relationships/hyperlink" Target="http://bonfire.com.au" TargetMode="External"/><Relationship Id="rId1749" Type="http://schemas.openxmlformats.org/officeDocument/2006/relationships/hyperlink" Target="https://www.bonfire.com.au/resource/bonfires-chelsea-craddock-wins-agency-rockstar-at-google-honours-awards/" TargetMode="External"/><Relationship Id="rId1740" Type="http://schemas.openxmlformats.org/officeDocument/2006/relationships/hyperlink" Target="https://blog.google/products/marketingplatform/360/introducing-google-marketing-platform-partners/" TargetMode="External"/><Relationship Id="rId1710" Type="http://schemas.openxmlformats.org/officeDocument/2006/relationships/hyperlink" Target="https://www.bandt.com.au/impressive-elevates-sam-makwana-to-gm-amid-slew-of-promotions/" TargetMode="External"/><Relationship Id="rId1711" Type="http://schemas.openxmlformats.org/officeDocument/2006/relationships/hyperlink" Target="http://bandt.com.au" TargetMode="External"/><Relationship Id="rId1712" Type="http://schemas.openxmlformats.org/officeDocument/2006/relationships/hyperlink" Target="https://www.bandt.com.au/match-wood-bts-agency-scorecard-2026/" TargetMode="External"/><Relationship Id="rId1713" Type="http://schemas.openxmlformats.org/officeDocument/2006/relationships/hyperlink" Target="http://bandt.com.au" TargetMode="External"/><Relationship Id="rId1714" Type="http://schemas.openxmlformats.org/officeDocument/2006/relationships/hyperlink" Target="https://www.bandt.com.au/meet-gain-theory-wpps-marketing-effectiveness-arm-targeting-australia-for-growth/" TargetMode="External"/><Relationship Id="rId1715" Type="http://schemas.openxmlformats.org/officeDocument/2006/relationships/hyperlink" Target="http://bandt.com.au" TargetMode="External"/><Relationship Id="rId1716" Type="http://schemas.openxmlformats.org/officeDocument/2006/relationships/hyperlink" Target="https://www.bandt.com.au/omnicom-resolution-digital-launch-resolution-kinetic-in-australia/" TargetMode="External"/><Relationship Id="rId1717" Type="http://schemas.openxmlformats.org/officeDocument/2006/relationships/hyperlink" Target="http://bandt.com.au" TargetMode="External"/><Relationship Id="rId1718" Type="http://schemas.openxmlformats.org/officeDocument/2006/relationships/hyperlink" Target="https://www.bandt.com.au/publicis-wpp-media-dominate-new-business-indies-quietly-climb-rankings/" TargetMode="External"/><Relationship Id="rId1719" Type="http://schemas.openxmlformats.org/officeDocument/2006/relationships/hyperlink" Target="http://bandt.com.au" TargetMode="External"/><Relationship Id="rId1700" Type="http://schemas.openxmlformats.org/officeDocument/2006/relationships/hyperlink" Target="https://www.bandt.com.au/agency-scorecard-in-marketing-we-trust/" TargetMode="External"/><Relationship Id="rId1701" Type="http://schemas.openxmlformats.org/officeDocument/2006/relationships/hyperlink" Target="http://bandt.com.au" TargetMode="External"/><Relationship Id="rId1702" Type="http://schemas.openxmlformats.org/officeDocument/2006/relationships/hyperlink" Target="https://www.bandt.com.au/bt-awards-agency-of-the-year-winners-2024/" TargetMode="External"/><Relationship Id="rId1703" Type="http://schemas.openxmlformats.org/officeDocument/2006/relationships/hyperlink" Target="http://bandt.com.au" TargetMode="External"/><Relationship Id="rId1704" Type="http://schemas.openxmlformats.org/officeDocument/2006/relationships/hyperlink" Target="https://www.bandt.com.au/bts-ones-to-watch-creative-agencies/" TargetMode="External"/><Relationship Id="rId1705" Type="http://schemas.openxmlformats.org/officeDocument/2006/relationships/hyperlink" Target="http://bandt.com.au" TargetMode="External"/><Relationship Id="rId1706" Type="http://schemas.openxmlformats.org/officeDocument/2006/relationships/hyperlink" Target="https://www.bandt.com.au/droga5-bts-agency-scorecard-2026/" TargetMode="External"/><Relationship Id="rId1707" Type="http://schemas.openxmlformats.org/officeDocument/2006/relationships/hyperlink" Target="http://bandt.com.au" TargetMode="External"/><Relationship Id="rId1708" Type="http://schemas.openxmlformats.org/officeDocument/2006/relationships/hyperlink" Target="https://www.bandt.com.au/iab-australia-releases-landscape-report-to-guide-marketers-through-mmm-implementation/" TargetMode="External"/><Relationship Id="rId1709" Type="http://schemas.openxmlformats.org/officeDocument/2006/relationships/hyperlink" Target="http://bandt.com.au" TargetMode="External"/><Relationship Id="rId40" Type="http://schemas.openxmlformats.org/officeDocument/2006/relationships/hyperlink" Target="http://undivided.com.au" TargetMode="External"/><Relationship Id="rId1334" Type="http://schemas.openxmlformats.org/officeDocument/2006/relationships/hyperlink" Target="http://google.com.au" TargetMode="External"/><Relationship Id="rId2665" Type="http://schemas.openxmlformats.org/officeDocument/2006/relationships/hyperlink" Target="http://v2.ai" TargetMode="External"/><Relationship Id="rId1335" Type="http://schemas.openxmlformats.org/officeDocument/2006/relationships/hyperlink" Target="https://www.google.com/partners/agency?id=3839074243" TargetMode="External"/><Relationship Id="rId2666" Type="http://schemas.openxmlformats.org/officeDocument/2006/relationships/hyperlink" Target="https://vegavid.com/blog/top-ai-agent-development-companies-in-australia" TargetMode="External"/><Relationship Id="rId42" Type="http://schemas.openxmlformats.org/officeDocument/2006/relationships/hyperlink" Target="http://digitalagencynetwork.com" TargetMode="External"/><Relationship Id="rId1336" Type="http://schemas.openxmlformats.org/officeDocument/2006/relationships/hyperlink" Target="http://google.com" TargetMode="External"/><Relationship Id="rId2667" Type="http://schemas.openxmlformats.org/officeDocument/2006/relationships/hyperlink" Target="http://vegavid.com" TargetMode="External"/><Relationship Id="rId41" Type="http://schemas.openxmlformats.org/officeDocument/2006/relationships/hyperlink" Target="https://digitalagencynetwork.com/agencies/australia/ai-marketing/" TargetMode="External"/><Relationship Id="rId1337" Type="http://schemas.openxmlformats.org/officeDocument/2006/relationships/hyperlink" Target="https://www.google.com/searchviewer/10?svid=CAwSHRIbCgNwdnESFENnMHZaeTh4TVdZMGNXTXpYM3BrGAo" TargetMode="External"/><Relationship Id="rId2668" Type="http://schemas.openxmlformats.org/officeDocument/2006/relationships/hyperlink" Target="https://virtualadagency.com.au/companies-for-social-media-marketing/" TargetMode="External"/><Relationship Id="rId44" Type="http://schemas.openxmlformats.org/officeDocument/2006/relationships/hyperlink" Target="http://ninjapromo.io" TargetMode="External"/><Relationship Id="rId1338" Type="http://schemas.openxmlformats.org/officeDocument/2006/relationships/hyperlink" Target="http://google.com" TargetMode="External"/><Relationship Id="rId2669" Type="http://schemas.openxmlformats.org/officeDocument/2006/relationships/hyperlink" Target="http://virtualadagency.com.au" TargetMode="External"/><Relationship Id="rId43" Type="http://schemas.openxmlformats.org/officeDocument/2006/relationships/hyperlink" Target="https://ninjapromo.io/top-digital-marketing-agencies-in-australia" TargetMode="External"/><Relationship Id="rId1339" Type="http://schemas.openxmlformats.org/officeDocument/2006/relationships/hyperlink" Target="https://www.gravitatedigital.com.au/search-engine-optimisation/geo-agency" TargetMode="External"/><Relationship Id="rId46" Type="http://schemas.openxmlformats.org/officeDocument/2006/relationships/hyperlink" Target="http://clutch.co" TargetMode="External"/><Relationship Id="rId45" Type="http://schemas.openxmlformats.org/officeDocument/2006/relationships/hyperlink" Target="https://clutch.co/au/agencies/social-media-marketing" TargetMode="External"/><Relationship Id="rId745" Type="http://schemas.openxmlformats.org/officeDocument/2006/relationships/hyperlink" Target="http://titanblue.com.au" TargetMode="External"/><Relationship Id="rId744" Type="http://schemas.openxmlformats.org/officeDocument/2006/relationships/hyperlink" Target="https://titanblue.com.au/companies-for-social-media-marketing/?srsltid=AfmBOoq21wO8ZjboQuZ1D2V8SlPXLR8gDWQUvPiH1eQa9htbHDXUXWx_" TargetMode="External"/><Relationship Id="rId743" Type="http://schemas.openxmlformats.org/officeDocument/2006/relationships/hyperlink" Target="http://thehero.co" TargetMode="External"/><Relationship Id="rId742" Type="http://schemas.openxmlformats.org/officeDocument/2006/relationships/hyperlink" Target="https://www.thehero.co/news/australias-top-creative-agency-named-in-business-best-performers" TargetMode="External"/><Relationship Id="rId749" Type="http://schemas.openxmlformats.org/officeDocument/2006/relationships/hyperlink" Target="http://xpon.ai" TargetMode="External"/><Relationship Id="rId748" Type="http://schemas.openxmlformats.org/officeDocument/2006/relationships/hyperlink" Target="https://xpon.ai/resources/how-to-choose-a-google-marketing-platform-partner-australia/" TargetMode="External"/><Relationship Id="rId747" Type="http://schemas.openxmlformats.org/officeDocument/2006/relationships/hyperlink" Target="http://undivided.com.au" TargetMode="External"/><Relationship Id="rId746" Type="http://schemas.openxmlformats.org/officeDocument/2006/relationships/hyperlink" Target="https://www.undivided.com.au/services" TargetMode="External"/><Relationship Id="rId48" Type="http://schemas.openxmlformats.org/officeDocument/2006/relationships/hyperlink" Target="http://impressive.com.au" TargetMode="External"/><Relationship Id="rId47" Type="http://schemas.openxmlformats.org/officeDocument/2006/relationships/hyperlink" Target="https://impressive.com.au/" TargetMode="External"/><Relationship Id="rId49" Type="http://schemas.openxmlformats.org/officeDocument/2006/relationships/hyperlink" Target="https://impressive.com.au/best-ai-seo-agencies-melbourne/" TargetMode="External"/><Relationship Id="rId2660" Type="http://schemas.openxmlformats.org/officeDocument/2006/relationships/hyperlink" Target="http://uprisedigital.com.au" TargetMode="External"/><Relationship Id="rId741" Type="http://schemas.openxmlformats.org/officeDocument/2006/relationships/hyperlink" Target="http://team400.ai" TargetMode="External"/><Relationship Id="rId1330" Type="http://schemas.openxmlformats.org/officeDocument/2006/relationships/hyperlink" Target="http://goodfirms.co" TargetMode="External"/><Relationship Id="rId2661" Type="http://schemas.openxmlformats.org/officeDocument/2006/relationships/hyperlink" Target="https://www.uptech.team/hire-ai-developers" TargetMode="External"/><Relationship Id="rId740" Type="http://schemas.openxmlformats.org/officeDocument/2006/relationships/hyperlink" Target="https://team400.ai/blog/2026-02-choosing-ai-consultants-australia-guide" TargetMode="External"/><Relationship Id="rId1331" Type="http://schemas.openxmlformats.org/officeDocument/2006/relationships/hyperlink" Target="https://www.goodfirms.co/directory/country/top-digital-marketing-companies/au?sort_by=rating" TargetMode="External"/><Relationship Id="rId2662" Type="http://schemas.openxmlformats.org/officeDocument/2006/relationships/hyperlink" Target="https://urbanbased.com.au/" TargetMode="External"/><Relationship Id="rId1332" Type="http://schemas.openxmlformats.org/officeDocument/2006/relationships/hyperlink" Target="http://goodfirms.co" TargetMode="External"/><Relationship Id="rId2663" Type="http://schemas.openxmlformats.org/officeDocument/2006/relationships/hyperlink" Target="http://urbanbased.com.au" TargetMode="External"/><Relationship Id="rId1333" Type="http://schemas.openxmlformats.org/officeDocument/2006/relationships/hyperlink" Target="https://www.google.com.au/partners/" TargetMode="External"/><Relationship Id="rId2664" Type="http://schemas.openxmlformats.org/officeDocument/2006/relationships/hyperlink" Target="https://www.v2.ai/" TargetMode="External"/><Relationship Id="rId1323" Type="http://schemas.openxmlformats.org/officeDocument/2006/relationships/hyperlink" Target="https://gdaybroadcast.com.au/marketing-agencies-in-melbourne/" TargetMode="External"/><Relationship Id="rId2654" Type="http://schemas.openxmlformats.org/officeDocument/2006/relationships/hyperlink" Target="http://unify.net.au" TargetMode="External"/><Relationship Id="rId1324" Type="http://schemas.openxmlformats.org/officeDocument/2006/relationships/hyperlink" Target="http://gdaybroadcast.com.au" TargetMode="External"/><Relationship Id="rId2655" Type="http://schemas.openxmlformats.org/officeDocument/2006/relationships/hyperlink" Target="https://www.upgrad.com/au/machine-learning-ai/" TargetMode="External"/><Relationship Id="rId31" Type="http://schemas.openxmlformats.org/officeDocument/2006/relationships/hyperlink" Target="https://sparro.com.au/" TargetMode="External"/><Relationship Id="rId1325" Type="http://schemas.openxmlformats.org/officeDocument/2006/relationships/hyperlink" Target="https://www.getapp.com.au/directory/1317/marketing-attribution/software?page=5" TargetMode="External"/><Relationship Id="rId2656" Type="http://schemas.openxmlformats.org/officeDocument/2006/relationships/hyperlink" Target="http://upgrad.com" TargetMode="External"/><Relationship Id="rId30" Type="http://schemas.openxmlformats.org/officeDocument/2006/relationships/hyperlink" Target="http://semrush.com" TargetMode="External"/><Relationship Id="rId1326" Type="http://schemas.openxmlformats.org/officeDocument/2006/relationships/hyperlink" Target="http://getapp.com.au" TargetMode="External"/><Relationship Id="rId2657" Type="http://schemas.openxmlformats.org/officeDocument/2006/relationships/hyperlink" Target="https://uprisedigital.com.au/ai-seo/" TargetMode="External"/><Relationship Id="rId33" Type="http://schemas.openxmlformats.org/officeDocument/2006/relationships/hyperlink" Target="https://theredrepublic.com/top-5-best-advertising-agencies-australia-2026/" TargetMode="External"/><Relationship Id="rId1327" Type="http://schemas.openxmlformats.org/officeDocument/2006/relationships/hyperlink" Target="https://www.gispeople.com.au/locate-gis-companies-in-australia-new-zealand/" TargetMode="External"/><Relationship Id="rId2658" Type="http://schemas.openxmlformats.org/officeDocument/2006/relationships/hyperlink" Target="http://uprisedigital.com.au" TargetMode="External"/><Relationship Id="rId32" Type="http://schemas.openxmlformats.org/officeDocument/2006/relationships/hyperlink" Target="http://sparro.com.au" TargetMode="External"/><Relationship Id="rId1328" Type="http://schemas.openxmlformats.org/officeDocument/2006/relationships/hyperlink" Target="http://gispeople.com.au" TargetMode="External"/><Relationship Id="rId2659" Type="http://schemas.openxmlformats.org/officeDocument/2006/relationships/hyperlink" Target="https://uprisedigital.com.au/blog/google-ads-agencies-in-brisbane/" TargetMode="External"/><Relationship Id="rId35" Type="http://schemas.openxmlformats.org/officeDocument/2006/relationships/hyperlink" Target="https://clutch.co/au/agencies/ppc" TargetMode="External"/><Relationship Id="rId1329" Type="http://schemas.openxmlformats.org/officeDocument/2006/relationships/hyperlink" Target="https://www.goodfirms.co/directory/country/top-digital-marketing-companies/advertising-ppc/australia" TargetMode="External"/><Relationship Id="rId34" Type="http://schemas.openxmlformats.org/officeDocument/2006/relationships/hyperlink" Target="http://theredrepublic.com" TargetMode="External"/><Relationship Id="rId739" Type="http://schemas.openxmlformats.org/officeDocument/2006/relationships/hyperlink" Target="http://syntermedia.ai" TargetMode="External"/><Relationship Id="rId734" Type="http://schemas.openxmlformats.org/officeDocument/2006/relationships/hyperlink" Target="https://support.google.com/tagmanager/answer/7237700?hl=en" TargetMode="External"/><Relationship Id="rId733" Type="http://schemas.openxmlformats.org/officeDocument/2006/relationships/hyperlink" Target="http://sourceforge.net" TargetMode="External"/><Relationship Id="rId732" Type="http://schemas.openxmlformats.org/officeDocument/2006/relationships/hyperlink" Target="https://sourceforge.net/software/marketing-attribution/australia/" TargetMode="External"/><Relationship Id="rId731" Type="http://schemas.openxmlformats.org/officeDocument/2006/relationships/hyperlink" Target="http://shoutdigital.com.au" TargetMode="External"/><Relationship Id="rId738" Type="http://schemas.openxmlformats.org/officeDocument/2006/relationships/hyperlink" Target="https://syntermedia.ai/blog/best-attribution-software-marketing-teams" TargetMode="External"/><Relationship Id="rId737" Type="http://schemas.openxmlformats.org/officeDocument/2006/relationships/hyperlink" Target="http://synap.au" TargetMode="External"/><Relationship Id="rId736" Type="http://schemas.openxmlformats.org/officeDocument/2006/relationships/hyperlink" Target="https://www.synap.au/" TargetMode="External"/><Relationship Id="rId735" Type="http://schemas.openxmlformats.org/officeDocument/2006/relationships/hyperlink" Target="http://google.com" TargetMode="External"/><Relationship Id="rId37" Type="http://schemas.openxmlformats.org/officeDocument/2006/relationships/hyperlink" Target="https://www.bushnote.com/articles/best-aeo-agencies-in-australia-in-2026" TargetMode="External"/><Relationship Id="rId36" Type="http://schemas.openxmlformats.org/officeDocument/2006/relationships/hyperlink" Target="http://clutch.co" TargetMode="External"/><Relationship Id="rId39" Type="http://schemas.openxmlformats.org/officeDocument/2006/relationships/hyperlink" Target="https://www.undivided.com.au/" TargetMode="External"/><Relationship Id="rId38" Type="http://schemas.openxmlformats.org/officeDocument/2006/relationships/hyperlink" Target="http://bushnote.com" TargetMode="External"/><Relationship Id="rId730" Type="http://schemas.openxmlformats.org/officeDocument/2006/relationships/hyperlink" Target="https://www.shoutdigital.com.au/blog/best-geo-agency-in-melbourne-for-e-commerce-a-direct-comparison-2026/" TargetMode="External"/><Relationship Id="rId2650" Type="http://schemas.openxmlformats.org/officeDocument/2006/relationships/hyperlink" Target="http://undivided.com.au" TargetMode="External"/><Relationship Id="rId1320" Type="http://schemas.openxmlformats.org/officeDocument/2006/relationships/hyperlink" Target="http://flypix.ai" TargetMode="External"/><Relationship Id="rId2651" Type="http://schemas.openxmlformats.org/officeDocument/2006/relationships/hyperlink" Target="https://www.undivided.com.au/services/media/social/commerce" TargetMode="External"/><Relationship Id="rId1321" Type="http://schemas.openxmlformats.org/officeDocument/2006/relationships/hyperlink" Target="https://furtherinsight.com.au/our-services/marketing-mix-modelling/" TargetMode="External"/><Relationship Id="rId2652" Type="http://schemas.openxmlformats.org/officeDocument/2006/relationships/hyperlink" Target="http://undivided.com.au" TargetMode="External"/><Relationship Id="rId1322" Type="http://schemas.openxmlformats.org/officeDocument/2006/relationships/hyperlink" Target="http://furtherinsight.com.au" TargetMode="External"/><Relationship Id="rId2653" Type="http://schemas.openxmlformats.org/officeDocument/2006/relationships/hyperlink" Target="https://unify.net.au/services/programmatic/" TargetMode="External"/><Relationship Id="rId1356" Type="http://schemas.openxmlformats.org/officeDocument/2006/relationships/hyperlink" Target="http://intelligence.gov.au" TargetMode="External"/><Relationship Id="rId2203" Type="http://schemas.openxmlformats.org/officeDocument/2006/relationships/hyperlink" Target="https://www.jbedigital.com.au/ai-seo/" TargetMode="External"/><Relationship Id="rId2687" Type="http://schemas.openxmlformats.org/officeDocument/2006/relationships/hyperlink" Target="http://webtonic.io" TargetMode="External"/><Relationship Id="rId1357" Type="http://schemas.openxmlformats.org/officeDocument/2006/relationships/hyperlink" Target="https://www.intesols.com.au/services/answer-engine-optimisation/" TargetMode="External"/><Relationship Id="rId2204" Type="http://schemas.openxmlformats.org/officeDocument/2006/relationships/hyperlink" Target="http://jbedigital.com.au" TargetMode="External"/><Relationship Id="rId2688" Type="http://schemas.openxmlformats.org/officeDocument/2006/relationships/hyperlink" Target="https://www.webtonic.io/blog/top-paid-media-agencies" TargetMode="External"/><Relationship Id="rId20" Type="http://schemas.openxmlformats.org/officeDocument/2006/relationships/hyperlink" Target="http://talonsmarketing.com.au" TargetMode="External"/><Relationship Id="rId1358" Type="http://schemas.openxmlformats.org/officeDocument/2006/relationships/hyperlink" Target="http://intesols.com.au" TargetMode="External"/><Relationship Id="rId2205" Type="http://schemas.openxmlformats.org/officeDocument/2006/relationships/hyperlink" Target="https://www.jellyfish.com/en-us/news/jellyfish-wins-google-australias-gmp-partner-of-the-year/" TargetMode="External"/><Relationship Id="rId2689" Type="http://schemas.openxmlformats.org/officeDocument/2006/relationships/hyperlink" Target="http://webtonic.io" TargetMode="External"/><Relationship Id="rId1359" Type="http://schemas.openxmlformats.org/officeDocument/2006/relationships/hyperlink" Target="https://ionline.com.au/paid-advertising/" TargetMode="External"/><Relationship Id="rId2206" Type="http://schemas.openxmlformats.org/officeDocument/2006/relationships/hyperlink" Target="http://jellyfish.com" TargetMode="External"/><Relationship Id="rId22" Type="http://schemas.openxmlformats.org/officeDocument/2006/relationships/hyperlink" Target="http://sortlist.com" TargetMode="External"/><Relationship Id="rId2207" Type="http://schemas.openxmlformats.org/officeDocument/2006/relationships/hyperlink" Target="https://kamexa.ai/top-5-ai-agencies-in-queensland-2025-kamexa-leads-brisbane-gold-coast/" TargetMode="External"/><Relationship Id="rId21" Type="http://schemas.openxmlformats.org/officeDocument/2006/relationships/hyperlink" Target="https://www.sortlist.com/s/paid-media/australia-au" TargetMode="External"/><Relationship Id="rId2208" Type="http://schemas.openxmlformats.org/officeDocument/2006/relationships/hyperlink" Target="http://kamexa.ai" TargetMode="External"/><Relationship Id="rId24" Type="http://schemas.openxmlformats.org/officeDocument/2006/relationships/hyperlink" Target="http://talonsmarketing.com.au" TargetMode="External"/><Relationship Id="rId2209" Type="http://schemas.openxmlformats.org/officeDocument/2006/relationships/hyperlink" Target="https://kersai.com/best-ai-companies-in-australia-for-business-transformation/" TargetMode="External"/><Relationship Id="rId23" Type="http://schemas.openxmlformats.org/officeDocument/2006/relationships/hyperlink" Target="https://talonsmarketing.com.au/8-best-generative-engine-optimisation-geo-agencies-australia/" TargetMode="External"/><Relationship Id="rId767" Type="http://schemas.openxmlformats.org/officeDocument/2006/relationships/hyperlink" Target="https://clutch.co/au/agencies/conversion-optimization" TargetMode="External"/><Relationship Id="rId766" Type="http://schemas.openxmlformats.org/officeDocument/2006/relationships/hyperlink" Target="http://capterra.com.au" TargetMode="External"/><Relationship Id="rId765" Type="http://schemas.openxmlformats.org/officeDocument/2006/relationships/hyperlink" Target="https://www.capterra.com.au/software/188418/cross-channel-attribution-planning" TargetMode="External"/><Relationship Id="rId764" Type="http://schemas.openxmlformats.org/officeDocument/2006/relationships/hyperlink" Target="http://capedigital.com.au" TargetMode="External"/><Relationship Id="rId769" Type="http://schemas.openxmlformats.org/officeDocument/2006/relationships/hyperlink" Target="https://clutch.co/au/agencies/creative/sydney" TargetMode="External"/><Relationship Id="rId768" Type="http://schemas.openxmlformats.org/officeDocument/2006/relationships/hyperlink" Target="http://clutch.co" TargetMode="External"/><Relationship Id="rId26" Type="http://schemas.openxmlformats.org/officeDocument/2006/relationships/hyperlink" Target="http://formulate.com.au" TargetMode="External"/><Relationship Id="rId25" Type="http://schemas.openxmlformats.org/officeDocument/2006/relationships/hyperlink" Target="https://www.formulate.com.au/articles/best-ai-seo-agencies-in-australia-2026/" TargetMode="External"/><Relationship Id="rId2680" Type="http://schemas.openxmlformats.org/officeDocument/2006/relationships/hyperlink" Target="https://webprofits.com.au/" TargetMode="External"/><Relationship Id="rId28" Type="http://schemas.openxmlformats.org/officeDocument/2006/relationships/hyperlink" Target="http://intelligentresourcing.co" TargetMode="External"/><Relationship Id="rId1350" Type="http://schemas.openxmlformats.org/officeDocument/2006/relationships/hyperlink" Target="http://improvado.io" TargetMode="External"/><Relationship Id="rId2681" Type="http://schemas.openxmlformats.org/officeDocument/2006/relationships/hyperlink" Target="http://webprofits.com.au" TargetMode="External"/><Relationship Id="rId27" Type="http://schemas.openxmlformats.org/officeDocument/2006/relationships/hyperlink" Target="https://intelligentresourcing.co/blogs/best-aeo-agencies-australia" TargetMode="External"/><Relationship Id="rId1351" Type="http://schemas.openxmlformats.org/officeDocument/2006/relationships/hyperlink" Target="https://inmarketingwetrust.com.au/" TargetMode="External"/><Relationship Id="rId2682" Type="http://schemas.openxmlformats.org/officeDocument/2006/relationships/hyperlink" Target="https://websavvy.com.au/" TargetMode="External"/><Relationship Id="rId763" Type="http://schemas.openxmlformats.org/officeDocument/2006/relationships/hyperlink" Target="https://capedigital.com.au/post/top-10-digital-marketing-agency-in-australia" TargetMode="External"/><Relationship Id="rId1352" Type="http://schemas.openxmlformats.org/officeDocument/2006/relationships/hyperlink" Target="http://inmarketingwetrust.com.au" TargetMode="External"/><Relationship Id="rId2683" Type="http://schemas.openxmlformats.org/officeDocument/2006/relationships/hyperlink" Target="http://websavvy.com.au" TargetMode="External"/><Relationship Id="rId29" Type="http://schemas.openxmlformats.org/officeDocument/2006/relationships/hyperlink" Target="https://agencies.semrush.com/list/display-advertising/australia/" TargetMode="External"/><Relationship Id="rId762" Type="http://schemas.openxmlformats.org/officeDocument/2006/relationships/hyperlink" Target="http://bushletter.com" TargetMode="External"/><Relationship Id="rId1353" Type="http://schemas.openxmlformats.org/officeDocument/2006/relationships/hyperlink" Target="https://www.intelegain.com/top-10-ai-development-and-consulting-companies-in-australia/" TargetMode="External"/><Relationship Id="rId2200" Type="http://schemas.openxmlformats.org/officeDocument/2006/relationships/hyperlink" Target="http://itprofiles.com" TargetMode="External"/><Relationship Id="rId2684" Type="http://schemas.openxmlformats.org/officeDocument/2006/relationships/hyperlink" Target="https://websavvy.com.au/services/display-video/" TargetMode="External"/><Relationship Id="rId761" Type="http://schemas.openxmlformats.org/officeDocument/2006/relationships/hyperlink" Target="https://www.bushletter.com/the-10-best-aeo-agencies-for-australian-law-firms-in-2026/" TargetMode="External"/><Relationship Id="rId1354" Type="http://schemas.openxmlformats.org/officeDocument/2006/relationships/hyperlink" Target="http://intelegain.com" TargetMode="External"/><Relationship Id="rId2201" Type="http://schemas.openxmlformats.org/officeDocument/2006/relationships/hyperlink" Target="https://jacinthsolutions.com.au/blog" TargetMode="External"/><Relationship Id="rId2685" Type="http://schemas.openxmlformats.org/officeDocument/2006/relationships/hyperlink" Target="http://websavvy.com.au" TargetMode="External"/><Relationship Id="rId760" Type="http://schemas.openxmlformats.org/officeDocument/2006/relationships/hyperlink" Target="http://blurn.com" TargetMode="External"/><Relationship Id="rId1355" Type="http://schemas.openxmlformats.org/officeDocument/2006/relationships/hyperlink" Target="https://www.intelligence.gov.au/agencies/ago" TargetMode="External"/><Relationship Id="rId2202" Type="http://schemas.openxmlformats.org/officeDocument/2006/relationships/hyperlink" Target="http://jacinthsolutions.com.au" TargetMode="External"/><Relationship Id="rId2686" Type="http://schemas.openxmlformats.org/officeDocument/2006/relationships/hyperlink" Target="https://www.webtonic.io/blog/best-performance-marketing-agencies-2026" TargetMode="External"/><Relationship Id="rId1345" Type="http://schemas.openxmlformats.org/officeDocument/2006/relationships/hyperlink" Target="https://www.iabaustralia.com.au/news/iab-australia-releases-mmm-landscape-report-and-marketers-checklist/" TargetMode="External"/><Relationship Id="rId2676" Type="http://schemas.openxmlformats.org/officeDocument/2006/relationships/hyperlink" Target="https://www.warc.com/en/data-benchmarks/rankings-creative-100-overview" TargetMode="External"/><Relationship Id="rId1346" Type="http://schemas.openxmlformats.org/officeDocument/2006/relationships/hyperlink" Target="http://iabaustralia.com.au" TargetMode="External"/><Relationship Id="rId2677" Type="http://schemas.openxmlformats.org/officeDocument/2006/relationships/hyperlink" Target="http://warc.com" TargetMode="External"/><Relationship Id="rId1347" Type="http://schemas.openxmlformats.org/officeDocument/2006/relationships/hyperlink" Target="https://impact.com/videos/state-of-affiliate-marketing-australia-affa-vid-ed-apj/" TargetMode="External"/><Relationship Id="rId2678" Type="http://schemas.openxmlformats.org/officeDocument/2006/relationships/hyperlink" Target="https://www.webplanners.com.au/ai-seo/geo" TargetMode="External"/><Relationship Id="rId1348" Type="http://schemas.openxmlformats.org/officeDocument/2006/relationships/hyperlink" Target="http://impact.com" TargetMode="External"/><Relationship Id="rId2679" Type="http://schemas.openxmlformats.org/officeDocument/2006/relationships/hyperlink" Target="http://webplanners.com.au" TargetMode="External"/><Relationship Id="rId11" Type="http://schemas.openxmlformats.org/officeDocument/2006/relationships/hyperlink" Target="https://clutch.co/au/agencies" TargetMode="External"/><Relationship Id="rId1349" Type="http://schemas.openxmlformats.org/officeDocument/2006/relationships/hyperlink" Target="https://improvado.io/blog/choosing-marketing-attribution-software" TargetMode="External"/><Relationship Id="rId10" Type="http://schemas.openxmlformats.org/officeDocument/2006/relationships/hyperlink" Target="http://adcore.com" TargetMode="External"/><Relationship Id="rId13" Type="http://schemas.openxmlformats.org/officeDocument/2006/relationships/hyperlink" Target="https://leadsnow.ai/best-ai-marketing-agencies-australia/" TargetMode="External"/><Relationship Id="rId12" Type="http://schemas.openxmlformats.org/officeDocument/2006/relationships/hyperlink" Target="http://clutch.co" TargetMode="External"/><Relationship Id="rId756" Type="http://schemas.openxmlformats.org/officeDocument/2006/relationships/hyperlink" Target="https://australian.digital/web-analytics-consulting-services/" TargetMode="External"/><Relationship Id="rId755" Type="http://schemas.openxmlformats.org/officeDocument/2006/relationships/hyperlink" Target="http://airstack.ai" TargetMode="External"/><Relationship Id="rId754" Type="http://schemas.openxmlformats.org/officeDocument/2006/relationships/hyperlink" Target="https://www.airstack.ai/" TargetMode="External"/><Relationship Id="rId753" Type="http://schemas.openxmlformats.org/officeDocument/2006/relationships/hyperlink" Target="http://aipivot.com.au" TargetMode="External"/><Relationship Id="rId759" Type="http://schemas.openxmlformats.org/officeDocument/2006/relationships/hyperlink" Target="https://blurn.com/au/digital-marketing-services/direct-display-advertising-services/" TargetMode="External"/><Relationship Id="rId758" Type="http://schemas.openxmlformats.org/officeDocument/2006/relationships/hyperlink" Target="http://bluerock.com.au" TargetMode="External"/><Relationship Id="rId757" Type="http://schemas.openxmlformats.org/officeDocument/2006/relationships/hyperlink" Target="https://www.bluerock.com.au/ai-consulting-services/" TargetMode="External"/><Relationship Id="rId15" Type="http://schemas.openxmlformats.org/officeDocument/2006/relationships/hyperlink" Target="https://www.theardor.com.au/top-digital-marketing-agencies-in-australia/" TargetMode="External"/><Relationship Id="rId14" Type="http://schemas.openxmlformats.org/officeDocument/2006/relationships/hyperlink" Target="http://leadsnow.ai" TargetMode="External"/><Relationship Id="rId17" Type="http://schemas.openxmlformats.org/officeDocument/2006/relationships/hyperlink" Target="https://agencies.semrush.com/list/advertising/australia/" TargetMode="External"/><Relationship Id="rId2670" Type="http://schemas.openxmlformats.org/officeDocument/2006/relationships/hyperlink" Target="https://www.vonnimedia.com.au/" TargetMode="External"/><Relationship Id="rId16" Type="http://schemas.openxmlformats.org/officeDocument/2006/relationships/hyperlink" Target="http://theardor.com.au" TargetMode="External"/><Relationship Id="rId1340" Type="http://schemas.openxmlformats.org/officeDocument/2006/relationships/hyperlink" Target="http://gravitatedigital.com.au" TargetMode="External"/><Relationship Id="rId2671" Type="http://schemas.openxmlformats.org/officeDocument/2006/relationships/hyperlink" Target="http://vonnimedia.com.au" TargetMode="External"/><Relationship Id="rId19" Type="http://schemas.openxmlformats.org/officeDocument/2006/relationships/hyperlink" Target="https://talonsmarketing.com.au/6-best-aeo-agencies-australia/" TargetMode="External"/><Relationship Id="rId752" Type="http://schemas.openxmlformats.org/officeDocument/2006/relationships/hyperlink" Target="https://aipivot.com.au/blog/what-is-a-geo-agency" TargetMode="External"/><Relationship Id="rId1341" Type="http://schemas.openxmlformats.org/officeDocument/2006/relationships/hyperlink" Target="https://www.growaidigital.com.au/" TargetMode="External"/><Relationship Id="rId2672" Type="http://schemas.openxmlformats.org/officeDocument/2006/relationships/hyperlink" Target="https://vtdigital.com.au/performance-marketing-agency/" TargetMode="External"/><Relationship Id="rId18" Type="http://schemas.openxmlformats.org/officeDocument/2006/relationships/hyperlink" Target="http://semrush.com" TargetMode="External"/><Relationship Id="rId751" Type="http://schemas.openxmlformats.org/officeDocument/2006/relationships/hyperlink" Target="http://semrush.com" TargetMode="External"/><Relationship Id="rId1342" Type="http://schemas.openxmlformats.org/officeDocument/2006/relationships/hyperlink" Target="http://growaidigital.com.au" TargetMode="External"/><Relationship Id="rId2673" Type="http://schemas.openxmlformats.org/officeDocument/2006/relationships/hyperlink" Target="http://vtdigital.com.au" TargetMode="External"/><Relationship Id="rId750" Type="http://schemas.openxmlformats.org/officeDocument/2006/relationships/hyperlink" Target="https://agencies.semrush.com/list/display-advertising/western-australia/" TargetMode="External"/><Relationship Id="rId1343" Type="http://schemas.openxmlformats.org/officeDocument/2006/relationships/hyperlink" Target="https://www.growthspreeofficial.com/blogs/best-b2b-saas-agencies-cross-channel-attribution-2026" TargetMode="External"/><Relationship Id="rId2674" Type="http://schemas.openxmlformats.org/officeDocument/2006/relationships/hyperlink" Target="https://vtdigital.com.au/seo-strategies-2025-what-aeo-geo-aio-and-sxo-actually-mean/" TargetMode="External"/><Relationship Id="rId1344" Type="http://schemas.openxmlformats.org/officeDocument/2006/relationships/hyperlink" Target="http://growthspreeofficial.com" TargetMode="External"/><Relationship Id="rId2675" Type="http://schemas.openxmlformats.org/officeDocument/2006/relationships/hyperlink" Target="http://vtdigital.com.au" TargetMode="External"/><Relationship Id="rId84" Type="http://schemas.openxmlformats.org/officeDocument/2006/relationships/hyperlink" Target="http://talonsmarketing.com.au" TargetMode="External"/><Relationship Id="rId1774" Type="http://schemas.openxmlformats.org/officeDocument/2006/relationships/hyperlink" Target="http://businessinsider.com" TargetMode="External"/><Relationship Id="rId2621" Type="http://schemas.openxmlformats.org/officeDocument/2006/relationships/hyperlink" Target="https://www.themarketer.news/post/bonfire-named-2025-ami-marketing-excellence-award-agency-of-the-year" TargetMode="External"/><Relationship Id="rId83" Type="http://schemas.openxmlformats.org/officeDocument/2006/relationships/hyperlink" Target="https://talonsmarketing.com.au/10-best-ai-seo-agencies-in-australia/" TargetMode="External"/><Relationship Id="rId1775" Type="http://schemas.openxmlformats.org/officeDocument/2006/relationships/hyperlink" Target="https://bytetracks.com.au/media-mix-modeling" TargetMode="External"/><Relationship Id="rId2622" Type="http://schemas.openxmlformats.org/officeDocument/2006/relationships/hyperlink" Target="https://thesearchspecialist.com.au/ai-seo-geo-services/" TargetMode="External"/><Relationship Id="rId86" Type="http://schemas.openxmlformats.org/officeDocument/2006/relationships/hyperlink" Target="http://thatware.co" TargetMode="External"/><Relationship Id="rId1776" Type="http://schemas.openxmlformats.org/officeDocument/2006/relationships/hyperlink" Target="http://bytetracks.com.au" TargetMode="External"/><Relationship Id="rId2623" Type="http://schemas.openxmlformats.org/officeDocument/2006/relationships/hyperlink" Target="http://thesearchspecialist.com.au" TargetMode="External"/><Relationship Id="rId85" Type="http://schemas.openxmlformats.org/officeDocument/2006/relationships/hyperlink" Target="https://thatware.co/top-10-aeo-companies-in-australia/" TargetMode="External"/><Relationship Id="rId1777" Type="http://schemas.openxmlformats.org/officeDocument/2006/relationships/hyperlink" Target="https://caffeinate.com.au/" TargetMode="External"/><Relationship Id="rId2624" Type="http://schemas.openxmlformats.org/officeDocument/2006/relationships/hyperlink" Target="https://www.thestable.com.au/163920-2/" TargetMode="External"/><Relationship Id="rId88" Type="http://schemas.openxmlformats.org/officeDocument/2006/relationships/hyperlink" Target="http://leadsnow.ai" TargetMode="External"/><Relationship Id="rId1778" Type="http://schemas.openxmlformats.org/officeDocument/2006/relationships/hyperlink" Target="http://caffeinate.com.au" TargetMode="External"/><Relationship Id="rId2625" Type="http://schemas.openxmlformats.org/officeDocument/2006/relationships/hyperlink" Target="http://thestable.com.au" TargetMode="External"/><Relationship Id="rId87" Type="http://schemas.openxmlformats.org/officeDocument/2006/relationships/hyperlink" Target="https://leadsnow.ai/best-ai-seo-aeo-agencies-australia/" TargetMode="External"/><Relationship Id="rId1779" Type="http://schemas.openxmlformats.org/officeDocument/2006/relationships/hyperlink" Target="https://calypsodesigns.com.au/top-10-google-ads-management-agencies-in-australia-a-2026/" TargetMode="External"/><Relationship Id="rId2626" Type="http://schemas.openxmlformats.org/officeDocument/2006/relationships/hyperlink" Target="https://thetimes.com.au/news/articles/51019-the-best-ai-automation-agencies-in-australia-in-2026" TargetMode="External"/><Relationship Id="rId2627" Type="http://schemas.openxmlformats.org/officeDocument/2006/relationships/hyperlink" Target="http://thetimes.com.au" TargetMode="External"/><Relationship Id="rId89" Type="http://schemas.openxmlformats.org/officeDocument/2006/relationships/hyperlink" Target="https://marginmedia.com.au/our-blog/top-digital-marketing-agencies-australia" TargetMode="External"/><Relationship Id="rId2628" Type="http://schemas.openxmlformats.org/officeDocument/2006/relationships/hyperlink" Target="https://thinkcreativeagency.com.au" TargetMode="External"/><Relationship Id="rId709" Type="http://schemas.openxmlformats.org/officeDocument/2006/relationships/hyperlink" Target="http://lengreo.com" TargetMode="External"/><Relationship Id="rId2629" Type="http://schemas.openxmlformats.org/officeDocument/2006/relationships/hyperlink" Target="http://thinkcreativeagency.com.au" TargetMode="External"/><Relationship Id="rId708" Type="http://schemas.openxmlformats.org/officeDocument/2006/relationships/hyperlink" Target="https://lengreo.com/australia-perth-aeo-geo-llmo-companies/" TargetMode="External"/><Relationship Id="rId707" Type="http://schemas.openxmlformats.org/officeDocument/2006/relationships/hyperlink" Target="http://launcherlab.com.au" TargetMode="External"/><Relationship Id="rId706" Type="http://schemas.openxmlformats.org/officeDocument/2006/relationships/hyperlink" Target="https://www.launcherlab.com.au/lift-test-incrementality" TargetMode="External"/><Relationship Id="rId80" Type="http://schemas.openxmlformats.org/officeDocument/2006/relationships/hyperlink" Target="http://inmarketingwetrust.com.au" TargetMode="External"/><Relationship Id="rId82" Type="http://schemas.openxmlformats.org/officeDocument/2006/relationships/hyperlink" Target="http://mediaplusdigital.co" TargetMode="External"/><Relationship Id="rId81" Type="http://schemas.openxmlformats.org/officeDocument/2006/relationships/hyperlink" Target="https://mediaplusdigital.co/au/geo-agencies-in-australia/" TargetMode="External"/><Relationship Id="rId701" Type="http://schemas.openxmlformats.org/officeDocument/2006/relationships/hyperlink" Target="http://impressive.com.au" TargetMode="External"/><Relationship Id="rId700" Type="http://schemas.openxmlformats.org/officeDocument/2006/relationships/hyperlink" Target="https://impressive.com.au/data-and-analytics/" TargetMode="External"/><Relationship Id="rId705" Type="http://schemas.openxmlformats.org/officeDocument/2006/relationships/hyperlink" Target="http://inmarketingwetrust.com.au" TargetMode="External"/><Relationship Id="rId704" Type="http://schemas.openxmlformats.org/officeDocument/2006/relationships/hyperlink" Target="https://inmarketingwetrust.com.au/platforms/" TargetMode="External"/><Relationship Id="rId703" Type="http://schemas.openxmlformats.org/officeDocument/2006/relationships/hyperlink" Target="http://infraworx.com.au" TargetMode="External"/><Relationship Id="rId702" Type="http://schemas.openxmlformats.org/officeDocument/2006/relationships/hyperlink" Target="https://www.infraworx.com.au/ai-strategy-consulting-sydney/" TargetMode="External"/><Relationship Id="rId1770" Type="http://schemas.openxmlformats.org/officeDocument/2006/relationships/hyperlink" Target="http://adobe.com" TargetMode="External"/><Relationship Id="rId1771" Type="http://schemas.openxmlformats.org/officeDocument/2006/relationships/hyperlink" Target="https://www.businessage.com/post/6-best-ai-native-seo-agencies-in-melbourne-that-optimise-for-geo-and-aeo" TargetMode="External"/><Relationship Id="rId1772" Type="http://schemas.openxmlformats.org/officeDocument/2006/relationships/hyperlink" Target="http://businessage.com" TargetMode="External"/><Relationship Id="rId1773" Type="http://schemas.openxmlformats.org/officeDocument/2006/relationships/hyperlink" Target="https://www.businessinsider.com/bain-cmo-erika-serow-cannes-lions-2026-7" TargetMode="External"/><Relationship Id="rId2620" Type="http://schemas.openxmlformats.org/officeDocument/2006/relationships/hyperlink" Target="http://themanifest.com" TargetMode="External"/><Relationship Id="rId73" Type="http://schemas.openxmlformats.org/officeDocument/2006/relationships/hyperlink" Target="https://sourceforge.net/software/incrementality-testing/australia/" TargetMode="External"/><Relationship Id="rId1763" Type="http://schemas.openxmlformats.org/officeDocument/2006/relationships/hyperlink" Target="https://www.bushletter.com/best-digital-marketing-media-buying-agencies-australia-2026/" TargetMode="External"/><Relationship Id="rId2610" Type="http://schemas.openxmlformats.org/officeDocument/2006/relationships/hyperlink" Target="http://thehero.co" TargetMode="External"/><Relationship Id="rId72" Type="http://schemas.openxmlformats.org/officeDocument/2006/relationships/hyperlink" Target="http://localsearch.com.au" TargetMode="External"/><Relationship Id="rId1764" Type="http://schemas.openxmlformats.org/officeDocument/2006/relationships/hyperlink" Target="http://bushletter.com" TargetMode="External"/><Relationship Id="rId2611" Type="http://schemas.openxmlformats.org/officeDocument/2006/relationships/hyperlink" Target="https://www.thehypesociety.com.au/" TargetMode="External"/><Relationship Id="rId75" Type="http://schemas.openxmlformats.org/officeDocument/2006/relationships/hyperlink" Target="https://thatware.co/top-10-ai-search-companies-in-australia/" TargetMode="External"/><Relationship Id="rId1765" Type="http://schemas.openxmlformats.org/officeDocument/2006/relationships/hyperlink" Target="https://www.bushnote.com/articles/top-ai-search-agencies-sydney-generative-engine-optimisation" TargetMode="External"/><Relationship Id="rId2612" Type="http://schemas.openxmlformats.org/officeDocument/2006/relationships/hyperlink" Target="http://thehypesociety.com.au" TargetMode="External"/><Relationship Id="rId74" Type="http://schemas.openxmlformats.org/officeDocument/2006/relationships/hyperlink" Target="http://sourceforge.net" TargetMode="External"/><Relationship Id="rId1766" Type="http://schemas.openxmlformats.org/officeDocument/2006/relationships/hyperlink" Target="http://bushnote.com" TargetMode="External"/><Relationship Id="rId2613" Type="http://schemas.openxmlformats.org/officeDocument/2006/relationships/hyperlink" Target="https://www.thehypesociety.com.au/growth-marketing/" TargetMode="External"/><Relationship Id="rId77" Type="http://schemas.openxmlformats.org/officeDocument/2006/relationships/hyperlink" Target="https://agencies.semrush.com/list/analytics-data-science/australia/" TargetMode="External"/><Relationship Id="rId1767" Type="http://schemas.openxmlformats.org/officeDocument/2006/relationships/hyperlink" Target="https://www.bushnote.com/articles/top-ai-search-optimisation-agencies-australia-2026" TargetMode="External"/><Relationship Id="rId2614" Type="http://schemas.openxmlformats.org/officeDocument/2006/relationships/hyperlink" Target="http://thehypesociety.com.au" TargetMode="External"/><Relationship Id="rId76" Type="http://schemas.openxmlformats.org/officeDocument/2006/relationships/hyperlink" Target="http://thatware.co" TargetMode="External"/><Relationship Id="rId1768" Type="http://schemas.openxmlformats.org/officeDocument/2006/relationships/hyperlink" Target="http://bushnote.com" TargetMode="External"/><Relationship Id="rId2615" Type="http://schemas.openxmlformats.org/officeDocument/2006/relationships/hyperlink" Target="https://themanifest.com/au/programmatic/agencies/sydney" TargetMode="External"/><Relationship Id="rId79" Type="http://schemas.openxmlformats.org/officeDocument/2006/relationships/hyperlink" Target="https://inmarketingwetrust.com.au/platforms/google-marketing-platform/" TargetMode="External"/><Relationship Id="rId1769" Type="http://schemas.openxmlformats.org/officeDocument/2006/relationships/hyperlink" Target="https://business.adobe.com/au/blog/basics/marketing-attribution" TargetMode="External"/><Relationship Id="rId2616" Type="http://schemas.openxmlformats.org/officeDocument/2006/relationships/hyperlink" Target="http://themanifest.com" TargetMode="External"/><Relationship Id="rId78" Type="http://schemas.openxmlformats.org/officeDocument/2006/relationships/hyperlink" Target="http://semrush.com" TargetMode="External"/><Relationship Id="rId2617" Type="http://schemas.openxmlformats.org/officeDocument/2006/relationships/hyperlink" Target="https://themanifest.com/au/social-media/linkedin/agencies" TargetMode="External"/><Relationship Id="rId2618" Type="http://schemas.openxmlformats.org/officeDocument/2006/relationships/hyperlink" Target="http://themanifest.com" TargetMode="External"/><Relationship Id="rId2619" Type="http://schemas.openxmlformats.org/officeDocument/2006/relationships/hyperlink" Target="https://themanifest.com/au/social-media/tiktok/agencies/sydney" TargetMode="External"/><Relationship Id="rId71" Type="http://schemas.openxmlformats.org/officeDocument/2006/relationships/hyperlink" Target="https://business.localsearch.com.au/blog/top-digital-marketing-agencies-australia-2026" TargetMode="External"/><Relationship Id="rId70" Type="http://schemas.openxmlformats.org/officeDocument/2006/relationships/hyperlink" Target="http://clutch.co" TargetMode="External"/><Relationship Id="rId1760" Type="http://schemas.openxmlformats.org/officeDocument/2006/relationships/hyperlink" Target="http://brandwolfcreative.com" TargetMode="External"/><Relationship Id="rId1761" Type="http://schemas.openxmlformats.org/officeDocument/2006/relationships/hyperlink" Target="https://brightwaterdigital.com.au/blog/what-is-aeo" TargetMode="External"/><Relationship Id="rId1762" Type="http://schemas.openxmlformats.org/officeDocument/2006/relationships/hyperlink" Target="http://brightwaterdigital.com.au" TargetMode="External"/><Relationship Id="rId62" Type="http://schemas.openxmlformats.org/officeDocument/2006/relationships/hyperlink" Target="http://semrush.com" TargetMode="External"/><Relationship Id="rId1312" Type="http://schemas.openxmlformats.org/officeDocument/2006/relationships/hyperlink" Target="https://ensun.io/search/geospatial-data/australia" TargetMode="External"/><Relationship Id="rId1796" Type="http://schemas.openxmlformats.org/officeDocument/2006/relationships/hyperlink" Target="http://circana.com" TargetMode="External"/><Relationship Id="rId2643" Type="http://schemas.openxmlformats.org/officeDocument/2006/relationships/hyperlink" Target="https://www.trkkn.com/products-tools" TargetMode="External"/><Relationship Id="rId61" Type="http://schemas.openxmlformats.org/officeDocument/2006/relationships/hyperlink" Target="https://agencies.semrush.com/list/ai-optimization/sydney/" TargetMode="External"/><Relationship Id="rId1313" Type="http://schemas.openxmlformats.org/officeDocument/2006/relationships/hyperlink" Target="http://ensun.io" TargetMode="External"/><Relationship Id="rId1797" Type="http://schemas.openxmlformats.org/officeDocument/2006/relationships/hyperlink" Target="https://www.cjco.com.au/display-advertising-agency/" TargetMode="External"/><Relationship Id="rId2644" Type="http://schemas.openxmlformats.org/officeDocument/2006/relationships/hyperlink" Target="http://trkkn.com" TargetMode="External"/><Relationship Id="rId64" Type="http://schemas.openxmlformats.org/officeDocument/2006/relationships/hyperlink" Target="http://clutch.co" TargetMode="External"/><Relationship Id="rId1314" Type="http://schemas.openxmlformats.org/officeDocument/2006/relationships/hyperlink" Target="https://enterprisemarketingportal.google/work-with-partners" TargetMode="External"/><Relationship Id="rId1798" Type="http://schemas.openxmlformats.org/officeDocument/2006/relationships/hyperlink" Target="http://cjco.com.au" TargetMode="External"/><Relationship Id="rId2645" Type="http://schemas.openxmlformats.org/officeDocument/2006/relationships/hyperlink" Target="https://www.tussledigital.com/services/performance-marketing/" TargetMode="External"/><Relationship Id="rId63" Type="http://schemas.openxmlformats.org/officeDocument/2006/relationships/hyperlink" Target="https://clutch.co/au/agencies/creative" TargetMode="External"/><Relationship Id="rId1315" Type="http://schemas.openxmlformats.org/officeDocument/2006/relationships/hyperlink" Target="https://firstpagesage.com/seo-blog/the-top-generative-engine-optimization-geo-agencies/" TargetMode="External"/><Relationship Id="rId1799" Type="http://schemas.openxmlformats.org/officeDocument/2006/relationships/hyperlink" Target="https://clemengerbbdo.com/" TargetMode="External"/><Relationship Id="rId2646" Type="http://schemas.openxmlformats.org/officeDocument/2006/relationships/hyperlink" Target="http://tussledigital.com" TargetMode="External"/><Relationship Id="rId66" Type="http://schemas.openxmlformats.org/officeDocument/2006/relationships/hyperlink" Target="http://digitalnomadshq.com.au" TargetMode="External"/><Relationship Id="rId1316" Type="http://schemas.openxmlformats.org/officeDocument/2006/relationships/hyperlink" Target="http://firstpagesage.com" TargetMode="External"/><Relationship Id="rId2647" Type="http://schemas.openxmlformats.org/officeDocument/2006/relationships/hyperlink" Target="https://www.undivided.com.au/about-us" TargetMode="External"/><Relationship Id="rId65" Type="http://schemas.openxmlformats.org/officeDocument/2006/relationships/hyperlink" Target="https://digitalnomadshq.com.au/blog/best-aeo-answer-engine-optimisation-agencies/" TargetMode="External"/><Relationship Id="rId1317" Type="http://schemas.openxmlformats.org/officeDocument/2006/relationships/hyperlink" Target="https://flowworks.com.au/" TargetMode="External"/><Relationship Id="rId2648" Type="http://schemas.openxmlformats.org/officeDocument/2006/relationships/hyperlink" Target="http://undivided.com.au" TargetMode="External"/><Relationship Id="rId68" Type="http://schemas.openxmlformats.org/officeDocument/2006/relationships/hyperlink" Target="http://mediaplusdigital.co" TargetMode="External"/><Relationship Id="rId1318" Type="http://schemas.openxmlformats.org/officeDocument/2006/relationships/hyperlink" Target="http://flowworks.com.au" TargetMode="External"/><Relationship Id="rId2649" Type="http://schemas.openxmlformats.org/officeDocument/2006/relationships/hyperlink" Target="https://www.undivided.com.au/drtv" TargetMode="External"/><Relationship Id="rId67" Type="http://schemas.openxmlformats.org/officeDocument/2006/relationships/hyperlink" Target="https://mediaplusdigital.co/au/ai-marketing-agencies-in-australia/" TargetMode="External"/><Relationship Id="rId1319" Type="http://schemas.openxmlformats.org/officeDocument/2006/relationships/hyperlink" Target="https://flypix.ai/geospatial-companies-in-australia/" TargetMode="External"/><Relationship Id="rId729" Type="http://schemas.openxmlformats.org/officeDocument/2006/relationships/hyperlink" Target="http://rubix.com.au" TargetMode="External"/><Relationship Id="rId728" Type="http://schemas.openxmlformats.org/officeDocument/2006/relationships/hyperlink" Target="https://www.rubix.com.au/ai-consulting-australia" TargetMode="External"/><Relationship Id="rId60" Type="http://schemas.openxmlformats.org/officeDocument/2006/relationships/hyperlink" Target="http://reddit.com" TargetMode="External"/><Relationship Id="rId723" Type="http://schemas.openxmlformats.org/officeDocument/2006/relationships/hyperlink" Target="http://pa.com.au" TargetMode="External"/><Relationship Id="rId722" Type="http://schemas.openxmlformats.org/officeDocument/2006/relationships/hyperlink" Target="https://www.pa.com.au/solutions/ai-consulting-services/" TargetMode="External"/><Relationship Id="rId721" Type="http://schemas.openxmlformats.org/officeDocument/2006/relationships/hyperlink" Target="http://onpoint.com.au" TargetMode="External"/><Relationship Id="rId720" Type="http://schemas.openxmlformats.org/officeDocument/2006/relationships/hyperlink" Target="https://onpoint.com.au/blog/independent-vs-network-media-agencies-australia" TargetMode="External"/><Relationship Id="rId727" Type="http://schemas.openxmlformats.org/officeDocument/2006/relationships/hyperlink" Target="http://rightsideup.com" TargetMode="External"/><Relationship Id="rId726" Type="http://schemas.openxmlformats.org/officeDocument/2006/relationships/hyperlink" Target="https://www.rightsideup.com/blog/guide-to-marketing-incrementality-testing" TargetMode="External"/><Relationship Id="rId725" Type="http://schemas.openxmlformats.org/officeDocument/2006/relationships/hyperlink" Target="http://pixelhatch.com.au" TargetMode="External"/><Relationship Id="rId724" Type="http://schemas.openxmlformats.org/officeDocument/2006/relationships/hyperlink" Target="https://pixelhatch.com.au/consulting/" TargetMode="External"/><Relationship Id="rId69" Type="http://schemas.openxmlformats.org/officeDocument/2006/relationships/hyperlink" Target="https://clutch.co/au/agencies/ppc/display" TargetMode="External"/><Relationship Id="rId1790" Type="http://schemas.openxmlformats.org/officeDocument/2006/relationships/hyperlink" Target="http://cantydigital.com.au" TargetMode="External"/><Relationship Id="rId1791" Type="http://schemas.openxmlformats.org/officeDocument/2006/relationships/hyperlink" Target="https://choosedigital.com.au/" TargetMode="External"/><Relationship Id="rId1792" Type="http://schemas.openxmlformats.org/officeDocument/2006/relationships/hyperlink" Target="http://choosedigital.com.au" TargetMode="External"/><Relationship Id="rId1793" Type="http://schemas.openxmlformats.org/officeDocument/2006/relationships/hyperlink" Target="https://www.circana.com/au" TargetMode="External"/><Relationship Id="rId2640" Type="http://schemas.openxmlformats.org/officeDocument/2006/relationships/hyperlink" Target="http://tripledart.com" TargetMode="External"/><Relationship Id="rId1310" Type="http://schemas.openxmlformats.org/officeDocument/2006/relationships/hyperlink" Target="https://ensun.io/search/display-advertising/australia" TargetMode="External"/><Relationship Id="rId1794" Type="http://schemas.openxmlformats.org/officeDocument/2006/relationships/hyperlink" Target="http://circana.com" TargetMode="External"/><Relationship Id="rId2641" Type="http://schemas.openxmlformats.org/officeDocument/2006/relationships/hyperlink" Target="https://www.triplewhale.com/blog/incrementality-testing-methods" TargetMode="External"/><Relationship Id="rId1311" Type="http://schemas.openxmlformats.org/officeDocument/2006/relationships/hyperlink" Target="http://ensun.io" TargetMode="External"/><Relationship Id="rId1795" Type="http://schemas.openxmlformats.org/officeDocument/2006/relationships/hyperlink" Target="https://www.circana.com/liquid-testing" TargetMode="External"/><Relationship Id="rId2642" Type="http://schemas.openxmlformats.org/officeDocument/2006/relationships/hyperlink" Target="http://triplewhale.com" TargetMode="External"/><Relationship Id="rId51" Type="http://schemas.openxmlformats.org/officeDocument/2006/relationships/hyperlink" Target="https://ensun.io/search/marketing-analytics/australia" TargetMode="External"/><Relationship Id="rId1301" Type="http://schemas.openxmlformats.org/officeDocument/2006/relationships/hyperlink" Target="http://distl.com.au" TargetMode="External"/><Relationship Id="rId1785" Type="http://schemas.openxmlformats.org/officeDocument/2006/relationships/hyperlink" Target="https://campaignbrief.com/in-marketing-we-trust-joins-top-1-of-google-agency-partners-in-australia/" TargetMode="External"/><Relationship Id="rId2632" Type="http://schemas.openxmlformats.org/officeDocument/2006/relationships/hyperlink" Target="https://titanblue.com.au/ai-search-agency-australia-guide/?srsltid=AfmBOoqQqbz535GTClpgwdaCgMGmpM3IfxnZwzM2wGpTm0YLUBpcjQA7" TargetMode="External"/><Relationship Id="rId50" Type="http://schemas.openxmlformats.org/officeDocument/2006/relationships/hyperlink" Target="http://impressive.com.au" TargetMode="External"/><Relationship Id="rId1302" Type="http://schemas.openxmlformats.org/officeDocument/2006/relationships/hyperlink" Target="https://dnmdigital.com.au/seo-agency/ai-seo/" TargetMode="External"/><Relationship Id="rId1786" Type="http://schemas.openxmlformats.org/officeDocument/2006/relationships/hyperlink" Target="http://campaignbrief.com" TargetMode="External"/><Relationship Id="rId2633" Type="http://schemas.openxmlformats.org/officeDocument/2006/relationships/hyperlink" Target="http://titanblue.com.au" TargetMode="External"/><Relationship Id="rId53" Type="http://schemas.openxmlformats.org/officeDocument/2006/relationships/hyperlink" Target="https://www.thehero.co/news/top-10-best-ad-agency-in-australia-leading-sydney-melbourne-brisbane" TargetMode="External"/><Relationship Id="rId1303" Type="http://schemas.openxmlformats.org/officeDocument/2006/relationships/hyperlink" Target="http://dnmdigital.com.au" TargetMode="External"/><Relationship Id="rId1787" Type="http://schemas.openxmlformats.org/officeDocument/2006/relationships/hyperlink" Target="https://campaignbrief.com/its-hello-not-goodbye-a-retrospective-look-at-the-monkeys-and-welcome-to-droga5/" TargetMode="External"/><Relationship Id="rId2634" Type="http://schemas.openxmlformats.org/officeDocument/2006/relationships/hyperlink" Target="https://titanblue.com.au/social-media-marketing-companies/" TargetMode="External"/><Relationship Id="rId52" Type="http://schemas.openxmlformats.org/officeDocument/2006/relationships/hyperlink" Target="http://ensun.io" TargetMode="External"/><Relationship Id="rId1304" Type="http://schemas.openxmlformats.org/officeDocument/2006/relationships/hyperlink" Target="https://ecosystem.hubspot.com/marketplace/solutions/paid-advertising/australia" TargetMode="External"/><Relationship Id="rId1788" Type="http://schemas.openxmlformats.org/officeDocument/2006/relationships/hyperlink" Target="http://campaignbrief.com" TargetMode="External"/><Relationship Id="rId2635" Type="http://schemas.openxmlformats.org/officeDocument/2006/relationships/hyperlink" Target="http://titanblue.com.au" TargetMode="External"/><Relationship Id="rId55" Type="http://schemas.openxmlformats.org/officeDocument/2006/relationships/hyperlink" Target="https://digitalagencynetwork.com/agencies/australia/" TargetMode="External"/><Relationship Id="rId1305" Type="http://schemas.openxmlformats.org/officeDocument/2006/relationships/hyperlink" Target="http://hubspot.com" TargetMode="External"/><Relationship Id="rId1789" Type="http://schemas.openxmlformats.org/officeDocument/2006/relationships/hyperlink" Target="https://cantydigital.com.au/top-10-australian-amazon-marketing-agencies/" TargetMode="External"/><Relationship Id="rId2636" Type="http://schemas.openxmlformats.org/officeDocument/2006/relationships/hyperlink" Target="https://tmr.agency/social-media-ads/" TargetMode="External"/><Relationship Id="rId54" Type="http://schemas.openxmlformats.org/officeDocument/2006/relationships/hyperlink" Target="http://thehero.co" TargetMode="External"/><Relationship Id="rId1306" Type="http://schemas.openxmlformats.org/officeDocument/2006/relationships/hyperlink" Target="https://www.edgeonline.com.au/ai-seo-aio/" TargetMode="External"/><Relationship Id="rId2637" Type="http://schemas.openxmlformats.org/officeDocument/2006/relationships/hyperlink" Target="https://www.topseos.com/australia/directory/display-advertising-companies" TargetMode="External"/><Relationship Id="rId57" Type="http://schemas.openxmlformats.org/officeDocument/2006/relationships/hyperlink" Target="https://agencies.semrush.com/list/smm/australia/" TargetMode="External"/><Relationship Id="rId1307" Type="http://schemas.openxmlformats.org/officeDocument/2006/relationships/hyperlink" Target="http://edgeonline.com.au" TargetMode="External"/><Relationship Id="rId2638" Type="http://schemas.openxmlformats.org/officeDocument/2006/relationships/hyperlink" Target="http://topseos.com" TargetMode="External"/><Relationship Id="rId56" Type="http://schemas.openxmlformats.org/officeDocument/2006/relationships/hyperlink" Target="http://digitalagencynetwork.com" TargetMode="External"/><Relationship Id="rId1308" Type="http://schemas.openxmlformats.org/officeDocument/2006/relationships/hyperlink" Target="https://www.elsner.com.au/top-10-seo-agencies-australia-2026/" TargetMode="External"/><Relationship Id="rId2639" Type="http://schemas.openxmlformats.org/officeDocument/2006/relationships/hyperlink" Target="https://www.tripledart.com/ai-seo/best-generative-engine-optimization-agencies" TargetMode="External"/><Relationship Id="rId1309" Type="http://schemas.openxmlformats.org/officeDocument/2006/relationships/hyperlink" Target="http://elsner.com.au" TargetMode="External"/><Relationship Id="rId719" Type="http://schemas.openxmlformats.org/officeDocument/2006/relationships/hyperlink" Target="http://measured.com" TargetMode="External"/><Relationship Id="rId718" Type="http://schemas.openxmlformats.org/officeDocument/2006/relationships/hyperlink" Target="https://www.measured.com/faq/best-incrementality-testing-companies-software-for-marketing-2025/" TargetMode="External"/><Relationship Id="rId717" Type="http://schemas.openxmlformats.org/officeDocument/2006/relationships/hyperlink" Target="http://mantelgroup.com.au" TargetMode="External"/><Relationship Id="rId712" Type="http://schemas.openxmlformats.org/officeDocument/2006/relationships/hyperlink" Target="https://www.loudface.co/blog/best-aeo-agencies-b2b-saas-2026" TargetMode="External"/><Relationship Id="rId711" Type="http://schemas.openxmlformats.org/officeDocument/2006/relationships/hyperlink" Target="http://linkedin.com" TargetMode="External"/><Relationship Id="rId710" Type="http://schemas.openxmlformats.org/officeDocument/2006/relationships/hyperlink" Target="https://www.linkedin.com/pulse/digital-marketing-agencies-australia-abhinav-puri-oeg4f" TargetMode="External"/><Relationship Id="rId716" Type="http://schemas.openxmlformats.org/officeDocument/2006/relationships/hyperlink" Target="https://mantelgroup.com.au/" TargetMode="External"/><Relationship Id="rId715" Type="http://schemas.openxmlformats.org/officeDocument/2006/relationships/hyperlink" Target="http://magnetoitsolutions.com" TargetMode="External"/><Relationship Id="rId714" Type="http://schemas.openxmlformats.org/officeDocument/2006/relationships/hyperlink" Target="https://magnetoitsolutions.com/au/answer-engine-optimization" TargetMode="External"/><Relationship Id="rId713" Type="http://schemas.openxmlformats.org/officeDocument/2006/relationships/hyperlink" Target="http://loudface.co" TargetMode="External"/><Relationship Id="rId59" Type="http://schemas.openxmlformats.org/officeDocument/2006/relationships/hyperlink" Target="https://www.reddit.com/r/BestInAustralia/comments/1rwwbcw/5_best_digital_marketing_agencies_leveraging_ai/" TargetMode="External"/><Relationship Id="rId58" Type="http://schemas.openxmlformats.org/officeDocument/2006/relationships/hyperlink" Target="http://semrush.com" TargetMode="External"/><Relationship Id="rId1780" Type="http://schemas.openxmlformats.org/officeDocument/2006/relationships/hyperlink" Target="http://calypsodesigns.com.au" TargetMode="External"/><Relationship Id="rId1781" Type="http://schemas.openxmlformats.org/officeDocument/2006/relationships/hyperlink" Target="https://campaignbrief.com/bestads-rankings-which-are-the-top-australian-ad-agencies-and-clients-of-the-decade/" TargetMode="External"/><Relationship Id="rId1782" Type="http://schemas.openxmlformats.org/officeDocument/2006/relationships/hyperlink" Target="http://campaignbrief.com" TargetMode="External"/><Relationship Id="rId1783" Type="http://schemas.openxmlformats.org/officeDocument/2006/relationships/hyperlink" Target="https://campaignbrief.com/ikea-australia-appoints-host-havas-as-new-creative-agency-ends-partnership-with-chep/" TargetMode="External"/><Relationship Id="rId2630" Type="http://schemas.openxmlformats.org/officeDocument/2006/relationships/hyperlink" Target="https://thinkerbell.com/news/thinkerbell-wins-vegemite/" TargetMode="External"/><Relationship Id="rId1300" Type="http://schemas.openxmlformats.org/officeDocument/2006/relationships/hyperlink" Target="https://distl.com.au/seo/generative-engine-optimisation/" TargetMode="External"/><Relationship Id="rId1784" Type="http://schemas.openxmlformats.org/officeDocument/2006/relationships/hyperlink" Target="http://campaignbrief.com" TargetMode="External"/><Relationship Id="rId2631" Type="http://schemas.openxmlformats.org/officeDocument/2006/relationships/hyperlink" Target="http://thinkerbell.com" TargetMode="External"/><Relationship Id="rId2269" Type="http://schemas.openxmlformats.org/officeDocument/2006/relationships/hyperlink" Target="http://marketing-interactive.com" TargetMode="External"/><Relationship Id="rId349" Type="http://schemas.openxmlformats.org/officeDocument/2006/relationships/hyperlink" Target="http://sellforte.com" TargetMode="External"/><Relationship Id="rId348" Type="http://schemas.openxmlformats.org/officeDocument/2006/relationships/hyperlink" Target="https://sellforte.com/" TargetMode="External"/><Relationship Id="rId347" Type="http://schemas.openxmlformats.org/officeDocument/2006/relationships/hyperlink" Target="http://segmentstream.com" TargetMode="External"/><Relationship Id="rId346" Type="http://schemas.openxmlformats.org/officeDocument/2006/relationships/hyperlink" Target="https://segmentstream.com/blog/articles/top-10-incrementality-testing-tools" TargetMode="External"/><Relationship Id="rId2260" Type="http://schemas.openxmlformats.org/officeDocument/2006/relationships/hyperlink" Target="https://www.madsunmedia.com/au/services/social-media-marketing" TargetMode="External"/><Relationship Id="rId341" Type="http://schemas.openxmlformats.org/officeDocument/2006/relationships/hyperlink" Target="https://www.hashmeta.ai/en/blog/top-10-best-ai-marketing-agencies-in-australia-expert-comparison-guide" TargetMode="External"/><Relationship Id="rId2261" Type="http://schemas.openxmlformats.org/officeDocument/2006/relationships/hyperlink" Target="http://madsunmedia.com" TargetMode="External"/><Relationship Id="rId340" Type="http://schemas.openxmlformats.org/officeDocument/2006/relationships/hyperlink" Target="http://greenbook.org" TargetMode="External"/><Relationship Id="rId2262" Type="http://schemas.openxmlformats.org/officeDocument/2006/relationships/hyperlink" Target="https://makeitbigmedia.com/" TargetMode="External"/><Relationship Id="rId2263" Type="http://schemas.openxmlformats.org/officeDocument/2006/relationships/hyperlink" Target="http://makeitbigmedia.com" TargetMode="External"/><Relationship Id="rId2264" Type="http://schemas.openxmlformats.org/officeDocument/2006/relationships/hyperlink" Target="https://mammothgeospatial.com/" TargetMode="External"/><Relationship Id="rId345" Type="http://schemas.openxmlformats.org/officeDocument/2006/relationships/hyperlink" Target="http://savit.au" TargetMode="External"/><Relationship Id="rId2265" Type="http://schemas.openxmlformats.org/officeDocument/2006/relationships/hyperlink" Target="http://mammothgeospatial.com" TargetMode="External"/><Relationship Id="rId344" Type="http://schemas.openxmlformats.org/officeDocument/2006/relationships/hyperlink" Target="https://www.savit.au/top-social-media-marketing-agencies-in-australia-for-2026-whos-building-brands-that-actually-sell/" TargetMode="External"/><Relationship Id="rId2266" Type="http://schemas.openxmlformats.org/officeDocument/2006/relationships/hyperlink" Target="https://mantelgroup.com.au/services/ai/" TargetMode="External"/><Relationship Id="rId343" Type="http://schemas.openxmlformats.org/officeDocument/2006/relationships/hyperlink" Target="https://inbeat.agency/blog/top-marketing-measurement-and-analytics-companies" TargetMode="External"/><Relationship Id="rId2267" Type="http://schemas.openxmlformats.org/officeDocument/2006/relationships/hyperlink" Target="http://mantelgroup.com.au" TargetMode="External"/><Relationship Id="rId342" Type="http://schemas.openxmlformats.org/officeDocument/2006/relationships/hyperlink" Target="http://hashmeta.ai" TargetMode="External"/><Relationship Id="rId2268" Type="http://schemas.openxmlformats.org/officeDocument/2006/relationships/hyperlink" Target="https://www.marketing-interactive.com/bmf-lands-creative-heavyweight-scott-nowell-as-chair" TargetMode="External"/><Relationship Id="rId2258" Type="http://schemas.openxmlformats.org/officeDocument/2006/relationships/hyperlink" Target="https://m.yelp.com/biz/loves-data-pty-ltd-mosman" TargetMode="External"/><Relationship Id="rId2259" Type="http://schemas.openxmlformats.org/officeDocument/2006/relationships/hyperlink" Target="http://yelp.com" TargetMode="External"/><Relationship Id="rId338" Type="http://schemas.openxmlformats.org/officeDocument/2006/relationships/hyperlink" Target="http://goodfirms.co" TargetMode="External"/><Relationship Id="rId337" Type="http://schemas.openxmlformats.org/officeDocument/2006/relationships/hyperlink" Target="https://www.goodfirms.co/directory/country/top-digital-marketing-companies/au/" TargetMode="External"/><Relationship Id="rId336" Type="http://schemas.openxmlformats.org/officeDocument/2006/relationships/hyperlink" Target="http://bbe.io" TargetMode="External"/><Relationship Id="rId335" Type="http://schemas.openxmlformats.org/officeDocument/2006/relationships/hyperlink" Target="https://www.bbe.io/top-ranked-best-advertising-agency-leaders-australia-2026-sydney-melbourne-brisbane" TargetMode="External"/><Relationship Id="rId339" Type="http://schemas.openxmlformats.org/officeDocument/2006/relationships/hyperlink" Target="https://www.greenbook.org/market-research-companies/australia" TargetMode="External"/><Relationship Id="rId330" Type="http://schemas.openxmlformats.org/officeDocument/2006/relationships/hyperlink" Target="http://semrush.com" TargetMode="External"/><Relationship Id="rId2250" Type="http://schemas.openxmlformats.org/officeDocument/2006/relationships/hyperlink" Target="http://louddays.com" TargetMode="External"/><Relationship Id="rId2251" Type="http://schemas.openxmlformats.org/officeDocument/2006/relationships/hyperlink" Target="https://louder.com.au/services/measurement/" TargetMode="External"/><Relationship Id="rId2252" Type="http://schemas.openxmlformats.org/officeDocument/2006/relationships/hyperlink" Target="http://louder.com.au" TargetMode="External"/><Relationship Id="rId2253" Type="http://schemas.openxmlformats.org/officeDocument/2006/relationships/hyperlink" Target="https://www.lovesdata.com/" TargetMode="External"/><Relationship Id="rId334" Type="http://schemas.openxmlformats.org/officeDocument/2006/relationships/hyperlink" Target="http://medium.com" TargetMode="External"/><Relationship Id="rId2254" Type="http://schemas.openxmlformats.org/officeDocument/2006/relationships/hyperlink" Target="http://lovesdata.com" TargetMode="External"/><Relationship Id="rId333" Type="http://schemas.openxmlformats.org/officeDocument/2006/relationships/hyperlink" Target="https://auratechinsights.medium.com/top-10-ai-development-and-consulting-companies-in-australia-7093eee60fbe" TargetMode="External"/><Relationship Id="rId2255" Type="http://schemas.openxmlformats.org/officeDocument/2006/relationships/hyperlink" Target="https://luckyboy.agency/advertising-agency-collingwood" TargetMode="External"/><Relationship Id="rId332" Type="http://schemas.openxmlformats.org/officeDocument/2006/relationships/hyperlink" Target="http://alleygroup.com.au" TargetMode="External"/><Relationship Id="rId2256" Type="http://schemas.openxmlformats.org/officeDocument/2006/relationships/hyperlink" Target="https://www.lumifywork.com/en-au/ai-advisory-services/" TargetMode="External"/><Relationship Id="rId331" Type="http://schemas.openxmlformats.org/officeDocument/2006/relationships/hyperlink" Target="https://alleygroup.com.au/acquisition/ppc-agency/google-partner/" TargetMode="External"/><Relationship Id="rId2257" Type="http://schemas.openxmlformats.org/officeDocument/2006/relationships/hyperlink" Target="http://lumifywork.com" TargetMode="External"/><Relationship Id="rId370" Type="http://schemas.openxmlformats.org/officeDocument/2006/relationships/hyperlink" Target="https://www.cleveraussie.com/best-creative-agencies-australia/" TargetMode="External"/><Relationship Id="rId369" Type="http://schemas.openxmlformats.org/officeDocument/2006/relationships/hyperlink" Target="http://capterra.com.au" TargetMode="External"/><Relationship Id="rId368" Type="http://schemas.openxmlformats.org/officeDocument/2006/relationships/hyperlink" Target="https://www.capterra.com.au/directory/31081/marketing-attribution/software" TargetMode="External"/><Relationship Id="rId2280" Type="http://schemas.openxmlformats.org/officeDocument/2006/relationships/hyperlink" Target="https://mass-analytics.com/marketing-mix-modeling-blogs/how-geo-experiments-measure-incrementality/" TargetMode="External"/><Relationship Id="rId2281" Type="http://schemas.openxmlformats.org/officeDocument/2006/relationships/hyperlink" Target="http://mass-analytics.com" TargetMode="External"/><Relationship Id="rId2282" Type="http://schemas.openxmlformats.org/officeDocument/2006/relationships/hyperlink" Target="https://mass-analytics.com/mmm-solutions/incrementality-measurement-mass-analytics/" TargetMode="External"/><Relationship Id="rId363" Type="http://schemas.openxmlformats.org/officeDocument/2006/relationships/hyperlink" Target="http://3pdigital.com.au" TargetMode="External"/><Relationship Id="rId2283" Type="http://schemas.openxmlformats.org/officeDocument/2006/relationships/hyperlink" Target="http://mass-analytics.com" TargetMode="External"/><Relationship Id="rId362" Type="http://schemas.openxmlformats.org/officeDocument/2006/relationships/hyperlink" Target="https://3pdigital.com.au/services/analytics" TargetMode="External"/><Relationship Id="rId2284" Type="http://schemas.openxmlformats.org/officeDocument/2006/relationships/hyperlink" Target="https://matomo.org/blog/2024/03/incrementality-testing/" TargetMode="External"/><Relationship Id="rId361" Type="http://schemas.openxmlformats.org/officeDocument/2006/relationships/hyperlink" Target="http://youtube.com" TargetMode="External"/><Relationship Id="rId2285" Type="http://schemas.openxmlformats.org/officeDocument/2006/relationships/hyperlink" Target="http://matomo.org" TargetMode="External"/><Relationship Id="rId360" Type="http://schemas.openxmlformats.org/officeDocument/2006/relationships/hyperlink" Target="https://www.youtube.com/watch?v=ZaxGzqO8OCk" TargetMode="External"/><Relationship Id="rId2286" Type="http://schemas.openxmlformats.org/officeDocument/2006/relationships/hyperlink" Target="https://maturedge.com.au/generative-engine-optimization/" TargetMode="External"/><Relationship Id="rId367" Type="http://schemas.openxmlformats.org/officeDocument/2006/relationships/hyperlink" Target="http://appsflyer.com" TargetMode="External"/><Relationship Id="rId2287" Type="http://schemas.openxmlformats.org/officeDocument/2006/relationships/hyperlink" Target="http://maturedge.com.au" TargetMode="External"/><Relationship Id="rId366" Type="http://schemas.openxmlformats.org/officeDocument/2006/relationships/hyperlink" Target="https://www.appsflyer.com/blog/tips-strategy/incrementality-testing-for-marketers/" TargetMode="External"/><Relationship Id="rId2288" Type="http://schemas.openxmlformats.org/officeDocument/2006/relationships/hyperlink" Target="https://www.mayple.com/resources/paid-advertising/ppc-agencies-australia" TargetMode="External"/><Relationship Id="rId365" Type="http://schemas.openxmlformats.org/officeDocument/2006/relationships/hyperlink" Target="http://alphadigital.com.au" TargetMode="External"/><Relationship Id="rId2289" Type="http://schemas.openxmlformats.org/officeDocument/2006/relationships/hyperlink" Target="http://mayple.com" TargetMode="External"/><Relationship Id="rId364" Type="http://schemas.openxmlformats.org/officeDocument/2006/relationships/hyperlink" Target="https://www.alphadigital.com.au/" TargetMode="External"/><Relationship Id="rId95" Type="http://schemas.openxmlformats.org/officeDocument/2006/relationships/hyperlink" Target="https://digitalagencynetwork.com/agencies/australia/geo/" TargetMode="External"/><Relationship Id="rId94" Type="http://schemas.openxmlformats.org/officeDocument/2006/relationships/hyperlink" Target="http://smartosc.com" TargetMode="External"/><Relationship Id="rId97" Type="http://schemas.openxmlformats.org/officeDocument/2006/relationships/hyperlink" Target="https://www.emotedigital.com.au/digital-marketing-agency-melbourne/google-partner/" TargetMode="External"/><Relationship Id="rId96" Type="http://schemas.openxmlformats.org/officeDocument/2006/relationships/hyperlink" Target="http://digitalagencynetwork.com" TargetMode="External"/><Relationship Id="rId99" Type="http://schemas.openxmlformats.org/officeDocument/2006/relationships/hyperlink" Target="https://getaiready.com.au/" TargetMode="External"/><Relationship Id="rId98" Type="http://schemas.openxmlformats.org/officeDocument/2006/relationships/hyperlink" Target="http://emotedigital.com.au" TargetMode="External"/><Relationship Id="rId91" Type="http://schemas.openxmlformats.org/officeDocument/2006/relationships/hyperlink" Target="https://roi.com.au/know-how/challenges/roi-profitability/what-incrementality-testing-reveals-about-true-marketing-roi-in-australia-in-2026" TargetMode="External"/><Relationship Id="rId90" Type="http://schemas.openxmlformats.org/officeDocument/2006/relationships/hyperlink" Target="http://marginmedia.com.au" TargetMode="External"/><Relationship Id="rId93" Type="http://schemas.openxmlformats.org/officeDocument/2006/relationships/hyperlink" Target="https://www.smartosc.com/top-10-ai-marketing-agency-in-australia/" TargetMode="External"/><Relationship Id="rId92" Type="http://schemas.openxmlformats.org/officeDocument/2006/relationships/hyperlink" Target="http://roi.com.au" TargetMode="External"/><Relationship Id="rId359" Type="http://schemas.openxmlformats.org/officeDocument/2006/relationships/hyperlink" Target="http://undivided.com.au" TargetMode="External"/><Relationship Id="rId358" Type="http://schemas.openxmlformats.org/officeDocument/2006/relationships/hyperlink" Target="https://www.undivided.com.au/services/measurement" TargetMode="External"/><Relationship Id="rId357" Type="http://schemas.openxmlformats.org/officeDocument/2006/relationships/hyperlink" Target="http://tynmagazine.com" TargetMode="External"/><Relationship Id="rId2270" Type="http://schemas.openxmlformats.org/officeDocument/2006/relationships/hyperlink" Target="https://www.marketingattribution.com/" TargetMode="External"/><Relationship Id="rId2271" Type="http://schemas.openxmlformats.org/officeDocument/2006/relationships/hyperlink" Target="http://marketingattribution.com" TargetMode="External"/><Relationship Id="rId352" Type="http://schemas.openxmlformats.org/officeDocument/2006/relationships/hyperlink" Target="https://themanifest.com/au/programmatic/agencies" TargetMode="External"/><Relationship Id="rId2272" Type="http://schemas.openxmlformats.org/officeDocument/2006/relationships/hyperlink" Target="https://www.marketingattributionsoftware.com/" TargetMode="External"/><Relationship Id="rId351" Type="http://schemas.openxmlformats.org/officeDocument/2006/relationships/hyperlink" Target="http://semrush.com" TargetMode="External"/><Relationship Id="rId2273" Type="http://schemas.openxmlformats.org/officeDocument/2006/relationships/hyperlink" Target="http://marketingattributionsoftware.com" TargetMode="External"/><Relationship Id="rId350" Type="http://schemas.openxmlformats.org/officeDocument/2006/relationships/hyperlink" Target="https://www.semrush.com/agencies/list/analytics-data-science/melbourne/" TargetMode="External"/><Relationship Id="rId2274" Type="http://schemas.openxmlformats.org/officeDocument/2006/relationships/hyperlink" Target="https://marketingcosmos.com/agencies/data-analytics/sydney" TargetMode="External"/><Relationship Id="rId2275" Type="http://schemas.openxmlformats.org/officeDocument/2006/relationships/hyperlink" Target="http://marketingcosmos.com" TargetMode="External"/><Relationship Id="rId356" Type="http://schemas.openxmlformats.org/officeDocument/2006/relationships/hyperlink" Target="https://tynmagazine.com/best-answer-engine-optimisation-aeo-agencies-in-australia/" TargetMode="External"/><Relationship Id="rId2276" Type="http://schemas.openxmlformats.org/officeDocument/2006/relationships/hyperlink" Target="https://marketingcosmos.com/agencies/display-ads/perth" TargetMode="External"/><Relationship Id="rId355" Type="http://schemas.openxmlformats.org/officeDocument/2006/relationships/hyperlink" Target="http://topgeoagencies.com" TargetMode="External"/><Relationship Id="rId2277" Type="http://schemas.openxmlformats.org/officeDocument/2006/relationships/hyperlink" Target="http://marketingcosmos.com" TargetMode="External"/><Relationship Id="rId354" Type="http://schemas.openxmlformats.org/officeDocument/2006/relationships/hyperlink" Target="https://topgeoagencies.com/" TargetMode="External"/><Relationship Id="rId2278" Type="http://schemas.openxmlformats.org/officeDocument/2006/relationships/hyperlink" Target="https://marketingplatform.google.com/about/partners/find-a-partner" TargetMode="External"/><Relationship Id="rId353" Type="http://schemas.openxmlformats.org/officeDocument/2006/relationships/hyperlink" Target="http://themanifest.com" TargetMode="External"/><Relationship Id="rId2279" Type="http://schemas.openxmlformats.org/officeDocument/2006/relationships/hyperlink" Target="http://google.com" TargetMode="External"/><Relationship Id="rId1378" Type="http://schemas.openxmlformats.org/officeDocument/2006/relationships/hyperlink" Target="https://www.louddays.com/programmatic-advertising-agency-guide/" TargetMode="External"/><Relationship Id="rId2225" Type="http://schemas.openxmlformats.org/officeDocument/2006/relationships/hyperlink" Target="https://www.lambagency.com.au/digital-strategy/data-insights" TargetMode="External"/><Relationship Id="rId1379" Type="http://schemas.openxmlformats.org/officeDocument/2006/relationships/hyperlink" Target="http://louddays.com" TargetMode="External"/><Relationship Id="rId2226" Type="http://schemas.openxmlformats.org/officeDocument/2006/relationships/hyperlink" Target="http://lambagency.com.au" TargetMode="External"/><Relationship Id="rId2227" Type="http://schemas.openxmlformats.org/officeDocument/2006/relationships/hyperlink" Target="https://www.launcherlab.com.au/lift-test" TargetMode="External"/><Relationship Id="rId2228" Type="http://schemas.openxmlformats.org/officeDocument/2006/relationships/hyperlink" Target="http://launcherlab.com.au" TargetMode="External"/><Relationship Id="rId2229" Type="http://schemas.openxmlformats.org/officeDocument/2006/relationships/hyperlink" Target="https://leaddigital.com.au/" TargetMode="External"/><Relationship Id="rId305" Type="http://schemas.openxmlformats.org/officeDocument/2006/relationships/hyperlink" Target="https://www.resolutiondigital.com.au/services/cro/ab-testing/" TargetMode="External"/><Relationship Id="rId789" Type="http://schemas.openxmlformats.org/officeDocument/2006/relationships/hyperlink" Target="https://www.exaltgrowth.com/generative-engine-optimization/top-sydney-saas-geo-agencies" TargetMode="External"/><Relationship Id="rId304" Type="http://schemas.openxmlformats.org/officeDocument/2006/relationships/hyperlink" Target="http://rankingco.com.au" TargetMode="External"/><Relationship Id="rId788" Type="http://schemas.openxmlformats.org/officeDocument/2006/relationships/hyperlink" Target="http://hubspot.com" TargetMode="External"/><Relationship Id="rId303" Type="http://schemas.openxmlformats.org/officeDocument/2006/relationships/hyperlink" Target="https://www.rankingco.com.au/2024-premier-google-partner" TargetMode="External"/><Relationship Id="rId787" Type="http://schemas.openxmlformats.org/officeDocument/2006/relationships/hyperlink" Target="https://ecosystem.hubspot.com/marketplace/solutions/paid-advertising/telecom-mobile-communications/australia" TargetMode="External"/><Relationship Id="rId302" Type="http://schemas.openxmlformats.org/officeDocument/2006/relationships/hyperlink" Target="https://oski.site/blog/ai-consulting-companies-australia/" TargetMode="External"/><Relationship Id="rId786" Type="http://schemas.openxmlformats.org/officeDocument/2006/relationships/hyperlink" Target="http://hubspot.com" TargetMode="External"/><Relationship Id="rId309" Type="http://schemas.openxmlformats.org/officeDocument/2006/relationships/hyperlink" Target="https://roi.com.au/" TargetMode="External"/><Relationship Id="rId308" Type="http://schemas.openxmlformats.org/officeDocument/2006/relationships/hyperlink" Target="http://resolutiondigital.com.au" TargetMode="External"/><Relationship Id="rId307" Type="http://schemas.openxmlformats.org/officeDocument/2006/relationships/hyperlink" Target="https://www.resolutiondigital.com.au/services/measurement/marketing-mix-modelling/" TargetMode="External"/><Relationship Id="rId306" Type="http://schemas.openxmlformats.org/officeDocument/2006/relationships/hyperlink" Target="http://resolutiondigital.com.au" TargetMode="External"/><Relationship Id="rId781" Type="http://schemas.openxmlformats.org/officeDocument/2006/relationships/hyperlink" Target="https://dnmdigital.com.au/data-and-analytics/" TargetMode="External"/><Relationship Id="rId1370" Type="http://schemas.openxmlformats.org/officeDocument/2006/relationships/hyperlink" Target="https://liftlab.com/platform/unified-marketing-measurement/" TargetMode="External"/><Relationship Id="rId780" Type="http://schemas.openxmlformats.org/officeDocument/2006/relationships/hyperlink" Target="http://designrush.com" TargetMode="External"/><Relationship Id="rId1371" Type="http://schemas.openxmlformats.org/officeDocument/2006/relationships/hyperlink" Target="http://liftlab.com" TargetMode="External"/><Relationship Id="rId1372" Type="http://schemas.openxmlformats.org/officeDocument/2006/relationships/hyperlink" Target="https://www.linkedin.com/company/sparro-digital" TargetMode="External"/><Relationship Id="rId1373" Type="http://schemas.openxmlformats.org/officeDocument/2006/relationships/hyperlink" Target="http://linkedin.com" TargetMode="External"/><Relationship Id="rId2220" Type="http://schemas.openxmlformats.org/officeDocument/2006/relationships/hyperlink" Target="http://kodedigital.com.au" TargetMode="External"/><Relationship Id="rId301" Type="http://schemas.openxmlformats.org/officeDocument/2006/relationships/hyperlink" Target="http://hockeystack.com" TargetMode="External"/><Relationship Id="rId785" Type="http://schemas.openxmlformats.org/officeDocument/2006/relationships/hyperlink" Target="https://ecosystem.hubspot.com/marketplace/solutions/paid-advertising/government/australia" TargetMode="External"/><Relationship Id="rId1374" Type="http://schemas.openxmlformats.org/officeDocument/2006/relationships/hyperlink" Target="https://www.linkedin.com/pulse/best-performance-marketing-services-australia-vanator-assist-jhjyc" TargetMode="External"/><Relationship Id="rId2221" Type="http://schemas.openxmlformats.org/officeDocument/2006/relationships/hyperlink" Target="https://www.kuehne-nagel.com/au/services/customs-clearance/import-customs-clearance" TargetMode="External"/><Relationship Id="rId300" Type="http://schemas.openxmlformats.org/officeDocument/2006/relationships/hyperlink" Target="https://www.hockeystack.com/blog-posts/best-marketing-attribution-software" TargetMode="External"/><Relationship Id="rId784" Type="http://schemas.openxmlformats.org/officeDocument/2006/relationships/hyperlink" Target="http://hubspot.com" TargetMode="External"/><Relationship Id="rId1375" Type="http://schemas.openxmlformats.org/officeDocument/2006/relationships/hyperlink" Target="http://linkedin.com" TargetMode="External"/><Relationship Id="rId2222" Type="http://schemas.openxmlformats.org/officeDocument/2006/relationships/hyperlink" Target="http://kuehne-nagel.com" TargetMode="External"/><Relationship Id="rId783" Type="http://schemas.openxmlformats.org/officeDocument/2006/relationships/hyperlink" Target="https://ecosystem.hubspot.com/marketplace/solutions/paid-advertising/consumer-services/australia" TargetMode="External"/><Relationship Id="rId1376" Type="http://schemas.openxmlformats.org/officeDocument/2006/relationships/hyperlink" Target="https://www.listcorp.com/asx/xpn/xpon-technologies-group-limited/news/divestment-of-google-gmp-and-gcp-business-to-incubeta-3364858.html" TargetMode="External"/><Relationship Id="rId2223" Type="http://schemas.openxmlformats.org/officeDocument/2006/relationships/hyperlink" Target="https://kwasi.com/" TargetMode="External"/><Relationship Id="rId782" Type="http://schemas.openxmlformats.org/officeDocument/2006/relationships/hyperlink" Target="http://dnmdigital.com.au" TargetMode="External"/><Relationship Id="rId1377" Type="http://schemas.openxmlformats.org/officeDocument/2006/relationships/hyperlink" Target="http://listcorp.com" TargetMode="External"/><Relationship Id="rId2224" Type="http://schemas.openxmlformats.org/officeDocument/2006/relationships/hyperlink" Target="http://kwasi.com" TargetMode="External"/><Relationship Id="rId1367" Type="http://schemas.openxmlformats.org/officeDocument/2006/relationships/hyperlink" Target="https://leadsnow.ai/best-pay-per-result-marketing-agencies-australia-2026/" TargetMode="External"/><Relationship Id="rId2214" Type="http://schemas.openxmlformats.org/officeDocument/2006/relationships/hyperlink" Target="http://kineticconsulting.com.au" TargetMode="External"/><Relationship Id="rId2698" Type="http://schemas.openxmlformats.org/officeDocument/2006/relationships/hyperlink" Target="https://www.wmtips.com/technologies/marketing-attribution/" TargetMode="External"/><Relationship Id="rId1368" Type="http://schemas.openxmlformats.org/officeDocument/2006/relationships/hyperlink" Target="http://leadsnow.ai" TargetMode="External"/><Relationship Id="rId2215" Type="http://schemas.openxmlformats.org/officeDocument/2006/relationships/hyperlink" Target="https://kingkong.co/au/" TargetMode="External"/><Relationship Id="rId2699" Type="http://schemas.openxmlformats.org/officeDocument/2006/relationships/hyperlink" Target="http://wmtips.com" TargetMode="External"/><Relationship Id="rId1369" Type="http://schemas.openxmlformats.org/officeDocument/2006/relationships/hyperlink" Target="http://leadsnow.ai" TargetMode="External"/><Relationship Id="rId2216" Type="http://schemas.openxmlformats.org/officeDocument/2006/relationships/hyperlink" Target="http://kingkong.co" TargetMode="External"/><Relationship Id="rId2217" Type="http://schemas.openxmlformats.org/officeDocument/2006/relationships/hyperlink" Target="https://koadigital.com.au/services/meta-ads-management/" TargetMode="External"/><Relationship Id="rId2218" Type="http://schemas.openxmlformats.org/officeDocument/2006/relationships/hyperlink" Target="http://koadigital.com.au" TargetMode="External"/><Relationship Id="rId2219" Type="http://schemas.openxmlformats.org/officeDocument/2006/relationships/hyperlink" Target="https://kodedigital.com.au/digital-services/banner-design/" TargetMode="External"/><Relationship Id="rId778" Type="http://schemas.openxmlformats.org/officeDocument/2006/relationships/hyperlink" Target="http://deptagency.com" TargetMode="External"/><Relationship Id="rId777" Type="http://schemas.openxmlformats.org/officeDocument/2006/relationships/hyperlink" Target="https://www.deptagency.com/en-au/service/google-marketing-platform/" TargetMode="External"/><Relationship Id="rId776" Type="http://schemas.openxmlformats.org/officeDocument/2006/relationships/hyperlink" Target="http://crescendoagency.ai" TargetMode="External"/><Relationship Id="rId775" Type="http://schemas.openxmlformats.org/officeDocument/2006/relationships/hyperlink" Target="https://www.crescendoagency.ai/ai-agency-australia/" TargetMode="External"/><Relationship Id="rId779" Type="http://schemas.openxmlformats.org/officeDocument/2006/relationships/hyperlink" Target="https://www.designrush.com/agency/paid-media-pay-per-click/au?page=6" TargetMode="External"/><Relationship Id="rId770" Type="http://schemas.openxmlformats.org/officeDocument/2006/relationships/hyperlink" Target="http://clutch.co" TargetMode="External"/><Relationship Id="rId2690" Type="http://schemas.openxmlformats.org/officeDocument/2006/relationships/hyperlink" Target="https://www.werankle.com/en" TargetMode="External"/><Relationship Id="rId1360" Type="http://schemas.openxmlformats.org/officeDocument/2006/relationships/hyperlink" Target="http://ionline.com.au" TargetMode="External"/><Relationship Id="rId2691" Type="http://schemas.openxmlformats.org/officeDocument/2006/relationships/hyperlink" Target="http://werankle.com" TargetMode="External"/><Relationship Id="rId1361" Type="http://schemas.openxmlformats.org/officeDocument/2006/relationships/hyperlink" Target="https://www.itpro.com/business/business-strategy/ai-projects-are-stalling-at-mid-market-firms-google-cloud-and-accenture-want-to-solve-that" TargetMode="External"/><Relationship Id="rId2692" Type="http://schemas.openxmlformats.org/officeDocument/2006/relationships/hyperlink" Target="https://whitehatagency.com.au/ai-consulting/" TargetMode="External"/><Relationship Id="rId1362" Type="http://schemas.openxmlformats.org/officeDocument/2006/relationships/hyperlink" Target="http://itpro.com" TargetMode="External"/><Relationship Id="rId2693" Type="http://schemas.openxmlformats.org/officeDocument/2006/relationships/hyperlink" Target="http://whitehatagency.com.au" TargetMode="External"/><Relationship Id="rId774" Type="http://schemas.openxmlformats.org/officeDocument/2006/relationships/hyperlink" Target="http://clutch.co" TargetMode="External"/><Relationship Id="rId1363" Type="http://schemas.openxmlformats.org/officeDocument/2006/relationships/hyperlink" Target="https://itprofiles.com/services/ppc/sydney" TargetMode="External"/><Relationship Id="rId2210" Type="http://schemas.openxmlformats.org/officeDocument/2006/relationships/hyperlink" Target="http://kersai.com" TargetMode="External"/><Relationship Id="rId2694" Type="http://schemas.openxmlformats.org/officeDocument/2006/relationships/hyperlink" Target="https://wilsonai.com/AI-Consultants-Australia.php" TargetMode="External"/><Relationship Id="rId773" Type="http://schemas.openxmlformats.org/officeDocument/2006/relationships/hyperlink" Target="https://clutch.co/au/it-services/analytics" TargetMode="External"/><Relationship Id="rId1364" Type="http://schemas.openxmlformats.org/officeDocument/2006/relationships/hyperlink" Target="http://itprofiles.com" TargetMode="External"/><Relationship Id="rId2211" Type="http://schemas.openxmlformats.org/officeDocument/2006/relationships/hyperlink" Target="https://keyspace.com.au/most-recommended-google-ads-agencies-in-australia/" TargetMode="External"/><Relationship Id="rId2695" Type="http://schemas.openxmlformats.org/officeDocument/2006/relationships/hyperlink" Target="http://wilsonai.com" TargetMode="External"/><Relationship Id="rId772" Type="http://schemas.openxmlformats.org/officeDocument/2006/relationships/hyperlink" Target="http://clutch.co" TargetMode="External"/><Relationship Id="rId1365" Type="http://schemas.openxmlformats.org/officeDocument/2006/relationships/hyperlink" Target="https://lbbonline.com/news/a-to-z-aunz-indies-2025" TargetMode="External"/><Relationship Id="rId2212" Type="http://schemas.openxmlformats.org/officeDocument/2006/relationships/hyperlink" Target="http://keyspace.com.au" TargetMode="External"/><Relationship Id="rId2696" Type="http://schemas.openxmlformats.org/officeDocument/2006/relationships/hyperlink" Target="https://wmegroup.com.au/blog/best-seo-agencies-australia/" TargetMode="External"/><Relationship Id="rId771" Type="http://schemas.openxmlformats.org/officeDocument/2006/relationships/hyperlink" Target="https://clutch.co/au/agencies/ppc/display?page=2" TargetMode="External"/><Relationship Id="rId1366" Type="http://schemas.openxmlformats.org/officeDocument/2006/relationships/hyperlink" Target="http://lbbonline.com" TargetMode="External"/><Relationship Id="rId2213" Type="http://schemas.openxmlformats.org/officeDocument/2006/relationships/hyperlink" Target="https://www.kineticconsulting.com.au/artificial-intelligence-consulting/" TargetMode="External"/><Relationship Id="rId2697" Type="http://schemas.openxmlformats.org/officeDocument/2006/relationships/hyperlink" Target="http://wmegroup.com.au" TargetMode="External"/><Relationship Id="rId2247" Type="http://schemas.openxmlformats.org/officeDocument/2006/relationships/hyperlink" Target="https://localiq.com/au/products/social-ads/instagram-ads/" TargetMode="External"/><Relationship Id="rId2248" Type="http://schemas.openxmlformats.org/officeDocument/2006/relationships/hyperlink" Target="http://localiq.com" TargetMode="External"/><Relationship Id="rId2249" Type="http://schemas.openxmlformats.org/officeDocument/2006/relationships/hyperlink" Target="https://www.louddays.com/performance-marketing-agency-australia-guide/" TargetMode="External"/><Relationship Id="rId327" Type="http://schemas.openxmlformats.org/officeDocument/2006/relationships/hyperlink" Target="https://agencies.semrush.com/list/display-advertising/sydney/" TargetMode="External"/><Relationship Id="rId326" Type="http://schemas.openxmlformats.org/officeDocument/2006/relationships/hyperlink" Target="http://topseobrands.com" TargetMode="External"/><Relationship Id="rId325" Type="http://schemas.openxmlformats.org/officeDocument/2006/relationships/hyperlink" Target="https://www.topseobrands.com/au/best-display-advertising-firms-in-australia" TargetMode="External"/><Relationship Id="rId324" Type="http://schemas.openxmlformats.org/officeDocument/2006/relationships/hyperlink" Target="http://thehero.co" TargetMode="External"/><Relationship Id="rId329" Type="http://schemas.openxmlformats.org/officeDocument/2006/relationships/hyperlink" Target="https://agencies.semrush.com/list/programmatic-advertising/australia/" TargetMode="External"/><Relationship Id="rId1390" Type="http://schemas.openxmlformats.org/officeDocument/2006/relationships/hyperlink" Target="https://meaningfulsocialclub.com/" TargetMode="External"/><Relationship Id="rId328" Type="http://schemas.openxmlformats.org/officeDocument/2006/relationships/hyperlink" Target="http://semrush.com" TargetMode="External"/><Relationship Id="rId1391" Type="http://schemas.openxmlformats.org/officeDocument/2006/relationships/hyperlink" Target="http://meaningfulsocialclub.com" TargetMode="External"/><Relationship Id="rId1392" Type="http://schemas.openxmlformats.org/officeDocument/2006/relationships/hyperlink" Target="https://www.mediaweek.com.au/creative-agency-50-power-list-2023/" TargetMode="External"/><Relationship Id="rId1393" Type="http://schemas.openxmlformats.org/officeDocument/2006/relationships/hyperlink" Target="http://mediaweek.com.au" TargetMode="External"/><Relationship Id="rId2240" Type="http://schemas.openxmlformats.org/officeDocument/2006/relationships/hyperlink" Target="http://lengreo.com" TargetMode="External"/><Relationship Id="rId1394" Type="http://schemas.openxmlformats.org/officeDocument/2006/relationships/hyperlink" Target="https://www.melottimedia.com.au/ai-marketing-services/localised-ai-search-optimisation/" TargetMode="External"/><Relationship Id="rId2241" Type="http://schemas.openxmlformats.org/officeDocument/2006/relationships/hyperlink" Target="https://lifesight.io/product/geo-based-incrementality-testing/" TargetMode="External"/><Relationship Id="rId1395" Type="http://schemas.openxmlformats.org/officeDocument/2006/relationships/hyperlink" Target="http://melottimedia.com.au" TargetMode="External"/><Relationship Id="rId2242" Type="http://schemas.openxmlformats.org/officeDocument/2006/relationships/hyperlink" Target="http://lifesight.io" TargetMode="External"/><Relationship Id="rId323" Type="http://schemas.openxmlformats.org/officeDocument/2006/relationships/hyperlink" Target="https://www.thehero.co/news/top-10-best-advertising-agencies-leading-australia-2025-sydney-melbourne-brisbane" TargetMode="External"/><Relationship Id="rId1396" Type="http://schemas.openxmlformats.org/officeDocument/2006/relationships/hyperlink" Target="https://mindanchorai.com.au/" TargetMode="External"/><Relationship Id="rId2243" Type="http://schemas.openxmlformats.org/officeDocument/2006/relationships/hyperlink" Target="https://liftlab.com/" TargetMode="External"/><Relationship Id="rId322" Type="http://schemas.openxmlformats.org/officeDocument/2006/relationships/hyperlink" Target="http://techradar.com" TargetMode="External"/><Relationship Id="rId1397" Type="http://schemas.openxmlformats.org/officeDocument/2006/relationships/hyperlink" Target="http://mindanchorai.com.au" TargetMode="External"/><Relationship Id="rId2244" Type="http://schemas.openxmlformats.org/officeDocument/2006/relationships/hyperlink" Target="http://liftlab.com" TargetMode="External"/><Relationship Id="rId321" Type="http://schemas.openxmlformats.org/officeDocument/2006/relationships/hyperlink" Target="https://www.techradar.com/pro/aeo-vs-seo-whats-the-difference-and-do-you-need-both" TargetMode="External"/><Relationship Id="rId1398" Type="http://schemas.openxmlformats.org/officeDocument/2006/relationships/hyperlink" Target="https://www.modernmarketingpartners.com/2026/03/19/14-best-answer-engine-optimization-agencies-aeo-insights-company-rankings-for-2026/" TargetMode="External"/><Relationship Id="rId2245" Type="http://schemas.openxmlformats.org/officeDocument/2006/relationships/hyperlink" Target="https://www.lightningventures.com.au/ai-agency/sydney/" TargetMode="External"/><Relationship Id="rId320" Type="http://schemas.openxmlformats.org/officeDocument/2006/relationships/hyperlink" Target="http://team400.ai" TargetMode="External"/><Relationship Id="rId1399" Type="http://schemas.openxmlformats.org/officeDocument/2006/relationships/hyperlink" Target="http://modernmarketingpartners.com" TargetMode="External"/><Relationship Id="rId2246" Type="http://schemas.openxmlformats.org/officeDocument/2006/relationships/hyperlink" Target="http://lightningventures.com.au" TargetMode="External"/><Relationship Id="rId1389" Type="http://schemas.openxmlformats.org/officeDocument/2006/relationships/hyperlink" Target="http://mckenzie.com.au" TargetMode="External"/><Relationship Id="rId2236" Type="http://schemas.openxmlformats.org/officeDocument/2006/relationships/hyperlink" Target="http://leadsnow.ai" TargetMode="External"/><Relationship Id="rId2237" Type="http://schemas.openxmlformats.org/officeDocument/2006/relationships/hyperlink" Target="https://lengreo.com/australia-adelaide-aeo-geo-llmo-companies/" TargetMode="External"/><Relationship Id="rId2238" Type="http://schemas.openxmlformats.org/officeDocument/2006/relationships/hyperlink" Target="http://lengreo.com" TargetMode="External"/><Relationship Id="rId2239" Type="http://schemas.openxmlformats.org/officeDocument/2006/relationships/hyperlink" Target="https://lengreo.com/australia-melbourne-aeo-geo-llmo-companies/" TargetMode="External"/><Relationship Id="rId316" Type="http://schemas.openxmlformats.org/officeDocument/2006/relationships/hyperlink" Target="http://sortlist.com" TargetMode="External"/><Relationship Id="rId315" Type="http://schemas.openxmlformats.org/officeDocument/2006/relationships/hyperlink" Target="https://www.sortlist.com/media-planning/australia-au" TargetMode="External"/><Relationship Id="rId799" Type="http://schemas.openxmlformats.org/officeDocument/2006/relationships/hyperlink" Target="http://haus.io" TargetMode="External"/><Relationship Id="rId314" Type="http://schemas.openxmlformats.org/officeDocument/2006/relationships/hyperlink" Target="http://sellforte.com" TargetMode="External"/><Relationship Id="rId798" Type="http://schemas.openxmlformats.org/officeDocument/2006/relationships/hyperlink" Target="https://www.haus.io/blog/choosing-the-best-incrementality-testing-tool" TargetMode="External"/><Relationship Id="rId313" Type="http://schemas.openxmlformats.org/officeDocument/2006/relationships/hyperlink" Target="https://sellforte.com/blog/best-incrementality-testing-tools" TargetMode="External"/><Relationship Id="rId797" Type="http://schemas.openxmlformats.org/officeDocument/2006/relationships/hyperlink" Target="http://hashmeta.ai" TargetMode="External"/><Relationship Id="rId319" Type="http://schemas.openxmlformats.org/officeDocument/2006/relationships/hyperlink" Target="https://team400.ai/blog/2026-04-top-ai-consultants-australia" TargetMode="External"/><Relationship Id="rId318" Type="http://schemas.openxmlformats.org/officeDocument/2006/relationships/hyperlink" Target="http://sortlist.com" TargetMode="External"/><Relationship Id="rId317" Type="http://schemas.openxmlformats.org/officeDocument/2006/relationships/hyperlink" Target="https://www.sortlist.com/s/paid-media/australian-capital-territory-act-au" TargetMode="External"/><Relationship Id="rId1380" Type="http://schemas.openxmlformats.org/officeDocument/2006/relationships/hyperlink" Target="https://www.luminary.com/generative-engine-optimisation" TargetMode="External"/><Relationship Id="rId792" Type="http://schemas.openxmlformats.org/officeDocument/2006/relationships/hyperlink" Target="https://www.google.com.au/ads/publisher/partners/find-a-partner/" TargetMode="External"/><Relationship Id="rId1381" Type="http://schemas.openxmlformats.org/officeDocument/2006/relationships/hyperlink" Target="http://luminary.com" TargetMode="External"/><Relationship Id="rId791" Type="http://schemas.openxmlformats.org/officeDocument/2006/relationships/hyperlink" Target="https://frankdigital.agency/google-ads/google-display-advertising-companies/" TargetMode="External"/><Relationship Id="rId1382" Type="http://schemas.openxmlformats.org/officeDocument/2006/relationships/hyperlink" Target="https://madebyevoke.com/blog/top-branding-agencies-melbourne" TargetMode="External"/><Relationship Id="rId790" Type="http://schemas.openxmlformats.org/officeDocument/2006/relationships/hyperlink" Target="http://exaltgrowth.com" TargetMode="External"/><Relationship Id="rId1383" Type="http://schemas.openxmlformats.org/officeDocument/2006/relationships/hyperlink" Target="http://madebyevoke.com" TargetMode="External"/><Relationship Id="rId2230" Type="http://schemas.openxmlformats.org/officeDocument/2006/relationships/hyperlink" Target="http://leaddigital.com.au" TargetMode="External"/><Relationship Id="rId1384" Type="http://schemas.openxmlformats.org/officeDocument/2006/relationships/hyperlink" Target="https://marketingplatform.google.com/about/partners/?authuser=1" TargetMode="External"/><Relationship Id="rId2231" Type="http://schemas.openxmlformats.org/officeDocument/2006/relationships/hyperlink" Target="https://leadsnow.ai/" TargetMode="External"/><Relationship Id="rId312" Type="http://schemas.openxmlformats.org/officeDocument/2006/relationships/hyperlink" Target="http://salesmate.io" TargetMode="External"/><Relationship Id="rId796" Type="http://schemas.openxmlformats.org/officeDocument/2006/relationships/hyperlink" Target="https://www.hashmeta.ai/en/blog/top-10-ai-agencies-in-australia-expert-guide-to-choosing-your-ai-marketing-partner" TargetMode="External"/><Relationship Id="rId1385" Type="http://schemas.openxmlformats.org/officeDocument/2006/relationships/hyperlink" Target="http://google.com" TargetMode="External"/><Relationship Id="rId2232" Type="http://schemas.openxmlformats.org/officeDocument/2006/relationships/hyperlink" Target="http://leadsnow.ai" TargetMode="External"/><Relationship Id="rId311" Type="http://schemas.openxmlformats.org/officeDocument/2006/relationships/hyperlink" Target="https://www.salesmate.io/blog/marketing-attribution-software/" TargetMode="External"/><Relationship Id="rId795" Type="http://schemas.openxmlformats.org/officeDocument/2006/relationships/hyperlink" Target="http://google.com" TargetMode="External"/><Relationship Id="rId1386" Type="http://schemas.openxmlformats.org/officeDocument/2006/relationships/hyperlink" Target="https://www.marketingsystems.com.au/blog/incrementality-testing-gold-standard-measuring-marketing-impact" TargetMode="External"/><Relationship Id="rId2233" Type="http://schemas.openxmlformats.org/officeDocument/2006/relationships/hyperlink" Target="https://leadsnow.ai/ai-for-business/" TargetMode="External"/><Relationship Id="rId310" Type="http://schemas.openxmlformats.org/officeDocument/2006/relationships/hyperlink" Target="http://roi.com.au" TargetMode="External"/><Relationship Id="rId794" Type="http://schemas.openxmlformats.org/officeDocument/2006/relationships/hyperlink" Target="https://www.google.com/intl/en_GB/ads/publisher/partners/find-a-partner/" TargetMode="External"/><Relationship Id="rId1387" Type="http://schemas.openxmlformats.org/officeDocument/2006/relationships/hyperlink" Target="http://marketingsystems.com.au" TargetMode="External"/><Relationship Id="rId2234" Type="http://schemas.openxmlformats.org/officeDocument/2006/relationships/hyperlink" Target="http://leadsnow.ai" TargetMode="External"/><Relationship Id="rId793" Type="http://schemas.openxmlformats.org/officeDocument/2006/relationships/hyperlink" Target="http://google.com.au" TargetMode="External"/><Relationship Id="rId1388" Type="http://schemas.openxmlformats.org/officeDocument/2006/relationships/hyperlink" Target="https://mckenzie.com.au/services/google/" TargetMode="External"/><Relationship Id="rId2235" Type="http://schemas.openxmlformats.org/officeDocument/2006/relationships/hyperlink" Target="https://leadsnow.ai/ai-sales-agents-australia/" TargetMode="External"/><Relationship Id="rId297" Type="http://schemas.openxmlformats.org/officeDocument/2006/relationships/hyperlink" Target="http://digitaldigest.au" TargetMode="External"/><Relationship Id="rId296" Type="http://schemas.openxmlformats.org/officeDocument/2006/relationships/hyperlink" Target="https://digitaldigest.au/best-digital-marketing-agencies/" TargetMode="External"/><Relationship Id="rId295" Type="http://schemas.openxmlformats.org/officeDocument/2006/relationships/hyperlink" Target="http://digitalagencynetwork.com" TargetMode="External"/><Relationship Id="rId294" Type="http://schemas.openxmlformats.org/officeDocument/2006/relationships/hyperlink" Target="https://digitalagencynetwork.com/agencies/melbourne/ai-marketing/" TargetMode="External"/><Relationship Id="rId299" Type="http://schemas.openxmlformats.org/officeDocument/2006/relationships/hyperlink" Target="http://godigitalalpha.com" TargetMode="External"/><Relationship Id="rId298" Type="http://schemas.openxmlformats.org/officeDocument/2006/relationships/hyperlink" Target="https://godigitalalpha.com/best-performance-marketing-services-in-australia-2025/" TargetMode="External"/><Relationship Id="rId271" Type="http://schemas.openxmlformats.org/officeDocument/2006/relationships/hyperlink" Target="http://themanifest.com" TargetMode="External"/><Relationship Id="rId270" Type="http://schemas.openxmlformats.org/officeDocument/2006/relationships/hyperlink" Target="https://themanifest.com/au/creative/agencies" TargetMode="External"/><Relationship Id="rId269" Type="http://schemas.openxmlformats.org/officeDocument/2006/relationships/hyperlink" Target="http://studiohawk.com.au" TargetMode="External"/><Relationship Id="rId264" Type="http://schemas.openxmlformats.org/officeDocument/2006/relationships/hyperlink" Target="https://www.resolutiondigital.com.au/services/measurement/reporting/" TargetMode="External"/><Relationship Id="rId263" Type="http://schemas.openxmlformats.org/officeDocument/2006/relationships/hyperlink" Target="http://redpandas.com.au" TargetMode="External"/><Relationship Id="rId262" Type="http://schemas.openxmlformats.org/officeDocument/2006/relationships/hyperlink" Target="https://www.redpandas.com.au/blog/best-paid-media-agencies-in-australia-an-unbiased-review/" TargetMode="External"/><Relationship Id="rId261" Type="http://schemas.openxmlformats.org/officeDocument/2006/relationships/hyperlink" Target="http://protiviti.com" TargetMode="External"/><Relationship Id="rId268" Type="http://schemas.openxmlformats.org/officeDocument/2006/relationships/hyperlink" Target="https://studiohawk.com.au/seo-services/ai-seo/" TargetMode="External"/><Relationship Id="rId267" Type="http://schemas.openxmlformats.org/officeDocument/2006/relationships/hyperlink" Target="http://skyscale.com.au" TargetMode="External"/><Relationship Id="rId266" Type="http://schemas.openxmlformats.org/officeDocument/2006/relationships/hyperlink" Target="https://skyscale.com.au/blogs/best-aeo-agencies-melbourne-2025" TargetMode="External"/><Relationship Id="rId265" Type="http://schemas.openxmlformats.org/officeDocument/2006/relationships/hyperlink" Target="http://resolutiondigital.com.au" TargetMode="External"/><Relationship Id="rId260" Type="http://schemas.openxmlformats.org/officeDocument/2006/relationships/hyperlink" Target="https://www.protiviti.com/au-en/artificial-intelligence-services" TargetMode="External"/><Relationship Id="rId259" Type="http://schemas.openxmlformats.org/officeDocument/2006/relationships/hyperlink" Target="http://prosperitymedia.com.au" TargetMode="External"/><Relationship Id="rId258" Type="http://schemas.openxmlformats.org/officeDocument/2006/relationships/hyperlink" Target="https://prosperitymedia.com.au/generative-ai-seo-services/" TargetMode="External"/><Relationship Id="rId2290" Type="http://schemas.openxmlformats.org/officeDocument/2006/relationships/hyperlink" Target="https://www.measured.com/incremental-lift-tests/" TargetMode="External"/><Relationship Id="rId2291" Type="http://schemas.openxmlformats.org/officeDocument/2006/relationships/hyperlink" Target="http://measured.com" TargetMode="External"/><Relationship Id="rId2292" Type="http://schemas.openxmlformats.org/officeDocument/2006/relationships/hyperlink" Target="https://mediaplusdigital.co/au/best-social-media-marketing-agencies-in-australia/" TargetMode="External"/><Relationship Id="rId2293" Type="http://schemas.openxmlformats.org/officeDocument/2006/relationships/hyperlink" Target="http://mediaplusdigital.co" TargetMode="External"/><Relationship Id="rId253" Type="http://schemas.openxmlformats.org/officeDocument/2006/relationships/hyperlink" Target="http://hikemytraffic.com" TargetMode="External"/><Relationship Id="rId2294" Type="http://schemas.openxmlformats.org/officeDocument/2006/relationships/hyperlink" Target="https://mediaplusdigital.co/au/digital-marketing-agencies-in-australia/" TargetMode="External"/><Relationship Id="rId252" Type="http://schemas.openxmlformats.org/officeDocument/2006/relationships/hyperlink" Target="https://hikemytraffic.com/ai-digital-marketing-services-in-australia/" TargetMode="External"/><Relationship Id="rId2295" Type="http://schemas.openxmlformats.org/officeDocument/2006/relationships/hyperlink" Target="http://mediaplusdigital.co" TargetMode="External"/><Relationship Id="rId251" Type="http://schemas.openxmlformats.org/officeDocument/2006/relationships/hyperlink" Target="http://ethinos.com.au" TargetMode="External"/><Relationship Id="rId2296" Type="http://schemas.openxmlformats.org/officeDocument/2006/relationships/hyperlink" Target="https://mediaright.au/services/digital/" TargetMode="External"/><Relationship Id="rId250" Type="http://schemas.openxmlformats.org/officeDocument/2006/relationships/hyperlink" Target="https://www.ethinos.com.au/" TargetMode="External"/><Relationship Id="rId2297" Type="http://schemas.openxmlformats.org/officeDocument/2006/relationships/hyperlink" Target="http://mediaright.au" TargetMode="External"/><Relationship Id="rId257" Type="http://schemas.openxmlformats.org/officeDocument/2006/relationships/hyperlink" Target="http://withgoogle.com" TargetMode="External"/><Relationship Id="rId2298" Type="http://schemas.openxmlformats.org/officeDocument/2006/relationships/hyperlink" Target="https://www.mediaweek.com.au/asahi-beverages-bmf-kerfuffle-creative-agency-appointment" TargetMode="External"/><Relationship Id="rId256" Type="http://schemas.openxmlformats.org/officeDocument/2006/relationships/hyperlink" Target="https://partnersdirectory.withgoogle.com/" TargetMode="External"/><Relationship Id="rId2299" Type="http://schemas.openxmlformats.org/officeDocument/2006/relationships/hyperlink" Target="http://mediaweek.com.au" TargetMode="External"/><Relationship Id="rId255" Type="http://schemas.openxmlformats.org/officeDocument/2006/relationships/hyperlink" Target="http://noice.net.au" TargetMode="External"/><Relationship Id="rId254" Type="http://schemas.openxmlformats.org/officeDocument/2006/relationships/hyperlink" Target="https://noice.net.au/services/ai-strategy-consulting/" TargetMode="External"/><Relationship Id="rId293" Type="http://schemas.openxmlformats.org/officeDocument/2006/relationships/hyperlink" Target="http://digitalagencynetwork.com" TargetMode="External"/><Relationship Id="rId292" Type="http://schemas.openxmlformats.org/officeDocument/2006/relationships/hyperlink" Target="https://digitalagencynetwork.com/agencies/australia/online-advertising/" TargetMode="External"/><Relationship Id="rId291" Type="http://schemas.openxmlformats.org/officeDocument/2006/relationships/hyperlink" Target="http://cometly.com" TargetMode="External"/><Relationship Id="rId290" Type="http://schemas.openxmlformats.org/officeDocument/2006/relationships/hyperlink" Target="https://www.cometly.com/post/marketing-attribution-platform-for-agencies" TargetMode="External"/><Relationship Id="rId286" Type="http://schemas.openxmlformats.org/officeDocument/2006/relationships/hyperlink" Target="https://clutch.co/au/consulting/ai/strategy" TargetMode="External"/><Relationship Id="rId285" Type="http://schemas.openxmlformats.org/officeDocument/2006/relationships/hyperlink" Target="http://bushnote.com" TargetMode="External"/><Relationship Id="rId284" Type="http://schemas.openxmlformats.org/officeDocument/2006/relationships/hyperlink" Target="https://www.bushnote.com/articles/top-ai-marketing-agencies-australia-2025-f19a3" TargetMode="External"/><Relationship Id="rId283" Type="http://schemas.openxmlformats.org/officeDocument/2006/relationships/hyperlink" Target="http://amplifir.com.au" TargetMode="External"/><Relationship Id="rId289" Type="http://schemas.openxmlformats.org/officeDocument/2006/relationships/hyperlink" Target="http://cometly.com" TargetMode="External"/><Relationship Id="rId288" Type="http://schemas.openxmlformats.org/officeDocument/2006/relationships/hyperlink" Target="https://www.cometly.com/post/marketing-attribution-consultant-services" TargetMode="External"/><Relationship Id="rId287" Type="http://schemas.openxmlformats.org/officeDocument/2006/relationships/hyperlink" Target="http://clutch.co" TargetMode="External"/><Relationship Id="rId282" Type="http://schemas.openxmlformats.org/officeDocument/2006/relationships/hyperlink" Target="https://amplifir.com.au/services/data-advanced-analytics/attribution-modelling/" TargetMode="External"/><Relationship Id="rId281" Type="http://schemas.openxmlformats.org/officeDocument/2006/relationships/hyperlink" Target="http://airconsulting.ai" TargetMode="External"/><Relationship Id="rId280" Type="http://schemas.openxmlformats.org/officeDocument/2006/relationships/hyperlink" Target="https://www.airconsulting.ai/" TargetMode="External"/><Relationship Id="rId275" Type="http://schemas.openxmlformats.org/officeDocument/2006/relationships/hyperlink" Target="http://adbeacon.com" TargetMode="External"/><Relationship Id="rId274" Type="http://schemas.openxmlformats.org/officeDocument/2006/relationships/hyperlink" Target="https://www.adbeacon.com/19-best-marketing-attribution-software-solutions-in-2026/" TargetMode="External"/><Relationship Id="rId273" Type="http://schemas.openxmlformats.org/officeDocument/2006/relationships/hyperlink" Target="http://10seos.com" TargetMode="External"/><Relationship Id="rId272" Type="http://schemas.openxmlformats.org/officeDocument/2006/relationships/hyperlink" Target="https://www.10seos.com/au/display-advertising-companies-in-australia?page=4" TargetMode="External"/><Relationship Id="rId279" Type="http://schemas.openxmlformats.org/officeDocument/2006/relationships/hyperlink" Target="http://agencyvista.com" TargetMode="External"/><Relationship Id="rId278" Type="http://schemas.openxmlformats.org/officeDocument/2006/relationships/hyperlink" Target="https://agencyvista.com/lists/google-marketing-platform-sales-partners/page/2/" TargetMode="External"/><Relationship Id="rId277" Type="http://schemas.openxmlformats.org/officeDocument/2006/relationships/hyperlink" Target="http://adbeacon.com" TargetMode="External"/><Relationship Id="rId276" Type="http://schemas.openxmlformats.org/officeDocument/2006/relationships/hyperlink" Target="https://www.adbeacon.com/7-best-marketing-attribution-tools-compared-2026/" TargetMode="External"/><Relationship Id="rId1851" Type="http://schemas.openxmlformats.org/officeDocument/2006/relationships/hyperlink" Target="https://www.cometly.com/post/multi-touch-attribution-platform" TargetMode="External"/><Relationship Id="rId1852" Type="http://schemas.openxmlformats.org/officeDocument/2006/relationships/hyperlink" Target="http://cometly.com" TargetMode="External"/><Relationship Id="rId1853" Type="http://schemas.openxmlformats.org/officeDocument/2006/relationships/hyperlink" Target="https://compliancecouncil.com.au/insights/guide-to-becoming-a-tao/" TargetMode="External"/><Relationship Id="rId2700" Type="http://schemas.openxmlformats.org/officeDocument/2006/relationships/hyperlink" Target="https://www.wpp.com/en/news/2025/03/wpp-claims-top-honours-on-the-warc-creative-100" TargetMode="External"/><Relationship Id="rId1854" Type="http://schemas.openxmlformats.org/officeDocument/2006/relationships/hyperlink" Target="http://compliancecouncil.com.au" TargetMode="External"/><Relationship Id="rId2701" Type="http://schemas.openxmlformats.org/officeDocument/2006/relationships/hyperlink" Target="http://wpp.com" TargetMode="External"/><Relationship Id="rId1855" Type="http://schemas.openxmlformats.org/officeDocument/2006/relationships/hyperlink" Target="https://conquerradigital.com.au/top-9-programmatic-ads-agencies-in-adelaide/" TargetMode="External"/><Relationship Id="rId2702" Type="http://schemas.openxmlformats.org/officeDocument/2006/relationships/hyperlink" Target="https://www.wpp.com/en/news/2025/06/wpp-wins-creative-company-of-the-year-at-cannes-lions-2025" TargetMode="External"/><Relationship Id="rId1856" Type="http://schemas.openxmlformats.org/officeDocument/2006/relationships/hyperlink" Target="http://conquerradigital.com.au" TargetMode="External"/><Relationship Id="rId2703" Type="http://schemas.openxmlformats.org/officeDocument/2006/relationships/hyperlink" Target="http://wpp.com" TargetMode="External"/><Relationship Id="rId1857" Type="http://schemas.openxmlformats.org/officeDocument/2006/relationships/hyperlink" Target="https://www.contentfx.com/what-we-do" TargetMode="External"/><Relationship Id="rId2704" Type="http://schemas.openxmlformats.org/officeDocument/2006/relationships/hyperlink" Target="https://www.wpp.com/en/news/2026/03/wpp-claims-top-spot-on-warc-creative-100-for-fourth-consecutive-year" TargetMode="External"/><Relationship Id="rId1858" Type="http://schemas.openxmlformats.org/officeDocument/2006/relationships/hyperlink" Target="http://contentfx.com" TargetMode="External"/><Relationship Id="rId2705" Type="http://schemas.openxmlformats.org/officeDocument/2006/relationships/hyperlink" Target="http://wpp.com" TargetMode="External"/><Relationship Id="rId1859" Type="http://schemas.openxmlformats.org/officeDocument/2006/relationships/hyperlink" Target="https://contevo.com.au/data-analytics/" TargetMode="External"/><Relationship Id="rId2706" Type="http://schemas.openxmlformats.org/officeDocument/2006/relationships/hyperlink" Target="https://www.wpp.com/en/news/wpp-agencies-triumph-at-cannes-lions-2026-with-ogilvy-and-vml-claiming-the-top-two-creative-network-honours" TargetMode="External"/><Relationship Id="rId2707" Type="http://schemas.openxmlformats.org/officeDocument/2006/relationships/hyperlink" Target="http://wpp.com" TargetMode="External"/><Relationship Id="rId2708" Type="http://schemas.openxmlformats.org/officeDocument/2006/relationships/hyperlink" Target="https://xpon.ai/au/resources/google-analytics-360-pricing/" TargetMode="External"/><Relationship Id="rId2709" Type="http://schemas.openxmlformats.org/officeDocument/2006/relationships/hyperlink" Target="http://xpon.ai" TargetMode="External"/><Relationship Id="rId1850" Type="http://schemas.openxmlformats.org/officeDocument/2006/relationships/hyperlink" Target="http://codiant.ai" TargetMode="External"/><Relationship Id="rId1840" Type="http://schemas.openxmlformats.org/officeDocument/2006/relationships/hyperlink" Target="http://clutch.co" TargetMode="External"/><Relationship Id="rId1841" Type="http://schemas.openxmlformats.org/officeDocument/2006/relationships/hyperlink" Target="https://clutch.co/au/agencies/social-media-marketing/tik-tok?page=2" TargetMode="External"/><Relationship Id="rId1842" Type="http://schemas.openxmlformats.org/officeDocument/2006/relationships/hyperlink" Target="http://clutch.co" TargetMode="External"/><Relationship Id="rId1843" Type="http://schemas.openxmlformats.org/officeDocument/2006/relationships/hyperlink" Target="https://clutch.co/au/agencies?page=7" TargetMode="External"/><Relationship Id="rId1844" Type="http://schemas.openxmlformats.org/officeDocument/2006/relationships/hyperlink" Target="http://clutch.co" TargetMode="External"/><Relationship Id="rId1845" Type="http://schemas.openxmlformats.org/officeDocument/2006/relationships/hyperlink" Target="https://clutch.co/profile/xpon-technologies" TargetMode="External"/><Relationship Id="rId1846" Type="http://schemas.openxmlformats.org/officeDocument/2006/relationships/hyperlink" Target="http://clutch.co" TargetMode="External"/><Relationship Id="rId1847" Type="http://schemas.openxmlformats.org/officeDocument/2006/relationships/hyperlink" Target="https://cmwgeosciences.com/" TargetMode="External"/><Relationship Id="rId1848" Type="http://schemas.openxmlformats.org/officeDocument/2006/relationships/hyperlink" Target="http://cmwgeosciences.com" TargetMode="External"/><Relationship Id="rId1849" Type="http://schemas.openxmlformats.org/officeDocument/2006/relationships/hyperlink" Target="https://codiant.ai/blog/how-to-choose-the-right-ai-consulting-company-in-australia/" TargetMode="External"/><Relationship Id="rId1873" Type="http://schemas.openxmlformats.org/officeDocument/2006/relationships/hyperlink" Target="https://defencesa.com/industry/industry-directory/customs-agency-services-pty-ltd/" TargetMode="External"/><Relationship Id="rId2720" Type="http://schemas.openxmlformats.org/officeDocument/2006/relationships/hyperlink" Target="https://www.youtube.com/watch?v=XhMbeN7cH34&amp;t=707" TargetMode="External"/><Relationship Id="rId1874" Type="http://schemas.openxmlformats.org/officeDocument/2006/relationships/hyperlink" Target="http://defencesa.com" TargetMode="External"/><Relationship Id="rId2721" Type="http://schemas.openxmlformats.org/officeDocument/2006/relationships/hyperlink" Target="http://youtube.com" TargetMode="External"/><Relationship Id="rId1875" Type="http://schemas.openxmlformats.org/officeDocument/2006/relationships/hyperlink" Target="https://www.dentsu.com/au/en/solutions/global-alliance-partners/google" TargetMode="External"/><Relationship Id="rId2722" Type="http://schemas.openxmlformats.org/officeDocument/2006/relationships/hyperlink" Target="https://www.youtube.com/watch?v=fdPFLXFJlwo&amp;t=30" TargetMode="External"/><Relationship Id="rId1876" Type="http://schemas.openxmlformats.org/officeDocument/2006/relationships/hyperlink" Target="http://dentsu.com" TargetMode="External"/><Relationship Id="rId2723" Type="http://schemas.openxmlformats.org/officeDocument/2006/relationships/hyperlink" Target="http://youtube.com" TargetMode="External"/><Relationship Id="rId1877" Type="http://schemas.openxmlformats.org/officeDocument/2006/relationships/hyperlink" Target="https://www.deptagency.com/en-au/partner/google/" TargetMode="External"/><Relationship Id="rId2724" Type="http://schemas.openxmlformats.org/officeDocument/2006/relationships/hyperlink" Target="https://www.zoominfo.com/c/metric-labs/447146165" TargetMode="External"/><Relationship Id="rId1878" Type="http://schemas.openxmlformats.org/officeDocument/2006/relationships/hyperlink" Target="http://deptagency.com" TargetMode="External"/><Relationship Id="rId2725" Type="http://schemas.openxmlformats.org/officeDocument/2006/relationships/hyperlink" Target="http://zoominfo.com" TargetMode="External"/><Relationship Id="rId1879" Type="http://schemas.openxmlformats.org/officeDocument/2006/relationships/hyperlink" Target="https://www.deptagency.com/en-au/partner/google-marketing-platform/" TargetMode="External"/><Relationship Id="rId2726" Type="http://schemas.openxmlformats.org/officeDocument/2006/relationships/drawing" Target="../drawings/drawing2.xml"/><Relationship Id="rId1870" Type="http://schemas.openxmlformats.org/officeDocument/2006/relationships/hyperlink" Target="http://dailybulletin.com.au" TargetMode="External"/><Relationship Id="rId1871" Type="http://schemas.openxmlformats.org/officeDocument/2006/relationships/hyperlink" Target="https://www.darkroomagency.com/observatory/the-12-top-rated-paid-media-agencies-this-year" TargetMode="External"/><Relationship Id="rId1872" Type="http://schemas.openxmlformats.org/officeDocument/2006/relationships/hyperlink" Target="http://darkroomagency.com" TargetMode="External"/><Relationship Id="rId1862" Type="http://schemas.openxmlformats.org/officeDocument/2006/relationships/hyperlink" Target="http://contevo.com.au" TargetMode="External"/><Relationship Id="rId1863" Type="http://schemas.openxmlformats.org/officeDocument/2006/relationships/hyperlink" Target="https://conversioncreative.com.au/agencies/adgility/" TargetMode="External"/><Relationship Id="rId2710" Type="http://schemas.openxmlformats.org/officeDocument/2006/relationships/hyperlink" Target="https://xpon.ai/google-cloud/" TargetMode="External"/><Relationship Id="rId1864" Type="http://schemas.openxmlformats.org/officeDocument/2006/relationships/hyperlink" Target="http://conversioncreative.com.au" TargetMode="External"/><Relationship Id="rId2711" Type="http://schemas.openxmlformats.org/officeDocument/2006/relationships/hyperlink" Target="http://xpon.ai" TargetMode="External"/><Relationship Id="rId1865" Type="http://schemas.openxmlformats.org/officeDocument/2006/relationships/hyperlink" Target="https://www.couriermail.com.au/news/northern-territory/nt-tourism-appoints-sydney-agency-for-brand-refresh-with-22bn-goal/news-story/464d6fb6a0b0effc95cc5a2dab0e62ed" TargetMode="External"/><Relationship Id="rId2712" Type="http://schemas.openxmlformats.org/officeDocument/2006/relationships/hyperlink" Target="https://xpon.ai/resources/google-marketing-platform-partner/" TargetMode="External"/><Relationship Id="rId1866" Type="http://schemas.openxmlformats.org/officeDocument/2006/relationships/hyperlink" Target="http://couriermail.com.au" TargetMode="External"/><Relationship Id="rId2713" Type="http://schemas.openxmlformats.org/officeDocument/2006/relationships/hyperlink" Target="http://xpon.ai" TargetMode="External"/><Relationship Id="rId1867" Type="http://schemas.openxmlformats.org/officeDocument/2006/relationships/hyperlink" Target="https://www.creativemode.com.au/ai-search-optimisation-brisbane/" TargetMode="External"/><Relationship Id="rId2714" Type="http://schemas.openxmlformats.org/officeDocument/2006/relationships/hyperlink" Target="https://www.youtube.com/watch?v=IxHlhnkaTC4&amp;t=408" TargetMode="External"/><Relationship Id="rId1868" Type="http://schemas.openxmlformats.org/officeDocument/2006/relationships/hyperlink" Target="http://creativemode.com.au" TargetMode="External"/><Relationship Id="rId2715" Type="http://schemas.openxmlformats.org/officeDocument/2006/relationships/hyperlink" Target="http://youtube.com" TargetMode="External"/><Relationship Id="rId1869" Type="http://schemas.openxmlformats.org/officeDocument/2006/relationships/hyperlink" Target="https://www.dailybulletin.com.au/news/technology/96125-best-australian-agencies-for-content-that-ranks-in-ai" TargetMode="External"/><Relationship Id="rId2716" Type="http://schemas.openxmlformats.org/officeDocument/2006/relationships/hyperlink" Target="https://www.youtube.com/watch?v=Ko4i_WqyPwE&amp;t=263" TargetMode="External"/><Relationship Id="rId2717" Type="http://schemas.openxmlformats.org/officeDocument/2006/relationships/hyperlink" Target="http://youtube.com" TargetMode="External"/><Relationship Id="rId2718" Type="http://schemas.openxmlformats.org/officeDocument/2006/relationships/hyperlink" Target="https://www.youtube.com/watch?v=OJN95taKMwo" TargetMode="External"/><Relationship Id="rId2719" Type="http://schemas.openxmlformats.org/officeDocument/2006/relationships/hyperlink" Target="http://youtube.com" TargetMode="External"/><Relationship Id="rId1860" Type="http://schemas.openxmlformats.org/officeDocument/2006/relationships/hyperlink" Target="http://contevo.com.au" TargetMode="External"/><Relationship Id="rId1861" Type="http://schemas.openxmlformats.org/officeDocument/2006/relationships/hyperlink" Target="https://contevo.com.au/programmatic-advertising/" TargetMode="External"/><Relationship Id="rId1810" Type="http://schemas.openxmlformats.org/officeDocument/2006/relationships/hyperlink" Target="http://clickedon.co" TargetMode="External"/><Relationship Id="rId1811" Type="http://schemas.openxmlformats.org/officeDocument/2006/relationships/hyperlink" Target="https://cloud.google.com/find-a-partner/partner/trakken-web-services" TargetMode="External"/><Relationship Id="rId1812" Type="http://schemas.openxmlformats.org/officeDocument/2006/relationships/hyperlink" Target="http://google.com" TargetMode="External"/><Relationship Id="rId1813" Type="http://schemas.openxmlformats.org/officeDocument/2006/relationships/hyperlink" Target="https://clutch.co/agencies/ppc/display" TargetMode="External"/><Relationship Id="rId1814" Type="http://schemas.openxmlformats.org/officeDocument/2006/relationships/hyperlink" Target="http://clutch.co" TargetMode="External"/><Relationship Id="rId1815" Type="http://schemas.openxmlformats.org/officeDocument/2006/relationships/hyperlink" Target="https://clutch.co/au/agencies/branding" TargetMode="External"/><Relationship Id="rId1816" Type="http://schemas.openxmlformats.org/officeDocument/2006/relationships/hyperlink" Target="http://clutch.co" TargetMode="External"/><Relationship Id="rId1817" Type="http://schemas.openxmlformats.org/officeDocument/2006/relationships/hyperlink" Target="https://clutch.co/au/agencies/media-buying/sydney" TargetMode="External"/><Relationship Id="rId1818" Type="http://schemas.openxmlformats.org/officeDocument/2006/relationships/hyperlink" Target="http://clutch.co" TargetMode="External"/><Relationship Id="rId1819" Type="http://schemas.openxmlformats.org/officeDocument/2006/relationships/hyperlink" Target="https://clutch.co/au/agencies/media-buying?page=2" TargetMode="External"/><Relationship Id="rId1800" Type="http://schemas.openxmlformats.org/officeDocument/2006/relationships/hyperlink" Target="http://clemengerbbdo.com" TargetMode="External"/><Relationship Id="rId1801" Type="http://schemas.openxmlformats.org/officeDocument/2006/relationships/hyperlink" Target="https://clickclickbangbang.com.au/best-google-ads-manager/" TargetMode="External"/><Relationship Id="rId1802" Type="http://schemas.openxmlformats.org/officeDocument/2006/relationships/hyperlink" Target="http://clickclickbangbang.com.au" TargetMode="External"/><Relationship Id="rId1803" Type="http://schemas.openxmlformats.org/officeDocument/2006/relationships/hyperlink" Target="https://clickclickmedia.com.au/paid-social-agency/meta-ads/" TargetMode="External"/><Relationship Id="rId1804" Type="http://schemas.openxmlformats.org/officeDocument/2006/relationships/hyperlink" Target="http://clickclickmedia.com.au" TargetMode="External"/><Relationship Id="rId1805" Type="http://schemas.openxmlformats.org/officeDocument/2006/relationships/hyperlink" Target="https://clickclickmedia.com.au/ppc-agency/programmatic-ads/" TargetMode="External"/><Relationship Id="rId1806" Type="http://schemas.openxmlformats.org/officeDocument/2006/relationships/hyperlink" Target="http://clickclickmedia.com.au" TargetMode="External"/><Relationship Id="rId1807" Type="http://schemas.openxmlformats.org/officeDocument/2006/relationships/hyperlink" Target="https://www.clickedon.co/" TargetMode="External"/><Relationship Id="rId1808" Type="http://schemas.openxmlformats.org/officeDocument/2006/relationships/hyperlink" Target="http://clickedon.co" TargetMode="External"/><Relationship Id="rId1809" Type="http://schemas.openxmlformats.org/officeDocument/2006/relationships/hyperlink" Target="https://www.clickedon.co/services/performance-marketing/google-ads" TargetMode="External"/><Relationship Id="rId1830" Type="http://schemas.openxmlformats.org/officeDocument/2006/relationships/hyperlink" Target="http://clutch.co" TargetMode="External"/><Relationship Id="rId1831" Type="http://schemas.openxmlformats.org/officeDocument/2006/relationships/hyperlink" Target="https://clutch.co/au/agencies/seo/technical" TargetMode="External"/><Relationship Id="rId1832" Type="http://schemas.openxmlformats.org/officeDocument/2006/relationships/hyperlink" Target="http://clutch.co" TargetMode="External"/><Relationship Id="rId1833" Type="http://schemas.openxmlformats.org/officeDocument/2006/relationships/hyperlink" Target="https://clutch.co/au/agencies/social-media-marketing/facebook/sydney" TargetMode="External"/><Relationship Id="rId1834" Type="http://schemas.openxmlformats.org/officeDocument/2006/relationships/hyperlink" Target="http://clutch.co" TargetMode="External"/><Relationship Id="rId1835" Type="http://schemas.openxmlformats.org/officeDocument/2006/relationships/hyperlink" Target="https://clutch.co/au/agencies/social-media-marketing/facebook?page=6" TargetMode="External"/><Relationship Id="rId1836" Type="http://schemas.openxmlformats.org/officeDocument/2006/relationships/hyperlink" Target="http://clutch.co" TargetMode="External"/><Relationship Id="rId1837" Type="http://schemas.openxmlformats.org/officeDocument/2006/relationships/hyperlink" Target="https://clutch.co/au/agencies/social-media-marketing/tik-tok/melbourne" TargetMode="External"/><Relationship Id="rId1838" Type="http://schemas.openxmlformats.org/officeDocument/2006/relationships/hyperlink" Target="http://clutch.co" TargetMode="External"/><Relationship Id="rId1839" Type="http://schemas.openxmlformats.org/officeDocument/2006/relationships/hyperlink" Target="https://clutch.co/au/agencies/social-media-marketing/tik-tok/sydney" TargetMode="External"/><Relationship Id="rId1820" Type="http://schemas.openxmlformats.org/officeDocument/2006/relationships/hyperlink" Target="http://clutch.co" TargetMode="External"/><Relationship Id="rId1821" Type="http://schemas.openxmlformats.org/officeDocument/2006/relationships/hyperlink" Target="https://clutch.co/au/agencies/ppc/brisbane" TargetMode="External"/><Relationship Id="rId1822" Type="http://schemas.openxmlformats.org/officeDocument/2006/relationships/hyperlink" Target="http://clutch.co" TargetMode="External"/><Relationship Id="rId1823" Type="http://schemas.openxmlformats.org/officeDocument/2006/relationships/hyperlink" Target="https://clutch.co/au/agencies/ppc/google-adwords/sydney" TargetMode="External"/><Relationship Id="rId1824" Type="http://schemas.openxmlformats.org/officeDocument/2006/relationships/hyperlink" Target="http://clutch.co" TargetMode="External"/><Relationship Id="rId1825" Type="http://schemas.openxmlformats.org/officeDocument/2006/relationships/hyperlink" Target="https://clutch.co/au/agencies/ppc/melbourne" TargetMode="External"/><Relationship Id="rId1826" Type="http://schemas.openxmlformats.org/officeDocument/2006/relationships/hyperlink" Target="http://clutch.co" TargetMode="External"/><Relationship Id="rId1827" Type="http://schemas.openxmlformats.org/officeDocument/2006/relationships/hyperlink" Target="https://clutch.co/au/agencies/ppc?page=2" TargetMode="External"/><Relationship Id="rId1828" Type="http://schemas.openxmlformats.org/officeDocument/2006/relationships/hyperlink" Target="http://clutch.co" TargetMode="External"/><Relationship Id="rId1829" Type="http://schemas.openxmlformats.org/officeDocument/2006/relationships/hyperlink" Target="https://clutch.co/au/agencies/programmatic/sydney" TargetMode="External"/><Relationship Id="rId1455" Type="http://schemas.openxmlformats.org/officeDocument/2006/relationships/hyperlink" Target="http://sortlist.com" TargetMode="External"/><Relationship Id="rId2302" Type="http://schemas.openxmlformats.org/officeDocument/2006/relationships/hyperlink" Target="https://www.mediaweek.com.au/majority-of-aussie-marketers-still-at-a-beginner-level-with-ai-says-acam-report/" TargetMode="External"/><Relationship Id="rId1456" Type="http://schemas.openxmlformats.org/officeDocument/2006/relationships/hyperlink" Target="https://www.sortlist.com/s/sm-analytics/australia-au" TargetMode="External"/><Relationship Id="rId2303" Type="http://schemas.openxmlformats.org/officeDocument/2006/relationships/hyperlink" Target="http://mediaweek.com.au" TargetMode="External"/><Relationship Id="rId1457" Type="http://schemas.openxmlformats.org/officeDocument/2006/relationships/hyperlink" Target="http://sortlist.com" TargetMode="External"/><Relationship Id="rId2304" Type="http://schemas.openxmlformats.org/officeDocument/2006/relationships/hyperlink" Target="https://www.mediaweek.com.au/omnicom-media-group-launches-trkkn-analytics-in-australia/" TargetMode="External"/><Relationship Id="rId1458" Type="http://schemas.openxmlformats.org/officeDocument/2006/relationships/hyperlink" Target="https://www.sortlist.com/web-analytics/melbourne-au" TargetMode="External"/><Relationship Id="rId2305" Type="http://schemas.openxmlformats.org/officeDocument/2006/relationships/hyperlink" Target="http://mediaweek.com.au" TargetMode="External"/><Relationship Id="rId1459" Type="http://schemas.openxmlformats.org/officeDocument/2006/relationships/hyperlink" Target="http://sortlist.com" TargetMode="External"/><Relationship Id="rId2306" Type="http://schemas.openxmlformats.org/officeDocument/2006/relationships/hyperlink" Target="https://megaphone.com.au/27-best-apps-for-marketing/" TargetMode="External"/><Relationship Id="rId2307" Type="http://schemas.openxmlformats.org/officeDocument/2006/relationships/hyperlink" Target="http://megaphone.com.au" TargetMode="External"/><Relationship Id="rId2308" Type="http://schemas.openxmlformats.org/officeDocument/2006/relationships/hyperlink" Target="https://megaphonemedia.com.au/media-planning-buying-agency/" TargetMode="External"/><Relationship Id="rId2309" Type="http://schemas.openxmlformats.org/officeDocument/2006/relationships/hyperlink" Target="http://megaphonemedia.com.au" TargetMode="External"/><Relationship Id="rId629" Type="http://schemas.openxmlformats.org/officeDocument/2006/relationships/hyperlink" Target="http://pinemarsh.com" TargetMode="External"/><Relationship Id="rId624" Type="http://schemas.openxmlformats.org/officeDocument/2006/relationships/hyperlink" Target="https://one-x.au/data-driven-marketing-australian-companies/" TargetMode="External"/><Relationship Id="rId623" Type="http://schemas.openxmlformats.org/officeDocument/2006/relationships/hyperlink" Target="http://nuundigital.com" TargetMode="External"/><Relationship Id="rId622" Type="http://schemas.openxmlformats.org/officeDocument/2006/relationships/hyperlink" Target="https://www.nuundigital.com/services/data-analytics/marketing-analytics-attribution" TargetMode="External"/><Relationship Id="rId621" Type="http://schemas.openxmlformats.org/officeDocument/2006/relationships/hyperlink" Target="http://multimediax.com.au" TargetMode="External"/><Relationship Id="rId628" Type="http://schemas.openxmlformats.org/officeDocument/2006/relationships/hyperlink" Target="https://pinemarsh.com/" TargetMode="External"/><Relationship Id="rId627" Type="http://schemas.openxmlformats.org/officeDocument/2006/relationships/hyperlink" Target="http://onelittleweb.com" TargetMode="External"/><Relationship Id="rId626" Type="http://schemas.openxmlformats.org/officeDocument/2006/relationships/hyperlink" Target="https://onelittleweb.com/top-agencies/top-performance-marketing-agencies/" TargetMode="External"/><Relationship Id="rId625" Type="http://schemas.openxmlformats.org/officeDocument/2006/relationships/hyperlink" Target="http://one-x.au" TargetMode="External"/><Relationship Id="rId1450" Type="http://schemas.openxmlformats.org/officeDocument/2006/relationships/hyperlink" Target="https://socialchameleon.com/top-25-digital-marketing-agencies-in-australia/" TargetMode="External"/><Relationship Id="rId620" Type="http://schemas.openxmlformats.org/officeDocument/2006/relationships/hyperlink" Target="https://www.multimediax.com.au/google-ads-agency/" TargetMode="External"/><Relationship Id="rId1451" Type="http://schemas.openxmlformats.org/officeDocument/2006/relationships/hyperlink" Target="http://socialchameleon.com" TargetMode="External"/><Relationship Id="rId1452" Type="http://schemas.openxmlformats.org/officeDocument/2006/relationships/hyperlink" Target="https://www.sortlist.com/s/artificial-intelligence/sydney-au" TargetMode="External"/><Relationship Id="rId1453" Type="http://schemas.openxmlformats.org/officeDocument/2006/relationships/hyperlink" Target="http://sortlist.com" TargetMode="External"/><Relationship Id="rId2300" Type="http://schemas.openxmlformats.org/officeDocument/2006/relationships/hyperlink" Target="https://www.mediaweek.com.au/cannes-2026-winners-show-the-power-of-australias-integrated-approach/" TargetMode="External"/><Relationship Id="rId1454" Type="http://schemas.openxmlformats.org/officeDocument/2006/relationships/hyperlink" Target="https://www.sortlist.com/s/performance-marketing/queensland-qld-au" TargetMode="External"/><Relationship Id="rId2301" Type="http://schemas.openxmlformats.org/officeDocument/2006/relationships/hyperlink" Target="http://mediaweek.com.au" TargetMode="External"/><Relationship Id="rId1444" Type="http://schemas.openxmlformats.org/officeDocument/2006/relationships/hyperlink" Target="https://sensedatalab.com.au/google-analytics-4-consulting.html" TargetMode="External"/><Relationship Id="rId1445" Type="http://schemas.openxmlformats.org/officeDocument/2006/relationships/hyperlink" Target="http://sensedatalab.com.au" TargetMode="External"/><Relationship Id="rId1446" Type="http://schemas.openxmlformats.org/officeDocument/2006/relationships/hyperlink" Target="https://www.seoworks.com/lists/best-aeo-answer-engine-optimisation-agencies/" TargetMode="External"/><Relationship Id="rId1447" Type="http://schemas.openxmlformats.org/officeDocument/2006/relationships/hyperlink" Target="http://seoworks.com" TargetMode="External"/><Relationship Id="rId1448" Type="http://schemas.openxmlformats.org/officeDocument/2006/relationships/hyperlink" Target="https://www.smartosc.com/why-choose-digital-marketing-and-data-analytics-services-australia/" TargetMode="External"/><Relationship Id="rId1449" Type="http://schemas.openxmlformats.org/officeDocument/2006/relationships/hyperlink" Target="http://smartosc.com" TargetMode="External"/><Relationship Id="rId619" Type="http://schemas.openxmlformats.org/officeDocument/2006/relationships/hyperlink" Target="http://mayple.com" TargetMode="External"/><Relationship Id="rId618" Type="http://schemas.openxmlformats.org/officeDocument/2006/relationships/hyperlink" Target="https://www.mayple.com/resources/googleadvertising/google-ads-agencies-australia" TargetMode="External"/><Relationship Id="rId613" Type="http://schemas.openxmlformats.org/officeDocument/2006/relationships/hyperlink" Target="http://infraworx.com.au" TargetMode="External"/><Relationship Id="rId612" Type="http://schemas.openxmlformats.org/officeDocument/2006/relationships/hyperlink" Target="https://www.infraworx.com.au/ai-automation-consulting-sydney/" TargetMode="External"/><Relationship Id="rId611" Type="http://schemas.openxmlformats.org/officeDocument/2006/relationships/hyperlink" Target="http://influencermarketinghub.com" TargetMode="External"/><Relationship Id="rId610" Type="http://schemas.openxmlformats.org/officeDocument/2006/relationships/hyperlink" Target="https://influencermarketinghub.com/social-media-marketing-agencies-australia/" TargetMode="External"/><Relationship Id="rId617" Type="http://schemas.openxmlformats.org/officeDocument/2006/relationships/hyperlink" Target="http://marketixdigital.com.au" TargetMode="External"/><Relationship Id="rId616" Type="http://schemas.openxmlformats.org/officeDocument/2006/relationships/hyperlink" Target="https://marketixdigital.com.au/ai-seo-agency/" TargetMode="External"/><Relationship Id="rId615" Type="http://schemas.openxmlformats.org/officeDocument/2006/relationships/hyperlink" Target="http://latentview.com" TargetMode="External"/><Relationship Id="rId614" Type="http://schemas.openxmlformats.org/officeDocument/2006/relationships/hyperlink" Target="https://www.latentview.com/glossary/incrementality-testing/" TargetMode="External"/><Relationship Id="rId1440" Type="http://schemas.openxmlformats.org/officeDocument/2006/relationships/hyperlink" Target="https://segmentstream.com/blog/articles/measured-com-alternatives" TargetMode="External"/><Relationship Id="rId1441" Type="http://schemas.openxmlformats.org/officeDocument/2006/relationships/hyperlink" Target="http://segmentstream.com" TargetMode="External"/><Relationship Id="rId1442" Type="http://schemas.openxmlformats.org/officeDocument/2006/relationships/hyperlink" Target="https://www.semrush.com/agencies/list/analytics-data-science/australia/" TargetMode="External"/><Relationship Id="rId1443" Type="http://schemas.openxmlformats.org/officeDocument/2006/relationships/hyperlink" Target="http://semrush.com" TargetMode="External"/><Relationship Id="rId1477" Type="http://schemas.openxmlformats.org/officeDocument/2006/relationships/hyperlink" Target="http://theaustralian.com.au" TargetMode="External"/><Relationship Id="rId2324" Type="http://schemas.openxmlformats.org/officeDocument/2006/relationships/hyperlink" Target="https://www.mi-3.com.au/" TargetMode="External"/><Relationship Id="rId1478" Type="http://schemas.openxmlformats.org/officeDocument/2006/relationships/hyperlink" Target="https://www.theaustralian.com.au/business/leadership/abused-and-misunderstood-why-this-ceo-offers-her-staff-autism-and-adhd-tests/news-story/c3157f767ce6b443baee0e882fc89559" TargetMode="External"/><Relationship Id="rId2325" Type="http://schemas.openxmlformats.org/officeDocument/2006/relationships/hyperlink" Target="http://mi-3.com.au" TargetMode="External"/><Relationship Id="rId1479" Type="http://schemas.openxmlformats.org/officeDocument/2006/relationships/hyperlink" Target="http://theaustralian.com.au" TargetMode="External"/><Relationship Id="rId2326" Type="http://schemas.openxmlformats.org/officeDocument/2006/relationships/hyperlink" Target="https://www.mi-3.com.au/06-08-2025/marketing-we-trust-restructures-leadership-and-forms-advisory-board" TargetMode="External"/><Relationship Id="rId2327" Type="http://schemas.openxmlformats.org/officeDocument/2006/relationships/hyperlink" Target="http://mi-3.com.au" TargetMode="External"/><Relationship Id="rId2328" Type="http://schemas.openxmlformats.org/officeDocument/2006/relationships/hyperlink" Target="https://www.mi-3.com.au/14-07-2026/marketing-we-trust-secures-gold-marketech-apac-awards-ai-driven-content-campaign" TargetMode="External"/><Relationship Id="rId2329" Type="http://schemas.openxmlformats.org/officeDocument/2006/relationships/hyperlink" Target="http://mi-3.com.au" TargetMode="External"/><Relationship Id="rId646" Type="http://schemas.openxmlformats.org/officeDocument/2006/relationships/hyperlink" Target="https://www.thehero.co/news" TargetMode="External"/><Relationship Id="rId645" Type="http://schemas.openxmlformats.org/officeDocument/2006/relationships/hyperlink" Target="http://theaustralian.com.au" TargetMode="External"/><Relationship Id="rId644" Type="http://schemas.openxmlformats.org/officeDocument/2006/relationships/hyperlink" Target="https://www.theaustralian.com.au/sponsored-content/beyond-ai-pilots-the-organisations-turning-ai-ambition-into-action/news-story/415e261ad0bf616e51c3b7b79b17a86f" TargetMode="External"/><Relationship Id="rId643" Type="http://schemas.openxmlformats.org/officeDocument/2006/relationships/hyperlink" Target="http://talonsmarketing.com.au" TargetMode="External"/><Relationship Id="rId649" Type="http://schemas.openxmlformats.org/officeDocument/2006/relationships/hyperlink" Target="http://themanifest.com" TargetMode="External"/><Relationship Id="rId648" Type="http://schemas.openxmlformats.org/officeDocument/2006/relationships/hyperlink" Target="https://themanifest.com/au/media-buying/agencies" TargetMode="External"/><Relationship Id="rId647" Type="http://schemas.openxmlformats.org/officeDocument/2006/relationships/hyperlink" Target="http://thehero.co" TargetMode="External"/><Relationship Id="rId1470" Type="http://schemas.openxmlformats.org/officeDocument/2006/relationships/hyperlink" Target="https://thatware.co/top-10-seo-companies-in-australia/" TargetMode="External"/><Relationship Id="rId1471" Type="http://schemas.openxmlformats.org/officeDocument/2006/relationships/hyperlink" Target="http://thatware.co" TargetMode="External"/><Relationship Id="rId1472" Type="http://schemas.openxmlformats.org/officeDocument/2006/relationships/hyperlink" Target="https://www.theaustralian.com.au/business/growth-agenda/a-special-decade-as-independent-creative-agency-celebrates-milestone/news-story/3ff6c415d05d580c07433ced667fdd66" TargetMode="External"/><Relationship Id="rId642" Type="http://schemas.openxmlformats.org/officeDocument/2006/relationships/hyperlink" Target="https://talonsmarketing.com.au/10-best-chatgpt-optimisation-agencies-australia/" TargetMode="External"/><Relationship Id="rId1473" Type="http://schemas.openxmlformats.org/officeDocument/2006/relationships/hyperlink" Target="http://theaustralian.com.au" TargetMode="External"/><Relationship Id="rId2320" Type="http://schemas.openxmlformats.org/officeDocument/2006/relationships/hyperlink" Target="https://metriclabs.com.au/ga4-ecommerce-tracking/" TargetMode="External"/><Relationship Id="rId641" Type="http://schemas.openxmlformats.org/officeDocument/2006/relationships/hyperlink" Target="http://sortlist.com" TargetMode="External"/><Relationship Id="rId1474" Type="http://schemas.openxmlformats.org/officeDocument/2006/relationships/hyperlink" Target="https://www.theaustralian.com.au/business/growth-agenda/accenture-song-targets-media-agencies-in-move-to-full-service-agency/news-story/375b942d4fa210237d0f10a227265b8f" TargetMode="External"/><Relationship Id="rId2321" Type="http://schemas.openxmlformats.org/officeDocument/2006/relationships/hyperlink" Target="http://metriclabs.com.au" TargetMode="External"/><Relationship Id="rId640" Type="http://schemas.openxmlformats.org/officeDocument/2006/relationships/hyperlink" Target="https://www.sortlist.com/l/australia-au" TargetMode="External"/><Relationship Id="rId1475" Type="http://schemas.openxmlformats.org/officeDocument/2006/relationships/hyperlink" Target="http://theaustralian.com.au" TargetMode="External"/><Relationship Id="rId2322" Type="http://schemas.openxmlformats.org/officeDocument/2006/relationships/hyperlink" Target="https://metriclabs.com.au/performance-media-services/" TargetMode="External"/><Relationship Id="rId1476" Type="http://schemas.openxmlformats.org/officeDocument/2006/relationships/hyperlink" Target="https://www.theaustralian.com.au/business/growth-agenda/us-tech-challenger-tackles-marketings-big-attribution-problem/news-story/fdf53a9daba98edcceb53edf3adc1ea5" TargetMode="External"/><Relationship Id="rId2323" Type="http://schemas.openxmlformats.org/officeDocument/2006/relationships/hyperlink" Target="http://metriclabs.com.au" TargetMode="External"/><Relationship Id="rId1466" Type="http://schemas.openxmlformats.org/officeDocument/2006/relationships/hyperlink" Target="https://www.techradar.com/pro/hubspot-increased-leads-by-1850-percent-and-we-asked-them-how-the-aeo-playbook" TargetMode="External"/><Relationship Id="rId2313" Type="http://schemas.openxmlformats.org/officeDocument/2006/relationships/hyperlink" Target="http://mentionfirst.ai" TargetMode="External"/><Relationship Id="rId1467" Type="http://schemas.openxmlformats.org/officeDocument/2006/relationships/hyperlink" Target="http://techradar.com" TargetMode="External"/><Relationship Id="rId2314" Type="http://schemas.openxmlformats.org/officeDocument/2006/relationships/hyperlink" Target="https://www.merkle.com/en/about-us/partnerships/google.html" TargetMode="External"/><Relationship Id="rId1468" Type="http://schemas.openxmlformats.org/officeDocument/2006/relationships/hyperlink" Target="https://www.techyflavors.com/2026/07/top-ai-driven-seo-agencies-in-australia.html" TargetMode="External"/><Relationship Id="rId2315" Type="http://schemas.openxmlformats.org/officeDocument/2006/relationships/hyperlink" Target="http://merkle.com" TargetMode="External"/><Relationship Id="rId1469" Type="http://schemas.openxmlformats.org/officeDocument/2006/relationships/hyperlink" Target="http://techyflavors.com" TargetMode="External"/><Relationship Id="rId2316" Type="http://schemas.openxmlformats.org/officeDocument/2006/relationships/hyperlink" Target="https://www.merkle.com/en/about-us/partnerships/google/solutions.html" TargetMode="External"/><Relationship Id="rId2317" Type="http://schemas.openxmlformats.org/officeDocument/2006/relationships/hyperlink" Target="http://merkle.com" TargetMode="External"/><Relationship Id="rId2318" Type="http://schemas.openxmlformats.org/officeDocument/2006/relationships/hyperlink" Target="https://methodworks.com.au/" TargetMode="External"/><Relationship Id="rId2319" Type="http://schemas.openxmlformats.org/officeDocument/2006/relationships/hyperlink" Target="http://methodworks.com.au" TargetMode="External"/><Relationship Id="rId635" Type="http://schemas.openxmlformats.org/officeDocument/2006/relationships/hyperlink" Target="http://roi.com.au" TargetMode="External"/><Relationship Id="rId634" Type="http://schemas.openxmlformats.org/officeDocument/2006/relationships/hyperlink" Target="https://roi.com.au/service/digital-marketing-agency-australia-2026/" TargetMode="External"/><Relationship Id="rId633" Type="http://schemas.openxmlformats.org/officeDocument/2006/relationships/hyperlink" Target="http://rocketagency.com.au" TargetMode="External"/><Relationship Id="rId632" Type="http://schemas.openxmlformats.org/officeDocument/2006/relationships/hyperlink" Target="https://rocketagency.com.au/services/google-ads-agency" TargetMode="External"/><Relationship Id="rId639" Type="http://schemas.openxmlformats.org/officeDocument/2006/relationships/hyperlink" Target="http://sortlist.com" TargetMode="External"/><Relationship Id="rId638" Type="http://schemas.openxmlformats.org/officeDocument/2006/relationships/hyperlink" Target="https://www.sortlist.com/digital-marketing/australia-au" TargetMode="External"/><Relationship Id="rId637" Type="http://schemas.openxmlformats.org/officeDocument/2006/relationships/hyperlink" Target="http://simplyai.com.au" TargetMode="External"/><Relationship Id="rId636" Type="http://schemas.openxmlformats.org/officeDocument/2006/relationships/hyperlink" Target="https://simplyai.com.au/" TargetMode="External"/><Relationship Id="rId1460" Type="http://schemas.openxmlformats.org/officeDocument/2006/relationships/hyperlink" Target="https://sparro.com.au/digital-marketing/" TargetMode="External"/><Relationship Id="rId1461" Type="http://schemas.openxmlformats.org/officeDocument/2006/relationships/hyperlink" Target="http://sparro.com.au" TargetMode="External"/><Relationship Id="rId631" Type="http://schemas.openxmlformats.org/officeDocument/2006/relationships/hyperlink" Target="http://revium.com.au" TargetMode="External"/><Relationship Id="rId1462" Type="http://schemas.openxmlformats.org/officeDocument/2006/relationships/hyperlink" Target="https://www.stantec.com/au/services/geospatial" TargetMode="External"/><Relationship Id="rId630" Type="http://schemas.openxmlformats.org/officeDocument/2006/relationships/hyperlink" Target="https://revium.com.au/" TargetMode="External"/><Relationship Id="rId1463" Type="http://schemas.openxmlformats.org/officeDocument/2006/relationships/hyperlink" Target="http://stantec.com" TargetMode="External"/><Relationship Id="rId2310" Type="http://schemas.openxmlformats.org/officeDocument/2006/relationships/hyperlink" Target="https://megaphonemedia.com.au/meta-ads-agency/" TargetMode="External"/><Relationship Id="rId1464" Type="http://schemas.openxmlformats.org/officeDocument/2006/relationships/hyperlink" Target="https://support.google.com/tagmanager/answer/7237700?hl=en-AU" TargetMode="External"/><Relationship Id="rId2311" Type="http://schemas.openxmlformats.org/officeDocument/2006/relationships/hyperlink" Target="http://megaphonemedia.com.au" TargetMode="External"/><Relationship Id="rId1465" Type="http://schemas.openxmlformats.org/officeDocument/2006/relationships/hyperlink" Target="http://google.com" TargetMode="External"/><Relationship Id="rId2312" Type="http://schemas.openxmlformats.org/officeDocument/2006/relationships/hyperlink" Target="https://mentionfirst.ai/what-are-the-best-ai-seo-companies-in-australia-and-how-to-choose-one/" TargetMode="External"/><Relationship Id="rId1411" Type="http://schemas.openxmlformats.org/officeDocument/2006/relationships/hyperlink" Target="http://paramark.com.au" TargetMode="External"/><Relationship Id="rId1895" Type="http://schemas.openxmlformats.org/officeDocument/2006/relationships/hyperlink" Target="https://digitalagencynetwork.com/agencies/australia/creative/page/4/" TargetMode="External"/><Relationship Id="rId1412" Type="http://schemas.openxmlformats.org/officeDocument/2006/relationships/hyperlink" Target="https://printvideoweb.com.au/blog/30-best-digital-marketing-agencies-in-australia/" TargetMode="External"/><Relationship Id="rId1896" Type="http://schemas.openxmlformats.org/officeDocument/2006/relationships/hyperlink" Target="http://digitalagencynetwork.com" TargetMode="External"/><Relationship Id="rId1413" Type="http://schemas.openxmlformats.org/officeDocument/2006/relationships/hyperlink" Target="http://printvideoweb.com.au" TargetMode="External"/><Relationship Id="rId1897" Type="http://schemas.openxmlformats.org/officeDocument/2006/relationships/hyperlink" Target="https://digitalagencynetwork.com/agencies/sydney/" TargetMode="External"/><Relationship Id="rId1414" Type="http://schemas.openxmlformats.org/officeDocument/2006/relationships/hyperlink" Target="https://www.qagency.com.au/ai-consultation" TargetMode="External"/><Relationship Id="rId1898" Type="http://schemas.openxmlformats.org/officeDocument/2006/relationships/hyperlink" Target="http://digitalagencynetwork.com" TargetMode="External"/><Relationship Id="rId1415" Type="http://schemas.openxmlformats.org/officeDocument/2006/relationships/hyperlink" Target="http://qagency.com.au" TargetMode="External"/><Relationship Id="rId1899" Type="http://schemas.openxmlformats.org/officeDocument/2006/relationships/hyperlink" Target="https://digitalagencynetwork.com/agency/alpha-digital/" TargetMode="External"/><Relationship Id="rId1416" Type="http://schemas.openxmlformats.org/officeDocument/2006/relationships/hyperlink" Target="https://rankmefirst.ai/" TargetMode="External"/><Relationship Id="rId1417" Type="http://schemas.openxmlformats.org/officeDocument/2006/relationships/hyperlink" Target="http://rankmefirst.ai" TargetMode="External"/><Relationship Id="rId1418" Type="http://schemas.openxmlformats.org/officeDocument/2006/relationships/hyperlink" Target="https://www.reddit.com/r/MktgSupermarket/comments/1qoc7o0/looking_for_digital_marketing_agencies_in_perth/" TargetMode="External"/><Relationship Id="rId1419" Type="http://schemas.openxmlformats.org/officeDocument/2006/relationships/hyperlink" Target="http://reddit.com" TargetMode="External"/><Relationship Id="rId1890" Type="http://schemas.openxmlformats.org/officeDocument/2006/relationships/hyperlink" Target="http://designrush.com" TargetMode="External"/><Relationship Id="rId1891" Type="http://schemas.openxmlformats.org/officeDocument/2006/relationships/hyperlink" Target="https://www.designrush.com/agency/paid-media-pay-per-click/google-adwords/au" TargetMode="External"/><Relationship Id="rId1892" Type="http://schemas.openxmlformats.org/officeDocument/2006/relationships/hyperlink" Target="http://designrush.com" TargetMode="External"/><Relationship Id="rId1893" Type="http://schemas.openxmlformats.org/officeDocument/2006/relationships/hyperlink" Target="https://www.designrush.com/agency/search-engine-optimization/au" TargetMode="External"/><Relationship Id="rId1410" Type="http://schemas.openxmlformats.org/officeDocument/2006/relationships/hyperlink" Target="https://paramark.com.au/articles/seo-cost-australia/" TargetMode="External"/><Relationship Id="rId1894" Type="http://schemas.openxmlformats.org/officeDocument/2006/relationships/hyperlink" Target="http://designrush.com" TargetMode="External"/><Relationship Id="rId1400" Type="http://schemas.openxmlformats.org/officeDocument/2006/relationships/hyperlink" Target="https://navigatortech.com.au/" TargetMode="External"/><Relationship Id="rId1884" Type="http://schemas.openxmlformats.org/officeDocument/2006/relationships/hyperlink" Target="http://designmagazine.com.au" TargetMode="External"/><Relationship Id="rId1401" Type="http://schemas.openxmlformats.org/officeDocument/2006/relationships/hyperlink" Target="http://navigatortech.com.au" TargetMode="External"/><Relationship Id="rId1885" Type="http://schemas.openxmlformats.org/officeDocument/2006/relationships/hyperlink" Target="https://www.designrush.com/agency/conversion-optimization/au" TargetMode="External"/><Relationship Id="rId1402" Type="http://schemas.openxmlformats.org/officeDocument/2006/relationships/hyperlink" Target="https://www.nelsononeill.com.au/data-tracking-and-reporting/" TargetMode="External"/><Relationship Id="rId1886" Type="http://schemas.openxmlformats.org/officeDocument/2006/relationships/hyperlink" Target="http://designrush.com" TargetMode="External"/><Relationship Id="rId1403" Type="http://schemas.openxmlformats.org/officeDocument/2006/relationships/hyperlink" Target="http://nelsononeill.com.au" TargetMode="External"/><Relationship Id="rId1887" Type="http://schemas.openxmlformats.org/officeDocument/2006/relationships/hyperlink" Target="https://www.designrush.com/agency/digital-marketing/trends/incrementality-testing" TargetMode="External"/><Relationship Id="rId1404" Type="http://schemas.openxmlformats.org/officeDocument/2006/relationships/hyperlink" Target="https://www.ngis.com.au/" TargetMode="External"/><Relationship Id="rId1888" Type="http://schemas.openxmlformats.org/officeDocument/2006/relationships/hyperlink" Target="http://designrush.com" TargetMode="External"/><Relationship Id="rId1405" Type="http://schemas.openxmlformats.org/officeDocument/2006/relationships/hyperlink" Target="http://ngis.com.au" TargetMode="External"/><Relationship Id="rId1889" Type="http://schemas.openxmlformats.org/officeDocument/2006/relationships/hyperlink" Target="https://www.designrush.com/agency/paid-media-pay-per-click/au" TargetMode="External"/><Relationship Id="rId1406" Type="http://schemas.openxmlformats.org/officeDocument/2006/relationships/hyperlink" Target="https://www.onlinemarketinggurus.com.au/" TargetMode="External"/><Relationship Id="rId1407" Type="http://schemas.openxmlformats.org/officeDocument/2006/relationships/hyperlink" Target="http://onlinemarketinggurus.com.au" TargetMode="External"/><Relationship Id="rId1408" Type="http://schemas.openxmlformats.org/officeDocument/2006/relationships/hyperlink" Target="https://www.opinosis-analytics.com/ai-consulting-in-australia/" TargetMode="External"/><Relationship Id="rId1409" Type="http://schemas.openxmlformats.org/officeDocument/2006/relationships/hyperlink" Target="http://opinosis-analytics.com" TargetMode="External"/><Relationship Id="rId1880" Type="http://schemas.openxmlformats.org/officeDocument/2006/relationships/hyperlink" Target="http://deptagency.com" TargetMode="External"/><Relationship Id="rId1881" Type="http://schemas.openxmlformats.org/officeDocument/2006/relationships/hyperlink" Target="https://www.deptagency.com/partner/google/" TargetMode="External"/><Relationship Id="rId1882" Type="http://schemas.openxmlformats.org/officeDocument/2006/relationships/hyperlink" Target="http://deptagency.com" TargetMode="External"/><Relationship Id="rId1883" Type="http://schemas.openxmlformats.org/officeDocument/2006/relationships/hyperlink" Target="https://designmagazine.com.au/best-australian-design-studios/" TargetMode="External"/><Relationship Id="rId1433" Type="http://schemas.openxmlformats.org/officeDocument/2006/relationships/hyperlink" Target="http://safaridigital.com.au" TargetMode="External"/><Relationship Id="rId1434" Type="http://schemas.openxmlformats.org/officeDocument/2006/relationships/hyperlink" Target="https://sandlabs.com.au/blog/top-ai-consulting-companies-australia" TargetMode="External"/><Relationship Id="rId1435" Type="http://schemas.openxmlformats.org/officeDocument/2006/relationships/hyperlink" Target="http://sandlabs.com.au" TargetMode="External"/><Relationship Id="rId1436" Type="http://schemas.openxmlformats.org/officeDocument/2006/relationships/hyperlink" Target="https://www.scalemaster.com.au/" TargetMode="External"/><Relationship Id="rId1437" Type="http://schemas.openxmlformats.org/officeDocument/2006/relationships/hyperlink" Target="http://scalemaster.com.au" TargetMode="External"/><Relationship Id="rId1438" Type="http://schemas.openxmlformats.org/officeDocument/2006/relationships/hyperlink" Target="https://searchministry.au/seo-service/ai-seo" TargetMode="External"/><Relationship Id="rId1439" Type="http://schemas.openxmlformats.org/officeDocument/2006/relationships/hyperlink" Target="http://searchministry.au" TargetMode="External"/><Relationship Id="rId609" Type="http://schemas.openxmlformats.org/officeDocument/2006/relationships/hyperlink" Target="http://impressive.com.au" TargetMode="External"/><Relationship Id="rId608" Type="http://schemas.openxmlformats.org/officeDocument/2006/relationships/hyperlink" Target="https://impressive.com.au/social-media-marketing/" TargetMode="External"/><Relationship Id="rId607" Type="http://schemas.openxmlformats.org/officeDocument/2006/relationships/hyperlink" Target="http://hyperdot.com.au" TargetMode="External"/><Relationship Id="rId602" Type="http://schemas.openxmlformats.org/officeDocument/2006/relationships/hyperlink" Target="https://edisonmoment.com/agency/best/digital-marketing-agency-australia" TargetMode="External"/><Relationship Id="rId601" Type="http://schemas.openxmlformats.org/officeDocument/2006/relationships/hyperlink" Target="http://digitalagencynetwork.com" TargetMode="External"/><Relationship Id="rId600" Type="http://schemas.openxmlformats.org/officeDocument/2006/relationships/hyperlink" Target="https://digitalagencynetwork.com/agencies/sydney/ai-marketing/" TargetMode="External"/><Relationship Id="rId606" Type="http://schemas.openxmlformats.org/officeDocument/2006/relationships/hyperlink" Target="https://hyperdot.com.au/about-hyperdot/" TargetMode="External"/><Relationship Id="rId605" Type="http://schemas.openxmlformats.org/officeDocument/2006/relationships/hyperlink" Target="http://gorilla360.com.au" TargetMode="External"/><Relationship Id="rId604" Type="http://schemas.openxmlformats.org/officeDocument/2006/relationships/hyperlink" Target="https://gorilla360.com.au/google-ads/sydney/" TargetMode="External"/><Relationship Id="rId603" Type="http://schemas.openxmlformats.org/officeDocument/2006/relationships/hyperlink" Target="http://edisonmoment.com" TargetMode="External"/><Relationship Id="rId1430" Type="http://schemas.openxmlformats.org/officeDocument/2006/relationships/hyperlink" Target="https://roi.com.au/know-how/ai-seo-geo-answer-engine-optimisation/what-are-the-best-geo-tools-for-australian-businesses" TargetMode="External"/><Relationship Id="rId1431" Type="http://schemas.openxmlformats.org/officeDocument/2006/relationships/hyperlink" Target="http://roi.com.au" TargetMode="External"/><Relationship Id="rId1432" Type="http://schemas.openxmlformats.org/officeDocument/2006/relationships/hyperlink" Target="https://www.safaridigital.com.au/seo-services/" TargetMode="External"/><Relationship Id="rId1422" Type="http://schemas.openxmlformats.org/officeDocument/2006/relationships/hyperlink" Target="https://www.reloadmedia.com.au/" TargetMode="External"/><Relationship Id="rId1423" Type="http://schemas.openxmlformats.org/officeDocument/2006/relationships/hyperlink" Target="http://reloadmedia.com.au" TargetMode="External"/><Relationship Id="rId1424" Type="http://schemas.openxmlformats.org/officeDocument/2006/relationships/hyperlink" Target="https://www.rightfirms.co/directory/geo-services/country/australia" TargetMode="External"/><Relationship Id="rId1425" Type="http://schemas.openxmlformats.org/officeDocument/2006/relationships/hyperlink" Target="http://rightfirms.co" TargetMode="External"/><Relationship Id="rId1426" Type="http://schemas.openxmlformats.org/officeDocument/2006/relationships/hyperlink" Target="https://rix-digital.com/mmm-vs-incrementality" TargetMode="External"/><Relationship Id="rId1427" Type="http://schemas.openxmlformats.org/officeDocument/2006/relationships/hyperlink" Target="http://rix-digital.com" TargetMode="External"/><Relationship Id="rId1428" Type="http://schemas.openxmlformats.org/officeDocument/2006/relationships/hyperlink" Target="https://rocketagency.com.au/services/ppc-agency/display-ads" TargetMode="External"/><Relationship Id="rId1429" Type="http://schemas.openxmlformats.org/officeDocument/2006/relationships/hyperlink" Target="http://rocketagency.com.au" TargetMode="External"/><Relationship Id="rId1420" Type="http://schemas.openxmlformats.org/officeDocument/2006/relationships/hyperlink" Target="https://www.reddit.com/r/aeo/comments/1twcbr2/best_aeo_agency_guide_what_to_look_for_in_an/" TargetMode="External"/><Relationship Id="rId1421" Type="http://schemas.openxmlformats.org/officeDocument/2006/relationships/hyperlink" Target="http://reddit.com" TargetMode="External"/><Relationship Id="rId1059" Type="http://schemas.openxmlformats.org/officeDocument/2006/relationships/hyperlink" Target="http://havstrategy.com" TargetMode="External"/><Relationship Id="rId228" Type="http://schemas.openxmlformats.org/officeDocument/2006/relationships/hyperlink" Target="https://www.softwaresuggest.com/services/marketing-analytics-companies/australia" TargetMode="External"/><Relationship Id="rId227" Type="http://schemas.openxmlformats.org/officeDocument/2006/relationships/hyperlink" Target="http://smartosc.com" TargetMode="External"/><Relationship Id="rId226" Type="http://schemas.openxmlformats.org/officeDocument/2006/relationships/hyperlink" Target="https://www.smartosc.com/top-10-ai-consulting-firms-in-australia/" TargetMode="External"/><Relationship Id="rId225" Type="http://schemas.openxmlformats.org/officeDocument/2006/relationships/hyperlink" Target="http://roi.com.au" TargetMode="External"/><Relationship Id="rId2380" Type="http://schemas.openxmlformats.org/officeDocument/2006/relationships/hyperlink" Target="http://onpoint.com.au" TargetMode="External"/><Relationship Id="rId229" Type="http://schemas.openxmlformats.org/officeDocument/2006/relationships/hyperlink" Target="http://softwaresuggest.com" TargetMode="External"/><Relationship Id="rId1050" Type="http://schemas.openxmlformats.org/officeDocument/2006/relationships/hyperlink" Target="https://www.goodfirms.co/directory/country/top-digital-marketing-companies/au?sort_by=matrix" TargetMode="External"/><Relationship Id="rId2381" Type="http://schemas.openxmlformats.org/officeDocument/2006/relationships/hyperlink" Target="https://www.optimising.com.au/blog/5-best-seo-agencies-in-sydney" TargetMode="External"/><Relationship Id="rId220" Type="http://schemas.openxmlformats.org/officeDocument/2006/relationships/hyperlink" Target="https://digitalsurfer.com.au/ai-seo" TargetMode="External"/><Relationship Id="rId1051" Type="http://schemas.openxmlformats.org/officeDocument/2006/relationships/hyperlink" Target="http://goodfirms.co" TargetMode="External"/><Relationship Id="rId2382" Type="http://schemas.openxmlformats.org/officeDocument/2006/relationships/hyperlink" Target="http://optimising.com.au" TargetMode="External"/><Relationship Id="rId1052" Type="http://schemas.openxmlformats.org/officeDocument/2006/relationships/hyperlink" Target="https://www.google.co.uk/intl/en/ads/publisher/partners/find-a-partner/" TargetMode="External"/><Relationship Id="rId2383" Type="http://schemas.openxmlformats.org/officeDocument/2006/relationships/hyperlink" Target="https://osher.com.au/ai-consulting-brisbane/" TargetMode="External"/><Relationship Id="rId1053" Type="http://schemas.openxmlformats.org/officeDocument/2006/relationships/hyperlink" Target="http://google.co.uk" TargetMode="External"/><Relationship Id="rId2384" Type="http://schemas.openxmlformats.org/officeDocument/2006/relationships/hyperlink" Target="http://osher.com.au" TargetMode="External"/><Relationship Id="rId1054" Type="http://schemas.openxmlformats.org/officeDocument/2006/relationships/hyperlink" Target="https://www.google.com/partners" TargetMode="External"/><Relationship Id="rId2385" Type="http://schemas.openxmlformats.org/officeDocument/2006/relationships/hyperlink" Target="https://www.paisdigital.com.au/conversion-rate-optimisation/" TargetMode="External"/><Relationship Id="rId224" Type="http://schemas.openxmlformats.org/officeDocument/2006/relationships/hyperlink" Target="https://roi.com.au/our-expertise/" TargetMode="External"/><Relationship Id="rId1055" Type="http://schemas.openxmlformats.org/officeDocument/2006/relationships/hyperlink" Target="http://google.com" TargetMode="External"/><Relationship Id="rId2386" Type="http://schemas.openxmlformats.org/officeDocument/2006/relationships/hyperlink" Target="http://paisdigital.com.au" TargetMode="External"/><Relationship Id="rId223" Type="http://schemas.openxmlformats.org/officeDocument/2006/relationships/hyperlink" Target="http://mentionfirst.ai" TargetMode="External"/><Relationship Id="rId1056" Type="http://schemas.openxmlformats.org/officeDocument/2006/relationships/hyperlink" Target="https://www.hashmeta.ai/zh/blog/top-10-ai-agencies-in-australia-expert-guide-to-choosing-your-ai-marketing-partner" TargetMode="External"/><Relationship Id="rId2387" Type="http://schemas.openxmlformats.org/officeDocument/2006/relationships/hyperlink" Target="https://www.paperstack.com.au/what-is-aeo/" TargetMode="External"/><Relationship Id="rId222" Type="http://schemas.openxmlformats.org/officeDocument/2006/relationships/hyperlink" Target="https://mentionfirst.ai/best-ai-seo-agencies-in-australia-the-2026-rankings/" TargetMode="External"/><Relationship Id="rId1057" Type="http://schemas.openxmlformats.org/officeDocument/2006/relationships/hyperlink" Target="http://hashmeta.ai" TargetMode="External"/><Relationship Id="rId2388" Type="http://schemas.openxmlformats.org/officeDocument/2006/relationships/hyperlink" Target="http://paperstack.com.au" TargetMode="External"/><Relationship Id="rId221" Type="http://schemas.openxmlformats.org/officeDocument/2006/relationships/hyperlink" Target="http://digitalsurfer.com.au" TargetMode="External"/><Relationship Id="rId1058" Type="http://schemas.openxmlformats.org/officeDocument/2006/relationships/hyperlink" Target="https://www.havstrategy.com/best-performance-marketing-agency-in-australia/" TargetMode="External"/><Relationship Id="rId2389" Type="http://schemas.openxmlformats.org/officeDocument/2006/relationships/hyperlink" Target="https://paramark.com/" TargetMode="External"/><Relationship Id="rId1048" Type="http://schemas.openxmlformats.org/officeDocument/2006/relationships/hyperlink" Target="https://www.goodfirms.co/company/get-ai-ready" TargetMode="External"/><Relationship Id="rId2379" Type="http://schemas.openxmlformats.org/officeDocument/2006/relationships/hyperlink" Target="https://onpoint.com.au/performance-media/programmatic-ads" TargetMode="External"/><Relationship Id="rId1049" Type="http://schemas.openxmlformats.org/officeDocument/2006/relationships/hyperlink" Target="http://goodfirms.co" TargetMode="External"/><Relationship Id="rId217" Type="http://schemas.openxmlformats.org/officeDocument/2006/relationships/hyperlink" Target="http://sortlist.com" TargetMode="External"/><Relationship Id="rId216" Type="http://schemas.openxmlformats.org/officeDocument/2006/relationships/hyperlink" Target="https://www.sortlist.com/s/marketing-analytics/australia-au" TargetMode="External"/><Relationship Id="rId215" Type="http://schemas.openxmlformats.org/officeDocument/2006/relationships/hyperlink" Target="http://programminginsider.com" TargetMode="External"/><Relationship Id="rId699" Type="http://schemas.openxmlformats.org/officeDocument/2006/relationships/hyperlink" Target="http://icreativez.com" TargetMode="External"/><Relationship Id="rId214" Type="http://schemas.openxmlformats.org/officeDocument/2006/relationships/hyperlink" Target="https://programminginsider.com/the-10-best-agencies-for-seo-and-geo-visibility-in-australia/" TargetMode="External"/><Relationship Id="rId698" Type="http://schemas.openxmlformats.org/officeDocument/2006/relationships/hyperlink" Target="https://www.icreativez.com/marketing-companies-by-country/premier-digital-marketing-agencies-australia-2026.html" TargetMode="External"/><Relationship Id="rId219" Type="http://schemas.openxmlformats.org/officeDocument/2006/relationships/hyperlink" Target="http://designrush.com" TargetMode="External"/><Relationship Id="rId218" Type="http://schemas.openxmlformats.org/officeDocument/2006/relationships/hyperlink" Target="https://www.designrush.com/agency/ad-agencies/au" TargetMode="External"/><Relationship Id="rId2370" Type="http://schemas.openxmlformats.org/officeDocument/2006/relationships/hyperlink" Target="http://oneclub.org" TargetMode="External"/><Relationship Id="rId693" Type="http://schemas.openxmlformats.org/officeDocument/2006/relationships/hyperlink" Target="http://hikemytraffic.com" TargetMode="External"/><Relationship Id="rId1040" Type="http://schemas.openxmlformats.org/officeDocument/2006/relationships/hyperlink" Target="https://firstpage.com.au/seo/" TargetMode="External"/><Relationship Id="rId2371" Type="http://schemas.openxmlformats.org/officeDocument/2006/relationships/hyperlink" Target="https://www.oneegg.com.au/blog/generative-seo-pricing-australia/" TargetMode="External"/><Relationship Id="rId692" Type="http://schemas.openxmlformats.org/officeDocument/2006/relationships/hyperlink" Target="https://hikemytraffic.com/ai-digital-marketing-agencies-in-australia/" TargetMode="External"/><Relationship Id="rId1041" Type="http://schemas.openxmlformats.org/officeDocument/2006/relationships/hyperlink" Target="http://firstpage.com.au" TargetMode="External"/><Relationship Id="rId2372" Type="http://schemas.openxmlformats.org/officeDocument/2006/relationships/hyperlink" Target="http://oneegg.com.au" TargetMode="External"/><Relationship Id="rId691" Type="http://schemas.openxmlformats.org/officeDocument/2006/relationships/hyperlink" Target="http://getrecast.com" TargetMode="External"/><Relationship Id="rId1042" Type="http://schemas.openxmlformats.org/officeDocument/2006/relationships/hyperlink" Target="https://gaper.io/best-aeo-agencies" TargetMode="External"/><Relationship Id="rId2373" Type="http://schemas.openxmlformats.org/officeDocument/2006/relationships/hyperlink" Target="https://www.oneorangecow.com/services/generative-engine-optimisation-geo-services-sydney" TargetMode="External"/><Relationship Id="rId690" Type="http://schemas.openxmlformats.org/officeDocument/2006/relationships/hyperlink" Target="https://getrecast.com/experimentation/" TargetMode="External"/><Relationship Id="rId1043" Type="http://schemas.openxmlformats.org/officeDocument/2006/relationships/hyperlink" Target="http://gaper.io" TargetMode="External"/><Relationship Id="rId2374" Type="http://schemas.openxmlformats.org/officeDocument/2006/relationships/hyperlink" Target="http://oneorangecow.com" TargetMode="External"/><Relationship Id="rId213" Type="http://schemas.openxmlformats.org/officeDocument/2006/relationships/hyperlink" Target="http://impressive.com.au" TargetMode="External"/><Relationship Id="rId697" Type="http://schemas.openxmlformats.org/officeDocument/2006/relationships/hyperlink" Target="http://iabaustralia.com.au" TargetMode="External"/><Relationship Id="rId1044" Type="http://schemas.openxmlformats.org/officeDocument/2006/relationships/hyperlink" Target="https://getaiready.com.au/locations/sydney" TargetMode="External"/><Relationship Id="rId2375" Type="http://schemas.openxmlformats.org/officeDocument/2006/relationships/hyperlink" Target="https://www.onlinemarketinggurus.com.au/about/" TargetMode="External"/><Relationship Id="rId212" Type="http://schemas.openxmlformats.org/officeDocument/2006/relationships/hyperlink" Target="https://impressive.com.au/performance-marketing-agency-sydney/" TargetMode="External"/><Relationship Id="rId696" Type="http://schemas.openxmlformats.org/officeDocument/2006/relationships/hyperlink" Target="https://www.iabaustralia.com.au/news/iab-australia-starts-work-on-industry-wide-future-of-measurement-initiative-focus-on-strengthening-how-advertising-opportunities-and-outcomes-are-assessed/" TargetMode="External"/><Relationship Id="rId1045" Type="http://schemas.openxmlformats.org/officeDocument/2006/relationships/hyperlink" Target="http://getaiready.com.au" TargetMode="External"/><Relationship Id="rId2376" Type="http://schemas.openxmlformats.org/officeDocument/2006/relationships/hyperlink" Target="http://onlinemarketinggurus.com.au" TargetMode="External"/><Relationship Id="rId211" Type="http://schemas.openxmlformats.org/officeDocument/2006/relationships/hyperlink" Target="http://semrush.com" TargetMode="External"/><Relationship Id="rId695" Type="http://schemas.openxmlformats.org/officeDocument/2006/relationships/hyperlink" Target="http://hustlemarketers.com" TargetMode="External"/><Relationship Id="rId1046" Type="http://schemas.openxmlformats.org/officeDocument/2006/relationships/hyperlink" Target="https://www.goodfirms.co/advertising-companies/sydney" TargetMode="External"/><Relationship Id="rId2377" Type="http://schemas.openxmlformats.org/officeDocument/2006/relationships/hyperlink" Target="https://onpoint.com.au/media-agency-melbourne" TargetMode="External"/><Relationship Id="rId210" Type="http://schemas.openxmlformats.org/officeDocument/2006/relationships/hyperlink" Target="https://agencies.semrush.com/list/ai-optimization/australia/small-business/" TargetMode="External"/><Relationship Id="rId694" Type="http://schemas.openxmlformats.org/officeDocument/2006/relationships/hyperlink" Target="https://hustlemarketers.com/best-google-ads-agency-australia/" TargetMode="External"/><Relationship Id="rId1047" Type="http://schemas.openxmlformats.org/officeDocument/2006/relationships/hyperlink" Target="http://goodfirms.co" TargetMode="External"/><Relationship Id="rId2378" Type="http://schemas.openxmlformats.org/officeDocument/2006/relationships/hyperlink" Target="http://onpoint.com.au" TargetMode="External"/><Relationship Id="rId249" Type="http://schemas.openxmlformats.org/officeDocument/2006/relationships/hyperlink" Target="http://digitalreference.co" TargetMode="External"/><Relationship Id="rId248" Type="http://schemas.openxmlformats.org/officeDocument/2006/relationships/hyperlink" Target="https://www.digitalreference.co/design-professionals/best-creative-agencies-in-australia" TargetMode="External"/><Relationship Id="rId247" Type="http://schemas.openxmlformats.org/officeDocument/2006/relationships/hyperlink" Target="http://clutch.co" TargetMode="External"/><Relationship Id="rId1070" Type="http://schemas.openxmlformats.org/officeDocument/2006/relationships/hyperlink" Target="http://indigosystems.au" TargetMode="External"/><Relationship Id="rId1071" Type="http://schemas.openxmlformats.org/officeDocument/2006/relationships/hyperlink" Target="https://inmarketingwetrust.com.au/ai-agentic/ai-operations/" TargetMode="External"/><Relationship Id="rId1072" Type="http://schemas.openxmlformats.org/officeDocument/2006/relationships/hyperlink" Target="http://inmarketingwetrust.com.au" TargetMode="External"/><Relationship Id="rId242" Type="http://schemas.openxmlformats.org/officeDocument/2006/relationships/hyperlink" Target="https://www.reddit.com/r/Superframeworks/comments/1twfxf1/10_best_ai_seo_geoaeo_agencies_for_2026_no/" TargetMode="External"/><Relationship Id="rId1073" Type="http://schemas.openxmlformats.org/officeDocument/2006/relationships/hyperlink" Target="https://www.intelliagent.com.au/" TargetMode="External"/><Relationship Id="rId241" Type="http://schemas.openxmlformats.org/officeDocument/2006/relationships/hyperlink" Target="http://omnieclipse.ai" TargetMode="External"/><Relationship Id="rId1074" Type="http://schemas.openxmlformats.org/officeDocument/2006/relationships/hyperlink" Target="http://intelliagent.com.au" TargetMode="External"/><Relationship Id="rId240" Type="http://schemas.openxmlformats.org/officeDocument/2006/relationships/hyperlink" Target="https://omnieclipse.ai/au/blog/best-aeo-agencies-australia-2026" TargetMode="External"/><Relationship Id="rId1075" Type="http://schemas.openxmlformats.org/officeDocument/2006/relationships/hyperlink" Target="https://www.intesols.com.au/services/generative-engine-optimisation/" TargetMode="External"/><Relationship Id="rId1076" Type="http://schemas.openxmlformats.org/officeDocument/2006/relationships/hyperlink" Target="http://intesols.com.au" TargetMode="External"/><Relationship Id="rId246" Type="http://schemas.openxmlformats.org/officeDocument/2006/relationships/hyperlink" Target="https://clutch.co/au/agencies/ppc/google-adwords" TargetMode="External"/><Relationship Id="rId1077" Type="http://schemas.openxmlformats.org/officeDocument/2006/relationships/hyperlink" Target="https://itprofiles.com/services/media-planning-and-buying/australia" TargetMode="External"/><Relationship Id="rId245" Type="http://schemas.openxmlformats.org/officeDocument/2006/relationships/hyperlink" Target="http://bushnote.com" TargetMode="External"/><Relationship Id="rId1078" Type="http://schemas.openxmlformats.org/officeDocument/2006/relationships/hyperlink" Target="http://itprofiles.com" TargetMode="External"/><Relationship Id="rId244" Type="http://schemas.openxmlformats.org/officeDocument/2006/relationships/hyperlink" Target="https://www.bushnote.com/articles/best-10-aeo-agencies-in-australia-to-promote-b2c-companies-in-2026" TargetMode="External"/><Relationship Id="rId1079" Type="http://schemas.openxmlformats.org/officeDocument/2006/relationships/hyperlink" Target="https://kb.triplewhale.com/en/articles/12441418-incrementality" TargetMode="External"/><Relationship Id="rId243" Type="http://schemas.openxmlformats.org/officeDocument/2006/relationships/hyperlink" Target="http://reddit.com" TargetMode="External"/><Relationship Id="rId239" Type="http://schemas.openxmlformats.org/officeDocument/2006/relationships/hyperlink" Target="http://mediaplusdigital.co" TargetMode="External"/><Relationship Id="rId238" Type="http://schemas.openxmlformats.org/officeDocument/2006/relationships/hyperlink" Target="https://mediaplusdigital.co/au/top-digital-media-agencies-in-australia/" TargetMode="External"/><Relationship Id="rId237" Type="http://schemas.openxmlformats.org/officeDocument/2006/relationships/hyperlink" Target="http://semrush.com" TargetMode="External"/><Relationship Id="rId236" Type="http://schemas.openxmlformats.org/officeDocument/2006/relationships/hyperlink" Target="https://agencies.semrush.com/list/machine-learning-and-ai/australia/" TargetMode="External"/><Relationship Id="rId2390" Type="http://schemas.openxmlformats.org/officeDocument/2006/relationships/hyperlink" Target="http://paramark.com" TargetMode="External"/><Relationship Id="rId1060" Type="http://schemas.openxmlformats.org/officeDocument/2006/relationships/hyperlink" Target="https://www.hotwireglobal.com.au/our-services/ai-consulting-tech/" TargetMode="External"/><Relationship Id="rId2391" Type="http://schemas.openxmlformats.org/officeDocument/2006/relationships/hyperlink" Target="https://www.paulmartinmarketing.com/ai-search-consultant/" TargetMode="External"/><Relationship Id="rId1061" Type="http://schemas.openxmlformats.org/officeDocument/2006/relationships/hyperlink" Target="http://hotwireglobal.com.au" TargetMode="External"/><Relationship Id="rId2392" Type="http://schemas.openxmlformats.org/officeDocument/2006/relationships/hyperlink" Target="http://paulmartinmarketing.com" TargetMode="External"/><Relationship Id="rId231" Type="http://schemas.openxmlformats.org/officeDocument/2006/relationships/hyperlink" Target="http://superbcompanies.com" TargetMode="External"/><Relationship Id="rId1062" Type="http://schemas.openxmlformats.org/officeDocument/2006/relationships/hyperlink" Target="https://hyperdot.com.au/" TargetMode="External"/><Relationship Id="rId2393" Type="http://schemas.openxmlformats.org/officeDocument/2006/relationships/hyperlink" Target="https://peertopeermarketing.co/performance-agencies/" TargetMode="External"/><Relationship Id="rId230" Type="http://schemas.openxmlformats.org/officeDocument/2006/relationships/hyperlink" Target="https://superbcompanies.com/categories/creative-agencies-in-australia/" TargetMode="External"/><Relationship Id="rId1063" Type="http://schemas.openxmlformats.org/officeDocument/2006/relationships/hyperlink" Target="http://hyperdot.com.au" TargetMode="External"/><Relationship Id="rId2394" Type="http://schemas.openxmlformats.org/officeDocument/2006/relationships/hyperlink" Target="http://peertopeermarketing.co" TargetMode="External"/><Relationship Id="rId1064" Type="http://schemas.openxmlformats.org/officeDocument/2006/relationships/hyperlink" Target="https://iabaustralia.com.au/news/iab-australia-helps-marketers-set-the-scene-for-continuous-improvement-through-experimentation/" TargetMode="External"/><Relationship Id="rId2395" Type="http://schemas.openxmlformats.org/officeDocument/2006/relationships/hyperlink" Target="https://www.performics.com/au/" TargetMode="External"/><Relationship Id="rId1065" Type="http://schemas.openxmlformats.org/officeDocument/2006/relationships/hyperlink" Target="http://iabaustralia.com.au" TargetMode="External"/><Relationship Id="rId2396" Type="http://schemas.openxmlformats.org/officeDocument/2006/relationships/hyperlink" Target="http://performics.com" TargetMode="External"/><Relationship Id="rId235" Type="http://schemas.openxmlformats.org/officeDocument/2006/relationships/hyperlink" Target="http://wmtips.com" TargetMode="External"/><Relationship Id="rId1066" Type="http://schemas.openxmlformats.org/officeDocument/2006/relationships/hyperlink" Target="https://inbeat.agency/blog/top-ppc-agencies-sydney" TargetMode="External"/><Relationship Id="rId2397" Type="http://schemas.openxmlformats.org/officeDocument/2006/relationships/hyperlink" Target="https://pimms.io/blog/top-10-marketing-attribution-tools-you-need-in-2025" TargetMode="External"/><Relationship Id="rId234" Type="http://schemas.openxmlformats.org/officeDocument/2006/relationships/hyperlink" Target="https://www.wmtips.com/technologies/marketing-attribution/country/au/" TargetMode="External"/><Relationship Id="rId1067" Type="http://schemas.openxmlformats.org/officeDocument/2006/relationships/hyperlink" Target="https://www.incremental.com/" TargetMode="External"/><Relationship Id="rId2398" Type="http://schemas.openxmlformats.org/officeDocument/2006/relationships/hyperlink" Target="http://pimms.io" TargetMode="External"/><Relationship Id="rId233" Type="http://schemas.openxmlformats.org/officeDocument/2006/relationships/hyperlink" Target="http://thehero.co" TargetMode="External"/><Relationship Id="rId1068" Type="http://schemas.openxmlformats.org/officeDocument/2006/relationships/hyperlink" Target="http://incremental.com" TargetMode="External"/><Relationship Id="rId2399" Type="http://schemas.openxmlformats.org/officeDocument/2006/relationships/hyperlink" Target="https://www.pivotalagency.com.au/google-ads-management" TargetMode="External"/><Relationship Id="rId232" Type="http://schemas.openxmlformats.org/officeDocument/2006/relationships/hyperlink" Target="https://www.thehero.co/news/leading-advertising-agencies-in-australia-2026-creative-benchmark" TargetMode="External"/><Relationship Id="rId1069" Type="http://schemas.openxmlformats.org/officeDocument/2006/relationships/hyperlink" Target="https://www.indigosystems.au/" TargetMode="External"/><Relationship Id="rId1015" Type="http://schemas.openxmlformats.org/officeDocument/2006/relationships/hyperlink" Target="http://clutch.co" TargetMode="External"/><Relationship Id="rId1499" Type="http://schemas.openxmlformats.org/officeDocument/2006/relationships/hyperlink" Target="http://upliftgtm.com" TargetMode="External"/><Relationship Id="rId2346" Type="http://schemas.openxmlformats.org/officeDocument/2006/relationships/hyperlink" Target="http://nature.com.au" TargetMode="External"/><Relationship Id="rId1016" Type="http://schemas.openxmlformats.org/officeDocument/2006/relationships/hyperlink" Target="https://www.designrush.com/agency/digital-agencies/au" TargetMode="External"/><Relationship Id="rId2347" Type="http://schemas.openxmlformats.org/officeDocument/2006/relationships/hyperlink" Target="https://newsroom.accenture.com/news/2017/accenture-acquires-creative-and-design-agencies-the-monkeys-and-maud-to-expand-its-customer-experience-capabilities-in-australia-and-new-zealand" TargetMode="External"/><Relationship Id="rId1017" Type="http://schemas.openxmlformats.org/officeDocument/2006/relationships/hyperlink" Target="http://designrush.com" TargetMode="External"/><Relationship Id="rId2348" Type="http://schemas.openxmlformats.org/officeDocument/2006/relationships/hyperlink" Target="http://accenture.com" TargetMode="External"/><Relationship Id="rId1018" Type="http://schemas.openxmlformats.org/officeDocument/2006/relationships/hyperlink" Target="https://www.designrush.com/agency/paid-media-pay-per-click/au/melbourne" TargetMode="External"/><Relationship Id="rId2349" Type="http://schemas.openxmlformats.org/officeDocument/2006/relationships/hyperlink" Target="https://newsroom.tiktok.com/en-au/australias-most-creative-brands-and-agencies-crowned-at-the-2025-tiktok-ad-awards" TargetMode="External"/><Relationship Id="rId1019" Type="http://schemas.openxmlformats.org/officeDocument/2006/relationships/hyperlink" Target="http://designrush.com" TargetMode="External"/><Relationship Id="rId668" Type="http://schemas.openxmlformats.org/officeDocument/2006/relationships/hyperlink" Target="https://clickclickmedia.com.au/paid-social-agency/" TargetMode="External"/><Relationship Id="rId667" Type="http://schemas.openxmlformats.org/officeDocument/2006/relationships/hyperlink" Target="http://clickclickbangbang.com.au" TargetMode="External"/><Relationship Id="rId666" Type="http://schemas.openxmlformats.org/officeDocument/2006/relationships/hyperlink" Target="https://clickclickbangbang.com.au/social-media-marketing-firms/" TargetMode="External"/><Relationship Id="rId665" Type="http://schemas.openxmlformats.org/officeDocument/2006/relationships/hyperlink" Target="http://bbe.io" TargetMode="External"/><Relationship Id="rId669" Type="http://schemas.openxmlformats.org/officeDocument/2006/relationships/hyperlink" Target="http://clickclickmedia.com.au" TargetMode="External"/><Relationship Id="rId1490" Type="http://schemas.openxmlformats.org/officeDocument/2006/relationships/hyperlink" Target="https://www.tridant.com/data-analytics/" TargetMode="External"/><Relationship Id="rId660" Type="http://schemas.openxmlformats.org/officeDocument/2006/relationships/hyperlink" Target="https://avinashvagh.com/blog/best-aeo-agencies-australia" TargetMode="External"/><Relationship Id="rId1491" Type="http://schemas.openxmlformats.org/officeDocument/2006/relationships/hyperlink" Target="http://tridant.com" TargetMode="External"/><Relationship Id="rId1492" Type="http://schemas.openxmlformats.org/officeDocument/2006/relationships/hyperlink" Target="https://umitech.com.au/google-partner/" TargetMode="External"/><Relationship Id="rId1493" Type="http://schemas.openxmlformats.org/officeDocument/2006/relationships/hyperlink" Target="http://umitech.com.au" TargetMode="External"/><Relationship Id="rId2340" Type="http://schemas.openxmlformats.org/officeDocument/2006/relationships/hyperlink" Target="https://mumbrella.com.au/pro/entity/bmf/" TargetMode="External"/><Relationship Id="rId1010" Type="http://schemas.openxmlformats.org/officeDocument/2006/relationships/hyperlink" Target="https://clickclickbangbang.com.au/best-facebook-ads-agency/" TargetMode="External"/><Relationship Id="rId1494" Type="http://schemas.openxmlformats.org/officeDocument/2006/relationships/hyperlink" Target="https://www.undivided.com.au/direct-response-marketing-agency" TargetMode="External"/><Relationship Id="rId2341" Type="http://schemas.openxmlformats.org/officeDocument/2006/relationships/hyperlink" Target="http://mumbrella.com.au" TargetMode="External"/><Relationship Id="rId664" Type="http://schemas.openxmlformats.org/officeDocument/2006/relationships/hyperlink" Target="https://www.bbe.io/top-10-advertising-agencies-2026-melbourne-sydney-brisbane" TargetMode="External"/><Relationship Id="rId1011" Type="http://schemas.openxmlformats.org/officeDocument/2006/relationships/hyperlink" Target="http://clickclickbangbang.com.au" TargetMode="External"/><Relationship Id="rId1495" Type="http://schemas.openxmlformats.org/officeDocument/2006/relationships/hyperlink" Target="http://undivided.com.au" TargetMode="External"/><Relationship Id="rId2342" Type="http://schemas.openxmlformats.org/officeDocument/2006/relationships/hyperlink" Target="https://www.munro.agency/insights/top-marketing-companies-in-the-world/" TargetMode="External"/><Relationship Id="rId663" Type="http://schemas.openxmlformats.org/officeDocument/2006/relationships/hyperlink" Target="http://bbe.io" TargetMode="External"/><Relationship Id="rId1012" Type="http://schemas.openxmlformats.org/officeDocument/2006/relationships/hyperlink" Target="https://clickclickbangbang.com.au/ppc-management-companies/" TargetMode="External"/><Relationship Id="rId1496" Type="http://schemas.openxmlformats.org/officeDocument/2006/relationships/hyperlink" Target="https://unglobalcompact.org.au/our-members/thinkerbell/" TargetMode="External"/><Relationship Id="rId2343" Type="http://schemas.openxmlformats.org/officeDocument/2006/relationships/hyperlink" Target="https://www.mvrdigital.co/services/data-analytics" TargetMode="External"/><Relationship Id="rId662" Type="http://schemas.openxmlformats.org/officeDocument/2006/relationships/hyperlink" Target="https://www.bbe.io/leading-advertising-agencies-in-australia-2025-sydney-melbourne-brisbane" TargetMode="External"/><Relationship Id="rId1013" Type="http://schemas.openxmlformats.org/officeDocument/2006/relationships/hyperlink" Target="http://clickclickbangbang.com.au" TargetMode="External"/><Relationship Id="rId1497" Type="http://schemas.openxmlformats.org/officeDocument/2006/relationships/hyperlink" Target="http://unglobalcompact.org.au" TargetMode="External"/><Relationship Id="rId2344" Type="http://schemas.openxmlformats.org/officeDocument/2006/relationships/hyperlink" Target="http://mvrdigital.co" TargetMode="External"/><Relationship Id="rId661" Type="http://schemas.openxmlformats.org/officeDocument/2006/relationships/hyperlink" Target="http://avinashvagh.com" TargetMode="External"/><Relationship Id="rId1014" Type="http://schemas.openxmlformats.org/officeDocument/2006/relationships/hyperlink" Target="https://clutch.co/au/agencies/social-media-marketing/tik-tok" TargetMode="External"/><Relationship Id="rId1498" Type="http://schemas.openxmlformats.org/officeDocument/2006/relationships/hyperlink" Target="https://www.upliftgtm.com/blog/best-geo-agencies" TargetMode="External"/><Relationship Id="rId2345" Type="http://schemas.openxmlformats.org/officeDocument/2006/relationships/hyperlink" Target="https://nature.com.au/market-research/" TargetMode="External"/><Relationship Id="rId1004" Type="http://schemas.openxmlformats.org/officeDocument/2006/relationships/hyperlink" Target="https://www.bushnote.com/articles/best-digital-marketing-agency-australia-2025" TargetMode="External"/><Relationship Id="rId1488" Type="http://schemas.openxmlformats.org/officeDocument/2006/relationships/hyperlink" Target="https://thinkerbell.com/" TargetMode="External"/><Relationship Id="rId2335" Type="http://schemas.openxmlformats.org/officeDocument/2006/relationships/hyperlink" Target="http://mooning.com" TargetMode="External"/><Relationship Id="rId1005" Type="http://schemas.openxmlformats.org/officeDocument/2006/relationships/hyperlink" Target="http://bushnote.com" TargetMode="External"/><Relationship Id="rId1489" Type="http://schemas.openxmlformats.org/officeDocument/2006/relationships/hyperlink" Target="http://thinkerbell.com" TargetMode="External"/><Relationship Id="rId2336" Type="http://schemas.openxmlformats.org/officeDocument/2006/relationships/hyperlink" Target="https://www.moveaheadmedia.com.au/paid-media/programmatic/" TargetMode="External"/><Relationship Id="rId1006" Type="http://schemas.openxmlformats.org/officeDocument/2006/relationships/hyperlink" Target="https://www.businessinsider.com/ai-consulting-mckinsey-pwc-deloitte-bcg-kpmg-accenture-ey-ibm-2026-5" TargetMode="External"/><Relationship Id="rId2337" Type="http://schemas.openxmlformats.org/officeDocument/2006/relationships/hyperlink" Target="http://moveaheadmedia.com.au" TargetMode="External"/><Relationship Id="rId1007" Type="http://schemas.openxmlformats.org/officeDocument/2006/relationships/hyperlink" Target="http://businessinsider.com" TargetMode="External"/><Relationship Id="rId2338" Type="http://schemas.openxmlformats.org/officeDocument/2006/relationships/hyperlink" Target="https://mumbrella.com.au/canva-partners-with-rocket-agency-to-scale-creative-production-for-in-house-marketing-teams-925804" TargetMode="External"/><Relationship Id="rId1008" Type="http://schemas.openxmlformats.org/officeDocument/2006/relationships/hyperlink" Target="https://www.captovate.com.au/geo" TargetMode="External"/><Relationship Id="rId2339" Type="http://schemas.openxmlformats.org/officeDocument/2006/relationships/hyperlink" Target="http://mumbrella.com.au" TargetMode="External"/><Relationship Id="rId1009" Type="http://schemas.openxmlformats.org/officeDocument/2006/relationships/hyperlink" Target="http://captovate.com.au" TargetMode="External"/><Relationship Id="rId657" Type="http://schemas.openxmlformats.org/officeDocument/2006/relationships/hyperlink" Target="http://adcountable.com" TargetMode="External"/><Relationship Id="rId656" Type="http://schemas.openxmlformats.org/officeDocument/2006/relationships/hyperlink" Target="https://www.adcountable.com/" TargetMode="External"/><Relationship Id="rId655" Type="http://schemas.openxmlformats.org/officeDocument/2006/relationships/hyperlink" Target="http://50pros.com" TargetMode="External"/><Relationship Id="rId654" Type="http://schemas.openxmlformats.org/officeDocument/2006/relationships/hyperlink" Target="https://www.50pros.com/hire/advertising/attribution-and-measurement" TargetMode="External"/><Relationship Id="rId659" Type="http://schemas.openxmlformats.org/officeDocument/2006/relationships/hyperlink" Target="http://advancer.com.au" TargetMode="External"/><Relationship Id="rId658" Type="http://schemas.openxmlformats.org/officeDocument/2006/relationships/hyperlink" Target="https://www.advancer.com.au/ai-consulting-brisbane" TargetMode="External"/><Relationship Id="rId1480" Type="http://schemas.openxmlformats.org/officeDocument/2006/relationships/hyperlink" Target="https://www.thehero.co/about" TargetMode="External"/><Relationship Id="rId1481" Type="http://schemas.openxmlformats.org/officeDocument/2006/relationships/hyperlink" Target="http://thehero.co" TargetMode="External"/><Relationship Id="rId1482" Type="http://schemas.openxmlformats.org/officeDocument/2006/relationships/hyperlink" Target="https://www.thehero.co/work" TargetMode="External"/><Relationship Id="rId1483" Type="http://schemas.openxmlformats.org/officeDocument/2006/relationships/hyperlink" Target="http://thehero.co" TargetMode="External"/><Relationship Id="rId2330" Type="http://schemas.openxmlformats.org/officeDocument/2006/relationships/hyperlink" Target="https://www.mi-3.com.au/editorial-series/mmms-next-wave" TargetMode="External"/><Relationship Id="rId653" Type="http://schemas.openxmlformats.org/officeDocument/2006/relationships/hyperlink" Target="http://23digital.com.au" TargetMode="External"/><Relationship Id="rId1000" Type="http://schemas.openxmlformats.org/officeDocument/2006/relationships/hyperlink" Target="https://arxiv.org/abs/2604.16369" TargetMode="External"/><Relationship Id="rId1484" Type="http://schemas.openxmlformats.org/officeDocument/2006/relationships/hyperlink" Target="https://themanifest.com/au/social-media/tiktok/agencies" TargetMode="External"/><Relationship Id="rId2331" Type="http://schemas.openxmlformats.org/officeDocument/2006/relationships/hyperlink" Target="http://mi-3.com.au" TargetMode="External"/><Relationship Id="rId652" Type="http://schemas.openxmlformats.org/officeDocument/2006/relationships/hyperlink" Target="https://www.23digital.com.au/performance-marketing-agency/" TargetMode="External"/><Relationship Id="rId1001" Type="http://schemas.openxmlformats.org/officeDocument/2006/relationships/hyperlink" Target="http://arxiv.org" TargetMode="External"/><Relationship Id="rId1485" Type="http://schemas.openxmlformats.org/officeDocument/2006/relationships/hyperlink" Target="http://themanifest.com" TargetMode="External"/><Relationship Id="rId2332" Type="http://schemas.openxmlformats.org/officeDocument/2006/relationships/hyperlink" Target="https://www.mida.so/cro-agency/country/australia" TargetMode="External"/><Relationship Id="rId651" Type="http://schemas.openxmlformats.org/officeDocument/2006/relationships/hyperlink" Target="http://virtualadagency.com.au" TargetMode="External"/><Relationship Id="rId1002" Type="http://schemas.openxmlformats.org/officeDocument/2006/relationships/hyperlink" Target="https://www.bandt.com.au/bts-ones-to-watch-creative-agencies-2/" TargetMode="External"/><Relationship Id="rId1486" Type="http://schemas.openxmlformats.org/officeDocument/2006/relationships/hyperlink" Target="https://www.theravenlabs.com/ai-readiness/" TargetMode="External"/><Relationship Id="rId2333" Type="http://schemas.openxmlformats.org/officeDocument/2006/relationships/hyperlink" Target="http://mida.so" TargetMode="External"/><Relationship Id="rId650" Type="http://schemas.openxmlformats.org/officeDocument/2006/relationships/hyperlink" Target="https://virtualadagency.com.au/best-digital-marketing-companies/" TargetMode="External"/><Relationship Id="rId1003" Type="http://schemas.openxmlformats.org/officeDocument/2006/relationships/hyperlink" Target="http://bandt.com.au" TargetMode="External"/><Relationship Id="rId1487" Type="http://schemas.openxmlformats.org/officeDocument/2006/relationships/hyperlink" Target="http://theravenlabs.com" TargetMode="External"/><Relationship Id="rId2334" Type="http://schemas.openxmlformats.org/officeDocument/2006/relationships/hyperlink" Target="https://mooning.com/" TargetMode="External"/><Relationship Id="rId1037" Type="http://schemas.openxmlformats.org/officeDocument/2006/relationships/hyperlink" Target="http://enterprisemonkey.com.au" TargetMode="External"/><Relationship Id="rId2368" Type="http://schemas.openxmlformats.org/officeDocument/2006/relationships/hyperlink" Target="http://oneclub.org" TargetMode="External"/><Relationship Id="rId1038" Type="http://schemas.openxmlformats.org/officeDocument/2006/relationships/hyperlink" Target="https://evolut.com.au/service/ai-marketing-content" TargetMode="External"/><Relationship Id="rId2369" Type="http://schemas.openxmlformats.org/officeDocument/2006/relationships/hyperlink" Target="https://www.oneclub.org/awards/theoneshow/-agency/Droga5%2BANZ%2C%2Bpart%2Bof%2BAccenture%2BSong%2B%5Bs%5D%2BSydney/2026/all/all" TargetMode="External"/><Relationship Id="rId1039" Type="http://schemas.openxmlformats.org/officeDocument/2006/relationships/hyperlink" Target="http://evolut.com.au" TargetMode="External"/><Relationship Id="rId206" Type="http://schemas.openxmlformats.org/officeDocument/2006/relationships/hyperlink" Target="https://www.sortlist.com/s/performance-marketing/melbourne-au" TargetMode="External"/><Relationship Id="rId205" Type="http://schemas.openxmlformats.org/officeDocument/2006/relationships/hyperlink" Target="http://sortlist.com" TargetMode="External"/><Relationship Id="rId689" Type="http://schemas.openxmlformats.org/officeDocument/2006/relationships/hyperlink" Target="http://getapexanalytics.com" TargetMode="External"/><Relationship Id="rId204" Type="http://schemas.openxmlformats.org/officeDocument/2006/relationships/hyperlink" Target="https://www.sortlist.com/s/creative/australia-au" TargetMode="External"/><Relationship Id="rId688" Type="http://schemas.openxmlformats.org/officeDocument/2006/relationships/hyperlink" Target="https://www.getapexanalytics.com/" TargetMode="External"/><Relationship Id="rId203" Type="http://schemas.openxmlformats.org/officeDocument/2006/relationships/hyperlink" Target="http://newsfromperth.com" TargetMode="External"/><Relationship Id="rId687" Type="http://schemas.openxmlformats.org/officeDocument/2006/relationships/hyperlink" Target="http://gartner.com" TargetMode="External"/><Relationship Id="rId209" Type="http://schemas.openxmlformats.org/officeDocument/2006/relationships/hyperlink" Target="http://google.com" TargetMode="External"/><Relationship Id="rId208" Type="http://schemas.openxmlformats.org/officeDocument/2006/relationships/hyperlink" Target="https://support.google.com/tagmanager/answer/7237700?hl=en-au" TargetMode="External"/><Relationship Id="rId207" Type="http://schemas.openxmlformats.org/officeDocument/2006/relationships/hyperlink" Target="http://sortlist.com" TargetMode="External"/><Relationship Id="rId682" Type="http://schemas.openxmlformats.org/officeDocument/2006/relationships/hyperlink" Target="https://fastlanerecruit.com/blog/top-20-digital-marketing-companies-in-australia/" TargetMode="External"/><Relationship Id="rId2360" Type="http://schemas.openxmlformats.org/officeDocument/2006/relationships/hyperlink" Target="http://odindigital.com.au" TargetMode="External"/><Relationship Id="rId681" Type="http://schemas.openxmlformats.org/officeDocument/2006/relationships/hyperlink" Target="http://fabulate.com.au" TargetMode="External"/><Relationship Id="rId1030" Type="http://schemas.openxmlformats.org/officeDocument/2006/relationships/hyperlink" Target="https://edisonai.au/insights/top-ai-agencies-in-australia" TargetMode="External"/><Relationship Id="rId2361" Type="http://schemas.openxmlformats.org/officeDocument/2006/relationships/hyperlink" Target="https://www.ogilvypr.com.au/" TargetMode="External"/><Relationship Id="rId680" Type="http://schemas.openxmlformats.org/officeDocument/2006/relationships/hyperlink" Target="https://fabulate.com.au/page/ai-marketing-australia" TargetMode="External"/><Relationship Id="rId1031" Type="http://schemas.openxmlformats.org/officeDocument/2006/relationships/hyperlink" Target="http://edisonai.au" TargetMode="External"/><Relationship Id="rId2362" Type="http://schemas.openxmlformats.org/officeDocument/2006/relationships/hyperlink" Target="http://ogilvypr.com.au" TargetMode="External"/><Relationship Id="rId1032" Type="http://schemas.openxmlformats.org/officeDocument/2006/relationships/hyperlink" Target="https://www.elephantintheboardroom.com.au/geo-agency" TargetMode="External"/><Relationship Id="rId2363" Type="http://schemas.openxmlformats.org/officeDocument/2006/relationships/hyperlink" Target="https://oneclickdigital.net.au/who-is-the-largest-ad-agency-in-australia/" TargetMode="External"/><Relationship Id="rId202" Type="http://schemas.openxmlformats.org/officeDocument/2006/relationships/hyperlink" Target="https://newsfromperth.com/business/our-top-7-ai-geo-generative-engine-optimisation-agencies-in-australia/" TargetMode="External"/><Relationship Id="rId686" Type="http://schemas.openxmlformats.org/officeDocument/2006/relationships/hyperlink" Target="https://www.gartner.com/reviews/market/incrementality-measurement-platforms" TargetMode="External"/><Relationship Id="rId1033" Type="http://schemas.openxmlformats.org/officeDocument/2006/relationships/hyperlink" Target="http://elephantintheboardroom.com.au" TargetMode="External"/><Relationship Id="rId2364" Type="http://schemas.openxmlformats.org/officeDocument/2006/relationships/hyperlink" Target="http://oneclickdigital.net.au" TargetMode="External"/><Relationship Id="rId201" Type="http://schemas.openxmlformats.org/officeDocument/2006/relationships/hyperlink" Target="http://mystrika.com" TargetMode="External"/><Relationship Id="rId685" Type="http://schemas.openxmlformats.org/officeDocument/2006/relationships/hyperlink" Target="http://fusepointinsights.com" TargetMode="External"/><Relationship Id="rId1034" Type="http://schemas.openxmlformats.org/officeDocument/2006/relationships/hyperlink" Target="https://ensun.io/search/geospatial-gis/australia" TargetMode="External"/><Relationship Id="rId2365" Type="http://schemas.openxmlformats.org/officeDocument/2006/relationships/hyperlink" Target="https://www.oneclub.org/awards/rankings/-archive/agency/2025/all/all/all/36" TargetMode="External"/><Relationship Id="rId200" Type="http://schemas.openxmlformats.org/officeDocument/2006/relationships/hyperlink" Target="https://mystrika.com/directory/agencies/top/data-analytics-in-country-australia" TargetMode="External"/><Relationship Id="rId684" Type="http://schemas.openxmlformats.org/officeDocument/2006/relationships/hyperlink" Target="https://fusepointinsights.com/service/incrementality-experiments/" TargetMode="External"/><Relationship Id="rId1035" Type="http://schemas.openxmlformats.org/officeDocument/2006/relationships/hyperlink" Target="http://ensun.io" TargetMode="External"/><Relationship Id="rId2366" Type="http://schemas.openxmlformats.org/officeDocument/2006/relationships/hyperlink" Target="http://oneclub.org" TargetMode="External"/><Relationship Id="rId683" Type="http://schemas.openxmlformats.org/officeDocument/2006/relationships/hyperlink" Target="http://fastlanerecruit.com" TargetMode="External"/><Relationship Id="rId1036" Type="http://schemas.openxmlformats.org/officeDocument/2006/relationships/hyperlink" Target="https://enterprisemonkey.com.au/top-10-ai-consulting-firms-melbourne-2026-complete-guide/" TargetMode="External"/><Relationship Id="rId2367" Type="http://schemas.openxmlformats.org/officeDocument/2006/relationships/hyperlink" Target="https://www.oneclub.org/awards/theoneshow/-agency/Droga5%2BANZ%2C%2Bpart%2Bof%2BAccenture%2BSong%2B%5Bs%5D%2BSydney/2026/all/4" TargetMode="External"/><Relationship Id="rId1026" Type="http://schemas.openxmlformats.org/officeDocument/2006/relationships/hyperlink" Target="https://dimeagency.co/" TargetMode="External"/><Relationship Id="rId2357" Type="http://schemas.openxmlformats.org/officeDocument/2006/relationships/hyperlink" Target="https://www.nutshell.com/blog/top-geo-agencies" TargetMode="External"/><Relationship Id="rId1027" Type="http://schemas.openxmlformats.org/officeDocument/2006/relationships/hyperlink" Target="http://dimeagency.co" TargetMode="External"/><Relationship Id="rId2358" Type="http://schemas.openxmlformats.org/officeDocument/2006/relationships/hyperlink" Target="http://nutshell.com" TargetMode="External"/><Relationship Id="rId1028" Type="http://schemas.openxmlformats.org/officeDocument/2006/relationships/hyperlink" Target="https://droga5.com.au/" TargetMode="External"/><Relationship Id="rId2359" Type="http://schemas.openxmlformats.org/officeDocument/2006/relationships/hyperlink" Target="https://odindigital.com.au/services/instagram-advertising" TargetMode="External"/><Relationship Id="rId1029" Type="http://schemas.openxmlformats.org/officeDocument/2006/relationships/hyperlink" Target="http://droga5.com.au" TargetMode="External"/><Relationship Id="rId679" Type="http://schemas.openxmlformats.org/officeDocument/2006/relationships/hyperlink" Target="http://elephantroom.com.au" TargetMode="External"/><Relationship Id="rId678" Type="http://schemas.openxmlformats.org/officeDocument/2006/relationships/hyperlink" Target="https://www.elephantroom.com.au/measurement" TargetMode="External"/><Relationship Id="rId677" Type="http://schemas.openxmlformats.org/officeDocument/2006/relationships/hyperlink" Target="http://eightclients.com.au" TargetMode="External"/><Relationship Id="rId676" Type="http://schemas.openxmlformats.org/officeDocument/2006/relationships/hyperlink" Target="https://eightclients.com.au/ai-marketing-agency/" TargetMode="External"/><Relationship Id="rId671" Type="http://schemas.openxmlformats.org/officeDocument/2006/relationships/hyperlink" Target="http://clutch.co" TargetMode="External"/><Relationship Id="rId670" Type="http://schemas.openxmlformats.org/officeDocument/2006/relationships/hyperlink" Target="https://clutch.co/au/consulting/ai/sydney" TargetMode="External"/><Relationship Id="rId2350" Type="http://schemas.openxmlformats.org/officeDocument/2006/relationships/hyperlink" Target="http://tiktok.com" TargetMode="External"/><Relationship Id="rId1020" Type="http://schemas.openxmlformats.org/officeDocument/2006/relationships/hyperlink" Target="https://digitalagencynetwork.com/agencies/australia/industry/it-technology/" TargetMode="External"/><Relationship Id="rId2351" Type="http://schemas.openxmlformats.org/officeDocument/2006/relationships/hyperlink" Target="https://nexttabagency.com/services/social-media-ads/" TargetMode="External"/><Relationship Id="rId1021" Type="http://schemas.openxmlformats.org/officeDocument/2006/relationships/hyperlink" Target="http://digitalagencynetwork.com" TargetMode="External"/><Relationship Id="rId2352" Type="http://schemas.openxmlformats.org/officeDocument/2006/relationships/hyperlink" Target="http://nexttabagency.com" TargetMode="External"/><Relationship Id="rId675" Type="http://schemas.openxmlformats.org/officeDocument/2006/relationships/hyperlink" Target="http://corporatedesignsolutions.com.au" TargetMode="External"/><Relationship Id="rId1022" Type="http://schemas.openxmlformats.org/officeDocument/2006/relationships/hyperlink" Target="https://digitalagencynetwork.com/google-reveals-in-marketing-we-trust-in-top-1-of-google-agency-partners-in-australia/" TargetMode="External"/><Relationship Id="rId2353" Type="http://schemas.openxmlformats.org/officeDocument/2006/relationships/hyperlink" Target="https://nimbull.com.au/ai-consulting/" TargetMode="External"/><Relationship Id="rId674" Type="http://schemas.openxmlformats.org/officeDocument/2006/relationships/hyperlink" Target="https://corporatedesignsolutions.com.au/top-10-generative-engine-optimisation-agencies-western-australia/" TargetMode="External"/><Relationship Id="rId1023" Type="http://schemas.openxmlformats.org/officeDocument/2006/relationships/hyperlink" Target="http://digitalagencynetwork.com" TargetMode="External"/><Relationship Id="rId2354" Type="http://schemas.openxmlformats.org/officeDocument/2006/relationships/hyperlink" Target="http://nimbull.com.au" TargetMode="External"/><Relationship Id="rId673" Type="http://schemas.openxmlformats.org/officeDocument/2006/relationships/hyperlink" Target="http://conquerradigital.com.au" TargetMode="External"/><Relationship Id="rId1024" Type="http://schemas.openxmlformats.org/officeDocument/2006/relationships/hyperlink" Target="https://www.digitxl.com.au/google-analytics-consulting/" TargetMode="External"/><Relationship Id="rId2355" Type="http://schemas.openxmlformats.org/officeDocument/2006/relationships/hyperlink" Target="https://noirandblanco.com/best-digital-marketing-agencies-in-melbourne/" TargetMode="External"/><Relationship Id="rId672" Type="http://schemas.openxmlformats.org/officeDocument/2006/relationships/hyperlink" Target="https://conquerradigital.com.au/top-10-digital-marketing-agencies-in-australia/" TargetMode="External"/><Relationship Id="rId1025" Type="http://schemas.openxmlformats.org/officeDocument/2006/relationships/hyperlink" Target="http://digitxl.com.au" TargetMode="External"/><Relationship Id="rId2356" Type="http://schemas.openxmlformats.org/officeDocument/2006/relationships/hyperlink" Target="http://noirandblanco.com" TargetMode="External"/><Relationship Id="rId190" Type="http://schemas.openxmlformats.org/officeDocument/2006/relationships/hyperlink" Target="https://rocketagency.com.au/services/social-media-ads-agency" TargetMode="External"/><Relationship Id="rId194" Type="http://schemas.openxmlformats.org/officeDocument/2006/relationships/hyperlink" Target="https://www.airanklab.com/blog/best-ai-seo-agencies-australia" TargetMode="External"/><Relationship Id="rId193" Type="http://schemas.openxmlformats.org/officeDocument/2006/relationships/hyperlink" Target="http://saltandfuessel.com.au" TargetMode="External"/><Relationship Id="rId192" Type="http://schemas.openxmlformats.org/officeDocument/2006/relationships/hyperlink" Target="https://saltandfuessel.com.au/aeo-geo-services-melbourne" TargetMode="External"/><Relationship Id="rId191" Type="http://schemas.openxmlformats.org/officeDocument/2006/relationships/hyperlink" Target="http://rocketagency.com.au" TargetMode="External"/><Relationship Id="rId187" Type="http://schemas.openxmlformats.org/officeDocument/2006/relationships/hyperlink" Target="http://conquerradigital.com.au" TargetMode="External"/><Relationship Id="rId186" Type="http://schemas.openxmlformats.org/officeDocument/2006/relationships/hyperlink" Target="https://conquerradigital.com.au/top-10-programmatic-ads-agencies-in-the-australia/" TargetMode="External"/><Relationship Id="rId185" Type="http://schemas.openxmlformats.org/officeDocument/2006/relationships/hyperlink" Target="http://titanblue.com.au" TargetMode="External"/><Relationship Id="rId184" Type="http://schemas.openxmlformats.org/officeDocument/2006/relationships/hyperlink" Target="https://titanblue.com.au/best-seo-agency-australia/" TargetMode="External"/><Relationship Id="rId189" Type="http://schemas.openxmlformats.org/officeDocument/2006/relationships/hyperlink" Target="http://ogilvy.com.au" TargetMode="External"/><Relationship Id="rId188" Type="http://schemas.openxmlformats.org/officeDocument/2006/relationships/hyperlink" Target="https://www.ogilvy.com.au/" TargetMode="External"/><Relationship Id="rId183" Type="http://schemas.openxmlformats.org/officeDocument/2006/relationships/hyperlink" Target="http://sortlist.com" TargetMode="External"/><Relationship Id="rId182" Type="http://schemas.openxmlformats.org/officeDocument/2006/relationships/hyperlink" Target="https://www.sortlist.com/s/performance-marketing/australia-au" TargetMode="External"/><Relationship Id="rId181" Type="http://schemas.openxmlformats.org/officeDocument/2006/relationships/hyperlink" Target="http://sortlist.com" TargetMode="External"/><Relationship Id="rId180" Type="http://schemas.openxmlformats.org/officeDocument/2006/relationships/hyperlink" Target="https://www.sortlist.com/s/paid-media/sydney-au" TargetMode="External"/><Relationship Id="rId176" Type="http://schemas.openxmlformats.org/officeDocument/2006/relationships/hyperlink" Target="https://edisonai.au/insights/top-ai-consulting-firms-australia" TargetMode="External"/><Relationship Id="rId175" Type="http://schemas.openxmlformats.org/officeDocument/2006/relationships/hyperlink" Target="http://caribbeannationalweekly.com" TargetMode="External"/><Relationship Id="rId174" Type="http://schemas.openxmlformats.org/officeDocument/2006/relationships/hyperlink" Target="https://www.caribbeannationalweekly.com/posts/top-generative-engine-optimisation-geo-agencies-for-australian-brands" TargetMode="External"/><Relationship Id="rId173" Type="http://schemas.openxmlformats.org/officeDocument/2006/relationships/hyperlink" Target="http://vanguardian.com.au" TargetMode="External"/><Relationship Id="rId179" Type="http://schemas.openxmlformats.org/officeDocument/2006/relationships/hyperlink" Target="http://findcreatives.com.au" TargetMode="External"/><Relationship Id="rId178" Type="http://schemas.openxmlformats.org/officeDocument/2006/relationships/hyperlink" Target="https://findcreatives.com.au/journal/top-creative-agencies-in-australia" TargetMode="External"/><Relationship Id="rId177" Type="http://schemas.openxmlformats.org/officeDocument/2006/relationships/hyperlink" Target="http://edisonai.au" TargetMode="External"/><Relationship Id="rId1910" Type="http://schemas.openxmlformats.org/officeDocument/2006/relationships/hyperlink" Target="http://digitalmarketingsupermarket.com" TargetMode="External"/><Relationship Id="rId1911" Type="http://schemas.openxmlformats.org/officeDocument/2006/relationships/hyperlink" Target="https://digitalmarketingsupermarket.com/blog/digital-marketing-agencies-in-perth/" TargetMode="External"/><Relationship Id="rId1912" Type="http://schemas.openxmlformats.org/officeDocument/2006/relationships/hyperlink" Target="http://digitalmarketingsupermarket.com" TargetMode="External"/><Relationship Id="rId1913" Type="http://schemas.openxmlformats.org/officeDocument/2006/relationships/hyperlink" Target="https://digitalmoose.com.au/" TargetMode="External"/><Relationship Id="rId1914" Type="http://schemas.openxmlformats.org/officeDocument/2006/relationships/hyperlink" Target="http://digitalmoose.com.au" TargetMode="External"/><Relationship Id="rId1915" Type="http://schemas.openxmlformats.org/officeDocument/2006/relationships/hyperlink" Target="https://digitalnomadshq.com.au/ai-seo/" TargetMode="External"/><Relationship Id="rId1916" Type="http://schemas.openxmlformats.org/officeDocument/2006/relationships/hyperlink" Target="http://digitalnomadshq.com.au" TargetMode="External"/><Relationship Id="rId1917" Type="http://schemas.openxmlformats.org/officeDocument/2006/relationships/hyperlink" Target="https://digitalnomadshq.com.au/blog/best-graphic-design-companies/" TargetMode="External"/><Relationship Id="rId1918" Type="http://schemas.openxmlformats.org/officeDocument/2006/relationships/hyperlink" Target="http://digitalnomadshq.com.au" TargetMode="External"/><Relationship Id="rId1919" Type="http://schemas.openxmlformats.org/officeDocument/2006/relationships/hyperlink" Target="https://digitalnomadshq.com.au/blog/best-ppc-agency/" TargetMode="External"/><Relationship Id="rId1900" Type="http://schemas.openxmlformats.org/officeDocument/2006/relationships/hyperlink" Target="http://digitalagencynetwork.com" TargetMode="External"/><Relationship Id="rId1901" Type="http://schemas.openxmlformats.org/officeDocument/2006/relationships/hyperlink" Target="https://digitalchoice.com.au/programmatic-ads/" TargetMode="External"/><Relationship Id="rId1902" Type="http://schemas.openxmlformats.org/officeDocument/2006/relationships/hyperlink" Target="http://digitalchoice.com.au" TargetMode="External"/><Relationship Id="rId1903" Type="http://schemas.openxmlformats.org/officeDocument/2006/relationships/hyperlink" Target="https://digitaldeluxe.com.au/paid-social-advertising/" TargetMode="External"/><Relationship Id="rId1904" Type="http://schemas.openxmlformats.org/officeDocument/2006/relationships/hyperlink" Target="http://digitaldeluxe.com.au" TargetMode="External"/><Relationship Id="rId1905" Type="http://schemas.openxmlformats.org/officeDocument/2006/relationships/hyperlink" Target="https://digitaldigest.au/social-media-marketing-companies/" TargetMode="External"/><Relationship Id="rId1906" Type="http://schemas.openxmlformats.org/officeDocument/2006/relationships/hyperlink" Target="http://digitaldigest.au" TargetMode="External"/><Relationship Id="rId1907" Type="http://schemas.openxmlformats.org/officeDocument/2006/relationships/hyperlink" Target="https://digitalmarketingsupermarket.com/blog/best-ai-marketing-agencies/" TargetMode="External"/><Relationship Id="rId1908" Type="http://schemas.openxmlformats.org/officeDocument/2006/relationships/hyperlink" Target="http://digitalmarketingsupermarket.com" TargetMode="External"/><Relationship Id="rId1909" Type="http://schemas.openxmlformats.org/officeDocument/2006/relationships/hyperlink" Target="https://digitalmarketingsupermarket.com/blog/best-ai-marketing-agencies-2026/" TargetMode="External"/><Relationship Id="rId198" Type="http://schemas.openxmlformats.org/officeDocument/2006/relationships/hyperlink" Target="https://www.cometly.com/post/marketing-incrementality-testing-tools" TargetMode="External"/><Relationship Id="rId197" Type="http://schemas.openxmlformats.org/officeDocument/2006/relationships/hyperlink" Target="http://clutch.co" TargetMode="External"/><Relationship Id="rId196" Type="http://schemas.openxmlformats.org/officeDocument/2006/relationships/hyperlink" Target="https://clutch.co/au/agencies/social-media-marketing/facebook" TargetMode="External"/><Relationship Id="rId195" Type="http://schemas.openxmlformats.org/officeDocument/2006/relationships/hyperlink" Target="http://airanklab.com" TargetMode="External"/><Relationship Id="rId199" Type="http://schemas.openxmlformats.org/officeDocument/2006/relationships/hyperlink" Target="http://cometly.com" TargetMode="External"/><Relationship Id="rId150" Type="http://schemas.openxmlformats.org/officeDocument/2006/relationships/hyperlink" Target="https://digitalagencynetwork.com/agencies/sydney/geo/" TargetMode="External"/><Relationship Id="rId149" Type="http://schemas.openxmlformats.org/officeDocument/2006/relationships/hyperlink" Target="http://digitalagencynetwork.com" TargetMode="External"/><Relationship Id="rId148" Type="http://schemas.openxmlformats.org/officeDocument/2006/relationships/hyperlink" Target="https://digitalagencynetwork.com/agencies/australia/social-media-marketing/" TargetMode="External"/><Relationship Id="rId1090" Type="http://schemas.openxmlformats.org/officeDocument/2006/relationships/hyperlink" Target="http://mediaweek.com.au" TargetMode="External"/><Relationship Id="rId1091" Type="http://schemas.openxmlformats.org/officeDocument/2006/relationships/hyperlink" Target="https://www.melottimedia.com.au/ai-marketing-services/" TargetMode="External"/><Relationship Id="rId1092" Type="http://schemas.openxmlformats.org/officeDocument/2006/relationships/hyperlink" Target="http://melottimedia.com.au" TargetMode="External"/><Relationship Id="rId1093" Type="http://schemas.openxmlformats.org/officeDocument/2006/relationships/hyperlink" Target="https://www.miniloop.ai/blog/best-geo-agencies" TargetMode="External"/><Relationship Id="rId1094" Type="http://schemas.openxmlformats.org/officeDocument/2006/relationships/hyperlink" Target="http://miniloop.ai" TargetMode="External"/><Relationship Id="rId143" Type="http://schemas.openxmlformats.org/officeDocument/2006/relationships/hyperlink" Target="http://brandburp.com" TargetMode="External"/><Relationship Id="rId1095" Type="http://schemas.openxmlformats.org/officeDocument/2006/relationships/hyperlink" Target="https://mutinex.co/" TargetMode="External"/><Relationship Id="rId142" Type="http://schemas.openxmlformats.org/officeDocument/2006/relationships/hyperlink" Target="https://blog.brandburp.com/choose-the-right-display-ad-agency-in-australia/" TargetMode="External"/><Relationship Id="rId1096" Type="http://schemas.openxmlformats.org/officeDocument/2006/relationships/hyperlink" Target="http://mutinex.co" TargetMode="External"/><Relationship Id="rId141" Type="http://schemas.openxmlformats.org/officeDocument/2006/relationships/hyperlink" Target="http://triplewhale.com" TargetMode="External"/><Relationship Id="rId1097" Type="http://schemas.openxmlformats.org/officeDocument/2006/relationships/hyperlink" Target="https://nettyawards.com/a-look-at-australias-top-digital-agencies-in-2025/" TargetMode="External"/><Relationship Id="rId140" Type="http://schemas.openxmlformats.org/officeDocument/2006/relationships/hyperlink" Target="https://www.triplewhale.com/blog/best-incrementality-testing-tools" TargetMode="External"/><Relationship Id="rId1098" Type="http://schemas.openxmlformats.org/officeDocument/2006/relationships/hyperlink" Target="http://nettyawards.com" TargetMode="External"/><Relationship Id="rId147" Type="http://schemas.openxmlformats.org/officeDocument/2006/relationships/hyperlink" Target="http://clutch.co" TargetMode="External"/><Relationship Id="rId1099" Type="http://schemas.openxmlformats.org/officeDocument/2006/relationships/hyperlink" Target="https://nexit.com.au/ai-search-optimisation/" TargetMode="External"/><Relationship Id="rId146" Type="http://schemas.openxmlformats.org/officeDocument/2006/relationships/hyperlink" Target="https://clutch.co/au/agencies/media-buying" TargetMode="External"/><Relationship Id="rId145" Type="http://schemas.openxmlformats.org/officeDocument/2006/relationships/hyperlink" Target="http://clickclickmedia.com.au" TargetMode="External"/><Relationship Id="rId144" Type="http://schemas.openxmlformats.org/officeDocument/2006/relationships/hyperlink" Target="https://clickclickmedia.com.au/ppc-agency/display-ads/" TargetMode="External"/><Relationship Id="rId139" Type="http://schemas.openxmlformats.org/officeDocument/2006/relationships/hyperlink" Target="http://resolutiondigital.com.au" TargetMode="External"/><Relationship Id="rId138" Type="http://schemas.openxmlformats.org/officeDocument/2006/relationships/hyperlink" Target="https://www.resolutiondigital.com.au/services/cro/google-marketing-platform/" TargetMode="External"/><Relationship Id="rId137" Type="http://schemas.openxmlformats.org/officeDocument/2006/relationships/hyperlink" Target="http://resolutiondigital.com.au" TargetMode="External"/><Relationship Id="rId1080" Type="http://schemas.openxmlformats.org/officeDocument/2006/relationships/hyperlink" Target="http://triplewhale.com" TargetMode="External"/><Relationship Id="rId1081" Type="http://schemas.openxmlformats.org/officeDocument/2006/relationships/hyperlink" Target="https://www.krishtechnolabs.com/google/" TargetMode="External"/><Relationship Id="rId1082" Type="http://schemas.openxmlformats.org/officeDocument/2006/relationships/hyperlink" Target="http://krishtechnolabs.com" TargetMode="External"/><Relationship Id="rId1083" Type="http://schemas.openxmlformats.org/officeDocument/2006/relationships/hyperlink" Target="https://lifesight.io/" TargetMode="External"/><Relationship Id="rId132" Type="http://schemas.openxmlformats.org/officeDocument/2006/relationships/hyperlink" Target="http://bushnote.com" TargetMode="External"/><Relationship Id="rId1084" Type="http://schemas.openxmlformats.org/officeDocument/2006/relationships/hyperlink" Target="http://lifesight.io" TargetMode="External"/><Relationship Id="rId131" Type="http://schemas.openxmlformats.org/officeDocument/2006/relationships/hyperlink" Target="https://www.bushnote.com/articles/best-ai-search-agency-australia" TargetMode="External"/><Relationship Id="rId1085" Type="http://schemas.openxmlformats.org/officeDocument/2006/relationships/hyperlink" Target="https://linea-analytics.com/" TargetMode="External"/><Relationship Id="rId130" Type="http://schemas.openxmlformats.org/officeDocument/2006/relationships/hyperlink" Target="http://bbe.io" TargetMode="External"/><Relationship Id="rId1086" Type="http://schemas.openxmlformats.org/officeDocument/2006/relationships/hyperlink" Target="http://linea-analytics.com" TargetMode="External"/><Relationship Id="rId1087" Type="http://schemas.openxmlformats.org/officeDocument/2006/relationships/hyperlink" Target="https://www.marshalltech.io/ai-consultant" TargetMode="External"/><Relationship Id="rId136" Type="http://schemas.openxmlformats.org/officeDocument/2006/relationships/hyperlink" Target="https://www.resolutiondigital.com.au/performance-marketing-agency/" TargetMode="External"/><Relationship Id="rId1088" Type="http://schemas.openxmlformats.org/officeDocument/2006/relationships/hyperlink" Target="http://marshalltech.io" TargetMode="External"/><Relationship Id="rId135" Type="http://schemas.openxmlformats.org/officeDocument/2006/relationships/hyperlink" Target="https://raw.studio/blog/top-10-creative-design-agencies-in-australia-in-2026/" TargetMode="External"/><Relationship Id="rId1089" Type="http://schemas.openxmlformats.org/officeDocument/2006/relationships/hyperlink" Target="https://www.mediaweek.com.au/wpp-media-tops-recma-australia-rankings-2025/" TargetMode="External"/><Relationship Id="rId134" Type="http://schemas.openxmlformats.org/officeDocument/2006/relationships/hyperlink" Target="http://designrush.com" TargetMode="External"/><Relationship Id="rId133" Type="http://schemas.openxmlformats.org/officeDocument/2006/relationships/hyperlink" Target="https://www.designrush.com/agency/creative-agencies/au" TargetMode="External"/><Relationship Id="rId172" Type="http://schemas.openxmlformats.org/officeDocument/2006/relationships/hyperlink" Target="https://vanguardian.com.au/digital-marketing-agencies-australia/" TargetMode="External"/><Relationship Id="rId171" Type="http://schemas.openxmlformats.org/officeDocument/2006/relationships/hyperlink" Target="http://tdsaustralia.com.au" TargetMode="External"/><Relationship Id="rId170" Type="http://schemas.openxmlformats.org/officeDocument/2006/relationships/hyperlink" Target="https://tdsaustralia.com.au/best-brand-design-agency-australia/?srsltid=AfmBOoqgyBP8Mx3xalA9482IFmPBsWmB_7IcuOz2wt01IXzLQd8IhP8w" TargetMode="External"/><Relationship Id="rId165" Type="http://schemas.openxmlformats.org/officeDocument/2006/relationships/hyperlink" Target="http://absolutelyai.com.au" TargetMode="External"/><Relationship Id="rId164" Type="http://schemas.openxmlformats.org/officeDocument/2006/relationships/hyperlink" Target="https://www.absolutelyai.com.au/aiagency" TargetMode="External"/><Relationship Id="rId163" Type="http://schemas.openxmlformats.org/officeDocument/2006/relationships/hyperlink" Target="http://metriclabs.com.au" TargetMode="External"/><Relationship Id="rId162" Type="http://schemas.openxmlformats.org/officeDocument/2006/relationships/hyperlink" Target="https://metriclabs.com.au/" TargetMode="External"/><Relationship Id="rId169" Type="http://schemas.openxmlformats.org/officeDocument/2006/relationships/hyperlink" Target="http://noirandblanco.com" TargetMode="External"/><Relationship Id="rId168" Type="http://schemas.openxmlformats.org/officeDocument/2006/relationships/hyperlink" Target="https://noirandblanco.com/best-digital-marketing-agencies-in-australia/" TargetMode="External"/><Relationship Id="rId167" Type="http://schemas.openxmlformats.org/officeDocument/2006/relationships/hyperlink" Target="http://clutch.co" TargetMode="External"/><Relationship Id="rId166" Type="http://schemas.openxmlformats.org/officeDocument/2006/relationships/hyperlink" Target="https://clutch.co/au/agencies/ppc/advertising-industry" TargetMode="External"/><Relationship Id="rId161" Type="http://schemas.openxmlformats.org/officeDocument/2006/relationships/hyperlink" Target="http://clickclickbangbang.com.au" TargetMode="External"/><Relationship Id="rId160" Type="http://schemas.openxmlformats.org/officeDocument/2006/relationships/hyperlink" Target="https://clickclickbangbang.com.au/google-display-advertising-companies/" TargetMode="External"/><Relationship Id="rId159" Type="http://schemas.openxmlformats.org/officeDocument/2006/relationships/hyperlink" Target="http://team400.ai" TargetMode="External"/><Relationship Id="rId154" Type="http://schemas.openxmlformats.org/officeDocument/2006/relationships/hyperlink" Target="https://metapress.com/the-6-best-australian-agencies-for-navigating-the-ai-search-era/" TargetMode="External"/><Relationship Id="rId153" Type="http://schemas.openxmlformats.org/officeDocument/2006/relationships/hyperlink" Target="http://inbeat.co" TargetMode="External"/><Relationship Id="rId152" Type="http://schemas.openxmlformats.org/officeDocument/2006/relationships/hyperlink" Target="https://www.inbeat.co/articles/top-marketing-agencies-australia/" TargetMode="External"/><Relationship Id="rId151" Type="http://schemas.openxmlformats.org/officeDocument/2006/relationships/hyperlink" Target="http://digitalagencynetwork.com" TargetMode="External"/><Relationship Id="rId158" Type="http://schemas.openxmlformats.org/officeDocument/2006/relationships/hyperlink" Target="https://team400.ai/ai-consulting-company" TargetMode="External"/><Relationship Id="rId157" Type="http://schemas.openxmlformats.org/officeDocument/2006/relationships/hyperlink" Target="http://resolutiondigital.com.au" TargetMode="External"/><Relationship Id="rId156" Type="http://schemas.openxmlformats.org/officeDocument/2006/relationships/hyperlink" Target="https://www.resolutiondigital.com.au/services/measurement/attribution/" TargetMode="External"/><Relationship Id="rId155" Type="http://schemas.openxmlformats.org/officeDocument/2006/relationships/hyperlink" Target="http://metapress.com" TargetMode="External"/><Relationship Id="rId1972" Type="http://schemas.openxmlformats.org/officeDocument/2006/relationships/hyperlink" Target="http://engineroom.com.au" TargetMode="External"/><Relationship Id="rId1973" Type="http://schemas.openxmlformats.org/officeDocument/2006/relationships/hyperlink" Target="https://estran.io/agence-geo" TargetMode="External"/><Relationship Id="rId1974" Type="http://schemas.openxmlformats.org/officeDocument/2006/relationships/hyperlink" Target="http://estran.io" TargetMode="External"/><Relationship Id="rId1975" Type="http://schemas.openxmlformats.org/officeDocument/2006/relationships/hyperlink" Target="https://www.eventbrite.com.au/blog/case-studies/loves-data-chooses-eventbrite-one-stop-shop-wide-range-events-ds1d/" TargetMode="External"/><Relationship Id="rId1976" Type="http://schemas.openxmlformats.org/officeDocument/2006/relationships/hyperlink" Target="http://eventbrite.com.au" TargetMode="External"/><Relationship Id="rId1977" Type="http://schemas.openxmlformats.org/officeDocument/2006/relationships/hyperlink" Target="https://evolvingdigital.com.au/geo-agency/" TargetMode="External"/><Relationship Id="rId1978" Type="http://schemas.openxmlformats.org/officeDocument/2006/relationships/hyperlink" Target="http://evolvingdigital.com.au" TargetMode="External"/><Relationship Id="rId1979" Type="http://schemas.openxmlformats.org/officeDocument/2006/relationships/hyperlink" Target="https://www.eykdata.com/eyk-data-incrementality" TargetMode="External"/><Relationship Id="rId1970" Type="http://schemas.openxmlformats.org/officeDocument/2006/relationships/hyperlink" Target="http://elioplus.com" TargetMode="External"/><Relationship Id="rId1971" Type="http://schemas.openxmlformats.org/officeDocument/2006/relationships/hyperlink" Target="https://www.engineroom.com.au/" TargetMode="External"/><Relationship Id="rId1961" Type="http://schemas.openxmlformats.org/officeDocument/2006/relationships/hyperlink" Target="https://edisonai.au/about" TargetMode="External"/><Relationship Id="rId1962" Type="http://schemas.openxmlformats.org/officeDocument/2006/relationships/hyperlink" Target="http://edisonai.au" TargetMode="External"/><Relationship Id="rId1963" Type="http://schemas.openxmlformats.org/officeDocument/2006/relationships/hyperlink" Target="https://edisonai.au/insights/top-ai-implementation-agencies-australia" TargetMode="External"/><Relationship Id="rId1964" Type="http://schemas.openxmlformats.org/officeDocument/2006/relationships/hyperlink" Target="http://edisonai.au" TargetMode="External"/><Relationship Id="rId1965" Type="http://schemas.openxmlformats.org/officeDocument/2006/relationships/hyperlink" Target="https://www.elephantroom.com.au/" TargetMode="External"/><Relationship Id="rId1966" Type="http://schemas.openxmlformats.org/officeDocument/2006/relationships/hyperlink" Target="http://elephantroom.com.au" TargetMode="External"/><Relationship Id="rId1967" Type="http://schemas.openxmlformats.org/officeDocument/2006/relationships/hyperlink" Target="https://elevionconsulting.com.au/ai-readiness-assessment/" TargetMode="External"/><Relationship Id="rId1968" Type="http://schemas.openxmlformats.org/officeDocument/2006/relationships/hyperlink" Target="http://elevionconsulting.com.au" TargetMode="External"/><Relationship Id="rId1969" Type="http://schemas.openxmlformats.org/officeDocument/2006/relationships/hyperlink" Target="https://elioplus.com/asia-pacific/australia/victoria/melbourne/channel-partners/google" TargetMode="External"/><Relationship Id="rId1960" Type="http://schemas.openxmlformats.org/officeDocument/2006/relationships/hyperlink" Target="http://edgeangel.co" TargetMode="External"/><Relationship Id="rId1510" Type="http://schemas.openxmlformats.org/officeDocument/2006/relationships/hyperlink" Target="https://www.youtube.com/watch?v=Mggba8bAXVU" TargetMode="External"/><Relationship Id="rId1994" Type="http://schemas.openxmlformats.org/officeDocument/2006/relationships/hyperlink" Target="http://firstpagesage.com" TargetMode="External"/><Relationship Id="rId1511" Type="http://schemas.openxmlformats.org/officeDocument/2006/relationships/hyperlink" Target="http://youtube.com" TargetMode="External"/><Relationship Id="rId1995" Type="http://schemas.openxmlformats.org/officeDocument/2006/relationships/hyperlink" Target="https://www.fisherdigital.com.au/programmatic-advertising/" TargetMode="External"/><Relationship Id="rId1512" Type="http://schemas.openxmlformats.org/officeDocument/2006/relationships/hyperlink" Target="https://zibdigital.com.au/seo-agency" TargetMode="External"/><Relationship Id="rId1996" Type="http://schemas.openxmlformats.org/officeDocument/2006/relationships/hyperlink" Target="http://fisherdigital.com.au" TargetMode="External"/><Relationship Id="rId1513" Type="http://schemas.openxmlformats.org/officeDocument/2006/relationships/hyperlink" Target="http://zibdigital.com.au" TargetMode="External"/><Relationship Id="rId1997" Type="http://schemas.openxmlformats.org/officeDocument/2006/relationships/hyperlink" Target="https://fivestones.net/" TargetMode="External"/><Relationship Id="rId1514" Type="http://schemas.openxmlformats.org/officeDocument/2006/relationships/hyperlink" Target="https://zipdo.co/service/marketing-attribution/" TargetMode="External"/><Relationship Id="rId1998" Type="http://schemas.openxmlformats.org/officeDocument/2006/relationships/hyperlink" Target="http://fivestones.net" TargetMode="External"/><Relationship Id="rId1515" Type="http://schemas.openxmlformats.org/officeDocument/2006/relationships/hyperlink" Target="http://zipdo.co" TargetMode="External"/><Relationship Id="rId1999" Type="http://schemas.openxmlformats.org/officeDocument/2006/relationships/hyperlink" Target="https://fixnhour.com/companies/social-media-marketing-agencies/australia" TargetMode="External"/><Relationship Id="rId1516" Type="http://schemas.openxmlformats.org/officeDocument/2006/relationships/hyperlink" Target="https://www.10seos.com/au/display-advertising-companies-in-australia?page=16" TargetMode="External"/><Relationship Id="rId1517" Type="http://schemas.openxmlformats.org/officeDocument/2006/relationships/hyperlink" Target="http://10seos.com" TargetMode="External"/><Relationship Id="rId1518" Type="http://schemas.openxmlformats.org/officeDocument/2006/relationships/hyperlink" Target="https://www.10seos.com/au/display-advertising-companies-in-melbourne-australia" TargetMode="External"/><Relationship Id="rId1519" Type="http://schemas.openxmlformats.org/officeDocument/2006/relationships/hyperlink" Target="http://10seos.com" TargetMode="External"/><Relationship Id="rId1990" Type="http://schemas.openxmlformats.org/officeDocument/2006/relationships/hyperlink" Target="http://firewiredigital.com.au" TargetMode="External"/><Relationship Id="rId1991" Type="http://schemas.openxmlformats.org/officeDocument/2006/relationships/hyperlink" Target="https://firstpage.com.au/ai-seo/" TargetMode="External"/><Relationship Id="rId1992" Type="http://schemas.openxmlformats.org/officeDocument/2006/relationships/hyperlink" Target="http://firstpage.com.au" TargetMode="External"/><Relationship Id="rId1993" Type="http://schemas.openxmlformats.org/officeDocument/2006/relationships/hyperlink" Target="https://firstpagesage.com/seo-blog/the-top-answer-engine-optimization-aeo-companies/" TargetMode="External"/><Relationship Id="rId1983" Type="http://schemas.openxmlformats.org/officeDocument/2006/relationships/hyperlink" Target="https://www.facebook.com/metriclabsau/" TargetMode="External"/><Relationship Id="rId1500" Type="http://schemas.openxmlformats.org/officeDocument/2006/relationships/hyperlink" Target="https://www.wsj.com/business/earnings/publicis-raises-guidance-citing-new-business-wins-ad4f0d98" TargetMode="External"/><Relationship Id="rId1984" Type="http://schemas.openxmlformats.org/officeDocument/2006/relationships/hyperlink" Target="http://facebook.com" TargetMode="External"/><Relationship Id="rId1501" Type="http://schemas.openxmlformats.org/officeDocument/2006/relationships/hyperlink" Target="http://wsj.com" TargetMode="External"/><Relationship Id="rId1985" Type="http://schemas.openxmlformats.org/officeDocument/2006/relationships/hyperlink" Target="https://www.facebook.com/sparrogram/" TargetMode="External"/><Relationship Id="rId1502" Type="http://schemas.openxmlformats.org/officeDocument/2006/relationships/hyperlink" Target="https://xpon.ai/resources/best-ai-marketing-tools-for-2025/" TargetMode="External"/><Relationship Id="rId1986" Type="http://schemas.openxmlformats.org/officeDocument/2006/relationships/hyperlink" Target="http://facebook.com" TargetMode="External"/><Relationship Id="rId1503" Type="http://schemas.openxmlformats.org/officeDocument/2006/relationships/hyperlink" Target="http://xpon.ai" TargetMode="External"/><Relationship Id="rId1987" Type="http://schemas.openxmlformats.org/officeDocument/2006/relationships/hyperlink" Target="https://fastdatascience.com/data-science-consulting/predictive-analytics-consulting/" TargetMode="External"/><Relationship Id="rId1504" Type="http://schemas.openxmlformats.org/officeDocument/2006/relationships/hyperlink" Target="https://yaanidigital.com/au/analytics-attribution" TargetMode="External"/><Relationship Id="rId1988" Type="http://schemas.openxmlformats.org/officeDocument/2006/relationships/hyperlink" Target="http://fastdatascience.com" TargetMode="External"/><Relationship Id="rId1505" Type="http://schemas.openxmlformats.org/officeDocument/2006/relationships/hyperlink" Target="http://yaanidigital.com" TargetMode="External"/><Relationship Id="rId1989" Type="http://schemas.openxmlformats.org/officeDocument/2006/relationships/hyperlink" Target="https://firewiredigital.com.au/geo-agency/" TargetMode="External"/><Relationship Id="rId1506" Type="http://schemas.openxmlformats.org/officeDocument/2006/relationships/hyperlink" Target="https://www.youfinddigital.com/blog/best-geo-agency-for-ai-search.html" TargetMode="External"/><Relationship Id="rId1507" Type="http://schemas.openxmlformats.org/officeDocument/2006/relationships/hyperlink" Target="http://youfinddigital.com" TargetMode="External"/><Relationship Id="rId1508" Type="http://schemas.openxmlformats.org/officeDocument/2006/relationships/hyperlink" Target="https://www.youtube.com/watch?v=3y6n2-qGxnE" TargetMode="External"/><Relationship Id="rId1509" Type="http://schemas.openxmlformats.org/officeDocument/2006/relationships/hyperlink" Target="http://youtube.com" TargetMode="External"/><Relationship Id="rId1980" Type="http://schemas.openxmlformats.org/officeDocument/2006/relationships/hyperlink" Target="http://eykdata.com" TargetMode="External"/><Relationship Id="rId1981" Type="http://schemas.openxmlformats.org/officeDocument/2006/relationships/hyperlink" Target="https://www.facebook.com/business/marketing-partners/business-innovation-technology-podcast/Marketing_Mix_Modeling_Utilizing_Open_Source" TargetMode="External"/><Relationship Id="rId1982" Type="http://schemas.openxmlformats.org/officeDocument/2006/relationships/hyperlink" Target="http://facebook.com" TargetMode="External"/><Relationship Id="rId1930" Type="http://schemas.openxmlformats.org/officeDocument/2006/relationships/hyperlink" Target="http://digitxl.com.au" TargetMode="External"/><Relationship Id="rId1931" Type="http://schemas.openxmlformats.org/officeDocument/2006/relationships/hyperlink" Target="https://www.digitxl.com.au/seo-melbourne/" TargetMode="External"/><Relationship Id="rId1932" Type="http://schemas.openxmlformats.org/officeDocument/2006/relationships/hyperlink" Target="http://digitxl.com.au" TargetMode="External"/><Relationship Id="rId1933" Type="http://schemas.openxmlformats.org/officeDocument/2006/relationships/hyperlink" Target="https://www.dilate.com.au/banner-advertising/" TargetMode="External"/><Relationship Id="rId1934" Type="http://schemas.openxmlformats.org/officeDocument/2006/relationships/hyperlink" Target="http://dilate.com.au" TargetMode="External"/><Relationship Id="rId1935" Type="http://schemas.openxmlformats.org/officeDocument/2006/relationships/hyperlink" Target="https://www.dilate.com.au/geo-services/" TargetMode="External"/><Relationship Id="rId1936" Type="http://schemas.openxmlformats.org/officeDocument/2006/relationships/hyperlink" Target="http://dilate.com.au" TargetMode="External"/><Relationship Id="rId1937" Type="http://schemas.openxmlformats.org/officeDocument/2006/relationships/hyperlink" Target="https://directory.esomar.org/search/%2A?from=5" TargetMode="External"/><Relationship Id="rId1938" Type="http://schemas.openxmlformats.org/officeDocument/2006/relationships/hyperlink" Target="http://esomar.org" TargetMode="External"/><Relationship Id="rId1939" Type="http://schemas.openxmlformats.org/officeDocument/2006/relationships/hyperlink" Target="https://dnmdigital.com.au/ppc-agency/display-ads/" TargetMode="External"/><Relationship Id="rId1920" Type="http://schemas.openxmlformats.org/officeDocument/2006/relationships/hyperlink" Target="http://digitalnomadshq.com.au" TargetMode="External"/><Relationship Id="rId1921" Type="http://schemas.openxmlformats.org/officeDocument/2006/relationships/hyperlink" Target="https://digitalnomadshq.com.au/blog/pr-firms/" TargetMode="External"/><Relationship Id="rId1922" Type="http://schemas.openxmlformats.org/officeDocument/2006/relationships/hyperlink" Target="http://digitalnomadshq.com.au" TargetMode="External"/><Relationship Id="rId1923" Type="http://schemas.openxmlformats.org/officeDocument/2006/relationships/hyperlink" Target="https://digitalnomadshq.com.au/blog/social-media-companies/" TargetMode="External"/><Relationship Id="rId1924" Type="http://schemas.openxmlformats.org/officeDocument/2006/relationships/hyperlink" Target="http://digitalnomadshq.com.au" TargetMode="External"/><Relationship Id="rId1925" Type="http://schemas.openxmlformats.org/officeDocument/2006/relationships/hyperlink" Target="https://www.digitxl.com.au/analytics-agency/" TargetMode="External"/><Relationship Id="rId1926" Type="http://schemas.openxmlformats.org/officeDocument/2006/relationships/hyperlink" Target="http://digitxl.com.au" TargetMode="External"/><Relationship Id="rId1927" Type="http://schemas.openxmlformats.org/officeDocument/2006/relationships/hyperlink" Target="https://www.digitxl.com.au/conversion-rate-optimisation-brisbane/" TargetMode="External"/><Relationship Id="rId1928" Type="http://schemas.openxmlformats.org/officeDocument/2006/relationships/hyperlink" Target="http://digitxl.com.au" TargetMode="External"/><Relationship Id="rId1929" Type="http://schemas.openxmlformats.org/officeDocument/2006/relationships/hyperlink" Target="https://www.digitxl.com.au/google-marketing-consultant/" TargetMode="External"/><Relationship Id="rId1950" Type="http://schemas.openxmlformats.org/officeDocument/2006/relationships/hyperlink" Target="http://earnedmedia.com.au" TargetMode="External"/><Relationship Id="rId1951" Type="http://schemas.openxmlformats.org/officeDocument/2006/relationships/hyperlink" Target="https://ebiquity.com/solutions/grow/testmatch/" TargetMode="External"/><Relationship Id="rId1952" Type="http://schemas.openxmlformats.org/officeDocument/2006/relationships/hyperlink" Target="http://ebiquity.com" TargetMode="External"/><Relationship Id="rId1953" Type="http://schemas.openxmlformats.org/officeDocument/2006/relationships/hyperlink" Target="https://ecosystem.hubspot.com/marketplace/solutions/paid-advertising/consulting-advisory/australia" TargetMode="External"/><Relationship Id="rId1954" Type="http://schemas.openxmlformats.org/officeDocument/2006/relationships/hyperlink" Target="http://hubspot.com" TargetMode="External"/><Relationship Id="rId1955" Type="http://schemas.openxmlformats.org/officeDocument/2006/relationships/hyperlink" Target="https://ecosystem.hubspot.com/marketplace/solutions/paid-advertising/non-profit/australia" TargetMode="External"/><Relationship Id="rId1956" Type="http://schemas.openxmlformats.org/officeDocument/2006/relationships/hyperlink" Target="http://hubspot.com" TargetMode="External"/><Relationship Id="rId1957" Type="http://schemas.openxmlformats.org/officeDocument/2006/relationships/hyperlink" Target="https://edgeangel.co/en/marketing-activation/advanced-media-measurement" TargetMode="External"/><Relationship Id="rId1958" Type="http://schemas.openxmlformats.org/officeDocument/2006/relationships/hyperlink" Target="http://edgeangel.co" TargetMode="External"/><Relationship Id="rId1959" Type="http://schemas.openxmlformats.org/officeDocument/2006/relationships/hyperlink" Target="https://edgeangel.co/marketing-activation/advanced-media-measurement" TargetMode="External"/><Relationship Id="rId1940" Type="http://schemas.openxmlformats.org/officeDocument/2006/relationships/hyperlink" Target="http://dnmdigital.com.au" TargetMode="External"/><Relationship Id="rId1941" Type="http://schemas.openxmlformats.org/officeDocument/2006/relationships/hyperlink" Target="https://www.douglaspartners.com.au/" TargetMode="External"/><Relationship Id="rId1942" Type="http://schemas.openxmlformats.org/officeDocument/2006/relationships/hyperlink" Target="http://douglaspartners.com.au" TargetMode="External"/><Relationship Id="rId1943" Type="http://schemas.openxmlformats.org/officeDocument/2006/relationships/hyperlink" Target="https://www.douglaspartners.com.au/expertise/geotechnical/" TargetMode="External"/><Relationship Id="rId1944" Type="http://schemas.openxmlformats.org/officeDocument/2006/relationships/hyperlink" Target="http://douglaspartners.com.au" TargetMode="External"/><Relationship Id="rId1945" Type="http://schemas.openxmlformats.org/officeDocument/2006/relationships/hyperlink" Target="https://www.drakecontent.com.au/services/instagram-ads" TargetMode="External"/><Relationship Id="rId1946" Type="http://schemas.openxmlformats.org/officeDocument/2006/relationships/hyperlink" Target="http://drakecontent.com.au" TargetMode="External"/><Relationship Id="rId1947" Type="http://schemas.openxmlformats.org/officeDocument/2006/relationships/hyperlink" Target="https://dreamdata.io/incrementality-b2b-marketing" TargetMode="External"/><Relationship Id="rId1948" Type="http://schemas.openxmlformats.org/officeDocument/2006/relationships/hyperlink" Target="http://dreamdata.io" TargetMode="External"/><Relationship Id="rId1949" Type="http://schemas.openxmlformats.org/officeDocument/2006/relationships/hyperlink" Target="https://www.earnedmedia.com.au/services/ai-seo-agency" TargetMode="External"/><Relationship Id="rId1576" Type="http://schemas.openxmlformats.org/officeDocument/2006/relationships/hyperlink" Target="https://agencies.semrush.com/list/display-advertising/canberra/" TargetMode="External"/><Relationship Id="rId2423" Type="http://schemas.openxmlformats.org/officeDocument/2006/relationships/hyperlink" Target="https://www.reddit.com/r/AskMarketing/comments/1r6neq7/i_run_one_of_australias_top_20_digital_agencies/" TargetMode="External"/><Relationship Id="rId1577" Type="http://schemas.openxmlformats.org/officeDocument/2006/relationships/hyperlink" Target="http://semrush.com" TargetMode="External"/><Relationship Id="rId2424" Type="http://schemas.openxmlformats.org/officeDocument/2006/relationships/hyperlink" Target="http://reddit.com" TargetMode="External"/><Relationship Id="rId1578" Type="http://schemas.openxmlformats.org/officeDocument/2006/relationships/hyperlink" Target="https://agencies.semrush.com/list/enterprise-business/australia/" TargetMode="External"/><Relationship Id="rId2425" Type="http://schemas.openxmlformats.org/officeDocument/2006/relationships/hyperlink" Target="https://www.reddit.com/r/BestInAustralia/comments/1pun446/7_best_seo_agencies_in_melbourne_2026_guide/" TargetMode="External"/><Relationship Id="rId1579" Type="http://schemas.openxmlformats.org/officeDocument/2006/relationships/hyperlink" Target="http://semrush.com" TargetMode="External"/><Relationship Id="rId2426" Type="http://schemas.openxmlformats.org/officeDocument/2006/relationships/hyperlink" Target="http://reddit.com" TargetMode="External"/><Relationship Id="rId2427" Type="http://schemas.openxmlformats.org/officeDocument/2006/relationships/hyperlink" Target="https://www.reddit.com/r/BestInAustralia/comments/1s8fbyv/best_seo_company_in_melbourne_april_2026/" TargetMode="External"/><Relationship Id="rId2428" Type="http://schemas.openxmlformats.org/officeDocument/2006/relationships/hyperlink" Target="http://reddit.com" TargetMode="External"/><Relationship Id="rId2429" Type="http://schemas.openxmlformats.org/officeDocument/2006/relationships/hyperlink" Target="https://www.reddit.com/r/BestInAustralia/comments/1tghlmb/5_best_seo_agencies_in_southbank_2026/" TargetMode="External"/><Relationship Id="rId509" Type="http://schemas.openxmlformats.org/officeDocument/2006/relationships/hyperlink" Target="https://source-digital.com.au/aeo-australia" TargetMode="External"/><Relationship Id="rId508" Type="http://schemas.openxmlformats.org/officeDocument/2006/relationships/hyperlink" Target="http://soupagency.com.au" TargetMode="External"/><Relationship Id="rId503" Type="http://schemas.openxmlformats.org/officeDocument/2006/relationships/hyperlink" Target="https://rocketagency.com.au/services/seo-agency/geo" TargetMode="External"/><Relationship Id="rId987" Type="http://schemas.openxmlformats.org/officeDocument/2006/relationships/hyperlink" Target="http://semrush.com" TargetMode="External"/><Relationship Id="rId502" Type="http://schemas.openxmlformats.org/officeDocument/2006/relationships/hyperlink" Target="http://rocketagency.com.au" TargetMode="External"/><Relationship Id="rId986" Type="http://schemas.openxmlformats.org/officeDocument/2006/relationships/hyperlink" Target="https://agencies.semrush.com/list/analytics-data-science/information-technology/australia/" TargetMode="External"/><Relationship Id="rId501" Type="http://schemas.openxmlformats.org/officeDocument/2006/relationships/hyperlink" Target="https://rocketagency.com.au/services/seo-agency/generative-ai-seo" TargetMode="External"/><Relationship Id="rId985" Type="http://schemas.openxmlformats.org/officeDocument/2006/relationships/hyperlink" Target="http://advisible.com.au" TargetMode="External"/><Relationship Id="rId500" Type="http://schemas.openxmlformats.org/officeDocument/2006/relationships/hyperlink" Target="http://reddit.com" TargetMode="External"/><Relationship Id="rId984" Type="http://schemas.openxmlformats.org/officeDocument/2006/relationships/hyperlink" Target="https://advisible.com.au/google-premier-partner-what-it-means/" TargetMode="External"/><Relationship Id="rId507" Type="http://schemas.openxmlformats.org/officeDocument/2006/relationships/hyperlink" Target="https://soupagency.com.au/blog/top-digital-marketing-agencies/" TargetMode="External"/><Relationship Id="rId506" Type="http://schemas.openxmlformats.org/officeDocument/2006/relationships/hyperlink" Target="http://sortlist.com" TargetMode="External"/><Relationship Id="rId505" Type="http://schemas.openxmlformats.org/officeDocument/2006/relationships/hyperlink" Target="https://www.sortlist.com/s/performance-marketing/sydney-au" TargetMode="External"/><Relationship Id="rId989" Type="http://schemas.openxmlformats.org/officeDocument/2006/relationships/hyperlink" Target="http://semrush.com" TargetMode="External"/><Relationship Id="rId504" Type="http://schemas.openxmlformats.org/officeDocument/2006/relationships/hyperlink" Target="http://rocketagency.com.au" TargetMode="External"/><Relationship Id="rId988" Type="http://schemas.openxmlformats.org/officeDocument/2006/relationships/hyperlink" Target="https://agencies.semrush.com/list/display-advertising/australia/enterprise-business/" TargetMode="External"/><Relationship Id="rId1570" Type="http://schemas.openxmlformats.org/officeDocument/2006/relationships/hyperlink" Target="https://agencies.semrush.com/list/analytics-data-science/arts-entertainment/australia/" TargetMode="External"/><Relationship Id="rId1571" Type="http://schemas.openxmlformats.org/officeDocument/2006/relationships/hyperlink" Target="http://semrush.com" TargetMode="External"/><Relationship Id="rId983" Type="http://schemas.openxmlformats.org/officeDocument/2006/relationships/hyperlink" Target="http://advancer.com.au" TargetMode="External"/><Relationship Id="rId1572" Type="http://schemas.openxmlformats.org/officeDocument/2006/relationships/hyperlink" Target="https://agencies.semrush.com/list/analytics-data-science/sydney/" TargetMode="External"/><Relationship Id="rId982" Type="http://schemas.openxmlformats.org/officeDocument/2006/relationships/hyperlink" Target="https://www.advancer.com.au/" TargetMode="External"/><Relationship Id="rId1573" Type="http://schemas.openxmlformats.org/officeDocument/2006/relationships/hyperlink" Target="http://semrush.com" TargetMode="External"/><Relationship Id="rId2420" Type="http://schemas.openxmlformats.org/officeDocument/2006/relationships/hyperlink" Target="http://razorfish.com.au" TargetMode="External"/><Relationship Id="rId981" Type="http://schemas.openxmlformats.org/officeDocument/2006/relationships/hyperlink" Target="http://adopsandadtech.com.au" TargetMode="External"/><Relationship Id="rId1574" Type="http://schemas.openxmlformats.org/officeDocument/2006/relationships/hyperlink" Target="https://agencies.semrush.com/list/display-advertising/business-professional-services/australia/" TargetMode="External"/><Relationship Id="rId2421" Type="http://schemas.openxmlformats.org/officeDocument/2006/relationships/hyperlink" Target="https://www.reddit.com/r/AIConsultingAustralia/comments/1r3gb5b/who_are_the_top_ai_consulting_companies_in/" TargetMode="External"/><Relationship Id="rId980" Type="http://schemas.openxmlformats.org/officeDocument/2006/relationships/hyperlink" Target="https://www.adopsandadtech.com.au/google-partner" TargetMode="External"/><Relationship Id="rId1575" Type="http://schemas.openxmlformats.org/officeDocument/2006/relationships/hyperlink" Target="http://semrush.com" TargetMode="External"/><Relationship Id="rId2422" Type="http://schemas.openxmlformats.org/officeDocument/2006/relationships/hyperlink" Target="http://reddit.com" TargetMode="External"/><Relationship Id="rId1565" Type="http://schemas.openxmlformats.org/officeDocument/2006/relationships/hyperlink" Target="http://semrush.com" TargetMode="External"/><Relationship Id="rId2412" Type="http://schemas.openxmlformats.org/officeDocument/2006/relationships/hyperlink" Target="http://provokemedia.com" TargetMode="External"/><Relationship Id="rId1566" Type="http://schemas.openxmlformats.org/officeDocument/2006/relationships/hyperlink" Target="https://agencies.semrush.com/list/ai-optimization/australia/enterprise-business/" TargetMode="External"/><Relationship Id="rId2413" Type="http://schemas.openxmlformats.org/officeDocument/2006/relationships/hyperlink" Target="https://purealanalytics.co.uk/" TargetMode="External"/><Relationship Id="rId1567" Type="http://schemas.openxmlformats.org/officeDocument/2006/relationships/hyperlink" Target="http://semrush.com" TargetMode="External"/><Relationship Id="rId2414" Type="http://schemas.openxmlformats.org/officeDocument/2006/relationships/hyperlink" Target="http://purealanalytics.co.uk" TargetMode="External"/><Relationship Id="rId1568" Type="http://schemas.openxmlformats.org/officeDocument/2006/relationships/hyperlink" Target="https://agencies.semrush.com/list/ai-optimization/melbourne/" TargetMode="External"/><Relationship Id="rId2415" Type="http://schemas.openxmlformats.org/officeDocument/2006/relationships/hyperlink" Target="https://puroai.com.au/" TargetMode="External"/><Relationship Id="rId1569" Type="http://schemas.openxmlformats.org/officeDocument/2006/relationships/hyperlink" Target="http://semrush.com" TargetMode="External"/><Relationship Id="rId2416" Type="http://schemas.openxmlformats.org/officeDocument/2006/relationships/hyperlink" Target="http://puroai.com.au" TargetMode="External"/><Relationship Id="rId2417" Type="http://schemas.openxmlformats.org/officeDocument/2006/relationships/hyperlink" Target="https://rapidmedia.com.au/market-research/" TargetMode="External"/><Relationship Id="rId2418" Type="http://schemas.openxmlformats.org/officeDocument/2006/relationships/hyperlink" Target="http://rapidmedia.com.au" TargetMode="External"/><Relationship Id="rId2419" Type="http://schemas.openxmlformats.org/officeDocument/2006/relationships/hyperlink" Target="https://www.razorfish.com.au/work" TargetMode="External"/><Relationship Id="rId976" Type="http://schemas.openxmlformats.org/officeDocument/2006/relationships/hyperlink" Target="https://www.adaptad.com.au/" TargetMode="External"/><Relationship Id="rId975" Type="http://schemas.openxmlformats.org/officeDocument/2006/relationships/hyperlink" Target="http://acam.ai" TargetMode="External"/><Relationship Id="rId974" Type="http://schemas.openxmlformats.org/officeDocument/2006/relationships/hyperlink" Target="https://www.acam.ai/" TargetMode="External"/><Relationship Id="rId973" Type="http://schemas.openxmlformats.org/officeDocument/2006/relationships/hyperlink" Target="http://50pros.com" TargetMode="External"/><Relationship Id="rId979" Type="http://schemas.openxmlformats.org/officeDocument/2006/relationships/hyperlink" Target="http://admatic.com" TargetMode="External"/><Relationship Id="rId978" Type="http://schemas.openxmlformats.org/officeDocument/2006/relationships/hyperlink" Target="https://admatic.com/lp/marketing-agency/melbourne" TargetMode="External"/><Relationship Id="rId977" Type="http://schemas.openxmlformats.org/officeDocument/2006/relationships/hyperlink" Target="http://adaptad.com.au" TargetMode="External"/><Relationship Id="rId1560" Type="http://schemas.openxmlformats.org/officeDocument/2006/relationships/hyperlink" Target="https://www.advancer.com.au/ai-consultants-brisbane" TargetMode="External"/><Relationship Id="rId972" Type="http://schemas.openxmlformats.org/officeDocument/2006/relationships/hyperlink" Target="https://www.50pros.com/hire/digital-marketing/marketing-attribution" TargetMode="External"/><Relationship Id="rId1561" Type="http://schemas.openxmlformats.org/officeDocument/2006/relationships/hyperlink" Target="http://advancer.com.au" TargetMode="External"/><Relationship Id="rId971" Type="http://schemas.openxmlformats.org/officeDocument/2006/relationships/hyperlink" Target="http://3pdigital.com.au" TargetMode="External"/><Relationship Id="rId1562" Type="http://schemas.openxmlformats.org/officeDocument/2006/relationships/hyperlink" Target="https://advertisingcouncil.org.au/news/vml-wins-australian-agency-of-the-year-title-at-spikes-asia-2026-vml-droga5-anz-and-leo-secure-one-grand-prix-each/" TargetMode="External"/><Relationship Id="rId970" Type="http://schemas.openxmlformats.org/officeDocument/2006/relationships/hyperlink" Target="https://3pdigital.com.au/blog/paid-media-agency-australia-what-to-look-for-and-how-to-choose" TargetMode="External"/><Relationship Id="rId1563" Type="http://schemas.openxmlformats.org/officeDocument/2006/relationships/hyperlink" Target="http://advertisingcouncil.org.au" TargetMode="External"/><Relationship Id="rId2410" Type="http://schemas.openxmlformats.org/officeDocument/2006/relationships/hyperlink" Target="http://prosperitymedia.com.au" TargetMode="External"/><Relationship Id="rId1564" Type="http://schemas.openxmlformats.org/officeDocument/2006/relationships/hyperlink" Target="https://agencies.semrush.com/list/advertising/australia/mid-business/" TargetMode="External"/><Relationship Id="rId2411" Type="http://schemas.openxmlformats.org/officeDocument/2006/relationships/hyperlink" Target="https://www.provokemedia.com/events-awards/agencies-of-the-year/the-best-agencies-in-asia-pacific-2025/the-14-best-agencies-in-australia-and-new-zealand/ogilvy-australia" TargetMode="External"/><Relationship Id="rId1114" Type="http://schemas.openxmlformats.org/officeDocument/2006/relationships/hyperlink" Target="http://primedaiconsulting.com" TargetMode="External"/><Relationship Id="rId1598" Type="http://schemas.openxmlformats.org/officeDocument/2006/relationships/hyperlink" Target="https://agencyvista.com/lists/google-marketing-platform-sales-partners/" TargetMode="External"/><Relationship Id="rId2445" Type="http://schemas.openxmlformats.org/officeDocument/2006/relationships/hyperlink" Target="https://www.reloadmedia.com.au/performance/advertising/" TargetMode="External"/><Relationship Id="rId1115" Type="http://schemas.openxmlformats.org/officeDocument/2006/relationships/hyperlink" Target="https://prwire.com.au/pr/127124/rankingco-rises-into-australia-s-top-3-of-google-partners-as-a-2026-premier-partner" TargetMode="External"/><Relationship Id="rId1599" Type="http://schemas.openxmlformats.org/officeDocument/2006/relationships/hyperlink" Target="http://agencyvista.com" TargetMode="External"/><Relationship Id="rId2446" Type="http://schemas.openxmlformats.org/officeDocument/2006/relationships/hyperlink" Target="http://reloadmedia.com.au" TargetMode="External"/><Relationship Id="rId1116" Type="http://schemas.openxmlformats.org/officeDocument/2006/relationships/hyperlink" Target="http://prwire.com.au" TargetMode="External"/><Relationship Id="rId2447" Type="http://schemas.openxmlformats.org/officeDocument/2006/relationships/hyperlink" Target="https://www.resolutiondigital.com.au/about/" TargetMode="External"/><Relationship Id="rId1117" Type="http://schemas.openxmlformats.org/officeDocument/2006/relationships/hyperlink" Target="https://pwd.com.au/blog/best-digital-marketing-company-perth/" TargetMode="External"/><Relationship Id="rId2448" Type="http://schemas.openxmlformats.org/officeDocument/2006/relationships/hyperlink" Target="http://resolutiondigital.com.au" TargetMode="External"/><Relationship Id="rId1118" Type="http://schemas.openxmlformats.org/officeDocument/2006/relationships/hyperlink" Target="http://pwd.com.au" TargetMode="External"/><Relationship Id="rId2449" Type="http://schemas.openxmlformats.org/officeDocument/2006/relationships/hyperlink" Target="https://www.resolutiondigital.com.au/insights/omnicom-media-group-launches-trkkn-in-anz/" TargetMode="External"/><Relationship Id="rId1119" Type="http://schemas.openxmlformats.org/officeDocument/2006/relationships/hyperlink" Target="https://www.reddit.com/r/adtech/comments/1u5mwrq/measurement_source_of_truth/" TargetMode="External"/><Relationship Id="rId525" Type="http://schemas.openxmlformats.org/officeDocument/2006/relationships/hyperlink" Target="http://bconic.com" TargetMode="External"/><Relationship Id="rId524" Type="http://schemas.openxmlformats.org/officeDocument/2006/relationships/hyperlink" Target="https://bconic.com/" TargetMode="External"/><Relationship Id="rId523" Type="http://schemas.openxmlformats.org/officeDocument/2006/relationships/hyperlink" Target="http://semrush.com" TargetMode="External"/><Relationship Id="rId522" Type="http://schemas.openxmlformats.org/officeDocument/2006/relationships/hyperlink" Target="https://agencies.semrush.com/list/analytics-data-science/australia/small-business/" TargetMode="External"/><Relationship Id="rId529" Type="http://schemas.openxmlformats.org/officeDocument/2006/relationships/hyperlink" Target="http://bluesensedigital.com.au" TargetMode="External"/><Relationship Id="rId528" Type="http://schemas.openxmlformats.org/officeDocument/2006/relationships/hyperlink" Target="https://www.bluesensedigital.com.au/" TargetMode="External"/><Relationship Id="rId527" Type="http://schemas.openxmlformats.org/officeDocument/2006/relationships/hyperlink" Target="http://bluemoonmarketing.com.au" TargetMode="External"/><Relationship Id="rId526" Type="http://schemas.openxmlformats.org/officeDocument/2006/relationships/hyperlink" Target="https://bluemoonmarketing.com.au/best-aeo-agency-in-australia/" TargetMode="External"/><Relationship Id="rId1590" Type="http://schemas.openxmlformats.org/officeDocument/2006/relationships/hyperlink" Target="https://agencies.semrush.com/list/programmatic-advertising/ecommerce/australia/" TargetMode="External"/><Relationship Id="rId1591" Type="http://schemas.openxmlformats.org/officeDocument/2006/relationships/hyperlink" Target="http://semrush.com" TargetMode="External"/><Relationship Id="rId1592" Type="http://schemas.openxmlformats.org/officeDocument/2006/relationships/hyperlink" Target="https://agencies.semrush.com/list/programmatic-advertising/sydney/" TargetMode="External"/><Relationship Id="rId1593" Type="http://schemas.openxmlformats.org/officeDocument/2006/relationships/hyperlink" Target="http://semrush.com" TargetMode="External"/><Relationship Id="rId2440" Type="http://schemas.openxmlformats.org/officeDocument/2006/relationships/hyperlink" Target="http://reddit.com" TargetMode="External"/><Relationship Id="rId521" Type="http://schemas.openxmlformats.org/officeDocument/2006/relationships/hyperlink" Target="http://uprisedigital.com.au" TargetMode="External"/><Relationship Id="rId1110" Type="http://schemas.openxmlformats.org/officeDocument/2006/relationships/hyperlink" Target="http://paisdigital.com.au" TargetMode="External"/><Relationship Id="rId1594" Type="http://schemas.openxmlformats.org/officeDocument/2006/relationships/hyperlink" Target="https://agencies.semrush.com/list/search-engine-marketing/australia/" TargetMode="External"/><Relationship Id="rId2441" Type="http://schemas.openxmlformats.org/officeDocument/2006/relationships/hyperlink" Target="https://reformdigital.com.au/services/social-media-advertising/instagram-ads/" TargetMode="External"/><Relationship Id="rId520" Type="http://schemas.openxmlformats.org/officeDocument/2006/relationships/hyperlink" Target="https://uprisedigital.com.au/blog/best-google-ads-agencies-sydney/" TargetMode="External"/><Relationship Id="rId1111" Type="http://schemas.openxmlformats.org/officeDocument/2006/relationships/hyperlink" Target="https://performancemarketer.com.au/" TargetMode="External"/><Relationship Id="rId1595" Type="http://schemas.openxmlformats.org/officeDocument/2006/relationships/hyperlink" Target="http://semrush.com" TargetMode="External"/><Relationship Id="rId2442" Type="http://schemas.openxmlformats.org/officeDocument/2006/relationships/hyperlink" Target="http://reformdigital.com.au" TargetMode="External"/><Relationship Id="rId1112" Type="http://schemas.openxmlformats.org/officeDocument/2006/relationships/hyperlink" Target="http://performancemarketer.com.au" TargetMode="External"/><Relationship Id="rId1596" Type="http://schemas.openxmlformats.org/officeDocument/2006/relationships/hyperlink" Target="https://agencies.semrush.com/list/smm/australia/small-business/" TargetMode="External"/><Relationship Id="rId2443" Type="http://schemas.openxmlformats.org/officeDocument/2006/relationships/hyperlink" Target="https://www.reloadmedia.com.au/contact/" TargetMode="External"/><Relationship Id="rId1113" Type="http://schemas.openxmlformats.org/officeDocument/2006/relationships/hyperlink" Target="https://primedaiconsulting.com/" TargetMode="External"/><Relationship Id="rId1597" Type="http://schemas.openxmlformats.org/officeDocument/2006/relationships/hyperlink" Target="http://semrush.com" TargetMode="External"/><Relationship Id="rId2444" Type="http://schemas.openxmlformats.org/officeDocument/2006/relationships/hyperlink" Target="http://reloadmedia.com.au" TargetMode="External"/><Relationship Id="rId1103" Type="http://schemas.openxmlformats.org/officeDocument/2006/relationships/hyperlink" Target="https://www.ocmsolution.com/digital-agencies-in-sydney/" TargetMode="External"/><Relationship Id="rId1587" Type="http://schemas.openxmlformats.org/officeDocument/2006/relationships/hyperlink" Target="http://semrush.com" TargetMode="External"/><Relationship Id="rId2434" Type="http://schemas.openxmlformats.org/officeDocument/2006/relationships/hyperlink" Target="http://reddit.com" TargetMode="External"/><Relationship Id="rId1104" Type="http://schemas.openxmlformats.org/officeDocument/2006/relationships/hyperlink" Target="http://ocmsolution.com" TargetMode="External"/><Relationship Id="rId1588" Type="http://schemas.openxmlformats.org/officeDocument/2006/relationships/hyperlink" Target="https://agencies.semrush.com/list/programmatic-advertising/australia/small-business/" TargetMode="External"/><Relationship Id="rId2435" Type="http://schemas.openxmlformats.org/officeDocument/2006/relationships/hyperlink" Target="https://www.reddit.com/r/LLMTraffic/comments/1t44tn7/which_geo_marketing_agencies_are_actually_worth/" TargetMode="External"/><Relationship Id="rId1105" Type="http://schemas.openxmlformats.org/officeDocument/2006/relationships/hyperlink" Target="https://onpoint.com.au/media-buying-agency-melbourne" TargetMode="External"/><Relationship Id="rId1589" Type="http://schemas.openxmlformats.org/officeDocument/2006/relationships/hyperlink" Target="http://semrush.com" TargetMode="External"/><Relationship Id="rId2436" Type="http://schemas.openxmlformats.org/officeDocument/2006/relationships/hyperlink" Target="http://reddit.com" TargetMode="External"/><Relationship Id="rId1106" Type="http://schemas.openxmlformats.org/officeDocument/2006/relationships/hyperlink" Target="http://onpoint.com.au" TargetMode="External"/><Relationship Id="rId2437" Type="http://schemas.openxmlformats.org/officeDocument/2006/relationships/hyperlink" Target="https://www.reddit.com/r/MktgSupermarket/comments/1qom30j/compiled_a_directory_of_25_ai_marketing_agencies/" TargetMode="External"/><Relationship Id="rId1107" Type="http://schemas.openxmlformats.org/officeDocument/2006/relationships/hyperlink" Target="https://outgrow.co/blog/advertising-agencies-australia" TargetMode="External"/><Relationship Id="rId2438" Type="http://schemas.openxmlformats.org/officeDocument/2006/relationships/hyperlink" Target="http://reddit.com" TargetMode="External"/><Relationship Id="rId1108" Type="http://schemas.openxmlformats.org/officeDocument/2006/relationships/hyperlink" Target="http://outgrow.co" TargetMode="External"/><Relationship Id="rId2439" Type="http://schemas.openxmlformats.org/officeDocument/2006/relationships/hyperlink" Target="https://www.reddit.com/r/advertising/comments/1d5ypn3" TargetMode="External"/><Relationship Id="rId1109" Type="http://schemas.openxmlformats.org/officeDocument/2006/relationships/hyperlink" Target="https://www.paisdigital.com.au/" TargetMode="External"/><Relationship Id="rId519" Type="http://schemas.openxmlformats.org/officeDocument/2006/relationships/hyperlink" Target="http://upliftgtm.com" TargetMode="External"/><Relationship Id="rId514" Type="http://schemas.openxmlformats.org/officeDocument/2006/relationships/hyperlink" Target="https://www.teamlewis.com/au/data-analytics-agency/" TargetMode="External"/><Relationship Id="rId998" Type="http://schemas.openxmlformats.org/officeDocument/2006/relationships/hyperlink" Target="https://aivy.com.au/resources/best-ai-search-engine-optimisation-tools-australia/" TargetMode="External"/><Relationship Id="rId513" Type="http://schemas.openxmlformats.org/officeDocument/2006/relationships/hyperlink" Target="http://google.com" TargetMode="External"/><Relationship Id="rId997" Type="http://schemas.openxmlformats.org/officeDocument/2006/relationships/hyperlink" Target="http://aivy.com.au" TargetMode="External"/><Relationship Id="rId512" Type="http://schemas.openxmlformats.org/officeDocument/2006/relationships/hyperlink" Target="https://support.google.com/analytics/answer/7237700?hl=en" TargetMode="External"/><Relationship Id="rId996" Type="http://schemas.openxmlformats.org/officeDocument/2006/relationships/hyperlink" Target="https://aivy.com.au/resources/best-ai-marketing-tools-australia/" TargetMode="External"/><Relationship Id="rId511" Type="http://schemas.openxmlformats.org/officeDocument/2006/relationships/hyperlink" Target="https://submerge.digital/measurement/marketing-attribution-agency/" TargetMode="External"/><Relationship Id="rId995" Type="http://schemas.openxmlformats.org/officeDocument/2006/relationships/hyperlink" Target="http://agoraagency.com.au" TargetMode="External"/><Relationship Id="rId518" Type="http://schemas.openxmlformats.org/officeDocument/2006/relationships/hyperlink" Target="https://www.upliftgtm.com/blog/best-aeo-agencies" TargetMode="External"/><Relationship Id="rId517" Type="http://schemas.openxmlformats.org/officeDocument/2006/relationships/hyperlink" Target="http://theredrepublic.com" TargetMode="External"/><Relationship Id="rId516" Type="http://schemas.openxmlformats.org/officeDocument/2006/relationships/hyperlink" Target="https://theredrepublic.com/top-10-best-advertising-agencies-leading-australia-2025/" TargetMode="External"/><Relationship Id="rId515" Type="http://schemas.openxmlformats.org/officeDocument/2006/relationships/hyperlink" Target="http://teamlewis.com" TargetMode="External"/><Relationship Id="rId999" Type="http://schemas.openxmlformats.org/officeDocument/2006/relationships/hyperlink" Target="http://aivy.com.au" TargetMode="External"/><Relationship Id="rId990" Type="http://schemas.openxmlformats.org/officeDocument/2006/relationships/hyperlink" Target="https://agencies.semrush.com/list/display-advertising/melbourne/" TargetMode="External"/><Relationship Id="rId1580" Type="http://schemas.openxmlformats.org/officeDocument/2006/relationships/hyperlink" Target="https://agencies.semrush.com/list/market-analysis/australia/" TargetMode="External"/><Relationship Id="rId1581" Type="http://schemas.openxmlformats.org/officeDocument/2006/relationships/hyperlink" Target="http://semrush.com" TargetMode="External"/><Relationship Id="rId1582" Type="http://schemas.openxmlformats.org/officeDocument/2006/relationships/hyperlink" Target="https://agencies.semrush.com/list/ppc/brisbane/" TargetMode="External"/><Relationship Id="rId510" Type="http://schemas.openxmlformats.org/officeDocument/2006/relationships/hyperlink" Target="http://source-digital.com.au" TargetMode="External"/><Relationship Id="rId994" Type="http://schemas.openxmlformats.org/officeDocument/2006/relationships/hyperlink" Target="https://agoraagency.com.au/performance-marketing" TargetMode="External"/><Relationship Id="rId1583" Type="http://schemas.openxmlformats.org/officeDocument/2006/relationships/hyperlink" Target="http://semrush.com" TargetMode="External"/><Relationship Id="rId2430" Type="http://schemas.openxmlformats.org/officeDocument/2006/relationships/hyperlink" Target="http://reddit.com" TargetMode="External"/><Relationship Id="rId993" Type="http://schemas.openxmlformats.org/officeDocument/2006/relationships/hyperlink" Target="http://semrush.com" TargetMode="External"/><Relationship Id="rId1100" Type="http://schemas.openxmlformats.org/officeDocument/2006/relationships/hyperlink" Target="http://nexit.com.au" TargetMode="External"/><Relationship Id="rId1584" Type="http://schemas.openxmlformats.org/officeDocument/2006/relationships/hyperlink" Target="https://agencies.semrush.com/list/ppc/melbourne/" TargetMode="External"/><Relationship Id="rId2431" Type="http://schemas.openxmlformats.org/officeDocument/2006/relationships/hyperlink" Target="https://www.reddit.com/r/DigitalMarketing/comments/1pd7lti/can_someone_explain_geo_and_aeo_in_a_simple_way/" TargetMode="External"/><Relationship Id="rId992" Type="http://schemas.openxmlformats.org/officeDocument/2006/relationships/hyperlink" Target="https://agencies.semrush.com/list/ppc/arts-entertainment/australia/" TargetMode="External"/><Relationship Id="rId1101" Type="http://schemas.openxmlformats.org/officeDocument/2006/relationships/hyperlink" Target="https://niftymarketing.com.au/services/answer-engine-optimisation-services/" TargetMode="External"/><Relationship Id="rId1585" Type="http://schemas.openxmlformats.org/officeDocument/2006/relationships/hyperlink" Target="http://semrush.com" TargetMode="External"/><Relationship Id="rId2432" Type="http://schemas.openxmlformats.org/officeDocument/2006/relationships/hyperlink" Target="http://reddit.com" TargetMode="External"/><Relationship Id="rId991" Type="http://schemas.openxmlformats.org/officeDocument/2006/relationships/hyperlink" Target="http://semrush.com" TargetMode="External"/><Relationship Id="rId1102" Type="http://schemas.openxmlformats.org/officeDocument/2006/relationships/hyperlink" Target="http://niftymarketing.com.au" TargetMode="External"/><Relationship Id="rId1586" Type="http://schemas.openxmlformats.org/officeDocument/2006/relationships/hyperlink" Target="https://agencies.semrush.com/list/programmatic-advertising/australia/mid-business/" TargetMode="External"/><Relationship Id="rId2433" Type="http://schemas.openxmlformats.org/officeDocument/2006/relationships/hyperlink" Target="https://www.reddit.com/r/DigitalMarketing/comments/1tdo237/which_performance_marketing_agencies_specialize/" TargetMode="External"/><Relationship Id="rId1532" Type="http://schemas.openxmlformats.org/officeDocument/2006/relationships/hyperlink" Target="https://www.acam.ai/ai-advantage" TargetMode="External"/><Relationship Id="rId1533" Type="http://schemas.openxmlformats.org/officeDocument/2006/relationships/hyperlink" Target="http://acam.ai" TargetMode="External"/><Relationship Id="rId1534" Type="http://schemas.openxmlformats.org/officeDocument/2006/relationships/hyperlink" Target="https://www.accuracast.com/services/ai/optimisation/" TargetMode="External"/><Relationship Id="rId1535" Type="http://schemas.openxmlformats.org/officeDocument/2006/relationships/hyperlink" Target="http://accuracast.com" TargetMode="External"/><Relationship Id="rId1536" Type="http://schemas.openxmlformats.org/officeDocument/2006/relationships/hyperlink" Target="https://www.activfreight.com.au/services/customs-tariff-consulting/" TargetMode="External"/><Relationship Id="rId1537" Type="http://schemas.openxmlformats.org/officeDocument/2006/relationships/hyperlink" Target="http://activfreight.com.au" TargetMode="External"/><Relationship Id="rId1538" Type="http://schemas.openxmlformats.org/officeDocument/2006/relationships/hyperlink" Target="https://www.adcore.com/blog/5-best-digital-marketing-agencies-in-melbourne/" TargetMode="External"/><Relationship Id="rId1539" Type="http://schemas.openxmlformats.org/officeDocument/2006/relationships/hyperlink" Target="http://adcore.com" TargetMode="External"/><Relationship Id="rId949" Type="http://schemas.openxmlformats.org/officeDocument/2006/relationships/hyperlink" Target="http://skyscale.com.au" TargetMode="External"/><Relationship Id="rId948" Type="http://schemas.openxmlformats.org/officeDocument/2006/relationships/hyperlink" Target="https://skyscale.com.au/" TargetMode="External"/><Relationship Id="rId943" Type="http://schemas.openxmlformats.org/officeDocument/2006/relationships/hyperlink" Target="http://reuters.com" TargetMode="External"/><Relationship Id="rId942" Type="http://schemas.openxmlformats.org/officeDocument/2006/relationships/hyperlink" Target="https://www.reuters.com/business/publicis-raises-growth-target-ai-driven-marketing-demand-stays-strong-2026-07-16/" TargetMode="External"/><Relationship Id="rId941" Type="http://schemas.openxmlformats.org/officeDocument/2006/relationships/hyperlink" Target="http://resolutiondigital.com.au" TargetMode="External"/><Relationship Id="rId940" Type="http://schemas.openxmlformats.org/officeDocument/2006/relationships/hyperlink" Target="https://www.resolutiondigital.com.au/services/cro/google-marketing-platform/google-marketing-platform-for-agencies/" TargetMode="External"/><Relationship Id="rId947" Type="http://schemas.openxmlformats.org/officeDocument/2006/relationships/hyperlink" Target="http://ruleranalytics.com" TargetMode="External"/><Relationship Id="rId946" Type="http://schemas.openxmlformats.org/officeDocument/2006/relationships/hyperlink" Target="https://www.ruleranalytics.com/" TargetMode="External"/><Relationship Id="rId945" Type="http://schemas.openxmlformats.org/officeDocument/2006/relationships/hyperlink" Target="http://roi.com.au" TargetMode="External"/><Relationship Id="rId944" Type="http://schemas.openxmlformats.org/officeDocument/2006/relationships/hyperlink" Target="https://roi.com.au/service/performance-marketing-agency-australia-2026/" TargetMode="External"/><Relationship Id="rId1530" Type="http://schemas.openxmlformats.org/officeDocument/2006/relationships/hyperlink" Target="https://www.absolutelyai.com.au/ai-video-services" TargetMode="External"/><Relationship Id="rId1531" Type="http://schemas.openxmlformats.org/officeDocument/2006/relationships/hyperlink" Target="http://absolutelyai.com.au" TargetMode="External"/><Relationship Id="rId1521" Type="http://schemas.openxmlformats.org/officeDocument/2006/relationships/hyperlink" Target="http://6sense.com" TargetMode="External"/><Relationship Id="rId1522" Type="http://schemas.openxmlformats.org/officeDocument/2006/relationships/hyperlink" Target="https://aamax.co/blog/top-10-best-digital-marketing-companies-in-australia" TargetMode="External"/><Relationship Id="rId1523" Type="http://schemas.openxmlformats.org/officeDocument/2006/relationships/hyperlink" Target="http://aamax.co" TargetMode="External"/><Relationship Id="rId1524" Type="http://schemas.openxmlformats.org/officeDocument/2006/relationships/hyperlink" Target="https://aana.com.au/metrics-that-matter-how-to-power-marketing-conversations-with-the-c-suite/" TargetMode="External"/><Relationship Id="rId1525" Type="http://schemas.openxmlformats.org/officeDocument/2006/relationships/hyperlink" Target="http://aana.com.au" TargetMode="External"/><Relationship Id="rId1526" Type="http://schemas.openxmlformats.org/officeDocument/2006/relationships/hyperlink" Target="https://www.abbacustechnologies.com/top-ecommerce-development-firms-in-sydney/" TargetMode="External"/><Relationship Id="rId1527" Type="http://schemas.openxmlformats.org/officeDocument/2006/relationships/hyperlink" Target="http://abbacustechnologies.com" TargetMode="External"/><Relationship Id="rId1528" Type="http://schemas.openxmlformats.org/officeDocument/2006/relationships/hyperlink" Target="https://www.abf.gov.au/about-us/what-we-do/trustedtrader/benefits/mutual-recognition-arrangements" TargetMode="External"/><Relationship Id="rId1529" Type="http://schemas.openxmlformats.org/officeDocument/2006/relationships/hyperlink" Target="http://abf.gov.au" TargetMode="External"/><Relationship Id="rId939" Type="http://schemas.openxmlformats.org/officeDocument/2006/relationships/hyperlink" Target="http://reddit.com" TargetMode="External"/><Relationship Id="rId938" Type="http://schemas.openxmlformats.org/officeDocument/2006/relationships/hyperlink" Target="https://www.reddit.com/r/AskAnAustralian/comments/1kygrc6/advertising_agencies_in_aus/" TargetMode="External"/><Relationship Id="rId937" Type="http://schemas.openxmlformats.org/officeDocument/2006/relationships/hyperlink" Target="http://rankingco.com.au" TargetMode="External"/><Relationship Id="rId932" Type="http://schemas.openxmlformats.org/officeDocument/2006/relationships/hyperlink" Target="https://nogood.io/blog/performance-marketing-agencies/" TargetMode="External"/><Relationship Id="rId931" Type="http://schemas.openxmlformats.org/officeDocument/2006/relationships/hyperlink" Target="http://modmetrica.com.au" TargetMode="External"/><Relationship Id="rId930" Type="http://schemas.openxmlformats.org/officeDocument/2006/relationships/hyperlink" Target="https://modmetrica.com.au/" TargetMode="External"/><Relationship Id="rId936" Type="http://schemas.openxmlformats.org/officeDocument/2006/relationships/hyperlink" Target="https://www.rankingco.com.au/google-premier-partner-2026" TargetMode="External"/><Relationship Id="rId935" Type="http://schemas.openxmlformats.org/officeDocument/2006/relationships/hyperlink" Target="http://orm-tech.com" TargetMode="External"/><Relationship Id="rId934" Type="http://schemas.openxmlformats.org/officeDocument/2006/relationships/hyperlink" Target="https://orm-tech.com/blog/best-marketing-attribution-software/" TargetMode="External"/><Relationship Id="rId933" Type="http://schemas.openxmlformats.org/officeDocument/2006/relationships/hyperlink" Target="http://nogood.io" TargetMode="External"/><Relationship Id="rId1520" Type="http://schemas.openxmlformats.org/officeDocument/2006/relationships/hyperlink" Target="https://6sense.com/blog/best-account-based-marketing-platforms/" TargetMode="External"/><Relationship Id="rId1554" Type="http://schemas.openxmlformats.org/officeDocument/2006/relationships/hyperlink" Target="https://www.adnews.com.au/news/coca-cola-launches-global-media-review" TargetMode="External"/><Relationship Id="rId2401" Type="http://schemas.openxmlformats.org/officeDocument/2006/relationships/hyperlink" Target="https://www.pivotale.ai/frequently-asked-questions" TargetMode="External"/><Relationship Id="rId1555" Type="http://schemas.openxmlformats.org/officeDocument/2006/relationships/hyperlink" Target="http://adnews.com.au" TargetMode="External"/><Relationship Id="rId2402" Type="http://schemas.openxmlformats.org/officeDocument/2006/relationships/hyperlink" Target="http://pivotale.ai" TargetMode="External"/><Relationship Id="rId1556" Type="http://schemas.openxmlformats.org/officeDocument/2006/relationships/hyperlink" Target="https://www.adnews.com.au/news/hatched-wins-who-gives-a-crap-media-account" TargetMode="External"/><Relationship Id="rId2403" Type="http://schemas.openxmlformats.org/officeDocument/2006/relationships/hyperlink" Target="https://www.pmgs.com.au/industries/ecommerce/" TargetMode="External"/><Relationship Id="rId1557" Type="http://schemas.openxmlformats.org/officeDocument/2006/relationships/hyperlink" Target="http://adnews.com.au" TargetMode="External"/><Relationship Id="rId2404" Type="http://schemas.openxmlformats.org/officeDocument/2006/relationships/hyperlink" Target="http://pmgs.com.au" TargetMode="External"/><Relationship Id="rId1558" Type="http://schemas.openxmlformats.org/officeDocument/2006/relationships/hyperlink" Target="https://www.adsoftheworld.com/agencies/the-monkeys" TargetMode="External"/><Relationship Id="rId2405" Type="http://schemas.openxmlformats.org/officeDocument/2006/relationships/hyperlink" Target="https://www.precisiondatapartners.com.au/sydney/" TargetMode="External"/><Relationship Id="rId1559" Type="http://schemas.openxmlformats.org/officeDocument/2006/relationships/hyperlink" Target="http://adsoftheworld.com" TargetMode="External"/><Relationship Id="rId2406" Type="http://schemas.openxmlformats.org/officeDocument/2006/relationships/hyperlink" Target="http://precisiondatapartners.com.au" TargetMode="External"/><Relationship Id="rId2407" Type="http://schemas.openxmlformats.org/officeDocument/2006/relationships/hyperlink" Target="https://presenc.ai/compare/measured-vs-haus-vs-statsig" TargetMode="External"/><Relationship Id="rId2408" Type="http://schemas.openxmlformats.org/officeDocument/2006/relationships/hyperlink" Target="http://presenc.ai" TargetMode="External"/><Relationship Id="rId2409" Type="http://schemas.openxmlformats.org/officeDocument/2006/relationships/hyperlink" Target="https://prosperitymedia.com.au/digital-pr-packages/" TargetMode="External"/><Relationship Id="rId965" Type="http://schemas.openxmlformats.org/officeDocument/2006/relationships/hyperlink" Target="http://worldmetrics.org" TargetMode="External"/><Relationship Id="rId964" Type="http://schemas.openxmlformats.org/officeDocument/2006/relationships/hyperlink" Target="https://worldmetrics.org/service/melbourne-marketing/" TargetMode="External"/><Relationship Id="rId963" Type="http://schemas.openxmlformats.org/officeDocument/2006/relationships/hyperlink" Target="http://uprisedigital.com.au" TargetMode="External"/><Relationship Id="rId962" Type="http://schemas.openxmlformats.org/officeDocument/2006/relationships/hyperlink" Target="https://uprisedigital.com.au/blog/best-solar-marketing-agencies-in-australia/" TargetMode="External"/><Relationship Id="rId969" Type="http://schemas.openxmlformats.org/officeDocument/2006/relationships/hyperlink" Target="http://3pdigital.com.au" TargetMode="External"/><Relationship Id="rId968" Type="http://schemas.openxmlformats.org/officeDocument/2006/relationships/hyperlink" Target="https://3pdigital.com.au/blog/how-to-choose-an-analytics-agency-australia" TargetMode="External"/><Relationship Id="rId967" Type="http://schemas.openxmlformats.org/officeDocument/2006/relationships/hyperlink" Target="http://zyppy.com" TargetMode="External"/><Relationship Id="rId966" Type="http://schemas.openxmlformats.org/officeDocument/2006/relationships/hyperlink" Target="https://zyppy.com/companies/c/marketing-attribution/" TargetMode="External"/><Relationship Id="rId961" Type="http://schemas.openxmlformats.org/officeDocument/2006/relationships/hyperlink" Target="http://theredrepublic.com" TargetMode="External"/><Relationship Id="rId1550" Type="http://schemas.openxmlformats.org/officeDocument/2006/relationships/hyperlink" Target="https://admatic.com/lp/digital-agency/sydney" TargetMode="External"/><Relationship Id="rId960" Type="http://schemas.openxmlformats.org/officeDocument/2006/relationships/hyperlink" Target="https://theredrepublic.com/australias-top-10-best-ad-agencies-leading-creative-and-advertising/" TargetMode="External"/><Relationship Id="rId1551" Type="http://schemas.openxmlformats.org/officeDocument/2006/relationships/hyperlink" Target="http://admatic.com" TargetMode="External"/><Relationship Id="rId1552" Type="http://schemas.openxmlformats.org/officeDocument/2006/relationships/hyperlink" Target="https://www.adnews.com.au/news/aimco-s-2025-winners-revealed" TargetMode="External"/><Relationship Id="rId1553" Type="http://schemas.openxmlformats.org/officeDocument/2006/relationships/hyperlink" Target="http://adnews.com.au" TargetMode="External"/><Relationship Id="rId2400" Type="http://schemas.openxmlformats.org/officeDocument/2006/relationships/hyperlink" Target="http://pivotalagency.com.au" TargetMode="External"/><Relationship Id="rId1543" Type="http://schemas.openxmlformats.org/officeDocument/2006/relationships/hyperlink" Target="http://adelaidemetrics.com" TargetMode="External"/><Relationship Id="rId1544" Type="http://schemas.openxmlformats.org/officeDocument/2006/relationships/hyperlink" Target="https://adma.com.au/resources-hub" TargetMode="External"/><Relationship Id="rId1545" Type="http://schemas.openxmlformats.org/officeDocument/2006/relationships/hyperlink" Target="http://adma.com.au" TargetMode="External"/><Relationship Id="rId1546" Type="http://schemas.openxmlformats.org/officeDocument/2006/relationships/hyperlink" Target="https://adma.com.au/resources/author/adma" TargetMode="External"/><Relationship Id="rId1547" Type="http://schemas.openxmlformats.org/officeDocument/2006/relationships/hyperlink" Target="http://adma.com.au" TargetMode="External"/><Relationship Id="rId1548" Type="http://schemas.openxmlformats.org/officeDocument/2006/relationships/hyperlink" Target="https://admatic.com/lp/digital-agency/auckland" TargetMode="External"/><Relationship Id="rId1549" Type="http://schemas.openxmlformats.org/officeDocument/2006/relationships/hyperlink" Target="http://admatic.com" TargetMode="External"/><Relationship Id="rId959" Type="http://schemas.openxmlformats.org/officeDocument/2006/relationships/hyperlink" Target="http://theaustralian.com.au" TargetMode="External"/><Relationship Id="rId954" Type="http://schemas.openxmlformats.org/officeDocument/2006/relationships/hyperlink" Target="https://tdsaustralia.com.au/top-50-brand-design-agencies-australia/" TargetMode="External"/><Relationship Id="rId953" Type="http://schemas.openxmlformats.org/officeDocument/2006/relationships/hyperlink" Target="http://google.com" TargetMode="External"/><Relationship Id="rId952" Type="http://schemas.openxmlformats.org/officeDocument/2006/relationships/hyperlink" Target="https://support.google.com/analytics/answer/7237700?hl=en-AU" TargetMode="External"/><Relationship Id="rId951" Type="http://schemas.openxmlformats.org/officeDocument/2006/relationships/hyperlink" Target="http://sortlist.com" TargetMode="External"/><Relationship Id="rId958" Type="http://schemas.openxmlformats.org/officeDocument/2006/relationships/hyperlink" Target="https://www.theaustralian.com.au/business/media/the-little-agencies-attracting-big-dollars/news-story/2a4a9f535e088c25718a59cba4451cda" TargetMode="External"/><Relationship Id="rId957" Type="http://schemas.openxmlformats.org/officeDocument/2006/relationships/hyperlink" Target="http://techradar.com" TargetMode="External"/><Relationship Id="rId956" Type="http://schemas.openxmlformats.org/officeDocument/2006/relationships/hyperlink" Target="https://www.techradar.com/pro/how-to-use-an-aeo-tool-for-your-small-business" TargetMode="External"/><Relationship Id="rId955" Type="http://schemas.openxmlformats.org/officeDocument/2006/relationships/hyperlink" Target="http://tdsaustralia.com.au" TargetMode="External"/><Relationship Id="rId950" Type="http://schemas.openxmlformats.org/officeDocument/2006/relationships/hyperlink" Target="https://www.sortlist.com/s/display-advertising/brisbane-qld-au" TargetMode="External"/><Relationship Id="rId1540" Type="http://schemas.openxmlformats.org/officeDocument/2006/relationships/hyperlink" Target="https://addaptive.com.au/" TargetMode="External"/><Relationship Id="rId1541" Type="http://schemas.openxmlformats.org/officeDocument/2006/relationships/hyperlink" Target="http://addaptive.com.au" TargetMode="External"/><Relationship Id="rId1542" Type="http://schemas.openxmlformats.org/officeDocument/2006/relationships/hyperlink" Target="https://www.adelaidemetrics.com/" TargetMode="External"/><Relationship Id="rId2027" Type="http://schemas.openxmlformats.org/officeDocument/2006/relationships/hyperlink" Target="https://www.geo-logix.com.au/geotechnical-engineering/" TargetMode="External"/><Relationship Id="rId2028" Type="http://schemas.openxmlformats.org/officeDocument/2006/relationships/hyperlink" Target="http://geo-logix.com.au" TargetMode="External"/><Relationship Id="rId2029" Type="http://schemas.openxmlformats.org/officeDocument/2006/relationships/hyperlink" Target="http://geoconsultants.com.au/" TargetMode="External"/><Relationship Id="rId590" Type="http://schemas.openxmlformats.org/officeDocument/2006/relationships/hyperlink" Target="https://www.andmine.com.au/" TargetMode="External"/><Relationship Id="rId107" Type="http://schemas.openxmlformats.org/officeDocument/2006/relationships/hyperlink" Target="https://www.sortlist.com/s/display-advertising/australia-au" TargetMode="External"/><Relationship Id="rId106" Type="http://schemas.openxmlformats.org/officeDocument/2006/relationships/hyperlink" Target="http://slashdot.org" TargetMode="External"/><Relationship Id="rId105" Type="http://schemas.openxmlformats.org/officeDocument/2006/relationships/hyperlink" Target="https://slashdot.org/software/incrementality-testing/in-australia/" TargetMode="External"/><Relationship Id="rId589" Type="http://schemas.openxmlformats.org/officeDocument/2006/relationships/hyperlink" Target="http://semrush.com" TargetMode="External"/><Relationship Id="rId104" Type="http://schemas.openxmlformats.org/officeDocument/2006/relationships/hyperlink" Target="http://measured.com" TargetMode="External"/><Relationship Id="rId588" Type="http://schemas.openxmlformats.org/officeDocument/2006/relationships/hyperlink" Target="https://agencies.semrush.com/list/display-advertising/arts-entertainment/australia/" TargetMode="External"/><Relationship Id="rId109" Type="http://schemas.openxmlformats.org/officeDocument/2006/relationships/hyperlink" Target="https://xpon.ai/google-marketing-platform/" TargetMode="External"/><Relationship Id="rId1170" Type="http://schemas.openxmlformats.org/officeDocument/2006/relationships/hyperlink" Target="http://adnews.com.au" TargetMode="External"/><Relationship Id="rId108" Type="http://schemas.openxmlformats.org/officeDocument/2006/relationships/hyperlink" Target="http://sortlist.com" TargetMode="External"/><Relationship Id="rId1171" Type="http://schemas.openxmlformats.org/officeDocument/2006/relationships/hyperlink" Target="https://www.adnews.com.au/news/the-adnews-agency-of-the-year-award-2025-winners-revealed" TargetMode="External"/><Relationship Id="rId583" Type="http://schemas.openxmlformats.org/officeDocument/2006/relationships/hyperlink" Target="http://10seos.com" TargetMode="External"/><Relationship Id="rId1172" Type="http://schemas.openxmlformats.org/officeDocument/2006/relationships/hyperlink" Target="http://adnews.com.au" TargetMode="External"/><Relationship Id="rId582" Type="http://schemas.openxmlformats.org/officeDocument/2006/relationships/hyperlink" Target="https://www.10seos.com/au/display-advertising-companies-in-australia?page=2" TargetMode="External"/><Relationship Id="rId1173" Type="http://schemas.openxmlformats.org/officeDocument/2006/relationships/hyperlink" Target="https://www.advancer.com.au/about" TargetMode="External"/><Relationship Id="rId2020" Type="http://schemas.openxmlformats.org/officeDocument/2006/relationships/hyperlink" Target="http://fzpdigital.com" TargetMode="External"/><Relationship Id="rId581" Type="http://schemas.openxmlformats.org/officeDocument/2006/relationships/hyperlink" Target="http://trpagency.com.au" TargetMode="External"/><Relationship Id="rId1174" Type="http://schemas.openxmlformats.org/officeDocument/2006/relationships/hyperlink" Target="http://advancer.com.au" TargetMode="External"/><Relationship Id="rId2021" Type="http://schemas.openxmlformats.org/officeDocument/2006/relationships/hyperlink" Target="https://www.gbg-group.com.au/" TargetMode="External"/><Relationship Id="rId580" Type="http://schemas.openxmlformats.org/officeDocument/2006/relationships/hyperlink" Target="https://trpagency.com.au/campaign-measurement-agency-australia/" TargetMode="External"/><Relationship Id="rId1175" Type="http://schemas.openxmlformats.org/officeDocument/2006/relationships/hyperlink" Target="https://aeroleads.com/list/top-geospatial-companies-in-australia" TargetMode="External"/><Relationship Id="rId2022" Type="http://schemas.openxmlformats.org/officeDocument/2006/relationships/hyperlink" Target="http://gbg-group.com.au" TargetMode="External"/><Relationship Id="rId103" Type="http://schemas.openxmlformats.org/officeDocument/2006/relationships/hyperlink" Target="https://www.measured.com/faq/best-incrementality-testing-companies-software-for-marketing-2026/" TargetMode="External"/><Relationship Id="rId587" Type="http://schemas.openxmlformats.org/officeDocument/2006/relationships/hyperlink" Target="http://semrush.com" TargetMode="External"/><Relationship Id="rId1176" Type="http://schemas.openxmlformats.org/officeDocument/2006/relationships/hyperlink" Target="http://aeroleads.com" TargetMode="External"/><Relationship Id="rId2023" Type="http://schemas.openxmlformats.org/officeDocument/2006/relationships/hyperlink" Target="https://gcmag.com.au/how-to-choose-an-ai-seo-agency-in-australia/" TargetMode="External"/><Relationship Id="rId102" Type="http://schemas.openxmlformats.org/officeDocument/2006/relationships/hyperlink" Target="http://globalgenie.com.au" TargetMode="External"/><Relationship Id="rId586" Type="http://schemas.openxmlformats.org/officeDocument/2006/relationships/hyperlink" Target="https://agencies.semrush.com/list/ai-optimization/australia/" TargetMode="External"/><Relationship Id="rId1177" Type="http://schemas.openxmlformats.org/officeDocument/2006/relationships/hyperlink" Target="https://agencies.semrush.com/list/advertising/melbourne/" TargetMode="External"/><Relationship Id="rId2024" Type="http://schemas.openxmlformats.org/officeDocument/2006/relationships/hyperlink" Target="http://gcmag.com.au" TargetMode="External"/><Relationship Id="rId101" Type="http://schemas.openxmlformats.org/officeDocument/2006/relationships/hyperlink" Target="https://www.globalgenie.com.au/top-digital-marketing-agencies-in-australia/" TargetMode="External"/><Relationship Id="rId585" Type="http://schemas.openxmlformats.org/officeDocument/2006/relationships/hyperlink" Target="http://adnews.com.au" TargetMode="External"/><Relationship Id="rId1178" Type="http://schemas.openxmlformats.org/officeDocument/2006/relationships/hyperlink" Target="http://semrush.com" TargetMode="External"/><Relationship Id="rId2025" Type="http://schemas.openxmlformats.org/officeDocument/2006/relationships/hyperlink" Target="https://gemfind.com/blogs/digital-marketing/google-marketing-partner" TargetMode="External"/><Relationship Id="rId100" Type="http://schemas.openxmlformats.org/officeDocument/2006/relationships/hyperlink" Target="http://getaiready.com.au" TargetMode="External"/><Relationship Id="rId584" Type="http://schemas.openxmlformats.org/officeDocument/2006/relationships/hyperlink" Target="https://www.adnews.com.au/news/wpp-media-maintains-recma-lead" TargetMode="External"/><Relationship Id="rId1179" Type="http://schemas.openxmlformats.org/officeDocument/2006/relationships/hyperlink" Target="https://agencies.semrush.com/list/analytics-data-science/melbourne/" TargetMode="External"/><Relationship Id="rId2026" Type="http://schemas.openxmlformats.org/officeDocument/2006/relationships/hyperlink" Target="http://gemfind.com" TargetMode="External"/><Relationship Id="rId1169" Type="http://schemas.openxmlformats.org/officeDocument/2006/relationships/hyperlink" Target="https://www.adnews.com.au/news/comvergence-omd-tops-australia-for-media-agency-billings-and-market-share" TargetMode="External"/><Relationship Id="rId2016" Type="http://schemas.openxmlformats.org/officeDocument/2006/relationships/hyperlink" Target="http://fusepointinsights.com" TargetMode="External"/><Relationship Id="rId2017" Type="http://schemas.openxmlformats.org/officeDocument/2006/relationships/hyperlink" Target="https://fusepointinsights.com/our-methodology/" TargetMode="External"/><Relationship Id="rId2018" Type="http://schemas.openxmlformats.org/officeDocument/2006/relationships/hyperlink" Target="http://fusepointinsights.com" TargetMode="External"/><Relationship Id="rId2019" Type="http://schemas.openxmlformats.org/officeDocument/2006/relationships/hyperlink" Target="https://fzpdigital.com/marketing-firms/" TargetMode="External"/><Relationship Id="rId579" Type="http://schemas.openxmlformats.org/officeDocument/2006/relationships/hyperlink" Target="http://sortlist.com" TargetMode="External"/><Relationship Id="rId578" Type="http://schemas.openxmlformats.org/officeDocument/2006/relationships/hyperlink" Target="https://www.sortlist.com/social-media/australia-au" TargetMode="External"/><Relationship Id="rId577" Type="http://schemas.openxmlformats.org/officeDocument/2006/relationships/hyperlink" Target="http://sortlist.com" TargetMode="External"/><Relationship Id="rId2490" Type="http://schemas.openxmlformats.org/officeDocument/2006/relationships/hyperlink" Target="https://savvyaustralia.com/" TargetMode="External"/><Relationship Id="rId1160" Type="http://schemas.openxmlformats.org/officeDocument/2006/relationships/hyperlink" Target="http://webprofits.com.au" TargetMode="External"/><Relationship Id="rId2491" Type="http://schemas.openxmlformats.org/officeDocument/2006/relationships/hyperlink" Target="http://savvyaustralia.com" TargetMode="External"/><Relationship Id="rId572" Type="http://schemas.openxmlformats.org/officeDocument/2006/relationships/hyperlink" Target="https://www.silverbackstrategies.com/lists/best-geo-agencies-generative-engine-optimization-in-2026-ranked-reviewed/" TargetMode="External"/><Relationship Id="rId1161" Type="http://schemas.openxmlformats.org/officeDocument/2006/relationships/hyperlink" Target="https://zipdo.co/service/attribution/" TargetMode="External"/><Relationship Id="rId2492" Type="http://schemas.openxmlformats.org/officeDocument/2006/relationships/hyperlink" Target="https://scopicstudios.com/blog/best-incrementality-testing-tools-2026/" TargetMode="External"/><Relationship Id="rId571" Type="http://schemas.openxmlformats.org/officeDocument/2006/relationships/hyperlink" Target="http://rokitupmedia.com.au" TargetMode="External"/><Relationship Id="rId1162" Type="http://schemas.openxmlformats.org/officeDocument/2006/relationships/hyperlink" Target="http://zipdo.co" TargetMode="External"/><Relationship Id="rId2493" Type="http://schemas.openxmlformats.org/officeDocument/2006/relationships/hyperlink" Target="http://scopicstudios.com" TargetMode="External"/><Relationship Id="rId570" Type="http://schemas.openxmlformats.org/officeDocument/2006/relationships/hyperlink" Target="https://rokitupmedia.com.au/top-10-affordable-media-agencies-in-australia-for-small-businesses/" TargetMode="External"/><Relationship Id="rId1163" Type="http://schemas.openxmlformats.org/officeDocument/2006/relationships/hyperlink" Target="https://www.1stpage.com.au/services/answer-engine-optimization/" TargetMode="External"/><Relationship Id="rId2010" Type="http://schemas.openxmlformats.org/officeDocument/2006/relationships/hyperlink" Target="http://ftalliance.com.au" TargetMode="External"/><Relationship Id="rId2494" Type="http://schemas.openxmlformats.org/officeDocument/2006/relationships/hyperlink" Target="https://sd-group.com.au/en/blog" TargetMode="External"/><Relationship Id="rId1164" Type="http://schemas.openxmlformats.org/officeDocument/2006/relationships/hyperlink" Target="http://1stpage.com.au" TargetMode="External"/><Relationship Id="rId2011" Type="http://schemas.openxmlformats.org/officeDocument/2006/relationships/hyperlink" Target="https://funnel.io/blog/incrementality" TargetMode="External"/><Relationship Id="rId2495" Type="http://schemas.openxmlformats.org/officeDocument/2006/relationships/hyperlink" Target="http://sd-group.com.au" TargetMode="External"/><Relationship Id="rId576" Type="http://schemas.openxmlformats.org/officeDocument/2006/relationships/hyperlink" Target="https://www.sortlist.com/s/programmatic-advertising/australia-au" TargetMode="External"/><Relationship Id="rId1165" Type="http://schemas.openxmlformats.org/officeDocument/2006/relationships/hyperlink" Target="https://3pdigital.com.au/digital-performance-agency-australia" TargetMode="External"/><Relationship Id="rId2012" Type="http://schemas.openxmlformats.org/officeDocument/2006/relationships/hyperlink" Target="http://funnel.io" TargetMode="External"/><Relationship Id="rId2496" Type="http://schemas.openxmlformats.org/officeDocument/2006/relationships/hyperlink" Target="https://sedigital.com.au/services/tracking-systems" TargetMode="External"/><Relationship Id="rId575" Type="http://schemas.openxmlformats.org/officeDocument/2006/relationships/hyperlink" Target="http://smartinc.com" TargetMode="External"/><Relationship Id="rId1166" Type="http://schemas.openxmlformats.org/officeDocument/2006/relationships/hyperlink" Target="http://3pdigital.com.au" TargetMode="External"/><Relationship Id="rId2013" Type="http://schemas.openxmlformats.org/officeDocument/2006/relationships/hyperlink" Target="https://funnel.io/case-studies/sparro" TargetMode="External"/><Relationship Id="rId2497" Type="http://schemas.openxmlformats.org/officeDocument/2006/relationships/hyperlink" Target="http://sedigital.com.au" TargetMode="External"/><Relationship Id="rId574" Type="http://schemas.openxmlformats.org/officeDocument/2006/relationships/hyperlink" Target="https://www.smartinc.com/news/top-10-best-ad-agency-in-australia-leading-sydney-melbourne-brisbane" TargetMode="External"/><Relationship Id="rId1167" Type="http://schemas.openxmlformats.org/officeDocument/2006/relationships/hyperlink" Target="https://3pdigital.com.au/multi-channel-attribution-modelling" TargetMode="External"/><Relationship Id="rId2014" Type="http://schemas.openxmlformats.org/officeDocument/2006/relationships/hyperlink" Target="http://funnel.io" TargetMode="External"/><Relationship Id="rId2498" Type="http://schemas.openxmlformats.org/officeDocument/2006/relationships/hyperlink" Target="https://www.segments.com.au/" TargetMode="External"/><Relationship Id="rId573" Type="http://schemas.openxmlformats.org/officeDocument/2006/relationships/hyperlink" Target="http://silverbackstrategies.com" TargetMode="External"/><Relationship Id="rId1168" Type="http://schemas.openxmlformats.org/officeDocument/2006/relationships/hyperlink" Target="http://3pdigital.com.au" TargetMode="External"/><Relationship Id="rId2015" Type="http://schemas.openxmlformats.org/officeDocument/2006/relationships/hyperlink" Target="https://fusepointinsights.com/blog/mastering-incrementality-testing/" TargetMode="External"/><Relationship Id="rId2499" Type="http://schemas.openxmlformats.org/officeDocument/2006/relationships/hyperlink" Target="http://segments.com.au" TargetMode="External"/><Relationship Id="rId2049" Type="http://schemas.openxmlformats.org/officeDocument/2006/relationships/hyperlink" Target="https://www.goodfirms.co/directory/city/top-digital-marketing-companies/media-planning-buying/sydney" TargetMode="External"/><Relationship Id="rId129" Type="http://schemas.openxmlformats.org/officeDocument/2006/relationships/hyperlink" Target="https://www.bbe.io/best-advertising-agencies-2026-melbourne-sydney-brisbane" TargetMode="External"/><Relationship Id="rId128" Type="http://schemas.openxmlformats.org/officeDocument/2006/relationships/hyperlink" Target="http://undivided.com.au" TargetMode="External"/><Relationship Id="rId127" Type="http://schemas.openxmlformats.org/officeDocument/2006/relationships/hyperlink" Target="https://www.undivided.com.au/blog/top-5-digital-agencies-in-australia" TargetMode="External"/><Relationship Id="rId126" Type="http://schemas.openxmlformats.org/officeDocument/2006/relationships/hyperlink" Target="http://goodfirms.co" TargetMode="External"/><Relationship Id="rId1190" Type="http://schemas.openxmlformats.org/officeDocument/2006/relationships/hyperlink" Target="http://semrush.com" TargetMode="External"/><Relationship Id="rId1191" Type="http://schemas.openxmlformats.org/officeDocument/2006/relationships/hyperlink" Target="https://agencylist.com/services/measurement-and-coverage-reports/au/" TargetMode="External"/><Relationship Id="rId1192" Type="http://schemas.openxmlformats.org/officeDocument/2006/relationships/hyperlink" Target="http://agencylist.com" TargetMode="External"/><Relationship Id="rId1193" Type="http://schemas.openxmlformats.org/officeDocument/2006/relationships/hyperlink" Target="https://www.aimash.com.au/" TargetMode="External"/><Relationship Id="rId2040" Type="http://schemas.openxmlformats.org/officeDocument/2006/relationships/hyperlink" Target="http://incubeta.com" TargetMode="External"/><Relationship Id="rId121" Type="http://schemas.openxmlformats.org/officeDocument/2006/relationships/hyperlink" Target="https://clutch.co/au/consulting/ai" TargetMode="External"/><Relationship Id="rId1194" Type="http://schemas.openxmlformats.org/officeDocument/2006/relationships/hyperlink" Target="http://aimash.com.au" TargetMode="External"/><Relationship Id="rId2041" Type="http://schemas.openxmlformats.org/officeDocument/2006/relationships/hyperlink" Target="https://www.goodfirms.co/advertising-companies/creative/melbourne" TargetMode="External"/><Relationship Id="rId120" Type="http://schemas.openxmlformats.org/officeDocument/2006/relationships/hyperlink" Target="http://uprisedigital.com.au" TargetMode="External"/><Relationship Id="rId1195" Type="http://schemas.openxmlformats.org/officeDocument/2006/relationships/hyperlink" Target="https://aireadyaudit.com.au/" TargetMode="External"/><Relationship Id="rId2042" Type="http://schemas.openxmlformats.org/officeDocument/2006/relationships/hyperlink" Target="http://goodfirms.co" TargetMode="External"/><Relationship Id="rId1196" Type="http://schemas.openxmlformats.org/officeDocument/2006/relationships/hyperlink" Target="http://aireadyaudit.com.au" TargetMode="External"/><Relationship Id="rId2043" Type="http://schemas.openxmlformats.org/officeDocument/2006/relationships/hyperlink" Target="https://www.goodfirms.co/artificial-intelligence/ai-consulting" TargetMode="External"/><Relationship Id="rId1197" Type="http://schemas.openxmlformats.org/officeDocument/2006/relationships/hyperlink" Target="https://aivy.com.au/ai-consulting/" TargetMode="External"/><Relationship Id="rId2044" Type="http://schemas.openxmlformats.org/officeDocument/2006/relationships/hyperlink" Target="http://goodfirms.co" TargetMode="External"/><Relationship Id="rId125" Type="http://schemas.openxmlformats.org/officeDocument/2006/relationships/hyperlink" Target="https://www.goodfirms.co/advertising-companies/creative/australia" TargetMode="External"/><Relationship Id="rId1198" Type="http://schemas.openxmlformats.org/officeDocument/2006/relationships/hyperlink" Target="http://aivy.com.au" TargetMode="External"/><Relationship Id="rId2045" Type="http://schemas.openxmlformats.org/officeDocument/2006/relationships/hyperlink" Target="https://www.goodfirms.co/artificial-intelligence/sydney" TargetMode="External"/><Relationship Id="rId124" Type="http://schemas.openxmlformats.org/officeDocument/2006/relationships/hyperlink" Target="http://digitalagencynetwork.com" TargetMode="External"/><Relationship Id="rId1199" Type="http://schemas.openxmlformats.org/officeDocument/2006/relationships/hyperlink" Target="https://www.alphadigital.com.au/performance/" TargetMode="External"/><Relationship Id="rId2046" Type="http://schemas.openxmlformats.org/officeDocument/2006/relationships/hyperlink" Target="http://goodfirms.co" TargetMode="External"/><Relationship Id="rId123" Type="http://schemas.openxmlformats.org/officeDocument/2006/relationships/hyperlink" Target="https://digitalagencynetwork.com/agencies/australia/creative/" TargetMode="External"/><Relationship Id="rId2047" Type="http://schemas.openxmlformats.org/officeDocument/2006/relationships/hyperlink" Target="https://www.goodfirms.co/directory/city/top-digital-marketing-companies/advertising-ppc/brisbane" TargetMode="External"/><Relationship Id="rId122" Type="http://schemas.openxmlformats.org/officeDocument/2006/relationships/hyperlink" Target="http://clutch.co" TargetMode="External"/><Relationship Id="rId2048" Type="http://schemas.openxmlformats.org/officeDocument/2006/relationships/hyperlink" Target="http://goodfirms.co" TargetMode="External"/><Relationship Id="rId2038" Type="http://schemas.openxmlformats.org/officeDocument/2006/relationships/hyperlink" Target="http://ggconsultants.com.au" TargetMode="External"/><Relationship Id="rId2039" Type="http://schemas.openxmlformats.org/officeDocument/2006/relationships/hyperlink" Target="https://gmp.incubeta.com/" TargetMode="External"/><Relationship Id="rId118" Type="http://schemas.openxmlformats.org/officeDocument/2006/relationships/hyperlink" Target="http://thatware.co" TargetMode="External"/><Relationship Id="rId117" Type="http://schemas.openxmlformats.org/officeDocument/2006/relationships/hyperlink" Target="https://thatware.co/top-10-geo-companies-in-australia/" TargetMode="External"/><Relationship Id="rId116" Type="http://schemas.openxmlformats.org/officeDocument/2006/relationships/hyperlink" Target="http://resolutiondigital.com.au" TargetMode="External"/><Relationship Id="rId115" Type="http://schemas.openxmlformats.org/officeDocument/2006/relationships/hyperlink" Target="https://www.resolutiondigital.com.au/services/measurement/" TargetMode="External"/><Relationship Id="rId599" Type="http://schemas.openxmlformats.org/officeDocument/2006/relationships/hyperlink" Target="http://clutch.co" TargetMode="External"/><Relationship Id="rId1180" Type="http://schemas.openxmlformats.org/officeDocument/2006/relationships/hyperlink" Target="http://semrush.com" TargetMode="External"/><Relationship Id="rId1181" Type="http://schemas.openxmlformats.org/officeDocument/2006/relationships/hyperlink" Target="https://agencies.semrush.com/list/analytics-data-science/melbourne/enterprise-business/" TargetMode="External"/><Relationship Id="rId119" Type="http://schemas.openxmlformats.org/officeDocument/2006/relationships/hyperlink" Target="https://uprisedigital.com.au/blog/social-media-agencies-melbourne/" TargetMode="External"/><Relationship Id="rId1182" Type="http://schemas.openxmlformats.org/officeDocument/2006/relationships/hyperlink" Target="http://semrush.com" TargetMode="External"/><Relationship Id="rId110" Type="http://schemas.openxmlformats.org/officeDocument/2006/relationships/hyperlink" Target="http://xpon.ai" TargetMode="External"/><Relationship Id="rId594" Type="http://schemas.openxmlformats.org/officeDocument/2006/relationships/hyperlink" Target="https://www.bimodal.io/" TargetMode="External"/><Relationship Id="rId1183" Type="http://schemas.openxmlformats.org/officeDocument/2006/relationships/hyperlink" Target="https://agencies.semrush.com/list/display-advertising/melbourne/small-business/" TargetMode="External"/><Relationship Id="rId2030" Type="http://schemas.openxmlformats.org/officeDocument/2006/relationships/hyperlink" Target="http://geoconsultants.com.au" TargetMode="External"/><Relationship Id="rId593" Type="http://schemas.openxmlformats.org/officeDocument/2006/relationships/hyperlink" Target="http://bbe.io" TargetMode="External"/><Relationship Id="rId1184" Type="http://schemas.openxmlformats.org/officeDocument/2006/relationships/hyperlink" Target="http://semrush.com" TargetMode="External"/><Relationship Id="rId2031" Type="http://schemas.openxmlformats.org/officeDocument/2006/relationships/hyperlink" Target="https://geodigital.com.au/" TargetMode="External"/><Relationship Id="rId592" Type="http://schemas.openxmlformats.org/officeDocument/2006/relationships/hyperlink" Target="https://www.bbe.io/top-10-best-advertising-agency-leaders-australia-2025-sydney-melbourne-brisbane" TargetMode="External"/><Relationship Id="rId1185" Type="http://schemas.openxmlformats.org/officeDocument/2006/relationships/hyperlink" Target="https://agencies.semrush.com/list/facebook-advertising/australia/" TargetMode="External"/><Relationship Id="rId2032" Type="http://schemas.openxmlformats.org/officeDocument/2006/relationships/hyperlink" Target="http://geodigital.com.au" TargetMode="External"/><Relationship Id="rId591" Type="http://schemas.openxmlformats.org/officeDocument/2006/relationships/hyperlink" Target="http://andmine.com.au" TargetMode="External"/><Relationship Id="rId1186" Type="http://schemas.openxmlformats.org/officeDocument/2006/relationships/hyperlink" Target="http://semrush.com" TargetMode="External"/><Relationship Id="rId2033" Type="http://schemas.openxmlformats.org/officeDocument/2006/relationships/hyperlink" Target="https://geooptimisation.com.au/best-geo-agencies-australia-2026/" TargetMode="External"/><Relationship Id="rId114" Type="http://schemas.openxmlformats.org/officeDocument/2006/relationships/hyperlink" Target="http://purshology.com" TargetMode="External"/><Relationship Id="rId598" Type="http://schemas.openxmlformats.org/officeDocument/2006/relationships/hyperlink" Target="https://clutch.co/agencies/performance-marketing" TargetMode="External"/><Relationship Id="rId1187" Type="http://schemas.openxmlformats.org/officeDocument/2006/relationships/hyperlink" Target="https://agencies.semrush.com/list/machine-learning-and-ai/sydney/" TargetMode="External"/><Relationship Id="rId2034" Type="http://schemas.openxmlformats.org/officeDocument/2006/relationships/hyperlink" Target="http://geooptimisation.com.au" TargetMode="External"/><Relationship Id="rId113" Type="http://schemas.openxmlformats.org/officeDocument/2006/relationships/hyperlink" Target="https://www.purshology.com/2026/07/8-top-ai-driven-marketing-agencies-redefining-search-in-australia/" TargetMode="External"/><Relationship Id="rId597" Type="http://schemas.openxmlformats.org/officeDocument/2006/relationships/hyperlink" Target="http://bushnote.com" TargetMode="External"/><Relationship Id="rId1188" Type="http://schemas.openxmlformats.org/officeDocument/2006/relationships/hyperlink" Target="http://semrush.com" TargetMode="External"/><Relationship Id="rId2035" Type="http://schemas.openxmlformats.org/officeDocument/2006/relationships/hyperlink" Target="https://georankai.com/about/" TargetMode="External"/><Relationship Id="rId112" Type="http://schemas.openxmlformats.org/officeDocument/2006/relationships/hyperlink" Target="http://lengreo.com" TargetMode="External"/><Relationship Id="rId596" Type="http://schemas.openxmlformats.org/officeDocument/2006/relationships/hyperlink" Target="https://www.bushnote.com/articles/best-10-aeo-agencies-in-australia-to-promote-b2b-saas-companies-in-2026" TargetMode="External"/><Relationship Id="rId1189" Type="http://schemas.openxmlformats.org/officeDocument/2006/relationships/hyperlink" Target="https://agencies.semrush.com/list/smm/sydney/" TargetMode="External"/><Relationship Id="rId2036" Type="http://schemas.openxmlformats.org/officeDocument/2006/relationships/hyperlink" Target="http://georankai.com" TargetMode="External"/><Relationship Id="rId111" Type="http://schemas.openxmlformats.org/officeDocument/2006/relationships/hyperlink" Target="https://lengreo.com/australia-aeo-geo-llmo-companies/" TargetMode="External"/><Relationship Id="rId595" Type="http://schemas.openxmlformats.org/officeDocument/2006/relationships/hyperlink" Target="http://bimodal.io" TargetMode="External"/><Relationship Id="rId2037" Type="http://schemas.openxmlformats.org/officeDocument/2006/relationships/hyperlink" Target="https://ggconsultants.com.au/" TargetMode="External"/><Relationship Id="rId1136" Type="http://schemas.openxmlformats.org/officeDocument/2006/relationships/hyperlink" Target="http://tamedmarketing.com.au" TargetMode="External"/><Relationship Id="rId2467" Type="http://schemas.openxmlformats.org/officeDocument/2006/relationships/hyperlink" Target="http://roboticmarketer.com" TargetMode="External"/><Relationship Id="rId1137" Type="http://schemas.openxmlformats.org/officeDocument/2006/relationships/hyperlink" Target="https://techbullion.com/top-australian-geo-agencies-helping-brands-appear-in-ai-generated-answers/" TargetMode="External"/><Relationship Id="rId2468" Type="http://schemas.openxmlformats.org/officeDocument/2006/relationships/hyperlink" Target="https://rocketagency.com.au/" TargetMode="External"/><Relationship Id="rId1138" Type="http://schemas.openxmlformats.org/officeDocument/2006/relationships/hyperlink" Target="http://techbullion.com" TargetMode="External"/><Relationship Id="rId2469" Type="http://schemas.openxmlformats.org/officeDocument/2006/relationships/hyperlink" Target="http://rocketagency.com.au" TargetMode="External"/><Relationship Id="rId1139" Type="http://schemas.openxmlformats.org/officeDocument/2006/relationships/hyperlink" Target="https://www.thefrontdigital.com.au/services/ai-readiness-consulting" TargetMode="External"/><Relationship Id="rId547" Type="http://schemas.openxmlformats.org/officeDocument/2006/relationships/hyperlink" Target="http://generativeengineoptimisation.com.au" TargetMode="External"/><Relationship Id="rId546" Type="http://schemas.openxmlformats.org/officeDocument/2006/relationships/hyperlink" Target="https://www.generativeengineoptimisation.com.au/" TargetMode="External"/><Relationship Id="rId545" Type="http://schemas.openxmlformats.org/officeDocument/2006/relationships/hyperlink" Target="http://farsiight.com" TargetMode="External"/><Relationship Id="rId544" Type="http://schemas.openxmlformats.org/officeDocument/2006/relationships/hyperlink" Target="https://farsiight.com/services/digital-strategy/performance-marketing-melbourne/" TargetMode="External"/><Relationship Id="rId549" Type="http://schemas.openxmlformats.org/officeDocument/2006/relationships/hyperlink" Target="http://google.com" TargetMode="External"/><Relationship Id="rId548" Type="http://schemas.openxmlformats.org/officeDocument/2006/relationships/hyperlink" Target="https://www.google.com/ads/publisher/partners/find-a-partner/" TargetMode="External"/><Relationship Id="rId2460" Type="http://schemas.openxmlformats.org/officeDocument/2006/relationships/hyperlink" Target="http://resolutiondigital.com.au" TargetMode="External"/><Relationship Id="rId1130" Type="http://schemas.openxmlformats.org/officeDocument/2006/relationships/hyperlink" Target="http://smartosc.com" TargetMode="External"/><Relationship Id="rId2461" Type="http://schemas.openxmlformats.org/officeDocument/2006/relationships/hyperlink" Target="https://www.resolutiondigital.com.au/technology/partners/google-marketing-platform/campaign-manager-360/" TargetMode="External"/><Relationship Id="rId1131" Type="http://schemas.openxmlformats.org/officeDocument/2006/relationships/hyperlink" Target="https://www.sortlist.com/s/data-driven-marketing/australia-au" TargetMode="External"/><Relationship Id="rId2462" Type="http://schemas.openxmlformats.org/officeDocument/2006/relationships/hyperlink" Target="http://resolutiondigital.com.au" TargetMode="External"/><Relationship Id="rId543" Type="http://schemas.openxmlformats.org/officeDocument/2006/relationships/hyperlink" Target="http://epicit.com.au" TargetMode="External"/><Relationship Id="rId1132" Type="http://schemas.openxmlformats.org/officeDocument/2006/relationships/hyperlink" Target="http://sortlist.com" TargetMode="External"/><Relationship Id="rId2463" Type="http://schemas.openxmlformats.org/officeDocument/2006/relationships/hyperlink" Target="https://www.rfp.wiki/advertising-media-communications-services/integrated-creative-brand-agencies/droga5" TargetMode="External"/><Relationship Id="rId542" Type="http://schemas.openxmlformats.org/officeDocument/2006/relationships/hyperlink" Target="https://www.epicit.com.au/our-services/ai-services/ai-assessment/" TargetMode="External"/><Relationship Id="rId1133" Type="http://schemas.openxmlformats.org/officeDocument/2006/relationships/hyperlink" Target="https://www.sortlist.com/s/paid-media/new-south-wales-nsw-au" TargetMode="External"/><Relationship Id="rId2464" Type="http://schemas.openxmlformats.org/officeDocument/2006/relationships/hyperlink" Target="https://riseuplabs.com/top-web-design-agencies-in-australia/" TargetMode="External"/><Relationship Id="rId541" Type="http://schemas.openxmlformats.org/officeDocument/2006/relationships/hyperlink" Target="http://directiveconsulting.com" TargetMode="External"/><Relationship Id="rId1134" Type="http://schemas.openxmlformats.org/officeDocument/2006/relationships/hyperlink" Target="http://sortlist.com" TargetMode="External"/><Relationship Id="rId2465" Type="http://schemas.openxmlformats.org/officeDocument/2006/relationships/hyperlink" Target="http://riseuplabs.com" TargetMode="External"/><Relationship Id="rId540" Type="http://schemas.openxmlformats.org/officeDocument/2006/relationships/hyperlink" Target="https://directiveconsulting.com/blog/best-geo-agencies/" TargetMode="External"/><Relationship Id="rId1135" Type="http://schemas.openxmlformats.org/officeDocument/2006/relationships/hyperlink" Target="https://www.tamedmarketing.com.au/" TargetMode="External"/><Relationship Id="rId2466" Type="http://schemas.openxmlformats.org/officeDocument/2006/relationships/hyperlink" Target="https://www.roboticmarketer.com/how-ai-marketing-consultants-boost-productivity-and-roi/" TargetMode="External"/><Relationship Id="rId1125" Type="http://schemas.openxmlformats.org/officeDocument/2006/relationships/hyperlink" Target="https://searchagency.com.au/" TargetMode="External"/><Relationship Id="rId2456" Type="http://schemas.openxmlformats.org/officeDocument/2006/relationships/hyperlink" Target="http://resolutiondigital.com.au" TargetMode="External"/><Relationship Id="rId1126" Type="http://schemas.openxmlformats.org/officeDocument/2006/relationships/hyperlink" Target="http://searchagency.com.au" TargetMode="External"/><Relationship Id="rId2457" Type="http://schemas.openxmlformats.org/officeDocument/2006/relationships/hyperlink" Target="https://www.resolutiondigital.com.au/services/cro/google-marketing-platform/display-and-video-360/" TargetMode="External"/><Relationship Id="rId1127" Type="http://schemas.openxmlformats.org/officeDocument/2006/relationships/hyperlink" Target="https://seocompare.co.uk/ai-search-agencies-australia/" TargetMode="External"/><Relationship Id="rId2458" Type="http://schemas.openxmlformats.org/officeDocument/2006/relationships/hyperlink" Target="http://resolutiondigital.com.au" TargetMode="External"/><Relationship Id="rId1128" Type="http://schemas.openxmlformats.org/officeDocument/2006/relationships/hyperlink" Target="http://seocompare.co.uk" TargetMode="External"/><Relationship Id="rId2459" Type="http://schemas.openxmlformats.org/officeDocument/2006/relationships/hyperlink" Target="https://www.resolutiondigital.com.au/services/cro/google-marketing-platform/looker-studio/" TargetMode="External"/><Relationship Id="rId1129" Type="http://schemas.openxmlformats.org/officeDocument/2006/relationships/hyperlink" Target="https://www.smartosc.com/ai-consulting-services-in-australia/" TargetMode="External"/><Relationship Id="rId536" Type="http://schemas.openxmlformats.org/officeDocument/2006/relationships/hyperlink" Target="https://clearwateragency.com.au/ai-seo-agency" TargetMode="External"/><Relationship Id="rId535" Type="http://schemas.openxmlformats.org/officeDocument/2006/relationships/hyperlink" Target="http://bushnote.com" TargetMode="External"/><Relationship Id="rId534" Type="http://schemas.openxmlformats.org/officeDocument/2006/relationships/hyperlink" Target="https://www.bushnote.com/articles/best-digital-marketing-agency-for-ai-search-australia" TargetMode="External"/><Relationship Id="rId533" Type="http://schemas.openxmlformats.org/officeDocument/2006/relationships/hyperlink" Target="http://bonfire.com.au" TargetMode="External"/><Relationship Id="rId539" Type="http://schemas.openxmlformats.org/officeDocument/2006/relationships/hyperlink" Target="http://clicksgeek.com" TargetMode="External"/><Relationship Id="rId538" Type="http://schemas.openxmlformats.org/officeDocument/2006/relationships/hyperlink" Target="https://clicksgeek.com/marketing-attribution-tracking-services/" TargetMode="External"/><Relationship Id="rId537" Type="http://schemas.openxmlformats.org/officeDocument/2006/relationships/hyperlink" Target="http://clearwateragency.com.au" TargetMode="External"/><Relationship Id="rId2450" Type="http://schemas.openxmlformats.org/officeDocument/2006/relationships/hyperlink" Target="http://resolutiondigital.com.au" TargetMode="External"/><Relationship Id="rId1120" Type="http://schemas.openxmlformats.org/officeDocument/2006/relationships/hyperlink" Target="http://reddit.com" TargetMode="External"/><Relationship Id="rId2451" Type="http://schemas.openxmlformats.org/officeDocument/2006/relationships/hyperlink" Target="https://www.resolutiondigital.com.au/insights/resolution-digital-2022-google-premier-partner/" TargetMode="External"/><Relationship Id="rId532" Type="http://schemas.openxmlformats.org/officeDocument/2006/relationships/hyperlink" Target="https://www.bonfire.com.au/services/performance-media/google-ads/" TargetMode="External"/><Relationship Id="rId1121" Type="http://schemas.openxmlformats.org/officeDocument/2006/relationships/hyperlink" Target="https://www.risexventuress.com/ai-marketing-agency-location/australia" TargetMode="External"/><Relationship Id="rId2452" Type="http://schemas.openxmlformats.org/officeDocument/2006/relationships/hyperlink" Target="http://resolutiondigital.com.au" TargetMode="External"/><Relationship Id="rId531" Type="http://schemas.openxmlformats.org/officeDocument/2006/relationships/hyperlink" Target="http://bmf.com.au" TargetMode="External"/><Relationship Id="rId1122" Type="http://schemas.openxmlformats.org/officeDocument/2006/relationships/hyperlink" Target="http://risexventuress.com" TargetMode="External"/><Relationship Id="rId2453" Type="http://schemas.openxmlformats.org/officeDocument/2006/relationships/hyperlink" Target="https://www.resolutiondigital.com.au/insights/resolution-digital-launches-resolution-kinetic-anz/" TargetMode="External"/><Relationship Id="rId530" Type="http://schemas.openxmlformats.org/officeDocument/2006/relationships/hyperlink" Target="https://bmf.com.au/" TargetMode="External"/><Relationship Id="rId1123" Type="http://schemas.openxmlformats.org/officeDocument/2006/relationships/hyperlink" Target="https://rocketagency.com.au/about/digital-marketing-awards" TargetMode="External"/><Relationship Id="rId2454" Type="http://schemas.openxmlformats.org/officeDocument/2006/relationships/hyperlink" Target="http://resolutiondigital.com.au" TargetMode="External"/><Relationship Id="rId1124" Type="http://schemas.openxmlformats.org/officeDocument/2006/relationships/hyperlink" Target="http://rocketagency.com.au" TargetMode="External"/><Relationship Id="rId2455" Type="http://schemas.openxmlformats.org/officeDocument/2006/relationships/hyperlink" Target="https://www.resolutiondigital.com.au/services/cro/conversion-audit/" TargetMode="External"/><Relationship Id="rId1158" Type="http://schemas.openxmlformats.org/officeDocument/2006/relationships/hyperlink" Target="http://warc.com" TargetMode="External"/><Relationship Id="rId2005" Type="http://schemas.openxmlformats.org/officeDocument/2006/relationships/hyperlink" Target="https://www.forvio.com/product/geo-lift-tests" TargetMode="External"/><Relationship Id="rId2489" Type="http://schemas.openxmlformats.org/officeDocument/2006/relationships/hyperlink" Target="http://saltandfuessel.com.au" TargetMode="External"/><Relationship Id="rId1159" Type="http://schemas.openxmlformats.org/officeDocument/2006/relationships/hyperlink" Target="https://webprofits.com.au/about.html" TargetMode="External"/><Relationship Id="rId2006" Type="http://schemas.openxmlformats.org/officeDocument/2006/relationships/hyperlink" Target="http://forvio.com" TargetMode="External"/><Relationship Id="rId2007" Type="http://schemas.openxmlformats.org/officeDocument/2006/relationships/hyperlink" Target="https://www.ftalliance.com.au/australian-trusted-trader" TargetMode="External"/><Relationship Id="rId2008" Type="http://schemas.openxmlformats.org/officeDocument/2006/relationships/hyperlink" Target="http://ftalliance.com.au" TargetMode="External"/><Relationship Id="rId2009" Type="http://schemas.openxmlformats.org/officeDocument/2006/relationships/hyperlink" Target="https://www.ftalliance.com.au/data/news_attachments/4.%20australian%20trusted%20trader.pdf" TargetMode="External"/><Relationship Id="rId569" Type="http://schemas.openxmlformats.org/officeDocument/2006/relationships/hyperlink" Target="http://resolutiondigital.com.au" TargetMode="External"/><Relationship Id="rId568" Type="http://schemas.openxmlformats.org/officeDocument/2006/relationships/hyperlink" Target="https://www.resolutiondigital.com.au/services/measurement/analytics/" TargetMode="External"/><Relationship Id="rId567" Type="http://schemas.openxmlformats.org/officeDocument/2006/relationships/hyperlink" Target="http://pivotus.com.au" TargetMode="External"/><Relationship Id="rId566" Type="http://schemas.openxmlformats.org/officeDocument/2006/relationships/hyperlink" Target="https://pivotus.com.au/marketingintelligence/" TargetMode="External"/><Relationship Id="rId2480" Type="http://schemas.openxmlformats.org/officeDocument/2006/relationships/hyperlink" Target="https://roi.com.au/page/16/" TargetMode="External"/><Relationship Id="rId561" Type="http://schemas.openxmlformats.org/officeDocument/2006/relationships/hyperlink" Target="http://measured.com" TargetMode="External"/><Relationship Id="rId1150" Type="http://schemas.openxmlformats.org/officeDocument/2006/relationships/hyperlink" Target="http://titanblue.com.au" TargetMode="External"/><Relationship Id="rId2481" Type="http://schemas.openxmlformats.org/officeDocument/2006/relationships/hyperlink" Target="http://roi.com.au" TargetMode="External"/><Relationship Id="rId560" Type="http://schemas.openxmlformats.org/officeDocument/2006/relationships/hyperlink" Target="https://www.measured.com/faq/what-is-incrementality-testing/" TargetMode="External"/><Relationship Id="rId1151" Type="http://schemas.openxmlformats.org/officeDocument/2006/relationships/hyperlink" Target="https://www.unifida.com.au/" TargetMode="External"/><Relationship Id="rId2482" Type="http://schemas.openxmlformats.org/officeDocument/2006/relationships/hyperlink" Target="https://www.ruleranalytics.com/blog/analytics/marketing-attribution-software/" TargetMode="External"/><Relationship Id="rId1152" Type="http://schemas.openxmlformats.org/officeDocument/2006/relationships/hyperlink" Target="http://unifida.com.au" TargetMode="External"/><Relationship Id="rId2483" Type="http://schemas.openxmlformats.org/officeDocument/2006/relationships/hyperlink" Target="http://ruleranalytics.com" TargetMode="External"/><Relationship Id="rId1153" Type="http://schemas.openxmlformats.org/officeDocument/2006/relationships/hyperlink" Target="https://upcity.com/au/creative" TargetMode="External"/><Relationship Id="rId2000" Type="http://schemas.openxmlformats.org/officeDocument/2006/relationships/hyperlink" Target="http://fixnhour.com" TargetMode="External"/><Relationship Id="rId2484" Type="http://schemas.openxmlformats.org/officeDocument/2006/relationships/hyperlink" Target="https://www.rzlt.io/blog/best-ai-marketing-agencies-in-2026-the-definitive-guide-by-specialty" TargetMode="External"/><Relationship Id="rId565" Type="http://schemas.openxmlformats.org/officeDocument/2006/relationships/hyperlink" Target="http://omnieclipse.ai" TargetMode="External"/><Relationship Id="rId1154" Type="http://schemas.openxmlformats.org/officeDocument/2006/relationships/hyperlink" Target="http://upcity.com" TargetMode="External"/><Relationship Id="rId2001" Type="http://schemas.openxmlformats.org/officeDocument/2006/relationships/hyperlink" Target="https://www.flurodigital.com/" TargetMode="External"/><Relationship Id="rId2485" Type="http://schemas.openxmlformats.org/officeDocument/2006/relationships/hyperlink" Target="http://rzlt.io" TargetMode="External"/><Relationship Id="rId564" Type="http://schemas.openxmlformats.org/officeDocument/2006/relationships/hyperlink" Target="https://omnieclipse.ai/blog/best-aeo-agencies-australia-2026" TargetMode="External"/><Relationship Id="rId1155" Type="http://schemas.openxmlformats.org/officeDocument/2006/relationships/hyperlink" Target="https://www.usercall.co/post/top-20-market-research-companies-in-australia-2025" TargetMode="External"/><Relationship Id="rId2002" Type="http://schemas.openxmlformats.org/officeDocument/2006/relationships/hyperlink" Target="http://flurodigital.com" TargetMode="External"/><Relationship Id="rId2486" Type="http://schemas.openxmlformats.org/officeDocument/2006/relationships/hyperlink" Target="https://www.salesforce.com/au/marketing/ai/best-ai-marketing-tools/" TargetMode="External"/><Relationship Id="rId563" Type="http://schemas.openxmlformats.org/officeDocument/2006/relationships/hyperlink" Target="http://myohomarketing.com.au" TargetMode="External"/><Relationship Id="rId1156" Type="http://schemas.openxmlformats.org/officeDocument/2006/relationships/hyperlink" Target="http://usercall.co" TargetMode="External"/><Relationship Id="rId2003" Type="http://schemas.openxmlformats.org/officeDocument/2006/relationships/hyperlink" Target="https://www.formulate.com.au/articles/top-seven-seo-agencies-in-melbourne/" TargetMode="External"/><Relationship Id="rId2487" Type="http://schemas.openxmlformats.org/officeDocument/2006/relationships/hyperlink" Target="http://salesforce.com" TargetMode="External"/><Relationship Id="rId562" Type="http://schemas.openxmlformats.org/officeDocument/2006/relationships/hyperlink" Target="https://myohomarketing.com.au/generative-engine-optimisation/" TargetMode="External"/><Relationship Id="rId1157" Type="http://schemas.openxmlformats.org/officeDocument/2006/relationships/hyperlink" Target="https://www.warc.com/en/rankings/creative-100" TargetMode="External"/><Relationship Id="rId2004" Type="http://schemas.openxmlformats.org/officeDocument/2006/relationships/hyperlink" Target="http://formulate.com.au" TargetMode="External"/><Relationship Id="rId2488" Type="http://schemas.openxmlformats.org/officeDocument/2006/relationships/hyperlink" Target="https://saltandfuessel.com.au/ai-seo-agency-melbourne" TargetMode="External"/><Relationship Id="rId1147" Type="http://schemas.openxmlformats.org/officeDocument/2006/relationships/hyperlink" Target="https://theonlinegroup.com.au/ai-automation/ai-marketing-agency" TargetMode="External"/><Relationship Id="rId2478" Type="http://schemas.openxmlformats.org/officeDocument/2006/relationships/hyperlink" Target="https://roi.com.au/know-how/challenges/roi-profitability/what-analytics-platforms-work-best" TargetMode="External"/><Relationship Id="rId1148" Type="http://schemas.openxmlformats.org/officeDocument/2006/relationships/hyperlink" Target="http://theonlinegroup.com.au" TargetMode="External"/><Relationship Id="rId2479" Type="http://schemas.openxmlformats.org/officeDocument/2006/relationships/hyperlink" Target="http://roi.com.au" TargetMode="External"/><Relationship Id="rId1149" Type="http://schemas.openxmlformats.org/officeDocument/2006/relationships/hyperlink" Target="https://titanblue.com.au/ai-search-optimisation-agency/?srsltid=AfmBOooc8qrkvV3f6HsRqxexLRCbojm5HjPSA0Pu7mziX52P3MBgox1-" TargetMode="External"/><Relationship Id="rId558" Type="http://schemas.openxmlformats.org/officeDocument/2006/relationships/hyperlink" Target="https://www.marketingsystems.com.au/services/measurement-agency" TargetMode="External"/><Relationship Id="rId557" Type="http://schemas.openxmlformats.org/officeDocument/2006/relationships/hyperlink" Target="http://marketingeye.com.au" TargetMode="External"/><Relationship Id="rId556" Type="http://schemas.openxmlformats.org/officeDocument/2006/relationships/hyperlink" Target="https://www.marketingeye.com.au/ai-marketing-consultant-services.html" TargetMode="External"/><Relationship Id="rId555" Type="http://schemas.openxmlformats.org/officeDocument/2006/relationships/hyperlink" Target="http://linkedin.com" TargetMode="External"/><Relationship Id="rId559" Type="http://schemas.openxmlformats.org/officeDocument/2006/relationships/hyperlink" Target="http://marketingsystems.com.au" TargetMode="External"/><Relationship Id="rId550" Type="http://schemas.openxmlformats.org/officeDocument/2006/relationships/hyperlink" Target="https://govanator.com/best-performance-marketing-services-in-australia/" TargetMode="External"/><Relationship Id="rId2470" Type="http://schemas.openxmlformats.org/officeDocument/2006/relationships/hyperlink" Target="https://rocketagency.com.au/services/ppc-agency/programmatic" TargetMode="External"/><Relationship Id="rId1140" Type="http://schemas.openxmlformats.org/officeDocument/2006/relationships/hyperlink" Target="http://thefrontdigital.com.au" TargetMode="External"/><Relationship Id="rId2471" Type="http://schemas.openxmlformats.org/officeDocument/2006/relationships/hyperlink" Target="http://rocketagency.com.au" TargetMode="External"/><Relationship Id="rId1141" Type="http://schemas.openxmlformats.org/officeDocument/2006/relationships/hyperlink" Target="https://www.thehero.co/news/australias-best-marketing-advertising-firm-2026-top-100" TargetMode="External"/><Relationship Id="rId2472" Type="http://schemas.openxmlformats.org/officeDocument/2006/relationships/hyperlink" Target="https://rocketagency.com.au/services/seo-agency/aeo" TargetMode="External"/><Relationship Id="rId1142" Type="http://schemas.openxmlformats.org/officeDocument/2006/relationships/hyperlink" Target="http://thehero.co" TargetMode="External"/><Relationship Id="rId2473" Type="http://schemas.openxmlformats.org/officeDocument/2006/relationships/hyperlink" Target="http://rocketagency.com.au" TargetMode="External"/><Relationship Id="rId554" Type="http://schemas.openxmlformats.org/officeDocument/2006/relationships/hyperlink" Target="https://www.linkedin.com/pulse/top-data-analytics-services-australia-vanator-assist-dcjvf?trk=public_post" TargetMode="External"/><Relationship Id="rId1143" Type="http://schemas.openxmlformats.org/officeDocument/2006/relationships/hyperlink" Target="https://themanifest.com/au/digital-marketing/agencies" TargetMode="External"/><Relationship Id="rId2474" Type="http://schemas.openxmlformats.org/officeDocument/2006/relationships/hyperlink" Target="https://rocketreach.co/sparro-profile_b5d92a07f42e5d84" TargetMode="External"/><Relationship Id="rId553" Type="http://schemas.openxmlformats.org/officeDocument/2006/relationships/hyperlink" Target="http://gtm8020.com" TargetMode="External"/><Relationship Id="rId1144" Type="http://schemas.openxmlformats.org/officeDocument/2006/relationships/hyperlink" Target="http://themanifest.com" TargetMode="External"/><Relationship Id="rId2475" Type="http://schemas.openxmlformats.org/officeDocument/2006/relationships/hyperlink" Target="http://rocketreach.co" TargetMode="External"/><Relationship Id="rId552" Type="http://schemas.openxmlformats.org/officeDocument/2006/relationships/hyperlink" Target="https://www.gtm8020.com/blog/best-aeo-agencies" TargetMode="External"/><Relationship Id="rId1145" Type="http://schemas.openxmlformats.org/officeDocument/2006/relationships/hyperlink" Target="https://themanifest.com/au/digital-marketing/agencies?page=1" TargetMode="External"/><Relationship Id="rId2476" Type="http://schemas.openxmlformats.org/officeDocument/2006/relationships/hyperlink" Target="https://roi.com.au/about-us" TargetMode="External"/><Relationship Id="rId551" Type="http://schemas.openxmlformats.org/officeDocument/2006/relationships/hyperlink" Target="http://govanator.com" TargetMode="External"/><Relationship Id="rId1146" Type="http://schemas.openxmlformats.org/officeDocument/2006/relationships/hyperlink" Target="http://themanifest.com" TargetMode="External"/><Relationship Id="rId2477" Type="http://schemas.openxmlformats.org/officeDocument/2006/relationships/hyperlink" Target="http://roi.com.au" TargetMode="External"/><Relationship Id="rId2090" Type="http://schemas.openxmlformats.org/officeDocument/2006/relationships/hyperlink" Target="http://google.com" TargetMode="External"/><Relationship Id="rId2091" Type="http://schemas.openxmlformats.org/officeDocument/2006/relationships/hyperlink" Target="https://www.google.com/searchviewer/10?svid=CAwSHRIbCgNwdnESFENnMHZaeTh4TVhad2VIQnVPVjgzGAo" TargetMode="External"/><Relationship Id="rId2092" Type="http://schemas.openxmlformats.org/officeDocument/2006/relationships/hyperlink" Target="http://google.com" TargetMode="External"/><Relationship Id="rId2093" Type="http://schemas.openxmlformats.org/officeDocument/2006/relationships/hyperlink" Target="https://www.google.com/searchviewer/10?svid=CAwSHRIbCgNwdnESFENnMHZaeTh4TVhrME5IUjBNbTAxGAo" TargetMode="External"/><Relationship Id="rId2094" Type="http://schemas.openxmlformats.org/officeDocument/2006/relationships/hyperlink" Target="http://google.com" TargetMode="External"/><Relationship Id="rId2095" Type="http://schemas.openxmlformats.org/officeDocument/2006/relationships/hyperlink" Target="https://gorilla360.com.au/cro-agency/" TargetMode="External"/><Relationship Id="rId2096" Type="http://schemas.openxmlformats.org/officeDocument/2006/relationships/hyperlink" Target="http://gorilla360.com.au" TargetMode="External"/><Relationship Id="rId2097" Type="http://schemas.openxmlformats.org/officeDocument/2006/relationships/hyperlink" Target="https://gorilla360.com.au/geo/" TargetMode="External"/><Relationship Id="rId2098" Type="http://schemas.openxmlformats.org/officeDocument/2006/relationships/hyperlink" Target="http://gorilla360.com.au" TargetMode="External"/><Relationship Id="rId2099" Type="http://schemas.openxmlformats.org/officeDocument/2006/relationships/hyperlink" Target="https://gorilla360.com.au/google-analytics-agency/" TargetMode="External"/><Relationship Id="rId2060" Type="http://schemas.openxmlformats.org/officeDocument/2006/relationships/hyperlink" Target="http://google.com" TargetMode="External"/><Relationship Id="rId2061" Type="http://schemas.openxmlformats.org/officeDocument/2006/relationships/hyperlink" Target="https://www.google.com/searchviewer/10?svid=CAwSHRIbCgNwdnESFENnMHZaeTh4TVc0eE16UTRYM055GAo" TargetMode="External"/><Relationship Id="rId2062" Type="http://schemas.openxmlformats.org/officeDocument/2006/relationships/hyperlink" Target="http://google.com" TargetMode="External"/><Relationship Id="rId2063" Type="http://schemas.openxmlformats.org/officeDocument/2006/relationships/hyperlink" Target="https://www.google.com/searchviewer/10?svid=CAwSHRIbCgNwdnESFENnMHZaeTh4TVdNMmJEbHRaR2R6GAo" TargetMode="External"/><Relationship Id="rId2064" Type="http://schemas.openxmlformats.org/officeDocument/2006/relationships/hyperlink" Target="http://google.com" TargetMode="External"/><Relationship Id="rId2065" Type="http://schemas.openxmlformats.org/officeDocument/2006/relationships/hyperlink" Target="https://www.google.com/searchviewer/10?svid=CAwSHRIbCgNwdnESFENnMHZaeTh4TVdSNk1ISnJkbkJ1GAo" TargetMode="External"/><Relationship Id="rId2066" Type="http://schemas.openxmlformats.org/officeDocument/2006/relationships/hyperlink" Target="http://google.com" TargetMode="External"/><Relationship Id="rId2067" Type="http://schemas.openxmlformats.org/officeDocument/2006/relationships/hyperlink" Target="https://www.google.com/searchviewer/10?svid=CAwSHRIbCgNwdnESFENnMHZaeTh4TVdjMmNHWnphRGgzGAo" TargetMode="External"/><Relationship Id="rId2068" Type="http://schemas.openxmlformats.org/officeDocument/2006/relationships/hyperlink" Target="http://google.com" TargetMode="External"/><Relationship Id="rId2069" Type="http://schemas.openxmlformats.org/officeDocument/2006/relationships/hyperlink" Target="https://www.google.com/searchviewer/10?svid=CAwSHRIbCgNwdnESFENnMHZaeTh4TVdkbmNtc3lZM05vGAo" TargetMode="External"/><Relationship Id="rId2050" Type="http://schemas.openxmlformats.org/officeDocument/2006/relationships/hyperlink" Target="http://goodfirms.co" TargetMode="External"/><Relationship Id="rId2051" Type="http://schemas.openxmlformats.org/officeDocument/2006/relationships/hyperlink" Target="https://www.google.com/searchviewer/10?svid=CAwSGxIZCgNwdnESEkNnc3ZaeTh4ZEdZeWNEQTVNQRgK" TargetMode="External"/><Relationship Id="rId495" Type="http://schemas.openxmlformats.org/officeDocument/2006/relationships/hyperlink" Target="http://mkmedia.com.au" TargetMode="External"/><Relationship Id="rId2052" Type="http://schemas.openxmlformats.org/officeDocument/2006/relationships/hyperlink" Target="http://google.com" TargetMode="External"/><Relationship Id="rId494" Type="http://schemas.openxmlformats.org/officeDocument/2006/relationships/hyperlink" Target="https://www.mkmedia.com.au/marketing-attribution-software/" TargetMode="External"/><Relationship Id="rId2053" Type="http://schemas.openxmlformats.org/officeDocument/2006/relationships/hyperlink" Target="https://www.google.com/searchviewer/10?svid=CAwSGxIZCgNwdnESEkNnc3ZaeTh4ZEdvek5XUm1iQRgK" TargetMode="External"/><Relationship Id="rId493" Type="http://schemas.openxmlformats.org/officeDocument/2006/relationships/hyperlink" Target="http://mightyhive.com" TargetMode="External"/><Relationship Id="rId2054" Type="http://schemas.openxmlformats.org/officeDocument/2006/relationships/hyperlink" Target="http://google.com" TargetMode="External"/><Relationship Id="rId492" Type="http://schemas.openxmlformats.org/officeDocument/2006/relationships/hyperlink" Target="https://mightyhive.com/mightyhive-named-top-aunz-google-marketing-platform-partner-second-year-row" TargetMode="External"/><Relationship Id="rId2055" Type="http://schemas.openxmlformats.org/officeDocument/2006/relationships/hyperlink" Target="https://www.google.com/searchviewer/10?svid=CAwSGxIZCgNwdnESEkNnc3ZaeTh4ZG10eU1IZzRhZxgK" TargetMode="External"/><Relationship Id="rId499" Type="http://schemas.openxmlformats.org/officeDocument/2006/relationships/hyperlink" Target="https://www.reddit.com/r/agency/comments/1ok212i/performance_marketing_incrementality/" TargetMode="External"/><Relationship Id="rId2056" Type="http://schemas.openxmlformats.org/officeDocument/2006/relationships/hyperlink" Target="http://google.com" TargetMode="External"/><Relationship Id="rId498" Type="http://schemas.openxmlformats.org/officeDocument/2006/relationships/hyperlink" Target="http://promoguy.nl" TargetMode="External"/><Relationship Id="rId2057" Type="http://schemas.openxmlformats.org/officeDocument/2006/relationships/hyperlink" Target="https://www.google.com/searchviewer/10?svid=CAwSGxIZCgNwdnESEkNnc3ZaeTh4ZGw5NU9XSXpOZxgK" TargetMode="External"/><Relationship Id="rId497" Type="http://schemas.openxmlformats.org/officeDocument/2006/relationships/hyperlink" Target="https://promoguy.nl/blog/2026/02/12/incrementality-testing-for-marketing-promotion/" TargetMode="External"/><Relationship Id="rId2058" Type="http://schemas.openxmlformats.org/officeDocument/2006/relationships/hyperlink" Target="http://google.com" TargetMode="External"/><Relationship Id="rId496" Type="http://schemas.openxmlformats.org/officeDocument/2006/relationships/hyperlink" Target="https://www.position.digital/blog/top-geo-agencies/" TargetMode="External"/><Relationship Id="rId2059" Type="http://schemas.openxmlformats.org/officeDocument/2006/relationships/hyperlink" Target="https://www.google.com/searchviewer/10?svid=CAwSHBIaCgNwdnESE0Nnd3ZaeTh4YUdZd2Rub3hPRGMYCg" TargetMode="External"/><Relationship Id="rId2080" Type="http://schemas.openxmlformats.org/officeDocument/2006/relationships/hyperlink" Target="http://google.com" TargetMode="External"/><Relationship Id="rId2081" Type="http://schemas.openxmlformats.org/officeDocument/2006/relationships/hyperlink" Target="https://www.google.com/searchviewer/10?svid=CAwSHRIbCgNwdnESFENnMHZaeTh4TVdwek1UUmpaR3A0GAo" TargetMode="External"/><Relationship Id="rId2082" Type="http://schemas.openxmlformats.org/officeDocument/2006/relationships/hyperlink" Target="http://google.com" TargetMode="External"/><Relationship Id="rId2083" Type="http://schemas.openxmlformats.org/officeDocument/2006/relationships/hyperlink" Target="https://www.google.com/searchviewer/10?svid=CAwSHRIbCgNwdnESFENnMHZaeTh4TVhKbllucG9jVE56GAo" TargetMode="External"/><Relationship Id="rId2084" Type="http://schemas.openxmlformats.org/officeDocument/2006/relationships/hyperlink" Target="http://google.com" TargetMode="External"/><Relationship Id="rId2085" Type="http://schemas.openxmlformats.org/officeDocument/2006/relationships/hyperlink" Target="https://www.google.com/searchviewer/10?svid=CAwSHRIbCgNwdnESFENnMHZaeTh4TVhNM2VYZzJNV2hxGAo" TargetMode="External"/><Relationship Id="rId2086" Type="http://schemas.openxmlformats.org/officeDocument/2006/relationships/hyperlink" Target="http://google.com" TargetMode="External"/><Relationship Id="rId2087" Type="http://schemas.openxmlformats.org/officeDocument/2006/relationships/hyperlink" Target="https://www.google.com/searchviewer/10?svid=CAwSHRIbCgNwdnESFENnMHZaeTh4TVhRMWJIbDZObUl4GAo" TargetMode="External"/><Relationship Id="rId2088" Type="http://schemas.openxmlformats.org/officeDocument/2006/relationships/hyperlink" Target="http://google.com" TargetMode="External"/><Relationship Id="rId2089" Type="http://schemas.openxmlformats.org/officeDocument/2006/relationships/hyperlink" Target="https://www.google.com/searchviewer/10?svid=CAwSHRIbCgNwdnESFENnMHZaeTh4TVhReU9UbDBiR28wGAo" TargetMode="External"/><Relationship Id="rId2070" Type="http://schemas.openxmlformats.org/officeDocument/2006/relationships/hyperlink" Target="http://google.com" TargetMode="External"/><Relationship Id="rId2071" Type="http://schemas.openxmlformats.org/officeDocument/2006/relationships/hyperlink" Target="https://www.google.com/searchviewer/10?svid=CAwSHRIbCgNwdnESFENnMHZaeTh4TVdnME5uTXllalZ4GAo" TargetMode="External"/><Relationship Id="rId2072" Type="http://schemas.openxmlformats.org/officeDocument/2006/relationships/hyperlink" Target="http://google.com" TargetMode="External"/><Relationship Id="rId2073" Type="http://schemas.openxmlformats.org/officeDocument/2006/relationships/hyperlink" Target="https://www.google.com/searchviewer/10?svid=CAwSHRIbCgNwdnESFENnMHZaeTh4TVdnd1lqbGtPVGhrGAo" TargetMode="External"/><Relationship Id="rId2074" Type="http://schemas.openxmlformats.org/officeDocument/2006/relationships/hyperlink" Target="http://google.com" TargetMode="External"/><Relationship Id="rId2075" Type="http://schemas.openxmlformats.org/officeDocument/2006/relationships/hyperlink" Target="https://www.google.com/searchviewer/10?svid=CAwSHRIbCgNwdnESFENnMHZaeTh4TVdneWEyMXlaR2RyGAo" TargetMode="External"/><Relationship Id="rId2076" Type="http://schemas.openxmlformats.org/officeDocument/2006/relationships/hyperlink" Target="http://google.com" TargetMode="External"/><Relationship Id="rId2077" Type="http://schemas.openxmlformats.org/officeDocument/2006/relationships/hyperlink" Target="https://www.google.com/searchviewer/10?svid=CAwSHRIbCgNwdnESFENnMHZaeTh4TVdneWNXMXpOblEyGAo" TargetMode="External"/><Relationship Id="rId2078" Type="http://schemas.openxmlformats.org/officeDocument/2006/relationships/hyperlink" Target="http://google.com" TargetMode="External"/><Relationship Id="rId2079" Type="http://schemas.openxmlformats.org/officeDocument/2006/relationships/hyperlink" Target="https://www.google.com/searchviewer/10?svid=CAwSHRIbCgNwdnESFENnMHZaeTh4TVdoa2N6TnFkbDgwGAo" TargetMode="External"/><Relationship Id="rId1610" Type="http://schemas.openxmlformats.org/officeDocument/2006/relationships/hyperlink" Target="https://aiims.group/services/best-seo-agency-australia/" TargetMode="External"/><Relationship Id="rId1611" Type="http://schemas.openxmlformats.org/officeDocument/2006/relationships/hyperlink" Target="https://aipivot.com.au/blog/how-to-choose-ai-seo-agency-australia" TargetMode="External"/><Relationship Id="rId1612" Type="http://schemas.openxmlformats.org/officeDocument/2006/relationships/hyperlink" Target="http://aipivot.com.au" TargetMode="External"/><Relationship Id="rId1613" Type="http://schemas.openxmlformats.org/officeDocument/2006/relationships/hyperlink" Target="https://aipivot.com.au/geo-generative-engine-optimisation" TargetMode="External"/><Relationship Id="rId1614" Type="http://schemas.openxmlformats.org/officeDocument/2006/relationships/hyperlink" Target="http://aipivot.com.au" TargetMode="External"/><Relationship Id="rId1615" Type="http://schemas.openxmlformats.org/officeDocument/2006/relationships/hyperlink" Target="https://aistrategyconsulting.com.au/" TargetMode="External"/><Relationship Id="rId1616" Type="http://schemas.openxmlformats.org/officeDocument/2006/relationships/hyperlink" Target="http://aistrategyconsulting.com.au" TargetMode="External"/><Relationship Id="rId907" Type="http://schemas.openxmlformats.org/officeDocument/2006/relationships/hyperlink" Target="http://ensun.io" TargetMode="External"/><Relationship Id="rId1617" Type="http://schemas.openxmlformats.org/officeDocument/2006/relationships/hyperlink" Target="https://alleygroup.com.au/" TargetMode="External"/><Relationship Id="rId906" Type="http://schemas.openxmlformats.org/officeDocument/2006/relationships/hyperlink" Target="https://ensun.io/search/ai-marketing/australia" TargetMode="External"/><Relationship Id="rId1618" Type="http://schemas.openxmlformats.org/officeDocument/2006/relationships/hyperlink" Target="http://alleygroup.com.au" TargetMode="External"/><Relationship Id="rId905" Type="http://schemas.openxmlformats.org/officeDocument/2006/relationships/hyperlink" Target="http://edisonai.au" TargetMode="External"/><Relationship Id="rId1619" Type="http://schemas.openxmlformats.org/officeDocument/2006/relationships/hyperlink" Target="https://alleygroup.com.au/contact/melbourne/" TargetMode="External"/><Relationship Id="rId904" Type="http://schemas.openxmlformats.org/officeDocument/2006/relationships/hyperlink" Target="https://edisonai.au/insights/best-ai-consultants-for-small-business-australia" TargetMode="External"/><Relationship Id="rId909" Type="http://schemas.openxmlformats.org/officeDocument/2006/relationships/hyperlink" Target="http://goodfirms.co" TargetMode="External"/><Relationship Id="rId908" Type="http://schemas.openxmlformats.org/officeDocument/2006/relationships/hyperlink" Target="https://www.goodfirms.co/directory/city/top-digital-marketing-companies/media-planning-buying/melbourne" TargetMode="External"/><Relationship Id="rId903" Type="http://schemas.openxmlformats.org/officeDocument/2006/relationships/hyperlink" Target="http://digitalreference.co" TargetMode="External"/><Relationship Id="rId902" Type="http://schemas.openxmlformats.org/officeDocument/2006/relationships/hyperlink" Target="https://www.digitalreference.co/insights/marketing-professionals/best-digital-marketing-agencies-companies-in-australia" TargetMode="External"/><Relationship Id="rId901" Type="http://schemas.openxmlformats.org/officeDocument/2006/relationships/hyperlink" Target="http://digitalon.ai" TargetMode="External"/><Relationship Id="rId900" Type="http://schemas.openxmlformats.org/officeDocument/2006/relationships/hyperlink" Target="https://digitalon.ai/ai-consultants-australia" TargetMode="External"/><Relationship Id="rId1600" Type="http://schemas.openxmlformats.org/officeDocument/2006/relationships/hyperlink" Target="https://agenticmarketingpro.com/incrementality-testing/" TargetMode="External"/><Relationship Id="rId1601" Type="http://schemas.openxmlformats.org/officeDocument/2006/relationships/hyperlink" Target="http://agenticmarketingpro.com" TargetMode="External"/><Relationship Id="rId1602" Type="http://schemas.openxmlformats.org/officeDocument/2006/relationships/hyperlink" Target="https://agentum.com.au/" TargetMode="External"/><Relationship Id="rId1603" Type="http://schemas.openxmlformats.org/officeDocument/2006/relationships/hyperlink" Target="http://agentum.com.au" TargetMode="External"/><Relationship Id="rId1604" Type="http://schemas.openxmlformats.org/officeDocument/2006/relationships/hyperlink" Target="https://aiavenue.com.au/" TargetMode="External"/><Relationship Id="rId1605" Type="http://schemas.openxmlformats.org/officeDocument/2006/relationships/hyperlink" Target="http://aiavenue.com.au" TargetMode="External"/><Relationship Id="rId1606" Type="http://schemas.openxmlformats.org/officeDocument/2006/relationships/hyperlink" Target="https://aiconsultinggroup.com.au" TargetMode="External"/><Relationship Id="rId1607" Type="http://schemas.openxmlformats.org/officeDocument/2006/relationships/hyperlink" Target="http://aiconsultinggroup.com.au" TargetMode="External"/><Relationship Id="rId1608" Type="http://schemas.openxmlformats.org/officeDocument/2006/relationships/hyperlink" Target="https://aify.com.au/" TargetMode="External"/><Relationship Id="rId1609" Type="http://schemas.openxmlformats.org/officeDocument/2006/relationships/hyperlink" Target="http://aify.com.au" TargetMode="External"/><Relationship Id="rId1631" Type="http://schemas.openxmlformats.org/officeDocument/2006/relationships/hyperlink" Target="https://www.als-cs.com/glossary/a/authorized-economic-operator-aeo-trusted-trader-programs/" TargetMode="External"/><Relationship Id="rId1632" Type="http://schemas.openxmlformats.org/officeDocument/2006/relationships/hyperlink" Target="http://als-cs.com" TargetMode="External"/><Relationship Id="rId1633" Type="http://schemas.openxmlformats.org/officeDocument/2006/relationships/hyperlink" Target="https://www.alyka.com.au/our-services/digital-marketing/programmatic-ads" TargetMode="External"/><Relationship Id="rId1634" Type="http://schemas.openxmlformats.org/officeDocument/2006/relationships/hyperlink" Target="http://alyka.com.au" TargetMode="External"/><Relationship Id="rId1635" Type="http://schemas.openxmlformats.org/officeDocument/2006/relationships/hyperlink" Target="https://ami.org.au/knowledge-hub/australian-marketing-institute-announces-2025-marketing-excellence-award-winners/" TargetMode="External"/><Relationship Id="rId1636" Type="http://schemas.openxmlformats.org/officeDocument/2006/relationships/hyperlink" Target="http://ami.org.au" TargetMode="External"/><Relationship Id="rId1637" Type="http://schemas.openxmlformats.org/officeDocument/2006/relationships/hyperlink" Target="https://analyticpartners.com/" TargetMode="External"/><Relationship Id="rId1638" Type="http://schemas.openxmlformats.org/officeDocument/2006/relationships/hyperlink" Target="http://analyticpartners.com" TargetMode="External"/><Relationship Id="rId929" Type="http://schemas.openxmlformats.org/officeDocument/2006/relationships/hyperlink" Target="http://mkt-sci.com" TargetMode="External"/><Relationship Id="rId1639" Type="http://schemas.openxmlformats.org/officeDocument/2006/relationships/hyperlink" Target="https://www.aoyglobalawards.com/finalists/droga5-anz-part-of-accenture-song-2jony4abg4wj6hj" TargetMode="External"/><Relationship Id="rId928" Type="http://schemas.openxmlformats.org/officeDocument/2006/relationships/hyperlink" Target="https://www.mkt-sci.com/" TargetMode="External"/><Relationship Id="rId927" Type="http://schemas.openxmlformats.org/officeDocument/2006/relationships/hyperlink" Target="http://magnetoitsolutions.com" TargetMode="External"/><Relationship Id="rId926" Type="http://schemas.openxmlformats.org/officeDocument/2006/relationships/hyperlink" Target="https://magnetoitsolutions.com/au/generative-engine-optimization" TargetMode="External"/><Relationship Id="rId921" Type="http://schemas.openxmlformats.org/officeDocument/2006/relationships/hyperlink" Target="http://leadsrx.com" TargetMode="External"/><Relationship Id="rId920" Type="http://schemas.openxmlformats.org/officeDocument/2006/relationships/hyperlink" Target="https://leadsrx.com/resource/35-marketing-attribution-software-companies/" TargetMode="External"/><Relationship Id="rId925" Type="http://schemas.openxmlformats.org/officeDocument/2006/relationships/hyperlink" Target="http://liftlab.com" TargetMode="External"/><Relationship Id="rId924" Type="http://schemas.openxmlformats.org/officeDocument/2006/relationships/hyperlink" Target="https://liftlab.com/solutions/incrementality-testing/" TargetMode="External"/><Relationship Id="rId923" Type="http://schemas.openxmlformats.org/officeDocument/2006/relationships/hyperlink" Target="http://lengreo.com" TargetMode="External"/><Relationship Id="rId922" Type="http://schemas.openxmlformats.org/officeDocument/2006/relationships/hyperlink" Target="https://lengreo.com/australia-brisbane-aeo-geo-llmo-companies/" TargetMode="External"/><Relationship Id="rId1630" Type="http://schemas.openxmlformats.org/officeDocument/2006/relationships/hyperlink" Target="http://alphadigital.com.au" TargetMode="External"/><Relationship Id="rId1620" Type="http://schemas.openxmlformats.org/officeDocument/2006/relationships/hyperlink" Target="http://alleygroup.com.au" TargetMode="External"/><Relationship Id="rId1621" Type="http://schemas.openxmlformats.org/officeDocument/2006/relationships/hyperlink" Target="https://alleygroup.com.au/strategy/performance/" TargetMode="External"/><Relationship Id="rId1622" Type="http://schemas.openxmlformats.org/officeDocument/2006/relationships/hyperlink" Target="http://alleygroup.com.au" TargetMode="External"/><Relationship Id="rId1623" Type="http://schemas.openxmlformats.org/officeDocument/2006/relationships/hyperlink" Target="https://allgeo.com.au/" TargetMode="External"/><Relationship Id="rId1624" Type="http://schemas.openxmlformats.org/officeDocument/2006/relationships/hyperlink" Target="http://allgeo.com.au" TargetMode="External"/><Relationship Id="rId1625" Type="http://schemas.openxmlformats.org/officeDocument/2006/relationships/hyperlink" Target="https://allgeo.com.au/geotechnical/" TargetMode="External"/><Relationship Id="rId1626" Type="http://schemas.openxmlformats.org/officeDocument/2006/relationships/hyperlink" Target="http://allgeo.com.au" TargetMode="External"/><Relationship Id="rId1627" Type="http://schemas.openxmlformats.org/officeDocument/2006/relationships/hyperlink" Target="https://www.alphaapexgroup.com/blog/top-ai-consulting-firms" TargetMode="External"/><Relationship Id="rId918" Type="http://schemas.openxmlformats.org/officeDocument/2006/relationships/hyperlink" Target="https://leadsnow.ai/best-high-ticket-marketing-agencies-australia/" TargetMode="External"/><Relationship Id="rId1628" Type="http://schemas.openxmlformats.org/officeDocument/2006/relationships/hyperlink" Target="http://alphaapexgroup.com" TargetMode="External"/><Relationship Id="rId917" Type="http://schemas.openxmlformats.org/officeDocument/2006/relationships/hyperlink" Target="http://itcc.co" TargetMode="External"/><Relationship Id="rId1629" Type="http://schemas.openxmlformats.org/officeDocument/2006/relationships/hyperlink" Target="https://www.alphadigital.com.au/contact/" TargetMode="External"/><Relationship Id="rId916" Type="http://schemas.openxmlformats.org/officeDocument/2006/relationships/hyperlink" Target="https://itcc.co/aeo-agency-australia/" TargetMode="External"/><Relationship Id="rId915" Type="http://schemas.openxmlformats.org/officeDocument/2006/relationships/hyperlink" Target="http://idhlagency.com" TargetMode="External"/><Relationship Id="rId919" Type="http://schemas.openxmlformats.org/officeDocument/2006/relationships/hyperlink" Target="http://leadsnow.ai" TargetMode="External"/><Relationship Id="rId910" Type="http://schemas.openxmlformats.org/officeDocument/2006/relationships/hyperlink" Target="https://www.goodfirms.co/directory/country/top-digital-marketing-companies/media-planning-buying/australia" TargetMode="External"/><Relationship Id="rId914" Type="http://schemas.openxmlformats.org/officeDocument/2006/relationships/hyperlink" Target="https://www.idhlagency.com/digital-marketing/measurement-attribution" TargetMode="External"/><Relationship Id="rId913" Type="http://schemas.openxmlformats.org/officeDocument/2006/relationships/hyperlink" Target="http://gorilla360.com.au" TargetMode="External"/><Relationship Id="rId912" Type="http://schemas.openxmlformats.org/officeDocument/2006/relationships/hyperlink" Target="https://gorilla360.com.au/google-ads/" TargetMode="External"/><Relationship Id="rId911" Type="http://schemas.openxmlformats.org/officeDocument/2006/relationships/hyperlink" Target="http://goodfirms.co" TargetMode="External"/><Relationship Id="rId1213" Type="http://schemas.openxmlformats.org/officeDocument/2006/relationships/hyperlink" Target="https://au.linkedin.com/company/xpontechnologies" TargetMode="External"/><Relationship Id="rId1697" Type="http://schemas.openxmlformats.org/officeDocument/2006/relationships/hyperlink" Target="http://avionaustralia.com" TargetMode="External"/><Relationship Id="rId2544" Type="http://schemas.openxmlformats.org/officeDocument/2006/relationships/hyperlink" Target="https://www.sortlist.com/s/performance-marketing/western-australia-wa-au" TargetMode="External"/><Relationship Id="rId1214" Type="http://schemas.openxmlformats.org/officeDocument/2006/relationships/hyperlink" Target="http://linkedin.com" TargetMode="External"/><Relationship Id="rId1698" Type="http://schemas.openxmlformats.org/officeDocument/2006/relationships/hyperlink" Target="https://www.axios.com/2026/07/16/geo-communications-marketing-strategy" TargetMode="External"/><Relationship Id="rId2545" Type="http://schemas.openxmlformats.org/officeDocument/2006/relationships/hyperlink" Target="http://sortlist.com" TargetMode="External"/><Relationship Id="rId1215" Type="http://schemas.openxmlformats.org/officeDocument/2006/relationships/hyperlink" Target="https://avenuegroupaus.com.au/top-seo-companies-in-australia/" TargetMode="External"/><Relationship Id="rId1699" Type="http://schemas.openxmlformats.org/officeDocument/2006/relationships/hyperlink" Target="http://axios.com" TargetMode="External"/><Relationship Id="rId2546" Type="http://schemas.openxmlformats.org/officeDocument/2006/relationships/hyperlink" Target="https://www.sortlist.com/s/programmatic-advertising/sydney-au" TargetMode="External"/><Relationship Id="rId1216" Type="http://schemas.openxmlformats.org/officeDocument/2006/relationships/hyperlink" Target="http://avenuegroupaus.com.au" TargetMode="External"/><Relationship Id="rId2547" Type="http://schemas.openxmlformats.org/officeDocument/2006/relationships/hyperlink" Target="http://sortlist.com" TargetMode="External"/><Relationship Id="rId1217" Type="http://schemas.openxmlformats.org/officeDocument/2006/relationships/hyperlink" Target="https://avidtrak.com/resource/best-market-attribution-software" TargetMode="External"/><Relationship Id="rId2548" Type="http://schemas.openxmlformats.org/officeDocument/2006/relationships/hyperlink" Target="https://www.sortlist.com/s/tiktok-advertising/australia-au" TargetMode="External"/><Relationship Id="rId1218" Type="http://schemas.openxmlformats.org/officeDocument/2006/relationships/hyperlink" Target="http://avidtrak.com" TargetMode="External"/><Relationship Id="rId2549" Type="http://schemas.openxmlformats.org/officeDocument/2006/relationships/hyperlink" Target="http://sortlist.com" TargetMode="External"/><Relationship Id="rId1219" Type="http://schemas.openxmlformats.org/officeDocument/2006/relationships/hyperlink" Target="https://www.bbe.io/top-10-most-innovative-australian-ad-agencies-and-best-creative-campaigns/" TargetMode="External"/><Relationship Id="rId866" Type="http://schemas.openxmlformats.org/officeDocument/2006/relationships/hyperlink" Target="https://apacsearchawards.com/2025/07/07/top-20-award-winning-apac-marketing-agencies/" TargetMode="External"/><Relationship Id="rId865" Type="http://schemas.openxmlformats.org/officeDocument/2006/relationships/hyperlink" Target="http://amplitude.com" TargetMode="External"/><Relationship Id="rId864" Type="http://schemas.openxmlformats.org/officeDocument/2006/relationships/hyperlink" Target="https://amplitude.com/explore/experiment/incrementality-testing" TargetMode="External"/><Relationship Id="rId863" Type="http://schemas.openxmlformats.org/officeDocument/2006/relationships/hyperlink" Target="http://aioptimisation.com.au" TargetMode="External"/><Relationship Id="rId869" Type="http://schemas.openxmlformats.org/officeDocument/2006/relationships/hyperlink" Target="http://appfillip.com" TargetMode="External"/><Relationship Id="rId868" Type="http://schemas.openxmlformats.org/officeDocument/2006/relationships/hyperlink" Target="https://appfillip.com/analytics/in/australia" TargetMode="External"/><Relationship Id="rId867" Type="http://schemas.openxmlformats.org/officeDocument/2006/relationships/hyperlink" Target="http://apacsearchawards.com" TargetMode="External"/><Relationship Id="rId1690" Type="http://schemas.openxmlformats.org/officeDocument/2006/relationships/hyperlink" Target="https://www.ausgeotest.com.au/" TargetMode="External"/><Relationship Id="rId1691" Type="http://schemas.openxmlformats.org/officeDocument/2006/relationships/hyperlink" Target="http://ausgeotest.com.au" TargetMode="External"/><Relationship Id="rId1692" Type="http://schemas.openxmlformats.org/officeDocument/2006/relationships/hyperlink" Target="https://ausindigenousai.com.au/ai-consulting/" TargetMode="External"/><Relationship Id="rId862" Type="http://schemas.openxmlformats.org/officeDocument/2006/relationships/hyperlink" Target="https://www.aioptimisation.com.au/" TargetMode="External"/><Relationship Id="rId1693" Type="http://schemas.openxmlformats.org/officeDocument/2006/relationships/hyperlink" Target="http://ausindigenousai.com.au" TargetMode="External"/><Relationship Id="rId2540" Type="http://schemas.openxmlformats.org/officeDocument/2006/relationships/hyperlink" Target="https://www.sortlist.com/s/paid-media/victoria-vic-au" TargetMode="External"/><Relationship Id="rId861" Type="http://schemas.openxmlformats.org/officeDocument/2006/relationships/hyperlink" Target="http://semrush.com" TargetMode="External"/><Relationship Id="rId1210" Type="http://schemas.openxmlformats.org/officeDocument/2006/relationships/hyperlink" Target="http://artd.com.au" TargetMode="External"/><Relationship Id="rId1694" Type="http://schemas.openxmlformats.org/officeDocument/2006/relationships/hyperlink" Target="https://aussiemarketing.com.au/performance-marketing-services/" TargetMode="External"/><Relationship Id="rId2541" Type="http://schemas.openxmlformats.org/officeDocument/2006/relationships/hyperlink" Target="http://sortlist.com" TargetMode="External"/><Relationship Id="rId860" Type="http://schemas.openxmlformats.org/officeDocument/2006/relationships/hyperlink" Target="https://agencies.semrush.com/list/ppc/australia/" TargetMode="External"/><Relationship Id="rId1211" Type="http://schemas.openxmlformats.org/officeDocument/2006/relationships/hyperlink" Target="https://au.linkedin.com/company/thinkerbellagency" TargetMode="External"/><Relationship Id="rId1695" Type="http://schemas.openxmlformats.org/officeDocument/2006/relationships/hyperlink" Target="http://aussiemarketing.com.au" TargetMode="External"/><Relationship Id="rId2542" Type="http://schemas.openxmlformats.org/officeDocument/2006/relationships/hyperlink" Target="https://www.sortlist.com/s/performance-marketing/victoria-vic-au" TargetMode="External"/><Relationship Id="rId1212" Type="http://schemas.openxmlformats.org/officeDocument/2006/relationships/hyperlink" Target="http://linkedin.com" TargetMode="External"/><Relationship Id="rId1696" Type="http://schemas.openxmlformats.org/officeDocument/2006/relationships/hyperlink" Target="https://www.avionaustralia.com/certifications/" TargetMode="External"/><Relationship Id="rId2543" Type="http://schemas.openxmlformats.org/officeDocument/2006/relationships/hyperlink" Target="http://sortlist.com" TargetMode="External"/><Relationship Id="rId1202" Type="http://schemas.openxmlformats.org/officeDocument/2006/relationships/hyperlink" Target="http://alphadigital.com.au" TargetMode="External"/><Relationship Id="rId1686" Type="http://schemas.openxmlformats.org/officeDocument/2006/relationships/hyperlink" Target="https://aus.havas.com/havas-host/" TargetMode="External"/><Relationship Id="rId2533" Type="http://schemas.openxmlformats.org/officeDocument/2006/relationships/hyperlink" Target="http://sortlist.com" TargetMode="External"/><Relationship Id="rId1203" Type="http://schemas.openxmlformats.org/officeDocument/2006/relationships/hyperlink" Target="https://analyzify.com/hub/digital-marketing-agencies-in-au" TargetMode="External"/><Relationship Id="rId1687" Type="http://schemas.openxmlformats.org/officeDocument/2006/relationships/hyperlink" Target="http://havas.com" TargetMode="External"/><Relationship Id="rId2534" Type="http://schemas.openxmlformats.org/officeDocument/2006/relationships/hyperlink" Target="https://www.sortlist.com/s/display-advertising/sydney-au" TargetMode="External"/><Relationship Id="rId1204" Type="http://schemas.openxmlformats.org/officeDocument/2006/relationships/hyperlink" Target="http://analyzify.com" TargetMode="External"/><Relationship Id="rId1688" Type="http://schemas.openxmlformats.org/officeDocument/2006/relationships/hyperlink" Target="https://www.ausasiaonline.com.au/ai-seo/" TargetMode="External"/><Relationship Id="rId2535" Type="http://schemas.openxmlformats.org/officeDocument/2006/relationships/hyperlink" Target="http://sortlist.com" TargetMode="External"/><Relationship Id="rId1205" Type="http://schemas.openxmlformats.org/officeDocument/2006/relationships/hyperlink" Target="https://anirup.com/top-10-google-ads-agency-australia/" TargetMode="External"/><Relationship Id="rId1689" Type="http://schemas.openxmlformats.org/officeDocument/2006/relationships/hyperlink" Target="http://ausasiaonline.com.au" TargetMode="External"/><Relationship Id="rId2536" Type="http://schemas.openxmlformats.org/officeDocument/2006/relationships/hyperlink" Target="https://www.sortlist.com/s/display-advertising/western-australia-wa-au" TargetMode="External"/><Relationship Id="rId1206" Type="http://schemas.openxmlformats.org/officeDocument/2006/relationships/hyperlink" Target="http://anirup.com" TargetMode="External"/><Relationship Id="rId2537" Type="http://schemas.openxmlformats.org/officeDocument/2006/relationships/hyperlink" Target="http://sortlist.com" TargetMode="External"/><Relationship Id="rId1207" Type="http://schemas.openxmlformats.org/officeDocument/2006/relationships/hyperlink" Target="https://arcadiandigital.com.au/services/digital-marketing/answer-engine-optimisation-aeo" TargetMode="External"/><Relationship Id="rId2538" Type="http://schemas.openxmlformats.org/officeDocument/2006/relationships/hyperlink" Target="https://www.sortlist.com/s/linkedin-advertising/australia-au" TargetMode="External"/><Relationship Id="rId1208" Type="http://schemas.openxmlformats.org/officeDocument/2006/relationships/hyperlink" Target="http://arcadiandigital.com.au" TargetMode="External"/><Relationship Id="rId2539" Type="http://schemas.openxmlformats.org/officeDocument/2006/relationships/hyperlink" Target="http://sortlist.com" TargetMode="External"/><Relationship Id="rId1209" Type="http://schemas.openxmlformats.org/officeDocument/2006/relationships/hyperlink" Target="https://www.artd.com.au/our-projects/australian-trusted-trader-10-year-monitoring-and-evaluation-strategy/" TargetMode="External"/><Relationship Id="rId855" Type="http://schemas.openxmlformats.org/officeDocument/2006/relationships/hyperlink" Target="http://admatic.com" TargetMode="External"/><Relationship Id="rId854" Type="http://schemas.openxmlformats.org/officeDocument/2006/relationships/hyperlink" Target="https://admatic.com/lp/media-agency/melbourne" TargetMode="External"/><Relationship Id="rId853" Type="http://schemas.openxmlformats.org/officeDocument/2006/relationships/hyperlink" Target="http://vulbmedia.com" TargetMode="External"/><Relationship Id="rId852" Type="http://schemas.openxmlformats.org/officeDocument/2006/relationships/hyperlink" Target="https://vulbmedia.com/top-creative-agencies-in-sydney/" TargetMode="External"/><Relationship Id="rId859" Type="http://schemas.openxmlformats.org/officeDocument/2006/relationships/hyperlink" Target="http://semrush.com" TargetMode="External"/><Relationship Id="rId858" Type="http://schemas.openxmlformats.org/officeDocument/2006/relationships/hyperlink" Target="https://agencies.semrush.com/list/display-advertising/ecommerce/australia/" TargetMode="External"/><Relationship Id="rId857" Type="http://schemas.openxmlformats.org/officeDocument/2006/relationships/hyperlink" Target="http://adnews.com.au" TargetMode="External"/><Relationship Id="rId856" Type="http://schemas.openxmlformats.org/officeDocument/2006/relationships/hyperlink" Target="https://www.adnews.com.au/news/only-half-of-australian-marketers-use-attribution-modelling" TargetMode="External"/><Relationship Id="rId1680" Type="http://schemas.openxmlformats.org/officeDocument/2006/relationships/hyperlink" Target="https://au.linkedin.com/company/trkkn" TargetMode="External"/><Relationship Id="rId1681" Type="http://schemas.openxmlformats.org/officeDocument/2006/relationships/hyperlink" Target="http://linkedin.com" TargetMode="External"/><Relationship Id="rId851" Type="http://schemas.openxmlformats.org/officeDocument/2006/relationships/hyperlink" Target="http://uprisedigital.com.au" TargetMode="External"/><Relationship Id="rId1682" Type="http://schemas.openxmlformats.org/officeDocument/2006/relationships/hyperlink" Target="https://au.linkedin.com/in/iampaulio" TargetMode="External"/><Relationship Id="rId850" Type="http://schemas.openxmlformats.org/officeDocument/2006/relationships/hyperlink" Target="https://uprisedigital.com.au/aeo/" TargetMode="External"/><Relationship Id="rId1683" Type="http://schemas.openxmlformats.org/officeDocument/2006/relationships/hyperlink" Target="http://linkedin.com" TargetMode="External"/><Relationship Id="rId2530" Type="http://schemas.openxmlformats.org/officeDocument/2006/relationships/hyperlink" Target="https://www.sortlist.com/marketing-communication" TargetMode="External"/><Relationship Id="rId1200" Type="http://schemas.openxmlformats.org/officeDocument/2006/relationships/hyperlink" Target="http://alphadigital.com.au" TargetMode="External"/><Relationship Id="rId1684" Type="http://schemas.openxmlformats.org/officeDocument/2006/relationships/hyperlink" Target="https://au.trustpilot.com/review/megaphone.com.au" TargetMode="External"/><Relationship Id="rId2531" Type="http://schemas.openxmlformats.org/officeDocument/2006/relationships/hyperlink" Target="http://sortlist.com" TargetMode="External"/><Relationship Id="rId1201" Type="http://schemas.openxmlformats.org/officeDocument/2006/relationships/hyperlink" Target="https://www.alphadigital.com.au/performance/display-programmatic/" TargetMode="External"/><Relationship Id="rId1685" Type="http://schemas.openxmlformats.org/officeDocument/2006/relationships/hyperlink" Target="http://trustpilot.com" TargetMode="External"/><Relationship Id="rId2532" Type="http://schemas.openxmlformats.org/officeDocument/2006/relationships/hyperlink" Target="https://www.sortlist.com/s/display-advertising/new-south-wales-nsw-au" TargetMode="External"/><Relationship Id="rId1235" Type="http://schemas.openxmlformats.org/officeDocument/2006/relationships/hyperlink" Target="https://www.bonfire.com.au/melbourne/programmatic-advertising/" TargetMode="External"/><Relationship Id="rId2566" Type="http://schemas.openxmlformats.org/officeDocument/2006/relationships/hyperlink" Target="https://strategicai.marketing/" TargetMode="External"/><Relationship Id="rId1236" Type="http://schemas.openxmlformats.org/officeDocument/2006/relationships/hyperlink" Target="http://bonfire.com.au" TargetMode="External"/><Relationship Id="rId2567" Type="http://schemas.openxmlformats.org/officeDocument/2006/relationships/hyperlink" Target="https://www.strategyeye.com/top-13-performance-marketing-agencies/" TargetMode="External"/><Relationship Id="rId1237" Type="http://schemas.openxmlformats.org/officeDocument/2006/relationships/hyperlink" Target="https://www.brainlabsdigital.com/brainlabs-acquires-sparro-largest-independent-digital-media-agency-australia/" TargetMode="External"/><Relationship Id="rId2568" Type="http://schemas.openxmlformats.org/officeDocument/2006/relationships/hyperlink" Target="http://strategyeye.com" TargetMode="External"/><Relationship Id="rId1238" Type="http://schemas.openxmlformats.org/officeDocument/2006/relationships/hyperlink" Target="http://brainlabsdigital.com" TargetMode="External"/><Relationship Id="rId2569" Type="http://schemas.openxmlformats.org/officeDocument/2006/relationships/hyperlink" Target="https://studioandcomarketing.com.au/what-is-geo-in-digital-marketing-and-how-does-it-impact-seo/" TargetMode="External"/><Relationship Id="rId1239" Type="http://schemas.openxmlformats.org/officeDocument/2006/relationships/hyperlink" Target="https://www.braive.com.au/" TargetMode="External"/><Relationship Id="rId409" Type="http://schemas.openxmlformats.org/officeDocument/2006/relationships/hyperlink" Target="http://semrush.com" TargetMode="External"/><Relationship Id="rId404" Type="http://schemas.openxmlformats.org/officeDocument/2006/relationships/hyperlink" Target="https://aeoagencyservices.com/Blog-Page/best-aeo-agency-in-australia-top-answer-engine-optimization-companies" TargetMode="External"/><Relationship Id="rId888" Type="http://schemas.openxmlformats.org/officeDocument/2006/relationships/hyperlink" Target="https://clutch.co/au/agencies/melbourne" TargetMode="External"/><Relationship Id="rId403" Type="http://schemas.openxmlformats.org/officeDocument/2006/relationships/hyperlink" Target="http://zibdigital.com.au" TargetMode="External"/><Relationship Id="rId887" Type="http://schemas.openxmlformats.org/officeDocument/2006/relationships/hyperlink" Target="http://clutch.co" TargetMode="External"/><Relationship Id="rId402" Type="http://schemas.openxmlformats.org/officeDocument/2006/relationships/hyperlink" Target="https://zibdigital.com.au/ai-services" TargetMode="External"/><Relationship Id="rId886" Type="http://schemas.openxmlformats.org/officeDocument/2006/relationships/hyperlink" Target="https://clutch.co/au/agencies/business-services-industry" TargetMode="External"/><Relationship Id="rId401" Type="http://schemas.openxmlformats.org/officeDocument/2006/relationships/hyperlink" Target="http://ven.com.au" TargetMode="External"/><Relationship Id="rId885" Type="http://schemas.openxmlformats.org/officeDocument/2006/relationships/hyperlink" Target="http://campaignbrief.com" TargetMode="External"/><Relationship Id="rId408" Type="http://schemas.openxmlformats.org/officeDocument/2006/relationships/hyperlink" Target="https://agencies.semrush.com/list/display-advertising/perth/" TargetMode="External"/><Relationship Id="rId407" Type="http://schemas.openxmlformats.org/officeDocument/2006/relationships/hyperlink" Target="http://semrush.com" TargetMode="External"/><Relationship Id="rId406" Type="http://schemas.openxmlformats.org/officeDocument/2006/relationships/hyperlink" Target="https://agencies.semrush.com/list/display-advertising/australia/small-business/" TargetMode="External"/><Relationship Id="rId405" Type="http://schemas.openxmlformats.org/officeDocument/2006/relationships/hyperlink" Target="http://aeoagencyservices.com" TargetMode="External"/><Relationship Id="rId889" Type="http://schemas.openxmlformats.org/officeDocument/2006/relationships/hyperlink" Target="http://clutch.co" TargetMode="External"/><Relationship Id="rId880" Type="http://schemas.openxmlformats.org/officeDocument/2006/relationships/hyperlink" Target="https://www.bushnote.com/articles/leading-media-buying-agencies-australia" TargetMode="External"/><Relationship Id="rId2560" Type="http://schemas.openxmlformats.org/officeDocument/2006/relationships/hyperlink" Target="https://stackdigital.com.au/top-5-ai-seo-agencies-in-australia-2025-rankings/" TargetMode="External"/><Relationship Id="rId1230" Type="http://schemas.openxmlformats.org/officeDocument/2006/relationships/hyperlink" Target="http://bluethings.co" TargetMode="External"/><Relationship Id="rId2561" Type="http://schemas.openxmlformats.org/officeDocument/2006/relationships/hyperlink" Target="http://stackdigital.com.au" TargetMode="External"/><Relationship Id="rId400" Type="http://schemas.openxmlformats.org/officeDocument/2006/relationships/hyperlink" Target="https://ven.com.au/services/ai-strategy-consulting/" TargetMode="External"/><Relationship Id="rId884" Type="http://schemas.openxmlformats.org/officeDocument/2006/relationships/hyperlink" Target="https://campaignbrief.com/category/agencies/" TargetMode="External"/><Relationship Id="rId1231" Type="http://schemas.openxmlformats.org/officeDocument/2006/relationships/hyperlink" Target="https://bondipages.com/best-marketing-in-australia/" TargetMode="External"/><Relationship Id="rId2562" Type="http://schemas.openxmlformats.org/officeDocument/2006/relationships/hyperlink" Target="https://www.stellaheystella.com/" TargetMode="External"/><Relationship Id="rId883" Type="http://schemas.openxmlformats.org/officeDocument/2006/relationships/hyperlink" Target="http://businessinfopro.com" TargetMode="External"/><Relationship Id="rId1232" Type="http://schemas.openxmlformats.org/officeDocument/2006/relationships/hyperlink" Target="http://bondipages.com" TargetMode="External"/><Relationship Id="rId2563" Type="http://schemas.openxmlformats.org/officeDocument/2006/relationships/hyperlink" Target="http://stellaheystella.com" TargetMode="External"/><Relationship Id="rId882" Type="http://schemas.openxmlformats.org/officeDocument/2006/relationships/hyperlink" Target="https://businessinfopro.com/blogs/information-technology-blog/top-ai-development-consulting-firms-in-australia/" TargetMode="External"/><Relationship Id="rId1233" Type="http://schemas.openxmlformats.org/officeDocument/2006/relationships/hyperlink" Target="https://www.bonfire.com.au/about/" TargetMode="External"/><Relationship Id="rId2564" Type="http://schemas.openxmlformats.org/officeDocument/2006/relationships/hyperlink" Target="https://stratabeat.com/best-geo-agency/" TargetMode="External"/><Relationship Id="rId881" Type="http://schemas.openxmlformats.org/officeDocument/2006/relationships/hyperlink" Target="http://bushnote.com" TargetMode="External"/><Relationship Id="rId1234" Type="http://schemas.openxmlformats.org/officeDocument/2006/relationships/hyperlink" Target="http://bonfire.com.au" TargetMode="External"/><Relationship Id="rId2565" Type="http://schemas.openxmlformats.org/officeDocument/2006/relationships/hyperlink" Target="http://stratabeat.com" TargetMode="External"/><Relationship Id="rId1224" Type="http://schemas.openxmlformats.org/officeDocument/2006/relationships/hyperlink" Target="http://bestforexapp.com" TargetMode="External"/><Relationship Id="rId2555" Type="http://schemas.openxmlformats.org/officeDocument/2006/relationships/hyperlink" Target="http://soupagency.com.au" TargetMode="External"/><Relationship Id="rId1225" Type="http://schemas.openxmlformats.org/officeDocument/2006/relationships/hyperlink" Target="https://www.betterpeople.com.au/" TargetMode="External"/><Relationship Id="rId2556" Type="http://schemas.openxmlformats.org/officeDocument/2006/relationships/hyperlink" Target="https://sparro.com.au/home-2/" TargetMode="External"/><Relationship Id="rId1226" Type="http://schemas.openxmlformats.org/officeDocument/2006/relationships/hyperlink" Target="http://betterpeople.com.au" TargetMode="External"/><Relationship Id="rId2557" Type="http://schemas.openxmlformats.org/officeDocument/2006/relationships/hyperlink" Target="http://sparro.com.au" TargetMode="External"/><Relationship Id="rId1227" Type="http://schemas.openxmlformats.org/officeDocument/2006/relationships/hyperlink" Target="https://www.blanktheory.com.au/approach/performance-marketing/" TargetMode="External"/><Relationship Id="rId2558" Type="http://schemas.openxmlformats.org/officeDocument/2006/relationships/hyperlink" Target="https://spruik.co/adelaide/claude-ai-consulting/" TargetMode="External"/><Relationship Id="rId1228" Type="http://schemas.openxmlformats.org/officeDocument/2006/relationships/hyperlink" Target="http://blanktheory.com.au" TargetMode="External"/><Relationship Id="rId2559" Type="http://schemas.openxmlformats.org/officeDocument/2006/relationships/hyperlink" Target="http://spruik.co" TargetMode="External"/><Relationship Id="rId1229" Type="http://schemas.openxmlformats.org/officeDocument/2006/relationships/hyperlink" Target="https://www.bluethings.co/blog/top-seo-agencies-australia" TargetMode="External"/><Relationship Id="rId877" Type="http://schemas.openxmlformats.org/officeDocument/2006/relationships/hyperlink" Target="http://bushletter.com" TargetMode="External"/><Relationship Id="rId876" Type="http://schemas.openxmlformats.org/officeDocument/2006/relationships/hyperlink" Target="https://www.bushletter.com/top-10-aeo-agencies-sydney-nsw-2026/" TargetMode="External"/><Relationship Id="rId875" Type="http://schemas.openxmlformats.org/officeDocument/2006/relationships/hyperlink" Target="http://builtinmelbourne.com" TargetMode="External"/><Relationship Id="rId874" Type="http://schemas.openxmlformats.org/officeDocument/2006/relationships/hyperlink" Target="https://builtinmelbourne.com/articles/digital-marketing-companies-melbourne" TargetMode="External"/><Relationship Id="rId879" Type="http://schemas.openxmlformats.org/officeDocument/2006/relationships/hyperlink" Target="http://bushnote.com" TargetMode="External"/><Relationship Id="rId878" Type="http://schemas.openxmlformats.org/officeDocument/2006/relationships/hyperlink" Target="https://www.bushnote.com/articles/best-digital-marketing-agencies-australia-2025" TargetMode="External"/><Relationship Id="rId2550" Type="http://schemas.openxmlformats.org/officeDocument/2006/relationships/hyperlink" Target="https://www.sortlist.com/web-analytics/australia-au" TargetMode="External"/><Relationship Id="rId873" Type="http://schemas.openxmlformats.org/officeDocument/2006/relationships/hyperlink" Target="http://bonfire.com.au" TargetMode="External"/><Relationship Id="rId1220" Type="http://schemas.openxmlformats.org/officeDocument/2006/relationships/hyperlink" Target="http://bbe.io" TargetMode="External"/><Relationship Id="rId2551" Type="http://schemas.openxmlformats.org/officeDocument/2006/relationships/hyperlink" Target="http://sortlist.com" TargetMode="External"/><Relationship Id="rId872" Type="http://schemas.openxmlformats.org/officeDocument/2006/relationships/hyperlink" Target="https://www.bonfire.com.au/" TargetMode="External"/><Relationship Id="rId1221" Type="http://schemas.openxmlformats.org/officeDocument/2006/relationships/hyperlink" Target="https://www.bcg.com/capabilities/artificial-intelligence" TargetMode="External"/><Relationship Id="rId2552" Type="http://schemas.openxmlformats.org/officeDocument/2006/relationships/hyperlink" Target="https://sotatek.com.au/blogs/ai-solutions-in-australia/" TargetMode="External"/><Relationship Id="rId871" Type="http://schemas.openxmlformats.org/officeDocument/2006/relationships/hyperlink" Target="http://bestadsontv.com" TargetMode="External"/><Relationship Id="rId1222" Type="http://schemas.openxmlformats.org/officeDocument/2006/relationships/hyperlink" Target="http://bcg.com" TargetMode="External"/><Relationship Id="rId2553" Type="http://schemas.openxmlformats.org/officeDocument/2006/relationships/hyperlink" Target="http://sotatek.com.au" TargetMode="External"/><Relationship Id="rId870" Type="http://schemas.openxmlformats.org/officeDocument/2006/relationships/hyperlink" Target="https://www.bestadsontv.com/rankings.php?category=All&amp;country=Australia&amp;period=-10&amp;role=agency" TargetMode="External"/><Relationship Id="rId1223" Type="http://schemas.openxmlformats.org/officeDocument/2006/relationships/hyperlink" Target="https://bestforexapp.com/best-ai-marketing-agency-australia-2026-2/" TargetMode="External"/><Relationship Id="rId2554" Type="http://schemas.openxmlformats.org/officeDocument/2006/relationships/hyperlink" Target="https://soupagency.com.au/blog/10-best-ppc-agencies-sydney/" TargetMode="External"/><Relationship Id="rId1653" Type="http://schemas.openxmlformats.org/officeDocument/2006/relationships/hyperlink" Target="http://arxiv.org" TargetMode="External"/><Relationship Id="rId2500" Type="http://schemas.openxmlformats.org/officeDocument/2006/relationships/hyperlink" Target="https://semhook.com/measurement-and-modelling" TargetMode="External"/><Relationship Id="rId1654" Type="http://schemas.openxmlformats.org/officeDocument/2006/relationships/hyperlink" Target="https://www.asanalytics.com.au/" TargetMode="External"/><Relationship Id="rId2501" Type="http://schemas.openxmlformats.org/officeDocument/2006/relationships/hyperlink" Target="http://semhook.com" TargetMode="External"/><Relationship Id="rId1655" Type="http://schemas.openxmlformats.org/officeDocument/2006/relationships/hyperlink" Target="http://asanalytics.com.au" TargetMode="External"/><Relationship Id="rId2502" Type="http://schemas.openxmlformats.org/officeDocument/2006/relationships/hyperlink" Target="https://sensedatalab.com.au/" TargetMode="External"/><Relationship Id="rId1656" Type="http://schemas.openxmlformats.org/officeDocument/2006/relationships/hyperlink" Target="https://www.asanalytics.com.au/data-services" TargetMode="External"/><Relationship Id="rId2503" Type="http://schemas.openxmlformats.org/officeDocument/2006/relationships/hyperlink" Target="http://sensedatalab.com.au" TargetMode="External"/><Relationship Id="rId1657" Type="http://schemas.openxmlformats.org/officeDocument/2006/relationships/hyperlink" Target="http://asanalytics.com.au" TargetMode="External"/><Relationship Id="rId2504" Type="http://schemas.openxmlformats.org/officeDocument/2006/relationships/hyperlink" Target="https://seomelbourne.com/ai-seo-melbourne/" TargetMode="External"/><Relationship Id="rId1658" Type="http://schemas.openxmlformats.org/officeDocument/2006/relationships/hyperlink" Target="https://atomic212.com.au/brand-demand-and-incrementality-why-and-how-agency-marketing-relationships-kpis-and-operating-models-must-rapidly-evolve/" TargetMode="External"/><Relationship Id="rId2505" Type="http://schemas.openxmlformats.org/officeDocument/2006/relationships/hyperlink" Target="http://seomelbourne.com" TargetMode="External"/><Relationship Id="rId1659" Type="http://schemas.openxmlformats.org/officeDocument/2006/relationships/hyperlink" Target="http://atomic212.com.au" TargetMode="External"/><Relationship Id="rId2506" Type="http://schemas.openxmlformats.org/officeDocument/2006/relationships/hyperlink" Target="https://shakostats.com/unified-marketing-measurement" TargetMode="External"/><Relationship Id="rId2507" Type="http://schemas.openxmlformats.org/officeDocument/2006/relationships/hyperlink" Target="http://shakostats.com" TargetMode="External"/><Relationship Id="rId2508" Type="http://schemas.openxmlformats.org/officeDocument/2006/relationships/hyperlink" Target="https://shokeproductions.com/Post/top-marketing-agencies-in-australia-for-tech-and-ai" TargetMode="External"/><Relationship Id="rId829" Type="http://schemas.openxmlformats.org/officeDocument/2006/relationships/hyperlink" Target="https://www.resolutiondigital.com.au/services/cro/google-marketing-platform/analytics-360/" TargetMode="External"/><Relationship Id="rId2509" Type="http://schemas.openxmlformats.org/officeDocument/2006/relationships/hyperlink" Target="http://shokeproductions.com" TargetMode="External"/><Relationship Id="rId828" Type="http://schemas.openxmlformats.org/officeDocument/2006/relationships/hyperlink" Target="http://redpandas.com.au" TargetMode="External"/><Relationship Id="rId827" Type="http://schemas.openxmlformats.org/officeDocument/2006/relationships/hyperlink" Target="https://www.redpandas.com.au/all/best-paid-media-agencies-in-australia-an-unbiased-review/" TargetMode="External"/><Relationship Id="rId822" Type="http://schemas.openxmlformats.org/officeDocument/2006/relationships/hyperlink" Target="https://prosperitymedia.com.au/the-6-best-seo-agencies-in-sydney-2026/" TargetMode="External"/><Relationship Id="rId821" Type="http://schemas.openxmlformats.org/officeDocument/2006/relationships/hyperlink" Target="http://pmgs.com.au" TargetMode="External"/><Relationship Id="rId820" Type="http://schemas.openxmlformats.org/officeDocument/2006/relationships/hyperlink" Target="https://www.pmgs.com.au/social-media-marketing/paid-social-ads/" TargetMode="External"/><Relationship Id="rId826" Type="http://schemas.openxmlformats.org/officeDocument/2006/relationships/hyperlink" Target="http://reddit.com" TargetMode="External"/><Relationship Id="rId825" Type="http://schemas.openxmlformats.org/officeDocument/2006/relationships/hyperlink" Target="https://www.reddit.com/r/ecommerce/comments/1qusfa4/looking_for_best_incrementality_testing_tools/" TargetMode="External"/><Relationship Id="rId824" Type="http://schemas.openxmlformats.org/officeDocument/2006/relationships/hyperlink" Target="https://raw.studio/blog/top-branding-agencies-in-australia-in-2026/" TargetMode="External"/><Relationship Id="rId823" Type="http://schemas.openxmlformats.org/officeDocument/2006/relationships/hyperlink" Target="http://prosperitymedia.com.au" TargetMode="External"/><Relationship Id="rId1650" Type="http://schemas.openxmlformats.org/officeDocument/2006/relationships/hyperlink" Target="https://arxiv.org/abs/2403.14674" TargetMode="External"/><Relationship Id="rId1651" Type="http://schemas.openxmlformats.org/officeDocument/2006/relationships/hyperlink" Target="http://arxiv.org" TargetMode="External"/><Relationship Id="rId1652" Type="http://schemas.openxmlformats.org/officeDocument/2006/relationships/hyperlink" Target="https://arxiv.org/abs/2509.08919" TargetMode="External"/><Relationship Id="rId1642" Type="http://schemas.openxmlformats.org/officeDocument/2006/relationships/hyperlink" Target="http://archetype.co" TargetMode="External"/><Relationship Id="rId1643" Type="http://schemas.openxmlformats.org/officeDocument/2006/relationships/hyperlink" Target="https://aperitifagency.com.au/paid-social/" TargetMode="External"/><Relationship Id="rId1644" Type="http://schemas.openxmlformats.org/officeDocument/2006/relationships/hyperlink" Target="http://aperitifagency.com.au" TargetMode="External"/><Relationship Id="rId1645" Type="http://schemas.openxmlformats.org/officeDocument/2006/relationships/hyperlink" Target="https://arc.dev/employer-blog/social-media-agencies/" TargetMode="External"/><Relationship Id="rId1646" Type="http://schemas.openxmlformats.org/officeDocument/2006/relationships/hyperlink" Target="https://www.archservices.com.au/sesa-2/authorised-engineering-organisation-aeo" TargetMode="External"/><Relationship Id="rId1647" Type="http://schemas.openxmlformats.org/officeDocument/2006/relationships/hyperlink" Target="http://archservices.com.au" TargetMode="External"/><Relationship Id="rId1648" Type="http://schemas.openxmlformats.org/officeDocument/2006/relationships/hyperlink" Target="https://www.arrowmedia.com.au/programmatic-display-advertising/" TargetMode="External"/><Relationship Id="rId1649" Type="http://schemas.openxmlformats.org/officeDocument/2006/relationships/hyperlink" Target="http://arrowmedia.com.au" TargetMode="External"/><Relationship Id="rId819" Type="http://schemas.openxmlformats.org/officeDocument/2006/relationships/hyperlink" Target="http://onetoo.com.au" TargetMode="External"/><Relationship Id="rId818" Type="http://schemas.openxmlformats.org/officeDocument/2006/relationships/hyperlink" Target="https://www.onetoo.com.au/aeo-agency" TargetMode="External"/><Relationship Id="rId817" Type="http://schemas.openxmlformats.org/officeDocument/2006/relationships/hyperlink" Target="http://omegaadvertising.com.au" TargetMode="External"/><Relationship Id="rId816" Type="http://schemas.openxmlformats.org/officeDocument/2006/relationships/hyperlink" Target="https://omegaadvertising.com.au/top-5-digital-marketing-agencies-in-australia-for-ai-seo/" TargetMode="External"/><Relationship Id="rId811" Type="http://schemas.openxmlformats.org/officeDocument/2006/relationships/hyperlink" Target="https://liondigital.com.au/lion-digital-a-premier-google-partner-placed-in-the-top-3-of-agencies/" TargetMode="External"/><Relationship Id="rId810" Type="http://schemas.openxmlformats.org/officeDocument/2006/relationships/hyperlink" Target="http://linkedin.com" TargetMode="External"/><Relationship Id="rId815" Type="http://schemas.openxmlformats.org/officeDocument/2006/relationships/hyperlink" Target="https://metaflow.life/blog/best-aeo-agencies-2026" TargetMode="External"/><Relationship Id="rId814" Type="http://schemas.openxmlformats.org/officeDocument/2006/relationships/hyperlink" Target="http://marketingmonk.so" TargetMode="External"/><Relationship Id="rId813" Type="http://schemas.openxmlformats.org/officeDocument/2006/relationships/hyperlink" Target="https://www.marketingmonk.so/agency-directory/country/australia/service/performance-marketing" TargetMode="External"/><Relationship Id="rId812" Type="http://schemas.openxmlformats.org/officeDocument/2006/relationships/hyperlink" Target="http://liondigital.com.au" TargetMode="External"/><Relationship Id="rId1640" Type="http://schemas.openxmlformats.org/officeDocument/2006/relationships/hyperlink" Target="http://aoyglobalawards.com" TargetMode="External"/><Relationship Id="rId1641" Type="http://schemas.openxmlformats.org/officeDocument/2006/relationships/hyperlink" Target="https://apac.archetype.co/en-au/ai-chatgpt-consultancy-australia" TargetMode="External"/><Relationship Id="rId1675" Type="http://schemas.openxmlformats.org/officeDocument/2006/relationships/hyperlink" Target="http://linkedin.com" TargetMode="External"/><Relationship Id="rId2522" Type="http://schemas.openxmlformats.org/officeDocument/2006/relationships/hyperlink" Target="https://www.smartosc.com/data-analytics-agency-australia-for-smarter-decision-making/" TargetMode="External"/><Relationship Id="rId1676" Type="http://schemas.openxmlformats.org/officeDocument/2006/relationships/hyperlink" Target="https://au.linkedin.com/company/ogilvy-australia" TargetMode="External"/><Relationship Id="rId2523" Type="http://schemas.openxmlformats.org/officeDocument/2006/relationships/hyperlink" Target="http://smartosc.com" TargetMode="External"/><Relationship Id="rId1677" Type="http://schemas.openxmlformats.org/officeDocument/2006/relationships/hyperlink" Target="http://linkedin.com" TargetMode="External"/><Relationship Id="rId2524" Type="http://schemas.openxmlformats.org/officeDocument/2006/relationships/hyperlink" Target="https://smashbrandgroup.com.au/reporting-and-analytics" TargetMode="External"/><Relationship Id="rId1678" Type="http://schemas.openxmlformats.org/officeDocument/2006/relationships/hyperlink" Target="https://au.linkedin.com/company/online-marketing-gurus" TargetMode="External"/><Relationship Id="rId2525" Type="http://schemas.openxmlformats.org/officeDocument/2006/relationships/hyperlink" Target="http://smashbrandgroup.com.au" TargetMode="External"/><Relationship Id="rId1679" Type="http://schemas.openxmlformats.org/officeDocument/2006/relationships/hyperlink" Target="http://linkedin.com" TargetMode="External"/><Relationship Id="rId2526" Type="http://schemas.openxmlformats.org/officeDocument/2006/relationships/hyperlink" Target="https://socialchameleon.com/top-30-marketing-agencies-australia-2/" TargetMode="External"/><Relationship Id="rId2527" Type="http://schemas.openxmlformats.org/officeDocument/2006/relationships/hyperlink" Target="http://socialchameleon.com" TargetMode="External"/><Relationship Id="rId2528" Type="http://schemas.openxmlformats.org/officeDocument/2006/relationships/hyperlink" Target="https://www.sortlist.com/digital-marketing/australia-au?custom=advertising%2Caustralia-au" TargetMode="External"/><Relationship Id="rId2529" Type="http://schemas.openxmlformats.org/officeDocument/2006/relationships/hyperlink" Target="http://sortlist.com" TargetMode="External"/><Relationship Id="rId849" Type="http://schemas.openxmlformats.org/officeDocument/2006/relationships/hyperlink" Target="http://unifida.com.au" TargetMode="External"/><Relationship Id="rId844" Type="http://schemas.openxmlformats.org/officeDocument/2006/relationships/hyperlink" Target="http://techguide.com.au" TargetMode="External"/><Relationship Id="rId843" Type="http://schemas.openxmlformats.org/officeDocument/2006/relationships/hyperlink" Target="https://www.techguide.com.au/news/computers-news/the-best-ai-optimisation-agencies-in-australia/" TargetMode="External"/><Relationship Id="rId842" Type="http://schemas.openxmlformats.org/officeDocument/2006/relationships/hyperlink" Target="http://sortlist.com" TargetMode="External"/><Relationship Id="rId841" Type="http://schemas.openxmlformats.org/officeDocument/2006/relationships/hyperlink" Target="https://www.sortlist.com/s/paid-media/melbourne-au" TargetMode="External"/><Relationship Id="rId848" Type="http://schemas.openxmlformats.org/officeDocument/2006/relationships/hyperlink" Target="https://www.unifida.com.au/marketing-attribution" TargetMode="External"/><Relationship Id="rId847" Type="http://schemas.openxmlformats.org/officeDocument/2006/relationships/hyperlink" Target="https://townsquare.agency/news/ts-once-again-ranked-one-of-australias-best-creative-agencies/" TargetMode="External"/><Relationship Id="rId846" Type="http://schemas.openxmlformats.org/officeDocument/2006/relationships/hyperlink" Target="http://theardor.com.au" TargetMode="External"/><Relationship Id="rId845" Type="http://schemas.openxmlformats.org/officeDocument/2006/relationships/hyperlink" Target="https://www.theardor.com.au/google-ads-agencies-in-australia/" TargetMode="External"/><Relationship Id="rId1670" Type="http://schemas.openxmlformats.org/officeDocument/2006/relationships/hyperlink" Target="https://au.linkedin.com/company/droga5-anz" TargetMode="External"/><Relationship Id="rId840" Type="http://schemas.openxmlformats.org/officeDocument/2006/relationships/hyperlink" Target="http://segmentstream.com" TargetMode="External"/><Relationship Id="rId1671" Type="http://schemas.openxmlformats.org/officeDocument/2006/relationships/hyperlink" Target="http://linkedin.com" TargetMode="External"/><Relationship Id="rId1672" Type="http://schemas.openxmlformats.org/officeDocument/2006/relationships/hyperlink" Target="https://au.linkedin.com/company/ground-control-data" TargetMode="External"/><Relationship Id="rId1673" Type="http://schemas.openxmlformats.org/officeDocument/2006/relationships/hyperlink" Target="http://linkedin.com" TargetMode="External"/><Relationship Id="rId2520" Type="http://schemas.openxmlformats.org/officeDocument/2006/relationships/hyperlink" Target="https://www.smartinc.com/" TargetMode="External"/><Relationship Id="rId1674" Type="http://schemas.openxmlformats.org/officeDocument/2006/relationships/hyperlink" Target="https://au.linkedin.com/company/metric-labs" TargetMode="External"/><Relationship Id="rId2521" Type="http://schemas.openxmlformats.org/officeDocument/2006/relationships/hyperlink" Target="http://smartinc.com" TargetMode="External"/><Relationship Id="rId1664" Type="http://schemas.openxmlformats.org/officeDocument/2006/relationships/hyperlink" Target="https://au.linkedin.com/company/alpha-digital" TargetMode="External"/><Relationship Id="rId2511" Type="http://schemas.openxmlformats.org/officeDocument/2006/relationships/hyperlink" Target="http://shuffledigital.com.au" TargetMode="External"/><Relationship Id="rId1665" Type="http://schemas.openxmlformats.org/officeDocument/2006/relationships/hyperlink" Target="http://linkedin.com" TargetMode="External"/><Relationship Id="rId2512" Type="http://schemas.openxmlformats.org/officeDocument/2006/relationships/hyperlink" Target="https://www.singlegrain.com/artificial-intelligence/top-14-ai-marketing-agencies-in-2025/" TargetMode="External"/><Relationship Id="rId1666" Type="http://schemas.openxmlformats.org/officeDocument/2006/relationships/hyperlink" Target="https://au.linkedin.com/company/bmf-advertising-pty-ltd-" TargetMode="External"/><Relationship Id="rId2513" Type="http://schemas.openxmlformats.org/officeDocument/2006/relationships/hyperlink" Target="http://singlegrain.com" TargetMode="External"/><Relationship Id="rId1667" Type="http://schemas.openxmlformats.org/officeDocument/2006/relationships/hyperlink" Target="http://linkedin.com" TargetMode="External"/><Relationship Id="rId2514" Type="http://schemas.openxmlformats.org/officeDocument/2006/relationships/hyperlink" Target="https://www.singlegrain.com/geo/the-complete-guide-to-generative-engine-optimization-geo/" TargetMode="External"/><Relationship Id="rId1668" Type="http://schemas.openxmlformats.org/officeDocument/2006/relationships/hyperlink" Target="https://au.linkedin.com/company/clemenger-bbdo" TargetMode="External"/><Relationship Id="rId2515" Type="http://schemas.openxmlformats.org/officeDocument/2006/relationships/hyperlink" Target="http://singlegrain.com" TargetMode="External"/><Relationship Id="rId1669" Type="http://schemas.openxmlformats.org/officeDocument/2006/relationships/hyperlink" Target="http://linkedin.com" TargetMode="External"/><Relationship Id="rId2516" Type="http://schemas.openxmlformats.org/officeDocument/2006/relationships/hyperlink" Target="https://skai.io/blog/a-dozen-examples-of-incrementality-tests/" TargetMode="External"/><Relationship Id="rId2517" Type="http://schemas.openxmlformats.org/officeDocument/2006/relationships/hyperlink" Target="http://skai.io" TargetMode="External"/><Relationship Id="rId2518" Type="http://schemas.openxmlformats.org/officeDocument/2006/relationships/hyperlink" Target="https://www.slalom.com/us/en" TargetMode="External"/><Relationship Id="rId2519" Type="http://schemas.openxmlformats.org/officeDocument/2006/relationships/hyperlink" Target="http://slalom.com" TargetMode="External"/><Relationship Id="rId839" Type="http://schemas.openxmlformats.org/officeDocument/2006/relationships/hyperlink" Target="https://segmentstream.com/blog/articles/best-attribution-tools" TargetMode="External"/><Relationship Id="rId838" Type="http://schemas.openxmlformats.org/officeDocument/2006/relationships/hyperlink" Target="http://searchmax.com.au" TargetMode="External"/><Relationship Id="rId833" Type="http://schemas.openxmlformats.org/officeDocument/2006/relationships/hyperlink" Target="https://www.resolutiondigital.com.au/technology/partners/google-marketing-platform/" TargetMode="External"/><Relationship Id="rId832" Type="http://schemas.openxmlformats.org/officeDocument/2006/relationships/hyperlink" Target="http://resolutiondigital.com.au" TargetMode="External"/><Relationship Id="rId831" Type="http://schemas.openxmlformats.org/officeDocument/2006/relationships/hyperlink" Target="https://www.resolutiondigital.com.au/services/measurement/propensity-modelling/" TargetMode="External"/><Relationship Id="rId830" Type="http://schemas.openxmlformats.org/officeDocument/2006/relationships/hyperlink" Target="http://resolutiondigital.com.au" TargetMode="External"/><Relationship Id="rId837" Type="http://schemas.openxmlformats.org/officeDocument/2006/relationships/hyperlink" Target="https://www.searchmax.com.au/searchmax-among-the-top-3-of-google-partners-in-the-country/" TargetMode="External"/><Relationship Id="rId836" Type="http://schemas.openxmlformats.org/officeDocument/2006/relationships/hyperlink" Target="http://savit.au" TargetMode="External"/><Relationship Id="rId835" Type="http://schemas.openxmlformats.org/officeDocument/2006/relationships/hyperlink" Target="https://www.savit.au/the-best-ppc-agencies-in-australia-2026-where-to-spend-your-google-ads-budget/" TargetMode="External"/><Relationship Id="rId834" Type="http://schemas.openxmlformats.org/officeDocument/2006/relationships/hyperlink" Target="http://resolutiondigital.com.au" TargetMode="External"/><Relationship Id="rId1660" Type="http://schemas.openxmlformats.org/officeDocument/2006/relationships/hyperlink" Target="https://au.bmgww.com/" TargetMode="External"/><Relationship Id="rId1661" Type="http://schemas.openxmlformats.org/officeDocument/2006/relationships/hyperlink" Target="http://bmgww.com" TargetMode="External"/><Relationship Id="rId1662" Type="http://schemas.openxmlformats.org/officeDocument/2006/relationships/hyperlink" Target="https://au.linkedin.com/company/alley-group" TargetMode="External"/><Relationship Id="rId1663" Type="http://schemas.openxmlformats.org/officeDocument/2006/relationships/hyperlink" Target="http://linkedin.com" TargetMode="External"/><Relationship Id="rId2510" Type="http://schemas.openxmlformats.org/officeDocument/2006/relationships/hyperlink" Target="https://shuffledigital.com.au/best-seo-agencies-in-australia/" TargetMode="External"/><Relationship Id="rId2148" Type="http://schemas.openxmlformats.org/officeDocument/2006/relationships/hyperlink" Target="http://impressive.com.au" TargetMode="External"/><Relationship Id="rId2149" Type="http://schemas.openxmlformats.org/officeDocument/2006/relationships/hyperlink" Target="https://impressive.com.au/seo-gold-coast/" TargetMode="External"/><Relationship Id="rId469" Type="http://schemas.openxmlformats.org/officeDocument/2006/relationships/hyperlink" Target="http://designrush.com" TargetMode="External"/><Relationship Id="rId468" Type="http://schemas.openxmlformats.org/officeDocument/2006/relationships/hyperlink" Target="https://www.designrush.com/agency/digital-marketing/au" TargetMode="External"/><Relationship Id="rId467" Type="http://schemas.openxmlformats.org/officeDocument/2006/relationships/hyperlink" Target="http://bushnote.com" TargetMode="External"/><Relationship Id="rId1290" Type="http://schemas.openxmlformats.org/officeDocument/2006/relationships/hyperlink" Target="https://digitalnomadshq.com.au/blog/best-seo-agencies/" TargetMode="External"/><Relationship Id="rId1291" Type="http://schemas.openxmlformats.org/officeDocument/2006/relationships/hyperlink" Target="http://digitalnomadshq.com.au" TargetMode="External"/><Relationship Id="rId1292" Type="http://schemas.openxmlformats.org/officeDocument/2006/relationships/hyperlink" Target="https://digitalnomadshq.com.au/blog/search-engine-marketing-agencies/" TargetMode="External"/><Relationship Id="rId462" Type="http://schemas.openxmlformats.org/officeDocument/2006/relationships/hyperlink" Target="https://www.bushletter.com/best-aeo-agencies-australia-2026-ai-engine-test/" TargetMode="External"/><Relationship Id="rId1293" Type="http://schemas.openxmlformats.org/officeDocument/2006/relationships/hyperlink" Target="http://digitalnomadshq.com.au" TargetMode="External"/><Relationship Id="rId2140" Type="http://schemas.openxmlformats.org/officeDocument/2006/relationships/hyperlink" Target="http://ichelonconsulting.com" TargetMode="External"/><Relationship Id="rId461" Type="http://schemas.openxmlformats.org/officeDocument/2006/relationships/hyperlink" Target="http://bandt.com.au" TargetMode="External"/><Relationship Id="rId1294" Type="http://schemas.openxmlformats.org/officeDocument/2006/relationships/hyperlink" Target="https://digitalsearchgroup.com.au/" TargetMode="External"/><Relationship Id="rId2141" Type="http://schemas.openxmlformats.org/officeDocument/2006/relationships/hyperlink" Target="https://iconagency.com.au/geo-services-australia" TargetMode="External"/><Relationship Id="rId460" Type="http://schemas.openxmlformats.org/officeDocument/2006/relationships/hyperlink" Target="https://www.bandt.com.au/agencies/agency-scorecards/" TargetMode="External"/><Relationship Id="rId1295" Type="http://schemas.openxmlformats.org/officeDocument/2006/relationships/hyperlink" Target="http://digitalsearchgroup.com.au" TargetMode="External"/><Relationship Id="rId2142" Type="http://schemas.openxmlformats.org/officeDocument/2006/relationships/hyperlink" Target="http://iconagency.com.au" TargetMode="External"/><Relationship Id="rId1296" Type="http://schemas.openxmlformats.org/officeDocument/2006/relationships/hyperlink" Target="https://www.digiwolf.au/services/analytics" TargetMode="External"/><Relationship Id="rId2143" Type="http://schemas.openxmlformats.org/officeDocument/2006/relationships/hyperlink" Target="https://impressive.com.au/measurement-planning-implementation/" TargetMode="External"/><Relationship Id="rId466" Type="http://schemas.openxmlformats.org/officeDocument/2006/relationships/hyperlink" Target="https://www.bushnote.com/articles/top-ai-marketing-agencies-australia-2025" TargetMode="External"/><Relationship Id="rId1297" Type="http://schemas.openxmlformats.org/officeDocument/2006/relationships/hyperlink" Target="http://digiwolf.au" TargetMode="External"/><Relationship Id="rId2144" Type="http://schemas.openxmlformats.org/officeDocument/2006/relationships/hyperlink" Target="http://impressive.com.au" TargetMode="External"/><Relationship Id="rId465" Type="http://schemas.openxmlformats.org/officeDocument/2006/relationships/hyperlink" Target="http://bushletter.com" TargetMode="External"/><Relationship Id="rId1298" Type="http://schemas.openxmlformats.org/officeDocument/2006/relationships/hyperlink" Target="https://www.dilate.com.au/" TargetMode="External"/><Relationship Id="rId2145" Type="http://schemas.openxmlformats.org/officeDocument/2006/relationships/hyperlink" Target="https://impressive.com.au/paid-media/" TargetMode="External"/><Relationship Id="rId464" Type="http://schemas.openxmlformats.org/officeDocument/2006/relationships/hyperlink" Target="https://www.bushletter.com/the-10-best-aeo-agencies-for-australian-financial-services-firms-in-2026/" TargetMode="External"/><Relationship Id="rId1299" Type="http://schemas.openxmlformats.org/officeDocument/2006/relationships/hyperlink" Target="http://dilate.com.au" TargetMode="External"/><Relationship Id="rId2146" Type="http://schemas.openxmlformats.org/officeDocument/2006/relationships/hyperlink" Target="http://impressive.com.au" TargetMode="External"/><Relationship Id="rId463" Type="http://schemas.openxmlformats.org/officeDocument/2006/relationships/hyperlink" Target="http://bushletter.com" TargetMode="External"/><Relationship Id="rId2147" Type="http://schemas.openxmlformats.org/officeDocument/2006/relationships/hyperlink" Target="https://impressive.com.au/ppc/" TargetMode="External"/><Relationship Id="rId2137" Type="http://schemas.openxmlformats.org/officeDocument/2006/relationships/hyperlink" Target="https://www.iabaustralia.com.au/wp-content/uploads/2025/09/IAB-Australia-Market-Mix-Modelling-Landscape-December-2025.pdf" TargetMode="External"/><Relationship Id="rId2138" Type="http://schemas.openxmlformats.org/officeDocument/2006/relationships/hyperlink" Target="http://iabaustralia.com.au" TargetMode="External"/><Relationship Id="rId2139" Type="http://schemas.openxmlformats.org/officeDocument/2006/relationships/hyperlink" Target="https://ichelonconsulting.com/aeo-agency-australia" TargetMode="External"/><Relationship Id="rId459" Type="http://schemas.openxmlformats.org/officeDocument/2006/relationships/hyperlink" Target="http://architecturaldigest.com" TargetMode="External"/><Relationship Id="rId458" Type="http://schemas.openxmlformats.org/officeDocument/2006/relationships/hyperlink" Target="https://www.architecturaldigest.com/story/is-your-business-ready-for-the-ai-overview-era" TargetMode="External"/><Relationship Id="rId457" Type="http://schemas.openxmlformats.org/officeDocument/2006/relationships/hyperlink" Target="http://agrtech.com.au" TargetMode="External"/><Relationship Id="rId456" Type="http://schemas.openxmlformats.org/officeDocument/2006/relationships/hyperlink" Target="https://agrtech.com.au/ai/top-10-best-geo-optimization-agencies-in-the-world/" TargetMode="External"/><Relationship Id="rId1280" Type="http://schemas.openxmlformats.org/officeDocument/2006/relationships/hyperlink" Target="https://www.designrush.com/agency/digital-marketing/analytics" TargetMode="External"/><Relationship Id="rId1281" Type="http://schemas.openxmlformats.org/officeDocument/2006/relationships/hyperlink" Target="http://designrush.com" TargetMode="External"/><Relationship Id="rId451" Type="http://schemas.openxmlformats.org/officeDocument/2006/relationships/hyperlink" Target="https://vocal.media/01/australia-s-leading-performance-marketing-services" TargetMode="External"/><Relationship Id="rId1282" Type="http://schemas.openxmlformats.org/officeDocument/2006/relationships/hyperlink" Target="https://www.designrush.com/agency/paid-media-pay-per-click/au/sydney" TargetMode="External"/><Relationship Id="rId450" Type="http://schemas.openxmlformats.org/officeDocument/2006/relationships/hyperlink" Target="http://thinkcreativeagency.com.au" TargetMode="External"/><Relationship Id="rId1283" Type="http://schemas.openxmlformats.org/officeDocument/2006/relationships/hyperlink" Target="http://designrush.com" TargetMode="External"/><Relationship Id="rId2130" Type="http://schemas.openxmlformats.org/officeDocument/2006/relationships/hyperlink" Target="http://honchosearch.com" TargetMode="External"/><Relationship Id="rId1284" Type="http://schemas.openxmlformats.org/officeDocument/2006/relationships/hyperlink" Target="https://digitalagencynetwork.com/agencies/melbourne/geo/" TargetMode="External"/><Relationship Id="rId2131" Type="http://schemas.openxmlformats.org/officeDocument/2006/relationships/hyperlink" Target="https://www.humanova.com.au/" TargetMode="External"/><Relationship Id="rId1285" Type="http://schemas.openxmlformats.org/officeDocument/2006/relationships/hyperlink" Target="http://digitalagencynetwork.com" TargetMode="External"/><Relationship Id="rId2132" Type="http://schemas.openxmlformats.org/officeDocument/2006/relationships/hyperlink" Target="http://humanova.com.au" TargetMode="External"/><Relationship Id="rId455" Type="http://schemas.openxmlformats.org/officeDocument/2006/relationships/hyperlink" Target="http://semrush.com" TargetMode="External"/><Relationship Id="rId1286" Type="http://schemas.openxmlformats.org/officeDocument/2006/relationships/hyperlink" Target="https://digitalchamp.com.au/platypus-australia/" TargetMode="External"/><Relationship Id="rId2133" Type="http://schemas.openxmlformats.org/officeDocument/2006/relationships/hyperlink" Target="https://www.i4s.au/best-ppc-agency-in-2025/" TargetMode="External"/><Relationship Id="rId454" Type="http://schemas.openxmlformats.org/officeDocument/2006/relationships/hyperlink" Target="https://agencies.semrush.com/list/ai-optimization/australia/mid-business/" TargetMode="External"/><Relationship Id="rId1287" Type="http://schemas.openxmlformats.org/officeDocument/2006/relationships/hyperlink" Target="http://digitalchamp.com.au" TargetMode="External"/><Relationship Id="rId2134" Type="http://schemas.openxmlformats.org/officeDocument/2006/relationships/hyperlink" Target="http://i4s.au" TargetMode="External"/><Relationship Id="rId453" Type="http://schemas.openxmlformats.org/officeDocument/2006/relationships/hyperlink" Target="http://wearesocial.com" TargetMode="External"/><Relationship Id="rId1288" Type="http://schemas.openxmlformats.org/officeDocument/2006/relationships/hyperlink" Target="https://www.digitalhitmen.com.au/seo-perth/geo/" TargetMode="External"/><Relationship Id="rId2135" Type="http://schemas.openxmlformats.org/officeDocument/2006/relationships/hyperlink" Target="https://www.iabaustralia.com.au/resource/market-mix-modelling-landscape-report-2025/" TargetMode="External"/><Relationship Id="rId452" Type="http://schemas.openxmlformats.org/officeDocument/2006/relationships/hyperlink" Target="https://wearesocial.com/au/" TargetMode="External"/><Relationship Id="rId1289" Type="http://schemas.openxmlformats.org/officeDocument/2006/relationships/hyperlink" Target="http://digitalhitmen.com.au" TargetMode="External"/><Relationship Id="rId2136" Type="http://schemas.openxmlformats.org/officeDocument/2006/relationships/hyperlink" Target="http://iabaustralia.com.au" TargetMode="External"/><Relationship Id="rId491" Type="http://schemas.openxmlformats.org/officeDocument/2006/relationships/hyperlink" Target="http://melottimedia.com.au" TargetMode="External"/><Relationship Id="rId490" Type="http://schemas.openxmlformats.org/officeDocument/2006/relationships/hyperlink" Target="https://www.melottimedia.com.au/ai-marketing-services/ai-search-optimisation/" TargetMode="External"/><Relationship Id="rId489" Type="http://schemas.openxmlformats.org/officeDocument/2006/relationships/hyperlink" Target="http://measured.com" TargetMode="External"/><Relationship Id="rId2160" Type="http://schemas.openxmlformats.org/officeDocument/2006/relationships/hyperlink" Target="http://incubeta.com" TargetMode="External"/><Relationship Id="rId2161" Type="http://schemas.openxmlformats.org/officeDocument/2006/relationships/hyperlink" Target="https://www.indexandomarketing.com/en/" TargetMode="External"/><Relationship Id="rId484" Type="http://schemas.openxmlformats.org/officeDocument/2006/relationships/hyperlink" Target="https://itprofiles.com/services/ppc/australia" TargetMode="External"/><Relationship Id="rId2162" Type="http://schemas.openxmlformats.org/officeDocument/2006/relationships/hyperlink" Target="http://indexandomarketing.com" TargetMode="External"/><Relationship Id="rId483" Type="http://schemas.openxmlformats.org/officeDocument/2006/relationships/hyperlink" Target="http://hashtag.net.au" TargetMode="External"/><Relationship Id="rId2163" Type="http://schemas.openxmlformats.org/officeDocument/2006/relationships/hyperlink" Target="https://www.influencer-hero.com/agencies/best-influencer-marketing-agencies-australia" TargetMode="External"/><Relationship Id="rId482" Type="http://schemas.openxmlformats.org/officeDocument/2006/relationships/hyperlink" Target="https://www.hashtag.net.au/news/technology/146815-top-agencies-using-ai-to-improve-search-visibility-for-australian-brands" TargetMode="External"/><Relationship Id="rId2164" Type="http://schemas.openxmlformats.org/officeDocument/2006/relationships/hyperlink" Target="http://influencer-hero.com" TargetMode="External"/><Relationship Id="rId481" Type="http://schemas.openxmlformats.org/officeDocument/2006/relationships/hyperlink" Target="http://google.com.au" TargetMode="External"/><Relationship Id="rId2165" Type="http://schemas.openxmlformats.org/officeDocument/2006/relationships/hyperlink" Target="https://influencermarketinghub.com/digital-marketing-agency-australia/" TargetMode="External"/><Relationship Id="rId488" Type="http://schemas.openxmlformats.org/officeDocument/2006/relationships/hyperlink" Target="https://www.measured.com/" TargetMode="External"/><Relationship Id="rId2166" Type="http://schemas.openxmlformats.org/officeDocument/2006/relationships/hyperlink" Target="http://influencermarketinghub.com" TargetMode="External"/><Relationship Id="rId487" Type="http://schemas.openxmlformats.org/officeDocument/2006/relationships/hyperlink" Target="http://liftlab.com" TargetMode="External"/><Relationship Id="rId2167" Type="http://schemas.openxmlformats.org/officeDocument/2006/relationships/hyperlink" Target="https://info.jellyfish.com/en-au/local-page/australia" TargetMode="External"/><Relationship Id="rId486" Type="http://schemas.openxmlformats.org/officeDocument/2006/relationships/hyperlink" Target="https://liftlab.com/platform/incrementality-testing-engine/" TargetMode="External"/><Relationship Id="rId2168" Type="http://schemas.openxmlformats.org/officeDocument/2006/relationships/hyperlink" Target="http://jellyfish.com" TargetMode="External"/><Relationship Id="rId485" Type="http://schemas.openxmlformats.org/officeDocument/2006/relationships/hyperlink" Target="http://itprofiles.com" TargetMode="External"/><Relationship Id="rId2169" Type="http://schemas.openxmlformats.org/officeDocument/2006/relationships/hyperlink" Target="https://infokus.com.au/" TargetMode="External"/><Relationship Id="rId2159" Type="http://schemas.openxmlformats.org/officeDocument/2006/relationships/hyperlink" Target="https://incubeta.com/news-and-resources/incubeta-joins-googles-international-growth-program/" TargetMode="External"/><Relationship Id="rId480" Type="http://schemas.openxmlformats.org/officeDocument/2006/relationships/hyperlink" Target="https://www.google.com.au/intl/en/ads/publisher/partners/find-a-partner/" TargetMode="External"/><Relationship Id="rId479" Type="http://schemas.openxmlformats.org/officeDocument/2006/relationships/hyperlink" Target="http://getaiready.com.au" TargetMode="External"/><Relationship Id="rId478" Type="http://schemas.openxmlformats.org/officeDocument/2006/relationships/hyperlink" Target="https://getaiready.com.au/solutions" TargetMode="External"/><Relationship Id="rId2150" Type="http://schemas.openxmlformats.org/officeDocument/2006/relationships/hyperlink" Target="http://impressive.com.au" TargetMode="External"/><Relationship Id="rId473" Type="http://schemas.openxmlformats.org/officeDocument/2006/relationships/hyperlink" Target="http://digitaldigest.au" TargetMode="External"/><Relationship Id="rId2151" Type="http://schemas.openxmlformats.org/officeDocument/2006/relationships/hyperlink" Target="https://impressive.com.au/seo-services/" TargetMode="External"/><Relationship Id="rId472" Type="http://schemas.openxmlformats.org/officeDocument/2006/relationships/hyperlink" Target="https://digitaldigest.au/best-social-media-agencies/" TargetMode="External"/><Relationship Id="rId2152" Type="http://schemas.openxmlformats.org/officeDocument/2006/relationships/hyperlink" Target="http://impressive.com.au" TargetMode="External"/><Relationship Id="rId471" Type="http://schemas.openxmlformats.org/officeDocument/2006/relationships/hyperlink" Target="http://digitaldigest.au" TargetMode="External"/><Relationship Id="rId2153" Type="http://schemas.openxmlformats.org/officeDocument/2006/relationships/hyperlink" Target="https://improvado.io/blog/multi-touch-attribution-solutions" TargetMode="External"/><Relationship Id="rId470" Type="http://schemas.openxmlformats.org/officeDocument/2006/relationships/hyperlink" Target="https://digitaldigest.au/ai-seo-agencies/" TargetMode="External"/><Relationship Id="rId2154" Type="http://schemas.openxmlformats.org/officeDocument/2006/relationships/hyperlink" Target="http://improvado.io" TargetMode="External"/><Relationship Id="rId477" Type="http://schemas.openxmlformats.org/officeDocument/2006/relationships/hyperlink" Target="http://getaiready.com.au" TargetMode="External"/><Relationship Id="rId2155" Type="http://schemas.openxmlformats.org/officeDocument/2006/relationships/hyperlink" Target="https://www.incremental.com/solutions" TargetMode="External"/><Relationship Id="rId476" Type="http://schemas.openxmlformats.org/officeDocument/2006/relationships/hyperlink" Target="https://getaiready.com.au/about" TargetMode="External"/><Relationship Id="rId2156" Type="http://schemas.openxmlformats.org/officeDocument/2006/relationships/hyperlink" Target="http://incremental.com" TargetMode="External"/><Relationship Id="rId475" Type="http://schemas.openxmlformats.org/officeDocument/2006/relationships/hyperlink" Target="http://exaltgrowth.com" TargetMode="External"/><Relationship Id="rId2157" Type="http://schemas.openxmlformats.org/officeDocument/2006/relationships/hyperlink" Target="https://www.incrmntal.com/solutions/agencies" TargetMode="External"/><Relationship Id="rId474" Type="http://schemas.openxmlformats.org/officeDocument/2006/relationships/hyperlink" Target="https://www.exaltgrowth.com/generative-engine-optimization/top-australian-saas-geo-agencies" TargetMode="External"/><Relationship Id="rId2158" Type="http://schemas.openxmlformats.org/officeDocument/2006/relationships/hyperlink" Target="http://incrmntal.com" TargetMode="External"/><Relationship Id="rId1257" Type="http://schemas.openxmlformats.org/officeDocument/2006/relationships/hyperlink" Target="http://clutch.co" TargetMode="External"/><Relationship Id="rId2104" Type="http://schemas.openxmlformats.org/officeDocument/2006/relationships/hyperlink" Target="http://grantthornton.com.au" TargetMode="External"/><Relationship Id="rId2588" Type="http://schemas.openxmlformats.org/officeDocument/2006/relationships/hyperlink" Target="http://techtalkradio.com.au" TargetMode="External"/><Relationship Id="rId1258" Type="http://schemas.openxmlformats.org/officeDocument/2006/relationships/hyperlink" Target="https://clutch.co/au/agencies/market-research" TargetMode="External"/><Relationship Id="rId2105" Type="http://schemas.openxmlformats.org/officeDocument/2006/relationships/hyperlink" Target="https://www.growth-hackers.net/best-analytics-marketing-agencies/" TargetMode="External"/><Relationship Id="rId2589" Type="http://schemas.openxmlformats.org/officeDocument/2006/relationships/hyperlink" Target="https://www.theardor.com.au/best-seo-companies-in-australia/" TargetMode="External"/><Relationship Id="rId1259" Type="http://schemas.openxmlformats.org/officeDocument/2006/relationships/hyperlink" Target="http://clutch.co" TargetMode="External"/><Relationship Id="rId2106" Type="http://schemas.openxmlformats.org/officeDocument/2006/relationships/hyperlink" Target="http://growth-hackers.net" TargetMode="External"/><Relationship Id="rId2107" Type="http://schemas.openxmlformats.org/officeDocument/2006/relationships/hyperlink" Target="https://www.growthaffect.com.au/pages/about-us" TargetMode="External"/><Relationship Id="rId2108" Type="http://schemas.openxmlformats.org/officeDocument/2006/relationships/hyperlink" Target="http://growthaffect.com.au" TargetMode="External"/><Relationship Id="rId2109" Type="http://schemas.openxmlformats.org/officeDocument/2006/relationships/hyperlink" Target="https://gtechsol.com.au/digital-marketing/marketing-analytics/" TargetMode="External"/><Relationship Id="rId426" Type="http://schemas.openxmlformats.org/officeDocument/2006/relationships/hyperlink" Target="https://www.cometly.com/post/marketing-attribution-tools-for-agencies" TargetMode="External"/><Relationship Id="rId425" Type="http://schemas.openxmlformats.org/officeDocument/2006/relationships/hyperlink" Target="http://clutch.co" TargetMode="External"/><Relationship Id="rId424" Type="http://schemas.openxmlformats.org/officeDocument/2006/relationships/hyperlink" Target="https://clutch.co/au/agencies/programmatic" TargetMode="External"/><Relationship Id="rId423" Type="http://schemas.openxmlformats.org/officeDocument/2006/relationships/hyperlink" Target="http://clickclickmedia.com.au" TargetMode="External"/><Relationship Id="rId429" Type="http://schemas.openxmlformats.org/officeDocument/2006/relationships/hyperlink" Target="http://deducive.com" TargetMode="External"/><Relationship Id="rId428" Type="http://schemas.openxmlformats.org/officeDocument/2006/relationships/hyperlink" Target="https://www.deducive.com/" TargetMode="External"/><Relationship Id="rId427" Type="http://schemas.openxmlformats.org/officeDocument/2006/relationships/hyperlink" Target="http://cometly.com" TargetMode="External"/><Relationship Id="rId2580" Type="http://schemas.openxmlformats.org/officeDocument/2006/relationships/hyperlink" Target="http://google.com" TargetMode="External"/><Relationship Id="rId1250" Type="http://schemas.openxmlformats.org/officeDocument/2006/relationships/hyperlink" Target="http://capterra.com.au" TargetMode="External"/><Relationship Id="rId2581" Type="http://schemas.openxmlformats.org/officeDocument/2006/relationships/hyperlink" Target="https://www.synap.au/readiness-assessment" TargetMode="External"/><Relationship Id="rId1251" Type="http://schemas.openxmlformats.org/officeDocument/2006/relationships/hyperlink" Target="https://cartermedia.com.au/" TargetMode="External"/><Relationship Id="rId2582" Type="http://schemas.openxmlformats.org/officeDocument/2006/relationships/hyperlink" Target="http://synap.au" TargetMode="External"/><Relationship Id="rId1252" Type="http://schemas.openxmlformats.org/officeDocument/2006/relationships/hyperlink" Target="http://cartermedia.com.au" TargetMode="External"/><Relationship Id="rId2583" Type="http://schemas.openxmlformats.org/officeDocument/2006/relationships/hyperlink" Target="https://team400.ai/" TargetMode="External"/><Relationship Id="rId422" Type="http://schemas.openxmlformats.org/officeDocument/2006/relationships/hyperlink" Target="https://clickclickmedia.com.au/ppc-agency/google-ads/" TargetMode="External"/><Relationship Id="rId1253" Type="http://schemas.openxmlformats.org/officeDocument/2006/relationships/hyperlink" Target="https://cassandra.app/platform" TargetMode="External"/><Relationship Id="rId2100" Type="http://schemas.openxmlformats.org/officeDocument/2006/relationships/hyperlink" Target="http://gorilla360.com.au" TargetMode="External"/><Relationship Id="rId2584" Type="http://schemas.openxmlformats.org/officeDocument/2006/relationships/hyperlink" Target="http://team400.ai" TargetMode="External"/><Relationship Id="rId421" Type="http://schemas.openxmlformats.org/officeDocument/2006/relationships/hyperlink" Target="http://bushnote.com" TargetMode="External"/><Relationship Id="rId1254" Type="http://schemas.openxmlformats.org/officeDocument/2006/relationships/hyperlink" Target="https://clickedon.co/services/digital-strategy" TargetMode="External"/><Relationship Id="rId2101" Type="http://schemas.openxmlformats.org/officeDocument/2006/relationships/hyperlink" Target="https://gorilla360.com.au/instagram-advertising/" TargetMode="External"/><Relationship Id="rId2585" Type="http://schemas.openxmlformats.org/officeDocument/2006/relationships/hyperlink" Target="https://www.techradar.com/pro/companies-that-can-serve-both-human-and-agent-audiences-will-be-the-ones-that-survive-wordpress-vip-cto-spells-out-the-future-of-seo-geo-and-more" TargetMode="External"/><Relationship Id="rId420" Type="http://schemas.openxmlformats.org/officeDocument/2006/relationships/hyperlink" Target="https://www.bushnote.com/articles/best-10-aeo-agencies-in-australia-to-promote-b2b-companies-in-2026" TargetMode="External"/><Relationship Id="rId1255" Type="http://schemas.openxmlformats.org/officeDocument/2006/relationships/hyperlink" Target="http://clickedon.co" TargetMode="External"/><Relationship Id="rId2102" Type="http://schemas.openxmlformats.org/officeDocument/2006/relationships/hyperlink" Target="http://gorilla360.com.au" TargetMode="External"/><Relationship Id="rId2586" Type="http://schemas.openxmlformats.org/officeDocument/2006/relationships/hyperlink" Target="http://techradar.com" TargetMode="External"/><Relationship Id="rId1256" Type="http://schemas.openxmlformats.org/officeDocument/2006/relationships/hyperlink" Target="https://clutch.co/au/agencies/creative/melbourne" TargetMode="External"/><Relationship Id="rId2103" Type="http://schemas.openxmlformats.org/officeDocument/2006/relationships/hyperlink" Target="https://www.grantthornton.com.au/services/tax/international-tax/global-trade-and-customs/" TargetMode="External"/><Relationship Id="rId2587" Type="http://schemas.openxmlformats.org/officeDocument/2006/relationships/hyperlink" Target="https://techtalkradio.com.au/top-australian-ppc-agencies-pricing-results-and-quality/" TargetMode="External"/><Relationship Id="rId1246" Type="http://schemas.openxmlformats.org/officeDocument/2006/relationships/hyperlink" Target="http://google.com" TargetMode="External"/><Relationship Id="rId2577" Type="http://schemas.openxmlformats.org/officeDocument/2006/relationships/hyperlink" Target="https://summitguard.com.au/" TargetMode="External"/><Relationship Id="rId1247" Type="http://schemas.openxmlformats.org/officeDocument/2006/relationships/hyperlink" Target="https://business.google.com/us/accelerate/announcements/meridian-geox-googles-new-open-source-geo-incrementality-solution/" TargetMode="External"/><Relationship Id="rId2578" Type="http://schemas.openxmlformats.org/officeDocument/2006/relationships/hyperlink" Target="http://summitguard.com.au" TargetMode="External"/><Relationship Id="rId1248" Type="http://schemas.openxmlformats.org/officeDocument/2006/relationships/hyperlink" Target="http://google.com" TargetMode="External"/><Relationship Id="rId2579" Type="http://schemas.openxmlformats.org/officeDocument/2006/relationships/hyperlink" Target="https://support.google.com/google-ads/answer/11410677?hl=en-AU" TargetMode="External"/><Relationship Id="rId1249" Type="http://schemas.openxmlformats.org/officeDocument/2006/relationships/hyperlink" Target="https://www.capterra.com.au/software/132822/bizible" TargetMode="External"/><Relationship Id="rId415" Type="http://schemas.openxmlformats.org/officeDocument/2006/relationships/hyperlink" Target="http://avinashvagh.com" TargetMode="External"/><Relationship Id="rId899" Type="http://schemas.openxmlformats.org/officeDocument/2006/relationships/hyperlink" Target="http://digitalchoice.com.au" TargetMode="External"/><Relationship Id="rId414" Type="http://schemas.openxmlformats.org/officeDocument/2006/relationships/hyperlink" Target="https://avinashvagh.com/blog/best-geo-agencies-australia" TargetMode="External"/><Relationship Id="rId898" Type="http://schemas.openxmlformats.org/officeDocument/2006/relationships/hyperlink" Target="https://digitalchoice.com.au/data-analytics/" TargetMode="External"/><Relationship Id="rId413" Type="http://schemas.openxmlformats.org/officeDocument/2006/relationships/hyperlink" Target="http://ami.org.au" TargetMode="External"/><Relationship Id="rId897" Type="http://schemas.openxmlformats.org/officeDocument/2006/relationships/hyperlink" Target="http://dejanmarketing.com" TargetMode="External"/><Relationship Id="rId412" Type="http://schemas.openxmlformats.org/officeDocument/2006/relationships/hyperlink" Target="https://ami.org.au/knowledge-hub/acams-ai-readiness-report-reveals-australian-marketing-teams-lagging-in-ai-maturity/" TargetMode="External"/><Relationship Id="rId896" Type="http://schemas.openxmlformats.org/officeDocument/2006/relationships/hyperlink" Target="https://dejanmarketing.com/best-ai-seo-agencies/" TargetMode="External"/><Relationship Id="rId419" Type="http://schemas.openxmlformats.org/officeDocument/2006/relationships/hyperlink" Target="http://builtin.com" TargetMode="External"/><Relationship Id="rId418" Type="http://schemas.openxmlformats.org/officeDocument/2006/relationships/hyperlink" Target="https://builtin.com/articles/digital-marketing-company-australia" TargetMode="External"/><Relationship Id="rId417" Type="http://schemas.openxmlformats.org/officeDocument/2006/relationships/hyperlink" Target="http://applabx.com" TargetMode="External"/><Relationship Id="rId416" Type="http://schemas.openxmlformats.org/officeDocument/2006/relationships/hyperlink" Target="https://blog.applabx.com/top-10-best-geo-agencies-in-australia-in-2026/" TargetMode="External"/><Relationship Id="rId891" Type="http://schemas.openxmlformats.org/officeDocument/2006/relationships/hyperlink" Target="http://clutch.co" TargetMode="External"/><Relationship Id="rId890" Type="http://schemas.openxmlformats.org/officeDocument/2006/relationships/hyperlink" Target="https://clutch.co/au/agencies/ppc%3Fpage%3D2" TargetMode="External"/><Relationship Id="rId2570" Type="http://schemas.openxmlformats.org/officeDocument/2006/relationships/hyperlink" Target="http://studioandcomarketing.com.au" TargetMode="External"/><Relationship Id="rId1240" Type="http://schemas.openxmlformats.org/officeDocument/2006/relationships/hyperlink" Target="http://braive.com.au" TargetMode="External"/><Relationship Id="rId2571" Type="http://schemas.openxmlformats.org/officeDocument/2006/relationships/hyperlink" Target="https://studiohawk.com.au/" TargetMode="External"/><Relationship Id="rId1241" Type="http://schemas.openxmlformats.org/officeDocument/2006/relationships/hyperlink" Target="https://builtinsydney.au/articles/digital-marketing-companies-sydney" TargetMode="External"/><Relationship Id="rId2572" Type="http://schemas.openxmlformats.org/officeDocument/2006/relationships/hyperlink" Target="http://studiohawk.com.au" TargetMode="External"/><Relationship Id="rId411" Type="http://schemas.openxmlformats.org/officeDocument/2006/relationships/hyperlink" Target="http://aimldigital.com.au" TargetMode="External"/><Relationship Id="rId895" Type="http://schemas.openxmlformats.org/officeDocument/2006/relationships/hyperlink" Target="http://conquerradigital.com.au" TargetMode="External"/><Relationship Id="rId1242" Type="http://schemas.openxmlformats.org/officeDocument/2006/relationships/hyperlink" Target="http://builtinsydney.au" TargetMode="External"/><Relationship Id="rId2573" Type="http://schemas.openxmlformats.org/officeDocument/2006/relationships/hyperlink" Target="https://studiohawk.com.au/seo-services/" TargetMode="External"/><Relationship Id="rId410" Type="http://schemas.openxmlformats.org/officeDocument/2006/relationships/hyperlink" Target="https://aimldigital.com.au/" TargetMode="External"/><Relationship Id="rId894" Type="http://schemas.openxmlformats.org/officeDocument/2006/relationships/hyperlink" Target="https://conquerradigital.com.au/top-10-programmatic-ads-agencies-in-brisbane/" TargetMode="External"/><Relationship Id="rId1243" Type="http://schemas.openxmlformats.org/officeDocument/2006/relationships/hyperlink" Target="https://builtinsydney.au/articles/marketing-companies-sydney" TargetMode="External"/><Relationship Id="rId2574" Type="http://schemas.openxmlformats.org/officeDocument/2006/relationships/hyperlink" Target="http://studiohawk.com.au" TargetMode="External"/><Relationship Id="rId893" Type="http://schemas.openxmlformats.org/officeDocument/2006/relationships/hyperlink" Target="http://clutch.co" TargetMode="External"/><Relationship Id="rId1244" Type="http://schemas.openxmlformats.org/officeDocument/2006/relationships/hyperlink" Target="http://builtinsydney.au" TargetMode="External"/><Relationship Id="rId2575" Type="http://schemas.openxmlformats.org/officeDocument/2006/relationships/hyperlink" Target="https://studioslate.com.au/services/social-media-advertising" TargetMode="External"/><Relationship Id="rId892" Type="http://schemas.openxmlformats.org/officeDocument/2006/relationships/hyperlink" Target="https://clutch.co/au/agencies/ppc/sydney" TargetMode="External"/><Relationship Id="rId1245" Type="http://schemas.openxmlformats.org/officeDocument/2006/relationships/hyperlink" Target="https://business.google.com/en-all/support/work-with-a-partner/" TargetMode="External"/><Relationship Id="rId2576" Type="http://schemas.openxmlformats.org/officeDocument/2006/relationships/hyperlink" Target="http://studioslate.com.au" TargetMode="External"/><Relationship Id="rId1279" Type="http://schemas.openxmlformats.org/officeDocument/2006/relationships/hyperlink" Target="http://designrush.com" TargetMode="External"/><Relationship Id="rId2126" Type="http://schemas.openxmlformats.org/officeDocument/2006/relationships/hyperlink" Target="http://homerdigitalmarketing.com" TargetMode="External"/><Relationship Id="rId2127" Type="http://schemas.openxmlformats.org/officeDocument/2006/relationships/hyperlink" Target="https://homerdigitalmarketing.com/lead-gen-agency/" TargetMode="External"/><Relationship Id="rId2128" Type="http://schemas.openxmlformats.org/officeDocument/2006/relationships/hyperlink" Target="http://homerdigitalmarketing.com" TargetMode="External"/><Relationship Id="rId2129" Type="http://schemas.openxmlformats.org/officeDocument/2006/relationships/hyperlink" Target="https://honchosearch.com/pages/services-paid-media?srsltid=AfmBOorq_y31HueuHmbhKFTurnKIaEM3AceJ85hmK4BBO6GJiNnAwqf0" TargetMode="External"/><Relationship Id="rId448" Type="http://schemas.openxmlformats.org/officeDocument/2006/relationships/hyperlink" Target="https://somo.agency/au/paid-social/" TargetMode="External"/><Relationship Id="rId447" Type="http://schemas.openxmlformats.org/officeDocument/2006/relationships/hyperlink" Target="http://onlinemarketinggurus.com.au" TargetMode="External"/><Relationship Id="rId446" Type="http://schemas.openxmlformats.org/officeDocument/2006/relationships/hyperlink" Target="https://www.onlinemarketinggurus.com.au/social-media-advertising/" TargetMode="External"/><Relationship Id="rId445" Type="http://schemas.openxmlformats.org/officeDocument/2006/relationships/hyperlink" Target="http://mkmedia.com.au" TargetMode="External"/><Relationship Id="rId449" Type="http://schemas.openxmlformats.org/officeDocument/2006/relationships/hyperlink" Target="https://thinkcreativeagency.com.au/digital-marketing/marketing-analytics-agency/" TargetMode="External"/><Relationship Id="rId1270" Type="http://schemas.openxmlformats.org/officeDocument/2006/relationships/hyperlink" Target="https://www.datasauce.com/" TargetMode="External"/><Relationship Id="rId440" Type="http://schemas.openxmlformats.org/officeDocument/2006/relationships/hyperlink" Target="https://impressive.com.au/performance-marketing-agency-melbourne/" TargetMode="External"/><Relationship Id="rId1271" Type="http://schemas.openxmlformats.org/officeDocument/2006/relationships/hyperlink" Target="http://datasauce.com" TargetMode="External"/><Relationship Id="rId1272" Type="http://schemas.openxmlformats.org/officeDocument/2006/relationships/hyperlink" Target="https://www.decisionfoundry.com/marketing-measurement-analytics-services/" TargetMode="External"/><Relationship Id="rId1273" Type="http://schemas.openxmlformats.org/officeDocument/2006/relationships/hyperlink" Target="http://decisionfoundry.com" TargetMode="External"/><Relationship Id="rId2120" Type="http://schemas.openxmlformats.org/officeDocument/2006/relationships/hyperlink" Target="http://hirewithnear.com" TargetMode="External"/><Relationship Id="rId1274" Type="http://schemas.openxmlformats.org/officeDocument/2006/relationships/hyperlink" Target="https://www.defence.gov.au/about/strategic-planning/ago-strategy-2025-2027" TargetMode="External"/><Relationship Id="rId2121" Type="http://schemas.openxmlformats.org/officeDocument/2006/relationships/hyperlink" Target="https://www.hockeystack.com/blog-posts/types-of-marketing-analytics-and-how-they-affect-marketing-strategies" TargetMode="External"/><Relationship Id="rId444" Type="http://schemas.openxmlformats.org/officeDocument/2006/relationships/hyperlink" Target="https://www.mkmedia.com.au/media-attribution-research/" TargetMode="External"/><Relationship Id="rId1275" Type="http://schemas.openxmlformats.org/officeDocument/2006/relationships/hyperlink" Target="http://defence.gov.au" TargetMode="External"/><Relationship Id="rId2122" Type="http://schemas.openxmlformats.org/officeDocument/2006/relationships/hyperlink" Target="http://hockeystack.com" TargetMode="External"/><Relationship Id="rId443" Type="http://schemas.openxmlformats.org/officeDocument/2006/relationships/hyperlink" Target="http://loudface.co" TargetMode="External"/><Relationship Id="rId1276" Type="http://schemas.openxmlformats.org/officeDocument/2006/relationships/hyperlink" Target="https://defyn.com.au/branding-sydney/" TargetMode="External"/><Relationship Id="rId2123" Type="http://schemas.openxmlformats.org/officeDocument/2006/relationships/hyperlink" Target="https://hoefonsecurityseals.com/business/authorized-economic-operator-aeo/" TargetMode="External"/><Relationship Id="rId442" Type="http://schemas.openxmlformats.org/officeDocument/2006/relationships/hyperlink" Target="https://www.loudface.co/blog/best-aeo-agencies-2026" TargetMode="External"/><Relationship Id="rId1277" Type="http://schemas.openxmlformats.org/officeDocument/2006/relationships/hyperlink" Target="http://defyn.com.au" TargetMode="External"/><Relationship Id="rId2124" Type="http://schemas.openxmlformats.org/officeDocument/2006/relationships/hyperlink" Target="http://hoefonsecurityseals.com" TargetMode="External"/><Relationship Id="rId441" Type="http://schemas.openxmlformats.org/officeDocument/2006/relationships/hyperlink" Target="http://impressive.com.au" TargetMode="External"/><Relationship Id="rId1278" Type="http://schemas.openxmlformats.org/officeDocument/2006/relationships/hyperlink" Target="https://www.designrush.com/agency/ad-agencies/au/melbourne" TargetMode="External"/><Relationship Id="rId2125" Type="http://schemas.openxmlformats.org/officeDocument/2006/relationships/hyperlink" Target="https://homerdigitalmarketing.com/instagram-ads-agency/" TargetMode="External"/><Relationship Id="rId1268" Type="http://schemas.openxmlformats.org/officeDocument/2006/relationships/hyperlink" Target="https://www.crmstrategy.com.au/marketing-attribution-solutions-and-advanced-analytics-2/" TargetMode="External"/><Relationship Id="rId2115" Type="http://schemas.openxmlformats.org/officeDocument/2006/relationships/hyperlink" Target="https://hikemytraffic.com/ai-digital-marketing-companies-in-australia/" TargetMode="External"/><Relationship Id="rId2599" Type="http://schemas.openxmlformats.org/officeDocument/2006/relationships/hyperlink" Target="https://www.thehero.co/" TargetMode="External"/><Relationship Id="rId1269" Type="http://schemas.openxmlformats.org/officeDocument/2006/relationships/hyperlink" Target="http://crmstrategy.com.au" TargetMode="External"/><Relationship Id="rId2116" Type="http://schemas.openxmlformats.org/officeDocument/2006/relationships/hyperlink" Target="http://hikemytraffic.com" TargetMode="External"/><Relationship Id="rId2117" Type="http://schemas.openxmlformats.org/officeDocument/2006/relationships/hyperlink" Target="https://hindsight.com.au/" TargetMode="External"/><Relationship Id="rId2118" Type="http://schemas.openxmlformats.org/officeDocument/2006/relationships/hyperlink" Target="http://hindsight.com.au" TargetMode="External"/><Relationship Id="rId2119" Type="http://schemas.openxmlformats.org/officeDocument/2006/relationships/hyperlink" Target="https://www.hirewithnear.com/blog/graphic-designer-recruitment-agencies" TargetMode="External"/><Relationship Id="rId437" Type="http://schemas.openxmlformats.org/officeDocument/2006/relationships/hyperlink" Target="http://farsiight.com" TargetMode="External"/><Relationship Id="rId436" Type="http://schemas.openxmlformats.org/officeDocument/2006/relationships/hyperlink" Target="https://farsiight.com/services/digital-strategy/performance-marketing-sydney/" TargetMode="External"/><Relationship Id="rId435" Type="http://schemas.openxmlformats.org/officeDocument/2006/relationships/hyperlink" Target="http://digitalnomadshq.com.au" TargetMode="External"/><Relationship Id="rId434" Type="http://schemas.openxmlformats.org/officeDocument/2006/relationships/hyperlink" Target="https://digitalnomadshq.com.au/blog/google-ads-companies/" TargetMode="External"/><Relationship Id="rId439" Type="http://schemas.openxmlformats.org/officeDocument/2006/relationships/hyperlink" Target="http://fastlanerecruit.com" TargetMode="External"/><Relationship Id="rId438" Type="http://schemas.openxmlformats.org/officeDocument/2006/relationships/hyperlink" Target="https://fastlanerecruit.com/blog/top-15-advertising-agencies-in-australia/" TargetMode="External"/><Relationship Id="rId2590" Type="http://schemas.openxmlformats.org/officeDocument/2006/relationships/hyperlink" Target="http://theardor.com.au" TargetMode="External"/><Relationship Id="rId1260" Type="http://schemas.openxmlformats.org/officeDocument/2006/relationships/hyperlink" Target="https://clutch.co/au/agencies/social-media-marketing/facebook?page=9" TargetMode="External"/><Relationship Id="rId2591" Type="http://schemas.openxmlformats.org/officeDocument/2006/relationships/hyperlink" Target="https://www.theardor.com.au/top-pr-agencies/" TargetMode="External"/><Relationship Id="rId1261" Type="http://schemas.openxmlformats.org/officeDocument/2006/relationships/hyperlink" Target="http://clutch.co" TargetMode="External"/><Relationship Id="rId2592" Type="http://schemas.openxmlformats.org/officeDocument/2006/relationships/hyperlink" Target="http://theardor.com.au" TargetMode="External"/><Relationship Id="rId1262" Type="http://schemas.openxmlformats.org/officeDocument/2006/relationships/hyperlink" Target="https://clutch.co/au/seo-firms" TargetMode="External"/><Relationship Id="rId2593" Type="http://schemas.openxmlformats.org/officeDocument/2006/relationships/hyperlink" Target="https://www.theaustralian.com.au/business/growth-agenda/wpps-media-ambitions-wont-impact-groupms-local-growth/news-story/7af81a0f6c387b9b8cecf519a403824d" TargetMode="External"/><Relationship Id="rId1263" Type="http://schemas.openxmlformats.org/officeDocument/2006/relationships/hyperlink" Target="http://clutch.co" TargetMode="External"/><Relationship Id="rId2110" Type="http://schemas.openxmlformats.org/officeDocument/2006/relationships/hyperlink" Target="http://gtechsol.com.au" TargetMode="External"/><Relationship Id="rId2594" Type="http://schemas.openxmlformats.org/officeDocument/2006/relationships/hyperlink" Target="http://theaustralian.com.au" TargetMode="External"/><Relationship Id="rId433" Type="http://schemas.openxmlformats.org/officeDocument/2006/relationships/hyperlink" Target="http://digitalmindsgroup.com.au" TargetMode="External"/><Relationship Id="rId1264" Type="http://schemas.openxmlformats.org/officeDocument/2006/relationships/hyperlink" Target="https://clutch.co/profile/megaphone-marketing" TargetMode="External"/><Relationship Id="rId2111" Type="http://schemas.openxmlformats.org/officeDocument/2006/relationships/hyperlink" Target="https://hedgehogmarketing.com.au/ai-marketing" TargetMode="External"/><Relationship Id="rId2595" Type="http://schemas.openxmlformats.org/officeDocument/2006/relationships/hyperlink" Target="https://www.thedigitalhub.com.au/ai-seo-services/" TargetMode="External"/><Relationship Id="rId432" Type="http://schemas.openxmlformats.org/officeDocument/2006/relationships/hyperlink" Target="https://www.digitalmindsgroup.com.au/" TargetMode="External"/><Relationship Id="rId1265" Type="http://schemas.openxmlformats.org/officeDocument/2006/relationships/hyperlink" Target="http://clutch.co" TargetMode="External"/><Relationship Id="rId2112" Type="http://schemas.openxmlformats.org/officeDocument/2006/relationships/hyperlink" Target="http://hedgehogmarketing.com.au" TargetMode="External"/><Relationship Id="rId2596" Type="http://schemas.openxmlformats.org/officeDocument/2006/relationships/hyperlink" Target="http://thedigitalhub.com.au" TargetMode="External"/><Relationship Id="rId431" Type="http://schemas.openxmlformats.org/officeDocument/2006/relationships/hyperlink" Target="http://designrush.com" TargetMode="External"/><Relationship Id="rId1266" Type="http://schemas.openxmlformats.org/officeDocument/2006/relationships/hyperlink" Target="https://conquerradigital.com.au/top-10-programmatic-ads-agencies-in-melbourne/" TargetMode="External"/><Relationship Id="rId2113" Type="http://schemas.openxmlformats.org/officeDocument/2006/relationships/hyperlink" Target="https://hellopeople.com.au/ai-solutions/ai-strategy-and-readiness" TargetMode="External"/><Relationship Id="rId2597" Type="http://schemas.openxmlformats.org/officeDocument/2006/relationships/hyperlink" Target="https://www.thedrum.com/news/why-deliveroo-is-putting-incrementality-testing-back-on-the-menu-1" TargetMode="External"/><Relationship Id="rId430" Type="http://schemas.openxmlformats.org/officeDocument/2006/relationships/hyperlink" Target="https://www.designrush.com/agency/social-media-marketing/au" TargetMode="External"/><Relationship Id="rId1267" Type="http://schemas.openxmlformats.org/officeDocument/2006/relationships/hyperlink" Target="http://conquerradigital.com.au" TargetMode="External"/><Relationship Id="rId2114" Type="http://schemas.openxmlformats.org/officeDocument/2006/relationships/hyperlink" Target="http://hellopeople.com.au" TargetMode="External"/><Relationship Id="rId2598" Type="http://schemas.openxmlformats.org/officeDocument/2006/relationships/hyperlink" Target="http://thedrum.com"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sortlist.com/l/australia-au" TargetMode="External"/><Relationship Id="rId391" Type="http://schemas.openxmlformats.org/officeDocument/2006/relationships/hyperlink" Target="http://sortlist.com" TargetMode="External"/><Relationship Id="rId390" Type="http://schemas.openxmlformats.org/officeDocument/2006/relationships/hyperlink" Target="https://www.sortlist.com/digital-marketing/australia-au" TargetMode="External"/><Relationship Id="rId1" Type="http://schemas.openxmlformats.org/officeDocument/2006/relationships/hyperlink" Target="http://23digital.com.au" TargetMode="External"/><Relationship Id="rId2" Type="http://schemas.openxmlformats.org/officeDocument/2006/relationships/hyperlink" Target="https://agencies.semrush.com/list/australia/" TargetMode="External"/><Relationship Id="rId3" Type="http://schemas.openxmlformats.org/officeDocument/2006/relationships/hyperlink" Target="http://semrush.com" TargetMode="External"/><Relationship Id="rId4" Type="http://schemas.openxmlformats.org/officeDocument/2006/relationships/hyperlink" Target="https://digitalnomadshq.com.au/blog/top-digital-marketing-agencies/" TargetMode="External"/><Relationship Id="rId9" Type="http://schemas.openxmlformats.org/officeDocument/2006/relationships/hyperlink" Target="http://adcore.com" TargetMode="External"/><Relationship Id="rId385" Type="http://schemas.openxmlformats.org/officeDocument/2006/relationships/hyperlink" Target="http://latentview.com" TargetMode="External"/><Relationship Id="rId384" Type="http://schemas.openxmlformats.org/officeDocument/2006/relationships/hyperlink" Target="https://www.latentview.com/glossary/incrementality-testing/" TargetMode="External"/><Relationship Id="rId383" Type="http://schemas.openxmlformats.org/officeDocument/2006/relationships/hyperlink" Target="http://influencermarketinghub.com" TargetMode="External"/><Relationship Id="rId382" Type="http://schemas.openxmlformats.org/officeDocument/2006/relationships/hyperlink" Target="https://influencermarketinghub.com/social-media-marketing-agencies-australia/" TargetMode="External"/><Relationship Id="rId5" Type="http://schemas.openxmlformats.org/officeDocument/2006/relationships/hyperlink" Target="http://digitalnomadshq.com.au" TargetMode="External"/><Relationship Id="rId389" Type="http://schemas.openxmlformats.org/officeDocument/2006/relationships/hyperlink" Target="http://onelittleweb.com" TargetMode="External"/><Relationship Id="rId6" Type="http://schemas.openxmlformats.org/officeDocument/2006/relationships/hyperlink" Target="https://clutch.co/au/agencies/digital-marketing" TargetMode="External"/><Relationship Id="rId388" Type="http://schemas.openxmlformats.org/officeDocument/2006/relationships/hyperlink" Target="https://onelittleweb.com/top-agencies/top-performance-marketing-agencies/" TargetMode="External"/><Relationship Id="rId7" Type="http://schemas.openxmlformats.org/officeDocument/2006/relationships/hyperlink" Target="http://clutch.co" TargetMode="External"/><Relationship Id="rId387" Type="http://schemas.openxmlformats.org/officeDocument/2006/relationships/hyperlink" Target="http://mayple.com" TargetMode="External"/><Relationship Id="rId8" Type="http://schemas.openxmlformats.org/officeDocument/2006/relationships/hyperlink" Target="https://www.adcore.com/blog/top-10-digital-marketing-agencies-in-australia/" TargetMode="External"/><Relationship Id="rId386" Type="http://schemas.openxmlformats.org/officeDocument/2006/relationships/hyperlink" Target="https://www.mayple.com/resources/googleadvertising/google-ads-agencies-australia" TargetMode="External"/><Relationship Id="rId381" Type="http://schemas.openxmlformats.org/officeDocument/2006/relationships/hyperlink" Target="http://digitalagencynetwork.com" TargetMode="External"/><Relationship Id="rId380" Type="http://schemas.openxmlformats.org/officeDocument/2006/relationships/hyperlink" Target="https://digitalagencynetwork.com/agencies/sydney/ai-marketing/" TargetMode="External"/><Relationship Id="rId379" Type="http://schemas.openxmlformats.org/officeDocument/2006/relationships/hyperlink" Target="http://clutch.co" TargetMode="External"/><Relationship Id="rId374" Type="http://schemas.openxmlformats.org/officeDocument/2006/relationships/hyperlink" Target="https://www.bbe.io/top-10-best-advertising-agency-leaders-australia-2025-sydney-melbourne-brisbane" TargetMode="External"/><Relationship Id="rId373" Type="http://schemas.openxmlformats.org/officeDocument/2006/relationships/hyperlink" Target="http://semrush.com" TargetMode="External"/><Relationship Id="rId372" Type="http://schemas.openxmlformats.org/officeDocument/2006/relationships/hyperlink" Target="https://agencies.semrush.com/list/display-advertising/arts-entertainment/australia/" TargetMode="External"/><Relationship Id="rId371" Type="http://schemas.openxmlformats.org/officeDocument/2006/relationships/hyperlink" Target="http://semrush.com" TargetMode="External"/><Relationship Id="rId378" Type="http://schemas.openxmlformats.org/officeDocument/2006/relationships/hyperlink" Target="https://clutch.co/agencies/performance-marketing" TargetMode="External"/><Relationship Id="rId377" Type="http://schemas.openxmlformats.org/officeDocument/2006/relationships/hyperlink" Target="http://bushnote.com" TargetMode="External"/><Relationship Id="rId376" Type="http://schemas.openxmlformats.org/officeDocument/2006/relationships/hyperlink" Target="https://www.bushnote.com/articles/best-10-aeo-agencies-in-australia-to-promote-b2b-saas-companies-in-2026" TargetMode="External"/><Relationship Id="rId375" Type="http://schemas.openxmlformats.org/officeDocument/2006/relationships/hyperlink" Target="http://bbe.io" TargetMode="External"/><Relationship Id="rId396" Type="http://schemas.openxmlformats.org/officeDocument/2006/relationships/hyperlink" Target="https://www.thehero.co/news" TargetMode="External"/><Relationship Id="rId395" Type="http://schemas.openxmlformats.org/officeDocument/2006/relationships/hyperlink" Target="http://talonsmarketing.com.au" TargetMode="External"/><Relationship Id="rId394" Type="http://schemas.openxmlformats.org/officeDocument/2006/relationships/hyperlink" Target="https://talonsmarketing.com.au/10-best-chatgpt-optimisation-agencies-australia/" TargetMode="External"/><Relationship Id="rId393" Type="http://schemas.openxmlformats.org/officeDocument/2006/relationships/hyperlink" Target="http://sortlist.com" TargetMode="External"/><Relationship Id="rId399" Type="http://schemas.openxmlformats.org/officeDocument/2006/relationships/hyperlink" Target="http://themanifest.com" TargetMode="External"/><Relationship Id="rId398" Type="http://schemas.openxmlformats.org/officeDocument/2006/relationships/hyperlink" Target="https://themanifest.com/au/media-buying/agencies" TargetMode="External"/><Relationship Id="rId397" Type="http://schemas.openxmlformats.org/officeDocument/2006/relationships/hyperlink" Target="http://thehero.co" TargetMode="External"/><Relationship Id="rId808" Type="http://schemas.openxmlformats.org/officeDocument/2006/relationships/hyperlink" Target="http://semrush.com" TargetMode="External"/><Relationship Id="rId807" Type="http://schemas.openxmlformats.org/officeDocument/2006/relationships/hyperlink" Target="https://agencies.semrush.com/list/ppc/melbourne/" TargetMode="External"/><Relationship Id="rId806" Type="http://schemas.openxmlformats.org/officeDocument/2006/relationships/hyperlink" Target="http://semrush.com" TargetMode="External"/><Relationship Id="rId805" Type="http://schemas.openxmlformats.org/officeDocument/2006/relationships/hyperlink" Target="https://agencies.semrush.com/list/ppc/brisbane/" TargetMode="External"/><Relationship Id="rId809" Type="http://schemas.openxmlformats.org/officeDocument/2006/relationships/hyperlink" Target="https://agencies.semrush.com/list/programmatic-advertising/australia/mid-business/" TargetMode="External"/><Relationship Id="rId800" Type="http://schemas.openxmlformats.org/officeDocument/2006/relationships/hyperlink" Target="http://semrush.com" TargetMode="External"/><Relationship Id="rId804" Type="http://schemas.openxmlformats.org/officeDocument/2006/relationships/hyperlink" Target="http://semrush.com" TargetMode="External"/><Relationship Id="rId803" Type="http://schemas.openxmlformats.org/officeDocument/2006/relationships/hyperlink" Target="https://agencies.semrush.com/list/market-analysis/australia/" TargetMode="External"/><Relationship Id="rId802" Type="http://schemas.openxmlformats.org/officeDocument/2006/relationships/hyperlink" Target="http://semrush.com" TargetMode="External"/><Relationship Id="rId801" Type="http://schemas.openxmlformats.org/officeDocument/2006/relationships/hyperlink" Target="https://agencies.semrush.com/list/enterprise-business/australia/" TargetMode="External"/><Relationship Id="rId40" Type="http://schemas.openxmlformats.org/officeDocument/2006/relationships/hyperlink" Target="https://impressive.com.au/best-ai-seo-agencies-melbourne/" TargetMode="External"/><Relationship Id="rId42" Type="http://schemas.openxmlformats.org/officeDocument/2006/relationships/hyperlink" Target="https://ensun.io/search/marketing-analytics/australia" TargetMode="External"/><Relationship Id="rId41" Type="http://schemas.openxmlformats.org/officeDocument/2006/relationships/hyperlink" Target="http://impressive.com.au" TargetMode="External"/><Relationship Id="rId44" Type="http://schemas.openxmlformats.org/officeDocument/2006/relationships/hyperlink" Target="https://www.thehero.co/news/top-10-best-ad-agency-in-australia-leading-sydney-melbourne-brisbane" TargetMode="External"/><Relationship Id="rId43" Type="http://schemas.openxmlformats.org/officeDocument/2006/relationships/hyperlink" Target="http://ensun.io" TargetMode="External"/><Relationship Id="rId46" Type="http://schemas.openxmlformats.org/officeDocument/2006/relationships/hyperlink" Target="https://digitalagencynetwork.com/agencies/australia/" TargetMode="External"/><Relationship Id="rId45" Type="http://schemas.openxmlformats.org/officeDocument/2006/relationships/hyperlink" Target="http://thehero.co" TargetMode="External"/><Relationship Id="rId745" Type="http://schemas.openxmlformats.org/officeDocument/2006/relationships/hyperlink" Target="https://socialchameleon.com/top-25-digital-marketing-agencies-in-australia/" TargetMode="External"/><Relationship Id="rId744" Type="http://schemas.openxmlformats.org/officeDocument/2006/relationships/hyperlink" Target="http://seoworks.com" TargetMode="External"/><Relationship Id="rId743" Type="http://schemas.openxmlformats.org/officeDocument/2006/relationships/hyperlink" Target="https://www.seoworks.com/lists/best-aeo-answer-engine-optimisation-agencies/" TargetMode="External"/><Relationship Id="rId742" Type="http://schemas.openxmlformats.org/officeDocument/2006/relationships/hyperlink" Target="http://semrush.com" TargetMode="External"/><Relationship Id="rId749" Type="http://schemas.openxmlformats.org/officeDocument/2006/relationships/hyperlink" Target="https://www.sortlist.com/s/performance-marketing/queensland-qld-au" TargetMode="External"/><Relationship Id="rId748" Type="http://schemas.openxmlformats.org/officeDocument/2006/relationships/hyperlink" Target="http://sortlist.com" TargetMode="External"/><Relationship Id="rId747" Type="http://schemas.openxmlformats.org/officeDocument/2006/relationships/hyperlink" Target="https://www.sortlist.com/s/artificial-intelligence/sydney-au" TargetMode="External"/><Relationship Id="rId746" Type="http://schemas.openxmlformats.org/officeDocument/2006/relationships/hyperlink" Target="http://socialchameleon.com" TargetMode="External"/><Relationship Id="rId48" Type="http://schemas.openxmlformats.org/officeDocument/2006/relationships/hyperlink" Target="https://agencies.semrush.com/list/smm/australia/" TargetMode="External"/><Relationship Id="rId47" Type="http://schemas.openxmlformats.org/officeDocument/2006/relationships/hyperlink" Target="http://digitalagencynetwork.com" TargetMode="External"/><Relationship Id="rId49" Type="http://schemas.openxmlformats.org/officeDocument/2006/relationships/hyperlink" Target="http://semrush.com" TargetMode="External"/><Relationship Id="rId741" Type="http://schemas.openxmlformats.org/officeDocument/2006/relationships/hyperlink" Target="https://www.semrush.com/agencies/list/analytics-data-science/australia/" TargetMode="External"/><Relationship Id="rId740" Type="http://schemas.openxmlformats.org/officeDocument/2006/relationships/hyperlink" Target="http://segmentstream.com" TargetMode="External"/><Relationship Id="rId31" Type="http://schemas.openxmlformats.org/officeDocument/2006/relationships/hyperlink" Target="http://clutch.co" TargetMode="External"/><Relationship Id="rId30" Type="http://schemas.openxmlformats.org/officeDocument/2006/relationships/hyperlink" Target="https://clutch.co/au/agencies/ppc" TargetMode="External"/><Relationship Id="rId33" Type="http://schemas.openxmlformats.org/officeDocument/2006/relationships/hyperlink" Target="http://bushnote.com" TargetMode="External"/><Relationship Id="rId32" Type="http://schemas.openxmlformats.org/officeDocument/2006/relationships/hyperlink" Target="https://www.bushnote.com/articles/best-aeo-agencies-in-australia-in-2026" TargetMode="External"/><Relationship Id="rId35" Type="http://schemas.openxmlformats.org/officeDocument/2006/relationships/hyperlink" Target="http://digitalagencynetwork.com" TargetMode="External"/><Relationship Id="rId34" Type="http://schemas.openxmlformats.org/officeDocument/2006/relationships/hyperlink" Target="https://digitalagencynetwork.com/agencies/australia/ai-marketing/" TargetMode="External"/><Relationship Id="rId739" Type="http://schemas.openxmlformats.org/officeDocument/2006/relationships/hyperlink" Target="https://segmentstream.com/blog/articles/measured-com-alternatives" TargetMode="External"/><Relationship Id="rId734" Type="http://schemas.openxmlformats.org/officeDocument/2006/relationships/hyperlink" Target="http://rightfirms.co" TargetMode="External"/><Relationship Id="rId733" Type="http://schemas.openxmlformats.org/officeDocument/2006/relationships/hyperlink" Target="https://www.rightfirms.co/directory/geo-services/country/australia" TargetMode="External"/><Relationship Id="rId732" Type="http://schemas.openxmlformats.org/officeDocument/2006/relationships/hyperlink" Target="http://reddit.com" TargetMode="External"/><Relationship Id="rId731" Type="http://schemas.openxmlformats.org/officeDocument/2006/relationships/hyperlink" Target="https://www.reddit.com/r/aeo/comments/1twcbr2/best_aeo_agency_guide_what_to_look_for_in_an/" TargetMode="External"/><Relationship Id="rId738" Type="http://schemas.openxmlformats.org/officeDocument/2006/relationships/hyperlink" Target="http://sandlabs.com.au" TargetMode="External"/><Relationship Id="rId737" Type="http://schemas.openxmlformats.org/officeDocument/2006/relationships/hyperlink" Target="https://sandlabs.com.au/blog/top-ai-consulting-companies-australia" TargetMode="External"/><Relationship Id="rId736" Type="http://schemas.openxmlformats.org/officeDocument/2006/relationships/hyperlink" Target="http://roi.com.au" TargetMode="External"/><Relationship Id="rId735" Type="http://schemas.openxmlformats.org/officeDocument/2006/relationships/hyperlink" Target="https://roi.com.au/know-how/ai-seo-geo-answer-engine-optimisation/what-are-the-best-geo-tools-for-australian-businesses" TargetMode="External"/><Relationship Id="rId37" Type="http://schemas.openxmlformats.org/officeDocument/2006/relationships/hyperlink" Target="http://ninjapromo.io" TargetMode="External"/><Relationship Id="rId36" Type="http://schemas.openxmlformats.org/officeDocument/2006/relationships/hyperlink" Target="https://ninjapromo.io/top-digital-marketing-agencies-in-australia" TargetMode="External"/><Relationship Id="rId39" Type="http://schemas.openxmlformats.org/officeDocument/2006/relationships/hyperlink" Target="http://clutch.co" TargetMode="External"/><Relationship Id="rId38" Type="http://schemas.openxmlformats.org/officeDocument/2006/relationships/hyperlink" Target="https://clutch.co/au/agencies/social-media-marketing" TargetMode="External"/><Relationship Id="rId730" Type="http://schemas.openxmlformats.org/officeDocument/2006/relationships/hyperlink" Target="http://printvideoweb.com.au" TargetMode="External"/><Relationship Id="rId20" Type="http://schemas.openxmlformats.org/officeDocument/2006/relationships/hyperlink" Target="https://talonsmarketing.com.au/8-best-generative-engine-optimisation-geo-agencies-australia/" TargetMode="External"/><Relationship Id="rId22" Type="http://schemas.openxmlformats.org/officeDocument/2006/relationships/hyperlink" Target="https://www.formulate.com.au/articles/best-ai-seo-agencies-in-australia-2026/" TargetMode="External"/><Relationship Id="rId21" Type="http://schemas.openxmlformats.org/officeDocument/2006/relationships/hyperlink" Target="http://talonsmarketing.com.au" TargetMode="External"/><Relationship Id="rId24" Type="http://schemas.openxmlformats.org/officeDocument/2006/relationships/hyperlink" Target="https://intelligentresourcing.co/blogs/best-aeo-agencies-australia" TargetMode="External"/><Relationship Id="rId23" Type="http://schemas.openxmlformats.org/officeDocument/2006/relationships/hyperlink" Target="http://formulate.com.au" TargetMode="External"/><Relationship Id="rId767" Type="http://schemas.openxmlformats.org/officeDocument/2006/relationships/hyperlink" Target="https://www.youfinddigital.com/blog/best-geo-agency-for-ai-search.html" TargetMode="External"/><Relationship Id="rId766" Type="http://schemas.openxmlformats.org/officeDocument/2006/relationships/hyperlink" Target="http://xpon.ai" TargetMode="External"/><Relationship Id="rId765" Type="http://schemas.openxmlformats.org/officeDocument/2006/relationships/hyperlink" Target="https://xpon.ai/resources/best-ai-marketing-tools-for-2025/" TargetMode="External"/><Relationship Id="rId764" Type="http://schemas.openxmlformats.org/officeDocument/2006/relationships/hyperlink" Target="http://upliftgtm.com" TargetMode="External"/><Relationship Id="rId769" Type="http://schemas.openxmlformats.org/officeDocument/2006/relationships/hyperlink" Target="https://www.youtube.com/watch?v=3y6n2-qGxnE" TargetMode="External"/><Relationship Id="rId768" Type="http://schemas.openxmlformats.org/officeDocument/2006/relationships/hyperlink" Target="http://youfinddigital.com" TargetMode="External"/><Relationship Id="rId26" Type="http://schemas.openxmlformats.org/officeDocument/2006/relationships/hyperlink" Target="https://agencies.semrush.com/list/display-advertising/australia/" TargetMode="External"/><Relationship Id="rId25" Type="http://schemas.openxmlformats.org/officeDocument/2006/relationships/hyperlink" Target="http://intelligentresourcing.co" TargetMode="External"/><Relationship Id="rId28" Type="http://schemas.openxmlformats.org/officeDocument/2006/relationships/hyperlink" Target="https://theredrepublic.com/top-5-best-advertising-agencies-australia-2026/" TargetMode="External"/><Relationship Id="rId27" Type="http://schemas.openxmlformats.org/officeDocument/2006/relationships/hyperlink" Target="http://semrush.com" TargetMode="External"/><Relationship Id="rId763" Type="http://schemas.openxmlformats.org/officeDocument/2006/relationships/hyperlink" Target="https://www.upliftgtm.com/blog/best-geo-agencies" TargetMode="External"/><Relationship Id="rId29" Type="http://schemas.openxmlformats.org/officeDocument/2006/relationships/hyperlink" Target="http://theredrepublic.com" TargetMode="External"/><Relationship Id="rId762" Type="http://schemas.openxmlformats.org/officeDocument/2006/relationships/hyperlink" Target="http://themanifest.com" TargetMode="External"/><Relationship Id="rId761" Type="http://schemas.openxmlformats.org/officeDocument/2006/relationships/hyperlink" Target="https://themanifest.com/au/social-media/tiktok/agencies" TargetMode="External"/><Relationship Id="rId760" Type="http://schemas.openxmlformats.org/officeDocument/2006/relationships/hyperlink" Target="http://thehero.co" TargetMode="External"/><Relationship Id="rId11" Type="http://schemas.openxmlformats.org/officeDocument/2006/relationships/hyperlink" Target="http://clutch.co" TargetMode="External"/><Relationship Id="rId10" Type="http://schemas.openxmlformats.org/officeDocument/2006/relationships/hyperlink" Target="https://clutch.co/au/agencies" TargetMode="External"/><Relationship Id="rId13" Type="http://schemas.openxmlformats.org/officeDocument/2006/relationships/hyperlink" Target="http://leadsnow.ai" TargetMode="External"/><Relationship Id="rId12" Type="http://schemas.openxmlformats.org/officeDocument/2006/relationships/hyperlink" Target="https://leadsnow.ai/best-ai-marketing-agencies-australia/" TargetMode="External"/><Relationship Id="rId756" Type="http://schemas.openxmlformats.org/officeDocument/2006/relationships/hyperlink" Target="http://techyflavors.com" TargetMode="External"/><Relationship Id="rId755" Type="http://schemas.openxmlformats.org/officeDocument/2006/relationships/hyperlink" Target="https://www.techyflavors.com/2026/07/top-ai-driven-seo-agencies-in-australia.html" TargetMode="External"/><Relationship Id="rId754" Type="http://schemas.openxmlformats.org/officeDocument/2006/relationships/hyperlink" Target="http://sortlist.com" TargetMode="External"/><Relationship Id="rId753" Type="http://schemas.openxmlformats.org/officeDocument/2006/relationships/hyperlink" Target="https://www.sortlist.com/web-analytics/melbourne-au" TargetMode="External"/><Relationship Id="rId759" Type="http://schemas.openxmlformats.org/officeDocument/2006/relationships/hyperlink" Target="https://www.thehero.co/about" TargetMode="External"/><Relationship Id="rId758" Type="http://schemas.openxmlformats.org/officeDocument/2006/relationships/hyperlink" Target="http://thatware.co" TargetMode="External"/><Relationship Id="rId757" Type="http://schemas.openxmlformats.org/officeDocument/2006/relationships/hyperlink" Target="https://thatware.co/top-10-seo-companies-in-australia/" TargetMode="External"/><Relationship Id="rId15" Type="http://schemas.openxmlformats.org/officeDocument/2006/relationships/hyperlink" Target="http://semrush.com" TargetMode="External"/><Relationship Id="rId14" Type="http://schemas.openxmlformats.org/officeDocument/2006/relationships/hyperlink" Target="https://agencies.semrush.com/list/advertising/australia/" TargetMode="External"/><Relationship Id="rId17" Type="http://schemas.openxmlformats.org/officeDocument/2006/relationships/hyperlink" Target="http://talonsmarketing.com.au" TargetMode="External"/><Relationship Id="rId16" Type="http://schemas.openxmlformats.org/officeDocument/2006/relationships/hyperlink" Target="https://talonsmarketing.com.au/6-best-aeo-agencies-australia/" TargetMode="External"/><Relationship Id="rId19" Type="http://schemas.openxmlformats.org/officeDocument/2006/relationships/hyperlink" Target="http://sortlist.com" TargetMode="External"/><Relationship Id="rId752" Type="http://schemas.openxmlformats.org/officeDocument/2006/relationships/hyperlink" Target="http://sortlist.com" TargetMode="External"/><Relationship Id="rId18" Type="http://schemas.openxmlformats.org/officeDocument/2006/relationships/hyperlink" Target="https://www.sortlist.com/s/paid-media/australia-au" TargetMode="External"/><Relationship Id="rId751" Type="http://schemas.openxmlformats.org/officeDocument/2006/relationships/hyperlink" Target="https://www.sortlist.com/s/sm-analytics/australia-au" TargetMode="External"/><Relationship Id="rId750" Type="http://schemas.openxmlformats.org/officeDocument/2006/relationships/hyperlink" Target="http://sortlist.com" TargetMode="External"/><Relationship Id="rId84" Type="http://schemas.openxmlformats.org/officeDocument/2006/relationships/hyperlink" Target="https://www.globalgenie.com.au/top-digital-marketing-agencies-in-australia/" TargetMode="External"/><Relationship Id="rId83" Type="http://schemas.openxmlformats.org/officeDocument/2006/relationships/hyperlink" Target="http://digitalagencynetwork.com" TargetMode="External"/><Relationship Id="rId86" Type="http://schemas.openxmlformats.org/officeDocument/2006/relationships/hyperlink" Target="https://www.measured.com/faq/best-incrementality-testing-companies-software-for-marketing-2026/" TargetMode="External"/><Relationship Id="rId85" Type="http://schemas.openxmlformats.org/officeDocument/2006/relationships/hyperlink" Target="http://globalgenie.com.au" TargetMode="External"/><Relationship Id="rId88" Type="http://schemas.openxmlformats.org/officeDocument/2006/relationships/hyperlink" Target="https://slashdot.org/software/incrementality-testing/in-australia/" TargetMode="External"/><Relationship Id="rId87" Type="http://schemas.openxmlformats.org/officeDocument/2006/relationships/hyperlink" Target="http://measured.com" TargetMode="External"/><Relationship Id="rId89" Type="http://schemas.openxmlformats.org/officeDocument/2006/relationships/hyperlink" Target="http://slashdot.org" TargetMode="External"/><Relationship Id="rId709" Type="http://schemas.openxmlformats.org/officeDocument/2006/relationships/hyperlink" Target="http://gdaybroadcast.com.au" TargetMode="External"/><Relationship Id="rId708" Type="http://schemas.openxmlformats.org/officeDocument/2006/relationships/hyperlink" Target="https://gdaybroadcast.com.au/marketing-agencies-in-melbourne/" TargetMode="External"/><Relationship Id="rId707" Type="http://schemas.openxmlformats.org/officeDocument/2006/relationships/hyperlink" Target="http://flypix.ai" TargetMode="External"/><Relationship Id="rId706" Type="http://schemas.openxmlformats.org/officeDocument/2006/relationships/hyperlink" Target="https://flypix.ai/geospatial-companies-in-australia/" TargetMode="External"/><Relationship Id="rId80" Type="http://schemas.openxmlformats.org/officeDocument/2006/relationships/hyperlink" Target="https://www.smartosc.com/top-10-ai-marketing-agency-in-australia/" TargetMode="External"/><Relationship Id="rId82" Type="http://schemas.openxmlformats.org/officeDocument/2006/relationships/hyperlink" Target="https://digitalagencynetwork.com/agencies/australia/geo/" TargetMode="External"/><Relationship Id="rId81" Type="http://schemas.openxmlformats.org/officeDocument/2006/relationships/hyperlink" Target="http://smartosc.com" TargetMode="External"/><Relationship Id="rId701" Type="http://schemas.openxmlformats.org/officeDocument/2006/relationships/hyperlink" Target="http://ensun.io" TargetMode="External"/><Relationship Id="rId700" Type="http://schemas.openxmlformats.org/officeDocument/2006/relationships/hyperlink" Target="https://ensun.io/search/display-advertising/australia" TargetMode="External"/><Relationship Id="rId705" Type="http://schemas.openxmlformats.org/officeDocument/2006/relationships/hyperlink" Target="http://firstpagesage.com" TargetMode="External"/><Relationship Id="rId704" Type="http://schemas.openxmlformats.org/officeDocument/2006/relationships/hyperlink" Target="https://firstpagesage.com/seo-blog/the-top-generative-engine-optimization-geo-agencies/" TargetMode="External"/><Relationship Id="rId703" Type="http://schemas.openxmlformats.org/officeDocument/2006/relationships/hyperlink" Target="http://ensun.io" TargetMode="External"/><Relationship Id="rId702" Type="http://schemas.openxmlformats.org/officeDocument/2006/relationships/hyperlink" Target="https://ensun.io/search/geospatial-data/australia" TargetMode="External"/><Relationship Id="rId73" Type="http://schemas.openxmlformats.org/officeDocument/2006/relationships/hyperlink" Target="http://talonsmarketing.com.au" TargetMode="External"/><Relationship Id="rId72" Type="http://schemas.openxmlformats.org/officeDocument/2006/relationships/hyperlink" Target="https://talonsmarketing.com.au/10-best-ai-seo-agencies-in-australia/" TargetMode="External"/><Relationship Id="rId75" Type="http://schemas.openxmlformats.org/officeDocument/2006/relationships/hyperlink" Target="http://thatware.co" TargetMode="External"/><Relationship Id="rId74" Type="http://schemas.openxmlformats.org/officeDocument/2006/relationships/hyperlink" Target="https://thatware.co/top-10-aeo-companies-in-australia/" TargetMode="External"/><Relationship Id="rId77" Type="http://schemas.openxmlformats.org/officeDocument/2006/relationships/hyperlink" Target="http://leadsnow.ai" TargetMode="External"/><Relationship Id="rId76" Type="http://schemas.openxmlformats.org/officeDocument/2006/relationships/hyperlink" Target="https://leadsnow.ai/best-ai-seo-aeo-agencies-australia/" TargetMode="External"/><Relationship Id="rId79" Type="http://schemas.openxmlformats.org/officeDocument/2006/relationships/hyperlink" Target="http://marginmedia.com.au" TargetMode="External"/><Relationship Id="rId78" Type="http://schemas.openxmlformats.org/officeDocument/2006/relationships/hyperlink" Target="https://marginmedia.com.au/our-blog/top-digital-marketing-agencies-australia" TargetMode="External"/><Relationship Id="rId71" Type="http://schemas.openxmlformats.org/officeDocument/2006/relationships/hyperlink" Target="http://mediaplusdigital.co" TargetMode="External"/><Relationship Id="rId70" Type="http://schemas.openxmlformats.org/officeDocument/2006/relationships/hyperlink" Target="https://mediaplusdigital.co/au/geo-agencies-in-australia/" TargetMode="External"/><Relationship Id="rId62" Type="http://schemas.openxmlformats.org/officeDocument/2006/relationships/hyperlink" Target="https://business.localsearch.com.au/blog/top-digital-marketing-agencies-australia-2026" TargetMode="External"/><Relationship Id="rId61" Type="http://schemas.openxmlformats.org/officeDocument/2006/relationships/hyperlink" Target="http://clutch.co" TargetMode="External"/><Relationship Id="rId64" Type="http://schemas.openxmlformats.org/officeDocument/2006/relationships/hyperlink" Target="https://sourceforge.net/software/incrementality-testing/australia/" TargetMode="External"/><Relationship Id="rId63" Type="http://schemas.openxmlformats.org/officeDocument/2006/relationships/hyperlink" Target="http://localsearch.com.au" TargetMode="External"/><Relationship Id="rId66" Type="http://schemas.openxmlformats.org/officeDocument/2006/relationships/hyperlink" Target="https://thatware.co/top-10-ai-search-companies-in-australia/" TargetMode="External"/><Relationship Id="rId65" Type="http://schemas.openxmlformats.org/officeDocument/2006/relationships/hyperlink" Target="http://sourceforge.net" TargetMode="External"/><Relationship Id="rId68" Type="http://schemas.openxmlformats.org/officeDocument/2006/relationships/hyperlink" Target="https://agencies.semrush.com/list/analytics-data-science/australia/" TargetMode="External"/><Relationship Id="rId67" Type="http://schemas.openxmlformats.org/officeDocument/2006/relationships/hyperlink" Target="http://thatware.co" TargetMode="External"/><Relationship Id="rId729" Type="http://schemas.openxmlformats.org/officeDocument/2006/relationships/hyperlink" Target="https://printvideoweb.com.au/blog/30-best-digital-marketing-agencies-in-australia/" TargetMode="External"/><Relationship Id="rId728" Type="http://schemas.openxmlformats.org/officeDocument/2006/relationships/hyperlink" Target="http://modernmarketingpartners.com" TargetMode="External"/><Relationship Id="rId60" Type="http://schemas.openxmlformats.org/officeDocument/2006/relationships/hyperlink" Target="https://clutch.co/au/agencies/ppc/display" TargetMode="External"/><Relationship Id="rId723" Type="http://schemas.openxmlformats.org/officeDocument/2006/relationships/hyperlink" Target="https://www.linkedin.com/pulse/best-performance-marketing-services-australia-vanator-assist-jhjyc" TargetMode="External"/><Relationship Id="rId722" Type="http://schemas.openxmlformats.org/officeDocument/2006/relationships/hyperlink" Target="http://leadsnow.ai" TargetMode="External"/><Relationship Id="rId721" Type="http://schemas.openxmlformats.org/officeDocument/2006/relationships/hyperlink" Target="http://leadsnow.ai" TargetMode="External"/><Relationship Id="rId720" Type="http://schemas.openxmlformats.org/officeDocument/2006/relationships/hyperlink" Target="https://leadsnow.ai/best-pay-per-result-marketing-agencies-australia-2026/" TargetMode="External"/><Relationship Id="rId727" Type="http://schemas.openxmlformats.org/officeDocument/2006/relationships/hyperlink" Target="https://www.modernmarketingpartners.com/2026/03/19/14-best-answer-engine-optimization-agencies-aeo-insights-company-rankings-for-2026/" TargetMode="External"/><Relationship Id="rId726" Type="http://schemas.openxmlformats.org/officeDocument/2006/relationships/hyperlink" Target="http://madebyevoke.com" TargetMode="External"/><Relationship Id="rId725" Type="http://schemas.openxmlformats.org/officeDocument/2006/relationships/hyperlink" Target="https://madebyevoke.com/blog/top-branding-agencies-melbourne" TargetMode="External"/><Relationship Id="rId724" Type="http://schemas.openxmlformats.org/officeDocument/2006/relationships/hyperlink" Target="http://linkedin.com" TargetMode="External"/><Relationship Id="rId69" Type="http://schemas.openxmlformats.org/officeDocument/2006/relationships/hyperlink" Target="http://semrush.com" TargetMode="External"/><Relationship Id="rId51" Type="http://schemas.openxmlformats.org/officeDocument/2006/relationships/hyperlink" Target="http://reddit.com" TargetMode="External"/><Relationship Id="rId50" Type="http://schemas.openxmlformats.org/officeDocument/2006/relationships/hyperlink" Target="https://www.reddit.com/r/BestInAustralia/comments/1rwwbcw/5_best_digital_marketing_agencies_leveraging_ai/" TargetMode="External"/><Relationship Id="rId53" Type="http://schemas.openxmlformats.org/officeDocument/2006/relationships/hyperlink" Target="http://semrush.com" TargetMode="External"/><Relationship Id="rId52" Type="http://schemas.openxmlformats.org/officeDocument/2006/relationships/hyperlink" Target="https://agencies.semrush.com/list/ai-optimization/sydney/" TargetMode="External"/><Relationship Id="rId55" Type="http://schemas.openxmlformats.org/officeDocument/2006/relationships/hyperlink" Target="http://clutch.co" TargetMode="External"/><Relationship Id="rId54" Type="http://schemas.openxmlformats.org/officeDocument/2006/relationships/hyperlink" Target="https://clutch.co/au/agencies/creative" TargetMode="External"/><Relationship Id="rId57" Type="http://schemas.openxmlformats.org/officeDocument/2006/relationships/hyperlink" Target="http://digitalnomadshq.com.au" TargetMode="External"/><Relationship Id="rId56" Type="http://schemas.openxmlformats.org/officeDocument/2006/relationships/hyperlink" Target="https://digitalnomadshq.com.au/blog/best-aeo-answer-engine-optimisation-agencies/" TargetMode="External"/><Relationship Id="rId719" Type="http://schemas.openxmlformats.org/officeDocument/2006/relationships/hyperlink" Target="http://itprofiles.com" TargetMode="External"/><Relationship Id="rId718" Type="http://schemas.openxmlformats.org/officeDocument/2006/relationships/hyperlink" Target="https://itprofiles.com/services/ppc/sydney" TargetMode="External"/><Relationship Id="rId717" Type="http://schemas.openxmlformats.org/officeDocument/2006/relationships/hyperlink" Target="http://intelegain.com" TargetMode="External"/><Relationship Id="rId712" Type="http://schemas.openxmlformats.org/officeDocument/2006/relationships/hyperlink" Target="https://www.goodfirms.co/directory/country/top-digital-marketing-companies/au?sort_by=rating" TargetMode="External"/><Relationship Id="rId711" Type="http://schemas.openxmlformats.org/officeDocument/2006/relationships/hyperlink" Target="http://goodfirms.co" TargetMode="External"/><Relationship Id="rId710" Type="http://schemas.openxmlformats.org/officeDocument/2006/relationships/hyperlink" Target="https://www.goodfirms.co/directory/country/top-digital-marketing-companies/advertising-ppc/australia" TargetMode="External"/><Relationship Id="rId716" Type="http://schemas.openxmlformats.org/officeDocument/2006/relationships/hyperlink" Target="https://www.intelegain.com/top-10-ai-development-and-consulting-companies-in-australia/" TargetMode="External"/><Relationship Id="rId715" Type="http://schemas.openxmlformats.org/officeDocument/2006/relationships/hyperlink" Target="http://growthspreeofficial.com" TargetMode="External"/><Relationship Id="rId714" Type="http://schemas.openxmlformats.org/officeDocument/2006/relationships/hyperlink" Target="https://www.growthspreeofficial.com/blogs/best-b2b-saas-agencies-cross-channel-attribution-2026" TargetMode="External"/><Relationship Id="rId713" Type="http://schemas.openxmlformats.org/officeDocument/2006/relationships/hyperlink" Target="http://goodfirms.co" TargetMode="External"/><Relationship Id="rId59" Type="http://schemas.openxmlformats.org/officeDocument/2006/relationships/hyperlink" Target="http://mediaplusdigital.co" TargetMode="External"/><Relationship Id="rId58" Type="http://schemas.openxmlformats.org/officeDocument/2006/relationships/hyperlink" Target="https://mediaplusdigital.co/au/ai-marketing-agencies-in-australia/" TargetMode="External"/><Relationship Id="rId349" Type="http://schemas.openxmlformats.org/officeDocument/2006/relationships/hyperlink" Target="http://directiveconsulting.com" TargetMode="External"/><Relationship Id="rId348" Type="http://schemas.openxmlformats.org/officeDocument/2006/relationships/hyperlink" Target="https://directiveconsulting.com/blog/best-geo-agencies/" TargetMode="External"/><Relationship Id="rId347" Type="http://schemas.openxmlformats.org/officeDocument/2006/relationships/hyperlink" Target="http://clicksgeek.com" TargetMode="External"/><Relationship Id="rId346" Type="http://schemas.openxmlformats.org/officeDocument/2006/relationships/hyperlink" Target="https://clicksgeek.com/marketing-attribution-tracking-services/" TargetMode="External"/><Relationship Id="rId341" Type="http://schemas.openxmlformats.org/officeDocument/2006/relationships/hyperlink" Target="http://uprisedigital.com.au" TargetMode="External"/><Relationship Id="rId340" Type="http://schemas.openxmlformats.org/officeDocument/2006/relationships/hyperlink" Target="https://uprisedigital.com.au/blog/best-google-ads-agencies-sydney/" TargetMode="External"/><Relationship Id="rId345" Type="http://schemas.openxmlformats.org/officeDocument/2006/relationships/hyperlink" Target="http://bushnote.com" TargetMode="External"/><Relationship Id="rId344" Type="http://schemas.openxmlformats.org/officeDocument/2006/relationships/hyperlink" Target="https://www.bushnote.com/articles/best-digital-marketing-agency-for-ai-search-australia" TargetMode="External"/><Relationship Id="rId343" Type="http://schemas.openxmlformats.org/officeDocument/2006/relationships/hyperlink" Target="http://semrush.com" TargetMode="External"/><Relationship Id="rId342" Type="http://schemas.openxmlformats.org/officeDocument/2006/relationships/hyperlink" Target="https://agencies.semrush.com/list/analytics-data-science/australia/small-business/" TargetMode="External"/><Relationship Id="rId338" Type="http://schemas.openxmlformats.org/officeDocument/2006/relationships/hyperlink" Target="https://www.upliftgtm.com/blog/best-aeo-agencies" TargetMode="External"/><Relationship Id="rId337" Type="http://schemas.openxmlformats.org/officeDocument/2006/relationships/hyperlink" Target="http://theredrepublic.com" TargetMode="External"/><Relationship Id="rId336" Type="http://schemas.openxmlformats.org/officeDocument/2006/relationships/hyperlink" Target="https://theredrepublic.com/top-10-best-advertising-agencies-leading-australia-2025/" TargetMode="External"/><Relationship Id="rId335" Type="http://schemas.openxmlformats.org/officeDocument/2006/relationships/hyperlink" Target="http://soupagency.com.au" TargetMode="External"/><Relationship Id="rId339" Type="http://schemas.openxmlformats.org/officeDocument/2006/relationships/hyperlink" Target="http://upliftgtm.com" TargetMode="External"/><Relationship Id="rId330" Type="http://schemas.openxmlformats.org/officeDocument/2006/relationships/hyperlink" Target="http://mightyhive.com" TargetMode="External"/><Relationship Id="rId334" Type="http://schemas.openxmlformats.org/officeDocument/2006/relationships/hyperlink" Target="https://soupagency.com.au/blog/top-digital-marketing-agencies/" TargetMode="External"/><Relationship Id="rId333" Type="http://schemas.openxmlformats.org/officeDocument/2006/relationships/hyperlink" Target="http://sortlist.com" TargetMode="External"/><Relationship Id="rId332" Type="http://schemas.openxmlformats.org/officeDocument/2006/relationships/hyperlink" Target="https://www.sortlist.com/s/performance-marketing/sydney-au" TargetMode="External"/><Relationship Id="rId331" Type="http://schemas.openxmlformats.org/officeDocument/2006/relationships/hyperlink" Target="https://www.position.digital/blog/top-geo-agencies/" TargetMode="External"/><Relationship Id="rId370" Type="http://schemas.openxmlformats.org/officeDocument/2006/relationships/hyperlink" Target="https://agencies.semrush.com/list/ai-optimization/australia/" TargetMode="External"/><Relationship Id="rId369" Type="http://schemas.openxmlformats.org/officeDocument/2006/relationships/hyperlink" Target="http://10seos.com" TargetMode="External"/><Relationship Id="rId368" Type="http://schemas.openxmlformats.org/officeDocument/2006/relationships/hyperlink" Target="https://www.10seos.com/au/display-advertising-companies-in-australia?page=2" TargetMode="External"/><Relationship Id="rId363" Type="http://schemas.openxmlformats.org/officeDocument/2006/relationships/hyperlink" Target="http://smartinc.com" TargetMode="External"/><Relationship Id="rId362" Type="http://schemas.openxmlformats.org/officeDocument/2006/relationships/hyperlink" Target="https://www.smartinc.com/news/top-10-best-ad-agency-in-australia-leading-sydney-melbourne-brisbane" TargetMode="External"/><Relationship Id="rId361" Type="http://schemas.openxmlformats.org/officeDocument/2006/relationships/hyperlink" Target="http://silverbackstrategies.com" TargetMode="External"/><Relationship Id="rId360" Type="http://schemas.openxmlformats.org/officeDocument/2006/relationships/hyperlink" Target="https://www.silverbackstrategies.com/lists/best-geo-agencies-generative-engine-optimization-in-2026-ranked-reviewed/" TargetMode="External"/><Relationship Id="rId367" Type="http://schemas.openxmlformats.org/officeDocument/2006/relationships/hyperlink" Target="http://sortlist.com" TargetMode="External"/><Relationship Id="rId366" Type="http://schemas.openxmlformats.org/officeDocument/2006/relationships/hyperlink" Target="https://www.sortlist.com/social-media/australia-au" TargetMode="External"/><Relationship Id="rId365" Type="http://schemas.openxmlformats.org/officeDocument/2006/relationships/hyperlink" Target="http://sortlist.com" TargetMode="External"/><Relationship Id="rId364" Type="http://schemas.openxmlformats.org/officeDocument/2006/relationships/hyperlink" Target="https://www.sortlist.com/s/programmatic-advertising/australia-au" TargetMode="External"/><Relationship Id="rId95" Type="http://schemas.openxmlformats.org/officeDocument/2006/relationships/hyperlink" Target="http://purshology.com" TargetMode="External"/><Relationship Id="rId94" Type="http://schemas.openxmlformats.org/officeDocument/2006/relationships/hyperlink" Target="https://www.purshology.com/2026/07/8-top-ai-driven-marketing-agencies-redefining-search-in-australia/" TargetMode="External"/><Relationship Id="rId97" Type="http://schemas.openxmlformats.org/officeDocument/2006/relationships/hyperlink" Target="http://thatware.co" TargetMode="External"/><Relationship Id="rId96" Type="http://schemas.openxmlformats.org/officeDocument/2006/relationships/hyperlink" Target="https://thatware.co/top-10-geo-companies-in-australia/" TargetMode="External"/><Relationship Id="rId99" Type="http://schemas.openxmlformats.org/officeDocument/2006/relationships/hyperlink" Target="http://uprisedigital.com.au" TargetMode="External"/><Relationship Id="rId98" Type="http://schemas.openxmlformats.org/officeDocument/2006/relationships/hyperlink" Target="https://uprisedigital.com.au/blog/social-media-agencies-melbourne/" TargetMode="External"/><Relationship Id="rId91" Type="http://schemas.openxmlformats.org/officeDocument/2006/relationships/hyperlink" Target="http://sortlist.com" TargetMode="External"/><Relationship Id="rId90" Type="http://schemas.openxmlformats.org/officeDocument/2006/relationships/hyperlink" Target="https://www.sortlist.com/s/display-advertising/australia-au" TargetMode="External"/><Relationship Id="rId93" Type="http://schemas.openxmlformats.org/officeDocument/2006/relationships/hyperlink" Target="http://lengreo.com" TargetMode="External"/><Relationship Id="rId92" Type="http://schemas.openxmlformats.org/officeDocument/2006/relationships/hyperlink" Target="https://lengreo.com/australia-aeo-geo-llmo-companies/" TargetMode="External"/><Relationship Id="rId359" Type="http://schemas.openxmlformats.org/officeDocument/2006/relationships/hyperlink" Target="http://rokitupmedia.com.au" TargetMode="External"/><Relationship Id="rId358" Type="http://schemas.openxmlformats.org/officeDocument/2006/relationships/hyperlink" Target="https://rokitupmedia.com.au/top-10-affordable-media-agencies-in-australia-for-small-businesses/" TargetMode="External"/><Relationship Id="rId357" Type="http://schemas.openxmlformats.org/officeDocument/2006/relationships/hyperlink" Target="http://omnieclipse.ai" TargetMode="External"/><Relationship Id="rId352" Type="http://schemas.openxmlformats.org/officeDocument/2006/relationships/hyperlink" Target="https://www.gtm8020.com/blog/best-aeo-agencies" TargetMode="External"/><Relationship Id="rId351" Type="http://schemas.openxmlformats.org/officeDocument/2006/relationships/hyperlink" Target="http://govanator.com" TargetMode="External"/><Relationship Id="rId350" Type="http://schemas.openxmlformats.org/officeDocument/2006/relationships/hyperlink" Target="https://govanator.com/best-performance-marketing-services-in-australia/" TargetMode="External"/><Relationship Id="rId356" Type="http://schemas.openxmlformats.org/officeDocument/2006/relationships/hyperlink" Target="https://omnieclipse.ai/blog/best-aeo-agencies-australia-2026" TargetMode="External"/><Relationship Id="rId355" Type="http://schemas.openxmlformats.org/officeDocument/2006/relationships/hyperlink" Target="http://linkedin.com" TargetMode="External"/><Relationship Id="rId354" Type="http://schemas.openxmlformats.org/officeDocument/2006/relationships/hyperlink" Target="https://www.linkedin.com/pulse/top-data-analytics-services-australia-vanator-assist-dcjvf?trk=public_post" TargetMode="External"/><Relationship Id="rId353" Type="http://schemas.openxmlformats.org/officeDocument/2006/relationships/hyperlink" Target="http://gtm8020.com" TargetMode="External"/><Relationship Id="rId305" Type="http://schemas.openxmlformats.org/officeDocument/2006/relationships/hyperlink" Target="https://www.loudface.co/blog/best-aeo-agencies-2026" TargetMode="External"/><Relationship Id="rId789" Type="http://schemas.openxmlformats.org/officeDocument/2006/relationships/hyperlink" Target="https://agencies.semrush.com/list/ai-optimization/australia/enterprise-business/" TargetMode="External"/><Relationship Id="rId304" Type="http://schemas.openxmlformats.org/officeDocument/2006/relationships/hyperlink" Target="http://fastlanerecruit.com" TargetMode="External"/><Relationship Id="rId788" Type="http://schemas.openxmlformats.org/officeDocument/2006/relationships/hyperlink" Target="http://semrush.com" TargetMode="External"/><Relationship Id="rId303" Type="http://schemas.openxmlformats.org/officeDocument/2006/relationships/hyperlink" Target="https://fastlanerecruit.com/blog/top-15-advertising-agencies-in-australia/" TargetMode="External"/><Relationship Id="rId787" Type="http://schemas.openxmlformats.org/officeDocument/2006/relationships/hyperlink" Target="https://agencies.semrush.com/list/advertising/australia/mid-business/" TargetMode="External"/><Relationship Id="rId302" Type="http://schemas.openxmlformats.org/officeDocument/2006/relationships/hyperlink" Target="http://digitalnomadshq.com.au" TargetMode="External"/><Relationship Id="rId786" Type="http://schemas.openxmlformats.org/officeDocument/2006/relationships/hyperlink" Target="http://adcore.com" TargetMode="External"/><Relationship Id="rId309" Type="http://schemas.openxmlformats.org/officeDocument/2006/relationships/hyperlink" Target="https://agrtech.com.au/ai/top-10-best-geo-optimization-agencies-in-the-world/" TargetMode="External"/><Relationship Id="rId308" Type="http://schemas.openxmlformats.org/officeDocument/2006/relationships/hyperlink" Target="http://semrush.com" TargetMode="External"/><Relationship Id="rId307" Type="http://schemas.openxmlformats.org/officeDocument/2006/relationships/hyperlink" Target="https://agencies.semrush.com/list/ai-optimization/australia/mid-business/" TargetMode="External"/><Relationship Id="rId306" Type="http://schemas.openxmlformats.org/officeDocument/2006/relationships/hyperlink" Target="http://loudface.co" TargetMode="External"/><Relationship Id="rId781" Type="http://schemas.openxmlformats.org/officeDocument/2006/relationships/hyperlink" Target="https://aamax.co/blog/top-10-best-digital-marketing-companies-in-australia" TargetMode="External"/><Relationship Id="rId780" Type="http://schemas.openxmlformats.org/officeDocument/2006/relationships/hyperlink" Target="http://6sense.com" TargetMode="External"/><Relationship Id="rId301" Type="http://schemas.openxmlformats.org/officeDocument/2006/relationships/hyperlink" Target="https://digitalnomadshq.com.au/blog/google-ads-companies/" TargetMode="External"/><Relationship Id="rId785" Type="http://schemas.openxmlformats.org/officeDocument/2006/relationships/hyperlink" Target="https://www.adcore.com/blog/5-best-digital-marketing-agencies-in-melbourne/" TargetMode="External"/><Relationship Id="rId300" Type="http://schemas.openxmlformats.org/officeDocument/2006/relationships/hyperlink" Target="http://designrush.com" TargetMode="External"/><Relationship Id="rId784" Type="http://schemas.openxmlformats.org/officeDocument/2006/relationships/hyperlink" Target="http://abbacustechnologies.com" TargetMode="External"/><Relationship Id="rId783" Type="http://schemas.openxmlformats.org/officeDocument/2006/relationships/hyperlink" Target="https://www.abbacustechnologies.com/top-ecommerce-development-firms-in-sydney/" TargetMode="External"/><Relationship Id="rId782" Type="http://schemas.openxmlformats.org/officeDocument/2006/relationships/hyperlink" Target="http://aamax.co" TargetMode="External"/><Relationship Id="rId778" Type="http://schemas.openxmlformats.org/officeDocument/2006/relationships/hyperlink" Target="http://10seos.com" TargetMode="External"/><Relationship Id="rId777" Type="http://schemas.openxmlformats.org/officeDocument/2006/relationships/hyperlink" Target="https://www.10seos.com/au/display-advertising-companies-in-melbourne-australia" TargetMode="External"/><Relationship Id="rId776" Type="http://schemas.openxmlformats.org/officeDocument/2006/relationships/hyperlink" Target="http://10seos.com" TargetMode="External"/><Relationship Id="rId775" Type="http://schemas.openxmlformats.org/officeDocument/2006/relationships/hyperlink" Target="https://www.10seos.com/au/display-advertising-companies-in-australia?page=16" TargetMode="External"/><Relationship Id="rId779" Type="http://schemas.openxmlformats.org/officeDocument/2006/relationships/hyperlink" Target="https://6sense.com/blog/best-account-based-marketing-platforms/" TargetMode="External"/><Relationship Id="rId770" Type="http://schemas.openxmlformats.org/officeDocument/2006/relationships/hyperlink" Target="http://youtube.com" TargetMode="External"/><Relationship Id="rId774" Type="http://schemas.openxmlformats.org/officeDocument/2006/relationships/hyperlink" Target="http://zipdo.co" TargetMode="External"/><Relationship Id="rId773" Type="http://schemas.openxmlformats.org/officeDocument/2006/relationships/hyperlink" Target="https://zipdo.co/service/marketing-attribution/" TargetMode="External"/><Relationship Id="rId772" Type="http://schemas.openxmlformats.org/officeDocument/2006/relationships/hyperlink" Target="http://youtube.com" TargetMode="External"/><Relationship Id="rId771" Type="http://schemas.openxmlformats.org/officeDocument/2006/relationships/hyperlink" Target="https://www.youtube.com/watch?v=Mggba8bAXVU" TargetMode="External"/><Relationship Id="rId327" Type="http://schemas.openxmlformats.org/officeDocument/2006/relationships/hyperlink" Target="https://itprofiles.com/services/ppc/australia" TargetMode="External"/><Relationship Id="rId326" Type="http://schemas.openxmlformats.org/officeDocument/2006/relationships/hyperlink" Target="http://hashtag.net.au" TargetMode="External"/><Relationship Id="rId325" Type="http://schemas.openxmlformats.org/officeDocument/2006/relationships/hyperlink" Target="https://www.hashtag.net.au/news/technology/146815-top-agencies-using-ai-to-improve-search-visibility-for-australian-brands" TargetMode="External"/><Relationship Id="rId324" Type="http://schemas.openxmlformats.org/officeDocument/2006/relationships/hyperlink" Target="http://exaltgrowth.com" TargetMode="External"/><Relationship Id="rId329" Type="http://schemas.openxmlformats.org/officeDocument/2006/relationships/hyperlink" Target="https://mightyhive.com/mightyhive-named-top-aunz-google-marketing-platform-partner-second-year-row" TargetMode="External"/><Relationship Id="rId328" Type="http://schemas.openxmlformats.org/officeDocument/2006/relationships/hyperlink" Target="http://itprofiles.com" TargetMode="External"/><Relationship Id="rId323" Type="http://schemas.openxmlformats.org/officeDocument/2006/relationships/hyperlink" Target="https://www.exaltgrowth.com/generative-engine-optimization/top-australian-saas-geo-agencies" TargetMode="External"/><Relationship Id="rId322" Type="http://schemas.openxmlformats.org/officeDocument/2006/relationships/hyperlink" Target="http://digitaldigest.au" TargetMode="External"/><Relationship Id="rId321" Type="http://schemas.openxmlformats.org/officeDocument/2006/relationships/hyperlink" Target="https://digitaldigest.au/best-social-media-agencies/" TargetMode="External"/><Relationship Id="rId320" Type="http://schemas.openxmlformats.org/officeDocument/2006/relationships/hyperlink" Target="http://digitaldigest.au" TargetMode="External"/><Relationship Id="rId316" Type="http://schemas.openxmlformats.org/officeDocument/2006/relationships/hyperlink" Target="http://bushnote.com" TargetMode="External"/><Relationship Id="rId315" Type="http://schemas.openxmlformats.org/officeDocument/2006/relationships/hyperlink" Target="https://www.bushnote.com/articles/top-ai-marketing-agencies-australia-2025" TargetMode="External"/><Relationship Id="rId799" Type="http://schemas.openxmlformats.org/officeDocument/2006/relationships/hyperlink" Target="https://agencies.semrush.com/list/display-advertising/canberra/" TargetMode="External"/><Relationship Id="rId314" Type="http://schemas.openxmlformats.org/officeDocument/2006/relationships/hyperlink" Target="http://bushletter.com" TargetMode="External"/><Relationship Id="rId798" Type="http://schemas.openxmlformats.org/officeDocument/2006/relationships/hyperlink" Target="http://semrush.com" TargetMode="External"/><Relationship Id="rId313" Type="http://schemas.openxmlformats.org/officeDocument/2006/relationships/hyperlink" Target="https://www.bushletter.com/the-10-best-aeo-agencies-for-australian-financial-services-firms-in-2026/" TargetMode="External"/><Relationship Id="rId797" Type="http://schemas.openxmlformats.org/officeDocument/2006/relationships/hyperlink" Target="https://agencies.semrush.com/list/display-advertising/business-professional-services/australia/" TargetMode="External"/><Relationship Id="rId319" Type="http://schemas.openxmlformats.org/officeDocument/2006/relationships/hyperlink" Target="https://digitaldigest.au/ai-seo-agencies/" TargetMode="External"/><Relationship Id="rId318" Type="http://schemas.openxmlformats.org/officeDocument/2006/relationships/hyperlink" Target="http://designrush.com" TargetMode="External"/><Relationship Id="rId317" Type="http://schemas.openxmlformats.org/officeDocument/2006/relationships/hyperlink" Target="https://www.designrush.com/agency/digital-marketing/au" TargetMode="External"/><Relationship Id="rId792" Type="http://schemas.openxmlformats.org/officeDocument/2006/relationships/hyperlink" Target="http://semrush.com" TargetMode="External"/><Relationship Id="rId791" Type="http://schemas.openxmlformats.org/officeDocument/2006/relationships/hyperlink" Target="https://agencies.semrush.com/list/ai-optimization/melbourne/" TargetMode="External"/><Relationship Id="rId790" Type="http://schemas.openxmlformats.org/officeDocument/2006/relationships/hyperlink" Target="http://semrush.com" TargetMode="External"/><Relationship Id="rId312" Type="http://schemas.openxmlformats.org/officeDocument/2006/relationships/hyperlink" Target="http://bushletter.com" TargetMode="External"/><Relationship Id="rId796" Type="http://schemas.openxmlformats.org/officeDocument/2006/relationships/hyperlink" Target="http://semrush.com" TargetMode="External"/><Relationship Id="rId311" Type="http://schemas.openxmlformats.org/officeDocument/2006/relationships/hyperlink" Target="https://www.bushletter.com/best-aeo-agencies-australia-2026-ai-engine-test/" TargetMode="External"/><Relationship Id="rId795" Type="http://schemas.openxmlformats.org/officeDocument/2006/relationships/hyperlink" Target="https://agencies.semrush.com/list/analytics-data-science/sydney/" TargetMode="External"/><Relationship Id="rId310" Type="http://schemas.openxmlformats.org/officeDocument/2006/relationships/hyperlink" Target="http://agrtech.com.au" TargetMode="External"/><Relationship Id="rId794" Type="http://schemas.openxmlformats.org/officeDocument/2006/relationships/hyperlink" Target="http://semrush.com" TargetMode="External"/><Relationship Id="rId793" Type="http://schemas.openxmlformats.org/officeDocument/2006/relationships/hyperlink" Target="https://agencies.semrush.com/list/analytics-data-science/arts-entertainment/australia/" TargetMode="External"/><Relationship Id="rId297" Type="http://schemas.openxmlformats.org/officeDocument/2006/relationships/hyperlink" Target="https://www.cometly.com/post/marketing-attribution-tools-for-agencies" TargetMode="External"/><Relationship Id="rId296" Type="http://schemas.openxmlformats.org/officeDocument/2006/relationships/hyperlink" Target="http://clutch.co" TargetMode="External"/><Relationship Id="rId295" Type="http://schemas.openxmlformats.org/officeDocument/2006/relationships/hyperlink" Target="https://clutch.co/au/agencies/programmatic" TargetMode="External"/><Relationship Id="rId294" Type="http://schemas.openxmlformats.org/officeDocument/2006/relationships/hyperlink" Target="http://bushnote.com" TargetMode="External"/><Relationship Id="rId299" Type="http://schemas.openxmlformats.org/officeDocument/2006/relationships/hyperlink" Target="https://www.designrush.com/agency/social-media-marketing/au" TargetMode="External"/><Relationship Id="rId298" Type="http://schemas.openxmlformats.org/officeDocument/2006/relationships/hyperlink" Target="http://cometly.com" TargetMode="External"/><Relationship Id="rId271" Type="http://schemas.openxmlformats.org/officeDocument/2006/relationships/hyperlink" Target="https://elioplus.com/asia-pacific/australia/channel-partners/google" TargetMode="External"/><Relationship Id="rId270" Type="http://schemas.openxmlformats.org/officeDocument/2006/relationships/hyperlink" Target="http://edisonai.au" TargetMode="External"/><Relationship Id="rId269" Type="http://schemas.openxmlformats.org/officeDocument/2006/relationships/hyperlink" Target="https://edisonai.au/insights/best-ai-consulting-firms-in-australia" TargetMode="External"/><Relationship Id="rId264" Type="http://schemas.openxmlformats.org/officeDocument/2006/relationships/hyperlink" Target="http://youtube.com" TargetMode="External"/><Relationship Id="rId263" Type="http://schemas.openxmlformats.org/officeDocument/2006/relationships/hyperlink" Target="https://www.youtube.com/watch?v=ZaxGzqO8OCk" TargetMode="External"/><Relationship Id="rId262" Type="http://schemas.openxmlformats.org/officeDocument/2006/relationships/hyperlink" Target="http://topgeoagencies.com" TargetMode="External"/><Relationship Id="rId261" Type="http://schemas.openxmlformats.org/officeDocument/2006/relationships/hyperlink" Target="https://topgeoagencies.com/" TargetMode="External"/><Relationship Id="rId268" Type="http://schemas.openxmlformats.org/officeDocument/2006/relationships/hyperlink" Target="http://digitaldigest.au" TargetMode="External"/><Relationship Id="rId267" Type="http://schemas.openxmlformats.org/officeDocument/2006/relationships/hyperlink" Target="https://digitaldigest.au/google-ads-agencies/" TargetMode="External"/><Relationship Id="rId266" Type="http://schemas.openxmlformats.org/officeDocument/2006/relationships/hyperlink" Target="http://clutch.co" TargetMode="External"/><Relationship Id="rId265" Type="http://schemas.openxmlformats.org/officeDocument/2006/relationships/hyperlink" Target="https://clutch.co/au/agencies/digital" TargetMode="External"/><Relationship Id="rId260" Type="http://schemas.openxmlformats.org/officeDocument/2006/relationships/hyperlink" Target="http://themanifest.com" TargetMode="External"/><Relationship Id="rId259" Type="http://schemas.openxmlformats.org/officeDocument/2006/relationships/hyperlink" Target="https://themanifest.com/au/programmatic/agencies" TargetMode="External"/><Relationship Id="rId258" Type="http://schemas.openxmlformats.org/officeDocument/2006/relationships/hyperlink" Target="http://semrush.com" TargetMode="External"/><Relationship Id="rId253" Type="http://schemas.openxmlformats.org/officeDocument/2006/relationships/hyperlink" Target="https://www.savit.au/top-social-media-marketing-agencies-in-australia-for-2026-whos-building-brands-that-actually-sell/" TargetMode="External"/><Relationship Id="rId252" Type="http://schemas.openxmlformats.org/officeDocument/2006/relationships/hyperlink" Target="https://inbeat.agency/blog/top-marketing-measurement-and-analytics-companies" TargetMode="External"/><Relationship Id="rId251" Type="http://schemas.openxmlformats.org/officeDocument/2006/relationships/hyperlink" Target="http://hashmeta.ai" TargetMode="External"/><Relationship Id="rId250" Type="http://schemas.openxmlformats.org/officeDocument/2006/relationships/hyperlink" Target="https://www.hashmeta.ai/en/blog/top-10-best-ai-marketing-agencies-in-australia-expert-comparison-guide" TargetMode="External"/><Relationship Id="rId257" Type="http://schemas.openxmlformats.org/officeDocument/2006/relationships/hyperlink" Target="https://www.semrush.com/agencies/list/analytics-data-science/melbourne/" TargetMode="External"/><Relationship Id="rId256" Type="http://schemas.openxmlformats.org/officeDocument/2006/relationships/hyperlink" Target="http://segmentstream.com" TargetMode="External"/><Relationship Id="rId255" Type="http://schemas.openxmlformats.org/officeDocument/2006/relationships/hyperlink" Target="https://segmentstream.com/blog/articles/top-10-incrementality-testing-tools" TargetMode="External"/><Relationship Id="rId254" Type="http://schemas.openxmlformats.org/officeDocument/2006/relationships/hyperlink" Target="http://savit.au" TargetMode="External"/><Relationship Id="rId293" Type="http://schemas.openxmlformats.org/officeDocument/2006/relationships/hyperlink" Target="https://www.bushnote.com/articles/best-10-aeo-agencies-in-australia-to-promote-b2b-companies-in-2026" TargetMode="External"/><Relationship Id="rId292" Type="http://schemas.openxmlformats.org/officeDocument/2006/relationships/hyperlink" Target="http://applabx.com" TargetMode="External"/><Relationship Id="rId291" Type="http://schemas.openxmlformats.org/officeDocument/2006/relationships/hyperlink" Target="https://blog.applabx.com/top-10-best-geo-agencies-in-australia-in-2026/" TargetMode="External"/><Relationship Id="rId290" Type="http://schemas.openxmlformats.org/officeDocument/2006/relationships/hyperlink" Target="http://avinashvagh.com" TargetMode="External"/><Relationship Id="rId286" Type="http://schemas.openxmlformats.org/officeDocument/2006/relationships/hyperlink" Target="http://semrush.com" TargetMode="External"/><Relationship Id="rId285" Type="http://schemas.openxmlformats.org/officeDocument/2006/relationships/hyperlink" Target="https://agencies.semrush.com/list/display-advertising/australia/small-business/" TargetMode="External"/><Relationship Id="rId284" Type="http://schemas.openxmlformats.org/officeDocument/2006/relationships/hyperlink" Target="http://aeoagencyservices.com" TargetMode="External"/><Relationship Id="rId283" Type="http://schemas.openxmlformats.org/officeDocument/2006/relationships/hyperlink" Target="https://aeoagencyservices.com/Blog-Page/best-aeo-agency-in-australia-top-answer-engine-optimization-companies" TargetMode="External"/><Relationship Id="rId289" Type="http://schemas.openxmlformats.org/officeDocument/2006/relationships/hyperlink" Target="https://avinashvagh.com/blog/best-geo-agencies-australia" TargetMode="External"/><Relationship Id="rId288" Type="http://schemas.openxmlformats.org/officeDocument/2006/relationships/hyperlink" Target="http://semrush.com" TargetMode="External"/><Relationship Id="rId287" Type="http://schemas.openxmlformats.org/officeDocument/2006/relationships/hyperlink" Target="https://agencies.semrush.com/list/display-advertising/perth/" TargetMode="External"/><Relationship Id="rId282" Type="http://schemas.openxmlformats.org/officeDocument/2006/relationships/hyperlink" Target="http://thedigitalelevator.com" TargetMode="External"/><Relationship Id="rId281" Type="http://schemas.openxmlformats.org/officeDocument/2006/relationships/hyperlink" Target="https://thedigitalelevator.com/blog/best-generative-engine-optimization-geo-agencies/" TargetMode="External"/><Relationship Id="rId280" Type="http://schemas.openxmlformats.org/officeDocument/2006/relationships/hyperlink" Target="http://techbehemoths.com" TargetMode="External"/><Relationship Id="rId275" Type="http://schemas.openxmlformats.org/officeDocument/2006/relationships/hyperlink" Target="https://www.mayple.com/resources/social-media-marketing/social-media-agencies-australia" TargetMode="External"/><Relationship Id="rId274" Type="http://schemas.openxmlformats.org/officeDocument/2006/relationships/hyperlink" Target="http://growthmanager.ai" TargetMode="External"/><Relationship Id="rId273" Type="http://schemas.openxmlformats.org/officeDocument/2006/relationships/hyperlink" Target="https://growthmanager.ai/best-geo-agency" TargetMode="External"/><Relationship Id="rId272" Type="http://schemas.openxmlformats.org/officeDocument/2006/relationships/hyperlink" Target="http://elioplus.com" TargetMode="External"/><Relationship Id="rId279" Type="http://schemas.openxmlformats.org/officeDocument/2006/relationships/hyperlink" Target="https://techbehemoths.com/companies/google-marketing-platform/australia" TargetMode="External"/><Relationship Id="rId278" Type="http://schemas.openxmlformats.org/officeDocument/2006/relationships/hyperlink" Target="http://semrush.com" TargetMode="External"/><Relationship Id="rId277" Type="http://schemas.openxmlformats.org/officeDocument/2006/relationships/hyperlink" Target="https://www.semrush.com/agencies/list/display-advertising/australia/" TargetMode="External"/><Relationship Id="rId276" Type="http://schemas.openxmlformats.org/officeDocument/2006/relationships/hyperlink" Target="http://mayple.com" TargetMode="External"/><Relationship Id="rId629" Type="http://schemas.openxmlformats.org/officeDocument/2006/relationships/hyperlink" Target="http://themanifest.com" TargetMode="External"/><Relationship Id="rId624" Type="http://schemas.openxmlformats.org/officeDocument/2006/relationships/hyperlink" Target="https://techbullion.com/top-australian-geo-agencies-helping-brands-appear-in-ai-generated-answers/" TargetMode="External"/><Relationship Id="rId623" Type="http://schemas.openxmlformats.org/officeDocument/2006/relationships/hyperlink" Target="http://sortlist.com" TargetMode="External"/><Relationship Id="rId622" Type="http://schemas.openxmlformats.org/officeDocument/2006/relationships/hyperlink" Target="https://www.sortlist.com/s/paid-media/new-south-wales-nsw-au" TargetMode="External"/><Relationship Id="rId621" Type="http://schemas.openxmlformats.org/officeDocument/2006/relationships/hyperlink" Target="http://sortlist.com" TargetMode="External"/><Relationship Id="rId628" Type="http://schemas.openxmlformats.org/officeDocument/2006/relationships/hyperlink" Target="https://themanifest.com/au/digital-marketing/agencies" TargetMode="External"/><Relationship Id="rId627" Type="http://schemas.openxmlformats.org/officeDocument/2006/relationships/hyperlink" Target="http://thehero.co" TargetMode="External"/><Relationship Id="rId626" Type="http://schemas.openxmlformats.org/officeDocument/2006/relationships/hyperlink" Target="https://www.thehero.co/news/australias-best-marketing-advertising-firm-2026-top-100" TargetMode="External"/><Relationship Id="rId625" Type="http://schemas.openxmlformats.org/officeDocument/2006/relationships/hyperlink" Target="http://techbullion.com" TargetMode="External"/><Relationship Id="rId620" Type="http://schemas.openxmlformats.org/officeDocument/2006/relationships/hyperlink" Target="https://www.sortlist.com/s/data-driven-marketing/australia-au" TargetMode="External"/><Relationship Id="rId619" Type="http://schemas.openxmlformats.org/officeDocument/2006/relationships/hyperlink" Target="http://smartosc.com" TargetMode="External"/><Relationship Id="rId618" Type="http://schemas.openxmlformats.org/officeDocument/2006/relationships/hyperlink" Target="https://www.smartosc.com/ai-consulting-services-in-australia/" TargetMode="External"/><Relationship Id="rId613" Type="http://schemas.openxmlformats.org/officeDocument/2006/relationships/hyperlink" Target="http://prwire.com.au" TargetMode="External"/><Relationship Id="rId612" Type="http://schemas.openxmlformats.org/officeDocument/2006/relationships/hyperlink" Target="https://prwire.com.au/pr/127124/rankingco-rises-into-australia-s-top-3-of-google-partners-as-a-2026-premier-partner" TargetMode="External"/><Relationship Id="rId611" Type="http://schemas.openxmlformats.org/officeDocument/2006/relationships/hyperlink" Target="http://outgrow.co" TargetMode="External"/><Relationship Id="rId610" Type="http://schemas.openxmlformats.org/officeDocument/2006/relationships/hyperlink" Target="https://outgrow.co/blog/advertising-agencies-australia" TargetMode="External"/><Relationship Id="rId617" Type="http://schemas.openxmlformats.org/officeDocument/2006/relationships/hyperlink" Target="http://seocompare.co.uk" TargetMode="External"/><Relationship Id="rId616" Type="http://schemas.openxmlformats.org/officeDocument/2006/relationships/hyperlink" Target="https://seocompare.co.uk/ai-search-agencies-australia/" TargetMode="External"/><Relationship Id="rId615" Type="http://schemas.openxmlformats.org/officeDocument/2006/relationships/hyperlink" Target="http://pwd.com.au" TargetMode="External"/><Relationship Id="rId614" Type="http://schemas.openxmlformats.org/officeDocument/2006/relationships/hyperlink" Target="https://pwd.com.au/blog/best-digital-marketing-company-perth/" TargetMode="External"/><Relationship Id="rId646" Type="http://schemas.openxmlformats.org/officeDocument/2006/relationships/hyperlink" Target="https://agencies.semrush.com/list/analytics-data-science/melbourne/enterprise-business/" TargetMode="External"/><Relationship Id="rId645" Type="http://schemas.openxmlformats.org/officeDocument/2006/relationships/hyperlink" Target="http://semrush.com" TargetMode="External"/><Relationship Id="rId644" Type="http://schemas.openxmlformats.org/officeDocument/2006/relationships/hyperlink" Target="https://agencies.semrush.com/list/analytics-data-science/melbourne/" TargetMode="External"/><Relationship Id="rId643" Type="http://schemas.openxmlformats.org/officeDocument/2006/relationships/hyperlink" Target="http://semrush.com" TargetMode="External"/><Relationship Id="rId649" Type="http://schemas.openxmlformats.org/officeDocument/2006/relationships/hyperlink" Target="http://semrush.com" TargetMode="External"/><Relationship Id="rId648" Type="http://schemas.openxmlformats.org/officeDocument/2006/relationships/hyperlink" Target="https://agencies.semrush.com/list/display-advertising/melbourne/small-business/" TargetMode="External"/><Relationship Id="rId647" Type="http://schemas.openxmlformats.org/officeDocument/2006/relationships/hyperlink" Target="http://semrush.com" TargetMode="External"/><Relationship Id="rId642" Type="http://schemas.openxmlformats.org/officeDocument/2006/relationships/hyperlink" Target="https://agencies.semrush.com/list/advertising/melbourne/" TargetMode="External"/><Relationship Id="rId641" Type="http://schemas.openxmlformats.org/officeDocument/2006/relationships/hyperlink" Target="http://aeroleads.com" TargetMode="External"/><Relationship Id="rId640" Type="http://schemas.openxmlformats.org/officeDocument/2006/relationships/hyperlink" Target="https://aeroleads.com/list/top-geospatial-companies-in-australia" TargetMode="External"/><Relationship Id="rId635" Type="http://schemas.openxmlformats.org/officeDocument/2006/relationships/hyperlink" Target="http://usercall.co" TargetMode="External"/><Relationship Id="rId634" Type="http://schemas.openxmlformats.org/officeDocument/2006/relationships/hyperlink" Target="https://www.usercall.co/post/top-20-market-research-companies-in-australia-2025" TargetMode="External"/><Relationship Id="rId633" Type="http://schemas.openxmlformats.org/officeDocument/2006/relationships/hyperlink" Target="http://upcity.com" TargetMode="External"/><Relationship Id="rId632" Type="http://schemas.openxmlformats.org/officeDocument/2006/relationships/hyperlink" Target="https://upcity.com/au/creative" TargetMode="External"/><Relationship Id="rId639" Type="http://schemas.openxmlformats.org/officeDocument/2006/relationships/hyperlink" Target="http://zipdo.co" TargetMode="External"/><Relationship Id="rId638" Type="http://schemas.openxmlformats.org/officeDocument/2006/relationships/hyperlink" Target="https://zipdo.co/service/attribution/" TargetMode="External"/><Relationship Id="rId637" Type="http://schemas.openxmlformats.org/officeDocument/2006/relationships/hyperlink" Target="http://webprofits.com.au" TargetMode="External"/><Relationship Id="rId636" Type="http://schemas.openxmlformats.org/officeDocument/2006/relationships/hyperlink" Target="https://webprofits.com.au/about.html" TargetMode="External"/><Relationship Id="rId631" Type="http://schemas.openxmlformats.org/officeDocument/2006/relationships/hyperlink" Target="http://themanifest.com" TargetMode="External"/><Relationship Id="rId630" Type="http://schemas.openxmlformats.org/officeDocument/2006/relationships/hyperlink" Target="https://themanifest.com/au/digital-marketing/agencies?page=1" TargetMode="External"/><Relationship Id="rId609" Type="http://schemas.openxmlformats.org/officeDocument/2006/relationships/hyperlink" Target="http://ocmsolution.com" TargetMode="External"/><Relationship Id="rId608" Type="http://schemas.openxmlformats.org/officeDocument/2006/relationships/hyperlink" Target="https://www.ocmsolution.com/digital-agencies-in-sydney/" TargetMode="External"/><Relationship Id="rId607" Type="http://schemas.openxmlformats.org/officeDocument/2006/relationships/hyperlink" Target="http://nettyawards.com" TargetMode="External"/><Relationship Id="rId602" Type="http://schemas.openxmlformats.org/officeDocument/2006/relationships/hyperlink" Target="https://itprofiles.com/services/media-planning-and-buying/australia" TargetMode="External"/><Relationship Id="rId601" Type="http://schemas.openxmlformats.org/officeDocument/2006/relationships/hyperlink" Target="https://inbeat.agency/blog/top-ppc-agencies-sydney" TargetMode="External"/><Relationship Id="rId600" Type="http://schemas.openxmlformats.org/officeDocument/2006/relationships/hyperlink" Target="http://havstrategy.com" TargetMode="External"/><Relationship Id="rId606" Type="http://schemas.openxmlformats.org/officeDocument/2006/relationships/hyperlink" Target="https://nettyawards.com/a-look-at-australias-top-digital-agencies-in-2025/" TargetMode="External"/><Relationship Id="rId605" Type="http://schemas.openxmlformats.org/officeDocument/2006/relationships/hyperlink" Target="http://miniloop.ai" TargetMode="External"/><Relationship Id="rId604" Type="http://schemas.openxmlformats.org/officeDocument/2006/relationships/hyperlink" Target="https://www.miniloop.ai/blog/best-geo-agencies" TargetMode="External"/><Relationship Id="rId603" Type="http://schemas.openxmlformats.org/officeDocument/2006/relationships/hyperlink" Target="http://itprofiles.com" TargetMode="External"/><Relationship Id="rId1059" Type="http://schemas.openxmlformats.org/officeDocument/2006/relationships/hyperlink" Target="http://sotatek.com.au" TargetMode="External"/><Relationship Id="rId228" Type="http://schemas.openxmlformats.org/officeDocument/2006/relationships/hyperlink" Target="https://www.sortlist.com/media-planning/australia-au" TargetMode="External"/><Relationship Id="rId227" Type="http://schemas.openxmlformats.org/officeDocument/2006/relationships/hyperlink" Target="http://sellforte.com" TargetMode="External"/><Relationship Id="rId226" Type="http://schemas.openxmlformats.org/officeDocument/2006/relationships/hyperlink" Target="https://sellforte.com/blog/best-incrementality-testing-tools" TargetMode="External"/><Relationship Id="rId225" Type="http://schemas.openxmlformats.org/officeDocument/2006/relationships/hyperlink" Target="http://salesmate.io" TargetMode="External"/><Relationship Id="rId229" Type="http://schemas.openxmlformats.org/officeDocument/2006/relationships/hyperlink" Target="http://sortlist.com" TargetMode="External"/><Relationship Id="rId1050" Type="http://schemas.openxmlformats.org/officeDocument/2006/relationships/hyperlink" Target="https://www.sortlist.com/s/performance-marketing/western-australia-wa-au" TargetMode="External"/><Relationship Id="rId220" Type="http://schemas.openxmlformats.org/officeDocument/2006/relationships/hyperlink" Target="http://godigitalalpha.com" TargetMode="External"/><Relationship Id="rId1051" Type="http://schemas.openxmlformats.org/officeDocument/2006/relationships/hyperlink" Target="http://sortlist.com" TargetMode="External"/><Relationship Id="rId1052" Type="http://schemas.openxmlformats.org/officeDocument/2006/relationships/hyperlink" Target="https://www.sortlist.com/s/programmatic-advertising/sydney-au" TargetMode="External"/><Relationship Id="rId1053" Type="http://schemas.openxmlformats.org/officeDocument/2006/relationships/hyperlink" Target="http://sortlist.com" TargetMode="External"/><Relationship Id="rId1054" Type="http://schemas.openxmlformats.org/officeDocument/2006/relationships/hyperlink" Target="https://www.sortlist.com/s/tiktok-advertising/australia-au" TargetMode="External"/><Relationship Id="rId224" Type="http://schemas.openxmlformats.org/officeDocument/2006/relationships/hyperlink" Target="https://www.salesmate.io/blog/marketing-attribution-software/" TargetMode="External"/><Relationship Id="rId1055" Type="http://schemas.openxmlformats.org/officeDocument/2006/relationships/hyperlink" Target="http://sortlist.com" TargetMode="External"/><Relationship Id="rId223" Type="http://schemas.openxmlformats.org/officeDocument/2006/relationships/hyperlink" Target="https://oski.site/blog/ai-consulting-companies-australia/" TargetMode="External"/><Relationship Id="rId1056" Type="http://schemas.openxmlformats.org/officeDocument/2006/relationships/hyperlink" Target="https://www.sortlist.com/web-analytics/australia-au" TargetMode="External"/><Relationship Id="rId222" Type="http://schemas.openxmlformats.org/officeDocument/2006/relationships/hyperlink" Target="http://hockeystack.com" TargetMode="External"/><Relationship Id="rId1057" Type="http://schemas.openxmlformats.org/officeDocument/2006/relationships/hyperlink" Target="http://sortlist.com" TargetMode="External"/><Relationship Id="rId221" Type="http://schemas.openxmlformats.org/officeDocument/2006/relationships/hyperlink" Target="https://www.hockeystack.com/blog-posts/best-marketing-attribution-software" TargetMode="External"/><Relationship Id="rId1058" Type="http://schemas.openxmlformats.org/officeDocument/2006/relationships/hyperlink" Target="https://sotatek.com.au/blogs/ai-solutions-in-australia/" TargetMode="External"/><Relationship Id="rId1048" Type="http://schemas.openxmlformats.org/officeDocument/2006/relationships/hyperlink" Target="https://www.sortlist.com/s/performance-marketing/victoria-vic-au" TargetMode="External"/><Relationship Id="rId1049" Type="http://schemas.openxmlformats.org/officeDocument/2006/relationships/hyperlink" Target="http://sortlist.com" TargetMode="External"/><Relationship Id="rId217" Type="http://schemas.openxmlformats.org/officeDocument/2006/relationships/hyperlink" Target="https://digitalagencynetwork.com/agencies/melbourne/ai-marketing/" TargetMode="External"/><Relationship Id="rId216" Type="http://schemas.openxmlformats.org/officeDocument/2006/relationships/hyperlink" Target="http://digitalagencynetwork.com" TargetMode="External"/><Relationship Id="rId215" Type="http://schemas.openxmlformats.org/officeDocument/2006/relationships/hyperlink" Target="https://digitalagencynetwork.com/agencies/australia/online-advertising/" TargetMode="External"/><Relationship Id="rId699" Type="http://schemas.openxmlformats.org/officeDocument/2006/relationships/hyperlink" Target="http://elsner.com.au" TargetMode="External"/><Relationship Id="rId214" Type="http://schemas.openxmlformats.org/officeDocument/2006/relationships/hyperlink" Target="http://cometly.com" TargetMode="External"/><Relationship Id="rId698" Type="http://schemas.openxmlformats.org/officeDocument/2006/relationships/hyperlink" Target="https://www.elsner.com.au/top-10-seo-agencies-australia-2026/" TargetMode="External"/><Relationship Id="rId219" Type="http://schemas.openxmlformats.org/officeDocument/2006/relationships/hyperlink" Target="https://godigitalalpha.com/best-performance-marketing-services-in-australia-2025/" TargetMode="External"/><Relationship Id="rId218" Type="http://schemas.openxmlformats.org/officeDocument/2006/relationships/hyperlink" Target="http://digitalagencynetwork.com" TargetMode="External"/><Relationship Id="rId693" Type="http://schemas.openxmlformats.org/officeDocument/2006/relationships/hyperlink" Target="http://digitalnomadshq.com.au" TargetMode="External"/><Relationship Id="rId1040" Type="http://schemas.openxmlformats.org/officeDocument/2006/relationships/hyperlink" Target="https://www.sortlist.com/s/display-advertising/sydney-au" TargetMode="External"/><Relationship Id="rId692" Type="http://schemas.openxmlformats.org/officeDocument/2006/relationships/hyperlink" Target="https://digitalnomadshq.com.au/blog/best-seo-agencies/" TargetMode="External"/><Relationship Id="rId1041" Type="http://schemas.openxmlformats.org/officeDocument/2006/relationships/hyperlink" Target="http://sortlist.com" TargetMode="External"/><Relationship Id="rId691" Type="http://schemas.openxmlformats.org/officeDocument/2006/relationships/hyperlink" Target="http://digitalagencynetwork.com" TargetMode="External"/><Relationship Id="rId1042" Type="http://schemas.openxmlformats.org/officeDocument/2006/relationships/hyperlink" Target="https://www.sortlist.com/s/display-advertising/western-australia-wa-au" TargetMode="External"/><Relationship Id="rId690" Type="http://schemas.openxmlformats.org/officeDocument/2006/relationships/hyperlink" Target="https://digitalagencynetwork.com/agencies/melbourne/geo/" TargetMode="External"/><Relationship Id="rId1043" Type="http://schemas.openxmlformats.org/officeDocument/2006/relationships/hyperlink" Target="http://sortlist.com" TargetMode="External"/><Relationship Id="rId213" Type="http://schemas.openxmlformats.org/officeDocument/2006/relationships/hyperlink" Target="https://www.cometly.com/post/marketing-attribution-platform-for-agencies" TargetMode="External"/><Relationship Id="rId697" Type="http://schemas.openxmlformats.org/officeDocument/2006/relationships/hyperlink" Target="http://hubspot.com" TargetMode="External"/><Relationship Id="rId1044" Type="http://schemas.openxmlformats.org/officeDocument/2006/relationships/hyperlink" Target="https://www.sortlist.com/s/linkedin-advertising/australia-au" TargetMode="External"/><Relationship Id="rId212" Type="http://schemas.openxmlformats.org/officeDocument/2006/relationships/hyperlink" Target="http://cometly.com" TargetMode="External"/><Relationship Id="rId696" Type="http://schemas.openxmlformats.org/officeDocument/2006/relationships/hyperlink" Target="https://ecosystem.hubspot.com/marketplace/solutions/paid-advertising/australia" TargetMode="External"/><Relationship Id="rId1045" Type="http://schemas.openxmlformats.org/officeDocument/2006/relationships/hyperlink" Target="http://sortlist.com" TargetMode="External"/><Relationship Id="rId211" Type="http://schemas.openxmlformats.org/officeDocument/2006/relationships/hyperlink" Target="https://www.cometly.com/post/marketing-attribution-consultant-services" TargetMode="External"/><Relationship Id="rId695" Type="http://schemas.openxmlformats.org/officeDocument/2006/relationships/hyperlink" Target="http://digitalnomadshq.com.au" TargetMode="External"/><Relationship Id="rId1046" Type="http://schemas.openxmlformats.org/officeDocument/2006/relationships/hyperlink" Target="https://www.sortlist.com/s/paid-media/victoria-vic-au" TargetMode="External"/><Relationship Id="rId210" Type="http://schemas.openxmlformats.org/officeDocument/2006/relationships/hyperlink" Target="http://clutch.co" TargetMode="External"/><Relationship Id="rId694" Type="http://schemas.openxmlformats.org/officeDocument/2006/relationships/hyperlink" Target="https://digitalnomadshq.com.au/blog/search-engine-marketing-agencies/" TargetMode="External"/><Relationship Id="rId1047" Type="http://schemas.openxmlformats.org/officeDocument/2006/relationships/hyperlink" Target="http://sortlist.com" TargetMode="External"/><Relationship Id="rId249" Type="http://schemas.openxmlformats.org/officeDocument/2006/relationships/hyperlink" Target="http://greenbook.org" TargetMode="External"/><Relationship Id="rId248" Type="http://schemas.openxmlformats.org/officeDocument/2006/relationships/hyperlink" Target="https://www.greenbook.org/market-research-companies/australia" TargetMode="External"/><Relationship Id="rId247" Type="http://schemas.openxmlformats.org/officeDocument/2006/relationships/hyperlink" Target="http://goodfirms.co" TargetMode="External"/><Relationship Id="rId1070" Type="http://schemas.openxmlformats.org/officeDocument/2006/relationships/hyperlink" Target="https://www.theardor.com.au/best-seo-companies-in-australia/" TargetMode="External"/><Relationship Id="rId1071" Type="http://schemas.openxmlformats.org/officeDocument/2006/relationships/hyperlink" Target="http://theardor.com.au" TargetMode="External"/><Relationship Id="rId1072" Type="http://schemas.openxmlformats.org/officeDocument/2006/relationships/hyperlink" Target="https://www.theardor.com.au/top-pr-agencies/" TargetMode="External"/><Relationship Id="rId242" Type="http://schemas.openxmlformats.org/officeDocument/2006/relationships/hyperlink" Target="https://auratechinsights.medium.com/top-10-ai-development-and-consulting-companies-in-australia-7093eee60fbe" TargetMode="External"/><Relationship Id="rId1073" Type="http://schemas.openxmlformats.org/officeDocument/2006/relationships/hyperlink" Target="http://theardor.com.au" TargetMode="External"/><Relationship Id="rId241" Type="http://schemas.openxmlformats.org/officeDocument/2006/relationships/hyperlink" Target="http://semrush.com" TargetMode="External"/><Relationship Id="rId1074" Type="http://schemas.openxmlformats.org/officeDocument/2006/relationships/hyperlink" Target="https://www.thehero.co/news/advertising-marketings-best-agencies-top-sydney-2026-mumbrella-awards-list" TargetMode="External"/><Relationship Id="rId240" Type="http://schemas.openxmlformats.org/officeDocument/2006/relationships/hyperlink" Target="https://agencies.semrush.com/list/programmatic-advertising/australia/" TargetMode="External"/><Relationship Id="rId1075" Type="http://schemas.openxmlformats.org/officeDocument/2006/relationships/hyperlink" Target="http://thehero.co" TargetMode="External"/><Relationship Id="rId1076" Type="http://schemas.openxmlformats.org/officeDocument/2006/relationships/hyperlink" Target="https://www.thehero.co/news/sydneys-top-ad-agencies-and-the-best-sydney-creative-agency-for-2026" TargetMode="External"/><Relationship Id="rId246" Type="http://schemas.openxmlformats.org/officeDocument/2006/relationships/hyperlink" Target="https://www.goodfirms.co/directory/country/top-digital-marketing-companies/au/" TargetMode="External"/><Relationship Id="rId1077" Type="http://schemas.openxmlformats.org/officeDocument/2006/relationships/hyperlink" Target="http://thehero.co" TargetMode="External"/><Relationship Id="rId245" Type="http://schemas.openxmlformats.org/officeDocument/2006/relationships/hyperlink" Target="http://bbe.io" TargetMode="External"/><Relationship Id="rId1078" Type="http://schemas.openxmlformats.org/officeDocument/2006/relationships/hyperlink" Target="https://www.thehero.co/news/top-10-best-ad-agency-in-sydney-leading-australia-at-wina-2026" TargetMode="External"/><Relationship Id="rId244" Type="http://schemas.openxmlformats.org/officeDocument/2006/relationships/hyperlink" Target="https://www.bbe.io/top-ranked-best-advertising-agency-leaders-australia-2026-sydney-melbourne-brisbane" TargetMode="External"/><Relationship Id="rId1079" Type="http://schemas.openxmlformats.org/officeDocument/2006/relationships/hyperlink" Target="http://thehero.co" TargetMode="External"/><Relationship Id="rId243" Type="http://schemas.openxmlformats.org/officeDocument/2006/relationships/hyperlink" Target="http://medium.com" TargetMode="External"/><Relationship Id="rId239" Type="http://schemas.openxmlformats.org/officeDocument/2006/relationships/hyperlink" Target="http://semrush.com" TargetMode="External"/><Relationship Id="rId238" Type="http://schemas.openxmlformats.org/officeDocument/2006/relationships/hyperlink" Target="https://agencies.semrush.com/list/display-advertising/sydney/" TargetMode="External"/><Relationship Id="rId237" Type="http://schemas.openxmlformats.org/officeDocument/2006/relationships/hyperlink" Target="http://topseobrands.com" TargetMode="External"/><Relationship Id="rId236" Type="http://schemas.openxmlformats.org/officeDocument/2006/relationships/hyperlink" Target="https://www.topseobrands.com/au/best-display-advertising-firms-in-australia" TargetMode="External"/><Relationship Id="rId1060" Type="http://schemas.openxmlformats.org/officeDocument/2006/relationships/hyperlink" Target="https://soupagency.com.au/blog/10-best-ppc-agencies-sydney/" TargetMode="External"/><Relationship Id="rId1061" Type="http://schemas.openxmlformats.org/officeDocument/2006/relationships/hyperlink" Target="http://soupagency.com.au" TargetMode="External"/><Relationship Id="rId231" Type="http://schemas.openxmlformats.org/officeDocument/2006/relationships/hyperlink" Target="http://sortlist.com" TargetMode="External"/><Relationship Id="rId1062" Type="http://schemas.openxmlformats.org/officeDocument/2006/relationships/hyperlink" Target="https://stackdigital.com.au/top-5-ai-seo-agencies-in-australia-2025-rankings/" TargetMode="External"/><Relationship Id="rId230" Type="http://schemas.openxmlformats.org/officeDocument/2006/relationships/hyperlink" Target="https://www.sortlist.com/s/paid-media/australian-capital-territory-act-au" TargetMode="External"/><Relationship Id="rId1063" Type="http://schemas.openxmlformats.org/officeDocument/2006/relationships/hyperlink" Target="http://stackdigital.com.au" TargetMode="External"/><Relationship Id="rId1064" Type="http://schemas.openxmlformats.org/officeDocument/2006/relationships/hyperlink" Target="https://stratabeat.com/best-geo-agency/" TargetMode="External"/><Relationship Id="rId1065" Type="http://schemas.openxmlformats.org/officeDocument/2006/relationships/hyperlink" Target="http://stratabeat.com" TargetMode="External"/><Relationship Id="rId235" Type="http://schemas.openxmlformats.org/officeDocument/2006/relationships/hyperlink" Target="http://thehero.co" TargetMode="External"/><Relationship Id="rId1066" Type="http://schemas.openxmlformats.org/officeDocument/2006/relationships/hyperlink" Target="https://www.strategyeye.com/top-13-performance-marketing-agencies/" TargetMode="External"/><Relationship Id="rId234" Type="http://schemas.openxmlformats.org/officeDocument/2006/relationships/hyperlink" Target="https://www.thehero.co/news/top-10-best-advertising-agencies-leading-australia-2025-sydney-melbourne-brisbane" TargetMode="External"/><Relationship Id="rId1067" Type="http://schemas.openxmlformats.org/officeDocument/2006/relationships/hyperlink" Target="http://strategyeye.com" TargetMode="External"/><Relationship Id="rId233" Type="http://schemas.openxmlformats.org/officeDocument/2006/relationships/hyperlink" Target="http://team400.ai" TargetMode="External"/><Relationship Id="rId1068" Type="http://schemas.openxmlformats.org/officeDocument/2006/relationships/hyperlink" Target="https://techtalkradio.com.au/top-australian-ppc-agencies-pricing-results-and-quality/" TargetMode="External"/><Relationship Id="rId232" Type="http://schemas.openxmlformats.org/officeDocument/2006/relationships/hyperlink" Target="https://team400.ai/blog/2026-04-top-ai-consultants-australia" TargetMode="External"/><Relationship Id="rId1069" Type="http://schemas.openxmlformats.org/officeDocument/2006/relationships/hyperlink" Target="http://techtalkradio.com.au" TargetMode="External"/><Relationship Id="rId1015" Type="http://schemas.openxmlformats.org/officeDocument/2006/relationships/hyperlink" Target="http://riseuplabs.com" TargetMode="External"/><Relationship Id="rId1016" Type="http://schemas.openxmlformats.org/officeDocument/2006/relationships/hyperlink" Target="https://roi.com.au/know-how/challenges/roi-profitability/what-analytics-platforms-work-best" TargetMode="External"/><Relationship Id="rId1017" Type="http://schemas.openxmlformats.org/officeDocument/2006/relationships/hyperlink" Target="http://roi.com.au" TargetMode="External"/><Relationship Id="rId1018" Type="http://schemas.openxmlformats.org/officeDocument/2006/relationships/hyperlink" Target="https://www.rzlt.io/blog/best-ai-marketing-agencies-in-2026-the-definitive-guide-by-specialty" TargetMode="External"/><Relationship Id="rId1019" Type="http://schemas.openxmlformats.org/officeDocument/2006/relationships/hyperlink" Target="http://rzlt.io" TargetMode="External"/><Relationship Id="rId668" Type="http://schemas.openxmlformats.org/officeDocument/2006/relationships/hyperlink" Target="https://www.bluethings.co/blog/top-seo-agencies-australia" TargetMode="External"/><Relationship Id="rId667" Type="http://schemas.openxmlformats.org/officeDocument/2006/relationships/hyperlink" Target="http://bestforexapp.com" TargetMode="External"/><Relationship Id="rId666" Type="http://schemas.openxmlformats.org/officeDocument/2006/relationships/hyperlink" Target="https://bestforexapp.com/best-ai-marketing-agency-australia-2026-2/" TargetMode="External"/><Relationship Id="rId665" Type="http://schemas.openxmlformats.org/officeDocument/2006/relationships/hyperlink" Target="http://avidtrak.com" TargetMode="External"/><Relationship Id="rId669" Type="http://schemas.openxmlformats.org/officeDocument/2006/relationships/hyperlink" Target="http://bluethings.co" TargetMode="External"/><Relationship Id="rId660" Type="http://schemas.openxmlformats.org/officeDocument/2006/relationships/hyperlink" Target="https://anirup.com/top-10-google-ads-agency-australia/" TargetMode="External"/><Relationship Id="rId1010" Type="http://schemas.openxmlformats.org/officeDocument/2006/relationships/hyperlink" Target="https://www.reddit.com/r/BestInAustralia/comments/1s8fbyv/best_seo_company_in_melbourne_april_2026/" TargetMode="External"/><Relationship Id="rId664" Type="http://schemas.openxmlformats.org/officeDocument/2006/relationships/hyperlink" Target="https://avidtrak.com/resource/best-market-attribution-software" TargetMode="External"/><Relationship Id="rId1011" Type="http://schemas.openxmlformats.org/officeDocument/2006/relationships/hyperlink" Target="http://reddit.com" TargetMode="External"/><Relationship Id="rId663" Type="http://schemas.openxmlformats.org/officeDocument/2006/relationships/hyperlink" Target="http://avenuegroupaus.com.au" TargetMode="External"/><Relationship Id="rId1012" Type="http://schemas.openxmlformats.org/officeDocument/2006/relationships/hyperlink" Target="https://www.reddit.com/r/BestInAustralia/comments/1tghlmb/5_best_seo_agencies_in_southbank_2026/" TargetMode="External"/><Relationship Id="rId662" Type="http://schemas.openxmlformats.org/officeDocument/2006/relationships/hyperlink" Target="https://avenuegroupaus.com.au/top-seo-companies-in-australia/" TargetMode="External"/><Relationship Id="rId1013" Type="http://schemas.openxmlformats.org/officeDocument/2006/relationships/hyperlink" Target="http://reddit.com" TargetMode="External"/><Relationship Id="rId661" Type="http://schemas.openxmlformats.org/officeDocument/2006/relationships/hyperlink" Target="http://anirup.com" TargetMode="External"/><Relationship Id="rId1014" Type="http://schemas.openxmlformats.org/officeDocument/2006/relationships/hyperlink" Target="https://riseuplabs.com/top-web-design-agencies-in-australia/" TargetMode="External"/><Relationship Id="rId1004" Type="http://schemas.openxmlformats.org/officeDocument/2006/relationships/hyperlink" Target="https://www.reddit.com/r/AIConsultingAustralia/comments/1r3gb5b/who_are_the_top_ai_consulting_companies_in/" TargetMode="External"/><Relationship Id="rId1005" Type="http://schemas.openxmlformats.org/officeDocument/2006/relationships/hyperlink" Target="http://reddit.com" TargetMode="External"/><Relationship Id="rId1006" Type="http://schemas.openxmlformats.org/officeDocument/2006/relationships/hyperlink" Target="https://www.reddit.com/r/AskMarketing/comments/1r6neq7/i_run_one_of_australias_top_20_digital_agencies/" TargetMode="External"/><Relationship Id="rId1007" Type="http://schemas.openxmlformats.org/officeDocument/2006/relationships/hyperlink" Target="http://reddit.com" TargetMode="External"/><Relationship Id="rId1008" Type="http://schemas.openxmlformats.org/officeDocument/2006/relationships/hyperlink" Target="https://www.reddit.com/r/BestInAustralia/comments/1pun446/7_best_seo_agencies_in_melbourne_2026_guide/" TargetMode="External"/><Relationship Id="rId1009" Type="http://schemas.openxmlformats.org/officeDocument/2006/relationships/hyperlink" Target="http://reddit.com" TargetMode="External"/><Relationship Id="rId657" Type="http://schemas.openxmlformats.org/officeDocument/2006/relationships/hyperlink" Target="http://agencylist.com" TargetMode="External"/><Relationship Id="rId656" Type="http://schemas.openxmlformats.org/officeDocument/2006/relationships/hyperlink" Target="https://agencylist.com/services/measurement-and-coverage-reports/au/" TargetMode="External"/><Relationship Id="rId655" Type="http://schemas.openxmlformats.org/officeDocument/2006/relationships/hyperlink" Target="http://semrush.com" TargetMode="External"/><Relationship Id="rId654" Type="http://schemas.openxmlformats.org/officeDocument/2006/relationships/hyperlink" Target="https://agencies.semrush.com/list/smm/sydney/" TargetMode="External"/><Relationship Id="rId659" Type="http://schemas.openxmlformats.org/officeDocument/2006/relationships/hyperlink" Target="http://analyzify.com" TargetMode="External"/><Relationship Id="rId658" Type="http://schemas.openxmlformats.org/officeDocument/2006/relationships/hyperlink" Target="https://analyzify.com/hub/digital-marketing-agencies-in-au" TargetMode="External"/><Relationship Id="rId653" Type="http://schemas.openxmlformats.org/officeDocument/2006/relationships/hyperlink" Target="http://semrush.com" TargetMode="External"/><Relationship Id="rId1000" Type="http://schemas.openxmlformats.org/officeDocument/2006/relationships/hyperlink" Target="https://peertopeermarketing.co/performance-agencies/" TargetMode="External"/><Relationship Id="rId652" Type="http://schemas.openxmlformats.org/officeDocument/2006/relationships/hyperlink" Target="https://agencies.semrush.com/list/machine-learning-and-ai/sydney/" TargetMode="External"/><Relationship Id="rId1001" Type="http://schemas.openxmlformats.org/officeDocument/2006/relationships/hyperlink" Target="http://peertopeermarketing.co" TargetMode="External"/><Relationship Id="rId651" Type="http://schemas.openxmlformats.org/officeDocument/2006/relationships/hyperlink" Target="http://semrush.com" TargetMode="External"/><Relationship Id="rId1002" Type="http://schemas.openxmlformats.org/officeDocument/2006/relationships/hyperlink" Target="https://pimms.io/blog/top-10-marketing-attribution-tools-you-need-in-2025" TargetMode="External"/><Relationship Id="rId650" Type="http://schemas.openxmlformats.org/officeDocument/2006/relationships/hyperlink" Target="https://agencies.semrush.com/list/facebook-advertising/australia/" TargetMode="External"/><Relationship Id="rId1003" Type="http://schemas.openxmlformats.org/officeDocument/2006/relationships/hyperlink" Target="http://pimms.io" TargetMode="External"/><Relationship Id="rId1037" Type="http://schemas.openxmlformats.org/officeDocument/2006/relationships/hyperlink" Target="http://sortlist.com" TargetMode="External"/><Relationship Id="rId1038" Type="http://schemas.openxmlformats.org/officeDocument/2006/relationships/hyperlink" Target="https://www.sortlist.com/s/display-advertising/new-south-wales-nsw-au" TargetMode="External"/><Relationship Id="rId1039" Type="http://schemas.openxmlformats.org/officeDocument/2006/relationships/hyperlink" Target="http://sortlist.com" TargetMode="External"/><Relationship Id="rId206" Type="http://schemas.openxmlformats.org/officeDocument/2006/relationships/hyperlink" Target="http://adbeacon.com" TargetMode="External"/><Relationship Id="rId205" Type="http://schemas.openxmlformats.org/officeDocument/2006/relationships/hyperlink" Target="https://www.adbeacon.com/7-best-marketing-attribution-tools-compared-2026/" TargetMode="External"/><Relationship Id="rId689" Type="http://schemas.openxmlformats.org/officeDocument/2006/relationships/hyperlink" Target="http://designrush.com" TargetMode="External"/><Relationship Id="rId204" Type="http://schemas.openxmlformats.org/officeDocument/2006/relationships/hyperlink" Target="http://adbeacon.com" TargetMode="External"/><Relationship Id="rId688" Type="http://schemas.openxmlformats.org/officeDocument/2006/relationships/hyperlink" Target="https://www.designrush.com/agency/paid-media-pay-per-click/au/sydney" TargetMode="External"/><Relationship Id="rId203" Type="http://schemas.openxmlformats.org/officeDocument/2006/relationships/hyperlink" Target="https://www.adbeacon.com/19-best-marketing-attribution-software-solutions-in-2026/" TargetMode="External"/><Relationship Id="rId687" Type="http://schemas.openxmlformats.org/officeDocument/2006/relationships/hyperlink" Target="http://designrush.com" TargetMode="External"/><Relationship Id="rId209" Type="http://schemas.openxmlformats.org/officeDocument/2006/relationships/hyperlink" Target="https://clutch.co/au/consulting/ai/strategy" TargetMode="External"/><Relationship Id="rId208" Type="http://schemas.openxmlformats.org/officeDocument/2006/relationships/hyperlink" Target="http://bushnote.com" TargetMode="External"/><Relationship Id="rId207" Type="http://schemas.openxmlformats.org/officeDocument/2006/relationships/hyperlink" Target="https://www.bushnote.com/articles/top-ai-marketing-agencies-australia-2025-f19a3" TargetMode="External"/><Relationship Id="rId682" Type="http://schemas.openxmlformats.org/officeDocument/2006/relationships/hyperlink" Target="https://conquerradigital.com.au/top-10-programmatic-ads-agencies-in-melbourne/" TargetMode="External"/><Relationship Id="rId681" Type="http://schemas.openxmlformats.org/officeDocument/2006/relationships/hyperlink" Target="http://clutch.co" TargetMode="External"/><Relationship Id="rId1030" Type="http://schemas.openxmlformats.org/officeDocument/2006/relationships/hyperlink" Target="https://www.smartinc.com/" TargetMode="External"/><Relationship Id="rId680" Type="http://schemas.openxmlformats.org/officeDocument/2006/relationships/hyperlink" Target="https://clutch.co/au/seo-firms" TargetMode="External"/><Relationship Id="rId1031" Type="http://schemas.openxmlformats.org/officeDocument/2006/relationships/hyperlink" Target="http://smartinc.com" TargetMode="External"/><Relationship Id="rId1032" Type="http://schemas.openxmlformats.org/officeDocument/2006/relationships/hyperlink" Target="https://socialchameleon.com/top-30-marketing-agencies-australia-2/" TargetMode="External"/><Relationship Id="rId202" Type="http://schemas.openxmlformats.org/officeDocument/2006/relationships/hyperlink" Target="http://10seos.com" TargetMode="External"/><Relationship Id="rId686" Type="http://schemas.openxmlformats.org/officeDocument/2006/relationships/hyperlink" Target="https://www.designrush.com/agency/digital-marketing/analytics" TargetMode="External"/><Relationship Id="rId1033" Type="http://schemas.openxmlformats.org/officeDocument/2006/relationships/hyperlink" Target="http://socialchameleon.com" TargetMode="External"/><Relationship Id="rId201" Type="http://schemas.openxmlformats.org/officeDocument/2006/relationships/hyperlink" Target="https://www.10seos.com/au/display-advertising-companies-in-australia?page=4" TargetMode="External"/><Relationship Id="rId685" Type="http://schemas.openxmlformats.org/officeDocument/2006/relationships/hyperlink" Target="http://designrush.com" TargetMode="External"/><Relationship Id="rId1034" Type="http://schemas.openxmlformats.org/officeDocument/2006/relationships/hyperlink" Target="https://www.sortlist.com/digital-marketing/australia-au?custom=advertising%2Caustralia-au" TargetMode="External"/><Relationship Id="rId200" Type="http://schemas.openxmlformats.org/officeDocument/2006/relationships/hyperlink" Target="http://themanifest.com" TargetMode="External"/><Relationship Id="rId684" Type="http://schemas.openxmlformats.org/officeDocument/2006/relationships/hyperlink" Target="https://www.designrush.com/agency/ad-agencies/au/melbourne" TargetMode="External"/><Relationship Id="rId1035" Type="http://schemas.openxmlformats.org/officeDocument/2006/relationships/hyperlink" Target="http://sortlist.com" TargetMode="External"/><Relationship Id="rId683" Type="http://schemas.openxmlformats.org/officeDocument/2006/relationships/hyperlink" Target="http://conquerradigital.com.au" TargetMode="External"/><Relationship Id="rId1036" Type="http://schemas.openxmlformats.org/officeDocument/2006/relationships/hyperlink" Target="https://www.sortlist.com/marketing-communication" TargetMode="External"/><Relationship Id="rId1026" Type="http://schemas.openxmlformats.org/officeDocument/2006/relationships/hyperlink" Target="https://shuffledigital.com.au/best-seo-agencies-in-australia/" TargetMode="External"/><Relationship Id="rId1027" Type="http://schemas.openxmlformats.org/officeDocument/2006/relationships/hyperlink" Target="http://shuffledigital.com.au" TargetMode="External"/><Relationship Id="rId1028" Type="http://schemas.openxmlformats.org/officeDocument/2006/relationships/hyperlink" Target="https://www.singlegrain.com/artificial-intelligence/top-14-ai-marketing-agencies-in-2025/" TargetMode="External"/><Relationship Id="rId1029" Type="http://schemas.openxmlformats.org/officeDocument/2006/relationships/hyperlink" Target="http://singlegrain.com" TargetMode="External"/><Relationship Id="rId679" Type="http://schemas.openxmlformats.org/officeDocument/2006/relationships/hyperlink" Target="http://clutch.co" TargetMode="External"/><Relationship Id="rId678" Type="http://schemas.openxmlformats.org/officeDocument/2006/relationships/hyperlink" Target="https://clutch.co/au/agencies/social-media-marketing/facebook?page=9" TargetMode="External"/><Relationship Id="rId677" Type="http://schemas.openxmlformats.org/officeDocument/2006/relationships/hyperlink" Target="http://clutch.co" TargetMode="External"/><Relationship Id="rId676" Type="http://schemas.openxmlformats.org/officeDocument/2006/relationships/hyperlink" Target="https://clutch.co/au/agencies/market-research" TargetMode="External"/><Relationship Id="rId671" Type="http://schemas.openxmlformats.org/officeDocument/2006/relationships/hyperlink" Target="http://bondipages.com" TargetMode="External"/><Relationship Id="rId670" Type="http://schemas.openxmlformats.org/officeDocument/2006/relationships/hyperlink" Target="https://bondipages.com/best-marketing-in-australia/" TargetMode="External"/><Relationship Id="rId1020" Type="http://schemas.openxmlformats.org/officeDocument/2006/relationships/hyperlink" Target="https://www.salesforce.com/au/marketing/ai/best-ai-marketing-tools/" TargetMode="External"/><Relationship Id="rId1021" Type="http://schemas.openxmlformats.org/officeDocument/2006/relationships/hyperlink" Target="http://salesforce.com" TargetMode="External"/><Relationship Id="rId675" Type="http://schemas.openxmlformats.org/officeDocument/2006/relationships/hyperlink" Target="http://clutch.co" TargetMode="External"/><Relationship Id="rId1022" Type="http://schemas.openxmlformats.org/officeDocument/2006/relationships/hyperlink" Target="https://scopicstudios.com/blog/best-incrementality-testing-tools-2026/" TargetMode="External"/><Relationship Id="rId674" Type="http://schemas.openxmlformats.org/officeDocument/2006/relationships/hyperlink" Target="https://clutch.co/au/agencies/creative/melbourne" TargetMode="External"/><Relationship Id="rId1023" Type="http://schemas.openxmlformats.org/officeDocument/2006/relationships/hyperlink" Target="http://scopicstudios.com" TargetMode="External"/><Relationship Id="rId673" Type="http://schemas.openxmlformats.org/officeDocument/2006/relationships/hyperlink" Target="http://builtinsydney.au" TargetMode="External"/><Relationship Id="rId1024" Type="http://schemas.openxmlformats.org/officeDocument/2006/relationships/hyperlink" Target="https://shokeproductions.com/Post/top-marketing-agencies-in-australia-for-tech-and-ai" TargetMode="External"/><Relationship Id="rId672" Type="http://schemas.openxmlformats.org/officeDocument/2006/relationships/hyperlink" Target="https://builtinsydney.au/articles/digital-marketing-companies-sydney" TargetMode="External"/><Relationship Id="rId1025" Type="http://schemas.openxmlformats.org/officeDocument/2006/relationships/hyperlink" Target="http://shokeproductions.com" TargetMode="External"/><Relationship Id="rId190" Type="http://schemas.openxmlformats.org/officeDocument/2006/relationships/hyperlink" Target="http://clutch.co" TargetMode="External"/><Relationship Id="rId194" Type="http://schemas.openxmlformats.org/officeDocument/2006/relationships/hyperlink" Target="http://hikemytraffic.com" TargetMode="External"/><Relationship Id="rId193" Type="http://schemas.openxmlformats.org/officeDocument/2006/relationships/hyperlink" Target="https://hikemytraffic.com/ai-digital-marketing-services-in-australia/" TargetMode="External"/><Relationship Id="rId192" Type="http://schemas.openxmlformats.org/officeDocument/2006/relationships/hyperlink" Target="http://digitalreference.co" TargetMode="External"/><Relationship Id="rId191" Type="http://schemas.openxmlformats.org/officeDocument/2006/relationships/hyperlink" Target="https://www.digitalreference.co/design-professionals/best-creative-agencies-in-australia" TargetMode="External"/><Relationship Id="rId187" Type="http://schemas.openxmlformats.org/officeDocument/2006/relationships/hyperlink" Target="https://www.bushnote.com/articles/best-10-aeo-agencies-in-australia-to-promote-b2c-companies-in-2026" TargetMode="External"/><Relationship Id="rId186" Type="http://schemas.openxmlformats.org/officeDocument/2006/relationships/hyperlink" Target="http://reddit.com" TargetMode="External"/><Relationship Id="rId185" Type="http://schemas.openxmlformats.org/officeDocument/2006/relationships/hyperlink" Target="https://www.reddit.com/r/Superframeworks/comments/1twfxf1/10_best_ai_seo_geoaeo_agencies_for_2026_no/" TargetMode="External"/><Relationship Id="rId184" Type="http://schemas.openxmlformats.org/officeDocument/2006/relationships/hyperlink" Target="http://omnieclipse.ai" TargetMode="External"/><Relationship Id="rId189" Type="http://schemas.openxmlformats.org/officeDocument/2006/relationships/hyperlink" Target="https://clutch.co/au/agencies/ppc/google-adwords" TargetMode="External"/><Relationship Id="rId188" Type="http://schemas.openxmlformats.org/officeDocument/2006/relationships/hyperlink" Target="http://bushnote.com" TargetMode="External"/><Relationship Id="rId183" Type="http://schemas.openxmlformats.org/officeDocument/2006/relationships/hyperlink" Target="https://omnieclipse.ai/au/blog/best-aeo-agencies-australia-2026" TargetMode="External"/><Relationship Id="rId182" Type="http://schemas.openxmlformats.org/officeDocument/2006/relationships/hyperlink" Target="http://mediaplusdigital.co" TargetMode="External"/><Relationship Id="rId181" Type="http://schemas.openxmlformats.org/officeDocument/2006/relationships/hyperlink" Target="https://mediaplusdigital.co/au/top-digital-media-agencies-in-australia/" TargetMode="External"/><Relationship Id="rId180" Type="http://schemas.openxmlformats.org/officeDocument/2006/relationships/hyperlink" Target="http://semrush.com" TargetMode="External"/><Relationship Id="rId176" Type="http://schemas.openxmlformats.org/officeDocument/2006/relationships/hyperlink" Target="http://softwaresuggest.com" TargetMode="External"/><Relationship Id="rId175" Type="http://schemas.openxmlformats.org/officeDocument/2006/relationships/hyperlink" Target="https://www.softwaresuggest.com/services/marketing-analytics-companies/australia" TargetMode="External"/><Relationship Id="rId174" Type="http://schemas.openxmlformats.org/officeDocument/2006/relationships/hyperlink" Target="http://smartosc.com" TargetMode="External"/><Relationship Id="rId173" Type="http://schemas.openxmlformats.org/officeDocument/2006/relationships/hyperlink" Target="https://www.smartosc.com/top-10-ai-consulting-firms-in-australia/" TargetMode="External"/><Relationship Id="rId179" Type="http://schemas.openxmlformats.org/officeDocument/2006/relationships/hyperlink" Target="https://agencies.semrush.com/list/machine-learning-and-ai/australia/" TargetMode="External"/><Relationship Id="rId178" Type="http://schemas.openxmlformats.org/officeDocument/2006/relationships/hyperlink" Target="http://superbcompanies.com" TargetMode="External"/><Relationship Id="rId177" Type="http://schemas.openxmlformats.org/officeDocument/2006/relationships/hyperlink" Target="https://superbcompanies.com/categories/creative-agencies-in-australia/" TargetMode="External"/><Relationship Id="rId198" Type="http://schemas.openxmlformats.org/officeDocument/2006/relationships/hyperlink" Target="http://skyscale.com.au" TargetMode="External"/><Relationship Id="rId197" Type="http://schemas.openxmlformats.org/officeDocument/2006/relationships/hyperlink" Target="https://skyscale.com.au/blogs/best-aeo-agencies-melbourne-2025" TargetMode="External"/><Relationship Id="rId196" Type="http://schemas.openxmlformats.org/officeDocument/2006/relationships/hyperlink" Target="http://redpandas.com.au" TargetMode="External"/><Relationship Id="rId195" Type="http://schemas.openxmlformats.org/officeDocument/2006/relationships/hyperlink" Target="https://www.redpandas.com.au/blog/best-paid-media-agencies-in-australia-an-unbiased-review/" TargetMode="External"/><Relationship Id="rId199" Type="http://schemas.openxmlformats.org/officeDocument/2006/relationships/hyperlink" Target="https://themanifest.com/au/creative/agencies" TargetMode="External"/><Relationship Id="rId150" Type="http://schemas.openxmlformats.org/officeDocument/2006/relationships/hyperlink" Target="http://airanklab.com" TargetMode="External"/><Relationship Id="rId149" Type="http://schemas.openxmlformats.org/officeDocument/2006/relationships/hyperlink" Target="https://www.airanklab.com/blog/best-ai-seo-agencies-australia" TargetMode="External"/><Relationship Id="rId148" Type="http://schemas.openxmlformats.org/officeDocument/2006/relationships/hyperlink" Target="http://conquerradigital.com.au" TargetMode="External"/><Relationship Id="rId1090" Type="http://schemas.openxmlformats.org/officeDocument/2006/relationships/hyperlink" Target="https://thetimes.com.au/news/articles/51019-the-best-ai-automation-agencies-in-australia-in-2026" TargetMode="External"/><Relationship Id="rId1091" Type="http://schemas.openxmlformats.org/officeDocument/2006/relationships/hyperlink" Target="http://thetimes.com.au" TargetMode="External"/><Relationship Id="rId1092" Type="http://schemas.openxmlformats.org/officeDocument/2006/relationships/hyperlink" Target="https://titanblue.com.au/social-media-marketing-companies/" TargetMode="External"/><Relationship Id="rId1093" Type="http://schemas.openxmlformats.org/officeDocument/2006/relationships/hyperlink" Target="http://titanblue.com.au" TargetMode="External"/><Relationship Id="rId1094" Type="http://schemas.openxmlformats.org/officeDocument/2006/relationships/hyperlink" Target="https://www.tripledart.com/ai-seo/best-generative-engine-optimization-agencies" TargetMode="External"/><Relationship Id="rId143" Type="http://schemas.openxmlformats.org/officeDocument/2006/relationships/hyperlink" Target="https://www.sortlist.com/s/performance-marketing/australia-au" TargetMode="External"/><Relationship Id="rId1095" Type="http://schemas.openxmlformats.org/officeDocument/2006/relationships/hyperlink" Target="http://tripledart.com" TargetMode="External"/><Relationship Id="rId142" Type="http://schemas.openxmlformats.org/officeDocument/2006/relationships/hyperlink" Target="http://sortlist.com" TargetMode="External"/><Relationship Id="rId1096" Type="http://schemas.openxmlformats.org/officeDocument/2006/relationships/hyperlink" Target="https://uprisedigital.com.au/blog/google-ads-agencies-in-brisbane/" TargetMode="External"/><Relationship Id="rId141" Type="http://schemas.openxmlformats.org/officeDocument/2006/relationships/hyperlink" Target="https://www.sortlist.com/s/paid-media/sydney-au" TargetMode="External"/><Relationship Id="rId1097" Type="http://schemas.openxmlformats.org/officeDocument/2006/relationships/hyperlink" Target="http://uprisedigital.com.au" TargetMode="External"/><Relationship Id="rId140" Type="http://schemas.openxmlformats.org/officeDocument/2006/relationships/hyperlink" Target="http://findcreatives.com.au" TargetMode="External"/><Relationship Id="rId1098" Type="http://schemas.openxmlformats.org/officeDocument/2006/relationships/hyperlink" Target="https://vegavid.com/blog/top-ai-agent-development-companies-in-australia" TargetMode="External"/><Relationship Id="rId147" Type="http://schemas.openxmlformats.org/officeDocument/2006/relationships/hyperlink" Target="https://conquerradigital.com.au/top-10-programmatic-ads-agencies-in-the-australia/" TargetMode="External"/><Relationship Id="rId1099" Type="http://schemas.openxmlformats.org/officeDocument/2006/relationships/hyperlink" Target="http://vegavid.com" TargetMode="External"/><Relationship Id="rId146" Type="http://schemas.openxmlformats.org/officeDocument/2006/relationships/hyperlink" Target="http://titanblue.com.au" TargetMode="External"/><Relationship Id="rId145" Type="http://schemas.openxmlformats.org/officeDocument/2006/relationships/hyperlink" Target="https://titanblue.com.au/best-seo-agency-australia/" TargetMode="External"/><Relationship Id="rId144" Type="http://schemas.openxmlformats.org/officeDocument/2006/relationships/hyperlink" Target="http://sortlist.com" TargetMode="External"/><Relationship Id="rId139" Type="http://schemas.openxmlformats.org/officeDocument/2006/relationships/hyperlink" Target="https://findcreatives.com.au/journal/top-creative-agencies-in-australia" TargetMode="External"/><Relationship Id="rId138" Type="http://schemas.openxmlformats.org/officeDocument/2006/relationships/hyperlink" Target="http://edisonai.au" TargetMode="External"/><Relationship Id="rId137" Type="http://schemas.openxmlformats.org/officeDocument/2006/relationships/hyperlink" Target="https://edisonai.au/insights/top-ai-consulting-firms-australia" TargetMode="External"/><Relationship Id="rId1080" Type="http://schemas.openxmlformats.org/officeDocument/2006/relationships/hyperlink" Target="https://www.thehero.co/services-creative-performance-ai" TargetMode="External"/><Relationship Id="rId1081" Type="http://schemas.openxmlformats.org/officeDocument/2006/relationships/hyperlink" Target="http://thehero.co" TargetMode="External"/><Relationship Id="rId1082" Type="http://schemas.openxmlformats.org/officeDocument/2006/relationships/hyperlink" Target="https://www.thehypesociety.com.au/" TargetMode="External"/><Relationship Id="rId1083" Type="http://schemas.openxmlformats.org/officeDocument/2006/relationships/hyperlink" Target="http://thehypesociety.com.au" TargetMode="External"/><Relationship Id="rId132" Type="http://schemas.openxmlformats.org/officeDocument/2006/relationships/hyperlink" Target="http://noirandblanco.com" TargetMode="External"/><Relationship Id="rId1084" Type="http://schemas.openxmlformats.org/officeDocument/2006/relationships/hyperlink" Target="https://themanifest.com/au/programmatic/agencies/sydney" TargetMode="External"/><Relationship Id="rId131" Type="http://schemas.openxmlformats.org/officeDocument/2006/relationships/hyperlink" Target="https://noirandblanco.com/best-digital-marketing-agencies-in-australia/" TargetMode="External"/><Relationship Id="rId1085" Type="http://schemas.openxmlformats.org/officeDocument/2006/relationships/hyperlink" Target="http://themanifest.com" TargetMode="External"/><Relationship Id="rId130" Type="http://schemas.openxmlformats.org/officeDocument/2006/relationships/hyperlink" Target="http://clutch.co" TargetMode="External"/><Relationship Id="rId1086" Type="http://schemas.openxmlformats.org/officeDocument/2006/relationships/hyperlink" Target="https://themanifest.com/au/social-media/linkedin/agencies" TargetMode="External"/><Relationship Id="rId1087" Type="http://schemas.openxmlformats.org/officeDocument/2006/relationships/hyperlink" Target="http://themanifest.com" TargetMode="External"/><Relationship Id="rId136" Type="http://schemas.openxmlformats.org/officeDocument/2006/relationships/hyperlink" Target="http://caribbeannationalweekly.com" TargetMode="External"/><Relationship Id="rId1088" Type="http://schemas.openxmlformats.org/officeDocument/2006/relationships/hyperlink" Target="https://themanifest.com/au/social-media/tiktok/agencies/sydney" TargetMode="External"/><Relationship Id="rId135" Type="http://schemas.openxmlformats.org/officeDocument/2006/relationships/hyperlink" Target="https://www.caribbeannationalweekly.com/posts/top-generative-engine-optimisation-geo-agencies-for-australian-brands" TargetMode="External"/><Relationship Id="rId1089" Type="http://schemas.openxmlformats.org/officeDocument/2006/relationships/hyperlink" Target="http://themanifest.com" TargetMode="External"/><Relationship Id="rId134" Type="http://schemas.openxmlformats.org/officeDocument/2006/relationships/hyperlink" Target="http://tdsaustralia.com.au" TargetMode="External"/><Relationship Id="rId133" Type="http://schemas.openxmlformats.org/officeDocument/2006/relationships/hyperlink" Target="https://tdsaustralia.com.au/best-brand-design-agency-australia/?srsltid=AfmBOoqgyBP8Mx3xalA9482IFmPBsWmB_7IcuOz2wt01IXzLQd8IhP8w" TargetMode="External"/><Relationship Id="rId172" Type="http://schemas.openxmlformats.org/officeDocument/2006/relationships/hyperlink" Target="http://mentionfirst.ai" TargetMode="External"/><Relationship Id="rId171" Type="http://schemas.openxmlformats.org/officeDocument/2006/relationships/hyperlink" Target="https://mentionfirst.ai/best-ai-seo-agencies-in-australia-the-2026-rankings/" TargetMode="External"/><Relationship Id="rId170" Type="http://schemas.openxmlformats.org/officeDocument/2006/relationships/hyperlink" Target="http://designrush.com" TargetMode="External"/><Relationship Id="rId165" Type="http://schemas.openxmlformats.org/officeDocument/2006/relationships/hyperlink" Target="https://programminginsider.com/the-10-best-agencies-for-seo-and-geo-visibility-in-australia/" TargetMode="External"/><Relationship Id="rId164" Type="http://schemas.openxmlformats.org/officeDocument/2006/relationships/hyperlink" Target="http://semrush.com" TargetMode="External"/><Relationship Id="rId163" Type="http://schemas.openxmlformats.org/officeDocument/2006/relationships/hyperlink" Target="https://agencies.semrush.com/list/ai-optimization/australia/small-business/" TargetMode="External"/><Relationship Id="rId162" Type="http://schemas.openxmlformats.org/officeDocument/2006/relationships/hyperlink" Target="http://sortlist.com" TargetMode="External"/><Relationship Id="rId169" Type="http://schemas.openxmlformats.org/officeDocument/2006/relationships/hyperlink" Target="https://www.designrush.com/agency/ad-agencies/au" TargetMode="External"/><Relationship Id="rId168" Type="http://schemas.openxmlformats.org/officeDocument/2006/relationships/hyperlink" Target="http://sortlist.com" TargetMode="External"/><Relationship Id="rId167" Type="http://schemas.openxmlformats.org/officeDocument/2006/relationships/hyperlink" Target="https://www.sortlist.com/s/marketing-analytics/australia-au" TargetMode="External"/><Relationship Id="rId166" Type="http://schemas.openxmlformats.org/officeDocument/2006/relationships/hyperlink" Target="http://programminginsider.com" TargetMode="External"/><Relationship Id="rId161" Type="http://schemas.openxmlformats.org/officeDocument/2006/relationships/hyperlink" Target="https://www.sortlist.com/s/performance-marketing/melbourne-au" TargetMode="External"/><Relationship Id="rId160" Type="http://schemas.openxmlformats.org/officeDocument/2006/relationships/hyperlink" Target="http://sortlist.com" TargetMode="External"/><Relationship Id="rId159" Type="http://schemas.openxmlformats.org/officeDocument/2006/relationships/hyperlink" Target="https://www.sortlist.com/s/creative/australia-au" TargetMode="External"/><Relationship Id="rId154" Type="http://schemas.openxmlformats.org/officeDocument/2006/relationships/hyperlink" Target="http://cometly.com" TargetMode="External"/><Relationship Id="rId153" Type="http://schemas.openxmlformats.org/officeDocument/2006/relationships/hyperlink" Target="https://www.cometly.com/post/marketing-incrementality-testing-tools" TargetMode="External"/><Relationship Id="rId152" Type="http://schemas.openxmlformats.org/officeDocument/2006/relationships/hyperlink" Target="http://clutch.co" TargetMode="External"/><Relationship Id="rId151" Type="http://schemas.openxmlformats.org/officeDocument/2006/relationships/hyperlink" Target="https://clutch.co/au/agencies/social-media-marketing/facebook" TargetMode="External"/><Relationship Id="rId158" Type="http://schemas.openxmlformats.org/officeDocument/2006/relationships/hyperlink" Target="http://newsfromperth.com" TargetMode="External"/><Relationship Id="rId157" Type="http://schemas.openxmlformats.org/officeDocument/2006/relationships/hyperlink" Target="https://newsfromperth.com/business/our-top-7-ai-geo-generative-engine-optimisation-agencies-in-australia/" TargetMode="External"/><Relationship Id="rId156" Type="http://schemas.openxmlformats.org/officeDocument/2006/relationships/hyperlink" Target="http://mystrika.com" TargetMode="External"/><Relationship Id="rId155" Type="http://schemas.openxmlformats.org/officeDocument/2006/relationships/hyperlink" Target="https://mystrika.com/directory/agencies/top/data-analytics-in-country-australia" TargetMode="External"/><Relationship Id="rId509" Type="http://schemas.openxmlformats.org/officeDocument/2006/relationships/hyperlink" Target="https://www.bushnote.com/articles/leading-media-buying-agencies-australia" TargetMode="External"/><Relationship Id="rId508" Type="http://schemas.openxmlformats.org/officeDocument/2006/relationships/hyperlink" Target="http://bushnote.com" TargetMode="External"/><Relationship Id="rId503" Type="http://schemas.openxmlformats.org/officeDocument/2006/relationships/hyperlink" Target="https://apacsearchawards.com/2025/07/07/top-20-award-winning-apac-marketing-agencies/" TargetMode="External"/><Relationship Id="rId987" Type="http://schemas.openxmlformats.org/officeDocument/2006/relationships/hyperlink" Target="https://megaphone.com.au/27-best-apps-for-marketing/" TargetMode="External"/><Relationship Id="rId502" Type="http://schemas.openxmlformats.org/officeDocument/2006/relationships/hyperlink" Target="http://semrush.com" TargetMode="External"/><Relationship Id="rId986" Type="http://schemas.openxmlformats.org/officeDocument/2006/relationships/hyperlink" Target="http://mediaplusdigital.co" TargetMode="External"/><Relationship Id="rId501" Type="http://schemas.openxmlformats.org/officeDocument/2006/relationships/hyperlink" Target="https://agencies.semrush.com/list/ppc/australia/" TargetMode="External"/><Relationship Id="rId985" Type="http://schemas.openxmlformats.org/officeDocument/2006/relationships/hyperlink" Target="https://mediaplusdigital.co/au/digital-marketing-agencies-in-australia/" TargetMode="External"/><Relationship Id="rId500" Type="http://schemas.openxmlformats.org/officeDocument/2006/relationships/hyperlink" Target="http://semrush.com" TargetMode="External"/><Relationship Id="rId984" Type="http://schemas.openxmlformats.org/officeDocument/2006/relationships/hyperlink" Target="http://mediaplusdigital.co" TargetMode="External"/><Relationship Id="rId507" Type="http://schemas.openxmlformats.org/officeDocument/2006/relationships/hyperlink" Target="https://www.bushnote.com/articles/best-digital-marketing-agencies-australia-2025" TargetMode="External"/><Relationship Id="rId506" Type="http://schemas.openxmlformats.org/officeDocument/2006/relationships/hyperlink" Target="http://builtinmelbourne.com" TargetMode="External"/><Relationship Id="rId505" Type="http://schemas.openxmlformats.org/officeDocument/2006/relationships/hyperlink" Target="https://builtinmelbourne.com/articles/digital-marketing-companies-melbourne" TargetMode="External"/><Relationship Id="rId989" Type="http://schemas.openxmlformats.org/officeDocument/2006/relationships/hyperlink" Target="https://mentionfirst.ai/what-are-the-best-ai-seo-companies-in-australia-and-how-to-choose-one/" TargetMode="External"/><Relationship Id="rId504" Type="http://schemas.openxmlformats.org/officeDocument/2006/relationships/hyperlink" Target="http://apacsearchawards.com" TargetMode="External"/><Relationship Id="rId988" Type="http://schemas.openxmlformats.org/officeDocument/2006/relationships/hyperlink" Target="http://megaphone.com.au" TargetMode="External"/><Relationship Id="rId983" Type="http://schemas.openxmlformats.org/officeDocument/2006/relationships/hyperlink" Target="https://mediaplusdigital.co/au/best-social-media-marketing-agencies-in-australia/" TargetMode="External"/><Relationship Id="rId982" Type="http://schemas.openxmlformats.org/officeDocument/2006/relationships/hyperlink" Target="http://mayple.com" TargetMode="External"/><Relationship Id="rId981" Type="http://schemas.openxmlformats.org/officeDocument/2006/relationships/hyperlink" Target="https://www.mayple.com/resources/paid-advertising/ppc-agencies-australia" TargetMode="External"/><Relationship Id="rId980" Type="http://schemas.openxmlformats.org/officeDocument/2006/relationships/hyperlink" Target="http://marketingcosmos.com" TargetMode="External"/><Relationship Id="rId976" Type="http://schemas.openxmlformats.org/officeDocument/2006/relationships/hyperlink" Target="http://marketingattributionsoftware.com" TargetMode="External"/><Relationship Id="rId975" Type="http://schemas.openxmlformats.org/officeDocument/2006/relationships/hyperlink" Target="https://www.marketingattributionsoftware.com/" TargetMode="External"/><Relationship Id="rId974" Type="http://schemas.openxmlformats.org/officeDocument/2006/relationships/hyperlink" Target="http://lightningventures.com.au" TargetMode="External"/><Relationship Id="rId973" Type="http://schemas.openxmlformats.org/officeDocument/2006/relationships/hyperlink" Target="https://www.lightningventures.com.au/ai-agency/sydney/" TargetMode="External"/><Relationship Id="rId979" Type="http://schemas.openxmlformats.org/officeDocument/2006/relationships/hyperlink" Target="https://marketingcosmos.com/agencies/display-ads/perth" TargetMode="External"/><Relationship Id="rId978" Type="http://schemas.openxmlformats.org/officeDocument/2006/relationships/hyperlink" Target="http://marketingcosmos.com" TargetMode="External"/><Relationship Id="rId977" Type="http://schemas.openxmlformats.org/officeDocument/2006/relationships/hyperlink" Target="https://marketingcosmos.com/agencies/data-analytics/sydney" TargetMode="External"/><Relationship Id="rId972" Type="http://schemas.openxmlformats.org/officeDocument/2006/relationships/hyperlink" Target="http://lengreo.com" TargetMode="External"/><Relationship Id="rId971" Type="http://schemas.openxmlformats.org/officeDocument/2006/relationships/hyperlink" Target="https://lengreo.com/australia-melbourne-aeo-geo-llmo-companies/" TargetMode="External"/><Relationship Id="rId970" Type="http://schemas.openxmlformats.org/officeDocument/2006/relationships/hyperlink" Target="http://lengreo.com" TargetMode="External"/><Relationship Id="rId1114" Type="http://schemas.openxmlformats.org/officeDocument/2006/relationships/hyperlink" Target="https://www.wpp.com/en/news/wpp-agencies-triumph-at-cannes-lions-2026-with-ogilvy-and-vml-claiming-the-top-two-creative-network-honours" TargetMode="External"/><Relationship Id="rId1115" Type="http://schemas.openxmlformats.org/officeDocument/2006/relationships/hyperlink" Target="http://wpp.com" TargetMode="External"/><Relationship Id="rId1116" Type="http://schemas.openxmlformats.org/officeDocument/2006/relationships/hyperlink" Target="https://www.youtube.com/watch?v=IxHlhnkaTC4&amp;t=408" TargetMode="External"/><Relationship Id="rId1117" Type="http://schemas.openxmlformats.org/officeDocument/2006/relationships/hyperlink" Target="http://youtube.com" TargetMode="External"/><Relationship Id="rId1118" Type="http://schemas.openxmlformats.org/officeDocument/2006/relationships/hyperlink" Target="https://www.youtube.com/watch?v=OJN95taKMwo" TargetMode="External"/><Relationship Id="rId1119" Type="http://schemas.openxmlformats.org/officeDocument/2006/relationships/hyperlink" Target="http://youtube.com" TargetMode="External"/><Relationship Id="rId525" Type="http://schemas.openxmlformats.org/officeDocument/2006/relationships/hyperlink" Target="https://www.digitalreference.co/insights/marketing-professionals/best-digital-marketing-agencies-companies-in-australia" TargetMode="External"/><Relationship Id="rId524" Type="http://schemas.openxmlformats.org/officeDocument/2006/relationships/hyperlink" Target="http://dejanmarketing.com" TargetMode="External"/><Relationship Id="rId523" Type="http://schemas.openxmlformats.org/officeDocument/2006/relationships/hyperlink" Target="https://dejanmarketing.com/best-ai-seo-agencies/" TargetMode="External"/><Relationship Id="rId522" Type="http://schemas.openxmlformats.org/officeDocument/2006/relationships/hyperlink" Target="http://conquerradigital.com.au" TargetMode="External"/><Relationship Id="rId529" Type="http://schemas.openxmlformats.org/officeDocument/2006/relationships/hyperlink" Target="https://ensun.io/search/ai-marketing/australia" TargetMode="External"/><Relationship Id="rId528" Type="http://schemas.openxmlformats.org/officeDocument/2006/relationships/hyperlink" Target="http://edisonai.au" TargetMode="External"/><Relationship Id="rId527" Type="http://schemas.openxmlformats.org/officeDocument/2006/relationships/hyperlink" Target="https://edisonai.au/insights/best-ai-consultants-for-small-business-australia" TargetMode="External"/><Relationship Id="rId526" Type="http://schemas.openxmlformats.org/officeDocument/2006/relationships/hyperlink" Target="http://digitalreference.co" TargetMode="External"/><Relationship Id="rId521" Type="http://schemas.openxmlformats.org/officeDocument/2006/relationships/hyperlink" Target="https://conquerradigital.com.au/top-10-programmatic-ads-agencies-in-brisbane/" TargetMode="External"/><Relationship Id="rId1110" Type="http://schemas.openxmlformats.org/officeDocument/2006/relationships/hyperlink" Target="https://www.wpp.com/en/news/2025/03/wpp-claims-top-honours-on-the-warc-creative-100" TargetMode="External"/><Relationship Id="rId520" Type="http://schemas.openxmlformats.org/officeDocument/2006/relationships/hyperlink" Target="http://clutch.co" TargetMode="External"/><Relationship Id="rId1111" Type="http://schemas.openxmlformats.org/officeDocument/2006/relationships/hyperlink" Target="http://wpp.com" TargetMode="External"/><Relationship Id="rId1112" Type="http://schemas.openxmlformats.org/officeDocument/2006/relationships/hyperlink" Target="https://www.wpp.com/en/news/2026/03/wpp-claims-top-spot-on-warc-creative-100-for-fourth-consecutive-year" TargetMode="External"/><Relationship Id="rId1113" Type="http://schemas.openxmlformats.org/officeDocument/2006/relationships/hyperlink" Target="http://wpp.com" TargetMode="External"/><Relationship Id="rId1103" Type="http://schemas.openxmlformats.org/officeDocument/2006/relationships/hyperlink" Target="http://webtonic.io" TargetMode="External"/><Relationship Id="rId1104" Type="http://schemas.openxmlformats.org/officeDocument/2006/relationships/hyperlink" Target="https://www.webtonic.io/blog/top-paid-media-agencies" TargetMode="External"/><Relationship Id="rId1105" Type="http://schemas.openxmlformats.org/officeDocument/2006/relationships/hyperlink" Target="http://webtonic.io" TargetMode="External"/><Relationship Id="rId1106" Type="http://schemas.openxmlformats.org/officeDocument/2006/relationships/hyperlink" Target="https://wmegroup.com.au/blog/best-seo-agencies-australia/" TargetMode="External"/><Relationship Id="rId1107" Type="http://schemas.openxmlformats.org/officeDocument/2006/relationships/hyperlink" Target="http://wmegroup.com.au" TargetMode="External"/><Relationship Id="rId1108" Type="http://schemas.openxmlformats.org/officeDocument/2006/relationships/hyperlink" Target="https://www.wmtips.com/technologies/marketing-attribution/" TargetMode="External"/><Relationship Id="rId1109" Type="http://schemas.openxmlformats.org/officeDocument/2006/relationships/hyperlink" Target="http://wmtips.com" TargetMode="External"/><Relationship Id="rId519" Type="http://schemas.openxmlformats.org/officeDocument/2006/relationships/hyperlink" Target="https://clutch.co/au/agencies/ppc/sydney" TargetMode="External"/><Relationship Id="rId514" Type="http://schemas.openxmlformats.org/officeDocument/2006/relationships/hyperlink" Target="http://clutch.co" TargetMode="External"/><Relationship Id="rId998" Type="http://schemas.openxmlformats.org/officeDocument/2006/relationships/hyperlink" Target="https://www.optimising.com.au/blog/5-best-seo-agencies-in-sydney" TargetMode="External"/><Relationship Id="rId513" Type="http://schemas.openxmlformats.org/officeDocument/2006/relationships/hyperlink" Target="https://clutch.co/au/agencies/business-services-industry" TargetMode="External"/><Relationship Id="rId997" Type="http://schemas.openxmlformats.org/officeDocument/2006/relationships/hyperlink" Target="http://nutshell.com" TargetMode="External"/><Relationship Id="rId512" Type="http://schemas.openxmlformats.org/officeDocument/2006/relationships/hyperlink" Target="http://businessinfopro.com" TargetMode="External"/><Relationship Id="rId996" Type="http://schemas.openxmlformats.org/officeDocument/2006/relationships/hyperlink" Target="https://www.nutshell.com/blog/top-geo-agencies" TargetMode="External"/><Relationship Id="rId511" Type="http://schemas.openxmlformats.org/officeDocument/2006/relationships/hyperlink" Target="https://businessinfopro.com/blogs/information-technology-blog/top-ai-development-consulting-firms-in-australia/" TargetMode="External"/><Relationship Id="rId995" Type="http://schemas.openxmlformats.org/officeDocument/2006/relationships/hyperlink" Target="http://noirandblanco.com" TargetMode="External"/><Relationship Id="rId518" Type="http://schemas.openxmlformats.org/officeDocument/2006/relationships/hyperlink" Target="http://clutch.co" TargetMode="External"/><Relationship Id="rId517" Type="http://schemas.openxmlformats.org/officeDocument/2006/relationships/hyperlink" Target="https://clutch.co/au/agencies/ppc%3Fpage%3D2" TargetMode="External"/><Relationship Id="rId516" Type="http://schemas.openxmlformats.org/officeDocument/2006/relationships/hyperlink" Target="http://clutch.co" TargetMode="External"/><Relationship Id="rId515" Type="http://schemas.openxmlformats.org/officeDocument/2006/relationships/hyperlink" Target="https://clutch.co/au/agencies/melbourne" TargetMode="External"/><Relationship Id="rId999" Type="http://schemas.openxmlformats.org/officeDocument/2006/relationships/hyperlink" Target="http://optimising.com.au" TargetMode="External"/><Relationship Id="rId990" Type="http://schemas.openxmlformats.org/officeDocument/2006/relationships/hyperlink" Target="http://mentionfirst.ai" TargetMode="External"/><Relationship Id="rId510" Type="http://schemas.openxmlformats.org/officeDocument/2006/relationships/hyperlink" Target="http://bushnote.com" TargetMode="External"/><Relationship Id="rId994" Type="http://schemas.openxmlformats.org/officeDocument/2006/relationships/hyperlink" Target="https://noirandblanco.com/best-digital-marketing-agencies-in-melbourne/" TargetMode="External"/><Relationship Id="rId993" Type="http://schemas.openxmlformats.org/officeDocument/2006/relationships/hyperlink" Target="https://www.munro.agency/insights/top-marketing-companies-in-the-world/" TargetMode="External"/><Relationship Id="rId1100" Type="http://schemas.openxmlformats.org/officeDocument/2006/relationships/hyperlink" Target="https://virtualadagency.com.au/companies-for-social-media-marketing/" TargetMode="External"/><Relationship Id="rId992" Type="http://schemas.openxmlformats.org/officeDocument/2006/relationships/hyperlink" Target="http://mida.so" TargetMode="External"/><Relationship Id="rId1101" Type="http://schemas.openxmlformats.org/officeDocument/2006/relationships/hyperlink" Target="http://virtualadagency.com.au" TargetMode="External"/><Relationship Id="rId991" Type="http://schemas.openxmlformats.org/officeDocument/2006/relationships/hyperlink" Target="https://www.mida.so/cro-agency/country/australia" TargetMode="External"/><Relationship Id="rId1102" Type="http://schemas.openxmlformats.org/officeDocument/2006/relationships/hyperlink" Target="https://www.webtonic.io/blog/best-performance-marketing-agencies-2026" TargetMode="External"/><Relationship Id="rId949" Type="http://schemas.openxmlformats.org/officeDocument/2006/relationships/hyperlink" Target="https://www.i4s.au/best-ppc-agency-in-2025/" TargetMode="External"/><Relationship Id="rId948" Type="http://schemas.openxmlformats.org/officeDocument/2006/relationships/hyperlink" Target="http://homerdigitalmarketing.com" TargetMode="External"/><Relationship Id="rId943" Type="http://schemas.openxmlformats.org/officeDocument/2006/relationships/hyperlink" Target="https://www.hirewithnear.com/blog/graphic-designer-recruitment-agencies" TargetMode="External"/><Relationship Id="rId942" Type="http://schemas.openxmlformats.org/officeDocument/2006/relationships/hyperlink" Target="http://hikemytraffic.com" TargetMode="External"/><Relationship Id="rId941" Type="http://schemas.openxmlformats.org/officeDocument/2006/relationships/hyperlink" Target="https://hikemytraffic.com/ai-digital-marketing-companies-in-australia/" TargetMode="External"/><Relationship Id="rId940" Type="http://schemas.openxmlformats.org/officeDocument/2006/relationships/hyperlink" Target="http://growth-hackers.net" TargetMode="External"/><Relationship Id="rId947" Type="http://schemas.openxmlformats.org/officeDocument/2006/relationships/hyperlink" Target="https://homerdigitalmarketing.com/lead-gen-agency/" TargetMode="External"/><Relationship Id="rId946" Type="http://schemas.openxmlformats.org/officeDocument/2006/relationships/hyperlink" Target="http://homerdigitalmarketing.com" TargetMode="External"/><Relationship Id="rId945" Type="http://schemas.openxmlformats.org/officeDocument/2006/relationships/hyperlink" Target="https://homerdigitalmarketing.com/instagram-ads-agency/" TargetMode="External"/><Relationship Id="rId944" Type="http://schemas.openxmlformats.org/officeDocument/2006/relationships/hyperlink" Target="http://hirewithnear.com" TargetMode="External"/><Relationship Id="rId939" Type="http://schemas.openxmlformats.org/officeDocument/2006/relationships/hyperlink" Target="https://www.growth-hackers.net/best-analytics-marketing-agencies/" TargetMode="External"/><Relationship Id="rId938" Type="http://schemas.openxmlformats.org/officeDocument/2006/relationships/hyperlink" Target="http://goodfirms.co" TargetMode="External"/><Relationship Id="rId937" Type="http://schemas.openxmlformats.org/officeDocument/2006/relationships/hyperlink" Target="https://www.goodfirms.co/directory/city/top-digital-marketing-companies/media-planning-buying/sydney" TargetMode="External"/><Relationship Id="rId932" Type="http://schemas.openxmlformats.org/officeDocument/2006/relationships/hyperlink" Target="http://goodfirms.co" TargetMode="External"/><Relationship Id="rId931" Type="http://schemas.openxmlformats.org/officeDocument/2006/relationships/hyperlink" Target="https://www.goodfirms.co/artificial-intelligence/ai-consulting" TargetMode="External"/><Relationship Id="rId930" Type="http://schemas.openxmlformats.org/officeDocument/2006/relationships/hyperlink" Target="http://goodfirms.co" TargetMode="External"/><Relationship Id="rId936" Type="http://schemas.openxmlformats.org/officeDocument/2006/relationships/hyperlink" Target="http://goodfirms.co" TargetMode="External"/><Relationship Id="rId935" Type="http://schemas.openxmlformats.org/officeDocument/2006/relationships/hyperlink" Target="https://www.goodfirms.co/directory/city/top-digital-marketing-companies/advertising-ppc/brisbane" TargetMode="External"/><Relationship Id="rId934" Type="http://schemas.openxmlformats.org/officeDocument/2006/relationships/hyperlink" Target="http://goodfirms.co" TargetMode="External"/><Relationship Id="rId933" Type="http://schemas.openxmlformats.org/officeDocument/2006/relationships/hyperlink" Target="https://www.goodfirms.co/artificial-intelligence/sydney" TargetMode="External"/><Relationship Id="rId965" Type="http://schemas.openxmlformats.org/officeDocument/2006/relationships/hyperlink" Target="https://kamexa.ai/top-5-ai-agencies-in-queensland-2025-kamexa-leads-brisbane-gold-coast/" TargetMode="External"/><Relationship Id="rId964" Type="http://schemas.openxmlformats.org/officeDocument/2006/relationships/hyperlink" Target="http://invademarketing.com" TargetMode="External"/><Relationship Id="rId963" Type="http://schemas.openxmlformats.org/officeDocument/2006/relationships/hyperlink" Target="https://invademarketing.com/top-rated-digital-marketing-agencies-australia/" TargetMode="External"/><Relationship Id="rId962" Type="http://schemas.openxmlformats.org/officeDocument/2006/relationships/hyperlink" Target="http://interteammarketing.com" TargetMode="External"/><Relationship Id="rId969" Type="http://schemas.openxmlformats.org/officeDocument/2006/relationships/hyperlink" Target="https://lengreo.com/australia-adelaide-aeo-geo-llmo-companies/" TargetMode="External"/><Relationship Id="rId968" Type="http://schemas.openxmlformats.org/officeDocument/2006/relationships/hyperlink" Target="http://kersai.com" TargetMode="External"/><Relationship Id="rId967" Type="http://schemas.openxmlformats.org/officeDocument/2006/relationships/hyperlink" Target="https://kersai.com/best-ai-companies-in-australia-for-business-transformation/" TargetMode="External"/><Relationship Id="rId966" Type="http://schemas.openxmlformats.org/officeDocument/2006/relationships/hyperlink" Target="http://kamexa.ai" TargetMode="External"/><Relationship Id="rId961" Type="http://schemas.openxmlformats.org/officeDocument/2006/relationships/hyperlink" Target="https://www.interteammarketing.com/blog/best-b2b-ppc-agencies" TargetMode="External"/><Relationship Id="rId960" Type="http://schemas.openxmlformats.org/officeDocument/2006/relationships/hyperlink" Target="http://intelligentresourcing.co" TargetMode="External"/><Relationship Id="rId959" Type="http://schemas.openxmlformats.org/officeDocument/2006/relationships/hyperlink" Target="https://intelligentresourcing.co/blogs/top-gtm-engineering-agencies-australia" TargetMode="External"/><Relationship Id="rId954" Type="http://schemas.openxmlformats.org/officeDocument/2006/relationships/hyperlink" Target="http://improvado.io" TargetMode="External"/><Relationship Id="rId953" Type="http://schemas.openxmlformats.org/officeDocument/2006/relationships/hyperlink" Target="https://improvado.io/blog/multi-touch-attribution-solutions" TargetMode="External"/><Relationship Id="rId952" Type="http://schemas.openxmlformats.org/officeDocument/2006/relationships/hyperlink" Target="http://ichelonconsulting.com" TargetMode="External"/><Relationship Id="rId951" Type="http://schemas.openxmlformats.org/officeDocument/2006/relationships/hyperlink" Target="https://ichelonconsulting.com/aeo-agency-australia" TargetMode="External"/><Relationship Id="rId958" Type="http://schemas.openxmlformats.org/officeDocument/2006/relationships/hyperlink" Target="http://influencermarketinghub.com" TargetMode="External"/><Relationship Id="rId957" Type="http://schemas.openxmlformats.org/officeDocument/2006/relationships/hyperlink" Target="https://influencermarketinghub.com/digital-marketing-agency-australia/" TargetMode="External"/><Relationship Id="rId956" Type="http://schemas.openxmlformats.org/officeDocument/2006/relationships/hyperlink" Target="http://influencer-hero.com" TargetMode="External"/><Relationship Id="rId955" Type="http://schemas.openxmlformats.org/officeDocument/2006/relationships/hyperlink" Target="https://www.influencer-hero.com/agencies/best-influencer-marketing-agencies-australia" TargetMode="External"/><Relationship Id="rId950" Type="http://schemas.openxmlformats.org/officeDocument/2006/relationships/hyperlink" Target="http://i4s.au" TargetMode="External"/><Relationship Id="rId590" Type="http://schemas.openxmlformats.org/officeDocument/2006/relationships/hyperlink" Target="http://enterprisemonkey.com.au" TargetMode="External"/><Relationship Id="rId107" Type="http://schemas.openxmlformats.org/officeDocument/2006/relationships/hyperlink" Target="http://undivided.com.au" TargetMode="External"/><Relationship Id="rId106" Type="http://schemas.openxmlformats.org/officeDocument/2006/relationships/hyperlink" Target="https://www.undivided.com.au/blog/top-5-digital-agencies-in-australia" TargetMode="External"/><Relationship Id="rId105" Type="http://schemas.openxmlformats.org/officeDocument/2006/relationships/hyperlink" Target="http://goodfirms.co" TargetMode="External"/><Relationship Id="rId589" Type="http://schemas.openxmlformats.org/officeDocument/2006/relationships/hyperlink" Target="https://enterprisemonkey.com.au/top-10-ai-consulting-firms-melbourne-2026-complete-guide/" TargetMode="External"/><Relationship Id="rId104" Type="http://schemas.openxmlformats.org/officeDocument/2006/relationships/hyperlink" Target="https://www.goodfirms.co/advertising-companies/creative/australia" TargetMode="External"/><Relationship Id="rId588" Type="http://schemas.openxmlformats.org/officeDocument/2006/relationships/hyperlink" Target="http://ensun.io" TargetMode="External"/><Relationship Id="rId109" Type="http://schemas.openxmlformats.org/officeDocument/2006/relationships/hyperlink" Target="http://bbe.io" TargetMode="External"/><Relationship Id="rId108" Type="http://schemas.openxmlformats.org/officeDocument/2006/relationships/hyperlink" Target="https://www.bbe.io/best-advertising-agencies-2026-melbourne-sydney-brisbane" TargetMode="External"/><Relationship Id="rId583" Type="http://schemas.openxmlformats.org/officeDocument/2006/relationships/hyperlink" Target="https://digitalagencynetwork.com/agencies/australia/industry/it-technology/" TargetMode="External"/><Relationship Id="rId582" Type="http://schemas.openxmlformats.org/officeDocument/2006/relationships/hyperlink" Target="http://designrush.com" TargetMode="External"/><Relationship Id="rId581" Type="http://schemas.openxmlformats.org/officeDocument/2006/relationships/hyperlink" Target="https://www.designrush.com/agency/paid-media-pay-per-click/au/melbourne" TargetMode="External"/><Relationship Id="rId580" Type="http://schemas.openxmlformats.org/officeDocument/2006/relationships/hyperlink" Target="http://designrush.com" TargetMode="External"/><Relationship Id="rId103" Type="http://schemas.openxmlformats.org/officeDocument/2006/relationships/hyperlink" Target="http://digitalagencynetwork.com" TargetMode="External"/><Relationship Id="rId587" Type="http://schemas.openxmlformats.org/officeDocument/2006/relationships/hyperlink" Target="https://ensun.io/search/geospatial-gis/australia" TargetMode="External"/><Relationship Id="rId102" Type="http://schemas.openxmlformats.org/officeDocument/2006/relationships/hyperlink" Target="https://digitalagencynetwork.com/agencies/australia/creative/" TargetMode="External"/><Relationship Id="rId586" Type="http://schemas.openxmlformats.org/officeDocument/2006/relationships/hyperlink" Target="http://edisonai.au" TargetMode="External"/><Relationship Id="rId101" Type="http://schemas.openxmlformats.org/officeDocument/2006/relationships/hyperlink" Target="http://clutch.co" TargetMode="External"/><Relationship Id="rId585" Type="http://schemas.openxmlformats.org/officeDocument/2006/relationships/hyperlink" Target="https://edisonai.au/insights/top-ai-agencies-in-australia" TargetMode="External"/><Relationship Id="rId100" Type="http://schemas.openxmlformats.org/officeDocument/2006/relationships/hyperlink" Target="https://clutch.co/au/consulting/ai" TargetMode="External"/><Relationship Id="rId584" Type="http://schemas.openxmlformats.org/officeDocument/2006/relationships/hyperlink" Target="http://digitalagencynetwork.com" TargetMode="External"/><Relationship Id="rId579" Type="http://schemas.openxmlformats.org/officeDocument/2006/relationships/hyperlink" Target="https://www.designrush.com/agency/digital-agencies/au" TargetMode="External"/><Relationship Id="rId578" Type="http://schemas.openxmlformats.org/officeDocument/2006/relationships/hyperlink" Target="http://clutch.co" TargetMode="External"/><Relationship Id="rId577" Type="http://schemas.openxmlformats.org/officeDocument/2006/relationships/hyperlink" Target="https://clutch.co/au/agencies/social-media-marketing/tik-tok" TargetMode="External"/><Relationship Id="rId572" Type="http://schemas.openxmlformats.org/officeDocument/2006/relationships/hyperlink" Target="http://bushnote.com" TargetMode="External"/><Relationship Id="rId571" Type="http://schemas.openxmlformats.org/officeDocument/2006/relationships/hyperlink" Target="https://www.bushnote.com/articles/best-digital-marketing-agency-australia-2025" TargetMode="External"/><Relationship Id="rId570" Type="http://schemas.openxmlformats.org/officeDocument/2006/relationships/hyperlink" Target="http://aivy.com.au" TargetMode="External"/><Relationship Id="rId576" Type="http://schemas.openxmlformats.org/officeDocument/2006/relationships/hyperlink" Target="http://clickclickbangbang.com.au" TargetMode="External"/><Relationship Id="rId575" Type="http://schemas.openxmlformats.org/officeDocument/2006/relationships/hyperlink" Target="https://clickclickbangbang.com.au/ppc-management-companies/" TargetMode="External"/><Relationship Id="rId574" Type="http://schemas.openxmlformats.org/officeDocument/2006/relationships/hyperlink" Target="http://clickclickbangbang.com.au" TargetMode="External"/><Relationship Id="rId573" Type="http://schemas.openxmlformats.org/officeDocument/2006/relationships/hyperlink" Target="https://clickclickbangbang.com.au/best-facebook-ads-agency/" TargetMode="External"/><Relationship Id="rId129" Type="http://schemas.openxmlformats.org/officeDocument/2006/relationships/hyperlink" Target="https://clutch.co/au/agencies/ppc/advertising-industry" TargetMode="External"/><Relationship Id="rId128" Type="http://schemas.openxmlformats.org/officeDocument/2006/relationships/hyperlink" Target="http://clickclickbangbang.com.au" TargetMode="External"/><Relationship Id="rId127" Type="http://schemas.openxmlformats.org/officeDocument/2006/relationships/hyperlink" Target="https://clickclickbangbang.com.au/google-display-advertising-companies/" TargetMode="External"/><Relationship Id="rId126" Type="http://schemas.openxmlformats.org/officeDocument/2006/relationships/hyperlink" Target="http://metapress.com" TargetMode="External"/><Relationship Id="rId121" Type="http://schemas.openxmlformats.org/officeDocument/2006/relationships/hyperlink" Target="https://digitalagencynetwork.com/agencies/sydney/geo/" TargetMode="External"/><Relationship Id="rId120" Type="http://schemas.openxmlformats.org/officeDocument/2006/relationships/hyperlink" Target="http://digitalagencynetwork.com" TargetMode="External"/><Relationship Id="rId125" Type="http://schemas.openxmlformats.org/officeDocument/2006/relationships/hyperlink" Target="https://metapress.com/the-6-best-australian-agencies-for-navigating-the-ai-search-era/" TargetMode="External"/><Relationship Id="rId124" Type="http://schemas.openxmlformats.org/officeDocument/2006/relationships/hyperlink" Target="http://inbeat.co" TargetMode="External"/><Relationship Id="rId123" Type="http://schemas.openxmlformats.org/officeDocument/2006/relationships/hyperlink" Target="https://www.inbeat.co/articles/top-marketing-agencies-australia/" TargetMode="External"/><Relationship Id="rId122" Type="http://schemas.openxmlformats.org/officeDocument/2006/relationships/hyperlink" Target="http://digitalagencynetwork.com" TargetMode="External"/><Relationship Id="rId118" Type="http://schemas.openxmlformats.org/officeDocument/2006/relationships/hyperlink" Target="http://clutch.co" TargetMode="External"/><Relationship Id="rId117" Type="http://schemas.openxmlformats.org/officeDocument/2006/relationships/hyperlink" Target="https://clutch.co/au/agencies/media-buying" TargetMode="External"/><Relationship Id="rId116" Type="http://schemas.openxmlformats.org/officeDocument/2006/relationships/hyperlink" Target="http://triplewhale.com" TargetMode="External"/><Relationship Id="rId115" Type="http://schemas.openxmlformats.org/officeDocument/2006/relationships/hyperlink" Target="https://www.triplewhale.com/blog/best-incrementality-testing-tools" TargetMode="External"/><Relationship Id="rId599" Type="http://schemas.openxmlformats.org/officeDocument/2006/relationships/hyperlink" Target="https://www.havstrategy.com/best-performance-marketing-agency-in-australia/" TargetMode="External"/><Relationship Id="rId119" Type="http://schemas.openxmlformats.org/officeDocument/2006/relationships/hyperlink" Target="https://digitalagencynetwork.com/agencies/australia/social-media-marketing/" TargetMode="External"/><Relationship Id="rId110" Type="http://schemas.openxmlformats.org/officeDocument/2006/relationships/hyperlink" Target="https://www.bushnote.com/articles/best-ai-search-agency-australia" TargetMode="External"/><Relationship Id="rId594" Type="http://schemas.openxmlformats.org/officeDocument/2006/relationships/hyperlink" Target="http://goodfirms.co" TargetMode="External"/><Relationship Id="rId593" Type="http://schemas.openxmlformats.org/officeDocument/2006/relationships/hyperlink" Target="https://www.goodfirms.co/advertising-companies/sydney" TargetMode="External"/><Relationship Id="rId592" Type="http://schemas.openxmlformats.org/officeDocument/2006/relationships/hyperlink" Target="http://gaper.io" TargetMode="External"/><Relationship Id="rId591" Type="http://schemas.openxmlformats.org/officeDocument/2006/relationships/hyperlink" Target="https://gaper.io/best-aeo-agencies" TargetMode="External"/><Relationship Id="rId114" Type="http://schemas.openxmlformats.org/officeDocument/2006/relationships/hyperlink" Target="https://raw.studio/blog/top-10-creative-design-agencies-in-australia-in-2026/" TargetMode="External"/><Relationship Id="rId598" Type="http://schemas.openxmlformats.org/officeDocument/2006/relationships/hyperlink" Target="http://hashmeta.ai" TargetMode="External"/><Relationship Id="rId113" Type="http://schemas.openxmlformats.org/officeDocument/2006/relationships/hyperlink" Target="http://designrush.com" TargetMode="External"/><Relationship Id="rId597" Type="http://schemas.openxmlformats.org/officeDocument/2006/relationships/hyperlink" Target="https://www.hashmeta.ai/zh/blog/top-10-ai-agencies-in-australia-expert-guide-to-choosing-your-ai-marketing-partner" TargetMode="External"/><Relationship Id="rId112" Type="http://schemas.openxmlformats.org/officeDocument/2006/relationships/hyperlink" Target="https://www.designrush.com/agency/creative-agencies/au" TargetMode="External"/><Relationship Id="rId596" Type="http://schemas.openxmlformats.org/officeDocument/2006/relationships/hyperlink" Target="http://goodfirms.co" TargetMode="External"/><Relationship Id="rId111" Type="http://schemas.openxmlformats.org/officeDocument/2006/relationships/hyperlink" Target="http://bushnote.com" TargetMode="External"/><Relationship Id="rId595" Type="http://schemas.openxmlformats.org/officeDocument/2006/relationships/hyperlink" Target="https://www.goodfirms.co/directory/country/top-digital-marketing-companies/au?sort_by=matrix" TargetMode="External"/><Relationship Id="rId547" Type="http://schemas.openxmlformats.org/officeDocument/2006/relationships/hyperlink" Target="https://tdsaustralia.com.au/top-50-brand-design-agencies-australia/" TargetMode="External"/><Relationship Id="rId546" Type="http://schemas.openxmlformats.org/officeDocument/2006/relationships/hyperlink" Target="http://sortlist.com" TargetMode="External"/><Relationship Id="rId545" Type="http://schemas.openxmlformats.org/officeDocument/2006/relationships/hyperlink" Target="https://www.sortlist.com/s/display-advertising/brisbane-qld-au" TargetMode="External"/><Relationship Id="rId544" Type="http://schemas.openxmlformats.org/officeDocument/2006/relationships/hyperlink" Target="http://orm-tech.com" TargetMode="External"/><Relationship Id="rId549" Type="http://schemas.openxmlformats.org/officeDocument/2006/relationships/hyperlink" Target="https://theredrepublic.com/australias-top-10-best-ad-agencies-leading-creative-and-advertising/" TargetMode="External"/><Relationship Id="rId548" Type="http://schemas.openxmlformats.org/officeDocument/2006/relationships/hyperlink" Target="http://tdsaustralia.com.au" TargetMode="External"/><Relationship Id="rId543" Type="http://schemas.openxmlformats.org/officeDocument/2006/relationships/hyperlink" Target="https://orm-tech.com/blog/best-marketing-attribution-software/" TargetMode="External"/><Relationship Id="rId542" Type="http://schemas.openxmlformats.org/officeDocument/2006/relationships/hyperlink" Target="http://nogood.io" TargetMode="External"/><Relationship Id="rId541" Type="http://schemas.openxmlformats.org/officeDocument/2006/relationships/hyperlink" Target="https://nogood.io/blog/performance-marketing-agencies/" TargetMode="External"/><Relationship Id="rId540" Type="http://schemas.openxmlformats.org/officeDocument/2006/relationships/hyperlink" Target="http://lengreo.com" TargetMode="External"/><Relationship Id="rId536" Type="http://schemas.openxmlformats.org/officeDocument/2006/relationships/hyperlink" Target="http://leadsnow.ai" TargetMode="External"/><Relationship Id="rId535" Type="http://schemas.openxmlformats.org/officeDocument/2006/relationships/hyperlink" Target="https://leadsnow.ai/best-high-ticket-marketing-agencies-australia/" TargetMode="External"/><Relationship Id="rId534" Type="http://schemas.openxmlformats.org/officeDocument/2006/relationships/hyperlink" Target="http://goodfirms.co" TargetMode="External"/><Relationship Id="rId533" Type="http://schemas.openxmlformats.org/officeDocument/2006/relationships/hyperlink" Target="https://www.goodfirms.co/directory/country/top-digital-marketing-companies/media-planning-buying/australia" TargetMode="External"/><Relationship Id="rId539" Type="http://schemas.openxmlformats.org/officeDocument/2006/relationships/hyperlink" Target="https://lengreo.com/australia-brisbane-aeo-geo-llmo-companies/" TargetMode="External"/><Relationship Id="rId538" Type="http://schemas.openxmlformats.org/officeDocument/2006/relationships/hyperlink" Target="http://leadsrx.com" TargetMode="External"/><Relationship Id="rId537" Type="http://schemas.openxmlformats.org/officeDocument/2006/relationships/hyperlink" Target="https://leadsrx.com/resource/35-marketing-attribution-software-companies/" TargetMode="External"/><Relationship Id="rId1120" Type="http://schemas.openxmlformats.org/officeDocument/2006/relationships/hyperlink" Target="https://www.youtube.com/watch?v=fdPFLXFJlwo&amp;t=30" TargetMode="External"/><Relationship Id="rId532" Type="http://schemas.openxmlformats.org/officeDocument/2006/relationships/hyperlink" Target="http://goodfirms.co" TargetMode="External"/><Relationship Id="rId1121" Type="http://schemas.openxmlformats.org/officeDocument/2006/relationships/hyperlink" Target="http://youtube.com" TargetMode="External"/><Relationship Id="rId531" Type="http://schemas.openxmlformats.org/officeDocument/2006/relationships/hyperlink" Target="https://www.goodfirms.co/directory/city/top-digital-marketing-companies/media-planning-buying/melbourne" TargetMode="External"/><Relationship Id="rId1122" Type="http://schemas.openxmlformats.org/officeDocument/2006/relationships/drawing" Target="../drawings/drawing3.xml"/><Relationship Id="rId530" Type="http://schemas.openxmlformats.org/officeDocument/2006/relationships/hyperlink" Target="http://ensun.io" TargetMode="External"/><Relationship Id="rId569" Type="http://schemas.openxmlformats.org/officeDocument/2006/relationships/hyperlink" Target="https://aivy.com.au/resources/best-ai-search-engine-optimisation-tools-australia/" TargetMode="External"/><Relationship Id="rId568" Type="http://schemas.openxmlformats.org/officeDocument/2006/relationships/hyperlink" Target="http://aivy.com.au" TargetMode="External"/><Relationship Id="rId567" Type="http://schemas.openxmlformats.org/officeDocument/2006/relationships/hyperlink" Target="https://aivy.com.au/resources/best-ai-marketing-tools-australia/" TargetMode="External"/><Relationship Id="rId566" Type="http://schemas.openxmlformats.org/officeDocument/2006/relationships/hyperlink" Target="http://semrush.com" TargetMode="External"/><Relationship Id="rId561" Type="http://schemas.openxmlformats.org/officeDocument/2006/relationships/hyperlink" Target="https://agencies.semrush.com/list/display-advertising/australia/enterprise-business/" TargetMode="External"/><Relationship Id="rId560" Type="http://schemas.openxmlformats.org/officeDocument/2006/relationships/hyperlink" Target="http://semrush.com" TargetMode="External"/><Relationship Id="rId565" Type="http://schemas.openxmlformats.org/officeDocument/2006/relationships/hyperlink" Target="https://agencies.semrush.com/list/ppc/arts-entertainment/australia/" TargetMode="External"/><Relationship Id="rId564" Type="http://schemas.openxmlformats.org/officeDocument/2006/relationships/hyperlink" Target="http://semrush.com" TargetMode="External"/><Relationship Id="rId563" Type="http://schemas.openxmlformats.org/officeDocument/2006/relationships/hyperlink" Target="https://agencies.semrush.com/list/display-advertising/melbourne/" TargetMode="External"/><Relationship Id="rId562" Type="http://schemas.openxmlformats.org/officeDocument/2006/relationships/hyperlink" Target="http://semrush.com" TargetMode="External"/><Relationship Id="rId558" Type="http://schemas.openxmlformats.org/officeDocument/2006/relationships/hyperlink" Target="http://50pros.com" TargetMode="External"/><Relationship Id="rId557" Type="http://schemas.openxmlformats.org/officeDocument/2006/relationships/hyperlink" Target="https://www.50pros.com/hire/digital-marketing/marketing-attribution" TargetMode="External"/><Relationship Id="rId556" Type="http://schemas.openxmlformats.org/officeDocument/2006/relationships/hyperlink" Target="http://zyppy.com" TargetMode="External"/><Relationship Id="rId555" Type="http://schemas.openxmlformats.org/officeDocument/2006/relationships/hyperlink" Target="https://zyppy.com/companies/c/marketing-attribution/" TargetMode="External"/><Relationship Id="rId559" Type="http://schemas.openxmlformats.org/officeDocument/2006/relationships/hyperlink" Target="https://agencies.semrush.com/list/analytics-data-science/information-technology/australia/" TargetMode="External"/><Relationship Id="rId550" Type="http://schemas.openxmlformats.org/officeDocument/2006/relationships/hyperlink" Target="http://theredrepublic.com" TargetMode="External"/><Relationship Id="rId554" Type="http://schemas.openxmlformats.org/officeDocument/2006/relationships/hyperlink" Target="http://worldmetrics.org" TargetMode="External"/><Relationship Id="rId553" Type="http://schemas.openxmlformats.org/officeDocument/2006/relationships/hyperlink" Target="https://worldmetrics.org/service/melbourne-marketing/" TargetMode="External"/><Relationship Id="rId552" Type="http://schemas.openxmlformats.org/officeDocument/2006/relationships/hyperlink" Target="http://uprisedigital.com.au" TargetMode="External"/><Relationship Id="rId551" Type="http://schemas.openxmlformats.org/officeDocument/2006/relationships/hyperlink" Target="https://uprisedigital.com.au/blog/best-solar-marketing-agencies-in-australia/" TargetMode="External"/><Relationship Id="rId495" Type="http://schemas.openxmlformats.org/officeDocument/2006/relationships/hyperlink" Target="http://theardor.com.au" TargetMode="External"/><Relationship Id="rId494" Type="http://schemas.openxmlformats.org/officeDocument/2006/relationships/hyperlink" Target="https://www.theardor.com.au/google-ads-agencies-in-australia/" TargetMode="External"/><Relationship Id="rId493" Type="http://schemas.openxmlformats.org/officeDocument/2006/relationships/hyperlink" Target="http://techguide.com.au" TargetMode="External"/><Relationship Id="rId492" Type="http://schemas.openxmlformats.org/officeDocument/2006/relationships/hyperlink" Target="https://www.techguide.com.au/news/computers-news/the-best-ai-optimisation-agencies-in-australia/" TargetMode="External"/><Relationship Id="rId499" Type="http://schemas.openxmlformats.org/officeDocument/2006/relationships/hyperlink" Target="https://agencies.semrush.com/list/display-advertising/ecommerce/australia/" TargetMode="External"/><Relationship Id="rId498" Type="http://schemas.openxmlformats.org/officeDocument/2006/relationships/hyperlink" Target="http://vulbmedia.com" TargetMode="External"/><Relationship Id="rId497" Type="http://schemas.openxmlformats.org/officeDocument/2006/relationships/hyperlink" Target="https://vulbmedia.com/top-creative-agencies-in-sydney/" TargetMode="External"/><Relationship Id="rId496" Type="http://schemas.openxmlformats.org/officeDocument/2006/relationships/hyperlink" Target="https://townsquare.agency/news/ts-once-again-ranked-one-of-australias-best-creative-agencies/" TargetMode="External"/><Relationship Id="rId907" Type="http://schemas.openxmlformats.org/officeDocument/2006/relationships/hyperlink" Target="https://digitalmarketingsupermarket.com/blog/best-ai-marketing-agencies-2026/" TargetMode="External"/><Relationship Id="rId906" Type="http://schemas.openxmlformats.org/officeDocument/2006/relationships/hyperlink" Target="http://digitalmarketingsupermarket.com" TargetMode="External"/><Relationship Id="rId905" Type="http://schemas.openxmlformats.org/officeDocument/2006/relationships/hyperlink" Target="https://digitalmarketingsupermarket.com/blog/best-ai-marketing-agencies/" TargetMode="External"/><Relationship Id="rId904" Type="http://schemas.openxmlformats.org/officeDocument/2006/relationships/hyperlink" Target="http://digitaldigest.au" TargetMode="External"/><Relationship Id="rId909" Type="http://schemas.openxmlformats.org/officeDocument/2006/relationships/hyperlink" Target="https://digitalnomadshq.com.au/blog/best-graphic-design-companies/" TargetMode="External"/><Relationship Id="rId908" Type="http://schemas.openxmlformats.org/officeDocument/2006/relationships/hyperlink" Target="http://digitalmarketingsupermarket.com" TargetMode="External"/><Relationship Id="rId903" Type="http://schemas.openxmlformats.org/officeDocument/2006/relationships/hyperlink" Target="https://digitaldigest.au/social-media-marketing-companies/" TargetMode="External"/><Relationship Id="rId902" Type="http://schemas.openxmlformats.org/officeDocument/2006/relationships/hyperlink" Target="http://digitalagencynetwork.com" TargetMode="External"/><Relationship Id="rId901" Type="http://schemas.openxmlformats.org/officeDocument/2006/relationships/hyperlink" Target="https://digitalagencynetwork.com/agencies/sydney/" TargetMode="External"/><Relationship Id="rId900" Type="http://schemas.openxmlformats.org/officeDocument/2006/relationships/hyperlink" Target="http://digitalagencynetwork.com" TargetMode="External"/><Relationship Id="rId929" Type="http://schemas.openxmlformats.org/officeDocument/2006/relationships/hyperlink" Target="https://www.goodfirms.co/advertising-companies/creative/melbourne" TargetMode="External"/><Relationship Id="rId928" Type="http://schemas.openxmlformats.org/officeDocument/2006/relationships/hyperlink" Target="http://geooptimisation.com.au" TargetMode="External"/><Relationship Id="rId927" Type="http://schemas.openxmlformats.org/officeDocument/2006/relationships/hyperlink" Target="https://geooptimisation.com.au/best-geo-agencies-australia-2026/" TargetMode="External"/><Relationship Id="rId926" Type="http://schemas.openxmlformats.org/officeDocument/2006/relationships/hyperlink" Target="http://formulate.com.au" TargetMode="External"/><Relationship Id="rId921" Type="http://schemas.openxmlformats.org/officeDocument/2006/relationships/hyperlink" Target="https://firstpagesage.com/seo-blog/the-top-answer-engine-optimization-aeo-companies/" TargetMode="External"/><Relationship Id="rId920" Type="http://schemas.openxmlformats.org/officeDocument/2006/relationships/hyperlink" Target="http://elioplus.com" TargetMode="External"/><Relationship Id="rId925" Type="http://schemas.openxmlformats.org/officeDocument/2006/relationships/hyperlink" Target="https://www.formulate.com.au/articles/top-seven-seo-agencies-in-melbourne/" TargetMode="External"/><Relationship Id="rId924" Type="http://schemas.openxmlformats.org/officeDocument/2006/relationships/hyperlink" Target="http://fixnhour.com" TargetMode="External"/><Relationship Id="rId923" Type="http://schemas.openxmlformats.org/officeDocument/2006/relationships/hyperlink" Target="https://fixnhour.com/companies/social-media-marketing-agencies/australia" TargetMode="External"/><Relationship Id="rId922" Type="http://schemas.openxmlformats.org/officeDocument/2006/relationships/hyperlink" Target="http://firstpagesage.com" TargetMode="External"/><Relationship Id="rId918" Type="http://schemas.openxmlformats.org/officeDocument/2006/relationships/hyperlink" Target="http://edisonai.au" TargetMode="External"/><Relationship Id="rId917" Type="http://schemas.openxmlformats.org/officeDocument/2006/relationships/hyperlink" Target="https://edisonai.au/insights/top-ai-implementation-agencies-australia" TargetMode="External"/><Relationship Id="rId916" Type="http://schemas.openxmlformats.org/officeDocument/2006/relationships/hyperlink" Target="http://digitalnomadshq.com.au" TargetMode="External"/><Relationship Id="rId915" Type="http://schemas.openxmlformats.org/officeDocument/2006/relationships/hyperlink" Target="https://digitalnomadshq.com.au/blog/social-media-companies/" TargetMode="External"/><Relationship Id="rId919" Type="http://schemas.openxmlformats.org/officeDocument/2006/relationships/hyperlink" Target="https://elioplus.com/asia-pacific/australia/victoria/melbourne/channel-partners/google" TargetMode="External"/><Relationship Id="rId910" Type="http://schemas.openxmlformats.org/officeDocument/2006/relationships/hyperlink" Target="http://digitalnomadshq.com.au" TargetMode="External"/><Relationship Id="rId914" Type="http://schemas.openxmlformats.org/officeDocument/2006/relationships/hyperlink" Target="http://digitalnomadshq.com.au" TargetMode="External"/><Relationship Id="rId913" Type="http://schemas.openxmlformats.org/officeDocument/2006/relationships/hyperlink" Target="https://digitalnomadshq.com.au/blog/pr-firms/" TargetMode="External"/><Relationship Id="rId912" Type="http://schemas.openxmlformats.org/officeDocument/2006/relationships/hyperlink" Target="http://digitalnomadshq.com.au" TargetMode="External"/><Relationship Id="rId911" Type="http://schemas.openxmlformats.org/officeDocument/2006/relationships/hyperlink" Target="https://digitalnomadshq.com.au/blog/best-ppc-agency/" TargetMode="External"/><Relationship Id="rId866" Type="http://schemas.openxmlformats.org/officeDocument/2006/relationships/hyperlink" Target="http://clutch.co" TargetMode="External"/><Relationship Id="rId865" Type="http://schemas.openxmlformats.org/officeDocument/2006/relationships/hyperlink" Target="https://clutch.co/au/agencies/programmatic/sydney" TargetMode="External"/><Relationship Id="rId864" Type="http://schemas.openxmlformats.org/officeDocument/2006/relationships/hyperlink" Target="http://clutch.co" TargetMode="External"/><Relationship Id="rId863" Type="http://schemas.openxmlformats.org/officeDocument/2006/relationships/hyperlink" Target="https://clutch.co/au/agencies/ppc?page=2" TargetMode="External"/><Relationship Id="rId869" Type="http://schemas.openxmlformats.org/officeDocument/2006/relationships/hyperlink" Target="https://clutch.co/au/agencies/social-media-marketing/facebook/sydney" TargetMode="External"/><Relationship Id="rId868" Type="http://schemas.openxmlformats.org/officeDocument/2006/relationships/hyperlink" Target="http://clutch.co" TargetMode="External"/><Relationship Id="rId867" Type="http://schemas.openxmlformats.org/officeDocument/2006/relationships/hyperlink" Target="https://clutch.co/au/agencies/seo/technical" TargetMode="External"/><Relationship Id="rId862" Type="http://schemas.openxmlformats.org/officeDocument/2006/relationships/hyperlink" Target="http://clutch.co" TargetMode="External"/><Relationship Id="rId861" Type="http://schemas.openxmlformats.org/officeDocument/2006/relationships/hyperlink" Target="https://clutch.co/au/agencies/ppc/melbourne" TargetMode="External"/><Relationship Id="rId860" Type="http://schemas.openxmlformats.org/officeDocument/2006/relationships/hyperlink" Target="http://clutch.co" TargetMode="External"/><Relationship Id="rId855" Type="http://schemas.openxmlformats.org/officeDocument/2006/relationships/hyperlink" Target="https://clutch.co/au/agencies/media-buying?page=2" TargetMode="External"/><Relationship Id="rId854" Type="http://schemas.openxmlformats.org/officeDocument/2006/relationships/hyperlink" Target="http://clutch.co" TargetMode="External"/><Relationship Id="rId853" Type="http://schemas.openxmlformats.org/officeDocument/2006/relationships/hyperlink" Target="https://clutch.co/au/agencies/media-buying/sydney" TargetMode="External"/><Relationship Id="rId852" Type="http://schemas.openxmlformats.org/officeDocument/2006/relationships/hyperlink" Target="http://clutch.co" TargetMode="External"/><Relationship Id="rId859" Type="http://schemas.openxmlformats.org/officeDocument/2006/relationships/hyperlink" Target="https://clutch.co/au/agencies/ppc/google-adwords/sydney" TargetMode="External"/><Relationship Id="rId858" Type="http://schemas.openxmlformats.org/officeDocument/2006/relationships/hyperlink" Target="http://clutch.co" TargetMode="External"/><Relationship Id="rId857" Type="http://schemas.openxmlformats.org/officeDocument/2006/relationships/hyperlink" Target="https://clutch.co/au/agencies/ppc/brisbane" TargetMode="External"/><Relationship Id="rId856" Type="http://schemas.openxmlformats.org/officeDocument/2006/relationships/hyperlink" Target="http://clutch.co" TargetMode="External"/><Relationship Id="rId851" Type="http://schemas.openxmlformats.org/officeDocument/2006/relationships/hyperlink" Target="https://clutch.co/au/agencies/branding" TargetMode="External"/><Relationship Id="rId850" Type="http://schemas.openxmlformats.org/officeDocument/2006/relationships/hyperlink" Target="http://clutch.co" TargetMode="External"/><Relationship Id="rId409" Type="http://schemas.openxmlformats.org/officeDocument/2006/relationships/hyperlink" Target="http://clutch.co" TargetMode="External"/><Relationship Id="rId404" Type="http://schemas.openxmlformats.org/officeDocument/2006/relationships/hyperlink" Target="https://avinashvagh.com/blog/best-aeo-agencies-australia" TargetMode="External"/><Relationship Id="rId888" Type="http://schemas.openxmlformats.org/officeDocument/2006/relationships/hyperlink" Target="http://darkroomagency.com" TargetMode="External"/><Relationship Id="rId403" Type="http://schemas.openxmlformats.org/officeDocument/2006/relationships/hyperlink" Target="http://50pros.com" TargetMode="External"/><Relationship Id="rId887" Type="http://schemas.openxmlformats.org/officeDocument/2006/relationships/hyperlink" Target="https://www.darkroomagency.com/observatory/the-12-top-rated-paid-media-agencies-this-year" TargetMode="External"/><Relationship Id="rId402" Type="http://schemas.openxmlformats.org/officeDocument/2006/relationships/hyperlink" Target="https://www.50pros.com/hire/advertising/attribution-and-measurement" TargetMode="External"/><Relationship Id="rId886" Type="http://schemas.openxmlformats.org/officeDocument/2006/relationships/hyperlink" Target="http://dailybulletin.com.au" TargetMode="External"/><Relationship Id="rId401" Type="http://schemas.openxmlformats.org/officeDocument/2006/relationships/hyperlink" Target="http://virtualadagency.com.au" TargetMode="External"/><Relationship Id="rId885" Type="http://schemas.openxmlformats.org/officeDocument/2006/relationships/hyperlink" Target="https://www.dailybulletin.com.au/news/technology/96125-best-australian-agencies-for-content-that-ranks-in-ai" TargetMode="External"/><Relationship Id="rId408" Type="http://schemas.openxmlformats.org/officeDocument/2006/relationships/hyperlink" Target="https://clutch.co/au/consulting/ai/sydney" TargetMode="External"/><Relationship Id="rId407" Type="http://schemas.openxmlformats.org/officeDocument/2006/relationships/hyperlink" Target="http://clickclickbangbang.com.au" TargetMode="External"/><Relationship Id="rId406" Type="http://schemas.openxmlformats.org/officeDocument/2006/relationships/hyperlink" Target="https://clickclickbangbang.com.au/social-media-marketing-firms/" TargetMode="External"/><Relationship Id="rId405" Type="http://schemas.openxmlformats.org/officeDocument/2006/relationships/hyperlink" Target="http://avinashvagh.com" TargetMode="External"/><Relationship Id="rId889" Type="http://schemas.openxmlformats.org/officeDocument/2006/relationships/hyperlink" Target="https://designmagazine.com.au/best-australian-design-studios/" TargetMode="External"/><Relationship Id="rId880" Type="http://schemas.openxmlformats.org/officeDocument/2006/relationships/hyperlink" Target="http://clutch.co" TargetMode="External"/><Relationship Id="rId400" Type="http://schemas.openxmlformats.org/officeDocument/2006/relationships/hyperlink" Target="https://virtualadagency.com.au/best-digital-marketing-companies/" TargetMode="External"/><Relationship Id="rId884" Type="http://schemas.openxmlformats.org/officeDocument/2006/relationships/hyperlink" Target="http://conquerradigital.com.au" TargetMode="External"/><Relationship Id="rId883" Type="http://schemas.openxmlformats.org/officeDocument/2006/relationships/hyperlink" Target="https://conquerradigital.com.au/top-9-programmatic-ads-agencies-in-adelaide/" TargetMode="External"/><Relationship Id="rId882" Type="http://schemas.openxmlformats.org/officeDocument/2006/relationships/hyperlink" Target="http://cometly.com" TargetMode="External"/><Relationship Id="rId881" Type="http://schemas.openxmlformats.org/officeDocument/2006/relationships/hyperlink" Target="https://www.cometly.com/post/multi-touch-attribution-platform" TargetMode="External"/><Relationship Id="rId877" Type="http://schemas.openxmlformats.org/officeDocument/2006/relationships/hyperlink" Target="https://clutch.co/au/agencies/social-media-marketing/tik-tok?page=2" TargetMode="External"/><Relationship Id="rId876" Type="http://schemas.openxmlformats.org/officeDocument/2006/relationships/hyperlink" Target="http://clutch.co" TargetMode="External"/><Relationship Id="rId875" Type="http://schemas.openxmlformats.org/officeDocument/2006/relationships/hyperlink" Target="https://clutch.co/au/agencies/social-media-marketing/tik-tok/sydney" TargetMode="External"/><Relationship Id="rId874" Type="http://schemas.openxmlformats.org/officeDocument/2006/relationships/hyperlink" Target="http://clutch.co" TargetMode="External"/><Relationship Id="rId879" Type="http://schemas.openxmlformats.org/officeDocument/2006/relationships/hyperlink" Target="https://clutch.co/au/agencies?page=7" TargetMode="External"/><Relationship Id="rId878" Type="http://schemas.openxmlformats.org/officeDocument/2006/relationships/hyperlink" Target="http://clutch.co" TargetMode="External"/><Relationship Id="rId873" Type="http://schemas.openxmlformats.org/officeDocument/2006/relationships/hyperlink" Target="https://clutch.co/au/agencies/social-media-marketing/tik-tok/melbourne" TargetMode="External"/><Relationship Id="rId872" Type="http://schemas.openxmlformats.org/officeDocument/2006/relationships/hyperlink" Target="http://clutch.co" TargetMode="External"/><Relationship Id="rId871" Type="http://schemas.openxmlformats.org/officeDocument/2006/relationships/hyperlink" Target="https://clutch.co/au/agencies/social-media-marketing/facebook?page=6" TargetMode="External"/><Relationship Id="rId870" Type="http://schemas.openxmlformats.org/officeDocument/2006/relationships/hyperlink" Target="http://clutch.co" TargetMode="External"/><Relationship Id="rId829" Type="http://schemas.openxmlformats.org/officeDocument/2006/relationships/hyperlink" Target="https://www.bushletter.com/best-digital-marketing-media-buying-agencies-australia-2026/" TargetMode="External"/><Relationship Id="rId828" Type="http://schemas.openxmlformats.org/officeDocument/2006/relationships/hyperlink" Target="http://bestgeoagency.com.au" TargetMode="External"/><Relationship Id="rId827" Type="http://schemas.openxmlformats.org/officeDocument/2006/relationships/hyperlink" Target="https://bestgeoagency.com.au/guides/8-best-geo-agencies-for-b2b-and-expert-led-companies/" TargetMode="External"/><Relationship Id="rId822" Type="http://schemas.openxmlformats.org/officeDocument/2006/relationships/hyperlink" Target="https://www.alphaapexgroup.com/blog/top-ai-consulting-firms" TargetMode="External"/><Relationship Id="rId821" Type="http://schemas.openxmlformats.org/officeDocument/2006/relationships/hyperlink" Target="https://aiims.group/services/best-seo-agency-australia/" TargetMode="External"/><Relationship Id="rId820" Type="http://schemas.openxmlformats.org/officeDocument/2006/relationships/hyperlink" Target="http://semrush.com" TargetMode="External"/><Relationship Id="rId826" Type="http://schemas.openxmlformats.org/officeDocument/2006/relationships/hyperlink" Target="http://bestanswerengineoptimizationservices.com" TargetMode="External"/><Relationship Id="rId825" Type="http://schemas.openxmlformats.org/officeDocument/2006/relationships/hyperlink" Target="https://bestanswerengineoptimizationservices.com/" TargetMode="External"/><Relationship Id="rId824" Type="http://schemas.openxmlformats.org/officeDocument/2006/relationships/hyperlink" Target="https://arc.dev/employer-blog/social-media-agencies/" TargetMode="External"/><Relationship Id="rId823" Type="http://schemas.openxmlformats.org/officeDocument/2006/relationships/hyperlink" Target="http://alphaapexgroup.com" TargetMode="External"/><Relationship Id="rId819" Type="http://schemas.openxmlformats.org/officeDocument/2006/relationships/hyperlink" Target="https://agencies.semrush.com/list/smm/australia/small-business/" TargetMode="External"/><Relationship Id="rId818" Type="http://schemas.openxmlformats.org/officeDocument/2006/relationships/hyperlink" Target="http://semrush.com" TargetMode="External"/><Relationship Id="rId817" Type="http://schemas.openxmlformats.org/officeDocument/2006/relationships/hyperlink" Target="https://agencies.semrush.com/list/search-engine-marketing/australia/" TargetMode="External"/><Relationship Id="rId816" Type="http://schemas.openxmlformats.org/officeDocument/2006/relationships/hyperlink" Target="http://semrush.com" TargetMode="External"/><Relationship Id="rId811" Type="http://schemas.openxmlformats.org/officeDocument/2006/relationships/hyperlink" Target="https://agencies.semrush.com/list/programmatic-advertising/australia/small-business/" TargetMode="External"/><Relationship Id="rId810" Type="http://schemas.openxmlformats.org/officeDocument/2006/relationships/hyperlink" Target="http://semrush.com" TargetMode="External"/><Relationship Id="rId815" Type="http://schemas.openxmlformats.org/officeDocument/2006/relationships/hyperlink" Target="https://agencies.semrush.com/list/programmatic-advertising/sydney/" TargetMode="External"/><Relationship Id="rId814" Type="http://schemas.openxmlformats.org/officeDocument/2006/relationships/hyperlink" Target="http://semrush.com" TargetMode="External"/><Relationship Id="rId813" Type="http://schemas.openxmlformats.org/officeDocument/2006/relationships/hyperlink" Target="https://agencies.semrush.com/list/programmatic-advertising/ecommerce/australia/" TargetMode="External"/><Relationship Id="rId812" Type="http://schemas.openxmlformats.org/officeDocument/2006/relationships/hyperlink" Target="http://semrush.com" TargetMode="External"/><Relationship Id="rId849" Type="http://schemas.openxmlformats.org/officeDocument/2006/relationships/hyperlink" Target="https://clutch.co/agencies/ppc/display" TargetMode="External"/><Relationship Id="rId844" Type="http://schemas.openxmlformats.org/officeDocument/2006/relationships/hyperlink" Target="http://campaignbrief.com" TargetMode="External"/><Relationship Id="rId843" Type="http://schemas.openxmlformats.org/officeDocument/2006/relationships/hyperlink" Target="https://campaignbrief.com/in-marketing-we-trust-joins-top-1-of-google-agency-partners-in-australia/" TargetMode="External"/><Relationship Id="rId842" Type="http://schemas.openxmlformats.org/officeDocument/2006/relationships/hyperlink" Target="http://campaignbrief.com" TargetMode="External"/><Relationship Id="rId841" Type="http://schemas.openxmlformats.org/officeDocument/2006/relationships/hyperlink" Target="https://campaignbrief.com/bestads-rankings-which-are-the-top-australian-ad-agencies-and-clients-of-the-decade/" TargetMode="External"/><Relationship Id="rId848" Type="http://schemas.openxmlformats.org/officeDocument/2006/relationships/hyperlink" Target="http://clickclickbangbang.com.au" TargetMode="External"/><Relationship Id="rId847" Type="http://schemas.openxmlformats.org/officeDocument/2006/relationships/hyperlink" Target="https://clickclickbangbang.com.au/best-google-ads-manager/" TargetMode="External"/><Relationship Id="rId846" Type="http://schemas.openxmlformats.org/officeDocument/2006/relationships/hyperlink" Target="http://cantydigital.com.au" TargetMode="External"/><Relationship Id="rId845" Type="http://schemas.openxmlformats.org/officeDocument/2006/relationships/hyperlink" Target="https://cantydigital.com.au/top-10-australian-amazon-marketing-agencies/" TargetMode="External"/><Relationship Id="rId840" Type="http://schemas.openxmlformats.org/officeDocument/2006/relationships/hyperlink" Target="http://calypsodesigns.com.au" TargetMode="External"/><Relationship Id="rId839" Type="http://schemas.openxmlformats.org/officeDocument/2006/relationships/hyperlink" Target="https://calypsodesigns.com.au/top-10-google-ads-management-agencies-in-australia-a-2026/" TargetMode="External"/><Relationship Id="rId838" Type="http://schemas.openxmlformats.org/officeDocument/2006/relationships/hyperlink" Target="http://businessage.com" TargetMode="External"/><Relationship Id="rId833" Type="http://schemas.openxmlformats.org/officeDocument/2006/relationships/hyperlink" Target="https://www.bushnote.com/articles/top-ai-search-optimisation-agencies-australia-2026" TargetMode="External"/><Relationship Id="rId832" Type="http://schemas.openxmlformats.org/officeDocument/2006/relationships/hyperlink" Target="http://bushnote.com" TargetMode="External"/><Relationship Id="rId831" Type="http://schemas.openxmlformats.org/officeDocument/2006/relationships/hyperlink" Target="https://www.bushnote.com/articles/top-ai-search-agencies-sydney-generative-engine-optimisation" TargetMode="External"/><Relationship Id="rId830" Type="http://schemas.openxmlformats.org/officeDocument/2006/relationships/hyperlink" Target="http://bushletter.com" TargetMode="External"/><Relationship Id="rId837" Type="http://schemas.openxmlformats.org/officeDocument/2006/relationships/hyperlink" Target="https://www.businessage.com/post/6-best-ai-native-seo-agencies-in-melbourne-that-optimise-for-geo-and-aeo" TargetMode="External"/><Relationship Id="rId836" Type="http://schemas.openxmlformats.org/officeDocument/2006/relationships/hyperlink" Target="http://adobe.com" TargetMode="External"/><Relationship Id="rId835" Type="http://schemas.openxmlformats.org/officeDocument/2006/relationships/hyperlink" Target="https://business.adobe.com/au/blog/basics/marketing-attribution" TargetMode="External"/><Relationship Id="rId834" Type="http://schemas.openxmlformats.org/officeDocument/2006/relationships/hyperlink" Target="http://bushnote.com" TargetMode="External"/><Relationship Id="rId469" Type="http://schemas.openxmlformats.org/officeDocument/2006/relationships/hyperlink" Target="https://inbeat.agency/blog/top-digital-marketing-agencies-sydney" TargetMode="External"/><Relationship Id="rId468" Type="http://schemas.openxmlformats.org/officeDocument/2006/relationships/hyperlink" Target="http://homerdigitalmarketing.com" TargetMode="External"/><Relationship Id="rId467" Type="http://schemas.openxmlformats.org/officeDocument/2006/relationships/hyperlink" Target="https://homerdigitalmarketing.com/pay-per-click-agency/" TargetMode="External"/><Relationship Id="rId462" Type="http://schemas.openxmlformats.org/officeDocument/2006/relationships/hyperlink" Target="https://frankdigital.agency/google-ads/google-display-advertising-companies/" TargetMode="External"/><Relationship Id="rId461" Type="http://schemas.openxmlformats.org/officeDocument/2006/relationships/hyperlink" Target="http://exaltgrowth.com" TargetMode="External"/><Relationship Id="rId460" Type="http://schemas.openxmlformats.org/officeDocument/2006/relationships/hyperlink" Target="https://www.exaltgrowth.com/generative-engine-optimization/top-sydney-saas-geo-agencies" TargetMode="External"/><Relationship Id="rId466" Type="http://schemas.openxmlformats.org/officeDocument/2006/relationships/hyperlink" Target="http://haus.io" TargetMode="External"/><Relationship Id="rId465" Type="http://schemas.openxmlformats.org/officeDocument/2006/relationships/hyperlink" Target="https://www.haus.io/blog/choosing-the-best-incrementality-testing-tool" TargetMode="External"/><Relationship Id="rId464" Type="http://schemas.openxmlformats.org/officeDocument/2006/relationships/hyperlink" Target="http://hashmeta.ai" TargetMode="External"/><Relationship Id="rId463" Type="http://schemas.openxmlformats.org/officeDocument/2006/relationships/hyperlink" Target="https://www.hashmeta.ai/en/blog/top-10-ai-agencies-in-australia-expert-guide-to-choosing-your-ai-marketing-partner" TargetMode="External"/><Relationship Id="rId459" Type="http://schemas.openxmlformats.org/officeDocument/2006/relationships/hyperlink" Target="http://designrush.com" TargetMode="External"/><Relationship Id="rId458" Type="http://schemas.openxmlformats.org/officeDocument/2006/relationships/hyperlink" Target="https://www.designrush.com/agency/paid-media-pay-per-click/au?page=6" TargetMode="External"/><Relationship Id="rId457" Type="http://schemas.openxmlformats.org/officeDocument/2006/relationships/hyperlink" Target="http://clutch.co" TargetMode="External"/><Relationship Id="rId456" Type="http://schemas.openxmlformats.org/officeDocument/2006/relationships/hyperlink" Target="https://clutch.co/au/it-services/analytics" TargetMode="External"/><Relationship Id="rId451" Type="http://schemas.openxmlformats.org/officeDocument/2006/relationships/hyperlink" Target="http://clutch.co" TargetMode="External"/><Relationship Id="rId450" Type="http://schemas.openxmlformats.org/officeDocument/2006/relationships/hyperlink" Target="https://clutch.co/au/agencies/conversion-optimization" TargetMode="External"/><Relationship Id="rId455" Type="http://schemas.openxmlformats.org/officeDocument/2006/relationships/hyperlink" Target="http://clutch.co" TargetMode="External"/><Relationship Id="rId454" Type="http://schemas.openxmlformats.org/officeDocument/2006/relationships/hyperlink" Target="https://clutch.co/au/agencies/ppc/display?page=2" TargetMode="External"/><Relationship Id="rId453" Type="http://schemas.openxmlformats.org/officeDocument/2006/relationships/hyperlink" Target="http://clutch.co" TargetMode="External"/><Relationship Id="rId452" Type="http://schemas.openxmlformats.org/officeDocument/2006/relationships/hyperlink" Target="https://clutch.co/au/agencies/creative/sydney" TargetMode="External"/><Relationship Id="rId491" Type="http://schemas.openxmlformats.org/officeDocument/2006/relationships/hyperlink" Target="http://sortlist.com" TargetMode="External"/><Relationship Id="rId490" Type="http://schemas.openxmlformats.org/officeDocument/2006/relationships/hyperlink" Target="https://www.sortlist.com/s/paid-media/melbourne-au" TargetMode="External"/><Relationship Id="rId489" Type="http://schemas.openxmlformats.org/officeDocument/2006/relationships/hyperlink" Target="http://segmentstream.com" TargetMode="External"/><Relationship Id="rId484" Type="http://schemas.openxmlformats.org/officeDocument/2006/relationships/hyperlink" Target="https://www.savit.au/the-best-ppc-agencies-in-australia-2026-where-to-spend-your-google-ads-budget/" TargetMode="External"/><Relationship Id="rId483" Type="http://schemas.openxmlformats.org/officeDocument/2006/relationships/hyperlink" Target="http://redpandas.com.au" TargetMode="External"/><Relationship Id="rId482" Type="http://schemas.openxmlformats.org/officeDocument/2006/relationships/hyperlink" Target="https://www.redpandas.com.au/all/best-paid-media-agencies-in-australia-an-unbiased-review/" TargetMode="External"/><Relationship Id="rId481" Type="http://schemas.openxmlformats.org/officeDocument/2006/relationships/hyperlink" Target="http://reddit.com" TargetMode="External"/><Relationship Id="rId488" Type="http://schemas.openxmlformats.org/officeDocument/2006/relationships/hyperlink" Target="https://segmentstream.com/blog/articles/best-attribution-tools" TargetMode="External"/><Relationship Id="rId487" Type="http://schemas.openxmlformats.org/officeDocument/2006/relationships/hyperlink" Target="http://searchmax.com.au" TargetMode="External"/><Relationship Id="rId486" Type="http://schemas.openxmlformats.org/officeDocument/2006/relationships/hyperlink" Target="https://www.searchmax.com.au/searchmax-among-the-top-3-of-google-partners-in-the-country/" TargetMode="External"/><Relationship Id="rId485" Type="http://schemas.openxmlformats.org/officeDocument/2006/relationships/hyperlink" Target="http://savit.au" TargetMode="External"/><Relationship Id="rId480" Type="http://schemas.openxmlformats.org/officeDocument/2006/relationships/hyperlink" Target="https://www.reddit.com/r/ecommerce/comments/1qusfa4/looking_for_best_incrementality_testing_tools/" TargetMode="External"/><Relationship Id="rId479" Type="http://schemas.openxmlformats.org/officeDocument/2006/relationships/hyperlink" Target="https://raw.studio/blog/top-branding-agencies-in-australia-in-2026/" TargetMode="External"/><Relationship Id="rId478" Type="http://schemas.openxmlformats.org/officeDocument/2006/relationships/hyperlink" Target="http://prosperitymedia.com.au" TargetMode="External"/><Relationship Id="rId473" Type="http://schemas.openxmlformats.org/officeDocument/2006/relationships/hyperlink" Target="https://liondigital.com.au/lion-digital-a-premier-google-partner-placed-in-the-top-3-of-agencies/" TargetMode="External"/><Relationship Id="rId472" Type="http://schemas.openxmlformats.org/officeDocument/2006/relationships/hyperlink" Target="http://linkedin.com" TargetMode="External"/><Relationship Id="rId471" Type="http://schemas.openxmlformats.org/officeDocument/2006/relationships/hyperlink" Target="https://www.linkedin.com/pulse/top-ai-seo-agencies-australia-watch-year-shivanshi-rai-dpy2c" TargetMode="External"/><Relationship Id="rId470" Type="http://schemas.openxmlformats.org/officeDocument/2006/relationships/hyperlink" Target="https://inbeat.agency/blog/top-marketing-analytics-agencies" TargetMode="External"/><Relationship Id="rId477" Type="http://schemas.openxmlformats.org/officeDocument/2006/relationships/hyperlink" Target="https://prosperitymedia.com.au/the-6-best-seo-agencies-in-sydney-2026/" TargetMode="External"/><Relationship Id="rId476" Type="http://schemas.openxmlformats.org/officeDocument/2006/relationships/hyperlink" Target="http://omegaadvertising.com.au" TargetMode="External"/><Relationship Id="rId475" Type="http://schemas.openxmlformats.org/officeDocument/2006/relationships/hyperlink" Target="https://omegaadvertising.com.au/top-5-digital-marketing-agencies-in-australia-for-ai-seo/" TargetMode="External"/><Relationship Id="rId474" Type="http://schemas.openxmlformats.org/officeDocument/2006/relationships/hyperlink" Target="http://liondigital.com.au" TargetMode="External"/><Relationship Id="rId426" Type="http://schemas.openxmlformats.org/officeDocument/2006/relationships/hyperlink" Target="https://www.loudface.co/blog/best-aeo-agencies-b2b-saas-2026" TargetMode="External"/><Relationship Id="rId425" Type="http://schemas.openxmlformats.org/officeDocument/2006/relationships/hyperlink" Target="http://linkedin.com" TargetMode="External"/><Relationship Id="rId424" Type="http://schemas.openxmlformats.org/officeDocument/2006/relationships/hyperlink" Target="https://www.linkedin.com/pulse/digital-marketing-agencies-australia-abhinav-puri-oeg4f" TargetMode="External"/><Relationship Id="rId423" Type="http://schemas.openxmlformats.org/officeDocument/2006/relationships/hyperlink" Target="http://lengreo.com" TargetMode="External"/><Relationship Id="rId429" Type="http://schemas.openxmlformats.org/officeDocument/2006/relationships/hyperlink" Target="http://magnetoitsolutions.com" TargetMode="External"/><Relationship Id="rId428" Type="http://schemas.openxmlformats.org/officeDocument/2006/relationships/hyperlink" Target="https://magnetoitsolutions.com/au/answer-engine-optimization" TargetMode="External"/><Relationship Id="rId427" Type="http://schemas.openxmlformats.org/officeDocument/2006/relationships/hyperlink" Target="http://loudface.co" TargetMode="External"/><Relationship Id="rId422" Type="http://schemas.openxmlformats.org/officeDocument/2006/relationships/hyperlink" Target="https://lengreo.com/australia-perth-aeo-geo-llmo-companies/" TargetMode="External"/><Relationship Id="rId421" Type="http://schemas.openxmlformats.org/officeDocument/2006/relationships/hyperlink" Target="http://hustlemarketers.com" TargetMode="External"/><Relationship Id="rId420" Type="http://schemas.openxmlformats.org/officeDocument/2006/relationships/hyperlink" Target="https://hustlemarketers.com/best-google-ads-agency-australia/" TargetMode="External"/><Relationship Id="rId415" Type="http://schemas.openxmlformats.org/officeDocument/2006/relationships/hyperlink" Target="http://fastlanerecruit.com" TargetMode="External"/><Relationship Id="rId899" Type="http://schemas.openxmlformats.org/officeDocument/2006/relationships/hyperlink" Target="https://digitalagencynetwork.com/agencies/australia/creative/page/4/" TargetMode="External"/><Relationship Id="rId414" Type="http://schemas.openxmlformats.org/officeDocument/2006/relationships/hyperlink" Target="https://fastlanerecruit.com/blog/top-20-digital-marketing-companies-in-australia/" TargetMode="External"/><Relationship Id="rId898" Type="http://schemas.openxmlformats.org/officeDocument/2006/relationships/hyperlink" Target="http://designrush.com" TargetMode="External"/><Relationship Id="rId413" Type="http://schemas.openxmlformats.org/officeDocument/2006/relationships/hyperlink" Target="http://corporatedesignsolutions.com.au" TargetMode="External"/><Relationship Id="rId897" Type="http://schemas.openxmlformats.org/officeDocument/2006/relationships/hyperlink" Target="https://www.designrush.com/agency/search-engine-optimization/au" TargetMode="External"/><Relationship Id="rId412" Type="http://schemas.openxmlformats.org/officeDocument/2006/relationships/hyperlink" Target="https://corporatedesignsolutions.com.au/top-10-generative-engine-optimisation-agencies-western-australia/" TargetMode="External"/><Relationship Id="rId896" Type="http://schemas.openxmlformats.org/officeDocument/2006/relationships/hyperlink" Target="http://designrush.com" TargetMode="External"/><Relationship Id="rId419" Type="http://schemas.openxmlformats.org/officeDocument/2006/relationships/hyperlink" Target="http://hikemytraffic.com" TargetMode="External"/><Relationship Id="rId418" Type="http://schemas.openxmlformats.org/officeDocument/2006/relationships/hyperlink" Target="https://hikemytraffic.com/ai-digital-marketing-agencies-in-australia/" TargetMode="External"/><Relationship Id="rId417" Type="http://schemas.openxmlformats.org/officeDocument/2006/relationships/hyperlink" Target="http://gartner.com" TargetMode="External"/><Relationship Id="rId416" Type="http://schemas.openxmlformats.org/officeDocument/2006/relationships/hyperlink" Target="https://www.gartner.com/reviews/market/incrementality-measurement-platforms" TargetMode="External"/><Relationship Id="rId891" Type="http://schemas.openxmlformats.org/officeDocument/2006/relationships/hyperlink" Target="https://www.designrush.com/agency/conversion-optimization/au" TargetMode="External"/><Relationship Id="rId890" Type="http://schemas.openxmlformats.org/officeDocument/2006/relationships/hyperlink" Target="http://designmagazine.com.au" TargetMode="External"/><Relationship Id="rId411" Type="http://schemas.openxmlformats.org/officeDocument/2006/relationships/hyperlink" Target="http://conquerradigital.com.au" TargetMode="External"/><Relationship Id="rId895" Type="http://schemas.openxmlformats.org/officeDocument/2006/relationships/hyperlink" Target="https://www.designrush.com/agency/paid-media-pay-per-click/google-adwords/au" TargetMode="External"/><Relationship Id="rId410" Type="http://schemas.openxmlformats.org/officeDocument/2006/relationships/hyperlink" Target="https://conquerradigital.com.au/top-10-digital-marketing-agencies-in-australia/" TargetMode="External"/><Relationship Id="rId894" Type="http://schemas.openxmlformats.org/officeDocument/2006/relationships/hyperlink" Target="http://designrush.com" TargetMode="External"/><Relationship Id="rId893" Type="http://schemas.openxmlformats.org/officeDocument/2006/relationships/hyperlink" Target="https://www.designrush.com/agency/paid-media-pay-per-click/au" TargetMode="External"/><Relationship Id="rId892" Type="http://schemas.openxmlformats.org/officeDocument/2006/relationships/hyperlink" Target="http://designrush.com" TargetMode="External"/><Relationship Id="rId448" Type="http://schemas.openxmlformats.org/officeDocument/2006/relationships/hyperlink" Target="https://capedigital.com.au/post/top-10-digital-marketing-agency-in-australia" TargetMode="External"/><Relationship Id="rId447" Type="http://schemas.openxmlformats.org/officeDocument/2006/relationships/hyperlink" Target="http://bushletter.com" TargetMode="External"/><Relationship Id="rId446" Type="http://schemas.openxmlformats.org/officeDocument/2006/relationships/hyperlink" Target="https://www.bushletter.com/the-10-best-aeo-agencies-for-australian-law-firms-in-2026/" TargetMode="External"/><Relationship Id="rId445" Type="http://schemas.openxmlformats.org/officeDocument/2006/relationships/hyperlink" Target="http://blurn.com" TargetMode="External"/><Relationship Id="rId449" Type="http://schemas.openxmlformats.org/officeDocument/2006/relationships/hyperlink" Target="http://capedigital.com.au" TargetMode="External"/><Relationship Id="rId440" Type="http://schemas.openxmlformats.org/officeDocument/2006/relationships/hyperlink" Target="https://titanblue.com.au/companies-for-social-media-marketing/?srsltid=AfmBOoq21wO8ZjboQuZ1D2V8SlPXLR8gDWQUvPiH1eQa9htbHDXUXWx_" TargetMode="External"/><Relationship Id="rId444" Type="http://schemas.openxmlformats.org/officeDocument/2006/relationships/hyperlink" Target="https://blurn.com/au/digital-marketing-services/direct-display-advertising-services/" TargetMode="External"/><Relationship Id="rId443" Type="http://schemas.openxmlformats.org/officeDocument/2006/relationships/hyperlink" Target="http://semrush.com" TargetMode="External"/><Relationship Id="rId442" Type="http://schemas.openxmlformats.org/officeDocument/2006/relationships/hyperlink" Target="https://agencies.semrush.com/list/display-advertising/western-australia/" TargetMode="External"/><Relationship Id="rId441" Type="http://schemas.openxmlformats.org/officeDocument/2006/relationships/hyperlink" Target="http://titanblue.com.au" TargetMode="External"/><Relationship Id="rId437" Type="http://schemas.openxmlformats.org/officeDocument/2006/relationships/hyperlink" Target="http://syntermedia.ai" TargetMode="External"/><Relationship Id="rId436" Type="http://schemas.openxmlformats.org/officeDocument/2006/relationships/hyperlink" Target="https://syntermedia.ai/blog/best-attribution-software-marketing-teams" TargetMode="External"/><Relationship Id="rId435" Type="http://schemas.openxmlformats.org/officeDocument/2006/relationships/hyperlink" Target="http://sourceforge.net" TargetMode="External"/><Relationship Id="rId434" Type="http://schemas.openxmlformats.org/officeDocument/2006/relationships/hyperlink" Target="https://sourceforge.net/software/marketing-attribution/australia/" TargetMode="External"/><Relationship Id="rId439" Type="http://schemas.openxmlformats.org/officeDocument/2006/relationships/hyperlink" Target="http://thehero.co" TargetMode="External"/><Relationship Id="rId438" Type="http://schemas.openxmlformats.org/officeDocument/2006/relationships/hyperlink" Target="https://www.thehero.co/news/australias-top-creative-agency-named-in-business-best-performers" TargetMode="External"/><Relationship Id="rId433" Type="http://schemas.openxmlformats.org/officeDocument/2006/relationships/hyperlink" Target="http://shoutdigital.com.au" TargetMode="External"/><Relationship Id="rId432" Type="http://schemas.openxmlformats.org/officeDocument/2006/relationships/hyperlink" Target="https://www.shoutdigital.com.au/blog/best-geo-agency-in-melbourne-for-e-commerce-a-direct-comparison-2026/" TargetMode="External"/><Relationship Id="rId431" Type="http://schemas.openxmlformats.org/officeDocument/2006/relationships/hyperlink" Target="http://measured.com" TargetMode="External"/><Relationship Id="rId430" Type="http://schemas.openxmlformats.org/officeDocument/2006/relationships/hyperlink" Target="https://www.measured.com/faq/best-incrementality-testing-companies-software-for-marketing-202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youtube.com" TargetMode="External"/><Relationship Id="rId2" Type="http://schemas.openxmlformats.org/officeDocument/2006/relationships/hyperlink" Target="https://www.youtube.com/watch?v=3y6n2-qGxnE" TargetMode="External"/><Relationship Id="rId3" Type="http://schemas.openxmlformats.org/officeDocument/2006/relationships/hyperlink" Target="http://youtube.com" TargetMode="External"/><Relationship Id="rId4" Type="http://schemas.openxmlformats.org/officeDocument/2006/relationships/hyperlink" Target="https://www.youtube.com/watch?v=Mggba8bAXVU" TargetMode="External"/><Relationship Id="rId9" Type="http://schemas.openxmlformats.org/officeDocument/2006/relationships/hyperlink" Target="http://youtube.com" TargetMode="External"/><Relationship Id="rId5" Type="http://schemas.openxmlformats.org/officeDocument/2006/relationships/hyperlink" Target="http://youtube.com" TargetMode="External"/><Relationship Id="rId6" Type="http://schemas.openxmlformats.org/officeDocument/2006/relationships/hyperlink" Target="https://www.youtube.com/watch?v=IxHlhnkaTC4&amp;t=408" TargetMode="External"/><Relationship Id="rId7" Type="http://schemas.openxmlformats.org/officeDocument/2006/relationships/hyperlink" Target="http://youtube.com" TargetMode="External"/><Relationship Id="rId8" Type="http://schemas.openxmlformats.org/officeDocument/2006/relationships/hyperlink" Target="https://www.youtube.com/watch?v=Ko4i_WqyPwE&amp;t=263" TargetMode="External"/><Relationship Id="rId11" Type="http://schemas.openxmlformats.org/officeDocument/2006/relationships/hyperlink" Target="http://youtube.com" TargetMode="External"/><Relationship Id="rId10" Type="http://schemas.openxmlformats.org/officeDocument/2006/relationships/hyperlink" Target="https://www.youtube.com/watch?v=OJN95taKMwo" TargetMode="External"/><Relationship Id="rId13" Type="http://schemas.openxmlformats.org/officeDocument/2006/relationships/hyperlink" Target="http://youtube.com" TargetMode="External"/><Relationship Id="rId12" Type="http://schemas.openxmlformats.org/officeDocument/2006/relationships/hyperlink" Target="https://www.youtube.com/watch?v=XhMbeN7cH34&amp;t=707" TargetMode="External"/><Relationship Id="rId15" Type="http://schemas.openxmlformats.org/officeDocument/2006/relationships/hyperlink" Target="http://youtube.com" TargetMode="External"/><Relationship Id="rId14" Type="http://schemas.openxmlformats.org/officeDocument/2006/relationships/hyperlink" Target="https://www.youtube.com/watch?v=fdPFLXFJlwo&amp;t=30" TargetMode="External"/><Relationship Id="rId1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incubeta.com" TargetMode="External"/><Relationship Id="rId2" Type="http://schemas.openxmlformats.org/officeDocument/2006/relationships/hyperlink" Target="https://incubeta.com/news-and-resources/incubeta-joins-googles-international-growth-program/" TargetMode="External"/><Relationship Id="rId3" Type="http://schemas.openxmlformats.org/officeDocument/2006/relationships/hyperlink" Target="http://incubeta.co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drakecontent.com.au" TargetMode="External"/><Relationship Id="rId2" Type="http://schemas.openxmlformats.org/officeDocument/2006/relationships/hyperlink" Target="https://gorilla360.com.au/instagram-advertising/" TargetMode="External"/><Relationship Id="rId3" Type="http://schemas.openxmlformats.org/officeDocument/2006/relationships/hyperlink" Target="http://gorilla360.com.au" TargetMode="External"/><Relationship Id="rId4" Type="http://schemas.openxmlformats.org/officeDocument/2006/relationships/hyperlink" Target="https://homerdigitalmarketing.com/instagram-ads-agency/" TargetMode="External"/><Relationship Id="rId9" Type="http://schemas.openxmlformats.org/officeDocument/2006/relationships/hyperlink" Target="http://localiq.com" TargetMode="External"/><Relationship Id="rId5" Type="http://schemas.openxmlformats.org/officeDocument/2006/relationships/hyperlink" Target="http://homerdigitalmarketing.com" TargetMode="External"/><Relationship Id="rId6" Type="http://schemas.openxmlformats.org/officeDocument/2006/relationships/hyperlink" Target="https://www.instagram.com/p/DWmua7IDz4F/" TargetMode="External"/><Relationship Id="rId7" Type="http://schemas.openxmlformats.org/officeDocument/2006/relationships/hyperlink" Target="http://instagram.com" TargetMode="External"/><Relationship Id="rId8" Type="http://schemas.openxmlformats.org/officeDocument/2006/relationships/hyperlink" Target="https://localiq.com/au/products/social-ads/instagram-ads/" TargetMode="External"/><Relationship Id="rId11" Type="http://schemas.openxmlformats.org/officeDocument/2006/relationships/hyperlink" Target="http://odindigital.com.au" TargetMode="External"/><Relationship Id="rId10" Type="http://schemas.openxmlformats.org/officeDocument/2006/relationships/hyperlink" Target="https://odindigital.com.au/services/instagram-advertising" TargetMode="External"/><Relationship Id="rId13" Type="http://schemas.openxmlformats.org/officeDocument/2006/relationships/hyperlink" Target="http://reformdigital.com.au" TargetMode="External"/><Relationship Id="rId12" Type="http://schemas.openxmlformats.org/officeDocument/2006/relationships/hyperlink" Target="https://reformdigital.com.au/services/social-media-advertising/instagram-ads/"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ortlist.com" TargetMode="External"/><Relationship Id="rId2" Type="http://schemas.openxmlformats.org/officeDocument/2006/relationships/hyperlink" Target="https://www.sortlist.com/s/display-advertising/australia-au" TargetMode="External"/><Relationship Id="rId3" Type="http://schemas.openxmlformats.org/officeDocument/2006/relationships/hyperlink" Target="http://sortlist.com" TargetMode="External"/><Relationship Id="rId4" Type="http://schemas.openxmlformats.org/officeDocument/2006/relationships/hyperlink" Target="https://www.sortlist.com/s/paid-media/sydney-au" TargetMode="External"/><Relationship Id="rId9" Type="http://schemas.openxmlformats.org/officeDocument/2006/relationships/hyperlink" Target="http://sortlist.com" TargetMode="External"/><Relationship Id="rId5" Type="http://schemas.openxmlformats.org/officeDocument/2006/relationships/hyperlink" Target="http://sortlist.com" TargetMode="External"/><Relationship Id="rId6" Type="http://schemas.openxmlformats.org/officeDocument/2006/relationships/hyperlink" Target="https://www.sortlist.com/s/performance-marketing/australia-au" TargetMode="External"/><Relationship Id="rId7" Type="http://schemas.openxmlformats.org/officeDocument/2006/relationships/hyperlink" Target="http://sortlist.com" TargetMode="External"/><Relationship Id="rId8" Type="http://schemas.openxmlformats.org/officeDocument/2006/relationships/hyperlink" Target="https://www.sortlist.com/s/creative/australia-au" TargetMode="External"/><Relationship Id="rId40" Type="http://schemas.openxmlformats.org/officeDocument/2006/relationships/hyperlink" Target="https://www.sortlist.com/s/sm-analytics/australia-au" TargetMode="External"/><Relationship Id="rId42" Type="http://schemas.openxmlformats.org/officeDocument/2006/relationships/hyperlink" Target="https://www.sortlist.com/web-analytics/melbourne-au" TargetMode="External"/><Relationship Id="rId41" Type="http://schemas.openxmlformats.org/officeDocument/2006/relationships/hyperlink" Target="http://sortlist.com" TargetMode="External"/><Relationship Id="rId44" Type="http://schemas.openxmlformats.org/officeDocument/2006/relationships/hyperlink" Target="https://www.sortlist.com/digital-marketing/australia-au?custom=advertising%2Caustralia-au" TargetMode="External"/><Relationship Id="rId43" Type="http://schemas.openxmlformats.org/officeDocument/2006/relationships/hyperlink" Target="http://sortlist.com" TargetMode="External"/><Relationship Id="rId46" Type="http://schemas.openxmlformats.org/officeDocument/2006/relationships/hyperlink" Target="https://www.sortlist.com/marketing-communication" TargetMode="External"/><Relationship Id="rId45" Type="http://schemas.openxmlformats.org/officeDocument/2006/relationships/hyperlink" Target="http://sortlist.com" TargetMode="External"/><Relationship Id="rId48" Type="http://schemas.openxmlformats.org/officeDocument/2006/relationships/hyperlink" Target="https://www.sortlist.com/s/display-advertising/new-south-wales-nsw-au" TargetMode="External"/><Relationship Id="rId47" Type="http://schemas.openxmlformats.org/officeDocument/2006/relationships/hyperlink" Target="http://sortlist.com" TargetMode="External"/><Relationship Id="rId49" Type="http://schemas.openxmlformats.org/officeDocument/2006/relationships/hyperlink" Target="http://sortlist.com" TargetMode="External"/><Relationship Id="rId31" Type="http://schemas.openxmlformats.org/officeDocument/2006/relationships/hyperlink" Target="http://sortlist.com" TargetMode="External"/><Relationship Id="rId30" Type="http://schemas.openxmlformats.org/officeDocument/2006/relationships/hyperlink" Target="https://www.sortlist.com/s/display-advertising/brisbane-qld-au" TargetMode="External"/><Relationship Id="rId33" Type="http://schemas.openxmlformats.org/officeDocument/2006/relationships/hyperlink" Target="http://sortlist.com" TargetMode="External"/><Relationship Id="rId32" Type="http://schemas.openxmlformats.org/officeDocument/2006/relationships/hyperlink" Target="https://www.sortlist.com/s/data-driven-marketing/australia-au" TargetMode="External"/><Relationship Id="rId35" Type="http://schemas.openxmlformats.org/officeDocument/2006/relationships/hyperlink" Target="http://sortlist.com" TargetMode="External"/><Relationship Id="rId34" Type="http://schemas.openxmlformats.org/officeDocument/2006/relationships/hyperlink" Target="https://www.sortlist.com/s/paid-media/new-south-wales-nsw-au" TargetMode="External"/><Relationship Id="rId37" Type="http://schemas.openxmlformats.org/officeDocument/2006/relationships/hyperlink" Target="http://sortlist.com" TargetMode="External"/><Relationship Id="rId36" Type="http://schemas.openxmlformats.org/officeDocument/2006/relationships/hyperlink" Target="https://www.sortlist.com/s/artificial-intelligence/sydney-au" TargetMode="External"/><Relationship Id="rId39" Type="http://schemas.openxmlformats.org/officeDocument/2006/relationships/hyperlink" Target="http://sortlist.com" TargetMode="External"/><Relationship Id="rId38" Type="http://schemas.openxmlformats.org/officeDocument/2006/relationships/hyperlink" Target="https://www.sortlist.com/s/performance-marketing/queensland-qld-au" TargetMode="External"/><Relationship Id="rId20" Type="http://schemas.openxmlformats.org/officeDocument/2006/relationships/hyperlink" Target="https://www.sortlist.com/s/programmatic-advertising/australia-au" TargetMode="External"/><Relationship Id="rId22" Type="http://schemas.openxmlformats.org/officeDocument/2006/relationships/hyperlink" Target="https://www.sortlist.com/social-media/australia-au" TargetMode="External"/><Relationship Id="rId21" Type="http://schemas.openxmlformats.org/officeDocument/2006/relationships/hyperlink" Target="http://sortlist.com" TargetMode="External"/><Relationship Id="rId24" Type="http://schemas.openxmlformats.org/officeDocument/2006/relationships/hyperlink" Target="https://www.sortlist.com/digital-marketing/australia-au" TargetMode="External"/><Relationship Id="rId23" Type="http://schemas.openxmlformats.org/officeDocument/2006/relationships/hyperlink" Target="http://sortlist.com" TargetMode="External"/><Relationship Id="rId26" Type="http://schemas.openxmlformats.org/officeDocument/2006/relationships/hyperlink" Target="https://www.sortlist.com/l/australia-au" TargetMode="External"/><Relationship Id="rId25" Type="http://schemas.openxmlformats.org/officeDocument/2006/relationships/hyperlink" Target="http://sortlist.com" TargetMode="External"/><Relationship Id="rId28" Type="http://schemas.openxmlformats.org/officeDocument/2006/relationships/hyperlink" Target="https://www.sortlist.com/s/paid-media/melbourne-au" TargetMode="External"/><Relationship Id="rId27" Type="http://schemas.openxmlformats.org/officeDocument/2006/relationships/hyperlink" Target="http://sortlist.com" TargetMode="External"/><Relationship Id="rId29" Type="http://schemas.openxmlformats.org/officeDocument/2006/relationships/hyperlink" Target="http://sortlist.com" TargetMode="External"/><Relationship Id="rId11" Type="http://schemas.openxmlformats.org/officeDocument/2006/relationships/hyperlink" Target="http://sortlist.com" TargetMode="External"/><Relationship Id="rId10" Type="http://schemas.openxmlformats.org/officeDocument/2006/relationships/hyperlink" Target="https://www.sortlist.com/s/performance-marketing/melbourne-au" TargetMode="External"/><Relationship Id="rId13" Type="http://schemas.openxmlformats.org/officeDocument/2006/relationships/hyperlink" Target="http://sortlist.com" TargetMode="External"/><Relationship Id="rId12" Type="http://schemas.openxmlformats.org/officeDocument/2006/relationships/hyperlink" Target="https://www.sortlist.com/s/marketing-analytics/australia-au" TargetMode="External"/><Relationship Id="rId15" Type="http://schemas.openxmlformats.org/officeDocument/2006/relationships/hyperlink" Target="http://sortlist.com" TargetMode="External"/><Relationship Id="rId14" Type="http://schemas.openxmlformats.org/officeDocument/2006/relationships/hyperlink" Target="https://www.sortlist.com/media-planning/australia-au" TargetMode="External"/><Relationship Id="rId17" Type="http://schemas.openxmlformats.org/officeDocument/2006/relationships/hyperlink" Target="http://sortlist.com" TargetMode="External"/><Relationship Id="rId16" Type="http://schemas.openxmlformats.org/officeDocument/2006/relationships/hyperlink" Target="https://www.sortlist.com/s/paid-media/australian-capital-territory-act-au" TargetMode="External"/><Relationship Id="rId19" Type="http://schemas.openxmlformats.org/officeDocument/2006/relationships/hyperlink" Target="http://sortlist.com" TargetMode="External"/><Relationship Id="rId18" Type="http://schemas.openxmlformats.org/officeDocument/2006/relationships/hyperlink" Target="https://www.sortlist.com/s/performance-marketing/sydney-au" TargetMode="External"/><Relationship Id="rId62" Type="http://schemas.openxmlformats.org/officeDocument/2006/relationships/hyperlink" Target="https://www.sortlist.com/s/programmatic-advertising/sydney-au" TargetMode="External"/><Relationship Id="rId61" Type="http://schemas.openxmlformats.org/officeDocument/2006/relationships/hyperlink" Target="http://sortlist.com" TargetMode="External"/><Relationship Id="rId64" Type="http://schemas.openxmlformats.org/officeDocument/2006/relationships/hyperlink" Target="https://www.sortlist.com/s/tiktok-advertising/australia-au" TargetMode="External"/><Relationship Id="rId63" Type="http://schemas.openxmlformats.org/officeDocument/2006/relationships/hyperlink" Target="http://sortlist.com" TargetMode="External"/><Relationship Id="rId66" Type="http://schemas.openxmlformats.org/officeDocument/2006/relationships/hyperlink" Target="https://www.sortlist.com/web-analytics/australia-au" TargetMode="External"/><Relationship Id="rId65" Type="http://schemas.openxmlformats.org/officeDocument/2006/relationships/hyperlink" Target="http://sortlist.com" TargetMode="External"/><Relationship Id="rId68" Type="http://schemas.openxmlformats.org/officeDocument/2006/relationships/drawing" Target="../drawings/drawing7.xml"/><Relationship Id="rId67" Type="http://schemas.openxmlformats.org/officeDocument/2006/relationships/hyperlink" Target="http://sortlist.com" TargetMode="External"/><Relationship Id="rId60" Type="http://schemas.openxmlformats.org/officeDocument/2006/relationships/hyperlink" Target="https://www.sortlist.com/s/performance-marketing/western-australia-wa-au" TargetMode="External"/><Relationship Id="rId51" Type="http://schemas.openxmlformats.org/officeDocument/2006/relationships/hyperlink" Target="http://sortlist.com" TargetMode="External"/><Relationship Id="rId50" Type="http://schemas.openxmlformats.org/officeDocument/2006/relationships/hyperlink" Target="https://www.sortlist.com/s/display-advertising/sydney-au" TargetMode="External"/><Relationship Id="rId53" Type="http://schemas.openxmlformats.org/officeDocument/2006/relationships/hyperlink" Target="http://sortlist.com" TargetMode="External"/><Relationship Id="rId52" Type="http://schemas.openxmlformats.org/officeDocument/2006/relationships/hyperlink" Target="https://www.sortlist.com/s/display-advertising/western-australia-wa-au" TargetMode="External"/><Relationship Id="rId55" Type="http://schemas.openxmlformats.org/officeDocument/2006/relationships/hyperlink" Target="http://sortlist.com" TargetMode="External"/><Relationship Id="rId54" Type="http://schemas.openxmlformats.org/officeDocument/2006/relationships/hyperlink" Target="https://www.sortlist.com/s/linkedin-advertising/australia-au" TargetMode="External"/><Relationship Id="rId57" Type="http://schemas.openxmlformats.org/officeDocument/2006/relationships/hyperlink" Target="http://sortlist.com" TargetMode="External"/><Relationship Id="rId56" Type="http://schemas.openxmlformats.org/officeDocument/2006/relationships/hyperlink" Target="https://www.sortlist.com/s/paid-media/victoria-vic-au" TargetMode="External"/><Relationship Id="rId59" Type="http://schemas.openxmlformats.org/officeDocument/2006/relationships/hyperlink" Target="http://sortlist.com" TargetMode="External"/><Relationship Id="rId58" Type="http://schemas.openxmlformats.org/officeDocument/2006/relationships/hyperlink" Target="https://www.sortlist.com/s/performance-marketing/victoria-vic-au"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clutch.co" TargetMode="External"/><Relationship Id="rId2" Type="http://schemas.openxmlformats.org/officeDocument/2006/relationships/hyperlink" Target="https://clutch.co/au/agencies" TargetMode="External"/><Relationship Id="rId3" Type="http://schemas.openxmlformats.org/officeDocument/2006/relationships/hyperlink" Target="http://clutch.co" TargetMode="External"/><Relationship Id="rId4" Type="http://schemas.openxmlformats.org/officeDocument/2006/relationships/hyperlink" Target="https://clutch.co/au/agencies/ppc" TargetMode="External"/><Relationship Id="rId9" Type="http://schemas.openxmlformats.org/officeDocument/2006/relationships/hyperlink" Target="http://clutch.co" TargetMode="External"/><Relationship Id="rId5" Type="http://schemas.openxmlformats.org/officeDocument/2006/relationships/hyperlink" Target="http://clutch.co" TargetMode="External"/><Relationship Id="rId6" Type="http://schemas.openxmlformats.org/officeDocument/2006/relationships/hyperlink" Target="https://clutch.co/au/agencies/social-media-marketing" TargetMode="External"/><Relationship Id="rId7" Type="http://schemas.openxmlformats.org/officeDocument/2006/relationships/hyperlink" Target="http://clutch.co" TargetMode="External"/><Relationship Id="rId8" Type="http://schemas.openxmlformats.org/officeDocument/2006/relationships/hyperlink" Target="https://clutch.co/au/agencies/creative" TargetMode="External"/><Relationship Id="rId40" Type="http://schemas.openxmlformats.org/officeDocument/2006/relationships/hyperlink" Target="https://clutch.co/au/agencies/business-services-industry" TargetMode="External"/><Relationship Id="rId42" Type="http://schemas.openxmlformats.org/officeDocument/2006/relationships/hyperlink" Target="https://clutch.co/au/agencies/melbourne" TargetMode="External"/><Relationship Id="rId41" Type="http://schemas.openxmlformats.org/officeDocument/2006/relationships/hyperlink" Target="http://clutch.co" TargetMode="External"/><Relationship Id="rId44" Type="http://schemas.openxmlformats.org/officeDocument/2006/relationships/hyperlink" Target="https://clutch.co/au/agencies/ppc%3Fpage%3D2" TargetMode="External"/><Relationship Id="rId43" Type="http://schemas.openxmlformats.org/officeDocument/2006/relationships/hyperlink" Target="http://clutch.co" TargetMode="External"/><Relationship Id="rId46" Type="http://schemas.openxmlformats.org/officeDocument/2006/relationships/hyperlink" Target="https://clutch.co/au/agencies/ppc/sydney" TargetMode="External"/><Relationship Id="rId45" Type="http://schemas.openxmlformats.org/officeDocument/2006/relationships/hyperlink" Target="http://clutch.co" TargetMode="External"/><Relationship Id="rId48" Type="http://schemas.openxmlformats.org/officeDocument/2006/relationships/hyperlink" Target="https://clutch.co/au/agencies/social-media-marketing/tik-tok" TargetMode="External"/><Relationship Id="rId47" Type="http://schemas.openxmlformats.org/officeDocument/2006/relationships/hyperlink" Target="http://clutch.co" TargetMode="External"/><Relationship Id="rId49" Type="http://schemas.openxmlformats.org/officeDocument/2006/relationships/hyperlink" Target="http://clutch.co" TargetMode="External"/><Relationship Id="rId31" Type="http://schemas.openxmlformats.org/officeDocument/2006/relationships/hyperlink" Target="http://clutch.co" TargetMode="External"/><Relationship Id="rId30" Type="http://schemas.openxmlformats.org/officeDocument/2006/relationships/hyperlink" Target="https://clutch.co/au/consulting/ai/sydney" TargetMode="External"/><Relationship Id="rId33" Type="http://schemas.openxmlformats.org/officeDocument/2006/relationships/hyperlink" Target="http://clutch.co" TargetMode="External"/><Relationship Id="rId32" Type="http://schemas.openxmlformats.org/officeDocument/2006/relationships/hyperlink" Target="https://clutch.co/au/agencies/conversion-optimization" TargetMode="External"/><Relationship Id="rId35" Type="http://schemas.openxmlformats.org/officeDocument/2006/relationships/hyperlink" Target="http://clutch.co" TargetMode="External"/><Relationship Id="rId34" Type="http://schemas.openxmlformats.org/officeDocument/2006/relationships/hyperlink" Target="https://clutch.co/au/agencies/creative/sydney" TargetMode="External"/><Relationship Id="rId37" Type="http://schemas.openxmlformats.org/officeDocument/2006/relationships/hyperlink" Target="http://clutch.co" TargetMode="External"/><Relationship Id="rId36" Type="http://schemas.openxmlformats.org/officeDocument/2006/relationships/hyperlink" Target="https://clutch.co/au/agencies/ppc/display?page=2" TargetMode="External"/><Relationship Id="rId39" Type="http://schemas.openxmlformats.org/officeDocument/2006/relationships/hyperlink" Target="http://clutch.co" TargetMode="External"/><Relationship Id="rId38" Type="http://schemas.openxmlformats.org/officeDocument/2006/relationships/hyperlink" Target="https://clutch.co/au/it-services/analytics" TargetMode="External"/><Relationship Id="rId20" Type="http://schemas.openxmlformats.org/officeDocument/2006/relationships/hyperlink" Target="https://clutch.co/au/agencies/ppc/google-adwords" TargetMode="External"/><Relationship Id="rId22" Type="http://schemas.openxmlformats.org/officeDocument/2006/relationships/hyperlink" Target="https://clutch.co/au/consulting/ai/strategy" TargetMode="External"/><Relationship Id="rId21" Type="http://schemas.openxmlformats.org/officeDocument/2006/relationships/hyperlink" Target="http://clutch.co" TargetMode="External"/><Relationship Id="rId24" Type="http://schemas.openxmlformats.org/officeDocument/2006/relationships/hyperlink" Target="https://clutch.co/au/agencies/digital" TargetMode="External"/><Relationship Id="rId23" Type="http://schemas.openxmlformats.org/officeDocument/2006/relationships/hyperlink" Target="http://clutch.co" TargetMode="External"/><Relationship Id="rId26" Type="http://schemas.openxmlformats.org/officeDocument/2006/relationships/hyperlink" Target="https://clutch.co/au/agencies/programmatic" TargetMode="External"/><Relationship Id="rId25" Type="http://schemas.openxmlformats.org/officeDocument/2006/relationships/hyperlink" Target="http://clutch.co" TargetMode="External"/><Relationship Id="rId28" Type="http://schemas.openxmlformats.org/officeDocument/2006/relationships/hyperlink" Target="https://clutch.co/agencies/performance-marketing" TargetMode="External"/><Relationship Id="rId27" Type="http://schemas.openxmlformats.org/officeDocument/2006/relationships/hyperlink" Target="http://clutch.co" TargetMode="External"/><Relationship Id="rId29" Type="http://schemas.openxmlformats.org/officeDocument/2006/relationships/hyperlink" Target="http://clutch.co" TargetMode="External"/><Relationship Id="rId11" Type="http://schemas.openxmlformats.org/officeDocument/2006/relationships/hyperlink" Target="http://clutch.co" TargetMode="External"/><Relationship Id="rId10" Type="http://schemas.openxmlformats.org/officeDocument/2006/relationships/hyperlink" Target="https://clutch.co/au/agencies/ppc/display" TargetMode="External"/><Relationship Id="rId13" Type="http://schemas.openxmlformats.org/officeDocument/2006/relationships/hyperlink" Target="http://clutch.co" TargetMode="External"/><Relationship Id="rId12" Type="http://schemas.openxmlformats.org/officeDocument/2006/relationships/hyperlink" Target="https://clutch.co/au/consulting/ai" TargetMode="External"/><Relationship Id="rId15" Type="http://schemas.openxmlformats.org/officeDocument/2006/relationships/hyperlink" Target="http://clutch.co" TargetMode="External"/><Relationship Id="rId14" Type="http://schemas.openxmlformats.org/officeDocument/2006/relationships/hyperlink" Target="https://clutch.co/au/agencies/media-buying" TargetMode="External"/><Relationship Id="rId17" Type="http://schemas.openxmlformats.org/officeDocument/2006/relationships/hyperlink" Target="http://clutch.co" TargetMode="External"/><Relationship Id="rId16" Type="http://schemas.openxmlformats.org/officeDocument/2006/relationships/hyperlink" Target="https://clutch.co/au/agencies/ppc/advertising-industry" TargetMode="External"/><Relationship Id="rId19" Type="http://schemas.openxmlformats.org/officeDocument/2006/relationships/hyperlink" Target="http://clutch.co" TargetMode="External"/><Relationship Id="rId18" Type="http://schemas.openxmlformats.org/officeDocument/2006/relationships/hyperlink" Target="https://clutch.co/au/agencies/social-media-marketing/facebook" TargetMode="External"/><Relationship Id="rId84" Type="http://schemas.openxmlformats.org/officeDocument/2006/relationships/hyperlink" Target="https://clutch.co/au/agencies/social-media-marketing/tik-tok/melbourne" TargetMode="External"/><Relationship Id="rId83" Type="http://schemas.openxmlformats.org/officeDocument/2006/relationships/hyperlink" Target="http://clutch.co" TargetMode="External"/><Relationship Id="rId86" Type="http://schemas.openxmlformats.org/officeDocument/2006/relationships/hyperlink" Target="https://clutch.co/au/agencies/social-media-marketing/tik-tok/sydney" TargetMode="External"/><Relationship Id="rId85" Type="http://schemas.openxmlformats.org/officeDocument/2006/relationships/hyperlink" Target="http://clutch.co" TargetMode="External"/><Relationship Id="rId88" Type="http://schemas.openxmlformats.org/officeDocument/2006/relationships/hyperlink" Target="https://clutch.co/au/agencies/social-media-marketing/tik-tok?page=2" TargetMode="External"/><Relationship Id="rId87" Type="http://schemas.openxmlformats.org/officeDocument/2006/relationships/hyperlink" Target="http://clutch.co" TargetMode="External"/><Relationship Id="rId89" Type="http://schemas.openxmlformats.org/officeDocument/2006/relationships/hyperlink" Target="http://clutch.co" TargetMode="External"/><Relationship Id="rId80" Type="http://schemas.openxmlformats.org/officeDocument/2006/relationships/hyperlink" Target="https://clutch.co/au/agencies/social-media-marketing/facebook/sydney" TargetMode="External"/><Relationship Id="rId82" Type="http://schemas.openxmlformats.org/officeDocument/2006/relationships/hyperlink" Target="https://clutch.co/au/agencies/social-media-marketing/facebook?page=6" TargetMode="External"/><Relationship Id="rId81" Type="http://schemas.openxmlformats.org/officeDocument/2006/relationships/hyperlink" Target="http://clutch.co" TargetMode="External"/><Relationship Id="rId73" Type="http://schemas.openxmlformats.org/officeDocument/2006/relationships/hyperlink" Target="http://clutch.co" TargetMode="External"/><Relationship Id="rId72" Type="http://schemas.openxmlformats.org/officeDocument/2006/relationships/hyperlink" Target="https://clutch.co/au/agencies/ppc/melbourne" TargetMode="External"/><Relationship Id="rId75" Type="http://schemas.openxmlformats.org/officeDocument/2006/relationships/hyperlink" Target="http://clutch.co" TargetMode="External"/><Relationship Id="rId74" Type="http://schemas.openxmlformats.org/officeDocument/2006/relationships/hyperlink" Target="https://clutch.co/au/agencies/ppc?page=2" TargetMode="External"/><Relationship Id="rId77" Type="http://schemas.openxmlformats.org/officeDocument/2006/relationships/hyperlink" Target="http://clutch.co" TargetMode="External"/><Relationship Id="rId76" Type="http://schemas.openxmlformats.org/officeDocument/2006/relationships/hyperlink" Target="https://clutch.co/au/agencies/programmatic/sydney" TargetMode="External"/><Relationship Id="rId79" Type="http://schemas.openxmlformats.org/officeDocument/2006/relationships/hyperlink" Target="http://clutch.co" TargetMode="External"/><Relationship Id="rId78" Type="http://schemas.openxmlformats.org/officeDocument/2006/relationships/hyperlink" Target="https://clutch.co/au/agencies/seo/technical" TargetMode="External"/><Relationship Id="rId71" Type="http://schemas.openxmlformats.org/officeDocument/2006/relationships/hyperlink" Target="http://clutch.co" TargetMode="External"/><Relationship Id="rId70" Type="http://schemas.openxmlformats.org/officeDocument/2006/relationships/hyperlink" Target="https://clutch.co/au/agencies/ppc/google-adwords/sydney" TargetMode="External"/><Relationship Id="rId62" Type="http://schemas.openxmlformats.org/officeDocument/2006/relationships/hyperlink" Target="https://clutch.co/au/agencies/branding" TargetMode="External"/><Relationship Id="rId61" Type="http://schemas.openxmlformats.org/officeDocument/2006/relationships/hyperlink" Target="http://clutch.co" TargetMode="External"/><Relationship Id="rId64" Type="http://schemas.openxmlformats.org/officeDocument/2006/relationships/hyperlink" Target="https://clutch.co/au/agencies/media-buying/sydney" TargetMode="External"/><Relationship Id="rId63" Type="http://schemas.openxmlformats.org/officeDocument/2006/relationships/hyperlink" Target="http://clutch.co" TargetMode="External"/><Relationship Id="rId66" Type="http://schemas.openxmlformats.org/officeDocument/2006/relationships/hyperlink" Target="https://clutch.co/au/agencies/media-buying?page=2" TargetMode="External"/><Relationship Id="rId65" Type="http://schemas.openxmlformats.org/officeDocument/2006/relationships/hyperlink" Target="http://clutch.co" TargetMode="External"/><Relationship Id="rId68" Type="http://schemas.openxmlformats.org/officeDocument/2006/relationships/hyperlink" Target="https://clutch.co/au/agencies/ppc/brisbane" TargetMode="External"/><Relationship Id="rId67" Type="http://schemas.openxmlformats.org/officeDocument/2006/relationships/hyperlink" Target="http://clutch.co" TargetMode="External"/><Relationship Id="rId60" Type="http://schemas.openxmlformats.org/officeDocument/2006/relationships/hyperlink" Target="https://clutch.co/agencies/ppc/display" TargetMode="External"/><Relationship Id="rId69" Type="http://schemas.openxmlformats.org/officeDocument/2006/relationships/hyperlink" Target="http://clutch.co" TargetMode="External"/><Relationship Id="rId51" Type="http://schemas.openxmlformats.org/officeDocument/2006/relationships/hyperlink" Target="http://clutch.co" TargetMode="External"/><Relationship Id="rId50" Type="http://schemas.openxmlformats.org/officeDocument/2006/relationships/hyperlink" Target="https://clutch.co/au/agencies/creative/melbourne" TargetMode="External"/><Relationship Id="rId53" Type="http://schemas.openxmlformats.org/officeDocument/2006/relationships/hyperlink" Target="http://clutch.co" TargetMode="External"/><Relationship Id="rId52" Type="http://schemas.openxmlformats.org/officeDocument/2006/relationships/hyperlink" Target="https://clutch.co/au/agencies/market-research" TargetMode="External"/><Relationship Id="rId55" Type="http://schemas.openxmlformats.org/officeDocument/2006/relationships/hyperlink" Target="http://clutch.co" TargetMode="External"/><Relationship Id="rId54" Type="http://schemas.openxmlformats.org/officeDocument/2006/relationships/hyperlink" Target="https://clutch.co/au/agencies/social-media-marketing/facebook?page=9" TargetMode="External"/><Relationship Id="rId57" Type="http://schemas.openxmlformats.org/officeDocument/2006/relationships/hyperlink" Target="http://clutch.co" TargetMode="External"/><Relationship Id="rId56" Type="http://schemas.openxmlformats.org/officeDocument/2006/relationships/hyperlink" Target="https://clutch.co/au/seo-firms" TargetMode="External"/><Relationship Id="rId59" Type="http://schemas.openxmlformats.org/officeDocument/2006/relationships/hyperlink" Target="http://clutch.co" TargetMode="External"/><Relationship Id="rId58" Type="http://schemas.openxmlformats.org/officeDocument/2006/relationships/hyperlink" Target="https://clutch.co/profile/megaphone-marketing" TargetMode="External"/><Relationship Id="rId94" Type="http://schemas.openxmlformats.org/officeDocument/2006/relationships/drawing" Target="../drawings/drawing8.xml"/><Relationship Id="rId91" Type="http://schemas.openxmlformats.org/officeDocument/2006/relationships/hyperlink" Target="http://clutch.co" TargetMode="External"/><Relationship Id="rId90" Type="http://schemas.openxmlformats.org/officeDocument/2006/relationships/hyperlink" Target="https://clutch.co/au/agencies?page=7" TargetMode="External"/><Relationship Id="rId93" Type="http://schemas.openxmlformats.org/officeDocument/2006/relationships/hyperlink" Target="http://clutch.co" TargetMode="External"/><Relationship Id="rId92" Type="http://schemas.openxmlformats.org/officeDocument/2006/relationships/hyperlink" Target="https://clutch.co/profile/xpon-technologie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agencies.semrush.com/list/advertising/australia/" TargetMode="External"/><Relationship Id="rId3" Type="http://schemas.openxmlformats.org/officeDocument/2006/relationships/hyperlink" Target="http://semrush.com" TargetMode="External"/><Relationship Id="rId4" Type="http://schemas.openxmlformats.org/officeDocument/2006/relationships/hyperlink" Target="https://agencies.semrush.com/list/display-advertising/australia/" TargetMode="External"/><Relationship Id="rId9" Type="http://schemas.openxmlformats.org/officeDocument/2006/relationships/hyperlink" Target="http://semrush.com" TargetMode="External"/><Relationship Id="rId5" Type="http://schemas.openxmlformats.org/officeDocument/2006/relationships/hyperlink" Target="http://semrush.com" TargetMode="External"/><Relationship Id="rId6" Type="http://schemas.openxmlformats.org/officeDocument/2006/relationships/hyperlink" Target="https://agencies.semrush.com/list/smm/australia/" TargetMode="External"/><Relationship Id="rId7" Type="http://schemas.openxmlformats.org/officeDocument/2006/relationships/hyperlink" Target="http://semrush.com" TargetMode="External"/><Relationship Id="rId8" Type="http://schemas.openxmlformats.org/officeDocument/2006/relationships/hyperlink" Target="https://agencies.semrush.com/list/ai-optimization/sydney/" TargetMode="External"/><Relationship Id="rId40" Type="http://schemas.openxmlformats.org/officeDocument/2006/relationships/hyperlink" Target="https://agencies.semrush.com/list/display-advertising/ecommerce/australia/" TargetMode="External"/><Relationship Id="rId42" Type="http://schemas.openxmlformats.org/officeDocument/2006/relationships/hyperlink" Target="https://agencies.semrush.com/list/ppc/australia/" TargetMode="External"/><Relationship Id="rId41" Type="http://schemas.openxmlformats.org/officeDocument/2006/relationships/hyperlink" Target="http://semrush.com" TargetMode="External"/><Relationship Id="rId44" Type="http://schemas.openxmlformats.org/officeDocument/2006/relationships/hyperlink" Target="https://agencies.semrush.com/list/analytics-data-science/information-technology/australia/" TargetMode="External"/><Relationship Id="rId43" Type="http://schemas.openxmlformats.org/officeDocument/2006/relationships/hyperlink" Target="http://semrush.com" TargetMode="External"/><Relationship Id="rId46" Type="http://schemas.openxmlformats.org/officeDocument/2006/relationships/hyperlink" Target="https://agencies.semrush.com/list/display-advertising/australia/enterprise-business/" TargetMode="External"/><Relationship Id="rId45" Type="http://schemas.openxmlformats.org/officeDocument/2006/relationships/hyperlink" Target="http://semrush.com" TargetMode="External"/><Relationship Id="rId48" Type="http://schemas.openxmlformats.org/officeDocument/2006/relationships/hyperlink" Target="https://agencies.semrush.com/list/display-advertising/melbourne/" TargetMode="External"/><Relationship Id="rId47" Type="http://schemas.openxmlformats.org/officeDocument/2006/relationships/hyperlink" Target="http://semrush.com" TargetMode="External"/><Relationship Id="rId49" Type="http://schemas.openxmlformats.org/officeDocument/2006/relationships/hyperlink" Target="http://semrush.com" TargetMode="External"/><Relationship Id="rId31" Type="http://schemas.openxmlformats.org/officeDocument/2006/relationships/hyperlink" Target="http://semrush.com" TargetMode="External"/><Relationship Id="rId30" Type="http://schemas.openxmlformats.org/officeDocument/2006/relationships/hyperlink" Target="https://agencies.semrush.com/list/analytics-data-science/australia/small-business/" TargetMode="External"/><Relationship Id="rId33" Type="http://schemas.openxmlformats.org/officeDocument/2006/relationships/hyperlink" Target="http://semrush.com" TargetMode="External"/><Relationship Id="rId32" Type="http://schemas.openxmlformats.org/officeDocument/2006/relationships/hyperlink" Target="https://agencies.semrush.com/list/ai-optimization/australia/" TargetMode="External"/><Relationship Id="rId35" Type="http://schemas.openxmlformats.org/officeDocument/2006/relationships/hyperlink" Target="http://semrush.com" TargetMode="External"/><Relationship Id="rId34" Type="http://schemas.openxmlformats.org/officeDocument/2006/relationships/hyperlink" Target="https://agencies.semrush.com/list/display-advertising/arts-entertainment/australia/" TargetMode="External"/><Relationship Id="rId37" Type="http://schemas.openxmlformats.org/officeDocument/2006/relationships/hyperlink" Target="http://semrush.com" TargetMode="External"/><Relationship Id="rId36" Type="http://schemas.openxmlformats.org/officeDocument/2006/relationships/hyperlink" Target="https://agencies.semrush.com/list/display-advertising/western-australia/" TargetMode="External"/><Relationship Id="rId39" Type="http://schemas.openxmlformats.org/officeDocument/2006/relationships/hyperlink" Target="http://prosperitymedia.com.au" TargetMode="External"/><Relationship Id="rId38" Type="http://schemas.openxmlformats.org/officeDocument/2006/relationships/hyperlink" Target="https://prosperitymedia.com.au/the-6-best-seo-agencies-in-sydney-2026/" TargetMode="External"/><Relationship Id="rId20" Type="http://schemas.openxmlformats.org/officeDocument/2006/relationships/hyperlink" Target="https://www.semrush.com/agencies/list/analytics-data-science/melbourne/" TargetMode="External"/><Relationship Id="rId22" Type="http://schemas.openxmlformats.org/officeDocument/2006/relationships/hyperlink" Target="https://www.semrush.com/agencies/list/display-advertising/australia/" TargetMode="External"/><Relationship Id="rId21" Type="http://schemas.openxmlformats.org/officeDocument/2006/relationships/hyperlink" Target="http://semrush.com" TargetMode="External"/><Relationship Id="rId24" Type="http://schemas.openxmlformats.org/officeDocument/2006/relationships/hyperlink" Target="https://agencies.semrush.com/list/display-advertising/australia/small-business/" TargetMode="External"/><Relationship Id="rId23" Type="http://schemas.openxmlformats.org/officeDocument/2006/relationships/hyperlink" Target="http://semrush.com" TargetMode="External"/><Relationship Id="rId26" Type="http://schemas.openxmlformats.org/officeDocument/2006/relationships/hyperlink" Target="https://agencies.semrush.com/list/display-advertising/perth/" TargetMode="External"/><Relationship Id="rId25" Type="http://schemas.openxmlformats.org/officeDocument/2006/relationships/hyperlink" Target="http://semrush.com" TargetMode="External"/><Relationship Id="rId28" Type="http://schemas.openxmlformats.org/officeDocument/2006/relationships/hyperlink" Target="https://agencies.semrush.com/list/ai-optimization/australia/mid-business/" TargetMode="External"/><Relationship Id="rId27" Type="http://schemas.openxmlformats.org/officeDocument/2006/relationships/hyperlink" Target="http://semrush.com" TargetMode="External"/><Relationship Id="rId29" Type="http://schemas.openxmlformats.org/officeDocument/2006/relationships/hyperlink" Target="http://semrush.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analytics-data-science/australia/" TargetMode="External"/><Relationship Id="rId13" Type="http://schemas.openxmlformats.org/officeDocument/2006/relationships/hyperlink" Target="http://semrush.com" TargetMode="External"/><Relationship Id="rId12" Type="http://schemas.openxmlformats.org/officeDocument/2006/relationships/hyperlink" Target="https://agencies.semrush.com/list/ai-optimization/australia/small-business/" TargetMode="External"/><Relationship Id="rId15" Type="http://schemas.openxmlformats.org/officeDocument/2006/relationships/hyperlink" Target="http://semrush.com" TargetMode="External"/><Relationship Id="rId14" Type="http://schemas.openxmlformats.org/officeDocument/2006/relationships/hyperlink" Target="https://agencies.semrush.com/list/machine-learning-and-ai/australia/" TargetMode="External"/><Relationship Id="rId17" Type="http://schemas.openxmlformats.org/officeDocument/2006/relationships/hyperlink" Target="http://semrush.com" TargetMode="External"/><Relationship Id="rId16" Type="http://schemas.openxmlformats.org/officeDocument/2006/relationships/hyperlink" Target="https://agencies.semrush.com/list/display-advertising/sydney/" TargetMode="External"/><Relationship Id="rId19" Type="http://schemas.openxmlformats.org/officeDocument/2006/relationships/hyperlink" Target="http://semrush.com" TargetMode="External"/><Relationship Id="rId18" Type="http://schemas.openxmlformats.org/officeDocument/2006/relationships/hyperlink" Target="https://agencies.semrush.com/list/programmatic-advertising/australia/" TargetMode="External"/><Relationship Id="rId84" Type="http://schemas.openxmlformats.org/officeDocument/2006/relationships/hyperlink" Target="https://agencies.semrush.com/list/market-analysis/australia/" TargetMode="External"/><Relationship Id="rId83" Type="http://schemas.openxmlformats.org/officeDocument/2006/relationships/hyperlink" Target="http://semrush.com" TargetMode="External"/><Relationship Id="rId86" Type="http://schemas.openxmlformats.org/officeDocument/2006/relationships/hyperlink" Target="https://agencies.semrush.com/list/ppc/brisbane/" TargetMode="External"/><Relationship Id="rId85" Type="http://schemas.openxmlformats.org/officeDocument/2006/relationships/hyperlink" Target="http://semrush.com" TargetMode="External"/><Relationship Id="rId88" Type="http://schemas.openxmlformats.org/officeDocument/2006/relationships/hyperlink" Target="https://agencies.semrush.com/list/ppc/melbourne/" TargetMode="External"/><Relationship Id="rId87" Type="http://schemas.openxmlformats.org/officeDocument/2006/relationships/hyperlink" Target="http://semrush.com" TargetMode="External"/><Relationship Id="rId89" Type="http://schemas.openxmlformats.org/officeDocument/2006/relationships/hyperlink" Target="http://semrush.com" TargetMode="External"/><Relationship Id="rId80" Type="http://schemas.openxmlformats.org/officeDocument/2006/relationships/hyperlink" Target="https://agencies.semrush.com/list/display-advertising/canberra/" TargetMode="External"/><Relationship Id="rId82" Type="http://schemas.openxmlformats.org/officeDocument/2006/relationships/hyperlink" Target="https://agencies.semrush.com/list/enterprise-business/australia/" TargetMode="External"/><Relationship Id="rId81" Type="http://schemas.openxmlformats.org/officeDocument/2006/relationships/hyperlink" Target="http://semrush.com" TargetMode="External"/><Relationship Id="rId73" Type="http://schemas.openxmlformats.org/officeDocument/2006/relationships/hyperlink" Target="http://semrush.com" TargetMode="External"/><Relationship Id="rId72" Type="http://schemas.openxmlformats.org/officeDocument/2006/relationships/hyperlink" Target="https://agencies.semrush.com/list/ai-optimization/melbourne/" TargetMode="External"/><Relationship Id="rId75" Type="http://schemas.openxmlformats.org/officeDocument/2006/relationships/hyperlink" Target="http://semrush.com" TargetMode="External"/><Relationship Id="rId74" Type="http://schemas.openxmlformats.org/officeDocument/2006/relationships/hyperlink" Target="https://agencies.semrush.com/list/analytics-data-science/arts-entertainment/australia/" TargetMode="External"/><Relationship Id="rId77" Type="http://schemas.openxmlformats.org/officeDocument/2006/relationships/hyperlink" Target="http://semrush.com" TargetMode="External"/><Relationship Id="rId76" Type="http://schemas.openxmlformats.org/officeDocument/2006/relationships/hyperlink" Target="https://agencies.semrush.com/list/analytics-data-science/sydney/" TargetMode="External"/><Relationship Id="rId79" Type="http://schemas.openxmlformats.org/officeDocument/2006/relationships/hyperlink" Target="http://semrush.com" TargetMode="External"/><Relationship Id="rId78" Type="http://schemas.openxmlformats.org/officeDocument/2006/relationships/hyperlink" Target="https://agencies.semrush.com/list/display-advertising/business-professional-services/australia/" TargetMode="External"/><Relationship Id="rId71" Type="http://schemas.openxmlformats.org/officeDocument/2006/relationships/hyperlink" Target="http://semrush.com" TargetMode="External"/><Relationship Id="rId70" Type="http://schemas.openxmlformats.org/officeDocument/2006/relationships/hyperlink" Target="https://agencies.semrush.com/list/ai-optimization/australia/enterprise-business/" TargetMode="External"/><Relationship Id="rId62" Type="http://schemas.openxmlformats.org/officeDocument/2006/relationships/hyperlink" Target="https://agencies.semrush.com/list/machine-learning-and-ai/sydney/" TargetMode="External"/><Relationship Id="rId61" Type="http://schemas.openxmlformats.org/officeDocument/2006/relationships/hyperlink" Target="http://semrush.com" TargetMode="External"/><Relationship Id="rId64" Type="http://schemas.openxmlformats.org/officeDocument/2006/relationships/hyperlink" Target="https://agencies.semrush.com/list/smm/sydney/" TargetMode="External"/><Relationship Id="rId63" Type="http://schemas.openxmlformats.org/officeDocument/2006/relationships/hyperlink" Target="http://semrush.com" TargetMode="External"/><Relationship Id="rId66" Type="http://schemas.openxmlformats.org/officeDocument/2006/relationships/hyperlink" Target="https://www.semrush.com/agencies/list/analytics-data-science/australia/" TargetMode="External"/><Relationship Id="rId65" Type="http://schemas.openxmlformats.org/officeDocument/2006/relationships/hyperlink" Target="http://semrush.com" TargetMode="External"/><Relationship Id="rId68" Type="http://schemas.openxmlformats.org/officeDocument/2006/relationships/hyperlink" Target="https://agencies.semrush.com/list/advertising/australia/mid-business/" TargetMode="External"/><Relationship Id="rId67" Type="http://schemas.openxmlformats.org/officeDocument/2006/relationships/hyperlink" Target="http://semrush.com" TargetMode="External"/><Relationship Id="rId60" Type="http://schemas.openxmlformats.org/officeDocument/2006/relationships/hyperlink" Target="https://agencies.semrush.com/list/facebook-advertising/australia/" TargetMode="External"/><Relationship Id="rId69" Type="http://schemas.openxmlformats.org/officeDocument/2006/relationships/hyperlink" Target="http://semrush.com" TargetMode="External"/><Relationship Id="rId51" Type="http://schemas.openxmlformats.org/officeDocument/2006/relationships/hyperlink" Target="http://semrush.com" TargetMode="External"/><Relationship Id="rId50" Type="http://schemas.openxmlformats.org/officeDocument/2006/relationships/hyperlink" Target="https://agencies.semrush.com/list/ppc/arts-entertainment/australia/" TargetMode="External"/><Relationship Id="rId53" Type="http://schemas.openxmlformats.org/officeDocument/2006/relationships/hyperlink" Target="http://semrush.com" TargetMode="External"/><Relationship Id="rId52" Type="http://schemas.openxmlformats.org/officeDocument/2006/relationships/hyperlink" Target="https://agencies.semrush.com/list/advertising/melbourne/" TargetMode="External"/><Relationship Id="rId55" Type="http://schemas.openxmlformats.org/officeDocument/2006/relationships/hyperlink" Target="http://semrush.com" TargetMode="External"/><Relationship Id="rId54" Type="http://schemas.openxmlformats.org/officeDocument/2006/relationships/hyperlink" Target="https://agencies.semrush.com/list/analytics-data-science/melbourne/" TargetMode="External"/><Relationship Id="rId57" Type="http://schemas.openxmlformats.org/officeDocument/2006/relationships/hyperlink" Target="http://semrush.com" TargetMode="External"/><Relationship Id="rId56" Type="http://schemas.openxmlformats.org/officeDocument/2006/relationships/hyperlink" Target="https://agencies.semrush.com/list/analytics-data-science/melbourne/enterprise-business/" TargetMode="External"/><Relationship Id="rId59" Type="http://schemas.openxmlformats.org/officeDocument/2006/relationships/hyperlink" Target="http://semrush.com" TargetMode="External"/><Relationship Id="rId58" Type="http://schemas.openxmlformats.org/officeDocument/2006/relationships/hyperlink" Target="https://agencies.semrush.com/list/display-advertising/melbourne/small-business/" TargetMode="External"/><Relationship Id="rId95" Type="http://schemas.openxmlformats.org/officeDocument/2006/relationships/hyperlink" Target="http://semrush.com" TargetMode="External"/><Relationship Id="rId94" Type="http://schemas.openxmlformats.org/officeDocument/2006/relationships/hyperlink" Target="https://agencies.semrush.com/list/programmatic-advertising/ecommerce/australia/" TargetMode="External"/><Relationship Id="rId97" Type="http://schemas.openxmlformats.org/officeDocument/2006/relationships/hyperlink" Target="http://semrush.com" TargetMode="External"/><Relationship Id="rId96" Type="http://schemas.openxmlformats.org/officeDocument/2006/relationships/hyperlink" Target="https://agencies.semrush.com/list/programmatic-advertising/sydney/" TargetMode="External"/><Relationship Id="rId99" Type="http://schemas.openxmlformats.org/officeDocument/2006/relationships/hyperlink" Target="http://semrush.com" TargetMode="External"/><Relationship Id="rId98" Type="http://schemas.openxmlformats.org/officeDocument/2006/relationships/hyperlink" Target="https://agencies.semrush.com/list/search-engine-marketing/australia/" TargetMode="External"/><Relationship Id="rId91" Type="http://schemas.openxmlformats.org/officeDocument/2006/relationships/hyperlink" Target="http://semrush.com" TargetMode="External"/><Relationship Id="rId90" Type="http://schemas.openxmlformats.org/officeDocument/2006/relationships/hyperlink" Target="https://agencies.semrush.com/list/programmatic-advertising/australia/mid-business/" TargetMode="External"/><Relationship Id="rId93" Type="http://schemas.openxmlformats.org/officeDocument/2006/relationships/hyperlink" Target="http://semrush.com" TargetMode="External"/><Relationship Id="rId92" Type="http://schemas.openxmlformats.org/officeDocument/2006/relationships/hyperlink" Target="https://agencies.semrush.com/list/programmatic-advertising/australia/small-business/" TargetMode="External"/><Relationship Id="rId102" Type="http://schemas.openxmlformats.org/officeDocument/2006/relationships/drawing" Target="../drawings/drawing9.xml"/><Relationship Id="rId101" Type="http://schemas.openxmlformats.org/officeDocument/2006/relationships/hyperlink" Target="http://semrush.com" TargetMode="External"/><Relationship Id="rId100" Type="http://schemas.openxmlformats.org/officeDocument/2006/relationships/hyperlink" Target="https://agencies.semrush.com/list/smm/australia/small-busines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directiveconsulting.com"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designrush.com" TargetMode="External"/><Relationship Id="rId2" Type="http://schemas.openxmlformats.org/officeDocument/2006/relationships/hyperlink" Target="https://www.designrush.com/agency/ad-agencies/au" TargetMode="External"/><Relationship Id="rId3" Type="http://schemas.openxmlformats.org/officeDocument/2006/relationships/hyperlink" Target="http://designrush.com" TargetMode="External"/><Relationship Id="rId4" Type="http://schemas.openxmlformats.org/officeDocument/2006/relationships/hyperlink" Target="https://www.designrush.com/agency/social-media-marketing/au" TargetMode="External"/><Relationship Id="rId9" Type="http://schemas.openxmlformats.org/officeDocument/2006/relationships/hyperlink" Target="http://designrush.com" TargetMode="External"/><Relationship Id="rId5" Type="http://schemas.openxmlformats.org/officeDocument/2006/relationships/hyperlink" Target="http://designrush.com" TargetMode="External"/><Relationship Id="rId6" Type="http://schemas.openxmlformats.org/officeDocument/2006/relationships/hyperlink" Target="https://www.designrush.com/agency/digital-marketing/au" TargetMode="External"/><Relationship Id="rId7" Type="http://schemas.openxmlformats.org/officeDocument/2006/relationships/hyperlink" Target="http://designrush.com" TargetMode="External"/><Relationship Id="rId8" Type="http://schemas.openxmlformats.org/officeDocument/2006/relationships/hyperlink" Target="https://www.designrush.com/agency/paid-media-pay-per-click/au?page=6" TargetMode="External"/><Relationship Id="rId30" Type="http://schemas.openxmlformats.org/officeDocument/2006/relationships/drawing" Target="../drawings/drawing11.xml"/><Relationship Id="rId20" Type="http://schemas.openxmlformats.org/officeDocument/2006/relationships/hyperlink" Target="https://www.designrush.com/agency/conversion-optimization/au" TargetMode="External"/><Relationship Id="rId22" Type="http://schemas.openxmlformats.org/officeDocument/2006/relationships/hyperlink" Target="https://www.designrush.com/agency/digital-marketing/trends/incrementality-testing" TargetMode="External"/><Relationship Id="rId21" Type="http://schemas.openxmlformats.org/officeDocument/2006/relationships/hyperlink" Target="http://designrush.com" TargetMode="External"/><Relationship Id="rId24" Type="http://schemas.openxmlformats.org/officeDocument/2006/relationships/hyperlink" Target="https://www.designrush.com/agency/paid-media-pay-per-click/au" TargetMode="External"/><Relationship Id="rId23" Type="http://schemas.openxmlformats.org/officeDocument/2006/relationships/hyperlink" Target="http://designrush.com" TargetMode="External"/><Relationship Id="rId26" Type="http://schemas.openxmlformats.org/officeDocument/2006/relationships/hyperlink" Target="https://www.designrush.com/agency/paid-media-pay-per-click/google-adwords/au" TargetMode="External"/><Relationship Id="rId25" Type="http://schemas.openxmlformats.org/officeDocument/2006/relationships/hyperlink" Target="http://designrush.com" TargetMode="External"/><Relationship Id="rId28" Type="http://schemas.openxmlformats.org/officeDocument/2006/relationships/hyperlink" Target="https://www.designrush.com/agency/search-engine-optimization/au" TargetMode="External"/><Relationship Id="rId27" Type="http://schemas.openxmlformats.org/officeDocument/2006/relationships/hyperlink" Target="http://designrush.com" TargetMode="External"/><Relationship Id="rId29" Type="http://schemas.openxmlformats.org/officeDocument/2006/relationships/hyperlink" Target="http://designrush.com" TargetMode="External"/><Relationship Id="rId11" Type="http://schemas.openxmlformats.org/officeDocument/2006/relationships/hyperlink" Target="http://designrush.com" TargetMode="External"/><Relationship Id="rId10" Type="http://schemas.openxmlformats.org/officeDocument/2006/relationships/hyperlink" Target="https://www.designrush.com/agency/digital-agencies/au"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paid-media-pay-per-click/au/melbourne" TargetMode="External"/><Relationship Id="rId15" Type="http://schemas.openxmlformats.org/officeDocument/2006/relationships/hyperlink" Target="http://designrush.com" TargetMode="External"/><Relationship Id="rId14" Type="http://schemas.openxmlformats.org/officeDocument/2006/relationships/hyperlink" Target="https://www.designrush.com/agency/ad-agencies/au/melbourne" TargetMode="External"/><Relationship Id="rId17" Type="http://schemas.openxmlformats.org/officeDocument/2006/relationships/hyperlink" Target="http://designrush.com" TargetMode="External"/><Relationship Id="rId16" Type="http://schemas.openxmlformats.org/officeDocument/2006/relationships/hyperlink" Target="https://www.designrush.com/agency/digital-marketing/analytics" TargetMode="External"/><Relationship Id="rId19" Type="http://schemas.openxmlformats.org/officeDocument/2006/relationships/hyperlink" Target="http://designrush.com" TargetMode="External"/><Relationship Id="rId18" Type="http://schemas.openxmlformats.org/officeDocument/2006/relationships/hyperlink" Target="https://www.designrush.com/agency/paid-media-pay-per-click/au/sydney"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agency/comments/1ok212i/performance_marketing_incrementality/"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ecommerce/comments/1qusfa4/looking_for_best_incrementality_testing_tools/" TargetMode="External"/><Relationship Id="rId7" Type="http://schemas.openxmlformats.org/officeDocument/2006/relationships/hyperlink" Target="http://reddit.com" TargetMode="External"/><Relationship Id="rId8" Type="http://schemas.openxmlformats.org/officeDocument/2006/relationships/hyperlink" Target="https://www.reddit.com/r/AskAnAustralian/comments/1kygrc6/advertising_agencies_in_aus/" TargetMode="External"/><Relationship Id="rId31" Type="http://schemas.openxmlformats.org/officeDocument/2006/relationships/hyperlink" Target="http://reddit.com" TargetMode="External"/><Relationship Id="rId30" Type="http://schemas.openxmlformats.org/officeDocument/2006/relationships/hyperlink" Target="https://www.reddit.com/r/LLMTraffic/comments/1t44tn7/which_geo_marketing_agencies_are_actually_worth/" TargetMode="External"/><Relationship Id="rId33" Type="http://schemas.openxmlformats.org/officeDocument/2006/relationships/hyperlink" Target="http://reddit.com" TargetMode="External"/><Relationship Id="rId32" Type="http://schemas.openxmlformats.org/officeDocument/2006/relationships/hyperlink" Target="https://www.reddit.com/r/MktgSupermarket/comments/1qom30j/compiled_a_directory_of_25_ai_marketing_agencies/" TargetMode="External"/><Relationship Id="rId35" Type="http://schemas.openxmlformats.org/officeDocument/2006/relationships/hyperlink" Target="http://reddit.com" TargetMode="External"/><Relationship Id="rId34" Type="http://schemas.openxmlformats.org/officeDocument/2006/relationships/hyperlink" Target="https://www.reddit.com/r/advertising/comments/1d5ypn3" TargetMode="External"/><Relationship Id="rId36" Type="http://schemas.openxmlformats.org/officeDocument/2006/relationships/drawing" Target="../drawings/drawing13.xml"/><Relationship Id="rId20" Type="http://schemas.openxmlformats.org/officeDocument/2006/relationships/hyperlink" Target="https://www.reddit.com/r/BestInAustralia/comments/1pun446/7_best_seo_agencies_in_melbourne_2026_guide/" TargetMode="External"/><Relationship Id="rId22" Type="http://schemas.openxmlformats.org/officeDocument/2006/relationships/hyperlink" Target="https://www.reddit.com/r/BestInAustralia/comments/1s8fbyv/best_seo_company_in_melbourne_april_2026/" TargetMode="External"/><Relationship Id="rId21" Type="http://schemas.openxmlformats.org/officeDocument/2006/relationships/hyperlink" Target="http://reddit.com" TargetMode="External"/><Relationship Id="rId24" Type="http://schemas.openxmlformats.org/officeDocument/2006/relationships/hyperlink" Target="https://www.reddit.com/r/BestInAustralia/comments/1tghlmb/5_best_seo_agencies_in_southbank_2026/" TargetMode="External"/><Relationship Id="rId23" Type="http://schemas.openxmlformats.org/officeDocument/2006/relationships/hyperlink" Target="http://reddit.com" TargetMode="External"/><Relationship Id="rId26" Type="http://schemas.openxmlformats.org/officeDocument/2006/relationships/hyperlink" Target="https://www.reddit.com/r/DigitalMarketing/comments/1pd7lti/can_someone_explain_geo_and_aeo_in_a_simple_way/" TargetMode="External"/><Relationship Id="rId25" Type="http://schemas.openxmlformats.org/officeDocument/2006/relationships/hyperlink" Target="http://reddit.com" TargetMode="External"/><Relationship Id="rId28" Type="http://schemas.openxmlformats.org/officeDocument/2006/relationships/hyperlink" Target="https://www.reddit.com/r/DigitalMarketing/comments/1tdo237/which_performance_marketing_agencies_specialize/"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adtech/comments/1u5mwrq/measurement_source_of_truth/" TargetMode="External"/><Relationship Id="rId13" Type="http://schemas.openxmlformats.org/officeDocument/2006/relationships/hyperlink" Target="http://reddit.com" TargetMode="External"/><Relationship Id="rId12" Type="http://schemas.openxmlformats.org/officeDocument/2006/relationships/hyperlink" Target="https://www.reddit.com/r/MktgSupermarket/comments/1qoc7o0/looking_for_digital_marketing_agencies_in_perth/" TargetMode="External"/><Relationship Id="rId15" Type="http://schemas.openxmlformats.org/officeDocument/2006/relationships/hyperlink" Target="http://reddit.com" TargetMode="External"/><Relationship Id="rId14" Type="http://schemas.openxmlformats.org/officeDocument/2006/relationships/hyperlink" Target="https://www.reddit.com/r/aeo/comments/1twcbr2/best_aeo_agency_guide_what_to_look_for_in_an/" TargetMode="External"/><Relationship Id="rId17" Type="http://schemas.openxmlformats.org/officeDocument/2006/relationships/hyperlink" Target="http://reddit.com" TargetMode="External"/><Relationship Id="rId16" Type="http://schemas.openxmlformats.org/officeDocument/2006/relationships/hyperlink" Target="https://www.reddit.com/r/AIConsultingAustralia/comments/1r3gb5b/who_are_the_top_ai_consulting_companies_in/" TargetMode="External"/><Relationship Id="rId19" Type="http://schemas.openxmlformats.org/officeDocument/2006/relationships/hyperlink" Target="http://reddit.com" TargetMode="External"/><Relationship Id="rId18" Type="http://schemas.openxmlformats.org/officeDocument/2006/relationships/hyperlink" Target="https://www.reddit.com/r/AskMarketing/comments/1r6neq7/i_run_one_of_australias_top_20_digital_agencies/"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medium.com"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trustpilot.com" TargetMode="External"/><Relationship Id="rId2" Type="http://schemas.openxmlformats.org/officeDocument/2006/relationships/hyperlink" Target="https://m.yelp.com/biz/loves-data-pty-ltd-mosman" TargetMode="External"/><Relationship Id="rId3" Type="http://schemas.openxmlformats.org/officeDocument/2006/relationships/hyperlink" Target="http://yelp.com" TargetMode="External"/><Relationship Id="rId4" Type="http://schemas.openxmlformats.org/officeDocument/2006/relationships/hyperlink" Target="https://www.zoominfo.com/c/metric-labs/447146165" TargetMode="External"/><Relationship Id="rId5" Type="http://schemas.openxmlformats.org/officeDocument/2006/relationships/hyperlink" Target="http://zoominfo.com"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clutch.co" TargetMode="External"/><Relationship Id="rId2" Type="http://schemas.openxmlformats.org/officeDocument/2006/relationships/hyperlink" Target="https://clickclickbangbang.com.au/best-facebook-ads-agency/" TargetMode="External"/><Relationship Id="rId3" Type="http://schemas.openxmlformats.org/officeDocument/2006/relationships/hyperlink" Target="http://clickclickbangbang.com.au" TargetMode="External"/><Relationship Id="rId4" Type="http://schemas.openxmlformats.org/officeDocument/2006/relationships/hyperlink" Target="https://agencies.semrush.com/list/facebook-advertising/australia/" TargetMode="External"/><Relationship Id="rId9" Type="http://schemas.openxmlformats.org/officeDocument/2006/relationships/hyperlink" Target="http://clutch.co" TargetMode="External"/><Relationship Id="rId5" Type="http://schemas.openxmlformats.org/officeDocument/2006/relationships/hyperlink" Target="http://semrush.com" TargetMode="External"/><Relationship Id="rId6" Type="http://schemas.openxmlformats.org/officeDocument/2006/relationships/hyperlink" Target="https://clutch.co/au/agencies/social-media-marketing/facebook?page=9" TargetMode="External"/><Relationship Id="rId7" Type="http://schemas.openxmlformats.org/officeDocument/2006/relationships/hyperlink" Target="http://clutch.co" TargetMode="External"/><Relationship Id="rId8" Type="http://schemas.openxmlformats.org/officeDocument/2006/relationships/hyperlink" Target="https://clutch.co/au/agencies/social-media-marketing/facebook/sydney" TargetMode="External"/><Relationship Id="rId11" Type="http://schemas.openxmlformats.org/officeDocument/2006/relationships/hyperlink" Target="http://clutch.co" TargetMode="External"/><Relationship Id="rId10" Type="http://schemas.openxmlformats.org/officeDocument/2006/relationships/hyperlink" Target="https://clutch.co/au/agencies/social-media-marketing/facebook?page=6" TargetMode="External"/><Relationship Id="rId13" Type="http://schemas.openxmlformats.org/officeDocument/2006/relationships/hyperlink" Target="http://facebook.com" TargetMode="External"/><Relationship Id="rId12" Type="http://schemas.openxmlformats.org/officeDocument/2006/relationships/hyperlink" Target="https://www.facebook.com/business/marketing-partners/business-innovation-technology-podcast/Marketing_Mix_Modeling_Utilizing_Open_Source" TargetMode="External"/><Relationship Id="rId15" Type="http://schemas.openxmlformats.org/officeDocument/2006/relationships/hyperlink" Target="http://facebook.com" TargetMode="External"/><Relationship Id="rId14" Type="http://schemas.openxmlformats.org/officeDocument/2006/relationships/hyperlink" Target="https://www.facebook.com/metriclabsau/" TargetMode="External"/><Relationship Id="rId17" Type="http://schemas.openxmlformats.org/officeDocument/2006/relationships/hyperlink" Target="http://facebook.com" TargetMode="External"/><Relationship Id="rId16" Type="http://schemas.openxmlformats.org/officeDocument/2006/relationships/hyperlink" Target="https://www.facebook.com/sparrogram/" TargetMode="External"/><Relationship Id="rId18"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linkedin.com" TargetMode="External"/><Relationship Id="rId2" Type="http://schemas.openxmlformats.org/officeDocument/2006/relationships/hyperlink" Target="https://www.linkedin.com/pulse/digital-marketing-agencies-australia-abhinav-puri-oeg4f" TargetMode="External"/><Relationship Id="rId3" Type="http://schemas.openxmlformats.org/officeDocument/2006/relationships/hyperlink" Target="http://linkedin.com" TargetMode="External"/><Relationship Id="rId4" Type="http://schemas.openxmlformats.org/officeDocument/2006/relationships/hyperlink" Target="https://www.linkedin.com/pulse/top-ai-seo-agencies-australia-watch-year-shivanshi-rai-dpy2c" TargetMode="External"/><Relationship Id="rId9" Type="http://schemas.openxmlformats.org/officeDocument/2006/relationships/hyperlink" Target="http://linkedin.com" TargetMode="External"/><Relationship Id="rId5" Type="http://schemas.openxmlformats.org/officeDocument/2006/relationships/hyperlink" Target="http://linkedin.com" TargetMode="External"/><Relationship Id="rId6" Type="http://schemas.openxmlformats.org/officeDocument/2006/relationships/hyperlink" Target="https://au.linkedin.com/company/thinkerbellagency" TargetMode="External"/><Relationship Id="rId7" Type="http://schemas.openxmlformats.org/officeDocument/2006/relationships/hyperlink" Target="http://linkedin.com" TargetMode="External"/><Relationship Id="rId8" Type="http://schemas.openxmlformats.org/officeDocument/2006/relationships/hyperlink" Target="https://au.linkedin.com/company/xpontechnologies" TargetMode="External"/><Relationship Id="rId40" Type="http://schemas.openxmlformats.org/officeDocument/2006/relationships/drawing" Target="../drawings/drawing18.xml"/><Relationship Id="rId31" Type="http://schemas.openxmlformats.org/officeDocument/2006/relationships/hyperlink" Target="http://linkedin.com" TargetMode="External"/><Relationship Id="rId30" Type="http://schemas.openxmlformats.org/officeDocument/2006/relationships/hyperlink" Target="https://au.linkedin.com/company/online-marketing-gurus" TargetMode="External"/><Relationship Id="rId33" Type="http://schemas.openxmlformats.org/officeDocument/2006/relationships/hyperlink" Target="http://linkedin.com" TargetMode="External"/><Relationship Id="rId32" Type="http://schemas.openxmlformats.org/officeDocument/2006/relationships/hyperlink" Target="https://au.linkedin.com/company/trkkn" TargetMode="External"/><Relationship Id="rId35" Type="http://schemas.openxmlformats.org/officeDocument/2006/relationships/hyperlink" Target="http://linkedin.com" TargetMode="External"/><Relationship Id="rId34" Type="http://schemas.openxmlformats.org/officeDocument/2006/relationships/hyperlink" Target="https://au.linkedin.com/in/iampaulio" TargetMode="External"/><Relationship Id="rId37" Type="http://schemas.openxmlformats.org/officeDocument/2006/relationships/hyperlink" Target="http://sortlist.com" TargetMode="External"/><Relationship Id="rId36" Type="http://schemas.openxmlformats.org/officeDocument/2006/relationships/hyperlink" Target="https://www.sortlist.com/s/linkedin-advertising/australia-au" TargetMode="External"/><Relationship Id="rId39" Type="http://schemas.openxmlformats.org/officeDocument/2006/relationships/hyperlink" Target="http://themanifest.com" TargetMode="External"/><Relationship Id="rId38" Type="http://schemas.openxmlformats.org/officeDocument/2006/relationships/hyperlink" Target="https://themanifest.com/au/social-media/linkedin/agencies" TargetMode="External"/><Relationship Id="rId20" Type="http://schemas.openxmlformats.org/officeDocument/2006/relationships/hyperlink" Target="https://au.linkedin.com/company/clemenger-bbdo" TargetMode="External"/><Relationship Id="rId22" Type="http://schemas.openxmlformats.org/officeDocument/2006/relationships/hyperlink" Target="https://au.linkedin.com/company/droga5-anz" TargetMode="External"/><Relationship Id="rId21" Type="http://schemas.openxmlformats.org/officeDocument/2006/relationships/hyperlink" Target="http://linkedin.com" TargetMode="External"/><Relationship Id="rId24" Type="http://schemas.openxmlformats.org/officeDocument/2006/relationships/hyperlink" Target="https://au.linkedin.com/company/ground-control-data" TargetMode="External"/><Relationship Id="rId23" Type="http://schemas.openxmlformats.org/officeDocument/2006/relationships/hyperlink" Target="http://linkedin.com" TargetMode="External"/><Relationship Id="rId26" Type="http://schemas.openxmlformats.org/officeDocument/2006/relationships/hyperlink" Target="https://au.linkedin.com/company/metric-labs" TargetMode="External"/><Relationship Id="rId25" Type="http://schemas.openxmlformats.org/officeDocument/2006/relationships/hyperlink" Target="http://linkedin.com" TargetMode="External"/><Relationship Id="rId28" Type="http://schemas.openxmlformats.org/officeDocument/2006/relationships/hyperlink" Target="https://au.linkedin.com/company/ogilvy-australia" TargetMode="External"/><Relationship Id="rId27" Type="http://schemas.openxmlformats.org/officeDocument/2006/relationships/hyperlink" Target="http://linkedin.com" TargetMode="External"/><Relationship Id="rId29" Type="http://schemas.openxmlformats.org/officeDocument/2006/relationships/hyperlink" Target="http://linkedin.com" TargetMode="External"/><Relationship Id="rId11" Type="http://schemas.openxmlformats.org/officeDocument/2006/relationships/hyperlink" Target="http://linkedin.com" TargetMode="External"/><Relationship Id="rId10" Type="http://schemas.openxmlformats.org/officeDocument/2006/relationships/hyperlink" Target="https://www.linkedin.com/company/sparro-digital" TargetMode="External"/><Relationship Id="rId13" Type="http://schemas.openxmlformats.org/officeDocument/2006/relationships/hyperlink" Target="http://linkedin.com" TargetMode="External"/><Relationship Id="rId12" Type="http://schemas.openxmlformats.org/officeDocument/2006/relationships/hyperlink" Target="https://www.linkedin.com/pulse/best-performance-marketing-services-australia-vanator-assist-jhjyc" TargetMode="External"/><Relationship Id="rId15" Type="http://schemas.openxmlformats.org/officeDocument/2006/relationships/hyperlink" Target="http://linkedin.com" TargetMode="External"/><Relationship Id="rId14" Type="http://schemas.openxmlformats.org/officeDocument/2006/relationships/hyperlink" Target="https://au.linkedin.com/company/alley-group" TargetMode="External"/><Relationship Id="rId17" Type="http://schemas.openxmlformats.org/officeDocument/2006/relationships/hyperlink" Target="http://linkedin.com" TargetMode="External"/><Relationship Id="rId16" Type="http://schemas.openxmlformats.org/officeDocument/2006/relationships/hyperlink" Target="https://au.linkedin.com/company/alpha-digital" TargetMode="External"/><Relationship Id="rId19" Type="http://schemas.openxmlformats.org/officeDocument/2006/relationships/hyperlink" Target="http://linkedin.com" TargetMode="External"/><Relationship Id="rId18" Type="http://schemas.openxmlformats.org/officeDocument/2006/relationships/hyperlink" Target="https://au.linkedin.com/company/bmf-advertising-pty-ltd-"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egmentstream.com" TargetMode="External"/><Relationship Id="rId2" Type="http://schemas.openxmlformats.org/officeDocument/2006/relationships/hyperlink" Target="https://dreamdata.io/incrementality-b2b-marketing" TargetMode="External"/><Relationship Id="rId3" Type="http://schemas.openxmlformats.org/officeDocument/2006/relationships/hyperlink" Target="http://dreamdata.io"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roi.com.au" TargetMode="External"/><Relationship Id="rId2" Type="http://schemas.openxmlformats.org/officeDocument/2006/relationships/hyperlink" Target="https://www.thehero.co/news/top-10-best-advertising-agencies-leading-australia-2025-sydney-melbourne-brisbane" TargetMode="External"/><Relationship Id="rId3" Type="http://schemas.openxmlformats.org/officeDocument/2006/relationships/hyperlink" Target="http://thehero.co" TargetMode="External"/><Relationship Id="rId4" Type="http://schemas.openxmlformats.org/officeDocument/2006/relationships/hyperlink" Target="https://www.appsflyer.com/blog/tips-strategy/incrementality-testing-for-marketers/" TargetMode="External"/><Relationship Id="rId9" Type="http://schemas.openxmlformats.org/officeDocument/2006/relationships/hyperlink" Target="http://ami.org.au" TargetMode="External"/><Relationship Id="rId5" Type="http://schemas.openxmlformats.org/officeDocument/2006/relationships/hyperlink" Target="http://appsflyer.com" TargetMode="External"/><Relationship Id="rId6" Type="http://schemas.openxmlformats.org/officeDocument/2006/relationships/hyperlink" Target="https://supermetrics.com/blog/incrementality-testing" TargetMode="External"/><Relationship Id="rId7" Type="http://schemas.openxmlformats.org/officeDocument/2006/relationships/hyperlink" Target="http://supermetrics.com" TargetMode="External"/><Relationship Id="rId8" Type="http://schemas.openxmlformats.org/officeDocument/2006/relationships/hyperlink" Target="https://ami.org.au/knowledge-hub/acams-ai-readiness-report-reveals-australian-marketing-teams-lagging-in-ai-maturity/" TargetMode="External"/><Relationship Id="rId40" Type="http://schemas.openxmlformats.org/officeDocument/2006/relationships/hyperlink" Target="https://advisible.com.au/google-premier-partner-what-it-means/" TargetMode="External"/><Relationship Id="rId42" Type="http://schemas.openxmlformats.org/officeDocument/2006/relationships/hyperlink" Target="https://arxiv.org/abs/2604.16369" TargetMode="External"/><Relationship Id="rId41" Type="http://schemas.openxmlformats.org/officeDocument/2006/relationships/hyperlink" Target="http://advisible.com.au" TargetMode="External"/><Relationship Id="rId44" Type="http://schemas.openxmlformats.org/officeDocument/2006/relationships/hyperlink" Target="https://www.businessinsider.com/ai-consulting-mckinsey-pwc-deloitte-bcg-kpmg-accenture-ey-ibm-2026-5" TargetMode="External"/><Relationship Id="rId43" Type="http://schemas.openxmlformats.org/officeDocument/2006/relationships/hyperlink" Target="http://arxiv.org" TargetMode="External"/><Relationship Id="rId46" Type="http://schemas.openxmlformats.org/officeDocument/2006/relationships/hyperlink" Target="https://digitalagencynetwork.com/google-reveals-in-marketing-we-trust-in-top-1-of-google-agency-partners-in-australia/" TargetMode="External"/><Relationship Id="rId45" Type="http://schemas.openxmlformats.org/officeDocument/2006/relationships/hyperlink" Target="http://businessinsider.com" TargetMode="External"/><Relationship Id="rId48" Type="http://schemas.openxmlformats.org/officeDocument/2006/relationships/hyperlink" Target="https://iabaustralia.com.au/news/iab-australia-helps-marketers-set-the-scene-for-continuous-improvement-through-experimentation/" TargetMode="External"/><Relationship Id="rId47" Type="http://schemas.openxmlformats.org/officeDocument/2006/relationships/hyperlink" Target="http://digitalagencynetwork.com" TargetMode="External"/><Relationship Id="rId49" Type="http://schemas.openxmlformats.org/officeDocument/2006/relationships/hyperlink" Target="http://iabaustralia.com.au" TargetMode="External"/><Relationship Id="rId31" Type="http://schemas.openxmlformats.org/officeDocument/2006/relationships/hyperlink" Target="https://www.searchmax.com.au/searchmax-among-the-top-3-of-google-partners-in-the-country/" TargetMode="External"/><Relationship Id="rId30" Type="http://schemas.openxmlformats.org/officeDocument/2006/relationships/hyperlink" Target="http://liondigital.com.au" TargetMode="External"/><Relationship Id="rId33" Type="http://schemas.openxmlformats.org/officeDocument/2006/relationships/hyperlink" Target="https://townsquare.agency/news/ts-once-again-ranked-one-of-australias-best-creative-agencies/" TargetMode="External"/><Relationship Id="rId32" Type="http://schemas.openxmlformats.org/officeDocument/2006/relationships/hyperlink" Target="http://searchmax.com.au" TargetMode="External"/><Relationship Id="rId35" Type="http://schemas.openxmlformats.org/officeDocument/2006/relationships/hyperlink" Target="http://adnews.com.au" TargetMode="External"/><Relationship Id="rId34" Type="http://schemas.openxmlformats.org/officeDocument/2006/relationships/hyperlink" Target="https://www.adnews.com.au/news/only-half-of-australian-marketers-use-attribution-modelling" TargetMode="External"/><Relationship Id="rId37" Type="http://schemas.openxmlformats.org/officeDocument/2006/relationships/hyperlink" Target="http://reuters.com" TargetMode="External"/><Relationship Id="rId36" Type="http://schemas.openxmlformats.org/officeDocument/2006/relationships/hyperlink" Target="https://www.reuters.com/business/publicis-raises-growth-target-ai-driven-marketing-demand-stays-strong-2026-07-16/" TargetMode="External"/><Relationship Id="rId39" Type="http://schemas.openxmlformats.org/officeDocument/2006/relationships/hyperlink" Target="http://theaustralian.com.au" TargetMode="External"/><Relationship Id="rId38" Type="http://schemas.openxmlformats.org/officeDocument/2006/relationships/hyperlink" Target="https://www.theaustralian.com.au/business/media/the-little-agencies-attracting-big-dollars/news-story/2a4a9f535e088c25718a59cba4451cda" TargetMode="External"/><Relationship Id="rId20" Type="http://schemas.openxmlformats.org/officeDocument/2006/relationships/hyperlink" Target="https://one-x.au/data-driven-marketing-australian-companies/" TargetMode="External"/><Relationship Id="rId22" Type="http://schemas.openxmlformats.org/officeDocument/2006/relationships/hyperlink" Target="https://www.theaustralian.com.au/sponsored-content/beyond-ai-pilots-the-organisations-turning-ai-ambition-into-action/news-story/415e261ad0bf616e51c3b7b79b17a86f" TargetMode="External"/><Relationship Id="rId21" Type="http://schemas.openxmlformats.org/officeDocument/2006/relationships/hyperlink" Target="http://one-x.au" TargetMode="External"/><Relationship Id="rId24" Type="http://schemas.openxmlformats.org/officeDocument/2006/relationships/hyperlink" Target="https://www.iabaustralia.com.au/news/iab-australia-starts-work-on-industry-wide-future-of-measurement-initiative-focus-on-strengthening-how-advertising-opportunities-and-outcomes-are-assessed/" TargetMode="External"/><Relationship Id="rId23" Type="http://schemas.openxmlformats.org/officeDocument/2006/relationships/hyperlink" Target="http://theaustralian.com.au" TargetMode="External"/><Relationship Id="rId26" Type="http://schemas.openxmlformats.org/officeDocument/2006/relationships/hyperlink" Target="https://aipivot.com.au/blog/what-is-a-geo-agency" TargetMode="External"/><Relationship Id="rId25" Type="http://schemas.openxmlformats.org/officeDocument/2006/relationships/hyperlink" Target="http://iabaustralia.com.au" TargetMode="External"/><Relationship Id="rId28" Type="http://schemas.openxmlformats.org/officeDocument/2006/relationships/hyperlink" Target="https://inbeat.agency/blog/incrementality-testing" TargetMode="External"/><Relationship Id="rId27" Type="http://schemas.openxmlformats.org/officeDocument/2006/relationships/hyperlink" Target="http://aipivot.com.au" TargetMode="External"/><Relationship Id="rId29" Type="http://schemas.openxmlformats.org/officeDocument/2006/relationships/hyperlink" Target="https://liondigital.com.au/lion-digital-a-premier-google-partner-placed-in-the-top-3-of-agencies/" TargetMode="External"/><Relationship Id="rId11" Type="http://schemas.openxmlformats.org/officeDocument/2006/relationships/hyperlink" Target="http://mkmedia.com.au" TargetMode="External"/><Relationship Id="rId10" Type="http://schemas.openxmlformats.org/officeDocument/2006/relationships/hyperlink" Target="https://www.mkmedia.com.au/media-attribution-research/" TargetMode="External"/><Relationship Id="rId13" Type="http://schemas.openxmlformats.org/officeDocument/2006/relationships/hyperlink" Target="http://architecturaldigest.com" TargetMode="External"/><Relationship Id="rId12" Type="http://schemas.openxmlformats.org/officeDocument/2006/relationships/hyperlink" Target="https://www.architecturaldigest.com/story/is-your-business-ready-for-the-ai-overview-era" TargetMode="External"/><Relationship Id="rId15" Type="http://schemas.openxmlformats.org/officeDocument/2006/relationships/hyperlink" Target="http://mightyhive.com" TargetMode="External"/><Relationship Id="rId14" Type="http://schemas.openxmlformats.org/officeDocument/2006/relationships/hyperlink" Target="https://mightyhive.com/mightyhive-named-top-aunz-google-marketing-platform-partner-second-year-row" TargetMode="External"/><Relationship Id="rId17" Type="http://schemas.openxmlformats.org/officeDocument/2006/relationships/hyperlink" Target="http://measured.com" TargetMode="External"/><Relationship Id="rId16" Type="http://schemas.openxmlformats.org/officeDocument/2006/relationships/hyperlink" Target="https://www.measured.com/faq/what-is-incrementality-testing/" TargetMode="External"/><Relationship Id="rId19" Type="http://schemas.openxmlformats.org/officeDocument/2006/relationships/hyperlink" Target="http://adnews.com.au" TargetMode="External"/><Relationship Id="rId18" Type="http://schemas.openxmlformats.org/officeDocument/2006/relationships/hyperlink" Target="https://www.adnews.com.au/news/wpp-media-maintains-recma-lead" TargetMode="External"/><Relationship Id="rId84" Type="http://schemas.openxmlformats.org/officeDocument/2006/relationships/hyperlink" Target="https://aana.com.au/metrics-that-matter-how-to-power-marketing-conversations-with-the-c-suite/" TargetMode="External"/><Relationship Id="rId83" Type="http://schemas.openxmlformats.org/officeDocument/2006/relationships/hyperlink" Target="http://youtube.com" TargetMode="External"/><Relationship Id="rId86" Type="http://schemas.openxmlformats.org/officeDocument/2006/relationships/hyperlink" Target="https://www.adnews.com.au/news/coca-cola-launches-global-media-review" TargetMode="External"/><Relationship Id="rId85" Type="http://schemas.openxmlformats.org/officeDocument/2006/relationships/hyperlink" Target="http://aana.com.au" TargetMode="External"/><Relationship Id="rId88" Type="http://schemas.openxmlformats.org/officeDocument/2006/relationships/hyperlink" Target="https://advertisingcouncil.org.au/news/vml-wins-australian-agency-of-the-year-title-at-spikes-asia-2026-vml-droga5-anz-and-leo-secure-one-grand-prix-each/" TargetMode="External"/><Relationship Id="rId87" Type="http://schemas.openxmlformats.org/officeDocument/2006/relationships/hyperlink" Target="http://adnews.com.au" TargetMode="External"/><Relationship Id="rId89" Type="http://schemas.openxmlformats.org/officeDocument/2006/relationships/hyperlink" Target="http://advertisingcouncil.org.au" TargetMode="External"/><Relationship Id="rId80" Type="http://schemas.openxmlformats.org/officeDocument/2006/relationships/hyperlink" Target="https://www.wsj.com/business/earnings/publicis-raises-guidance-citing-new-business-wins-ad4f0d98" TargetMode="External"/><Relationship Id="rId82" Type="http://schemas.openxmlformats.org/officeDocument/2006/relationships/hyperlink" Target="https://www.youtube.com/watch?v=Mggba8bAXVU" TargetMode="External"/><Relationship Id="rId81" Type="http://schemas.openxmlformats.org/officeDocument/2006/relationships/hyperlink" Target="http://wsj.com" TargetMode="External"/><Relationship Id="rId73" Type="http://schemas.openxmlformats.org/officeDocument/2006/relationships/hyperlink" Target="http://techradar.com" TargetMode="External"/><Relationship Id="rId72" Type="http://schemas.openxmlformats.org/officeDocument/2006/relationships/hyperlink" Target="https://www.techradar.com/pro/hubspot-increased-leads-by-1850-percent-and-we-asked-them-how-the-aeo-playbook" TargetMode="External"/><Relationship Id="rId75" Type="http://schemas.openxmlformats.org/officeDocument/2006/relationships/hyperlink" Target="http://theaustralian.com.au" TargetMode="External"/><Relationship Id="rId74" Type="http://schemas.openxmlformats.org/officeDocument/2006/relationships/hyperlink" Target="https://www.theaustralian.com.au/business/growth-agenda/accenture-song-targets-media-agencies-in-move-to-full-service-agency/news-story/375b942d4fa210237d0f10a227265b8f" TargetMode="External"/><Relationship Id="rId77" Type="http://schemas.openxmlformats.org/officeDocument/2006/relationships/hyperlink" Target="http://theaustralian.com.au" TargetMode="External"/><Relationship Id="rId76" Type="http://schemas.openxmlformats.org/officeDocument/2006/relationships/hyperlink" Target="https://www.theaustralian.com.au/business/growth-agenda/us-tech-challenger-tackles-marketings-big-attribution-problem/news-story/fdf53a9daba98edcceb53edf3adc1ea5" TargetMode="External"/><Relationship Id="rId79" Type="http://schemas.openxmlformats.org/officeDocument/2006/relationships/hyperlink" Target="http://theaustralian.com.au" TargetMode="External"/><Relationship Id="rId78" Type="http://schemas.openxmlformats.org/officeDocument/2006/relationships/hyperlink" Target="https://www.theaustralian.com.au/business/leadership/abused-and-misunderstood-why-this-ceo-offers-her-staff-autism-and-adhd-tests/news-story/c3157f767ce6b443baee0e882fc89559" TargetMode="External"/><Relationship Id="rId71" Type="http://schemas.openxmlformats.org/officeDocument/2006/relationships/hyperlink" Target="http://paramark.com.au" TargetMode="External"/><Relationship Id="rId70" Type="http://schemas.openxmlformats.org/officeDocument/2006/relationships/hyperlink" Target="https://paramark.com.au/articles/seo-cost-australia/" TargetMode="External"/><Relationship Id="rId62" Type="http://schemas.openxmlformats.org/officeDocument/2006/relationships/hyperlink" Target="https://distl.com.au/seo/generative-engine-optimisation/" TargetMode="External"/><Relationship Id="rId61" Type="http://schemas.openxmlformats.org/officeDocument/2006/relationships/hyperlink" Target="http://brainlabsdigital.com" TargetMode="External"/><Relationship Id="rId64" Type="http://schemas.openxmlformats.org/officeDocument/2006/relationships/hyperlink" Target="https://www.iabaustralia.com.au/news/iab-australia-releases-mmm-landscape-report-and-marketers-checklist/" TargetMode="External"/><Relationship Id="rId63" Type="http://schemas.openxmlformats.org/officeDocument/2006/relationships/hyperlink" Target="http://distl.com.au" TargetMode="External"/><Relationship Id="rId66" Type="http://schemas.openxmlformats.org/officeDocument/2006/relationships/hyperlink" Target="https://www.itpro.com/business/business-strategy/ai-projects-are-stalling-at-mid-market-firms-google-cloud-and-accenture-want-to-solve-that" TargetMode="External"/><Relationship Id="rId65" Type="http://schemas.openxmlformats.org/officeDocument/2006/relationships/hyperlink" Target="http://iabaustralia.com.au" TargetMode="External"/><Relationship Id="rId68" Type="http://schemas.openxmlformats.org/officeDocument/2006/relationships/hyperlink" Target="https://www.marketingsystems.com.au/blog/incrementality-testing-gold-standard-measuring-marketing-impact" TargetMode="External"/><Relationship Id="rId67" Type="http://schemas.openxmlformats.org/officeDocument/2006/relationships/hyperlink" Target="http://itpro.com" TargetMode="External"/><Relationship Id="rId60" Type="http://schemas.openxmlformats.org/officeDocument/2006/relationships/hyperlink" Target="https://www.brainlabsdigital.com/brainlabs-acquires-sparro-largest-independent-digital-media-agency-australia/" TargetMode="External"/><Relationship Id="rId69" Type="http://schemas.openxmlformats.org/officeDocument/2006/relationships/hyperlink" Target="http://marketingsystems.com.au" TargetMode="External"/><Relationship Id="rId51" Type="http://schemas.openxmlformats.org/officeDocument/2006/relationships/hyperlink" Target="http://triplewhale.com" TargetMode="External"/><Relationship Id="rId50" Type="http://schemas.openxmlformats.org/officeDocument/2006/relationships/hyperlink" Target="https://kb.triplewhale.com/en/articles/12441418-incrementality" TargetMode="External"/><Relationship Id="rId53" Type="http://schemas.openxmlformats.org/officeDocument/2006/relationships/hyperlink" Target="http://mediaweek.com.au" TargetMode="External"/><Relationship Id="rId52" Type="http://schemas.openxmlformats.org/officeDocument/2006/relationships/hyperlink" Target="https://www.mediaweek.com.au/wpp-media-tops-recma-australia-rankings-2025/" TargetMode="External"/><Relationship Id="rId55" Type="http://schemas.openxmlformats.org/officeDocument/2006/relationships/hyperlink" Target="http://prwire.com.au" TargetMode="External"/><Relationship Id="rId54" Type="http://schemas.openxmlformats.org/officeDocument/2006/relationships/hyperlink" Target="https://prwire.com.au/pr/127124/rankingco-rises-into-australia-s-top-3-of-google-partners-as-a-2026-premier-partner" TargetMode="External"/><Relationship Id="rId57" Type="http://schemas.openxmlformats.org/officeDocument/2006/relationships/hyperlink" Target="http://adnews.com.au" TargetMode="External"/><Relationship Id="rId56" Type="http://schemas.openxmlformats.org/officeDocument/2006/relationships/hyperlink" Target="https://www.adnews.com.au/news/comvergence-omd-tops-australia-for-media-agency-billings-and-market-share" TargetMode="External"/><Relationship Id="rId59" Type="http://schemas.openxmlformats.org/officeDocument/2006/relationships/hyperlink" Target="http://artd.com.au" TargetMode="External"/><Relationship Id="rId58" Type="http://schemas.openxmlformats.org/officeDocument/2006/relationships/hyperlink" Target="https://www.artd.com.au/our-projects/australian-trusted-trader-10-year-monitoring-and-evaluation-strategy/" TargetMode="External"/><Relationship Id="rId95" Type="http://schemas.openxmlformats.org/officeDocument/2006/relationships/hyperlink" Target="http://arxiv.org" TargetMode="External"/><Relationship Id="rId94" Type="http://schemas.openxmlformats.org/officeDocument/2006/relationships/hyperlink" Target="https://arxiv.org/abs/2403.14674" TargetMode="External"/><Relationship Id="rId97" Type="http://schemas.openxmlformats.org/officeDocument/2006/relationships/hyperlink" Target="http://arxiv.org" TargetMode="External"/><Relationship Id="rId96" Type="http://schemas.openxmlformats.org/officeDocument/2006/relationships/hyperlink" Target="https://arxiv.org/abs/2509.08919" TargetMode="External"/><Relationship Id="rId99" Type="http://schemas.openxmlformats.org/officeDocument/2006/relationships/hyperlink" Target="http://atomic212.com.au" TargetMode="External"/><Relationship Id="rId98" Type="http://schemas.openxmlformats.org/officeDocument/2006/relationships/hyperlink" Target="https://atomic212.com.au/brand-demand-and-incrementality-why-and-how-agency-marketing-relationships-kpis-and-operating-models-must-rapidly-evolve/" TargetMode="External"/><Relationship Id="rId91" Type="http://schemas.openxmlformats.org/officeDocument/2006/relationships/hyperlink" Target="http://als-cs.com" TargetMode="External"/><Relationship Id="rId90" Type="http://schemas.openxmlformats.org/officeDocument/2006/relationships/hyperlink" Target="https://www.als-cs.com/glossary/a/authorized-economic-operator-aeo-trusted-trader-programs/" TargetMode="External"/><Relationship Id="rId93" Type="http://schemas.openxmlformats.org/officeDocument/2006/relationships/hyperlink" Target="http://ami.org.au" TargetMode="External"/><Relationship Id="rId92" Type="http://schemas.openxmlformats.org/officeDocument/2006/relationships/hyperlink" Target="https://ami.org.au/knowledge-hub/australian-marketing-institute-announces-2025-marketing-excellence-award-winners/" TargetMode="External"/><Relationship Id="rId220" Type="http://schemas.openxmlformats.org/officeDocument/2006/relationships/hyperlink" Target="https://www.youtube.com/watch?v=XhMbeN7cH34&amp;t=707" TargetMode="External"/><Relationship Id="rId222" Type="http://schemas.openxmlformats.org/officeDocument/2006/relationships/drawing" Target="../drawings/drawing21.xml"/><Relationship Id="rId221" Type="http://schemas.openxmlformats.org/officeDocument/2006/relationships/hyperlink" Target="http://youtube.com" TargetMode="External"/><Relationship Id="rId217" Type="http://schemas.openxmlformats.org/officeDocument/2006/relationships/hyperlink" Target="http://wpp.com" TargetMode="External"/><Relationship Id="rId216" Type="http://schemas.openxmlformats.org/officeDocument/2006/relationships/hyperlink" Target="https://www.wpp.com/en/news/wpp-agencies-triumph-at-cannes-lions-2026-with-ogilvy-and-vml-claiming-the-top-two-creative-network-honours" TargetMode="External"/><Relationship Id="rId215" Type="http://schemas.openxmlformats.org/officeDocument/2006/relationships/hyperlink" Target="http://wpp.com" TargetMode="External"/><Relationship Id="rId214" Type="http://schemas.openxmlformats.org/officeDocument/2006/relationships/hyperlink" Target="https://www.wpp.com/en/news/2025/06/wpp-wins-creative-company-of-the-year-at-cannes-lions-2025" TargetMode="External"/><Relationship Id="rId219" Type="http://schemas.openxmlformats.org/officeDocument/2006/relationships/hyperlink" Target="http://youtube.com" TargetMode="External"/><Relationship Id="rId218" Type="http://schemas.openxmlformats.org/officeDocument/2006/relationships/hyperlink" Target="https://www.youtube.com/watch?v=Ko4i_WqyPwE&amp;t=263" TargetMode="External"/><Relationship Id="rId213" Type="http://schemas.openxmlformats.org/officeDocument/2006/relationships/hyperlink" Target="http://wpp.com" TargetMode="External"/><Relationship Id="rId212" Type="http://schemas.openxmlformats.org/officeDocument/2006/relationships/hyperlink" Target="https://www.wpp.com/en/news/2025/03/wpp-claims-top-honours-on-the-warc-creative-100" TargetMode="External"/><Relationship Id="rId211" Type="http://schemas.openxmlformats.org/officeDocument/2006/relationships/hyperlink" Target="http://thinkerbell.com" TargetMode="External"/><Relationship Id="rId210" Type="http://schemas.openxmlformats.org/officeDocument/2006/relationships/hyperlink" Target="https://thinkerbell.com/news/thinkerbell-wins-vegemite/" TargetMode="External"/><Relationship Id="rId206" Type="http://schemas.openxmlformats.org/officeDocument/2006/relationships/hyperlink" Target="http://thehero.co" TargetMode="External"/><Relationship Id="rId205" Type="http://schemas.openxmlformats.org/officeDocument/2006/relationships/hyperlink" Target="https://www.thehero.co/news/sydneys-top-ad-agencies-and-the-best-sydney-creative-agency-for-2026" TargetMode="External"/><Relationship Id="rId204" Type="http://schemas.openxmlformats.org/officeDocument/2006/relationships/hyperlink" Target="http://thedrum.com" TargetMode="External"/><Relationship Id="rId203" Type="http://schemas.openxmlformats.org/officeDocument/2006/relationships/hyperlink" Target="https://www.thedrum.com/news/why-deliveroo-is-putting-incrementality-testing-back-on-the-menu-1" TargetMode="External"/><Relationship Id="rId209" Type="http://schemas.openxmlformats.org/officeDocument/2006/relationships/hyperlink" Target="https://www.themarketer.news/post/bonfire-named-2025-ami-marketing-excellence-award-agency-of-the-year" TargetMode="External"/><Relationship Id="rId208" Type="http://schemas.openxmlformats.org/officeDocument/2006/relationships/hyperlink" Target="http://thehero.co" TargetMode="External"/><Relationship Id="rId207" Type="http://schemas.openxmlformats.org/officeDocument/2006/relationships/hyperlink" Target="https://www.thehero.co/news/top-10-best-ad-agency-in-sydney-leading-australia-at-wina-2026" TargetMode="External"/><Relationship Id="rId202" Type="http://schemas.openxmlformats.org/officeDocument/2006/relationships/hyperlink" Target="http://theaustralian.com.au" TargetMode="External"/><Relationship Id="rId201" Type="http://schemas.openxmlformats.org/officeDocument/2006/relationships/hyperlink" Target="https://www.theaustralian.com.au/business/growth-agenda/wpps-media-ambitions-wont-impact-groupms-local-growth/news-story/7af81a0f6c387b9b8cecf519a403824d" TargetMode="External"/><Relationship Id="rId200" Type="http://schemas.openxmlformats.org/officeDocument/2006/relationships/hyperlink" Target="http://techradar.com" TargetMode="External"/><Relationship Id="rId190" Type="http://schemas.openxmlformats.org/officeDocument/2006/relationships/hyperlink" Target="http://resolutiondigital.com.au" TargetMode="External"/><Relationship Id="rId194" Type="http://schemas.openxmlformats.org/officeDocument/2006/relationships/hyperlink" Target="http://singlegrain.com" TargetMode="External"/><Relationship Id="rId193" Type="http://schemas.openxmlformats.org/officeDocument/2006/relationships/hyperlink" Target="https://www.singlegrain.com/geo/the-complete-guide-to-generative-engine-optimization-geo/" TargetMode="External"/><Relationship Id="rId192" Type="http://schemas.openxmlformats.org/officeDocument/2006/relationships/hyperlink" Target="http://resolutiondigital.com.au" TargetMode="External"/><Relationship Id="rId191" Type="http://schemas.openxmlformats.org/officeDocument/2006/relationships/hyperlink" Target="https://www.resolutiondigital.com.au/insights/resolution-digital-2022-google-premier-partner/" TargetMode="External"/><Relationship Id="rId187" Type="http://schemas.openxmlformats.org/officeDocument/2006/relationships/hyperlink" Target="https://newsroom.accenture.com/news/2017/accenture-acquires-creative-and-design-agencies-the-monkeys-and-maud-to-expand-its-customer-experience-capabilities-in-australia-and-new-zealand" TargetMode="External"/><Relationship Id="rId186" Type="http://schemas.openxmlformats.org/officeDocument/2006/relationships/hyperlink" Target="http://mumbrella.com.au" TargetMode="External"/><Relationship Id="rId185" Type="http://schemas.openxmlformats.org/officeDocument/2006/relationships/hyperlink" Target="https://mumbrella.com.au/canva-partners-with-rocket-agency-to-scale-creative-production-for-in-house-marketing-teams-925804" TargetMode="External"/><Relationship Id="rId184" Type="http://schemas.openxmlformats.org/officeDocument/2006/relationships/hyperlink" Target="http://mi-3.com.au" TargetMode="External"/><Relationship Id="rId189" Type="http://schemas.openxmlformats.org/officeDocument/2006/relationships/hyperlink" Target="https://www.resolutiondigital.com.au/insights/omnicom-media-group-launches-trkkn-in-anz/" TargetMode="External"/><Relationship Id="rId188" Type="http://schemas.openxmlformats.org/officeDocument/2006/relationships/hyperlink" Target="http://accenture.com" TargetMode="External"/><Relationship Id="rId183" Type="http://schemas.openxmlformats.org/officeDocument/2006/relationships/hyperlink" Target="https://www.mi-3.com.au/editorial-series/mmms-next-wave" TargetMode="External"/><Relationship Id="rId182" Type="http://schemas.openxmlformats.org/officeDocument/2006/relationships/hyperlink" Target="http://mi-3.com.au" TargetMode="External"/><Relationship Id="rId181" Type="http://schemas.openxmlformats.org/officeDocument/2006/relationships/hyperlink" Target="https://www.mi-3.com.au/14-07-2026/marketing-we-trust-secures-gold-marketech-apac-awards-ai-driven-content-campaign" TargetMode="External"/><Relationship Id="rId180" Type="http://schemas.openxmlformats.org/officeDocument/2006/relationships/hyperlink" Target="http://mi-3.com.au" TargetMode="External"/><Relationship Id="rId176" Type="http://schemas.openxmlformats.org/officeDocument/2006/relationships/hyperlink" Target="http://mediaweek.com.au" TargetMode="External"/><Relationship Id="rId175" Type="http://schemas.openxmlformats.org/officeDocument/2006/relationships/hyperlink" Target="https://www.mediaweek.com.au/cannes-2026-winners-show-the-power-of-australias-integrated-approach/" TargetMode="External"/><Relationship Id="rId174" Type="http://schemas.openxmlformats.org/officeDocument/2006/relationships/hyperlink" Target="http://jellyfish.com" TargetMode="External"/><Relationship Id="rId173" Type="http://schemas.openxmlformats.org/officeDocument/2006/relationships/hyperlink" Target="https://www.jellyfish.com/en-us/news/jellyfish-wins-google-australias-gmp-partner-of-the-year/" TargetMode="External"/><Relationship Id="rId179" Type="http://schemas.openxmlformats.org/officeDocument/2006/relationships/hyperlink" Target="https://www.mi-3.com.au/06-08-2025/marketing-we-trust-restructures-leadership-and-forms-advisory-board" TargetMode="External"/><Relationship Id="rId178" Type="http://schemas.openxmlformats.org/officeDocument/2006/relationships/hyperlink" Target="http://mediaweek.com.au" TargetMode="External"/><Relationship Id="rId177" Type="http://schemas.openxmlformats.org/officeDocument/2006/relationships/hyperlink" Target="https://www.mediaweek.com.au/omnicom-media-group-launches-trkkn-analytics-in-australia/" TargetMode="External"/><Relationship Id="rId198" Type="http://schemas.openxmlformats.org/officeDocument/2006/relationships/hyperlink" Target="http://google.com" TargetMode="External"/><Relationship Id="rId197" Type="http://schemas.openxmlformats.org/officeDocument/2006/relationships/hyperlink" Target="https://support.google.com/google-ads/answer/11410677?hl=en-AU" TargetMode="External"/><Relationship Id="rId196" Type="http://schemas.openxmlformats.org/officeDocument/2006/relationships/hyperlink" Target="http://sotatek.com.au" TargetMode="External"/><Relationship Id="rId195" Type="http://schemas.openxmlformats.org/officeDocument/2006/relationships/hyperlink" Target="https://sotatek.com.au/blogs/ai-solutions-in-australia/" TargetMode="External"/><Relationship Id="rId199" Type="http://schemas.openxmlformats.org/officeDocument/2006/relationships/hyperlink" Target="https://www.techradar.com/pro/companies-that-can-serve-both-human-and-agent-audiences-will-be-the-ones-that-survive-wordpress-vip-cto-spells-out-the-future-of-seo-geo-and-more" TargetMode="External"/><Relationship Id="rId150" Type="http://schemas.openxmlformats.org/officeDocument/2006/relationships/hyperlink" Target="http://facebook.com" TargetMode="External"/><Relationship Id="rId149" Type="http://schemas.openxmlformats.org/officeDocument/2006/relationships/hyperlink" Target="https://www.facebook.com/business/marketing-partners/business-innovation-technology-podcast/Marketing_Mix_Modeling_Utilizing_Open_Source" TargetMode="External"/><Relationship Id="rId148" Type="http://schemas.openxmlformats.org/officeDocument/2006/relationships/hyperlink" Target="http://eventbrite.com.au" TargetMode="External"/><Relationship Id="rId143" Type="http://schemas.openxmlformats.org/officeDocument/2006/relationships/hyperlink" Target="https://campaignbrief.com/its-hello-not-goodbye-a-retrospective-look-at-the-monkeys-and-welcome-to-droga5/" TargetMode="External"/><Relationship Id="rId142" Type="http://schemas.openxmlformats.org/officeDocument/2006/relationships/hyperlink" Target="http://campaignbrief.com" TargetMode="External"/><Relationship Id="rId141" Type="http://schemas.openxmlformats.org/officeDocument/2006/relationships/hyperlink" Target="https://campaignbrief.com/in-marketing-we-trust-joins-top-1-of-google-agency-partners-in-australia/" TargetMode="External"/><Relationship Id="rId140" Type="http://schemas.openxmlformats.org/officeDocument/2006/relationships/hyperlink" Target="http://campaignbrief.com" TargetMode="External"/><Relationship Id="rId147" Type="http://schemas.openxmlformats.org/officeDocument/2006/relationships/hyperlink" Target="https://www.eventbrite.com.au/blog/case-studies/loves-data-chooses-eventbrite-one-stop-shop-wide-range-events-ds1d/" TargetMode="External"/><Relationship Id="rId146" Type="http://schemas.openxmlformats.org/officeDocument/2006/relationships/hyperlink" Target="http://designrush.com" TargetMode="External"/><Relationship Id="rId145" Type="http://schemas.openxmlformats.org/officeDocument/2006/relationships/hyperlink" Target="https://www.designrush.com/agency/digital-marketing/trends/incrementality-testing" TargetMode="External"/><Relationship Id="rId144" Type="http://schemas.openxmlformats.org/officeDocument/2006/relationships/hyperlink" Target="http://campaignbrief.com" TargetMode="External"/><Relationship Id="rId139" Type="http://schemas.openxmlformats.org/officeDocument/2006/relationships/hyperlink" Target="https://campaignbrief.com/ikea-australia-appoints-host-havas-as-new-creative-agency-ends-partnership-with-chep/" TargetMode="External"/><Relationship Id="rId138" Type="http://schemas.openxmlformats.org/officeDocument/2006/relationships/hyperlink" Target="http://businessinsider.com" TargetMode="External"/><Relationship Id="rId137" Type="http://schemas.openxmlformats.org/officeDocument/2006/relationships/hyperlink" Target="https://www.businessinsider.com/bain-cmo-erika-serow-cannes-lions-2026-7" TargetMode="External"/><Relationship Id="rId132" Type="http://schemas.openxmlformats.org/officeDocument/2006/relationships/hyperlink" Target="http://brandinginasia.com" TargetMode="External"/><Relationship Id="rId131" Type="http://schemas.openxmlformats.org/officeDocument/2006/relationships/hyperlink" Target="https://www.brandinginasia.com/in-marketing-we-trust-announces-leadership-promotions-and-appointments/" TargetMode="External"/><Relationship Id="rId130" Type="http://schemas.openxmlformats.org/officeDocument/2006/relationships/hyperlink" Target="http://bonfire.com.au" TargetMode="External"/><Relationship Id="rId136" Type="http://schemas.openxmlformats.org/officeDocument/2006/relationships/hyperlink" Target="http://adobe.com" TargetMode="External"/><Relationship Id="rId135" Type="http://schemas.openxmlformats.org/officeDocument/2006/relationships/hyperlink" Target="https://business.adobe.com/au/blog/basics/marketing-attribution" TargetMode="External"/><Relationship Id="rId134" Type="http://schemas.openxmlformats.org/officeDocument/2006/relationships/hyperlink" Target="http://brandinginasia.com" TargetMode="External"/><Relationship Id="rId133" Type="http://schemas.openxmlformats.org/officeDocument/2006/relationships/hyperlink" Target="https://www.brandinginasia.com/lite-n-easy-appoints-ogilvy-australia-as-agency-of-record/" TargetMode="External"/><Relationship Id="rId172" Type="http://schemas.openxmlformats.org/officeDocument/2006/relationships/hyperlink" Target="http://itbrief.com.au" TargetMode="External"/><Relationship Id="rId171" Type="http://schemas.openxmlformats.org/officeDocument/2006/relationships/hyperlink" Target="https://itbrief.com.au/story/australian-marketers-eager-on-ai-but-most-lack-readiness-report-finds" TargetMode="External"/><Relationship Id="rId170" Type="http://schemas.openxmlformats.org/officeDocument/2006/relationships/hyperlink" Target="http://itbrief.asia" TargetMode="External"/><Relationship Id="rId165" Type="http://schemas.openxmlformats.org/officeDocument/2006/relationships/hyperlink" Target="https://inmarketingwetrust.com.au/reverse-engineering-the-dark-funnel/" TargetMode="External"/><Relationship Id="rId164" Type="http://schemas.openxmlformats.org/officeDocument/2006/relationships/hyperlink" Target="http://incubeta.com" TargetMode="External"/><Relationship Id="rId163" Type="http://schemas.openxmlformats.org/officeDocument/2006/relationships/hyperlink" Target="https://incubeta.com/news-and-resources/incubeta-joins-googles-international-growth-program/" TargetMode="External"/><Relationship Id="rId162" Type="http://schemas.openxmlformats.org/officeDocument/2006/relationships/hyperlink" Target="http://iabaustralia.com.au" TargetMode="External"/><Relationship Id="rId169" Type="http://schemas.openxmlformats.org/officeDocument/2006/relationships/hyperlink" Target="https://itbrief.asia/story/in-marketing-we-trust-unveils-new-leaders-advisory-board" TargetMode="External"/><Relationship Id="rId168" Type="http://schemas.openxmlformats.org/officeDocument/2006/relationships/hyperlink" Target="http://instagram.com" TargetMode="External"/><Relationship Id="rId167" Type="http://schemas.openxmlformats.org/officeDocument/2006/relationships/hyperlink" Target="https://www.instagram.com/p/DWmua7IDz4F/" TargetMode="External"/><Relationship Id="rId166" Type="http://schemas.openxmlformats.org/officeDocument/2006/relationships/hyperlink" Target="http://inmarketingwetrust.com.au" TargetMode="External"/><Relationship Id="rId161" Type="http://schemas.openxmlformats.org/officeDocument/2006/relationships/hyperlink" Target="https://www.iabaustralia.com.au/resource/market-mix-modelling-landscape-report-2025/" TargetMode="External"/><Relationship Id="rId160" Type="http://schemas.openxmlformats.org/officeDocument/2006/relationships/hyperlink" Target="http://hoefonsecurityseals.com" TargetMode="External"/><Relationship Id="rId159" Type="http://schemas.openxmlformats.org/officeDocument/2006/relationships/hyperlink" Target="https://hoefonsecurityseals.com/business/authorized-economic-operator-aeo/" TargetMode="External"/><Relationship Id="rId154" Type="http://schemas.openxmlformats.org/officeDocument/2006/relationships/hyperlink" Target="http://funnel.io" TargetMode="External"/><Relationship Id="rId153" Type="http://schemas.openxmlformats.org/officeDocument/2006/relationships/hyperlink" Target="https://funnel.io/case-studies/sparro" TargetMode="External"/><Relationship Id="rId152" Type="http://schemas.openxmlformats.org/officeDocument/2006/relationships/hyperlink" Target="http://funnel.io" TargetMode="External"/><Relationship Id="rId151" Type="http://schemas.openxmlformats.org/officeDocument/2006/relationships/hyperlink" Target="https://funnel.io/blog/incrementality" TargetMode="External"/><Relationship Id="rId158" Type="http://schemas.openxmlformats.org/officeDocument/2006/relationships/hyperlink" Target="http://hockeystack.com" TargetMode="External"/><Relationship Id="rId157" Type="http://schemas.openxmlformats.org/officeDocument/2006/relationships/hyperlink" Target="https://www.hockeystack.com/blog-posts/types-of-marketing-analytics-and-how-they-affect-marketing-strategies" TargetMode="External"/><Relationship Id="rId156" Type="http://schemas.openxmlformats.org/officeDocument/2006/relationships/hyperlink" Target="http://fzpdigital.com" TargetMode="External"/><Relationship Id="rId155" Type="http://schemas.openxmlformats.org/officeDocument/2006/relationships/hyperlink" Target="https://fzpdigital.com/marketing-firms/" TargetMode="External"/><Relationship Id="rId107" Type="http://schemas.openxmlformats.org/officeDocument/2006/relationships/hyperlink" Target="http://bandt.com.au" TargetMode="External"/><Relationship Id="rId106" Type="http://schemas.openxmlformats.org/officeDocument/2006/relationships/hyperlink" Target="https://www.bandt.com.au/iab-australia-releases-landscape-report-to-guide-marketers-through-mmm-implementation/" TargetMode="External"/><Relationship Id="rId105" Type="http://schemas.openxmlformats.org/officeDocument/2006/relationships/hyperlink" Target="http://bandt.com.au" TargetMode="External"/><Relationship Id="rId104" Type="http://schemas.openxmlformats.org/officeDocument/2006/relationships/hyperlink" Target="https://www.bandt.com.au/bt-awards-agency-of-the-year-winners-2024/" TargetMode="External"/><Relationship Id="rId109" Type="http://schemas.openxmlformats.org/officeDocument/2006/relationships/hyperlink" Target="http://bandt.com.au" TargetMode="External"/><Relationship Id="rId108" Type="http://schemas.openxmlformats.org/officeDocument/2006/relationships/hyperlink" Target="https://www.bandt.com.au/impressive-elevates-sam-makwana-to-gm-amid-slew-of-promotions/" TargetMode="External"/><Relationship Id="rId103" Type="http://schemas.openxmlformats.org/officeDocument/2006/relationships/hyperlink" Target="http://bandt.com.au" TargetMode="External"/><Relationship Id="rId102" Type="http://schemas.openxmlformats.org/officeDocument/2006/relationships/hyperlink" Target="https://www.bandt.com.au/agency-scorecard-in-marketing-we-trust/" TargetMode="External"/><Relationship Id="rId101" Type="http://schemas.openxmlformats.org/officeDocument/2006/relationships/hyperlink" Target="http://axios.com" TargetMode="External"/><Relationship Id="rId100" Type="http://schemas.openxmlformats.org/officeDocument/2006/relationships/hyperlink" Target="https://www.axios.com/2026/07/16/geo-communications-marketing-strategy" TargetMode="External"/><Relationship Id="rId129" Type="http://schemas.openxmlformats.org/officeDocument/2006/relationships/hyperlink" Target="https://www.bonfire.com.au/resource/bonfires-chelsea-craddock-wins-agency-rockstar-at-google-honours-awards/" TargetMode="External"/><Relationship Id="rId128" Type="http://schemas.openxmlformats.org/officeDocument/2006/relationships/hyperlink" Target="http://bonfire.com.au" TargetMode="External"/><Relationship Id="rId127" Type="http://schemas.openxmlformats.org/officeDocument/2006/relationships/hyperlink" Target="https://www.bonfire.com.au/resource/bonfire-wins-agency-of-the-year-at-2025-ami-marketing-excellence-awards/" TargetMode="External"/><Relationship Id="rId126" Type="http://schemas.openxmlformats.org/officeDocument/2006/relationships/hyperlink" Target="http://bonfire.com.au" TargetMode="External"/><Relationship Id="rId121" Type="http://schemas.openxmlformats.org/officeDocument/2006/relationships/hyperlink" Target="http://bandt.com.au" TargetMode="External"/><Relationship Id="rId120" Type="http://schemas.openxmlformats.org/officeDocument/2006/relationships/hyperlink" Target="https://www.bandt.com.au/wpp-media-pulls-away-from-omnicom-essencemediacom-gains-on-leader-omd/" TargetMode="External"/><Relationship Id="rId125" Type="http://schemas.openxmlformats.org/officeDocument/2006/relationships/hyperlink" Target="https://www.bonfire.com.au/resource/bonfire-retains-google-premier-partner-status-for-10th-consecutive-year/" TargetMode="External"/><Relationship Id="rId124" Type="http://schemas.openxmlformats.org/officeDocument/2006/relationships/hyperlink" Target="http://bmf.com.au" TargetMode="External"/><Relationship Id="rId123" Type="http://schemas.openxmlformats.org/officeDocument/2006/relationships/hyperlink" Target="https://bmf.com.au/news/2025-mumbrella-awards/" TargetMode="External"/><Relationship Id="rId122" Type="http://schemas.openxmlformats.org/officeDocument/2006/relationships/hyperlink" Target="https://blog.google/products/marketingplatform/360/introducing-google-marketing-platform-partners/" TargetMode="External"/><Relationship Id="rId118" Type="http://schemas.openxmlformats.org/officeDocument/2006/relationships/hyperlink" Target="https://www.bandt.com.au/the-next-evolution-for-ground-control-data-marketing-evolution/" TargetMode="External"/><Relationship Id="rId117" Type="http://schemas.openxmlformats.org/officeDocument/2006/relationships/hyperlink" Target="http://bandt.com.au" TargetMode="External"/><Relationship Id="rId116" Type="http://schemas.openxmlformats.org/officeDocument/2006/relationships/hyperlink" Target="https://www.bandt.com.au/the-monkeys-is-dead-long-live-droga5-anz/" TargetMode="External"/><Relationship Id="rId115" Type="http://schemas.openxmlformats.org/officeDocument/2006/relationships/hyperlink" Target="http://bandt.com.au" TargetMode="External"/><Relationship Id="rId119" Type="http://schemas.openxmlformats.org/officeDocument/2006/relationships/hyperlink" Target="http://bandt.com.au" TargetMode="External"/><Relationship Id="rId110" Type="http://schemas.openxmlformats.org/officeDocument/2006/relationships/hyperlink" Target="https://www.bandt.com.au/meet-gain-theory-wpps-marketing-effectiveness-arm-targeting-australia-for-growth/" TargetMode="External"/><Relationship Id="rId114" Type="http://schemas.openxmlformats.org/officeDocument/2006/relationships/hyperlink" Target="https://www.bandt.com.au/publicis-wpp-media-dominate-new-business-indies-quietly-climb-rankings/" TargetMode="External"/><Relationship Id="rId113" Type="http://schemas.openxmlformats.org/officeDocument/2006/relationships/hyperlink" Target="http://bandt.com.au" TargetMode="External"/><Relationship Id="rId112" Type="http://schemas.openxmlformats.org/officeDocument/2006/relationships/hyperlink" Target="https://www.bandt.com.au/omnicom-resolution-digital-launch-resolution-kinetic-in-australia/" TargetMode="External"/><Relationship Id="rId111" Type="http://schemas.openxmlformats.org/officeDocument/2006/relationships/hyperlink" Target="http://bandt.com.au"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clutch.co/au/agencies/digital-marketing" TargetMode="External"/><Relationship Id="rId3" Type="http://schemas.openxmlformats.org/officeDocument/2006/relationships/hyperlink" Target="http://clutch.co" TargetMode="External"/><Relationship Id="rId4" Type="http://schemas.openxmlformats.org/officeDocument/2006/relationships/hyperlink" Target="https://clutch.co/au/agencies" TargetMode="External"/><Relationship Id="rId9" Type="http://schemas.openxmlformats.org/officeDocument/2006/relationships/hyperlink" Target="http://sortlist.com" TargetMode="External"/><Relationship Id="rId5" Type="http://schemas.openxmlformats.org/officeDocument/2006/relationships/hyperlink" Target="http://clutch.co" TargetMode="External"/><Relationship Id="rId6" Type="http://schemas.openxmlformats.org/officeDocument/2006/relationships/hyperlink" Target="https://agencies.semrush.com/list/advertising/australia/" TargetMode="External"/><Relationship Id="rId7" Type="http://schemas.openxmlformats.org/officeDocument/2006/relationships/hyperlink" Target="http://semrush.com" TargetMode="External"/><Relationship Id="rId8" Type="http://schemas.openxmlformats.org/officeDocument/2006/relationships/hyperlink" Target="https://www.sortlist.com/s/paid-media/australia-au" TargetMode="External"/><Relationship Id="rId40" Type="http://schemas.openxmlformats.org/officeDocument/2006/relationships/hyperlink" Target="https://clutch.co/au/agencies/social-media-marketing/facebook" TargetMode="External"/><Relationship Id="rId42" Type="http://schemas.openxmlformats.org/officeDocument/2006/relationships/hyperlink" Target="https://www.sortlist.com/s/performance-marketing/melbourne-au" TargetMode="External"/><Relationship Id="rId41" Type="http://schemas.openxmlformats.org/officeDocument/2006/relationships/hyperlink" Target="http://clutch.co" TargetMode="External"/><Relationship Id="rId44" Type="http://schemas.openxmlformats.org/officeDocument/2006/relationships/hyperlink" Target="https://agencies.semrush.com/list/ai-optimization/australia/small-business/" TargetMode="External"/><Relationship Id="rId43" Type="http://schemas.openxmlformats.org/officeDocument/2006/relationships/hyperlink" Target="http://sortlist.com" TargetMode="External"/><Relationship Id="rId46" Type="http://schemas.openxmlformats.org/officeDocument/2006/relationships/hyperlink" Target="https://www.sortlist.com/s/marketing-analytics/australia-au" TargetMode="External"/><Relationship Id="rId45" Type="http://schemas.openxmlformats.org/officeDocument/2006/relationships/hyperlink" Target="http://semrush.com" TargetMode="External"/><Relationship Id="rId48" Type="http://schemas.openxmlformats.org/officeDocument/2006/relationships/hyperlink" Target="https://www.designrush.com/agency/ad-agencies/au" TargetMode="External"/><Relationship Id="rId47" Type="http://schemas.openxmlformats.org/officeDocument/2006/relationships/hyperlink" Target="http://sortlist.com" TargetMode="External"/><Relationship Id="rId49" Type="http://schemas.openxmlformats.org/officeDocument/2006/relationships/hyperlink" Target="http://designrush.com" TargetMode="External"/><Relationship Id="rId31" Type="http://schemas.openxmlformats.org/officeDocument/2006/relationships/hyperlink" Target="http://designrush.com" TargetMode="External"/><Relationship Id="rId30" Type="http://schemas.openxmlformats.org/officeDocument/2006/relationships/hyperlink" Target="https://www.designrush.com/agency/creative-agencies/au" TargetMode="External"/><Relationship Id="rId33" Type="http://schemas.openxmlformats.org/officeDocument/2006/relationships/hyperlink" Target="http://digitalagencynetwork.com" TargetMode="External"/><Relationship Id="rId32" Type="http://schemas.openxmlformats.org/officeDocument/2006/relationships/hyperlink" Target="https://digitalagencynetwork.com/agencies/australia/social-media-marketing/" TargetMode="External"/><Relationship Id="rId35" Type="http://schemas.openxmlformats.org/officeDocument/2006/relationships/hyperlink" Target="http://clutch.co" TargetMode="External"/><Relationship Id="rId34" Type="http://schemas.openxmlformats.org/officeDocument/2006/relationships/hyperlink" Target="https://clutch.co/au/agencies/ppc/advertising-industry" TargetMode="External"/><Relationship Id="rId37" Type="http://schemas.openxmlformats.org/officeDocument/2006/relationships/hyperlink" Target="http://sortlist.com" TargetMode="External"/><Relationship Id="rId36" Type="http://schemas.openxmlformats.org/officeDocument/2006/relationships/hyperlink" Target="https://www.sortlist.com/s/paid-media/sydney-au" TargetMode="External"/><Relationship Id="rId39" Type="http://schemas.openxmlformats.org/officeDocument/2006/relationships/hyperlink" Target="http://sortlist.com" TargetMode="External"/><Relationship Id="rId38" Type="http://schemas.openxmlformats.org/officeDocument/2006/relationships/hyperlink" Target="https://www.sortlist.com/s/performance-marketing/australia-au" TargetMode="External"/><Relationship Id="rId20" Type="http://schemas.openxmlformats.org/officeDocument/2006/relationships/hyperlink" Target="https://clutch.co/au/agencies/creative" TargetMode="External"/><Relationship Id="rId22" Type="http://schemas.openxmlformats.org/officeDocument/2006/relationships/hyperlink" Target="https://agencies.semrush.com/list/analytics-data-science/australia/" TargetMode="External"/><Relationship Id="rId21" Type="http://schemas.openxmlformats.org/officeDocument/2006/relationships/hyperlink" Target="http://clutch.co" TargetMode="External"/><Relationship Id="rId24" Type="http://schemas.openxmlformats.org/officeDocument/2006/relationships/hyperlink" Target="https://clutch.co/au/consulting/ai" TargetMode="External"/><Relationship Id="rId23" Type="http://schemas.openxmlformats.org/officeDocument/2006/relationships/hyperlink" Target="http://semrush.com" TargetMode="External"/><Relationship Id="rId26" Type="http://schemas.openxmlformats.org/officeDocument/2006/relationships/hyperlink" Target="https://digitalagencynetwork.com/agencies/australia/creative/" TargetMode="External"/><Relationship Id="rId25" Type="http://schemas.openxmlformats.org/officeDocument/2006/relationships/hyperlink" Target="http://clutch.co" TargetMode="External"/><Relationship Id="rId28" Type="http://schemas.openxmlformats.org/officeDocument/2006/relationships/hyperlink" Target="https://www.goodfirms.co/advertising-companies/creative/australia" TargetMode="External"/><Relationship Id="rId27" Type="http://schemas.openxmlformats.org/officeDocument/2006/relationships/hyperlink" Target="http://digitalagencynetwork.com" TargetMode="External"/><Relationship Id="rId29" Type="http://schemas.openxmlformats.org/officeDocument/2006/relationships/hyperlink" Target="http://goodfirms.co" TargetMode="External"/><Relationship Id="rId11" Type="http://schemas.openxmlformats.org/officeDocument/2006/relationships/hyperlink" Target="http://clutch.co" TargetMode="External"/><Relationship Id="rId10" Type="http://schemas.openxmlformats.org/officeDocument/2006/relationships/hyperlink" Target="https://clutch.co/au/agencies/ppc" TargetMode="External"/><Relationship Id="rId13" Type="http://schemas.openxmlformats.org/officeDocument/2006/relationships/hyperlink" Target="http://ensun.io" TargetMode="External"/><Relationship Id="rId12" Type="http://schemas.openxmlformats.org/officeDocument/2006/relationships/hyperlink" Target="https://ensun.io/search/marketing-analytics/australia" TargetMode="External"/><Relationship Id="rId15" Type="http://schemas.openxmlformats.org/officeDocument/2006/relationships/hyperlink" Target="http://digitalagencynetwork.com" TargetMode="External"/><Relationship Id="rId14" Type="http://schemas.openxmlformats.org/officeDocument/2006/relationships/hyperlink" Target="https://digitalagencynetwork.com/agencies/australia/" TargetMode="External"/><Relationship Id="rId17" Type="http://schemas.openxmlformats.org/officeDocument/2006/relationships/hyperlink" Target="http://semrush.com" TargetMode="External"/><Relationship Id="rId16" Type="http://schemas.openxmlformats.org/officeDocument/2006/relationships/hyperlink" Target="https://agencies.semrush.com/list/smm/australia/" TargetMode="External"/><Relationship Id="rId19" Type="http://schemas.openxmlformats.org/officeDocument/2006/relationships/hyperlink" Target="http://semrush.com" TargetMode="External"/><Relationship Id="rId18" Type="http://schemas.openxmlformats.org/officeDocument/2006/relationships/hyperlink" Target="https://agencies.semrush.com/list/ai-optimization/sydney/" TargetMode="External"/><Relationship Id="rId84" Type="http://schemas.openxmlformats.org/officeDocument/2006/relationships/hyperlink" Target="https://www.google.com/ads/publisher/partners/find-a-partner/" TargetMode="External"/><Relationship Id="rId83" Type="http://schemas.openxmlformats.org/officeDocument/2006/relationships/hyperlink" Target="http://sortlist.com" TargetMode="External"/><Relationship Id="rId86" Type="http://schemas.openxmlformats.org/officeDocument/2006/relationships/hyperlink" Target="https://www.sortlist.com/s/programmatic-advertising/australia-au" TargetMode="External"/><Relationship Id="rId85" Type="http://schemas.openxmlformats.org/officeDocument/2006/relationships/hyperlink" Target="http://google.com" TargetMode="External"/><Relationship Id="rId88" Type="http://schemas.openxmlformats.org/officeDocument/2006/relationships/hyperlink" Target="https://www.sortlist.com/social-media/australia-au" TargetMode="External"/><Relationship Id="rId87" Type="http://schemas.openxmlformats.org/officeDocument/2006/relationships/hyperlink" Target="http://sortlist.com" TargetMode="External"/><Relationship Id="rId89" Type="http://schemas.openxmlformats.org/officeDocument/2006/relationships/hyperlink" Target="http://sortlist.com" TargetMode="External"/><Relationship Id="rId80" Type="http://schemas.openxmlformats.org/officeDocument/2006/relationships/hyperlink" Target="https://www.google.com.au/intl/en/ads/publisher/partners/find-a-partner/" TargetMode="External"/><Relationship Id="rId82" Type="http://schemas.openxmlformats.org/officeDocument/2006/relationships/hyperlink" Target="https://www.sortlist.com/s/performance-marketing/sydney-au" TargetMode="External"/><Relationship Id="rId81" Type="http://schemas.openxmlformats.org/officeDocument/2006/relationships/hyperlink" Target="http://google.com.au" TargetMode="External"/><Relationship Id="rId73" Type="http://schemas.openxmlformats.org/officeDocument/2006/relationships/hyperlink" Target="http://capterra.com.au" TargetMode="External"/><Relationship Id="rId72" Type="http://schemas.openxmlformats.org/officeDocument/2006/relationships/hyperlink" Target="https://www.capterra.com.au/directory/31081/marketing-attribution/software" TargetMode="External"/><Relationship Id="rId75" Type="http://schemas.openxmlformats.org/officeDocument/2006/relationships/hyperlink" Target="http://clutch.co" TargetMode="External"/><Relationship Id="rId74" Type="http://schemas.openxmlformats.org/officeDocument/2006/relationships/hyperlink" Target="https://clutch.co/au/agencies/digital" TargetMode="External"/><Relationship Id="rId77" Type="http://schemas.openxmlformats.org/officeDocument/2006/relationships/hyperlink" Target="http://elioplus.com" TargetMode="External"/><Relationship Id="rId76" Type="http://schemas.openxmlformats.org/officeDocument/2006/relationships/hyperlink" Target="https://elioplus.com/asia-pacific/australia/channel-partners/google" TargetMode="External"/><Relationship Id="rId79" Type="http://schemas.openxmlformats.org/officeDocument/2006/relationships/hyperlink" Target="http://semrush.com" TargetMode="External"/><Relationship Id="rId78" Type="http://schemas.openxmlformats.org/officeDocument/2006/relationships/hyperlink" Target="https://agencies.semrush.com/list/ai-optimization/australia/mid-business/" TargetMode="External"/><Relationship Id="rId71" Type="http://schemas.openxmlformats.org/officeDocument/2006/relationships/hyperlink" Target="http://greenbook.org" TargetMode="External"/><Relationship Id="rId70" Type="http://schemas.openxmlformats.org/officeDocument/2006/relationships/hyperlink" Target="https://www.greenbook.org/market-research-companies/australia" TargetMode="External"/><Relationship Id="rId62" Type="http://schemas.openxmlformats.org/officeDocument/2006/relationships/hyperlink" Target="https://www.sortlist.com/media-planning/australia-au" TargetMode="External"/><Relationship Id="rId61" Type="http://schemas.openxmlformats.org/officeDocument/2006/relationships/hyperlink" Target="http://digitalagencynetwork.com" TargetMode="External"/><Relationship Id="rId64" Type="http://schemas.openxmlformats.org/officeDocument/2006/relationships/hyperlink" Target="https://www.sortlist.com/s/paid-media/australian-capital-territory-act-au" TargetMode="External"/><Relationship Id="rId63" Type="http://schemas.openxmlformats.org/officeDocument/2006/relationships/hyperlink" Target="http://sortlist.com" TargetMode="External"/><Relationship Id="rId66" Type="http://schemas.openxmlformats.org/officeDocument/2006/relationships/hyperlink" Target="https://agencies.semrush.com/list/display-advertising/sydney/" TargetMode="External"/><Relationship Id="rId65" Type="http://schemas.openxmlformats.org/officeDocument/2006/relationships/hyperlink" Target="http://sortlist.com" TargetMode="External"/><Relationship Id="rId68" Type="http://schemas.openxmlformats.org/officeDocument/2006/relationships/hyperlink" Target="https://agencies.semrush.com/list/programmatic-advertising/australia/" TargetMode="External"/><Relationship Id="rId67" Type="http://schemas.openxmlformats.org/officeDocument/2006/relationships/hyperlink" Target="http://semrush.com" TargetMode="External"/><Relationship Id="rId60" Type="http://schemas.openxmlformats.org/officeDocument/2006/relationships/hyperlink" Target="https://digitalagencynetwork.com/agencies/australia/online-advertising/" TargetMode="External"/><Relationship Id="rId69" Type="http://schemas.openxmlformats.org/officeDocument/2006/relationships/hyperlink" Target="http://semrush.com" TargetMode="External"/><Relationship Id="rId51" Type="http://schemas.openxmlformats.org/officeDocument/2006/relationships/hyperlink" Target="http://softwaresuggest.com" TargetMode="External"/><Relationship Id="rId50" Type="http://schemas.openxmlformats.org/officeDocument/2006/relationships/hyperlink" Target="https://www.softwaresuggest.com/services/marketing-analytics-companies/australia" TargetMode="External"/><Relationship Id="rId53" Type="http://schemas.openxmlformats.org/officeDocument/2006/relationships/hyperlink" Target="http://semrush.com" TargetMode="External"/><Relationship Id="rId52" Type="http://schemas.openxmlformats.org/officeDocument/2006/relationships/hyperlink" Target="https://agencies.semrush.com/list/machine-learning-and-ai/australia/" TargetMode="External"/><Relationship Id="rId55" Type="http://schemas.openxmlformats.org/officeDocument/2006/relationships/hyperlink" Target="http://clutch.co" TargetMode="External"/><Relationship Id="rId54" Type="http://schemas.openxmlformats.org/officeDocument/2006/relationships/hyperlink" Target="https://clutch.co/au/agencies/ppc/google-adwords" TargetMode="External"/><Relationship Id="rId57" Type="http://schemas.openxmlformats.org/officeDocument/2006/relationships/hyperlink" Target="http://themanifest.com" TargetMode="External"/><Relationship Id="rId56" Type="http://schemas.openxmlformats.org/officeDocument/2006/relationships/hyperlink" Target="https://themanifest.com/au/creative/agencies" TargetMode="External"/><Relationship Id="rId59" Type="http://schemas.openxmlformats.org/officeDocument/2006/relationships/hyperlink" Target="http://agencyvista.com" TargetMode="External"/><Relationship Id="rId58" Type="http://schemas.openxmlformats.org/officeDocument/2006/relationships/hyperlink" Target="https://agencyvista.com/lists/google-marketing-platform-sales-partners/page/2/" TargetMode="External"/><Relationship Id="rId95" Type="http://schemas.openxmlformats.org/officeDocument/2006/relationships/hyperlink" Target="http://sortlist.com" TargetMode="External"/><Relationship Id="rId94" Type="http://schemas.openxmlformats.org/officeDocument/2006/relationships/hyperlink" Target="https://www.sortlist.com/digital-marketing/australia-au" TargetMode="External"/><Relationship Id="rId97" Type="http://schemas.openxmlformats.org/officeDocument/2006/relationships/hyperlink" Target="http://thehero.co" TargetMode="External"/><Relationship Id="rId96" Type="http://schemas.openxmlformats.org/officeDocument/2006/relationships/hyperlink" Target="https://www.thehero.co/news" TargetMode="External"/><Relationship Id="rId99" Type="http://schemas.openxmlformats.org/officeDocument/2006/relationships/hyperlink" Target="http://50pros.com" TargetMode="External"/><Relationship Id="rId98" Type="http://schemas.openxmlformats.org/officeDocument/2006/relationships/hyperlink" Target="https://www.50pros.com/hire/advertising/attribution-and-measurement" TargetMode="External"/><Relationship Id="rId91" Type="http://schemas.openxmlformats.org/officeDocument/2006/relationships/hyperlink" Target="http://semrush.com" TargetMode="External"/><Relationship Id="rId90" Type="http://schemas.openxmlformats.org/officeDocument/2006/relationships/hyperlink" Target="https://agencies.semrush.com/list/display-advertising/arts-entertainment/australia/" TargetMode="External"/><Relationship Id="rId93" Type="http://schemas.openxmlformats.org/officeDocument/2006/relationships/hyperlink" Target="http://clutch.co" TargetMode="External"/><Relationship Id="rId92" Type="http://schemas.openxmlformats.org/officeDocument/2006/relationships/hyperlink" Target="https://clutch.co/agencies/performance-marketing" TargetMode="External"/><Relationship Id="rId305" Type="http://schemas.openxmlformats.org/officeDocument/2006/relationships/hyperlink" Target="https://www.sortlist.com/s/programmatic-advertising/sydney-au" TargetMode="External"/><Relationship Id="rId304" Type="http://schemas.openxmlformats.org/officeDocument/2006/relationships/hyperlink" Target="http://sortlist.com" TargetMode="External"/><Relationship Id="rId303" Type="http://schemas.openxmlformats.org/officeDocument/2006/relationships/hyperlink" Target="https://www.sortlist.com/s/performance-marketing/western-australia-wa-au" TargetMode="External"/><Relationship Id="rId302" Type="http://schemas.openxmlformats.org/officeDocument/2006/relationships/hyperlink" Target="http://sortlist.com" TargetMode="External"/><Relationship Id="rId309" Type="http://schemas.openxmlformats.org/officeDocument/2006/relationships/hyperlink" Target="https://www.upgrad.com/au/machine-learning-ai/" TargetMode="External"/><Relationship Id="rId308" Type="http://schemas.openxmlformats.org/officeDocument/2006/relationships/hyperlink" Target="http://sortlist.com" TargetMode="External"/><Relationship Id="rId307" Type="http://schemas.openxmlformats.org/officeDocument/2006/relationships/hyperlink" Target="https://www.sortlist.com/s/tiktok-advertising/australia-au" TargetMode="External"/><Relationship Id="rId306" Type="http://schemas.openxmlformats.org/officeDocument/2006/relationships/hyperlink" Target="http://sortlist.com" TargetMode="External"/><Relationship Id="rId301" Type="http://schemas.openxmlformats.org/officeDocument/2006/relationships/hyperlink" Target="https://www.sortlist.com/s/linkedin-advertising/australia-au" TargetMode="External"/><Relationship Id="rId300" Type="http://schemas.openxmlformats.org/officeDocument/2006/relationships/hyperlink" Target="http://sortlist.com" TargetMode="External"/><Relationship Id="rId313" Type="http://schemas.openxmlformats.org/officeDocument/2006/relationships/drawing" Target="../drawings/drawing22.xml"/><Relationship Id="rId312" Type="http://schemas.openxmlformats.org/officeDocument/2006/relationships/hyperlink" Target="http://wmtips.com" TargetMode="External"/><Relationship Id="rId311" Type="http://schemas.openxmlformats.org/officeDocument/2006/relationships/hyperlink" Target="https://www.wmtips.com/technologies/marketing-attribution/" TargetMode="External"/><Relationship Id="rId310" Type="http://schemas.openxmlformats.org/officeDocument/2006/relationships/hyperlink" Target="http://upgrad.com" TargetMode="External"/><Relationship Id="rId297" Type="http://schemas.openxmlformats.org/officeDocument/2006/relationships/hyperlink" Target="https://www.sortlist.com/s/display-advertising/sydney-au" TargetMode="External"/><Relationship Id="rId296" Type="http://schemas.openxmlformats.org/officeDocument/2006/relationships/hyperlink" Target="http://sortlist.com" TargetMode="External"/><Relationship Id="rId295" Type="http://schemas.openxmlformats.org/officeDocument/2006/relationships/hyperlink" Target="https://www.sortlist.com/s/display-advertising/new-south-wales-nsw-au" TargetMode="External"/><Relationship Id="rId294" Type="http://schemas.openxmlformats.org/officeDocument/2006/relationships/hyperlink" Target="http://sortlist.com" TargetMode="External"/><Relationship Id="rId299" Type="http://schemas.openxmlformats.org/officeDocument/2006/relationships/hyperlink" Target="https://www.sortlist.com/s/display-advertising/western-australia-wa-au" TargetMode="External"/><Relationship Id="rId298" Type="http://schemas.openxmlformats.org/officeDocument/2006/relationships/hyperlink" Target="http://sortlist.com" TargetMode="External"/><Relationship Id="rId271" Type="http://schemas.openxmlformats.org/officeDocument/2006/relationships/hyperlink" Target="https://www.goodfirms.co/artificial-intelligence/sydney" TargetMode="External"/><Relationship Id="rId270" Type="http://schemas.openxmlformats.org/officeDocument/2006/relationships/hyperlink" Target="http://goodfirms.co" TargetMode="External"/><Relationship Id="rId269" Type="http://schemas.openxmlformats.org/officeDocument/2006/relationships/hyperlink" Target="https://www.goodfirms.co/advertising-companies/creative/melbourne" TargetMode="External"/><Relationship Id="rId264" Type="http://schemas.openxmlformats.org/officeDocument/2006/relationships/hyperlink" Target="http://digitalagencynetwork.com" TargetMode="External"/><Relationship Id="rId263" Type="http://schemas.openxmlformats.org/officeDocument/2006/relationships/hyperlink" Target="https://digitalagencynetwork.com/agencies/australia/creative/page/4/" TargetMode="External"/><Relationship Id="rId262" Type="http://schemas.openxmlformats.org/officeDocument/2006/relationships/hyperlink" Target="http://designrush.com" TargetMode="External"/><Relationship Id="rId261" Type="http://schemas.openxmlformats.org/officeDocument/2006/relationships/hyperlink" Target="https://www.designrush.com/agency/search-engine-optimization/au" TargetMode="External"/><Relationship Id="rId268" Type="http://schemas.openxmlformats.org/officeDocument/2006/relationships/hyperlink" Target="http://elioplus.com" TargetMode="External"/><Relationship Id="rId267" Type="http://schemas.openxmlformats.org/officeDocument/2006/relationships/hyperlink" Target="https://elioplus.com/asia-pacific/australia/victoria/melbourne/channel-partners/google" TargetMode="External"/><Relationship Id="rId266" Type="http://schemas.openxmlformats.org/officeDocument/2006/relationships/hyperlink" Target="http://digitalagencynetwork.com" TargetMode="External"/><Relationship Id="rId265" Type="http://schemas.openxmlformats.org/officeDocument/2006/relationships/hyperlink" Target="https://digitalagencynetwork.com/agencies/sydney/" TargetMode="External"/><Relationship Id="rId260" Type="http://schemas.openxmlformats.org/officeDocument/2006/relationships/hyperlink" Target="http://designrush.com" TargetMode="External"/><Relationship Id="rId259" Type="http://schemas.openxmlformats.org/officeDocument/2006/relationships/hyperlink" Target="https://www.designrush.com/agency/paid-media-pay-per-click/google-adwords/au" TargetMode="External"/><Relationship Id="rId258" Type="http://schemas.openxmlformats.org/officeDocument/2006/relationships/hyperlink" Target="http://clutch.co" TargetMode="External"/><Relationship Id="rId253" Type="http://schemas.openxmlformats.org/officeDocument/2006/relationships/hyperlink" Target="https://clutch.co/au/agencies/social-media-marketing/tik-tok/sydney" TargetMode="External"/><Relationship Id="rId252" Type="http://schemas.openxmlformats.org/officeDocument/2006/relationships/hyperlink" Target="http://clutch.co" TargetMode="External"/><Relationship Id="rId251" Type="http://schemas.openxmlformats.org/officeDocument/2006/relationships/hyperlink" Target="https://clutch.co/au/agencies/social-media-marketing/facebook?page=6" TargetMode="External"/><Relationship Id="rId250" Type="http://schemas.openxmlformats.org/officeDocument/2006/relationships/hyperlink" Target="http://clutch.co" TargetMode="External"/><Relationship Id="rId257" Type="http://schemas.openxmlformats.org/officeDocument/2006/relationships/hyperlink" Target="https://clutch.co/au/agencies?page=7" TargetMode="External"/><Relationship Id="rId256" Type="http://schemas.openxmlformats.org/officeDocument/2006/relationships/hyperlink" Target="http://clutch.co" TargetMode="External"/><Relationship Id="rId255" Type="http://schemas.openxmlformats.org/officeDocument/2006/relationships/hyperlink" Target="https://clutch.co/au/agencies/social-media-marketing/tik-tok?page=2" TargetMode="External"/><Relationship Id="rId254" Type="http://schemas.openxmlformats.org/officeDocument/2006/relationships/hyperlink" Target="http://clutch.co" TargetMode="External"/><Relationship Id="rId293" Type="http://schemas.openxmlformats.org/officeDocument/2006/relationships/hyperlink" Target="https://www.sortlist.com/marketing-communication" TargetMode="External"/><Relationship Id="rId292" Type="http://schemas.openxmlformats.org/officeDocument/2006/relationships/hyperlink" Target="http://sortlist.com" TargetMode="External"/><Relationship Id="rId291" Type="http://schemas.openxmlformats.org/officeDocument/2006/relationships/hyperlink" Target="https://www.sortlist.com/digital-marketing/australia-au?custom=advertising%2Caustralia-au" TargetMode="External"/><Relationship Id="rId290" Type="http://schemas.openxmlformats.org/officeDocument/2006/relationships/hyperlink" Target="http://sd-group.com.au" TargetMode="External"/><Relationship Id="rId286" Type="http://schemas.openxmlformats.org/officeDocument/2006/relationships/hyperlink" Target="http://razorfish.com.au" TargetMode="External"/><Relationship Id="rId285" Type="http://schemas.openxmlformats.org/officeDocument/2006/relationships/hyperlink" Target="https://www.razorfish.com.au/work" TargetMode="External"/><Relationship Id="rId284" Type="http://schemas.openxmlformats.org/officeDocument/2006/relationships/hyperlink" Target="http://marketingcosmos.com" TargetMode="External"/><Relationship Id="rId283" Type="http://schemas.openxmlformats.org/officeDocument/2006/relationships/hyperlink" Target="https://marketingcosmos.com/agencies/display-ads/perth" TargetMode="External"/><Relationship Id="rId289" Type="http://schemas.openxmlformats.org/officeDocument/2006/relationships/hyperlink" Target="https://sd-group.com.au/en/blog" TargetMode="External"/><Relationship Id="rId288" Type="http://schemas.openxmlformats.org/officeDocument/2006/relationships/hyperlink" Target="http://scopicstudios.com" TargetMode="External"/><Relationship Id="rId287" Type="http://schemas.openxmlformats.org/officeDocument/2006/relationships/hyperlink" Target="https://scopicstudios.com/blog/best-incrementality-testing-tools-2026/" TargetMode="External"/><Relationship Id="rId282" Type="http://schemas.openxmlformats.org/officeDocument/2006/relationships/hyperlink" Target="http://marketingcosmos.com" TargetMode="External"/><Relationship Id="rId281" Type="http://schemas.openxmlformats.org/officeDocument/2006/relationships/hyperlink" Target="https://marketingcosmos.com/agencies/data-analytics/sydney" TargetMode="External"/><Relationship Id="rId280" Type="http://schemas.openxmlformats.org/officeDocument/2006/relationships/hyperlink" Target="http://jacinthsolutions.com.au" TargetMode="External"/><Relationship Id="rId275" Type="http://schemas.openxmlformats.org/officeDocument/2006/relationships/hyperlink" Target="https://www.goodfirms.co/directory/city/top-digital-marketing-companies/media-planning-buying/sydney" TargetMode="External"/><Relationship Id="rId274" Type="http://schemas.openxmlformats.org/officeDocument/2006/relationships/hyperlink" Target="http://goodfirms.co" TargetMode="External"/><Relationship Id="rId273" Type="http://schemas.openxmlformats.org/officeDocument/2006/relationships/hyperlink" Target="https://www.goodfirms.co/directory/city/top-digital-marketing-companies/advertising-ppc/brisbane" TargetMode="External"/><Relationship Id="rId272" Type="http://schemas.openxmlformats.org/officeDocument/2006/relationships/hyperlink" Target="http://goodfirms.co" TargetMode="External"/><Relationship Id="rId279" Type="http://schemas.openxmlformats.org/officeDocument/2006/relationships/hyperlink" Target="https://jacinthsolutions.com.au/blog" TargetMode="External"/><Relationship Id="rId278" Type="http://schemas.openxmlformats.org/officeDocument/2006/relationships/hyperlink" Target="http://incremental.com" TargetMode="External"/><Relationship Id="rId277" Type="http://schemas.openxmlformats.org/officeDocument/2006/relationships/hyperlink" Target="https://www.incremental.com/solutions" TargetMode="External"/><Relationship Id="rId276" Type="http://schemas.openxmlformats.org/officeDocument/2006/relationships/hyperlink" Target="http://goodfirms.co" TargetMode="External"/><Relationship Id="rId228" Type="http://schemas.openxmlformats.org/officeDocument/2006/relationships/hyperlink" Target="http://agencyvista.com" TargetMode="External"/><Relationship Id="rId227" Type="http://schemas.openxmlformats.org/officeDocument/2006/relationships/hyperlink" Target="https://agencyvista.com/lists/google-marketing-platform-sales-partners/" TargetMode="External"/><Relationship Id="rId226" Type="http://schemas.openxmlformats.org/officeDocument/2006/relationships/hyperlink" Target="http://semrush.com" TargetMode="External"/><Relationship Id="rId225" Type="http://schemas.openxmlformats.org/officeDocument/2006/relationships/hyperlink" Target="https://agencies.semrush.com/list/smm/australia/small-business/" TargetMode="External"/><Relationship Id="rId229" Type="http://schemas.openxmlformats.org/officeDocument/2006/relationships/hyperlink" Target="https://www.asanalytics.com.au/data-services" TargetMode="External"/><Relationship Id="rId220" Type="http://schemas.openxmlformats.org/officeDocument/2006/relationships/hyperlink" Target="http://semrush.com" TargetMode="External"/><Relationship Id="rId224" Type="http://schemas.openxmlformats.org/officeDocument/2006/relationships/hyperlink" Target="http://semrush.com" TargetMode="External"/><Relationship Id="rId223" Type="http://schemas.openxmlformats.org/officeDocument/2006/relationships/hyperlink" Target="https://agencies.semrush.com/list/search-engine-marketing/australia/" TargetMode="External"/><Relationship Id="rId222" Type="http://schemas.openxmlformats.org/officeDocument/2006/relationships/hyperlink" Target="http://semrush.com" TargetMode="External"/><Relationship Id="rId221" Type="http://schemas.openxmlformats.org/officeDocument/2006/relationships/hyperlink" Target="https://agencies.semrush.com/list/programmatic-advertising/ecommerce/australia/" TargetMode="External"/><Relationship Id="rId217" Type="http://schemas.openxmlformats.org/officeDocument/2006/relationships/hyperlink" Target="https://agencies.semrush.com/list/programmatic-advertising/australia/mid-business/" TargetMode="External"/><Relationship Id="rId216" Type="http://schemas.openxmlformats.org/officeDocument/2006/relationships/hyperlink" Target="http://semrush.com" TargetMode="External"/><Relationship Id="rId215" Type="http://schemas.openxmlformats.org/officeDocument/2006/relationships/hyperlink" Target="https://agencies.semrush.com/list/ppc/melbourne/" TargetMode="External"/><Relationship Id="rId214" Type="http://schemas.openxmlformats.org/officeDocument/2006/relationships/hyperlink" Target="http://semrush.com" TargetMode="External"/><Relationship Id="rId219" Type="http://schemas.openxmlformats.org/officeDocument/2006/relationships/hyperlink" Target="https://agencies.semrush.com/list/programmatic-advertising/australia/small-business/" TargetMode="External"/><Relationship Id="rId218" Type="http://schemas.openxmlformats.org/officeDocument/2006/relationships/hyperlink" Target="http://semrush.com" TargetMode="External"/><Relationship Id="rId213" Type="http://schemas.openxmlformats.org/officeDocument/2006/relationships/hyperlink" Target="https://agencies.semrush.com/list/ppc/brisbane/" TargetMode="External"/><Relationship Id="rId212" Type="http://schemas.openxmlformats.org/officeDocument/2006/relationships/hyperlink" Target="http://semrush.com" TargetMode="External"/><Relationship Id="rId211" Type="http://schemas.openxmlformats.org/officeDocument/2006/relationships/hyperlink" Target="https://agencies.semrush.com/list/market-analysis/australia/" TargetMode="External"/><Relationship Id="rId210" Type="http://schemas.openxmlformats.org/officeDocument/2006/relationships/hyperlink" Target="http://semrush.com" TargetMode="External"/><Relationship Id="rId249" Type="http://schemas.openxmlformats.org/officeDocument/2006/relationships/hyperlink" Target="https://clutch.co/au/agencies/social-media-marketing/facebook/sydney" TargetMode="External"/><Relationship Id="rId248" Type="http://schemas.openxmlformats.org/officeDocument/2006/relationships/hyperlink" Target="http://clutch.co" TargetMode="External"/><Relationship Id="rId247" Type="http://schemas.openxmlformats.org/officeDocument/2006/relationships/hyperlink" Target="https://clutch.co/au/agencies/seo/technical" TargetMode="External"/><Relationship Id="rId242" Type="http://schemas.openxmlformats.org/officeDocument/2006/relationships/hyperlink" Target="http://clutch.co" TargetMode="External"/><Relationship Id="rId241" Type="http://schemas.openxmlformats.org/officeDocument/2006/relationships/hyperlink" Target="https://clutch.co/au/agencies/ppc/melbourne" TargetMode="External"/><Relationship Id="rId240" Type="http://schemas.openxmlformats.org/officeDocument/2006/relationships/hyperlink" Target="http://clutch.co" TargetMode="External"/><Relationship Id="rId246" Type="http://schemas.openxmlformats.org/officeDocument/2006/relationships/hyperlink" Target="http://clutch.co" TargetMode="External"/><Relationship Id="rId245" Type="http://schemas.openxmlformats.org/officeDocument/2006/relationships/hyperlink" Target="https://clutch.co/au/agencies/programmatic/sydney" TargetMode="External"/><Relationship Id="rId244" Type="http://schemas.openxmlformats.org/officeDocument/2006/relationships/hyperlink" Target="http://clutch.co" TargetMode="External"/><Relationship Id="rId243" Type="http://schemas.openxmlformats.org/officeDocument/2006/relationships/hyperlink" Target="https://clutch.co/au/agencies/ppc?page=2" TargetMode="External"/><Relationship Id="rId239" Type="http://schemas.openxmlformats.org/officeDocument/2006/relationships/hyperlink" Target="https://clutch.co/au/agencies/ppc/google-adwords/sydney" TargetMode="External"/><Relationship Id="rId238" Type="http://schemas.openxmlformats.org/officeDocument/2006/relationships/hyperlink" Target="http://clutch.co" TargetMode="External"/><Relationship Id="rId237" Type="http://schemas.openxmlformats.org/officeDocument/2006/relationships/hyperlink" Target="https://clutch.co/au/agencies/ppc/brisbane" TargetMode="External"/><Relationship Id="rId236" Type="http://schemas.openxmlformats.org/officeDocument/2006/relationships/hyperlink" Target="http://clutch.co" TargetMode="External"/><Relationship Id="rId231" Type="http://schemas.openxmlformats.org/officeDocument/2006/relationships/hyperlink" Target="https://clutch.co/agencies/ppc/display" TargetMode="External"/><Relationship Id="rId230" Type="http://schemas.openxmlformats.org/officeDocument/2006/relationships/hyperlink" Target="http://asanalytics.com.au" TargetMode="External"/><Relationship Id="rId235" Type="http://schemas.openxmlformats.org/officeDocument/2006/relationships/hyperlink" Target="https://clutch.co/au/agencies/media-buying/sydney" TargetMode="External"/><Relationship Id="rId234" Type="http://schemas.openxmlformats.org/officeDocument/2006/relationships/hyperlink" Target="http://clutch.co" TargetMode="External"/><Relationship Id="rId233" Type="http://schemas.openxmlformats.org/officeDocument/2006/relationships/hyperlink" Target="https://clutch.co/au/agencies/branding" TargetMode="External"/><Relationship Id="rId232" Type="http://schemas.openxmlformats.org/officeDocument/2006/relationships/hyperlink" Target="http://clutch.co" TargetMode="External"/><Relationship Id="rId206" Type="http://schemas.openxmlformats.org/officeDocument/2006/relationships/hyperlink" Target="http://semrush.com" TargetMode="External"/><Relationship Id="rId205" Type="http://schemas.openxmlformats.org/officeDocument/2006/relationships/hyperlink" Target="https://agencies.semrush.com/list/analytics-data-science/sydney/" TargetMode="External"/><Relationship Id="rId204" Type="http://schemas.openxmlformats.org/officeDocument/2006/relationships/hyperlink" Target="http://semrush.com" TargetMode="External"/><Relationship Id="rId203" Type="http://schemas.openxmlformats.org/officeDocument/2006/relationships/hyperlink" Target="https://agencies.semrush.com/list/ai-optimization/melbourne/" TargetMode="External"/><Relationship Id="rId209" Type="http://schemas.openxmlformats.org/officeDocument/2006/relationships/hyperlink" Target="https://agencies.semrush.com/list/enterprise-business/australia/" TargetMode="External"/><Relationship Id="rId208" Type="http://schemas.openxmlformats.org/officeDocument/2006/relationships/hyperlink" Target="http://semrush.com" TargetMode="External"/><Relationship Id="rId207" Type="http://schemas.openxmlformats.org/officeDocument/2006/relationships/hyperlink" Target="https://agencies.semrush.com/list/display-advertising/business-professional-services/australia/" TargetMode="External"/><Relationship Id="rId202" Type="http://schemas.openxmlformats.org/officeDocument/2006/relationships/hyperlink" Target="http://semrush.com" TargetMode="External"/><Relationship Id="rId201" Type="http://schemas.openxmlformats.org/officeDocument/2006/relationships/hyperlink" Target="https://agencies.semrush.com/list/ai-optimization/australia/enterprise-business/" TargetMode="External"/><Relationship Id="rId200" Type="http://schemas.openxmlformats.org/officeDocument/2006/relationships/hyperlink" Target="http://semrush.com" TargetMode="External"/><Relationship Id="rId190" Type="http://schemas.openxmlformats.org/officeDocument/2006/relationships/hyperlink" Target="http://sortlist.com" TargetMode="External"/><Relationship Id="rId194" Type="http://schemas.openxmlformats.org/officeDocument/2006/relationships/hyperlink" Target="http://thehero.co" TargetMode="External"/><Relationship Id="rId193" Type="http://schemas.openxmlformats.org/officeDocument/2006/relationships/hyperlink" Target="https://www.thehero.co/work" TargetMode="External"/><Relationship Id="rId192" Type="http://schemas.openxmlformats.org/officeDocument/2006/relationships/hyperlink" Target="http://sortlist.com" TargetMode="External"/><Relationship Id="rId191" Type="http://schemas.openxmlformats.org/officeDocument/2006/relationships/hyperlink" Target="https://www.sortlist.com/s/sm-analytics/australia-au" TargetMode="External"/><Relationship Id="rId187" Type="http://schemas.openxmlformats.org/officeDocument/2006/relationships/hyperlink" Target="https://marketingplatform.google.com/about/partners/?authuser=1" TargetMode="External"/><Relationship Id="rId186" Type="http://schemas.openxmlformats.org/officeDocument/2006/relationships/hyperlink" Target="http://goodfirms.co" TargetMode="External"/><Relationship Id="rId185" Type="http://schemas.openxmlformats.org/officeDocument/2006/relationships/hyperlink" Target="https://www.goodfirms.co/directory/country/top-digital-marketing-companies/advertising-ppc/australia" TargetMode="External"/><Relationship Id="rId184" Type="http://schemas.openxmlformats.org/officeDocument/2006/relationships/hyperlink" Target="https://enterprisemarketingportal.google/work-with-partners" TargetMode="External"/><Relationship Id="rId189" Type="http://schemas.openxmlformats.org/officeDocument/2006/relationships/hyperlink" Target="https://www.sortlist.com/s/artificial-intelligence/sydney-au" TargetMode="External"/><Relationship Id="rId188" Type="http://schemas.openxmlformats.org/officeDocument/2006/relationships/hyperlink" Target="http://google.com" TargetMode="External"/><Relationship Id="rId183" Type="http://schemas.openxmlformats.org/officeDocument/2006/relationships/hyperlink" Target="http://hubspot.com" TargetMode="External"/><Relationship Id="rId182" Type="http://schemas.openxmlformats.org/officeDocument/2006/relationships/hyperlink" Target="https://ecosystem.hubspot.com/marketplace/solutions/paid-advertising/australia" TargetMode="External"/><Relationship Id="rId181" Type="http://schemas.openxmlformats.org/officeDocument/2006/relationships/hyperlink" Target="http://designrush.com" TargetMode="External"/><Relationship Id="rId180" Type="http://schemas.openxmlformats.org/officeDocument/2006/relationships/hyperlink" Target="https://www.designrush.com/agency/paid-media-pay-per-click/au/sydney" TargetMode="External"/><Relationship Id="rId176" Type="http://schemas.openxmlformats.org/officeDocument/2006/relationships/hyperlink" Target="https://www.designrush.com/agency/ad-agencies/au/melbourne" TargetMode="External"/><Relationship Id="rId175" Type="http://schemas.openxmlformats.org/officeDocument/2006/relationships/hyperlink" Target="http://clutch.co" TargetMode="External"/><Relationship Id="rId174" Type="http://schemas.openxmlformats.org/officeDocument/2006/relationships/hyperlink" Target="https://clutch.co/au/seo-firms" TargetMode="External"/><Relationship Id="rId173" Type="http://schemas.openxmlformats.org/officeDocument/2006/relationships/hyperlink" Target="http://clutch.co" TargetMode="External"/><Relationship Id="rId179" Type="http://schemas.openxmlformats.org/officeDocument/2006/relationships/hyperlink" Target="http://designrush.com" TargetMode="External"/><Relationship Id="rId178" Type="http://schemas.openxmlformats.org/officeDocument/2006/relationships/hyperlink" Target="https://www.designrush.com/agency/digital-marketing/analytics" TargetMode="External"/><Relationship Id="rId177" Type="http://schemas.openxmlformats.org/officeDocument/2006/relationships/hyperlink" Target="http://designrush.com" TargetMode="External"/><Relationship Id="rId198" Type="http://schemas.openxmlformats.org/officeDocument/2006/relationships/hyperlink" Target="http://adma.com.au" TargetMode="External"/><Relationship Id="rId197" Type="http://schemas.openxmlformats.org/officeDocument/2006/relationships/hyperlink" Target="https://adma.com.au/resources/author/adma" TargetMode="External"/><Relationship Id="rId196" Type="http://schemas.openxmlformats.org/officeDocument/2006/relationships/hyperlink" Target="http://tridant.com" TargetMode="External"/><Relationship Id="rId195" Type="http://schemas.openxmlformats.org/officeDocument/2006/relationships/hyperlink" Target="https://www.tridant.com/data-analytics/" TargetMode="External"/><Relationship Id="rId199" Type="http://schemas.openxmlformats.org/officeDocument/2006/relationships/hyperlink" Target="https://agencies.semrush.com/list/advertising/australia/mid-business/" TargetMode="External"/><Relationship Id="rId150" Type="http://schemas.openxmlformats.org/officeDocument/2006/relationships/hyperlink" Target="https://www.sortlist.com/s/paid-media/new-south-wales-nsw-au" TargetMode="External"/><Relationship Id="rId149" Type="http://schemas.openxmlformats.org/officeDocument/2006/relationships/hyperlink" Target="http://sortlist.com" TargetMode="External"/><Relationship Id="rId148" Type="http://schemas.openxmlformats.org/officeDocument/2006/relationships/hyperlink" Target="https://www.sortlist.com/s/data-driven-marketing/australia-au" TargetMode="External"/><Relationship Id="rId143" Type="http://schemas.openxmlformats.org/officeDocument/2006/relationships/hyperlink" Target="http://getaiready.com.au" TargetMode="External"/><Relationship Id="rId142" Type="http://schemas.openxmlformats.org/officeDocument/2006/relationships/hyperlink" Target="https://getaiready.com.au/locations/sydney" TargetMode="External"/><Relationship Id="rId141" Type="http://schemas.openxmlformats.org/officeDocument/2006/relationships/hyperlink" Target="http://clutch.co" TargetMode="External"/><Relationship Id="rId140" Type="http://schemas.openxmlformats.org/officeDocument/2006/relationships/hyperlink" Target="https://clutch.co/au/agencies/social-media-marketing/tik-tok" TargetMode="External"/><Relationship Id="rId147" Type="http://schemas.openxmlformats.org/officeDocument/2006/relationships/hyperlink" Target="http://google.co.uk" TargetMode="External"/><Relationship Id="rId146" Type="http://schemas.openxmlformats.org/officeDocument/2006/relationships/hyperlink" Target="https://www.google.co.uk/intl/en/ads/publisher/partners/find-a-partner/" TargetMode="External"/><Relationship Id="rId145" Type="http://schemas.openxmlformats.org/officeDocument/2006/relationships/hyperlink" Target="http://goodfirms.co" TargetMode="External"/><Relationship Id="rId144" Type="http://schemas.openxmlformats.org/officeDocument/2006/relationships/hyperlink" Target="https://www.goodfirms.co/advertising-companies/sydney" TargetMode="External"/><Relationship Id="rId139" Type="http://schemas.openxmlformats.org/officeDocument/2006/relationships/hyperlink" Target="http://semrush.com" TargetMode="External"/><Relationship Id="rId138" Type="http://schemas.openxmlformats.org/officeDocument/2006/relationships/hyperlink" Target="https://agencies.semrush.com/list/ppc/arts-entertainment/australia/" TargetMode="External"/><Relationship Id="rId137" Type="http://schemas.openxmlformats.org/officeDocument/2006/relationships/hyperlink" Target="http://semrush.com" TargetMode="External"/><Relationship Id="rId132" Type="http://schemas.openxmlformats.org/officeDocument/2006/relationships/hyperlink" Target="https://ensun.io/search/ai-marketing/australia" TargetMode="External"/><Relationship Id="rId131" Type="http://schemas.openxmlformats.org/officeDocument/2006/relationships/hyperlink" Target="http://clutch.co" TargetMode="External"/><Relationship Id="rId130" Type="http://schemas.openxmlformats.org/officeDocument/2006/relationships/hyperlink" Target="https://clutch.co/au/agencies/ppc/sydney" TargetMode="External"/><Relationship Id="rId136" Type="http://schemas.openxmlformats.org/officeDocument/2006/relationships/hyperlink" Target="https://agencies.semrush.com/list/display-advertising/australia/enterprise-business/" TargetMode="External"/><Relationship Id="rId135" Type="http://schemas.openxmlformats.org/officeDocument/2006/relationships/hyperlink" Target="http://50pros.com" TargetMode="External"/><Relationship Id="rId134" Type="http://schemas.openxmlformats.org/officeDocument/2006/relationships/hyperlink" Target="https://www.50pros.com/hire/digital-marketing/marketing-attribution" TargetMode="External"/><Relationship Id="rId133" Type="http://schemas.openxmlformats.org/officeDocument/2006/relationships/hyperlink" Target="http://ensun.io" TargetMode="External"/><Relationship Id="rId172" Type="http://schemas.openxmlformats.org/officeDocument/2006/relationships/hyperlink" Target="https://clutch.co/au/agencies/social-media-marketing/facebook?page=9" TargetMode="External"/><Relationship Id="rId171" Type="http://schemas.openxmlformats.org/officeDocument/2006/relationships/hyperlink" Target="http://clutch.co" TargetMode="External"/><Relationship Id="rId170" Type="http://schemas.openxmlformats.org/officeDocument/2006/relationships/hyperlink" Target="https://clutch.co/au/agencies/market-research" TargetMode="External"/><Relationship Id="rId165" Type="http://schemas.openxmlformats.org/officeDocument/2006/relationships/hyperlink" Target="http://semrush.com" TargetMode="External"/><Relationship Id="rId164" Type="http://schemas.openxmlformats.org/officeDocument/2006/relationships/hyperlink" Target="https://agencies.semrush.com/list/machine-learning-and-ai/sydney/" TargetMode="External"/><Relationship Id="rId163" Type="http://schemas.openxmlformats.org/officeDocument/2006/relationships/hyperlink" Target="http://semrush.com" TargetMode="External"/><Relationship Id="rId162" Type="http://schemas.openxmlformats.org/officeDocument/2006/relationships/hyperlink" Target="https://agencies.semrush.com/list/facebook-advertising/australia/" TargetMode="External"/><Relationship Id="rId169" Type="http://schemas.openxmlformats.org/officeDocument/2006/relationships/hyperlink" Target="http://clutch.co" TargetMode="External"/><Relationship Id="rId168" Type="http://schemas.openxmlformats.org/officeDocument/2006/relationships/hyperlink" Target="https://clutch.co/au/agencies/creative/melbourne" TargetMode="External"/><Relationship Id="rId167" Type="http://schemas.openxmlformats.org/officeDocument/2006/relationships/hyperlink" Target="http://bcg.com" TargetMode="External"/><Relationship Id="rId166" Type="http://schemas.openxmlformats.org/officeDocument/2006/relationships/hyperlink" Target="https://www.bcg.com/capabilities/artificial-intelligence" TargetMode="External"/><Relationship Id="rId161" Type="http://schemas.openxmlformats.org/officeDocument/2006/relationships/hyperlink" Target="http://semrush.com" TargetMode="External"/><Relationship Id="rId160" Type="http://schemas.openxmlformats.org/officeDocument/2006/relationships/hyperlink" Target="https://agencies.semrush.com/list/display-advertising/melbourne/small-business/" TargetMode="External"/><Relationship Id="rId159" Type="http://schemas.openxmlformats.org/officeDocument/2006/relationships/hyperlink" Target="http://semrush.com" TargetMode="External"/><Relationship Id="rId154" Type="http://schemas.openxmlformats.org/officeDocument/2006/relationships/hyperlink" Target="https://upcity.com/au/creative" TargetMode="External"/><Relationship Id="rId153" Type="http://schemas.openxmlformats.org/officeDocument/2006/relationships/hyperlink" Target="http://themanifest.com" TargetMode="External"/><Relationship Id="rId152" Type="http://schemas.openxmlformats.org/officeDocument/2006/relationships/hyperlink" Target="https://themanifest.com/au/digital-marketing/agencies" TargetMode="External"/><Relationship Id="rId151" Type="http://schemas.openxmlformats.org/officeDocument/2006/relationships/hyperlink" Target="http://sortlist.com" TargetMode="External"/><Relationship Id="rId158" Type="http://schemas.openxmlformats.org/officeDocument/2006/relationships/hyperlink" Target="https://agencies.semrush.com/list/analytics-data-science/melbourne/" TargetMode="External"/><Relationship Id="rId157" Type="http://schemas.openxmlformats.org/officeDocument/2006/relationships/hyperlink" Target="http://semrush.com" TargetMode="External"/><Relationship Id="rId156" Type="http://schemas.openxmlformats.org/officeDocument/2006/relationships/hyperlink" Target="https://agencies.semrush.com/list/advertising/melbourne/" TargetMode="External"/><Relationship Id="rId155" Type="http://schemas.openxmlformats.org/officeDocument/2006/relationships/hyperlink" Target="http://upcity.com" TargetMode="External"/><Relationship Id="rId107" Type="http://schemas.openxmlformats.org/officeDocument/2006/relationships/hyperlink" Target="http://clutch.co" TargetMode="External"/><Relationship Id="rId106" Type="http://schemas.openxmlformats.org/officeDocument/2006/relationships/hyperlink" Target="https://clutch.co/au/agencies/conversion-optimization" TargetMode="External"/><Relationship Id="rId105" Type="http://schemas.openxmlformats.org/officeDocument/2006/relationships/hyperlink" Target="http://inmarketingwetrust.com.au" TargetMode="External"/><Relationship Id="rId104" Type="http://schemas.openxmlformats.org/officeDocument/2006/relationships/hyperlink" Target="https://inmarketingwetrust.com.au/platforms/" TargetMode="External"/><Relationship Id="rId109" Type="http://schemas.openxmlformats.org/officeDocument/2006/relationships/hyperlink" Target="http://clutch.co" TargetMode="External"/><Relationship Id="rId108" Type="http://schemas.openxmlformats.org/officeDocument/2006/relationships/hyperlink" Target="https://clutch.co/au/agencies/creative/sydney" TargetMode="External"/><Relationship Id="rId103" Type="http://schemas.openxmlformats.org/officeDocument/2006/relationships/hyperlink" Target="http://gartner.com" TargetMode="External"/><Relationship Id="rId102" Type="http://schemas.openxmlformats.org/officeDocument/2006/relationships/hyperlink" Target="https://www.gartner.com/reviews/market/incrementality-measurement-platforms" TargetMode="External"/><Relationship Id="rId101" Type="http://schemas.openxmlformats.org/officeDocument/2006/relationships/hyperlink" Target="http://clutch.co" TargetMode="External"/><Relationship Id="rId100" Type="http://schemas.openxmlformats.org/officeDocument/2006/relationships/hyperlink" Target="https://clutch.co/au/consulting/ai/sydney" TargetMode="External"/><Relationship Id="rId129" Type="http://schemas.openxmlformats.org/officeDocument/2006/relationships/hyperlink" Target="http://clutch.co" TargetMode="External"/><Relationship Id="rId128" Type="http://schemas.openxmlformats.org/officeDocument/2006/relationships/hyperlink" Target="https://clutch.co/au/agencies/ppc%3Fpage%3D2" TargetMode="External"/><Relationship Id="rId127" Type="http://schemas.openxmlformats.org/officeDocument/2006/relationships/hyperlink" Target="http://clutch.co" TargetMode="External"/><Relationship Id="rId126" Type="http://schemas.openxmlformats.org/officeDocument/2006/relationships/hyperlink" Target="https://clutch.co/au/agencies/melbourne" TargetMode="External"/><Relationship Id="rId121" Type="http://schemas.openxmlformats.org/officeDocument/2006/relationships/hyperlink" Target="http://semrush.com" TargetMode="External"/><Relationship Id="rId120" Type="http://schemas.openxmlformats.org/officeDocument/2006/relationships/hyperlink" Target="https://agencies.semrush.com/list/ppc/australia/" TargetMode="External"/><Relationship Id="rId125" Type="http://schemas.openxmlformats.org/officeDocument/2006/relationships/hyperlink" Target="http://clutch.co" TargetMode="External"/><Relationship Id="rId124" Type="http://schemas.openxmlformats.org/officeDocument/2006/relationships/hyperlink" Target="https://clutch.co/au/agencies/business-services-industry" TargetMode="External"/><Relationship Id="rId123" Type="http://schemas.openxmlformats.org/officeDocument/2006/relationships/hyperlink" Target="http://campaignbrief.com" TargetMode="External"/><Relationship Id="rId122" Type="http://schemas.openxmlformats.org/officeDocument/2006/relationships/hyperlink" Target="https://campaignbrief.com/category/agencies/" TargetMode="External"/><Relationship Id="rId118" Type="http://schemas.openxmlformats.org/officeDocument/2006/relationships/hyperlink" Target="https://www.techguide.com.au/news/computers-news/the-best-ai-optimisation-agencies-in-australia/" TargetMode="External"/><Relationship Id="rId117" Type="http://schemas.openxmlformats.org/officeDocument/2006/relationships/hyperlink" Target="http://sortlist.com" TargetMode="External"/><Relationship Id="rId116" Type="http://schemas.openxmlformats.org/officeDocument/2006/relationships/hyperlink" Target="https://www.sortlist.com/s/paid-media/melbourne-au" TargetMode="External"/><Relationship Id="rId115" Type="http://schemas.openxmlformats.org/officeDocument/2006/relationships/hyperlink" Target="http://marketingmonk.so" TargetMode="External"/><Relationship Id="rId119" Type="http://schemas.openxmlformats.org/officeDocument/2006/relationships/hyperlink" Target="http://techguide.com.au" TargetMode="External"/><Relationship Id="rId110" Type="http://schemas.openxmlformats.org/officeDocument/2006/relationships/hyperlink" Target="https://clutch.co/au/it-services/analytics" TargetMode="External"/><Relationship Id="rId114" Type="http://schemas.openxmlformats.org/officeDocument/2006/relationships/hyperlink" Target="https://www.marketingmonk.so/agency-directory/country/australia/service/performance-marketing" TargetMode="External"/><Relationship Id="rId113" Type="http://schemas.openxmlformats.org/officeDocument/2006/relationships/hyperlink" Target="http://google.com.au" TargetMode="External"/><Relationship Id="rId112" Type="http://schemas.openxmlformats.org/officeDocument/2006/relationships/hyperlink" Target="https://www.google.com.au/ads/publisher/partners/find-a-partner/" TargetMode="External"/><Relationship Id="rId111" Type="http://schemas.openxmlformats.org/officeDocument/2006/relationships/hyperlink" Target="http://clutch.co"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triplewhale.com" TargetMode="External"/><Relationship Id="rId2" Type="http://schemas.openxmlformats.org/officeDocument/2006/relationships/hyperlink" Target="https://sellforte.com/blog/best-incrementality-testing-tools" TargetMode="External"/><Relationship Id="rId3" Type="http://schemas.openxmlformats.org/officeDocument/2006/relationships/hyperlink" Target="http://sellforte.com" TargetMode="External"/><Relationship Id="rId4" Type="http://schemas.openxmlformats.org/officeDocument/2006/relationships/hyperlink" Target="https://www.techradar.com/pro/aeo-vs-seo-whats-the-difference-and-do-you-need-both" TargetMode="External"/><Relationship Id="rId9" Type="http://schemas.openxmlformats.org/officeDocument/2006/relationships/hyperlink" Target="http://roi.com.au" TargetMode="External"/><Relationship Id="rId5" Type="http://schemas.openxmlformats.org/officeDocument/2006/relationships/hyperlink" Target="http://techradar.com" TargetMode="External"/><Relationship Id="rId6" Type="http://schemas.openxmlformats.org/officeDocument/2006/relationships/hyperlink" Target="https://www.shoutdigital.com.au/blog/best-geo-agency-in-melbourne-for-e-commerce-a-direct-comparison-2026/" TargetMode="External"/><Relationship Id="rId7" Type="http://schemas.openxmlformats.org/officeDocument/2006/relationships/hyperlink" Target="http://shoutdigital.com.au" TargetMode="External"/><Relationship Id="rId8" Type="http://schemas.openxmlformats.org/officeDocument/2006/relationships/hyperlink" Target="https://roi.com.au/service/performance-marketing-agency-australia-2026/" TargetMode="External"/><Relationship Id="rId20" Type="http://schemas.openxmlformats.org/officeDocument/2006/relationships/hyperlink" Target="https://vtdigital.com.au/seo-strategies-2025-what-aeo-geo-aio-and-sxo-actually-mean/" TargetMode="External"/><Relationship Id="rId22" Type="http://schemas.openxmlformats.org/officeDocument/2006/relationships/drawing" Target="../drawings/drawing23.xml"/><Relationship Id="rId21" Type="http://schemas.openxmlformats.org/officeDocument/2006/relationships/hyperlink" Target="http://vtdigital.com.au" TargetMode="External"/><Relationship Id="rId11" Type="http://schemas.openxmlformats.org/officeDocument/2006/relationships/hyperlink" Target="http://rix-digital.com" TargetMode="External"/><Relationship Id="rId10" Type="http://schemas.openxmlformats.org/officeDocument/2006/relationships/hyperlink" Target="https://rix-digital.com/mmm-vs-incrementality" TargetMode="External"/><Relationship Id="rId13" Type="http://schemas.openxmlformats.org/officeDocument/2006/relationships/hyperlink" Target="http://evolvingdigital.com.au" TargetMode="External"/><Relationship Id="rId12" Type="http://schemas.openxmlformats.org/officeDocument/2006/relationships/hyperlink" Target="https://evolvingdigital.com.au/geo-agency/" TargetMode="External"/><Relationship Id="rId15" Type="http://schemas.openxmlformats.org/officeDocument/2006/relationships/hyperlink" Target="http://improvado.io" TargetMode="External"/><Relationship Id="rId14" Type="http://schemas.openxmlformats.org/officeDocument/2006/relationships/hyperlink" Target="https://improvado.io/blog/multi-touch-attribution-solutions" TargetMode="External"/><Relationship Id="rId17" Type="http://schemas.openxmlformats.org/officeDocument/2006/relationships/hyperlink" Target="http://paperstack.com.au" TargetMode="External"/><Relationship Id="rId16" Type="http://schemas.openxmlformats.org/officeDocument/2006/relationships/hyperlink" Target="https://www.paperstack.com.au/what-is-aeo/" TargetMode="External"/><Relationship Id="rId19" Type="http://schemas.openxmlformats.org/officeDocument/2006/relationships/hyperlink" Target="http://presenc.ai" TargetMode="External"/><Relationship Id="rId18" Type="http://schemas.openxmlformats.org/officeDocument/2006/relationships/hyperlink" Target="https://presenc.ai/compare/measured-vs-haus-vs-statsig"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agency/comments/1ok212i/performance_marketing_incrementality/"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ecommerce/comments/1qusfa4/looking_for_best_incrementality_testing_tools/" TargetMode="External"/><Relationship Id="rId7" Type="http://schemas.openxmlformats.org/officeDocument/2006/relationships/hyperlink" Target="http://reddit.com" TargetMode="External"/><Relationship Id="rId8" Type="http://schemas.openxmlformats.org/officeDocument/2006/relationships/hyperlink" Target="https://www.reddit.com/r/AskAnAustralian/comments/1kygrc6/advertising_agencies_in_aus/" TargetMode="External"/><Relationship Id="rId31" Type="http://schemas.openxmlformats.org/officeDocument/2006/relationships/hyperlink" Target="http://reddit.com" TargetMode="External"/><Relationship Id="rId30" Type="http://schemas.openxmlformats.org/officeDocument/2006/relationships/hyperlink" Target="https://www.reddit.com/r/LLMTraffic/comments/1t44tn7/which_geo_marketing_agencies_are_actually_worth/" TargetMode="External"/><Relationship Id="rId33" Type="http://schemas.openxmlformats.org/officeDocument/2006/relationships/hyperlink" Target="http://reddit.com" TargetMode="External"/><Relationship Id="rId32" Type="http://schemas.openxmlformats.org/officeDocument/2006/relationships/hyperlink" Target="https://www.reddit.com/r/MktgSupermarket/comments/1qom30j/compiled_a_directory_of_25_ai_marketing_agencies/" TargetMode="External"/><Relationship Id="rId35" Type="http://schemas.openxmlformats.org/officeDocument/2006/relationships/hyperlink" Target="http://reddit.com" TargetMode="External"/><Relationship Id="rId34" Type="http://schemas.openxmlformats.org/officeDocument/2006/relationships/hyperlink" Target="https://www.reddit.com/r/advertising/comments/1d5ypn3" TargetMode="External"/><Relationship Id="rId36" Type="http://schemas.openxmlformats.org/officeDocument/2006/relationships/drawing" Target="../drawings/drawing24.xml"/><Relationship Id="rId20" Type="http://schemas.openxmlformats.org/officeDocument/2006/relationships/hyperlink" Target="https://www.reddit.com/r/BestInAustralia/comments/1pun446/7_best_seo_agencies_in_melbourne_2026_guide/" TargetMode="External"/><Relationship Id="rId22" Type="http://schemas.openxmlformats.org/officeDocument/2006/relationships/hyperlink" Target="https://www.reddit.com/r/BestInAustralia/comments/1s8fbyv/best_seo_company_in_melbourne_april_2026/" TargetMode="External"/><Relationship Id="rId21" Type="http://schemas.openxmlformats.org/officeDocument/2006/relationships/hyperlink" Target="http://reddit.com" TargetMode="External"/><Relationship Id="rId24" Type="http://schemas.openxmlformats.org/officeDocument/2006/relationships/hyperlink" Target="https://www.reddit.com/r/BestInAustralia/comments/1tghlmb/5_best_seo_agencies_in_southbank_2026/" TargetMode="External"/><Relationship Id="rId23" Type="http://schemas.openxmlformats.org/officeDocument/2006/relationships/hyperlink" Target="http://reddit.com" TargetMode="External"/><Relationship Id="rId26" Type="http://schemas.openxmlformats.org/officeDocument/2006/relationships/hyperlink" Target="https://www.reddit.com/r/DigitalMarketing/comments/1pd7lti/can_someone_explain_geo_and_aeo_in_a_simple_way/" TargetMode="External"/><Relationship Id="rId25" Type="http://schemas.openxmlformats.org/officeDocument/2006/relationships/hyperlink" Target="http://reddit.com" TargetMode="External"/><Relationship Id="rId28" Type="http://schemas.openxmlformats.org/officeDocument/2006/relationships/hyperlink" Target="https://www.reddit.com/r/DigitalMarketing/comments/1tdo237/which_performance_marketing_agencies_specialize/"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adtech/comments/1u5mwrq/measurement_source_of_truth/" TargetMode="External"/><Relationship Id="rId13" Type="http://schemas.openxmlformats.org/officeDocument/2006/relationships/hyperlink" Target="http://reddit.com" TargetMode="External"/><Relationship Id="rId12" Type="http://schemas.openxmlformats.org/officeDocument/2006/relationships/hyperlink" Target="https://www.reddit.com/r/MktgSupermarket/comments/1qoc7o0/looking_for_digital_marketing_agencies_in_perth/" TargetMode="External"/><Relationship Id="rId15" Type="http://schemas.openxmlformats.org/officeDocument/2006/relationships/hyperlink" Target="http://reddit.com" TargetMode="External"/><Relationship Id="rId14" Type="http://schemas.openxmlformats.org/officeDocument/2006/relationships/hyperlink" Target="https://www.reddit.com/r/aeo/comments/1twcbr2/best_aeo_agency_guide_what_to_look_for_in_an/" TargetMode="External"/><Relationship Id="rId17" Type="http://schemas.openxmlformats.org/officeDocument/2006/relationships/hyperlink" Target="http://reddit.com" TargetMode="External"/><Relationship Id="rId16" Type="http://schemas.openxmlformats.org/officeDocument/2006/relationships/hyperlink" Target="https://www.reddit.com/r/AIConsultingAustralia/comments/1r3gb5b/who_are_the_top_ai_consulting_companies_in/" TargetMode="External"/><Relationship Id="rId19" Type="http://schemas.openxmlformats.org/officeDocument/2006/relationships/hyperlink" Target="http://reddit.com" TargetMode="External"/><Relationship Id="rId18" Type="http://schemas.openxmlformats.org/officeDocument/2006/relationships/hyperlink" Target="https://www.reddit.com/r/AskMarketing/comments/1r6neq7/i_run_one_of_australias_top_20_digital_agencies/"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parro.com.au" TargetMode="External"/><Relationship Id="rId2" Type="http://schemas.openxmlformats.org/officeDocument/2006/relationships/hyperlink" Target="https://www.undivided.com.au/" TargetMode="External"/><Relationship Id="rId3" Type="http://schemas.openxmlformats.org/officeDocument/2006/relationships/hyperlink" Target="http://undivided.com.au" TargetMode="External"/><Relationship Id="rId4" Type="http://schemas.openxmlformats.org/officeDocument/2006/relationships/hyperlink" Target="https://impressive.com.au/" TargetMode="External"/><Relationship Id="rId9" Type="http://schemas.openxmlformats.org/officeDocument/2006/relationships/hyperlink" Target="http://metriclabs.com.au" TargetMode="External"/><Relationship Id="rId5" Type="http://schemas.openxmlformats.org/officeDocument/2006/relationships/hyperlink" Target="http://impressive.com.au" TargetMode="External"/><Relationship Id="rId6" Type="http://schemas.openxmlformats.org/officeDocument/2006/relationships/hyperlink" Target="https://getaiready.com.au/" TargetMode="External"/><Relationship Id="rId7" Type="http://schemas.openxmlformats.org/officeDocument/2006/relationships/hyperlink" Target="http://getaiready.com.au" TargetMode="External"/><Relationship Id="rId8" Type="http://schemas.openxmlformats.org/officeDocument/2006/relationships/hyperlink" Target="https://metriclabs.com.au/" TargetMode="External"/><Relationship Id="rId40" Type="http://schemas.openxmlformats.org/officeDocument/2006/relationships/hyperlink" Target="https://www.bluesensedigital.com.au/" TargetMode="External"/><Relationship Id="rId42" Type="http://schemas.openxmlformats.org/officeDocument/2006/relationships/hyperlink" Target="https://bmf.com.au/" TargetMode="External"/><Relationship Id="rId41" Type="http://schemas.openxmlformats.org/officeDocument/2006/relationships/hyperlink" Target="http://bluesensedigital.com.au" TargetMode="External"/><Relationship Id="rId44" Type="http://schemas.openxmlformats.org/officeDocument/2006/relationships/hyperlink" Target="https://www.generativeengineoptimisation.com.au/" TargetMode="External"/><Relationship Id="rId43" Type="http://schemas.openxmlformats.org/officeDocument/2006/relationships/hyperlink" Target="http://bmf.com.au" TargetMode="External"/><Relationship Id="rId46" Type="http://schemas.openxmlformats.org/officeDocument/2006/relationships/hyperlink" Target="https://www.andmine.com.au/" TargetMode="External"/><Relationship Id="rId45" Type="http://schemas.openxmlformats.org/officeDocument/2006/relationships/hyperlink" Target="http://generativeengineoptimisation.com.au" TargetMode="External"/><Relationship Id="rId48" Type="http://schemas.openxmlformats.org/officeDocument/2006/relationships/hyperlink" Target="https://www.bimodal.io/" TargetMode="External"/><Relationship Id="rId47" Type="http://schemas.openxmlformats.org/officeDocument/2006/relationships/hyperlink" Target="http://andmine.com.au" TargetMode="External"/><Relationship Id="rId49" Type="http://schemas.openxmlformats.org/officeDocument/2006/relationships/hyperlink" Target="http://bimodal.io" TargetMode="External"/><Relationship Id="rId31" Type="http://schemas.openxmlformats.org/officeDocument/2006/relationships/hyperlink" Target="http://deducive.com" TargetMode="External"/><Relationship Id="rId30" Type="http://schemas.openxmlformats.org/officeDocument/2006/relationships/hyperlink" Target="https://www.deducive.com/" TargetMode="External"/><Relationship Id="rId33" Type="http://schemas.openxmlformats.org/officeDocument/2006/relationships/hyperlink" Target="http://digitalmindsgroup.com.au" TargetMode="External"/><Relationship Id="rId32" Type="http://schemas.openxmlformats.org/officeDocument/2006/relationships/hyperlink" Target="https://www.digitalmindsgroup.com.au/" TargetMode="External"/><Relationship Id="rId35" Type="http://schemas.openxmlformats.org/officeDocument/2006/relationships/hyperlink" Target="http://wearesocial.com" TargetMode="External"/><Relationship Id="rId34" Type="http://schemas.openxmlformats.org/officeDocument/2006/relationships/hyperlink" Target="https://wearesocial.com/au/" TargetMode="External"/><Relationship Id="rId37" Type="http://schemas.openxmlformats.org/officeDocument/2006/relationships/hyperlink" Target="http://measured.com" TargetMode="External"/><Relationship Id="rId36" Type="http://schemas.openxmlformats.org/officeDocument/2006/relationships/hyperlink" Target="https://www.measured.com/" TargetMode="External"/><Relationship Id="rId39" Type="http://schemas.openxmlformats.org/officeDocument/2006/relationships/hyperlink" Target="http://bconic.com" TargetMode="External"/><Relationship Id="rId38" Type="http://schemas.openxmlformats.org/officeDocument/2006/relationships/hyperlink" Target="https://bconic.com/" TargetMode="External"/><Relationship Id="rId20" Type="http://schemas.openxmlformats.org/officeDocument/2006/relationships/hyperlink" Target="https://roi.com.au/" TargetMode="External"/><Relationship Id="rId22" Type="http://schemas.openxmlformats.org/officeDocument/2006/relationships/hyperlink" Target="https://sellforte.com/" TargetMode="External"/><Relationship Id="rId21" Type="http://schemas.openxmlformats.org/officeDocument/2006/relationships/hyperlink" Target="http://roi.com.au" TargetMode="External"/><Relationship Id="rId24" Type="http://schemas.openxmlformats.org/officeDocument/2006/relationships/hyperlink" Target="https://topgeoagencies.com/" TargetMode="External"/><Relationship Id="rId23" Type="http://schemas.openxmlformats.org/officeDocument/2006/relationships/hyperlink" Target="http://sellforte.com" TargetMode="External"/><Relationship Id="rId26" Type="http://schemas.openxmlformats.org/officeDocument/2006/relationships/hyperlink" Target="https://www.alphadigital.com.au/" TargetMode="External"/><Relationship Id="rId25" Type="http://schemas.openxmlformats.org/officeDocument/2006/relationships/hyperlink" Target="http://topgeoagencies.com" TargetMode="External"/><Relationship Id="rId28" Type="http://schemas.openxmlformats.org/officeDocument/2006/relationships/hyperlink" Target="https://aimldigital.com.au/" TargetMode="External"/><Relationship Id="rId27" Type="http://schemas.openxmlformats.org/officeDocument/2006/relationships/hyperlink" Target="http://alphadigital.com.au" TargetMode="External"/><Relationship Id="rId29" Type="http://schemas.openxmlformats.org/officeDocument/2006/relationships/hyperlink" Target="http://aimldigital.com.au" TargetMode="External"/><Relationship Id="rId11" Type="http://schemas.openxmlformats.org/officeDocument/2006/relationships/hyperlink" Target="http://ogilvy.com.au" TargetMode="External"/><Relationship Id="rId10" Type="http://schemas.openxmlformats.org/officeDocument/2006/relationships/hyperlink" Target="https://www.ogilvy.com.au/" TargetMode="External"/><Relationship Id="rId13" Type="http://schemas.openxmlformats.org/officeDocument/2006/relationships/hyperlink" Target="http://digitalsurfer.com.au" TargetMode="External"/><Relationship Id="rId12" Type="http://schemas.openxmlformats.org/officeDocument/2006/relationships/hyperlink" Target="https://digitalsurfer.com.au/ai-seo" TargetMode="External"/><Relationship Id="rId15" Type="http://schemas.openxmlformats.org/officeDocument/2006/relationships/hyperlink" Target="http://ethinos.com.au" TargetMode="External"/><Relationship Id="rId14" Type="http://schemas.openxmlformats.org/officeDocument/2006/relationships/hyperlink" Target="https://www.ethinos.com.au/" TargetMode="External"/><Relationship Id="rId17" Type="http://schemas.openxmlformats.org/officeDocument/2006/relationships/hyperlink" Target="http://withgoogle.com" TargetMode="External"/><Relationship Id="rId16" Type="http://schemas.openxmlformats.org/officeDocument/2006/relationships/hyperlink" Target="https://partnersdirectory.withgoogle.com/" TargetMode="External"/><Relationship Id="rId19" Type="http://schemas.openxmlformats.org/officeDocument/2006/relationships/hyperlink" Target="http://airconsulting.ai" TargetMode="External"/><Relationship Id="rId18" Type="http://schemas.openxmlformats.org/officeDocument/2006/relationships/hyperlink" Target="https://www.airconsulting.ai/" TargetMode="External"/><Relationship Id="rId84" Type="http://schemas.openxmlformats.org/officeDocument/2006/relationships/hyperlink" Target="https://www.adaptad.com.au/" TargetMode="External"/><Relationship Id="rId83" Type="http://schemas.openxmlformats.org/officeDocument/2006/relationships/hyperlink" Target="http://acam.ai" TargetMode="External"/><Relationship Id="rId86" Type="http://schemas.openxmlformats.org/officeDocument/2006/relationships/hyperlink" Target="https://www.advancer.com.au/" TargetMode="External"/><Relationship Id="rId85" Type="http://schemas.openxmlformats.org/officeDocument/2006/relationships/hyperlink" Target="http://adaptad.com.au" TargetMode="External"/><Relationship Id="rId88" Type="http://schemas.openxmlformats.org/officeDocument/2006/relationships/hyperlink" Target="https://www.captovate.com.au/geo" TargetMode="External"/><Relationship Id="rId87" Type="http://schemas.openxmlformats.org/officeDocument/2006/relationships/hyperlink" Target="http://advancer.com.au" TargetMode="External"/><Relationship Id="rId89" Type="http://schemas.openxmlformats.org/officeDocument/2006/relationships/hyperlink" Target="http://captovate.com.au" TargetMode="External"/><Relationship Id="rId80" Type="http://schemas.openxmlformats.org/officeDocument/2006/relationships/hyperlink" Target="https://skyscale.com.au/" TargetMode="External"/><Relationship Id="rId82" Type="http://schemas.openxmlformats.org/officeDocument/2006/relationships/hyperlink" Target="https://www.acam.ai/" TargetMode="External"/><Relationship Id="rId81" Type="http://schemas.openxmlformats.org/officeDocument/2006/relationships/hyperlink" Target="http://skyscale.com.au" TargetMode="External"/><Relationship Id="rId73" Type="http://schemas.openxmlformats.org/officeDocument/2006/relationships/hyperlink" Target="http://bonfire.com.au" TargetMode="External"/><Relationship Id="rId72" Type="http://schemas.openxmlformats.org/officeDocument/2006/relationships/hyperlink" Target="https://www.bonfire.com.au/" TargetMode="External"/><Relationship Id="rId75" Type="http://schemas.openxmlformats.org/officeDocument/2006/relationships/hyperlink" Target="http://mkt-sci.com" TargetMode="External"/><Relationship Id="rId74" Type="http://schemas.openxmlformats.org/officeDocument/2006/relationships/hyperlink" Target="https://www.mkt-sci.com/" TargetMode="External"/><Relationship Id="rId77" Type="http://schemas.openxmlformats.org/officeDocument/2006/relationships/hyperlink" Target="http://modmetrica.com.au" TargetMode="External"/><Relationship Id="rId76" Type="http://schemas.openxmlformats.org/officeDocument/2006/relationships/hyperlink" Target="https://modmetrica.com.au/" TargetMode="External"/><Relationship Id="rId79" Type="http://schemas.openxmlformats.org/officeDocument/2006/relationships/hyperlink" Target="http://ruleranalytics.com" TargetMode="External"/><Relationship Id="rId78" Type="http://schemas.openxmlformats.org/officeDocument/2006/relationships/hyperlink" Target="https://www.ruleranalytics.com/" TargetMode="External"/><Relationship Id="rId71" Type="http://schemas.openxmlformats.org/officeDocument/2006/relationships/hyperlink" Target="http://aioptimisation.com.au" TargetMode="External"/><Relationship Id="rId70" Type="http://schemas.openxmlformats.org/officeDocument/2006/relationships/hyperlink" Target="https://www.aioptimisation.com.au/" TargetMode="External"/><Relationship Id="rId62" Type="http://schemas.openxmlformats.org/officeDocument/2006/relationships/hyperlink" Target="https://www.synap.au/" TargetMode="External"/><Relationship Id="rId61" Type="http://schemas.openxmlformats.org/officeDocument/2006/relationships/hyperlink" Target="http://mantelgroup.com.au" TargetMode="External"/><Relationship Id="rId64" Type="http://schemas.openxmlformats.org/officeDocument/2006/relationships/hyperlink" Target="https://www.airstack.ai/" TargetMode="External"/><Relationship Id="rId63" Type="http://schemas.openxmlformats.org/officeDocument/2006/relationships/hyperlink" Target="http://synap.au" TargetMode="External"/><Relationship Id="rId66" Type="http://schemas.openxmlformats.org/officeDocument/2006/relationships/hyperlink" Target="https://integralmind.au/" TargetMode="External"/><Relationship Id="rId65" Type="http://schemas.openxmlformats.org/officeDocument/2006/relationships/hyperlink" Target="http://airstack.ai" TargetMode="External"/><Relationship Id="rId68" Type="http://schemas.openxmlformats.org/officeDocument/2006/relationships/hyperlink" Target="https://uprisedigital.com.au/aeo/" TargetMode="External"/><Relationship Id="rId67" Type="http://schemas.openxmlformats.org/officeDocument/2006/relationships/hyperlink" Target="http://integralmind.au" TargetMode="External"/><Relationship Id="rId60" Type="http://schemas.openxmlformats.org/officeDocument/2006/relationships/hyperlink" Target="https://mantelgroup.com.au/" TargetMode="External"/><Relationship Id="rId69" Type="http://schemas.openxmlformats.org/officeDocument/2006/relationships/hyperlink" Target="http://uprisedigital.com.au" TargetMode="External"/><Relationship Id="rId51" Type="http://schemas.openxmlformats.org/officeDocument/2006/relationships/hyperlink" Target="http://pinemarsh.com" TargetMode="External"/><Relationship Id="rId50" Type="http://schemas.openxmlformats.org/officeDocument/2006/relationships/hyperlink" Target="https://pinemarsh.com/" TargetMode="External"/><Relationship Id="rId53" Type="http://schemas.openxmlformats.org/officeDocument/2006/relationships/hyperlink" Target="http://revium.com.au" TargetMode="External"/><Relationship Id="rId52" Type="http://schemas.openxmlformats.org/officeDocument/2006/relationships/hyperlink" Target="https://revium.com.au/" TargetMode="External"/><Relationship Id="rId55" Type="http://schemas.openxmlformats.org/officeDocument/2006/relationships/hyperlink" Target="http://simplyai.com.au" TargetMode="External"/><Relationship Id="rId54" Type="http://schemas.openxmlformats.org/officeDocument/2006/relationships/hyperlink" Target="https://simplyai.com.au/" TargetMode="External"/><Relationship Id="rId57" Type="http://schemas.openxmlformats.org/officeDocument/2006/relationships/hyperlink" Target="http://adcountable.com" TargetMode="External"/><Relationship Id="rId56" Type="http://schemas.openxmlformats.org/officeDocument/2006/relationships/hyperlink" Target="https://www.adcountable.com/" TargetMode="External"/><Relationship Id="rId59" Type="http://schemas.openxmlformats.org/officeDocument/2006/relationships/hyperlink" Target="http://getapexanalytics.com" TargetMode="External"/><Relationship Id="rId58" Type="http://schemas.openxmlformats.org/officeDocument/2006/relationships/hyperlink" Target="https://www.getapexanalytics.com/" TargetMode="External"/><Relationship Id="rId95" Type="http://schemas.openxmlformats.org/officeDocument/2006/relationships/hyperlink" Target="http://firstpage.com.au" TargetMode="External"/><Relationship Id="rId94" Type="http://schemas.openxmlformats.org/officeDocument/2006/relationships/hyperlink" Target="https://firstpage.com.au/seo/" TargetMode="External"/><Relationship Id="rId97" Type="http://schemas.openxmlformats.org/officeDocument/2006/relationships/hyperlink" Target="http://hyperdot.com.au" TargetMode="External"/><Relationship Id="rId96" Type="http://schemas.openxmlformats.org/officeDocument/2006/relationships/hyperlink" Target="https://hyperdot.com.au/" TargetMode="External"/><Relationship Id="rId99" Type="http://schemas.openxmlformats.org/officeDocument/2006/relationships/hyperlink" Target="http://incremental.com" TargetMode="External"/><Relationship Id="rId98" Type="http://schemas.openxmlformats.org/officeDocument/2006/relationships/hyperlink" Target="https://www.incremental.com/" TargetMode="External"/><Relationship Id="rId91" Type="http://schemas.openxmlformats.org/officeDocument/2006/relationships/hyperlink" Target="http://dimeagency.co" TargetMode="External"/><Relationship Id="rId90" Type="http://schemas.openxmlformats.org/officeDocument/2006/relationships/hyperlink" Target="https://dimeagency.co/" TargetMode="External"/><Relationship Id="rId93" Type="http://schemas.openxmlformats.org/officeDocument/2006/relationships/hyperlink" Target="http://droga5.com.au" TargetMode="External"/><Relationship Id="rId92" Type="http://schemas.openxmlformats.org/officeDocument/2006/relationships/hyperlink" Target="https://droga5.com.au/" TargetMode="External"/><Relationship Id="rId305" Type="http://schemas.openxmlformats.org/officeDocument/2006/relationships/hyperlink" Target="https://thinkcreativeagency.com.au" TargetMode="External"/><Relationship Id="rId304" Type="http://schemas.openxmlformats.org/officeDocument/2006/relationships/hyperlink" Target="http://thehypesociety.com.au" TargetMode="External"/><Relationship Id="rId303" Type="http://schemas.openxmlformats.org/officeDocument/2006/relationships/hyperlink" Target="https://www.thehypesociety.com.au/" TargetMode="External"/><Relationship Id="rId302" Type="http://schemas.openxmlformats.org/officeDocument/2006/relationships/hyperlink" Target="http://thehero.co" TargetMode="External"/><Relationship Id="rId309" Type="http://schemas.openxmlformats.org/officeDocument/2006/relationships/hyperlink" Target="https://urbanbased.com.au/" TargetMode="External"/><Relationship Id="rId308" Type="http://schemas.openxmlformats.org/officeDocument/2006/relationships/hyperlink" Target="http://uprisedigital.com.au" TargetMode="External"/><Relationship Id="rId307" Type="http://schemas.openxmlformats.org/officeDocument/2006/relationships/hyperlink" Target="https://uprisedigital.com.au/ai-seo/" TargetMode="External"/><Relationship Id="rId306" Type="http://schemas.openxmlformats.org/officeDocument/2006/relationships/hyperlink" Target="http://thinkcreativeagency.com.au" TargetMode="External"/><Relationship Id="rId301" Type="http://schemas.openxmlformats.org/officeDocument/2006/relationships/hyperlink" Target="https://www.thehero.co/" TargetMode="External"/><Relationship Id="rId300" Type="http://schemas.openxmlformats.org/officeDocument/2006/relationships/hyperlink" Target="http://team400.ai" TargetMode="External"/><Relationship Id="rId323" Type="http://schemas.openxmlformats.org/officeDocument/2006/relationships/drawing" Target="../drawings/drawing25.xml"/><Relationship Id="rId322" Type="http://schemas.openxmlformats.org/officeDocument/2006/relationships/hyperlink" Target="http://werankle.com" TargetMode="External"/><Relationship Id="rId321" Type="http://schemas.openxmlformats.org/officeDocument/2006/relationships/hyperlink" Target="https://www.werankle.com/en" TargetMode="External"/><Relationship Id="rId320" Type="http://schemas.openxmlformats.org/officeDocument/2006/relationships/hyperlink" Target="http://websavvy.com.au" TargetMode="External"/><Relationship Id="rId316" Type="http://schemas.openxmlformats.org/officeDocument/2006/relationships/hyperlink" Target="http://webplanners.com.au" TargetMode="External"/><Relationship Id="rId315" Type="http://schemas.openxmlformats.org/officeDocument/2006/relationships/hyperlink" Target="https://www.webplanners.com.au/ai-seo/geo" TargetMode="External"/><Relationship Id="rId314" Type="http://schemas.openxmlformats.org/officeDocument/2006/relationships/hyperlink" Target="http://vonnimedia.com.au" TargetMode="External"/><Relationship Id="rId313" Type="http://schemas.openxmlformats.org/officeDocument/2006/relationships/hyperlink" Target="https://www.vonnimedia.com.au/" TargetMode="External"/><Relationship Id="rId319" Type="http://schemas.openxmlformats.org/officeDocument/2006/relationships/hyperlink" Target="https://websavvy.com.au/" TargetMode="External"/><Relationship Id="rId318" Type="http://schemas.openxmlformats.org/officeDocument/2006/relationships/hyperlink" Target="http://webprofits.com.au" TargetMode="External"/><Relationship Id="rId317" Type="http://schemas.openxmlformats.org/officeDocument/2006/relationships/hyperlink" Target="https://webprofits.com.au/" TargetMode="External"/><Relationship Id="rId312" Type="http://schemas.openxmlformats.org/officeDocument/2006/relationships/hyperlink" Target="http://v2.ai" TargetMode="External"/><Relationship Id="rId311" Type="http://schemas.openxmlformats.org/officeDocument/2006/relationships/hyperlink" Target="https://www.v2.ai/" TargetMode="External"/><Relationship Id="rId310" Type="http://schemas.openxmlformats.org/officeDocument/2006/relationships/hyperlink" Target="http://urbanbased.com.au" TargetMode="External"/><Relationship Id="rId297" Type="http://schemas.openxmlformats.org/officeDocument/2006/relationships/hyperlink" Target="https://summitguard.com.au/" TargetMode="External"/><Relationship Id="rId296" Type="http://schemas.openxmlformats.org/officeDocument/2006/relationships/hyperlink" Target="http://studiohawk.com.au" TargetMode="External"/><Relationship Id="rId295" Type="http://schemas.openxmlformats.org/officeDocument/2006/relationships/hyperlink" Target="https://studiohawk.com.au/" TargetMode="External"/><Relationship Id="rId294" Type="http://schemas.openxmlformats.org/officeDocument/2006/relationships/hyperlink" Target="https://strategicai.marketing/" TargetMode="External"/><Relationship Id="rId299" Type="http://schemas.openxmlformats.org/officeDocument/2006/relationships/hyperlink" Target="https://team400.ai/" TargetMode="External"/><Relationship Id="rId298" Type="http://schemas.openxmlformats.org/officeDocument/2006/relationships/hyperlink" Target="http://summitguard.com.au" TargetMode="External"/><Relationship Id="rId271" Type="http://schemas.openxmlformats.org/officeDocument/2006/relationships/hyperlink" Target="http://ogilvypr.com.au" TargetMode="External"/><Relationship Id="rId270" Type="http://schemas.openxmlformats.org/officeDocument/2006/relationships/hyperlink" Target="https://www.ogilvypr.com.au/" TargetMode="External"/><Relationship Id="rId269" Type="http://schemas.openxmlformats.org/officeDocument/2006/relationships/hyperlink" Target="http://mooning.com" TargetMode="External"/><Relationship Id="rId264" Type="http://schemas.openxmlformats.org/officeDocument/2006/relationships/hyperlink" Target="https://methodworks.com.au/" TargetMode="External"/><Relationship Id="rId263" Type="http://schemas.openxmlformats.org/officeDocument/2006/relationships/hyperlink" Target="http://marketingattributionsoftware.com" TargetMode="External"/><Relationship Id="rId262" Type="http://schemas.openxmlformats.org/officeDocument/2006/relationships/hyperlink" Target="https://www.marketingattributionsoftware.com/" TargetMode="External"/><Relationship Id="rId261" Type="http://schemas.openxmlformats.org/officeDocument/2006/relationships/hyperlink" Target="http://marketingattribution.com" TargetMode="External"/><Relationship Id="rId268" Type="http://schemas.openxmlformats.org/officeDocument/2006/relationships/hyperlink" Target="https://mooning.com/" TargetMode="External"/><Relationship Id="rId267" Type="http://schemas.openxmlformats.org/officeDocument/2006/relationships/hyperlink" Target="http://mi-3.com.au" TargetMode="External"/><Relationship Id="rId266" Type="http://schemas.openxmlformats.org/officeDocument/2006/relationships/hyperlink" Target="https://www.mi-3.com.au/" TargetMode="External"/><Relationship Id="rId265" Type="http://schemas.openxmlformats.org/officeDocument/2006/relationships/hyperlink" Target="http://methodworks.com.au" TargetMode="External"/><Relationship Id="rId260" Type="http://schemas.openxmlformats.org/officeDocument/2006/relationships/hyperlink" Target="https://www.marketingattribution.com/" TargetMode="External"/><Relationship Id="rId259" Type="http://schemas.openxmlformats.org/officeDocument/2006/relationships/hyperlink" Target="http://mammothgeospatial.com" TargetMode="External"/><Relationship Id="rId258" Type="http://schemas.openxmlformats.org/officeDocument/2006/relationships/hyperlink" Target="https://mammothgeospatial.com/" TargetMode="External"/><Relationship Id="rId253" Type="http://schemas.openxmlformats.org/officeDocument/2006/relationships/hyperlink" Target="http://liftlab.com" TargetMode="External"/><Relationship Id="rId252" Type="http://schemas.openxmlformats.org/officeDocument/2006/relationships/hyperlink" Target="https://liftlab.com/" TargetMode="External"/><Relationship Id="rId251" Type="http://schemas.openxmlformats.org/officeDocument/2006/relationships/hyperlink" Target="http://leadsnow.ai" TargetMode="External"/><Relationship Id="rId250" Type="http://schemas.openxmlformats.org/officeDocument/2006/relationships/hyperlink" Target="https://leadsnow.ai/" TargetMode="External"/><Relationship Id="rId257" Type="http://schemas.openxmlformats.org/officeDocument/2006/relationships/hyperlink" Target="http://makeitbigmedia.com" TargetMode="External"/><Relationship Id="rId256" Type="http://schemas.openxmlformats.org/officeDocument/2006/relationships/hyperlink" Target="https://makeitbigmedia.com/" TargetMode="External"/><Relationship Id="rId255" Type="http://schemas.openxmlformats.org/officeDocument/2006/relationships/hyperlink" Target="http://lovesdata.com" TargetMode="External"/><Relationship Id="rId254" Type="http://schemas.openxmlformats.org/officeDocument/2006/relationships/hyperlink" Target="https://www.lovesdata.com/" TargetMode="External"/><Relationship Id="rId293" Type="http://schemas.openxmlformats.org/officeDocument/2006/relationships/hyperlink" Target="http://stellaheystella.com" TargetMode="External"/><Relationship Id="rId292" Type="http://schemas.openxmlformats.org/officeDocument/2006/relationships/hyperlink" Target="https://www.stellaheystella.com/" TargetMode="External"/><Relationship Id="rId291" Type="http://schemas.openxmlformats.org/officeDocument/2006/relationships/hyperlink" Target="http://smartinc.com" TargetMode="External"/><Relationship Id="rId290" Type="http://schemas.openxmlformats.org/officeDocument/2006/relationships/hyperlink" Target="https://www.smartinc.com/" TargetMode="External"/><Relationship Id="rId286" Type="http://schemas.openxmlformats.org/officeDocument/2006/relationships/hyperlink" Target="https://sensedatalab.com.au/" TargetMode="External"/><Relationship Id="rId285" Type="http://schemas.openxmlformats.org/officeDocument/2006/relationships/hyperlink" Target="http://segments.com.au" TargetMode="External"/><Relationship Id="rId284" Type="http://schemas.openxmlformats.org/officeDocument/2006/relationships/hyperlink" Target="https://www.segments.com.au/" TargetMode="External"/><Relationship Id="rId283" Type="http://schemas.openxmlformats.org/officeDocument/2006/relationships/hyperlink" Target="http://savvyaustralia.com" TargetMode="External"/><Relationship Id="rId289" Type="http://schemas.openxmlformats.org/officeDocument/2006/relationships/hyperlink" Target="http://slalom.com" TargetMode="External"/><Relationship Id="rId288" Type="http://schemas.openxmlformats.org/officeDocument/2006/relationships/hyperlink" Target="https://www.slalom.com/us/en" TargetMode="External"/><Relationship Id="rId287" Type="http://schemas.openxmlformats.org/officeDocument/2006/relationships/hyperlink" Target="http://sensedatalab.com.au" TargetMode="External"/><Relationship Id="rId282" Type="http://schemas.openxmlformats.org/officeDocument/2006/relationships/hyperlink" Target="https://savvyaustralia.com/" TargetMode="External"/><Relationship Id="rId281" Type="http://schemas.openxmlformats.org/officeDocument/2006/relationships/hyperlink" Target="http://rocketagency.com.au" TargetMode="External"/><Relationship Id="rId280" Type="http://schemas.openxmlformats.org/officeDocument/2006/relationships/hyperlink" Target="https://rocketagency.com.au/" TargetMode="External"/><Relationship Id="rId275" Type="http://schemas.openxmlformats.org/officeDocument/2006/relationships/hyperlink" Target="http://performics.com" TargetMode="External"/><Relationship Id="rId274" Type="http://schemas.openxmlformats.org/officeDocument/2006/relationships/hyperlink" Target="https://www.performics.com/au/" TargetMode="External"/><Relationship Id="rId273" Type="http://schemas.openxmlformats.org/officeDocument/2006/relationships/hyperlink" Target="http://paramark.com" TargetMode="External"/><Relationship Id="rId272" Type="http://schemas.openxmlformats.org/officeDocument/2006/relationships/hyperlink" Target="https://paramark.com/" TargetMode="External"/><Relationship Id="rId279" Type="http://schemas.openxmlformats.org/officeDocument/2006/relationships/hyperlink" Target="http://puroai.com.au" TargetMode="External"/><Relationship Id="rId278" Type="http://schemas.openxmlformats.org/officeDocument/2006/relationships/hyperlink" Target="https://puroai.com.au/" TargetMode="External"/><Relationship Id="rId277" Type="http://schemas.openxmlformats.org/officeDocument/2006/relationships/hyperlink" Target="http://purealanalytics.co.uk" TargetMode="External"/><Relationship Id="rId276" Type="http://schemas.openxmlformats.org/officeDocument/2006/relationships/hyperlink" Target="https://purealanalytics.co.uk/" TargetMode="External"/><Relationship Id="rId228" Type="http://schemas.openxmlformats.org/officeDocument/2006/relationships/hyperlink" Target="https://gmp.incubeta.com/" TargetMode="External"/><Relationship Id="rId227" Type="http://schemas.openxmlformats.org/officeDocument/2006/relationships/hyperlink" Target="http://ggconsultants.com.au" TargetMode="External"/><Relationship Id="rId226" Type="http://schemas.openxmlformats.org/officeDocument/2006/relationships/hyperlink" Target="https://ggconsultants.com.au/" TargetMode="External"/><Relationship Id="rId225" Type="http://schemas.openxmlformats.org/officeDocument/2006/relationships/hyperlink" Target="http://geodigital.com.au" TargetMode="External"/><Relationship Id="rId229" Type="http://schemas.openxmlformats.org/officeDocument/2006/relationships/hyperlink" Target="http://incubeta.com" TargetMode="External"/><Relationship Id="rId220" Type="http://schemas.openxmlformats.org/officeDocument/2006/relationships/hyperlink" Target="https://www.gbg-group.com.au/" TargetMode="External"/><Relationship Id="rId224" Type="http://schemas.openxmlformats.org/officeDocument/2006/relationships/hyperlink" Target="https://geodigital.com.au/" TargetMode="External"/><Relationship Id="rId223" Type="http://schemas.openxmlformats.org/officeDocument/2006/relationships/hyperlink" Target="http://geoconsultants.com.au" TargetMode="External"/><Relationship Id="rId222" Type="http://schemas.openxmlformats.org/officeDocument/2006/relationships/hyperlink" Target="http://geoconsultants.com.au/" TargetMode="External"/><Relationship Id="rId221" Type="http://schemas.openxmlformats.org/officeDocument/2006/relationships/hyperlink" Target="http://gbg-group.com.au" TargetMode="External"/><Relationship Id="rId217" Type="http://schemas.openxmlformats.org/officeDocument/2006/relationships/hyperlink" Target="http://fivestones.net" TargetMode="External"/><Relationship Id="rId216" Type="http://schemas.openxmlformats.org/officeDocument/2006/relationships/hyperlink" Target="https://fivestones.net/" TargetMode="External"/><Relationship Id="rId215" Type="http://schemas.openxmlformats.org/officeDocument/2006/relationships/hyperlink" Target="http://firstpage.com.au" TargetMode="External"/><Relationship Id="rId214" Type="http://schemas.openxmlformats.org/officeDocument/2006/relationships/hyperlink" Target="https://firstpage.com.au/ai-seo/" TargetMode="External"/><Relationship Id="rId219" Type="http://schemas.openxmlformats.org/officeDocument/2006/relationships/hyperlink" Target="http://flurodigital.com" TargetMode="External"/><Relationship Id="rId218" Type="http://schemas.openxmlformats.org/officeDocument/2006/relationships/hyperlink" Target="https://www.flurodigital.com/" TargetMode="External"/><Relationship Id="rId213" Type="http://schemas.openxmlformats.org/officeDocument/2006/relationships/hyperlink" Target="http://engineroom.com.au" TargetMode="External"/><Relationship Id="rId212" Type="http://schemas.openxmlformats.org/officeDocument/2006/relationships/hyperlink" Target="https://www.engineroom.com.au/" TargetMode="External"/><Relationship Id="rId211" Type="http://schemas.openxmlformats.org/officeDocument/2006/relationships/hyperlink" Target="http://elephantroom.com.au" TargetMode="External"/><Relationship Id="rId210" Type="http://schemas.openxmlformats.org/officeDocument/2006/relationships/hyperlink" Target="https://www.elephantroom.com.au/" TargetMode="External"/><Relationship Id="rId249" Type="http://schemas.openxmlformats.org/officeDocument/2006/relationships/hyperlink" Target="http://leaddigital.com.au" TargetMode="External"/><Relationship Id="rId248" Type="http://schemas.openxmlformats.org/officeDocument/2006/relationships/hyperlink" Target="https://leaddigital.com.au/" TargetMode="External"/><Relationship Id="rId247" Type="http://schemas.openxmlformats.org/officeDocument/2006/relationships/hyperlink" Target="http://kwasi.com" TargetMode="External"/><Relationship Id="rId242" Type="http://schemas.openxmlformats.org/officeDocument/2006/relationships/hyperlink" Target="https://www.jbedigital.com.au/ai-seo/" TargetMode="External"/><Relationship Id="rId241" Type="http://schemas.openxmlformats.org/officeDocument/2006/relationships/hyperlink" Target="http://infokus.com.au" TargetMode="External"/><Relationship Id="rId240" Type="http://schemas.openxmlformats.org/officeDocument/2006/relationships/hyperlink" Target="https://infokus.com.au/" TargetMode="External"/><Relationship Id="rId246" Type="http://schemas.openxmlformats.org/officeDocument/2006/relationships/hyperlink" Target="https://kwasi.com/" TargetMode="External"/><Relationship Id="rId245" Type="http://schemas.openxmlformats.org/officeDocument/2006/relationships/hyperlink" Target="http://kingkong.co" TargetMode="External"/><Relationship Id="rId244" Type="http://schemas.openxmlformats.org/officeDocument/2006/relationships/hyperlink" Target="https://kingkong.co/au/" TargetMode="External"/><Relationship Id="rId243" Type="http://schemas.openxmlformats.org/officeDocument/2006/relationships/hyperlink" Target="http://jbedigital.com.au" TargetMode="External"/><Relationship Id="rId239" Type="http://schemas.openxmlformats.org/officeDocument/2006/relationships/hyperlink" Target="http://indexandomarketing.com" TargetMode="External"/><Relationship Id="rId238" Type="http://schemas.openxmlformats.org/officeDocument/2006/relationships/hyperlink" Target="https://www.indexandomarketing.com/en/" TargetMode="External"/><Relationship Id="rId237" Type="http://schemas.openxmlformats.org/officeDocument/2006/relationships/hyperlink" Target="http://impressive.com.au" TargetMode="External"/><Relationship Id="rId236" Type="http://schemas.openxmlformats.org/officeDocument/2006/relationships/hyperlink" Target="https://impressive.com.au/ppc/" TargetMode="External"/><Relationship Id="rId231" Type="http://schemas.openxmlformats.org/officeDocument/2006/relationships/hyperlink" Target="http://gorilla360.com.au" TargetMode="External"/><Relationship Id="rId230" Type="http://schemas.openxmlformats.org/officeDocument/2006/relationships/hyperlink" Target="https://gorilla360.com.au/geo/" TargetMode="External"/><Relationship Id="rId235" Type="http://schemas.openxmlformats.org/officeDocument/2006/relationships/hyperlink" Target="http://humanova.com.au" TargetMode="External"/><Relationship Id="rId234" Type="http://schemas.openxmlformats.org/officeDocument/2006/relationships/hyperlink" Target="https://www.humanova.com.au/" TargetMode="External"/><Relationship Id="rId233" Type="http://schemas.openxmlformats.org/officeDocument/2006/relationships/hyperlink" Target="http://hindsight.com.au" TargetMode="External"/><Relationship Id="rId232" Type="http://schemas.openxmlformats.org/officeDocument/2006/relationships/hyperlink" Target="https://hindsight.com.au/" TargetMode="External"/><Relationship Id="rId206" Type="http://schemas.openxmlformats.org/officeDocument/2006/relationships/hyperlink" Target="https://digitalnomadshq.com.au/ai-seo/" TargetMode="External"/><Relationship Id="rId205" Type="http://schemas.openxmlformats.org/officeDocument/2006/relationships/hyperlink" Target="http://digitalmoose.com.au" TargetMode="External"/><Relationship Id="rId204" Type="http://schemas.openxmlformats.org/officeDocument/2006/relationships/hyperlink" Target="https://digitalmoose.com.au/" TargetMode="External"/><Relationship Id="rId203" Type="http://schemas.openxmlformats.org/officeDocument/2006/relationships/hyperlink" Target="http://cmwgeosciences.com" TargetMode="External"/><Relationship Id="rId209" Type="http://schemas.openxmlformats.org/officeDocument/2006/relationships/hyperlink" Target="http://douglaspartners.com.au" TargetMode="External"/><Relationship Id="rId208" Type="http://schemas.openxmlformats.org/officeDocument/2006/relationships/hyperlink" Target="https://www.douglaspartners.com.au/" TargetMode="External"/><Relationship Id="rId207" Type="http://schemas.openxmlformats.org/officeDocument/2006/relationships/hyperlink" Target="http://digitalnomadshq.com.au" TargetMode="External"/><Relationship Id="rId202" Type="http://schemas.openxmlformats.org/officeDocument/2006/relationships/hyperlink" Target="https://cmwgeosciences.com/" TargetMode="External"/><Relationship Id="rId201" Type="http://schemas.openxmlformats.org/officeDocument/2006/relationships/hyperlink" Target="http://clickedon.co" TargetMode="External"/><Relationship Id="rId200" Type="http://schemas.openxmlformats.org/officeDocument/2006/relationships/hyperlink" Target="https://www.clickedon.co/" TargetMode="External"/><Relationship Id="rId190" Type="http://schemas.openxmlformats.org/officeDocument/2006/relationships/hyperlink" Target="https://bestanswerengineoptimizationservices.com/" TargetMode="External"/><Relationship Id="rId194" Type="http://schemas.openxmlformats.org/officeDocument/2006/relationships/hyperlink" Target="https://choosedigital.com.au/" TargetMode="External"/><Relationship Id="rId193" Type="http://schemas.openxmlformats.org/officeDocument/2006/relationships/hyperlink" Target="http://caffeinate.com.au" TargetMode="External"/><Relationship Id="rId192" Type="http://schemas.openxmlformats.org/officeDocument/2006/relationships/hyperlink" Target="https://caffeinate.com.au/" TargetMode="External"/><Relationship Id="rId191" Type="http://schemas.openxmlformats.org/officeDocument/2006/relationships/hyperlink" Target="http://bestanswerengineoptimizationservices.com" TargetMode="External"/><Relationship Id="rId187" Type="http://schemas.openxmlformats.org/officeDocument/2006/relationships/hyperlink" Target="http://ausasiaonline.com.au" TargetMode="External"/><Relationship Id="rId186" Type="http://schemas.openxmlformats.org/officeDocument/2006/relationships/hyperlink" Target="https://www.ausasiaonline.com.au/ai-seo/" TargetMode="External"/><Relationship Id="rId185" Type="http://schemas.openxmlformats.org/officeDocument/2006/relationships/hyperlink" Target="http://bmgww.com" TargetMode="External"/><Relationship Id="rId184" Type="http://schemas.openxmlformats.org/officeDocument/2006/relationships/hyperlink" Target="https://au.bmgww.com/" TargetMode="External"/><Relationship Id="rId189" Type="http://schemas.openxmlformats.org/officeDocument/2006/relationships/hyperlink" Target="http://ausgeotest.com.au" TargetMode="External"/><Relationship Id="rId188" Type="http://schemas.openxmlformats.org/officeDocument/2006/relationships/hyperlink" Target="https://www.ausgeotest.com.au/" TargetMode="External"/><Relationship Id="rId183" Type="http://schemas.openxmlformats.org/officeDocument/2006/relationships/hyperlink" Target="http://asanalytics.com.au" TargetMode="External"/><Relationship Id="rId182" Type="http://schemas.openxmlformats.org/officeDocument/2006/relationships/hyperlink" Target="https://www.asanalytics.com.au/" TargetMode="External"/><Relationship Id="rId181" Type="http://schemas.openxmlformats.org/officeDocument/2006/relationships/hyperlink" Target="http://analyticpartners.com" TargetMode="External"/><Relationship Id="rId180" Type="http://schemas.openxmlformats.org/officeDocument/2006/relationships/hyperlink" Target="https://analyticpartners.com/" TargetMode="External"/><Relationship Id="rId176" Type="http://schemas.openxmlformats.org/officeDocument/2006/relationships/hyperlink" Target="https://alleygroup.com.au/" TargetMode="External"/><Relationship Id="rId175" Type="http://schemas.openxmlformats.org/officeDocument/2006/relationships/hyperlink" Target="http://aistrategyconsulting.com.au" TargetMode="External"/><Relationship Id="rId174" Type="http://schemas.openxmlformats.org/officeDocument/2006/relationships/hyperlink" Target="https://aistrategyconsulting.com.au/" TargetMode="External"/><Relationship Id="rId173" Type="http://schemas.openxmlformats.org/officeDocument/2006/relationships/hyperlink" Target="http://aify.com.au" TargetMode="External"/><Relationship Id="rId179" Type="http://schemas.openxmlformats.org/officeDocument/2006/relationships/hyperlink" Target="http://allgeo.com.au" TargetMode="External"/><Relationship Id="rId178" Type="http://schemas.openxmlformats.org/officeDocument/2006/relationships/hyperlink" Target="https://allgeo.com.au/" TargetMode="External"/><Relationship Id="rId177" Type="http://schemas.openxmlformats.org/officeDocument/2006/relationships/hyperlink" Target="http://alleygroup.com.au" TargetMode="External"/><Relationship Id="rId198" Type="http://schemas.openxmlformats.org/officeDocument/2006/relationships/hyperlink" Target="https://clemengerbbdo.com/" TargetMode="External"/><Relationship Id="rId197" Type="http://schemas.openxmlformats.org/officeDocument/2006/relationships/hyperlink" Target="http://circana.com" TargetMode="External"/><Relationship Id="rId196" Type="http://schemas.openxmlformats.org/officeDocument/2006/relationships/hyperlink" Target="https://www.circana.com/au" TargetMode="External"/><Relationship Id="rId195" Type="http://schemas.openxmlformats.org/officeDocument/2006/relationships/hyperlink" Target="http://choosedigital.com.au" TargetMode="External"/><Relationship Id="rId199" Type="http://schemas.openxmlformats.org/officeDocument/2006/relationships/hyperlink" Target="http://clemengerbbdo.com" TargetMode="External"/><Relationship Id="rId150" Type="http://schemas.openxmlformats.org/officeDocument/2006/relationships/hyperlink" Target="https://www.ngis.com.au/" TargetMode="External"/><Relationship Id="rId149" Type="http://schemas.openxmlformats.org/officeDocument/2006/relationships/hyperlink" Target="http://navigatortech.com.au" TargetMode="External"/><Relationship Id="rId148" Type="http://schemas.openxmlformats.org/officeDocument/2006/relationships/hyperlink" Target="https://navigatortech.com.au/" TargetMode="External"/><Relationship Id="rId143" Type="http://schemas.openxmlformats.org/officeDocument/2006/relationships/hyperlink" Target="http://inmarketingwetrust.com.au" TargetMode="External"/><Relationship Id="rId142" Type="http://schemas.openxmlformats.org/officeDocument/2006/relationships/hyperlink" Target="https://inmarketingwetrust.com.au/" TargetMode="External"/><Relationship Id="rId141" Type="http://schemas.openxmlformats.org/officeDocument/2006/relationships/hyperlink" Target="http://growaidigital.com.au" TargetMode="External"/><Relationship Id="rId140" Type="http://schemas.openxmlformats.org/officeDocument/2006/relationships/hyperlink" Target="https://www.growaidigital.com.au/" TargetMode="External"/><Relationship Id="rId147" Type="http://schemas.openxmlformats.org/officeDocument/2006/relationships/hyperlink" Target="http://mindanchorai.com.au" TargetMode="External"/><Relationship Id="rId146" Type="http://schemas.openxmlformats.org/officeDocument/2006/relationships/hyperlink" Target="https://mindanchorai.com.au/" TargetMode="External"/><Relationship Id="rId145" Type="http://schemas.openxmlformats.org/officeDocument/2006/relationships/hyperlink" Target="http://meaningfulsocialclub.com" TargetMode="External"/><Relationship Id="rId144" Type="http://schemas.openxmlformats.org/officeDocument/2006/relationships/hyperlink" Target="https://meaningfulsocialclub.com/" TargetMode="External"/><Relationship Id="rId139" Type="http://schemas.openxmlformats.org/officeDocument/2006/relationships/hyperlink" Target="http://flowworks.com.au" TargetMode="External"/><Relationship Id="rId138" Type="http://schemas.openxmlformats.org/officeDocument/2006/relationships/hyperlink" Target="https://flowworks.com.au/" TargetMode="External"/><Relationship Id="rId137" Type="http://schemas.openxmlformats.org/officeDocument/2006/relationships/hyperlink" Target="http://dilate.com.au" TargetMode="External"/><Relationship Id="rId132" Type="http://schemas.openxmlformats.org/officeDocument/2006/relationships/hyperlink" Target="https://www.datasauce.com/" TargetMode="External"/><Relationship Id="rId131" Type="http://schemas.openxmlformats.org/officeDocument/2006/relationships/hyperlink" Target="http://cartermedia.com.au" TargetMode="External"/><Relationship Id="rId130" Type="http://schemas.openxmlformats.org/officeDocument/2006/relationships/hyperlink" Target="https://cartermedia.com.au/" TargetMode="External"/><Relationship Id="rId136" Type="http://schemas.openxmlformats.org/officeDocument/2006/relationships/hyperlink" Target="https://www.dilate.com.au/" TargetMode="External"/><Relationship Id="rId135" Type="http://schemas.openxmlformats.org/officeDocument/2006/relationships/hyperlink" Target="http://digitalsearchgroup.com.au" TargetMode="External"/><Relationship Id="rId134" Type="http://schemas.openxmlformats.org/officeDocument/2006/relationships/hyperlink" Target="https://digitalsearchgroup.com.au/" TargetMode="External"/><Relationship Id="rId133" Type="http://schemas.openxmlformats.org/officeDocument/2006/relationships/hyperlink" Target="http://datasauce.com" TargetMode="External"/><Relationship Id="rId172" Type="http://schemas.openxmlformats.org/officeDocument/2006/relationships/hyperlink" Target="https://aify.com.au/" TargetMode="External"/><Relationship Id="rId171" Type="http://schemas.openxmlformats.org/officeDocument/2006/relationships/hyperlink" Target="http://aiconsultinggroup.com.au" TargetMode="External"/><Relationship Id="rId170" Type="http://schemas.openxmlformats.org/officeDocument/2006/relationships/hyperlink" Target="https://aiconsultinggroup.com.au" TargetMode="External"/><Relationship Id="rId165" Type="http://schemas.openxmlformats.org/officeDocument/2006/relationships/hyperlink" Target="http://adelaidemetrics.com" TargetMode="External"/><Relationship Id="rId164" Type="http://schemas.openxmlformats.org/officeDocument/2006/relationships/hyperlink" Target="https://www.adelaidemetrics.com/" TargetMode="External"/><Relationship Id="rId163" Type="http://schemas.openxmlformats.org/officeDocument/2006/relationships/hyperlink" Target="http://addaptive.com.au" TargetMode="External"/><Relationship Id="rId162" Type="http://schemas.openxmlformats.org/officeDocument/2006/relationships/hyperlink" Target="https://addaptive.com.au/" TargetMode="External"/><Relationship Id="rId169" Type="http://schemas.openxmlformats.org/officeDocument/2006/relationships/hyperlink" Target="http://aiavenue.com.au" TargetMode="External"/><Relationship Id="rId168" Type="http://schemas.openxmlformats.org/officeDocument/2006/relationships/hyperlink" Target="https://aiavenue.com.au/" TargetMode="External"/><Relationship Id="rId167" Type="http://schemas.openxmlformats.org/officeDocument/2006/relationships/hyperlink" Target="http://agentum.com.au" TargetMode="External"/><Relationship Id="rId166" Type="http://schemas.openxmlformats.org/officeDocument/2006/relationships/hyperlink" Target="https://agentum.com.au/" TargetMode="External"/><Relationship Id="rId161" Type="http://schemas.openxmlformats.org/officeDocument/2006/relationships/hyperlink" Target="http://thinkerbell.com" TargetMode="External"/><Relationship Id="rId160" Type="http://schemas.openxmlformats.org/officeDocument/2006/relationships/hyperlink" Target="https://thinkerbell.com/" TargetMode="External"/><Relationship Id="rId159" Type="http://schemas.openxmlformats.org/officeDocument/2006/relationships/hyperlink" Target="http://scalemaster.com.au" TargetMode="External"/><Relationship Id="rId154" Type="http://schemas.openxmlformats.org/officeDocument/2006/relationships/hyperlink" Target="https://rankmefirst.ai/" TargetMode="External"/><Relationship Id="rId153" Type="http://schemas.openxmlformats.org/officeDocument/2006/relationships/hyperlink" Target="http://onlinemarketinggurus.com.au" TargetMode="External"/><Relationship Id="rId152" Type="http://schemas.openxmlformats.org/officeDocument/2006/relationships/hyperlink" Target="https://www.onlinemarketinggurus.com.au/" TargetMode="External"/><Relationship Id="rId151" Type="http://schemas.openxmlformats.org/officeDocument/2006/relationships/hyperlink" Target="http://ngis.com.au" TargetMode="External"/><Relationship Id="rId158" Type="http://schemas.openxmlformats.org/officeDocument/2006/relationships/hyperlink" Target="https://www.scalemaster.com.au/" TargetMode="External"/><Relationship Id="rId157" Type="http://schemas.openxmlformats.org/officeDocument/2006/relationships/hyperlink" Target="http://reloadmedia.com.au" TargetMode="External"/><Relationship Id="rId156" Type="http://schemas.openxmlformats.org/officeDocument/2006/relationships/hyperlink" Target="https://www.reloadmedia.com.au/" TargetMode="External"/><Relationship Id="rId155" Type="http://schemas.openxmlformats.org/officeDocument/2006/relationships/hyperlink" Target="http://rankmefirst.ai" TargetMode="External"/><Relationship Id="rId107" Type="http://schemas.openxmlformats.org/officeDocument/2006/relationships/hyperlink" Target="http://linea-analytics.com" TargetMode="External"/><Relationship Id="rId106" Type="http://schemas.openxmlformats.org/officeDocument/2006/relationships/hyperlink" Target="https://linea-analytics.com/" TargetMode="External"/><Relationship Id="rId105" Type="http://schemas.openxmlformats.org/officeDocument/2006/relationships/hyperlink" Target="http://lifesight.io" TargetMode="External"/><Relationship Id="rId104" Type="http://schemas.openxmlformats.org/officeDocument/2006/relationships/hyperlink" Target="https://lifesight.io/" TargetMode="External"/><Relationship Id="rId109" Type="http://schemas.openxmlformats.org/officeDocument/2006/relationships/hyperlink" Target="http://mutinex.co" TargetMode="External"/><Relationship Id="rId108" Type="http://schemas.openxmlformats.org/officeDocument/2006/relationships/hyperlink" Target="https://mutinex.co/" TargetMode="External"/><Relationship Id="rId103" Type="http://schemas.openxmlformats.org/officeDocument/2006/relationships/hyperlink" Target="http://intelliagent.com.au" TargetMode="External"/><Relationship Id="rId102" Type="http://schemas.openxmlformats.org/officeDocument/2006/relationships/hyperlink" Target="https://www.intelliagent.com.au/" TargetMode="External"/><Relationship Id="rId101" Type="http://schemas.openxmlformats.org/officeDocument/2006/relationships/hyperlink" Target="http://indigosystems.au" TargetMode="External"/><Relationship Id="rId100" Type="http://schemas.openxmlformats.org/officeDocument/2006/relationships/hyperlink" Target="https://www.indigosystems.au/" TargetMode="External"/><Relationship Id="rId129" Type="http://schemas.openxmlformats.org/officeDocument/2006/relationships/hyperlink" Target="http://braive.com.au" TargetMode="External"/><Relationship Id="rId128" Type="http://schemas.openxmlformats.org/officeDocument/2006/relationships/hyperlink" Target="https://www.braive.com.au/" TargetMode="External"/><Relationship Id="rId127" Type="http://schemas.openxmlformats.org/officeDocument/2006/relationships/hyperlink" Target="http://betterpeople.com.au" TargetMode="External"/><Relationship Id="rId126" Type="http://schemas.openxmlformats.org/officeDocument/2006/relationships/hyperlink" Target="https://www.betterpeople.com.au/" TargetMode="External"/><Relationship Id="rId121" Type="http://schemas.openxmlformats.org/officeDocument/2006/relationships/hyperlink" Target="http://unifida.com.au" TargetMode="External"/><Relationship Id="rId120" Type="http://schemas.openxmlformats.org/officeDocument/2006/relationships/hyperlink" Target="https://www.unifida.com.au/" TargetMode="External"/><Relationship Id="rId125" Type="http://schemas.openxmlformats.org/officeDocument/2006/relationships/hyperlink" Target="http://aireadyaudit.com.au" TargetMode="External"/><Relationship Id="rId124" Type="http://schemas.openxmlformats.org/officeDocument/2006/relationships/hyperlink" Target="https://aireadyaudit.com.au/" TargetMode="External"/><Relationship Id="rId123" Type="http://schemas.openxmlformats.org/officeDocument/2006/relationships/hyperlink" Target="http://aimash.com.au" TargetMode="External"/><Relationship Id="rId122" Type="http://schemas.openxmlformats.org/officeDocument/2006/relationships/hyperlink" Target="https://www.aimash.com.au/" TargetMode="External"/><Relationship Id="rId118" Type="http://schemas.openxmlformats.org/officeDocument/2006/relationships/hyperlink" Target="https://www.tamedmarketing.com.au/" TargetMode="External"/><Relationship Id="rId117" Type="http://schemas.openxmlformats.org/officeDocument/2006/relationships/hyperlink" Target="http://searchagency.com.au" TargetMode="External"/><Relationship Id="rId116" Type="http://schemas.openxmlformats.org/officeDocument/2006/relationships/hyperlink" Target="https://searchagency.com.au/" TargetMode="External"/><Relationship Id="rId115" Type="http://schemas.openxmlformats.org/officeDocument/2006/relationships/hyperlink" Target="http://primedaiconsulting.com" TargetMode="External"/><Relationship Id="rId119" Type="http://schemas.openxmlformats.org/officeDocument/2006/relationships/hyperlink" Target="http://tamedmarketing.com.au" TargetMode="External"/><Relationship Id="rId110" Type="http://schemas.openxmlformats.org/officeDocument/2006/relationships/hyperlink" Target="https://www.paisdigital.com.au/" TargetMode="External"/><Relationship Id="rId114" Type="http://schemas.openxmlformats.org/officeDocument/2006/relationships/hyperlink" Target="https://primedaiconsulting.com/" TargetMode="External"/><Relationship Id="rId113" Type="http://schemas.openxmlformats.org/officeDocument/2006/relationships/hyperlink" Target="http://performancemarketer.com.au" TargetMode="External"/><Relationship Id="rId112" Type="http://schemas.openxmlformats.org/officeDocument/2006/relationships/hyperlink" Target="https://performancemarketer.com.au/" TargetMode="External"/><Relationship Id="rId111" Type="http://schemas.openxmlformats.org/officeDocument/2006/relationships/hyperlink" Target="http://paisdigital.com.au"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tellaheystella.com" TargetMode="External"/><Relationship Id="rId2" Type="http://schemas.openxmlformats.org/officeDocument/2006/relationships/hyperlink" Target="https://blog.applabx.com/top-10-best-geo-agencies-in-australia-in-2026/" TargetMode="External"/><Relationship Id="rId3" Type="http://schemas.openxmlformats.org/officeDocument/2006/relationships/hyperlink" Target="http://applabx.com" TargetMode="External"/><Relationship Id="rId4" Type="http://schemas.openxmlformats.org/officeDocument/2006/relationships/hyperlink" Target="https://promoguy.nl/blog/2026/02/12/incrementality-testing-for-marketing-promotion/" TargetMode="External"/><Relationship Id="rId9" Type="http://schemas.openxmlformats.org/officeDocument/2006/relationships/hyperlink" Target="http://roi.com.au" TargetMode="External"/><Relationship Id="rId5" Type="http://schemas.openxmlformats.org/officeDocument/2006/relationships/hyperlink" Target="http://promoguy.nl" TargetMode="External"/><Relationship Id="rId6" Type="http://schemas.openxmlformats.org/officeDocument/2006/relationships/hyperlink" Target="https://www.latentview.com/glossary/incrementality-testing/" TargetMode="External"/><Relationship Id="rId7" Type="http://schemas.openxmlformats.org/officeDocument/2006/relationships/hyperlink" Target="http://latentview.com" TargetMode="External"/><Relationship Id="rId8" Type="http://schemas.openxmlformats.org/officeDocument/2006/relationships/hyperlink" Target="https://roi.com.au/service/digital-marketing-agency-australia-2026/" TargetMode="External"/><Relationship Id="rId40" Type="http://schemas.openxmlformats.org/officeDocument/2006/relationships/hyperlink" Target="https://metriclabs.com.au/ga4-ecommerce-tracking/" TargetMode="External"/><Relationship Id="rId42" Type="http://schemas.openxmlformats.org/officeDocument/2006/relationships/hyperlink" Target="https://www.roboticmarketer.com/how-ai-marketing-consultants-boost-productivity-and-roi/" TargetMode="External"/><Relationship Id="rId41" Type="http://schemas.openxmlformats.org/officeDocument/2006/relationships/hyperlink" Target="http://metriclabs.com.au" TargetMode="External"/><Relationship Id="rId44" Type="http://schemas.openxmlformats.org/officeDocument/2006/relationships/hyperlink" Target="https://studioandcomarketing.com.au/what-is-geo-in-digital-marketing-and-how-does-it-impact-seo/" TargetMode="External"/><Relationship Id="rId43" Type="http://schemas.openxmlformats.org/officeDocument/2006/relationships/hyperlink" Target="http://roboticmarketer.com" TargetMode="External"/><Relationship Id="rId46" Type="http://schemas.openxmlformats.org/officeDocument/2006/relationships/hyperlink" Target="https://www.triplewhale.com/blog/incrementality-testing-methods" TargetMode="External"/><Relationship Id="rId45" Type="http://schemas.openxmlformats.org/officeDocument/2006/relationships/hyperlink" Target="http://studioandcomarketing.com.au" TargetMode="External"/><Relationship Id="rId48" Type="http://schemas.openxmlformats.org/officeDocument/2006/relationships/drawing" Target="../drawings/drawing26.xml"/><Relationship Id="rId47" Type="http://schemas.openxmlformats.org/officeDocument/2006/relationships/hyperlink" Target="http://triplewhale.com" TargetMode="External"/><Relationship Id="rId31" Type="http://schemas.openxmlformats.org/officeDocument/2006/relationships/hyperlink" Target="http://designrush.com" TargetMode="External"/><Relationship Id="rId30" Type="http://schemas.openxmlformats.org/officeDocument/2006/relationships/hyperlink" Target="https://www.designrush.com/agency/paid-media-pay-per-click/au" TargetMode="External"/><Relationship Id="rId33" Type="http://schemas.openxmlformats.org/officeDocument/2006/relationships/hyperlink" Target="http://fusepointinsights.com" TargetMode="External"/><Relationship Id="rId32" Type="http://schemas.openxmlformats.org/officeDocument/2006/relationships/hyperlink" Target="https://fusepointinsights.com/blog/mastering-incrementality-testing/" TargetMode="External"/><Relationship Id="rId35" Type="http://schemas.openxmlformats.org/officeDocument/2006/relationships/hyperlink" Target="http://louddays.com" TargetMode="External"/><Relationship Id="rId34" Type="http://schemas.openxmlformats.org/officeDocument/2006/relationships/hyperlink" Target="https://www.louddays.com/performance-marketing-agency-australia-guide/" TargetMode="External"/><Relationship Id="rId37" Type="http://schemas.openxmlformats.org/officeDocument/2006/relationships/hyperlink" Target="http://mass-analytics.com" TargetMode="External"/><Relationship Id="rId36" Type="http://schemas.openxmlformats.org/officeDocument/2006/relationships/hyperlink" Target="https://mass-analytics.com/marketing-mix-modeling-blogs/how-geo-experiments-measure-incrementality/" TargetMode="External"/><Relationship Id="rId39" Type="http://schemas.openxmlformats.org/officeDocument/2006/relationships/hyperlink" Target="http://matomo.org" TargetMode="External"/><Relationship Id="rId38" Type="http://schemas.openxmlformats.org/officeDocument/2006/relationships/hyperlink" Target="https://matomo.org/blog/2024/03/incrementality-testing/" TargetMode="External"/><Relationship Id="rId20" Type="http://schemas.openxmlformats.org/officeDocument/2006/relationships/hyperlink" Target="https://digitalagencynetwork.com/agencies/australia/industry/it-technology/" TargetMode="External"/><Relationship Id="rId22" Type="http://schemas.openxmlformats.org/officeDocument/2006/relationships/hyperlink" Target="https://agenticmarketingpro.com/incrementality-testing/" TargetMode="External"/><Relationship Id="rId21" Type="http://schemas.openxmlformats.org/officeDocument/2006/relationships/hyperlink" Target="http://digitalagencynetwork.com" TargetMode="External"/><Relationship Id="rId24" Type="http://schemas.openxmlformats.org/officeDocument/2006/relationships/hyperlink" Target="https://aipivot.com.au/blog/how-to-choose-ai-seo-agency-australia" TargetMode="External"/><Relationship Id="rId23" Type="http://schemas.openxmlformats.org/officeDocument/2006/relationships/hyperlink" Target="http://agenticmarketingpro.com" TargetMode="External"/><Relationship Id="rId26" Type="http://schemas.openxmlformats.org/officeDocument/2006/relationships/hyperlink" Target="https://brightwaterdigital.com.au/blog/what-is-aeo" TargetMode="External"/><Relationship Id="rId25" Type="http://schemas.openxmlformats.org/officeDocument/2006/relationships/hyperlink" Target="http://aipivot.com.au" TargetMode="External"/><Relationship Id="rId28" Type="http://schemas.openxmlformats.org/officeDocument/2006/relationships/hyperlink" Target="https://codiant.ai/blog/how-to-choose-the-right-ai-consulting-company-in-australia/" TargetMode="External"/><Relationship Id="rId27" Type="http://schemas.openxmlformats.org/officeDocument/2006/relationships/hyperlink" Target="http://brightwaterdigital.com.au" TargetMode="External"/><Relationship Id="rId29" Type="http://schemas.openxmlformats.org/officeDocument/2006/relationships/hyperlink" Target="http://codiant.ai" TargetMode="External"/><Relationship Id="rId11" Type="http://schemas.openxmlformats.org/officeDocument/2006/relationships/hyperlink" Target="http://rightsideup.com" TargetMode="External"/><Relationship Id="rId10" Type="http://schemas.openxmlformats.org/officeDocument/2006/relationships/hyperlink" Target="https://www.rightsideup.com/blog/guide-to-marketing-incrementality-testing" TargetMode="External"/><Relationship Id="rId13" Type="http://schemas.openxmlformats.org/officeDocument/2006/relationships/hyperlink" Target="http://amplitude.com" TargetMode="External"/><Relationship Id="rId12" Type="http://schemas.openxmlformats.org/officeDocument/2006/relationships/hyperlink" Target="https://amplitude.com/explore/experiment/incrementality-testing" TargetMode="External"/><Relationship Id="rId15" Type="http://schemas.openxmlformats.org/officeDocument/2006/relationships/hyperlink" Target="http://techradar.com" TargetMode="External"/><Relationship Id="rId14" Type="http://schemas.openxmlformats.org/officeDocument/2006/relationships/hyperlink" Target="https://www.techradar.com/pro/how-to-use-an-aeo-tool-for-your-small-business" TargetMode="External"/><Relationship Id="rId17" Type="http://schemas.openxmlformats.org/officeDocument/2006/relationships/hyperlink" Target="http://3pdigital.com.au" TargetMode="External"/><Relationship Id="rId16" Type="http://schemas.openxmlformats.org/officeDocument/2006/relationships/hyperlink" Target="https://3pdigital.com.au/blog/how-to-choose-an-analytics-agency-australia" TargetMode="External"/><Relationship Id="rId19" Type="http://schemas.openxmlformats.org/officeDocument/2006/relationships/hyperlink" Target="http://3pdigital.com.au" TargetMode="External"/><Relationship Id="rId18" Type="http://schemas.openxmlformats.org/officeDocument/2006/relationships/hyperlink" Target="https://3pdigital.com.au/blog/paid-media-agency-australia-what-to-look-for-and-how-to-choose" TargetMode="External"/></Relationships>
</file>

<file path=xl/worksheets/_rels/sheet27.xml.rels><?xml version="1.0" encoding="UTF-8" standalone="yes"?><Relationships xmlns="http://schemas.openxmlformats.org/package/2006/relationships"><Relationship Id="rId392" Type="http://schemas.openxmlformats.org/officeDocument/2006/relationships/hyperlink" Target="http://anirup.com" TargetMode="External"/><Relationship Id="rId391" Type="http://schemas.openxmlformats.org/officeDocument/2006/relationships/hyperlink" Target="https://anirup.com/top-10-google-ads-agency-australia/" TargetMode="External"/><Relationship Id="rId390" Type="http://schemas.openxmlformats.org/officeDocument/2006/relationships/hyperlink" Target="http://analyzify.com" TargetMode="External"/><Relationship Id="rId1" Type="http://schemas.openxmlformats.org/officeDocument/2006/relationships/hyperlink" Target="http://23digital.com.au" TargetMode="External"/><Relationship Id="rId2" Type="http://schemas.openxmlformats.org/officeDocument/2006/relationships/hyperlink" Target="https://digitalnomadshq.com.au/blog/top-digital-marketing-agencies/" TargetMode="External"/><Relationship Id="rId3" Type="http://schemas.openxmlformats.org/officeDocument/2006/relationships/hyperlink" Target="http://digitalnomadshq.com.au" TargetMode="External"/><Relationship Id="rId4" Type="http://schemas.openxmlformats.org/officeDocument/2006/relationships/hyperlink" Target="https://www.adcore.com/blog/top-10-digital-marketing-agencies-in-australia/" TargetMode="External"/><Relationship Id="rId9" Type="http://schemas.openxmlformats.org/officeDocument/2006/relationships/hyperlink" Target="http://theardor.com.au" TargetMode="External"/><Relationship Id="rId385" Type="http://schemas.openxmlformats.org/officeDocument/2006/relationships/hyperlink" Target="https://zipdo.co/service/attribution/" TargetMode="External"/><Relationship Id="rId384" Type="http://schemas.openxmlformats.org/officeDocument/2006/relationships/hyperlink" Target="http://warc.com" TargetMode="External"/><Relationship Id="rId383" Type="http://schemas.openxmlformats.org/officeDocument/2006/relationships/hyperlink" Target="https://www.warc.com/en/rankings/creative-100" TargetMode="External"/><Relationship Id="rId382" Type="http://schemas.openxmlformats.org/officeDocument/2006/relationships/hyperlink" Target="http://usercall.co" TargetMode="External"/><Relationship Id="rId5" Type="http://schemas.openxmlformats.org/officeDocument/2006/relationships/hyperlink" Target="http://adcore.com" TargetMode="External"/><Relationship Id="rId389" Type="http://schemas.openxmlformats.org/officeDocument/2006/relationships/hyperlink" Target="https://analyzify.com/hub/digital-marketing-agencies-in-au" TargetMode="External"/><Relationship Id="rId6" Type="http://schemas.openxmlformats.org/officeDocument/2006/relationships/hyperlink" Target="https://leadsnow.ai/best-ai-marketing-agencies-australia/" TargetMode="External"/><Relationship Id="rId388" Type="http://schemas.openxmlformats.org/officeDocument/2006/relationships/hyperlink" Target="http://adnews.com.au" TargetMode="External"/><Relationship Id="rId7" Type="http://schemas.openxmlformats.org/officeDocument/2006/relationships/hyperlink" Target="http://leadsnow.ai" TargetMode="External"/><Relationship Id="rId387" Type="http://schemas.openxmlformats.org/officeDocument/2006/relationships/hyperlink" Target="https://www.adnews.com.au/news/the-adnews-agency-of-the-year-award-2025-winners-revealed" TargetMode="External"/><Relationship Id="rId8" Type="http://schemas.openxmlformats.org/officeDocument/2006/relationships/hyperlink" Target="https://www.theardor.com.au/top-digital-marketing-agencies-in-australia/" TargetMode="External"/><Relationship Id="rId386" Type="http://schemas.openxmlformats.org/officeDocument/2006/relationships/hyperlink" Target="http://zipdo.co" TargetMode="External"/><Relationship Id="rId381" Type="http://schemas.openxmlformats.org/officeDocument/2006/relationships/hyperlink" Target="https://www.usercall.co/post/top-20-market-research-companies-in-australia-2025" TargetMode="External"/><Relationship Id="rId380" Type="http://schemas.openxmlformats.org/officeDocument/2006/relationships/hyperlink" Target="http://themanifest.com" TargetMode="External"/><Relationship Id="rId379" Type="http://schemas.openxmlformats.org/officeDocument/2006/relationships/hyperlink" Target="https://themanifest.com/au/digital-marketing/agencies?page=1" TargetMode="External"/><Relationship Id="rId374" Type="http://schemas.openxmlformats.org/officeDocument/2006/relationships/hyperlink" Target="http://seocompare.co.uk" TargetMode="External"/><Relationship Id="rId373" Type="http://schemas.openxmlformats.org/officeDocument/2006/relationships/hyperlink" Target="https://seocompare.co.uk/ai-search-agencies-australia/" TargetMode="External"/><Relationship Id="rId372" Type="http://schemas.openxmlformats.org/officeDocument/2006/relationships/hyperlink" Target="http://outgrow.co" TargetMode="External"/><Relationship Id="rId371" Type="http://schemas.openxmlformats.org/officeDocument/2006/relationships/hyperlink" Target="https://outgrow.co/blog/advertising-agencies-australia" TargetMode="External"/><Relationship Id="rId378" Type="http://schemas.openxmlformats.org/officeDocument/2006/relationships/hyperlink" Target="http://techbullion.com" TargetMode="External"/><Relationship Id="rId377" Type="http://schemas.openxmlformats.org/officeDocument/2006/relationships/hyperlink" Target="https://techbullion.com/top-australian-geo-agencies-helping-brands-appear-in-ai-generated-answers/" TargetMode="External"/><Relationship Id="rId376" Type="http://schemas.openxmlformats.org/officeDocument/2006/relationships/hyperlink" Target="http://smartosc.com" TargetMode="External"/><Relationship Id="rId375" Type="http://schemas.openxmlformats.org/officeDocument/2006/relationships/hyperlink" Target="https://www.smartosc.com/ai-consulting-services-in-australia/" TargetMode="External"/><Relationship Id="rId396" Type="http://schemas.openxmlformats.org/officeDocument/2006/relationships/hyperlink" Target="http://avidtrak.com" TargetMode="External"/><Relationship Id="rId395" Type="http://schemas.openxmlformats.org/officeDocument/2006/relationships/hyperlink" Target="https://avidtrak.com/resource/best-market-attribution-software" TargetMode="External"/><Relationship Id="rId394" Type="http://schemas.openxmlformats.org/officeDocument/2006/relationships/hyperlink" Target="http://avenuegroupaus.com.au" TargetMode="External"/><Relationship Id="rId393" Type="http://schemas.openxmlformats.org/officeDocument/2006/relationships/hyperlink" Target="https://avenuegroupaus.com.au/top-seo-companies-in-australia/" TargetMode="External"/><Relationship Id="rId399" Type="http://schemas.openxmlformats.org/officeDocument/2006/relationships/hyperlink" Target="https://bestforexapp.com/best-ai-marketing-agency-australia-2026-2/" TargetMode="External"/><Relationship Id="rId398" Type="http://schemas.openxmlformats.org/officeDocument/2006/relationships/hyperlink" Target="http://bbe.io" TargetMode="External"/><Relationship Id="rId397" Type="http://schemas.openxmlformats.org/officeDocument/2006/relationships/hyperlink" Target="https://www.bbe.io/top-10-most-innovative-australian-ad-agencies-and-best-creative-campaigns/" TargetMode="External"/><Relationship Id="rId40" Type="http://schemas.openxmlformats.org/officeDocument/2006/relationships/hyperlink" Target="https://thatware.co/top-10-aeo-companies-in-australia/" TargetMode="External"/><Relationship Id="rId42" Type="http://schemas.openxmlformats.org/officeDocument/2006/relationships/hyperlink" Target="https://leadsnow.ai/best-ai-seo-aeo-agencies-australia/" TargetMode="External"/><Relationship Id="rId41" Type="http://schemas.openxmlformats.org/officeDocument/2006/relationships/hyperlink" Target="http://thatware.co" TargetMode="External"/><Relationship Id="rId44" Type="http://schemas.openxmlformats.org/officeDocument/2006/relationships/hyperlink" Target="https://marginmedia.com.au/our-blog/top-digital-marketing-agencies-australia" TargetMode="External"/><Relationship Id="rId43" Type="http://schemas.openxmlformats.org/officeDocument/2006/relationships/hyperlink" Target="http://leadsnow.ai" TargetMode="External"/><Relationship Id="rId46" Type="http://schemas.openxmlformats.org/officeDocument/2006/relationships/hyperlink" Target="https://www.smartosc.com/top-10-ai-marketing-agency-in-australia/" TargetMode="External"/><Relationship Id="rId45" Type="http://schemas.openxmlformats.org/officeDocument/2006/relationships/hyperlink" Target="http://marginmedia.com.au" TargetMode="External"/><Relationship Id="rId48" Type="http://schemas.openxmlformats.org/officeDocument/2006/relationships/hyperlink" Target="https://www.globalgenie.com.au/top-digital-marketing-agencies-in-australia/" TargetMode="External"/><Relationship Id="rId47" Type="http://schemas.openxmlformats.org/officeDocument/2006/relationships/hyperlink" Target="http://smartosc.com" TargetMode="External"/><Relationship Id="rId49" Type="http://schemas.openxmlformats.org/officeDocument/2006/relationships/hyperlink" Target="http://globalgenie.com.au" TargetMode="External"/><Relationship Id="rId31" Type="http://schemas.openxmlformats.org/officeDocument/2006/relationships/hyperlink" Target="http://localsearch.com.au" TargetMode="External"/><Relationship Id="rId30" Type="http://schemas.openxmlformats.org/officeDocument/2006/relationships/hyperlink" Target="https://business.localsearch.com.au/blog/top-digital-marketing-agencies-australia-2026" TargetMode="External"/><Relationship Id="rId33" Type="http://schemas.openxmlformats.org/officeDocument/2006/relationships/hyperlink" Target="http://sourceforge.net" TargetMode="External"/><Relationship Id="rId32" Type="http://schemas.openxmlformats.org/officeDocument/2006/relationships/hyperlink" Target="https://sourceforge.net/software/incrementality-testing/australia/" TargetMode="External"/><Relationship Id="rId35" Type="http://schemas.openxmlformats.org/officeDocument/2006/relationships/hyperlink" Target="http://thatware.co" TargetMode="External"/><Relationship Id="rId34" Type="http://schemas.openxmlformats.org/officeDocument/2006/relationships/hyperlink" Target="https://thatware.co/top-10-ai-search-companies-in-australia/" TargetMode="External"/><Relationship Id="rId37" Type="http://schemas.openxmlformats.org/officeDocument/2006/relationships/hyperlink" Target="http://mediaplusdigital.co" TargetMode="External"/><Relationship Id="rId36" Type="http://schemas.openxmlformats.org/officeDocument/2006/relationships/hyperlink" Target="https://mediaplusdigital.co/au/geo-agencies-in-australia/" TargetMode="External"/><Relationship Id="rId39" Type="http://schemas.openxmlformats.org/officeDocument/2006/relationships/hyperlink" Target="http://talonsmarketing.com.au" TargetMode="External"/><Relationship Id="rId38" Type="http://schemas.openxmlformats.org/officeDocument/2006/relationships/hyperlink" Target="https://talonsmarketing.com.au/10-best-ai-seo-agencies-in-australia/" TargetMode="External"/><Relationship Id="rId20" Type="http://schemas.openxmlformats.org/officeDocument/2006/relationships/hyperlink" Target="https://www.bushnote.com/articles/best-aeo-agencies-in-australia-in-2026" TargetMode="External"/><Relationship Id="rId22" Type="http://schemas.openxmlformats.org/officeDocument/2006/relationships/hyperlink" Target="https://ninjapromo.io/top-digital-marketing-agencies-in-australia" TargetMode="External"/><Relationship Id="rId21" Type="http://schemas.openxmlformats.org/officeDocument/2006/relationships/hyperlink" Target="http://bushnote.com" TargetMode="External"/><Relationship Id="rId24" Type="http://schemas.openxmlformats.org/officeDocument/2006/relationships/hyperlink" Target="https://impressive.com.au/best-ai-seo-agencies-melbourne/" TargetMode="External"/><Relationship Id="rId23" Type="http://schemas.openxmlformats.org/officeDocument/2006/relationships/hyperlink" Target="http://ninjapromo.io" TargetMode="External"/><Relationship Id="rId26" Type="http://schemas.openxmlformats.org/officeDocument/2006/relationships/hyperlink" Target="https://www.thehero.co/news/top-10-best-ad-agency-in-australia-leading-sydney-melbourne-brisbane" TargetMode="External"/><Relationship Id="rId25" Type="http://schemas.openxmlformats.org/officeDocument/2006/relationships/hyperlink" Target="http://impressive.com.au" TargetMode="External"/><Relationship Id="rId28" Type="http://schemas.openxmlformats.org/officeDocument/2006/relationships/hyperlink" Target="https://digitalnomadshq.com.au/blog/best-aeo-answer-engine-optimisation-agencies/" TargetMode="External"/><Relationship Id="rId27" Type="http://schemas.openxmlformats.org/officeDocument/2006/relationships/hyperlink" Target="http://thehero.co" TargetMode="External"/><Relationship Id="rId29" Type="http://schemas.openxmlformats.org/officeDocument/2006/relationships/hyperlink" Target="http://digitalnomadshq.com.au" TargetMode="External"/><Relationship Id="rId11" Type="http://schemas.openxmlformats.org/officeDocument/2006/relationships/hyperlink" Target="http://talonsmarketing.com.au" TargetMode="External"/><Relationship Id="rId10" Type="http://schemas.openxmlformats.org/officeDocument/2006/relationships/hyperlink" Target="https://talonsmarketing.com.au/6-best-aeo-agencies-australia/" TargetMode="External"/><Relationship Id="rId13" Type="http://schemas.openxmlformats.org/officeDocument/2006/relationships/hyperlink" Target="http://talonsmarketing.com.au" TargetMode="External"/><Relationship Id="rId12" Type="http://schemas.openxmlformats.org/officeDocument/2006/relationships/hyperlink" Target="https://talonsmarketing.com.au/8-best-generative-engine-optimisation-geo-agencies-australia/" TargetMode="External"/><Relationship Id="rId15" Type="http://schemas.openxmlformats.org/officeDocument/2006/relationships/hyperlink" Target="http://formulate.com.au" TargetMode="External"/><Relationship Id="rId14" Type="http://schemas.openxmlformats.org/officeDocument/2006/relationships/hyperlink" Target="https://www.formulate.com.au/articles/best-ai-seo-agencies-in-australia-2026/" TargetMode="External"/><Relationship Id="rId17" Type="http://schemas.openxmlformats.org/officeDocument/2006/relationships/hyperlink" Target="http://intelligentresourcing.co" TargetMode="External"/><Relationship Id="rId16" Type="http://schemas.openxmlformats.org/officeDocument/2006/relationships/hyperlink" Target="https://intelligentresourcing.co/blogs/best-aeo-agencies-australia" TargetMode="External"/><Relationship Id="rId19" Type="http://schemas.openxmlformats.org/officeDocument/2006/relationships/hyperlink" Target="http://theredrepublic.com" TargetMode="External"/><Relationship Id="rId18" Type="http://schemas.openxmlformats.org/officeDocument/2006/relationships/hyperlink" Target="https://theredrepublic.com/top-5-best-advertising-agencies-australia-2026/" TargetMode="External"/><Relationship Id="rId84" Type="http://schemas.openxmlformats.org/officeDocument/2006/relationships/hyperlink" Target="http://conquerradigital.com.au" TargetMode="External"/><Relationship Id="rId83" Type="http://schemas.openxmlformats.org/officeDocument/2006/relationships/hyperlink" Target="https://conquerradigital.com.au/top-10-programmatic-ads-agencies-in-the-australia/" TargetMode="External"/><Relationship Id="rId86" Type="http://schemas.openxmlformats.org/officeDocument/2006/relationships/hyperlink" Target="http://airanklab.com" TargetMode="External"/><Relationship Id="rId85" Type="http://schemas.openxmlformats.org/officeDocument/2006/relationships/hyperlink" Target="https://www.airanklab.com/blog/best-ai-seo-agencies-australia" TargetMode="External"/><Relationship Id="rId88" Type="http://schemas.openxmlformats.org/officeDocument/2006/relationships/hyperlink" Target="http://cometly.com" TargetMode="External"/><Relationship Id="rId87" Type="http://schemas.openxmlformats.org/officeDocument/2006/relationships/hyperlink" Target="https://www.cometly.com/post/marketing-incrementality-testing-tools" TargetMode="External"/><Relationship Id="rId89" Type="http://schemas.openxmlformats.org/officeDocument/2006/relationships/hyperlink" Target="https://newsfromperth.com/business/our-top-7-ai-geo-generative-engine-optimisation-agencies-in-australia/" TargetMode="External"/><Relationship Id="rId80" Type="http://schemas.openxmlformats.org/officeDocument/2006/relationships/hyperlink" Target="http://findcreatives.com.au" TargetMode="External"/><Relationship Id="rId82" Type="http://schemas.openxmlformats.org/officeDocument/2006/relationships/hyperlink" Target="http://titanblue.com.au" TargetMode="External"/><Relationship Id="rId81" Type="http://schemas.openxmlformats.org/officeDocument/2006/relationships/hyperlink" Target="https://titanblue.com.au/best-seo-agency-australia/" TargetMode="External"/><Relationship Id="rId73" Type="http://schemas.openxmlformats.org/officeDocument/2006/relationships/hyperlink" Target="https://vanguardian.com.au/digital-marketing-agencies-australia/" TargetMode="External"/><Relationship Id="rId72" Type="http://schemas.openxmlformats.org/officeDocument/2006/relationships/hyperlink" Target="http://noirandblanco.com" TargetMode="External"/><Relationship Id="rId75" Type="http://schemas.openxmlformats.org/officeDocument/2006/relationships/hyperlink" Target="https://www.caribbeannationalweekly.com/posts/top-generative-engine-optimisation-geo-agencies-for-australian-brands" TargetMode="External"/><Relationship Id="rId74" Type="http://schemas.openxmlformats.org/officeDocument/2006/relationships/hyperlink" Target="http://vanguardian.com.au" TargetMode="External"/><Relationship Id="rId77" Type="http://schemas.openxmlformats.org/officeDocument/2006/relationships/hyperlink" Target="https://edisonai.au/insights/top-ai-consulting-firms-australia" TargetMode="External"/><Relationship Id="rId76" Type="http://schemas.openxmlformats.org/officeDocument/2006/relationships/hyperlink" Target="http://caribbeannationalweekly.com" TargetMode="External"/><Relationship Id="rId79" Type="http://schemas.openxmlformats.org/officeDocument/2006/relationships/hyperlink" Target="https://findcreatives.com.au/journal/top-creative-agencies-in-australia" TargetMode="External"/><Relationship Id="rId78" Type="http://schemas.openxmlformats.org/officeDocument/2006/relationships/hyperlink" Target="http://edisonai.au" TargetMode="External"/><Relationship Id="rId71" Type="http://schemas.openxmlformats.org/officeDocument/2006/relationships/hyperlink" Target="https://noirandblanco.com/best-digital-marketing-agencies-in-australia/" TargetMode="External"/><Relationship Id="rId70" Type="http://schemas.openxmlformats.org/officeDocument/2006/relationships/hyperlink" Target="http://clickclickbangbang.com.au" TargetMode="External"/><Relationship Id="rId62" Type="http://schemas.openxmlformats.org/officeDocument/2006/relationships/hyperlink" Target="https://www.bushnote.com/articles/best-ai-search-agency-australia" TargetMode="External"/><Relationship Id="rId61" Type="http://schemas.openxmlformats.org/officeDocument/2006/relationships/hyperlink" Target="http://undivided.com.au" TargetMode="External"/><Relationship Id="rId64" Type="http://schemas.openxmlformats.org/officeDocument/2006/relationships/hyperlink" Target="https://raw.studio/blog/top-10-creative-design-agencies-in-australia-in-2026/" TargetMode="External"/><Relationship Id="rId63" Type="http://schemas.openxmlformats.org/officeDocument/2006/relationships/hyperlink" Target="http://bushnote.com" TargetMode="External"/><Relationship Id="rId66" Type="http://schemas.openxmlformats.org/officeDocument/2006/relationships/hyperlink" Target="http://inbeat.co" TargetMode="External"/><Relationship Id="rId65" Type="http://schemas.openxmlformats.org/officeDocument/2006/relationships/hyperlink" Target="https://www.inbeat.co/articles/top-marketing-agencies-australia/" TargetMode="External"/><Relationship Id="rId68" Type="http://schemas.openxmlformats.org/officeDocument/2006/relationships/hyperlink" Target="http://metapress.com" TargetMode="External"/><Relationship Id="rId67" Type="http://schemas.openxmlformats.org/officeDocument/2006/relationships/hyperlink" Target="https://metapress.com/the-6-best-australian-agencies-for-navigating-the-ai-search-era/" TargetMode="External"/><Relationship Id="rId60" Type="http://schemas.openxmlformats.org/officeDocument/2006/relationships/hyperlink" Target="https://www.undivided.com.au/blog/top-5-digital-agencies-in-australia" TargetMode="External"/><Relationship Id="rId69" Type="http://schemas.openxmlformats.org/officeDocument/2006/relationships/hyperlink" Target="https://clickclickbangbang.com.au/google-display-advertising-companies/" TargetMode="External"/><Relationship Id="rId51" Type="http://schemas.openxmlformats.org/officeDocument/2006/relationships/hyperlink" Target="http://measured.com" TargetMode="External"/><Relationship Id="rId50" Type="http://schemas.openxmlformats.org/officeDocument/2006/relationships/hyperlink" Target="https://www.measured.com/faq/best-incrementality-testing-companies-software-for-marketing-2026/" TargetMode="External"/><Relationship Id="rId53" Type="http://schemas.openxmlformats.org/officeDocument/2006/relationships/hyperlink" Target="http://lengreo.com" TargetMode="External"/><Relationship Id="rId52" Type="http://schemas.openxmlformats.org/officeDocument/2006/relationships/hyperlink" Target="https://lengreo.com/australia-aeo-geo-llmo-companies/" TargetMode="External"/><Relationship Id="rId55" Type="http://schemas.openxmlformats.org/officeDocument/2006/relationships/hyperlink" Target="http://purshology.com" TargetMode="External"/><Relationship Id="rId54" Type="http://schemas.openxmlformats.org/officeDocument/2006/relationships/hyperlink" Target="https://www.purshology.com/2026/07/8-top-ai-driven-marketing-agencies-redefining-search-in-australia/" TargetMode="External"/><Relationship Id="rId57" Type="http://schemas.openxmlformats.org/officeDocument/2006/relationships/hyperlink" Target="http://thatware.co" TargetMode="External"/><Relationship Id="rId56" Type="http://schemas.openxmlformats.org/officeDocument/2006/relationships/hyperlink" Target="https://thatware.co/top-10-geo-companies-in-australia/" TargetMode="External"/><Relationship Id="rId59" Type="http://schemas.openxmlformats.org/officeDocument/2006/relationships/hyperlink" Target="http://uprisedigital.com.au" TargetMode="External"/><Relationship Id="rId58" Type="http://schemas.openxmlformats.org/officeDocument/2006/relationships/hyperlink" Target="https://uprisedigital.com.au/blog/social-media-agencies-melbourne/" TargetMode="External"/><Relationship Id="rId349" Type="http://schemas.openxmlformats.org/officeDocument/2006/relationships/hyperlink" Target="http://clickclickbangbang.com.au" TargetMode="External"/><Relationship Id="rId348" Type="http://schemas.openxmlformats.org/officeDocument/2006/relationships/hyperlink" Target="https://clickclickbangbang.com.au/best-facebook-ads-agency/" TargetMode="External"/><Relationship Id="rId347" Type="http://schemas.openxmlformats.org/officeDocument/2006/relationships/hyperlink" Target="http://bushnote.com" TargetMode="External"/><Relationship Id="rId346" Type="http://schemas.openxmlformats.org/officeDocument/2006/relationships/hyperlink" Target="https://www.bushnote.com/articles/best-digital-marketing-agency-australia-2025" TargetMode="External"/><Relationship Id="rId341" Type="http://schemas.openxmlformats.org/officeDocument/2006/relationships/hyperlink" Target="http://aivy.com.au" TargetMode="External"/><Relationship Id="rId340" Type="http://schemas.openxmlformats.org/officeDocument/2006/relationships/hyperlink" Target="https://aivy.com.au/resources/best-ai-marketing-tools-australia/" TargetMode="External"/><Relationship Id="rId345" Type="http://schemas.openxmlformats.org/officeDocument/2006/relationships/hyperlink" Target="http://bandt.com.au" TargetMode="External"/><Relationship Id="rId344" Type="http://schemas.openxmlformats.org/officeDocument/2006/relationships/hyperlink" Target="https://www.bandt.com.au/bts-ones-to-watch-creative-agencies-2/" TargetMode="External"/><Relationship Id="rId343" Type="http://schemas.openxmlformats.org/officeDocument/2006/relationships/hyperlink" Target="http://aivy.com.au" TargetMode="External"/><Relationship Id="rId342" Type="http://schemas.openxmlformats.org/officeDocument/2006/relationships/hyperlink" Target="https://aivy.com.au/resources/best-ai-search-engine-optimisation-tools-australia/" TargetMode="External"/><Relationship Id="rId338" Type="http://schemas.openxmlformats.org/officeDocument/2006/relationships/hyperlink" Target="https://zyppy.com/companies/c/marketing-attribution/" TargetMode="External"/><Relationship Id="rId337" Type="http://schemas.openxmlformats.org/officeDocument/2006/relationships/hyperlink" Target="http://worldmetrics.org" TargetMode="External"/><Relationship Id="rId336" Type="http://schemas.openxmlformats.org/officeDocument/2006/relationships/hyperlink" Target="https://worldmetrics.org/service/melbourne-marketing/" TargetMode="External"/><Relationship Id="rId335" Type="http://schemas.openxmlformats.org/officeDocument/2006/relationships/hyperlink" Target="http://uprisedigital.com.au" TargetMode="External"/><Relationship Id="rId339" Type="http://schemas.openxmlformats.org/officeDocument/2006/relationships/hyperlink" Target="http://zyppy.com" TargetMode="External"/><Relationship Id="rId330" Type="http://schemas.openxmlformats.org/officeDocument/2006/relationships/hyperlink" Target="https://tdsaustralia.com.au/top-50-brand-design-agencies-australia/" TargetMode="External"/><Relationship Id="rId334" Type="http://schemas.openxmlformats.org/officeDocument/2006/relationships/hyperlink" Target="https://uprisedigital.com.au/blog/best-solar-marketing-agencies-in-australia/" TargetMode="External"/><Relationship Id="rId333" Type="http://schemas.openxmlformats.org/officeDocument/2006/relationships/hyperlink" Target="http://theredrepublic.com" TargetMode="External"/><Relationship Id="rId332" Type="http://schemas.openxmlformats.org/officeDocument/2006/relationships/hyperlink" Target="https://theredrepublic.com/australias-top-10-best-ad-agencies-leading-creative-and-advertising/" TargetMode="External"/><Relationship Id="rId331" Type="http://schemas.openxmlformats.org/officeDocument/2006/relationships/hyperlink" Target="http://tdsaustralia.com.au" TargetMode="External"/><Relationship Id="rId370" Type="http://schemas.openxmlformats.org/officeDocument/2006/relationships/hyperlink" Target="http://ocmsolution.com" TargetMode="External"/><Relationship Id="rId369" Type="http://schemas.openxmlformats.org/officeDocument/2006/relationships/hyperlink" Target="https://www.ocmsolution.com/digital-agencies-in-sydney/" TargetMode="External"/><Relationship Id="rId368" Type="http://schemas.openxmlformats.org/officeDocument/2006/relationships/hyperlink" Target="http://nettyawards.com" TargetMode="External"/><Relationship Id="rId363" Type="http://schemas.openxmlformats.org/officeDocument/2006/relationships/hyperlink" Target="http://hashmeta.ai" TargetMode="External"/><Relationship Id="rId362" Type="http://schemas.openxmlformats.org/officeDocument/2006/relationships/hyperlink" Target="https://www.hashmeta.ai/zh/blog/top-10-ai-agencies-in-australia-expert-guide-to-choosing-your-ai-marketing-partner" TargetMode="External"/><Relationship Id="rId361" Type="http://schemas.openxmlformats.org/officeDocument/2006/relationships/hyperlink" Target="http://gaper.io" TargetMode="External"/><Relationship Id="rId360" Type="http://schemas.openxmlformats.org/officeDocument/2006/relationships/hyperlink" Target="https://gaper.io/best-aeo-agencies" TargetMode="External"/><Relationship Id="rId367" Type="http://schemas.openxmlformats.org/officeDocument/2006/relationships/hyperlink" Target="https://nettyawards.com/a-look-at-australias-top-digital-agencies-in-2025/" TargetMode="External"/><Relationship Id="rId366" Type="http://schemas.openxmlformats.org/officeDocument/2006/relationships/hyperlink" Target="http://miniloop.ai" TargetMode="External"/><Relationship Id="rId365" Type="http://schemas.openxmlformats.org/officeDocument/2006/relationships/hyperlink" Target="https://www.miniloop.ai/blog/best-geo-agencies" TargetMode="External"/><Relationship Id="rId364" Type="http://schemas.openxmlformats.org/officeDocument/2006/relationships/hyperlink" Target="https://inbeat.agency/blog/top-ppc-agencies-sydney" TargetMode="External"/><Relationship Id="rId95" Type="http://schemas.openxmlformats.org/officeDocument/2006/relationships/hyperlink" Target="https://www.smartosc.com/top-10-ai-consulting-firms-in-australia/" TargetMode="External"/><Relationship Id="rId94" Type="http://schemas.openxmlformats.org/officeDocument/2006/relationships/hyperlink" Target="http://mentionfirst.ai" TargetMode="External"/><Relationship Id="rId97" Type="http://schemas.openxmlformats.org/officeDocument/2006/relationships/hyperlink" Target="https://superbcompanies.com/categories/creative-agencies-in-australia/" TargetMode="External"/><Relationship Id="rId96" Type="http://schemas.openxmlformats.org/officeDocument/2006/relationships/hyperlink" Target="http://smartosc.com" TargetMode="External"/><Relationship Id="rId99" Type="http://schemas.openxmlformats.org/officeDocument/2006/relationships/hyperlink" Target="https://mediaplusdigital.co/au/top-digital-media-agencies-in-australia/" TargetMode="External"/><Relationship Id="rId98" Type="http://schemas.openxmlformats.org/officeDocument/2006/relationships/hyperlink" Target="http://superbcompanies.com" TargetMode="External"/><Relationship Id="rId91" Type="http://schemas.openxmlformats.org/officeDocument/2006/relationships/hyperlink" Target="https://programminginsider.com/the-10-best-agencies-for-seo-and-geo-visibility-in-australia/" TargetMode="External"/><Relationship Id="rId90" Type="http://schemas.openxmlformats.org/officeDocument/2006/relationships/hyperlink" Target="http://newsfromperth.com" TargetMode="External"/><Relationship Id="rId93" Type="http://schemas.openxmlformats.org/officeDocument/2006/relationships/hyperlink" Target="https://mentionfirst.ai/best-ai-seo-agencies-in-australia-the-2026-rankings/" TargetMode="External"/><Relationship Id="rId92" Type="http://schemas.openxmlformats.org/officeDocument/2006/relationships/hyperlink" Target="http://programminginsider.com" TargetMode="External"/><Relationship Id="rId359" Type="http://schemas.openxmlformats.org/officeDocument/2006/relationships/hyperlink" Target="http://enterprisemonkey.com.au" TargetMode="External"/><Relationship Id="rId358" Type="http://schemas.openxmlformats.org/officeDocument/2006/relationships/hyperlink" Target="https://enterprisemonkey.com.au/top-10-ai-consulting-firms-melbourne-2026-complete-guide/" TargetMode="External"/><Relationship Id="rId357" Type="http://schemas.openxmlformats.org/officeDocument/2006/relationships/hyperlink" Target="http://edisonai.au" TargetMode="External"/><Relationship Id="rId352" Type="http://schemas.openxmlformats.org/officeDocument/2006/relationships/hyperlink" Target="https://www.designrush.com/agency/digital-agencies/au" TargetMode="External"/><Relationship Id="rId351" Type="http://schemas.openxmlformats.org/officeDocument/2006/relationships/hyperlink" Target="http://clickclickbangbang.com.au" TargetMode="External"/><Relationship Id="rId350" Type="http://schemas.openxmlformats.org/officeDocument/2006/relationships/hyperlink" Target="https://clickclickbangbang.com.au/ppc-management-companies/" TargetMode="External"/><Relationship Id="rId356" Type="http://schemas.openxmlformats.org/officeDocument/2006/relationships/hyperlink" Target="https://edisonai.au/insights/top-ai-agencies-in-australia" TargetMode="External"/><Relationship Id="rId355" Type="http://schemas.openxmlformats.org/officeDocument/2006/relationships/hyperlink" Target="http://designrush.com" TargetMode="External"/><Relationship Id="rId354" Type="http://schemas.openxmlformats.org/officeDocument/2006/relationships/hyperlink" Target="https://www.designrush.com/agency/paid-media-pay-per-click/au/melbourne" TargetMode="External"/><Relationship Id="rId353" Type="http://schemas.openxmlformats.org/officeDocument/2006/relationships/hyperlink" Target="http://designrush.com" TargetMode="External"/><Relationship Id="rId305" Type="http://schemas.openxmlformats.org/officeDocument/2006/relationships/hyperlink" Target="http://apacsearchawards.com" TargetMode="External"/><Relationship Id="rId304" Type="http://schemas.openxmlformats.org/officeDocument/2006/relationships/hyperlink" Target="https://apacsearchawards.com/2025/07/07/top-20-award-winning-apac-marketing-agencies/" TargetMode="External"/><Relationship Id="rId303" Type="http://schemas.openxmlformats.org/officeDocument/2006/relationships/hyperlink" Target="http://vulbmedia.com" TargetMode="External"/><Relationship Id="rId302" Type="http://schemas.openxmlformats.org/officeDocument/2006/relationships/hyperlink" Target="https://vulbmedia.com/top-creative-agencies-in-sydney/" TargetMode="External"/><Relationship Id="rId309" Type="http://schemas.openxmlformats.org/officeDocument/2006/relationships/hyperlink" Target="http://bushletter.com" TargetMode="External"/><Relationship Id="rId308" Type="http://schemas.openxmlformats.org/officeDocument/2006/relationships/hyperlink" Target="https://www.bushletter.com/top-10-aeo-agencies-sydney-nsw-2026/" TargetMode="External"/><Relationship Id="rId307" Type="http://schemas.openxmlformats.org/officeDocument/2006/relationships/hyperlink" Target="http://builtinmelbourne.com" TargetMode="External"/><Relationship Id="rId306" Type="http://schemas.openxmlformats.org/officeDocument/2006/relationships/hyperlink" Target="https://builtinmelbourne.com/articles/digital-marketing-companies-melbourne" TargetMode="External"/><Relationship Id="rId301" Type="http://schemas.openxmlformats.org/officeDocument/2006/relationships/hyperlink" Target="http://theardor.com.au" TargetMode="External"/><Relationship Id="rId300" Type="http://schemas.openxmlformats.org/officeDocument/2006/relationships/hyperlink" Target="https://www.theardor.com.au/google-ads-agencies-in-australia/" TargetMode="External"/><Relationship Id="rId327" Type="http://schemas.openxmlformats.org/officeDocument/2006/relationships/hyperlink" Target="http://nogood.io" TargetMode="External"/><Relationship Id="rId326" Type="http://schemas.openxmlformats.org/officeDocument/2006/relationships/hyperlink" Target="https://nogood.io/blog/performance-marketing-agencies/" TargetMode="External"/><Relationship Id="rId325" Type="http://schemas.openxmlformats.org/officeDocument/2006/relationships/hyperlink" Target="http://lengreo.com" TargetMode="External"/><Relationship Id="rId324" Type="http://schemas.openxmlformats.org/officeDocument/2006/relationships/hyperlink" Target="https://lengreo.com/australia-brisbane-aeo-geo-llmo-companies/" TargetMode="External"/><Relationship Id="rId329" Type="http://schemas.openxmlformats.org/officeDocument/2006/relationships/hyperlink" Target="http://orm-tech.com" TargetMode="External"/><Relationship Id="rId328" Type="http://schemas.openxmlformats.org/officeDocument/2006/relationships/hyperlink" Target="https://orm-tech.com/blog/best-marketing-attribution-software/" TargetMode="External"/><Relationship Id="rId323" Type="http://schemas.openxmlformats.org/officeDocument/2006/relationships/hyperlink" Target="http://leadsrx.com" TargetMode="External"/><Relationship Id="rId322" Type="http://schemas.openxmlformats.org/officeDocument/2006/relationships/hyperlink" Target="https://leadsrx.com/resource/35-marketing-attribution-software-companies/" TargetMode="External"/><Relationship Id="rId321" Type="http://schemas.openxmlformats.org/officeDocument/2006/relationships/hyperlink" Target="http://leadsnow.ai" TargetMode="External"/><Relationship Id="rId320" Type="http://schemas.openxmlformats.org/officeDocument/2006/relationships/hyperlink" Target="https://leadsnow.ai/best-high-ticket-marketing-agencies-australia/" TargetMode="External"/><Relationship Id="rId316" Type="http://schemas.openxmlformats.org/officeDocument/2006/relationships/hyperlink" Target="https://www.digitalreference.co/insights/marketing-professionals/best-digital-marketing-agencies-companies-in-australia" TargetMode="External"/><Relationship Id="rId315" Type="http://schemas.openxmlformats.org/officeDocument/2006/relationships/hyperlink" Target="http://conquerradigital.com.au" TargetMode="External"/><Relationship Id="rId314" Type="http://schemas.openxmlformats.org/officeDocument/2006/relationships/hyperlink" Target="https://conquerradigital.com.au/top-10-programmatic-ads-agencies-in-brisbane/" TargetMode="External"/><Relationship Id="rId313" Type="http://schemas.openxmlformats.org/officeDocument/2006/relationships/hyperlink" Target="http://bushnote.com" TargetMode="External"/><Relationship Id="rId319" Type="http://schemas.openxmlformats.org/officeDocument/2006/relationships/hyperlink" Target="http://edisonai.au" TargetMode="External"/><Relationship Id="rId318" Type="http://schemas.openxmlformats.org/officeDocument/2006/relationships/hyperlink" Target="https://edisonai.au/insights/best-ai-consultants-for-small-business-australia" TargetMode="External"/><Relationship Id="rId317" Type="http://schemas.openxmlformats.org/officeDocument/2006/relationships/hyperlink" Target="http://digitalreference.co" TargetMode="External"/><Relationship Id="rId312" Type="http://schemas.openxmlformats.org/officeDocument/2006/relationships/hyperlink" Target="https://www.bushnote.com/articles/leading-media-buying-agencies-australia" TargetMode="External"/><Relationship Id="rId311" Type="http://schemas.openxmlformats.org/officeDocument/2006/relationships/hyperlink" Target="http://bushnote.com" TargetMode="External"/><Relationship Id="rId310" Type="http://schemas.openxmlformats.org/officeDocument/2006/relationships/hyperlink" Target="https://www.bushnote.com/articles/best-digital-marketing-agencies-australia-2025" TargetMode="External"/><Relationship Id="rId297" Type="http://schemas.openxmlformats.org/officeDocument/2006/relationships/hyperlink" Target="http://savit.au" TargetMode="External"/><Relationship Id="rId296" Type="http://schemas.openxmlformats.org/officeDocument/2006/relationships/hyperlink" Target="https://www.savit.au/the-best-ppc-agencies-in-australia-2026-where-to-spend-your-google-ads-budget/" TargetMode="External"/><Relationship Id="rId295" Type="http://schemas.openxmlformats.org/officeDocument/2006/relationships/hyperlink" Target="http://redpandas.com.au" TargetMode="External"/><Relationship Id="rId294" Type="http://schemas.openxmlformats.org/officeDocument/2006/relationships/hyperlink" Target="https://www.redpandas.com.au/all/best-paid-media-agencies-in-australia-an-unbiased-review/" TargetMode="External"/><Relationship Id="rId299" Type="http://schemas.openxmlformats.org/officeDocument/2006/relationships/hyperlink" Target="http://segmentstream.com" TargetMode="External"/><Relationship Id="rId298" Type="http://schemas.openxmlformats.org/officeDocument/2006/relationships/hyperlink" Target="https://segmentstream.com/blog/articles/best-attribution-tools" TargetMode="External"/><Relationship Id="rId271" Type="http://schemas.openxmlformats.org/officeDocument/2006/relationships/hyperlink" Target="https://www.bushletter.com/the-10-best-aeo-agencies-for-australian-law-firms-in-2026/" TargetMode="External"/><Relationship Id="rId270" Type="http://schemas.openxmlformats.org/officeDocument/2006/relationships/hyperlink" Target="http://xpon.ai" TargetMode="External"/><Relationship Id="rId269" Type="http://schemas.openxmlformats.org/officeDocument/2006/relationships/hyperlink" Target="https://xpon.ai/resources/how-to-choose-a-google-marketing-platform-partner-australia/" TargetMode="External"/><Relationship Id="rId264" Type="http://schemas.openxmlformats.org/officeDocument/2006/relationships/hyperlink" Target="http://measured.com" TargetMode="External"/><Relationship Id="rId263" Type="http://schemas.openxmlformats.org/officeDocument/2006/relationships/hyperlink" Target="https://www.measured.com/faq/best-incrementality-testing-companies-software-for-marketing-2025/" TargetMode="External"/><Relationship Id="rId262" Type="http://schemas.openxmlformats.org/officeDocument/2006/relationships/hyperlink" Target="http://loudface.co" TargetMode="External"/><Relationship Id="rId261" Type="http://schemas.openxmlformats.org/officeDocument/2006/relationships/hyperlink" Target="https://www.loudface.co/blog/best-aeo-agencies-b2b-saas-2026" TargetMode="External"/><Relationship Id="rId268" Type="http://schemas.openxmlformats.org/officeDocument/2006/relationships/hyperlink" Target="http://team400.ai" TargetMode="External"/><Relationship Id="rId267" Type="http://schemas.openxmlformats.org/officeDocument/2006/relationships/hyperlink" Target="https://team400.ai/blog/2026-02-choosing-ai-consultants-australia-guide" TargetMode="External"/><Relationship Id="rId266" Type="http://schemas.openxmlformats.org/officeDocument/2006/relationships/hyperlink" Target="http://syntermedia.ai" TargetMode="External"/><Relationship Id="rId265" Type="http://schemas.openxmlformats.org/officeDocument/2006/relationships/hyperlink" Target="https://syntermedia.ai/blog/best-attribution-software-marketing-teams" TargetMode="External"/><Relationship Id="rId260" Type="http://schemas.openxmlformats.org/officeDocument/2006/relationships/hyperlink" Target="http://linkedin.com" TargetMode="External"/><Relationship Id="rId259" Type="http://schemas.openxmlformats.org/officeDocument/2006/relationships/hyperlink" Target="https://www.linkedin.com/pulse/digital-marketing-agencies-australia-abhinav-puri-oeg4f" TargetMode="External"/><Relationship Id="rId258" Type="http://schemas.openxmlformats.org/officeDocument/2006/relationships/hyperlink" Target="http://lengreo.com" TargetMode="External"/><Relationship Id="rId253" Type="http://schemas.openxmlformats.org/officeDocument/2006/relationships/hyperlink" Target="https://hustlemarketers.com/best-google-ads-agency-australia/" TargetMode="External"/><Relationship Id="rId252" Type="http://schemas.openxmlformats.org/officeDocument/2006/relationships/hyperlink" Target="http://hikemytraffic.com" TargetMode="External"/><Relationship Id="rId251" Type="http://schemas.openxmlformats.org/officeDocument/2006/relationships/hyperlink" Target="https://hikemytraffic.com/ai-digital-marketing-agencies-in-australia/" TargetMode="External"/><Relationship Id="rId250" Type="http://schemas.openxmlformats.org/officeDocument/2006/relationships/hyperlink" Target="http://fastlanerecruit.com" TargetMode="External"/><Relationship Id="rId257" Type="http://schemas.openxmlformats.org/officeDocument/2006/relationships/hyperlink" Target="https://lengreo.com/australia-perth-aeo-geo-llmo-companies/" TargetMode="External"/><Relationship Id="rId256" Type="http://schemas.openxmlformats.org/officeDocument/2006/relationships/hyperlink" Target="http://icreativez.com" TargetMode="External"/><Relationship Id="rId255" Type="http://schemas.openxmlformats.org/officeDocument/2006/relationships/hyperlink" Target="https://www.icreativez.com/marketing-companies-by-country/premier-digital-marketing-agencies-australia-2026.html" TargetMode="External"/><Relationship Id="rId254" Type="http://schemas.openxmlformats.org/officeDocument/2006/relationships/hyperlink" Target="http://hustlemarketers.com" TargetMode="External"/><Relationship Id="rId293" Type="http://schemas.openxmlformats.org/officeDocument/2006/relationships/hyperlink" Target="https://raw.studio/blog/top-branding-agencies-in-australia-in-2026/" TargetMode="External"/><Relationship Id="rId292" Type="http://schemas.openxmlformats.org/officeDocument/2006/relationships/hyperlink" Target="http://prosperitymedia.com.au" TargetMode="External"/><Relationship Id="rId291" Type="http://schemas.openxmlformats.org/officeDocument/2006/relationships/hyperlink" Target="https://prosperitymedia.com.au/the-6-best-seo-agencies-in-sydney-2026/" TargetMode="External"/><Relationship Id="rId290" Type="http://schemas.openxmlformats.org/officeDocument/2006/relationships/hyperlink" Target="http://omegaadvertising.com.au" TargetMode="External"/><Relationship Id="rId286" Type="http://schemas.openxmlformats.org/officeDocument/2006/relationships/hyperlink" Target="https://www.linkedin.com/pulse/top-ai-seo-agencies-australia-watch-year-shivanshi-rai-dpy2c" TargetMode="External"/><Relationship Id="rId285" Type="http://schemas.openxmlformats.org/officeDocument/2006/relationships/hyperlink" Target="https://inbeat.agency/blog/top-marketing-analytics-agencies" TargetMode="External"/><Relationship Id="rId284" Type="http://schemas.openxmlformats.org/officeDocument/2006/relationships/hyperlink" Target="https://inbeat.agency/blog/top-digital-marketing-agencies-sydney" TargetMode="External"/><Relationship Id="rId283" Type="http://schemas.openxmlformats.org/officeDocument/2006/relationships/hyperlink" Target="http://homerdigitalmarketing.com" TargetMode="External"/><Relationship Id="rId289" Type="http://schemas.openxmlformats.org/officeDocument/2006/relationships/hyperlink" Target="https://omegaadvertising.com.au/top-5-digital-marketing-agencies-in-australia-for-ai-seo/" TargetMode="External"/><Relationship Id="rId288" Type="http://schemas.openxmlformats.org/officeDocument/2006/relationships/hyperlink" Target="https://metaflow.life/blog/best-aeo-agencies-2026" TargetMode="External"/><Relationship Id="rId287" Type="http://schemas.openxmlformats.org/officeDocument/2006/relationships/hyperlink" Target="http://linkedin.com" TargetMode="External"/><Relationship Id="rId282" Type="http://schemas.openxmlformats.org/officeDocument/2006/relationships/hyperlink" Target="https://homerdigitalmarketing.com/pay-per-click-agency/" TargetMode="External"/><Relationship Id="rId281" Type="http://schemas.openxmlformats.org/officeDocument/2006/relationships/hyperlink" Target="http://haus.io" TargetMode="External"/><Relationship Id="rId280" Type="http://schemas.openxmlformats.org/officeDocument/2006/relationships/hyperlink" Target="https://www.haus.io/blog/choosing-the-best-incrementality-testing-tool" TargetMode="External"/><Relationship Id="rId275" Type="http://schemas.openxmlformats.org/officeDocument/2006/relationships/hyperlink" Target="https://www.exaltgrowth.com/generative-engine-optimization/top-sydney-saas-geo-agencies" TargetMode="External"/><Relationship Id="rId274" Type="http://schemas.openxmlformats.org/officeDocument/2006/relationships/hyperlink" Target="http://capedigital.com.au" TargetMode="External"/><Relationship Id="rId273" Type="http://schemas.openxmlformats.org/officeDocument/2006/relationships/hyperlink" Target="https://capedigital.com.au/post/top-10-digital-marketing-agency-in-australia" TargetMode="External"/><Relationship Id="rId272" Type="http://schemas.openxmlformats.org/officeDocument/2006/relationships/hyperlink" Target="http://bushletter.com" TargetMode="External"/><Relationship Id="rId279" Type="http://schemas.openxmlformats.org/officeDocument/2006/relationships/hyperlink" Target="http://hashmeta.ai" TargetMode="External"/><Relationship Id="rId278" Type="http://schemas.openxmlformats.org/officeDocument/2006/relationships/hyperlink" Target="https://www.hashmeta.ai/en/blog/top-10-ai-agencies-in-australia-expert-guide-to-choosing-your-ai-marketing-partner" TargetMode="External"/><Relationship Id="rId277" Type="http://schemas.openxmlformats.org/officeDocument/2006/relationships/hyperlink" Target="https://frankdigital.agency/google-ads/google-display-advertising-companies/" TargetMode="External"/><Relationship Id="rId276" Type="http://schemas.openxmlformats.org/officeDocument/2006/relationships/hyperlink" Target="http://exaltgrowth.com" TargetMode="External"/><Relationship Id="rId629" Type="http://schemas.openxmlformats.org/officeDocument/2006/relationships/hyperlink" Target="http://themanifest.com" TargetMode="External"/><Relationship Id="rId624" Type="http://schemas.openxmlformats.org/officeDocument/2006/relationships/hyperlink" Target="https://www.theardor.com.au/top-pr-agencies/" TargetMode="External"/><Relationship Id="rId623" Type="http://schemas.openxmlformats.org/officeDocument/2006/relationships/hyperlink" Target="http://theardor.com.au" TargetMode="External"/><Relationship Id="rId622" Type="http://schemas.openxmlformats.org/officeDocument/2006/relationships/hyperlink" Target="https://www.theardor.com.au/best-seo-companies-in-australia/" TargetMode="External"/><Relationship Id="rId621" Type="http://schemas.openxmlformats.org/officeDocument/2006/relationships/hyperlink" Target="http://techtalkradio.com.au" TargetMode="External"/><Relationship Id="rId628" Type="http://schemas.openxmlformats.org/officeDocument/2006/relationships/hyperlink" Target="https://themanifest.com/au/social-media/linkedin/agencies" TargetMode="External"/><Relationship Id="rId627" Type="http://schemas.openxmlformats.org/officeDocument/2006/relationships/hyperlink" Target="http://themanifest.com" TargetMode="External"/><Relationship Id="rId626" Type="http://schemas.openxmlformats.org/officeDocument/2006/relationships/hyperlink" Target="https://themanifest.com/au/programmatic/agencies/sydney" TargetMode="External"/><Relationship Id="rId625" Type="http://schemas.openxmlformats.org/officeDocument/2006/relationships/hyperlink" Target="http://theardor.com.au" TargetMode="External"/><Relationship Id="rId620" Type="http://schemas.openxmlformats.org/officeDocument/2006/relationships/hyperlink" Target="https://techtalkradio.com.au/top-australian-ppc-agencies-pricing-results-and-quality/" TargetMode="External"/><Relationship Id="rId619" Type="http://schemas.openxmlformats.org/officeDocument/2006/relationships/hyperlink" Target="http://strategyeye.com" TargetMode="External"/><Relationship Id="rId618" Type="http://schemas.openxmlformats.org/officeDocument/2006/relationships/hyperlink" Target="https://www.strategyeye.com/top-13-performance-marketing-agencies/" TargetMode="External"/><Relationship Id="rId613" Type="http://schemas.openxmlformats.org/officeDocument/2006/relationships/hyperlink" Target="http://soupagency.com.au" TargetMode="External"/><Relationship Id="rId612" Type="http://schemas.openxmlformats.org/officeDocument/2006/relationships/hyperlink" Target="https://soupagency.com.au/blog/10-best-ppc-agencies-sydney/" TargetMode="External"/><Relationship Id="rId611" Type="http://schemas.openxmlformats.org/officeDocument/2006/relationships/hyperlink" Target="http://socialchameleon.com" TargetMode="External"/><Relationship Id="rId610" Type="http://schemas.openxmlformats.org/officeDocument/2006/relationships/hyperlink" Target="https://socialchameleon.com/top-30-marketing-agencies-australia-2/" TargetMode="External"/><Relationship Id="rId617" Type="http://schemas.openxmlformats.org/officeDocument/2006/relationships/hyperlink" Target="http://stratabeat.com" TargetMode="External"/><Relationship Id="rId616" Type="http://schemas.openxmlformats.org/officeDocument/2006/relationships/hyperlink" Target="https://stratabeat.com/best-geo-agency/" TargetMode="External"/><Relationship Id="rId615" Type="http://schemas.openxmlformats.org/officeDocument/2006/relationships/hyperlink" Target="http://stackdigital.com.au" TargetMode="External"/><Relationship Id="rId614" Type="http://schemas.openxmlformats.org/officeDocument/2006/relationships/hyperlink" Target="https://stackdigital.com.au/top-5-ai-seo-agencies-in-australia-2025-rankings/" TargetMode="External"/><Relationship Id="rId646" Type="http://schemas.openxmlformats.org/officeDocument/2006/relationships/hyperlink" Target="https://wmegroup.com.au/blog/best-seo-agencies-australia/" TargetMode="External"/><Relationship Id="rId645" Type="http://schemas.openxmlformats.org/officeDocument/2006/relationships/hyperlink" Target="http://webtonic.io" TargetMode="External"/><Relationship Id="rId644" Type="http://schemas.openxmlformats.org/officeDocument/2006/relationships/hyperlink" Target="https://www.webtonic.io/blog/top-paid-media-agencies" TargetMode="External"/><Relationship Id="rId643" Type="http://schemas.openxmlformats.org/officeDocument/2006/relationships/hyperlink" Target="http://webtonic.io" TargetMode="External"/><Relationship Id="rId649" Type="http://schemas.openxmlformats.org/officeDocument/2006/relationships/hyperlink" Target="http://youtube.com" TargetMode="External"/><Relationship Id="rId648" Type="http://schemas.openxmlformats.org/officeDocument/2006/relationships/hyperlink" Target="https://www.youtube.com/watch?v=IxHlhnkaTC4&amp;t=408" TargetMode="External"/><Relationship Id="rId647" Type="http://schemas.openxmlformats.org/officeDocument/2006/relationships/hyperlink" Target="http://wmegroup.com.au" TargetMode="External"/><Relationship Id="rId642" Type="http://schemas.openxmlformats.org/officeDocument/2006/relationships/hyperlink" Target="https://www.webtonic.io/blog/best-performance-marketing-agencies-2026" TargetMode="External"/><Relationship Id="rId641" Type="http://schemas.openxmlformats.org/officeDocument/2006/relationships/hyperlink" Target="http://warc.com" TargetMode="External"/><Relationship Id="rId640" Type="http://schemas.openxmlformats.org/officeDocument/2006/relationships/hyperlink" Target="https://www.warc.com/en/data-benchmarks/rankings-creative-100-overview" TargetMode="External"/><Relationship Id="rId635" Type="http://schemas.openxmlformats.org/officeDocument/2006/relationships/hyperlink" Target="http://tripledart.com" TargetMode="External"/><Relationship Id="rId634" Type="http://schemas.openxmlformats.org/officeDocument/2006/relationships/hyperlink" Target="https://www.tripledart.com/ai-seo/best-generative-engine-optimization-agencies" TargetMode="External"/><Relationship Id="rId633" Type="http://schemas.openxmlformats.org/officeDocument/2006/relationships/hyperlink" Target="http://titanblue.com.au" TargetMode="External"/><Relationship Id="rId632" Type="http://schemas.openxmlformats.org/officeDocument/2006/relationships/hyperlink" Target="https://titanblue.com.au/social-media-marketing-companies/" TargetMode="External"/><Relationship Id="rId639" Type="http://schemas.openxmlformats.org/officeDocument/2006/relationships/hyperlink" Target="http://vegavid.com" TargetMode="External"/><Relationship Id="rId638" Type="http://schemas.openxmlformats.org/officeDocument/2006/relationships/hyperlink" Target="https://vegavid.com/blog/top-ai-agent-development-companies-in-australia" TargetMode="External"/><Relationship Id="rId637" Type="http://schemas.openxmlformats.org/officeDocument/2006/relationships/hyperlink" Target="http://uprisedigital.com.au" TargetMode="External"/><Relationship Id="rId636" Type="http://schemas.openxmlformats.org/officeDocument/2006/relationships/hyperlink" Target="https://uprisedigital.com.au/blog/google-ads-agencies-in-brisbane/" TargetMode="External"/><Relationship Id="rId631" Type="http://schemas.openxmlformats.org/officeDocument/2006/relationships/hyperlink" Target="http://thetimes.com.au" TargetMode="External"/><Relationship Id="rId630" Type="http://schemas.openxmlformats.org/officeDocument/2006/relationships/hyperlink" Target="https://thetimes.com.au/news/articles/51019-the-best-ai-automation-agencies-in-australia-in-2026" TargetMode="External"/><Relationship Id="rId609" Type="http://schemas.openxmlformats.org/officeDocument/2006/relationships/hyperlink" Target="http://skai.io" TargetMode="External"/><Relationship Id="rId608" Type="http://schemas.openxmlformats.org/officeDocument/2006/relationships/hyperlink" Target="https://skai.io/blog/a-dozen-examples-of-incrementality-tests/" TargetMode="External"/><Relationship Id="rId607" Type="http://schemas.openxmlformats.org/officeDocument/2006/relationships/hyperlink" Target="http://singlegrain.com" TargetMode="External"/><Relationship Id="rId602" Type="http://schemas.openxmlformats.org/officeDocument/2006/relationships/hyperlink" Target="https://www.salesforce.com/au/marketing/ai/best-ai-marketing-tools/" TargetMode="External"/><Relationship Id="rId601" Type="http://schemas.openxmlformats.org/officeDocument/2006/relationships/hyperlink" Target="http://rzlt.io" TargetMode="External"/><Relationship Id="rId600" Type="http://schemas.openxmlformats.org/officeDocument/2006/relationships/hyperlink" Target="https://www.rzlt.io/blog/best-ai-marketing-agencies-in-2026-the-definitive-guide-by-specialty" TargetMode="External"/><Relationship Id="rId606" Type="http://schemas.openxmlformats.org/officeDocument/2006/relationships/hyperlink" Target="https://www.singlegrain.com/artificial-intelligence/top-14-ai-marketing-agencies-in-2025/" TargetMode="External"/><Relationship Id="rId605" Type="http://schemas.openxmlformats.org/officeDocument/2006/relationships/hyperlink" Target="http://shuffledigital.com.au" TargetMode="External"/><Relationship Id="rId604" Type="http://schemas.openxmlformats.org/officeDocument/2006/relationships/hyperlink" Target="https://shuffledigital.com.au/best-seo-agencies-in-australia/" TargetMode="External"/><Relationship Id="rId603" Type="http://schemas.openxmlformats.org/officeDocument/2006/relationships/hyperlink" Target="http://salesforce.com" TargetMode="External"/><Relationship Id="rId228" Type="http://schemas.openxmlformats.org/officeDocument/2006/relationships/hyperlink" Target="http://bushnote.com" TargetMode="External"/><Relationship Id="rId227" Type="http://schemas.openxmlformats.org/officeDocument/2006/relationships/hyperlink" Target="https://www.bushnote.com/articles/best-10-aeo-agencies-in-australia-to-promote-b2b-saas-companies-in-2026" TargetMode="External"/><Relationship Id="rId226" Type="http://schemas.openxmlformats.org/officeDocument/2006/relationships/hyperlink" Target="http://bbe.io" TargetMode="External"/><Relationship Id="rId225" Type="http://schemas.openxmlformats.org/officeDocument/2006/relationships/hyperlink" Target="https://www.bbe.io/top-10-best-advertising-agency-leaders-australia-2025-sydney-melbourne-brisbane" TargetMode="External"/><Relationship Id="rId229" Type="http://schemas.openxmlformats.org/officeDocument/2006/relationships/hyperlink" Target="https://influencermarketinghub.com/social-media-marketing-agencies-australia/" TargetMode="External"/><Relationship Id="rId220" Type="http://schemas.openxmlformats.org/officeDocument/2006/relationships/hyperlink" Target="http://omnieclipse.ai" TargetMode="External"/><Relationship Id="rId224" Type="http://schemas.openxmlformats.org/officeDocument/2006/relationships/hyperlink" Target="http://silverbackstrategies.com" TargetMode="External"/><Relationship Id="rId223" Type="http://schemas.openxmlformats.org/officeDocument/2006/relationships/hyperlink" Target="https://www.silverbackstrategies.com/lists/best-geo-agencies-generative-engine-optimization-in-2026-ranked-reviewed/" TargetMode="External"/><Relationship Id="rId222" Type="http://schemas.openxmlformats.org/officeDocument/2006/relationships/hyperlink" Target="http://rokitupmedia.com.au" TargetMode="External"/><Relationship Id="rId221" Type="http://schemas.openxmlformats.org/officeDocument/2006/relationships/hyperlink" Target="https://rokitupmedia.com.au/top-10-affordable-media-agencies-in-australia-for-small-businesses/" TargetMode="External"/><Relationship Id="rId217" Type="http://schemas.openxmlformats.org/officeDocument/2006/relationships/hyperlink" Target="https://www.linkedin.com/pulse/top-data-analytics-services-australia-vanator-assist-dcjvf?trk=public_post" TargetMode="External"/><Relationship Id="rId216" Type="http://schemas.openxmlformats.org/officeDocument/2006/relationships/hyperlink" Target="http://gtm8020.com" TargetMode="External"/><Relationship Id="rId215" Type="http://schemas.openxmlformats.org/officeDocument/2006/relationships/hyperlink" Target="https://www.gtm8020.com/blog/best-aeo-agencies" TargetMode="External"/><Relationship Id="rId214" Type="http://schemas.openxmlformats.org/officeDocument/2006/relationships/hyperlink" Target="http://govanator.com" TargetMode="External"/><Relationship Id="rId219" Type="http://schemas.openxmlformats.org/officeDocument/2006/relationships/hyperlink" Target="https://omnieclipse.ai/blog/best-aeo-agencies-australia-2026" TargetMode="External"/><Relationship Id="rId218" Type="http://schemas.openxmlformats.org/officeDocument/2006/relationships/hyperlink" Target="http://linkedin.com" TargetMode="External"/><Relationship Id="rId213" Type="http://schemas.openxmlformats.org/officeDocument/2006/relationships/hyperlink" Target="https://govanator.com/best-performance-marketing-services-in-australia/" TargetMode="External"/><Relationship Id="rId212" Type="http://schemas.openxmlformats.org/officeDocument/2006/relationships/hyperlink" Target="http://directiveconsulting.com" TargetMode="External"/><Relationship Id="rId211" Type="http://schemas.openxmlformats.org/officeDocument/2006/relationships/hyperlink" Target="https://directiveconsulting.com/blog/best-geo-agencies/" TargetMode="External"/><Relationship Id="rId210" Type="http://schemas.openxmlformats.org/officeDocument/2006/relationships/hyperlink" Target="http://clicksgeek.com" TargetMode="External"/><Relationship Id="rId249" Type="http://schemas.openxmlformats.org/officeDocument/2006/relationships/hyperlink" Target="https://fastlanerecruit.com/blog/top-20-digital-marketing-companies-in-australia/" TargetMode="External"/><Relationship Id="rId248" Type="http://schemas.openxmlformats.org/officeDocument/2006/relationships/hyperlink" Target="http://corporatedesignsolutions.com.au" TargetMode="External"/><Relationship Id="rId247" Type="http://schemas.openxmlformats.org/officeDocument/2006/relationships/hyperlink" Target="https://corporatedesignsolutions.com.au/top-10-generative-engine-optimisation-agencies-western-australia/" TargetMode="External"/><Relationship Id="rId242" Type="http://schemas.openxmlformats.org/officeDocument/2006/relationships/hyperlink" Target="http://bbe.io" TargetMode="External"/><Relationship Id="rId241" Type="http://schemas.openxmlformats.org/officeDocument/2006/relationships/hyperlink" Target="https://www.bbe.io/top-10-advertising-agencies-2026-melbourne-sydney-brisbane" TargetMode="External"/><Relationship Id="rId240" Type="http://schemas.openxmlformats.org/officeDocument/2006/relationships/hyperlink" Target="http://virtualadagency.com.au" TargetMode="External"/><Relationship Id="rId246" Type="http://schemas.openxmlformats.org/officeDocument/2006/relationships/hyperlink" Target="http://conquerradigital.com.au" TargetMode="External"/><Relationship Id="rId245" Type="http://schemas.openxmlformats.org/officeDocument/2006/relationships/hyperlink" Target="https://conquerradigital.com.au/top-10-digital-marketing-agencies-in-australia/" TargetMode="External"/><Relationship Id="rId244" Type="http://schemas.openxmlformats.org/officeDocument/2006/relationships/hyperlink" Target="http://clickclickbangbang.com.au" TargetMode="External"/><Relationship Id="rId243" Type="http://schemas.openxmlformats.org/officeDocument/2006/relationships/hyperlink" Target="https://clickclickbangbang.com.au/social-media-marketing-firms/" TargetMode="External"/><Relationship Id="rId239" Type="http://schemas.openxmlformats.org/officeDocument/2006/relationships/hyperlink" Target="https://virtualadagency.com.au/best-digital-marketing-companies/" TargetMode="External"/><Relationship Id="rId238" Type="http://schemas.openxmlformats.org/officeDocument/2006/relationships/hyperlink" Target="http://themanifest.com" TargetMode="External"/><Relationship Id="rId237" Type="http://schemas.openxmlformats.org/officeDocument/2006/relationships/hyperlink" Target="https://themanifest.com/au/media-buying/agencies" TargetMode="External"/><Relationship Id="rId236" Type="http://schemas.openxmlformats.org/officeDocument/2006/relationships/hyperlink" Target="http://talonsmarketing.com.au" TargetMode="External"/><Relationship Id="rId231" Type="http://schemas.openxmlformats.org/officeDocument/2006/relationships/hyperlink" Target="https://www.mayple.com/resources/googleadvertising/google-ads-agencies-australia" TargetMode="External"/><Relationship Id="rId230" Type="http://schemas.openxmlformats.org/officeDocument/2006/relationships/hyperlink" Target="http://influencermarketinghub.com" TargetMode="External"/><Relationship Id="rId235" Type="http://schemas.openxmlformats.org/officeDocument/2006/relationships/hyperlink" Target="https://talonsmarketing.com.au/10-best-chatgpt-optimisation-agencies-australia/" TargetMode="External"/><Relationship Id="rId234" Type="http://schemas.openxmlformats.org/officeDocument/2006/relationships/hyperlink" Target="http://onelittleweb.com" TargetMode="External"/><Relationship Id="rId233" Type="http://schemas.openxmlformats.org/officeDocument/2006/relationships/hyperlink" Target="https://onelittleweb.com/top-agencies/top-performance-marketing-agencies/" TargetMode="External"/><Relationship Id="rId232" Type="http://schemas.openxmlformats.org/officeDocument/2006/relationships/hyperlink" Target="http://mayple.com" TargetMode="External"/><Relationship Id="rId654" Type="http://schemas.openxmlformats.org/officeDocument/2006/relationships/drawing" Target="../drawings/drawing27.xml"/><Relationship Id="rId653" Type="http://schemas.openxmlformats.org/officeDocument/2006/relationships/hyperlink" Target="http://youtube.com" TargetMode="External"/><Relationship Id="rId652" Type="http://schemas.openxmlformats.org/officeDocument/2006/relationships/hyperlink" Target="https://www.youtube.com/watch?v=fdPFLXFJlwo&amp;t=30" TargetMode="External"/><Relationship Id="rId651" Type="http://schemas.openxmlformats.org/officeDocument/2006/relationships/hyperlink" Target="http://youtube.com" TargetMode="External"/><Relationship Id="rId650" Type="http://schemas.openxmlformats.org/officeDocument/2006/relationships/hyperlink" Target="https://www.youtube.com/watch?v=OJN95taKMwo" TargetMode="External"/><Relationship Id="rId206" Type="http://schemas.openxmlformats.org/officeDocument/2006/relationships/hyperlink" Target="http://uprisedigital.com.au" TargetMode="External"/><Relationship Id="rId205" Type="http://schemas.openxmlformats.org/officeDocument/2006/relationships/hyperlink" Target="https://uprisedigital.com.au/blog/best-google-ads-agencies-sydney/" TargetMode="External"/><Relationship Id="rId204" Type="http://schemas.openxmlformats.org/officeDocument/2006/relationships/hyperlink" Target="http://upliftgtm.com" TargetMode="External"/><Relationship Id="rId203" Type="http://schemas.openxmlformats.org/officeDocument/2006/relationships/hyperlink" Target="https://www.upliftgtm.com/blog/best-aeo-agencies" TargetMode="External"/><Relationship Id="rId209" Type="http://schemas.openxmlformats.org/officeDocument/2006/relationships/hyperlink" Target="https://clicksgeek.com/marketing-attribution-tracking-services/" TargetMode="External"/><Relationship Id="rId208" Type="http://schemas.openxmlformats.org/officeDocument/2006/relationships/hyperlink" Target="http://bushnote.com" TargetMode="External"/><Relationship Id="rId207" Type="http://schemas.openxmlformats.org/officeDocument/2006/relationships/hyperlink" Target="https://www.bushnote.com/articles/best-digital-marketing-agency-for-ai-search-australia" TargetMode="External"/><Relationship Id="rId202" Type="http://schemas.openxmlformats.org/officeDocument/2006/relationships/hyperlink" Target="http://theredrepublic.com" TargetMode="External"/><Relationship Id="rId201" Type="http://schemas.openxmlformats.org/officeDocument/2006/relationships/hyperlink" Target="https://theredrepublic.com/top-10-best-advertising-agencies-leading-australia-2025/" TargetMode="External"/><Relationship Id="rId200" Type="http://schemas.openxmlformats.org/officeDocument/2006/relationships/hyperlink" Target="http://soupagency.com.au" TargetMode="External"/><Relationship Id="rId190" Type="http://schemas.openxmlformats.org/officeDocument/2006/relationships/hyperlink" Target="https://digitaldigest.au/best-social-media-agencies/" TargetMode="External"/><Relationship Id="rId194" Type="http://schemas.openxmlformats.org/officeDocument/2006/relationships/hyperlink" Target="https://www.hashtag.net.au/news/technology/146815-top-agencies-using-ai-to-improve-search-visibility-for-australian-brands" TargetMode="External"/><Relationship Id="rId193" Type="http://schemas.openxmlformats.org/officeDocument/2006/relationships/hyperlink" Target="http://exaltgrowth.com" TargetMode="External"/><Relationship Id="rId192" Type="http://schemas.openxmlformats.org/officeDocument/2006/relationships/hyperlink" Target="https://www.exaltgrowth.com/generative-engine-optimization/top-australian-saas-geo-agencies" TargetMode="External"/><Relationship Id="rId191" Type="http://schemas.openxmlformats.org/officeDocument/2006/relationships/hyperlink" Target="http://digitaldigest.au" TargetMode="External"/><Relationship Id="rId187" Type="http://schemas.openxmlformats.org/officeDocument/2006/relationships/hyperlink" Target="http://designrush.com" TargetMode="External"/><Relationship Id="rId186" Type="http://schemas.openxmlformats.org/officeDocument/2006/relationships/hyperlink" Target="https://www.designrush.com/agency/digital-marketing/au" TargetMode="External"/><Relationship Id="rId185" Type="http://schemas.openxmlformats.org/officeDocument/2006/relationships/hyperlink" Target="http://bushnote.com" TargetMode="External"/><Relationship Id="rId184" Type="http://schemas.openxmlformats.org/officeDocument/2006/relationships/hyperlink" Target="https://www.bushnote.com/articles/top-ai-marketing-agencies-australia-2025" TargetMode="External"/><Relationship Id="rId189" Type="http://schemas.openxmlformats.org/officeDocument/2006/relationships/hyperlink" Target="http://digitaldigest.au" TargetMode="External"/><Relationship Id="rId188" Type="http://schemas.openxmlformats.org/officeDocument/2006/relationships/hyperlink" Target="https://digitaldigest.au/ai-seo-agencies/" TargetMode="External"/><Relationship Id="rId183" Type="http://schemas.openxmlformats.org/officeDocument/2006/relationships/hyperlink" Target="http://bushletter.com" TargetMode="External"/><Relationship Id="rId182" Type="http://schemas.openxmlformats.org/officeDocument/2006/relationships/hyperlink" Target="https://www.bushletter.com/the-10-best-aeo-agencies-for-australian-financial-services-firms-in-2026/" TargetMode="External"/><Relationship Id="rId181" Type="http://schemas.openxmlformats.org/officeDocument/2006/relationships/hyperlink" Target="http://bushletter.com" TargetMode="External"/><Relationship Id="rId180" Type="http://schemas.openxmlformats.org/officeDocument/2006/relationships/hyperlink" Target="https://www.bushletter.com/best-aeo-agencies-australia-2026-ai-engine-test/" TargetMode="External"/><Relationship Id="rId176" Type="http://schemas.openxmlformats.org/officeDocument/2006/relationships/hyperlink" Target="http://loudface.co" TargetMode="External"/><Relationship Id="rId175" Type="http://schemas.openxmlformats.org/officeDocument/2006/relationships/hyperlink" Target="https://www.loudface.co/blog/best-aeo-agencies-2026" TargetMode="External"/><Relationship Id="rId174" Type="http://schemas.openxmlformats.org/officeDocument/2006/relationships/hyperlink" Target="http://digitalnomadshq.com.au" TargetMode="External"/><Relationship Id="rId173" Type="http://schemas.openxmlformats.org/officeDocument/2006/relationships/hyperlink" Target="https://digitalnomadshq.com.au/blog/google-ads-companies/" TargetMode="External"/><Relationship Id="rId179" Type="http://schemas.openxmlformats.org/officeDocument/2006/relationships/hyperlink" Target="http://agrtech.com.au" TargetMode="External"/><Relationship Id="rId178" Type="http://schemas.openxmlformats.org/officeDocument/2006/relationships/hyperlink" Target="https://agrtech.com.au/ai/top-10-best-geo-optimization-agencies-in-the-world/" TargetMode="External"/><Relationship Id="rId177" Type="http://schemas.openxmlformats.org/officeDocument/2006/relationships/hyperlink" Target="https://vocal.media/01/australia-s-leading-performance-marketing-services" TargetMode="External"/><Relationship Id="rId198" Type="http://schemas.openxmlformats.org/officeDocument/2006/relationships/hyperlink" Target="https://www.position.digital/blog/top-geo-agencies/" TargetMode="External"/><Relationship Id="rId197" Type="http://schemas.openxmlformats.org/officeDocument/2006/relationships/hyperlink" Target="http://itprofiles.com" TargetMode="External"/><Relationship Id="rId196" Type="http://schemas.openxmlformats.org/officeDocument/2006/relationships/hyperlink" Target="https://itprofiles.com/services/ppc/australia" TargetMode="External"/><Relationship Id="rId195" Type="http://schemas.openxmlformats.org/officeDocument/2006/relationships/hyperlink" Target="http://hashtag.net.au" TargetMode="External"/><Relationship Id="rId199" Type="http://schemas.openxmlformats.org/officeDocument/2006/relationships/hyperlink" Target="https://soupagency.com.au/blog/top-digital-marketing-agencies/" TargetMode="External"/><Relationship Id="rId150" Type="http://schemas.openxmlformats.org/officeDocument/2006/relationships/hyperlink" Target="http://youtube.com" TargetMode="External"/><Relationship Id="rId149" Type="http://schemas.openxmlformats.org/officeDocument/2006/relationships/hyperlink" Target="https://www.youtube.com/watch?v=ZaxGzqO8OCk" TargetMode="External"/><Relationship Id="rId148" Type="http://schemas.openxmlformats.org/officeDocument/2006/relationships/hyperlink" Target="http://themanifest.com" TargetMode="External"/><Relationship Id="rId143" Type="http://schemas.openxmlformats.org/officeDocument/2006/relationships/hyperlink" Target="https://www.savit.au/top-social-media-marketing-agencies-in-australia-for-2026-whos-building-brands-that-actually-sell/" TargetMode="External"/><Relationship Id="rId142" Type="http://schemas.openxmlformats.org/officeDocument/2006/relationships/hyperlink" Target="https://inbeat.agency/blog/top-marketing-measurement-and-analytics-companies" TargetMode="External"/><Relationship Id="rId141" Type="http://schemas.openxmlformats.org/officeDocument/2006/relationships/hyperlink" Target="http://hashmeta.ai" TargetMode="External"/><Relationship Id="rId140" Type="http://schemas.openxmlformats.org/officeDocument/2006/relationships/hyperlink" Target="https://www.hashmeta.ai/en/blog/top-10-best-ai-marketing-agencies-in-australia-expert-comparison-guide" TargetMode="External"/><Relationship Id="rId147" Type="http://schemas.openxmlformats.org/officeDocument/2006/relationships/hyperlink" Target="https://themanifest.com/au/programmatic/agencies" TargetMode="External"/><Relationship Id="rId146" Type="http://schemas.openxmlformats.org/officeDocument/2006/relationships/hyperlink" Target="http://segmentstream.com" TargetMode="External"/><Relationship Id="rId145" Type="http://schemas.openxmlformats.org/officeDocument/2006/relationships/hyperlink" Target="https://segmentstream.com/blog/articles/top-10-incrementality-testing-tools" TargetMode="External"/><Relationship Id="rId144" Type="http://schemas.openxmlformats.org/officeDocument/2006/relationships/hyperlink" Target="http://savit.au" TargetMode="External"/><Relationship Id="rId139" Type="http://schemas.openxmlformats.org/officeDocument/2006/relationships/hyperlink" Target="http://bbe.io" TargetMode="External"/><Relationship Id="rId138" Type="http://schemas.openxmlformats.org/officeDocument/2006/relationships/hyperlink" Target="https://www.bbe.io/top-ranked-best-advertising-agency-leaders-australia-2026-sydney-melbourne-brisbane" TargetMode="External"/><Relationship Id="rId137" Type="http://schemas.openxmlformats.org/officeDocument/2006/relationships/hyperlink" Target="http://medium.com" TargetMode="External"/><Relationship Id="rId132" Type="http://schemas.openxmlformats.org/officeDocument/2006/relationships/hyperlink" Target="https://team400.ai/blog/2026-04-top-ai-consultants-australia" TargetMode="External"/><Relationship Id="rId131" Type="http://schemas.openxmlformats.org/officeDocument/2006/relationships/hyperlink" Target="http://salesmate.io" TargetMode="External"/><Relationship Id="rId130" Type="http://schemas.openxmlformats.org/officeDocument/2006/relationships/hyperlink" Target="https://www.salesmate.io/blog/marketing-attribution-software/" TargetMode="External"/><Relationship Id="rId136" Type="http://schemas.openxmlformats.org/officeDocument/2006/relationships/hyperlink" Target="https://auratechinsights.medium.com/top-10-ai-development-and-consulting-companies-in-australia-7093eee60fbe" TargetMode="External"/><Relationship Id="rId135" Type="http://schemas.openxmlformats.org/officeDocument/2006/relationships/hyperlink" Target="http://topseobrands.com" TargetMode="External"/><Relationship Id="rId134" Type="http://schemas.openxmlformats.org/officeDocument/2006/relationships/hyperlink" Target="https://www.topseobrands.com/au/best-display-advertising-firms-in-australia" TargetMode="External"/><Relationship Id="rId133" Type="http://schemas.openxmlformats.org/officeDocument/2006/relationships/hyperlink" Target="http://team400.ai" TargetMode="External"/><Relationship Id="rId172" Type="http://schemas.openxmlformats.org/officeDocument/2006/relationships/hyperlink" Target="http://designrush.com" TargetMode="External"/><Relationship Id="rId171" Type="http://schemas.openxmlformats.org/officeDocument/2006/relationships/hyperlink" Target="https://www.designrush.com/agency/social-media-marketing/au" TargetMode="External"/><Relationship Id="rId170" Type="http://schemas.openxmlformats.org/officeDocument/2006/relationships/hyperlink" Target="http://cometly.com" TargetMode="External"/><Relationship Id="rId165" Type="http://schemas.openxmlformats.org/officeDocument/2006/relationships/hyperlink" Target="https://builtin.com/articles/digital-marketing-company-australia" TargetMode="External"/><Relationship Id="rId164" Type="http://schemas.openxmlformats.org/officeDocument/2006/relationships/hyperlink" Target="http://aeoagencyservices.com" TargetMode="External"/><Relationship Id="rId163" Type="http://schemas.openxmlformats.org/officeDocument/2006/relationships/hyperlink" Target="https://aeoagencyservices.com/Blog-Page/best-aeo-agency-in-australia-top-answer-engine-optimization-companies" TargetMode="External"/><Relationship Id="rId162" Type="http://schemas.openxmlformats.org/officeDocument/2006/relationships/hyperlink" Target="http://thedigitalelevator.com" TargetMode="External"/><Relationship Id="rId169" Type="http://schemas.openxmlformats.org/officeDocument/2006/relationships/hyperlink" Target="https://www.cometly.com/post/marketing-attribution-tools-for-agencies" TargetMode="External"/><Relationship Id="rId168" Type="http://schemas.openxmlformats.org/officeDocument/2006/relationships/hyperlink" Target="http://bushnote.com" TargetMode="External"/><Relationship Id="rId167" Type="http://schemas.openxmlformats.org/officeDocument/2006/relationships/hyperlink" Target="https://www.bushnote.com/articles/best-10-aeo-agencies-in-australia-to-promote-b2b-companies-in-2026" TargetMode="External"/><Relationship Id="rId166" Type="http://schemas.openxmlformats.org/officeDocument/2006/relationships/hyperlink" Target="http://builtin.com" TargetMode="External"/><Relationship Id="rId161" Type="http://schemas.openxmlformats.org/officeDocument/2006/relationships/hyperlink" Target="https://thedigitalelevator.com/blog/best-generative-engine-optimization-geo-agencies/" TargetMode="External"/><Relationship Id="rId160" Type="http://schemas.openxmlformats.org/officeDocument/2006/relationships/hyperlink" Target="http://mayple.com" TargetMode="External"/><Relationship Id="rId159" Type="http://schemas.openxmlformats.org/officeDocument/2006/relationships/hyperlink" Target="https://www.mayple.com/resources/social-media-marketing/social-media-agencies-australia" TargetMode="External"/><Relationship Id="rId154" Type="http://schemas.openxmlformats.org/officeDocument/2006/relationships/hyperlink" Target="http://digitaldigest.au" TargetMode="External"/><Relationship Id="rId153" Type="http://schemas.openxmlformats.org/officeDocument/2006/relationships/hyperlink" Target="https://digitaldigest.au/google-ads-agencies/" TargetMode="External"/><Relationship Id="rId152" Type="http://schemas.openxmlformats.org/officeDocument/2006/relationships/hyperlink" Target="http://cleveraussie.com" TargetMode="External"/><Relationship Id="rId151" Type="http://schemas.openxmlformats.org/officeDocument/2006/relationships/hyperlink" Target="https://www.cleveraussie.com/best-creative-agencies-australia/" TargetMode="External"/><Relationship Id="rId158" Type="http://schemas.openxmlformats.org/officeDocument/2006/relationships/hyperlink" Target="http://growthmanager.ai" TargetMode="External"/><Relationship Id="rId157" Type="http://schemas.openxmlformats.org/officeDocument/2006/relationships/hyperlink" Target="https://growthmanager.ai/best-geo-agency" TargetMode="External"/><Relationship Id="rId156" Type="http://schemas.openxmlformats.org/officeDocument/2006/relationships/hyperlink" Target="http://edisonai.au" TargetMode="External"/><Relationship Id="rId155" Type="http://schemas.openxmlformats.org/officeDocument/2006/relationships/hyperlink" Target="https://edisonai.au/insights/best-ai-consulting-firms-in-australia" TargetMode="External"/><Relationship Id="rId509" Type="http://schemas.openxmlformats.org/officeDocument/2006/relationships/hyperlink" Target="https://digitaldigest.au/social-media-marketing-companies/" TargetMode="External"/><Relationship Id="rId508" Type="http://schemas.openxmlformats.org/officeDocument/2006/relationships/hyperlink" Target="http://designrush.com" TargetMode="External"/><Relationship Id="rId503" Type="http://schemas.openxmlformats.org/officeDocument/2006/relationships/hyperlink" Target="https://www.darkroomagency.com/observatory/the-12-top-rated-paid-media-agencies-this-year" TargetMode="External"/><Relationship Id="rId502" Type="http://schemas.openxmlformats.org/officeDocument/2006/relationships/hyperlink" Target="http://conquerradigital.com.au" TargetMode="External"/><Relationship Id="rId501" Type="http://schemas.openxmlformats.org/officeDocument/2006/relationships/hyperlink" Target="https://conquerradigital.com.au/top-9-programmatic-ads-agencies-in-adelaide/" TargetMode="External"/><Relationship Id="rId500" Type="http://schemas.openxmlformats.org/officeDocument/2006/relationships/hyperlink" Target="http://cometly.com" TargetMode="External"/><Relationship Id="rId507" Type="http://schemas.openxmlformats.org/officeDocument/2006/relationships/hyperlink" Target="https://www.designrush.com/agency/conversion-optimization/au" TargetMode="External"/><Relationship Id="rId506" Type="http://schemas.openxmlformats.org/officeDocument/2006/relationships/hyperlink" Target="http://designmagazine.com.au" TargetMode="External"/><Relationship Id="rId505" Type="http://schemas.openxmlformats.org/officeDocument/2006/relationships/hyperlink" Target="https://designmagazine.com.au/best-australian-design-studios/" TargetMode="External"/><Relationship Id="rId504" Type="http://schemas.openxmlformats.org/officeDocument/2006/relationships/hyperlink" Target="http://darkroomagency.com" TargetMode="External"/><Relationship Id="rId525" Type="http://schemas.openxmlformats.org/officeDocument/2006/relationships/hyperlink" Target="https://edisonai.au/insights/top-ai-implementation-agencies-australia" TargetMode="External"/><Relationship Id="rId524" Type="http://schemas.openxmlformats.org/officeDocument/2006/relationships/hyperlink" Target="http://digitalnomadshq.com.au" TargetMode="External"/><Relationship Id="rId523" Type="http://schemas.openxmlformats.org/officeDocument/2006/relationships/hyperlink" Target="https://digitalnomadshq.com.au/blog/social-media-companies/" TargetMode="External"/><Relationship Id="rId522" Type="http://schemas.openxmlformats.org/officeDocument/2006/relationships/hyperlink" Target="http://digitalnomadshq.com.au" TargetMode="External"/><Relationship Id="rId529" Type="http://schemas.openxmlformats.org/officeDocument/2006/relationships/hyperlink" Target="https://www.formulate.com.au/articles/top-seven-seo-agencies-in-melbourne/" TargetMode="External"/><Relationship Id="rId528" Type="http://schemas.openxmlformats.org/officeDocument/2006/relationships/hyperlink" Target="http://firstpagesage.com" TargetMode="External"/><Relationship Id="rId527" Type="http://schemas.openxmlformats.org/officeDocument/2006/relationships/hyperlink" Target="https://firstpagesage.com/seo-blog/the-top-answer-engine-optimization-aeo-companies/" TargetMode="External"/><Relationship Id="rId526" Type="http://schemas.openxmlformats.org/officeDocument/2006/relationships/hyperlink" Target="http://edisonai.au" TargetMode="External"/><Relationship Id="rId521" Type="http://schemas.openxmlformats.org/officeDocument/2006/relationships/hyperlink" Target="https://digitalnomadshq.com.au/blog/pr-firms/" TargetMode="External"/><Relationship Id="rId520" Type="http://schemas.openxmlformats.org/officeDocument/2006/relationships/hyperlink" Target="http://digitalnomadshq.com.au" TargetMode="External"/><Relationship Id="rId519" Type="http://schemas.openxmlformats.org/officeDocument/2006/relationships/hyperlink" Target="https://digitalnomadshq.com.au/blog/best-ppc-agency/" TargetMode="External"/><Relationship Id="rId514" Type="http://schemas.openxmlformats.org/officeDocument/2006/relationships/hyperlink" Target="http://digitalmarketingsupermarket.com" TargetMode="External"/><Relationship Id="rId513" Type="http://schemas.openxmlformats.org/officeDocument/2006/relationships/hyperlink" Target="https://digitalmarketingsupermarket.com/blog/best-ai-marketing-agencies-2026/" TargetMode="External"/><Relationship Id="rId512" Type="http://schemas.openxmlformats.org/officeDocument/2006/relationships/hyperlink" Target="http://digitalmarketingsupermarket.com" TargetMode="External"/><Relationship Id="rId511" Type="http://schemas.openxmlformats.org/officeDocument/2006/relationships/hyperlink" Target="https://digitalmarketingsupermarket.com/blog/best-ai-marketing-agencies/" TargetMode="External"/><Relationship Id="rId518" Type="http://schemas.openxmlformats.org/officeDocument/2006/relationships/hyperlink" Target="http://digitalnomadshq.com.au" TargetMode="External"/><Relationship Id="rId517" Type="http://schemas.openxmlformats.org/officeDocument/2006/relationships/hyperlink" Target="https://digitalnomadshq.com.au/blog/best-graphic-design-companies/" TargetMode="External"/><Relationship Id="rId516" Type="http://schemas.openxmlformats.org/officeDocument/2006/relationships/hyperlink" Target="http://digitalmarketingsupermarket.com" TargetMode="External"/><Relationship Id="rId515" Type="http://schemas.openxmlformats.org/officeDocument/2006/relationships/hyperlink" Target="https://digitalmarketingsupermarket.com/blog/digital-marketing-agencies-in-perth/" TargetMode="External"/><Relationship Id="rId510" Type="http://schemas.openxmlformats.org/officeDocument/2006/relationships/hyperlink" Target="http://digitaldigest.au" TargetMode="External"/><Relationship Id="rId590" Type="http://schemas.openxmlformats.org/officeDocument/2006/relationships/hyperlink" Target="https://pimms.io/blog/top-10-marketing-attribution-tools-you-need-in-2025" TargetMode="External"/><Relationship Id="rId107" Type="http://schemas.openxmlformats.org/officeDocument/2006/relationships/hyperlink" Target="https://hikemytraffic.com/ai-digital-marketing-services-in-australia/" TargetMode="External"/><Relationship Id="rId106" Type="http://schemas.openxmlformats.org/officeDocument/2006/relationships/hyperlink" Target="http://digitalreference.co" TargetMode="External"/><Relationship Id="rId105" Type="http://schemas.openxmlformats.org/officeDocument/2006/relationships/hyperlink" Target="https://www.digitalreference.co/design-professionals/best-creative-agencies-in-australia" TargetMode="External"/><Relationship Id="rId589" Type="http://schemas.openxmlformats.org/officeDocument/2006/relationships/hyperlink" Target="http://peertopeermarketing.co" TargetMode="External"/><Relationship Id="rId104" Type="http://schemas.openxmlformats.org/officeDocument/2006/relationships/hyperlink" Target="http://bushnote.com" TargetMode="External"/><Relationship Id="rId588" Type="http://schemas.openxmlformats.org/officeDocument/2006/relationships/hyperlink" Target="https://peertopeermarketing.co/performance-agencies/" TargetMode="External"/><Relationship Id="rId109" Type="http://schemas.openxmlformats.org/officeDocument/2006/relationships/hyperlink" Target="https://www.redpandas.com.au/blog/best-paid-media-agencies-in-australia-an-unbiased-review/" TargetMode="External"/><Relationship Id="rId108" Type="http://schemas.openxmlformats.org/officeDocument/2006/relationships/hyperlink" Target="http://hikemytraffic.com" TargetMode="External"/><Relationship Id="rId583" Type="http://schemas.openxmlformats.org/officeDocument/2006/relationships/hyperlink" Target="http://nutshell.com" TargetMode="External"/><Relationship Id="rId582" Type="http://schemas.openxmlformats.org/officeDocument/2006/relationships/hyperlink" Target="https://www.nutshell.com/blog/top-geo-agencies" TargetMode="External"/><Relationship Id="rId581" Type="http://schemas.openxmlformats.org/officeDocument/2006/relationships/hyperlink" Target="http://noirandblanco.com" TargetMode="External"/><Relationship Id="rId580" Type="http://schemas.openxmlformats.org/officeDocument/2006/relationships/hyperlink" Target="https://noirandblanco.com/best-digital-marketing-agencies-in-melbourne/" TargetMode="External"/><Relationship Id="rId103" Type="http://schemas.openxmlformats.org/officeDocument/2006/relationships/hyperlink" Target="https://www.bushnote.com/articles/best-10-aeo-agencies-in-australia-to-promote-b2c-companies-in-2026" TargetMode="External"/><Relationship Id="rId587" Type="http://schemas.openxmlformats.org/officeDocument/2006/relationships/hyperlink" Target="http://optimising.com.au" TargetMode="External"/><Relationship Id="rId102" Type="http://schemas.openxmlformats.org/officeDocument/2006/relationships/hyperlink" Target="http://omnieclipse.ai" TargetMode="External"/><Relationship Id="rId586" Type="http://schemas.openxmlformats.org/officeDocument/2006/relationships/hyperlink" Target="https://www.optimising.com.au/blog/5-best-seo-agencies-in-sydney" TargetMode="External"/><Relationship Id="rId101" Type="http://schemas.openxmlformats.org/officeDocument/2006/relationships/hyperlink" Target="https://omnieclipse.ai/au/blog/best-aeo-agencies-australia-2026" TargetMode="External"/><Relationship Id="rId585" Type="http://schemas.openxmlformats.org/officeDocument/2006/relationships/hyperlink" Target="http://oneclickdigital.net.au" TargetMode="External"/><Relationship Id="rId100" Type="http://schemas.openxmlformats.org/officeDocument/2006/relationships/hyperlink" Target="http://mediaplusdigital.co" TargetMode="External"/><Relationship Id="rId584" Type="http://schemas.openxmlformats.org/officeDocument/2006/relationships/hyperlink" Target="https://oneclickdigital.net.au/who-is-the-largest-ad-agency-in-australia/" TargetMode="External"/><Relationship Id="rId579" Type="http://schemas.openxmlformats.org/officeDocument/2006/relationships/hyperlink" Target="http://tiktok.com" TargetMode="External"/><Relationship Id="rId578" Type="http://schemas.openxmlformats.org/officeDocument/2006/relationships/hyperlink" Target="https://newsroom.tiktok.com/en-au/australias-most-creative-brands-and-agencies-crowned-at-the-2025-tiktok-ad-awards" TargetMode="External"/><Relationship Id="rId577" Type="http://schemas.openxmlformats.org/officeDocument/2006/relationships/hyperlink" Target="https://www.munro.agency/insights/top-marketing-companies-in-the-world/" TargetMode="External"/><Relationship Id="rId572" Type="http://schemas.openxmlformats.org/officeDocument/2006/relationships/hyperlink" Target="http://megaphone.com.au" TargetMode="External"/><Relationship Id="rId571" Type="http://schemas.openxmlformats.org/officeDocument/2006/relationships/hyperlink" Target="https://megaphone.com.au/27-best-apps-for-marketing/" TargetMode="External"/><Relationship Id="rId570" Type="http://schemas.openxmlformats.org/officeDocument/2006/relationships/hyperlink" Target="http://mediaplusdigital.co" TargetMode="External"/><Relationship Id="rId576" Type="http://schemas.openxmlformats.org/officeDocument/2006/relationships/hyperlink" Target="http://mida.so" TargetMode="External"/><Relationship Id="rId575" Type="http://schemas.openxmlformats.org/officeDocument/2006/relationships/hyperlink" Target="https://www.mida.so/cro-agency/country/australia" TargetMode="External"/><Relationship Id="rId574" Type="http://schemas.openxmlformats.org/officeDocument/2006/relationships/hyperlink" Target="http://mentionfirst.ai" TargetMode="External"/><Relationship Id="rId573" Type="http://schemas.openxmlformats.org/officeDocument/2006/relationships/hyperlink" Target="https://mentionfirst.ai/what-are-the-best-ai-seo-companies-in-australia-and-how-to-choose-one/" TargetMode="External"/><Relationship Id="rId129" Type="http://schemas.openxmlformats.org/officeDocument/2006/relationships/hyperlink" Target="https://oski.site/blog/ai-consulting-companies-australia/" TargetMode="External"/><Relationship Id="rId128" Type="http://schemas.openxmlformats.org/officeDocument/2006/relationships/hyperlink" Target="http://hockeystack.com" TargetMode="External"/><Relationship Id="rId127" Type="http://schemas.openxmlformats.org/officeDocument/2006/relationships/hyperlink" Target="https://www.hockeystack.com/blog-posts/best-marketing-attribution-software" TargetMode="External"/><Relationship Id="rId126" Type="http://schemas.openxmlformats.org/officeDocument/2006/relationships/hyperlink" Target="http://godigitalalpha.com" TargetMode="External"/><Relationship Id="rId121" Type="http://schemas.openxmlformats.org/officeDocument/2006/relationships/hyperlink" Target="https://www.cometly.com/post/marketing-attribution-platform-for-agencies" TargetMode="External"/><Relationship Id="rId120" Type="http://schemas.openxmlformats.org/officeDocument/2006/relationships/hyperlink" Target="http://cometly.com" TargetMode="External"/><Relationship Id="rId125" Type="http://schemas.openxmlformats.org/officeDocument/2006/relationships/hyperlink" Target="https://godigitalalpha.com/best-performance-marketing-services-in-australia-2025/" TargetMode="External"/><Relationship Id="rId124" Type="http://schemas.openxmlformats.org/officeDocument/2006/relationships/hyperlink" Target="http://digitaldigest.au" TargetMode="External"/><Relationship Id="rId123" Type="http://schemas.openxmlformats.org/officeDocument/2006/relationships/hyperlink" Target="https://digitaldigest.au/best-digital-marketing-agencies/" TargetMode="External"/><Relationship Id="rId122" Type="http://schemas.openxmlformats.org/officeDocument/2006/relationships/hyperlink" Target="http://cometly.com" TargetMode="External"/><Relationship Id="rId118" Type="http://schemas.openxmlformats.org/officeDocument/2006/relationships/hyperlink" Target="http://bushnote.com" TargetMode="External"/><Relationship Id="rId117" Type="http://schemas.openxmlformats.org/officeDocument/2006/relationships/hyperlink" Target="https://www.bushnote.com/articles/top-ai-marketing-agencies-australia-2025-f19a3" TargetMode="External"/><Relationship Id="rId116" Type="http://schemas.openxmlformats.org/officeDocument/2006/relationships/hyperlink" Target="http://adbeacon.com" TargetMode="External"/><Relationship Id="rId115" Type="http://schemas.openxmlformats.org/officeDocument/2006/relationships/hyperlink" Target="https://www.adbeacon.com/7-best-marketing-attribution-tools-compared-2026/" TargetMode="External"/><Relationship Id="rId599" Type="http://schemas.openxmlformats.org/officeDocument/2006/relationships/hyperlink" Target="http://ruleranalytics.com" TargetMode="External"/><Relationship Id="rId119" Type="http://schemas.openxmlformats.org/officeDocument/2006/relationships/hyperlink" Target="https://www.cometly.com/post/marketing-attribution-consultant-services" TargetMode="External"/><Relationship Id="rId110" Type="http://schemas.openxmlformats.org/officeDocument/2006/relationships/hyperlink" Target="http://redpandas.com.au" TargetMode="External"/><Relationship Id="rId594" Type="http://schemas.openxmlformats.org/officeDocument/2006/relationships/hyperlink" Target="https://riseuplabs.com/top-web-design-agencies-in-australia/" TargetMode="External"/><Relationship Id="rId593" Type="http://schemas.openxmlformats.org/officeDocument/2006/relationships/hyperlink" Target="http://provokemedia.com" TargetMode="External"/><Relationship Id="rId592" Type="http://schemas.openxmlformats.org/officeDocument/2006/relationships/hyperlink" Target="https://www.provokemedia.com/events-awards/agencies-of-the-year/the-best-agencies-in-asia-pacific-2025/the-14-best-agencies-in-australia-and-new-zealand/ogilvy-australia" TargetMode="External"/><Relationship Id="rId591" Type="http://schemas.openxmlformats.org/officeDocument/2006/relationships/hyperlink" Target="http://pimms.io" TargetMode="External"/><Relationship Id="rId114" Type="http://schemas.openxmlformats.org/officeDocument/2006/relationships/hyperlink" Target="http://adbeacon.com" TargetMode="External"/><Relationship Id="rId598" Type="http://schemas.openxmlformats.org/officeDocument/2006/relationships/hyperlink" Target="https://www.ruleranalytics.com/blog/analytics/marketing-attribution-software/" TargetMode="External"/><Relationship Id="rId113" Type="http://schemas.openxmlformats.org/officeDocument/2006/relationships/hyperlink" Target="https://www.adbeacon.com/19-best-marketing-attribution-software-solutions-in-2026/" TargetMode="External"/><Relationship Id="rId597" Type="http://schemas.openxmlformats.org/officeDocument/2006/relationships/hyperlink" Target="http://roi.com.au" TargetMode="External"/><Relationship Id="rId112" Type="http://schemas.openxmlformats.org/officeDocument/2006/relationships/hyperlink" Target="http://skyscale.com.au" TargetMode="External"/><Relationship Id="rId596" Type="http://schemas.openxmlformats.org/officeDocument/2006/relationships/hyperlink" Target="https://roi.com.au/know-how/challenges/roi-profitability/what-analytics-platforms-work-best" TargetMode="External"/><Relationship Id="rId111" Type="http://schemas.openxmlformats.org/officeDocument/2006/relationships/hyperlink" Target="https://skyscale.com.au/blogs/best-aeo-agencies-melbourne-2025" TargetMode="External"/><Relationship Id="rId595" Type="http://schemas.openxmlformats.org/officeDocument/2006/relationships/hyperlink" Target="http://riseuplabs.com" TargetMode="External"/><Relationship Id="rId547" Type="http://schemas.openxmlformats.org/officeDocument/2006/relationships/hyperlink" Target="https://www.influencer-hero.com/agencies/best-influencer-marketing-agencies-australia" TargetMode="External"/><Relationship Id="rId546" Type="http://schemas.openxmlformats.org/officeDocument/2006/relationships/hyperlink" Target="http://i4s.au" TargetMode="External"/><Relationship Id="rId545" Type="http://schemas.openxmlformats.org/officeDocument/2006/relationships/hyperlink" Target="https://www.i4s.au/best-ppc-agency-in-2025/" TargetMode="External"/><Relationship Id="rId544" Type="http://schemas.openxmlformats.org/officeDocument/2006/relationships/hyperlink" Target="http://homerdigitalmarketing.com" TargetMode="External"/><Relationship Id="rId549" Type="http://schemas.openxmlformats.org/officeDocument/2006/relationships/hyperlink" Target="https://influencermarketinghub.com/digital-marketing-agency-australia/" TargetMode="External"/><Relationship Id="rId548" Type="http://schemas.openxmlformats.org/officeDocument/2006/relationships/hyperlink" Target="http://influencer-hero.com" TargetMode="External"/><Relationship Id="rId543" Type="http://schemas.openxmlformats.org/officeDocument/2006/relationships/hyperlink" Target="https://homerdigitalmarketing.com/lead-gen-agency/" TargetMode="External"/><Relationship Id="rId542" Type="http://schemas.openxmlformats.org/officeDocument/2006/relationships/hyperlink" Target="http://homerdigitalmarketing.com" TargetMode="External"/><Relationship Id="rId541" Type="http://schemas.openxmlformats.org/officeDocument/2006/relationships/hyperlink" Target="https://homerdigitalmarketing.com/instagram-ads-agency/" TargetMode="External"/><Relationship Id="rId540" Type="http://schemas.openxmlformats.org/officeDocument/2006/relationships/hyperlink" Target="http://hirewithnear.com" TargetMode="External"/><Relationship Id="rId536" Type="http://schemas.openxmlformats.org/officeDocument/2006/relationships/hyperlink" Target="http://growth-hackers.net" TargetMode="External"/><Relationship Id="rId535" Type="http://schemas.openxmlformats.org/officeDocument/2006/relationships/hyperlink" Target="https://www.growth-hackers.net/best-analytics-marketing-agencies/" TargetMode="External"/><Relationship Id="rId534" Type="http://schemas.openxmlformats.org/officeDocument/2006/relationships/hyperlink" Target="http://gemfind.com" TargetMode="External"/><Relationship Id="rId533" Type="http://schemas.openxmlformats.org/officeDocument/2006/relationships/hyperlink" Target="https://gemfind.com/blogs/digital-marketing/google-marketing-partner" TargetMode="External"/><Relationship Id="rId539" Type="http://schemas.openxmlformats.org/officeDocument/2006/relationships/hyperlink" Target="https://www.hirewithnear.com/blog/graphic-designer-recruitment-agencies" TargetMode="External"/><Relationship Id="rId538" Type="http://schemas.openxmlformats.org/officeDocument/2006/relationships/hyperlink" Target="http://hikemytraffic.com" TargetMode="External"/><Relationship Id="rId537" Type="http://schemas.openxmlformats.org/officeDocument/2006/relationships/hyperlink" Target="https://hikemytraffic.com/ai-digital-marketing-companies-in-australia/" TargetMode="External"/><Relationship Id="rId532" Type="http://schemas.openxmlformats.org/officeDocument/2006/relationships/hyperlink" Target="http://gcmag.com.au" TargetMode="External"/><Relationship Id="rId531" Type="http://schemas.openxmlformats.org/officeDocument/2006/relationships/hyperlink" Target="https://gcmag.com.au/how-to-choose-an-ai-seo-agency-in-australia/" TargetMode="External"/><Relationship Id="rId530" Type="http://schemas.openxmlformats.org/officeDocument/2006/relationships/hyperlink" Target="http://formulate.com.au" TargetMode="External"/><Relationship Id="rId569" Type="http://schemas.openxmlformats.org/officeDocument/2006/relationships/hyperlink" Target="https://mediaplusdigital.co/au/digital-marketing-agencies-in-australia/" TargetMode="External"/><Relationship Id="rId568" Type="http://schemas.openxmlformats.org/officeDocument/2006/relationships/hyperlink" Target="http://mediaplusdigital.co" TargetMode="External"/><Relationship Id="rId567" Type="http://schemas.openxmlformats.org/officeDocument/2006/relationships/hyperlink" Target="https://mediaplusdigital.co/au/best-social-media-marketing-agencies-in-australia/" TargetMode="External"/><Relationship Id="rId566" Type="http://schemas.openxmlformats.org/officeDocument/2006/relationships/hyperlink" Target="http://mayple.com" TargetMode="External"/><Relationship Id="rId561" Type="http://schemas.openxmlformats.org/officeDocument/2006/relationships/hyperlink" Target="https://kersai.com/best-ai-companies-in-australia-for-business-transformation/" TargetMode="External"/><Relationship Id="rId560" Type="http://schemas.openxmlformats.org/officeDocument/2006/relationships/hyperlink" Target="http://kamexa.ai" TargetMode="External"/><Relationship Id="rId565" Type="http://schemas.openxmlformats.org/officeDocument/2006/relationships/hyperlink" Target="https://www.mayple.com/resources/paid-advertising/ppc-agencies-australia" TargetMode="External"/><Relationship Id="rId564" Type="http://schemas.openxmlformats.org/officeDocument/2006/relationships/hyperlink" Target="http://keyspace.com.au" TargetMode="External"/><Relationship Id="rId563" Type="http://schemas.openxmlformats.org/officeDocument/2006/relationships/hyperlink" Target="https://keyspace.com.au/most-recommended-google-ads-agencies-in-australia/" TargetMode="External"/><Relationship Id="rId562" Type="http://schemas.openxmlformats.org/officeDocument/2006/relationships/hyperlink" Target="http://kersai.com" TargetMode="External"/><Relationship Id="rId558" Type="http://schemas.openxmlformats.org/officeDocument/2006/relationships/hyperlink" Target="http://itprofiles.com" TargetMode="External"/><Relationship Id="rId557" Type="http://schemas.openxmlformats.org/officeDocument/2006/relationships/hyperlink" Target="https://itprofiles.com/services/advertising-marketing/melbourne" TargetMode="External"/><Relationship Id="rId556" Type="http://schemas.openxmlformats.org/officeDocument/2006/relationships/hyperlink" Target="http://invademarketing.com" TargetMode="External"/><Relationship Id="rId555" Type="http://schemas.openxmlformats.org/officeDocument/2006/relationships/hyperlink" Target="https://invademarketing.com/top-rated-digital-marketing-agencies-australia/" TargetMode="External"/><Relationship Id="rId559" Type="http://schemas.openxmlformats.org/officeDocument/2006/relationships/hyperlink" Target="https://kamexa.ai/top-5-ai-agencies-in-queensland-2025-kamexa-leads-brisbane-gold-coast/" TargetMode="External"/><Relationship Id="rId550" Type="http://schemas.openxmlformats.org/officeDocument/2006/relationships/hyperlink" Target="http://influencermarketinghub.com" TargetMode="External"/><Relationship Id="rId554" Type="http://schemas.openxmlformats.org/officeDocument/2006/relationships/hyperlink" Target="http://interteammarketing.com" TargetMode="External"/><Relationship Id="rId553" Type="http://schemas.openxmlformats.org/officeDocument/2006/relationships/hyperlink" Target="https://www.interteammarketing.com/blog/best-b2b-ppc-agencies" TargetMode="External"/><Relationship Id="rId552" Type="http://schemas.openxmlformats.org/officeDocument/2006/relationships/hyperlink" Target="http://intelligentresourcing.co" TargetMode="External"/><Relationship Id="rId551" Type="http://schemas.openxmlformats.org/officeDocument/2006/relationships/hyperlink" Target="https://intelligentresourcing.co/blogs/top-gtm-engineering-agencies-australia" TargetMode="External"/><Relationship Id="rId495" Type="http://schemas.openxmlformats.org/officeDocument/2006/relationships/hyperlink" Target="https://cantydigital.com.au/top-10-australian-amazon-marketing-agencies/" TargetMode="External"/><Relationship Id="rId494" Type="http://schemas.openxmlformats.org/officeDocument/2006/relationships/hyperlink" Target="http://campaignbrief.com" TargetMode="External"/><Relationship Id="rId493" Type="http://schemas.openxmlformats.org/officeDocument/2006/relationships/hyperlink" Target="https://campaignbrief.com/bestads-rankings-which-are-the-top-australian-ad-agencies-and-clients-of-the-decade/" TargetMode="External"/><Relationship Id="rId492" Type="http://schemas.openxmlformats.org/officeDocument/2006/relationships/hyperlink" Target="http://calypsodesigns.com.au" TargetMode="External"/><Relationship Id="rId499" Type="http://schemas.openxmlformats.org/officeDocument/2006/relationships/hyperlink" Target="https://www.cometly.com/post/multi-touch-attribution-platform" TargetMode="External"/><Relationship Id="rId498" Type="http://schemas.openxmlformats.org/officeDocument/2006/relationships/hyperlink" Target="http://clickclickbangbang.com.au" TargetMode="External"/><Relationship Id="rId497" Type="http://schemas.openxmlformats.org/officeDocument/2006/relationships/hyperlink" Target="https://clickclickbangbang.com.au/best-google-ads-manager/" TargetMode="External"/><Relationship Id="rId496" Type="http://schemas.openxmlformats.org/officeDocument/2006/relationships/hyperlink" Target="http://cantydigital.com.au" TargetMode="External"/><Relationship Id="rId409" Type="http://schemas.openxmlformats.org/officeDocument/2006/relationships/hyperlink" Target="https://digitalnomadshq.com.au/blog/best-seo-agencies/" TargetMode="External"/><Relationship Id="rId404" Type="http://schemas.openxmlformats.org/officeDocument/2006/relationships/hyperlink" Target="http://builtinsydney.au" TargetMode="External"/><Relationship Id="rId403" Type="http://schemas.openxmlformats.org/officeDocument/2006/relationships/hyperlink" Target="https://builtinsydney.au/articles/digital-marketing-companies-sydney" TargetMode="External"/><Relationship Id="rId402" Type="http://schemas.openxmlformats.org/officeDocument/2006/relationships/hyperlink" Target="http://bondipages.com" TargetMode="External"/><Relationship Id="rId401" Type="http://schemas.openxmlformats.org/officeDocument/2006/relationships/hyperlink" Target="https://bondipages.com/best-marketing-in-australia/" TargetMode="External"/><Relationship Id="rId408" Type="http://schemas.openxmlformats.org/officeDocument/2006/relationships/hyperlink" Target="http://conquerradigital.com.au" TargetMode="External"/><Relationship Id="rId407" Type="http://schemas.openxmlformats.org/officeDocument/2006/relationships/hyperlink" Target="https://conquerradigital.com.au/top-10-programmatic-ads-agencies-in-melbourne/" TargetMode="External"/><Relationship Id="rId406" Type="http://schemas.openxmlformats.org/officeDocument/2006/relationships/hyperlink" Target="http://builtinsydney.au" TargetMode="External"/><Relationship Id="rId405" Type="http://schemas.openxmlformats.org/officeDocument/2006/relationships/hyperlink" Target="https://builtinsydney.au/articles/marketing-companies-sydney" TargetMode="External"/><Relationship Id="rId400" Type="http://schemas.openxmlformats.org/officeDocument/2006/relationships/hyperlink" Target="http://bestforexapp.com" TargetMode="External"/><Relationship Id="rId469" Type="http://schemas.openxmlformats.org/officeDocument/2006/relationships/hyperlink" Target="http://aamax.co" TargetMode="External"/><Relationship Id="rId468" Type="http://schemas.openxmlformats.org/officeDocument/2006/relationships/hyperlink" Target="https://aamax.co/blog/top-10-best-digital-marketing-companies-in-australia" TargetMode="External"/><Relationship Id="rId467" Type="http://schemas.openxmlformats.org/officeDocument/2006/relationships/hyperlink" Target="http://6sense.com" TargetMode="External"/><Relationship Id="rId462" Type="http://schemas.openxmlformats.org/officeDocument/2006/relationships/hyperlink" Target="https://www.youtube.com/watch?v=3y6n2-qGxnE" TargetMode="External"/><Relationship Id="rId461" Type="http://schemas.openxmlformats.org/officeDocument/2006/relationships/hyperlink" Target="http://youfinddigital.com" TargetMode="External"/><Relationship Id="rId460" Type="http://schemas.openxmlformats.org/officeDocument/2006/relationships/hyperlink" Target="https://www.youfinddigital.com/blog/best-geo-agency-for-ai-search.html" TargetMode="External"/><Relationship Id="rId466" Type="http://schemas.openxmlformats.org/officeDocument/2006/relationships/hyperlink" Target="https://6sense.com/blog/best-account-based-marketing-platforms/" TargetMode="External"/><Relationship Id="rId465" Type="http://schemas.openxmlformats.org/officeDocument/2006/relationships/hyperlink" Target="http://zipdo.co" TargetMode="External"/><Relationship Id="rId464" Type="http://schemas.openxmlformats.org/officeDocument/2006/relationships/hyperlink" Target="https://zipdo.co/service/marketing-attribution/" TargetMode="External"/><Relationship Id="rId463" Type="http://schemas.openxmlformats.org/officeDocument/2006/relationships/hyperlink" Target="http://youtube.com" TargetMode="External"/><Relationship Id="rId459" Type="http://schemas.openxmlformats.org/officeDocument/2006/relationships/hyperlink" Target="http://xpon.ai" TargetMode="External"/><Relationship Id="rId458" Type="http://schemas.openxmlformats.org/officeDocument/2006/relationships/hyperlink" Target="https://xpon.ai/resources/best-ai-marketing-tools-for-2025/" TargetMode="External"/><Relationship Id="rId457" Type="http://schemas.openxmlformats.org/officeDocument/2006/relationships/hyperlink" Target="http://upliftgtm.com" TargetMode="External"/><Relationship Id="rId456" Type="http://schemas.openxmlformats.org/officeDocument/2006/relationships/hyperlink" Target="https://www.upliftgtm.com/blog/best-geo-agencies" TargetMode="External"/><Relationship Id="rId451" Type="http://schemas.openxmlformats.org/officeDocument/2006/relationships/hyperlink" Target="http://techyflavors.com" TargetMode="External"/><Relationship Id="rId450" Type="http://schemas.openxmlformats.org/officeDocument/2006/relationships/hyperlink" Target="https://www.techyflavors.com/2026/07/top-ai-driven-seo-agencies-in-australia.html" TargetMode="External"/><Relationship Id="rId455" Type="http://schemas.openxmlformats.org/officeDocument/2006/relationships/hyperlink" Target="http://themanifest.com" TargetMode="External"/><Relationship Id="rId454" Type="http://schemas.openxmlformats.org/officeDocument/2006/relationships/hyperlink" Target="https://themanifest.com/au/social-media/tiktok/agencies" TargetMode="External"/><Relationship Id="rId453" Type="http://schemas.openxmlformats.org/officeDocument/2006/relationships/hyperlink" Target="http://thatware.co" TargetMode="External"/><Relationship Id="rId452" Type="http://schemas.openxmlformats.org/officeDocument/2006/relationships/hyperlink" Target="https://thatware.co/top-10-seo-companies-in-australia/" TargetMode="External"/><Relationship Id="rId491" Type="http://schemas.openxmlformats.org/officeDocument/2006/relationships/hyperlink" Target="https://calypsodesigns.com.au/top-10-google-ads-management-agencies-in-australia-a-2026/" TargetMode="External"/><Relationship Id="rId490" Type="http://schemas.openxmlformats.org/officeDocument/2006/relationships/hyperlink" Target="http://bushnote.com" TargetMode="External"/><Relationship Id="rId489" Type="http://schemas.openxmlformats.org/officeDocument/2006/relationships/hyperlink" Target="https://www.bushnote.com/articles/top-ai-search-optimisation-agencies-australia-2026" TargetMode="External"/><Relationship Id="rId484" Type="http://schemas.openxmlformats.org/officeDocument/2006/relationships/hyperlink" Target="http://birdeye.com" TargetMode="External"/><Relationship Id="rId483" Type="http://schemas.openxmlformats.org/officeDocument/2006/relationships/hyperlink" Target="https://birdeye.com/blog/social-media-marketing-companies-australia/" TargetMode="External"/><Relationship Id="rId482" Type="http://schemas.openxmlformats.org/officeDocument/2006/relationships/hyperlink" Target="http://bestgeoagency.com.au" TargetMode="External"/><Relationship Id="rId481" Type="http://schemas.openxmlformats.org/officeDocument/2006/relationships/hyperlink" Target="https://bestgeoagency.com.au/guides/8-best-geo-agencies-for-b2b-and-expert-led-companies/" TargetMode="External"/><Relationship Id="rId488" Type="http://schemas.openxmlformats.org/officeDocument/2006/relationships/hyperlink" Target="http://bushnote.com" TargetMode="External"/><Relationship Id="rId487" Type="http://schemas.openxmlformats.org/officeDocument/2006/relationships/hyperlink" Target="https://www.bushnote.com/articles/top-ai-search-agencies-sydney-generative-engine-optimisation" TargetMode="External"/><Relationship Id="rId486" Type="http://schemas.openxmlformats.org/officeDocument/2006/relationships/hyperlink" Target="http://bushletter.com" TargetMode="External"/><Relationship Id="rId485" Type="http://schemas.openxmlformats.org/officeDocument/2006/relationships/hyperlink" Target="https://www.bushletter.com/best-digital-marketing-media-buying-agencies-australia-2026/" TargetMode="External"/><Relationship Id="rId480" Type="http://schemas.openxmlformats.org/officeDocument/2006/relationships/hyperlink" Target="http://bandt.com.au" TargetMode="External"/><Relationship Id="rId479" Type="http://schemas.openxmlformats.org/officeDocument/2006/relationships/hyperlink" Target="https://www.bandt.com.au/special-bts-agency-scorecard-2026/" TargetMode="External"/><Relationship Id="rId478" Type="http://schemas.openxmlformats.org/officeDocument/2006/relationships/hyperlink" Target="http://bandt.com.au" TargetMode="External"/><Relationship Id="rId473" Type="http://schemas.openxmlformats.org/officeDocument/2006/relationships/hyperlink" Target="http://adnews.com.au" TargetMode="External"/><Relationship Id="rId472" Type="http://schemas.openxmlformats.org/officeDocument/2006/relationships/hyperlink" Target="https://www.adnews.com.au/news/aimco-s-2025-winners-revealed" TargetMode="External"/><Relationship Id="rId471" Type="http://schemas.openxmlformats.org/officeDocument/2006/relationships/hyperlink" Target="http://adcore.com" TargetMode="External"/><Relationship Id="rId470" Type="http://schemas.openxmlformats.org/officeDocument/2006/relationships/hyperlink" Target="https://www.adcore.com/blog/5-best-digital-marketing-agencies-in-melbourne/" TargetMode="External"/><Relationship Id="rId477" Type="http://schemas.openxmlformats.org/officeDocument/2006/relationships/hyperlink" Target="https://www.bandt.com.au/bts-ones-to-watch-creative-agencies/" TargetMode="External"/><Relationship Id="rId476" Type="http://schemas.openxmlformats.org/officeDocument/2006/relationships/hyperlink" Target="https://arc.dev/employer-blog/social-media-agencies/" TargetMode="External"/><Relationship Id="rId475" Type="http://schemas.openxmlformats.org/officeDocument/2006/relationships/hyperlink" Target="http://alphaapexgroup.com" TargetMode="External"/><Relationship Id="rId474" Type="http://schemas.openxmlformats.org/officeDocument/2006/relationships/hyperlink" Target="https://www.alphaapexgroup.com/blog/top-ai-consulting-firms" TargetMode="External"/><Relationship Id="rId426" Type="http://schemas.openxmlformats.org/officeDocument/2006/relationships/hyperlink" Target="http://intelegain.com" TargetMode="External"/><Relationship Id="rId425" Type="http://schemas.openxmlformats.org/officeDocument/2006/relationships/hyperlink" Target="https://www.intelegain.com/top-10-ai-development-and-consulting-companies-in-australia/" TargetMode="External"/><Relationship Id="rId424" Type="http://schemas.openxmlformats.org/officeDocument/2006/relationships/hyperlink" Target="http://improvado.io" TargetMode="External"/><Relationship Id="rId423" Type="http://schemas.openxmlformats.org/officeDocument/2006/relationships/hyperlink" Target="https://improvado.io/blog/choosing-marketing-attribution-software" TargetMode="External"/><Relationship Id="rId429" Type="http://schemas.openxmlformats.org/officeDocument/2006/relationships/hyperlink" Target="https://leadsnow.ai/best-pay-per-result-marketing-agencies-australia-2026/" TargetMode="External"/><Relationship Id="rId428" Type="http://schemas.openxmlformats.org/officeDocument/2006/relationships/hyperlink" Target="http://lbbonline.com" TargetMode="External"/><Relationship Id="rId427" Type="http://schemas.openxmlformats.org/officeDocument/2006/relationships/hyperlink" Target="https://lbbonline.com/news/a-to-z-aunz-indies-2025" TargetMode="External"/><Relationship Id="rId422" Type="http://schemas.openxmlformats.org/officeDocument/2006/relationships/hyperlink" Target="http://growthspreeofficial.com" TargetMode="External"/><Relationship Id="rId421" Type="http://schemas.openxmlformats.org/officeDocument/2006/relationships/hyperlink" Target="https://www.growthspreeofficial.com/blogs/best-b2b-saas-agencies-cross-channel-attribution-2026" TargetMode="External"/><Relationship Id="rId420" Type="http://schemas.openxmlformats.org/officeDocument/2006/relationships/hyperlink" Target="http://gdaybroadcast.com.au" TargetMode="External"/><Relationship Id="rId415" Type="http://schemas.openxmlformats.org/officeDocument/2006/relationships/hyperlink" Target="https://firstpagesage.com/seo-blog/the-top-generative-engine-optimization-geo-agencies/" TargetMode="External"/><Relationship Id="rId414" Type="http://schemas.openxmlformats.org/officeDocument/2006/relationships/hyperlink" Target="http://elsner.com.au" TargetMode="External"/><Relationship Id="rId413" Type="http://schemas.openxmlformats.org/officeDocument/2006/relationships/hyperlink" Target="https://www.elsner.com.au/top-10-seo-agencies-australia-2026/" TargetMode="External"/><Relationship Id="rId412" Type="http://schemas.openxmlformats.org/officeDocument/2006/relationships/hyperlink" Target="http://digitalnomadshq.com.au" TargetMode="External"/><Relationship Id="rId419" Type="http://schemas.openxmlformats.org/officeDocument/2006/relationships/hyperlink" Target="https://gdaybroadcast.com.au/marketing-agencies-in-melbourne/" TargetMode="External"/><Relationship Id="rId418" Type="http://schemas.openxmlformats.org/officeDocument/2006/relationships/hyperlink" Target="http://flypix.ai" TargetMode="External"/><Relationship Id="rId417" Type="http://schemas.openxmlformats.org/officeDocument/2006/relationships/hyperlink" Target="https://flypix.ai/geospatial-companies-in-australia/" TargetMode="External"/><Relationship Id="rId416" Type="http://schemas.openxmlformats.org/officeDocument/2006/relationships/hyperlink" Target="http://firstpagesage.com" TargetMode="External"/><Relationship Id="rId411" Type="http://schemas.openxmlformats.org/officeDocument/2006/relationships/hyperlink" Target="https://digitalnomadshq.com.au/blog/search-engine-marketing-agencies/" TargetMode="External"/><Relationship Id="rId410" Type="http://schemas.openxmlformats.org/officeDocument/2006/relationships/hyperlink" Target="http://digitalnomadshq.com.au" TargetMode="External"/><Relationship Id="rId448" Type="http://schemas.openxmlformats.org/officeDocument/2006/relationships/hyperlink" Target="https://socialchameleon.com/top-25-digital-marketing-agencies-in-australia/" TargetMode="External"/><Relationship Id="rId447" Type="http://schemas.openxmlformats.org/officeDocument/2006/relationships/hyperlink" Target="http://smartosc.com" TargetMode="External"/><Relationship Id="rId446" Type="http://schemas.openxmlformats.org/officeDocument/2006/relationships/hyperlink" Target="https://www.smartosc.com/why-choose-digital-marketing-and-data-analytics-services-australia/" TargetMode="External"/><Relationship Id="rId445" Type="http://schemas.openxmlformats.org/officeDocument/2006/relationships/hyperlink" Target="http://seoworks.com" TargetMode="External"/><Relationship Id="rId449" Type="http://schemas.openxmlformats.org/officeDocument/2006/relationships/hyperlink" Target="http://socialchameleon.com" TargetMode="External"/><Relationship Id="rId440" Type="http://schemas.openxmlformats.org/officeDocument/2006/relationships/hyperlink" Target="https://printvideoweb.com.au/blog/30-best-digital-marketing-agencies-in-australia/" TargetMode="External"/><Relationship Id="rId444" Type="http://schemas.openxmlformats.org/officeDocument/2006/relationships/hyperlink" Target="https://www.seoworks.com/lists/best-aeo-answer-engine-optimisation-agencies/" TargetMode="External"/><Relationship Id="rId443" Type="http://schemas.openxmlformats.org/officeDocument/2006/relationships/hyperlink" Target="http://sandlabs.com.au" TargetMode="External"/><Relationship Id="rId442" Type="http://schemas.openxmlformats.org/officeDocument/2006/relationships/hyperlink" Target="https://sandlabs.com.au/blog/top-ai-consulting-companies-australia" TargetMode="External"/><Relationship Id="rId441" Type="http://schemas.openxmlformats.org/officeDocument/2006/relationships/hyperlink" Target="http://printvideoweb.com.au" TargetMode="External"/><Relationship Id="rId437" Type="http://schemas.openxmlformats.org/officeDocument/2006/relationships/hyperlink" Target="http://mediaweek.com.au" TargetMode="External"/><Relationship Id="rId436" Type="http://schemas.openxmlformats.org/officeDocument/2006/relationships/hyperlink" Target="https://www.mediaweek.com.au/creative-agency-50-power-list-2023/" TargetMode="External"/><Relationship Id="rId435" Type="http://schemas.openxmlformats.org/officeDocument/2006/relationships/hyperlink" Target="http://madebyevoke.com" TargetMode="External"/><Relationship Id="rId434" Type="http://schemas.openxmlformats.org/officeDocument/2006/relationships/hyperlink" Target="https://madebyevoke.com/blog/top-branding-agencies-melbourne" TargetMode="External"/><Relationship Id="rId439" Type="http://schemas.openxmlformats.org/officeDocument/2006/relationships/hyperlink" Target="http://modernmarketingpartners.com" TargetMode="External"/><Relationship Id="rId438" Type="http://schemas.openxmlformats.org/officeDocument/2006/relationships/hyperlink" Target="https://www.modernmarketingpartners.com/2026/03/19/14-best-answer-engine-optimization-agencies-aeo-insights-company-rankings-for-2026/" TargetMode="External"/><Relationship Id="rId433" Type="http://schemas.openxmlformats.org/officeDocument/2006/relationships/hyperlink" Target="http://linkedin.com" TargetMode="External"/><Relationship Id="rId432" Type="http://schemas.openxmlformats.org/officeDocument/2006/relationships/hyperlink" Target="https://www.linkedin.com/pulse/best-performance-marketing-services-australia-vanator-assist-jhjyc" TargetMode="External"/><Relationship Id="rId431" Type="http://schemas.openxmlformats.org/officeDocument/2006/relationships/hyperlink" Target="http://leadsnow.ai" TargetMode="External"/><Relationship Id="rId430" Type="http://schemas.openxmlformats.org/officeDocument/2006/relationships/hyperlink" Target="http://leadsnow.ai"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clutch.co/au/agencies/social-media-marketing" TargetMode="External"/><Relationship Id="rId3" Type="http://schemas.openxmlformats.org/officeDocument/2006/relationships/hyperlink" Target="http://clutch.co" TargetMode="External"/><Relationship Id="rId4" Type="http://schemas.openxmlformats.org/officeDocument/2006/relationships/hyperlink" Target="https://mediaplusdigital.co/au/ai-marketing-agencies-in-australia/" TargetMode="External"/><Relationship Id="rId9" Type="http://schemas.openxmlformats.org/officeDocument/2006/relationships/hyperlink" Target="http://resolutiondigital.com.au" TargetMode="External"/><Relationship Id="rId5" Type="http://schemas.openxmlformats.org/officeDocument/2006/relationships/hyperlink" Target="http://mediaplusdigital.co" TargetMode="External"/><Relationship Id="rId6" Type="http://schemas.openxmlformats.org/officeDocument/2006/relationships/hyperlink" Target="https://slashdot.org/software/incrementality-testing/in-australia/" TargetMode="External"/><Relationship Id="rId7" Type="http://schemas.openxmlformats.org/officeDocument/2006/relationships/hyperlink" Target="http://slashdot.org" TargetMode="External"/><Relationship Id="rId8" Type="http://schemas.openxmlformats.org/officeDocument/2006/relationships/hyperlink" Target="https://www.resolutiondigital.com.au/performance-marketing-agency/" TargetMode="External"/><Relationship Id="rId40" Type="http://schemas.openxmlformats.org/officeDocument/2006/relationships/hyperlink" Target="https://www.mkmedia.com.au/marketing-attribution-software/" TargetMode="External"/><Relationship Id="rId42" Type="http://schemas.openxmlformats.org/officeDocument/2006/relationships/hyperlink" Target="https://support.google.com/analytics/answer/7237700?hl=en" TargetMode="External"/><Relationship Id="rId41" Type="http://schemas.openxmlformats.org/officeDocument/2006/relationships/hyperlink" Target="http://mkmedia.com.au" TargetMode="External"/><Relationship Id="rId44" Type="http://schemas.openxmlformats.org/officeDocument/2006/relationships/hyperlink" Target="https://www.teamlewis.com/au/data-analytics-agency/" TargetMode="External"/><Relationship Id="rId43" Type="http://schemas.openxmlformats.org/officeDocument/2006/relationships/hyperlink" Target="http://google.com" TargetMode="External"/><Relationship Id="rId46" Type="http://schemas.openxmlformats.org/officeDocument/2006/relationships/hyperlink" Target="https://bluemoonmarketing.com.au/best-aeo-agency-in-australia/" TargetMode="External"/><Relationship Id="rId45" Type="http://schemas.openxmlformats.org/officeDocument/2006/relationships/hyperlink" Target="http://teamlewis.com" TargetMode="External"/><Relationship Id="rId48" Type="http://schemas.openxmlformats.org/officeDocument/2006/relationships/hyperlink" Target="https://www.smartinc.com/news/top-10-best-ad-agency-in-australia-leading-sydney-melbourne-brisbane" TargetMode="External"/><Relationship Id="rId47" Type="http://schemas.openxmlformats.org/officeDocument/2006/relationships/hyperlink" Target="http://bluemoonmarketing.com.au" TargetMode="External"/><Relationship Id="rId49" Type="http://schemas.openxmlformats.org/officeDocument/2006/relationships/hyperlink" Target="http://smartinc.com" TargetMode="External"/><Relationship Id="rId31" Type="http://schemas.openxmlformats.org/officeDocument/2006/relationships/hyperlink" Target="http://zibdigital.com.au" TargetMode="External"/><Relationship Id="rId30" Type="http://schemas.openxmlformats.org/officeDocument/2006/relationships/hyperlink" Target="https://zibdigital.com.au/ai-services" TargetMode="External"/><Relationship Id="rId33" Type="http://schemas.openxmlformats.org/officeDocument/2006/relationships/hyperlink" Target="http://semrush.com" TargetMode="External"/><Relationship Id="rId32" Type="http://schemas.openxmlformats.org/officeDocument/2006/relationships/hyperlink" Target="https://agencies.semrush.com/list/display-advertising/australia/small-business/" TargetMode="External"/><Relationship Id="rId35" Type="http://schemas.openxmlformats.org/officeDocument/2006/relationships/hyperlink" Target="http://semrush.com" TargetMode="External"/><Relationship Id="rId34" Type="http://schemas.openxmlformats.org/officeDocument/2006/relationships/hyperlink" Target="https://agencies.semrush.com/list/display-advertising/perth/" TargetMode="External"/><Relationship Id="rId37" Type="http://schemas.openxmlformats.org/officeDocument/2006/relationships/hyperlink" Target="http://fastlanerecruit.com" TargetMode="External"/><Relationship Id="rId36" Type="http://schemas.openxmlformats.org/officeDocument/2006/relationships/hyperlink" Target="https://fastlanerecruit.com/blog/top-15-advertising-agencies-in-australia/" TargetMode="External"/><Relationship Id="rId39" Type="http://schemas.openxmlformats.org/officeDocument/2006/relationships/hyperlink" Target="http://bandt.com.au" TargetMode="External"/><Relationship Id="rId38" Type="http://schemas.openxmlformats.org/officeDocument/2006/relationships/hyperlink" Target="https://www.bandt.com.au/agencies/agency-scorecards/" TargetMode="External"/><Relationship Id="rId20" Type="http://schemas.openxmlformats.org/officeDocument/2006/relationships/hyperlink" Target="https://www.wmtips.com/technologies/marketing-attribution/country/au/" TargetMode="External"/><Relationship Id="rId22" Type="http://schemas.openxmlformats.org/officeDocument/2006/relationships/hyperlink" Target="https://www.10seos.com/au/display-advertising-companies-in-australia?page=4" TargetMode="External"/><Relationship Id="rId21" Type="http://schemas.openxmlformats.org/officeDocument/2006/relationships/hyperlink" Target="http://wmtips.com" TargetMode="External"/><Relationship Id="rId24" Type="http://schemas.openxmlformats.org/officeDocument/2006/relationships/hyperlink" Target="https://www.rankingco.com.au/2024-premier-google-partner" TargetMode="External"/><Relationship Id="rId23" Type="http://schemas.openxmlformats.org/officeDocument/2006/relationships/hyperlink" Target="http://10seos.com" TargetMode="External"/><Relationship Id="rId26" Type="http://schemas.openxmlformats.org/officeDocument/2006/relationships/hyperlink" Target="https://www.goodfirms.co/directory/country/top-digital-marketing-companies/au/" TargetMode="External"/><Relationship Id="rId25" Type="http://schemas.openxmlformats.org/officeDocument/2006/relationships/hyperlink" Target="http://rankingco.com.au" TargetMode="External"/><Relationship Id="rId28" Type="http://schemas.openxmlformats.org/officeDocument/2006/relationships/hyperlink" Target="https://tynmagazine.com/best-answer-engine-optimisation-aeo-agencies-in-australia/" TargetMode="External"/><Relationship Id="rId27" Type="http://schemas.openxmlformats.org/officeDocument/2006/relationships/hyperlink" Target="http://goodfirms.co" TargetMode="External"/><Relationship Id="rId29" Type="http://schemas.openxmlformats.org/officeDocument/2006/relationships/hyperlink" Target="http://tynmagazine.com" TargetMode="External"/><Relationship Id="rId11" Type="http://schemas.openxmlformats.org/officeDocument/2006/relationships/hyperlink" Target="http://absolutelyai.com.au" TargetMode="External"/><Relationship Id="rId10" Type="http://schemas.openxmlformats.org/officeDocument/2006/relationships/hyperlink" Target="https://www.absolutelyai.com.au/aiagency" TargetMode="External"/><Relationship Id="rId13" Type="http://schemas.openxmlformats.org/officeDocument/2006/relationships/hyperlink" Target="http://tdsaustralia.com.au" TargetMode="External"/><Relationship Id="rId12" Type="http://schemas.openxmlformats.org/officeDocument/2006/relationships/hyperlink" Target="https://tdsaustralia.com.au/best-brand-design-agency-australia/?srsltid=AfmBOoqgyBP8Mx3xalA9482IFmPBsWmB_7IcuOz2wt01IXzLQd8IhP8w" TargetMode="External"/><Relationship Id="rId15" Type="http://schemas.openxmlformats.org/officeDocument/2006/relationships/hyperlink" Target="http://saltandfuessel.com.au" TargetMode="External"/><Relationship Id="rId14" Type="http://schemas.openxmlformats.org/officeDocument/2006/relationships/hyperlink" Target="https://saltandfuessel.com.au/aeo-geo-services-melbourne" TargetMode="External"/><Relationship Id="rId17" Type="http://schemas.openxmlformats.org/officeDocument/2006/relationships/hyperlink" Target="http://mystrika.com" TargetMode="External"/><Relationship Id="rId16" Type="http://schemas.openxmlformats.org/officeDocument/2006/relationships/hyperlink" Target="https://mystrika.com/directory/agencies/top/data-analytics-in-country-australia" TargetMode="External"/><Relationship Id="rId19" Type="http://schemas.openxmlformats.org/officeDocument/2006/relationships/hyperlink" Target="http://google.com" TargetMode="External"/><Relationship Id="rId18" Type="http://schemas.openxmlformats.org/officeDocument/2006/relationships/hyperlink" Target="https://support.google.com/tagmanager/answer/7237700?hl=en-au" TargetMode="External"/><Relationship Id="rId84" Type="http://schemas.openxmlformats.org/officeDocument/2006/relationships/hyperlink" Target="https://appfillip.com/analytics/in/australia" TargetMode="External"/><Relationship Id="rId83" Type="http://schemas.openxmlformats.org/officeDocument/2006/relationships/hyperlink" Target="http://semrush.com" TargetMode="External"/><Relationship Id="rId86" Type="http://schemas.openxmlformats.org/officeDocument/2006/relationships/hyperlink" Target="https://www.bestadsontv.com/rankings.php?category=All&amp;country=Australia&amp;period=-10&amp;role=agency" TargetMode="External"/><Relationship Id="rId85" Type="http://schemas.openxmlformats.org/officeDocument/2006/relationships/hyperlink" Target="http://appfillip.com" TargetMode="External"/><Relationship Id="rId88" Type="http://schemas.openxmlformats.org/officeDocument/2006/relationships/hyperlink" Target="https://businessinfopro.com/blogs/information-technology-blog/top-ai-development-consulting-firms-in-australia/" TargetMode="External"/><Relationship Id="rId87" Type="http://schemas.openxmlformats.org/officeDocument/2006/relationships/hyperlink" Target="http://bestadsontv.com" TargetMode="External"/><Relationship Id="rId89" Type="http://schemas.openxmlformats.org/officeDocument/2006/relationships/hyperlink" Target="http://businessinfopro.com" TargetMode="External"/><Relationship Id="rId80" Type="http://schemas.openxmlformats.org/officeDocument/2006/relationships/hyperlink" Target="https://admatic.com/lp/media-agency/melbourne" TargetMode="External"/><Relationship Id="rId82" Type="http://schemas.openxmlformats.org/officeDocument/2006/relationships/hyperlink" Target="https://agencies.semrush.com/list/display-advertising/ecommerce/australia/" TargetMode="External"/><Relationship Id="rId81" Type="http://schemas.openxmlformats.org/officeDocument/2006/relationships/hyperlink" Target="http://admatic.com" TargetMode="External"/><Relationship Id="rId73" Type="http://schemas.openxmlformats.org/officeDocument/2006/relationships/hyperlink" Target="http://clutch.co" TargetMode="External"/><Relationship Id="rId72" Type="http://schemas.openxmlformats.org/officeDocument/2006/relationships/hyperlink" Target="https://clutch.co/au/agencies/ppc/display?page=2" TargetMode="External"/><Relationship Id="rId75" Type="http://schemas.openxmlformats.org/officeDocument/2006/relationships/hyperlink" Target="http://hubspot.com" TargetMode="External"/><Relationship Id="rId74" Type="http://schemas.openxmlformats.org/officeDocument/2006/relationships/hyperlink" Target="https://ecosystem.hubspot.com/marketplace/solutions/paid-advertising/consumer-services/australia" TargetMode="External"/><Relationship Id="rId77" Type="http://schemas.openxmlformats.org/officeDocument/2006/relationships/hyperlink" Target="http://hubspot.com" TargetMode="External"/><Relationship Id="rId76" Type="http://schemas.openxmlformats.org/officeDocument/2006/relationships/hyperlink" Target="https://ecosystem.hubspot.com/marketplace/solutions/paid-advertising/government/australia" TargetMode="External"/><Relationship Id="rId79" Type="http://schemas.openxmlformats.org/officeDocument/2006/relationships/hyperlink" Target="http://hubspot.com" TargetMode="External"/><Relationship Id="rId78" Type="http://schemas.openxmlformats.org/officeDocument/2006/relationships/hyperlink" Target="https://ecosystem.hubspot.com/marketplace/solutions/paid-advertising/telecom-mobile-communications/australia" TargetMode="External"/><Relationship Id="rId71" Type="http://schemas.openxmlformats.org/officeDocument/2006/relationships/hyperlink" Target="http://bluerock.com.au" TargetMode="External"/><Relationship Id="rId70" Type="http://schemas.openxmlformats.org/officeDocument/2006/relationships/hyperlink" Target="https://www.bluerock.com.au/ai-consulting-services/" TargetMode="External"/><Relationship Id="rId62" Type="http://schemas.openxmlformats.org/officeDocument/2006/relationships/hyperlink" Target="https://support.google.com/tagmanager/answer/7237700?hl=en" TargetMode="External"/><Relationship Id="rId61" Type="http://schemas.openxmlformats.org/officeDocument/2006/relationships/hyperlink" Target="http://sourceforge.net" TargetMode="External"/><Relationship Id="rId64" Type="http://schemas.openxmlformats.org/officeDocument/2006/relationships/hyperlink" Target="https://www.thehero.co/news/australias-top-creative-agency-named-in-business-best-performers" TargetMode="External"/><Relationship Id="rId63" Type="http://schemas.openxmlformats.org/officeDocument/2006/relationships/hyperlink" Target="http://google.com" TargetMode="External"/><Relationship Id="rId66" Type="http://schemas.openxmlformats.org/officeDocument/2006/relationships/hyperlink" Target="https://titanblue.com.au/companies-for-social-media-marketing/?srsltid=AfmBOoq21wO8ZjboQuZ1D2V8SlPXLR8gDWQUvPiH1eQa9htbHDXUXWx_" TargetMode="External"/><Relationship Id="rId65" Type="http://schemas.openxmlformats.org/officeDocument/2006/relationships/hyperlink" Target="http://thehero.co" TargetMode="External"/><Relationship Id="rId68" Type="http://schemas.openxmlformats.org/officeDocument/2006/relationships/hyperlink" Target="https://agencies.semrush.com/list/display-advertising/western-australia/" TargetMode="External"/><Relationship Id="rId67" Type="http://schemas.openxmlformats.org/officeDocument/2006/relationships/hyperlink" Target="http://titanblue.com.au" TargetMode="External"/><Relationship Id="rId60" Type="http://schemas.openxmlformats.org/officeDocument/2006/relationships/hyperlink" Target="https://sourceforge.net/software/marketing-attribution/australia/" TargetMode="External"/><Relationship Id="rId69" Type="http://schemas.openxmlformats.org/officeDocument/2006/relationships/hyperlink" Target="http://semrush.com" TargetMode="External"/><Relationship Id="rId51" Type="http://schemas.openxmlformats.org/officeDocument/2006/relationships/hyperlink" Target="http://10seos.com" TargetMode="External"/><Relationship Id="rId50" Type="http://schemas.openxmlformats.org/officeDocument/2006/relationships/hyperlink" Target="https://www.10seos.com/au/display-advertising-companies-in-australia?page=2" TargetMode="External"/><Relationship Id="rId53" Type="http://schemas.openxmlformats.org/officeDocument/2006/relationships/hyperlink" Target="http://eightclients.com.au" TargetMode="External"/><Relationship Id="rId52" Type="http://schemas.openxmlformats.org/officeDocument/2006/relationships/hyperlink" Target="https://eightclients.com.au/ai-marketing-agency/" TargetMode="External"/><Relationship Id="rId55" Type="http://schemas.openxmlformats.org/officeDocument/2006/relationships/hyperlink" Target="http://fabulate.com.au" TargetMode="External"/><Relationship Id="rId54" Type="http://schemas.openxmlformats.org/officeDocument/2006/relationships/hyperlink" Target="https://fabulate.com.au/page/ai-marketing-australia" TargetMode="External"/><Relationship Id="rId57" Type="http://schemas.openxmlformats.org/officeDocument/2006/relationships/hyperlink" Target="http://impressive.com.au" TargetMode="External"/><Relationship Id="rId56" Type="http://schemas.openxmlformats.org/officeDocument/2006/relationships/hyperlink" Target="https://impressive.com.au/data-and-analytics/" TargetMode="External"/><Relationship Id="rId59" Type="http://schemas.openxmlformats.org/officeDocument/2006/relationships/hyperlink" Target="http://onpoint.com.au" TargetMode="External"/><Relationship Id="rId58" Type="http://schemas.openxmlformats.org/officeDocument/2006/relationships/hyperlink" Target="https://onpoint.com.au/blog/independent-vs-network-media-agencies-australia" TargetMode="External"/><Relationship Id="rId346" Type="http://schemas.openxmlformats.org/officeDocument/2006/relationships/drawing" Target="../drawings/drawing28.xml"/><Relationship Id="rId341" Type="http://schemas.openxmlformats.org/officeDocument/2006/relationships/hyperlink" Target="http://titanblue.com.au" TargetMode="External"/><Relationship Id="rId340" Type="http://schemas.openxmlformats.org/officeDocument/2006/relationships/hyperlink" Target="https://titanblue.com.au/ai-search-agency-australia-guide/?srsltid=AfmBOoqQqbz535GTClpgwdaCgMGmpM3IfxnZwzM2wGpTm0YLUBpcjQA7" TargetMode="External"/><Relationship Id="rId345" Type="http://schemas.openxmlformats.org/officeDocument/2006/relationships/hyperlink" Target="http://virtualadagency.com.au" TargetMode="External"/><Relationship Id="rId344" Type="http://schemas.openxmlformats.org/officeDocument/2006/relationships/hyperlink" Target="https://virtualadagency.com.au/companies-for-social-media-marketing/" TargetMode="External"/><Relationship Id="rId343" Type="http://schemas.openxmlformats.org/officeDocument/2006/relationships/hyperlink" Target="http://topseos.com" TargetMode="External"/><Relationship Id="rId342" Type="http://schemas.openxmlformats.org/officeDocument/2006/relationships/hyperlink" Target="https://www.topseos.com/australia/directory/display-advertising-companies" TargetMode="External"/><Relationship Id="rId338" Type="http://schemas.openxmlformats.org/officeDocument/2006/relationships/hyperlink" Target="https://www.thestable.com.au/163920-2/" TargetMode="External"/><Relationship Id="rId337" Type="http://schemas.openxmlformats.org/officeDocument/2006/relationships/hyperlink" Target="http://themanifest.com" TargetMode="External"/><Relationship Id="rId336" Type="http://schemas.openxmlformats.org/officeDocument/2006/relationships/hyperlink" Target="https://themanifest.com/au/social-media/tiktok/agencies/sydney" TargetMode="External"/><Relationship Id="rId335" Type="http://schemas.openxmlformats.org/officeDocument/2006/relationships/hyperlink" Target="http://smashbrandgroup.com.au" TargetMode="External"/><Relationship Id="rId339" Type="http://schemas.openxmlformats.org/officeDocument/2006/relationships/hyperlink" Target="http://thestable.com.au" TargetMode="External"/><Relationship Id="rId330" Type="http://schemas.openxmlformats.org/officeDocument/2006/relationships/hyperlink" Target="https://sedigital.com.au/services/tracking-systems" TargetMode="External"/><Relationship Id="rId334" Type="http://schemas.openxmlformats.org/officeDocument/2006/relationships/hyperlink" Target="https://smashbrandgroup.com.au/reporting-and-analytics" TargetMode="External"/><Relationship Id="rId333" Type="http://schemas.openxmlformats.org/officeDocument/2006/relationships/hyperlink" Target="http://shokeproductions.com" TargetMode="External"/><Relationship Id="rId332" Type="http://schemas.openxmlformats.org/officeDocument/2006/relationships/hyperlink" Target="https://shokeproductions.com/Post/top-marketing-agencies-in-australia-for-tech-and-ai" TargetMode="External"/><Relationship Id="rId331" Type="http://schemas.openxmlformats.org/officeDocument/2006/relationships/hyperlink" Target="http://sedigital.com.au" TargetMode="External"/><Relationship Id="rId95" Type="http://schemas.openxmlformats.org/officeDocument/2006/relationships/hyperlink" Target="http://google.com" TargetMode="External"/><Relationship Id="rId94" Type="http://schemas.openxmlformats.org/officeDocument/2006/relationships/hyperlink" Target="https://support.google.com/analytics/answer/7237700?hl=en-AU" TargetMode="External"/><Relationship Id="rId97" Type="http://schemas.openxmlformats.org/officeDocument/2006/relationships/hyperlink" Target="http://semrush.com" TargetMode="External"/><Relationship Id="rId96" Type="http://schemas.openxmlformats.org/officeDocument/2006/relationships/hyperlink" Target="https://agencies.semrush.com/list/analytics-data-science/information-technology/australia/" TargetMode="External"/><Relationship Id="rId99" Type="http://schemas.openxmlformats.org/officeDocument/2006/relationships/hyperlink" Target="http://semrush.com" TargetMode="External"/><Relationship Id="rId98" Type="http://schemas.openxmlformats.org/officeDocument/2006/relationships/hyperlink" Target="https://agencies.semrush.com/list/display-advertising/melbourne/" TargetMode="External"/><Relationship Id="rId91" Type="http://schemas.openxmlformats.org/officeDocument/2006/relationships/hyperlink" Target="http://dejanmarketing.com" TargetMode="External"/><Relationship Id="rId90" Type="http://schemas.openxmlformats.org/officeDocument/2006/relationships/hyperlink" Target="https://dejanmarketing.com/best-ai-seo-agencies/" TargetMode="External"/><Relationship Id="rId93" Type="http://schemas.openxmlformats.org/officeDocument/2006/relationships/hyperlink" Target="http://goodfirms.co" TargetMode="External"/><Relationship Id="rId92" Type="http://schemas.openxmlformats.org/officeDocument/2006/relationships/hyperlink" Target="https://www.goodfirms.co/directory/city/top-digital-marketing-companies/media-planning-buying/melbourne" TargetMode="External"/><Relationship Id="rId305" Type="http://schemas.openxmlformats.org/officeDocument/2006/relationships/hyperlink" Target="http://mediaright.au" TargetMode="External"/><Relationship Id="rId304" Type="http://schemas.openxmlformats.org/officeDocument/2006/relationships/hyperlink" Target="https://mediaright.au/services/digital/" TargetMode="External"/><Relationship Id="rId303" Type="http://schemas.openxmlformats.org/officeDocument/2006/relationships/hyperlink" Target="http://google.com" TargetMode="External"/><Relationship Id="rId302" Type="http://schemas.openxmlformats.org/officeDocument/2006/relationships/hyperlink" Target="https://marketingplatform.google.com/about/partners/find-a-partner" TargetMode="External"/><Relationship Id="rId309" Type="http://schemas.openxmlformats.org/officeDocument/2006/relationships/hyperlink" Target="http://mediaweek.com.au" TargetMode="External"/><Relationship Id="rId308" Type="http://schemas.openxmlformats.org/officeDocument/2006/relationships/hyperlink" Target="https://www.mediaweek.com.au/majority-of-aussie-marketers-still-at-a-beginner-level-with-ai-says-acam-report/" TargetMode="External"/><Relationship Id="rId307" Type="http://schemas.openxmlformats.org/officeDocument/2006/relationships/hyperlink" Target="http://mediaweek.com.au" TargetMode="External"/><Relationship Id="rId306" Type="http://schemas.openxmlformats.org/officeDocument/2006/relationships/hyperlink" Target="https://www.mediaweek.com.au/asahi-beverages-bmf-kerfuffle-creative-agency-appointment" TargetMode="External"/><Relationship Id="rId301" Type="http://schemas.openxmlformats.org/officeDocument/2006/relationships/hyperlink" Target="http://marketing-interactive.com" TargetMode="External"/><Relationship Id="rId300" Type="http://schemas.openxmlformats.org/officeDocument/2006/relationships/hyperlink" Target="https://www.marketing-interactive.com/bmf-lands-creative-heavyweight-scott-nowell-as-chair" TargetMode="External"/><Relationship Id="rId327" Type="http://schemas.openxmlformats.org/officeDocument/2006/relationships/hyperlink" Target="http://pivotale.ai" TargetMode="External"/><Relationship Id="rId326" Type="http://schemas.openxmlformats.org/officeDocument/2006/relationships/hyperlink" Target="https://www.pivotale.ai/frequently-asked-questions" TargetMode="External"/><Relationship Id="rId325" Type="http://schemas.openxmlformats.org/officeDocument/2006/relationships/hyperlink" Target="http://onpoint.com.au" TargetMode="External"/><Relationship Id="rId324" Type="http://schemas.openxmlformats.org/officeDocument/2006/relationships/hyperlink" Target="https://onpoint.com.au/performance-media/programmatic-ads" TargetMode="External"/><Relationship Id="rId329" Type="http://schemas.openxmlformats.org/officeDocument/2006/relationships/hyperlink" Target="http://reformdigital.com.au" TargetMode="External"/><Relationship Id="rId328" Type="http://schemas.openxmlformats.org/officeDocument/2006/relationships/hyperlink" Target="https://reformdigital.com.au/services/social-media-advertising/instagram-ads/" TargetMode="External"/><Relationship Id="rId323" Type="http://schemas.openxmlformats.org/officeDocument/2006/relationships/hyperlink" Target="http://onpoint.com.au" TargetMode="External"/><Relationship Id="rId322" Type="http://schemas.openxmlformats.org/officeDocument/2006/relationships/hyperlink" Target="https://onpoint.com.au/media-agency-melbourne" TargetMode="External"/><Relationship Id="rId321" Type="http://schemas.openxmlformats.org/officeDocument/2006/relationships/hyperlink" Target="http://oneegg.com.au" TargetMode="External"/><Relationship Id="rId320" Type="http://schemas.openxmlformats.org/officeDocument/2006/relationships/hyperlink" Target="https://www.oneegg.com.au/blog/generative-seo-pricing-australia/" TargetMode="External"/><Relationship Id="rId316" Type="http://schemas.openxmlformats.org/officeDocument/2006/relationships/hyperlink" Target="https://www.oneclub.org/awards/theoneshow/-agency/Droga5%2BANZ%2C%2Bpart%2Bof%2BAccenture%2BSong%2B%5Bs%5D%2BSydney/2026/all/4" TargetMode="External"/><Relationship Id="rId315" Type="http://schemas.openxmlformats.org/officeDocument/2006/relationships/hyperlink" Target="http://oneclub.org" TargetMode="External"/><Relationship Id="rId314" Type="http://schemas.openxmlformats.org/officeDocument/2006/relationships/hyperlink" Target="https://www.oneclub.org/awards/rankings/-archive/agency/2025/all/all/all/36" TargetMode="External"/><Relationship Id="rId313" Type="http://schemas.openxmlformats.org/officeDocument/2006/relationships/hyperlink" Target="http://nature.com.au" TargetMode="External"/><Relationship Id="rId319" Type="http://schemas.openxmlformats.org/officeDocument/2006/relationships/hyperlink" Target="http://oneclub.org" TargetMode="External"/><Relationship Id="rId318" Type="http://schemas.openxmlformats.org/officeDocument/2006/relationships/hyperlink" Target="https://www.oneclub.org/awards/theoneshow/-agency/Droga5%2BANZ%2C%2Bpart%2Bof%2BAccenture%2BSong%2B%5Bs%5D%2BSydney/2026/all/all" TargetMode="External"/><Relationship Id="rId317" Type="http://schemas.openxmlformats.org/officeDocument/2006/relationships/hyperlink" Target="http://oneclub.org" TargetMode="External"/><Relationship Id="rId312" Type="http://schemas.openxmlformats.org/officeDocument/2006/relationships/hyperlink" Target="https://nature.com.au/market-research/" TargetMode="External"/><Relationship Id="rId311" Type="http://schemas.openxmlformats.org/officeDocument/2006/relationships/hyperlink" Target="http://merkle.com" TargetMode="External"/><Relationship Id="rId310" Type="http://schemas.openxmlformats.org/officeDocument/2006/relationships/hyperlink" Target="https://www.merkle.com/en/about-us/partnerships/google.html" TargetMode="External"/><Relationship Id="rId297" Type="http://schemas.openxmlformats.org/officeDocument/2006/relationships/hyperlink" Target="http://louder.com.au" TargetMode="External"/><Relationship Id="rId296" Type="http://schemas.openxmlformats.org/officeDocument/2006/relationships/hyperlink" Target="https://louder.com.au/services/measurement/" TargetMode="External"/><Relationship Id="rId295" Type="http://schemas.openxmlformats.org/officeDocument/2006/relationships/hyperlink" Target="http://lambagency.com.au" TargetMode="External"/><Relationship Id="rId294" Type="http://schemas.openxmlformats.org/officeDocument/2006/relationships/hyperlink" Target="https://www.lambagency.com.au/digital-strategy/data-insights" TargetMode="External"/><Relationship Id="rId299" Type="http://schemas.openxmlformats.org/officeDocument/2006/relationships/hyperlink" Target="http://lumifywork.com" TargetMode="External"/><Relationship Id="rId298" Type="http://schemas.openxmlformats.org/officeDocument/2006/relationships/hyperlink" Target="https://www.lumifywork.com/en-au/ai-advisory-services/" TargetMode="External"/><Relationship Id="rId271" Type="http://schemas.openxmlformats.org/officeDocument/2006/relationships/hyperlink" Target="http://google.com" TargetMode="External"/><Relationship Id="rId270" Type="http://schemas.openxmlformats.org/officeDocument/2006/relationships/hyperlink" Target="https://www.google.com/searchviewer/10?svid=CAwSHRIbCgNwdnESFENnMHZaeTh4TVhReU9UbDBiR28wGAo" TargetMode="External"/><Relationship Id="rId269" Type="http://schemas.openxmlformats.org/officeDocument/2006/relationships/hyperlink" Target="http://google.com" TargetMode="External"/><Relationship Id="rId264" Type="http://schemas.openxmlformats.org/officeDocument/2006/relationships/hyperlink" Target="https://www.google.com/searchviewer/10?svid=CAwSHRIbCgNwdnESFENnMHZaeTh4TVhKbllucG9jVE56GAo" TargetMode="External"/><Relationship Id="rId263" Type="http://schemas.openxmlformats.org/officeDocument/2006/relationships/hyperlink" Target="http://google.com" TargetMode="External"/><Relationship Id="rId262" Type="http://schemas.openxmlformats.org/officeDocument/2006/relationships/hyperlink" Target="https://www.google.com/searchviewer/10?svid=CAwSHRIbCgNwdnESFENnMHZaeTh4TVdwek1UUmpaR3A0GAo" TargetMode="External"/><Relationship Id="rId261" Type="http://schemas.openxmlformats.org/officeDocument/2006/relationships/hyperlink" Target="http://google.com" TargetMode="External"/><Relationship Id="rId268" Type="http://schemas.openxmlformats.org/officeDocument/2006/relationships/hyperlink" Target="https://www.google.com/searchviewer/10?svid=CAwSHRIbCgNwdnESFENnMHZaeTh4TVhRMWJIbDZObUl4GAo" TargetMode="External"/><Relationship Id="rId267" Type="http://schemas.openxmlformats.org/officeDocument/2006/relationships/hyperlink" Target="http://google.com" TargetMode="External"/><Relationship Id="rId266" Type="http://schemas.openxmlformats.org/officeDocument/2006/relationships/hyperlink" Target="https://www.google.com/searchviewer/10?svid=CAwSHRIbCgNwdnESFENnMHZaeTh4TVhNM2VYZzJNV2hxGAo" TargetMode="External"/><Relationship Id="rId265" Type="http://schemas.openxmlformats.org/officeDocument/2006/relationships/hyperlink" Target="http://google.com" TargetMode="External"/><Relationship Id="rId260" Type="http://schemas.openxmlformats.org/officeDocument/2006/relationships/hyperlink" Target="https://www.google.com/searchviewer/10?svid=CAwSHRIbCgNwdnESFENnMHZaeTh4TVdoa2N6TnFkbDgwGAo" TargetMode="External"/><Relationship Id="rId259" Type="http://schemas.openxmlformats.org/officeDocument/2006/relationships/hyperlink" Target="http://google.com" TargetMode="External"/><Relationship Id="rId258" Type="http://schemas.openxmlformats.org/officeDocument/2006/relationships/hyperlink" Target="https://www.google.com/searchviewer/10?svid=CAwSHRIbCgNwdnESFENnMHZaeTh4TVdneWNXMXpOblEyGAo" TargetMode="External"/><Relationship Id="rId253" Type="http://schemas.openxmlformats.org/officeDocument/2006/relationships/hyperlink" Target="http://google.com" TargetMode="External"/><Relationship Id="rId252" Type="http://schemas.openxmlformats.org/officeDocument/2006/relationships/hyperlink" Target="https://www.google.com/searchviewer/10?svid=CAwSHRIbCgNwdnESFENnMHZaeTh4TVdnME5uTXllalZ4GAo" TargetMode="External"/><Relationship Id="rId251" Type="http://schemas.openxmlformats.org/officeDocument/2006/relationships/hyperlink" Target="http://google.com" TargetMode="External"/><Relationship Id="rId250" Type="http://schemas.openxmlformats.org/officeDocument/2006/relationships/hyperlink" Target="https://www.google.com/searchviewer/10?svid=CAwSHRIbCgNwdnESFENnMHZaeTh4TVdkbmNtc3lZM05vGAo" TargetMode="External"/><Relationship Id="rId257" Type="http://schemas.openxmlformats.org/officeDocument/2006/relationships/hyperlink" Target="http://google.com" TargetMode="External"/><Relationship Id="rId256" Type="http://schemas.openxmlformats.org/officeDocument/2006/relationships/hyperlink" Target="https://www.google.com/searchviewer/10?svid=CAwSHRIbCgNwdnESFENnMHZaeTh4TVdneWEyMXlaR2RyGAo" TargetMode="External"/><Relationship Id="rId255" Type="http://schemas.openxmlformats.org/officeDocument/2006/relationships/hyperlink" Target="http://google.com" TargetMode="External"/><Relationship Id="rId254" Type="http://schemas.openxmlformats.org/officeDocument/2006/relationships/hyperlink" Target="https://www.google.com/searchviewer/10?svid=CAwSHRIbCgNwdnESFENnMHZaeTh4TVdnd1lqbGtPVGhrGAo" TargetMode="External"/><Relationship Id="rId293" Type="http://schemas.openxmlformats.org/officeDocument/2006/relationships/hyperlink" Target="http://kodedigital.com.au" TargetMode="External"/><Relationship Id="rId292" Type="http://schemas.openxmlformats.org/officeDocument/2006/relationships/hyperlink" Target="https://kodedigital.com.au/digital-services/banner-design/" TargetMode="External"/><Relationship Id="rId291" Type="http://schemas.openxmlformats.org/officeDocument/2006/relationships/hyperlink" Target="http://ironpathinteractive.com.au" TargetMode="External"/><Relationship Id="rId290" Type="http://schemas.openxmlformats.org/officeDocument/2006/relationships/hyperlink" Target="https://ironpathinteractive.com.au/performance-marketing-agency-sydney" TargetMode="External"/><Relationship Id="rId286" Type="http://schemas.openxmlformats.org/officeDocument/2006/relationships/hyperlink" Target="https://info.jellyfish.com/en-au/local-page/australia" TargetMode="External"/><Relationship Id="rId285" Type="http://schemas.openxmlformats.org/officeDocument/2006/relationships/hyperlink" Target="http://impressive.com.au" TargetMode="External"/><Relationship Id="rId284" Type="http://schemas.openxmlformats.org/officeDocument/2006/relationships/hyperlink" Target="https://impressive.com.au/measurement-planning-implementation/" TargetMode="External"/><Relationship Id="rId283" Type="http://schemas.openxmlformats.org/officeDocument/2006/relationships/hyperlink" Target="http://iconagency.com.au" TargetMode="External"/><Relationship Id="rId289" Type="http://schemas.openxmlformats.org/officeDocument/2006/relationships/hyperlink" Target="http://insighten.com.au" TargetMode="External"/><Relationship Id="rId288" Type="http://schemas.openxmlformats.org/officeDocument/2006/relationships/hyperlink" Target="https://www.insighten.com.au/media-attribution" TargetMode="External"/><Relationship Id="rId287" Type="http://schemas.openxmlformats.org/officeDocument/2006/relationships/hyperlink" Target="http://jellyfish.com" TargetMode="External"/><Relationship Id="rId282" Type="http://schemas.openxmlformats.org/officeDocument/2006/relationships/hyperlink" Target="https://iconagency.com.au/geo-services-australia" TargetMode="External"/><Relationship Id="rId281" Type="http://schemas.openxmlformats.org/officeDocument/2006/relationships/hyperlink" Target="http://ichelonconsulting.com" TargetMode="External"/><Relationship Id="rId280" Type="http://schemas.openxmlformats.org/officeDocument/2006/relationships/hyperlink" Target="https://ichelonconsulting.com/aeo-agency-australia" TargetMode="External"/><Relationship Id="rId275" Type="http://schemas.openxmlformats.org/officeDocument/2006/relationships/hyperlink" Target="http://google.com" TargetMode="External"/><Relationship Id="rId274" Type="http://schemas.openxmlformats.org/officeDocument/2006/relationships/hyperlink" Target="https://www.google.com/searchviewer/10?svid=CAwSHRIbCgNwdnESFENnMHZaeTh4TVhrME5IUjBNbTAxGAo" TargetMode="External"/><Relationship Id="rId273" Type="http://schemas.openxmlformats.org/officeDocument/2006/relationships/hyperlink" Target="http://google.com" TargetMode="External"/><Relationship Id="rId272" Type="http://schemas.openxmlformats.org/officeDocument/2006/relationships/hyperlink" Target="https://www.google.com/searchviewer/10?svid=CAwSHRIbCgNwdnESFENnMHZaeTh4TVhad2VIQnVPVjgzGAo" TargetMode="External"/><Relationship Id="rId279" Type="http://schemas.openxmlformats.org/officeDocument/2006/relationships/hyperlink" Target="http://iabaustralia.com.au" TargetMode="External"/><Relationship Id="rId278" Type="http://schemas.openxmlformats.org/officeDocument/2006/relationships/hyperlink" Target="https://www.iabaustralia.com.au/wp-content/uploads/2025/09/IAB-Australia-Market-Mix-Modelling-Landscape-December-2025.pdf" TargetMode="External"/><Relationship Id="rId277" Type="http://schemas.openxmlformats.org/officeDocument/2006/relationships/hyperlink" Target="http://honchosearch.com" TargetMode="External"/><Relationship Id="rId276" Type="http://schemas.openxmlformats.org/officeDocument/2006/relationships/hyperlink" Target="https://honchosearch.com/pages/services-paid-media?srsltid=AfmBOorq_y31HueuHmbhKFTurnKIaEM3AceJ85hmK4BBO6GJiNnAwqf0" TargetMode="External"/><Relationship Id="rId228" Type="http://schemas.openxmlformats.org/officeDocument/2006/relationships/hyperlink" Target="https://geooptimisation.com.au/best-geo-agencies-australia-2026/" TargetMode="External"/><Relationship Id="rId227" Type="http://schemas.openxmlformats.org/officeDocument/2006/relationships/hyperlink" Target="http://ftalliance.com.au" TargetMode="External"/><Relationship Id="rId226" Type="http://schemas.openxmlformats.org/officeDocument/2006/relationships/hyperlink" Target="https://www.ftalliance.com.au/data/news_attachments/4.%20australian%20trusted%20trader.pdf" TargetMode="External"/><Relationship Id="rId225" Type="http://schemas.openxmlformats.org/officeDocument/2006/relationships/hyperlink" Target="http://ftalliance.com.au" TargetMode="External"/><Relationship Id="rId229" Type="http://schemas.openxmlformats.org/officeDocument/2006/relationships/hyperlink" Target="http://geooptimisation.com.au" TargetMode="External"/><Relationship Id="rId220" Type="http://schemas.openxmlformats.org/officeDocument/2006/relationships/hyperlink" Target="https://www.facebook.com/sparrogram/" TargetMode="External"/><Relationship Id="rId224" Type="http://schemas.openxmlformats.org/officeDocument/2006/relationships/hyperlink" Target="https://www.ftalliance.com.au/australian-trusted-trader" TargetMode="External"/><Relationship Id="rId223" Type="http://schemas.openxmlformats.org/officeDocument/2006/relationships/hyperlink" Target="http://fixnhour.com" TargetMode="External"/><Relationship Id="rId222" Type="http://schemas.openxmlformats.org/officeDocument/2006/relationships/hyperlink" Target="https://fixnhour.com/companies/social-media-marketing-agencies/australia" TargetMode="External"/><Relationship Id="rId221" Type="http://schemas.openxmlformats.org/officeDocument/2006/relationships/hyperlink" Target="http://facebook.com" TargetMode="External"/><Relationship Id="rId217" Type="http://schemas.openxmlformats.org/officeDocument/2006/relationships/hyperlink" Target="http://estran.io" TargetMode="External"/><Relationship Id="rId216" Type="http://schemas.openxmlformats.org/officeDocument/2006/relationships/hyperlink" Target="https://estran.io/agence-geo" TargetMode="External"/><Relationship Id="rId215" Type="http://schemas.openxmlformats.org/officeDocument/2006/relationships/hyperlink" Target="http://elevionconsulting.com.au" TargetMode="External"/><Relationship Id="rId214" Type="http://schemas.openxmlformats.org/officeDocument/2006/relationships/hyperlink" Target="https://elevionconsulting.com.au/ai-readiness-assessment/" TargetMode="External"/><Relationship Id="rId219" Type="http://schemas.openxmlformats.org/officeDocument/2006/relationships/hyperlink" Target="http://facebook.com" TargetMode="External"/><Relationship Id="rId218" Type="http://schemas.openxmlformats.org/officeDocument/2006/relationships/hyperlink" Target="https://www.facebook.com/metriclabsau/" TargetMode="External"/><Relationship Id="rId213" Type="http://schemas.openxmlformats.org/officeDocument/2006/relationships/hyperlink" Target="http://hubspot.com" TargetMode="External"/><Relationship Id="rId212" Type="http://schemas.openxmlformats.org/officeDocument/2006/relationships/hyperlink" Target="https://ecosystem.hubspot.com/marketplace/solutions/paid-advertising/non-profit/australia" TargetMode="External"/><Relationship Id="rId211" Type="http://schemas.openxmlformats.org/officeDocument/2006/relationships/hyperlink" Target="http://hubspot.com" TargetMode="External"/><Relationship Id="rId210" Type="http://schemas.openxmlformats.org/officeDocument/2006/relationships/hyperlink" Target="https://ecosystem.hubspot.com/marketplace/solutions/paid-advertising/consulting-advisory/australia" TargetMode="External"/><Relationship Id="rId249" Type="http://schemas.openxmlformats.org/officeDocument/2006/relationships/hyperlink" Target="http://google.com" TargetMode="External"/><Relationship Id="rId248" Type="http://schemas.openxmlformats.org/officeDocument/2006/relationships/hyperlink" Target="https://www.google.com/searchviewer/10?svid=CAwSHRIbCgNwdnESFENnMHZaeTh4TVdjMmNHWnphRGgzGAo" TargetMode="External"/><Relationship Id="rId247" Type="http://schemas.openxmlformats.org/officeDocument/2006/relationships/hyperlink" Target="http://google.com" TargetMode="External"/><Relationship Id="rId242" Type="http://schemas.openxmlformats.org/officeDocument/2006/relationships/hyperlink" Target="https://www.google.com/searchviewer/10?svid=CAwSHRIbCgNwdnESFENnMHZaeTh4TVc0eE16UTRYM055GAo" TargetMode="External"/><Relationship Id="rId241" Type="http://schemas.openxmlformats.org/officeDocument/2006/relationships/hyperlink" Target="http://google.com" TargetMode="External"/><Relationship Id="rId240" Type="http://schemas.openxmlformats.org/officeDocument/2006/relationships/hyperlink" Target="https://www.google.com/searchviewer/10?svid=CAwSHBIaCgNwdnESE0Nnd3ZaeTh4YUdZd2Rub3hPRGMYCg" TargetMode="External"/><Relationship Id="rId246" Type="http://schemas.openxmlformats.org/officeDocument/2006/relationships/hyperlink" Target="https://www.google.com/searchviewer/10?svid=CAwSHRIbCgNwdnESFENnMHZaeTh4TVdSNk1ISnJkbkJ1GAo" TargetMode="External"/><Relationship Id="rId245" Type="http://schemas.openxmlformats.org/officeDocument/2006/relationships/hyperlink" Target="http://google.com" TargetMode="External"/><Relationship Id="rId244" Type="http://schemas.openxmlformats.org/officeDocument/2006/relationships/hyperlink" Target="https://www.google.com/searchviewer/10?svid=CAwSHRIbCgNwdnESFENnMHZaeTh4TVdNMmJEbHRaR2R6GAo" TargetMode="External"/><Relationship Id="rId243" Type="http://schemas.openxmlformats.org/officeDocument/2006/relationships/hyperlink" Target="http://google.com" TargetMode="External"/><Relationship Id="rId239" Type="http://schemas.openxmlformats.org/officeDocument/2006/relationships/hyperlink" Target="http://google.com" TargetMode="External"/><Relationship Id="rId238" Type="http://schemas.openxmlformats.org/officeDocument/2006/relationships/hyperlink" Target="https://www.google.com/searchviewer/10?svid=CAwSGxIZCgNwdnESEkNnc3ZaeTh4ZGw5NU9XSXpOZxgK" TargetMode="External"/><Relationship Id="rId237" Type="http://schemas.openxmlformats.org/officeDocument/2006/relationships/hyperlink" Target="http://google.com" TargetMode="External"/><Relationship Id="rId236" Type="http://schemas.openxmlformats.org/officeDocument/2006/relationships/hyperlink" Target="https://www.google.com/searchviewer/10?svid=CAwSGxIZCgNwdnESEkNnc3ZaeTh4ZG10eU1IZzRhZxgK" TargetMode="External"/><Relationship Id="rId231" Type="http://schemas.openxmlformats.org/officeDocument/2006/relationships/hyperlink" Target="http://georankai.com" TargetMode="External"/><Relationship Id="rId230" Type="http://schemas.openxmlformats.org/officeDocument/2006/relationships/hyperlink" Target="https://georankai.com/about/" TargetMode="External"/><Relationship Id="rId235" Type="http://schemas.openxmlformats.org/officeDocument/2006/relationships/hyperlink" Target="http://google.com" TargetMode="External"/><Relationship Id="rId234" Type="http://schemas.openxmlformats.org/officeDocument/2006/relationships/hyperlink" Target="https://www.google.com/searchviewer/10?svid=CAwSGxIZCgNwdnESEkNnc3ZaeTh4ZEdvek5XUm1iQRgK" TargetMode="External"/><Relationship Id="rId233" Type="http://schemas.openxmlformats.org/officeDocument/2006/relationships/hyperlink" Target="http://google.com" TargetMode="External"/><Relationship Id="rId232" Type="http://schemas.openxmlformats.org/officeDocument/2006/relationships/hyperlink" Target="https://www.google.com/searchviewer/10?svid=CAwSGxIZCgNwdnESEkNnc3ZaeTh4ZEdZeWNEQTVNQRgK" TargetMode="External"/><Relationship Id="rId206" Type="http://schemas.openxmlformats.org/officeDocument/2006/relationships/hyperlink" Target="https://www.dailybulletin.com.au/news/technology/96125-best-australian-agencies-for-content-that-ranks-in-ai" TargetMode="External"/><Relationship Id="rId205" Type="http://schemas.openxmlformats.org/officeDocument/2006/relationships/hyperlink" Target="http://creativemode.com.au" TargetMode="External"/><Relationship Id="rId204" Type="http://schemas.openxmlformats.org/officeDocument/2006/relationships/hyperlink" Target="https://www.creativemode.com.au/ai-search-optimisation-brisbane/" TargetMode="External"/><Relationship Id="rId203" Type="http://schemas.openxmlformats.org/officeDocument/2006/relationships/hyperlink" Target="http://couriermail.com.au" TargetMode="External"/><Relationship Id="rId209" Type="http://schemas.openxmlformats.org/officeDocument/2006/relationships/hyperlink" Target="http://douglaspartners.com.au" TargetMode="External"/><Relationship Id="rId208" Type="http://schemas.openxmlformats.org/officeDocument/2006/relationships/hyperlink" Target="https://www.douglaspartners.com.au/expertise/geotechnical/" TargetMode="External"/><Relationship Id="rId207" Type="http://schemas.openxmlformats.org/officeDocument/2006/relationships/hyperlink" Target="http://dailybulletin.com.au" TargetMode="External"/><Relationship Id="rId202" Type="http://schemas.openxmlformats.org/officeDocument/2006/relationships/hyperlink" Target="https://www.couriermail.com.au/news/northern-territory/nt-tourism-appoints-sydney-agency-for-brand-refresh-with-22bn-goal/news-story/464d6fb6a0b0effc95cc5a2dab0e62ed" TargetMode="External"/><Relationship Id="rId201" Type="http://schemas.openxmlformats.org/officeDocument/2006/relationships/hyperlink" Target="http://contentfx.com" TargetMode="External"/><Relationship Id="rId200" Type="http://schemas.openxmlformats.org/officeDocument/2006/relationships/hyperlink" Target="https://www.contentfx.com/what-we-do" TargetMode="External"/><Relationship Id="rId190" Type="http://schemas.openxmlformats.org/officeDocument/2006/relationships/hyperlink" Target="https://brandwolfcreative.com/definitions/top-geo-companies-australia" TargetMode="External"/><Relationship Id="rId194" Type="http://schemas.openxmlformats.org/officeDocument/2006/relationships/hyperlink" Target="https://cloud.google.com/find-a-partner/partner/trakken-web-services" TargetMode="External"/><Relationship Id="rId193" Type="http://schemas.openxmlformats.org/officeDocument/2006/relationships/hyperlink" Target="http://businessage.com" TargetMode="External"/><Relationship Id="rId192" Type="http://schemas.openxmlformats.org/officeDocument/2006/relationships/hyperlink" Target="https://www.businessage.com/post/6-best-ai-native-seo-agencies-in-melbourne-that-optimise-for-geo-and-aeo" TargetMode="External"/><Relationship Id="rId191" Type="http://schemas.openxmlformats.org/officeDocument/2006/relationships/hyperlink" Target="http://brandwolfcreative.com" TargetMode="External"/><Relationship Id="rId187" Type="http://schemas.openxmlformats.org/officeDocument/2006/relationships/hyperlink" Target="http://bandt.com.au" TargetMode="External"/><Relationship Id="rId186" Type="http://schemas.openxmlformats.org/officeDocument/2006/relationships/hyperlink" Target="https://www.bandt.com.au/match-wood-bts-agency-scorecard-2026/" TargetMode="External"/><Relationship Id="rId185" Type="http://schemas.openxmlformats.org/officeDocument/2006/relationships/hyperlink" Target="http://havas.com" TargetMode="External"/><Relationship Id="rId184" Type="http://schemas.openxmlformats.org/officeDocument/2006/relationships/hyperlink" Target="https://aus.havas.com/havas-host/" TargetMode="External"/><Relationship Id="rId189" Type="http://schemas.openxmlformats.org/officeDocument/2006/relationships/hyperlink" Target="http://bbe.io" TargetMode="External"/><Relationship Id="rId188" Type="http://schemas.openxmlformats.org/officeDocument/2006/relationships/hyperlink" Target="https://www.bbe.io/leading-advertising-agency-in-australia" TargetMode="External"/><Relationship Id="rId183" Type="http://schemas.openxmlformats.org/officeDocument/2006/relationships/hyperlink" Target="http://trustpilot.com" TargetMode="External"/><Relationship Id="rId182" Type="http://schemas.openxmlformats.org/officeDocument/2006/relationships/hyperlink" Target="https://au.trustpilot.com/review/megaphone.com.au" TargetMode="External"/><Relationship Id="rId181" Type="http://schemas.openxmlformats.org/officeDocument/2006/relationships/hyperlink" Target="http://linkedin.com" TargetMode="External"/><Relationship Id="rId180" Type="http://schemas.openxmlformats.org/officeDocument/2006/relationships/hyperlink" Target="https://au.linkedin.com/company/ground-control-data" TargetMode="External"/><Relationship Id="rId176" Type="http://schemas.openxmlformats.org/officeDocument/2006/relationships/hyperlink" Target="https://agencies.semrush.com/list/programmatic-advertising/sydney/" TargetMode="External"/><Relationship Id="rId175" Type="http://schemas.openxmlformats.org/officeDocument/2006/relationships/hyperlink" Target="http://semrush.com" TargetMode="External"/><Relationship Id="rId174" Type="http://schemas.openxmlformats.org/officeDocument/2006/relationships/hyperlink" Target="https://agencies.semrush.com/list/display-advertising/canberra/" TargetMode="External"/><Relationship Id="rId173" Type="http://schemas.openxmlformats.org/officeDocument/2006/relationships/hyperlink" Target="http://semrush.com" TargetMode="External"/><Relationship Id="rId179" Type="http://schemas.openxmlformats.org/officeDocument/2006/relationships/hyperlink" Target="http://arrowmedia.com.au" TargetMode="External"/><Relationship Id="rId178" Type="http://schemas.openxmlformats.org/officeDocument/2006/relationships/hyperlink" Target="https://www.arrowmedia.com.au/programmatic-display-advertising/" TargetMode="External"/><Relationship Id="rId177" Type="http://schemas.openxmlformats.org/officeDocument/2006/relationships/hyperlink" Target="http://semrush.com" TargetMode="External"/><Relationship Id="rId198" Type="http://schemas.openxmlformats.org/officeDocument/2006/relationships/hyperlink" Target="https://compliancecouncil.com.au/insights/guide-to-becoming-a-tao/" TargetMode="External"/><Relationship Id="rId197" Type="http://schemas.openxmlformats.org/officeDocument/2006/relationships/hyperlink" Target="http://clutch.co" TargetMode="External"/><Relationship Id="rId196" Type="http://schemas.openxmlformats.org/officeDocument/2006/relationships/hyperlink" Target="https://clutch.co/au/agencies/social-media-marketing/tik-tok/melbourne" TargetMode="External"/><Relationship Id="rId195" Type="http://schemas.openxmlformats.org/officeDocument/2006/relationships/hyperlink" Target="http://google.com" TargetMode="External"/><Relationship Id="rId199" Type="http://schemas.openxmlformats.org/officeDocument/2006/relationships/hyperlink" Target="http://compliancecouncil.com.au" TargetMode="External"/><Relationship Id="rId150" Type="http://schemas.openxmlformats.org/officeDocument/2006/relationships/hyperlink" Target="https://www.louddays.com/programmatic-advertising-agency-guide/" TargetMode="External"/><Relationship Id="rId149" Type="http://schemas.openxmlformats.org/officeDocument/2006/relationships/hyperlink" Target="http://listcorp.com" TargetMode="External"/><Relationship Id="rId148" Type="http://schemas.openxmlformats.org/officeDocument/2006/relationships/hyperlink" Target="https://www.listcorp.com/asx/xpn/xpon-technologies-group-limited/news/divestment-of-google-gmp-and-gcp-business-to-incubeta-3364858.html" TargetMode="External"/><Relationship Id="rId143" Type="http://schemas.openxmlformats.org/officeDocument/2006/relationships/hyperlink" Target="http://impact.com" TargetMode="External"/><Relationship Id="rId142" Type="http://schemas.openxmlformats.org/officeDocument/2006/relationships/hyperlink" Target="https://impact.com/videos/state-of-affiliate-marketing-australia-affa-vid-ed-apj/" TargetMode="External"/><Relationship Id="rId141" Type="http://schemas.openxmlformats.org/officeDocument/2006/relationships/hyperlink" Target="http://google.com" TargetMode="External"/><Relationship Id="rId140" Type="http://schemas.openxmlformats.org/officeDocument/2006/relationships/hyperlink" Target="https://www.google.com/searchviewer/10?svid=CAwSHRIbCgNwdnESFENnMHZaeTh4TVdZMGNXTXpYM3BrGAo" TargetMode="External"/><Relationship Id="rId147" Type="http://schemas.openxmlformats.org/officeDocument/2006/relationships/hyperlink" Target="http://itprofiles.com" TargetMode="External"/><Relationship Id="rId146" Type="http://schemas.openxmlformats.org/officeDocument/2006/relationships/hyperlink" Target="https://itprofiles.com/services/ppc/sydney" TargetMode="External"/><Relationship Id="rId145" Type="http://schemas.openxmlformats.org/officeDocument/2006/relationships/hyperlink" Target="http://intesols.com.au" TargetMode="External"/><Relationship Id="rId144" Type="http://schemas.openxmlformats.org/officeDocument/2006/relationships/hyperlink" Target="https://www.intesols.com.au/services/answer-engine-optimisation/" TargetMode="External"/><Relationship Id="rId139" Type="http://schemas.openxmlformats.org/officeDocument/2006/relationships/hyperlink" Target="http://google.com" TargetMode="External"/><Relationship Id="rId138" Type="http://schemas.openxmlformats.org/officeDocument/2006/relationships/hyperlink" Target="https://www.google.com/partners/agency?id=3839074243" TargetMode="External"/><Relationship Id="rId137" Type="http://schemas.openxmlformats.org/officeDocument/2006/relationships/hyperlink" Target="http://google.com.au" TargetMode="External"/><Relationship Id="rId132" Type="http://schemas.openxmlformats.org/officeDocument/2006/relationships/hyperlink" Target="https://www.gispeople.com.au/locate-gis-companies-in-australia-new-zealand/" TargetMode="External"/><Relationship Id="rId131" Type="http://schemas.openxmlformats.org/officeDocument/2006/relationships/hyperlink" Target="http://getapp.com.au" TargetMode="External"/><Relationship Id="rId130" Type="http://schemas.openxmlformats.org/officeDocument/2006/relationships/hyperlink" Target="https://www.getapp.com.au/directory/1317/marketing-attribution/software?page=5" TargetMode="External"/><Relationship Id="rId136" Type="http://schemas.openxmlformats.org/officeDocument/2006/relationships/hyperlink" Target="https://www.google.com.au/partners/" TargetMode="External"/><Relationship Id="rId135" Type="http://schemas.openxmlformats.org/officeDocument/2006/relationships/hyperlink" Target="http://goodfirms.co" TargetMode="External"/><Relationship Id="rId134" Type="http://schemas.openxmlformats.org/officeDocument/2006/relationships/hyperlink" Target="https://www.goodfirms.co/directory/country/top-digital-marketing-companies/au?sort_by=rating" TargetMode="External"/><Relationship Id="rId133" Type="http://schemas.openxmlformats.org/officeDocument/2006/relationships/hyperlink" Target="http://gispeople.com.au" TargetMode="External"/><Relationship Id="rId172" Type="http://schemas.openxmlformats.org/officeDocument/2006/relationships/hyperlink" Target="https://agencies.semrush.com/list/analytics-data-science/arts-entertainment/australia/" TargetMode="External"/><Relationship Id="rId171" Type="http://schemas.openxmlformats.org/officeDocument/2006/relationships/hyperlink" Target="http://adnews.com.au" TargetMode="External"/><Relationship Id="rId170" Type="http://schemas.openxmlformats.org/officeDocument/2006/relationships/hyperlink" Target="https://www.adnews.com.au/news/hatched-wins-who-gives-a-crap-media-account" TargetMode="External"/><Relationship Id="rId165" Type="http://schemas.openxmlformats.org/officeDocument/2006/relationships/hyperlink" Target="http://abf.gov.au" TargetMode="External"/><Relationship Id="rId164" Type="http://schemas.openxmlformats.org/officeDocument/2006/relationships/hyperlink" Target="https://www.abf.gov.au/about-us/what-we-do/trustedtrader/benefits/mutual-recognition-arrangements" TargetMode="External"/><Relationship Id="rId163" Type="http://schemas.openxmlformats.org/officeDocument/2006/relationships/hyperlink" Target="http://10seos.com" TargetMode="External"/><Relationship Id="rId162" Type="http://schemas.openxmlformats.org/officeDocument/2006/relationships/hyperlink" Target="https://www.10seos.com/au/display-advertising-companies-in-melbourne-australia" TargetMode="External"/><Relationship Id="rId169" Type="http://schemas.openxmlformats.org/officeDocument/2006/relationships/hyperlink" Target="http://adma.com.au" TargetMode="External"/><Relationship Id="rId168" Type="http://schemas.openxmlformats.org/officeDocument/2006/relationships/hyperlink" Target="https://adma.com.au/resources-hub" TargetMode="External"/><Relationship Id="rId167" Type="http://schemas.openxmlformats.org/officeDocument/2006/relationships/hyperlink" Target="http://activfreight.com.au" TargetMode="External"/><Relationship Id="rId166" Type="http://schemas.openxmlformats.org/officeDocument/2006/relationships/hyperlink" Target="https://www.activfreight.com.au/services/customs-tariff-consulting/" TargetMode="External"/><Relationship Id="rId161" Type="http://schemas.openxmlformats.org/officeDocument/2006/relationships/hyperlink" Target="http://10seos.com" TargetMode="External"/><Relationship Id="rId160" Type="http://schemas.openxmlformats.org/officeDocument/2006/relationships/hyperlink" Target="https://www.10seos.com/au/display-advertising-companies-in-australia?page=16" TargetMode="External"/><Relationship Id="rId159" Type="http://schemas.openxmlformats.org/officeDocument/2006/relationships/hyperlink" Target="http://google.com" TargetMode="External"/><Relationship Id="rId154" Type="http://schemas.openxmlformats.org/officeDocument/2006/relationships/hyperlink" Target="https://rocketagency.com.au/services/ppc-agency/display-ads" TargetMode="External"/><Relationship Id="rId153" Type="http://schemas.openxmlformats.org/officeDocument/2006/relationships/hyperlink" Target="http://rightfirms.co" TargetMode="External"/><Relationship Id="rId152" Type="http://schemas.openxmlformats.org/officeDocument/2006/relationships/hyperlink" Target="https://www.rightfirms.co/directory/geo-services/country/australia" TargetMode="External"/><Relationship Id="rId151" Type="http://schemas.openxmlformats.org/officeDocument/2006/relationships/hyperlink" Target="http://louddays.com" TargetMode="External"/><Relationship Id="rId158" Type="http://schemas.openxmlformats.org/officeDocument/2006/relationships/hyperlink" Target="https://support.google.com/tagmanager/answer/7237700?hl=en-AU" TargetMode="External"/><Relationship Id="rId157" Type="http://schemas.openxmlformats.org/officeDocument/2006/relationships/hyperlink" Target="http://sortlist.com" TargetMode="External"/><Relationship Id="rId156" Type="http://schemas.openxmlformats.org/officeDocument/2006/relationships/hyperlink" Target="https://www.sortlist.com/web-analytics/melbourne-au" TargetMode="External"/><Relationship Id="rId155" Type="http://schemas.openxmlformats.org/officeDocument/2006/relationships/hyperlink" Target="http://rocketagency.com.au" TargetMode="External"/><Relationship Id="rId107" Type="http://schemas.openxmlformats.org/officeDocument/2006/relationships/hyperlink" Target="http://itprofiles.com" TargetMode="External"/><Relationship Id="rId106" Type="http://schemas.openxmlformats.org/officeDocument/2006/relationships/hyperlink" Target="https://itprofiles.com/services/media-planning-and-buying/australia" TargetMode="External"/><Relationship Id="rId105" Type="http://schemas.openxmlformats.org/officeDocument/2006/relationships/hyperlink" Target="http://google.com" TargetMode="External"/><Relationship Id="rId104" Type="http://schemas.openxmlformats.org/officeDocument/2006/relationships/hyperlink" Target="https://www.google.com/partners" TargetMode="External"/><Relationship Id="rId109" Type="http://schemas.openxmlformats.org/officeDocument/2006/relationships/hyperlink" Target="http://onpoint.com.au" TargetMode="External"/><Relationship Id="rId108" Type="http://schemas.openxmlformats.org/officeDocument/2006/relationships/hyperlink" Target="https://onpoint.com.au/media-buying-agency-melbourne" TargetMode="External"/><Relationship Id="rId103" Type="http://schemas.openxmlformats.org/officeDocument/2006/relationships/hyperlink" Target="http://goodfirms.co" TargetMode="External"/><Relationship Id="rId102" Type="http://schemas.openxmlformats.org/officeDocument/2006/relationships/hyperlink" Target="https://www.goodfirms.co/directory/country/top-digital-marketing-companies/au?sort_by=matrix" TargetMode="External"/><Relationship Id="rId101" Type="http://schemas.openxmlformats.org/officeDocument/2006/relationships/hyperlink" Target="http://ensun.io" TargetMode="External"/><Relationship Id="rId100" Type="http://schemas.openxmlformats.org/officeDocument/2006/relationships/hyperlink" Target="https://ensun.io/search/geospatial-gis/australia" TargetMode="External"/><Relationship Id="rId129" Type="http://schemas.openxmlformats.org/officeDocument/2006/relationships/hyperlink" Target="http://ensun.io" TargetMode="External"/><Relationship Id="rId128" Type="http://schemas.openxmlformats.org/officeDocument/2006/relationships/hyperlink" Target="https://ensun.io/search/geospatial-data/australia" TargetMode="External"/><Relationship Id="rId127" Type="http://schemas.openxmlformats.org/officeDocument/2006/relationships/hyperlink" Target="http://ensun.io" TargetMode="External"/><Relationship Id="rId126" Type="http://schemas.openxmlformats.org/officeDocument/2006/relationships/hyperlink" Target="https://ensun.io/search/display-advertising/australia" TargetMode="External"/><Relationship Id="rId121" Type="http://schemas.openxmlformats.org/officeDocument/2006/relationships/hyperlink" Target="http://google.com" TargetMode="External"/><Relationship Id="rId120" Type="http://schemas.openxmlformats.org/officeDocument/2006/relationships/hyperlink" Target="https://business.google.com/us/accelerate/announcements/meridian-geox-googles-new-open-source-geo-incrementality-solution/" TargetMode="External"/><Relationship Id="rId125" Type="http://schemas.openxmlformats.org/officeDocument/2006/relationships/hyperlink" Target="http://digitalchamp.com.au" TargetMode="External"/><Relationship Id="rId124" Type="http://schemas.openxmlformats.org/officeDocument/2006/relationships/hyperlink" Target="https://digitalchamp.com.au/platypus-australia/" TargetMode="External"/><Relationship Id="rId123" Type="http://schemas.openxmlformats.org/officeDocument/2006/relationships/hyperlink" Target="http://defence.gov.au" TargetMode="External"/><Relationship Id="rId122" Type="http://schemas.openxmlformats.org/officeDocument/2006/relationships/hyperlink" Target="https://www.defence.gov.au/about/strategic-planning/ago-strategy-2025-2027" TargetMode="External"/><Relationship Id="rId118" Type="http://schemas.openxmlformats.org/officeDocument/2006/relationships/hyperlink" Target="https://www.bluethings.co/blog/top-seo-agencies-australia" TargetMode="External"/><Relationship Id="rId117" Type="http://schemas.openxmlformats.org/officeDocument/2006/relationships/hyperlink" Target="http://semrush.com" TargetMode="External"/><Relationship Id="rId116" Type="http://schemas.openxmlformats.org/officeDocument/2006/relationships/hyperlink" Target="https://agencies.semrush.com/list/analytics-data-science/melbourne/enterprise-business/" TargetMode="External"/><Relationship Id="rId115" Type="http://schemas.openxmlformats.org/officeDocument/2006/relationships/hyperlink" Target="http://aeroleads.com" TargetMode="External"/><Relationship Id="rId119" Type="http://schemas.openxmlformats.org/officeDocument/2006/relationships/hyperlink" Target="http://bluethings.co" TargetMode="External"/><Relationship Id="rId110" Type="http://schemas.openxmlformats.org/officeDocument/2006/relationships/hyperlink" Target="https://pwd.com.au/blog/best-digital-marketing-company-perth/" TargetMode="External"/><Relationship Id="rId114" Type="http://schemas.openxmlformats.org/officeDocument/2006/relationships/hyperlink" Target="https://aeroleads.com/list/top-geospatial-companies-in-australia" TargetMode="External"/><Relationship Id="rId113" Type="http://schemas.openxmlformats.org/officeDocument/2006/relationships/hyperlink" Target="http://titanblue.com.au" TargetMode="External"/><Relationship Id="rId112" Type="http://schemas.openxmlformats.org/officeDocument/2006/relationships/hyperlink" Target="https://titanblue.com.au/ai-search-optimisation-agency/?srsltid=AfmBOooc8qrkvV3f6HsRqxexLRCbojm5HjPSA0Pu7mziX52P3MBgox1-" TargetMode="External"/><Relationship Id="rId111" Type="http://schemas.openxmlformats.org/officeDocument/2006/relationships/hyperlink" Target="http://pwd.com.au" TargetMode="External"/></Relationships>
</file>

<file path=xl/worksheets/_rels/sheet29.xml.rels><?xml version="1.0" encoding="UTF-8" standalone="yes"?><Relationships xmlns="http://schemas.openxmlformats.org/package/2006/relationships"><Relationship Id="rId392" Type="http://schemas.openxmlformats.org/officeDocument/2006/relationships/hyperlink" Target="https://impressive.com.au/paid-media/" TargetMode="External"/><Relationship Id="rId391" Type="http://schemas.openxmlformats.org/officeDocument/2006/relationships/hyperlink" Target="http://hellopeople.com.au" TargetMode="External"/><Relationship Id="rId390" Type="http://schemas.openxmlformats.org/officeDocument/2006/relationships/hyperlink" Target="https://hellopeople.com.au/ai-solutions/ai-strategy-and-readiness" TargetMode="External"/><Relationship Id="rId1" Type="http://schemas.openxmlformats.org/officeDocument/2006/relationships/hyperlink" Target="http://inmarketingwetrust.com.au" TargetMode="External"/><Relationship Id="rId2" Type="http://schemas.openxmlformats.org/officeDocument/2006/relationships/hyperlink" Target="https://www.emotedigital.com.au/digital-marketing-agency-melbourne/google-partner/" TargetMode="External"/><Relationship Id="rId3" Type="http://schemas.openxmlformats.org/officeDocument/2006/relationships/hyperlink" Target="http://emotedigital.com.au" TargetMode="External"/><Relationship Id="rId4" Type="http://schemas.openxmlformats.org/officeDocument/2006/relationships/hyperlink" Target="https://xpon.ai/google-marketing-platform/" TargetMode="External"/><Relationship Id="rId9" Type="http://schemas.openxmlformats.org/officeDocument/2006/relationships/hyperlink" Target="http://resolutiondigital.com.au" TargetMode="External"/><Relationship Id="rId385" Type="http://schemas.openxmlformats.org/officeDocument/2006/relationships/hyperlink" Target="http://grantthornton.com.au" TargetMode="External"/><Relationship Id="rId384" Type="http://schemas.openxmlformats.org/officeDocument/2006/relationships/hyperlink" Target="https://www.grantthornton.com.au/services/tax/international-tax/global-trade-and-customs/" TargetMode="External"/><Relationship Id="rId383" Type="http://schemas.openxmlformats.org/officeDocument/2006/relationships/hyperlink" Target="http://gorilla360.com.au" TargetMode="External"/><Relationship Id="rId382" Type="http://schemas.openxmlformats.org/officeDocument/2006/relationships/hyperlink" Target="https://gorilla360.com.au/google-analytics-agency/" TargetMode="External"/><Relationship Id="rId5" Type="http://schemas.openxmlformats.org/officeDocument/2006/relationships/hyperlink" Target="http://xpon.ai" TargetMode="External"/><Relationship Id="rId389" Type="http://schemas.openxmlformats.org/officeDocument/2006/relationships/hyperlink" Target="http://hedgehogmarketing.com.au" TargetMode="External"/><Relationship Id="rId6" Type="http://schemas.openxmlformats.org/officeDocument/2006/relationships/hyperlink" Target="https://www.resolutiondigital.com.au/services/measurement/" TargetMode="External"/><Relationship Id="rId388" Type="http://schemas.openxmlformats.org/officeDocument/2006/relationships/hyperlink" Target="https://hedgehogmarketing.com.au/ai-marketing" TargetMode="External"/><Relationship Id="rId7" Type="http://schemas.openxmlformats.org/officeDocument/2006/relationships/hyperlink" Target="http://resolutiondigital.com.au" TargetMode="External"/><Relationship Id="rId387" Type="http://schemas.openxmlformats.org/officeDocument/2006/relationships/hyperlink" Target="http://gtechsol.com.au" TargetMode="External"/><Relationship Id="rId8" Type="http://schemas.openxmlformats.org/officeDocument/2006/relationships/hyperlink" Target="https://www.resolutiondigital.com.au/services/cro/google-marketing-platform/" TargetMode="External"/><Relationship Id="rId386" Type="http://schemas.openxmlformats.org/officeDocument/2006/relationships/hyperlink" Target="https://gtechsol.com.au/digital-marketing/marketing-analytics/" TargetMode="External"/><Relationship Id="rId381" Type="http://schemas.openxmlformats.org/officeDocument/2006/relationships/hyperlink" Target="http://gorilla360.com.au" TargetMode="External"/><Relationship Id="rId380" Type="http://schemas.openxmlformats.org/officeDocument/2006/relationships/hyperlink" Target="https://gorilla360.com.au/cro-agency/" TargetMode="External"/><Relationship Id="rId379" Type="http://schemas.openxmlformats.org/officeDocument/2006/relationships/hyperlink" Target="http://geo-logix.com.au" TargetMode="External"/><Relationship Id="rId374" Type="http://schemas.openxmlformats.org/officeDocument/2006/relationships/hyperlink" Target="https://www.forvio.com/product/geo-lift-tests" TargetMode="External"/><Relationship Id="rId373" Type="http://schemas.openxmlformats.org/officeDocument/2006/relationships/hyperlink" Target="http://fisherdigital.com.au" TargetMode="External"/><Relationship Id="rId372" Type="http://schemas.openxmlformats.org/officeDocument/2006/relationships/hyperlink" Target="https://www.fisherdigital.com.au/programmatic-advertising/" TargetMode="External"/><Relationship Id="rId371" Type="http://schemas.openxmlformats.org/officeDocument/2006/relationships/hyperlink" Target="http://firewiredigital.com.au" TargetMode="External"/><Relationship Id="rId378" Type="http://schemas.openxmlformats.org/officeDocument/2006/relationships/hyperlink" Target="https://www.geo-logix.com.au/geotechnical-engineering/" TargetMode="External"/><Relationship Id="rId377" Type="http://schemas.openxmlformats.org/officeDocument/2006/relationships/hyperlink" Target="http://fusepointinsights.com" TargetMode="External"/><Relationship Id="rId376" Type="http://schemas.openxmlformats.org/officeDocument/2006/relationships/hyperlink" Target="https://fusepointinsights.com/our-methodology/" TargetMode="External"/><Relationship Id="rId375" Type="http://schemas.openxmlformats.org/officeDocument/2006/relationships/hyperlink" Target="http://forvio.com" TargetMode="External"/><Relationship Id="rId396" Type="http://schemas.openxmlformats.org/officeDocument/2006/relationships/hyperlink" Target="https://impressive.com.au/seo-services/" TargetMode="External"/><Relationship Id="rId395" Type="http://schemas.openxmlformats.org/officeDocument/2006/relationships/hyperlink" Target="http://impressive.com.au" TargetMode="External"/><Relationship Id="rId394" Type="http://schemas.openxmlformats.org/officeDocument/2006/relationships/hyperlink" Target="https://impressive.com.au/seo-gold-coast/" TargetMode="External"/><Relationship Id="rId393" Type="http://schemas.openxmlformats.org/officeDocument/2006/relationships/hyperlink" Target="http://impressive.com.au" TargetMode="External"/><Relationship Id="rId399" Type="http://schemas.openxmlformats.org/officeDocument/2006/relationships/hyperlink" Target="http://incrmntal.com" TargetMode="External"/><Relationship Id="rId398" Type="http://schemas.openxmlformats.org/officeDocument/2006/relationships/hyperlink" Target="https://www.incrmntal.com/solutions/agencies" TargetMode="External"/><Relationship Id="rId397" Type="http://schemas.openxmlformats.org/officeDocument/2006/relationships/hyperlink" Target="http://impressive.com.au" TargetMode="External"/><Relationship Id="rId40" Type="http://schemas.openxmlformats.org/officeDocument/2006/relationships/hyperlink" Target="https://www.undivided.com.au/services/measurement" TargetMode="External"/><Relationship Id="rId42" Type="http://schemas.openxmlformats.org/officeDocument/2006/relationships/hyperlink" Target="https://3pdigital.com.au/services/analytics" TargetMode="External"/><Relationship Id="rId41" Type="http://schemas.openxmlformats.org/officeDocument/2006/relationships/hyperlink" Target="http://undivided.com.au" TargetMode="External"/><Relationship Id="rId44" Type="http://schemas.openxmlformats.org/officeDocument/2006/relationships/hyperlink" Target="https://horntech.com.au/ai-search-optimization/" TargetMode="External"/><Relationship Id="rId43" Type="http://schemas.openxmlformats.org/officeDocument/2006/relationships/hyperlink" Target="http://3pdigital.com.au" TargetMode="External"/><Relationship Id="rId46" Type="http://schemas.openxmlformats.org/officeDocument/2006/relationships/hyperlink" Target="https://ven.com.au/services/ai-strategy-consulting/" TargetMode="External"/><Relationship Id="rId45" Type="http://schemas.openxmlformats.org/officeDocument/2006/relationships/hyperlink" Target="http://horntech.com.au" TargetMode="External"/><Relationship Id="rId48" Type="http://schemas.openxmlformats.org/officeDocument/2006/relationships/hyperlink" Target="https://clickclickmedia.com.au/ppc-agency/google-ads/" TargetMode="External"/><Relationship Id="rId47" Type="http://schemas.openxmlformats.org/officeDocument/2006/relationships/hyperlink" Target="http://ven.com.au" TargetMode="External"/><Relationship Id="rId49" Type="http://schemas.openxmlformats.org/officeDocument/2006/relationships/hyperlink" Target="http://clickclickmedia.com.au" TargetMode="External"/><Relationship Id="rId31" Type="http://schemas.openxmlformats.org/officeDocument/2006/relationships/hyperlink" Target="http://studiohawk.com.au" TargetMode="External"/><Relationship Id="rId30" Type="http://schemas.openxmlformats.org/officeDocument/2006/relationships/hyperlink" Target="https://studiohawk.com.au/seo-services/ai-seo/" TargetMode="External"/><Relationship Id="rId33" Type="http://schemas.openxmlformats.org/officeDocument/2006/relationships/hyperlink" Target="http://amplifir.com.au" TargetMode="External"/><Relationship Id="rId32" Type="http://schemas.openxmlformats.org/officeDocument/2006/relationships/hyperlink" Target="https://amplifir.com.au/services/data-advanced-analytics/attribution-modelling/" TargetMode="External"/><Relationship Id="rId35" Type="http://schemas.openxmlformats.org/officeDocument/2006/relationships/hyperlink" Target="http://resolutiondigital.com.au" TargetMode="External"/><Relationship Id="rId34" Type="http://schemas.openxmlformats.org/officeDocument/2006/relationships/hyperlink" Target="https://www.resolutiondigital.com.au/services/cro/ab-testing/" TargetMode="External"/><Relationship Id="rId37" Type="http://schemas.openxmlformats.org/officeDocument/2006/relationships/hyperlink" Target="http://resolutiondigital.com.au" TargetMode="External"/><Relationship Id="rId36" Type="http://schemas.openxmlformats.org/officeDocument/2006/relationships/hyperlink" Target="https://www.resolutiondigital.com.au/services/measurement/marketing-mix-modelling/" TargetMode="External"/><Relationship Id="rId39" Type="http://schemas.openxmlformats.org/officeDocument/2006/relationships/hyperlink" Target="http://alleygroup.com.au" TargetMode="External"/><Relationship Id="rId38" Type="http://schemas.openxmlformats.org/officeDocument/2006/relationships/hyperlink" Target="https://alleygroup.com.au/acquisition/ppc-agency/google-partner/" TargetMode="External"/><Relationship Id="rId20" Type="http://schemas.openxmlformats.org/officeDocument/2006/relationships/hyperlink" Target="https://impressive.com.au/performance-marketing-agency-sydney/" TargetMode="External"/><Relationship Id="rId22" Type="http://schemas.openxmlformats.org/officeDocument/2006/relationships/hyperlink" Target="https://noice.net.au/services/ai-strategy-consulting/" TargetMode="External"/><Relationship Id="rId21" Type="http://schemas.openxmlformats.org/officeDocument/2006/relationships/hyperlink" Target="http://impressive.com.au" TargetMode="External"/><Relationship Id="rId24" Type="http://schemas.openxmlformats.org/officeDocument/2006/relationships/hyperlink" Target="https://prosperitymedia.com.au/generative-ai-seo-services/" TargetMode="External"/><Relationship Id="rId23" Type="http://schemas.openxmlformats.org/officeDocument/2006/relationships/hyperlink" Target="http://noice.net.au" TargetMode="External"/><Relationship Id="rId26" Type="http://schemas.openxmlformats.org/officeDocument/2006/relationships/hyperlink" Target="https://www.protiviti.com/au-en/artificial-intelligence-services" TargetMode="External"/><Relationship Id="rId25" Type="http://schemas.openxmlformats.org/officeDocument/2006/relationships/hyperlink" Target="http://prosperitymedia.com.au" TargetMode="External"/><Relationship Id="rId28" Type="http://schemas.openxmlformats.org/officeDocument/2006/relationships/hyperlink" Target="https://www.resolutiondigital.com.au/services/measurement/reporting/" TargetMode="External"/><Relationship Id="rId27" Type="http://schemas.openxmlformats.org/officeDocument/2006/relationships/hyperlink" Target="http://protiviti.com" TargetMode="External"/><Relationship Id="rId29" Type="http://schemas.openxmlformats.org/officeDocument/2006/relationships/hyperlink" Target="http://resolutiondigital.com.au" TargetMode="External"/><Relationship Id="rId11" Type="http://schemas.openxmlformats.org/officeDocument/2006/relationships/hyperlink" Target="http://brandburp.com" TargetMode="External"/><Relationship Id="rId10" Type="http://schemas.openxmlformats.org/officeDocument/2006/relationships/hyperlink" Target="https://blog.brandburp.com/choose-the-right-display-ad-agency-in-australia/" TargetMode="External"/><Relationship Id="rId13" Type="http://schemas.openxmlformats.org/officeDocument/2006/relationships/hyperlink" Target="http://clickclickmedia.com.au" TargetMode="External"/><Relationship Id="rId12" Type="http://schemas.openxmlformats.org/officeDocument/2006/relationships/hyperlink" Target="https://clickclickmedia.com.au/ppc-agency/display-ads/" TargetMode="External"/><Relationship Id="rId15" Type="http://schemas.openxmlformats.org/officeDocument/2006/relationships/hyperlink" Target="http://resolutiondigital.com.au" TargetMode="External"/><Relationship Id="rId14" Type="http://schemas.openxmlformats.org/officeDocument/2006/relationships/hyperlink" Target="https://www.resolutiondigital.com.au/services/measurement/attribution/" TargetMode="External"/><Relationship Id="rId17" Type="http://schemas.openxmlformats.org/officeDocument/2006/relationships/hyperlink" Target="http://team400.ai" TargetMode="External"/><Relationship Id="rId16" Type="http://schemas.openxmlformats.org/officeDocument/2006/relationships/hyperlink" Target="https://team400.ai/ai-consulting-company" TargetMode="External"/><Relationship Id="rId19" Type="http://schemas.openxmlformats.org/officeDocument/2006/relationships/hyperlink" Target="http://rocketagency.com.au" TargetMode="External"/><Relationship Id="rId18" Type="http://schemas.openxmlformats.org/officeDocument/2006/relationships/hyperlink" Target="https://rocketagency.com.au/services/social-media-ads-agency" TargetMode="External"/><Relationship Id="rId84" Type="http://schemas.openxmlformats.org/officeDocument/2006/relationships/hyperlink" Target="https://www.resolutiondigital.com.au/services/measurement/analytics/" TargetMode="External"/><Relationship Id="rId83" Type="http://schemas.openxmlformats.org/officeDocument/2006/relationships/hyperlink" Target="http://pivotus.com.au" TargetMode="External"/><Relationship Id="rId86" Type="http://schemas.openxmlformats.org/officeDocument/2006/relationships/hyperlink" Target="https://trpagency.com.au/campaign-measurement-agency-australia/" TargetMode="External"/><Relationship Id="rId85" Type="http://schemas.openxmlformats.org/officeDocument/2006/relationships/hyperlink" Target="http://resolutiondigital.com.au" TargetMode="External"/><Relationship Id="rId88" Type="http://schemas.openxmlformats.org/officeDocument/2006/relationships/hyperlink" Target="https://gorilla360.com.au/google-ads/sydney/" TargetMode="External"/><Relationship Id="rId87" Type="http://schemas.openxmlformats.org/officeDocument/2006/relationships/hyperlink" Target="http://trpagency.com.au" TargetMode="External"/><Relationship Id="rId89" Type="http://schemas.openxmlformats.org/officeDocument/2006/relationships/hyperlink" Target="http://gorilla360.com.au" TargetMode="External"/><Relationship Id="rId80" Type="http://schemas.openxmlformats.org/officeDocument/2006/relationships/hyperlink" Target="https://myohomarketing.com.au/generative-engine-optimisation/" TargetMode="External"/><Relationship Id="rId82" Type="http://schemas.openxmlformats.org/officeDocument/2006/relationships/hyperlink" Target="https://pivotus.com.au/marketingintelligence/" TargetMode="External"/><Relationship Id="rId81" Type="http://schemas.openxmlformats.org/officeDocument/2006/relationships/hyperlink" Target="http://myohomarketing.com.au" TargetMode="External"/><Relationship Id="rId73" Type="http://schemas.openxmlformats.org/officeDocument/2006/relationships/hyperlink" Target="http://clearwateragency.com.au" TargetMode="External"/><Relationship Id="rId72" Type="http://schemas.openxmlformats.org/officeDocument/2006/relationships/hyperlink" Target="https://clearwateragency.com.au/ai-seo-agency" TargetMode="External"/><Relationship Id="rId75" Type="http://schemas.openxmlformats.org/officeDocument/2006/relationships/hyperlink" Target="http://epicit.com.au" TargetMode="External"/><Relationship Id="rId74" Type="http://schemas.openxmlformats.org/officeDocument/2006/relationships/hyperlink" Target="https://www.epicit.com.au/our-services/ai-services/ai-assessment/" TargetMode="External"/><Relationship Id="rId77" Type="http://schemas.openxmlformats.org/officeDocument/2006/relationships/hyperlink" Target="http://marketingeye.com.au" TargetMode="External"/><Relationship Id="rId76" Type="http://schemas.openxmlformats.org/officeDocument/2006/relationships/hyperlink" Target="https://www.marketingeye.com.au/ai-marketing-consultant-services.html" TargetMode="External"/><Relationship Id="rId79" Type="http://schemas.openxmlformats.org/officeDocument/2006/relationships/hyperlink" Target="http://marketingsystems.com.au" TargetMode="External"/><Relationship Id="rId78" Type="http://schemas.openxmlformats.org/officeDocument/2006/relationships/hyperlink" Target="https://www.marketingsystems.com.au/services/measurement-agency" TargetMode="External"/><Relationship Id="rId71" Type="http://schemas.openxmlformats.org/officeDocument/2006/relationships/hyperlink" Target="http://bonfire.com.au" TargetMode="External"/><Relationship Id="rId70" Type="http://schemas.openxmlformats.org/officeDocument/2006/relationships/hyperlink" Target="https://www.bonfire.com.au/services/performance-media/google-ads/" TargetMode="External"/><Relationship Id="rId62" Type="http://schemas.openxmlformats.org/officeDocument/2006/relationships/hyperlink" Target="http://melottimedia.com.au" TargetMode="External"/><Relationship Id="rId61" Type="http://schemas.openxmlformats.org/officeDocument/2006/relationships/hyperlink" Target="https://www.melottimedia.com.au/ai-marketing-services/ai-search-optimisation/" TargetMode="External"/><Relationship Id="rId64" Type="http://schemas.openxmlformats.org/officeDocument/2006/relationships/hyperlink" Target="http://rocketagency.com.au" TargetMode="External"/><Relationship Id="rId63" Type="http://schemas.openxmlformats.org/officeDocument/2006/relationships/hyperlink" Target="https://rocketagency.com.au/services/seo-agency/generative-ai-seo" TargetMode="External"/><Relationship Id="rId66" Type="http://schemas.openxmlformats.org/officeDocument/2006/relationships/hyperlink" Target="http://rocketagency.com.au" TargetMode="External"/><Relationship Id="rId65" Type="http://schemas.openxmlformats.org/officeDocument/2006/relationships/hyperlink" Target="https://rocketagency.com.au/services/seo-agency/geo" TargetMode="External"/><Relationship Id="rId68" Type="http://schemas.openxmlformats.org/officeDocument/2006/relationships/hyperlink" Target="http://source-digital.com.au" TargetMode="External"/><Relationship Id="rId67" Type="http://schemas.openxmlformats.org/officeDocument/2006/relationships/hyperlink" Target="https://source-digital.com.au/aeo-australia" TargetMode="External"/><Relationship Id="rId60" Type="http://schemas.openxmlformats.org/officeDocument/2006/relationships/hyperlink" Target="http://liftlab.com" TargetMode="External"/><Relationship Id="rId69" Type="http://schemas.openxmlformats.org/officeDocument/2006/relationships/hyperlink" Target="https://submerge.digital/measurement/marketing-attribution-agency/" TargetMode="External"/><Relationship Id="rId51" Type="http://schemas.openxmlformats.org/officeDocument/2006/relationships/hyperlink" Target="http://impressive.com.au" TargetMode="External"/><Relationship Id="rId50" Type="http://schemas.openxmlformats.org/officeDocument/2006/relationships/hyperlink" Target="https://impressive.com.au/performance-marketing-agency-melbourne/" TargetMode="External"/><Relationship Id="rId53" Type="http://schemas.openxmlformats.org/officeDocument/2006/relationships/hyperlink" Target="http://onlinemarketinggurus.com.au" TargetMode="External"/><Relationship Id="rId52" Type="http://schemas.openxmlformats.org/officeDocument/2006/relationships/hyperlink" Target="https://www.onlinemarketinggurus.com.au/social-media-advertising/" TargetMode="External"/><Relationship Id="rId55" Type="http://schemas.openxmlformats.org/officeDocument/2006/relationships/hyperlink" Target="https://thinkcreativeagency.com.au/digital-marketing/marketing-analytics-agency/" TargetMode="External"/><Relationship Id="rId54" Type="http://schemas.openxmlformats.org/officeDocument/2006/relationships/hyperlink" Target="https://somo.agency/au/paid-social/" TargetMode="External"/><Relationship Id="rId57" Type="http://schemas.openxmlformats.org/officeDocument/2006/relationships/hyperlink" Target="https://getaiready.com.au/solutions" TargetMode="External"/><Relationship Id="rId56" Type="http://schemas.openxmlformats.org/officeDocument/2006/relationships/hyperlink" Target="http://thinkcreativeagency.com.au" TargetMode="External"/><Relationship Id="rId59" Type="http://schemas.openxmlformats.org/officeDocument/2006/relationships/hyperlink" Target="https://liftlab.com/platform/incrementality-testing-engine/" TargetMode="External"/><Relationship Id="rId58" Type="http://schemas.openxmlformats.org/officeDocument/2006/relationships/hyperlink" Target="http://getaiready.com.au" TargetMode="External"/><Relationship Id="rId349" Type="http://schemas.openxmlformats.org/officeDocument/2006/relationships/hyperlink" Target="http://digitxl.com.au" TargetMode="External"/><Relationship Id="rId348" Type="http://schemas.openxmlformats.org/officeDocument/2006/relationships/hyperlink" Target="https://www.digitxl.com.au/seo-melbourne/" TargetMode="External"/><Relationship Id="rId347" Type="http://schemas.openxmlformats.org/officeDocument/2006/relationships/hyperlink" Target="http://digitxl.com.au" TargetMode="External"/><Relationship Id="rId346" Type="http://schemas.openxmlformats.org/officeDocument/2006/relationships/hyperlink" Target="https://www.digitxl.com.au/google-marketing-consultant/" TargetMode="External"/><Relationship Id="rId341" Type="http://schemas.openxmlformats.org/officeDocument/2006/relationships/hyperlink" Target="http://digitaldeluxe.com.au" TargetMode="External"/><Relationship Id="rId340" Type="http://schemas.openxmlformats.org/officeDocument/2006/relationships/hyperlink" Target="https://digitaldeluxe.com.au/paid-social-advertising/" TargetMode="External"/><Relationship Id="rId345" Type="http://schemas.openxmlformats.org/officeDocument/2006/relationships/hyperlink" Target="http://digitxl.com.au" TargetMode="External"/><Relationship Id="rId344" Type="http://schemas.openxmlformats.org/officeDocument/2006/relationships/hyperlink" Target="https://www.digitxl.com.au/conversion-rate-optimisation-brisbane/" TargetMode="External"/><Relationship Id="rId343" Type="http://schemas.openxmlformats.org/officeDocument/2006/relationships/hyperlink" Target="http://digitxl.com.au" TargetMode="External"/><Relationship Id="rId342" Type="http://schemas.openxmlformats.org/officeDocument/2006/relationships/hyperlink" Target="https://www.digitxl.com.au/analytics-agency/" TargetMode="External"/><Relationship Id="rId338" Type="http://schemas.openxmlformats.org/officeDocument/2006/relationships/hyperlink" Target="https://digitalchoice.com.au/programmatic-ads/" TargetMode="External"/><Relationship Id="rId337" Type="http://schemas.openxmlformats.org/officeDocument/2006/relationships/hyperlink" Target="http://deptagency.com" TargetMode="External"/><Relationship Id="rId336" Type="http://schemas.openxmlformats.org/officeDocument/2006/relationships/hyperlink" Target="https://www.deptagency.com/en-au/partner/google-marketing-platform/" TargetMode="External"/><Relationship Id="rId335" Type="http://schemas.openxmlformats.org/officeDocument/2006/relationships/hyperlink" Target="http://contevo.com.au" TargetMode="External"/><Relationship Id="rId339" Type="http://schemas.openxmlformats.org/officeDocument/2006/relationships/hyperlink" Target="http://digitalchoice.com.au" TargetMode="External"/><Relationship Id="rId330" Type="http://schemas.openxmlformats.org/officeDocument/2006/relationships/hyperlink" Target="https://www.clickedon.co/services/performance-marketing/google-ads" TargetMode="External"/><Relationship Id="rId334" Type="http://schemas.openxmlformats.org/officeDocument/2006/relationships/hyperlink" Target="https://contevo.com.au/programmatic-advertising/" TargetMode="External"/><Relationship Id="rId333" Type="http://schemas.openxmlformats.org/officeDocument/2006/relationships/hyperlink" Target="http://contevo.com.au" TargetMode="External"/><Relationship Id="rId332" Type="http://schemas.openxmlformats.org/officeDocument/2006/relationships/hyperlink" Target="https://contevo.com.au/data-analytics/" TargetMode="External"/><Relationship Id="rId331" Type="http://schemas.openxmlformats.org/officeDocument/2006/relationships/hyperlink" Target="http://clickedon.co" TargetMode="External"/><Relationship Id="rId370" Type="http://schemas.openxmlformats.org/officeDocument/2006/relationships/hyperlink" Target="https://firewiredigital.com.au/geo-agency/" TargetMode="External"/><Relationship Id="rId369" Type="http://schemas.openxmlformats.org/officeDocument/2006/relationships/hyperlink" Target="http://fastdatascience.com" TargetMode="External"/><Relationship Id="rId368" Type="http://schemas.openxmlformats.org/officeDocument/2006/relationships/hyperlink" Target="https://fastdatascience.com/data-science-consulting/predictive-analytics-consulting/" TargetMode="External"/><Relationship Id="rId363" Type="http://schemas.openxmlformats.org/officeDocument/2006/relationships/hyperlink" Target="http://edgeangel.co" TargetMode="External"/><Relationship Id="rId362" Type="http://schemas.openxmlformats.org/officeDocument/2006/relationships/hyperlink" Target="https://edgeangel.co/en/marketing-activation/advanced-media-measurement" TargetMode="External"/><Relationship Id="rId361" Type="http://schemas.openxmlformats.org/officeDocument/2006/relationships/hyperlink" Target="http://ebiquity.com" TargetMode="External"/><Relationship Id="rId360" Type="http://schemas.openxmlformats.org/officeDocument/2006/relationships/hyperlink" Target="https://ebiquity.com/solutions/grow/testmatch/" TargetMode="External"/><Relationship Id="rId367" Type="http://schemas.openxmlformats.org/officeDocument/2006/relationships/hyperlink" Target="http://eykdata.com" TargetMode="External"/><Relationship Id="rId366" Type="http://schemas.openxmlformats.org/officeDocument/2006/relationships/hyperlink" Target="https://www.eykdata.com/eyk-data-incrementality" TargetMode="External"/><Relationship Id="rId365" Type="http://schemas.openxmlformats.org/officeDocument/2006/relationships/hyperlink" Target="http://edgeangel.co" TargetMode="External"/><Relationship Id="rId364" Type="http://schemas.openxmlformats.org/officeDocument/2006/relationships/hyperlink" Target="https://edgeangel.co/marketing-activation/advanced-media-measurement" TargetMode="External"/><Relationship Id="rId95" Type="http://schemas.openxmlformats.org/officeDocument/2006/relationships/hyperlink" Target="http://multimediax.com.au" TargetMode="External"/><Relationship Id="rId94" Type="http://schemas.openxmlformats.org/officeDocument/2006/relationships/hyperlink" Target="https://www.multimediax.com.au/google-ads-agency/" TargetMode="External"/><Relationship Id="rId97" Type="http://schemas.openxmlformats.org/officeDocument/2006/relationships/hyperlink" Target="http://nuundigital.com" TargetMode="External"/><Relationship Id="rId96" Type="http://schemas.openxmlformats.org/officeDocument/2006/relationships/hyperlink" Target="https://www.nuundigital.com/services/data-analytics/marketing-analytics-attribution" TargetMode="External"/><Relationship Id="rId99" Type="http://schemas.openxmlformats.org/officeDocument/2006/relationships/hyperlink" Target="http://rocketagency.com.au" TargetMode="External"/><Relationship Id="rId98" Type="http://schemas.openxmlformats.org/officeDocument/2006/relationships/hyperlink" Target="https://rocketagency.com.au/services/google-ads-agency" TargetMode="External"/><Relationship Id="rId91" Type="http://schemas.openxmlformats.org/officeDocument/2006/relationships/hyperlink" Target="http://impressive.com.au" TargetMode="External"/><Relationship Id="rId90" Type="http://schemas.openxmlformats.org/officeDocument/2006/relationships/hyperlink" Target="https://impressive.com.au/social-media-marketing/" TargetMode="External"/><Relationship Id="rId93" Type="http://schemas.openxmlformats.org/officeDocument/2006/relationships/hyperlink" Target="http://marketixdigital.com.au" TargetMode="External"/><Relationship Id="rId92" Type="http://schemas.openxmlformats.org/officeDocument/2006/relationships/hyperlink" Target="https://marketixdigital.com.au/ai-seo-agency/" TargetMode="External"/><Relationship Id="rId359" Type="http://schemas.openxmlformats.org/officeDocument/2006/relationships/hyperlink" Target="http://earnedmedia.com.au" TargetMode="External"/><Relationship Id="rId358" Type="http://schemas.openxmlformats.org/officeDocument/2006/relationships/hyperlink" Target="https://www.earnedmedia.com.au/services/ai-seo-agency" TargetMode="External"/><Relationship Id="rId357" Type="http://schemas.openxmlformats.org/officeDocument/2006/relationships/hyperlink" Target="http://drakecontent.com.au" TargetMode="External"/><Relationship Id="rId352" Type="http://schemas.openxmlformats.org/officeDocument/2006/relationships/hyperlink" Target="https://www.dilate.com.au/geo-services/" TargetMode="External"/><Relationship Id="rId351" Type="http://schemas.openxmlformats.org/officeDocument/2006/relationships/hyperlink" Target="http://dilate.com.au" TargetMode="External"/><Relationship Id="rId350" Type="http://schemas.openxmlformats.org/officeDocument/2006/relationships/hyperlink" Target="https://www.dilate.com.au/banner-advertising/" TargetMode="External"/><Relationship Id="rId356" Type="http://schemas.openxmlformats.org/officeDocument/2006/relationships/hyperlink" Target="https://www.drakecontent.com.au/services/instagram-ads" TargetMode="External"/><Relationship Id="rId355" Type="http://schemas.openxmlformats.org/officeDocument/2006/relationships/hyperlink" Target="http://dnmdigital.com.au" TargetMode="External"/><Relationship Id="rId354" Type="http://schemas.openxmlformats.org/officeDocument/2006/relationships/hyperlink" Target="https://dnmdigital.com.au/ppc-agency/display-ads/" TargetMode="External"/><Relationship Id="rId353" Type="http://schemas.openxmlformats.org/officeDocument/2006/relationships/hyperlink" Target="http://dilate.com.au" TargetMode="External"/><Relationship Id="rId305" Type="http://schemas.openxmlformats.org/officeDocument/2006/relationships/hyperlink" Target="http://archservices.com.au" TargetMode="External"/><Relationship Id="rId304" Type="http://schemas.openxmlformats.org/officeDocument/2006/relationships/hyperlink" Target="https://www.archservices.com.au/sesa-2/authorised-engineering-organisation-aeo" TargetMode="External"/><Relationship Id="rId303" Type="http://schemas.openxmlformats.org/officeDocument/2006/relationships/hyperlink" Target="http://aperitifagency.com.au" TargetMode="External"/><Relationship Id="rId302" Type="http://schemas.openxmlformats.org/officeDocument/2006/relationships/hyperlink" Target="https://aperitifagency.com.au/paid-social/" TargetMode="External"/><Relationship Id="rId309" Type="http://schemas.openxmlformats.org/officeDocument/2006/relationships/hyperlink" Target="http://aussiemarketing.com.au" TargetMode="External"/><Relationship Id="rId308" Type="http://schemas.openxmlformats.org/officeDocument/2006/relationships/hyperlink" Target="https://aussiemarketing.com.au/performance-marketing-services/" TargetMode="External"/><Relationship Id="rId307" Type="http://schemas.openxmlformats.org/officeDocument/2006/relationships/hyperlink" Target="http://ausindigenousai.com.au" TargetMode="External"/><Relationship Id="rId306" Type="http://schemas.openxmlformats.org/officeDocument/2006/relationships/hyperlink" Target="https://ausindigenousai.com.au/ai-consulting/" TargetMode="External"/><Relationship Id="rId301" Type="http://schemas.openxmlformats.org/officeDocument/2006/relationships/hyperlink" Target="http://archetype.co" TargetMode="External"/><Relationship Id="rId300" Type="http://schemas.openxmlformats.org/officeDocument/2006/relationships/hyperlink" Target="https://apac.archetype.co/en-au/ai-chatgpt-consultancy-australia" TargetMode="External"/><Relationship Id="rId327" Type="http://schemas.openxmlformats.org/officeDocument/2006/relationships/hyperlink" Target="http://clickclickmedia.com.au" TargetMode="External"/><Relationship Id="rId326" Type="http://schemas.openxmlformats.org/officeDocument/2006/relationships/hyperlink" Target="https://clickclickmedia.com.au/paid-social-agency/meta-ads/" TargetMode="External"/><Relationship Id="rId325" Type="http://schemas.openxmlformats.org/officeDocument/2006/relationships/hyperlink" Target="http://cjco.com.au" TargetMode="External"/><Relationship Id="rId324" Type="http://schemas.openxmlformats.org/officeDocument/2006/relationships/hyperlink" Target="https://www.cjco.com.au/display-advertising-agency/" TargetMode="External"/><Relationship Id="rId329" Type="http://schemas.openxmlformats.org/officeDocument/2006/relationships/hyperlink" Target="http://clickclickmedia.com.au" TargetMode="External"/><Relationship Id="rId328" Type="http://schemas.openxmlformats.org/officeDocument/2006/relationships/hyperlink" Target="https://clickclickmedia.com.au/ppc-agency/programmatic-ads/" TargetMode="External"/><Relationship Id="rId323" Type="http://schemas.openxmlformats.org/officeDocument/2006/relationships/hyperlink" Target="http://circana.com" TargetMode="External"/><Relationship Id="rId322" Type="http://schemas.openxmlformats.org/officeDocument/2006/relationships/hyperlink" Target="https://www.circana.com/liquid-testing" TargetMode="External"/><Relationship Id="rId321" Type="http://schemas.openxmlformats.org/officeDocument/2006/relationships/hyperlink" Target="http://bytetracks.com.au" TargetMode="External"/><Relationship Id="rId320" Type="http://schemas.openxmlformats.org/officeDocument/2006/relationships/hyperlink" Target="https://bytetracks.com.au/media-mix-modeling" TargetMode="External"/><Relationship Id="rId316" Type="http://schemas.openxmlformats.org/officeDocument/2006/relationships/hyperlink" Target="https://www.bonfire.com.au/services/marketing-strategy/" TargetMode="External"/><Relationship Id="rId315" Type="http://schemas.openxmlformats.org/officeDocument/2006/relationships/hyperlink" Target="http://bluesensedigital.com.au" TargetMode="External"/><Relationship Id="rId314" Type="http://schemas.openxmlformats.org/officeDocument/2006/relationships/hyperlink" Target="https://www.bluesensedigital.com.au/capabilities" TargetMode="External"/><Relationship Id="rId313" Type="http://schemas.openxmlformats.org/officeDocument/2006/relationships/hyperlink" Target="http://bizwisdom.com.au" TargetMode="External"/><Relationship Id="rId319" Type="http://schemas.openxmlformats.org/officeDocument/2006/relationships/hyperlink" Target="http://bonfire.com.au" TargetMode="External"/><Relationship Id="rId318" Type="http://schemas.openxmlformats.org/officeDocument/2006/relationships/hyperlink" Target="https://www.bonfire.com.au/services/performance-media/" TargetMode="External"/><Relationship Id="rId317" Type="http://schemas.openxmlformats.org/officeDocument/2006/relationships/hyperlink" Target="http://bonfire.com.au" TargetMode="External"/><Relationship Id="rId312" Type="http://schemas.openxmlformats.org/officeDocument/2006/relationships/hyperlink" Target="https://www.bizwisdom.com.au/services/display-advertising/" TargetMode="External"/><Relationship Id="rId311" Type="http://schemas.openxmlformats.org/officeDocument/2006/relationships/hyperlink" Target="http://benchmedia.com" TargetMode="External"/><Relationship Id="rId310" Type="http://schemas.openxmlformats.org/officeDocument/2006/relationships/hyperlink" Target="https://benchmedia.com/paid-media/display-advertising/" TargetMode="External"/><Relationship Id="rId297" Type="http://schemas.openxmlformats.org/officeDocument/2006/relationships/hyperlink" Target="http://allgeo.com.au" TargetMode="External"/><Relationship Id="rId296" Type="http://schemas.openxmlformats.org/officeDocument/2006/relationships/hyperlink" Target="https://allgeo.com.au/geotechnical/" TargetMode="External"/><Relationship Id="rId295" Type="http://schemas.openxmlformats.org/officeDocument/2006/relationships/hyperlink" Target="http://alleygroup.com.au" TargetMode="External"/><Relationship Id="rId294" Type="http://schemas.openxmlformats.org/officeDocument/2006/relationships/hyperlink" Target="https://alleygroup.com.au/strategy/performance/" TargetMode="External"/><Relationship Id="rId299" Type="http://schemas.openxmlformats.org/officeDocument/2006/relationships/hyperlink" Target="http://alyka.com.au" TargetMode="External"/><Relationship Id="rId298" Type="http://schemas.openxmlformats.org/officeDocument/2006/relationships/hyperlink" Target="https://www.alyka.com.au/our-services/digital-marketing/programmatic-ads" TargetMode="External"/><Relationship Id="rId271" Type="http://schemas.openxmlformats.org/officeDocument/2006/relationships/hyperlink" Target="http://theaustralian.com.au" TargetMode="External"/><Relationship Id="rId270" Type="http://schemas.openxmlformats.org/officeDocument/2006/relationships/hyperlink" Target="https://www.theaustralian.com.au/business/growth-agenda/a-special-decade-as-independent-creative-agency-celebrates-milestone/news-story/3ff6c415d05d580c07433ced667fdd66" TargetMode="External"/><Relationship Id="rId269" Type="http://schemas.openxmlformats.org/officeDocument/2006/relationships/hyperlink" Target="http://stantec.com" TargetMode="External"/><Relationship Id="rId264" Type="http://schemas.openxmlformats.org/officeDocument/2006/relationships/hyperlink" Target="https://sensedatalab.com.au/google-analytics-4-consulting.html" TargetMode="External"/><Relationship Id="rId263" Type="http://schemas.openxmlformats.org/officeDocument/2006/relationships/hyperlink" Target="http://searchministry.au" TargetMode="External"/><Relationship Id="rId262" Type="http://schemas.openxmlformats.org/officeDocument/2006/relationships/hyperlink" Target="https://searchministry.au/seo-service/ai-seo" TargetMode="External"/><Relationship Id="rId261" Type="http://schemas.openxmlformats.org/officeDocument/2006/relationships/hyperlink" Target="http://safaridigital.com.au" TargetMode="External"/><Relationship Id="rId268" Type="http://schemas.openxmlformats.org/officeDocument/2006/relationships/hyperlink" Target="https://www.stantec.com/au/services/geospatial" TargetMode="External"/><Relationship Id="rId267" Type="http://schemas.openxmlformats.org/officeDocument/2006/relationships/hyperlink" Target="http://sparro.com.au" TargetMode="External"/><Relationship Id="rId266" Type="http://schemas.openxmlformats.org/officeDocument/2006/relationships/hyperlink" Target="https://sparro.com.au/digital-marketing/" TargetMode="External"/><Relationship Id="rId265" Type="http://schemas.openxmlformats.org/officeDocument/2006/relationships/hyperlink" Target="http://sensedatalab.com.au" TargetMode="External"/><Relationship Id="rId260" Type="http://schemas.openxmlformats.org/officeDocument/2006/relationships/hyperlink" Target="https://www.safaridigital.com.au/seo-services/" TargetMode="External"/><Relationship Id="rId259" Type="http://schemas.openxmlformats.org/officeDocument/2006/relationships/hyperlink" Target="http://roi.com.au" TargetMode="External"/><Relationship Id="rId258" Type="http://schemas.openxmlformats.org/officeDocument/2006/relationships/hyperlink" Target="https://roi.com.au/know-how/ai-seo-geo-answer-engine-optimisation/what-are-the-best-geo-tools-for-australian-businesses" TargetMode="External"/><Relationship Id="rId253" Type="http://schemas.openxmlformats.org/officeDocument/2006/relationships/hyperlink" Target="http://nelsononeill.com.au" TargetMode="External"/><Relationship Id="rId252" Type="http://schemas.openxmlformats.org/officeDocument/2006/relationships/hyperlink" Target="https://www.nelsononeill.com.au/data-tracking-and-reporting/" TargetMode="External"/><Relationship Id="rId251" Type="http://schemas.openxmlformats.org/officeDocument/2006/relationships/hyperlink" Target="http://melottimedia.com.au" TargetMode="External"/><Relationship Id="rId250" Type="http://schemas.openxmlformats.org/officeDocument/2006/relationships/hyperlink" Target="https://www.melottimedia.com.au/ai-marketing-services/localised-ai-search-optimisation/" TargetMode="External"/><Relationship Id="rId257" Type="http://schemas.openxmlformats.org/officeDocument/2006/relationships/hyperlink" Target="http://qagency.com.au" TargetMode="External"/><Relationship Id="rId256" Type="http://schemas.openxmlformats.org/officeDocument/2006/relationships/hyperlink" Target="https://www.qagency.com.au/ai-consultation" TargetMode="External"/><Relationship Id="rId255" Type="http://schemas.openxmlformats.org/officeDocument/2006/relationships/hyperlink" Target="http://opinosis-analytics.com" TargetMode="External"/><Relationship Id="rId254" Type="http://schemas.openxmlformats.org/officeDocument/2006/relationships/hyperlink" Target="https://www.opinosis-analytics.com/ai-consulting-in-australia/" TargetMode="External"/><Relationship Id="rId293" Type="http://schemas.openxmlformats.org/officeDocument/2006/relationships/hyperlink" Target="http://alleygroup.com.au" TargetMode="External"/><Relationship Id="rId292" Type="http://schemas.openxmlformats.org/officeDocument/2006/relationships/hyperlink" Target="https://alleygroup.com.au/contact/melbourne/" TargetMode="External"/><Relationship Id="rId291" Type="http://schemas.openxmlformats.org/officeDocument/2006/relationships/hyperlink" Target="http://aipivot.com.au" TargetMode="External"/><Relationship Id="rId290" Type="http://schemas.openxmlformats.org/officeDocument/2006/relationships/hyperlink" Target="https://aipivot.com.au/geo-generative-engine-optimisation" TargetMode="External"/><Relationship Id="rId286" Type="http://schemas.openxmlformats.org/officeDocument/2006/relationships/hyperlink" Target="https://www.accuracast.com/services/ai/optimisation/" TargetMode="External"/><Relationship Id="rId285" Type="http://schemas.openxmlformats.org/officeDocument/2006/relationships/hyperlink" Target="http://acam.ai" TargetMode="External"/><Relationship Id="rId284" Type="http://schemas.openxmlformats.org/officeDocument/2006/relationships/hyperlink" Target="https://www.acam.ai/ai-advantage" TargetMode="External"/><Relationship Id="rId283" Type="http://schemas.openxmlformats.org/officeDocument/2006/relationships/hyperlink" Target="http://absolutelyai.com.au" TargetMode="External"/><Relationship Id="rId289" Type="http://schemas.openxmlformats.org/officeDocument/2006/relationships/hyperlink" Target="http://advancer.com.au" TargetMode="External"/><Relationship Id="rId288" Type="http://schemas.openxmlformats.org/officeDocument/2006/relationships/hyperlink" Target="https://www.advancer.com.au/ai-consultants-brisbane" TargetMode="External"/><Relationship Id="rId287" Type="http://schemas.openxmlformats.org/officeDocument/2006/relationships/hyperlink" Target="http://accuracast.com" TargetMode="External"/><Relationship Id="rId282" Type="http://schemas.openxmlformats.org/officeDocument/2006/relationships/hyperlink" Target="https://www.absolutelyai.com.au/ai-video-services" TargetMode="External"/><Relationship Id="rId281" Type="http://schemas.openxmlformats.org/officeDocument/2006/relationships/hyperlink" Target="http://abbacustechnologies.com" TargetMode="External"/><Relationship Id="rId280" Type="http://schemas.openxmlformats.org/officeDocument/2006/relationships/hyperlink" Target="https://www.abbacustechnologies.com/top-ecommerce-development-firms-in-sydney/" TargetMode="External"/><Relationship Id="rId275" Type="http://schemas.openxmlformats.org/officeDocument/2006/relationships/hyperlink" Target="http://umitech.com.au" TargetMode="External"/><Relationship Id="rId274" Type="http://schemas.openxmlformats.org/officeDocument/2006/relationships/hyperlink" Target="https://umitech.com.au/google-partner/" TargetMode="External"/><Relationship Id="rId273" Type="http://schemas.openxmlformats.org/officeDocument/2006/relationships/hyperlink" Target="http://theravenlabs.com" TargetMode="External"/><Relationship Id="rId272" Type="http://schemas.openxmlformats.org/officeDocument/2006/relationships/hyperlink" Target="https://www.theravenlabs.com/ai-readiness/" TargetMode="External"/><Relationship Id="rId279" Type="http://schemas.openxmlformats.org/officeDocument/2006/relationships/hyperlink" Target="http://zibdigital.com.au" TargetMode="External"/><Relationship Id="rId278" Type="http://schemas.openxmlformats.org/officeDocument/2006/relationships/hyperlink" Target="https://zibdigital.com.au/seo-agency" TargetMode="External"/><Relationship Id="rId277" Type="http://schemas.openxmlformats.org/officeDocument/2006/relationships/hyperlink" Target="http://yaanidigital.com" TargetMode="External"/><Relationship Id="rId276" Type="http://schemas.openxmlformats.org/officeDocument/2006/relationships/hyperlink" Target="https://yaanidigital.com/au/analytics-attribution" TargetMode="External"/><Relationship Id="rId228" Type="http://schemas.openxmlformats.org/officeDocument/2006/relationships/hyperlink" Target="https://www.digitalhitmen.com.au/seo-perth/geo/" TargetMode="External"/><Relationship Id="rId227" Type="http://schemas.openxmlformats.org/officeDocument/2006/relationships/hyperlink" Target="http://defyn.com.au" TargetMode="External"/><Relationship Id="rId226" Type="http://schemas.openxmlformats.org/officeDocument/2006/relationships/hyperlink" Target="https://defyn.com.au/branding-sydney/" TargetMode="External"/><Relationship Id="rId225" Type="http://schemas.openxmlformats.org/officeDocument/2006/relationships/hyperlink" Target="http://decisionfoundry.com" TargetMode="External"/><Relationship Id="rId229" Type="http://schemas.openxmlformats.org/officeDocument/2006/relationships/hyperlink" Target="http://digitalhitmen.com.au" TargetMode="External"/><Relationship Id="rId220" Type="http://schemas.openxmlformats.org/officeDocument/2006/relationships/hyperlink" Target="https://clickedon.co/services/digital-strategy" TargetMode="External"/><Relationship Id="rId224" Type="http://schemas.openxmlformats.org/officeDocument/2006/relationships/hyperlink" Target="https://www.decisionfoundry.com/marketing-measurement-analytics-services/" TargetMode="External"/><Relationship Id="rId223" Type="http://schemas.openxmlformats.org/officeDocument/2006/relationships/hyperlink" Target="http://crmstrategy.com.au" TargetMode="External"/><Relationship Id="rId222" Type="http://schemas.openxmlformats.org/officeDocument/2006/relationships/hyperlink" Target="https://www.crmstrategy.com.au/marketing-attribution-solutions-and-advanced-analytics-2/" TargetMode="External"/><Relationship Id="rId221" Type="http://schemas.openxmlformats.org/officeDocument/2006/relationships/hyperlink" Target="http://clickedon.co" TargetMode="External"/><Relationship Id="rId217" Type="http://schemas.openxmlformats.org/officeDocument/2006/relationships/hyperlink" Target="https://business.google.com/en-all/support/work-with-a-partner/" TargetMode="External"/><Relationship Id="rId216" Type="http://schemas.openxmlformats.org/officeDocument/2006/relationships/hyperlink" Target="http://bonfire.com.au" TargetMode="External"/><Relationship Id="rId215" Type="http://schemas.openxmlformats.org/officeDocument/2006/relationships/hyperlink" Target="https://www.bonfire.com.au/melbourne/programmatic-advertising/" TargetMode="External"/><Relationship Id="rId214" Type="http://schemas.openxmlformats.org/officeDocument/2006/relationships/hyperlink" Target="http://blanktheory.com.au" TargetMode="External"/><Relationship Id="rId219" Type="http://schemas.openxmlformats.org/officeDocument/2006/relationships/hyperlink" Target="https://cassandra.app/platform" TargetMode="External"/><Relationship Id="rId218" Type="http://schemas.openxmlformats.org/officeDocument/2006/relationships/hyperlink" Target="http://google.com" TargetMode="External"/><Relationship Id="rId213" Type="http://schemas.openxmlformats.org/officeDocument/2006/relationships/hyperlink" Target="https://www.blanktheory.com.au/approach/performance-marketing/" TargetMode="External"/><Relationship Id="rId212" Type="http://schemas.openxmlformats.org/officeDocument/2006/relationships/hyperlink" Target="http://arcadiandigital.com.au" TargetMode="External"/><Relationship Id="rId211" Type="http://schemas.openxmlformats.org/officeDocument/2006/relationships/hyperlink" Target="https://arcadiandigital.com.au/services/digital-marketing/answer-engine-optimisation-aeo" TargetMode="External"/><Relationship Id="rId210" Type="http://schemas.openxmlformats.org/officeDocument/2006/relationships/hyperlink" Target="http://alphadigital.com.au" TargetMode="External"/><Relationship Id="rId249" Type="http://schemas.openxmlformats.org/officeDocument/2006/relationships/hyperlink" Target="http://mckenzie.com.au" TargetMode="External"/><Relationship Id="rId248" Type="http://schemas.openxmlformats.org/officeDocument/2006/relationships/hyperlink" Target="https://mckenzie.com.au/services/google/" TargetMode="External"/><Relationship Id="rId247" Type="http://schemas.openxmlformats.org/officeDocument/2006/relationships/hyperlink" Target="http://luminary.com" TargetMode="External"/><Relationship Id="rId242" Type="http://schemas.openxmlformats.org/officeDocument/2006/relationships/hyperlink" Target="https://ionline.com.au/paid-advertising/" TargetMode="External"/><Relationship Id="rId241" Type="http://schemas.openxmlformats.org/officeDocument/2006/relationships/hyperlink" Target="http://intelligence.gov.au" TargetMode="External"/><Relationship Id="rId240" Type="http://schemas.openxmlformats.org/officeDocument/2006/relationships/hyperlink" Target="https://www.intelligence.gov.au/agencies/ago" TargetMode="External"/><Relationship Id="rId246" Type="http://schemas.openxmlformats.org/officeDocument/2006/relationships/hyperlink" Target="https://www.luminary.com/generative-engine-optimisation" TargetMode="External"/><Relationship Id="rId245" Type="http://schemas.openxmlformats.org/officeDocument/2006/relationships/hyperlink" Target="http://liftlab.com" TargetMode="External"/><Relationship Id="rId244" Type="http://schemas.openxmlformats.org/officeDocument/2006/relationships/hyperlink" Target="https://liftlab.com/platform/unified-marketing-measurement/" TargetMode="External"/><Relationship Id="rId243" Type="http://schemas.openxmlformats.org/officeDocument/2006/relationships/hyperlink" Target="http://ionline.com.au" TargetMode="External"/><Relationship Id="rId239" Type="http://schemas.openxmlformats.org/officeDocument/2006/relationships/hyperlink" Target="http://gravitatedigital.com.au" TargetMode="External"/><Relationship Id="rId238" Type="http://schemas.openxmlformats.org/officeDocument/2006/relationships/hyperlink" Target="https://www.gravitatedigital.com.au/search-engine-optimisation/geo-agency" TargetMode="External"/><Relationship Id="rId237" Type="http://schemas.openxmlformats.org/officeDocument/2006/relationships/hyperlink" Target="http://furtherinsight.com.au" TargetMode="External"/><Relationship Id="rId236" Type="http://schemas.openxmlformats.org/officeDocument/2006/relationships/hyperlink" Target="https://furtherinsight.com.au/our-services/marketing-mix-modelling/" TargetMode="External"/><Relationship Id="rId231" Type="http://schemas.openxmlformats.org/officeDocument/2006/relationships/hyperlink" Target="http://digiwolf.au" TargetMode="External"/><Relationship Id="rId230" Type="http://schemas.openxmlformats.org/officeDocument/2006/relationships/hyperlink" Target="https://www.digiwolf.au/services/analytics" TargetMode="External"/><Relationship Id="rId235" Type="http://schemas.openxmlformats.org/officeDocument/2006/relationships/hyperlink" Target="http://edgeonline.com.au" TargetMode="External"/><Relationship Id="rId234" Type="http://schemas.openxmlformats.org/officeDocument/2006/relationships/hyperlink" Target="https://www.edgeonline.com.au/ai-seo-aio/" TargetMode="External"/><Relationship Id="rId233" Type="http://schemas.openxmlformats.org/officeDocument/2006/relationships/hyperlink" Target="http://dnmdigital.com.au" TargetMode="External"/><Relationship Id="rId232" Type="http://schemas.openxmlformats.org/officeDocument/2006/relationships/hyperlink" Target="https://dnmdigital.com.au/seo-agency/ai-seo/" TargetMode="External"/><Relationship Id="rId206" Type="http://schemas.openxmlformats.org/officeDocument/2006/relationships/hyperlink" Target="http://aivy.com.au" TargetMode="External"/><Relationship Id="rId205" Type="http://schemas.openxmlformats.org/officeDocument/2006/relationships/hyperlink" Target="https://aivy.com.au/ai-consulting/" TargetMode="External"/><Relationship Id="rId204" Type="http://schemas.openxmlformats.org/officeDocument/2006/relationships/hyperlink" Target="http://3pdigital.com.au" TargetMode="External"/><Relationship Id="rId203" Type="http://schemas.openxmlformats.org/officeDocument/2006/relationships/hyperlink" Target="https://3pdigital.com.au/multi-channel-attribution-modelling" TargetMode="External"/><Relationship Id="rId209" Type="http://schemas.openxmlformats.org/officeDocument/2006/relationships/hyperlink" Target="https://www.alphadigital.com.au/performance/display-programmatic/" TargetMode="External"/><Relationship Id="rId208" Type="http://schemas.openxmlformats.org/officeDocument/2006/relationships/hyperlink" Target="http://alphadigital.com.au" TargetMode="External"/><Relationship Id="rId207" Type="http://schemas.openxmlformats.org/officeDocument/2006/relationships/hyperlink" Target="https://www.alphadigital.com.au/performance/" TargetMode="External"/><Relationship Id="rId202" Type="http://schemas.openxmlformats.org/officeDocument/2006/relationships/hyperlink" Target="http://3pdigital.com.au" TargetMode="External"/><Relationship Id="rId201" Type="http://schemas.openxmlformats.org/officeDocument/2006/relationships/hyperlink" Target="https://3pdigital.com.au/digital-performance-agency-australia" TargetMode="External"/><Relationship Id="rId200" Type="http://schemas.openxmlformats.org/officeDocument/2006/relationships/hyperlink" Target="http://1stpage.com.au" TargetMode="External"/><Relationship Id="rId190" Type="http://schemas.openxmlformats.org/officeDocument/2006/relationships/hyperlink" Target="http://nexit.com.au" TargetMode="External"/><Relationship Id="rId194" Type="http://schemas.openxmlformats.org/officeDocument/2006/relationships/hyperlink" Target="http://risexventuress.com" TargetMode="External"/><Relationship Id="rId193" Type="http://schemas.openxmlformats.org/officeDocument/2006/relationships/hyperlink" Target="https://www.risexventuress.com/ai-marketing-agency-location/australia" TargetMode="External"/><Relationship Id="rId192" Type="http://schemas.openxmlformats.org/officeDocument/2006/relationships/hyperlink" Target="http://niftymarketing.com.au" TargetMode="External"/><Relationship Id="rId191" Type="http://schemas.openxmlformats.org/officeDocument/2006/relationships/hyperlink" Target="https://niftymarketing.com.au/services/answer-engine-optimisation-services/" TargetMode="External"/><Relationship Id="rId187" Type="http://schemas.openxmlformats.org/officeDocument/2006/relationships/hyperlink" Target="https://www.melottimedia.com.au/ai-marketing-services/" TargetMode="External"/><Relationship Id="rId186" Type="http://schemas.openxmlformats.org/officeDocument/2006/relationships/hyperlink" Target="http://krishtechnolabs.com" TargetMode="External"/><Relationship Id="rId185" Type="http://schemas.openxmlformats.org/officeDocument/2006/relationships/hyperlink" Target="https://www.krishtechnolabs.com/google/" TargetMode="External"/><Relationship Id="rId184" Type="http://schemas.openxmlformats.org/officeDocument/2006/relationships/hyperlink" Target="http://intesols.com.au" TargetMode="External"/><Relationship Id="rId189" Type="http://schemas.openxmlformats.org/officeDocument/2006/relationships/hyperlink" Target="https://nexit.com.au/ai-search-optimisation/" TargetMode="External"/><Relationship Id="rId188" Type="http://schemas.openxmlformats.org/officeDocument/2006/relationships/hyperlink" Target="http://melottimedia.com.au" TargetMode="External"/><Relationship Id="rId183" Type="http://schemas.openxmlformats.org/officeDocument/2006/relationships/hyperlink" Target="https://www.intesols.com.au/services/generative-engine-optimisation/" TargetMode="External"/><Relationship Id="rId182" Type="http://schemas.openxmlformats.org/officeDocument/2006/relationships/hyperlink" Target="http://inmarketingwetrust.com.au" TargetMode="External"/><Relationship Id="rId181" Type="http://schemas.openxmlformats.org/officeDocument/2006/relationships/hyperlink" Target="https://inmarketingwetrust.com.au/ai-agentic/ai-operations/" TargetMode="External"/><Relationship Id="rId180" Type="http://schemas.openxmlformats.org/officeDocument/2006/relationships/hyperlink" Target="http://hotwireglobal.com.au" TargetMode="External"/><Relationship Id="rId176" Type="http://schemas.openxmlformats.org/officeDocument/2006/relationships/hyperlink" Target="http://evolut.com.au" TargetMode="External"/><Relationship Id="rId175" Type="http://schemas.openxmlformats.org/officeDocument/2006/relationships/hyperlink" Target="https://evolut.com.au/service/ai-marketing-content" TargetMode="External"/><Relationship Id="rId174" Type="http://schemas.openxmlformats.org/officeDocument/2006/relationships/hyperlink" Target="http://elephantintheboardroom.com.au" TargetMode="External"/><Relationship Id="rId173" Type="http://schemas.openxmlformats.org/officeDocument/2006/relationships/hyperlink" Target="https://www.elephantintheboardroom.com.au/geo-agency" TargetMode="External"/><Relationship Id="rId179" Type="http://schemas.openxmlformats.org/officeDocument/2006/relationships/hyperlink" Target="https://www.hotwireglobal.com.au/our-services/ai-consulting-tech/" TargetMode="External"/><Relationship Id="rId178" Type="http://schemas.openxmlformats.org/officeDocument/2006/relationships/hyperlink" Target="http://havstrategy.com" TargetMode="External"/><Relationship Id="rId177" Type="http://schemas.openxmlformats.org/officeDocument/2006/relationships/hyperlink" Target="https://www.havstrategy.com/best-performance-marketing-agency-in-australia/" TargetMode="External"/><Relationship Id="rId198" Type="http://schemas.openxmlformats.org/officeDocument/2006/relationships/hyperlink" Target="http://theonlinegroup.com.au" TargetMode="External"/><Relationship Id="rId197" Type="http://schemas.openxmlformats.org/officeDocument/2006/relationships/hyperlink" Target="https://theonlinegroup.com.au/ai-automation/ai-marketing-agency" TargetMode="External"/><Relationship Id="rId196" Type="http://schemas.openxmlformats.org/officeDocument/2006/relationships/hyperlink" Target="http://thefrontdigital.com.au" TargetMode="External"/><Relationship Id="rId195" Type="http://schemas.openxmlformats.org/officeDocument/2006/relationships/hyperlink" Target="https://www.thefrontdigital.com.au/services/ai-readiness-consulting" TargetMode="External"/><Relationship Id="rId199" Type="http://schemas.openxmlformats.org/officeDocument/2006/relationships/hyperlink" Target="https://www.1stpage.com.au/services/answer-engine-optimization/" TargetMode="External"/><Relationship Id="rId150" Type="http://schemas.openxmlformats.org/officeDocument/2006/relationships/hyperlink" Target="http://digitalchoice.com.au" TargetMode="External"/><Relationship Id="rId149" Type="http://schemas.openxmlformats.org/officeDocument/2006/relationships/hyperlink" Target="https://digitalchoice.com.au/data-analytics/" TargetMode="External"/><Relationship Id="rId148" Type="http://schemas.openxmlformats.org/officeDocument/2006/relationships/hyperlink" Target="http://unifida.com.au" TargetMode="External"/><Relationship Id="rId143" Type="http://schemas.openxmlformats.org/officeDocument/2006/relationships/hyperlink" Target="https://www.resolutiondigital.com.au/services/measurement/propensity-modelling/" TargetMode="External"/><Relationship Id="rId142" Type="http://schemas.openxmlformats.org/officeDocument/2006/relationships/hyperlink" Target="http://resolutiondigital.com.au" TargetMode="External"/><Relationship Id="rId141" Type="http://schemas.openxmlformats.org/officeDocument/2006/relationships/hyperlink" Target="https://www.resolutiondigital.com.au/services/cro/google-marketing-platform/analytics-360/" TargetMode="External"/><Relationship Id="rId140" Type="http://schemas.openxmlformats.org/officeDocument/2006/relationships/hyperlink" Target="http://pmgs.com.au" TargetMode="External"/><Relationship Id="rId147" Type="http://schemas.openxmlformats.org/officeDocument/2006/relationships/hyperlink" Target="https://www.unifida.com.au/marketing-attribution" TargetMode="External"/><Relationship Id="rId146" Type="http://schemas.openxmlformats.org/officeDocument/2006/relationships/hyperlink" Target="http://resolutiondigital.com.au" TargetMode="External"/><Relationship Id="rId145" Type="http://schemas.openxmlformats.org/officeDocument/2006/relationships/hyperlink" Target="https://www.resolutiondigital.com.au/technology/partners/google-marketing-platform/" TargetMode="External"/><Relationship Id="rId144" Type="http://schemas.openxmlformats.org/officeDocument/2006/relationships/hyperlink" Target="http://resolutiondigital.com.au" TargetMode="External"/><Relationship Id="rId139" Type="http://schemas.openxmlformats.org/officeDocument/2006/relationships/hyperlink" Target="https://www.pmgs.com.au/social-media-marketing/paid-social-ads/" TargetMode="External"/><Relationship Id="rId138" Type="http://schemas.openxmlformats.org/officeDocument/2006/relationships/hyperlink" Target="http://juicebox.com.au" TargetMode="External"/><Relationship Id="rId137" Type="http://schemas.openxmlformats.org/officeDocument/2006/relationships/hyperlink" Target="https://www.juicebox.com.au/generative-engine-optimisation/" TargetMode="External"/><Relationship Id="rId132" Type="http://schemas.openxmlformats.org/officeDocument/2006/relationships/hyperlink" Target="http://deptagency.com" TargetMode="External"/><Relationship Id="rId131" Type="http://schemas.openxmlformats.org/officeDocument/2006/relationships/hyperlink" Target="https://www.deptagency.com/en-au/service/google-marketing-platform/" TargetMode="External"/><Relationship Id="rId130" Type="http://schemas.openxmlformats.org/officeDocument/2006/relationships/hyperlink" Target="http://crescendoagency.ai" TargetMode="External"/><Relationship Id="rId136" Type="http://schemas.openxmlformats.org/officeDocument/2006/relationships/hyperlink" Target="http://dnmdigital.com.au" TargetMode="External"/><Relationship Id="rId135" Type="http://schemas.openxmlformats.org/officeDocument/2006/relationships/hyperlink" Target="https://dnmdigital.com.au/data-and-analytics/" TargetMode="External"/><Relationship Id="rId134" Type="http://schemas.openxmlformats.org/officeDocument/2006/relationships/hyperlink" Target="http://designrush.com" TargetMode="External"/><Relationship Id="rId133" Type="http://schemas.openxmlformats.org/officeDocument/2006/relationships/hyperlink" Target="https://www.designrush.com/agency/paid-media-pay-per-click/au?page=6" TargetMode="External"/><Relationship Id="rId172" Type="http://schemas.openxmlformats.org/officeDocument/2006/relationships/hyperlink" Target="http://digitxl.com.au" TargetMode="External"/><Relationship Id="rId171" Type="http://schemas.openxmlformats.org/officeDocument/2006/relationships/hyperlink" Target="https://www.digitxl.com.au/google-analytics-consulting/" TargetMode="External"/><Relationship Id="rId170" Type="http://schemas.openxmlformats.org/officeDocument/2006/relationships/hyperlink" Target="http://agoraagency.com.au" TargetMode="External"/><Relationship Id="rId165" Type="http://schemas.openxmlformats.org/officeDocument/2006/relationships/hyperlink" Target="https://admatic.com/lp/marketing-agency/melbourne" TargetMode="External"/><Relationship Id="rId164" Type="http://schemas.openxmlformats.org/officeDocument/2006/relationships/hyperlink" Target="http://resolutiondigital.com.au" TargetMode="External"/><Relationship Id="rId163" Type="http://schemas.openxmlformats.org/officeDocument/2006/relationships/hyperlink" Target="https://www.resolutiondigital.com.au/services/cro/google-marketing-platform/google-marketing-platform-for-agencies/" TargetMode="External"/><Relationship Id="rId162" Type="http://schemas.openxmlformats.org/officeDocument/2006/relationships/hyperlink" Target="http://magnetoitsolutions.com" TargetMode="External"/><Relationship Id="rId169" Type="http://schemas.openxmlformats.org/officeDocument/2006/relationships/hyperlink" Target="https://agoraagency.com.au/performance-marketing" TargetMode="External"/><Relationship Id="rId168" Type="http://schemas.openxmlformats.org/officeDocument/2006/relationships/hyperlink" Target="http://adopsandadtech.com.au" TargetMode="External"/><Relationship Id="rId167" Type="http://schemas.openxmlformats.org/officeDocument/2006/relationships/hyperlink" Target="https://www.adopsandadtech.com.au/google-partner" TargetMode="External"/><Relationship Id="rId166" Type="http://schemas.openxmlformats.org/officeDocument/2006/relationships/hyperlink" Target="http://admatic.com" TargetMode="External"/><Relationship Id="rId161" Type="http://schemas.openxmlformats.org/officeDocument/2006/relationships/hyperlink" Target="https://magnetoitsolutions.com/au/generative-engine-optimization" TargetMode="External"/><Relationship Id="rId160" Type="http://schemas.openxmlformats.org/officeDocument/2006/relationships/hyperlink" Target="http://liftlab.com" TargetMode="External"/><Relationship Id="rId159" Type="http://schemas.openxmlformats.org/officeDocument/2006/relationships/hyperlink" Target="https://liftlab.com/solutions/incrementality-testing/" TargetMode="External"/><Relationship Id="rId154" Type="http://schemas.openxmlformats.org/officeDocument/2006/relationships/hyperlink" Target="http://gorilla360.com.au" TargetMode="External"/><Relationship Id="rId153" Type="http://schemas.openxmlformats.org/officeDocument/2006/relationships/hyperlink" Target="https://gorilla360.com.au/google-ads/" TargetMode="External"/><Relationship Id="rId152" Type="http://schemas.openxmlformats.org/officeDocument/2006/relationships/hyperlink" Target="http://digitalon.ai" TargetMode="External"/><Relationship Id="rId151" Type="http://schemas.openxmlformats.org/officeDocument/2006/relationships/hyperlink" Target="https://digitalon.ai/ai-consultants-australia" TargetMode="External"/><Relationship Id="rId158" Type="http://schemas.openxmlformats.org/officeDocument/2006/relationships/hyperlink" Target="http://itcc.co" TargetMode="External"/><Relationship Id="rId157" Type="http://schemas.openxmlformats.org/officeDocument/2006/relationships/hyperlink" Target="https://itcc.co/aeo-agency-australia/" TargetMode="External"/><Relationship Id="rId156" Type="http://schemas.openxmlformats.org/officeDocument/2006/relationships/hyperlink" Target="http://idhlagency.com" TargetMode="External"/><Relationship Id="rId155" Type="http://schemas.openxmlformats.org/officeDocument/2006/relationships/hyperlink" Target="https://www.idhlagency.com/digital-marketing/measurement-attribution" TargetMode="External"/><Relationship Id="rId509" Type="http://schemas.openxmlformats.org/officeDocument/2006/relationships/hyperlink" Target="https://www.tussledigital.com/services/performance-marketing/" TargetMode="External"/><Relationship Id="rId508" Type="http://schemas.openxmlformats.org/officeDocument/2006/relationships/hyperlink" Target="https://tmr.agency/social-media-ads/" TargetMode="External"/><Relationship Id="rId503" Type="http://schemas.openxmlformats.org/officeDocument/2006/relationships/hyperlink" Target="http://thedigitalhub.com.au" TargetMode="External"/><Relationship Id="rId502" Type="http://schemas.openxmlformats.org/officeDocument/2006/relationships/hyperlink" Target="https://www.thedigitalhub.com.au/ai-seo-services/" TargetMode="External"/><Relationship Id="rId501" Type="http://schemas.openxmlformats.org/officeDocument/2006/relationships/hyperlink" Target="http://synap.au" TargetMode="External"/><Relationship Id="rId500" Type="http://schemas.openxmlformats.org/officeDocument/2006/relationships/hyperlink" Target="https://www.synap.au/readiness-assessment" TargetMode="External"/><Relationship Id="rId507" Type="http://schemas.openxmlformats.org/officeDocument/2006/relationships/hyperlink" Target="http://thesearchspecialist.com.au" TargetMode="External"/><Relationship Id="rId506" Type="http://schemas.openxmlformats.org/officeDocument/2006/relationships/hyperlink" Target="https://thesearchspecialist.com.au/ai-seo-geo-services/" TargetMode="External"/><Relationship Id="rId505" Type="http://schemas.openxmlformats.org/officeDocument/2006/relationships/hyperlink" Target="http://thehypesociety.com.au" TargetMode="External"/><Relationship Id="rId504" Type="http://schemas.openxmlformats.org/officeDocument/2006/relationships/hyperlink" Target="https://www.thehypesociety.com.au/growth-marketing/" TargetMode="External"/><Relationship Id="rId525" Type="http://schemas.openxmlformats.org/officeDocument/2006/relationships/hyperlink" Target="http://wilsonai.com" TargetMode="External"/><Relationship Id="rId524" Type="http://schemas.openxmlformats.org/officeDocument/2006/relationships/hyperlink" Target="https://wilsonai.com/AI-Consultants-Australia.php" TargetMode="External"/><Relationship Id="rId523" Type="http://schemas.openxmlformats.org/officeDocument/2006/relationships/hyperlink" Target="http://whitehatagency.com.au" TargetMode="External"/><Relationship Id="rId522" Type="http://schemas.openxmlformats.org/officeDocument/2006/relationships/hyperlink" Target="https://whitehatagency.com.au/ai-consulting/" TargetMode="External"/><Relationship Id="rId529" Type="http://schemas.openxmlformats.org/officeDocument/2006/relationships/hyperlink" Target="http://xpon.ai" TargetMode="External"/><Relationship Id="rId528" Type="http://schemas.openxmlformats.org/officeDocument/2006/relationships/hyperlink" Target="https://xpon.ai/google-cloud/" TargetMode="External"/><Relationship Id="rId527" Type="http://schemas.openxmlformats.org/officeDocument/2006/relationships/hyperlink" Target="http://xpon.ai" TargetMode="External"/><Relationship Id="rId526" Type="http://schemas.openxmlformats.org/officeDocument/2006/relationships/hyperlink" Target="https://xpon.ai/au/resources/google-analytics-360-pricing/" TargetMode="External"/><Relationship Id="rId521" Type="http://schemas.openxmlformats.org/officeDocument/2006/relationships/hyperlink" Target="http://websavvy.com.au" TargetMode="External"/><Relationship Id="rId520" Type="http://schemas.openxmlformats.org/officeDocument/2006/relationships/hyperlink" Target="https://websavvy.com.au/services/display-video/" TargetMode="External"/><Relationship Id="rId519" Type="http://schemas.openxmlformats.org/officeDocument/2006/relationships/hyperlink" Target="http://vtdigital.com.au" TargetMode="External"/><Relationship Id="rId514" Type="http://schemas.openxmlformats.org/officeDocument/2006/relationships/hyperlink" Target="http://undivided.com.au" TargetMode="External"/><Relationship Id="rId513" Type="http://schemas.openxmlformats.org/officeDocument/2006/relationships/hyperlink" Target="https://www.undivided.com.au/services/media/social/commerce" TargetMode="External"/><Relationship Id="rId512" Type="http://schemas.openxmlformats.org/officeDocument/2006/relationships/hyperlink" Target="http://undivided.com.au" TargetMode="External"/><Relationship Id="rId511" Type="http://schemas.openxmlformats.org/officeDocument/2006/relationships/hyperlink" Target="https://www.undivided.com.au/drtv" TargetMode="External"/><Relationship Id="rId518" Type="http://schemas.openxmlformats.org/officeDocument/2006/relationships/hyperlink" Target="https://vtdigital.com.au/performance-marketing-agency/" TargetMode="External"/><Relationship Id="rId517" Type="http://schemas.openxmlformats.org/officeDocument/2006/relationships/hyperlink" Target="https://www.uptech.team/hire-ai-developers" TargetMode="External"/><Relationship Id="rId516" Type="http://schemas.openxmlformats.org/officeDocument/2006/relationships/hyperlink" Target="http://unify.net.au" TargetMode="External"/><Relationship Id="rId515" Type="http://schemas.openxmlformats.org/officeDocument/2006/relationships/hyperlink" Target="https://unify.net.au/services/programmatic/" TargetMode="External"/><Relationship Id="rId510" Type="http://schemas.openxmlformats.org/officeDocument/2006/relationships/hyperlink" Target="http://tussledigital.com" TargetMode="External"/><Relationship Id="rId107" Type="http://schemas.openxmlformats.org/officeDocument/2006/relationships/hyperlink" Target="http://elephantroom.com.au" TargetMode="External"/><Relationship Id="rId106" Type="http://schemas.openxmlformats.org/officeDocument/2006/relationships/hyperlink" Target="https://www.elephantroom.com.au/measurement" TargetMode="External"/><Relationship Id="rId105" Type="http://schemas.openxmlformats.org/officeDocument/2006/relationships/hyperlink" Target="http://clickclickmedia.com.au" TargetMode="External"/><Relationship Id="rId104" Type="http://schemas.openxmlformats.org/officeDocument/2006/relationships/hyperlink" Target="https://clickclickmedia.com.au/paid-social-agency/" TargetMode="External"/><Relationship Id="rId109" Type="http://schemas.openxmlformats.org/officeDocument/2006/relationships/hyperlink" Target="http://fusepointinsights.com" TargetMode="External"/><Relationship Id="rId108" Type="http://schemas.openxmlformats.org/officeDocument/2006/relationships/hyperlink" Target="https://fusepointinsights.com/service/incrementality-experiments/" TargetMode="External"/><Relationship Id="rId103" Type="http://schemas.openxmlformats.org/officeDocument/2006/relationships/hyperlink" Target="http://advancer.com.au" TargetMode="External"/><Relationship Id="rId102" Type="http://schemas.openxmlformats.org/officeDocument/2006/relationships/hyperlink" Target="https://www.advancer.com.au/ai-consulting-brisbane" TargetMode="External"/><Relationship Id="rId101" Type="http://schemas.openxmlformats.org/officeDocument/2006/relationships/hyperlink" Target="http://23digital.com.au" TargetMode="External"/><Relationship Id="rId100" Type="http://schemas.openxmlformats.org/officeDocument/2006/relationships/hyperlink" Target="https://www.23digital.com.au/performance-marketing-agency/" TargetMode="External"/><Relationship Id="rId129" Type="http://schemas.openxmlformats.org/officeDocument/2006/relationships/hyperlink" Target="https://www.crescendoagency.ai/ai-agency-australia/" TargetMode="External"/><Relationship Id="rId128" Type="http://schemas.openxmlformats.org/officeDocument/2006/relationships/hyperlink" Target="http://capterra.com.au" TargetMode="External"/><Relationship Id="rId127" Type="http://schemas.openxmlformats.org/officeDocument/2006/relationships/hyperlink" Target="https://www.capterra.com.au/software/188418/cross-channel-attribution-planning" TargetMode="External"/><Relationship Id="rId126" Type="http://schemas.openxmlformats.org/officeDocument/2006/relationships/hyperlink" Target="http://blurn.com" TargetMode="External"/><Relationship Id="rId121" Type="http://schemas.openxmlformats.org/officeDocument/2006/relationships/hyperlink" Target="http://rubix.com.au" TargetMode="External"/><Relationship Id="rId120" Type="http://schemas.openxmlformats.org/officeDocument/2006/relationships/hyperlink" Target="https://www.rubix.com.au/ai-consulting-australia" TargetMode="External"/><Relationship Id="rId125" Type="http://schemas.openxmlformats.org/officeDocument/2006/relationships/hyperlink" Target="https://blurn.com/au/digital-marketing-services/direct-display-advertising-services/" TargetMode="External"/><Relationship Id="rId124" Type="http://schemas.openxmlformats.org/officeDocument/2006/relationships/hyperlink" Target="https://australian.digital/web-analytics-consulting-services/" TargetMode="External"/><Relationship Id="rId123" Type="http://schemas.openxmlformats.org/officeDocument/2006/relationships/hyperlink" Target="http://undivided.com.au" TargetMode="External"/><Relationship Id="rId122" Type="http://schemas.openxmlformats.org/officeDocument/2006/relationships/hyperlink" Target="https://www.undivided.com.au/services" TargetMode="External"/><Relationship Id="rId118" Type="http://schemas.openxmlformats.org/officeDocument/2006/relationships/hyperlink" Target="https://www.pa.com.au/solutions/ai-consulting-services/" TargetMode="External"/><Relationship Id="rId117" Type="http://schemas.openxmlformats.org/officeDocument/2006/relationships/hyperlink" Target="http://magnetoitsolutions.com" TargetMode="External"/><Relationship Id="rId116" Type="http://schemas.openxmlformats.org/officeDocument/2006/relationships/hyperlink" Target="https://magnetoitsolutions.com/au/answer-engine-optimization" TargetMode="External"/><Relationship Id="rId115" Type="http://schemas.openxmlformats.org/officeDocument/2006/relationships/hyperlink" Target="http://launcherlab.com.au" TargetMode="External"/><Relationship Id="rId119" Type="http://schemas.openxmlformats.org/officeDocument/2006/relationships/hyperlink" Target="http://pa.com.au" TargetMode="External"/><Relationship Id="rId110" Type="http://schemas.openxmlformats.org/officeDocument/2006/relationships/hyperlink" Target="https://getrecast.com/experimentation/" TargetMode="External"/><Relationship Id="rId114" Type="http://schemas.openxmlformats.org/officeDocument/2006/relationships/hyperlink" Target="https://www.launcherlab.com.au/lift-test-incrementality" TargetMode="External"/><Relationship Id="rId113" Type="http://schemas.openxmlformats.org/officeDocument/2006/relationships/hyperlink" Target="http://infraworx.com.au" TargetMode="External"/><Relationship Id="rId112" Type="http://schemas.openxmlformats.org/officeDocument/2006/relationships/hyperlink" Target="https://www.infraworx.com.au/ai-strategy-consulting-sydney/" TargetMode="External"/><Relationship Id="rId111" Type="http://schemas.openxmlformats.org/officeDocument/2006/relationships/hyperlink" Target="http://getrecast.com" TargetMode="External"/><Relationship Id="rId532" Type="http://schemas.openxmlformats.org/officeDocument/2006/relationships/drawing" Target="../drawings/drawing29.xml"/><Relationship Id="rId531" Type="http://schemas.openxmlformats.org/officeDocument/2006/relationships/hyperlink" Target="http://xpon.ai" TargetMode="External"/><Relationship Id="rId530" Type="http://schemas.openxmlformats.org/officeDocument/2006/relationships/hyperlink" Target="https://xpon.ai/resources/google-marketing-platform-partner/" TargetMode="External"/><Relationship Id="rId495" Type="http://schemas.openxmlformats.org/officeDocument/2006/relationships/hyperlink" Target="http://spruik.co" TargetMode="External"/><Relationship Id="rId494" Type="http://schemas.openxmlformats.org/officeDocument/2006/relationships/hyperlink" Target="https://spruik.co/adelaide/claude-ai-consulting/" TargetMode="External"/><Relationship Id="rId493" Type="http://schemas.openxmlformats.org/officeDocument/2006/relationships/hyperlink" Target="http://smartosc.com" TargetMode="External"/><Relationship Id="rId492" Type="http://schemas.openxmlformats.org/officeDocument/2006/relationships/hyperlink" Target="https://www.smartosc.com/data-analytics-agency-australia-for-smarter-decision-making/" TargetMode="External"/><Relationship Id="rId499" Type="http://schemas.openxmlformats.org/officeDocument/2006/relationships/hyperlink" Target="http://studioslate.com.au" TargetMode="External"/><Relationship Id="rId498" Type="http://schemas.openxmlformats.org/officeDocument/2006/relationships/hyperlink" Target="https://studioslate.com.au/services/social-media-advertising" TargetMode="External"/><Relationship Id="rId497" Type="http://schemas.openxmlformats.org/officeDocument/2006/relationships/hyperlink" Target="http://studiohawk.com.au" TargetMode="External"/><Relationship Id="rId496" Type="http://schemas.openxmlformats.org/officeDocument/2006/relationships/hyperlink" Target="https://studiohawk.com.au/seo-services/" TargetMode="External"/><Relationship Id="rId409" Type="http://schemas.openxmlformats.org/officeDocument/2006/relationships/hyperlink" Target="http://kineticconsulting.com.au" TargetMode="External"/><Relationship Id="rId404" Type="http://schemas.openxmlformats.org/officeDocument/2006/relationships/hyperlink" Target="https://www.intesols.com.au/services/ai-seo-agency/" TargetMode="External"/><Relationship Id="rId403" Type="http://schemas.openxmlformats.org/officeDocument/2006/relationships/hyperlink" Target="http://inmarketingwetrust.com.au" TargetMode="External"/><Relationship Id="rId402" Type="http://schemas.openxmlformats.org/officeDocument/2006/relationships/hyperlink" Target="https://inmarketingwetrust.com.au/contact/" TargetMode="External"/><Relationship Id="rId401" Type="http://schemas.openxmlformats.org/officeDocument/2006/relationships/hyperlink" Target="http://inmarketingwetrust.com.au" TargetMode="External"/><Relationship Id="rId408" Type="http://schemas.openxmlformats.org/officeDocument/2006/relationships/hyperlink" Target="https://www.kineticconsulting.com.au/artificial-intelligence-consulting/" TargetMode="External"/><Relationship Id="rId407" Type="http://schemas.openxmlformats.org/officeDocument/2006/relationships/hyperlink" Target="http://ipsos.com" TargetMode="External"/><Relationship Id="rId406" Type="http://schemas.openxmlformats.org/officeDocument/2006/relationships/hyperlink" Target="https://www.ipsos.com/en-au/unified-marketing-measurement-optimisation-mta" TargetMode="External"/><Relationship Id="rId405" Type="http://schemas.openxmlformats.org/officeDocument/2006/relationships/hyperlink" Target="http://intesols.com.au" TargetMode="External"/><Relationship Id="rId400" Type="http://schemas.openxmlformats.org/officeDocument/2006/relationships/hyperlink" Target="https://inmarketingwetrust.com.au/ai-agentic/ai-discovery/" TargetMode="External"/><Relationship Id="rId469" Type="http://schemas.openxmlformats.org/officeDocument/2006/relationships/hyperlink" Target="http://reloadmedia.com.au" TargetMode="External"/><Relationship Id="rId468" Type="http://schemas.openxmlformats.org/officeDocument/2006/relationships/hyperlink" Target="https://www.reloadmedia.com.au/performance/advertising/" TargetMode="External"/><Relationship Id="rId467" Type="http://schemas.openxmlformats.org/officeDocument/2006/relationships/hyperlink" Target="http://rapidmedia.com.au" TargetMode="External"/><Relationship Id="rId462" Type="http://schemas.openxmlformats.org/officeDocument/2006/relationships/hyperlink" Target="https://www.pmgs.com.au/industries/ecommerce/" TargetMode="External"/><Relationship Id="rId461" Type="http://schemas.openxmlformats.org/officeDocument/2006/relationships/hyperlink" Target="http://pivotalagency.com.au" TargetMode="External"/><Relationship Id="rId460" Type="http://schemas.openxmlformats.org/officeDocument/2006/relationships/hyperlink" Target="https://www.pivotalagency.com.au/google-ads-management" TargetMode="External"/><Relationship Id="rId466" Type="http://schemas.openxmlformats.org/officeDocument/2006/relationships/hyperlink" Target="https://rapidmedia.com.au/market-research/" TargetMode="External"/><Relationship Id="rId465" Type="http://schemas.openxmlformats.org/officeDocument/2006/relationships/hyperlink" Target="http://prosperitymedia.com.au" TargetMode="External"/><Relationship Id="rId464" Type="http://schemas.openxmlformats.org/officeDocument/2006/relationships/hyperlink" Target="https://prosperitymedia.com.au/digital-pr-packages/" TargetMode="External"/><Relationship Id="rId463" Type="http://schemas.openxmlformats.org/officeDocument/2006/relationships/hyperlink" Target="http://pmgs.com.au" TargetMode="External"/><Relationship Id="rId459" Type="http://schemas.openxmlformats.org/officeDocument/2006/relationships/hyperlink" Target="http://paulmartinmarketing.com" TargetMode="External"/><Relationship Id="rId458" Type="http://schemas.openxmlformats.org/officeDocument/2006/relationships/hyperlink" Target="https://www.paulmartinmarketing.com/ai-search-consultant/" TargetMode="External"/><Relationship Id="rId457" Type="http://schemas.openxmlformats.org/officeDocument/2006/relationships/hyperlink" Target="http://paisdigital.com.au" TargetMode="External"/><Relationship Id="rId456" Type="http://schemas.openxmlformats.org/officeDocument/2006/relationships/hyperlink" Target="https://www.paisdigital.com.au/conversion-rate-optimisation/" TargetMode="External"/><Relationship Id="rId451" Type="http://schemas.openxmlformats.org/officeDocument/2006/relationships/hyperlink" Target="http://odindigital.com.au" TargetMode="External"/><Relationship Id="rId450" Type="http://schemas.openxmlformats.org/officeDocument/2006/relationships/hyperlink" Target="https://odindigital.com.au/services/instagram-advertising" TargetMode="External"/><Relationship Id="rId455" Type="http://schemas.openxmlformats.org/officeDocument/2006/relationships/hyperlink" Target="http://osher.com.au" TargetMode="External"/><Relationship Id="rId454" Type="http://schemas.openxmlformats.org/officeDocument/2006/relationships/hyperlink" Target="https://osher.com.au/ai-consulting-brisbane/" TargetMode="External"/><Relationship Id="rId453" Type="http://schemas.openxmlformats.org/officeDocument/2006/relationships/hyperlink" Target="http://oneorangecow.com" TargetMode="External"/><Relationship Id="rId452" Type="http://schemas.openxmlformats.org/officeDocument/2006/relationships/hyperlink" Target="https://www.oneorangecow.com/services/generative-engine-optimisation-geo-services-sydney" TargetMode="External"/><Relationship Id="rId491" Type="http://schemas.openxmlformats.org/officeDocument/2006/relationships/hyperlink" Target="http://shakostats.com" TargetMode="External"/><Relationship Id="rId490" Type="http://schemas.openxmlformats.org/officeDocument/2006/relationships/hyperlink" Target="https://shakostats.com/unified-marketing-measurement" TargetMode="External"/><Relationship Id="rId489" Type="http://schemas.openxmlformats.org/officeDocument/2006/relationships/hyperlink" Target="http://seomelbourne.com" TargetMode="External"/><Relationship Id="rId484" Type="http://schemas.openxmlformats.org/officeDocument/2006/relationships/hyperlink" Target="https://saltandfuessel.com.au/ai-seo-agency-melbourne" TargetMode="External"/><Relationship Id="rId483" Type="http://schemas.openxmlformats.org/officeDocument/2006/relationships/hyperlink" Target="http://roi.com.au" TargetMode="External"/><Relationship Id="rId482" Type="http://schemas.openxmlformats.org/officeDocument/2006/relationships/hyperlink" Target="https://roi.com.au/page/16/" TargetMode="External"/><Relationship Id="rId481" Type="http://schemas.openxmlformats.org/officeDocument/2006/relationships/hyperlink" Target="http://rocketagency.com.au" TargetMode="External"/><Relationship Id="rId488" Type="http://schemas.openxmlformats.org/officeDocument/2006/relationships/hyperlink" Target="https://seomelbourne.com/ai-seo-melbourne/" TargetMode="External"/><Relationship Id="rId487" Type="http://schemas.openxmlformats.org/officeDocument/2006/relationships/hyperlink" Target="http://semhook.com" TargetMode="External"/><Relationship Id="rId486" Type="http://schemas.openxmlformats.org/officeDocument/2006/relationships/hyperlink" Target="https://semhook.com/measurement-and-modelling" TargetMode="External"/><Relationship Id="rId485" Type="http://schemas.openxmlformats.org/officeDocument/2006/relationships/hyperlink" Target="http://saltandfuessel.com.au" TargetMode="External"/><Relationship Id="rId480" Type="http://schemas.openxmlformats.org/officeDocument/2006/relationships/hyperlink" Target="https://rocketagency.com.au/services/seo-agency/aeo" TargetMode="External"/><Relationship Id="rId479" Type="http://schemas.openxmlformats.org/officeDocument/2006/relationships/hyperlink" Target="http://rocketagency.com.au" TargetMode="External"/><Relationship Id="rId478" Type="http://schemas.openxmlformats.org/officeDocument/2006/relationships/hyperlink" Target="https://rocketagency.com.au/services/ppc-agency/programmatic" TargetMode="External"/><Relationship Id="rId473" Type="http://schemas.openxmlformats.org/officeDocument/2006/relationships/hyperlink" Target="http://resolutiondigital.com.au" TargetMode="External"/><Relationship Id="rId472" Type="http://schemas.openxmlformats.org/officeDocument/2006/relationships/hyperlink" Target="https://www.resolutiondigital.com.au/services/cro/google-marketing-platform/display-and-video-360/" TargetMode="External"/><Relationship Id="rId471" Type="http://schemas.openxmlformats.org/officeDocument/2006/relationships/hyperlink" Target="http://resolutiondigital.com.au" TargetMode="External"/><Relationship Id="rId470" Type="http://schemas.openxmlformats.org/officeDocument/2006/relationships/hyperlink" Target="https://www.resolutiondigital.com.au/services/cro/conversion-audit/" TargetMode="External"/><Relationship Id="rId477" Type="http://schemas.openxmlformats.org/officeDocument/2006/relationships/hyperlink" Target="http://resolutiondigital.com.au" TargetMode="External"/><Relationship Id="rId476" Type="http://schemas.openxmlformats.org/officeDocument/2006/relationships/hyperlink" Target="https://www.resolutiondigital.com.au/technology/partners/google-marketing-platform/campaign-manager-360/" TargetMode="External"/><Relationship Id="rId475" Type="http://schemas.openxmlformats.org/officeDocument/2006/relationships/hyperlink" Target="http://resolutiondigital.com.au" TargetMode="External"/><Relationship Id="rId474" Type="http://schemas.openxmlformats.org/officeDocument/2006/relationships/hyperlink" Target="https://www.resolutiondigital.com.au/services/cro/google-marketing-platform/looker-studio/" TargetMode="External"/><Relationship Id="rId426" Type="http://schemas.openxmlformats.org/officeDocument/2006/relationships/hyperlink" Target="https://www.madsunmedia.com/au/services/social-media-marketing" TargetMode="External"/><Relationship Id="rId425" Type="http://schemas.openxmlformats.org/officeDocument/2006/relationships/hyperlink" Target="http://localiq.com" TargetMode="External"/><Relationship Id="rId424" Type="http://schemas.openxmlformats.org/officeDocument/2006/relationships/hyperlink" Target="https://localiq.com/au/products/social-ads/instagram-ads/" TargetMode="External"/><Relationship Id="rId423" Type="http://schemas.openxmlformats.org/officeDocument/2006/relationships/hyperlink" Target="http://lightningventures.com.au" TargetMode="External"/><Relationship Id="rId429" Type="http://schemas.openxmlformats.org/officeDocument/2006/relationships/hyperlink" Target="http://mass-analytics.com" TargetMode="External"/><Relationship Id="rId428" Type="http://schemas.openxmlformats.org/officeDocument/2006/relationships/hyperlink" Target="https://mass-analytics.com/mmm-solutions/incrementality-measurement-mass-analytics/" TargetMode="External"/><Relationship Id="rId427" Type="http://schemas.openxmlformats.org/officeDocument/2006/relationships/hyperlink" Target="http://madsunmedia.com" TargetMode="External"/><Relationship Id="rId422" Type="http://schemas.openxmlformats.org/officeDocument/2006/relationships/hyperlink" Target="https://www.lightningventures.com.au/ai-agency/sydney/" TargetMode="External"/><Relationship Id="rId421" Type="http://schemas.openxmlformats.org/officeDocument/2006/relationships/hyperlink" Target="http://lifesight.io" TargetMode="External"/><Relationship Id="rId420" Type="http://schemas.openxmlformats.org/officeDocument/2006/relationships/hyperlink" Target="https://lifesight.io/product/geo-based-incrementality-testing/" TargetMode="External"/><Relationship Id="rId415" Type="http://schemas.openxmlformats.org/officeDocument/2006/relationships/hyperlink" Target="http://launcherlab.com.au" TargetMode="External"/><Relationship Id="rId414" Type="http://schemas.openxmlformats.org/officeDocument/2006/relationships/hyperlink" Target="https://www.launcherlab.com.au/lift-test" TargetMode="External"/><Relationship Id="rId413" Type="http://schemas.openxmlformats.org/officeDocument/2006/relationships/hyperlink" Target="http://kuehne-nagel.com" TargetMode="External"/><Relationship Id="rId412" Type="http://schemas.openxmlformats.org/officeDocument/2006/relationships/hyperlink" Target="https://www.kuehne-nagel.com/au/services/customs-clearance/import-customs-clearance" TargetMode="External"/><Relationship Id="rId419" Type="http://schemas.openxmlformats.org/officeDocument/2006/relationships/hyperlink" Target="http://leadsnow.ai" TargetMode="External"/><Relationship Id="rId418" Type="http://schemas.openxmlformats.org/officeDocument/2006/relationships/hyperlink" Target="https://leadsnow.ai/ai-sales-agents-australia/" TargetMode="External"/><Relationship Id="rId417" Type="http://schemas.openxmlformats.org/officeDocument/2006/relationships/hyperlink" Target="http://leadsnow.ai" TargetMode="External"/><Relationship Id="rId416" Type="http://schemas.openxmlformats.org/officeDocument/2006/relationships/hyperlink" Target="https://leadsnow.ai/ai-for-business/" TargetMode="External"/><Relationship Id="rId411" Type="http://schemas.openxmlformats.org/officeDocument/2006/relationships/hyperlink" Target="http://koadigital.com.au" TargetMode="External"/><Relationship Id="rId410" Type="http://schemas.openxmlformats.org/officeDocument/2006/relationships/hyperlink" Target="https://koadigital.com.au/services/meta-ads-management/" TargetMode="External"/><Relationship Id="rId448" Type="http://schemas.openxmlformats.org/officeDocument/2006/relationships/hyperlink" Target="https://nimbull.com.au/ai-consulting/" TargetMode="External"/><Relationship Id="rId447" Type="http://schemas.openxmlformats.org/officeDocument/2006/relationships/hyperlink" Target="http://nexttabagency.com" TargetMode="External"/><Relationship Id="rId446" Type="http://schemas.openxmlformats.org/officeDocument/2006/relationships/hyperlink" Target="https://nexttabagency.com/services/social-media-ads/" TargetMode="External"/><Relationship Id="rId445" Type="http://schemas.openxmlformats.org/officeDocument/2006/relationships/hyperlink" Target="http://mvrdigital.co" TargetMode="External"/><Relationship Id="rId449" Type="http://schemas.openxmlformats.org/officeDocument/2006/relationships/hyperlink" Target="http://nimbull.com.au" TargetMode="External"/><Relationship Id="rId440" Type="http://schemas.openxmlformats.org/officeDocument/2006/relationships/hyperlink" Target="https://metriclabs.com.au/performance-media-services/" TargetMode="External"/><Relationship Id="rId444" Type="http://schemas.openxmlformats.org/officeDocument/2006/relationships/hyperlink" Target="https://www.mvrdigital.co/services/data-analytics" TargetMode="External"/><Relationship Id="rId443" Type="http://schemas.openxmlformats.org/officeDocument/2006/relationships/hyperlink" Target="http://moveaheadmedia.com.au" TargetMode="External"/><Relationship Id="rId442" Type="http://schemas.openxmlformats.org/officeDocument/2006/relationships/hyperlink" Target="https://www.moveaheadmedia.com.au/paid-media/programmatic/" TargetMode="External"/><Relationship Id="rId441" Type="http://schemas.openxmlformats.org/officeDocument/2006/relationships/hyperlink" Target="http://metriclabs.com.au" TargetMode="External"/><Relationship Id="rId437" Type="http://schemas.openxmlformats.org/officeDocument/2006/relationships/hyperlink" Target="http://megaphonemedia.com.au" TargetMode="External"/><Relationship Id="rId436" Type="http://schemas.openxmlformats.org/officeDocument/2006/relationships/hyperlink" Target="https://megaphonemedia.com.au/meta-ads-agency/" TargetMode="External"/><Relationship Id="rId435" Type="http://schemas.openxmlformats.org/officeDocument/2006/relationships/hyperlink" Target="http://megaphonemedia.com.au" TargetMode="External"/><Relationship Id="rId434" Type="http://schemas.openxmlformats.org/officeDocument/2006/relationships/hyperlink" Target="https://megaphonemedia.com.au/media-planning-buying-agency/" TargetMode="External"/><Relationship Id="rId439" Type="http://schemas.openxmlformats.org/officeDocument/2006/relationships/hyperlink" Target="http://merkle.com" TargetMode="External"/><Relationship Id="rId438" Type="http://schemas.openxmlformats.org/officeDocument/2006/relationships/hyperlink" Target="https://www.merkle.com/en/about-us/partnerships/google/solutions.html" TargetMode="External"/><Relationship Id="rId433" Type="http://schemas.openxmlformats.org/officeDocument/2006/relationships/hyperlink" Target="http://measured.com" TargetMode="External"/><Relationship Id="rId432" Type="http://schemas.openxmlformats.org/officeDocument/2006/relationships/hyperlink" Target="https://www.measured.com/incremental-lift-tests/" TargetMode="External"/><Relationship Id="rId431" Type="http://schemas.openxmlformats.org/officeDocument/2006/relationships/hyperlink" Target="http://maturedge.com.au" TargetMode="External"/><Relationship Id="rId430" Type="http://schemas.openxmlformats.org/officeDocument/2006/relationships/hyperlink" Target="https://maturedge.com.au/generative-engine-optimization/"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digitalagencynetwork.com" TargetMode="External"/><Relationship Id="rId2" Type="http://schemas.openxmlformats.org/officeDocument/2006/relationships/hyperlink" Target="https://clutch.co/au/agencies/ppc/display" TargetMode="External"/><Relationship Id="rId3" Type="http://schemas.openxmlformats.org/officeDocument/2006/relationships/hyperlink" Target="http://clutch.co" TargetMode="External"/><Relationship Id="rId4" Type="http://schemas.openxmlformats.org/officeDocument/2006/relationships/hyperlink" Target="https://digitalagencynetwork.com/agencies/australia/geo/" TargetMode="External"/><Relationship Id="rId9" Type="http://schemas.openxmlformats.org/officeDocument/2006/relationships/hyperlink" Target="http://bbe.io" TargetMode="External"/><Relationship Id="rId5" Type="http://schemas.openxmlformats.org/officeDocument/2006/relationships/hyperlink" Target="http://digitalagencynetwork.com" TargetMode="External"/><Relationship Id="rId6" Type="http://schemas.openxmlformats.org/officeDocument/2006/relationships/hyperlink" Target="https://www.sortlist.com/s/display-advertising/australia-au" TargetMode="External"/><Relationship Id="rId7" Type="http://schemas.openxmlformats.org/officeDocument/2006/relationships/hyperlink" Target="http://sortlist.com" TargetMode="External"/><Relationship Id="rId8" Type="http://schemas.openxmlformats.org/officeDocument/2006/relationships/hyperlink" Target="https://www.bbe.io/best-advertising-agencies-2026-melbourne-sydney-brisbane" TargetMode="External"/><Relationship Id="rId40" Type="http://schemas.openxmlformats.org/officeDocument/2006/relationships/hyperlink" Target="https://getaiready.com.au/about" TargetMode="External"/><Relationship Id="rId42" Type="http://schemas.openxmlformats.org/officeDocument/2006/relationships/hyperlink" Target="https://agencies.semrush.com/list/analytics-data-science/australia/small-business/" TargetMode="External"/><Relationship Id="rId41" Type="http://schemas.openxmlformats.org/officeDocument/2006/relationships/hyperlink" Target="http://getaiready.com.au" TargetMode="External"/><Relationship Id="rId44" Type="http://schemas.openxmlformats.org/officeDocument/2006/relationships/hyperlink" Target="https://farsiight.com/services/digital-strategy/performance-marketing-melbourne/" TargetMode="External"/><Relationship Id="rId43" Type="http://schemas.openxmlformats.org/officeDocument/2006/relationships/hyperlink" Target="http://semrush.com" TargetMode="External"/><Relationship Id="rId46" Type="http://schemas.openxmlformats.org/officeDocument/2006/relationships/hyperlink" Target="https://agencies.semrush.com/list/ai-optimization/australia/" TargetMode="External"/><Relationship Id="rId45" Type="http://schemas.openxmlformats.org/officeDocument/2006/relationships/hyperlink" Target="http://farsiight.com" TargetMode="External"/><Relationship Id="rId48" Type="http://schemas.openxmlformats.org/officeDocument/2006/relationships/hyperlink" Target="https://digitalagencynetwork.com/agencies/sydney/ai-marketing/" TargetMode="External"/><Relationship Id="rId47" Type="http://schemas.openxmlformats.org/officeDocument/2006/relationships/hyperlink" Target="http://semrush.com" TargetMode="External"/><Relationship Id="rId49" Type="http://schemas.openxmlformats.org/officeDocument/2006/relationships/hyperlink" Target="http://digitalagencynetwork.com" TargetMode="External"/><Relationship Id="rId31" Type="http://schemas.openxmlformats.org/officeDocument/2006/relationships/hyperlink" Target="http://semrush.com" TargetMode="External"/><Relationship Id="rId30" Type="http://schemas.openxmlformats.org/officeDocument/2006/relationships/hyperlink" Target="https://www.semrush.com/agencies/list/display-advertising/australia/" TargetMode="External"/><Relationship Id="rId33" Type="http://schemas.openxmlformats.org/officeDocument/2006/relationships/hyperlink" Target="http://techbehemoths.com" TargetMode="External"/><Relationship Id="rId32" Type="http://schemas.openxmlformats.org/officeDocument/2006/relationships/hyperlink" Target="https://techbehemoths.com/companies/google-marketing-platform/australia" TargetMode="External"/><Relationship Id="rId35" Type="http://schemas.openxmlformats.org/officeDocument/2006/relationships/hyperlink" Target="http://avinashvagh.com" TargetMode="External"/><Relationship Id="rId34" Type="http://schemas.openxmlformats.org/officeDocument/2006/relationships/hyperlink" Target="https://avinashvagh.com/blog/best-geo-agencies-australia" TargetMode="External"/><Relationship Id="rId37" Type="http://schemas.openxmlformats.org/officeDocument/2006/relationships/hyperlink" Target="http://clutch.co" TargetMode="External"/><Relationship Id="rId36" Type="http://schemas.openxmlformats.org/officeDocument/2006/relationships/hyperlink" Target="https://clutch.co/au/agencies/programmatic" TargetMode="External"/><Relationship Id="rId39" Type="http://schemas.openxmlformats.org/officeDocument/2006/relationships/hyperlink" Target="http://farsiight.com" TargetMode="External"/><Relationship Id="rId38" Type="http://schemas.openxmlformats.org/officeDocument/2006/relationships/hyperlink" Target="https://farsiight.com/services/digital-strategy/performance-marketing-sydney/" TargetMode="External"/><Relationship Id="rId20" Type="http://schemas.openxmlformats.org/officeDocument/2006/relationships/hyperlink" Target="https://clutch.co/au/consulting/ai/strategy" TargetMode="External"/><Relationship Id="rId22" Type="http://schemas.openxmlformats.org/officeDocument/2006/relationships/hyperlink" Target="https://digitalagencynetwork.com/agencies/melbourne/ai-marketing/" TargetMode="External"/><Relationship Id="rId21" Type="http://schemas.openxmlformats.org/officeDocument/2006/relationships/hyperlink" Target="http://clutch.co" TargetMode="External"/><Relationship Id="rId24" Type="http://schemas.openxmlformats.org/officeDocument/2006/relationships/hyperlink" Target="https://www.semrush.com/agencies/list/analytics-data-science/melbourne/" TargetMode="External"/><Relationship Id="rId23" Type="http://schemas.openxmlformats.org/officeDocument/2006/relationships/hyperlink" Target="http://digitalagencynetwork.com" TargetMode="External"/><Relationship Id="rId26" Type="http://schemas.openxmlformats.org/officeDocument/2006/relationships/hyperlink" Target="https://edisonmoment.com/agency/best/performance-marketing-agency-australia" TargetMode="External"/><Relationship Id="rId25" Type="http://schemas.openxmlformats.org/officeDocument/2006/relationships/hyperlink" Target="http://semrush.com" TargetMode="External"/><Relationship Id="rId28" Type="http://schemas.openxmlformats.org/officeDocument/2006/relationships/hyperlink" Target="https://realmindsai.com.au/ai-consulting-melbourne/" TargetMode="External"/><Relationship Id="rId27" Type="http://schemas.openxmlformats.org/officeDocument/2006/relationships/hyperlink" Target="http://edisonmoment.com" TargetMode="External"/><Relationship Id="rId29" Type="http://schemas.openxmlformats.org/officeDocument/2006/relationships/hyperlink" Target="http://realmindsai.com.au" TargetMode="External"/><Relationship Id="rId11" Type="http://schemas.openxmlformats.org/officeDocument/2006/relationships/hyperlink" Target="http://clutch.co" TargetMode="External"/><Relationship Id="rId10" Type="http://schemas.openxmlformats.org/officeDocument/2006/relationships/hyperlink" Target="https://clutch.co/au/agencies/media-buying" TargetMode="External"/><Relationship Id="rId13" Type="http://schemas.openxmlformats.org/officeDocument/2006/relationships/hyperlink" Target="http://digitalagencynetwork.com" TargetMode="External"/><Relationship Id="rId12" Type="http://schemas.openxmlformats.org/officeDocument/2006/relationships/hyperlink" Target="https://digitalagencynetwork.com/agencies/sydney/geo/" TargetMode="External"/><Relationship Id="rId15" Type="http://schemas.openxmlformats.org/officeDocument/2006/relationships/hyperlink" Target="http://sortlist.com" TargetMode="External"/><Relationship Id="rId14" Type="http://schemas.openxmlformats.org/officeDocument/2006/relationships/hyperlink" Target="https://www.sortlist.com/s/creative/australia-au" TargetMode="External"/><Relationship Id="rId17" Type="http://schemas.openxmlformats.org/officeDocument/2006/relationships/hyperlink" Target="http://roi.com.au" TargetMode="External"/><Relationship Id="rId16" Type="http://schemas.openxmlformats.org/officeDocument/2006/relationships/hyperlink" Target="https://roi.com.au/our-expertise/" TargetMode="External"/><Relationship Id="rId19" Type="http://schemas.openxmlformats.org/officeDocument/2006/relationships/hyperlink" Target="http://thehero.co" TargetMode="External"/><Relationship Id="rId18" Type="http://schemas.openxmlformats.org/officeDocument/2006/relationships/hyperlink" Target="https://www.thehero.co/news/leading-advertising-agencies-in-australia-2026-creative-benchmark" TargetMode="External"/><Relationship Id="rId84" Type="http://schemas.openxmlformats.org/officeDocument/2006/relationships/hyperlink" Target="https://www.advancer.com.au/about" TargetMode="External"/><Relationship Id="rId83" Type="http://schemas.openxmlformats.org/officeDocument/2006/relationships/hyperlink" Target="http://webprofits.com.au" TargetMode="External"/><Relationship Id="rId86" Type="http://schemas.openxmlformats.org/officeDocument/2006/relationships/hyperlink" Target="https://agencies.semrush.com/list/smm/sydney/" TargetMode="External"/><Relationship Id="rId85" Type="http://schemas.openxmlformats.org/officeDocument/2006/relationships/hyperlink" Target="http://advancer.com.au" TargetMode="External"/><Relationship Id="rId88" Type="http://schemas.openxmlformats.org/officeDocument/2006/relationships/hyperlink" Target="https://agencylist.com/services/measurement-and-coverage-reports/au/" TargetMode="External"/><Relationship Id="rId87" Type="http://schemas.openxmlformats.org/officeDocument/2006/relationships/hyperlink" Target="http://semrush.com" TargetMode="External"/><Relationship Id="rId89" Type="http://schemas.openxmlformats.org/officeDocument/2006/relationships/hyperlink" Target="http://agencylist.com" TargetMode="External"/><Relationship Id="rId80" Type="http://schemas.openxmlformats.org/officeDocument/2006/relationships/hyperlink" Target="https://www.thehero.co/news/australias-best-marketing-advertising-firm-2026-top-100" TargetMode="External"/><Relationship Id="rId82" Type="http://schemas.openxmlformats.org/officeDocument/2006/relationships/hyperlink" Target="https://webprofits.com.au/about.html" TargetMode="External"/><Relationship Id="rId81" Type="http://schemas.openxmlformats.org/officeDocument/2006/relationships/hyperlink" Target="http://thehero.co" TargetMode="External"/><Relationship Id="rId73" Type="http://schemas.openxmlformats.org/officeDocument/2006/relationships/hyperlink" Target="http://sortlist.com" TargetMode="External"/><Relationship Id="rId72" Type="http://schemas.openxmlformats.org/officeDocument/2006/relationships/hyperlink" Target="https://www.sortlist.com/s/display-advertising/brisbane-qld-au" TargetMode="External"/><Relationship Id="rId75" Type="http://schemas.openxmlformats.org/officeDocument/2006/relationships/hyperlink" Target="http://goodfirms.co" TargetMode="External"/><Relationship Id="rId74" Type="http://schemas.openxmlformats.org/officeDocument/2006/relationships/hyperlink" Target="https://www.goodfirms.co/company/get-ai-ready" TargetMode="External"/><Relationship Id="rId77" Type="http://schemas.openxmlformats.org/officeDocument/2006/relationships/hyperlink" Target="http://marshalltech.io" TargetMode="External"/><Relationship Id="rId76" Type="http://schemas.openxmlformats.org/officeDocument/2006/relationships/hyperlink" Target="https://www.marshalltech.io/ai-consultant" TargetMode="External"/><Relationship Id="rId79" Type="http://schemas.openxmlformats.org/officeDocument/2006/relationships/hyperlink" Target="http://rocketagency.com.au" TargetMode="External"/><Relationship Id="rId78" Type="http://schemas.openxmlformats.org/officeDocument/2006/relationships/hyperlink" Target="https://rocketagency.com.au/about/digital-marketing-awards" TargetMode="External"/><Relationship Id="rId71" Type="http://schemas.openxmlformats.org/officeDocument/2006/relationships/hyperlink" Target="http://rankingco.com.au" TargetMode="External"/><Relationship Id="rId70" Type="http://schemas.openxmlformats.org/officeDocument/2006/relationships/hyperlink" Target="https://www.rankingco.com.au/google-premier-partner-2026" TargetMode="External"/><Relationship Id="rId62" Type="http://schemas.openxmlformats.org/officeDocument/2006/relationships/hyperlink" Target="https://pixelhatch.com.au/consulting/" TargetMode="External"/><Relationship Id="rId61" Type="http://schemas.openxmlformats.org/officeDocument/2006/relationships/hyperlink" Target="http://bbe.io" TargetMode="External"/><Relationship Id="rId64" Type="http://schemas.openxmlformats.org/officeDocument/2006/relationships/hyperlink" Target="https://www.google.com/intl/en_GB/ads/publisher/partners/find-a-partner/" TargetMode="External"/><Relationship Id="rId63" Type="http://schemas.openxmlformats.org/officeDocument/2006/relationships/hyperlink" Target="http://pixelhatch.com.au" TargetMode="External"/><Relationship Id="rId66" Type="http://schemas.openxmlformats.org/officeDocument/2006/relationships/hyperlink" Target="https://www.onetoo.com.au/aeo-agency" TargetMode="External"/><Relationship Id="rId65" Type="http://schemas.openxmlformats.org/officeDocument/2006/relationships/hyperlink" Target="http://google.com" TargetMode="External"/><Relationship Id="rId68" Type="http://schemas.openxmlformats.org/officeDocument/2006/relationships/hyperlink" Target="https://www.goodfirms.co/directory/country/top-digital-marketing-companies/media-planning-buying/australia" TargetMode="External"/><Relationship Id="rId67" Type="http://schemas.openxmlformats.org/officeDocument/2006/relationships/hyperlink" Target="http://onetoo.com.au" TargetMode="External"/><Relationship Id="rId60" Type="http://schemas.openxmlformats.org/officeDocument/2006/relationships/hyperlink" Target="https://www.bbe.io/leading-advertising-agencies-in-australia-2025-sydney-melbourne-brisbane" TargetMode="External"/><Relationship Id="rId69" Type="http://schemas.openxmlformats.org/officeDocument/2006/relationships/hyperlink" Target="http://goodfirms.co" TargetMode="External"/><Relationship Id="rId51" Type="http://schemas.openxmlformats.org/officeDocument/2006/relationships/hyperlink" Target="http://edisonmoment.com" TargetMode="External"/><Relationship Id="rId50" Type="http://schemas.openxmlformats.org/officeDocument/2006/relationships/hyperlink" Target="https://edisonmoment.com/agency/best/digital-marketing-agency-australia" TargetMode="External"/><Relationship Id="rId53" Type="http://schemas.openxmlformats.org/officeDocument/2006/relationships/hyperlink" Target="http://hyperdot.com.au" TargetMode="External"/><Relationship Id="rId52" Type="http://schemas.openxmlformats.org/officeDocument/2006/relationships/hyperlink" Target="https://hyperdot.com.au/about-hyperdot/" TargetMode="External"/><Relationship Id="rId55" Type="http://schemas.openxmlformats.org/officeDocument/2006/relationships/hyperlink" Target="http://infraworx.com.au" TargetMode="External"/><Relationship Id="rId54" Type="http://schemas.openxmlformats.org/officeDocument/2006/relationships/hyperlink" Target="https://www.infraworx.com.au/ai-automation-consulting-sydney/" TargetMode="External"/><Relationship Id="rId57" Type="http://schemas.openxmlformats.org/officeDocument/2006/relationships/hyperlink" Target="http://sortlist.com" TargetMode="External"/><Relationship Id="rId56" Type="http://schemas.openxmlformats.org/officeDocument/2006/relationships/hyperlink" Target="https://www.sortlist.com/l/australia-au" TargetMode="External"/><Relationship Id="rId59" Type="http://schemas.openxmlformats.org/officeDocument/2006/relationships/hyperlink" Target="http://avinashvagh.com" TargetMode="External"/><Relationship Id="rId58" Type="http://schemas.openxmlformats.org/officeDocument/2006/relationships/hyperlink" Target="https://avinashvagh.com/blog/best-aeo-agencies-australia" TargetMode="External"/><Relationship Id="rId95" Type="http://schemas.openxmlformats.org/officeDocument/2006/relationships/hyperlink" Target="http://bonfire.com.au" TargetMode="External"/><Relationship Id="rId94" Type="http://schemas.openxmlformats.org/officeDocument/2006/relationships/hyperlink" Target="https://www.bonfire.com.au/about/" TargetMode="External"/><Relationship Id="rId97" Type="http://schemas.openxmlformats.org/officeDocument/2006/relationships/hyperlink" Target="http://capterra.com.au" TargetMode="External"/><Relationship Id="rId96" Type="http://schemas.openxmlformats.org/officeDocument/2006/relationships/hyperlink" Target="https://www.capterra.com.au/software/132822/bizible" TargetMode="External"/><Relationship Id="rId99" Type="http://schemas.openxmlformats.org/officeDocument/2006/relationships/hyperlink" Target="http://clutch.co" TargetMode="External"/><Relationship Id="rId98" Type="http://schemas.openxmlformats.org/officeDocument/2006/relationships/hyperlink" Target="https://clutch.co/profile/megaphone-marketing" TargetMode="External"/><Relationship Id="rId91" Type="http://schemas.openxmlformats.org/officeDocument/2006/relationships/hyperlink" Target="http://linkedin.com" TargetMode="External"/><Relationship Id="rId90" Type="http://schemas.openxmlformats.org/officeDocument/2006/relationships/hyperlink" Target="https://au.linkedin.com/company/thinkerbellagency" TargetMode="External"/><Relationship Id="rId93" Type="http://schemas.openxmlformats.org/officeDocument/2006/relationships/hyperlink" Target="http://linkedin.com" TargetMode="External"/><Relationship Id="rId92" Type="http://schemas.openxmlformats.org/officeDocument/2006/relationships/hyperlink" Target="https://au.linkedin.com/company/xpontechnologies" TargetMode="External"/><Relationship Id="rId225" Type="http://schemas.openxmlformats.org/officeDocument/2006/relationships/drawing" Target="../drawings/drawing30.xml"/><Relationship Id="rId220" Type="http://schemas.openxmlformats.org/officeDocument/2006/relationships/hyperlink" Target="http://undivided.com.au" TargetMode="External"/><Relationship Id="rId224" Type="http://schemas.openxmlformats.org/officeDocument/2006/relationships/hyperlink" Target="http://zoominfo.com" TargetMode="External"/><Relationship Id="rId223" Type="http://schemas.openxmlformats.org/officeDocument/2006/relationships/hyperlink" Target="https://www.zoominfo.com/c/metric-labs/447146165" TargetMode="External"/><Relationship Id="rId222" Type="http://schemas.openxmlformats.org/officeDocument/2006/relationships/hyperlink" Target="http://wpp.com" TargetMode="External"/><Relationship Id="rId221" Type="http://schemas.openxmlformats.org/officeDocument/2006/relationships/hyperlink" Target="https://www.wpp.com/en/news/2026/03/wpp-claims-top-spot-on-warc-creative-100-for-fourth-consecutive-year" TargetMode="External"/><Relationship Id="rId217" Type="http://schemas.openxmlformats.org/officeDocument/2006/relationships/hyperlink" Target="https://www.trkkn.com/products-tools" TargetMode="External"/><Relationship Id="rId216" Type="http://schemas.openxmlformats.org/officeDocument/2006/relationships/hyperlink" Target="http://thehero.co" TargetMode="External"/><Relationship Id="rId215" Type="http://schemas.openxmlformats.org/officeDocument/2006/relationships/hyperlink" Target="https://www.thehero.co/services-creative-performance-ai" TargetMode="External"/><Relationship Id="rId214" Type="http://schemas.openxmlformats.org/officeDocument/2006/relationships/hyperlink" Target="http://thehero.co" TargetMode="External"/><Relationship Id="rId219" Type="http://schemas.openxmlformats.org/officeDocument/2006/relationships/hyperlink" Target="https://www.undivided.com.au/about-us" TargetMode="External"/><Relationship Id="rId218" Type="http://schemas.openxmlformats.org/officeDocument/2006/relationships/hyperlink" Target="http://trkkn.com" TargetMode="External"/><Relationship Id="rId213" Type="http://schemas.openxmlformats.org/officeDocument/2006/relationships/hyperlink" Target="https://www.thehero.co/news/advertising-marketings-best-agencies-top-sydney-2026-mumbrella-awards-list" TargetMode="External"/><Relationship Id="rId212" Type="http://schemas.openxmlformats.org/officeDocument/2006/relationships/hyperlink" Target="http://thehero.co" TargetMode="External"/><Relationship Id="rId211" Type="http://schemas.openxmlformats.org/officeDocument/2006/relationships/hyperlink" Target="https://www.thehero.co/best/advertising/agency/australia" TargetMode="External"/><Relationship Id="rId210" Type="http://schemas.openxmlformats.org/officeDocument/2006/relationships/hyperlink" Target="http://sparro.com.au" TargetMode="External"/><Relationship Id="rId206" Type="http://schemas.openxmlformats.org/officeDocument/2006/relationships/hyperlink" Target="http://sortlist.com" TargetMode="External"/><Relationship Id="rId205" Type="http://schemas.openxmlformats.org/officeDocument/2006/relationships/hyperlink" Target="https://www.sortlist.com/s/performance-marketing/victoria-vic-au" TargetMode="External"/><Relationship Id="rId204" Type="http://schemas.openxmlformats.org/officeDocument/2006/relationships/hyperlink" Target="http://sortlist.com" TargetMode="External"/><Relationship Id="rId203" Type="http://schemas.openxmlformats.org/officeDocument/2006/relationships/hyperlink" Target="https://www.sortlist.com/s/paid-media/victoria-vic-au" TargetMode="External"/><Relationship Id="rId209" Type="http://schemas.openxmlformats.org/officeDocument/2006/relationships/hyperlink" Target="https://sparro.com.au/home-2/" TargetMode="External"/><Relationship Id="rId208" Type="http://schemas.openxmlformats.org/officeDocument/2006/relationships/hyperlink" Target="http://sortlist.com" TargetMode="External"/><Relationship Id="rId207" Type="http://schemas.openxmlformats.org/officeDocument/2006/relationships/hyperlink" Target="https://www.sortlist.com/web-analytics/australia-au" TargetMode="External"/><Relationship Id="rId202" Type="http://schemas.openxmlformats.org/officeDocument/2006/relationships/hyperlink" Target="http://roi.com.au" TargetMode="External"/><Relationship Id="rId201" Type="http://schemas.openxmlformats.org/officeDocument/2006/relationships/hyperlink" Target="https://roi.com.au/about-us" TargetMode="External"/><Relationship Id="rId200" Type="http://schemas.openxmlformats.org/officeDocument/2006/relationships/hyperlink" Target="http://rocketreach.co" TargetMode="External"/><Relationship Id="rId190" Type="http://schemas.openxmlformats.org/officeDocument/2006/relationships/hyperlink" Target="https://www.precisiondatapartners.com.au/sydney/" TargetMode="External"/><Relationship Id="rId194" Type="http://schemas.openxmlformats.org/officeDocument/2006/relationships/hyperlink" Target="https://www.resolutiondigital.com.au/about/" TargetMode="External"/><Relationship Id="rId193" Type="http://schemas.openxmlformats.org/officeDocument/2006/relationships/hyperlink" Target="http://reloadmedia.com.au" TargetMode="External"/><Relationship Id="rId192" Type="http://schemas.openxmlformats.org/officeDocument/2006/relationships/hyperlink" Target="https://www.reloadmedia.com.au/contact/" TargetMode="External"/><Relationship Id="rId191" Type="http://schemas.openxmlformats.org/officeDocument/2006/relationships/hyperlink" Target="http://precisiondatapartners.com.au" TargetMode="External"/><Relationship Id="rId187" Type="http://schemas.openxmlformats.org/officeDocument/2006/relationships/hyperlink" Target="http://mumbrella.com.au" TargetMode="External"/><Relationship Id="rId186" Type="http://schemas.openxmlformats.org/officeDocument/2006/relationships/hyperlink" Target="https://mumbrella.com.au/pro/entity/bmf/" TargetMode="External"/><Relationship Id="rId185" Type="http://schemas.openxmlformats.org/officeDocument/2006/relationships/hyperlink" Target="http://mantelgroup.com.au" TargetMode="External"/><Relationship Id="rId184" Type="http://schemas.openxmlformats.org/officeDocument/2006/relationships/hyperlink" Target="https://mantelgroup.com.au/services/ai/" TargetMode="External"/><Relationship Id="rId189" Type="http://schemas.openxmlformats.org/officeDocument/2006/relationships/hyperlink" Target="http://onlinemarketinggurus.com.au" TargetMode="External"/><Relationship Id="rId188" Type="http://schemas.openxmlformats.org/officeDocument/2006/relationships/hyperlink" Target="https://www.onlinemarketinggurus.com.au/about/" TargetMode="External"/><Relationship Id="rId183" Type="http://schemas.openxmlformats.org/officeDocument/2006/relationships/hyperlink" Target="http://yelp.com" TargetMode="External"/><Relationship Id="rId182" Type="http://schemas.openxmlformats.org/officeDocument/2006/relationships/hyperlink" Target="https://m.yelp.com/biz/loves-data-pty-ltd-mosman" TargetMode="External"/><Relationship Id="rId181" Type="http://schemas.openxmlformats.org/officeDocument/2006/relationships/hyperlink" Target="https://luckyboy.agency/advertising-agency-collingwood" TargetMode="External"/><Relationship Id="rId180" Type="http://schemas.openxmlformats.org/officeDocument/2006/relationships/hyperlink" Target="http://lengreo.com" TargetMode="External"/><Relationship Id="rId176" Type="http://schemas.openxmlformats.org/officeDocument/2006/relationships/hyperlink" Target="http://intelliagent.com.au" TargetMode="External"/><Relationship Id="rId175" Type="http://schemas.openxmlformats.org/officeDocument/2006/relationships/hyperlink" Target="https://www.intelliagent.com.au/about" TargetMode="External"/><Relationship Id="rId174" Type="http://schemas.openxmlformats.org/officeDocument/2006/relationships/hyperlink" Target="http://growthaffect.com.au" TargetMode="External"/><Relationship Id="rId173" Type="http://schemas.openxmlformats.org/officeDocument/2006/relationships/hyperlink" Target="https://www.growthaffect.com.au/pages/about-us" TargetMode="External"/><Relationship Id="rId179" Type="http://schemas.openxmlformats.org/officeDocument/2006/relationships/hyperlink" Target="https://lengreo.com/australia-melbourne-aeo-geo-llmo-companies/" TargetMode="External"/><Relationship Id="rId178" Type="http://schemas.openxmlformats.org/officeDocument/2006/relationships/hyperlink" Target="http://lengreo.com" TargetMode="External"/><Relationship Id="rId177" Type="http://schemas.openxmlformats.org/officeDocument/2006/relationships/hyperlink" Target="https://lengreo.com/australia-adelaide-aeo-geo-llmo-companies/" TargetMode="External"/><Relationship Id="rId198" Type="http://schemas.openxmlformats.org/officeDocument/2006/relationships/hyperlink" Target="https://www.rfp.wiki/advertising-media-communications-services/integrated-creative-brand-agencies/droga5" TargetMode="External"/><Relationship Id="rId197" Type="http://schemas.openxmlformats.org/officeDocument/2006/relationships/hyperlink" Target="http://resolutiondigital.com.au" TargetMode="External"/><Relationship Id="rId196" Type="http://schemas.openxmlformats.org/officeDocument/2006/relationships/hyperlink" Target="https://www.resolutiondigital.com.au/insights/resolution-digital-launches-resolution-kinetic-anz/" TargetMode="External"/><Relationship Id="rId195" Type="http://schemas.openxmlformats.org/officeDocument/2006/relationships/hyperlink" Target="http://resolutiondigital.com.au" TargetMode="External"/><Relationship Id="rId199" Type="http://schemas.openxmlformats.org/officeDocument/2006/relationships/hyperlink" Target="https://rocketreach.co/sparro-profile_b5d92a07f42e5d84" TargetMode="External"/><Relationship Id="rId150" Type="http://schemas.openxmlformats.org/officeDocument/2006/relationships/hyperlink" Target="http://clutch.co" TargetMode="External"/><Relationship Id="rId149" Type="http://schemas.openxmlformats.org/officeDocument/2006/relationships/hyperlink" Target="https://clutch.co/au/agencies/media-buying?page=2" TargetMode="External"/><Relationship Id="rId148" Type="http://schemas.openxmlformats.org/officeDocument/2006/relationships/hyperlink" Target="http://bandt.com.au" TargetMode="External"/><Relationship Id="rId143" Type="http://schemas.openxmlformats.org/officeDocument/2006/relationships/hyperlink" Target="https://au.linkedin.com/in/iampaulio" TargetMode="External"/><Relationship Id="rId142" Type="http://schemas.openxmlformats.org/officeDocument/2006/relationships/hyperlink" Target="http://linkedin.com" TargetMode="External"/><Relationship Id="rId141" Type="http://schemas.openxmlformats.org/officeDocument/2006/relationships/hyperlink" Target="https://au.linkedin.com/company/trkkn" TargetMode="External"/><Relationship Id="rId140" Type="http://schemas.openxmlformats.org/officeDocument/2006/relationships/hyperlink" Target="http://linkedin.com" TargetMode="External"/><Relationship Id="rId147" Type="http://schemas.openxmlformats.org/officeDocument/2006/relationships/hyperlink" Target="https://www.bandt.com.au/droga5-bts-agency-scorecard-2026/" TargetMode="External"/><Relationship Id="rId146" Type="http://schemas.openxmlformats.org/officeDocument/2006/relationships/hyperlink" Target="http://avionaustralia.com" TargetMode="External"/><Relationship Id="rId145" Type="http://schemas.openxmlformats.org/officeDocument/2006/relationships/hyperlink" Target="https://www.avionaustralia.com/certifications/" TargetMode="External"/><Relationship Id="rId144" Type="http://schemas.openxmlformats.org/officeDocument/2006/relationships/hyperlink" Target="http://linkedin.com" TargetMode="External"/><Relationship Id="rId139" Type="http://schemas.openxmlformats.org/officeDocument/2006/relationships/hyperlink" Target="https://au.linkedin.com/company/online-marketing-gurus" TargetMode="External"/><Relationship Id="rId138" Type="http://schemas.openxmlformats.org/officeDocument/2006/relationships/hyperlink" Target="http://linkedin.com" TargetMode="External"/><Relationship Id="rId137" Type="http://schemas.openxmlformats.org/officeDocument/2006/relationships/hyperlink" Target="https://au.linkedin.com/company/ogilvy-australia" TargetMode="External"/><Relationship Id="rId132" Type="http://schemas.openxmlformats.org/officeDocument/2006/relationships/hyperlink" Target="http://linkedin.com" TargetMode="External"/><Relationship Id="rId131" Type="http://schemas.openxmlformats.org/officeDocument/2006/relationships/hyperlink" Target="https://au.linkedin.com/company/clemenger-bbdo" TargetMode="External"/><Relationship Id="rId130" Type="http://schemas.openxmlformats.org/officeDocument/2006/relationships/hyperlink" Target="http://linkedin.com" TargetMode="External"/><Relationship Id="rId136" Type="http://schemas.openxmlformats.org/officeDocument/2006/relationships/hyperlink" Target="http://linkedin.com" TargetMode="External"/><Relationship Id="rId135" Type="http://schemas.openxmlformats.org/officeDocument/2006/relationships/hyperlink" Target="https://au.linkedin.com/company/metric-labs" TargetMode="External"/><Relationship Id="rId134" Type="http://schemas.openxmlformats.org/officeDocument/2006/relationships/hyperlink" Target="http://linkedin.com" TargetMode="External"/><Relationship Id="rId133" Type="http://schemas.openxmlformats.org/officeDocument/2006/relationships/hyperlink" Target="https://au.linkedin.com/company/droga5-anz" TargetMode="External"/><Relationship Id="rId172" Type="http://schemas.openxmlformats.org/officeDocument/2006/relationships/hyperlink" Target="http://gorilla360.com.au" TargetMode="External"/><Relationship Id="rId171" Type="http://schemas.openxmlformats.org/officeDocument/2006/relationships/hyperlink" Target="https://gorilla360.com.au/instagram-advertising/" TargetMode="External"/><Relationship Id="rId170" Type="http://schemas.openxmlformats.org/officeDocument/2006/relationships/hyperlink" Target="http://goodfirms.co" TargetMode="External"/><Relationship Id="rId165" Type="http://schemas.openxmlformats.org/officeDocument/2006/relationships/hyperlink" Target="https://directory.esomar.org/search/%2A?from=5" TargetMode="External"/><Relationship Id="rId164" Type="http://schemas.openxmlformats.org/officeDocument/2006/relationships/hyperlink" Target="http://digitalagencynetwork.com" TargetMode="External"/><Relationship Id="rId163" Type="http://schemas.openxmlformats.org/officeDocument/2006/relationships/hyperlink" Target="https://digitalagencynetwork.com/agency/alpha-digital/" TargetMode="External"/><Relationship Id="rId162" Type="http://schemas.openxmlformats.org/officeDocument/2006/relationships/hyperlink" Target="http://deptagency.com" TargetMode="External"/><Relationship Id="rId169" Type="http://schemas.openxmlformats.org/officeDocument/2006/relationships/hyperlink" Target="https://www.goodfirms.co/artificial-intelligence/ai-consulting" TargetMode="External"/><Relationship Id="rId168" Type="http://schemas.openxmlformats.org/officeDocument/2006/relationships/hyperlink" Target="http://edisonai.au" TargetMode="External"/><Relationship Id="rId167" Type="http://schemas.openxmlformats.org/officeDocument/2006/relationships/hyperlink" Target="https://edisonai.au/about" TargetMode="External"/><Relationship Id="rId166" Type="http://schemas.openxmlformats.org/officeDocument/2006/relationships/hyperlink" Target="http://esomar.org" TargetMode="External"/><Relationship Id="rId161" Type="http://schemas.openxmlformats.org/officeDocument/2006/relationships/hyperlink" Target="https://www.deptagency.com/partner/google/" TargetMode="External"/><Relationship Id="rId160" Type="http://schemas.openxmlformats.org/officeDocument/2006/relationships/hyperlink" Target="http://deptagency.com" TargetMode="External"/><Relationship Id="rId159" Type="http://schemas.openxmlformats.org/officeDocument/2006/relationships/hyperlink" Target="https://www.deptagency.com/en-au/partner/google/" TargetMode="External"/><Relationship Id="rId154" Type="http://schemas.openxmlformats.org/officeDocument/2006/relationships/hyperlink" Target="http://conversioncreative.com.au" TargetMode="External"/><Relationship Id="rId153" Type="http://schemas.openxmlformats.org/officeDocument/2006/relationships/hyperlink" Target="https://conversioncreative.com.au/agencies/adgility/" TargetMode="External"/><Relationship Id="rId152" Type="http://schemas.openxmlformats.org/officeDocument/2006/relationships/hyperlink" Target="http://clutch.co" TargetMode="External"/><Relationship Id="rId151" Type="http://schemas.openxmlformats.org/officeDocument/2006/relationships/hyperlink" Target="https://clutch.co/profile/xpon-technologies" TargetMode="External"/><Relationship Id="rId158" Type="http://schemas.openxmlformats.org/officeDocument/2006/relationships/hyperlink" Target="http://dentsu.com" TargetMode="External"/><Relationship Id="rId157" Type="http://schemas.openxmlformats.org/officeDocument/2006/relationships/hyperlink" Target="https://www.dentsu.com/au/en/solutions/global-alliance-partners/google" TargetMode="External"/><Relationship Id="rId156" Type="http://schemas.openxmlformats.org/officeDocument/2006/relationships/hyperlink" Target="http://defencesa.com" TargetMode="External"/><Relationship Id="rId155" Type="http://schemas.openxmlformats.org/officeDocument/2006/relationships/hyperlink" Target="https://defencesa.com/industry/industry-directory/customs-agency-services-pty-ltd/" TargetMode="External"/><Relationship Id="rId107" Type="http://schemas.openxmlformats.org/officeDocument/2006/relationships/hyperlink" Target="http://sortlist.com" TargetMode="External"/><Relationship Id="rId106" Type="http://schemas.openxmlformats.org/officeDocument/2006/relationships/hyperlink" Target="https://www.sortlist.com/s/performance-marketing/queensland-qld-au" TargetMode="External"/><Relationship Id="rId105" Type="http://schemas.openxmlformats.org/officeDocument/2006/relationships/hyperlink" Target="http://semrush.com" TargetMode="External"/><Relationship Id="rId104" Type="http://schemas.openxmlformats.org/officeDocument/2006/relationships/hyperlink" Target="https://www.semrush.com/agencies/list/analytics-data-science/australia/" TargetMode="External"/><Relationship Id="rId109" Type="http://schemas.openxmlformats.org/officeDocument/2006/relationships/hyperlink" Target="http://thehero.co" TargetMode="External"/><Relationship Id="rId108" Type="http://schemas.openxmlformats.org/officeDocument/2006/relationships/hyperlink" Target="https://www.thehero.co/about" TargetMode="External"/><Relationship Id="rId103" Type="http://schemas.openxmlformats.org/officeDocument/2006/relationships/hyperlink" Target="http://linkedin.com" TargetMode="External"/><Relationship Id="rId102" Type="http://schemas.openxmlformats.org/officeDocument/2006/relationships/hyperlink" Target="https://www.linkedin.com/company/sparro-digital" TargetMode="External"/><Relationship Id="rId101" Type="http://schemas.openxmlformats.org/officeDocument/2006/relationships/hyperlink" Target="http://digitalagencynetwork.com" TargetMode="External"/><Relationship Id="rId100" Type="http://schemas.openxmlformats.org/officeDocument/2006/relationships/hyperlink" Target="https://digitalagencynetwork.com/agencies/melbourne/geo/" TargetMode="External"/><Relationship Id="rId129" Type="http://schemas.openxmlformats.org/officeDocument/2006/relationships/hyperlink" Target="https://au.linkedin.com/company/bmf-advertising-pty-ltd-" TargetMode="External"/><Relationship Id="rId128" Type="http://schemas.openxmlformats.org/officeDocument/2006/relationships/hyperlink" Target="http://linkedin.com" TargetMode="External"/><Relationship Id="rId127" Type="http://schemas.openxmlformats.org/officeDocument/2006/relationships/hyperlink" Target="https://au.linkedin.com/company/alpha-digital" TargetMode="External"/><Relationship Id="rId126" Type="http://schemas.openxmlformats.org/officeDocument/2006/relationships/hyperlink" Target="http://linkedin.com" TargetMode="External"/><Relationship Id="rId121" Type="http://schemas.openxmlformats.org/officeDocument/2006/relationships/hyperlink" Target="https://www.alphadigital.com.au/contact/" TargetMode="External"/><Relationship Id="rId120" Type="http://schemas.openxmlformats.org/officeDocument/2006/relationships/hyperlink" Target="https://aiims.group/services/best-seo-agency-australia/" TargetMode="External"/><Relationship Id="rId125" Type="http://schemas.openxmlformats.org/officeDocument/2006/relationships/hyperlink" Target="https://au.linkedin.com/company/alley-group" TargetMode="External"/><Relationship Id="rId124" Type="http://schemas.openxmlformats.org/officeDocument/2006/relationships/hyperlink" Target="http://aoyglobalawards.com" TargetMode="External"/><Relationship Id="rId123" Type="http://schemas.openxmlformats.org/officeDocument/2006/relationships/hyperlink" Target="https://www.aoyglobalawards.com/finalists/droga5-anz-part-of-accenture-song-2jony4abg4wj6hj" TargetMode="External"/><Relationship Id="rId122" Type="http://schemas.openxmlformats.org/officeDocument/2006/relationships/hyperlink" Target="http://alphadigital.com.au" TargetMode="External"/><Relationship Id="rId118" Type="http://schemas.openxmlformats.org/officeDocument/2006/relationships/hyperlink" Target="https://www.adsoftheworld.com/agencies/the-monkeys" TargetMode="External"/><Relationship Id="rId117" Type="http://schemas.openxmlformats.org/officeDocument/2006/relationships/hyperlink" Target="http://admatic.com" TargetMode="External"/><Relationship Id="rId116" Type="http://schemas.openxmlformats.org/officeDocument/2006/relationships/hyperlink" Target="https://admatic.com/lp/digital-agency/sydney" TargetMode="External"/><Relationship Id="rId115" Type="http://schemas.openxmlformats.org/officeDocument/2006/relationships/hyperlink" Target="http://admatic.com" TargetMode="External"/><Relationship Id="rId119" Type="http://schemas.openxmlformats.org/officeDocument/2006/relationships/hyperlink" Target="http://adsoftheworld.com" TargetMode="External"/><Relationship Id="rId110" Type="http://schemas.openxmlformats.org/officeDocument/2006/relationships/hyperlink" Target="https://www.undivided.com.au/direct-response-marketing-agency" TargetMode="External"/><Relationship Id="rId114" Type="http://schemas.openxmlformats.org/officeDocument/2006/relationships/hyperlink" Target="https://admatic.com/lp/digital-agency/auckland" TargetMode="External"/><Relationship Id="rId113" Type="http://schemas.openxmlformats.org/officeDocument/2006/relationships/hyperlink" Target="http://unglobalcompact.org.au" TargetMode="External"/><Relationship Id="rId112" Type="http://schemas.openxmlformats.org/officeDocument/2006/relationships/hyperlink" Target="https://unglobalcompact.org.au/our-members/thinkerbell/" TargetMode="External"/><Relationship Id="rId111" Type="http://schemas.openxmlformats.org/officeDocument/2006/relationships/hyperlink" Target="http://undivided.com.a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30.5"/>
    <col customWidth="1" min="2" max="6" width="12.63"/>
  </cols>
  <sheetData>
    <row r="1" ht="15.75" customHeight="1">
      <c r="A1" s="5" t="s">
        <v>2</v>
      </c>
      <c r="B1" s="5" t="s">
        <v>5</v>
      </c>
      <c r="C1" s="5" t="s">
        <v>7</v>
      </c>
      <c r="D1" s="5" t="s">
        <v>8</v>
      </c>
      <c r="E1" s="5" t="s">
        <v>12</v>
      </c>
      <c r="F1" s="5" t="s">
        <v>13</v>
      </c>
      <c r="G1" s="5" t="s">
        <v>14</v>
      </c>
      <c r="H1" s="5" t="s">
        <v>10</v>
      </c>
      <c r="I1" s="5" t="s">
        <v>15</v>
      </c>
      <c r="J1" s="8"/>
      <c r="K1" s="8"/>
      <c r="L1" s="8"/>
      <c r="M1" s="8"/>
      <c r="N1" s="8"/>
      <c r="O1" s="8"/>
      <c r="P1" s="8"/>
      <c r="Q1" s="8"/>
      <c r="R1" s="8"/>
      <c r="S1" s="8"/>
      <c r="T1" s="8"/>
      <c r="U1" s="8"/>
      <c r="V1" s="8"/>
      <c r="W1" s="8"/>
      <c r="X1" s="8"/>
      <c r="Y1" s="8"/>
      <c r="Z1" s="8"/>
    </row>
    <row r="2" ht="15.75" customHeight="1">
      <c r="A2" s="9" t="s">
        <v>18</v>
      </c>
      <c r="B2" s="14" t="s">
        <v>22</v>
      </c>
      <c r="C2" s="15" t="s">
        <v>23</v>
      </c>
      <c r="D2" s="14">
        <v>331.0</v>
      </c>
      <c r="F2" s="14">
        <v>0.35</v>
      </c>
      <c r="G2" s="14">
        <v>0.56</v>
      </c>
      <c r="H2" s="14">
        <v>1.6</v>
      </c>
    </row>
    <row r="3" ht="15.75" customHeight="1">
      <c r="A3" s="9" t="s">
        <v>25</v>
      </c>
      <c r="B3" s="14" t="s">
        <v>22</v>
      </c>
      <c r="C3" s="15" t="s">
        <v>27</v>
      </c>
      <c r="D3" s="14">
        <v>302.0</v>
      </c>
      <c r="F3" s="14">
        <v>0.31</v>
      </c>
      <c r="G3" s="14">
        <v>0.53</v>
      </c>
      <c r="H3" s="14">
        <v>0.77</v>
      </c>
    </row>
    <row r="4" ht="15.75" customHeight="1">
      <c r="A4" s="9" t="s">
        <v>28</v>
      </c>
      <c r="B4" s="14" t="s">
        <v>31</v>
      </c>
      <c r="C4" s="15" t="s">
        <v>33</v>
      </c>
      <c r="D4" s="14">
        <v>182.0</v>
      </c>
      <c r="F4" s="14">
        <v>0.19</v>
      </c>
      <c r="G4" s="14">
        <v>0.23</v>
      </c>
      <c r="H4" s="14">
        <v>0.7</v>
      </c>
    </row>
    <row r="5" ht="15.75" customHeight="1">
      <c r="A5" s="9" t="s">
        <v>36</v>
      </c>
      <c r="B5" s="14" t="s">
        <v>22</v>
      </c>
      <c r="C5" s="15" t="s">
        <v>38</v>
      </c>
      <c r="D5" s="14">
        <v>170.0</v>
      </c>
      <c r="F5" s="14">
        <v>0.18</v>
      </c>
      <c r="G5" s="14">
        <v>0.28</v>
      </c>
      <c r="H5" s="14">
        <v>0.76</v>
      </c>
    </row>
    <row r="6" ht="15.75" customHeight="1">
      <c r="A6" s="9" t="s">
        <v>39</v>
      </c>
      <c r="B6" s="14" t="s">
        <v>41</v>
      </c>
      <c r="C6" s="15" t="s">
        <v>42</v>
      </c>
      <c r="D6" s="14">
        <v>147.0</v>
      </c>
      <c r="F6" s="14">
        <v>0.15</v>
      </c>
      <c r="G6" s="14">
        <v>0.16</v>
      </c>
      <c r="H6" s="14">
        <v>1.06</v>
      </c>
    </row>
    <row r="7" ht="15.75" customHeight="1">
      <c r="A7" s="9" t="s">
        <v>43</v>
      </c>
      <c r="B7" s="14" t="s">
        <v>41</v>
      </c>
      <c r="C7" s="15" t="s">
        <v>46</v>
      </c>
      <c r="D7" s="14">
        <v>141.0</v>
      </c>
      <c r="F7" s="14">
        <v>0.15</v>
      </c>
      <c r="G7" s="14">
        <v>0.15</v>
      </c>
      <c r="H7" s="14">
        <v>1.72</v>
      </c>
    </row>
    <row r="8" ht="15.75" customHeight="1">
      <c r="A8" s="9" t="s">
        <v>48</v>
      </c>
      <c r="B8" s="14" t="s">
        <v>41</v>
      </c>
      <c r="C8" s="15" t="s">
        <v>51</v>
      </c>
      <c r="D8" s="14">
        <v>123.0</v>
      </c>
      <c r="F8" s="14">
        <v>0.13</v>
      </c>
      <c r="G8" s="14">
        <v>0.18</v>
      </c>
      <c r="H8" s="14">
        <v>2.0</v>
      </c>
    </row>
    <row r="9" ht="15.75" customHeight="1">
      <c r="A9" s="9" t="s">
        <v>17</v>
      </c>
      <c r="B9" s="14" t="s">
        <v>41</v>
      </c>
      <c r="C9" s="15" t="s">
        <v>54</v>
      </c>
      <c r="D9" s="14">
        <v>121.0</v>
      </c>
      <c r="F9" s="14">
        <v>0.13</v>
      </c>
      <c r="G9" s="14">
        <v>0.13</v>
      </c>
      <c r="H9" s="14">
        <v>1.14</v>
      </c>
    </row>
    <row r="10" ht="15.75" customHeight="1">
      <c r="A10" s="9" t="s">
        <v>55</v>
      </c>
      <c r="B10" s="14" t="s">
        <v>41</v>
      </c>
      <c r="C10" s="15" t="s">
        <v>58</v>
      </c>
      <c r="D10" s="14">
        <v>105.0</v>
      </c>
      <c r="F10" s="14">
        <v>0.11</v>
      </c>
      <c r="G10" s="14">
        <v>0.13</v>
      </c>
      <c r="H10" s="14">
        <v>1.42</v>
      </c>
    </row>
    <row r="11" ht="15.75" customHeight="1">
      <c r="A11" s="9" t="s">
        <v>60</v>
      </c>
      <c r="B11" s="14" t="s">
        <v>41</v>
      </c>
      <c r="C11" s="15" t="s">
        <v>63</v>
      </c>
      <c r="D11" s="14">
        <v>101.0</v>
      </c>
      <c r="F11" s="14">
        <v>0.11</v>
      </c>
      <c r="G11" s="14">
        <v>0.11</v>
      </c>
      <c r="H11" s="14">
        <v>1.58</v>
      </c>
    </row>
    <row r="12" ht="15.75" customHeight="1">
      <c r="A12" s="9" t="s">
        <v>64</v>
      </c>
      <c r="B12" s="14" t="s">
        <v>22</v>
      </c>
      <c r="C12" s="15" t="s">
        <v>66</v>
      </c>
      <c r="D12" s="14">
        <v>87.0</v>
      </c>
      <c r="F12" s="14">
        <v>0.09</v>
      </c>
      <c r="G12" s="14">
        <v>0.09</v>
      </c>
      <c r="H12" s="14">
        <v>0.48</v>
      </c>
    </row>
    <row r="13" ht="15.75" customHeight="1">
      <c r="A13" s="9" t="s">
        <v>53</v>
      </c>
      <c r="B13" s="14" t="s">
        <v>41</v>
      </c>
      <c r="C13" s="15" t="s">
        <v>69</v>
      </c>
      <c r="D13" s="14">
        <v>86.0</v>
      </c>
      <c r="F13" s="14">
        <v>0.09</v>
      </c>
      <c r="G13" s="14">
        <v>0.09</v>
      </c>
      <c r="H13" s="14">
        <v>1.45</v>
      </c>
    </row>
    <row r="14" ht="15.75" customHeight="1">
      <c r="A14" s="9" t="s">
        <v>70</v>
      </c>
      <c r="B14" s="14" t="s">
        <v>41</v>
      </c>
      <c r="C14" s="15" t="s">
        <v>73</v>
      </c>
      <c r="D14" s="14">
        <v>81.0</v>
      </c>
      <c r="F14" s="14">
        <v>0.08</v>
      </c>
      <c r="G14" s="14">
        <v>0.14</v>
      </c>
      <c r="H14" s="14">
        <v>1.84</v>
      </c>
    </row>
    <row r="15" ht="15.75" customHeight="1">
      <c r="A15" s="9" t="s">
        <v>76</v>
      </c>
      <c r="B15" s="14" t="s">
        <v>22</v>
      </c>
      <c r="C15" s="15" t="s">
        <v>78</v>
      </c>
      <c r="D15" s="14">
        <v>80.0</v>
      </c>
      <c r="F15" s="14">
        <v>0.08</v>
      </c>
      <c r="G15" s="14">
        <v>0.08</v>
      </c>
      <c r="H15" s="14">
        <v>1.38</v>
      </c>
    </row>
    <row r="16" ht="15.75" customHeight="1">
      <c r="A16" s="9" t="s">
        <v>80</v>
      </c>
      <c r="B16" s="14" t="s">
        <v>22</v>
      </c>
      <c r="C16" s="15" t="s">
        <v>82</v>
      </c>
      <c r="D16" s="14">
        <v>79.0</v>
      </c>
      <c r="F16" s="14">
        <v>0.08</v>
      </c>
      <c r="G16" s="14">
        <v>0.08</v>
      </c>
      <c r="H16" s="14">
        <v>0.34</v>
      </c>
    </row>
    <row r="17" ht="15.75" customHeight="1">
      <c r="A17" s="9" t="s">
        <v>84</v>
      </c>
      <c r="B17" s="14" t="s">
        <v>85</v>
      </c>
      <c r="C17" s="15" t="s">
        <v>87</v>
      </c>
      <c r="D17" s="14">
        <v>76.0</v>
      </c>
      <c r="F17" s="14">
        <v>0.08</v>
      </c>
      <c r="G17" s="14">
        <v>0.09</v>
      </c>
      <c r="H17" s="14">
        <v>1.89</v>
      </c>
    </row>
    <row r="18" ht="15.75" customHeight="1">
      <c r="A18" s="9" t="s">
        <v>72</v>
      </c>
      <c r="B18" s="14" t="s">
        <v>22</v>
      </c>
      <c r="C18" s="15" t="s">
        <v>90</v>
      </c>
      <c r="D18" s="14">
        <v>73.0</v>
      </c>
      <c r="F18" s="14">
        <v>0.08</v>
      </c>
      <c r="G18" s="14">
        <v>0.08</v>
      </c>
      <c r="H18" s="14">
        <v>1.93</v>
      </c>
    </row>
    <row r="19" ht="15.75" customHeight="1">
      <c r="A19" s="9" t="s">
        <v>95</v>
      </c>
      <c r="B19" s="14" t="s">
        <v>22</v>
      </c>
      <c r="C19" s="15" t="s">
        <v>97</v>
      </c>
      <c r="D19" s="14">
        <v>70.0</v>
      </c>
      <c r="F19" s="14">
        <v>0.07</v>
      </c>
      <c r="G19" s="14">
        <v>0.09</v>
      </c>
      <c r="H19" s="14">
        <v>1.49</v>
      </c>
    </row>
    <row r="20" ht="15.75" customHeight="1">
      <c r="A20" s="9" t="s">
        <v>98</v>
      </c>
      <c r="B20" s="14" t="s">
        <v>22</v>
      </c>
      <c r="C20" s="15" t="s">
        <v>101</v>
      </c>
      <c r="D20" s="14">
        <v>64.0</v>
      </c>
      <c r="F20" s="14">
        <v>0.07</v>
      </c>
      <c r="G20" s="14">
        <v>0.1</v>
      </c>
      <c r="H20" s="14">
        <v>0.97</v>
      </c>
    </row>
    <row r="21" ht="15.75" customHeight="1">
      <c r="A21" s="9" t="s">
        <v>104</v>
      </c>
      <c r="B21" s="14" t="s">
        <v>22</v>
      </c>
      <c r="C21" s="15" t="s">
        <v>106</v>
      </c>
      <c r="D21" s="14">
        <v>61.0</v>
      </c>
      <c r="F21" s="14">
        <v>0.06</v>
      </c>
      <c r="G21" s="14">
        <v>0.08</v>
      </c>
      <c r="H21" s="14">
        <v>1.07</v>
      </c>
    </row>
    <row r="22" ht="15.75" customHeight="1">
      <c r="A22" s="9" t="s">
        <v>107</v>
      </c>
      <c r="B22" s="14" t="s">
        <v>85</v>
      </c>
      <c r="C22" s="15" t="s">
        <v>110</v>
      </c>
      <c r="D22" s="14">
        <v>55.0</v>
      </c>
      <c r="F22" s="14">
        <v>0.06</v>
      </c>
      <c r="G22" s="14">
        <v>0.07</v>
      </c>
      <c r="H22" s="14">
        <v>0.07</v>
      </c>
    </row>
    <row r="23" ht="15.75" customHeight="1">
      <c r="A23" s="9" t="s">
        <v>111</v>
      </c>
      <c r="B23" s="14" t="s">
        <v>41</v>
      </c>
      <c r="C23" s="15" t="s">
        <v>114</v>
      </c>
      <c r="D23" s="14">
        <v>55.0</v>
      </c>
      <c r="F23" s="14">
        <v>0.06</v>
      </c>
      <c r="G23" s="14">
        <v>0.06</v>
      </c>
      <c r="H23" s="14">
        <v>1.42</v>
      </c>
    </row>
    <row r="24" ht="15.75" customHeight="1">
      <c r="A24" s="9" t="s">
        <v>100</v>
      </c>
      <c r="B24" s="14" t="s">
        <v>120</v>
      </c>
      <c r="C24" s="15" t="s">
        <v>121</v>
      </c>
      <c r="D24" s="14">
        <v>52.0</v>
      </c>
      <c r="F24" s="14">
        <v>0.05</v>
      </c>
      <c r="G24" s="14">
        <v>0.05</v>
      </c>
      <c r="H24" s="14">
        <v>2.12</v>
      </c>
    </row>
    <row r="25" ht="15.75" customHeight="1">
      <c r="A25" s="9" t="s">
        <v>122</v>
      </c>
      <c r="B25" s="14" t="s">
        <v>41</v>
      </c>
      <c r="C25" s="15" t="s">
        <v>128</v>
      </c>
      <c r="D25" s="14">
        <v>52.0</v>
      </c>
      <c r="F25" s="14">
        <v>0.05</v>
      </c>
      <c r="G25" s="14">
        <v>0.05</v>
      </c>
      <c r="H25" s="14">
        <v>1.19</v>
      </c>
    </row>
    <row r="26" ht="15.75" customHeight="1">
      <c r="A26" s="9" t="s">
        <v>109</v>
      </c>
      <c r="B26" s="14" t="s">
        <v>22</v>
      </c>
      <c r="C26" s="15" t="s">
        <v>131</v>
      </c>
      <c r="D26" s="14">
        <v>50.0</v>
      </c>
      <c r="F26" s="14">
        <v>0.05</v>
      </c>
      <c r="G26" s="14">
        <v>0.05</v>
      </c>
      <c r="H26" s="14">
        <v>1.4</v>
      </c>
    </row>
    <row r="27" ht="15.75" customHeight="1">
      <c r="A27" s="9" t="s">
        <v>132</v>
      </c>
      <c r="B27" s="14" t="s">
        <v>41</v>
      </c>
      <c r="C27" s="15" t="s">
        <v>136</v>
      </c>
      <c r="D27" s="14">
        <v>46.0</v>
      </c>
      <c r="F27" s="14">
        <v>0.05</v>
      </c>
      <c r="G27" s="14">
        <v>0.05</v>
      </c>
      <c r="H27" s="14">
        <v>1.13</v>
      </c>
    </row>
    <row r="28" ht="15.75" customHeight="1">
      <c r="A28" s="9" t="s">
        <v>138</v>
      </c>
      <c r="B28" s="14" t="s">
        <v>41</v>
      </c>
      <c r="C28" s="15" t="s">
        <v>140</v>
      </c>
      <c r="D28" s="14">
        <v>46.0</v>
      </c>
      <c r="F28" s="14">
        <v>0.05</v>
      </c>
      <c r="G28" s="14">
        <v>0.05</v>
      </c>
      <c r="H28" s="14">
        <v>1.74</v>
      </c>
    </row>
    <row r="29" ht="15.75" customHeight="1">
      <c r="A29" s="9" t="s">
        <v>142</v>
      </c>
      <c r="B29" s="14" t="s">
        <v>117</v>
      </c>
      <c r="C29" s="15" t="s">
        <v>143</v>
      </c>
      <c r="D29" s="14">
        <v>46.0</v>
      </c>
      <c r="F29" s="14">
        <v>0.05</v>
      </c>
      <c r="G29" s="14">
        <v>0.05</v>
      </c>
      <c r="H29" s="14">
        <v>1.07</v>
      </c>
    </row>
    <row r="30" ht="15.75" customHeight="1">
      <c r="A30" s="9" t="s">
        <v>124</v>
      </c>
      <c r="B30" s="14" t="s">
        <v>41</v>
      </c>
      <c r="C30" s="15" t="s">
        <v>147</v>
      </c>
      <c r="D30" s="14">
        <v>45.0</v>
      </c>
      <c r="F30" s="14">
        <v>0.05</v>
      </c>
      <c r="G30" s="14">
        <v>0.05</v>
      </c>
      <c r="H30" s="14">
        <v>1.29</v>
      </c>
    </row>
    <row r="31" ht="15.75" customHeight="1">
      <c r="A31" s="9" t="s">
        <v>148</v>
      </c>
      <c r="B31" s="14" t="s">
        <v>41</v>
      </c>
      <c r="C31" s="15" t="s">
        <v>151</v>
      </c>
      <c r="D31" s="14">
        <v>42.0</v>
      </c>
      <c r="F31" s="14">
        <v>0.04</v>
      </c>
      <c r="G31" s="14">
        <v>0.05</v>
      </c>
      <c r="H31" s="14">
        <v>0.93</v>
      </c>
    </row>
    <row r="32" ht="15.75" customHeight="1">
      <c r="A32" s="9" t="s">
        <v>152</v>
      </c>
      <c r="B32" s="14" t="s">
        <v>120</v>
      </c>
      <c r="C32" s="15" t="s">
        <v>154</v>
      </c>
      <c r="D32" s="14">
        <v>42.0</v>
      </c>
      <c r="F32" s="14">
        <v>0.04</v>
      </c>
      <c r="G32" s="14">
        <v>0.04</v>
      </c>
      <c r="H32" s="14">
        <v>0.74</v>
      </c>
    </row>
    <row r="33" ht="15.75" customHeight="1">
      <c r="A33" s="9" t="s">
        <v>155</v>
      </c>
      <c r="B33" s="14" t="s">
        <v>22</v>
      </c>
      <c r="C33" s="15" t="s">
        <v>156</v>
      </c>
      <c r="D33" s="14">
        <v>39.0</v>
      </c>
      <c r="F33" s="14">
        <v>0.04</v>
      </c>
      <c r="G33" s="14">
        <v>0.06</v>
      </c>
      <c r="H33" s="14">
        <v>1.13</v>
      </c>
    </row>
    <row r="34" ht="15.75" customHeight="1">
      <c r="A34" s="9" t="s">
        <v>157</v>
      </c>
      <c r="B34" s="14" t="s">
        <v>31</v>
      </c>
      <c r="C34" s="15" t="s">
        <v>163</v>
      </c>
      <c r="D34" s="14">
        <v>39.0</v>
      </c>
      <c r="F34" s="14">
        <v>0.04</v>
      </c>
      <c r="G34" s="14">
        <v>0.05</v>
      </c>
      <c r="H34" s="14">
        <v>0.31</v>
      </c>
    </row>
    <row r="35" ht="15.75" customHeight="1">
      <c r="A35" s="9" t="s">
        <v>164</v>
      </c>
      <c r="B35" s="14" t="s">
        <v>22</v>
      </c>
      <c r="C35" s="15" t="s">
        <v>167</v>
      </c>
      <c r="D35" s="14">
        <v>39.0</v>
      </c>
      <c r="F35" s="14">
        <v>0.04</v>
      </c>
      <c r="G35" s="14">
        <v>0.04</v>
      </c>
      <c r="H35" s="14">
        <v>0.95</v>
      </c>
    </row>
    <row r="36" ht="15.75" customHeight="1">
      <c r="A36" s="9" t="s">
        <v>166</v>
      </c>
      <c r="B36" s="14" t="s">
        <v>41</v>
      </c>
      <c r="C36" s="15" t="s">
        <v>170</v>
      </c>
      <c r="D36" s="14">
        <v>39.0</v>
      </c>
      <c r="F36" s="14">
        <v>0.04</v>
      </c>
      <c r="G36" s="14">
        <v>0.04</v>
      </c>
      <c r="H36" s="14">
        <v>1.31</v>
      </c>
    </row>
    <row r="37" ht="15.75" customHeight="1">
      <c r="A37" s="9" t="s">
        <v>172</v>
      </c>
      <c r="B37" s="14" t="s">
        <v>41</v>
      </c>
      <c r="C37" s="15" t="s">
        <v>175</v>
      </c>
      <c r="D37" s="14">
        <v>37.0</v>
      </c>
      <c r="F37" s="14">
        <v>0.04</v>
      </c>
      <c r="G37" s="14">
        <v>0.05</v>
      </c>
      <c r="H37" s="14">
        <v>1.51</v>
      </c>
    </row>
    <row r="38" ht="15.75" customHeight="1">
      <c r="A38" s="9" t="s">
        <v>177</v>
      </c>
      <c r="B38" s="14" t="s">
        <v>117</v>
      </c>
      <c r="C38" s="15" t="s">
        <v>179</v>
      </c>
      <c r="D38" s="14">
        <v>37.0</v>
      </c>
      <c r="F38" s="14">
        <v>0.04</v>
      </c>
      <c r="G38" s="14">
        <v>0.04</v>
      </c>
      <c r="H38" s="14">
        <v>1.11</v>
      </c>
    </row>
    <row r="39" ht="15.75" customHeight="1">
      <c r="A39" s="9" t="s">
        <v>181</v>
      </c>
      <c r="B39" s="14" t="s">
        <v>41</v>
      </c>
      <c r="C39" s="15" t="s">
        <v>182</v>
      </c>
      <c r="D39" s="14">
        <v>35.0</v>
      </c>
      <c r="F39" s="14">
        <v>0.04</v>
      </c>
      <c r="G39" s="14">
        <v>0.04</v>
      </c>
      <c r="H39" s="14">
        <v>2.09</v>
      </c>
    </row>
    <row r="40" ht="15.75" customHeight="1">
      <c r="A40" s="9" t="s">
        <v>184</v>
      </c>
      <c r="B40" s="14" t="s">
        <v>22</v>
      </c>
      <c r="C40" s="15" t="s">
        <v>187</v>
      </c>
      <c r="D40" s="14">
        <v>34.0</v>
      </c>
      <c r="F40" s="14">
        <v>0.04</v>
      </c>
      <c r="G40" s="14">
        <v>0.04</v>
      </c>
      <c r="H40" s="14">
        <v>0.41</v>
      </c>
    </row>
    <row r="41" ht="15.75" customHeight="1">
      <c r="A41" s="9" t="s">
        <v>189</v>
      </c>
      <c r="B41" s="14" t="s">
        <v>22</v>
      </c>
      <c r="C41" s="15" t="s">
        <v>192</v>
      </c>
      <c r="D41" s="14">
        <v>34.0</v>
      </c>
      <c r="F41" s="14">
        <v>0.04</v>
      </c>
      <c r="G41" s="14">
        <v>0.04</v>
      </c>
      <c r="H41" s="14">
        <v>1.0</v>
      </c>
    </row>
    <row r="42" ht="15.75" customHeight="1">
      <c r="A42" s="9" t="s">
        <v>194</v>
      </c>
      <c r="B42" s="14" t="s">
        <v>22</v>
      </c>
      <c r="C42" s="15" t="s">
        <v>196</v>
      </c>
      <c r="D42" s="14">
        <v>33.0</v>
      </c>
      <c r="F42" s="14">
        <v>0.03</v>
      </c>
      <c r="G42" s="14">
        <v>0.05</v>
      </c>
      <c r="H42" s="14">
        <v>1.15</v>
      </c>
    </row>
    <row r="43" ht="15.75" customHeight="1">
      <c r="A43" s="9" t="s">
        <v>198</v>
      </c>
      <c r="B43" s="14" t="s">
        <v>117</v>
      </c>
      <c r="C43" s="15" t="s">
        <v>199</v>
      </c>
      <c r="D43" s="14">
        <v>32.0</v>
      </c>
      <c r="F43" s="14">
        <v>0.03</v>
      </c>
      <c r="G43" s="14">
        <v>0.09</v>
      </c>
      <c r="H43" s="14">
        <v>1.59</v>
      </c>
    </row>
    <row r="44" ht="15.75" customHeight="1">
      <c r="A44" s="9" t="s">
        <v>201</v>
      </c>
      <c r="B44" s="14" t="s">
        <v>22</v>
      </c>
      <c r="C44" s="15" t="s">
        <v>204</v>
      </c>
      <c r="D44" s="14">
        <v>32.0</v>
      </c>
      <c r="F44" s="14">
        <v>0.03</v>
      </c>
      <c r="G44" s="14">
        <v>0.06</v>
      </c>
      <c r="H44" s="14">
        <v>1.22</v>
      </c>
    </row>
    <row r="45" ht="15.75" customHeight="1">
      <c r="A45" s="9" t="s">
        <v>205</v>
      </c>
      <c r="B45" s="14" t="s">
        <v>85</v>
      </c>
      <c r="C45" s="15" t="s">
        <v>209</v>
      </c>
      <c r="D45" s="14">
        <v>32.0</v>
      </c>
      <c r="F45" s="14">
        <v>0.03</v>
      </c>
      <c r="G45" s="14">
        <v>0.04</v>
      </c>
      <c r="H45" s="14">
        <v>0.81</v>
      </c>
    </row>
    <row r="46" ht="15.75" customHeight="1">
      <c r="A46" s="9" t="s">
        <v>210</v>
      </c>
      <c r="B46" s="14" t="s">
        <v>31</v>
      </c>
      <c r="C46" s="15" t="s">
        <v>212</v>
      </c>
      <c r="D46" s="14">
        <v>31.0</v>
      </c>
      <c r="F46" s="14">
        <v>0.03</v>
      </c>
      <c r="G46" s="14">
        <v>0.03</v>
      </c>
      <c r="H46" s="14">
        <v>1.26</v>
      </c>
    </row>
    <row r="47" ht="15.75" customHeight="1">
      <c r="A47" s="9" t="s">
        <v>214</v>
      </c>
      <c r="B47" s="14" t="s">
        <v>22</v>
      </c>
      <c r="C47" s="15" t="s">
        <v>218</v>
      </c>
      <c r="D47" s="14">
        <v>31.0</v>
      </c>
      <c r="F47" s="14">
        <v>0.03</v>
      </c>
      <c r="G47" s="14">
        <v>0.03</v>
      </c>
      <c r="H47" s="14">
        <v>0.48</v>
      </c>
    </row>
    <row r="48" ht="15.75" customHeight="1">
      <c r="A48" s="14" t="s">
        <v>219</v>
      </c>
      <c r="B48" s="14" t="s">
        <v>22</v>
      </c>
      <c r="C48" s="15" t="s">
        <v>220</v>
      </c>
      <c r="D48" s="14">
        <v>30.0</v>
      </c>
      <c r="F48" s="14">
        <v>0.03</v>
      </c>
      <c r="G48" s="14">
        <v>0.03</v>
      </c>
      <c r="H48" s="14">
        <v>0.6</v>
      </c>
    </row>
    <row r="49" ht="15.75" customHeight="1">
      <c r="A49" s="9" t="s">
        <v>222</v>
      </c>
      <c r="B49" s="14" t="s">
        <v>22</v>
      </c>
      <c r="C49" s="15" t="s">
        <v>226</v>
      </c>
      <c r="D49" s="14">
        <v>29.0</v>
      </c>
      <c r="F49" s="14">
        <v>0.03</v>
      </c>
      <c r="G49" s="14">
        <v>0.03</v>
      </c>
      <c r="H49" s="14">
        <v>0.97</v>
      </c>
    </row>
    <row r="50" ht="15.75" customHeight="1">
      <c r="A50" s="14" t="s">
        <v>228</v>
      </c>
      <c r="B50" s="14" t="s">
        <v>22</v>
      </c>
      <c r="C50" s="15" t="s">
        <v>229</v>
      </c>
      <c r="D50" s="14">
        <v>28.0</v>
      </c>
      <c r="F50" s="14">
        <v>0.03</v>
      </c>
      <c r="G50" s="14">
        <v>0.03</v>
      </c>
      <c r="H50" s="14">
        <v>1.79</v>
      </c>
    </row>
    <row r="51" ht="15.75" customHeight="1">
      <c r="A51" s="9" t="s">
        <v>231</v>
      </c>
      <c r="B51" s="14" t="s">
        <v>22</v>
      </c>
      <c r="C51" s="15" t="s">
        <v>233</v>
      </c>
      <c r="D51" s="14">
        <v>27.0</v>
      </c>
      <c r="F51" s="14">
        <v>0.03</v>
      </c>
      <c r="G51" s="14">
        <v>0.03</v>
      </c>
      <c r="H51" s="14">
        <v>0.74</v>
      </c>
    </row>
    <row r="52" ht="15.75" customHeight="1">
      <c r="A52" s="9" t="s">
        <v>235</v>
      </c>
      <c r="B52" s="14" t="s">
        <v>22</v>
      </c>
      <c r="C52" s="15" t="s">
        <v>237</v>
      </c>
      <c r="D52" s="14">
        <v>27.0</v>
      </c>
      <c r="F52" s="14">
        <v>0.03</v>
      </c>
      <c r="G52" s="14">
        <v>0.03</v>
      </c>
      <c r="H52" s="14">
        <v>0.81</v>
      </c>
    </row>
    <row r="53" ht="15.75" customHeight="1">
      <c r="A53" s="9" t="s">
        <v>239</v>
      </c>
      <c r="B53" s="14" t="s">
        <v>120</v>
      </c>
      <c r="C53" s="15" t="s">
        <v>240</v>
      </c>
      <c r="D53" s="14">
        <v>27.0</v>
      </c>
      <c r="F53" s="14">
        <v>0.03</v>
      </c>
      <c r="G53" s="14">
        <v>0.03</v>
      </c>
      <c r="H53" s="14">
        <v>0.85</v>
      </c>
    </row>
    <row r="54" ht="15.75" customHeight="1">
      <c r="A54" s="9" t="s">
        <v>243</v>
      </c>
      <c r="B54" s="14" t="s">
        <v>120</v>
      </c>
      <c r="C54" s="15" t="s">
        <v>245</v>
      </c>
      <c r="D54" s="14">
        <v>26.0</v>
      </c>
      <c r="F54" s="14">
        <v>0.03</v>
      </c>
      <c r="G54" s="14">
        <v>0.03</v>
      </c>
      <c r="H54" s="14">
        <v>1.15</v>
      </c>
    </row>
    <row r="55" ht="15.75" customHeight="1">
      <c r="A55" s="9" t="s">
        <v>247</v>
      </c>
      <c r="B55" s="14" t="s">
        <v>22</v>
      </c>
      <c r="C55" s="15" t="s">
        <v>249</v>
      </c>
      <c r="D55" s="14">
        <v>25.0</v>
      </c>
      <c r="F55" s="14">
        <v>0.03</v>
      </c>
      <c r="G55" s="14">
        <v>0.03</v>
      </c>
      <c r="H55" s="14">
        <v>1.52</v>
      </c>
    </row>
    <row r="56" ht="15.75" customHeight="1">
      <c r="A56" s="9" t="s">
        <v>251</v>
      </c>
      <c r="B56" s="14" t="s">
        <v>22</v>
      </c>
      <c r="C56" s="15" t="s">
        <v>252</v>
      </c>
      <c r="D56" s="14">
        <v>25.0</v>
      </c>
      <c r="F56" s="14">
        <v>0.03</v>
      </c>
      <c r="G56" s="14">
        <v>0.04</v>
      </c>
      <c r="H56" s="14">
        <v>0.84</v>
      </c>
    </row>
    <row r="57" ht="15.75" customHeight="1">
      <c r="A57" s="9" t="s">
        <v>255</v>
      </c>
      <c r="B57" s="14" t="s">
        <v>22</v>
      </c>
      <c r="C57" s="15" t="s">
        <v>257</v>
      </c>
      <c r="D57" s="14">
        <v>25.0</v>
      </c>
      <c r="F57" s="14">
        <v>0.03</v>
      </c>
      <c r="G57" s="14">
        <v>0.03</v>
      </c>
      <c r="H57" s="14">
        <v>0.72</v>
      </c>
    </row>
    <row r="58" ht="15.75" customHeight="1">
      <c r="A58" s="9" t="s">
        <v>258</v>
      </c>
      <c r="B58" s="14" t="s">
        <v>22</v>
      </c>
      <c r="C58" s="15" t="s">
        <v>261</v>
      </c>
      <c r="D58" s="14">
        <v>25.0</v>
      </c>
      <c r="F58" s="14">
        <v>0.03</v>
      </c>
      <c r="G58" s="14">
        <v>0.03</v>
      </c>
      <c r="H58" s="14">
        <v>0.48</v>
      </c>
    </row>
    <row r="59" ht="15.75" customHeight="1">
      <c r="A59" s="9" t="s">
        <v>262</v>
      </c>
      <c r="B59" s="14" t="s">
        <v>22</v>
      </c>
      <c r="C59" s="15" t="s">
        <v>264</v>
      </c>
      <c r="D59" s="14">
        <v>24.0</v>
      </c>
      <c r="F59" s="14">
        <v>0.03</v>
      </c>
      <c r="G59" s="14">
        <v>0.04</v>
      </c>
      <c r="H59" s="14">
        <v>2.63</v>
      </c>
    </row>
    <row r="60" ht="15.75" customHeight="1">
      <c r="A60" s="9" t="s">
        <v>265</v>
      </c>
      <c r="B60" s="14" t="s">
        <v>120</v>
      </c>
      <c r="C60" s="15" t="s">
        <v>268</v>
      </c>
      <c r="D60" s="14">
        <v>23.0</v>
      </c>
      <c r="F60" s="14">
        <v>0.02</v>
      </c>
      <c r="G60" s="14">
        <v>0.03</v>
      </c>
      <c r="H60" s="14">
        <v>0.96</v>
      </c>
    </row>
    <row r="61" ht="15.75" customHeight="1">
      <c r="A61" s="9" t="s">
        <v>269</v>
      </c>
      <c r="B61" s="14" t="s">
        <v>22</v>
      </c>
      <c r="C61" s="15"/>
      <c r="D61" s="14">
        <v>23.0</v>
      </c>
      <c r="F61" s="14">
        <v>0.02</v>
      </c>
      <c r="G61" s="14">
        <v>0.02</v>
      </c>
      <c r="H61" s="14">
        <v>1.13</v>
      </c>
    </row>
    <row r="62" ht="15.75" customHeight="1">
      <c r="A62" s="9" t="s">
        <v>273</v>
      </c>
      <c r="B62" s="14" t="s">
        <v>22</v>
      </c>
      <c r="C62" s="15" t="s">
        <v>275</v>
      </c>
      <c r="D62" s="14">
        <v>23.0</v>
      </c>
      <c r="F62" s="14">
        <v>0.02</v>
      </c>
      <c r="G62" s="14">
        <v>0.02</v>
      </c>
      <c r="H62" s="14">
        <v>0.13</v>
      </c>
    </row>
    <row r="63" ht="15.75" customHeight="1">
      <c r="A63" s="9" t="s">
        <v>276</v>
      </c>
      <c r="B63" s="14" t="s">
        <v>120</v>
      </c>
      <c r="C63" s="15" t="s">
        <v>280</v>
      </c>
      <c r="D63" s="14">
        <v>23.0</v>
      </c>
      <c r="F63" s="14">
        <v>0.02</v>
      </c>
      <c r="G63" s="14">
        <v>0.02</v>
      </c>
      <c r="H63" s="14">
        <v>1.78</v>
      </c>
    </row>
    <row r="64" ht="15.75" customHeight="1">
      <c r="A64" s="9" t="s">
        <v>282</v>
      </c>
      <c r="B64" s="14" t="s">
        <v>41</v>
      </c>
      <c r="C64" s="15" t="s">
        <v>284</v>
      </c>
      <c r="D64" s="14">
        <v>22.0</v>
      </c>
      <c r="F64" s="14">
        <v>0.02</v>
      </c>
      <c r="G64" s="14">
        <v>0.03</v>
      </c>
      <c r="H64" s="14">
        <v>1.32</v>
      </c>
    </row>
    <row r="65" ht="15.75" customHeight="1">
      <c r="A65" s="9" t="s">
        <v>286</v>
      </c>
      <c r="B65" s="14" t="s">
        <v>31</v>
      </c>
      <c r="C65" s="15" t="s">
        <v>288</v>
      </c>
      <c r="D65" s="14">
        <v>22.0</v>
      </c>
      <c r="F65" s="14">
        <v>0.02</v>
      </c>
      <c r="G65" s="14">
        <v>0.02</v>
      </c>
      <c r="H65" s="14">
        <v>0.0</v>
      </c>
    </row>
    <row r="66" ht="15.75" customHeight="1">
      <c r="A66" s="9" t="s">
        <v>290</v>
      </c>
      <c r="B66" s="14" t="s">
        <v>22</v>
      </c>
      <c r="C66" s="15" t="s">
        <v>293</v>
      </c>
      <c r="D66" s="14">
        <v>22.0</v>
      </c>
      <c r="F66" s="14">
        <v>0.02</v>
      </c>
      <c r="G66" s="14">
        <v>0.02</v>
      </c>
      <c r="H66" s="14">
        <v>0.55</v>
      </c>
    </row>
    <row r="67" ht="15.75" customHeight="1">
      <c r="A67" s="9" t="s">
        <v>294</v>
      </c>
      <c r="B67" s="14" t="s">
        <v>22</v>
      </c>
      <c r="C67" s="15" t="s">
        <v>297</v>
      </c>
      <c r="D67" s="14">
        <v>21.0</v>
      </c>
      <c r="F67" s="14">
        <v>0.02</v>
      </c>
      <c r="G67" s="14">
        <v>0.03</v>
      </c>
      <c r="H67" s="14">
        <v>1.67</v>
      </c>
    </row>
    <row r="68" ht="15.75" customHeight="1">
      <c r="A68" s="9" t="s">
        <v>298</v>
      </c>
      <c r="B68" s="14" t="s">
        <v>22</v>
      </c>
      <c r="C68" s="15" t="s">
        <v>302</v>
      </c>
      <c r="D68" s="14">
        <v>21.0</v>
      </c>
      <c r="F68" s="14">
        <v>0.02</v>
      </c>
      <c r="G68" s="14">
        <v>0.02</v>
      </c>
      <c r="H68" s="14">
        <v>0.86</v>
      </c>
    </row>
    <row r="69" ht="15.75" customHeight="1">
      <c r="A69" s="9" t="s">
        <v>303</v>
      </c>
      <c r="B69" s="14" t="s">
        <v>41</v>
      </c>
      <c r="C69" s="15" t="s">
        <v>305</v>
      </c>
      <c r="D69" s="14">
        <v>21.0</v>
      </c>
      <c r="F69" s="14">
        <v>0.02</v>
      </c>
      <c r="G69" s="14">
        <v>0.02</v>
      </c>
      <c r="H69" s="14">
        <v>1.38</v>
      </c>
    </row>
    <row r="70" ht="15.75" customHeight="1">
      <c r="A70" s="9" t="s">
        <v>307</v>
      </c>
      <c r="B70" s="14" t="s">
        <v>41</v>
      </c>
      <c r="C70" s="15" t="s">
        <v>309</v>
      </c>
      <c r="D70" s="14">
        <v>20.0</v>
      </c>
      <c r="F70" s="14">
        <v>0.02</v>
      </c>
      <c r="G70" s="14">
        <v>0.02</v>
      </c>
      <c r="H70" s="14">
        <v>1.15</v>
      </c>
    </row>
    <row r="71" ht="15.75" customHeight="1">
      <c r="A71" s="9" t="s">
        <v>310</v>
      </c>
      <c r="B71" s="14" t="s">
        <v>85</v>
      </c>
      <c r="C71" s="15" t="s">
        <v>314</v>
      </c>
      <c r="D71" s="14">
        <v>20.0</v>
      </c>
      <c r="F71" s="14">
        <v>0.02</v>
      </c>
      <c r="G71" s="14">
        <v>0.02</v>
      </c>
      <c r="H71" s="14">
        <v>1.15</v>
      </c>
    </row>
    <row r="72" ht="15.75" customHeight="1">
      <c r="A72" s="9" t="s">
        <v>317</v>
      </c>
      <c r="B72" s="14" t="s">
        <v>120</v>
      </c>
      <c r="C72" s="15" t="s">
        <v>319</v>
      </c>
      <c r="D72" s="14">
        <v>20.0</v>
      </c>
      <c r="F72" s="14">
        <v>0.02</v>
      </c>
      <c r="G72" s="14">
        <v>0.02</v>
      </c>
      <c r="H72" s="14">
        <v>0.45</v>
      </c>
    </row>
    <row r="73" ht="15.75" customHeight="1">
      <c r="A73" s="16" t="s">
        <v>320</v>
      </c>
      <c r="B73" s="14" t="s">
        <v>22</v>
      </c>
      <c r="C73" s="15" t="s">
        <v>323</v>
      </c>
      <c r="D73" s="14">
        <v>20.0</v>
      </c>
      <c r="F73" s="14">
        <v>0.02</v>
      </c>
      <c r="G73" s="14">
        <v>0.02</v>
      </c>
      <c r="H73" s="14">
        <v>1.05</v>
      </c>
    </row>
    <row r="74" ht="15.75" customHeight="1">
      <c r="A74" s="9" t="s">
        <v>325</v>
      </c>
      <c r="B74" s="14" t="s">
        <v>120</v>
      </c>
      <c r="C74" s="15" t="s">
        <v>328</v>
      </c>
      <c r="D74" s="14">
        <v>20.0</v>
      </c>
      <c r="F74" s="14">
        <v>0.02</v>
      </c>
      <c r="G74" s="14">
        <v>0.02</v>
      </c>
      <c r="H74" s="14">
        <v>2.0</v>
      </c>
    </row>
    <row r="75" ht="15.75" customHeight="1">
      <c r="A75" s="9" t="s">
        <v>330</v>
      </c>
      <c r="B75" s="14" t="s">
        <v>120</v>
      </c>
      <c r="C75" s="15" t="s">
        <v>331</v>
      </c>
      <c r="D75" s="14">
        <v>19.0</v>
      </c>
      <c r="F75" s="14">
        <v>0.02</v>
      </c>
      <c r="G75" s="14">
        <v>0.03</v>
      </c>
      <c r="H75" s="14">
        <v>2.95</v>
      </c>
    </row>
    <row r="76" ht="15.75" customHeight="1">
      <c r="A76" s="9" t="s">
        <v>333</v>
      </c>
      <c r="B76" s="14" t="s">
        <v>41</v>
      </c>
      <c r="C76" s="15" t="s">
        <v>336</v>
      </c>
      <c r="D76" s="14">
        <v>19.0</v>
      </c>
      <c r="F76" s="14">
        <v>0.02</v>
      </c>
      <c r="G76" s="14">
        <v>0.02</v>
      </c>
      <c r="H76" s="14">
        <v>1.32</v>
      </c>
    </row>
    <row r="77" ht="15.75" customHeight="1">
      <c r="A77" s="9" t="s">
        <v>337</v>
      </c>
      <c r="B77" s="14" t="s">
        <v>22</v>
      </c>
      <c r="C77" s="15" t="s">
        <v>340</v>
      </c>
      <c r="D77" s="14">
        <v>19.0</v>
      </c>
      <c r="F77" s="14">
        <v>0.02</v>
      </c>
      <c r="G77" s="14">
        <v>0.02</v>
      </c>
      <c r="H77" s="14">
        <v>0.42</v>
      </c>
    </row>
    <row r="78" ht="15.75" customHeight="1">
      <c r="A78" s="9" t="s">
        <v>341</v>
      </c>
      <c r="B78" s="14" t="s">
        <v>41</v>
      </c>
      <c r="C78" s="15" t="s">
        <v>343</v>
      </c>
      <c r="D78" s="14">
        <v>19.0</v>
      </c>
      <c r="F78" s="14">
        <v>0.02</v>
      </c>
      <c r="G78" s="14">
        <v>0.02</v>
      </c>
      <c r="H78" s="14">
        <v>1.05</v>
      </c>
    </row>
    <row r="79" ht="15.75" customHeight="1">
      <c r="A79" s="9" t="s">
        <v>344</v>
      </c>
      <c r="B79" s="14" t="s">
        <v>22</v>
      </c>
      <c r="C79" s="15" t="s">
        <v>347</v>
      </c>
      <c r="D79" s="14">
        <v>19.0</v>
      </c>
      <c r="F79" s="14">
        <v>0.02</v>
      </c>
      <c r="G79" s="14">
        <v>0.02</v>
      </c>
      <c r="H79" s="14">
        <v>1.16</v>
      </c>
    </row>
    <row r="80" ht="15.75" customHeight="1">
      <c r="A80" s="9" t="s">
        <v>348</v>
      </c>
      <c r="B80" s="14" t="s">
        <v>22</v>
      </c>
      <c r="C80" s="15" t="s">
        <v>350</v>
      </c>
      <c r="D80" s="14">
        <v>19.0</v>
      </c>
      <c r="F80" s="14">
        <v>0.02</v>
      </c>
      <c r="G80" s="14">
        <v>0.02</v>
      </c>
      <c r="H80" s="14">
        <v>1.37</v>
      </c>
    </row>
    <row r="81" ht="15.75" customHeight="1">
      <c r="A81" s="9" t="s">
        <v>351</v>
      </c>
      <c r="B81" s="14" t="s">
        <v>41</v>
      </c>
      <c r="C81" s="15" t="s">
        <v>354</v>
      </c>
      <c r="D81" s="14">
        <v>18.0</v>
      </c>
      <c r="F81" s="14">
        <v>0.02</v>
      </c>
      <c r="G81" s="14">
        <v>0.02</v>
      </c>
      <c r="H81" s="14">
        <v>1.5</v>
      </c>
    </row>
    <row r="82" ht="15.75" customHeight="1">
      <c r="A82" s="9" t="s">
        <v>355</v>
      </c>
      <c r="B82" s="14" t="s">
        <v>22</v>
      </c>
      <c r="C82" s="15" t="s">
        <v>357</v>
      </c>
      <c r="D82" s="14">
        <v>18.0</v>
      </c>
      <c r="F82" s="14">
        <v>0.02</v>
      </c>
      <c r="G82" s="14">
        <v>0.02</v>
      </c>
      <c r="H82" s="14">
        <v>0.17</v>
      </c>
    </row>
    <row r="83" ht="15.75" customHeight="1">
      <c r="A83" s="9" t="s">
        <v>358</v>
      </c>
      <c r="B83" s="14" t="s">
        <v>120</v>
      </c>
      <c r="C83" s="15" t="s">
        <v>361</v>
      </c>
      <c r="D83" s="14">
        <v>18.0</v>
      </c>
      <c r="F83" s="14">
        <v>0.02</v>
      </c>
      <c r="G83" s="14">
        <v>0.02</v>
      </c>
      <c r="H83" s="14">
        <v>1.89</v>
      </c>
    </row>
    <row r="84" ht="15.75" customHeight="1">
      <c r="A84" s="9" t="s">
        <v>363</v>
      </c>
      <c r="B84" s="14" t="s">
        <v>117</v>
      </c>
      <c r="C84" s="15" t="s">
        <v>366</v>
      </c>
      <c r="D84" s="14">
        <v>18.0</v>
      </c>
      <c r="F84" s="14">
        <v>0.02</v>
      </c>
      <c r="G84" s="14">
        <v>0.02</v>
      </c>
      <c r="H84" s="14">
        <v>0.5</v>
      </c>
    </row>
    <row r="85" ht="15.75" customHeight="1">
      <c r="A85" s="9" t="s">
        <v>368</v>
      </c>
      <c r="B85" s="14" t="s">
        <v>22</v>
      </c>
      <c r="C85" s="15" t="s">
        <v>234</v>
      </c>
      <c r="D85" s="14">
        <v>18.0</v>
      </c>
      <c r="F85" s="14">
        <v>0.02</v>
      </c>
      <c r="G85" s="14">
        <v>0.02</v>
      </c>
      <c r="H85" s="14">
        <v>0.56</v>
      </c>
    </row>
    <row r="86" ht="15.75" customHeight="1">
      <c r="A86" s="9" t="s">
        <v>371</v>
      </c>
      <c r="B86" s="14" t="s">
        <v>117</v>
      </c>
      <c r="C86" s="15" t="s">
        <v>373</v>
      </c>
      <c r="D86" s="14">
        <v>18.0</v>
      </c>
      <c r="F86" s="14">
        <v>0.02</v>
      </c>
      <c r="G86" s="14">
        <v>0.02</v>
      </c>
      <c r="H86" s="14">
        <v>0.78</v>
      </c>
    </row>
    <row r="87" ht="15.75" customHeight="1">
      <c r="A87" s="9" t="s">
        <v>375</v>
      </c>
      <c r="B87" s="14" t="s">
        <v>85</v>
      </c>
      <c r="C87" s="15" t="s">
        <v>377</v>
      </c>
      <c r="D87" s="14">
        <v>18.0</v>
      </c>
      <c r="F87" s="14">
        <v>0.02</v>
      </c>
      <c r="G87" s="14">
        <v>0.02</v>
      </c>
      <c r="H87" s="14">
        <v>0.11</v>
      </c>
    </row>
    <row r="88" ht="15.75" customHeight="1">
      <c r="A88" s="9" t="s">
        <v>379</v>
      </c>
      <c r="B88" s="14" t="s">
        <v>117</v>
      </c>
      <c r="C88" s="15" t="s">
        <v>381</v>
      </c>
      <c r="D88" s="14">
        <v>18.0</v>
      </c>
      <c r="F88" s="14">
        <v>0.02</v>
      </c>
      <c r="G88" s="14">
        <v>0.02</v>
      </c>
      <c r="H88" s="14">
        <v>0.67</v>
      </c>
    </row>
    <row r="89" ht="15.75" customHeight="1">
      <c r="A89" s="9" t="s">
        <v>383</v>
      </c>
      <c r="B89" s="14" t="s">
        <v>120</v>
      </c>
      <c r="C89" s="15"/>
      <c r="D89" s="14">
        <v>18.0</v>
      </c>
      <c r="F89" s="14">
        <v>0.02</v>
      </c>
      <c r="G89" s="14">
        <v>0.02</v>
      </c>
      <c r="H89" s="14">
        <v>0.61</v>
      </c>
    </row>
    <row r="90" ht="15.75" customHeight="1">
      <c r="A90" s="9" t="s">
        <v>385</v>
      </c>
      <c r="B90" s="14" t="s">
        <v>120</v>
      </c>
      <c r="C90" s="15" t="s">
        <v>386</v>
      </c>
      <c r="D90" s="14">
        <v>17.0</v>
      </c>
      <c r="F90" s="14">
        <v>0.02</v>
      </c>
      <c r="G90" s="14">
        <v>0.02</v>
      </c>
      <c r="H90" s="14">
        <v>1.53</v>
      </c>
    </row>
    <row r="91" ht="15.75" customHeight="1">
      <c r="A91" s="9" t="s">
        <v>389</v>
      </c>
      <c r="B91" s="14" t="s">
        <v>117</v>
      </c>
      <c r="C91" s="15" t="s">
        <v>390</v>
      </c>
      <c r="D91" s="14">
        <v>17.0</v>
      </c>
      <c r="F91" s="14">
        <v>0.02</v>
      </c>
      <c r="G91" s="14">
        <v>0.02</v>
      </c>
      <c r="H91" s="14">
        <v>1.59</v>
      </c>
    </row>
    <row r="92" ht="15.75" customHeight="1">
      <c r="A92" s="9" t="s">
        <v>392</v>
      </c>
      <c r="B92" s="14" t="s">
        <v>22</v>
      </c>
      <c r="C92" s="15" t="s">
        <v>395</v>
      </c>
      <c r="D92" s="14">
        <v>16.0</v>
      </c>
      <c r="F92" s="14">
        <v>0.02</v>
      </c>
      <c r="G92" s="14">
        <v>0.02</v>
      </c>
      <c r="H92" s="14">
        <v>1.69</v>
      </c>
    </row>
    <row r="93" ht="15.75" customHeight="1">
      <c r="A93" s="9" t="s">
        <v>396</v>
      </c>
      <c r="B93" s="14" t="s">
        <v>22</v>
      </c>
      <c r="C93" s="15" t="s">
        <v>398</v>
      </c>
      <c r="D93" s="14">
        <v>16.0</v>
      </c>
      <c r="F93" s="14">
        <v>0.02</v>
      </c>
      <c r="G93" s="14">
        <v>0.02</v>
      </c>
      <c r="H93" s="14">
        <v>1.38</v>
      </c>
    </row>
    <row r="94" ht="15.75" customHeight="1">
      <c r="A94" s="9" t="s">
        <v>400</v>
      </c>
      <c r="B94" s="14" t="s">
        <v>22</v>
      </c>
      <c r="C94" s="15"/>
      <c r="D94" s="14">
        <v>16.0</v>
      </c>
      <c r="F94" s="14">
        <v>0.02</v>
      </c>
      <c r="G94" s="14">
        <v>0.02</v>
      </c>
      <c r="H94" s="14">
        <v>0.44</v>
      </c>
    </row>
    <row r="95" ht="15.75" customHeight="1">
      <c r="A95" s="9" t="s">
        <v>404</v>
      </c>
      <c r="B95" s="14" t="s">
        <v>22</v>
      </c>
      <c r="C95" s="15" t="s">
        <v>406</v>
      </c>
      <c r="D95" s="14">
        <v>16.0</v>
      </c>
      <c r="F95" s="14">
        <v>0.02</v>
      </c>
      <c r="G95" s="14">
        <v>0.02</v>
      </c>
      <c r="H95" s="14">
        <v>1.63</v>
      </c>
    </row>
    <row r="96" ht="15.75" customHeight="1">
      <c r="A96" s="9" t="s">
        <v>408</v>
      </c>
      <c r="B96" s="14" t="s">
        <v>31</v>
      </c>
      <c r="C96" s="15"/>
      <c r="D96" s="14">
        <v>16.0</v>
      </c>
      <c r="F96" s="14">
        <v>0.02</v>
      </c>
      <c r="G96" s="14">
        <v>0.02</v>
      </c>
      <c r="H96" s="14">
        <v>0.5</v>
      </c>
    </row>
    <row r="97" ht="15.75" customHeight="1">
      <c r="A97" s="9" t="s">
        <v>411</v>
      </c>
      <c r="B97" s="14" t="s">
        <v>22</v>
      </c>
      <c r="C97" s="15" t="s">
        <v>413</v>
      </c>
      <c r="D97" s="14">
        <v>16.0</v>
      </c>
      <c r="F97" s="14">
        <v>0.02</v>
      </c>
      <c r="G97" s="14">
        <v>0.02</v>
      </c>
      <c r="H97" s="14">
        <v>0.19</v>
      </c>
    </row>
    <row r="98" ht="15.75" customHeight="1">
      <c r="A98" s="9" t="s">
        <v>415</v>
      </c>
      <c r="B98" s="14" t="s">
        <v>31</v>
      </c>
      <c r="C98" s="15"/>
      <c r="D98" s="14">
        <v>16.0</v>
      </c>
      <c r="F98" s="14">
        <v>0.02</v>
      </c>
      <c r="G98" s="14">
        <v>0.02</v>
      </c>
      <c r="H98" s="14">
        <v>0.0</v>
      </c>
    </row>
    <row r="99" ht="15.75" customHeight="1">
      <c r="A99" s="9" t="s">
        <v>418</v>
      </c>
      <c r="B99" s="14" t="s">
        <v>31</v>
      </c>
      <c r="C99" s="15" t="s">
        <v>421</v>
      </c>
      <c r="D99" s="14">
        <v>16.0</v>
      </c>
      <c r="F99" s="14">
        <v>0.02</v>
      </c>
      <c r="G99" s="14">
        <v>0.02</v>
      </c>
      <c r="H99" s="14">
        <v>0.0</v>
      </c>
    </row>
    <row r="100" ht="15.75" customHeight="1">
      <c r="A100" s="9" t="s">
        <v>422</v>
      </c>
      <c r="B100" s="14" t="s">
        <v>22</v>
      </c>
      <c r="C100" s="15" t="s">
        <v>425</v>
      </c>
      <c r="D100" s="14">
        <v>15.0</v>
      </c>
      <c r="F100" s="14">
        <v>0.02</v>
      </c>
      <c r="G100" s="14">
        <v>0.02</v>
      </c>
      <c r="H100" s="14">
        <v>2.4</v>
      </c>
    </row>
    <row r="101" ht="15.75" customHeight="1">
      <c r="A101" s="9" t="s">
        <v>427</v>
      </c>
      <c r="B101" s="14" t="s">
        <v>41</v>
      </c>
      <c r="C101" s="15" t="s">
        <v>429</v>
      </c>
      <c r="D101" s="14">
        <v>15.0</v>
      </c>
      <c r="F101" s="14">
        <v>0.02</v>
      </c>
      <c r="G101" s="14">
        <v>0.02</v>
      </c>
      <c r="H101" s="14">
        <v>1.4</v>
      </c>
    </row>
    <row r="102" ht="15.75" customHeight="1">
      <c r="A102" s="9" t="s">
        <v>432</v>
      </c>
      <c r="B102" s="14" t="s">
        <v>120</v>
      </c>
      <c r="C102" s="15" t="s">
        <v>433</v>
      </c>
      <c r="D102" s="14">
        <v>15.0</v>
      </c>
      <c r="F102" s="14">
        <v>0.02</v>
      </c>
      <c r="G102" s="14">
        <v>0.02</v>
      </c>
      <c r="H102" s="14">
        <v>1.07</v>
      </c>
    </row>
    <row r="103" ht="15.75" customHeight="1">
      <c r="A103" s="9" t="s">
        <v>435</v>
      </c>
      <c r="B103" s="14" t="s">
        <v>41</v>
      </c>
      <c r="C103" s="15" t="s">
        <v>437</v>
      </c>
      <c r="D103" s="14">
        <v>15.0</v>
      </c>
      <c r="F103" s="14">
        <v>0.02</v>
      </c>
      <c r="G103" s="14">
        <v>0.02</v>
      </c>
      <c r="H103" s="14">
        <v>1.47</v>
      </c>
    </row>
    <row r="104" ht="15.75" customHeight="1">
      <c r="A104" s="9" t="s">
        <v>438</v>
      </c>
      <c r="B104" s="14" t="s">
        <v>41</v>
      </c>
      <c r="C104" s="15" t="s">
        <v>442</v>
      </c>
      <c r="D104" s="14">
        <v>15.0</v>
      </c>
      <c r="F104" s="14">
        <v>0.02</v>
      </c>
      <c r="G104" s="14">
        <v>0.02</v>
      </c>
      <c r="H104" s="14">
        <v>1.07</v>
      </c>
    </row>
    <row r="105" ht="15.75" customHeight="1">
      <c r="A105" s="9" t="s">
        <v>443</v>
      </c>
      <c r="B105" s="14" t="s">
        <v>41</v>
      </c>
      <c r="C105" s="15" t="s">
        <v>445</v>
      </c>
      <c r="D105" s="14">
        <v>15.0</v>
      </c>
      <c r="F105" s="14">
        <v>0.02</v>
      </c>
      <c r="G105" s="14">
        <v>0.02</v>
      </c>
      <c r="H105" s="14">
        <v>1.13</v>
      </c>
    </row>
    <row r="106" ht="15.75" customHeight="1">
      <c r="A106" s="9" t="s">
        <v>447</v>
      </c>
      <c r="B106" s="14" t="s">
        <v>22</v>
      </c>
      <c r="C106" s="15"/>
      <c r="D106" s="14">
        <v>14.0</v>
      </c>
      <c r="F106" s="14">
        <v>0.01</v>
      </c>
      <c r="G106" s="14">
        <v>0.01</v>
      </c>
      <c r="H106" s="14">
        <v>1.36</v>
      </c>
    </row>
    <row r="107" ht="15.75" customHeight="1">
      <c r="A107" s="9" t="s">
        <v>449</v>
      </c>
      <c r="B107" s="14" t="s">
        <v>41</v>
      </c>
      <c r="C107" s="15" t="s">
        <v>452</v>
      </c>
      <c r="D107" s="14">
        <v>14.0</v>
      </c>
      <c r="F107" s="14">
        <v>0.01</v>
      </c>
      <c r="G107" s="14">
        <v>0.02</v>
      </c>
      <c r="H107" s="14">
        <v>1.29</v>
      </c>
    </row>
    <row r="108" ht="15.75" customHeight="1">
      <c r="A108" s="9" t="s">
        <v>453</v>
      </c>
      <c r="B108" s="14" t="s">
        <v>22</v>
      </c>
      <c r="C108" s="15" t="s">
        <v>455</v>
      </c>
      <c r="D108" s="14">
        <v>14.0</v>
      </c>
      <c r="F108" s="14">
        <v>0.01</v>
      </c>
      <c r="G108" s="14">
        <v>0.01</v>
      </c>
      <c r="H108" s="14">
        <v>0.07</v>
      </c>
    </row>
    <row r="109" ht="15.75" customHeight="1">
      <c r="A109" s="9" t="s">
        <v>458</v>
      </c>
      <c r="B109" s="14" t="s">
        <v>22</v>
      </c>
      <c r="C109" s="15" t="s">
        <v>460</v>
      </c>
      <c r="D109" s="14">
        <v>14.0</v>
      </c>
      <c r="F109" s="14">
        <v>0.01</v>
      </c>
      <c r="G109" s="14">
        <v>0.01</v>
      </c>
      <c r="H109" s="14">
        <v>0.07</v>
      </c>
    </row>
    <row r="110" ht="15.75" customHeight="1">
      <c r="A110" s="9" t="s">
        <v>461</v>
      </c>
      <c r="B110" s="14" t="s">
        <v>117</v>
      </c>
      <c r="C110" s="15"/>
      <c r="D110" s="14">
        <v>14.0</v>
      </c>
      <c r="F110" s="14">
        <v>0.01</v>
      </c>
      <c r="G110" s="14">
        <v>0.01</v>
      </c>
      <c r="H110" s="14">
        <v>0.36</v>
      </c>
    </row>
    <row r="111" ht="15.75" customHeight="1">
      <c r="A111" s="9" t="s">
        <v>464</v>
      </c>
      <c r="B111" s="14" t="s">
        <v>22</v>
      </c>
      <c r="C111" s="15"/>
      <c r="D111" s="14">
        <v>14.0</v>
      </c>
      <c r="F111" s="14">
        <v>0.01</v>
      </c>
      <c r="G111" s="14">
        <v>0.01</v>
      </c>
      <c r="H111" s="14">
        <v>1.0</v>
      </c>
    </row>
    <row r="112" ht="15.75" customHeight="1">
      <c r="A112" s="9" t="s">
        <v>466</v>
      </c>
      <c r="B112" s="14" t="s">
        <v>22</v>
      </c>
      <c r="C112" s="15" t="s">
        <v>467</v>
      </c>
      <c r="D112" s="14">
        <v>14.0</v>
      </c>
      <c r="F112" s="14">
        <v>0.01</v>
      </c>
      <c r="G112" s="14">
        <v>0.01</v>
      </c>
      <c r="H112" s="14">
        <v>0.43</v>
      </c>
    </row>
    <row r="113" ht="15.75" customHeight="1">
      <c r="A113" s="9" t="s">
        <v>470</v>
      </c>
      <c r="B113" s="14" t="s">
        <v>22</v>
      </c>
      <c r="C113" s="15" t="s">
        <v>472</v>
      </c>
      <c r="D113" s="14">
        <v>14.0</v>
      </c>
      <c r="F113" s="14">
        <v>0.01</v>
      </c>
      <c r="G113" s="14">
        <v>0.01</v>
      </c>
      <c r="H113" s="14">
        <v>0.5</v>
      </c>
    </row>
    <row r="114" ht="15.75" customHeight="1">
      <c r="A114" s="9" t="s">
        <v>474</v>
      </c>
      <c r="B114" s="14" t="s">
        <v>22</v>
      </c>
      <c r="C114" s="15"/>
      <c r="D114" s="14">
        <v>13.0</v>
      </c>
      <c r="F114" s="14">
        <v>0.01</v>
      </c>
      <c r="G114" s="14">
        <v>0.03</v>
      </c>
      <c r="H114" s="14">
        <v>0.69</v>
      </c>
    </row>
    <row r="115" ht="15.75" customHeight="1">
      <c r="A115" s="9" t="s">
        <v>476</v>
      </c>
      <c r="B115" s="14" t="s">
        <v>41</v>
      </c>
      <c r="C115" s="15" t="s">
        <v>480</v>
      </c>
      <c r="D115" s="14">
        <v>13.0</v>
      </c>
      <c r="F115" s="14">
        <v>0.01</v>
      </c>
      <c r="G115" s="14">
        <v>0.01</v>
      </c>
      <c r="H115" s="14">
        <v>1.46</v>
      </c>
    </row>
    <row r="116" ht="15.75" customHeight="1">
      <c r="A116" s="9" t="s">
        <v>481</v>
      </c>
      <c r="B116" s="14" t="s">
        <v>22</v>
      </c>
      <c r="C116" s="15" t="s">
        <v>483</v>
      </c>
      <c r="D116" s="14">
        <v>13.0</v>
      </c>
      <c r="F116" s="14">
        <v>0.01</v>
      </c>
      <c r="G116" s="14">
        <v>0.02</v>
      </c>
      <c r="H116" s="14">
        <v>1.0</v>
      </c>
    </row>
    <row r="117" ht="15.75" customHeight="1">
      <c r="A117" s="9" t="s">
        <v>486</v>
      </c>
      <c r="B117" s="14" t="s">
        <v>41</v>
      </c>
      <c r="C117" s="15" t="s">
        <v>487</v>
      </c>
      <c r="D117" s="14">
        <v>13.0</v>
      </c>
      <c r="F117" s="14">
        <v>0.01</v>
      </c>
      <c r="G117" s="14">
        <v>0.02</v>
      </c>
      <c r="H117" s="14">
        <v>1.31</v>
      </c>
    </row>
    <row r="118" ht="15.75" customHeight="1">
      <c r="A118" s="9" t="s">
        <v>489</v>
      </c>
      <c r="B118" s="14" t="s">
        <v>41</v>
      </c>
      <c r="C118" s="15" t="s">
        <v>491</v>
      </c>
      <c r="D118" s="14">
        <v>13.0</v>
      </c>
      <c r="F118" s="14">
        <v>0.01</v>
      </c>
      <c r="G118" s="14">
        <v>0.01</v>
      </c>
      <c r="H118" s="14">
        <v>1.54</v>
      </c>
    </row>
    <row r="119" ht="15.75" customHeight="1">
      <c r="A119" s="9" t="s">
        <v>493</v>
      </c>
      <c r="B119" s="14" t="s">
        <v>22</v>
      </c>
      <c r="C119" s="15"/>
      <c r="D119" s="14">
        <v>13.0</v>
      </c>
      <c r="F119" s="14">
        <v>0.01</v>
      </c>
      <c r="G119" s="14">
        <v>0.01</v>
      </c>
      <c r="H119" s="14">
        <v>2.15</v>
      </c>
    </row>
    <row r="120" ht="15.75" customHeight="1">
      <c r="A120" s="9" t="s">
        <v>495</v>
      </c>
      <c r="B120" s="14" t="s">
        <v>22</v>
      </c>
      <c r="C120" s="15" t="s">
        <v>498</v>
      </c>
      <c r="D120" s="14">
        <v>13.0</v>
      </c>
      <c r="F120" s="14">
        <v>0.01</v>
      </c>
      <c r="G120" s="14">
        <v>0.01</v>
      </c>
      <c r="H120" s="14">
        <v>1.62</v>
      </c>
    </row>
    <row r="121" ht="15.75" customHeight="1">
      <c r="A121" s="9" t="s">
        <v>499</v>
      </c>
      <c r="B121" s="14" t="s">
        <v>41</v>
      </c>
      <c r="C121" s="15" t="s">
        <v>500</v>
      </c>
      <c r="D121" s="14">
        <v>13.0</v>
      </c>
      <c r="F121" s="14">
        <v>0.01</v>
      </c>
      <c r="G121" s="14">
        <v>0.01</v>
      </c>
      <c r="H121" s="14">
        <v>1.15</v>
      </c>
    </row>
    <row r="122" ht="15.75" customHeight="1">
      <c r="A122" s="9" t="s">
        <v>501</v>
      </c>
      <c r="B122" s="14" t="s">
        <v>41</v>
      </c>
      <c r="C122" s="15" t="s">
        <v>504</v>
      </c>
      <c r="D122" s="14">
        <v>13.0</v>
      </c>
      <c r="F122" s="14">
        <v>0.01</v>
      </c>
      <c r="G122" s="14">
        <v>0.01</v>
      </c>
      <c r="H122" s="14">
        <v>0.08</v>
      </c>
    </row>
    <row r="123" ht="15.75" customHeight="1">
      <c r="A123" s="14" t="s">
        <v>505</v>
      </c>
      <c r="B123" s="14" t="s">
        <v>117</v>
      </c>
      <c r="C123" s="15" t="s">
        <v>506</v>
      </c>
      <c r="D123" s="14">
        <v>13.0</v>
      </c>
      <c r="F123" s="14">
        <v>0.01</v>
      </c>
      <c r="G123" s="14">
        <v>0.01</v>
      </c>
      <c r="H123" s="14">
        <v>0.23</v>
      </c>
    </row>
    <row r="124" ht="15.75" customHeight="1">
      <c r="A124" s="9" t="s">
        <v>508</v>
      </c>
      <c r="B124" s="14" t="s">
        <v>22</v>
      </c>
      <c r="C124" s="15"/>
      <c r="D124" s="14">
        <v>13.0</v>
      </c>
      <c r="F124" s="14">
        <v>0.01</v>
      </c>
      <c r="G124" s="14">
        <v>0.01</v>
      </c>
      <c r="H124" s="14">
        <v>0.38</v>
      </c>
    </row>
    <row r="125" ht="15.75" customHeight="1">
      <c r="A125" s="9" t="s">
        <v>511</v>
      </c>
      <c r="B125" s="14" t="s">
        <v>31</v>
      </c>
      <c r="C125" s="15" t="s">
        <v>513</v>
      </c>
      <c r="D125" s="14">
        <v>13.0</v>
      </c>
      <c r="F125" s="14">
        <v>0.01</v>
      </c>
      <c r="G125" s="14">
        <v>0.01</v>
      </c>
      <c r="H125" s="14">
        <v>0.23</v>
      </c>
    </row>
    <row r="126" ht="15.75" customHeight="1">
      <c r="A126" s="9" t="s">
        <v>514</v>
      </c>
      <c r="B126" s="14" t="s">
        <v>22</v>
      </c>
      <c r="C126" s="15" t="s">
        <v>517</v>
      </c>
      <c r="D126" s="14">
        <v>12.0</v>
      </c>
      <c r="F126" s="14">
        <v>0.01</v>
      </c>
      <c r="G126" s="14">
        <v>0.01</v>
      </c>
      <c r="H126" s="14">
        <v>0.0</v>
      </c>
    </row>
    <row r="127" ht="15.75" customHeight="1">
      <c r="A127" s="9" t="s">
        <v>518</v>
      </c>
      <c r="B127" s="14" t="s">
        <v>31</v>
      </c>
      <c r="C127" s="15" t="s">
        <v>520</v>
      </c>
      <c r="D127" s="14">
        <v>12.0</v>
      </c>
      <c r="F127" s="14">
        <v>0.01</v>
      </c>
      <c r="G127" s="14">
        <v>0.01</v>
      </c>
      <c r="H127" s="14">
        <v>0.42</v>
      </c>
    </row>
    <row r="128" ht="15.75" customHeight="1">
      <c r="A128" s="9" t="s">
        <v>521</v>
      </c>
      <c r="B128" s="14" t="s">
        <v>85</v>
      </c>
      <c r="C128" s="15" t="s">
        <v>523</v>
      </c>
      <c r="D128" s="14">
        <v>12.0</v>
      </c>
      <c r="F128" s="14">
        <v>0.01</v>
      </c>
      <c r="G128" s="14">
        <v>0.01</v>
      </c>
      <c r="H128" s="14">
        <v>0.08</v>
      </c>
    </row>
    <row r="129" ht="15.75" customHeight="1">
      <c r="A129" s="9" t="s">
        <v>524</v>
      </c>
      <c r="B129" s="14" t="s">
        <v>22</v>
      </c>
      <c r="C129" s="15" t="s">
        <v>526</v>
      </c>
      <c r="D129" s="14">
        <v>12.0</v>
      </c>
      <c r="F129" s="14">
        <v>0.01</v>
      </c>
      <c r="G129" s="14">
        <v>0.01</v>
      </c>
      <c r="H129" s="14">
        <v>0.0</v>
      </c>
    </row>
    <row r="130" ht="15.75" customHeight="1">
      <c r="A130" s="9" t="s">
        <v>529</v>
      </c>
      <c r="B130" s="14" t="s">
        <v>22</v>
      </c>
      <c r="C130" s="15" t="s">
        <v>532</v>
      </c>
      <c r="D130" s="14">
        <v>12.0</v>
      </c>
      <c r="F130" s="14">
        <v>0.01</v>
      </c>
      <c r="G130" s="14">
        <v>0.01</v>
      </c>
      <c r="H130" s="14">
        <v>0.0</v>
      </c>
    </row>
    <row r="131" ht="15.75" customHeight="1">
      <c r="A131" s="9" t="s">
        <v>534</v>
      </c>
      <c r="B131" s="14" t="s">
        <v>120</v>
      </c>
      <c r="C131" s="15"/>
      <c r="D131" s="14">
        <v>12.0</v>
      </c>
      <c r="F131" s="14">
        <v>0.01</v>
      </c>
      <c r="G131" s="14">
        <v>0.01</v>
      </c>
      <c r="H131" s="14">
        <v>1.08</v>
      </c>
    </row>
    <row r="132" ht="15.75" customHeight="1">
      <c r="A132" s="9" t="s">
        <v>536</v>
      </c>
      <c r="B132" s="14" t="s">
        <v>85</v>
      </c>
      <c r="C132" s="15" t="s">
        <v>538</v>
      </c>
      <c r="D132" s="14">
        <v>11.0</v>
      </c>
      <c r="F132" s="14">
        <v>0.01</v>
      </c>
      <c r="G132" s="14">
        <v>0.02</v>
      </c>
      <c r="H132" s="14">
        <v>0.18</v>
      </c>
    </row>
    <row r="133" ht="15.75" customHeight="1">
      <c r="A133" s="9" t="s">
        <v>540</v>
      </c>
      <c r="B133" s="14" t="s">
        <v>22</v>
      </c>
      <c r="C133" s="15" t="s">
        <v>541</v>
      </c>
      <c r="D133" s="14">
        <v>11.0</v>
      </c>
      <c r="F133" s="14">
        <v>0.01</v>
      </c>
      <c r="G133" s="14">
        <v>0.02</v>
      </c>
      <c r="H133" s="14">
        <v>0.82</v>
      </c>
    </row>
    <row r="134" ht="15.75" customHeight="1">
      <c r="A134" s="9" t="s">
        <v>543</v>
      </c>
      <c r="B134" s="14" t="s">
        <v>22</v>
      </c>
      <c r="C134" s="15"/>
      <c r="D134" s="14">
        <v>11.0</v>
      </c>
      <c r="F134" s="14">
        <v>0.01</v>
      </c>
      <c r="G134" s="14">
        <v>0.02</v>
      </c>
      <c r="H134" s="14">
        <v>0.27</v>
      </c>
    </row>
    <row r="135" ht="15.75" customHeight="1">
      <c r="A135" s="9" t="s">
        <v>545</v>
      </c>
      <c r="B135" s="14" t="s">
        <v>41</v>
      </c>
      <c r="C135" s="15" t="s">
        <v>547</v>
      </c>
      <c r="D135" s="14">
        <v>11.0</v>
      </c>
      <c r="F135" s="14">
        <v>0.01</v>
      </c>
      <c r="G135" s="14">
        <v>0.02</v>
      </c>
      <c r="H135" s="14">
        <v>1.64</v>
      </c>
    </row>
    <row r="136" ht="15.75" customHeight="1">
      <c r="A136" s="9" t="s">
        <v>549</v>
      </c>
      <c r="B136" s="14" t="s">
        <v>31</v>
      </c>
      <c r="C136" s="15" t="s">
        <v>550</v>
      </c>
      <c r="D136" s="14">
        <v>11.0</v>
      </c>
      <c r="F136" s="14">
        <v>0.01</v>
      </c>
      <c r="G136" s="14">
        <v>0.02</v>
      </c>
      <c r="H136" s="14">
        <v>0.09</v>
      </c>
    </row>
    <row r="137" ht="15.75" customHeight="1">
      <c r="A137" s="9" t="s">
        <v>551</v>
      </c>
      <c r="B137" s="14" t="s">
        <v>553</v>
      </c>
      <c r="C137" s="15" t="s">
        <v>554</v>
      </c>
      <c r="D137" s="14">
        <v>11.0</v>
      </c>
      <c r="F137" s="14">
        <v>0.01</v>
      </c>
      <c r="G137" s="14">
        <v>0.01</v>
      </c>
      <c r="H137" s="14">
        <v>1.09</v>
      </c>
    </row>
    <row r="138" ht="15.75" customHeight="1">
      <c r="A138" s="9" t="s">
        <v>555</v>
      </c>
      <c r="B138" s="14" t="s">
        <v>553</v>
      </c>
      <c r="C138" s="15" t="s">
        <v>557</v>
      </c>
      <c r="D138" s="14">
        <v>11.0</v>
      </c>
      <c r="F138" s="14">
        <v>0.01</v>
      </c>
      <c r="G138" s="14">
        <v>0.01</v>
      </c>
      <c r="H138" s="14">
        <v>2.18</v>
      </c>
    </row>
    <row r="139" ht="15.75" customHeight="1">
      <c r="A139" s="9" t="s">
        <v>558</v>
      </c>
      <c r="B139" s="14" t="s">
        <v>22</v>
      </c>
      <c r="C139" s="15"/>
      <c r="D139" s="14">
        <v>11.0</v>
      </c>
      <c r="F139" s="14">
        <v>0.01</v>
      </c>
      <c r="G139" s="14">
        <v>0.01</v>
      </c>
      <c r="H139" s="14">
        <v>0.27</v>
      </c>
    </row>
    <row r="140" ht="15.75" customHeight="1">
      <c r="A140" s="9" t="s">
        <v>561</v>
      </c>
      <c r="B140" s="14" t="s">
        <v>117</v>
      </c>
      <c r="C140" s="15" t="s">
        <v>563</v>
      </c>
      <c r="D140" s="14">
        <v>11.0</v>
      </c>
      <c r="F140" s="14">
        <v>0.01</v>
      </c>
      <c r="G140" s="14">
        <v>0.01</v>
      </c>
      <c r="H140" s="14">
        <v>0.0</v>
      </c>
    </row>
    <row r="141" ht="15.75" customHeight="1">
      <c r="A141" s="9" t="s">
        <v>565</v>
      </c>
      <c r="B141" s="14" t="s">
        <v>22</v>
      </c>
      <c r="C141" s="15" t="s">
        <v>523</v>
      </c>
      <c r="D141" s="14">
        <v>11.0</v>
      </c>
      <c r="F141" s="14">
        <v>0.01</v>
      </c>
      <c r="G141" s="14">
        <v>0.01</v>
      </c>
      <c r="H141" s="14">
        <v>0.73</v>
      </c>
    </row>
    <row r="142" ht="15.75" customHeight="1">
      <c r="A142" s="9" t="s">
        <v>568</v>
      </c>
      <c r="B142" s="14" t="s">
        <v>22</v>
      </c>
      <c r="C142" s="15"/>
      <c r="D142" s="14">
        <v>11.0</v>
      </c>
      <c r="F142" s="14">
        <v>0.01</v>
      </c>
      <c r="G142" s="14">
        <v>0.01</v>
      </c>
      <c r="H142" s="14">
        <v>0.91</v>
      </c>
    </row>
    <row r="143" ht="15.75" customHeight="1">
      <c r="A143" s="9" t="s">
        <v>570</v>
      </c>
      <c r="B143" s="14" t="s">
        <v>22</v>
      </c>
      <c r="C143" s="15"/>
      <c r="D143" s="14">
        <v>11.0</v>
      </c>
      <c r="F143" s="14">
        <v>0.01</v>
      </c>
      <c r="G143" s="14">
        <v>0.01</v>
      </c>
      <c r="H143" s="14">
        <v>1.18</v>
      </c>
    </row>
    <row r="144" ht="15.75" customHeight="1">
      <c r="A144" s="9" t="s">
        <v>574</v>
      </c>
      <c r="B144" s="14" t="s">
        <v>22</v>
      </c>
      <c r="C144" s="15" t="s">
        <v>257</v>
      </c>
      <c r="D144" s="14">
        <v>11.0</v>
      </c>
      <c r="F144" s="14">
        <v>0.01</v>
      </c>
      <c r="G144" s="14">
        <v>0.01</v>
      </c>
      <c r="H144" s="14">
        <v>0.0</v>
      </c>
    </row>
    <row r="145" ht="15.75" customHeight="1">
      <c r="A145" s="9" t="s">
        <v>577</v>
      </c>
      <c r="B145" s="14" t="s">
        <v>31</v>
      </c>
      <c r="C145" s="15" t="s">
        <v>580</v>
      </c>
      <c r="D145" s="14">
        <v>11.0</v>
      </c>
      <c r="F145" s="14">
        <v>0.01</v>
      </c>
      <c r="G145" s="14">
        <v>0.01</v>
      </c>
      <c r="H145" s="14">
        <v>0.0</v>
      </c>
    </row>
    <row r="146" ht="15.75" customHeight="1">
      <c r="A146" s="9" t="s">
        <v>581</v>
      </c>
      <c r="B146" s="14" t="s">
        <v>22</v>
      </c>
      <c r="C146" s="15" t="s">
        <v>584</v>
      </c>
      <c r="D146" s="14">
        <v>11.0</v>
      </c>
      <c r="F146" s="14">
        <v>0.01</v>
      </c>
      <c r="G146" s="14">
        <v>0.01</v>
      </c>
      <c r="H146" s="14">
        <v>0.0</v>
      </c>
    </row>
    <row r="147" ht="15.75" customHeight="1">
      <c r="A147" s="9" t="s">
        <v>585</v>
      </c>
      <c r="B147" s="14" t="s">
        <v>22</v>
      </c>
      <c r="C147" s="15" t="s">
        <v>538</v>
      </c>
      <c r="D147" s="14">
        <v>11.0</v>
      </c>
      <c r="F147" s="14">
        <v>0.01</v>
      </c>
      <c r="G147" s="14">
        <v>0.01</v>
      </c>
      <c r="H147" s="14">
        <v>0.09</v>
      </c>
    </row>
    <row r="148" ht="15.75" customHeight="1">
      <c r="A148" s="9" t="s">
        <v>587</v>
      </c>
      <c r="B148" s="14" t="s">
        <v>22</v>
      </c>
      <c r="C148" s="15" t="s">
        <v>538</v>
      </c>
      <c r="D148" s="14">
        <v>11.0</v>
      </c>
      <c r="F148" s="14">
        <v>0.01</v>
      </c>
      <c r="G148" s="14">
        <v>0.01</v>
      </c>
      <c r="H148" s="14">
        <v>0.0</v>
      </c>
    </row>
    <row r="149" ht="15.75" customHeight="1">
      <c r="A149" s="9" t="s">
        <v>590</v>
      </c>
      <c r="B149" s="14" t="s">
        <v>22</v>
      </c>
      <c r="C149" s="15" t="s">
        <v>340</v>
      </c>
      <c r="D149" s="14">
        <v>11.0</v>
      </c>
      <c r="F149" s="14">
        <v>0.01</v>
      </c>
      <c r="G149" s="14">
        <v>0.01</v>
      </c>
      <c r="H149" s="14">
        <v>0.0</v>
      </c>
    </row>
    <row r="150" ht="15.75" customHeight="1">
      <c r="A150" s="9" t="s">
        <v>592</v>
      </c>
      <c r="B150" s="14" t="s">
        <v>22</v>
      </c>
      <c r="C150" s="15" t="s">
        <v>594</v>
      </c>
      <c r="D150" s="14">
        <v>10.0</v>
      </c>
      <c r="F150" s="14">
        <v>0.01</v>
      </c>
      <c r="G150" s="14">
        <v>0.02</v>
      </c>
      <c r="H150" s="14">
        <v>0.4</v>
      </c>
    </row>
    <row r="151" ht="15.75" customHeight="1">
      <c r="A151" s="9" t="s">
        <v>595</v>
      </c>
      <c r="B151" s="14" t="s">
        <v>22</v>
      </c>
      <c r="C151" s="15" t="s">
        <v>597</v>
      </c>
      <c r="D151" s="14">
        <v>10.0</v>
      </c>
      <c r="F151" s="14">
        <v>0.01</v>
      </c>
      <c r="G151" s="14">
        <v>0.01</v>
      </c>
      <c r="H151" s="14">
        <v>1.5</v>
      </c>
    </row>
    <row r="152" ht="15.75" customHeight="1">
      <c r="A152" s="9" t="s">
        <v>598</v>
      </c>
      <c r="B152" s="14" t="s">
        <v>41</v>
      </c>
      <c r="C152" s="15" t="s">
        <v>601</v>
      </c>
      <c r="D152" s="14">
        <v>10.0</v>
      </c>
      <c r="F152" s="14">
        <v>0.01</v>
      </c>
      <c r="G152" s="14">
        <v>0.01</v>
      </c>
      <c r="H152" s="14">
        <v>1.1</v>
      </c>
    </row>
    <row r="153" ht="15.75" customHeight="1">
      <c r="A153" s="9" t="s">
        <v>602</v>
      </c>
      <c r="B153" s="14" t="s">
        <v>22</v>
      </c>
      <c r="C153" s="15"/>
      <c r="D153" s="14">
        <v>10.0</v>
      </c>
      <c r="F153" s="14">
        <v>0.01</v>
      </c>
      <c r="G153" s="14">
        <v>0.01</v>
      </c>
      <c r="H153" s="14">
        <v>1.2</v>
      </c>
    </row>
    <row r="154" ht="15.75" customHeight="1">
      <c r="A154" s="9" t="s">
        <v>604</v>
      </c>
      <c r="B154" s="14" t="s">
        <v>22</v>
      </c>
      <c r="C154" s="15"/>
      <c r="D154" s="14">
        <v>10.0</v>
      </c>
      <c r="F154" s="14">
        <v>0.01</v>
      </c>
      <c r="G154" s="14">
        <v>0.01</v>
      </c>
      <c r="H154" s="14">
        <v>0.0</v>
      </c>
    </row>
    <row r="155" ht="15.75" customHeight="1">
      <c r="A155" s="9" t="s">
        <v>606</v>
      </c>
      <c r="B155" s="14" t="s">
        <v>22</v>
      </c>
      <c r="C155" s="15" t="s">
        <v>608</v>
      </c>
      <c r="D155" s="14">
        <v>10.0</v>
      </c>
      <c r="F155" s="14">
        <v>0.01</v>
      </c>
      <c r="G155" s="14">
        <v>0.01</v>
      </c>
      <c r="H155" s="14">
        <v>0.2</v>
      </c>
    </row>
    <row r="156" ht="15.75" customHeight="1">
      <c r="A156" s="9" t="s">
        <v>610</v>
      </c>
      <c r="B156" s="14" t="s">
        <v>22</v>
      </c>
      <c r="C156" s="15" t="s">
        <v>523</v>
      </c>
      <c r="D156" s="14">
        <v>10.0</v>
      </c>
      <c r="F156" s="14">
        <v>0.01</v>
      </c>
      <c r="G156" s="14">
        <v>0.01</v>
      </c>
      <c r="H156" s="14">
        <v>0.9</v>
      </c>
    </row>
    <row r="157" ht="15.75" customHeight="1">
      <c r="A157" s="9" t="s">
        <v>613</v>
      </c>
      <c r="B157" s="14" t="s">
        <v>85</v>
      </c>
      <c r="C157" s="15" t="s">
        <v>615</v>
      </c>
      <c r="D157" s="14">
        <v>10.0</v>
      </c>
      <c r="F157" s="14">
        <v>0.01</v>
      </c>
      <c r="G157" s="14">
        <v>0.01</v>
      </c>
      <c r="H157" s="14">
        <v>0.0</v>
      </c>
    </row>
    <row r="158" ht="15.75" customHeight="1">
      <c r="A158" s="9" t="s">
        <v>617</v>
      </c>
      <c r="B158" s="14" t="s">
        <v>85</v>
      </c>
      <c r="C158" s="15" t="s">
        <v>618</v>
      </c>
      <c r="D158" s="14">
        <v>10.0</v>
      </c>
      <c r="F158" s="14">
        <v>0.01</v>
      </c>
      <c r="G158" s="14">
        <v>0.01</v>
      </c>
      <c r="H158" s="14">
        <v>0.3</v>
      </c>
    </row>
    <row r="159" ht="15.75" customHeight="1">
      <c r="A159" s="9" t="s">
        <v>619</v>
      </c>
      <c r="B159" s="14" t="s">
        <v>22</v>
      </c>
      <c r="C159" s="15" t="s">
        <v>506</v>
      </c>
      <c r="D159" s="14">
        <v>10.0</v>
      </c>
      <c r="F159" s="14">
        <v>0.01</v>
      </c>
      <c r="G159" s="14">
        <v>0.01</v>
      </c>
      <c r="H159" s="14">
        <v>2.1</v>
      </c>
    </row>
    <row r="160" ht="15.75" customHeight="1">
      <c r="A160" s="9" t="s">
        <v>623</v>
      </c>
      <c r="B160" s="14" t="s">
        <v>22</v>
      </c>
      <c r="C160" s="15" t="s">
        <v>523</v>
      </c>
      <c r="D160" s="14">
        <v>10.0</v>
      </c>
      <c r="F160" s="14">
        <v>0.01</v>
      </c>
      <c r="G160" s="14">
        <v>0.01</v>
      </c>
      <c r="H160" s="14">
        <v>1.3</v>
      </c>
    </row>
    <row r="161" ht="15.75" customHeight="1">
      <c r="A161" s="9" t="s">
        <v>626</v>
      </c>
      <c r="B161" s="14" t="s">
        <v>22</v>
      </c>
      <c r="C161" s="15"/>
      <c r="D161" s="14">
        <v>10.0</v>
      </c>
      <c r="F161" s="14">
        <v>0.01</v>
      </c>
      <c r="G161" s="14">
        <v>0.01</v>
      </c>
      <c r="H161" s="14">
        <v>0.7</v>
      </c>
    </row>
    <row r="162" ht="15.75" customHeight="1">
      <c r="A162" s="9" t="s">
        <v>628</v>
      </c>
      <c r="B162" s="14" t="s">
        <v>22</v>
      </c>
      <c r="C162" s="15"/>
      <c r="D162" s="14">
        <v>10.0</v>
      </c>
      <c r="F162" s="14">
        <v>0.01</v>
      </c>
      <c r="G162" s="14">
        <v>0.01</v>
      </c>
      <c r="H162" s="14">
        <v>1.4</v>
      </c>
    </row>
    <row r="163" ht="15.75" customHeight="1">
      <c r="A163" s="14" t="s">
        <v>630</v>
      </c>
      <c r="B163" s="14" t="s">
        <v>22</v>
      </c>
      <c r="C163" s="15" t="s">
        <v>361</v>
      </c>
      <c r="D163" s="14">
        <v>10.0</v>
      </c>
      <c r="F163" s="14">
        <v>0.01</v>
      </c>
      <c r="G163" s="14">
        <v>0.01</v>
      </c>
      <c r="H163" s="14">
        <v>0.2</v>
      </c>
    </row>
    <row r="164" ht="15.75" customHeight="1">
      <c r="A164" s="14" t="s">
        <v>632</v>
      </c>
      <c r="B164" s="14" t="s">
        <v>85</v>
      </c>
      <c r="C164" s="15" t="s">
        <v>633</v>
      </c>
      <c r="D164" s="14">
        <v>10.0</v>
      </c>
      <c r="F164" s="14">
        <v>0.01</v>
      </c>
      <c r="G164" s="14">
        <v>0.01</v>
      </c>
      <c r="H164" s="14">
        <v>0.8</v>
      </c>
    </row>
    <row r="165" ht="15.75" customHeight="1">
      <c r="A165" s="9" t="s">
        <v>634</v>
      </c>
      <c r="B165" s="14" t="s">
        <v>41</v>
      </c>
      <c r="C165" s="15" t="s">
        <v>637</v>
      </c>
      <c r="D165" s="14">
        <v>10.0</v>
      </c>
      <c r="F165" s="14">
        <v>0.01</v>
      </c>
      <c r="G165" s="14">
        <v>0.01</v>
      </c>
      <c r="H165" s="14">
        <v>1.0</v>
      </c>
    </row>
    <row r="166" ht="15.75" customHeight="1">
      <c r="A166" s="9" t="s">
        <v>639</v>
      </c>
      <c r="B166" s="14" t="s">
        <v>22</v>
      </c>
      <c r="C166" s="15" t="s">
        <v>642</v>
      </c>
      <c r="D166" s="14">
        <v>9.0</v>
      </c>
      <c r="F166" s="14">
        <v>0.01</v>
      </c>
      <c r="G166" s="14">
        <v>0.01</v>
      </c>
      <c r="H166" s="14">
        <v>1.11</v>
      </c>
    </row>
    <row r="167" ht="15.75" customHeight="1">
      <c r="A167" s="9" t="s">
        <v>643</v>
      </c>
      <c r="B167" s="14" t="s">
        <v>22</v>
      </c>
      <c r="C167" s="15" t="s">
        <v>645</v>
      </c>
      <c r="D167" s="14">
        <v>9.0</v>
      </c>
      <c r="F167" s="14">
        <v>0.01</v>
      </c>
      <c r="G167" s="14">
        <v>0.01</v>
      </c>
      <c r="H167" s="14">
        <v>1.33</v>
      </c>
    </row>
    <row r="168" ht="15.75" customHeight="1">
      <c r="A168" s="9" t="s">
        <v>646</v>
      </c>
      <c r="B168" s="14" t="s">
        <v>22</v>
      </c>
      <c r="C168" s="15"/>
      <c r="D168" s="14">
        <v>9.0</v>
      </c>
      <c r="F168" s="14">
        <v>0.01</v>
      </c>
      <c r="G168" s="14">
        <v>0.01</v>
      </c>
      <c r="H168" s="14">
        <v>1.22</v>
      </c>
    </row>
    <row r="169" ht="15.75" customHeight="1">
      <c r="A169" s="9" t="s">
        <v>649</v>
      </c>
      <c r="B169" s="14" t="s">
        <v>22</v>
      </c>
      <c r="C169" s="15" t="s">
        <v>652</v>
      </c>
      <c r="D169" s="14">
        <v>9.0</v>
      </c>
      <c r="F169" s="14">
        <v>0.01</v>
      </c>
      <c r="G169" s="14">
        <v>0.01</v>
      </c>
      <c r="H169" s="14">
        <v>1.22</v>
      </c>
    </row>
    <row r="170" ht="15.75" customHeight="1">
      <c r="A170" s="9" t="s">
        <v>654</v>
      </c>
      <c r="B170" s="14" t="s">
        <v>22</v>
      </c>
      <c r="C170" s="15" t="s">
        <v>657</v>
      </c>
      <c r="D170" s="14">
        <v>9.0</v>
      </c>
      <c r="F170" s="14">
        <v>0.01</v>
      </c>
      <c r="G170" s="14">
        <v>0.01</v>
      </c>
      <c r="H170" s="14">
        <v>0.0</v>
      </c>
    </row>
    <row r="171" ht="15.75" customHeight="1">
      <c r="A171" s="9" t="s">
        <v>659</v>
      </c>
      <c r="B171" s="14" t="s">
        <v>120</v>
      </c>
      <c r="C171" s="15"/>
      <c r="D171" s="14">
        <v>9.0</v>
      </c>
      <c r="F171" s="14">
        <v>0.01</v>
      </c>
      <c r="G171" s="14">
        <v>0.01</v>
      </c>
      <c r="H171" s="14">
        <v>2.0</v>
      </c>
    </row>
    <row r="172" ht="15.75" customHeight="1">
      <c r="A172" s="9" t="s">
        <v>662</v>
      </c>
      <c r="B172" s="14" t="s">
        <v>41</v>
      </c>
      <c r="C172" s="15" t="s">
        <v>664</v>
      </c>
      <c r="D172" s="14">
        <v>9.0</v>
      </c>
      <c r="F172" s="14">
        <v>0.01</v>
      </c>
      <c r="G172" s="14">
        <v>0.01</v>
      </c>
      <c r="H172" s="14">
        <v>1.0</v>
      </c>
    </row>
    <row r="173" ht="15.75" customHeight="1">
      <c r="A173" s="9" t="s">
        <v>666</v>
      </c>
      <c r="B173" s="14" t="s">
        <v>120</v>
      </c>
      <c r="C173" s="15" t="s">
        <v>669</v>
      </c>
      <c r="D173" s="14">
        <v>9.0</v>
      </c>
      <c r="F173" s="14">
        <v>0.01</v>
      </c>
      <c r="G173" s="14">
        <v>0.01</v>
      </c>
      <c r="H173" s="14">
        <v>0.67</v>
      </c>
    </row>
    <row r="174" ht="15.75" customHeight="1">
      <c r="A174" s="9" t="s">
        <v>671</v>
      </c>
      <c r="B174" s="14" t="s">
        <v>22</v>
      </c>
      <c r="C174" s="15"/>
      <c r="D174" s="14">
        <v>9.0</v>
      </c>
      <c r="F174" s="14">
        <v>0.01</v>
      </c>
      <c r="G174" s="14">
        <v>0.01</v>
      </c>
      <c r="H174" s="14">
        <v>1.67</v>
      </c>
    </row>
    <row r="175" ht="15.75" customHeight="1">
      <c r="A175" s="14" t="s">
        <v>674</v>
      </c>
      <c r="B175" s="14" t="s">
        <v>22</v>
      </c>
      <c r="C175" s="15" t="s">
        <v>675</v>
      </c>
      <c r="D175" s="14">
        <v>9.0</v>
      </c>
      <c r="F175" s="14">
        <v>0.01</v>
      </c>
      <c r="G175" s="14">
        <v>0.01</v>
      </c>
      <c r="H175" s="14">
        <v>0.0</v>
      </c>
    </row>
    <row r="176" ht="15.75" customHeight="1">
      <c r="A176" s="9" t="s">
        <v>676</v>
      </c>
      <c r="B176" s="14" t="s">
        <v>22</v>
      </c>
      <c r="C176" s="15" t="s">
        <v>678</v>
      </c>
      <c r="D176" s="14">
        <v>9.0</v>
      </c>
      <c r="F176" s="14">
        <v>0.01</v>
      </c>
      <c r="G176" s="14">
        <v>0.01</v>
      </c>
      <c r="H176" s="14">
        <v>0.56</v>
      </c>
    </row>
    <row r="177" ht="15.75" customHeight="1">
      <c r="A177" s="9" t="s">
        <v>679</v>
      </c>
      <c r="B177" s="14" t="s">
        <v>22</v>
      </c>
      <c r="C177" s="15"/>
      <c r="D177" s="14">
        <v>9.0</v>
      </c>
      <c r="F177" s="14">
        <v>0.01</v>
      </c>
      <c r="G177" s="14">
        <v>0.01</v>
      </c>
      <c r="H177" s="14">
        <v>1.67</v>
      </c>
    </row>
    <row r="178" ht="15.75" customHeight="1">
      <c r="A178" s="14" t="s">
        <v>682</v>
      </c>
      <c r="B178" s="14" t="s">
        <v>22</v>
      </c>
      <c r="C178" s="15" t="s">
        <v>684</v>
      </c>
      <c r="D178" s="14">
        <v>9.0</v>
      </c>
      <c r="F178" s="14">
        <v>0.01</v>
      </c>
      <c r="G178" s="14">
        <v>0.01</v>
      </c>
      <c r="H178" s="14">
        <v>0.56</v>
      </c>
    </row>
    <row r="179" ht="15.75" customHeight="1">
      <c r="A179" s="9" t="s">
        <v>685</v>
      </c>
      <c r="B179" s="14" t="s">
        <v>22</v>
      </c>
      <c r="C179" s="15"/>
      <c r="D179" s="14">
        <v>8.0</v>
      </c>
      <c r="F179" s="14">
        <v>0.01</v>
      </c>
      <c r="G179" s="14">
        <v>0.01</v>
      </c>
      <c r="H179" s="14">
        <v>1.38</v>
      </c>
    </row>
    <row r="180" ht="15.75" customHeight="1">
      <c r="A180" s="9" t="s">
        <v>689</v>
      </c>
      <c r="B180" s="14" t="s">
        <v>31</v>
      </c>
      <c r="C180" s="15" t="s">
        <v>361</v>
      </c>
      <c r="D180" s="14">
        <v>8.0</v>
      </c>
      <c r="F180" s="14">
        <v>0.01</v>
      </c>
      <c r="G180" s="14">
        <v>0.01</v>
      </c>
      <c r="H180" s="14">
        <v>0.25</v>
      </c>
    </row>
    <row r="181" ht="15.75" customHeight="1">
      <c r="A181" s="9" t="s">
        <v>692</v>
      </c>
      <c r="B181" s="14" t="s">
        <v>22</v>
      </c>
      <c r="C181" s="15"/>
      <c r="D181" s="14">
        <v>8.0</v>
      </c>
      <c r="F181" s="14">
        <v>0.01</v>
      </c>
      <c r="G181" s="14">
        <v>0.01</v>
      </c>
      <c r="H181" s="14">
        <v>1.88</v>
      </c>
    </row>
    <row r="182" ht="15.75" customHeight="1">
      <c r="A182" s="9" t="s">
        <v>694</v>
      </c>
      <c r="B182" s="14" t="s">
        <v>41</v>
      </c>
      <c r="C182" s="15" t="s">
        <v>696</v>
      </c>
      <c r="D182" s="14">
        <v>8.0</v>
      </c>
      <c r="F182" s="14">
        <v>0.01</v>
      </c>
      <c r="G182" s="14">
        <v>0.01</v>
      </c>
      <c r="H182" s="14">
        <v>1.75</v>
      </c>
    </row>
    <row r="183" ht="15.75" customHeight="1">
      <c r="A183" s="9" t="s">
        <v>697</v>
      </c>
      <c r="B183" s="14" t="s">
        <v>41</v>
      </c>
      <c r="C183" s="15" t="s">
        <v>699</v>
      </c>
      <c r="D183" s="14">
        <v>8.0</v>
      </c>
      <c r="F183" s="14">
        <v>0.01</v>
      </c>
      <c r="G183" s="14">
        <v>0.01</v>
      </c>
      <c r="H183" s="14">
        <v>1.38</v>
      </c>
    </row>
    <row r="184" ht="15.75" customHeight="1">
      <c r="A184" s="9" t="s">
        <v>701</v>
      </c>
      <c r="B184" s="14" t="s">
        <v>41</v>
      </c>
      <c r="C184" s="15" t="s">
        <v>702</v>
      </c>
      <c r="D184" s="14">
        <v>8.0</v>
      </c>
      <c r="F184" s="14">
        <v>0.01</v>
      </c>
      <c r="G184" s="14">
        <v>0.01</v>
      </c>
      <c r="H184" s="14">
        <v>0.63</v>
      </c>
    </row>
    <row r="185" ht="15.75" customHeight="1">
      <c r="A185" s="9" t="s">
        <v>704</v>
      </c>
      <c r="B185" s="14" t="s">
        <v>22</v>
      </c>
      <c r="C185" s="15"/>
      <c r="D185" s="14">
        <v>8.0</v>
      </c>
      <c r="F185" s="14">
        <v>0.01</v>
      </c>
      <c r="G185" s="14">
        <v>0.01</v>
      </c>
      <c r="H185" s="14">
        <v>1.13</v>
      </c>
    </row>
    <row r="186" ht="15.75" customHeight="1">
      <c r="A186" s="9" t="s">
        <v>707</v>
      </c>
      <c r="B186" s="14" t="s">
        <v>22</v>
      </c>
      <c r="C186" s="15" t="s">
        <v>538</v>
      </c>
      <c r="D186" s="14">
        <v>8.0</v>
      </c>
      <c r="F186" s="14">
        <v>0.01</v>
      </c>
      <c r="G186" s="14">
        <v>0.01</v>
      </c>
      <c r="H186" s="14">
        <v>0.13</v>
      </c>
    </row>
    <row r="187" ht="15.75" customHeight="1">
      <c r="A187" s="9" t="s">
        <v>710</v>
      </c>
      <c r="B187" s="14" t="s">
        <v>22</v>
      </c>
      <c r="C187" s="15" t="s">
        <v>538</v>
      </c>
      <c r="D187" s="14">
        <v>8.0</v>
      </c>
      <c r="F187" s="14">
        <v>0.01</v>
      </c>
      <c r="G187" s="14">
        <v>0.01</v>
      </c>
      <c r="H187" s="14">
        <v>0.5</v>
      </c>
    </row>
    <row r="188" ht="15.75" customHeight="1">
      <c r="A188" s="9" t="s">
        <v>712</v>
      </c>
      <c r="B188" s="14" t="s">
        <v>22</v>
      </c>
      <c r="C188" s="15"/>
      <c r="D188" s="14">
        <v>8.0</v>
      </c>
      <c r="F188" s="14">
        <v>0.01</v>
      </c>
      <c r="G188" s="14">
        <v>0.01</v>
      </c>
      <c r="H188" s="14">
        <v>0.0</v>
      </c>
    </row>
    <row r="189" ht="15.75" customHeight="1">
      <c r="A189" s="9" t="s">
        <v>715</v>
      </c>
      <c r="B189" s="14" t="s">
        <v>22</v>
      </c>
      <c r="C189" s="15" t="s">
        <v>538</v>
      </c>
      <c r="D189" s="14">
        <v>8.0</v>
      </c>
      <c r="F189" s="14">
        <v>0.01</v>
      </c>
      <c r="G189" s="14">
        <v>0.01</v>
      </c>
      <c r="H189" s="14">
        <v>0.0</v>
      </c>
    </row>
    <row r="190" ht="15.75" customHeight="1">
      <c r="A190" s="9" t="s">
        <v>718</v>
      </c>
      <c r="B190" s="14" t="s">
        <v>22</v>
      </c>
      <c r="C190" s="15" t="s">
        <v>720</v>
      </c>
      <c r="D190" s="14">
        <v>8.0</v>
      </c>
      <c r="F190" s="14">
        <v>0.01</v>
      </c>
      <c r="G190" s="14">
        <v>0.01</v>
      </c>
      <c r="H190" s="14">
        <v>0.0</v>
      </c>
    </row>
    <row r="191" ht="15.75" customHeight="1">
      <c r="A191" s="9" t="s">
        <v>722</v>
      </c>
      <c r="B191" s="14" t="s">
        <v>22</v>
      </c>
      <c r="C191" s="15"/>
      <c r="D191" s="14">
        <v>8.0</v>
      </c>
      <c r="F191" s="14">
        <v>0.01</v>
      </c>
      <c r="G191" s="14">
        <v>0.01</v>
      </c>
      <c r="H191" s="14">
        <v>0.25</v>
      </c>
    </row>
    <row r="192" ht="15.75" customHeight="1">
      <c r="A192" s="9" t="s">
        <v>724</v>
      </c>
      <c r="B192" s="14" t="s">
        <v>22</v>
      </c>
      <c r="C192" s="15" t="s">
        <v>727</v>
      </c>
      <c r="D192" s="14">
        <v>8.0</v>
      </c>
      <c r="F192" s="14">
        <v>0.01</v>
      </c>
      <c r="G192" s="14">
        <v>0.01</v>
      </c>
      <c r="H192" s="14">
        <v>0.88</v>
      </c>
    </row>
    <row r="193" ht="15.75" customHeight="1">
      <c r="A193" s="9" t="s">
        <v>729</v>
      </c>
      <c r="B193" s="14" t="s">
        <v>22</v>
      </c>
      <c r="C193" s="15" t="s">
        <v>731</v>
      </c>
      <c r="D193" s="14">
        <v>8.0</v>
      </c>
      <c r="F193" s="14">
        <v>0.01</v>
      </c>
      <c r="G193" s="14">
        <v>0.01</v>
      </c>
      <c r="H193" s="14">
        <v>0.0</v>
      </c>
    </row>
    <row r="194" ht="15.75" customHeight="1">
      <c r="A194" s="9" t="s">
        <v>733</v>
      </c>
      <c r="B194" s="14" t="s">
        <v>117</v>
      </c>
      <c r="C194" s="15" t="s">
        <v>735</v>
      </c>
      <c r="D194" s="14">
        <v>8.0</v>
      </c>
      <c r="F194" s="14">
        <v>0.01</v>
      </c>
      <c r="G194" s="14">
        <v>0.01</v>
      </c>
      <c r="H194" s="14">
        <v>0.25</v>
      </c>
    </row>
    <row r="195" ht="15.75" customHeight="1">
      <c r="A195" s="9" t="s">
        <v>737</v>
      </c>
      <c r="B195" s="14" t="s">
        <v>117</v>
      </c>
      <c r="C195" s="15" t="s">
        <v>523</v>
      </c>
      <c r="D195" s="14">
        <v>8.0</v>
      </c>
      <c r="F195" s="14">
        <v>0.01</v>
      </c>
      <c r="G195" s="14">
        <v>0.01</v>
      </c>
      <c r="H195" s="14">
        <v>0.0</v>
      </c>
    </row>
    <row r="196" ht="15.75" customHeight="1">
      <c r="A196" s="9" t="s">
        <v>740</v>
      </c>
      <c r="B196" s="14" t="s">
        <v>31</v>
      </c>
      <c r="C196" s="15" t="s">
        <v>743</v>
      </c>
      <c r="D196" s="14">
        <v>8.0</v>
      </c>
      <c r="F196" s="14">
        <v>0.01</v>
      </c>
      <c r="G196" s="14">
        <v>0.01</v>
      </c>
      <c r="H196" s="14">
        <v>2.0</v>
      </c>
    </row>
    <row r="197" ht="15.75" customHeight="1">
      <c r="A197" s="9" t="s">
        <v>744</v>
      </c>
      <c r="B197" s="14" t="s">
        <v>22</v>
      </c>
      <c r="C197" s="15"/>
      <c r="D197" s="14">
        <v>8.0</v>
      </c>
      <c r="F197" s="14">
        <v>0.01</v>
      </c>
      <c r="G197" s="14">
        <v>0.01</v>
      </c>
      <c r="H197" s="14">
        <v>1.5</v>
      </c>
    </row>
    <row r="198" ht="15.75" customHeight="1">
      <c r="A198" s="9" t="s">
        <v>746</v>
      </c>
      <c r="B198" s="14" t="s">
        <v>22</v>
      </c>
      <c r="C198" s="15"/>
      <c r="D198" s="14">
        <v>8.0</v>
      </c>
      <c r="F198" s="14">
        <v>0.01</v>
      </c>
      <c r="G198" s="14">
        <v>0.01</v>
      </c>
      <c r="H198" s="14">
        <v>1.0</v>
      </c>
    </row>
    <row r="199" ht="15.75" customHeight="1">
      <c r="A199" s="9" t="s">
        <v>749</v>
      </c>
      <c r="B199" s="14" t="s">
        <v>22</v>
      </c>
      <c r="C199" s="15" t="s">
        <v>750</v>
      </c>
      <c r="D199" s="14">
        <v>8.0</v>
      </c>
      <c r="F199" s="14">
        <v>0.01</v>
      </c>
      <c r="G199" s="14">
        <v>0.01</v>
      </c>
      <c r="H199" s="14">
        <v>0.63</v>
      </c>
    </row>
    <row r="200" ht="15.75" customHeight="1">
      <c r="A200" s="9" t="s">
        <v>752</v>
      </c>
      <c r="B200" s="14" t="s">
        <v>22</v>
      </c>
      <c r="C200" s="15" t="s">
        <v>538</v>
      </c>
      <c r="D200" s="14">
        <v>8.0</v>
      </c>
      <c r="F200" s="14">
        <v>0.01</v>
      </c>
      <c r="G200" s="14">
        <v>0.01</v>
      </c>
      <c r="H200" s="14">
        <v>0.0</v>
      </c>
    </row>
    <row r="201" ht="15.75" customHeight="1">
      <c r="A201" s="9" t="s">
        <v>754</v>
      </c>
      <c r="B201" s="14" t="s">
        <v>22</v>
      </c>
      <c r="C201" s="15" t="s">
        <v>758</v>
      </c>
      <c r="D201" s="14">
        <v>8.0</v>
      </c>
      <c r="F201" s="14">
        <v>0.01</v>
      </c>
      <c r="G201" s="14">
        <v>0.01</v>
      </c>
      <c r="H201" s="14">
        <v>0.88</v>
      </c>
    </row>
    <row r="202" ht="15.75" customHeight="1">
      <c r="A202" s="9" t="s">
        <v>759</v>
      </c>
      <c r="B202" s="14" t="s">
        <v>22</v>
      </c>
      <c r="C202" s="15"/>
      <c r="D202" s="14">
        <v>7.0</v>
      </c>
      <c r="F202" s="14">
        <v>0.01</v>
      </c>
      <c r="G202" s="14">
        <v>0.01</v>
      </c>
      <c r="H202" s="14">
        <v>1.29</v>
      </c>
    </row>
    <row r="203" ht="15.75" customHeight="1">
      <c r="A203" s="9" t="s">
        <v>761</v>
      </c>
      <c r="B203" s="14" t="s">
        <v>120</v>
      </c>
      <c r="C203" s="15" t="s">
        <v>763</v>
      </c>
      <c r="D203" s="14">
        <v>7.0</v>
      </c>
      <c r="F203" s="14">
        <v>0.01</v>
      </c>
      <c r="G203" s="14">
        <v>0.01</v>
      </c>
      <c r="H203" s="14">
        <v>1.29</v>
      </c>
    </row>
    <row r="204" ht="15.75" customHeight="1">
      <c r="A204" s="9" t="s">
        <v>764</v>
      </c>
      <c r="B204" s="14" t="s">
        <v>22</v>
      </c>
      <c r="C204" s="15"/>
      <c r="D204" s="14">
        <v>7.0</v>
      </c>
      <c r="F204" s="14">
        <v>0.01</v>
      </c>
      <c r="G204" s="14">
        <v>0.01</v>
      </c>
      <c r="H204" s="14">
        <v>1.43</v>
      </c>
    </row>
    <row r="205" ht="15.75" customHeight="1">
      <c r="A205" s="9" t="s">
        <v>767</v>
      </c>
      <c r="B205" s="14" t="s">
        <v>22</v>
      </c>
      <c r="C205" s="15"/>
      <c r="D205" s="14">
        <v>7.0</v>
      </c>
      <c r="F205" s="14">
        <v>0.01</v>
      </c>
      <c r="G205" s="14">
        <v>0.01</v>
      </c>
      <c r="H205" s="14">
        <v>1.29</v>
      </c>
    </row>
    <row r="206" ht="15.75" customHeight="1">
      <c r="A206" s="9" t="s">
        <v>770</v>
      </c>
      <c r="B206" s="14" t="s">
        <v>22</v>
      </c>
      <c r="C206" s="15"/>
      <c r="D206" s="14">
        <v>7.0</v>
      </c>
      <c r="F206" s="14">
        <v>0.01</v>
      </c>
      <c r="G206" s="14">
        <v>0.01</v>
      </c>
      <c r="H206" s="14">
        <v>1.14</v>
      </c>
    </row>
    <row r="207" ht="15.75" customHeight="1">
      <c r="A207" s="9" t="s">
        <v>773</v>
      </c>
      <c r="B207" s="14" t="s">
        <v>22</v>
      </c>
      <c r="C207" s="15" t="s">
        <v>774</v>
      </c>
      <c r="D207" s="14">
        <v>7.0</v>
      </c>
      <c r="F207" s="14">
        <v>0.01</v>
      </c>
      <c r="G207" s="14">
        <v>0.01</v>
      </c>
      <c r="H207" s="14">
        <v>0.57</v>
      </c>
    </row>
    <row r="208" ht="15.75" customHeight="1">
      <c r="A208" s="9" t="s">
        <v>775</v>
      </c>
      <c r="B208" s="14" t="s">
        <v>22</v>
      </c>
      <c r="C208" s="15" t="s">
        <v>257</v>
      </c>
      <c r="D208" s="14">
        <v>7.0</v>
      </c>
      <c r="F208" s="14">
        <v>0.01</v>
      </c>
      <c r="G208" s="14">
        <v>0.01</v>
      </c>
      <c r="H208" s="14">
        <v>1.43</v>
      </c>
    </row>
    <row r="209" ht="15.75" customHeight="1">
      <c r="A209" s="9" t="s">
        <v>777</v>
      </c>
      <c r="B209" s="14" t="s">
        <v>41</v>
      </c>
      <c r="C209" s="15" t="s">
        <v>779</v>
      </c>
      <c r="D209" s="14">
        <v>7.0</v>
      </c>
      <c r="F209" s="14">
        <v>0.01</v>
      </c>
      <c r="G209" s="14">
        <v>0.01</v>
      </c>
      <c r="H209" s="14">
        <v>1.14</v>
      </c>
    </row>
    <row r="210" ht="15.75" customHeight="1">
      <c r="A210" s="9" t="s">
        <v>780</v>
      </c>
      <c r="B210" s="14" t="s">
        <v>22</v>
      </c>
      <c r="C210" s="15" t="s">
        <v>782</v>
      </c>
      <c r="D210" s="14">
        <v>7.0</v>
      </c>
      <c r="F210" s="14">
        <v>0.01</v>
      </c>
      <c r="G210" s="14">
        <v>0.01</v>
      </c>
      <c r="H210" s="14">
        <v>1.29</v>
      </c>
    </row>
    <row r="211" ht="15.75" customHeight="1">
      <c r="A211" s="9" t="s">
        <v>783</v>
      </c>
      <c r="B211" s="14" t="s">
        <v>85</v>
      </c>
      <c r="C211" s="15" t="s">
        <v>340</v>
      </c>
      <c r="D211" s="14">
        <v>7.0</v>
      </c>
      <c r="F211" s="14">
        <v>0.01</v>
      </c>
      <c r="G211" s="14">
        <v>0.01</v>
      </c>
      <c r="H211" s="14">
        <v>0.43</v>
      </c>
    </row>
    <row r="212" ht="15.75" customHeight="1">
      <c r="A212" s="9" t="s">
        <v>785</v>
      </c>
      <c r="B212" s="14" t="s">
        <v>22</v>
      </c>
      <c r="C212" s="15"/>
      <c r="D212" s="14">
        <v>7.0</v>
      </c>
      <c r="F212" s="14">
        <v>0.01</v>
      </c>
      <c r="G212" s="14">
        <v>0.01</v>
      </c>
      <c r="H212" s="14">
        <v>1.0</v>
      </c>
    </row>
    <row r="213" ht="15.75" customHeight="1">
      <c r="A213" s="9" t="s">
        <v>787</v>
      </c>
      <c r="B213" s="14" t="s">
        <v>22</v>
      </c>
      <c r="C213" s="15"/>
      <c r="D213" s="14">
        <v>7.0</v>
      </c>
      <c r="F213" s="14">
        <v>0.01</v>
      </c>
      <c r="G213" s="14">
        <v>0.01</v>
      </c>
      <c r="H213" s="14">
        <v>1.29</v>
      </c>
    </row>
    <row r="214" ht="15.75" customHeight="1">
      <c r="A214" s="9" t="s">
        <v>790</v>
      </c>
      <c r="B214" s="14" t="s">
        <v>22</v>
      </c>
      <c r="C214" s="15" t="s">
        <v>792</v>
      </c>
      <c r="D214" s="14">
        <v>7.0</v>
      </c>
      <c r="F214" s="14">
        <v>0.01</v>
      </c>
      <c r="G214" s="14">
        <v>0.01</v>
      </c>
      <c r="H214" s="14">
        <v>0.0</v>
      </c>
    </row>
    <row r="215" ht="15.75" customHeight="1">
      <c r="A215" s="9" t="s">
        <v>793</v>
      </c>
      <c r="B215" s="14" t="s">
        <v>22</v>
      </c>
      <c r="C215" s="15"/>
      <c r="D215" s="14">
        <v>7.0</v>
      </c>
      <c r="F215" s="14">
        <v>0.01</v>
      </c>
      <c r="G215" s="14">
        <v>0.01</v>
      </c>
      <c r="H215" s="14">
        <v>1.86</v>
      </c>
    </row>
    <row r="216" ht="15.75" customHeight="1">
      <c r="A216" s="9" t="s">
        <v>796</v>
      </c>
      <c r="B216" s="14" t="s">
        <v>22</v>
      </c>
      <c r="C216" s="15"/>
      <c r="D216" s="14">
        <v>7.0</v>
      </c>
      <c r="F216" s="14">
        <v>0.01</v>
      </c>
      <c r="G216" s="14">
        <v>0.01</v>
      </c>
      <c r="H216" s="14">
        <v>0.29</v>
      </c>
    </row>
    <row r="217" ht="15.75" customHeight="1">
      <c r="A217" s="9" t="s">
        <v>798</v>
      </c>
      <c r="B217" s="14" t="s">
        <v>22</v>
      </c>
      <c r="C217" s="15"/>
      <c r="D217" s="14">
        <v>7.0</v>
      </c>
      <c r="F217" s="14">
        <v>0.01</v>
      </c>
      <c r="G217" s="14">
        <v>0.01</v>
      </c>
      <c r="H217" s="14">
        <v>0.0</v>
      </c>
    </row>
    <row r="218" ht="15.75" customHeight="1">
      <c r="A218" s="9" t="s">
        <v>799</v>
      </c>
      <c r="B218" s="14" t="s">
        <v>22</v>
      </c>
      <c r="D218" s="14">
        <v>6.0</v>
      </c>
      <c r="F218" s="14">
        <v>0.01</v>
      </c>
      <c r="G218" s="14">
        <v>0.02</v>
      </c>
      <c r="H218" s="14">
        <v>1.33</v>
      </c>
    </row>
    <row r="219" ht="15.75" customHeight="1">
      <c r="A219" s="9" t="s">
        <v>802</v>
      </c>
      <c r="B219" s="14" t="s">
        <v>22</v>
      </c>
      <c r="D219" s="14">
        <v>6.0</v>
      </c>
      <c r="F219" s="14">
        <v>0.01</v>
      </c>
      <c r="G219" s="14">
        <v>0.01</v>
      </c>
      <c r="H219" s="14">
        <v>1.33</v>
      </c>
    </row>
    <row r="220" ht="15.75" customHeight="1">
      <c r="A220" s="9" t="s">
        <v>804</v>
      </c>
      <c r="B220" s="14" t="s">
        <v>41</v>
      </c>
      <c r="C220" s="14" t="s">
        <v>805</v>
      </c>
      <c r="D220" s="14">
        <v>6.0</v>
      </c>
      <c r="F220" s="14">
        <v>0.01</v>
      </c>
      <c r="G220" s="14">
        <v>0.01</v>
      </c>
      <c r="H220" s="14">
        <v>1.0</v>
      </c>
    </row>
    <row r="221" ht="15.75" customHeight="1">
      <c r="A221" s="9" t="s">
        <v>806</v>
      </c>
      <c r="B221" s="14" t="s">
        <v>22</v>
      </c>
      <c r="C221" s="14" t="s">
        <v>808</v>
      </c>
      <c r="D221" s="14">
        <v>6.0</v>
      </c>
      <c r="F221" s="14">
        <v>0.01</v>
      </c>
      <c r="G221" s="14">
        <v>0.01</v>
      </c>
      <c r="H221" s="14">
        <v>1.17</v>
      </c>
    </row>
    <row r="222" ht="15.75" customHeight="1">
      <c r="A222" s="9" t="s">
        <v>810</v>
      </c>
      <c r="B222" s="14" t="s">
        <v>22</v>
      </c>
      <c r="D222" s="14">
        <v>6.0</v>
      </c>
      <c r="F222" s="14">
        <v>0.01</v>
      </c>
      <c r="G222" s="14">
        <v>0.01</v>
      </c>
      <c r="H222" s="14">
        <v>1.17</v>
      </c>
    </row>
    <row r="223" ht="15.75" customHeight="1">
      <c r="A223" s="9" t="s">
        <v>812</v>
      </c>
      <c r="B223" s="14" t="s">
        <v>22</v>
      </c>
      <c r="D223" s="14">
        <v>6.0</v>
      </c>
      <c r="F223" s="14">
        <v>0.01</v>
      </c>
      <c r="G223" s="14">
        <v>0.01</v>
      </c>
      <c r="H223" s="14">
        <v>2.33</v>
      </c>
    </row>
    <row r="224" ht="15.75" customHeight="1">
      <c r="A224" s="9" t="s">
        <v>814</v>
      </c>
      <c r="B224" s="14" t="s">
        <v>22</v>
      </c>
      <c r="D224" s="14">
        <v>6.0</v>
      </c>
      <c r="F224" s="14">
        <v>0.01</v>
      </c>
      <c r="G224" s="14">
        <v>0.01</v>
      </c>
      <c r="H224" s="14">
        <v>0.33</v>
      </c>
    </row>
    <row r="225" ht="15.75" customHeight="1">
      <c r="A225" s="9" t="s">
        <v>816</v>
      </c>
      <c r="B225" s="14" t="s">
        <v>22</v>
      </c>
      <c r="C225" s="14" t="s">
        <v>794</v>
      </c>
      <c r="D225" s="14">
        <v>6.0</v>
      </c>
      <c r="F225" s="14">
        <v>0.01</v>
      </c>
      <c r="G225" s="14">
        <v>0.01</v>
      </c>
      <c r="H225" s="14">
        <v>0.33</v>
      </c>
    </row>
    <row r="226" ht="15.75" customHeight="1">
      <c r="A226" s="9" t="s">
        <v>818</v>
      </c>
      <c r="B226" s="14" t="s">
        <v>41</v>
      </c>
      <c r="C226" s="14" t="s">
        <v>821</v>
      </c>
      <c r="D226" s="14">
        <v>6.0</v>
      </c>
      <c r="F226" s="14">
        <v>0.01</v>
      </c>
      <c r="G226" s="14">
        <v>0.01</v>
      </c>
      <c r="H226" s="14">
        <v>0.83</v>
      </c>
    </row>
    <row r="227" ht="15.75" customHeight="1">
      <c r="A227" s="9" t="s">
        <v>822</v>
      </c>
      <c r="B227" s="14" t="s">
        <v>85</v>
      </c>
      <c r="D227" s="14">
        <v>6.0</v>
      </c>
      <c r="F227" s="14">
        <v>0.01</v>
      </c>
      <c r="G227" s="14">
        <v>0.01</v>
      </c>
      <c r="H227" s="14">
        <v>1.17</v>
      </c>
    </row>
    <row r="228" ht="15.75" customHeight="1">
      <c r="A228" s="9" t="s">
        <v>823</v>
      </c>
      <c r="B228" s="14" t="s">
        <v>22</v>
      </c>
      <c r="C228" s="14" t="s">
        <v>825</v>
      </c>
      <c r="D228" s="14">
        <v>6.0</v>
      </c>
      <c r="F228" s="14">
        <v>0.01</v>
      </c>
      <c r="G228" s="14">
        <v>0.01</v>
      </c>
      <c r="H228" s="14">
        <v>0.83</v>
      </c>
    </row>
    <row r="229" ht="15.75" customHeight="1">
      <c r="A229" s="9" t="s">
        <v>827</v>
      </c>
      <c r="B229" s="14" t="s">
        <v>22</v>
      </c>
      <c r="C229" s="14" t="s">
        <v>538</v>
      </c>
      <c r="D229" s="14">
        <v>6.0</v>
      </c>
      <c r="F229" s="14">
        <v>0.01</v>
      </c>
      <c r="G229" s="14">
        <v>0.01</v>
      </c>
      <c r="H229" s="14">
        <v>0.67</v>
      </c>
    </row>
    <row r="230" ht="15.75" customHeight="1">
      <c r="A230" s="9" t="s">
        <v>829</v>
      </c>
      <c r="B230" s="14" t="s">
        <v>22</v>
      </c>
      <c r="D230" s="14">
        <v>6.0</v>
      </c>
      <c r="F230" s="14">
        <v>0.01</v>
      </c>
      <c r="G230" s="14">
        <v>0.01</v>
      </c>
      <c r="H230" s="14">
        <v>1.83</v>
      </c>
    </row>
    <row r="231" ht="15.75" customHeight="1">
      <c r="A231" s="9" t="s">
        <v>830</v>
      </c>
      <c r="B231" s="14" t="s">
        <v>22</v>
      </c>
      <c r="C231" s="14" t="s">
        <v>832</v>
      </c>
      <c r="D231" s="14">
        <v>6.0</v>
      </c>
      <c r="F231" s="14">
        <v>0.01</v>
      </c>
      <c r="G231" s="14">
        <v>0.01</v>
      </c>
      <c r="H231" s="14">
        <v>0.17</v>
      </c>
    </row>
    <row r="232" ht="15.75" customHeight="1">
      <c r="A232" s="9" t="s">
        <v>834</v>
      </c>
      <c r="B232" s="14" t="s">
        <v>117</v>
      </c>
      <c r="C232" s="14" t="s">
        <v>837</v>
      </c>
      <c r="D232" s="14">
        <v>6.0</v>
      </c>
      <c r="F232" s="14">
        <v>0.01</v>
      </c>
      <c r="G232" s="14">
        <v>0.01</v>
      </c>
      <c r="H232" s="14">
        <v>0.33</v>
      </c>
    </row>
    <row r="233" ht="15.75" customHeight="1">
      <c r="A233" s="9" t="s">
        <v>839</v>
      </c>
      <c r="B233" s="14" t="s">
        <v>22</v>
      </c>
      <c r="D233" s="14">
        <v>6.0</v>
      </c>
      <c r="F233" s="14">
        <v>0.01</v>
      </c>
      <c r="G233" s="14">
        <v>0.01</v>
      </c>
      <c r="H233" s="14">
        <v>0.5</v>
      </c>
    </row>
    <row r="234" ht="15.75" customHeight="1">
      <c r="A234" s="9" t="s">
        <v>842</v>
      </c>
      <c r="B234" s="14" t="s">
        <v>22</v>
      </c>
      <c r="D234" s="14">
        <v>6.0</v>
      </c>
      <c r="F234" s="14">
        <v>0.01</v>
      </c>
      <c r="G234" s="14">
        <v>0.01</v>
      </c>
      <c r="H234" s="14">
        <v>0.33</v>
      </c>
    </row>
    <row r="235" ht="15.75" customHeight="1">
      <c r="A235" s="9" t="s">
        <v>844</v>
      </c>
      <c r="B235" s="14" t="s">
        <v>22</v>
      </c>
      <c r="C235" s="14" t="s">
        <v>846</v>
      </c>
      <c r="D235" s="14">
        <v>6.0</v>
      </c>
      <c r="F235" s="14">
        <v>0.01</v>
      </c>
      <c r="G235" s="14">
        <v>0.01</v>
      </c>
      <c r="H235" s="14">
        <v>0.5</v>
      </c>
    </row>
    <row r="236" ht="15.75" customHeight="1">
      <c r="A236" s="9" t="s">
        <v>847</v>
      </c>
      <c r="B236" s="14" t="s">
        <v>22</v>
      </c>
      <c r="C236" s="14" t="s">
        <v>538</v>
      </c>
      <c r="D236" s="14">
        <v>6.0</v>
      </c>
      <c r="F236" s="14">
        <v>0.01</v>
      </c>
      <c r="G236" s="14">
        <v>0.01</v>
      </c>
      <c r="H236" s="14">
        <v>0.0</v>
      </c>
    </row>
    <row r="237" ht="15.75" customHeight="1">
      <c r="A237" s="9" t="s">
        <v>850</v>
      </c>
      <c r="B237" s="14" t="s">
        <v>85</v>
      </c>
      <c r="D237" s="14">
        <v>6.0</v>
      </c>
      <c r="F237" s="14">
        <v>0.01</v>
      </c>
      <c r="G237" s="14">
        <v>0.01</v>
      </c>
      <c r="H237" s="14">
        <v>1.83</v>
      </c>
    </row>
    <row r="238" ht="15.75" customHeight="1">
      <c r="A238" s="9" t="s">
        <v>853</v>
      </c>
      <c r="B238" s="14" t="s">
        <v>22</v>
      </c>
      <c r="C238" s="14" t="s">
        <v>855</v>
      </c>
      <c r="D238" s="14">
        <v>6.0</v>
      </c>
      <c r="F238" s="14">
        <v>0.01</v>
      </c>
      <c r="G238" s="14">
        <v>0.01</v>
      </c>
      <c r="H238" s="14">
        <v>1.33</v>
      </c>
    </row>
    <row r="239" ht="15.75" customHeight="1">
      <c r="A239" s="9" t="s">
        <v>856</v>
      </c>
      <c r="B239" s="14" t="s">
        <v>22</v>
      </c>
      <c r="D239" s="14">
        <v>6.0</v>
      </c>
      <c r="F239" s="14">
        <v>0.01</v>
      </c>
      <c r="G239" s="14">
        <v>0.01</v>
      </c>
      <c r="H239" s="14">
        <v>0.0</v>
      </c>
    </row>
    <row r="240" ht="15.75" customHeight="1">
      <c r="A240" s="9" t="s">
        <v>859</v>
      </c>
      <c r="B240" s="14" t="s">
        <v>41</v>
      </c>
      <c r="C240" s="14" t="s">
        <v>860</v>
      </c>
      <c r="D240" s="14">
        <v>5.0</v>
      </c>
      <c r="F240" s="14">
        <v>0.01</v>
      </c>
      <c r="G240" s="14">
        <v>0.01</v>
      </c>
      <c r="H240" s="14">
        <v>2.0</v>
      </c>
    </row>
    <row r="241" ht="15.75" customHeight="1">
      <c r="A241" s="9" t="s">
        <v>861</v>
      </c>
      <c r="B241" s="14" t="s">
        <v>22</v>
      </c>
      <c r="D241" s="14">
        <v>5.0</v>
      </c>
      <c r="F241" s="14">
        <v>0.01</v>
      </c>
      <c r="G241" s="14">
        <v>0.01</v>
      </c>
      <c r="H241" s="14">
        <v>2.2</v>
      </c>
    </row>
    <row r="242" ht="15.75" customHeight="1">
      <c r="A242" s="9" t="s">
        <v>863</v>
      </c>
      <c r="B242" s="14" t="s">
        <v>22</v>
      </c>
      <c r="D242" s="14">
        <v>5.0</v>
      </c>
      <c r="F242" s="14">
        <v>0.01</v>
      </c>
      <c r="G242" s="14">
        <v>0.01</v>
      </c>
      <c r="H242" s="14">
        <v>1.4</v>
      </c>
    </row>
    <row r="243" ht="15.75" customHeight="1">
      <c r="A243" s="9" t="s">
        <v>864</v>
      </c>
      <c r="B243" s="14" t="s">
        <v>31</v>
      </c>
      <c r="C243" s="14" t="s">
        <v>866</v>
      </c>
      <c r="D243" s="14">
        <v>5.0</v>
      </c>
      <c r="F243" s="14">
        <v>0.01</v>
      </c>
      <c r="G243" s="14">
        <v>0.01</v>
      </c>
      <c r="H243" s="14">
        <v>2.2</v>
      </c>
    </row>
    <row r="244" ht="15.75" customHeight="1">
      <c r="A244" s="14" t="s">
        <v>868</v>
      </c>
      <c r="B244" s="14" t="s">
        <v>22</v>
      </c>
      <c r="C244" s="14" t="s">
        <v>340</v>
      </c>
      <c r="D244" s="14">
        <v>5.0</v>
      </c>
      <c r="F244" s="14">
        <v>0.01</v>
      </c>
      <c r="G244" s="14">
        <v>0.01</v>
      </c>
      <c r="H244" s="14">
        <v>0.0</v>
      </c>
    </row>
    <row r="245" ht="15.75" customHeight="1">
      <c r="A245" s="9" t="s">
        <v>869</v>
      </c>
      <c r="B245" s="14" t="s">
        <v>22</v>
      </c>
      <c r="D245" s="14">
        <v>5.0</v>
      </c>
      <c r="F245" s="14">
        <v>0.01</v>
      </c>
      <c r="G245" s="14">
        <v>0.01</v>
      </c>
      <c r="H245" s="14">
        <v>1.4</v>
      </c>
    </row>
    <row r="246" ht="15.75" customHeight="1">
      <c r="A246" s="9" t="s">
        <v>871</v>
      </c>
      <c r="B246" s="14" t="s">
        <v>22</v>
      </c>
      <c r="C246" s="14" t="s">
        <v>872</v>
      </c>
      <c r="D246" s="14">
        <v>5.0</v>
      </c>
      <c r="F246" s="14">
        <v>0.01</v>
      </c>
      <c r="G246" s="14">
        <v>0.01</v>
      </c>
      <c r="H246" s="14">
        <v>0.0</v>
      </c>
    </row>
    <row r="247" ht="15.75" customHeight="1">
      <c r="A247" s="9" t="s">
        <v>874</v>
      </c>
      <c r="B247" s="14" t="s">
        <v>22</v>
      </c>
      <c r="C247" s="14" t="s">
        <v>808</v>
      </c>
      <c r="D247" s="14">
        <v>5.0</v>
      </c>
      <c r="F247" s="14">
        <v>0.01</v>
      </c>
      <c r="G247" s="14">
        <v>0.01</v>
      </c>
      <c r="H247" s="14">
        <v>0.2</v>
      </c>
    </row>
    <row r="248" ht="15.75" customHeight="1">
      <c r="A248" s="9" t="s">
        <v>876</v>
      </c>
      <c r="B248" s="14" t="s">
        <v>22</v>
      </c>
      <c r="C248" s="14" t="s">
        <v>538</v>
      </c>
      <c r="D248" s="14">
        <v>5.0</v>
      </c>
      <c r="F248" s="14">
        <v>0.01</v>
      </c>
      <c r="G248" s="14">
        <v>0.01</v>
      </c>
      <c r="H248" s="14">
        <v>1.4</v>
      </c>
    </row>
    <row r="249" ht="15.75" customHeight="1">
      <c r="A249" s="14" t="s">
        <v>878</v>
      </c>
      <c r="B249" s="14" t="s">
        <v>22</v>
      </c>
      <c r="C249" s="14" t="s">
        <v>879</v>
      </c>
      <c r="D249" s="14">
        <v>5.0</v>
      </c>
      <c r="F249" s="14">
        <v>0.01</v>
      </c>
      <c r="G249" s="14">
        <v>0.01</v>
      </c>
      <c r="H249" s="14">
        <v>0.0</v>
      </c>
    </row>
    <row r="250" ht="15.75" customHeight="1">
      <c r="A250" s="9" t="s">
        <v>880</v>
      </c>
      <c r="B250" s="14" t="s">
        <v>41</v>
      </c>
      <c r="C250" s="14" t="s">
        <v>882</v>
      </c>
      <c r="D250" s="14">
        <v>5.0</v>
      </c>
      <c r="F250" s="14">
        <v>0.01</v>
      </c>
      <c r="G250" s="14">
        <v>0.01</v>
      </c>
      <c r="H250" s="14">
        <v>1.2</v>
      </c>
    </row>
    <row r="251" ht="15.75" customHeight="1">
      <c r="A251" s="9" t="s">
        <v>883</v>
      </c>
      <c r="B251" s="14" t="s">
        <v>22</v>
      </c>
      <c r="C251" s="14" t="s">
        <v>340</v>
      </c>
      <c r="D251" s="14">
        <v>5.0</v>
      </c>
      <c r="F251" s="14">
        <v>0.01</v>
      </c>
      <c r="G251" s="14">
        <v>0.01</v>
      </c>
      <c r="H251" s="14">
        <v>0.8</v>
      </c>
    </row>
    <row r="252" ht="15.75" customHeight="1">
      <c r="A252" s="9" t="s">
        <v>886</v>
      </c>
      <c r="B252" s="14" t="s">
        <v>85</v>
      </c>
      <c r="C252" s="14" t="s">
        <v>467</v>
      </c>
      <c r="D252" s="14">
        <v>5.0</v>
      </c>
      <c r="F252" s="14">
        <v>0.01</v>
      </c>
      <c r="G252" s="14">
        <v>0.01</v>
      </c>
      <c r="H252" s="14">
        <v>1.2</v>
      </c>
    </row>
    <row r="253" ht="15.75" customHeight="1">
      <c r="A253" s="9" t="s">
        <v>887</v>
      </c>
      <c r="B253" s="14" t="s">
        <v>22</v>
      </c>
      <c r="C253" s="14" t="s">
        <v>340</v>
      </c>
      <c r="D253" s="14">
        <v>5.0</v>
      </c>
      <c r="F253" s="14">
        <v>0.01</v>
      </c>
      <c r="G253" s="14">
        <v>0.01</v>
      </c>
      <c r="H253" s="14">
        <v>1.4</v>
      </c>
    </row>
    <row r="254" ht="15.75" customHeight="1">
      <c r="A254" s="9" t="s">
        <v>888</v>
      </c>
      <c r="B254" s="14" t="s">
        <v>117</v>
      </c>
      <c r="D254" s="14">
        <v>5.0</v>
      </c>
      <c r="F254" s="14">
        <v>0.01</v>
      </c>
      <c r="G254" s="14">
        <v>0.01</v>
      </c>
      <c r="H254" s="14">
        <v>0.6</v>
      </c>
    </row>
    <row r="255" ht="15.75" customHeight="1">
      <c r="A255" s="14" t="s">
        <v>890</v>
      </c>
      <c r="B255" s="14" t="s">
        <v>117</v>
      </c>
      <c r="C255" s="14" t="s">
        <v>891</v>
      </c>
      <c r="D255" s="14">
        <v>5.0</v>
      </c>
      <c r="F255" s="14">
        <v>0.01</v>
      </c>
      <c r="G255" s="14">
        <v>0.01</v>
      </c>
      <c r="H255" s="14">
        <v>0.0</v>
      </c>
    </row>
    <row r="256" ht="15.75" customHeight="1">
      <c r="A256" s="9" t="s">
        <v>892</v>
      </c>
      <c r="B256" s="14" t="s">
        <v>22</v>
      </c>
      <c r="D256" s="14">
        <v>5.0</v>
      </c>
      <c r="F256" s="14">
        <v>0.01</v>
      </c>
      <c r="G256" s="14">
        <v>0.01</v>
      </c>
      <c r="H256" s="14">
        <v>0.0</v>
      </c>
    </row>
    <row r="257" ht="15.75" customHeight="1">
      <c r="A257" s="9" t="s">
        <v>896</v>
      </c>
      <c r="B257" s="14" t="s">
        <v>22</v>
      </c>
      <c r="D257" s="14">
        <v>5.0</v>
      </c>
      <c r="F257" s="14">
        <v>0.01</v>
      </c>
      <c r="G257" s="14">
        <v>0.01</v>
      </c>
      <c r="H257" s="14">
        <v>1.4</v>
      </c>
    </row>
    <row r="258" ht="15.75" customHeight="1">
      <c r="A258" s="9" t="s">
        <v>897</v>
      </c>
      <c r="B258" s="14" t="s">
        <v>22</v>
      </c>
      <c r="D258" s="14">
        <v>5.0</v>
      </c>
      <c r="F258" s="14">
        <v>0.01</v>
      </c>
      <c r="G258" s="14">
        <v>0.01</v>
      </c>
      <c r="H258" s="14">
        <v>0.0</v>
      </c>
    </row>
    <row r="259" ht="15.75" customHeight="1">
      <c r="A259" s="9" t="s">
        <v>901</v>
      </c>
      <c r="B259" s="14" t="s">
        <v>41</v>
      </c>
      <c r="C259" s="14" t="s">
        <v>903</v>
      </c>
      <c r="D259" s="14">
        <v>5.0</v>
      </c>
      <c r="F259" s="14">
        <v>0.01</v>
      </c>
      <c r="G259" s="14">
        <v>0.01</v>
      </c>
      <c r="H259" s="14">
        <v>0.6</v>
      </c>
    </row>
    <row r="260" ht="15.75" customHeight="1">
      <c r="A260" s="9" t="s">
        <v>905</v>
      </c>
      <c r="B260" s="14" t="s">
        <v>120</v>
      </c>
      <c r="C260" s="14" t="s">
        <v>907</v>
      </c>
      <c r="D260" s="14">
        <v>5.0</v>
      </c>
      <c r="F260" s="14">
        <v>0.01</v>
      </c>
      <c r="G260" s="14">
        <v>0.01</v>
      </c>
      <c r="H260" s="14">
        <v>0.4</v>
      </c>
    </row>
    <row r="261" ht="15.75" customHeight="1">
      <c r="A261" s="14" t="s">
        <v>909</v>
      </c>
      <c r="B261" s="14" t="s">
        <v>22</v>
      </c>
      <c r="D261" s="14">
        <v>5.0</v>
      </c>
      <c r="F261" s="14">
        <v>0.01</v>
      </c>
      <c r="G261" s="14">
        <v>0.01</v>
      </c>
      <c r="H261" s="14">
        <v>0.0</v>
      </c>
    </row>
    <row r="262" ht="15.75" customHeight="1">
      <c r="A262" s="9" t="s">
        <v>910</v>
      </c>
      <c r="B262" s="14" t="s">
        <v>22</v>
      </c>
      <c r="C262" s="14" t="s">
        <v>467</v>
      </c>
      <c r="D262" s="14">
        <v>5.0</v>
      </c>
      <c r="F262" s="14">
        <v>0.01</v>
      </c>
      <c r="G262" s="14">
        <v>0.01</v>
      </c>
      <c r="H262" s="14">
        <v>0.0</v>
      </c>
    </row>
    <row r="263" ht="15.75" customHeight="1">
      <c r="A263" s="9" t="s">
        <v>912</v>
      </c>
      <c r="B263" s="14" t="s">
        <v>41</v>
      </c>
      <c r="C263" s="14" t="s">
        <v>913</v>
      </c>
      <c r="D263" s="14">
        <v>4.0</v>
      </c>
      <c r="F263" s="14">
        <v>0.0</v>
      </c>
      <c r="G263" s="14">
        <v>0.0</v>
      </c>
      <c r="H263" s="14">
        <v>1.75</v>
      </c>
    </row>
    <row r="264" ht="15.75" customHeight="1">
      <c r="A264" s="9" t="s">
        <v>915</v>
      </c>
      <c r="B264" s="14" t="s">
        <v>22</v>
      </c>
      <c r="C264" s="14" t="s">
        <v>916</v>
      </c>
      <c r="D264" s="14">
        <v>4.0</v>
      </c>
      <c r="F264" s="14">
        <v>0.0</v>
      </c>
      <c r="G264" s="14">
        <v>0.0</v>
      </c>
      <c r="H264" s="14">
        <v>1.5</v>
      </c>
    </row>
    <row r="265" ht="15.75" customHeight="1">
      <c r="A265" s="9" t="s">
        <v>918</v>
      </c>
      <c r="B265" s="14" t="s">
        <v>22</v>
      </c>
      <c r="D265" s="14">
        <v>4.0</v>
      </c>
      <c r="F265" s="14">
        <v>0.0</v>
      </c>
      <c r="G265" s="14">
        <v>0.0</v>
      </c>
      <c r="H265" s="14">
        <v>1.5</v>
      </c>
    </row>
    <row r="266" ht="15.75" customHeight="1">
      <c r="A266" s="9" t="s">
        <v>920</v>
      </c>
      <c r="B266" s="14" t="s">
        <v>22</v>
      </c>
      <c r="D266" s="14">
        <v>4.0</v>
      </c>
      <c r="F266" s="14">
        <v>0.0</v>
      </c>
      <c r="G266" s="14">
        <v>0.0</v>
      </c>
      <c r="H266" s="14">
        <v>1.25</v>
      </c>
    </row>
    <row r="267" ht="15.75" customHeight="1">
      <c r="A267" s="9" t="s">
        <v>924</v>
      </c>
      <c r="B267" s="14" t="s">
        <v>31</v>
      </c>
      <c r="C267" s="14" t="s">
        <v>925</v>
      </c>
      <c r="D267" s="14">
        <v>4.0</v>
      </c>
      <c r="F267" s="14">
        <v>0.0</v>
      </c>
      <c r="G267" s="14">
        <v>0.01</v>
      </c>
      <c r="H267" s="14">
        <v>0.0</v>
      </c>
    </row>
    <row r="268" ht="15.75" customHeight="1">
      <c r="A268" s="9" t="s">
        <v>926</v>
      </c>
      <c r="B268" s="14" t="s">
        <v>22</v>
      </c>
      <c r="D268" s="14">
        <v>4.0</v>
      </c>
      <c r="F268" s="14">
        <v>0.0</v>
      </c>
      <c r="G268" s="14">
        <v>0.0</v>
      </c>
      <c r="H268" s="14">
        <v>1.75</v>
      </c>
    </row>
    <row r="269" ht="15.75" customHeight="1">
      <c r="A269" s="9" t="s">
        <v>929</v>
      </c>
      <c r="B269" s="14" t="s">
        <v>22</v>
      </c>
      <c r="C269" s="14" t="s">
        <v>309</v>
      </c>
      <c r="D269" s="14">
        <v>4.0</v>
      </c>
      <c r="F269" s="14">
        <v>0.0</v>
      </c>
      <c r="G269" s="14">
        <v>0.0</v>
      </c>
      <c r="H269" s="14">
        <v>1.25</v>
      </c>
    </row>
    <row r="270" ht="15.75" customHeight="1">
      <c r="A270" s="9" t="s">
        <v>933</v>
      </c>
      <c r="B270" s="14" t="s">
        <v>22</v>
      </c>
      <c r="D270" s="14">
        <v>4.0</v>
      </c>
      <c r="F270" s="14">
        <v>0.0</v>
      </c>
      <c r="G270" s="14">
        <v>0.0</v>
      </c>
      <c r="H270" s="14">
        <v>1.0</v>
      </c>
    </row>
    <row r="271" ht="15.75" customHeight="1">
      <c r="A271" s="9" t="s">
        <v>935</v>
      </c>
      <c r="B271" s="14" t="s">
        <v>553</v>
      </c>
      <c r="C271" s="14" t="s">
        <v>937</v>
      </c>
      <c r="D271" s="14">
        <v>4.0</v>
      </c>
      <c r="F271" s="14">
        <v>0.0</v>
      </c>
      <c r="G271" s="14">
        <v>0.0</v>
      </c>
      <c r="H271" s="14">
        <v>1.25</v>
      </c>
    </row>
    <row r="272" ht="15.75" customHeight="1">
      <c r="A272" s="9" t="s">
        <v>938</v>
      </c>
      <c r="B272" s="14" t="s">
        <v>120</v>
      </c>
      <c r="D272" s="14">
        <v>4.0</v>
      </c>
      <c r="F272" s="14">
        <v>0.0</v>
      </c>
      <c r="G272" s="14">
        <v>0.0</v>
      </c>
      <c r="H272" s="14">
        <v>1.25</v>
      </c>
    </row>
    <row r="273" ht="15.75" customHeight="1">
      <c r="A273" s="9" t="s">
        <v>940</v>
      </c>
      <c r="B273" s="14" t="s">
        <v>85</v>
      </c>
      <c r="C273" s="14" t="s">
        <v>942</v>
      </c>
      <c r="D273" s="14">
        <v>4.0</v>
      </c>
      <c r="F273" s="14">
        <v>0.0</v>
      </c>
      <c r="G273" s="14">
        <v>0.0</v>
      </c>
      <c r="H273" s="14">
        <v>0.75</v>
      </c>
    </row>
    <row r="274" ht="15.75" customHeight="1">
      <c r="A274" s="9" t="s">
        <v>943</v>
      </c>
      <c r="B274" s="14" t="s">
        <v>120</v>
      </c>
      <c r="C274" s="14" t="s">
        <v>945</v>
      </c>
      <c r="D274" s="14">
        <v>4.0</v>
      </c>
      <c r="F274" s="14">
        <v>0.0</v>
      </c>
      <c r="G274" s="14">
        <v>0.0</v>
      </c>
      <c r="H274" s="14">
        <v>0.25</v>
      </c>
    </row>
    <row r="275" ht="15.75" customHeight="1">
      <c r="A275" s="9" t="s">
        <v>946</v>
      </c>
      <c r="B275" s="14" t="s">
        <v>31</v>
      </c>
      <c r="D275" s="14">
        <v>4.0</v>
      </c>
      <c r="F275" s="14">
        <v>0.0</v>
      </c>
      <c r="G275" s="14">
        <v>0.0</v>
      </c>
      <c r="H275" s="14">
        <v>1.25</v>
      </c>
    </row>
    <row r="276" ht="15.75" customHeight="1">
      <c r="A276" s="9" t="s">
        <v>948</v>
      </c>
      <c r="B276" s="14" t="s">
        <v>120</v>
      </c>
      <c r="C276" s="14" t="s">
        <v>950</v>
      </c>
      <c r="D276" s="14">
        <v>4.0</v>
      </c>
      <c r="F276" s="14">
        <v>0.0</v>
      </c>
      <c r="G276" s="14">
        <v>0.0</v>
      </c>
      <c r="H276" s="14">
        <v>2.0</v>
      </c>
    </row>
    <row r="277" ht="15.75" customHeight="1">
      <c r="A277" s="9" t="s">
        <v>951</v>
      </c>
      <c r="B277" s="14" t="s">
        <v>22</v>
      </c>
      <c r="D277" s="14">
        <v>4.0</v>
      </c>
      <c r="F277" s="14">
        <v>0.0</v>
      </c>
      <c r="G277" s="14">
        <v>0.0</v>
      </c>
      <c r="H277" s="14">
        <v>0.25</v>
      </c>
    </row>
    <row r="278" ht="15.75" customHeight="1">
      <c r="A278" s="9" t="s">
        <v>954</v>
      </c>
      <c r="B278" s="14" t="s">
        <v>22</v>
      </c>
      <c r="C278" s="14" t="s">
        <v>956</v>
      </c>
      <c r="D278" s="14">
        <v>4.0</v>
      </c>
      <c r="F278" s="14">
        <v>0.0</v>
      </c>
      <c r="G278" s="14">
        <v>0.0</v>
      </c>
      <c r="H278" s="14">
        <v>0.25</v>
      </c>
    </row>
    <row r="279" ht="15.75" customHeight="1">
      <c r="A279" s="9" t="s">
        <v>957</v>
      </c>
      <c r="B279" s="14" t="s">
        <v>22</v>
      </c>
      <c r="C279" s="14" t="s">
        <v>959</v>
      </c>
      <c r="D279" s="14">
        <v>4.0</v>
      </c>
      <c r="F279" s="14">
        <v>0.0</v>
      </c>
      <c r="G279" s="14">
        <v>0.0</v>
      </c>
      <c r="H279" s="14">
        <v>0.5</v>
      </c>
    </row>
    <row r="280" ht="15.75" customHeight="1">
      <c r="A280" s="9" t="s">
        <v>961</v>
      </c>
      <c r="B280" s="14" t="s">
        <v>22</v>
      </c>
      <c r="C280" s="14" t="s">
        <v>538</v>
      </c>
      <c r="D280" s="14">
        <v>4.0</v>
      </c>
      <c r="F280" s="14">
        <v>0.0</v>
      </c>
      <c r="G280" s="14">
        <v>0.0</v>
      </c>
      <c r="H280" s="14">
        <v>0.75</v>
      </c>
    </row>
    <row r="281" ht="15.75" customHeight="1">
      <c r="A281" s="9" t="s">
        <v>964</v>
      </c>
      <c r="B281" s="14" t="s">
        <v>22</v>
      </c>
      <c r="D281" s="14">
        <v>4.0</v>
      </c>
      <c r="F281" s="14">
        <v>0.0</v>
      </c>
      <c r="G281" s="14">
        <v>0.0</v>
      </c>
      <c r="H281" s="14">
        <v>0.0</v>
      </c>
    </row>
    <row r="282" ht="15.75" customHeight="1">
      <c r="A282" s="9" t="s">
        <v>965</v>
      </c>
      <c r="B282" s="14" t="s">
        <v>85</v>
      </c>
      <c r="C282" s="14" t="s">
        <v>968</v>
      </c>
      <c r="D282" s="14">
        <v>4.0</v>
      </c>
      <c r="F282" s="14">
        <v>0.0</v>
      </c>
      <c r="G282" s="14">
        <v>0.0</v>
      </c>
      <c r="H282" s="14">
        <v>0.25</v>
      </c>
    </row>
    <row r="283" ht="15.75" customHeight="1">
      <c r="A283" s="9" t="s">
        <v>969</v>
      </c>
      <c r="B283" s="14" t="s">
        <v>41</v>
      </c>
      <c r="C283" s="14" t="s">
        <v>970</v>
      </c>
      <c r="D283" s="14">
        <v>4.0</v>
      </c>
      <c r="F283" s="14">
        <v>0.0</v>
      </c>
      <c r="G283" s="14">
        <v>0.0</v>
      </c>
      <c r="H283" s="14">
        <v>0.5</v>
      </c>
    </row>
    <row r="284" ht="15.75" customHeight="1">
      <c r="A284" s="9" t="s">
        <v>971</v>
      </c>
      <c r="B284" s="14" t="s">
        <v>22</v>
      </c>
      <c r="C284" s="14" t="s">
        <v>973</v>
      </c>
      <c r="D284" s="14">
        <v>4.0</v>
      </c>
      <c r="F284" s="14">
        <v>0.0</v>
      </c>
      <c r="G284" s="14">
        <v>0.0</v>
      </c>
      <c r="H284" s="14">
        <v>1.0</v>
      </c>
    </row>
    <row r="285" ht="15.75" customHeight="1">
      <c r="A285" s="9" t="s">
        <v>974</v>
      </c>
      <c r="B285" s="14" t="s">
        <v>22</v>
      </c>
      <c r="D285" s="14">
        <v>4.0</v>
      </c>
      <c r="F285" s="14">
        <v>0.0</v>
      </c>
      <c r="G285" s="14">
        <v>0.0</v>
      </c>
      <c r="H285" s="14">
        <v>1.5</v>
      </c>
    </row>
    <row r="286" ht="15.75" customHeight="1">
      <c r="A286" s="9" t="s">
        <v>976</v>
      </c>
      <c r="B286" s="14" t="s">
        <v>22</v>
      </c>
      <c r="D286" s="14">
        <v>4.0</v>
      </c>
      <c r="F286" s="14">
        <v>0.0</v>
      </c>
      <c r="G286" s="14">
        <v>0.0</v>
      </c>
      <c r="H286" s="14">
        <v>2.25</v>
      </c>
    </row>
    <row r="287" ht="15.75" customHeight="1">
      <c r="A287" s="9" t="s">
        <v>978</v>
      </c>
      <c r="B287" s="14" t="s">
        <v>22</v>
      </c>
      <c r="C287" s="14" t="s">
        <v>979</v>
      </c>
      <c r="D287" s="14">
        <v>4.0</v>
      </c>
      <c r="F287" s="14">
        <v>0.0</v>
      </c>
      <c r="G287" s="14">
        <v>0.0</v>
      </c>
      <c r="H287" s="14">
        <v>0.0</v>
      </c>
    </row>
    <row r="288" ht="15.75" customHeight="1">
      <c r="A288" s="9" t="s">
        <v>981</v>
      </c>
      <c r="B288" s="14" t="s">
        <v>22</v>
      </c>
      <c r="D288" s="14">
        <v>4.0</v>
      </c>
      <c r="F288" s="14">
        <v>0.0</v>
      </c>
      <c r="G288" s="14">
        <v>0.0</v>
      </c>
      <c r="H288" s="14">
        <v>0.5</v>
      </c>
    </row>
    <row r="289" ht="15.75" customHeight="1">
      <c r="A289" s="9" t="s">
        <v>983</v>
      </c>
      <c r="B289" s="14" t="s">
        <v>22</v>
      </c>
      <c r="D289" s="14">
        <v>4.0</v>
      </c>
      <c r="F289" s="14">
        <v>0.0</v>
      </c>
      <c r="G289" s="14">
        <v>0.0</v>
      </c>
      <c r="H289" s="14">
        <v>0.5</v>
      </c>
    </row>
    <row r="290" ht="15.75" customHeight="1">
      <c r="A290" s="9" t="s">
        <v>986</v>
      </c>
      <c r="B290" s="14" t="s">
        <v>120</v>
      </c>
      <c r="C290" s="14" t="s">
        <v>988</v>
      </c>
      <c r="D290" s="14">
        <v>4.0</v>
      </c>
      <c r="F290" s="14">
        <v>0.0</v>
      </c>
      <c r="G290" s="14">
        <v>0.0</v>
      </c>
      <c r="H290" s="14">
        <v>1.5</v>
      </c>
    </row>
    <row r="291" ht="15.75" customHeight="1">
      <c r="A291" s="9" t="s">
        <v>989</v>
      </c>
      <c r="B291" s="14" t="s">
        <v>41</v>
      </c>
      <c r="C291" s="14" t="s">
        <v>992</v>
      </c>
      <c r="D291" s="14">
        <v>4.0</v>
      </c>
      <c r="F291" s="14">
        <v>0.0</v>
      </c>
      <c r="G291" s="14">
        <v>0.0</v>
      </c>
      <c r="H291" s="14">
        <v>0.0</v>
      </c>
    </row>
    <row r="292" ht="15.75" customHeight="1">
      <c r="A292" s="9" t="s">
        <v>993</v>
      </c>
      <c r="B292" s="14" t="s">
        <v>31</v>
      </c>
      <c r="C292" s="14" t="s">
        <v>995</v>
      </c>
      <c r="D292" s="14">
        <v>4.0</v>
      </c>
      <c r="F292" s="14">
        <v>0.0</v>
      </c>
      <c r="G292" s="14">
        <v>0.0</v>
      </c>
      <c r="H292" s="14">
        <v>1.25</v>
      </c>
    </row>
    <row r="293" ht="15.75" customHeight="1">
      <c r="A293" s="9" t="s">
        <v>996</v>
      </c>
      <c r="B293" s="14" t="s">
        <v>22</v>
      </c>
      <c r="D293" s="14">
        <v>4.0</v>
      </c>
      <c r="F293" s="14">
        <v>0.0</v>
      </c>
      <c r="G293" s="14">
        <v>0.0</v>
      </c>
      <c r="H293" s="14">
        <v>0.0</v>
      </c>
    </row>
    <row r="294" ht="15.75" customHeight="1">
      <c r="A294" s="9" t="s">
        <v>998</v>
      </c>
      <c r="B294" s="14" t="s">
        <v>22</v>
      </c>
      <c r="D294" s="14">
        <v>3.0</v>
      </c>
      <c r="F294" s="14">
        <v>0.0</v>
      </c>
      <c r="G294" s="14">
        <v>0.0</v>
      </c>
      <c r="H294" s="14">
        <v>1.67</v>
      </c>
    </row>
    <row r="295" ht="15.75" customHeight="1">
      <c r="A295" s="9" t="s">
        <v>1000</v>
      </c>
      <c r="B295" s="14" t="s">
        <v>22</v>
      </c>
      <c r="C295" s="14" t="s">
        <v>1002</v>
      </c>
      <c r="D295" s="14">
        <v>3.0</v>
      </c>
      <c r="F295" s="14">
        <v>0.0</v>
      </c>
      <c r="G295" s="14">
        <v>0.0</v>
      </c>
      <c r="H295" s="14">
        <v>1.67</v>
      </c>
    </row>
    <row r="296" ht="15.75" customHeight="1">
      <c r="A296" s="9" t="s">
        <v>1004</v>
      </c>
      <c r="B296" s="14" t="s">
        <v>22</v>
      </c>
      <c r="C296" s="14" t="s">
        <v>1005</v>
      </c>
      <c r="D296" s="14">
        <v>3.0</v>
      </c>
      <c r="F296" s="14">
        <v>0.0</v>
      </c>
      <c r="G296" s="14">
        <v>0.0</v>
      </c>
      <c r="H296" s="14">
        <v>0.0</v>
      </c>
    </row>
    <row r="297" ht="15.75" customHeight="1">
      <c r="A297" s="9" t="s">
        <v>1006</v>
      </c>
      <c r="B297" s="14" t="s">
        <v>41</v>
      </c>
      <c r="C297" s="14" t="s">
        <v>1008</v>
      </c>
      <c r="D297" s="14">
        <v>3.0</v>
      </c>
      <c r="F297" s="14">
        <v>0.0</v>
      </c>
      <c r="G297" s="14">
        <v>0.0</v>
      </c>
      <c r="H297" s="14">
        <v>1.0</v>
      </c>
    </row>
    <row r="298" ht="15.75" customHeight="1">
      <c r="A298" s="9" t="s">
        <v>1009</v>
      </c>
      <c r="B298" s="14" t="s">
        <v>22</v>
      </c>
      <c r="C298" s="14" t="s">
        <v>1012</v>
      </c>
      <c r="D298" s="14">
        <v>3.0</v>
      </c>
      <c r="F298" s="14">
        <v>0.0</v>
      </c>
      <c r="G298" s="14">
        <v>0.0</v>
      </c>
      <c r="H298" s="14">
        <v>1.33</v>
      </c>
    </row>
    <row r="299" ht="15.75" customHeight="1">
      <c r="A299" s="9" t="s">
        <v>1013</v>
      </c>
      <c r="B299" s="14" t="s">
        <v>31</v>
      </c>
      <c r="C299" s="14" t="s">
        <v>1015</v>
      </c>
      <c r="D299" s="14">
        <v>3.0</v>
      </c>
      <c r="F299" s="14">
        <v>0.0</v>
      </c>
      <c r="G299" s="14">
        <v>0.0</v>
      </c>
      <c r="H299" s="14">
        <v>1.33</v>
      </c>
    </row>
    <row r="300" ht="15.75" customHeight="1">
      <c r="A300" s="9" t="s">
        <v>1016</v>
      </c>
      <c r="B300" s="14" t="s">
        <v>22</v>
      </c>
      <c r="D300" s="14">
        <v>3.0</v>
      </c>
      <c r="F300" s="14">
        <v>0.0</v>
      </c>
      <c r="G300" s="14">
        <v>0.0</v>
      </c>
      <c r="H300" s="14">
        <v>0.67</v>
      </c>
    </row>
    <row r="301" ht="15.75" customHeight="1">
      <c r="A301" s="9" t="s">
        <v>1018</v>
      </c>
      <c r="B301" s="14" t="s">
        <v>120</v>
      </c>
      <c r="D301" s="14">
        <v>3.0</v>
      </c>
      <c r="F301" s="14">
        <v>0.0</v>
      </c>
      <c r="G301" s="14">
        <v>0.0</v>
      </c>
      <c r="H301" s="14">
        <v>0.33</v>
      </c>
    </row>
    <row r="302" ht="15.75" customHeight="1">
      <c r="A302" s="9" t="s">
        <v>1021</v>
      </c>
      <c r="B302" s="14" t="s">
        <v>41</v>
      </c>
      <c r="C302" s="14" t="s">
        <v>1023</v>
      </c>
      <c r="D302" s="14">
        <v>3.0</v>
      </c>
      <c r="F302" s="14">
        <v>0.0</v>
      </c>
      <c r="G302" s="14">
        <v>0.0</v>
      </c>
      <c r="H302" s="14">
        <v>0.0</v>
      </c>
    </row>
    <row r="303" ht="15.75" customHeight="1">
      <c r="A303" s="9" t="s">
        <v>1024</v>
      </c>
      <c r="B303" s="14" t="s">
        <v>22</v>
      </c>
      <c r="D303" s="14">
        <v>3.0</v>
      </c>
      <c r="F303" s="14">
        <v>0.0</v>
      </c>
      <c r="G303" s="14">
        <v>0.0</v>
      </c>
      <c r="H303" s="14">
        <v>0.33</v>
      </c>
    </row>
    <row r="304" ht="15.75" customHeight="1">
      <c r="A304" s="9" t="s">
        <v>1028</v>
      </c>
      <c r="B304" s="14" t="s">
        <v>31</v>
      </c>
      <c r="C304" s="14" t="s">
        <v>1030</v>
      </c>
      <c r="D304" s="14">
        <v>3.0</v>
      </c>
      <c r="F304" s="14">
        <v>0.0</v>
      </c>
      <c r="G304" s="14">
        <v>0.0</v>
      </c>
      <c r="H304" s="14">
        <v>0.0</v>
      </c>
    </row>
    <row r="305" ht="15.75" customHeight="1">
      <c r="A305" s="9" t="s">
        <v>1032</v>
      </c>
      <c r="B305" s="14" t="s">
        <v>22</v>
      </c>
      <c r="D305" s="14">
        <v>3.0</v>
      </c>
      <c r="F305" s="14">
        <v>0.0</v>
      </c>
      <c r="G305" s="14">
        <v>0.0</v>
      </c>
      <c r="H305" s="14">
        <v>0.0</v>
      </c>
    </row>
    <row r="306" ht="15.75" customHeight="1">
      <c r="A306" s="9" t="s">
        <v>1034</v>
      </c>
      <c r="B306" s="14" t="s">
        <v>22</v>
      </c>
      <c r="D306" s="14">
        <v>3.0</v>
      </c>
      <c r="F306" s="14">
        <v>0.0</v>
      </c>
      <c r="G306" s="14">
        <v>0.0</v>
      </c>
      <c r="H306" s="14">
        <v>0.67</v>
      </c>
    </row>
    <row r="307" ht="15.75" customHeight="1">
      <c r="A307" s="9" t="s">
        <v>1036</v>
      </c>
      <c r="B307" s="14" t="s">
        <v>41</v>
      </c>
      <c r="C307" s="14" t="s">
        <v>1038</v>
      </c>
      <c r="D307" s="14">
        <v>3.0</v>
      </c>
      <c r="F307" s="14">
        <v>0.0</v>
      </c>
      <c r="G307" s="14">
        <v>0.0</v>
      </c>
      <c r="H307" s="14">
        <v>1.0</v>
      </c>
    </row>
    <row r="308" ht="15.75" customHeight="1">
      <c r="A308" s="9" t="s">
        <v>1039</v>
      </c>
      <c r="B308" s="14" t="s">
        <v>22</v>
      </c>
      <c r="C308" s="14" t="s">
        <v>1040</v>
      </c>
      <c r="D308" s="14">
        <v>3.0</v>
      </c>
      <c r="F308" s="14">
        <v>0.0</v>
      </c>
      <c r="G308" s="14">
        <v>0.0</v>
      </c>
      <c r="H308" s="14">
        <v>1.67</v>
      </c>
    </row>
    <row r="309" ht="15.75" customHeight="1">
      <c r="A309" s="9" t="s">
        <v>1041</v>
      </c>
      <c r="B309" s="14" t="s">
        <v>22</v>
      </c>
      <c r="D309" s="14">
        <v>3.0</v>
      </c>
      <c r="F309" s="14">
        <v>0.0</v>
      </c>
      <c r="G309" s="14">
        <v>0.0</v>
      </c>
      <c r="H309" s="14">
        <v>1.67</v>
      </c>
    </row>
    <row r="310" ht="15.75" customHeight="1">
      <c r="A310" s="9" t="s">
        <v>1043</v>
      </c>
      <c r="B310" s="14" t="s">
        <v>85</v>
      </c>
      <c r="C310" s="14" t="s">
        <v>1044</v>
      </c>
      <c r="D310" s="14">
        <v>3.0</v>
      </c>
      <c r="F310" s="14">
        <v>0.0</v>
      </c>
      <c r="G310" s="14">
        <v>0.0</v>
      </c>
      <c r="H310" s="14">
        <v>1.0</v>
      </c>
    </row>
    <row r="311" ht="15.75" customHeight="1">
      <c r="A311" s="9" t="s">
        <v>1045</v>
      </c>
      <c r="B311" s="14" t="s">
        <v>41</v>
      </c>
      <c r="C311" s="14" t="s">
        <v>1048</v>
      </c>
      <c r="D311" s="14">
        <v>3.0</v>
      </c>
      <c r="F311" s="14">
        <v>0.0</v>
      </c>
      <c r="G311" s="14">
        <v>0.0</v>
      </c>
      <c r="H311" s="14">
        <v>0.0</v>
      </c>
    </row>
    <row r="312" ht="15.75" customHeight="1">
      <c r="A312" s="9" t="s">
        <v>1050</v>
      </c>
      <c r="B312" s="14" t="s">
        <v>22</v>
      </c>
      <c r="D312" s="14">
        <v>3.0</v>
      </c>
      <c r="F312" s="14">
        <v>0.0</v>
      </c>
      <c r="G312" s="14">
        <v>0.0</v>
      </c>
      <c r="H312" s="14">
        <v>0.0</v>
      </c>
    </row>
    <row r="313" ht="15.75" customHeight="1">
      <c r="A313" s="9" t="s">
        <v>1052</v>
      </c>
      <c r="B313" s="14" t="s">
        <v>22</v>
      </c>
      <c r="D313" s="14">
        <v>3.0</v>
      </c>
      <c r="F313" s="14">
        <v>0.0</v>
      </c>
      <c r="G313" s="14">
        <v>0.0</v>
      </c>
      <c r="H313" s="14">
        <v>0.0</v>
      </c>
    </row>
    <row r="314" ht="15.75" customHeight="1">
      <c r="A314" s="9" t="s">
        <v>1053</v>
      </c>
      <c r="B314" s="14" t="s">
        <v>22</v>
      </c>
      <c r="C314" s="14" t="s">
        <v>340</v>
      </c>
      <c r="D314" s="14">
        <v>3.0</v>
      </c>
      <c r="F314" s="14">
        <v>0.0</v>
      </c>
      <c r="G314" s="14">
        <v>0.0</v>
      </c>
      <c r="H314" s="14">
        <v>0.0</v>
      </c>
    </row>
    <row r="315" ht="15.75" customHeight="1">
      <c r="A315" s="9" t="s">
        <v>1056</v>
      </c>
      <c r="B315" s="14" t="s">
        <v>22</v>
      </c>
      <c r="D315" s="14">
        <v>3.0</v>
      </c>
      <c r="F315" s="14">
        <v>0.0</v>
      </c>
      <c r="G315" s="14">
        <v>0.0</v>
      </c>
      <c r="H315" s="14">
        <v>2.0</v>
      </c>
    </row>
    <row r="316" ht="15.75" customHeight="1">
      <c r="A316" s="9" t="s">
        <v>1058</v>
      </c>
      <c r="B316" s="14" t="s">
        <v>22</v>
      </c>
      <c r="C316" s="14" t="s">
        <v>1059</v>
      </c>
      <c r="D316" s="14">
        <v>3.0</v>
      </c>
      <c r="F316" s="14">
        <v>0.0</v>
      </c>
      <c r="G316" s="14">
        <v>0.0</v>
      </c>
      <c r="H316" s="14">
        <v>0.33</v>
      </c>
    </row>
    <row r="317" ht="15.75" customHeight="1">
      <c r="A317" s="9" t="s">
        <v>1060</v>
      </c>
      <c r="B317" s="14" t="s">
        <v>22</v>
      </c>
      <c r="D317" s="14">
        <v>3.0</v>
      </c>
      <c r="F317" s="14">
        <v>0.0</v>
      </c>
      <c r="G317" s="14">
        <v>0.0</v>
      </c>
      <c r="H317" s="14">
        <v>0.67</v>
      </c>
    </row>
    <row r="318" ht="15.75" customHeight="1">
      <c r="A318" s="9" t="s">
        <v>1062</v>
      </c>
      <c r="B318" s="14" t="s">
        <v>22</v>
      </c>
      <c r="D318" s="14">
        <v>3.0</v>
      </c>
      <c r="F318" s="14">
        <v>0.0</v>
      </c>
      <c r="G318" s="14">
        <v>0.0</v>
      </c>
      <c r="H318" s="14">
        <v>1.0</v>
      </c>
    </row>
    <row r="319" ht="15.75" customHeight="1">
      <c r="A319" s="9" t="s">
        <v>1064</v>
      </c>
      <c r="B319" s="14" t="s">
        <v>22</v>
      </c>
      <c r="D319" s="14">
        <v>3.0</v>
      </c>
      <c r="F319" s="14">
        <v>0.0</v>
      </c>
      <c r="G319" s="14">
        <v>0.0</v>
      </c>
      <c r="H319" s="14">
        <v>1.33</v>
      </c>
    </row>
    <row r="320" ht="15.75" customHeight="1">
      <c r="A320" s="9" t="s">
        <v>1066</v>
      </c>
      <c r="B320" s="14" t="s">
        <v>41</v>
      </c>
      <c r="C320" s="14" t="s">
        <v>1067</v>
      </c>
      <c r="D320" s="14">
        <v>3.0</v>
      </c>
      <c r="F320" s="14">
        <v>0.0</v>
      </c>
      <c r="G320" s="14">
        <v>0.0</v>
      </c>
      <c r="H320" s="14">
        <v>0.33</v>
      </c>
    </row>
    <row r="321" ht="15.75" customHeight="1">
      <c r="A321" s="9" t="s">
        <v>1068</v>
      </c>
      <c r="B321" s="14" t="s">
        <v>22</v>
      </c>
      <c r="D321" s="14">
        <v>3.0</v>
      </c>
      <c r="F321" s="14">
        <v>0.0</v>
      </c>
      <c r="G321" s="14">
        <v>0.0</v>
      </c>
      <c r="H321" s="14">
        <v>0.67</v>
      </c>
    </row>
    <row r="322" ht="15.75" customHeight="1">
      <c r="A322" s="9" t="s">
        <v>1070</v>
      </c>
      <c r="B322" s="14" t="s">
        <v>22</v>
      </c>
      <c r="C322" s="14" t="s">
        <v>1072</v>
      </c>
      <c r="D322" s="14">
        <v>3.0</v>
      </c>
      <c r="F322" s="14">
        <v>0.0</v>
      </c>
      <c r="G322" s="14">
        <v>0.0</v>
      </c>
      <c r="H322" s="14">
        <v>0.0</v>
      </c>
    </row>
    <row r="323" ht="15.75" customHeight="1">
      <c r="A323" s="9" t="s">
        <v>1073</v>
      </c>
      <c r="B323" s="14" t="s">
        <v>41</v>
      </c>
      <c r="C323" s="14" t="s">
        <v>1074</v>
      </c>
      <c r="D323" s="14">
        <v>3.0</v>
      </c>
      <c r="F323" s="14">
        <v>0.0</v>
      </c>
      <c r="G323" s="14">
        <v>0.0</v>
      </c>
      <c r="H323" s="14">
        <v>1.0</v>
      </c>
    </row>
    <row r="324" ht="15.75" customHeight="1">
      <c r="A324" s="9" t="s">
        <v>1075</v>
      </c>
      <c r="B324" s="14" t="s">
        <v>22</v>
      </c>
      <c r="D324" s="14">
        <v>3.0</v>
      </c>
      <c r="F324" s="14">
        <v>0.0</v>
      </c>
      <c r="G324" s="14">
        <v>0.0</v>
      </c>
      <c r="H324" s="14">
        <v>0.33</v>
      </c>
    </row>
    <row r="325" ht="15.75" customHeight="1">
      <c r="A325" s="9" t="s">
        <v>1076</v>
      </c>
      <c r="B325" s="14" t="s">
        <v>22</v>
      </c>
      <c r="D325" s="14">
        <v>3.0</v>
      </c>
      <c r="F325" s="14">
        <v>0.0</v>
      </c>
      <c r="G325" s="14">
        <v>0.0</v>
      </c>
      <c r="H325" s="14">
        <v>1.0</v>
      </c>
    </row>
    <row r="326" ht="15.75" customHeight="1">
      <c r="A326" s="9" t="s">
        <v>1078</v>
      </c>
      <c r="B326" s="14" t="s">
        <v>22</v>
      </c>
      <c r="C326" s="14" t="s">
        <v>1080</v>
      </c>
      <c r="D326" s="14">
        <v>3.0</v>
      </c>
      <c r="F326" s="14">
        <v>0.0</v>
      </c>
      <c r="G326" s="14">
        <v>0.0</v>
      </c>
      <c r="H326" s="14">
        <v>1.0</v>
      </c>
    </row>
    <row r="327" ht="15.75" customHeight="1">
      <c r="A327" s="9" t="s">
        <v>1081</v>
      </c>
      <c r="B327" s="14" t="s">
        <v>22</v>
      </c>
      <c r="C327" s="14" t="s">
        <v>1082</v>
      </c>
      <c r="D327" s="14">
        <v>3.0</v>
      </c>
      <c r="F327" s="14">
        <v>0.0</v>
      </c>
      <c r="G327" s="14">
        <v>0.0</v>
      </c>
      <c r="H327" s="14">
        <v>1.0</v>
      </c>
    </row>
    <row r="328" ht="15.75" customHeight="1">
      <c r="A328" s="9" t="s">
        <v>1084</v>
      </c>
      <c r="B328" s="14" t="s">
        <v>22</v>
      </c>
      <c r="C328" s="14" t="s">
        <v>1086</v>
      </c>
      <c r="D328" s="14">
        <v>3.0</v>
      </c>
      <c r="F328" s="14">
        <v>0.0</v>
      </c>
      <c r="G328" s="14">
        <v>0.0</v>
      </c>
      <c r="H328" s="14">
        <v>0.0</v>
      </c>
    </row>
    <row r="329" ht="15.75" customHeight="1">
      <c r="A329" s="9" t="s">
        <v>1090</v>
      </c>
      <c r="B329" s="14" t="s">
        <v>22</v>
      </c>
      <c r="C329" s="14" t="s">
        <v>1093</v>
      </c>
      <c r="D329" s="14">
        <v>3.0</v>
      </c>
      <c r="F329" s="14">
        <v>0.0</v>
      </c>
      <c r="G329" s="14">
        <v>0.0</v>
      </c>
      <c r="H329" s="14">
        <v>0.67</v>
      </c>
    </row>
    <row r="330" ht="15.75" customHeight="1">
      <c r="A330" s="9" t="s">
        <v>1095</v>
      </c>
      <c r="B330" s="14" t="s">
        <v>553</v>
      </c>
      <c r="C330" s="14" t="s">
        <v>487</v>
      </c>
      <c r="D330" s="14">
        <v>3.0</v>
      </c>
      <c r="F330" s="14">
        <v>0.0</v>
      </c>
      <c r="G330" s="14">
        <v>0.0</v>
      </c>
      <c r="H330" s="14">
        <v>0.0</v>
      </c>
    </row>
    <row r="331" ht="15.75" customHeight="1">
      <c r="A331" s="9" t="s">
        <v>1098</v>
      </c>
      <c r="B331" s="14" t="s">
        <v>22</v>
      </c>
      <c r="C331" s="14" t="s">
        <v>1100</v>
      </c>
      <c r="D331" s="14">
        <v>3.0</v>
      </c>
      <c r="F331" s="14">
        <v>0.0</v>
      </c>
      <c r="G331" s="14">
        <v>0.0</v>
      </c>
      <c r="H331" s="14">
        <v>0.33</v>
      </c>
    </row>
    <row r="332" ht="15.75" customHeight="1">
      <c r="A332" s="9" t="s">
        <v>1101</v>
      </c>
      <c r="B332" s="14" t="s">
        <v>22</v>
      </c>
      <c r="C332" s="14" t="s">
        <v>866</v>
      </c>
      <c r="D332" s="14">
        <v>3.0</v>
      </c>
      <c r="F332" s="14">
        <v>0.0</v>
      </c>
      <c r="G332" s="14">
        <v>0.0</v>
      </c>
      <c r="H332" s="14">
        <v>0.0</v>
      </c>
    </row>
    <row r="333" ht="15.75" customHeight="1">
      <c r="A333" s="9" t="s">
        <v>1103</v>
      </c>
      <c r="B333" s="14" t="s">
        <v>22</v>
      </c>
      <c r="D333" s="14">
        <v>3.0</v>
      </c>
      <c r="F333" s="14">
        <v>0.0</v>
      </c>
      <c r="G333" s="14">
        <v>0.0</v>
      </c>
      <c r="H333" s="14">
        <v>0.33</v>
      </c>
    </row>
    <row r="334" ht="15.75" customHeight="1">
      <c r="A334" s="9" t="s">
        <v>1106</v>
      </c>
      <c r="B334" s="14" t="s">
        <v>22</v>
      </c>
      <c r="C334" s="14" t="s">
        <v>361</v>
      </c>
      <c r="D334" s="14">
        <v>3.0</v>
      </c>
      <c r="F334" s="14">
        <v>0.0</v>
      </c>
      <c r="G334" s="14">
        <v>0.0</v>
      </c>
      <c r="H334" s="14">
        <v>1.0</v>
      </c>
    </row>
    <row r="335" ht="15.75" customHeight="1">
      <c r="A335" s="9" t="s">
        <v>1108</v>
      </c>
      <c r="B335" s="14" t="s">
        <v>120</v>
      </c>
      <c r="C335" s="14" t="s">
        <v>532</v>
      </c>
      <c r="D335" s="14">
        <v>3.0</v>
      </c>
      <c r="F335" s="14">
        <v>0.0</v>
      </c>
      <c r="G335" s="14">
        <v>0.0</v>
      </c>
      <c r="H335" s="14">
        <v>0.0</v>
      </c>
    </row>
    <row r="336" ht="15.75" customHeight="1">
      <c r="A336" s="9" t="s">
        <v>1111</v>
      </c>
      <c r="B336" s="14" t="s">
        <v>22</v>
      </c>
      <c r="C336" s="14" t="s">
        <v>1113</v>
      </c>
      <c r="D336" s="14">
        <v>3.0</v>
      </c>
      <c r="F336" s="14">
        <v>0.0</v>
      </c>
      <c r="G336" s="14">
        <v>0.0</v>
      </c>
      <c r="H336" s="14">
        <v>1.33</v>
      </c>
    </row>
    <row r="337" ht="15.75" customHeight="1">
      <c r="A337" s="9" t="s">
        <v>1114</v>
      </c>
      <c r="B337" s="14" t="s">
        <v>22</v>
      </c>
      <c r="D337" s="14">
        <v>3.0</v>
      </c>
      <c r="F337" s="14">
        <v>0.0</v>
      </c>
      <c r="G337" s="14">
        <v>0.0</v>
      </c>
      <c r="H337" s="14">
        <v>0.0</v>
      </c>
    </row>
    <row r="338" ht="15.75" customHeight="1">
      <c r="A338" s="9" t="s">
        <v>1116</v>
      </c>
      <c r="B338" s="14" t="s">
        <v>120</v>
      </c>
      <c r="C338" s="14" t="s">
        <v>1118</v>
      </c>
      <c r="D338" s="14">
        <v>3.0</v>
      </c>
      <c r="F338" s="14">
        <v>0.0</v>
      </c>
      <c r="G338" s="14">
        <v>0.0</v>
      </c>
      <c r="H338" s="14">
        <v>0.0</v>
      </c>
    </row>
    <row r="339" ht="15.75" customHeight="1">
      <c r="A339" s="9" t="s">
        <v>1120</v>
      </c>
      <c r="B339" s="14" t="s">
        <v>22</v>
      </c>
      <c r="D339" s="14">
        <v>3.0</v>
      </c>
      <c r="F339" s="14">
        <v>0.0</v>
      </c>
      <c r="G339" s="14">
        <v>0.0</v>
      </c>
      <c r="H339" s="14">
        <v>0.67</v>
      </c>
    </row>
    <row r="340" ht="15.75" customHeight="1">
      <c r="A340" s="9" t="s">
        <v>1122</v>
      </c>
      <c r="B340" s="14" t="s">
        <v>22</v>
      </c>
      <c r="D340" s="14">
        <v>3.0</v>
      </c>
      <c r="F340" s="14">
        <v>0.0</v>
      </c>
      <c r="G340" s="14">
        <v>0.0</v>
      </c>
      <c r="H340" s="14">
        <v>0.0</v>
      </c>
    </row>
    <row r="341" ht="15.75" customHeight="1">
      <c r="A341" s="9" t="s">
        <v>1123</v>
      </c>
      <c r="B341" s="14" t="s">
        <v>22</v>
      </c>
      <c r="C341" s="14" t="s">
        <v>1124</v>
      </c>
      <c r="D341" s="14">
        <v>3.0</v>
      </c>
      <c r="F341" s="14">
        <v>0.0</v>
      </c>
      <c r="G341" s="14">
        <v>0.0</v>
      </c>
      <c r="H341" s="14">
        <v>0.0</v>
      </c>
    </row>
    <row r="342" ht="15.75" customHeight="1">
      <c r="A342" s="9" t="s">
        <v>1125</v>
      </c>
      <c r="B342" s="14" t="s">
        <v>22</v>
      </c>
      <c r="C342" s="14" t="s">
        <v>1126</v>
      </c>
      <c r="D342" s="14">
        <v>2.0</v>
      </c>
      <c r="F342" s="14">
        <v>0.0</v>
      </c>
      <c r="G342" s="14">
        <v>0.0</v>
      </c>
      <c r="H342" s="14">
        <v>2.5</v>
      </c>
    </row>
    <row r="343" ht="15.75" customHeight="1">
      <c r="A343" s="9" t="s">
        <v>1127</v>
      </c>
      <c r="B343" s="14" t="s">
        <v>22</v>
      </c>
      <c r="C343" s="14" t="s">
        <v>1129</v>
      </c>
      <c r="D343" s="14">
        <v>2.0</v>
      </c>
      <c r="F343" s="14">
        <v>0.0</v>
      </c>
      <c r="G343" s="14">
        <v>0.0</v>
      </c>
      <c r="H343" s="14">
        <v>2.0</v>
      </c>
    </row>
    <row r="344" ht="15.75" customHeight="1">
      <c r="A344" s="9" t="s">
        <v>1130</v>
      </c>
      <c r="B344" s="14" t="s">
        <v>22</v>
      </c>
      <c r="C344" s="14" t="s">
        <v>1132</v>
      </c>
      <c r="D344" s="14">
        <v>2.0</v>
      </c>
      <c r="F344" s="14">
        <v>0.0</v>
      </c>
      <c r="G344" s="14">
        <v>0.0</v>
      </c>
      <c r="H344" s="14">
        <v>1.5</v>
      </c>
    </row>
    <row r="345" ht="15.75" customHeight="1">
      <c r="A345" s="9" t="s">
        <v>1133</v>
      </c>
      <c r="B345" s="14" t="s">
        <v>22</v>
      </c>
      <c r="D345" s="14">
        <v>2.0</v>
      </c>
      <c r="F345" s="14">
        <v>0.0</v>
      </c>
      <c r="G345" s="14">
        <v>0.0</v>
      </c>
      <c r="H345" s="14">
        <v>1.0</v>
      </c>
    </row>
    <row r="346" ht="15.75" customHeight="1">
      <c r="A346" s="9" t="s">
        <v>1135</v>
      </c>
      <c r="B346" s="14" t="s">
        <v>117</v>
      </c>
      <c r="D346" s="14">
        <v>2.0</v>
      </c>
      <c r="F346" s="14">
        <v>0.0</v>
      </c>
      <c r="G346" s="14">
        <v>0.0</v>
      </c>
      <c r="H346" s="14">
        <v>2.0</v>
      </c>
    </row>
    <row r="347" ht="15.75" customHeight="1">
      <c r="A347" s="9" t="s">
        <v>1137</v>
      </c>
      <c r="B347" s="14" t="s">
        <v>41</v>
      </c>
      <c r="C347" s="14" t="s">
        <v>1139</v>
      </c>
      <c r="D347" s="14">
        <v>2.0</v>
      </c>
      <c r="F347" s="14">
        <v>0.0</v>
      </c>
      <c r="G347" s="14">
        <v>0.0</v>
      </c>
      <c r="H347" s="14">
        <v>1.5</v>
      </c>
    </row>
    <row r="348" ht="15.75" customHeight="1">
      <c r="A348" s="9" t="s">
        <v>1140</v>
      </c>
      <c r="B348" s="14" t="s">
        <v>22</v>
      </c>
      <c r="D348" s="14">
        <v>2.0</v>
      </c>
      <c r="F348" s="14">
        <v>0.0</v>
      </c>
      <c r="G348" s="14">
        <v>0.0</v>
      </c>
      <c r="H348" s="14">
        <v>0.0</v>
      </c>
    </row>
    <row r="349" ht="15.75" customHeight="1">
      <c r="A349" s="9" t="s">
        <v>1142</v>
      </c>
      <c r="B349" s="14" t="s">
        <v>22</v>
      </c>
      <c r="D349" s="14">
        <v>2.0</v>
      </c>
      <c r="F349" s="14">
        <v>0.0</v>
      </c>
      <c r="G349" s="14">
        <v>0.0</v>
      </c>
      <c r="H349" s="14">
        <v>0.5</v>
      </c>
    </row>
    <row r="350" ht="15.75" customHeight="1">
      <c r="A350" s="9" t="s">
        <v>1144</v>
      </c>
      <c r="B350" s="14" t="s">
        <v>31</v>
      </c>
      <c r="D350" s="14">
        <v>2.0</v>
      </c>
      <c r="F350" s="14">
        <v>0.0</v>
      </c>
      <c r="G350" s="14">
        <v>0.0</v>
      </c>
      <c r="H350" s="14">
        <v>0.0</v>
      </c>
    </row>
    <row r="351" ht="15.75" customHeight="1">
      <c r="A351" s="9" t="s">
        <v>1147</v>
      </c>
      <c r="B351" s="14" t="s">
        <v>22</v>
      </c>
      <c r="C351" s="14" t="s">
        <v>340</v>
      </c>
      <c r="D351" s="14">
        <v>2.0</v>
      </c>
      <c r="F351" s="14">
        <v>0.0</v>
      </c>
      <c r="G351" s="14">
        <v>0.0</v>
      </c>
      <c r="H351" s="14">
        <v>0.5</v>
      </c>
    </row>
    <row r="352" ht="15.75" customHeight="1">
      <c r="A352" s="9" t="s">
        <v>1149</v>
      </c>
      <c r="B352" s="14" t="s">
        <v>22</v>
      </c>
      <c r="C352" s="14" t="s">
        <v>340</v>
      </c>
      <c r="D352" s="14">
        <v>2.0</v>
      </c>
      <c r="F352" s="14">
        <v>0.0</v>
      </c>
      <c r="G352" s="14">
        <v>0.0</v>
      </c>
      <c r="H352" s="14">
        <v>0.0</v>
      </c>
    </row>
    <row r="353" ht="15.75" customHeight="1">
      <c r="A353" s="9" t="s">
        <v>1151</v>
      </c>
      <c r="B353" s="14" t="s">
        <v>22</v>
      </c>
      <c r="C353" s="14" t="s">
        <v>1153</v>
      </c>
      <c r="D353" s="14">
        <v>2.0</v>
      </c>
      <c r="F353" s="14">
        <v>0.0</v>
      </c>
      <c r="G353" s="14">
        <v>0.0</v>
      </c>
      <c r="H353" s="14">
        <v>0.5</v>
      </c>
    </row>
    <row r="354" ht="15.75" customHeight="1">
      <c r="A354" s="9" t="s">
        <v>1154</v>
      </c>
      <c r="B354" s="14" t="s">
        <v>22</v>
      </c>
      <c r="C354" s="14" t="s">
        <v>1155</v>
      </c>
      <c r="D354" s="14">
        <v>2.0</v>
      </c>
      <c r="F354" s="14">
        <v>0.0</v>
      </c>
      <c r="G354" s="14">
        <v>0.0</v>
      </c>
      <c r="H354" s="14">
        <v>0.0</v>
      </c>
    </row>
    <row r="355" ht="15.75" customHeight="1">
      <c r="A355" s="9" t="s">
        <v>1156</v>
      </c>
      <c r="B355" s="14" t="s">
        <v>22</v>
      </c>
      <c r="D355" s="14">
        <v>2.0</v>
      </c>
      <c r="F355" s="14">
        <v>0.0</v>
      </c>
      <c r="G355" s="14">
        <v>0.0</v>
      </c>
      <c r="H355" s="14">
        <v>2.0</v>
      </c>
    </row>
    <row r="356" ht="15.75" customHeight="1">
      <c r="A356" s="9" t="s">
        <v>1159</v>
      </c>
      <c r="B356" s="14" t="s">
        <v>22</v>
      </c>
      <c r="D356" s="14">
        <v>2.0</v>
      </c>
      <c r="F356" s="14">
        <v>0.0</v>
      </c>
      <c r="G356" s="14">
        <v>0.0</v>
      </c>
      <c r="H356" s="14">
        <v>1.0</v>
      </c>
    </row>
    <row r="357" ht="15.75" customHeight="1">
      <c r="A357" s="9" t="s">
        <v>1161</v>
      </c>
      <c r="B357" s="14" t="s">
        <v>553</v>
      </c>
      <c r="D357" s="14">
        <v>2.0</v>
      </c>
      <c r="F357" s="14">
        <v>0.0</v>
      </c>
      <c r="G357" s="14">
        <v>0.0</v>
      </c>
      <c r="H357" s="14">
        <v>1.0</v>
      </c>
    </row>
    <row r="358" ht="15.75" customHeight="1">
      <c r="A358" s="9" t="s">
        <v>1162</v>
      </c>
      <c r="B358" s="14" t="s">
        <v>22</v>
      </c>
      <c r="D358" s="14">
        <v>2.0</v>
      </c>
      <c r="F358" s="14">
        <v>0.0</v>
      </c>
      <c r="G358" s="14">
        <v>0.0</v>
      </c>
      <c r="H358" s="14">
        <v>0.0</v>
      </c>
    </row>
    <row r="359" ht="15.75" customHeight="1">
      <c r="A359" s="9" t="s">
        <v>1165</v>
      </c>
      <c r="B359" s="14" t="s">
        <v>22</v>
      </c>
      <c r="D359" s="14">
        <v>2.0</v>
      </c>
      <c r="F359" s="14">
        <v>0.0</v>
      </c>
      <c r="G359" s="14">
        <v>0.0</v>
      </c>
      <c r="H359" s="14">
        <v>1.0</v>
      </c>
    </row>
    <row r="360" ht="15.75" customHeight="1">
      <c r="A360" s="9" t="s">
        <v>1166</v>
      </c>
      <c r="B360" s="14" t="s">
        <v>120</v>
      </c>
      <c r="D360" s="14">
        <v>2.0</v>
      </c>
      <c r="F360" s="14">
        <v>0.0</v>
      </c>
      <c r="G360" s="14">
        <v>0.0</v>
      </c>
      <c r="H360" s="14">
        <v>0.0</v>
      </c>
    </row>
    <row r="361" ht="15.75" customHeight="1">
      <c r="A361" s="9" t="s">
        <v>1168</v>
      </c>
      <c r="B361" s="14" t="s">
        <v>22</v>
      </c>
      <c r="D361" s="14">
        <v>2.0</v>
      </c>
      <c r="F361" s="14">
        <v>0.0</v>
      </c>
      <c r="G361" s="14">
        <v>0.0</v>
      </c>
      <c r="H361" s="14">
        <v>1.0</v>
      </c>
    </row>
    <row r="362" ht="15.75" customHeight="1">
      <c r="A362" s="9" t="s">
        <v>1170</v>
      </c>
      <c r="B362" s="14" t="s">
        <v>22</v>
      </c>
      <c r="D362" s="14">
        <v>2.0</v>
      </c>
      <c r="F362" s="14">
        <v>0.0</v>
      </c>
      <c r="G362" s="14">
        <v>0.0</v>
      </c>
      <c r="H362" s="14">
        <v>1.0</v>
      </c>
    </row>
    <row r="363" ht="15.75" customHeight="1">
      <c r="A363" s="9" t="s">
        <v>1173</v>
      </c>
      <c r="B363" s="14" t="s">
        <v>31</v>
      </c>
      <c r="C363" s="14" t="s">
        <v>1174</v>
      </c>
      <c r="D363" s="14">
        <v>2.0</v>
      </c>
      <c r="F363" s="14">
        <v>0.0</v>
      </c>
      <c r="G363" s="14">
        <v>0.0</v>
      </c>
      <c r="H363" s="14">
        <v>0.0</v>
      </c>
    </row>
    <row r="364" ht="15.75" customHeight="1">
      <c r="A364" s="9" t="s">
        <v>1175</v>
      </c>
      <c r="B364" s="14" t="s">
        <v>41</v>
      </c>
      <c r="C364" s="14" t="s">
        <v>1177</v>
      </c>
      <c r="D364" s="14">
        <v>2.0</v>
      </c>
      <c r="F364" s="14">
        <v>0.0</v>
      </c>
      <c r="G364" s="14">
        <v>0.0</v>
      </c>
      <c r="H364" s="14">
        <v>1.5</v>
      </c>
    </row>
    <row r="365" ht="15.75" customHeight="1">
      <c r="A365" s="9" t="s">
        <v>1178</v>
      </c>
      <c r="B365" s="14" t="s">
        <v>22</v>
      </c>
      <c r="D365" s="14">
        <v>2.0</v>
      </c>
      <c r="F365" s="14">
        <v>0.0</v>
      </c>
      <c r="G365" s="14">
        <v>0.0</v>
      </c>
      <c r="H365" s="14">
        <v>1.5</v>
      </c>
    </row>
    <row r="366" ht="15.75" customHeight="1">
      <c r="A366" s="9" t="s">
        <v>1181</v>
      </c>
      <c r="B366" s="14" t="s">
        <v>120</v>
      </c>
      <c r="C366" s="14" t="s">
        <v>1183</v>
      </c>
      <c r="D366" s="14">
        <v>2.0</v>
      </c>
      <c r="F366" s="14">
        <v>0.0</v>
      </c>
      <c r="G366" s="14">
        <v>0.0</v>
      </c>
      <c r="H366" s="14">
        <v>1.0</v>
      </c>
    </row>
    <row r="367" ht="15.75" customHeight="1">
      <c r="A367" s="9" t="s">
        <v>1184</v>
      </c>
      <c r="B367" s="14" t="s">
        <v>22</v>
      </c>
      <c r="D367" s="14">
        <v>2.0</v>
      </c>
      <c r="F367" s="14">
        <v>0.0</v>
      </c>
      <c r="G367" s="14">
        <v>0.0</v>
      </c>
      <c r="H367" s="14">
        <v>0.0</v>
      </c>
    </row>
    <row r="368" ht="15.75" customHeight="1">
      <c r="A368" s="14" t="s">
        <v>1187</v>
      </c>
      <c r="B368" s="14" t="s">
        <v>22</v>
      </c>
      <c r="D368" s="14">
        <v>2.0</v>
      </c>
      <c r="F368" s="14">
        <v>0.0</v>
      </c>
      <c r="G368" s="14">
        <v>0.0</v>
      </c>
      <c r="H368" s="14">
        <v>0.0</v>
      </c>
    </row>
    <row r="369" ht="15.75" customHeight="1">
      <c r="A369" s="9" t="s">
        <v>1188</v>
      </c>
      <c r="B369" s="14" t="s">
        <v>22</v>
      </c>
      <c r="C369" s="14" t="s">
        <v>361</v>
      </c>
      <c r="D369" s="14">
        <v>2.0</v>
      </c>
      <c r="F369" s="14">
        <v>0.0</v>
      </c>
      <c r="G369" s="14">
        <v>0.0</v>
      </c>
      <c r="H369" s="14">
        <v>1.0</v>
      </c>
    </row>
    <row r="370" ht="15.75" customHeight="1">
      <c r="A370" s="9" t="s">
        <v>1192</v>
      </c>
      <c r="B370" s="14" t="s">
        <v>22</v>
      </c>
      <c r="C370" s="14" t="s">
        <v>1193</v>
      </c>
      <c r="D370" s="14">
        <v>2.0</v>
      </c>
      <c r="F370" s="14">
        <v>0.0</v>
      </c>
      <c r="G370" s="14">
        <v>0.0</v>
      </c>
      <c r="H370" s="14">
        <v>3.0</v>
      </c>
    </row>
    <row r="371" ht="15.75" customHeight="1">
      <c r="A371" s="9" t="s">
        <v>1195</v>
      </c>
      <c r="B371" s="14" t="s">
        <v>22</v>
      </c>
      <c r="C371" s="14" t="s">
        <v>398</v>
      </c>
      <c r="D371" s="14">
        <v>2.0</v>
      </c>
      <c r="F371" s="14">
        <v>0.0</v>
      </c>
      <c r="G371" s="14">
        <v>0.0</v>
      </c>
      <c r="H371" s="14">
        <v>3.0</v>
      </c>
    </row>
    <row r="372" ht="15.75" customHeight="1">
      <c r="A372" s="9" t="s">
        <v>1196</v>
      </c>
      <c r="B372" s="14" t="s">
        <v>22</v>
      </c>
      <c r="D372" s="14">
        <v>2.0</v>
      </c>
      <c r="F372" s="14">
        <v>0.0</v>
      </c>
      <c r="G372" s="14">
        <v>0.0</v>
      </c>
      <c r="H372" s="14">
        <v>0.0</v>
      </c>
    </row>
    <row r="373" ht="15.75" customHeight="1">
      <c r="A373" s="9" t="s">
        <v>1198</v>
      </c>
      <c r="B373" s="14" t="s">
        <v>553</v>
      </c>
      <c r="D373" s="14">
        <v>2.0</v>
      </c>
      <c r="F373" s="14">
        <v>0.0</v>
      </c>
      <c r="G373" s="14">
        <v>0.0</v>
      </c>
      <c r="H373" s="14">
        <v>0.0</v>
      </c>
    </row>
    <row r="374" ht="15.75" customHeight="1">
      <c r="A374" s="9" t="s">
        <v>1200</v>
      </c>
      <c r="B374" s="14" t="s">
        <v>22</v>
      </c>
      <c r="D374" s="14">
        <v>2.0</v>
      </c>
      <c r="F374" s="14">
        <v>0.0</v>
      </c>
      <c r="G374" s="14">
        <v>0.0</v>
      </c>
      <c r="H374" s="14">
        <v>1.0</v>
      </c>
    </row>
    <row r="375" ht="15.75" customHeight="1">
      <c r="A375" s="9" t="s">
        <v>1203</v>
      </c>
      <c r="B375" s="14" t="s">
        <v>22</v>
      </c>
      <c r="C375" s="14" t="s">
        <v>808</v>
      </c>
      <c r="D375" s="14">
        <v>2.0</v>
      </c>
      <c r="F375" s="14">
        <v>0.0</v>
      </c>
      <c r="G375" s="14">
        <v>0.0</v>
      </c>
      <c r="H375" s="14">
        <v>1.0</v>
      </c>
    </row>
    <row r="376" ht="15.75" customHeight="1">
      <c r="A376" s="9" t="s">
        <v>1205</v>
      </c>
      <c r="B376" s="14" t="s">
        <v>22</v>
      </c>
      <c r="C376" s="14" t="s">
        <v>340</v>
      </c>
      <c r="D376" s="14">
        <v>2.0</v>
      </c>
      <c r="F376" s="14">
        <v>0.0</v>
      </c>
      <c r="G376" s="14">
        <v>0.0</v>
      </c>
      <c r="H376" s="14">
        <v>1.0</v>
      </c>
    </row>
    <row r="377" ht="15.75" customHeight="1">
      <c r="A377" s="9" t="s">
        <v>1206</v>
      </c>
      <c r="B377" s="14" t="s">
        <v>22</v>
      </c>
      <c r="C377" s="14" t="s">
        <v>1209</v>
      </c>
      <c r="D377" s="14">
        <v>2.0</v>
      </c>
      <c r="F377" s="14">
        <v>0.0</v>
      </c>
      <c r="G377" s="14">
        <v>0.0</v>
      </c>
      <c r="H377" s="14">
        <v>0.5</v>
      </c>
    </row>
    <row r="378" ht="15.75" customHeight="1">
      <c r="A378" s="9" t="s">
        <v>1210</v>
      </c>
      <c r="B378" s="14" t="s">
        <v>22</v>
      </c>
      <c r="D378" s="14">
        <v>2.0</v>
      </c>
      <c r="F378" s="14">
        <v>0.0</v>
      </c>
      <c r="G378" s="14">
        <v>0.0</v>
      </c>
      <c r="H378" s="14">
        <v>0.0</v>
      </c>
    </row>
    <row r="379" ht="15.75" customHeight="1">
      <c r="A379" s="9" t="s">
        <v>1212</v>
      </c>
      <c r="B379" s="14" t="s">
        <v>22</v>
      </c>
      <c r="D379" s="14">
        <v>2.0</v>
      </c>
      <c r="F379" s="14">
        <v>0.0</v>
      </c>
      <c r="G379" s="14">
        <v>0.0</v>
      </c>
      <c r="H379" s="14">
        <v>2.0</v>
      </c>
    </row>
    <row r="380" ht="15.75" customHeight="1">
      <c r="A380" s="9" t="s">
        <v>1214</v>
      </c>
      <c r="B380" s="14" t="s">
        <v>41</v>
      </c>
      <c r="C380" s="14" t="s">
        <v>1216</v>
      </c>
      <c r="D380" s="14">
        <v>2.0</v>
      </c>
      <c r="F380" s="14">
        <v>0.0</v>
      </c>
      <c r="G380" s="14">
        <v>0.0</v>
      </c>
      <c r="H380" s="14">
        <v>1.0</v>
      </c>
    </row>
    <row r="381" ht="15.75" customHeight="1">
      <c r="A381" s="14" t="s">
        <v>1218</v>
      </c>
      <c r="B381" s="14" t="s">
        <v>22</v>
      </c>
      <c r="D381" s="14">
        <v>2.0</v>
      </c>
      <c r="F381" s="14">
        <v>0.0</v>
      </c>
      <c r="G381" s="14">
        <v>0.0</v>
      </c>
      <c r="H381" s="14">
        <v>1.5</v>
      </c>
    </row>
    <row r="382" ht="15.75" customHeight="1">
      <c r="A382" s="9" t="s">
        <v>1219</v>
      </c>
      <c r="B382" s="14" t="s">
        <v>22</v>
      </c>
      <c r="D382" s="14">
        <v>2.0</v>
      </c>
      <c r="F382" s="14">
        <v>0.0</v>
      </c>
      <c r="G382" s="14">
        <v>0.0</v>
      </c>
      <c r="H382" s="14">
        <v>0.0</v>
      </c>
    </row>
    <row r="383" ht="15.75" customHeight="1">
      <c r="A383" s="9" t="s">
        <v>1222</v>
      </c>
      <c r="B383" s="14" t="s">
        <v>22</v>
      </c>
      <c r="D383" s="14">
        <v>2.0</v>
      </c>
      <c r="F383" s="14">
        <v>0.0</v>
      </c>
      <c r="G383" s="14">
        <v>0.0</v>
      </c>
      <c r="H383" s="14">
        <v>2.0</v>
      </c>
    </row>
    <row r="384" ht="15.75" customHeight="1">
      <c r="A384" s="9" t="s">
        <v>1224</v>
      </c>
      <c r="B384" s="14" t="s">
        <v>553</v>
      </c>
      <c r="C384" s="14" t="s">
        <v>506</v>
      </c>
      <c r="D384" s="14">
        <v>2.0</v>
      </c>
      <c r="F384" s="14">
        <v>0.0</v>
      </c>
      <c r="G384" s="14">
        <v>0.0</v>
      </c>
      <c r="H384" s="14">
        <v>1.0</v>
      </c>
    </row>
    <row r="385" ht="15.75" customHeight="1">
      <c r="A385" s="9" t="s">
        <v>1227</v>
      </c>
      <c r="B385" s="14" t="s">
        <v>22</v>
      </c>
      <c r="C385" s="14" t="s">
        <v>1177</v>
      </c>
      <c r="D385" s="14">
        <v>2.0</v>
      </c>
      <c r="F385" s="14">
        <v>0.0</v>
      </c>
      <c r="G385" s="14">
        <v>0.0</v>
      </c>
      <c r="H385" s="14">
        <v>1.5</v>
      </c>
    </row>
    <row r="386" ht="15.75" customHeight="1">
      <c r="A386" s="9" t="s">
        <v>1229</v>
      </c>
      <c r="B386" s="14" t="s">
        <v>22</v>
      </c>
      <c r="D386" s="14">
        <v>2.0</v>
      </c>
      <c r="F386" s="14">
        <v>0.0</v>
      </c>
      <c r="G386" s="14">
        <v>0.0</v>
      </c>
      <c r="H386" s="14">
        <v>1.0</v>
      </c>
    </row>
    <row r="387" ht="15.75" customHeight="1">
      <c r="A387" s="9" t="s">
        <v>1232</v>
      </c>
      <c r="B387" s="14" t="s">
        <v>22</v>
      </c>
      <c r="C387" s="14" t="s">
        <v>1234</v>
      </c>
      <c r="D387" s="14">
        <v>2.0</v>
      </c>
      <c r="F387" s="14">
        <v>0.0</v>
      </c>
      <c r="G387" s="14">
        <v>0.0</v>
      </c>
      <c r="H387" s="14">
        <v>0.5</v>
      </c>
    </row>
    <row r="388" ht="15.75" customHeight="1">
      <c r="A388" s="9" t="s">
        <v>1237</v>
      </c>
      <c r="B388" s="14" t="s">
        <v>31</v>
      </c>
      <c r="D388" s="14">
        <v>2.0</v>
      </c>
      <c r="F388" s="14">
        <v>0.0</v>
      </c>
      <c r="G388" s="14">
        <v>0.0</v>
      </c>
      <c r="H388" s="14">
        <v>0.0</v>
      </c>
    </row>
    <row r="389" ht="15.75" customHeight="1">
      <c r="A389" s="9" t="s">
        <v>1238</v>
      </c>
      <c r="B389" s="14" t="s">
        <v>22</v>
      </c>
      <c r="D389" s="14">
        <v>2.0</v>
      </c>
      <c r="F389" s="14">
        <v>0.0</v>
      </c>
      <c r="G389" s="14">
        <v>0.0</v>
      </c>
      <c r="H389" s="14">
        <v>0.0</v>
      </c>
    </row>
    <row r="390" ht="15.75" customHeight="1">
      <c r="A390" s="9" t="s">
        <v>1241</v>
      </c>
      <c r="B390" s="14" t="s">
        <v>22</v>
      </c>
      <c r="C390" s="14" t="s">
        <v>361</v>
      </c>
      <c r="D390" s="14">
        <v>2.0</v>
      </c>
      <c r="F390" s="14">
        <v>0.0</v>
      </c>
      <c r="G390" s="14">
        <v>0.0</v>
      </c>
      <c r="H390" s="14">
        <v>1.0</v>
      </c>
    </row>
    <row r="391" ht="15.75" customHeight="1">
      <c r="A391" s="9" t="s">
        <v>1243</v>
      </c>
      <c r="B391" s="14" t="s">
        <v>22</v>
      </c>
      <c r="D391" s="14">
        <v>2.0</v>
      </c>
      <c r="F391" s="14">
        <v>0.0</v>
      </c>
      <c r="G391" s="14">
        <v>0.0</v>
      </c>
      <c r="H391" s="14">
        <v>0.0</v>
      </c>
    </row>
    <row r="392" ht="15.75" customHeight="1">
      <c r="A392" s="9" t="s">
        <v>1245</v>
      </c>
      <c r="B392" s="14" t="s">
        <v>22</v>
      </c>
      <c r="C392" s="14" t="s">
        <v>532</v>
      </c>
      <c r="D392" s="14">
        <v>2.0</v>
      </c>
      <c r="F392" s="14">
        <v>0.0</v>
      </c>
      <c r="G392" s="14">
        <v>0.0</v>
      </c>
      <c r="H392" s="14">
        <v>0.0</v>
      </c>
    </row>
    <row r="393" ht="15.75" customHeight="1">
      <c r="A393" s="9" t="s">
        <v>1247</v>
      </c>
      <c r="B393" s="14" t="s">
        <v>22</v>
      </c>
      <c r="C393" s="14" t="s">
        <v>523</v>
      </c>
      <c r="D393" s="14">
        <v>2.0</v>
      </c>
      <c r="F393" s="14">
        <v>0.0</v>
      </c>
      <c r="G393" s="14">
        <v>0.0</v>
      </c>
      <c r="H393" s="14">
        <v>1.0</v>
      </c>
    </row>
    <row r="394" ht="15.75" customHeight="1">
      <c r="A394" s="9" t="s">
        <v>1250</v>
      </c>
      <c r="B394" s="14" t="s">
        <v>22</v>
      </c>
      <c r="C394" s="14" t="s">
        <v>956</v>
      </c>
      <c r="D394" s="14">
        <v>2.0</v>
      </c>
      <c r="F394" s="14">
        <v>0.0</v>
      </c>
      <c r="G394" s="14">
        <v>0.0</v>
      </c>
      <c r="H394" s="14">
        <v>0.0</v>
      </c>
    </row>
    <row r="395" ht="15.75" customHeight="1">
      <c r="A395" s="9" t="s">
        <v>1252</v>
      </c>
      <c r="B395" s="14" t="s">
        <v>553</v>
      </c>
      <c r="D395" s="14">
        <v>2.0</v>
      </c>
      <c r="F395" s="14">
        <v>0.0</v>
      </c>
      <c r="G395" s="14">
        <v>0.0</v>
      </c>
      <c r="H395" s="14">
        <v>1.0</v>
      </c>
    </row>
    <row r="396" ht="15.75" customHeight="1">
      <c r="A396" s="9" t="s">
        <v>1253</v>
      </c>
      <c r="B396" s="14" t="s">
        <v>120</v>
      </c>
      <c r="D396" s="14">
        <v>2.0</v>
      </c>
      <c r="F396" s="14">
        <v>0.0</v>
      </c>
      <c r="G396" s="14">
        <v>0.0</v>
      </c>
      <c r="H396" s="14">
        <v>1.5</v>
      </c>
    </row>
    <row r="397" ht="15.75" customHeight="1">
      <c r="A397" s="9" t="s">
        <v>1255</v>
      </c>
      <c r="B397" s="14" t="s">
        <v>120</v>
      </c>
      <c r="D397" s="14">
        <v>2.0</v>
      </c>
      <c r="F397" s="14">
        <v>0.0</v>
      </c>
      <c r="G397" s="14">
        <v>0.0</v>
      </c>
      <c r="H397" s="14">
        <v>2.0</v>
      </c>
    </row>
    <row r="398" ht="15.75" customHeight="1">
      <c r="A398" s="9" t="s">
        <v>1256</v>
      </c>
      <c r="B398" s="14" t="s">
        <v>22</v>
      </c>
      <c r="C398" s="14" t="s">
        <v>460</v>
      </c>
      <c r="D398" s="14">
        <v>2.0</v>
      </c>
      <c r="F398" s="14">
        <v>0.0</v>
      </c>
      <c r="G398" s="14">
        <v>0.0</v>
      </c>
      <c r="H398" s="14">
        <v>1.0</v>
      </c>
    </row>
    <row r="399" ht="15.75" customHeight="1">
      <c r="A399" s="9" t="s">
        <v>1260</v>
      </c>
      <c r="B399" s="14" t="s">
        <v>31</v>
      </c>
      <c r="C399" s="14" t="s">
        <v>1262</v>
      </c>
      <c r="D399" s="14">
        <v>2.0</v>
      </c>
      <c r="F399" s="14">
        <v>0.0</v>
      </c>
      <c r="G399" s="14">
        <v>0.0</v>
      </c>
      <c r="H399" s="14">
        <v>0.0</v>
      </c>
    </row>
    <row r="400" ht="15.75" customHeight="1">
      <c r="A400" s="9" t="s">
        <v>1263</v>
      </c>
      <c r="B400" s="14" t="s">
        <v>22</v>
      </c>
      <c r="D400" s="14">
        <v>2.0</v>
      </c>
      <c r="F400" s="14">
        <v>0.0</v>
      </c>
      <c r="G400" s="14">
        <v>0.0</v>
      </c>
      <c r="H400" s="14">
        <v>1.0</v>
      </c>
    </row>
    <row r="401" ht="15.75" customHeight="1">
      <c r="A401" s="9" t="s">
        <v>1265</v>
      </c>
      <c r="B401" s="14" t="s">
        <v>22</v>
      </c>
      <c r="C401" s="14" t="s">
        <v>1267</v>
      </c>
      <c r="D401" s="14">
        <v>2.0</v>
      </c>
      <c r="F401" s="14">
        <v>0.0</v>
      </c>
      <c r="G401" s="14">
        <v>0.0</v>
      </c>
      <c r="H401" s="14">
        <v>1.0</v>
      </c>
    </row>
    <row r="402" ht="15.75" customHeight="1">
      <c r="A402" s="9" t="s">
        <v>1268</v>
      </c>
      <c r="B402" s="14" t="s">
        <v>22</v>
      </c>
      <c r="C402" s="14" t="s">
        <v>1270</v>
      </c>
      <c r="D402" s="14">
        <v>2.0</v>
      </c>
      <c r="F402" s="14">
        <v>0.0</v>
      </c>
      <c r="G402" s="14">
        <v>0.0</v>
      </c>
      <c r="H402" s="14">
        <v>2.5</v>
      </c>
    </row>
    <row r="403" ht="15.75" customHeight="1">
      <c r="A403" s="9" t="s">
        <v>1271</v>
      </c>
      <c r="B403" s="14" t="s">
        <v>22</v>
      </c>
      <c r="C403" s="14" t="s">
        <v>1272</v>
      </c>
      <c r="D403" s="14">
        <v>2.0</v>
      </c>
      <c r="F403" s="14">
        <v>0.0</v>
      </c>
      <c r="G403" s="14">
        <v>0.0</v>
      </c>
      <c r="H403" s="14">
        <v>0.0</v>
      </c>
    </row>
    <row r="404" ht="15.75" customHeight="1">
      <c r="A404" s="9" t="s">
        <v>1274</v>
      </c>
      <c r="B404" s="14" t="s">
        <v>22</v>
      </c>
      <c r="C404" s="14" t="s">
        <v>538</v>
      </c>
      <c r="D404" s="14">
        <v>2.0</v>
      </c>
      <c r="F404" s="14">
        <v>0.0</v>
      </c>
      <c r="G404" s="14">
        <v>0.0</v>
      </c>
      <c r="H404" s="14">
        <v>0.5</v>
      </c>
    </row>
    <row r="405" ht="15.75" customHeight="1">
      <c r="A405" s="9" t="s">
        <v>1276</v>
      </c>
      <c r="B405" s="14" t="s">
        <v>22</v>
      </c>
      <c r="D405" s="14">
        <v>2.0</v>
      </c>
      <c r="F405" s="14">
        <v>0.0</v>
      </c>
      <c r="G405" s="14">
        <v>0.0</v>
      </c>
      <c r="H405" s="14">
        <v>0.0</v>
      </c>
    </row>
    <row r="406" ht="15.75" customHeight="1">
      <c r="A406" s="9" t="s">
        <v>1279</v>
      </c>
      <c r="B406" s="14" t="s">
        <v>22</v>
      </c>
      <c r="C406" s="14" t="s">
        <v>361</v>
      </c>
      <c r="D406" s="14">
        <v>2.0</v>
      </c>
      <c r="F406" s="14">
        <v>0.0</v>
      </c>
      <c r="G406" s="14">
        <v>0.0</v>
      </c>
      <c r="H406" s="14">
        <v>1.0</v>
      </c>
    </row>
    <row r="407" ht="15.75" customHeight="1">
      <c r="A407" s="9" t="s">
        <v>1282</v>
      </c>
      <c r="B407" s="14" t="s">
        <v>22</v>
      </c>
      <c r="C407" s="14" t="s">
        <v>1283</v>
      </c>
      <c r="D407" s="14">
        <v>2.0</v>
      </c>
      <c r="F407" s="14">
        <v>0.0</v>
      </c>
      <c r="G407" s="14">
        <v>0.0</v>
      </c>
      <c r="H407" s="14">
        <v>1.0</v>
      </c>
    </row>
    <row r="408" ht="15.75" customHeight="1">
      <c r="A408" s="9" t="s">
        <v>1285</v>
      </c>
      <c r="B408" s="14" t="s">
        <v>22</v>
      </c>
      <c r="D408" s="14">
        <v>2.0</v>
      </c>
      <c r="F408" s="14">
        <v>0.0</v>
      </c>
      <c r="G408" s="14">
        <v>0.0</v>
      </c>
      <c r="H408" s="14">
        <v>0.0</v>
      </c>
    </row>
    <row r="409" ht="15.75" customHeight="1">
      <c r="A409" s="9" t="s">
        <v>1287</v>
      </c>
      <c r="B409" s="14" t="s">
        <v>22</v>
      </c>
      <c r="C409" s="14" t="s">
        <v>1290</v>
      </c>
      <c r="D409" s="14">
        <v>2.0</v>
      </c>
      <c r="F409" s="14">
        <v>0.0</v>
      </c>
      <c r="G409" s="14">
        <v>0.0</v>
      </c>
      <c r="H409" s="14">
        <v>0.0</v>
      </c>
    </row>
    <row r="410" ht="15.75" customHeight="1">
      <c r="A410" s="9" t="s">
        <v>1292</v>
      </c>
      <c r="B410" s="14" t="s">
        <v>120</v>
      </c>
      <c r="C410" s="14" t="s">
        <v>1293</v>
      </c>
      <c r="D410" s="14">
        <v>2.0</v>
      </c>
      <c r="F410" s="14">
        <v>0.0</v>
      </c>
      <c r="G410" s="14">
        <v>0.0</v>
      </c>
      <c r="H410" s="14">
        <v>1.5</v>
      </c>
    </row>
    <row r="411" ht="15.75" customHeight="1">
      <c r="A411" s="9" t="s">
        <v>1295</v>
      </c>
      <c r="B411" s="14" t="s">
        <v>22</v>
      </c>
      <c r="D411" s="14">
        <v>2.0</v>
      </c>
      <c r="F411" s="14">
        <v>0.0</v>
      </c>
      <c r="G411" s="14">
        <v>0.0</v>
      </c>
      <c r="H411" s="14">
        <v>0.0</v>
      </c>
    </row>
    <row r="412" ht="15.75" customHeight="1">
      <c r="A412" s="9" t="s">
        <v>1296</v>
      </c>
      <c r="B412" s="14" t="s">
        <v>22</v>
      </c>
      <c r="C412" s="14" t="s">
        <v>361</v>
      </c>
      <c r="D412" s="14">
        <v>2.0</v>
      </c>
      <c r="F412" s="14">
        <v>0.0</v>
      </c>
      <c r="G412" s="14">
        <v>0.0</v>
      </c>
      <c r="H412" s="14">
        <v>0.0</v>
      </c>
    </row>
    <row r="413" ht="15.75" customHeight="1">
      <c r="A413" s="9" t="s">
        <v>1299</v>
      </c>
      <c r="B413" s="14" t="s">
        <v>22</v>
      </c>
      <c r="D413" s="14">
        <v>2.0</v>
      </c>
      <c r="F413" s="14">
        <v>0.0</v>
      </c>
      <c r="G413" s="14">
        <v>0.0</v>
      </c>
      <c r="H413" s="14">
        <v>1.5</v>
      </c>
    </row>
    <row r="414" ht="15.75" customHeight="1">
      <c r="A414" s="9" t="s">
        <v>1301</v>
      </c>
      <c r="B414" s="14" t="s">
        <v>22</v>
      </c>
      <c r="C414" s="14" t="s">
        <v>1304</v>
      </c>
      <c r="D414" s="14">
        <v>2.0</v>
      </c>
      <c r="F414" s="14">
        <v>0.0</v>
      </c>
      <c r="G414" s="14">
        <v>0.0</v>
      </c>
      <c r="H414" s="14">
        <v>0.0</v>
      </c>
    </row>
    <row r="415" ht="15.75" customHeight="1">
      <c r="A415" s="9" t="s">
        <v>1305</v>
      </c>
      <c r="B415" s="14" t="s">
        <v>22</v>
      </c>
      <c r="C415" s="14" t="s">
        <v>1290</v>
      </c>
      <c r="D415" s="14">
        <v>2.0</v>
      </c>
      <c r="F415" s="14">
        <v>0.0</v>
      </c>
      <c r="G415" s="14">
        <v>0.0</v>
      </c>
      <c r="H415" s="14">
        <v>1.0</v>
      </c>
    </row>
    <row r="416" ht="15.75" customHeight="1">
      <c r="A416" s="9" t="s">
        <v>1306</v>
      </c>
      <c r="B416" s="14" t="s">
        <v>22</v>
      </c>
      <c r="D416" s="14">
        <v>2.0</v>
      </c>
      <c r="F416" s="14">
        <v>0.0</v>
      </c>
      <c r="G416" s="14">
        <v>0.0</v>
      </c>
      <c r="H416" s="14">
        <v>0.0</v>
      </c>
    </row>
    <row r="417" ht="15.75" customHeight="1">
      <c r="A417" s="9" t="s">
        <v>1308</v>
      </c>
      <c r="B417" s="14" t="s">
        <v>22</v>
      </c>
      <c r="D417" s="14">
        <v>2.0</v>
      </c>
      <c r="F417" s="14">
        <v>0.0</v>
      </c>
      <c r="G417" s="14">
        <v>0.0</v>
      </c>
      <c r="H417" s="14">
        <v>1.0</v>
      </c>
    </row>
    <row r="418" ht="15.75" customHeight="1">
      <c r="A418" s="9" t="s">
        <v>1310</v>
      </c>
      <c r="B418" s="14" t="s">
        <v>22</v>
      </c>
      <c r="D418" s="14">
        <v>2.0</v>
      </c>
      <c r="F418" s="14">
        <v>0.0</v>
      </c>
      <c r="G418" s="14">
        <v>0.0</v>
      </c>
      <c r="H418" s="14">
        <v>1.0</v>
      </c>
    </row>
    <row r="419" ht="15.75" customHeight="1">
      <c r="A419" s="9" t="s">
        <v>1312</v>
      </c>
      <c r="B419" s="14" t="s">
        <v>31</v>
      </c>
      <c r="D419" s="14">
        <v>2.0</v>
      </c>
      <c r="F419" s="14">
        <v>0.0</v>
      </c>
      <c r="G419" s="14">
        <v>0.0</v>
      </c>
      <c r="H419" s="14">
        <v>0.0</v>
      </c>
    </row>
    <row r="420" ht="15.75" customHeight="1">
      <c r="A420" s="9" t="s">
        <v>1314</v>
      </c>
      <c r="B420" s="14" t="s">
        <v>22</v>
      </c>
      <c r="C420" s="14" t="s">
        <v>361</v>
      </c>
      <c r="D420" s="14">
        <v>2.0</v>
      </c>
      <c r="F420" s="14">
        <v>0.0</v>
      </c>
      <c r="G420" s="14">
        <v>0.0</v>
      </c>
      <c r="H420" s="14">
        <v>0.0</v>
      </c>
    </row>
    <row r="421" ht="15.75" customHeight="1">
      <c r="A421" s="9" t="s">
        <v>1315</v>
      </c>
      <c r="B421" s="14" t="s">
        <v>41</v>
      </c>
      <c r="C421" s="14" t="s">
        <v>1317</v>
      </c>
      <c r="D421" s="14">
        <v>2.0</v>
      </c>
      <c r="F421" s="14">
        <v>0.0</v>
      </c>
      <c r="G421" s="14">
        <v>0.0</v>
      </c>
      <c r="H421" s="14">
        <v>1.0</v>
      </c>
    </row>
    <row r="422" ht="15.75" customHeight="1">
      <c r="A422" s="9" t="s">
        <v>1318</v>
      </c>
      <c r="B422" s="14" t="s">
        <v>22</v>
      </c>
      <c r="C422" s="14" t="s">
        <v>779</v>
      </c>
      <c r="D422" s="14">
        <v>2.0</v>
      </c>
      <c r="F422" s="14">
        <v>0.0</v>
      </c>
      <c r="G422" s="14">
        <v>0.0</v>
      </c>
      <c r="H422" s="14">
        <v>0.5</v>
      </c>
    </row>
    <row r="423" ht="15.75" customHeight="1">
      <c r="A423" s="9" t="s">
        <v>1322</v>
      </c>
      <c r="B423" s="14" t="s">
        <v>22</v>
      </c>
      <c r="D423" s="14">
        <v>2.0</v>
      </c>
      <c r="F423" s="14">
        <v>0.0</v>
      </c>
      <c r="G423" s="14">
        <v>0.0</v>
      </c>
      <c r="H423" s="14">
        <v>1.0</v>
      </c>
    </row>
    <row r="424" ht="15.75" customHeight="1">
      <c r="A424" s="9" t="s">
        <v>1324</v>
      </c>
      <c r="B424" s="14" t="s">
        <v>22</v>
      </c>
      <c r="D424" s="14">
        <v>2.0</v>
      </c>
      <c r="F424" s="14">
        <v>0.0</v>
      </c>
      <c r="G424" s="14">
        <v>0.0</v>
      </c>
      <c r="H424" s="14">
        <v>0.0</v>
      </c>
    </row>
    <row r="425" ht="15.75" customHeight="1">
      <c r="A425" s="9" t="s">
        <v>1326</v>
      </c>
      <c r="B425" s="14" t="s">
        <v>22</v>
      </c>
      <c r="C425" s="14" t="s">
        <v>1328</v>
      </c>
      <c r="D425" s="14">
        <v>2.0</v>
      </c>
      <c r="F425" s="14">
        <v>0.0</v>
      </c>
      <c r="G425" s="14">
        <v>0.0</v>
      </c>
      <c r="H425" s="14">
        <v>0.0</v>
      </c>
    </row>
    <row r="426" ht="15.75" customHeight="1">
      <c r="A426" s="9" t="s">
        <v>1329</v>
      </c>
      <c r="B426" s="14" t="s">
        <v>22</v>
      </c>
      <c r="C426" s="14" t="s">
        <v>1330</v>
      </c>
      <c r="D426" s="14">
        <v>2.0</v>
      </c>
      <c r="F426" s="14">
        <v>0.0</v>
      </c>
      <c r="G426" s="14">
        <v>0.0</v>
      </c>
      <c r="H426" s="14">
        <v>0.5</v>
      </c>
    </row>
    <row r="427" ht="15.75" customHeight="1">
      <c r="A427" s="9" t="s">
        <v>1332</v>
      </c>
      <c r="B427" s="14" t="s">
        <v>22</v>
      </c>
      <c r="D427" s="14">
        <v>2.0</v>
      </c>
      <c r="F427" s="14">
        <v>0.0</v>
      </c>
      <c r="G427" s="14">
        <v>0.0</v>
      </c>
      <c r="H427" s="14">
        <v>1.0</v>
      </c>
    </row>
    <row r="428" ht="15.75" customHeight="1">
      <c r="A428" s="9" t="s">
        <v>1333</v>
      </c>
      <c r="B428" s="14" t="s">
        <v>120</v>
      </c>
      <c r="C428" s="14" t="s">
        <v>1335</v>
      </c>
      <c r="D428" s="14">
        <v>2.0</v>
      </c>
      <c r="F428" s="14">
        <v>0.0</v>
      </c>
      <c r="G428" s="14">
        <v>0.0</v>
      </c>
      <c r="H428" s="14">
        <v>0.0</v>
      </c>
    </row>
    <row r="429" ht="15.75" customHeight="1">
      <c r="A429" s="9" t="s">
        <v>1336</v>
      </c>
      <c r="B429" s="14" t="s">
        <v>22</v>
      </c>
      <c r="D429" s="14">
        <v>2.0</v>
      </c>
      <c r="F429" s="14">
        <v>0.0</v>
      </c>
      <c r="G429" s="14">
        <v>0.0</v>
      </c>
      <c r="H429" s="14">
        <v>0.5</v>
      </c>
    </row>
    <row r="430" ht="15.75" customHeight="1">
      <c r="A430" s="9" t="s">
        <v>1338</v>
      </c>
      <c r="B430" s="14" t="s">
        <v>22</v>
      </c>
      <c r="D430" s="14">
        <v>2.0</v>
      </c>
      <c r="F430" s="14">
        <v>0.0</v>
      </c>
      <c r="G430" s="14">
        <v>0.0</v>
      </c>
      <c r="H430" s="14">
        <v>0.0</v>
      </c>
    </row>
    <row r="431" ht="15.75" customHeight="1">
      <c r="A431" s="9" t="s">
        <v>1341</v>
      </c>
      <c r="B431" s="14" t="s">
        <v>22</v>
      </c>
      <c r="D431" s="14">
        <v>2.0</v>
      </c>
      <c r="F431" s="14">
        <v>0.0</v>
      </c>
      <c r="G431" s="14">
        <v>0.0</v>
      </c>
      <c r="H431" s="14">
        <v>1.0</v>
      </c>
    </row>
    <row r="432" ht="15.75" customHeight="1">
      <c r="A432" s="9" t="s">
        <v>1343</v>
      </c>
      <c r="B432" s="14" t="s">
        <v>22</v>
      </c>
      <c r="C432" s="14" t="s">
        <v>361</v>
      </c>
      <c r="D432" s="14">
        <v>2.0</v>
      </c>
      <c r="F432" s="14">
        <v>0.0</v>
      </c>
      <c r="G432" s="14">
        <v>0.0</v>
      </c>
      <c r="H432" s="14">
        <v>0.0</v>
      </c>
    </row>
    <row r="433" ht="15.75" customHeight="1">
      <c r="A433" s="9" t="s">
        <v>1345</v>
      </c>
      <c r="B433" s="14" t="s">
        <v>553</v>
      </c>
      <c r="C433" s="14" t="s">
        <v>1347</v>
      </c>
      <c r="D433" s="14">
        <v>2.0</v>
      </c>
      <c r="F433" s="14">
        <v>0.0</v>
      </c>
      <c r="G433" s="14">
        <v>0.0</v>
      </c>
      <c r="H433" s="14">
        <v>1.0</v>
      </c>
    </row>
    <row r="434" ht="15.75" customHeight="1">
      <c r="A434" s="9" t="s">
        <v>1348</v>
      </c>
      <c r="B434" s="14" t="s">
        <v>22</v>
      </c>
      <c r="C434" s="14" t="s">
        <v>532</v>
      </c>
      <c r="D434" s="14">
        <v>2.0</v>
      </c>
      <c r="F434" s="14">
        <v>0.0</v>
      </c>
      <c r="G434" s="14">
        <v>0.0</v>
      </c>
      <c r="H434" s="14">
        <v>0.5</v>
      </c>
    </row>
    <row r="435" ht="15.75" customHeight="1">
      <c r="A435" s="9" t="s">
        <v>1352</v>
      </c>
      <c r="B435" s="14" t="s">
        <v>22</v>
      </c>
      <c r="C435" s="14" t="s">
        <v>1354</v>
      </c>
      <c r="D435" s="14">
        <v>2.0</v>
      </c>
      <c r="F435" s="14">
        <v>0.0</v>
      </c>
      <c r="G435" s="14">
        <v>0.0</v>
      </c>
      <c r="H435" s="14">
        <v>0.0</v>
      </c>
    </row>
    <row r="436" ht="15.75" customHeight="1">
      <c r="A436" s="9" t="s">
        <v>1356</v>
      </c>
      <c r="B436" s="14" t="s">
        <v>120</v>
      </c>
      <c r="C436" s="14" t="s">
        <v>1358</v>
      </c>
      <c r="D436" s="14">
        <v>2.0</v>
      </c>
      <c r="F436" s="14">
        <v>0.0</v>
      </c>
      <c r="G436" s="14">
        <v>0.0</v>
      </c>
      <c r="H436" s="14">
        <v>2.0</v>
      </c>
    </row>
    <row r="437" ht="15.75" customHeight="1">
      <c r="A437" s="9" t="s">
        <v>1359</v>
      </c>
      <c r="B437" s="14" t="s">
        <v>22</v>
      </c>
      <c r="D437" s="14">
        <v>2.0</v>
      </c>
      <c r="F437" s="14">
        <v>0.0</v>
      </c>
      <c r="G437" s="14">
        <v>0.0</v>
      </c>
      <c r="H437" s="14">
        <v>2.5</v>
      </c>
    </row>
    <row r="438" ht="15.75" customHeight="1">
      <c r="A438" s="9" t="s">
        <v>1362</v>
      </c>
      <c r="B438" s="14" t="s">
        <v>22</v>
      </c>
      <c r="C438" s="14" t="s">
        <v>1364</v>
      </c>
      <c r="D438" s="14">
        <v>2.0</v>
      </c>
      <c r="F438" s="14">
        <v>0.0</v>
      </c>
      <c r="G438" s="14">
        <v>0.0</v>
      </c>
      <c r="H438" s="14">
        <v>0.0</v>
      </c>
    </row>
    <row r="439" ht="15.75" customHeight="1">
      <c r="A439" s="9" t="s">
        <v>1366</v>
      </c>
      <c r="B439" s="14" t="s">
        <v>41</v>
      </c>
      <c r="C439" s="14" t="s">
        <v>1368</v>
      </c>
      <c r="D439" s="14">
        <v>1.0</v>
      </c>
      <c r="F439" s="14">
        <v>0.0</v>
      </c>
      <c r="G439" s="14">
        <v>0.0</v>
      </c>
      <c r="H439" s="14">
        <v>2.0</v>
      </c>
    </row>
    <row r="440" ht="15.75" customHeight="1">
      <c r="A440" s="9" t="s">
        <v>1369</v>
      </c>
      <c r="B440" s="14" t="s">
        <v>120</v>
      </c>
      <c r="C440" s="14" t="s">
        <v>1371</v>
      </c>
      <c r="D440" s="14">
        <v>1.0</v>
      </c>
      <c r="F440" s="14">
        <v>0.0</v>
      </c>
      <c r="G440" s="14">
        <v>0.0</v>
      </c>
      <c r="H440" s="14">
        <v>3.0</v>
      </c>
    </row>
    <row r="441" ht="15.75" customHeight="1">
      <c r="A441" s="9" t="s">
        <v>1372</v>
      </c>
      <c r="B441" s="14" t="s">
        <v>553</v>
      </c>
      <c r="C441" s="14" t="s">
        <v>1074</v>
      </c>
      <c r="D441" s="14">
        <v>1.0</v>
      </c>
      <c r="F441" s="14">
        <v>0.0</v>
      </c>
      <c r="G441" s="14">
        <v>0.0</v>
      </c>
      <c r="H441" s="14">
        <v>2.0</v>
      </c>
    </row>
    <row r="442" ht="15.75" customHeight="1">
      <c r="A442" s="9" t="s">
        <v>1376</v>
      </c>
      <c r="B442" s="14" t="s">
        <v>553</v>
      </c>
      <c r="C442" s="14" t="s">
        <v>1377</v>
      </c>
      <c r="D442" s="14">
        <v>1.0</v>
      </c>
      <c r="F442" s="14">
        <v>0.0</v>
      </c>
      <c r="G442" s="14">
        <v>0.0</v>
      </c>
      <c r="H442" s="14">
        <v>2.0</v>
      </c>
    </row>
    <row r="443" ht="15.75" customHeight="1">
      <c r="A443" s="9" t="s">
        <v>1378</v>
      </c>
      <c r="B443" s="14" t="s">
        <v>22</v>
      </c>
      <c r="D443" s="14">
        <v>1.0</v>
      </c>
      <c r="F443" s="14">
        <v>0.0</v>
      </c>
      <c r="G443" s="14">
        <v>0.0</v>
      </c>
      <c r="H443" s="14">
        <v>2.0</v>
      </c>
    </row>
    <row r="444" ht="15.75" customHeight="1">
      <c r="A444" s="9" t="s">
        <v>1380</v>
      </c>
      <c r="B444" s="14" t="s">
        <v>41</v>
      </c>
      <c r="C444" s="14" t="s">
        <v>1382</v>
      </c>
      <c r="D444" s="14">
        <v>1.0</v>
      </c>
      <c r="F444" s="14">
        <v>0.0</v>
      </c>
      <c r="G444" s="14">
        <v>0.0</v>
      </c>
      <c r="H444" s="14">
        <v>2.0</v>
      </c>
    </row>
    <row r="445" ht="15.75" customHeight="1">
      <c r="A445" s="9" t="s">
        <v>1384</v>
      </c>
      <c r="B445" s="14" t="s">
        <v>22</v>
      </c>
      <c r="D445" s="14">
        <v>1.0</v>
      </c>
      <c r="F445" s="14">
        <v>0.0</v>
      </c>
      <c r="G445" s="14">
        <v>0.0</v>
      </c>
      <c r="H445" s="14">
        <v>2.0</v>
      </c>
    </row>
    <row r="446" ht="15.75" customHeight="1">
      <c r="A446" s="9" t="s">
        <v>1385</v>
      </c>
      <c r="B446" s="14" t="s">
        <v>22</v>
      </c>
      <c r="D446" s="14">
        <v>1.0</v>
      </c>
      <c r="F446" s="14">
        <v>0.0</v>
      </c>
      <c r="G446" s="14">
        <v>0.0</v>
      </c>
      <c r="H446" s="14">
        <v>0.0</v>
      </c>
    </row>
    <row r="447" ht="15.75" customHeight="1">
      <c r="A447" s="9" t="s">
        <v>1387</v>
      </c>
      <c r="B447" s="14" t="s">
        <v>1390</v>
      </c>
      <c r="C447" s="14" t="s">
        <v>1391</v>
      </c>
      <c r="D447" s="14">
        <v>1.0</v>
      </c>
      <c r="F447" s="14">
        <v>0.0</v>
      </c>
      <c r="G447" s="14">
        <v>0.0</v>
      </c>
      <c r="H447" s="14">
        <v>2.0</v>
      </c>
    </row>
    <row r="448" ht="15.75" customHeight="1">
      <c r="A448" s="9" t="s">
        <v>1392</v>
      </c>
      <c r="B448" s="14" t="s">
        <v>22</v>
      </c>
      <c r="C448" s="14" t="s">
        <v>523</v>
      </c>
      <c r="D448" s="14">
        <v>1.0</v>
      </c>
      <c r="F448" s="14">
        <v>0.0</v>
      </c>
      <c r="G448" s="14">
        <v>0.0</v>
      </c>
      <c r="H448" s="14">
        <v>2.0</v>
      </c>
    </row>
    <row r="449" ht="15.75" customHeight="1">
      <c r="A449" s="9" t="s">
        <v>1394</v>
      </c>
      <c r="B449" s="14" t="s">
        <v>22</v>
      </c>
      <c r="C449" s="14" t="s">
        <v>1396</v>
      </c>
      <c r="D449" s="14">
        <v>1.0</v>
      </c>
      <c r="F449" s="14">
        <v>0.0</v>
      </c>
      <c r="G449" s="14">
        <v>0.0</v>
      </c>
      <c r="H449" s="14">
        <v>2.0</v>
      </c>
    </row>
    <row r="450" ht="15.75" customHeight="1">
      <c r="A450" s="9" t="s">
        <v>1397</v>
      </c>
      <c r="B450" s="14" t="s">
        <v>22</v>
      </c>
      <c r="D450" s="14">
        <v>1.0</v>
      </c>
      <c r="F450" s="14">
        <v>0.0</v>
      </c>
      <c r="G450" s="14">
        <v>0.0</v>
      </c>
      <c r="H450" s="14">
        <v>2.0</v>
      </c>
    </row>
    <row r="451" ht="15.75" customHeight="1">
      <c r="A451" s="9" t="s">
        <v>1399</v>
      </c>
      <c r="B451" s="14" t="s">
        <v>41</v>
      </c>
      <c r="C451" s="14" t="s">
        <v>1400</v>
      </c>
      <c r="D451" s="14">
        <v>1.0</v>
      </c>
      <c r="F451" s="14">
        <v>0.0</v>
      </c>
      <c r="G451" s="14">
        <v>0.0</v>
      </c>
      <c r="H451" s="14">
        <v>2.0</v>
      </c>
    </row>
    <row r="452" ht="15.75" customHeight="1">
      <c r="A452" s="9" t="s">
        <v>1402</v>
      </c>
      <c r="B452" s="14" t="s">
        <v>22</v>
      </c>
      <c r="D452" s="14">
        <v>1.0</v>
      </c>
      <c r="F452" s="14">
        <v>0.0</v>
      </c>
      <c r="G452" s="14">
        <v>0.0</v>
      </c>
      <c r="H452" s="14">
        <v>1.0</v>
      </c>
    </row>
    <row r="453" ht="15.75" customHeight="1">
      <c r="A453" s="9" t="s">
        <v>1404</v>
      </c>
      <c r="B453" s="14" t="s">
        <v>22</v>
      </c>
      <c r="C453" s="14" t="s">
        <v>1405</v>
      </c>
      <c r="D453" s="14">
        <v>1.0</v>
      </c>
      <c r="F453" s="14">
        <v>0.0</v>
      </c>
      <c r="G453" s="14">
        <v>0.0</v>
      </c>
      <c r="H453" s="14">
        <v>1.0</v>
      </c>
    </row>
    <row r="454" ht="15.75" customHeight="1">
      <c r="A454" s="9" t="s">
        <v>1406</v>
      </c>
      <c r="B454" s="14" t="s">
        <v>22</v>
      </c>
      <c r="C454" s="14" t="s">
        <v>1409</v>
      </c>
      <c r="D454" s="14">
        <v>1.0</v>
      </c>
      <c r="F454" s="14">
        <v>0.0</v>
      </c>
      <c r="G454" s="14">
        <v>0.0</v>
      </c>
      <c r="H454" s="14">
        <v>1.0</v>
      </c>
    </row>
    <row r="455" ht="15.75" customHeight="1">
      <c r="A455" s="9" t="s">
        <v>1411</v>
      </c>
      <c r="B455" s="14" t="s">
        <v>553</v>
      </c>
      <c r="D455" s="14">
        <v>1.0</v>
      </c>
      <c r="F455" s="14">
        <v>0.0</v>
      </c>
      <c r="G455" s="14">
        <v>0.0</v>
      </c>
      <c r="H455" s="14">
        <v>1.0</v>
      </c>
    </row>
    <row r="456" ht="15.75" customHeight="1">
      <c r="A456" s="9" t="s">
        <v>1412</v>
      </c>
      <c r="B456" s="14" t="s">
        <v>41</v>
      </c>
      <c r="C456" s="14" t="s">
        <v>1415</v>
      </c>
      <c r="D456" s="14">
        <v>1.0</v>
      </c>
      <c r="F456" s="14">
        <v>0.0</v>
      </c>
      <c r="G456" s="14">
        <v>0.0</v>
      </c>
      <c r="H456" s="14">
        <v>1.0</v>
      </c>
    </row>
    <row r="457" ht="15.75" customHeight="1">
      <c r="A457" s="9" t="s">
        <v>1416</v>
      </c>
      <c r="B457" s="14" t="s">
        <v>22</v>
      </c>
      <c r="D457" s="14">
        <v>1.0</v>
      </c>
      <c r="F457" s="14">
        <v>0.0</v>
      </c>
      <c r="G457" s="14">
        <v>0.0</v>
      </c>
      <c r="H457" s="14">
        <v>1.0</v>
      </c>
    </row>
    <row r="458" ht="15.75" customHeight="1">
      <c r="A458" s="9" t="s">
        <v>1418</v>
      </c>
      <c r="B458" s="14" t="s">
        <v>22</v>
      </c>
      <c r="D458" s="14">
        <v>1.0</v>
      </c>
      <c r="F458" s="14">
        <v>0.0</v>
      </c>
      <c r="G458" s="14">
        <v>0.0</v>
      </c>
      <c r="H458" s="14">
        <v>1.0</v>
      </c>
    </row>
    <row r="459" ht="15.75" customHeight="1">
      <c r="A459" s="9" t="s">
        <v>1420</v>
      </c>
      <c r="B459" s="14" t="s">
        <v>22</v>
      </c>
      <c r="D459" s="14">
        <v>1.0</v>
      </c>
      <c r="F459" s="14">
        <v>0.0</v>
      </c>
      <c r="G459" s="14">
        <v>0.0</v>
      </c>
      <c r="H459" s="14">
        <v>0.0</v>
      </c>
    </row>
    <row r="460" ht="15.75" customHeight="1">
      <c r="A460" s="9" t="s">
        <v>1422</v>
      </c>
      <c r="B460" s="14" t="s">
        <v>22</v>
      </c>
      <c r="D460" s="14">
        <v>1.0</v>
      </c>
      <c r="F460" s="14">
        <v>0.0</v>
      </c>
      <c r="G460" s="14">
        <v>0.0</v>
      </c>
      <c r="H460" s="14">
        <v>1.0</v>
      </c>
    </row>
    <row r="461" ht="15.75" customHeight="1">
      <c r="A461" s="9" t="s">
        <v>1425</v>
      </c>
      <c r="B461" s="14" t="s">
        <v>22</v>
      </c>
      <c r="D461" s="14">
        <v>1.0</v>
      </c>
      <c r="F461" s="14">
        <v>0.0</v>
      </c>
      <c r="G461" s="14">
        <v>0.0</v>
      </c>
      <c r="H461" s="14">
        <v>1.0</v>
      </c>
    </row>
    <row r="462" ht="15.75" customHeight="1">
      <c r="A462" s="9" t="s">
        <v>1426</v>
      </c>
      <c r="B462" s="14" t="s">
        <v>120</v>
      </c>
      <c r="C462" s="14" t="s">
        <v>1415</v>
      </c>
      <c r="D462" s="14">
        <v>1.0</v>
      </c>
      <c r="F462" s="14">
        <v>0.0</v>
      </c>
      <c r="G462" s="14">
        <v>0.0</v>
      </c>
      <c r="H462" s="14">
        <v>1.0</v>
      </c>
    </row>
    <row r="463" ht="15.75" customHeight="1">
      <c r="A463" s="9" t="s">
        <v>1428</v>
      </c>
      <c r="B463" s="14" t="s">
        <v>553</v>
      </c>
      <c r="C463" s="14" t="s">
        <v>1430</v>
      </c>
      <c r="D463" s="14">
        <v>1.0</v>
      </c>
      <c r="F463" s="14">
        <v>0.0</v>
      </c>
      <c r="G463" s="14">
        <v>0.0</v>
      </c>
      <c r="H463" s="14">
        <v>3.0</v>
      </c>
    </row>
    <row r="464" ht="15.75" customHeight="1">
      <c r="A464" s="9" t="s">
        <v>1431</v>
      </c>
      <c r="B464" s="14" t="s">
        <v>22</v>
      </c>
      <c r="D464" s="14">
        <v>1.0</v>
      </c>
      <c r="F464" s="14">
        <v>0.0</v>
      </c>
      <c r="G464" s="14">
        <v>0.0</v>
      </c>
      <c r="H464" s="14">
        <v>0.0</v>
      </c>
    </row>
    <row r="465" ht="15.75" customHeight="1">
      <c r="A465" s="9" t="s">
        <v>1433</v>
      </c>
      <c r="B465" s="14" t="s">
        <v>22</v>
      </c>
      <c r="D465" s="14">
        <v>1.0</v>
      </c>
      <c r="F465" s="14">
        <v>0.0</v>
      </c>
      <c r="G465" s="14">
        <v>0.0</v>
      </c>
      <c r="H465" s="14">
        <v>0.0</v>
      </c>
    </row>
    <row r="466" ht="15.75" customHeight="1">
      <c r="A466" s="9" t="s">
        <v>1434</v>
      </c>
      <c r="B466" s="14" t="s">
        <v>22</v>
      </c>
      <c r="C466" s="14" t="s">
        <v>196</v>
      </c>
      <c r="D466" s="14">
        <v>1.0</v>
      </c>
      <c r="F466" s="14">
        <v>0.0</v>
      </c>
      <c r="G466" s="14">
        <v>0.0</v>
      </c>
      <c r="H466" s="14">
        <v>1.0</v>
      </c>
    </row>
    <row r="467" ht="15.75" customHeight="1">
      <c r="A467" s="9" t="s">
        <v>1436</v>
      </c>
      <c r="B467" s="14" t="s">
        <v>22</v>
      </c>
      <c r="C467" s="14" t="s">
        <v>523</v>
      </c>
      <c r="D467" s="14">
        <v>1.0</v>
      </c>
      <c r="F467" s="14">
        <v>0.0</v>
      </c>
      <c r="G467" s="14">
        <v>0.0</v>
      </c>
      <c r="H467" s="14">
        <v>0.0</v>
      </c>
    </row>
    <row r="468" ht="15.75" customHeight="1">
      <c r="A468" s="9" t="s">
        <v>1438</v>
      </c>
      <c r="B468" s="14" t="s">
        <v>22</v>
      </c>
      <c r="C468" s="14" t="s">
        <v>538</v>
      </c>
      <c r="D468" s="14">
        <v>1.0</v>
      </c>
      <c r="F468" s="14">
        <v>0.0</v>
      </c>
      <c r="G468" s="14">
        <v>0.0</v>
      </c>
      <c r="H468" s="14">
        <v>1.0</v>
      </c>
    </row>
    <row r="469" ht="15.75" customHeight="1">
      <c r="A469" s="14" t="s">
        <v>1441</v>
      </c>
      <c r="B469" s="14" t="s">
        <v>22</v>
      </c>
      <c r="C469" s="14" t="s">
        <v>1442</v>
      </c>
      <c r="D469" s="14">
        <v>1.0</v>
      </c>
      <c r="F469" s="14">
        <v>0.0</v>
      </c>
      <c r="G469" s="14">
        <v>0.0</v>
      </c>
      <c r="H469" s="14">
        <v>0.0</v>
      </c>
    </row>
    <row r="470" ht="15.75" customHeight="1">
      <c r="A470" s="9" t="s">
        <v>1444</v>
      </c>
      <c r="B470" s="14" t="s">
        <v>22</v>
      </c>
      <c r="D470" s="14">
        <v>1.0</v>
      </c>
      <c r="F470" s="14">
        <v>0.0</v>
      </c>
      <c r="G470" s="14">
        <v>0.0</v>
      </c>
      <c r="H470" s="14">
        <v>1.0</v>
      </c>
    </row>
    <row r="471" ht="15.75" customHeight="1">
      <c r="A471" s="9" t="s">
        <v>1446</v>
      </c>
      <c r="B471" s="14" t="s">
        <v>22</v>
      </c>
      <c r="C471" s="14" t="s">
        <v>1278</v>
      </c>
      <c r="D471" s="14">
        <v>1.0</v>
      </c>
      <c r="F471" s="14">
        <v>0.0</v>
      </c>
      <c r="G471" s="14">
        <v>0.0</v>
      </c>
      <c r="H471" s="14">
        <v>1.0</v>
      </c>
    </row>
    <row r="472" ht="15.75" customHeight="1">
      <c r="A472" s="9" t="s">
        <v>1449</v>
      </c>
      <c r="B472" s="14" t="s">
        <v>22</v>
      </c>
      <c r="D472" s="14">
        <v>1.0</v>
      </c>
      <c r="F472" s="14">
        <v>0.0</v>
      </c>
      <c r="G472" s="14">
        <v>0.0</v>
      </c>
      <c r="H472" s="14">
        <v>2.0</v>
      </c>
    </row>
    <row r="473" ht="15.75" customHeight="1">
      <c r="A473" s="9" t="s">
        <v>1450</v>
      </c>
      <c r="B473" s="14" t="s">
        <v>22</v>
      </c>
      <c r="C473" s="14" t="s">
        <v>361</v>
      </c>
      <c r="D473" s="14">
        <v>1.0</v>
      </c>
      <c r="F473" s="14">
        <v>0.0</v>
      </c>
      <c r="G473" s="14">
        <v>0.0</v>
      </c>
      <c r="H473" s="14">
        <v>1.0</v>
      </c>
    </row>
    <row r="474" ht="15.75" customHeight="1">
      <c r="A474" s="9" t="s">
        <v>1454</v>
      </c>
      <c r="B474" s="14" t="s">
        <v>120</v>
      </c>
      <c r="C474" s="14" t="s">
        <v>1456</v>
      </c>
      <c r="D474" s="14">
        <v>1.0</v>
      </c>
      <c r="F474" s="14">
        <v>0.0</v>
      </c>
      <c r="G474" s="14">
        <v>0.0</v>
      </c>
      <c r="H474" s="14">
        <v>0.0</v>
      </c>
    </row>
    <row r="475" ht="15.75" customHeight="1">
      <c r="A475" s="9" t="s">
        <v>1457</v>
      </c>
      <c r="B475" s="14" t="s">
        <v>22</v>
      </c>
      <c r="C475" s="14" t="s">
        <v>361</v>
      </c>
      <c r="D475" s="14">
        <v>1.0</v>
      </c>
      <c r="F475" s="14">
        <v>0.0</v>
      </c>
      <c r="G475" s="14">
        <v>0.0</v>
      </c>
      <c r="H475" s="14">
        <v>2.0</v>
      </c>
    </row>
    <row r="476" ht="15.75" customHeight="1">
      <c r="A476" s="14" t="s">
        <v>1459</v>
      </c>
      <c r="B476" s="14" t="s">
        <v>22</v>
      </c>
      <c r="C476" s="14" t="s">
        <v>1461</v>
      </c>
      <c r="D476" s="14">
        <v>1.0</v>
      </c>
      <c r="F476" s="14">
        <v>0.0</v>
      </c>
      <c r="G476" s="14">
        <v>0.0</v>
      </c>
      <c r="H476" s="14">
        <v>0.0</v>
      </c>
    </row>
    <row r="477" ht="15.75" customHeight="1">
      <c r="A477" s="9" t="s">
        <v>1462</v>
      </c>
      <c r="B477" s="14" t="s">
        <v>22</v>
      </c>
      <c r="C477" s="14" t="s">
        <v>523</v>
      </c>
      <c r="D477" s="14">
        <v>1.0</v>
      </c>
      <c r="F477" s="14">
        <v>0.0</v>
      </c>
      <c r="G477" s="14">
        <v>0.0</v>
      </c>
      <c r="H477" s="14">
        <v>3.0</v>
      </c>
    </row>
    <row r="478" ht="15.75" customHeight="1">
      <c r="A478" s="9" t="s">
        <v>1465</v>
      </c>
      <c r="B478" s="14" t="s">
        <v>22</v>
      </c>
      <c r="D478" s="14">
        <v>1.0</v>
      </c>
      <c r="F478" s="14">
        <v>0.0</v>
      </c>
      <c r="G478" s="14">
        <v>0.0</v>
      </c>
      <c r="H478" s="14">
        <v>1.0</v>
      </c>
    </row>
    <row r="479" ht="15.75" customHeight="1">
      <c r="A479" s="9" t="s">
        <v>1467</v>
      </c>
      <c r="B479" s="14" t="s">
        <v>22</v>
      </c>
      <c r="D479" s="14">
        <v>1.0</v>
      </c>
      <c r="F479" s="14">
        <v>0.0</v>
      </c>
      <c r="G479" s="14">
        <v>0.0</v>
      </c>
      <c r="H479" s="14">
        <v>1.0</v>
      </c>
    </row>
    <row r="480" ht="15.75" customHeight="1">
      <c r="A480" s="9" t="s">
        <v>1468</v>
      </c>
      <c r="B480" s="14" t="s">
        <v>22</v>
      </c>
      <c r="C480" s="14" t="s">
        <v>1104</v>
      </c>
      <c r="D480" s="14">
        <v>1.0</v>
      </c>
      <c r="F480" s="14">
        <v>0.0</v>
      </c>
      <c r="G480" s="14">
        <v>0.0</v>
      </c>
      <c r="H480" s="14">
        <v>1.0</v>
      </c>
    </row>
    <row r="481" ht="15.75" customHeight="1">
      <c r="A481" s="9" t="s">
        <v>1471</v>
      </c>
      <c r="B481" s="14" t="s">
        <v>120</v>
      </c>
      <c r="D481" s="14">
        <v>1.0</v>
      </c>
      <c r="F481" s="14">
        <v>0.0</v>
      </c>
      <c r="G481" s="14">
        <v>0.0</v>
      </c>
      <c r="H481" s="14">
        <v>0.0</v>
      </c>
    </row>
    <row r="482" ht="15.75" customHeight="1">
      <c r="A482" s="9" t="s">
        <v>1473</v>
      </c>
      <c r="B482" s="14" t="s">
        <v>22</v>
      </c>
      <c r="D482" s="14">
        <v>1.0</v>
      </c>
      <c r="F482" s="14">
        <v>0.0</v>
      </c>
      <c r="G482" s="14">
        <v>0.0</v>
      </c>
      <c r="H482" s="14">
        <v>0.0</v>
      </c>
    </row>
    <row r="483" ht="15.75" customHeight="1">
      <c r="A483" s="9" t="s">
        <v>1476</v>
      </c>
      <c r="B483" s="14" t="s">
        <v>22</v>
      </c>
      <c r="D483" s="14">
        <v>1.0</v>
      </c>
      <c r="F483" s="14">
        <v>0.0</v>
      </c>
      <c r="G483" s="14">
        <v>0.0</v>
      </c>
      <c r="H483" s="14">
        <v>1.0</v>
      </c>
    </row>
    <row r="484" ht="15.75" customHeight="1">
      <c r="A484" s="9" t="s">
        <v>1478</v>
      </c>
      <c r="B484" s="14" t="s">
        <v>22</v>
      </c>
      <c r="D484" s="14">
        <v>1.0</v>
      </c>
      <c r="F484" s="14">
        <v>0.0</v>
      </c>
      <c r="G484" s="14">
        <v>0.0</v>
      </c>
      <c r="H484" s="14">
        <v>0.0</v>
      </c>
    </row>
    <row r="485" ht="15.75" customHeight="1">
      <c r="A485" s="9" t="s">
        <v>1479</v>
      </c>
      <c r="B485" s="14" t="s">
        <v>22</v>
      </c>
      <c r="D485" s="14">
        <v>1.0</v>
      </c>
      <c r="F485" s="14">
        <v>0.0</v>
      </c>
      <c r="G485" s="14">
        <v>0.0</v>
      </c>
      <c r="H485" s="14">
        <v>1.0</v>
      </c>
    </row>
    <row r="486" ht="15.75" customHeight="1">
      <c r="A486" s="9" t="s">
        <v>1481</v>
      </c>
      <c r="B486" s="14" t="s">
        <v>120</v>
      </c>
      <c r="C486" s="14" t="s">
        <v>866</v>
      </c>
      <c r="D486" s="14">
        <v>1.0</v>
      </c>
      <c r="F486" s="14">
        <v>0.0</v>
      </c>
      <c r="G486" s="14">
        <v>0.0</v>
      </c>
      <c r="H486" s="14">
        <v>2.0</v>
      </c>
    </row>
    <row r="487" ht="15.75" customHeight="1">
      <c r="A487" s="9" t="s">
        <v>1484</v>
      </c>
      <c r="B487" s="14" t="s">
        <v>41</v>
      </c>
      <c r="C487" s="14" t="s">
        <v>1486</v>
      </c>
      <c r="D487" s="14">
        <v>1.0</v>
      </c>
      <c r="F487" s="14">
        <v>0.0</v>
      </c>
      <c r="G487" s="14">
        <v>0.0</v>
      </c>
      <c r="H487" s="14">
        <v>1.0</v>
      </c>
    </row>
    <row r="488" ht="15.75" customHeight="1">
      <c r="A488" s="9" t="s">
        <v>1487</v>
      </c>
      <c r="B488" s="14" t="s">
        <v>22</v>
      </c>
      <c r="D488" s="14">
        <v>1.0</v>
      </c>
      <c r="F488" s="14">
        <v>0.0</v>
      </c>
      <c r="G488" s="14">
        <v>0.0</v>
      </c>
      <c r="H488" s="14">
        <v>0.0</v>
      </c>
    </row>
    <row r="489" ht="15.75" customHeight="1">
      <c r="A489" s="9" t="s">
        <v>1490</v>
      </c>
      <c r="B489" s="14" t="s">
        <v>22</v>
      </c>
      <c r="C489" s="14" t="s">
        <v>1492</v>
      </c>
      <c r="D489" s="14">
        <v>1.0</v>
      </c>
      <c r="F489" s="14">
        <v>0.0</v>
      </c>
      <c r="G489" s="14">
        <v>0.0</v>
      </c>
      <c r="H489" s="14">
        <v>0.0</v>
      </c>
    </row>
    <row r="490" ht="15.75" customHeight="1">
      <c r="A490" s="9" t="s">
        <v>1493</v>
      </c>
      <c r="B490" s="14" t="s">
        <v>22</v>
      </c>
      <c r="C490" s="14" t="s">
        <v>1495</v>
      </c>
      <c r="D490" s="14">
        <v>1.0</v>
      </c>
      <c r="F490" s="14">
        <v>0.0</v>
      </c>
      <c r="G490" s="14">
        <v>0.0</v>
      </c>
      <c r="H490" s="14">
        <v>1.0</v>
      </c>
    </row>
    <row r="491" ht="15.75" customHeight="1">
      <c r="A491" s="9" t="s">
        <v>1496</v>
      </c>
      <c r="B491" s="14" t="s">
        <v>22</v>
      </c>
      <c r="C491" s="14" t="s">
        <v>361</v>
      </c>
      <c r="D491" s="14">
        <v>1.0</v>
      </c>
      <c r="F491" s="14">
        <v>0.0</v>
      </c>
      <c r="G491" s="14">
        <v>0.0</v>
      </c>
      <c r="H491" s="14">
        <v>1.0</v>
      </c>
    </row>
    <row r="492" ht="15.75" customHeight="1">
      <c r="A492" s="14" t="s">
        <v>1498</v>
      </c>
      <c r="B492" s="14" t="s">
        <v>120</v>
      </c>
      <c r="D492" s="14">
        <v>1.0</v>
      </c>
      <c r="F492" s="14">
        <v>0.0</v>
      </c>
      <c r="G492" s="14">
        <v>0.0</v>
      </c>
      <c r="H492" s="14">
        <v>0.0</v>
      </c>
    </row>
    <row r="493" ht="15.75" customHeight="1">
      <c r="A493" s="9" t="s">
        <v>1500</v>
      </c>
      <c r="B493" s="14" t="s">
        <v>22</v>
      </c>
      <c r="C493" s="14" t="s">
        <v>523</v>
      </c>
      <c r="D493" s="14">
        <v>1.0</v>
      </c>
      <c r="F493" s="14">
        <v>0.0</v>
      </c>
      <c r="G493" s="14">
        <v>0.0</v>
      </c>
      <c r="H493" s="14">
        <v>2.0</v>
      </c>
    </row>
    <row r="494" ht="15.75" customHeight="1">
      <c r="A494" s="9" t="s">
        <v>1502</v>
      </c>
      <c r="B494" s="14" t="s">
        <v>117</v>
      </c>
      <c r="D494" s="14">
        <v>1.0</v>
      </c>
      <c r="F494" s="14">
        <v>0.0</v>
      </c>
      <c r="G494" s="14">
        <v>0.0</v>
      </c>
      <c r="H494" s="14">
        <v>0.0</v>
      </c>
    </row>
    <row r="495" ht="15.75" customHeight="1">
      <c r="A495" s="9" t="s">
        <v>1503</v>
      </c>
      <c r="B495" s="14" t="s">
        <v>22</v>
      </c>
      <c r="D495" s="14">
        <v>1.0</v>
      </c>
      <c r="F495" s="14">
        <v>0.0</v>
      </c>
      <c r="G495" s="14">
        <v>0.0</v>
      </c>
      <c r="H495" s="14">
        <v>1.0</v>
      </c>
    </row>
    <row r="496" ht="15.75" customHeight="1">
      <c r="A496" s="9" t="s">
        <v>1505</v>
      </c>
      <c r="B496" s="14" t="s">
        <v>22</v>
      </c>
      <c r="D496" s="14">
        <v>1.0</v>
      </c>
      <c r="F496" s="14">
        <v>0.0</v>
      </c>
      <c r="G496" s="14">
        <v>0.0</v>
      </c>
      <c r="H496" s="14">
        <v>1.0</v>
      </c>
    </row>
    <row r="497" ht="15.75" customHeight="1">
      <c r="A497" s="9" t="s">
        <v>1509</v>
      </c>
      <c r="B497" s="14" t="s">
        <v>22</v>
      </c>
      <c r="C497" s="14" t="s">
        <v>541</v>
      </c>
      <c r="D497" s="14">
        <v>1.0</v>
      </c>
      <c r="F497" s="14">
        <v>0.0</v>
      </c>
      <c r="G497" s="14">
        <v>0.0</v>
      </c>
      <c r="H497" s="14">
        <v>2.0</v>
      </c>
    </row>
    <row r="498" ht="15.75" customHeight="1">
      <c r="A498" s="9" t="s">
        <v>1511</v>
      </c>
      <c r="B498" s="14" t="s">
        <v>22</v>
      </c>
      <c r="C498" s="14" t="s">
        <v>340</v>
      </c>
      <c r="D498" s="14">
        <v>1.0</v>
      </c>
      <c r="F498" s="14">
        <v>0.0</v>
      </c>
      <c r="G498" s="14">
        <v>0.0</v>
      </c>
      <c r="H498" s="14">
        <v>0.0</v>
      </c>
    </row>
    <row r="499" ht="15.75" customHeight="1">
      <c r="A499" s="9" t="s">
        <v>1514</v>
      </c>
      <c r="B499" s="14" t="s">
        <v>22</v>
      </c>
      <c r="C499" s="14" t="s">
        <v>1516</v>
      </c>
      <c r="D499" s="14">
        <v>1.0</v>
      </c>
      <c r="F499" s="14">
        <v>0.0</v>
      </c>
      <c r="G499" s="14">
        <v>0.0</v>
      </c>
      <c r="H499" s="14">
        <v>1.0</v>
      </c>
    </row>
    <row r="500" ht="15.75" customHeight="1">
      <c r="A500" s="9" t="s">
        <v>1517</v>
      </c>
      <c r="B500" s="14" t="s">
        <v>22</v>
      </c>
      <c r="D500" s="14">
        <v>1.0</v>
      </c>
      <c r="F500" s="14">
        <v>0.0</v>
      </c>
      <c r="G500" s="14">
        <v>0.0</v>
      </c>
      <c r="H500" s="14">
        <v>0.0</v>
      </c>
    </row>
    <row r="501" ht="15.75" customHeight="1">
      <c r="A501" s="9" t="s">
        <v>1519</v>
      </c>
      <c r="B501" s="14" t="s">
        <v>22</v>
      </c>
      <c r="C501" s="14" t="s">
        <v>1520</v>
      </c>
      <c r="D501" s="14">
        <v>1.0</v>
      </c>
      <c r="F501" s="14">
        <v>0.0</v>
      </c>
      <c r="G501" s="14">
        <v>0.0</v>
      </c>
      <c r="H501" s="14">
        <v>0.0</v>
      </c>
    </row>
    <row r="502" ht="15.75" customHeight="1">
      <c r="A502" s="9" t="s">
        <v>1521</v>
      </c>
      <c r="B502" s="14" t="s">
        <v>41</v>
      </c>
      <c r="C502" s="14" t="s">
        <v>1522</v>
      </c>
      <c r="D502" s="14">
        <v>1.0</v>
      </c>
      <c r="F502" s="14">
        <v>0.0</v>
      </c>
      <c r="G502" s="14">
        <v>0.0</v>
      </c>
      <c r="H502" s="14">
        <v>1.0</v>
      </c>
    </row>
    <row r="503" ht="15.75" customHeight="1">
      <c r="A503" s="9" t="s">
        <v>1523</v>
      </c>
      <c r="B503" s="14" t="s">
        <v>22</v>
      </c>
      <c r="D503" s="14">
        <v>1.0</v>
      </c>
      <c r="F503" s="14">
        <v>0.0</v>
      </c>
      <c r="G503" s="14">
        <v>0.0</v>
      </c>
      <c r="H503" s="14">
        <v>2.0</v>
      </c>
    </row>
    <row r="504" ht="15.75" customHeight="1">
      <c r="A504" s="9" t="s">
        <v>1525</v>
      </c>
      <c r="B504" s="14" t="s">
        <v>22</v>
      </c>
      <c r="C504" s="14" t="s">
        <v>340</v>
      </c>
      <c r="D504" s="14">
        <v>1.0</v>
      </c>
      <c r="F504" s="14">
        <v>0.0</v>
      </c>
      <c r="G504" s="14">
        <v>0.0</v>
      </c>
      <c r="H504" s="14">
        <v>1.0</v>
      </c>
    </row>
    <row r="505" ht="15.75" customHeight="1">
      <c r="A505" s="9" t="s">
        <v>1527</v>
      </c>
      <c r="B505" s="14" t="s">
        <v>22</v>
      </c>
      <c r="D505" s="14">
        <v>1.0</v>
      </c>
      <c r="F505" s="14">
        <v>0.0</v>
      </c>
      <c r="G505" s="14">
        <v>0.0</v>
      </c>
      <c r="H505" s="14">
        <v>1.0</v>
      </c>
    </row>
    <row r="506" ht="15.75" customHeight="1">
      <c r="A506" s="9" t="s">
        <v>1528</v>
      </c>
      <c r="B506" s="14" t="s">
        <v>85</v>
      </c>
      <c r="D506" s="14">
        <v>1.0</v>
      </c>
      <c r="F506" s="14">
        <v>0.0</v>
      </c>
      <c r="G506" s="14">
        <v>0.0</v>
      </c>
      <c r="H506" s="14">
        <v>0.0</v>
      </c>
    </row>
    <row r="507" ht="15.75" customHeight="1">
      <c r="A507" s="9" t="s">
        <v>1531</v>
      </c>
      <c r="B507" s="14" t="s">
        <v>22</v>
      </c>
      <c r="D507" s="14">
        <v>1.0</v>
      </c>
      <c r="F507" s="14">
        <v>0.0</v>
      </c>
      <c r="G507" s="14">
        <v>0.0</v>
      </c>
      <c r="H507" s="14">
        <v>1.0</v>
      </c>
    </row>
    <row r="508" ht="15.75" customHeight="1">
      <c r="A508" s="9" t="s">
        <v>1533</v>
      </c>
      <c r="B508" s="14" t="s">
        <v>120</v>
      </c>
      <c r="D508" s="14">
        <v>1.0</v>
      </c>
      <c r="F508" s="14">
        <v>0.0</v>
      </c>
      <c r="G508" s="14">
        <v>0.0</v>
      </c>
      <c r="H508" s="14">
        <v>2.0</v>
      </c>
    </row>
    <row r="509" ht="15.75" customHeight="1">
      <c r="A509" s="9" t="s">
        <v>1535</v>
      </c>
      <c r="B509" s="14" t="s">
        <v>22</v>
      </c>
      <c r="D509" s="14">
        <v>1.0</v>
      </c>
      <c r="F509" s="14">
        <v>0.0</v>
      </c>
      <c r="G509" s="14">
        <v>0.0</v>
      </c>
      <c r="H509" s="14">
        <v>1.0</v>
      </c>
    </row>
    <row r="510" ht="15.75" customHeight="1">
      <c r="A510" s="9" t="s">
        <v>1537</v>
      </c>
      <c r="B510" s="14" t="s">
        <v>120</v>
      </c>
      <c r="C510" s="14" t="s">
        <v>1539</v>
      </c>
      <c r="D510" s="14">
        <v>1.0</v>
      </c>
      <c r="F510" s="14">
        <v>0.0</v>
      </c>
      <c r="G510" s="14">
        <v>0.0</v>
      </c>
      <c r="H510" s="14">
        <v>0.0</v>
      </c>
    </row>
    <row r="511" ht="15.75" customHeight="1">
      <c r="A511" s="9" t="s">
        <v>1541</v>
      </c>
      <c r="B511" s="14" t="s">
        <v>22</v>
      </c>
      <c r="C511" s="14" t="s">
        <v>1542</v>
      </c>
      <c r="D511" s="14">
        <v>1.0</v>
      </c>
      <c r="F511" s="14">
        <v>0.0</v>
      </c>
      <c r="G511" s="14">
        <v>0.0</v>
      </c>
      <c r="H511" s="14">
        <v>1.0</v>
      </c>
    </row>
    <row r="512" ht="15.75" customHeight="1">
      <c r="A512" s="9" t="s">
        <v>1544</v>
      </c>
      <c r="B512" s="14" t="s">
        <v>553</v>
      </c>
      <c r="D512" s="14">
        <v>1.0</v>
      </c>
      <c r="F512" s="14">
        <v>0.0</v>
      </c>
      <c r="G512" s="14">
        <v>0.0</v>
      </c>
      <c r="H512" s="14">
        <v>1.0</v>
      </c>
    </row>
    <row r="513" ht="15.75" customHeight="1">
      <c r="A513" s="9" t="s">
        <v>1547</v>
      </c>
      <c r="B513" s="14" t="s">
        <v>41</v>
      </c>
      <c r="C513" s="14" t="s">
        <v>1549</v>
      </c>
      <c r="D513" s="14">
        <v>1.0</v>
      </c>
      <c r="F513" s="14">
        <v>0.0</v>
      </c>
      <c r="G513" s="14">
        <v>0.0</v>
      </c>
      <c r="H513" s="14">
        <v>1.0</v>
      </c>
    </row>
    <row r="514" ht="15.75" customHeight="1">
      <c r="A514" s="9" t="s">
        <v>1550</v>
      </c>
      <c r="B514" s="14" t="s">
        <v>120</v>
      </c>
      <c r="C514" s="14" t="s">
        <v>1551</v>
      </c>
      <c r="D514" s="14">
        <v>1.0</v>
      </c>
      <c r="F514" s="14">
        <v>0.0</v>
      </c>
      <c r="G514" s="14">
        <v>0.0</v>
      </c>
      <c r="H514" s="14">
        <v>0.0</v>
      </c>
    </row>
    <row r="515" ht="15.75" customHeight="1">
      <c r="A515" s="9" t="s">
        <v>1552</v>
      </c>
      <c r="B515" s="14" t="s">
        <v>22</v>
      </c>
      <c r="D515" s="14">
        <v>1.0</v>
      </c>
      <c r="F515" s="14">
        <v>0.0</v>
      </c>
      <c r="G515" s="14">
        <v>0.0</v>
      </c>
      <c r="H515" s="14">
        <v>0.0</v>
      </c>
    </row>
    <row r="516" ht="15.75" customHeight="1">
      <c r="A516" s="9" t="s">
        <v>1554</v>
      </c>
      <c r="B516" s="14" t="s">
        <v>22</v>
      </c>
      <c r="C516" s="14" t="s">
        <v>1556</v>
      </c>
      <c r="D516" s="14">
        <v>1.0</v>
      </c>
      <c r="F516" s="14">
        <v>0.0</v>
      </c>
      <c r="G516" s="14">
        <v>0.0</v>
      </c>
      <c r="H516" s="14">
        <v>1.0</v>
      </c>
    </row>
    <row r="517" ht="15.75" customHeight="1">
      <c r="A517" s="9" t="s">
        <v>1557</v>
      </c>
      <c r="B517" s="14" t="s">
        <v>22</v>
      </c>
      <c r="D517" s="14">
        <v>1.0</v>
      </c>
      <c r="F517" s="14">
        <v>0.0</v>
      </c>
      <c r="G517" s="14">
        <v>0.0</v>
      </c>
      <c r="H517" s="14">
        <v>0.0</v>
      </c>
    </row>
    <row r="518" ht="15.75" customHeight="1">
      <c r="A518" s="9" t="s">
        <v>1559</v>
      </c>
      <c r="B518" s="14" t="s">
        <v>22</v>
      </c>
      <c r="D518" s="14">
        <v>1.0</v>
      </c>
      <c r="F518" s="14">
        <v>0.0</v>
      </c>
      <c r="G518" s="14">
        <v>0.0</v>
      </c>
      <c r="H518" s="14">
        <v>1.0</v>
      </c>
    </row>
    <row r="519" ht="15.75" customHeight="1">
      <c r="A519" s="9" t="s">
        <v>1561</v>
      </c>
      <c r="B519" s="14" t="s">
        <v>41</v>
      </c>
      <c r="C519" s="14" t="s">
        <v>1562</v>
      </c>
      <c r="D519" s="14">
        <v>1.0</v>
      </c>
      <c r="F519" s="14">
        <v>0.0</v>
      </c>
      <c r="G519" s="14">
        <v>0.0</v>
      </c>
      <c r="H519" s="14">
        <v>6.0</v>
      </c>
    </row>
    <row r="520" ht="15.75" customHeight="1">
      <c r="A520" s="9" t="s">
        <v>1563</v>
      </c>
      <c r="B520" s="14" t="s">
        <v>22</v>
      </c>
      <c r="D520" s="14">
        <v>1.0</v>
      </c>
      <c r="F520" s="14">
        <v>0.0</v>
      </c>
      <c r="G520" s="14">
        <v>0.0</v>
      </c>
      <c r="H520" s="14">
        <v>2.0</v>
      </c>
    </row>
    <row r="521" ht="15.75" customHeight="1">
      <c r="A521" s="9" t="s">
        <v>1566</v>
      </c>
      <c r="B521" s="14" t="s">
        <v>22</v>
      </c>
      <c r="D521" s="14">
        <v>1.0</v>
      </c>
      <c r="F521" s="14">
        <v>0.0</v>
      </c>
      <c r="G521" s="14">
        <v>0.0</v>
      </c>
      <c r="H521" s="14">
        <v>0.0</v>
      </c>
    </row>
    <row r="522" ht="15.75" customHeight="1">
      <c r="A522" s="9" t="s">
        <v>1568</v>
      </c>
      <c r="B522" s="14" t="s">
        <v>22</v>
      </c>
      <c r="D522" s="14">
        <v>1.0</v>
      </c>
      <c r="F522" s="14">
        <v>0.0</v>
      </c>
      <c r="G522" s="14">
        <v>0.0</v>
      </c>
      <c r="H522" s="14">
        <v>1.0</v>
      </c>
    </row>
    <row r="523" ht="15.75" customHeight="1">
      <c r="A523" s="9" t="s">
        <v>1570</v>
      </c>
      <c r="B523" s="14" t="s">
        <v>553</v>
      </c>
      <c r="D523" s="14">
        <v>1.0</v>
      </c>
      <c r="F523" s="14">
        <v>0.0</v>
      </c>
      <c r="G523" s="14">
        <v>0.0</v>
      </c>
      <c r="H523" s="14">
        <v>2.0</v>
      </c>
    </row>
    <row r="524" ht="15.75" customHeight="1">
      <c r="A524" s="9" t="s">
        <v>1572</v>
      </c>
      <c r="B524" s="14" t="s">
        <v>22</v>
      </c>
      <c r="D524" s="14">
        <v>1.0</v>
      </c>
      <c r="F524" s="14">
        <v>0.0</v>
      </c>
      <c r="G524" s="14">
        <v>0.0</v>
      </c>
      <c r="H524" s="14">
        <v>1.0</v>
      </c>
    </row>
    <row r="525" ht="15.75" customHeight="1">
      <c r="A525" s="9" t="s">
        <v>1575</v>
      </c>
      <c r="B525" s="14" t="s">
        <v>85</v>
      </c>
      <c r="C525" s="14" t="s">
        <v>1576</v>
      </c>
      <c r="D525" s="14">
        <v>1.0</v>
      </c>
      <c r="F525" s="14">
        <v>0.0</v>
      </c>
      <c r="G525" s="14">
        <v>0.0</v>
      </c>
      <c r="H525" s="14">
        <v>1.0</v>
      </c>
    </row>
    <row r="526" ht="15.75" customHeight="1">
      <c r="A526" s="9" t="s">
        <v>1577</v>
      </c>
      <c r="B526" s="14" t="s">
        <v>22</v>
      </c>
      <c r="D526" s="14">
        <v>1.0</v>
      </c>
      <c r="F526" s="14">
        <v>0.0</v>
      </c>
      <c r="G526" s="14">
        <v>0.0</v>
      </c>
      <c r="H526" s="14">
        <v>2.0</v>
      </c>
    </row>
    <row r="527" ht="15.75" customHeight="1">
      <c r="A527" s="9" t="s">
        <v>1579</v>
      </c>
      <c r="B527" s="14" t="s">
        <v>22</v>
      </c>
      <c r="D527" s="14">
        <v>1.0</v>
      </c>
      <c r="F527" s="14">
        <v>0.0</v>
      </c>
      <c r="G527" s="14">
        <v>0.0</v>
      </c>
      <c r="H527" s="14">
        <v>1.0</v>
      </c>
    </row>
    <row r="528" ht="15.75" customHeight="1">
      <c r="A528" s="9" t="s">
        <v>1581</v>
      </c>
      <c r="B528" s="14" t="s">
        <v>22</v>
      </c>
      <c r="C528" s="14" t="s">
        <v>361</v>
      </c>
      <c r="D528" s="14">
        <v>1.0</v>
      </c>
      <c r="F528" s="14">
        <v>0.0</v>
      </c>
      <c r="G528" s="14">
        <v>0.0</v>
      </c>
      <c r="H528" s="14">
        <v>1.0</v>
      </c>
    </row>
    <row r="529" ht="15.75" customHeight="1">
      <c r="A529" s="9" t="s">
        <v>1583</v>
      </c>
      <c r="B529" s="14" t="s">
        <v>22</v>
      </c>
      <c r="C529" s="14" t="s">
        <v>538</v>
      </c>
      <c r="D529" s="14">
        <v>1.0</v>
      </c>
      <c r="F529" s="14">
        <v>0.0</v>
      </c>
      <c r="G529" s="14">
        <v>0.0</v>
      </c>
      <c r="H529" s="14">
        <v>1.0</v>
      </c>
    </row>
    <row r="530" ht="15.75" customHeight="1">
      <c r="A530" s="9" t="s">
        <v>1585</v>
      </c>
      <c r="B530" s="14" t="s">
        <v>22</v>
      </c>
      <c r="D530" s="14">
        <v>1.0</v>
      </c>
      <c r="F530" s="14">
        <v>0.0</v>
      </c>
      <c r="G530" s="14">
        <v>0.0</v>
      </c>
      <c r="H530" s="14">
        <v>1.0</v>
      </c>
    </row>
    <row r="531" ht="15.75" customHeight="1">
      <c r="A531" s="9" t="s">
        <v>1587</v>
      </c>
      <c r="B531" s="14" t="s">
        <v>22</v>
      </c>
      <c r="D531" s="14">
        <v>1.0</v>
      </c>
      <c r="F531" s="14">
        <v>0.0</v>
      </c>
      <c r="G531" s="14">
        <v>0.0</v>
      </c>
      <c r="H531" s="14">
        <v>1.0</v>
      </c>
    </row>
    <row r="532" ht="15.75" customHeight="1">
      <c r="A532" s="9" t="s">
        <v>1590</v>
      </c>
      <c r="B532" s="14" t="s">
        <v>22</v>
      </c>
      <c r="D532" s="14">
        <v>1.0</v>
      </c>
      <c r="F532" s="14">
        <v>0.0</v>
      </c>
      <c r="G532" s="14">
        <v>0.0</v>
      </c>
      <c r="H532" s="14">
        <v>0.0</v>
      </c>
    </row>
    <row r="533" ht="15.75" customHeight="1">
      <c r="A533" s="9" t="s">
        <v>1592</v>
      </c>
      <c r="B533" s="14" t="s">
        <v>22</v>
      </c>
      <c r="D533" s="14">
        <v>1.0</v>
      </c>
      <c r="F533" s="14">
        <v>0.0</v>
      </c>
      <c r="G533" s="14">
        <v>0.0</v>
      </c>
      <c r="H533" s="14">
        <v>2.0</v>
      </c>
    </row>
    <row r="534" ht="15.75" customHeight="1">
      <c r="A534" s="9" t="s">
        <v>1594</v>
      </c>
      <c r="B534" s="14" t="s">
        <v>22</v>
      </c>
      <c r="D534" s="14">
        <v>1.0</v>
      </c>
      <c r="F534" s="14">
        <v>0.0</v>
      </c>
      <c r="G534" s="14">
        <v>0.0</v>
      </c>
      <c r="H534" s="14">
        <v>0.0</v>
      </c>
    </row>
    <row r="535" ht="15.75" customHeight="1">
      <c r="A535" s="9" t="s">
        <v>1595</v>
      </c>
      <c r="B535" s="14" t="s">
        <v>22</v>
      </c>
      <c r="C535" s="14" t="s">
        <v>1597</v>
      </c>
      <c r="D535" s="14">
        <v>1.0</v>
      </c>
      <c r="F535" s="14">
        <v>0.0</v>
      </c>
      <c r="G535" s="14">
        <v>0.0</v>
      </c>
      <c r="H535" s="14">
        <v>1.0</v>
      </c>
    </row>
    <row r="536" ht="15.75" customHeight="1">
      <c r="A536" s="9" t="s">
        <v>1598</v>
      </c>
      <c r="B536" s="14" t="s">
        <v>22</v>
      </c>
      <c r="D536" s="14">
        <v>1.0</v>
      </c>
      <c r="F536" s="14">
        <v>0.0</v>
      </c>
      <c r="G536" s="14">
        <v>0.0</v>
      </c>
      <c r="H536" s="14">
        <v>2.0</v>
      </c>
    </row>
    <row r="537" ht="15.75" customHeight="1">
      <c r="A537" s="9" t="s">
        <v>1600</v>
      </c>
      <c r="B537" s="14" t="s">
        <v>120</v>
      </c>
      <c r="C537" s="14" t="s">
        <v>1601</v>
      </c>
      <c r="D537" s="14">
        <v>1.0</v>
      </c>
      <c r="F537" s="14">
        <v>0.0</v>
      </c>
      <c r="G537" s="14">
        <v>0.0</v>
      </c>
      <c r="H537" s="14">
        <v>0.0</v>
      </c>
    </row>
    <row r="538" ht="15.75" customHeight="1">
      <c r="A538" s="9" t="s">
        <v>1603</v>
      </c>
      <c r="B538" s="14" t="s">
        <v>22</v>
      </c>
      <c r="C538" s="14" t="s">
        <v>369</v>
      </c>
      <c r="D538" s="14">
        <v>1.0</v>
      </c>
      <c r="F538" s="14">
        <v>0.0</v>
      </c>
      <c r="G538" s="14">
        <v>0.0</v>
      </c>
      <c r="H538" s="14">
        <v>1.0</v>
      </c>
    </row>
    <row r="539" ht="15.75" customHeight="1">
      <c r="A539" s="9" t="s">
        <v>1604</v>
      </c>
      <c r="B539" s="14" t="s">
        <v>85</v>
      </c>
      <c r="D539" s="14">
        <v>1.0</v>
      </c>
      <c r="F539" s="14">
        <v>0.0</v>
      </c>
      <c r="G539" s="14">
        <v>0.0</v>
      </c>
      <c r="H539" s="14">
        <v>0.0</v>
      </c>
    </row>
    <row r="540" ht="15.75" customHeight="1">
      <c r="A540" s="9" t="s">
        <v>1606</v>
      </c>
      <c r="B540" s="14" t="s">
        <v>22</v>
      </c>
      <c r="D540" s="14">
        <v>1.0</v>
      </c>
      <c r="F540" s="14">
        <v>0.0</v>
      </c>
      <c r="G540" s="14">
        <v>0.0</v>
      </c>
      <c r="H540" s="14">
        <v>1.0</v>
      </c>
    </row>
    <row r="541" ht="15.75" customHeight="1">
      <c r="A541" s="9" t="s">
        <v>1608</v>
      </c>
      <c r="B541" s="14" t="s">
        <v>22</v>
      </c>
      <c r="D541" s="14">
        <v>1.0</v>
      </c>
      <c r="F541" s="14">
        <v>0.0</v>
      </c>
      <c r="G541" s="14">
        <v>0.0</v>
      </c>
      <c r="H541" s="14">
        <v>1.0</v>
      </c>
    </row>
    <row r="542" ht="15.75" customHeight="1">
      <c r="A542" s="9" t="s">
        <v>1609</v>
      </c>
      <c r="B542" s="14" t="s">
        <v>120</v>
      </c>
      <c r="C542" s="14" t="s">
        <v>1611</v>
      </c>
      <c r="D542" s="14">
        <v>1.0</v>
      </c>
      <c r="F542" s="14">
        <v>0.0</v>
      </c>
      <c r="G542" s="14">
        <v>0.0</v>
      </c>
      <c r="H542" s="14">
        <v>0.0</v>
      </c>
    </row>
    <row r="543" ht="15.75" customHeight="1">
      <c r="A543" s="9" t="s">
        <v>1612</v>
      </c>
      <c r="B543" s="14" t="s">
        <v>22</v>
      </c>
      <c r="D543" s="14">
        <v>1.0</v>
      </c>
      <c r="F543" s="14">
        <v>0.0</v>
      </c>
      <c r="G543" s="14">
        <v>0.0</v>
      </c>
      <c r="H543" s="14">
        <v>1.0</v>
      </c>
    </row>
    <row r="544" ht="15.75" customHeight="1">
      <c r="A544" s="9" t="s">
        <v>1615</v>
      </c>
      <c r="B544" s="14" t="s">
        <v>22</v>
      </c>
      <c r="D544" s="14">
        <v>1.0</v>
      </c>
      <c r="F544" s="14">
        <v>0.0</v>
      </c>
      <c r="G544" s="14">
        <v>0.0</v>
      </c>
      <c r="H544" s="14">
        <v>2.0</v>
      </c>
    </row>
    <row r="545" ht="15.75" customHeight="1">
      <c r="A545" s="9" t="s">
        <v>1617</v>
      </c>
      <c r="B545" s="14" t="s">
        <v>22</v>
      </c>
      <c r="D545" s="14">
        <v>1.0</v>
      </c>
      <c r="F545" s="14">
        <v>0.0</v>
      </c>
      <c r="G545" s="14">
        <v>0.0</v>
      </c>
      <c r="H545" s="14">
        <v>1.0</v>
      </c>
    </row>
    <row r="546" ht="15.75" customHeight="1">
      <c r="A546" s="9" t="s">
        <v>1619</v>
      </c>
      <c r="B546" s="14" t="s">
        <v>22</v>
      </c>
      <c r="C546" s="14" t="s">
        <v>1576</v>
      </c>
      <c r="D546" s="14">
        <v>1.0</v>
      </c>
      <c r="F546" s="14">
        <v>0.0</v>
      </c>
      <c r="G546" s="14">
        <v>0.0</v>
      </c>
      <c r="H546" s="14">
        <v>0.0</v>
      </c>
    </row>
    <row r="547" ht="15.75" customHeight="1">
      <c r="A547" s="9" t="s">
        <v>1621</v>
      </c>
      <c r="B547" s="14" t="s">
        <v>22</v>
      </c>
      <c r="D547" s="14">
        <v>1.0</v>
      </c>
      <c r="F547" s="14">
        <v>0.0</v>
      </c>
      <c r="G547" s="14">
        <v>0.0</v>
      </c>
      <c r="H547" s="14">
        <v>4.0</v>
      </c>
    </row>
    <row r="548" ht="15.75" customHeight="1">
      <c r="A548" s="9" t="s">
        <v>1623</v>
      </c>
      <c r="B548" s="14" t="s">
        <v>22</v>
      </c>
      <c r="D548" s="14">
        <v>1.0</v>
      </c>
      <c r="F548" s="14">
        <v>0.0</v>
      </c>
      <c r="G548" s="14">
        <v>0.0</v>
      </c>
      <c r="H548" s="14">
        <v>0.0</v>
      </c>
    </row>
    <row r="549" ht="15.75" customHeight="1">
      <c r="A549" s="9" t="s">
        <v>1625</v>
      </c>
      <c r="B549" s="14" t="s">
        <v>22</v>
      </c>
      <c r="D549" s="14">
        <v>1.0</v>
      </c>
      <c r="F549" s="14">
        <v>0.0</v>
      </c>
      <c r="G549" s="14">
        <v>0.0</v>
      </c>
      <c r="H549" s="14">
        <v>1.0</v>
      </c>
    </row>
    <row r="550" ht="15.75" customHeight="1">
      <c r="A550" s="9" t="s">
        <v>1627</v>
      </c>
      <c r="B550" s="14" t="s">
        <v>22</v>
      </c>
      <c r="D550" s="14">
        <v>1.0</v>
      </c>
      <c r="F550" s="14">
        <v>0.0</v>
      </c>
      <c r="G550" s="14">
        <v>0.0</v>
      </c>
      <c r="H550" s="14">
        <v>2.0</v>
      </c>
    </row>
    <row r="551" ht="15.75" customHeight="1">
      <c r="A551" s="9" t="s">
        <v>1630</v>
      </c>
      <c r="B551" s="14" t="s">
        <v>22</v>
      </c>
      <c r="D551" s="14">
        <v>1.0</v>
      </c>
      <c r="F551" s="14">
        <v>0.0</v>
      </c>
      <c r="G551" s="14">
        <v>0.0</v>
      </c>
      <c r="H551" s="14">
        <v>0.0</v>
      </c>
    </row>
    <row r="552" ht="15.75" customHeight="1">
      <c r="A552" s="9" t="s">
        <v>1632</v>
      </c>
      <c r="B552" s="14" t="s">
        <v>22</v>
      </c>
      <c r="D552" s="14">
        <v>1.0</v>
      </c>
      <c r="F552" s="14">
        <v>0.0</v>
      </c>
      <c r="G552" s="14">
        <v>0.0</v>
      </c>
      <c r="H552" s="14">
        <v>0.0</v>
      </c>
    </row>
    <row r="553" ht="15.75" customHeight="1">
      <c r="A553" s="9" t="s">
        <v>1634</v>
      </c>
      <c r="B553" s="14" t="s">
        <v>22</v>
      </c>
      <c r="D553" s="14">
        <v>1.0</v>
      </c>
      <c r="F553" s="14">
        <v>0.0</v>
      </c>
      <c r="G553" s="14">
        <v>0.0</v>
      </c>
      <c r="H553" s="14">
        <v>1.0</v>
      </c>
    </row>
    <row r="554" ht="15.75" customHeight="1">
      <c r="A554" s="9" t="s">
        <v>1636</v>
      </c>
      <c r="B554" s="14" t="s">
        <v>22</v>
      </c>
      <c r="D554" s="14">
        <v>1.0</v>
      </c>
      <c r="F554" s="14">
        <v>0.0</v>
      </c>
      <c r="G554" s="14">
        <v>0.0</v>
      </c>
      <c r="H554" s="14">
        <v>1.0</v>
      </c>
    </row>
    <row r="555" ht="15.75" customHeight="1">
      <c r="A555" s="9" t="s">
        <v>1638</v>
      </c>
      <c r="B555" s="14" t="s">
        <v>22</v>
      </c>
      <c r="C555" s="14" t="s">
        <v>541</v>
      </c>
      <c r="D555" s="14">
        <v>1.0</v>
      </c>
      <c r="F555" s="14">
        <v>0.0</v>
      </c>
      <c r="G555" s="14">
        <v>0.0</v>
      </c>
      <c r="H555" s="14">
        <v>1.0</v>
      </c>
    </row>
    <row r="556" ht="15.75" customHeight="1">
      <c r="A556" s="9" t="s">
        <v>1639</v>
      </c>
      <c r="B556" s="14" t="s">
        <v>22</v>
      </c>
      <c r="D556" s="14">
        <v>1.0</v>
      </c>
      <c r="F556" s="14">
        <v>0.0</v>
      </c>
      <c r="G556" s="14">
        <v>0.0</v>
      </c>
      <c r="H556" s="14">
        <v>2.0</v>
      </c>
    </row>
    <row r="557" ht="15.75" customHeight="1">
      <c r="A557" s="9" t="s">
        <v>1641</v>
      </c>
      <c r="B557" s="14" t="s">
        <v>22</v>
      </c>
      <c r="C557" s="14" t="s">
        <v>1643</v>
      </c>
      <c r="D557" s="14">
        <v>1.0</v>
      </c>
      <c r="F557" s="14">
        <v>0.0</v>
      </c>
      <c r="G557" s="14">
        <v>0.0</v>
      </c>
      <c r="H557" s="14">
        <v>0.0</v>
      </c>
    </row>
    <row r="558" ht="15.75" customHeight="1">
      <c r="A558" s="9" t="s">
        <v>1644</v>
      </c>
      <c r="B558" s="14" t="s">
        <v>22</v>
      </c>
      <c r="C558" s="14" t="s">
        <v>538</v>
      </c>
      <c r="D558" s="14">
        <v>1.0</v>
      </c>
      <c r="F558" s="14">
        <v>0.0</v>
      </c>
      <c r="G558" s="14">
        <v>0.0</v>
      </c>
      <c r="H558" s="14">
        <v>1.0</v>
      </c>
    </row>
    <row r="559" ht="15.75" customHeight="1">
      <c r="A559" s="9" t="s">
        <v>1646</v>
      </c>
      <c r="B559" s="14" t="s">
        <v>22</v>
      </c>
      <c r="D559" s="14">
        <v>1.0</v>
      </c>
      <c r="F559" s="14">
        <v>0.0</v>
      </c>
      <c r="G559" s="14">
        <v>0.0</v>
      </c>
      <c r="H559" s="14">
        <v>1.0</v>
      </c>
    </row>
    <row r="560" ht="15.75" customHeight="1">
      <c r="A560" s="9" t="s">
        <v>1648</v>
      </c>
      <c r="B560" s="14" t="s">
        <v>22</v>
      </c>
      <c r="D560" s="14">
        <v>1.0</v>
      </c>
      <c r="F560" s="14">
        <v>0.0</v>
      </c>
      <c r="G560" s="14">
        <v>0.0</v>
      </c>
      <c r="H560" s="14">
        <v>1.0</v>
      </c>
    </row>
    <row r="561" ht="15.75" customHeight="1">
      <c r="A561" s="9" t="s">
        <v>1650</v>
      </c>
      <c r="B561" s="14" t="s">
        <v>22</v>
      </c>
      <c r="D561" s="14">
        <v>1.0</v>
      </c>
      <c r="F561" s="14">
        <v>0.0</v>
      </c>
      <c r="G561" s="14">
        <v>0.0</v>
      </c>
      <c r="H561" s="14">
        <v>1.0</v>
      </c>
    </row>
    <row r="562" ht="15.75" customHeight="1">
      <c r="A562" s="9" t="s">
        <v>1652</v>
      </c>
      <c r="B562" s="14" t="s">
        <v>22</v>
      </c>
      <c r="C562" s="14" t="s">
        <v>1655</v>
      </c>
      <c r="D562" s="14">
        <v>1.0</v>
      </c>
      <c r="F562" s="14">
        <v>0.0</v>
      </c>
      <c r="G562" s="14">
        <v>0.0</v>
      </c>
      <c r="H562" s="14">
        <v>1.0</v>
      </c>
    </row>
    <row r="563" ht="15.75" customHeight="1">
      <c r="A563" s="9" t="s">
        <v>1656</v>
      </c>
      <c r="B563" s="14" t="s">
        <v>22</v>
      </c>
      <c r="D563" s="14">
        <v>1.0</v>
      </c>
      <c r="F563" s="14">
        <v>0.0</v>
      </c>
      <c r="G563" s="14">
        <v>0.0</v>
      </c>
      <c r="H563" s="14">
        <v>2.0</v>
      </c>
    </row>
    <row r="564" ht="15.75" customHeight="1">
      <c r="A564" s="9" t="s">
        <v>1658</v>
      </c>
      <c r="B564" s="14" t="s">
        <v>22</v>
      </c>
      <c r="D564" s="14">
        <v>1.0</v>
      </c>
      <c r="F564" s="14">
        <v>0.0</v>
      </c>
      <c r="G564" s="14">
        <v>0.0</v>
      </c>
      <c r="H564" s="14">
        <v>1.0</v>
      </c>
    </row>
    <row r="565" ht="15.75" customHeight="1">
      <c r="A565" s="9" t="s">
        <v>1659</v>
      </c>
      <c r="B565" s="14" t="s">
        <v>85</v>
      </c>
      <c r="C565" s="14" t="s">
        <v>1661</v>
      </c>
      <c r="D565" s="14">
        <v>1.0</v>
      </c>
      <c r="F565" s="14">
        <v>0.0</v>
      </c>
      <c r="G565" s="14">
        <v>0.0</v>
      </c>
      <c r="H565" s="14">
        <v>1.0</v>
      </c>
    </row>
    <row r="566" ht="15.75" customHeight="1">
      <c r="A566" s="9" t="s">
        <v>1662</v>
      </c>
      <c r="B566" s="14" t="s">
        <v>22</v>
      </c>
      <c r="C566" s="14" t="s">
        <v>1663</v>
      </c>
      <c r="D566" s="14">
        <v>1.0</v>
      </c>
      <c r="F566" s="14">
        <v>0.0</v>
      </c>
      <c r="G566" s="14">
        <v>0.0</v>
      </c>
      <c r="H566" s="14">
        <v>1.0</v>
      </c>
    </row>
    <row r="567" ht="15.75" customHeight="1">
      <c r="A567" s="9" t="s">
        <v>1665</v>
      </c>
      <c r="B567" s="14" t="s">
        <v>22</v>
      </c>
      <c r="D567" s="14">
        <v>1.0</v>
      </c>
      <c r="F567" s="14">
        <v>0.0</v>
      </c>
      <c r="G567" s="14">
        <v>0.0</v>
      </c>
      <c r="H567" s="14">
        <v>1.0</v>
      </c>
    </row>
    <row r="568" ht="15.75" customHeight="1">
      <c r="A568" s="9" t="s">
        <v>1667</v>
      </c>
      <c r="B568" s="14" t="s">
        <v>22</v>
      </c>
      <c r="D568" s="14">
        <v>1.0</v>
      </c>
      <c r="F568" s="14">
        <v>0.0</v>
      </c>
      <c r="G568" s="14">
        <v>0.0</v>
      </c>
      <c r="H568" s="14">
        <v>3.0</v>
      </c>
    </row>
    <row r="569" ht="15.75" customHeight="1">
      <c r="A569" s="9" t="s">
        <v>1668</v>
      </c>
      <c r="B569" s="14" t="s">
        <v>117</v>
      </c>
      <c r="D569" s="14">
        <v>1.0</v>
      </c>
      <c r="F569" s="14">
        <v>0.0</v>
      </c>
      <c r="G569" s="14">
        <v>0.0</v>
      </c>
      <c r="H569" s="14">
        <v>1.0</v>
      </c>
    </row>
    <row r="570" ht="15.75" customHeight="1">
      <c r="A570" s="9" t="s">
        <v>1671</v>
      </c>
      <c r="B570" s="14" t="s">
        <v>120</v>
      </c>
      <c r="C570" s="14" t="s">
        <v>279</v>
      </c>
      <c r="D570" s="14">
        <v>1.0</v>
      </c>
      <c r="F570" s="14">
        <v>0.0</v>
      </c>
      <c r="G570" s="14">
        <v>0.0</v>
      </c>
      <c r="H570" s="14">
        <v>1.0</v>
      </c>
    </row>
    <row r="571" ht="15.75" customHeight="1">
      <c r="A571" s="9" t="s">
        <v>1673</v>
      </c>
      <c r="B571" s="14" t="s">
        <v>120</v>
      </c>
      <c r="D571" s="14">
        <v>1.0</v>
      </c>
      <c r="F571" s="14">
        <v>0.0</v>
      </c>
      <c r="G571" s="14">
        <v>0.0</v>
      </c>
      <c r="H571" s="14">
        <v>0.0</v>
      </c>
    </row>
    <row r="572" ht="15.75" customHeight="1">
      <c r="A572" s="9" t="s">
        <v>1675</v>
      </c>
      <c r="B572" s="14" t="s">
        <v>22</v>
      </c>
      <c r="C572" s="14" t="s">
        <v>538</v>
      </c>
      <c r="D572" s="14">
        <v>1.0</v>
      </c>
      <c r="F572" s="14">
        <v>0.0</v>
      </c>
      <c r="G572" s="14">
        <v>0.0</v>
      </c>
      <c r="H572" s="14">
        <v>1.0</v>
      </c>
    </row>
    <row r="573" ht="15.75" customHeight="1">
      <c r="A573" s="9" t="s">
        <v>1677</v>
      </c>
      <c r="B573" s="14" t="s">
        <v>22</v>
      </c>
      <c r="D573" s="14">
        <v>1.0</v>
      </c>
      <c r="F573" s="14">
        <v>0.0</v>
      </c>
      <c r="G573" s="14">
        <v>0.0</v>
      </c>
      <c r="H573" s="14">
        <v>0.0</v>
      </c>
    </row>
    <row r="574" ht="15.75" customHeight="1">
      <c r="A574" s="9" t="s">
        <v>1680</v>
      </c>
      <c r="B574" s="14" t="s">
        <v>22</v>
      </c>
      <c r="C574" s="14" t="s">
        <v>523</v>
      </c>
      <c r="D574" s="14">
        <v>1.0</v>
      </c>
      <c r="F574" s="14">
        <v>0.0</v>
      </c>
      <c r="G574" s="14">
        <v>0.0</v>
      </c>
      <c r="H574" s="14">
        <v>0.0</v>
      </c>
    </row>
    <row r="575" ht="15.75" customHeight="1">
      <c r="A575" s="9" t="s">
        <v>1682</v>
      </c>
      <c r="B575" s="14" t="s">
        <v>22</v>
      </c>
      <c r="C575" s="14" t="s">
        <v>340</v>
      </c>
      <c r="D575" s="14">
        <v>1.0</v>
      </c>
      <c r="F575" s="14">
        <v>0.0</v>
      </c>
      <c r="G575" s="14">
        <v>0.0</v>
      </c>
      <c r="H575" s="14">
        <v>0.0</v>
      </c>
    </row>
    <row r="576" ht="15.75" customHeight="1">
      <c r="A576" s="9" t="s">
        <v>1683</v>
      </c>
      <c r="B576" s="14" t="s">
        <v>22</v>
      </c>
      <c r="C576" s="14" t="s">
        <v>1685</v>
      </c>
      <c r="D576" s="14">
        <v>1.0</v>
      </c>
      <c r="F576" s="14">
        <v>0.0</v>
      </c>
      <c r="G576" s="14">
        <v>0.0</v>
      </c>
      <c r="H576" s="14">
        <v>0.0</v>
      </c>
    </row>
    <row r="577" ht="15.75" customHeight="1">
      <c r="A577" s="9" t="s">
        <v>1686</v>
      </c>
      <c r="B577" s="14" t="s">
        <v>22</v>
      </c>
      <c r="D577" s="14">
        <v>1.0</v>
      </c>
      <c r="F577" s="14">
        <v>0.0</v>
      </c>
      <c r="G577" s="14">
        <v>0.0</v>
      </c>
      <c r="H577" s="14">
        <v>0.0</v>
      </c>
    </row>
    <row r="578" ht="15.75" customHeight="1">
      <c r="A578" s="9" t="s">
        <v>1687</v>
      </c>
      <c r="B578" s="14" t="s">
        <v>41</v>
      </c>
      <c r="C578" s="14" t="s">
        <v>1689</v>
      </c>
      <c r="D578" s="14">
        <v>1.0</v>
      </c>
      <c r="F578" s="14">
        <v>0.0</v>
      </c>
      <c r="G578" s="14">
        <v>0.0</v>
      </c>
      <c r="H578" s="14">
        <v>1.0</v>
      </c>
    </row>
    <row r="579" ht="15.75" customHeight="1">
      <c r="A579" s="9" t="s">
        <v>1691</v>
      </c>
      <c r="B579" s="14" t="s">
        <v>22</v>
      </c>
      <c r="D579" s="14">
        <v>1.0</v>
      </c>
      <c r="F579" s="14">
        <v>0.0</v>
      </c>
      <c r="G579" s="14">
        <v>0.0</v>
      </c>
      <c r="H579" s="14">
        <v>0.0</v>
      </c>
    </row>
    <row r="580" ht="15.75" customHeight="1">
      <c r="A580" s="9" t="s">
        <v>1692</v>
      </c>
      <c r="B580" s="14" t="s">
        <v>22</v>
      </c>
      <c r="D580" s="14">
        <v>1.0</v>
      </c>
      <c r="F580" s="14">
        <v>0.0</v>
      </c>
      <c r="G580" s="14">
        <v>0.0</v>
      </c>
      <c r="H580" s="14">
        <v>1.0</v>
      </c>
    </row>
    <row r="581" ht="15.75" customHeight="1">
      <c r="A581" s="9" t="s">
        <v>1694</v>
      </c>
      <c r="B581" s="14" t="s">
        <v>22</v>
      </c>
      <c r="D581" s="14">
        <v>1.0</v>
      </c>
      <c r="F581" s="14">
        <v>0.0</v>
      </c>
      <c r="G581" s="14">
        <v>0.0</v>
      </c>
      <c r="H581" s="14">
        <v>1.0</v>
      </c>
    </row>
    <row r="582" ht="15.75" customHeight="1">
      <c r="A582" s="9" t="s">
        <v>1697</v>
      </c>
      <c r="B582" s="14" t="s">
        <v>22</v>
      </c>
      <c r="D582" s="14">
        <v>1.0</v>
      </c>
      <c r="F582" s="14">
        <v>0.0</v>
      </c>
      <c r="G582" s="14">
        <v>0.0</v>
      </c>
      <c r="H582" s="14">
        <v>2.0</v>
      </c>
    </row>
    <row r="583" ht="15.75" customHeight="1">
      <c r="A583" s="9" t="s">
        <v>1699</v>
      </c>
      <c r="B583" s="14" t="s">
        <v>22</v>
      </c>
      <c r="D583" s="14">
        <v>1.0</v>
      </c>
      <c r="F583" s="14">
        <v>0.0</v>
      </c>
      <c r="G583" s="14">
        <v>0.0</v>
      </c>
      <c r="H583" s="14">
        <v>0.0</v>
      </c>
    </row>
    <row r="584" ht="15.75" customHeight="1">
      <c r="A584" s="9" t="s">
        <v>1703</v>
      </c>
      <c r="B584" s="14" t="s">
        <v>22</v>
      </c>
      <c r="D584" s="14">
        <v>1.0</v>
      </c>
      <c r="F584" s="14">
        <v>0.0</v>
      </c>
      <c r="G584" s="14">
        <v>0.0</v>
      </c>
      <c r="H584" s="14">
        <v>1.0</v>
      </c>
    </row>
    <row r="585" ht="15.75" customHeight="1">
      <c r="A585" s="9" t="s">
        <v>1705</v>
      </c>
      <c r="B585" s="14" t="s">
        <v>22</v>
      </c>
      <c r="D585" s="14">
        <v>1.0</v>
      </c>
      <c r="F585" s="14">
        <v>0.0</v>
      </c>
      <c r="G585" s="14">
        <v>0.0</v>
      </c>
      <c r="H585" s="14">
        <v>0.0</v>
      </c>
    </row>
    <row r="586" ht="15.75" customHeight="1">
      <c r="A586" s="9" t="s">
        <v>1708</v>
      </c>
      <c r="B586" s="14" t="s">
        <v>22</v>
      </c>
      <c r="D586" s="14">
        <v>1.0</v>
      </c>
      <c r="F586" s="14">
        <v>0.0</v>
      </c>
      <c r="G586" s="14">
        <v>0.0</v>
      </c>
      <c r="H586" s="14">
        <v>1.0</v>
      </c>
    </row>
    <row r="587" ht="15.75" customHeight="1">
      <c r="A587" s="9" t="s">
        <v>1710</v>
      </c>
      <c r="B587" s="14" t="s">
        <v>41</v>
      </c>
      <c r="C587" s="14" t="s">
        <v>1576</v>
      </c>
      <c r="D587" s="14">
        <v>1.0</v>
      </c>
      <c r="F587" s="14">
        <v>0.0</v>
      </c>
      <c r="G587" s="14">
        <v>0.0</v>
      </c>
      <c r="H587" s="14">
        <v>1.0</v>
      </c>
    </row>
    <row r="588" ht="15.75" customHeight="1">
      <c r="A588" s="14" t="s">
        <v>1712</v>
      </c>
      <c r="B588" s="14" t="s">
        <v>22</v>
      </c>
      <c r="C588" s="14" t="s">
        <v>467</v>
      </c>
      <c r="D588" s="14">
        <v>1.0</v>
      </c>
      <c r="F588" s="14">
        <v>0.0</v>
      </c>
      <c r="G588" s="14">
        <v>0.0</v>
      </c>
      <c r="H588" s="14">
        <v>0.0</v>
      </c>
    </row>
    <row r="589" ht="15.75" customHeight="1">
      <c r="A589" s="9" t="s">
        <v>1714</v>
      </c>
      <c r="B589" s="14" t="s">
        <v>22</v>
      </c>
      <c r="D589" s="14">
        <v>1.0</v>
      </c>
      <c r="F589" s="14">
        <v>0.0</v>
      </c>
      <c r="G589" s="14">
        <v>0.0</v>
      </c>
      <c r="H589" s="14">
        <v>1.0</v>
      </c>
    </row>
    <row r="590" ht="15.75" customHeight="1">
      <c r="A590" s="9" t="s">
        <v>1715</v>
      </c>
      <c r="B590" s="14" t="s">
        <v>22</v>
      </c>
      <c r="C590" s="14" t="s">
        <v>538</v>
      </c>
      <c r="D590" s="14">
        <v>1.0</v>
      </c>
      <c r="F590" s="14">
        <v>0.0</v>
      </c>
      <c r="G590" s="14">
        <v>0.0</v>
      </c>
      <c r="H590" s="14">
        <v>0.0</v>
      </c>
    </row>
    <row r="591" ht="15.75" customHeight="1">
      <c r="A591" s="9" t="s">
        <v>1718</v>
      </c>
      <c r="B591" s="14" t="s">
        <v>22</v>
      </c>
      <c r="D591" s="14">
        <v>1.0</v>
      </c>
      <c r="F591" s="14">
        <v>0.0</v>
      </c>
      <c r="G591" s="14">
        <v>0.0</v>
      </c>
      <c r="H591" s="14">
        <v>2.0</v>
      </c>
    </row>
    <row r="592" ht="15.75" customHeight="1">
      <c r="A592" s="9" t="s">
        <v>1720</v>
      </c>
      <c r="B592" s="14" t="s">
        <v>22</v>
      </c>
      <c r="D592" s="14">
        <v>1.0</v>
      </c>
      <c r="F592" s="14">
        <v>0.0</v>
      </c>
      <c r="G592" s="14">
        <v>0.0</v>
      </c>
      <c r="H592" s="14">
        <v>1.0</v>
      </c>
    </row>
    <row r="593" ht="15.75" customHeight="1">
      <c r="A593" s="9" t="s">
        <v>1722</v>
      </c>
      <c r="B593" s="14" t="s">
        <v>120</v>
      </c>
      <c r="C593" s="14" t="s">
        <v>1724</v>
      </c>
      <c r="D593" s="14">
        <v>1.0</v>
      </c>
      <c r="F593" s="14">
        <v>0.0</v>
      </c>
      <c r="G593" s="14">
        <v>0.0</v>
      </c>
      <c r="H593" s="14">
        <v>0.0</v>
      </c>
    </row>
    <row r="594" ht="15.75" customHeight="1">
      <c r="A594" s="9" t="s">
        <v>1725</v>
      </c>
      <c r="B594" s="14" t="s">
        <v>22</v>
      </c>
      <c r="D594" s="14">
        <v>1.0</v>
      </c>
      <c r="F594" s="14">
        <v>0.0</v>
      </c>
      <c r="G594" s="14">
        <v>0.0</v>
      </c>
      <c r="H594" s="14">
        <v>4.0</v>
      </c>
    </row>
    <row r="595" ht="15.75" customHeight="1">
      <c r="A595" s="9" t="s">
        <v>1727</v>
      </c>
      <c r="B595" s="14" t="s">
        <v>120</v>
      </c>
      <c r="C595" s="14" t="s">
        <v>361</v>
      </c>
      <c r="D595" s="14">
        <v>1.0</v>
      </c>
      <c r="F595" s="14">
        <v>0.0</v>
      </c>
      <c r="G595" s="14">
        <v>0.0</v>
      </c>
      <c r="H595" s="14">
        <v>0.0</v>
      </c>
    </row>
    <row r="596" ht="15.75" customHeight="1">
      <c r="A596" s="9" t="s">
        <v>1729</v>
      </c>
      <c r="B596" s="14" t="s">
        <v>553</v>
      </c>
      <c r="D596" s="14">
        <v>1.0</v>
      </c>
      <c r="F596" s="14">
        <v>0.0</v>
      </c>
      <c r="G596" s="14">
        <v>0.0</v>
      </c>
      <c r="H596" s="14">
        <v>0.0</v>
      </c>
    </row>
    <row r="597" ht="15.75" customHeight="1">
      <c r="A597" s="9" t="s">
        <v>1731</v>
      </c>
      <c r="B597" s="14" t="s">
        <v>22</v>
      </c>
      <c r="D597" s="14">
        <v>1.0</v>
      </c>
      <c r="F597" s="14">
        <v>0.0</v>
      </c>
      <c r="G597" s="14">
        <v>0.0</v>
      </c>
      <c r="H597" s="14">
        <v>0.0</v>
      </c>
    </row>
    <row r="598" ht="15.75" customHeight="1">
      <c r="A598" s="9" t="s">
        <v>1733</v>
      </c>
      <c r="B598" s="14" t="s">
        <v>22</v>
      </c>
      <c r="D598" s="14">
        <v>1.0</v>
      </c>
      <c r="F598" s="14">
        <v>0.0</v>
      </c>
      <c r="G598" s="14">
        <v>0.0</v>
      </c>
      <c r="H598" s="14">
        <v>1.0</v>
      </c>
    </row>
    <row r="599" ht="15.75" customHeight="1">
      <c r="A599" s="9" t="s">
        <v>1735</v>
      </c>
      <c r="B599" s="14" t="s">
        <v>41</v>
      </c>
      <c r="C599" s="14" t="s">
        <v>1736</v>
      </c>
      <c r="D599" s="14">
        <v>1.0</v>
      </c>
      <c r="F599" s="14">
        <v>0.0</v>
      </c>
      <c r="G599" s="14">
        <v>0.0</v>
      </c>
      <c r="H599" s="14">
        <v>1.0</v>
      </c>
    </row>
    <row r="600" ht="15.75" customHeight="1">
      <c r="A600" s="9" t="s">
        <v>1737</v>
      </c>
      <c r="B600" s="14" t="s">
        <v>22</v>
      </c>
      <c r="C600" s="14" t="s">
        <v>398</v>
      </c>
      <c r="D600" s="14">
        <v>1.0</v>
      </c>
      <c r="F600" s="14">
        <v>0.0</v>
      </c>
      <c r="G600" s="14">
        <v>0.0</v>
      </c>
      <c r="H600" s="14">
        <v>0.0</v>
      </c>
    </row>
    <row r="601" ht="15.75" customHeight="1">
      <c r="A601" s="9" t="s">
        <v>1739</v>
      </c>
      <c r="B601" s="14" t="s">
        <v>22</v>
      </c>
      <c r="D601" s="14">
        <v>1.0</v>
      </c>
      <c r="F601" s="14">
        <v>0.0</v>
      </c>
      <c r="G601" s="14">
        <v>0.0</v>
      </c>
      <c r="H601" s="14">
        <v>1.0</v>
      </c>
    </row>
    <row r="602" ht="15.75" customHeight="1">
      <c r="A602" s="9" t="s">
        <v>1741</v>
      </c>
      <c r="B602" s="14" t="s">
        <v>22</v>
      </c>
      <c r="D602" s="14">
        <v>1.0</v>
      </c>
      <c r="F602" s="14">
        <v>0.0</v>
      </c>
      <c r="G602" s="14">
        <v>0.0</v>
      </c>
      <c r="H602" s="14">
        <v>1.0</v>
      </c>
    </row>
    <row r="603" ht="15.75" customHeight="1">
      <c r="A603" s="9" t="s">
        <v>1742</v>
      </c>
      <c r="B603" s="14" t="s">
        <v>22</v>
      </c>
      <c r="D603" s="14">
        <v>1.0</v>
      </c>
      <c r="F603" s="14">
        <v>0.0</v>
      </c>
      <c r="G603" s="14">
        <v>0.0</v>
      </c>
      <c r="H603" s="14">
        <v>1.0</v>
      </c>
    </row>
    <row r="604" ht="15.75" customHeight="1">
      <c r="A604" s="14" t="s">
        <v>1744</v>
      </c>
      <c r="B604" s="14" t="s">
        <v>22</v>
      </c>
      <c r="C604" s="14" t="s">
        <v>1745</v>
      </c>
      <c r="D604" s="14">
        <v>1.0</v>
      </c>
      <c r="F604" s="14">
        <v>0.0</v>
      </c>
      <c r="G604" s="14">
        <v>0.0</v>
      </c>
      <c r="H604" s="14">
        <v>1.0</v>
      </c>
    </row>
    <row r="605" ht="15.75" customHeight="1">
      <c r="A605" s="9" t="s">
        <v>1746</v>
      </c>
      <c r="B605" s="14" t="s">
        <v>22</v>
      </c>
      <c r="D605" s="14">
        <v>1.0</v>
      </c>
      <c r="F605" s="14">
        <v>0.0</v>
      </c>
      <c r="G605" s="14">
        <v>0.0</v>
      </c>
      <c r="H605" s="14">
        <v>0.0</v>
      </c>
    </row>
    <row r="606" ht="15.75" customHeight="1">
      <c r="A606" s="9" t="s">
        <v>1748</v>
      </c>
      <c r="B606" s="14" t="s">
        <v>22</v>
      </c>
      <c r="D606" s="14">
        <v>1.0</v>
      </c>
      <c r="F606" s="14">
        <v>0.0</v>
      </c>
      <c r="G606" s="14">
        <v>0.0</v>
      </c>
      <c r="H606" s="14">
        <v>0.0</v>
      </c>
    </row>
    <row r="607" ht="15.75" customHeight="1">
      <c r="A607" s="9" t="s">
        <v>1749</v>
      </c>
      <c r="B607" s="14" t="s">
        <v>22</v>
      </c>
      <c r="C607" s="14" t="s">
        <v>1388</v>
      </c>
      <c r="D607" s="14">
        <v>1.0</v>
      </c>
      <c r="F607" s="14">
        <v>0.0</v>
      </c>
      <c r="G607" s="14">
        <v>0.0</v>
      </c>
      <c r="H607" s="14">
        <v>0.0</v>
      </c>
    </row>
    <row r="608" ht="15.75" customHeight="1">
      <c r="A608" s="9" t="s">
        <v>1751</v>
      </c>
      <c r="B608" s="14" t="s">
        <v>22</v>
      </c>
      <c r="C608" s="14" t="s">
        <v>532</v>
      </c>
      <c r="D608" s="14">
        <v>1.0</v>
      </c>
      <c r="F608" s="14">
        <v>0.0</v>
      </c>
      <c r="G608" s="14">
        <v>0.0</v>
      </c>
      <c r="H608" s="14">
        <v>0.0</v>
      </c>
    </row>
    <row r="609" ht="15.75" customHeight="1">
      <c r="A609" s="9" t="s">
        <v>1753</v>
      </c>
      <c r="B609" s="14" t="s">
        <v>22</v>
      </c>
      <c r="C609" s="14" t="s">
        <v>1754</v>
      </c>
      <c r="D609" s="14">
        <v>1.0</v>
      </c>
      <c r="F609" s="14">
        <v>0.0</v>
      </c>
      <c r="G609" s="14">
        <v>0.0</v>
      </c>
      <c r="H609" s="14">
        <v>0.0</v>
      </c>
    </row>
    <row r="610" ht="15.75" customHeight="1">
      <c r="A610" s="9" t="s">
        <v>1756</v>
      </c>
      <c r="B610" s="14" t="s">
        <v>22</v>
      </c>
      <c r="C610" s="14" t="s">
        <v>1005</v>
      </c>
      <c r="D610" s="14">
        <v>1.0</v>
      </c>
      <c r="F610" s="14">
        <v>0.0</v>
      </c>
      <c r="G610" s="14">
        <v>0.0</v>
      </c>
      <c r="H610" s="14">
        <v>1.0</v>
      </c>
    </row>
    <row r="611" ht="15.75" customHeight="1">
      <c r="A611" s="9" t="s">
        <v>1758</v>
      </c>
      <c r="B611" s="14" t="s">
        <v>22</v>
      </c>
      <c r="C611" s="14" t="s">
        <v>1759</v>
      </c>
      <c r="D611" s="14">
        <v>1.0</v>
      </c>
      <c r="F611" s="14">
        <v>0.0</v>
      </c>
      <c r="G611" s="14">
        <v>0.0</v>
      </c>
      <c r="H611" s="14">
        <v>0.0</v>
      </c>
    </row>
    <row r="612" ht="15.75" customHeight="1">
      <c r="A612" s="9" t="s">
        <v>1760</v>
      </c>
      <c r="B612" s="14" t="s">
        <v>22</v>
      </c>
      <c r="C612" s="14" t="s">
        <v>1317</v>
      </c>
      <c r="D612" s="14">
        <v>1.0</v>
      </c>
      <c r="F612" s="14">
        <v>0.0</v>
      </c>
      <c r="G612" s="14">
        <v>0.0</v>
      </c>
      <c r="H612" s="14">
        <v>1.0</v>
      </c>
    </row>
    <row r="613" ht="15.75" customHeight="1">
      <c r="A613" s="9" t="s">
        <v>1762</v>
      </c>
      <c r="B613" s="14" t="s">
        <v>22</v>
      </c>
      <c r="D613" s="14">
        <v>1.0</v>
      </c>
      <c r="F613" s="14">
        <v>0.0</v>
      </c>
      <c r="G613" s="14">
        <v>0.0</v>
      </c>
      <c r="H613" s="14">
        <v>2.0</v>
      </c>
    </row>
    <row r="614" ht="15.75" customHeight="1">
      <c r="A614" s="9" t="s">
        <v>1764</v>
      </c>
      <c r="B614" s="14" t="s">
        <v>22</v>
      </c>
      <c r="C614" s="14" t="s">
        <v>103</v>
      </c>
      <c r="D614" s="14">
        <v>1.0</v>
      </c>
      <c r="F614" s="14">
        <v>0.0</v>
      </c>
      <c r="G614" s="14">
        <v>0.0</v>
      </c>
      <c r="H614" s="14">
        <v>1.0</v>
      </c>
    </row>
    <row r="615" ht="15.75" customHeight="1">
      <c r="A615" s="9" t="s">
        <v>1766</v>
      </c>
      <c r="B615" s="14" t="s">
        <v>22</v>
      </c>
      <c r="D615" s="14">
        <v>1.0</v>
      </c>
      <c r="F615" s="14">
        <v>0.0</v>
      </c>
      <c r="G615" s="14">
        <v>0.0</v>
      </c>
      <c r="H615" s="14">
        <v>0.0</v>
      </c>
    </row>
    <row r="616" ht="15.75" customHeight="1">
      <c r="A616" s="9" t="s">
        <v>1768</v>
      </c>
      <c r="B616" s="14" t="s">
        <v>22</v>
      </c>
      <c r="C616" s="14" t="s">
        <v>538</v>
      </c>
      <c r="D616" s="14">
        <v>1.0</v>
      </c>
      <c r="F616" s="14">
        <v>0.0</v>
      </c>
      <c r="G616" s="14">
        <v>0.0</v>
      </c>
      <c r="H616" s="14">
        <v>1.0</v>
      </c>
    </row>
    <row r="617" ht="15.75" customHeight="1">
      <c r="A617" s="9" t="s">
        <v>1770</v>
      </c>
      <c r="B617" s="14" t="s">
        <v>22</v>
      </c>
      <c r="C617" s="14" t="s">
        <v>257</v>
      </c>
      <c r="D617" s="14">
        <v>1.0</v>
      </c>
      <c r="F617" s="14">
        <v>0.0</v>
      </c>
      <c r="G617" s="14">
        <v>0.0</v>
      </c>
      <c r="H617" s="14">
        <v>2.0</v>
      </c>
    </row>
    <row r="618" ht="15.75" customHeight="1">
      <c r="A618" s="9" t="s">
        <v>1771</v>
      </c>
      <c r="B618" s="14" t="s">
        <v>22</v>
      </c>
      <c r="C618" s="14" t="s">
        <v>361</v>
      </c>
      <c r="D618" s="14">
        <v>1.0</v>
      </c>
      <c r="F618" s="14">
        <v>0.0</v>
      </c>
      <c r="G618" s="14">
        <v>0.0</v>
      </c>
      <c r="H618" s="14">
        <v>2.0</v>
      </c>
    </row>
    <row r="619" ht="15.75" customHeight="1">
      <c r="A619" s="9" t="s">
        <v>1773</v>
      </c>
      <c r="B619" s="14" t="s">
        <v>120</v>
      </c>
      <c r="C619" s="14" t="s">
        <v>1775</v>
      </c>
      <c r="D619" s="14">
        <v>1.0</v>
      </c>
      <c r="F619" s="14">
        <v>0.0</v>
      </c>
      <c r="G619" s="14">
        <v>0.0</v>
      </c>
      <c r="H619" s="14">
        <v>0.0</v>
      </c>
    </row>
    <row r="620" ht="15.75" customHeight="1">
      <c r="A620" s="9" t="s">
        <v>1776</v>
      </c>
      <c r="B620" s="14" t="s">
        <v>22</v>
      </c>
      <c r="C620" s="14" t="s">
        <v>1778</v>
      </c>
      <c r="D620" s="14">
        <v>1.0</v>
      </c>
      <c r="F620" s="14">
        <v>0.0</v>
      </c>
      <c r="G620" s="14">
        <v>0.0</v>
      </c>
      <c r="H620" s="14">
        <v>3.0</v>
      </c>
    </row>
    <row r="621" ht="15.75" customHeight="1">
      <c r="A621" s="9" t="s">
        <v>1779</v>
      </c>
      <c r="B621" s="14" t="s">
        <v>22</v>
      </c>
      <c r="C621" s="14" t="s">
        <v>340</v>
      </c>
      <c r="D621" s="14">
        <v>1.0</v>
      </c>
      <c r="F621" s="14">
        <v>0.0</v>
      </c>
      <c r="G621" s="14">
        <v>0.0</v>
      </c>
      <c r="H621" s="14">
        <v>0.0</v>
      </c>
    </row>
    <row r="622" ht="15.75" customHeight="1">
      <c r="A622" s="9" t="s">
        <v>1781</v>
      </c>
      <c r="B622" s="14" t="s">
        <v>22</v>
      </c>
      <c r="D622" s="14">
        <v>1.0</v>
      </c>
      <c r="F622" s="14">
        <v>0.0</v>
      </c>
      <c r="G622" s="14">
        <v>0.0</v>
      </c>
      <c r="H622" s="14">
        <v>1.0</v>
      </c>
    </row>
    <row r="623" ht="15.75" customHeight="1">
      <c r="A623" s="9" t="s">
        <v>1783</v>
      </c>
      <c r="B623" s="14" t="s">
        <v>22</v>
      </c>
      <c r="D623" s="14">
        <v>1.0</v>
      </c>
      <c r="F623" s="14">
        <v>0.0</v>
      </c>
      <c r="G623" s="14">
        <v>0.0</v>
      </c>
      <c r="H623" s="14">
        <v>0.0</v>
      </c>
    </row>
    <row r="624" ht="15.75" customHeight="1">
      <c r="A624" s="9" t="s">
        <v>1784</v>
      </c>
      <c r="B624" s="14" t="s">
        <v>22</v>
      </c>
      <c r="D624" s="14">
        <v>1.0</v>
      </c>
      <c r="F624" s="14">
        <v>0.0</v>
      </c>
      <c r="G624" s="14">
        <v>0.0</v>
      </c>
      <c r="H624" s="14">
        <v>0.0</v>
      </c>
    </row>
    <row r="625" ht="15.75" customHeight="1">
      <c r="A625" s="9" t="s">
        <v>1786</v>
      </c>
      <c r="B625" s="14" t="s">
        <v>22</v>
      </c>
      <c r="C625" s="14" t="s">
        <v>257</v>
      </c>
      <c r="D625" s="14">
        <v>1.0</v>
      </c>
      <c r="F625" s="14">
        <v>0.0</v>
      </c>
      <c r="G625" s="14">
        <v>0.0</v>
      </c>
      <c r="H625" s="14">
        <v>1.0</v>
      </c>
    </row>
    <row r="626" ht="15.75" customHeight="1">
      <c r="A626" s="9" t="s">
        <v>1788</v>
      </c>
      <c r="B626" s="14" t="s">
        <v>22</v>
      </c>
      <c r="C626" s="14" t="s">
        <v>1791</v>
      </c>
      <c r="D626" s="14">
        <v>1.0</v>
      </c>
      <c r="F626" s="14">
        <v>0.0</v>
      </c>
      <c r="G626" s="14">
        <v>0.0</v>
      </c>
      <c r="H626" s="14">
        <v>1.0</v>
      </c>
    </row>
    <row r="627" ht="15.75" customHeight="1">
      <c r="A627" s="9" t="s">
        <v>1792</v>
      </c>
      <c r="B627" s="14" t="s">
        <v>22</v>
      </c>
      <c r="D627" s="14">
        <v>1.0</v>
      </c>
      <c r="F627" s="14">
        <v>0.0</v>
      </c>
      <c r="G627" s="14">
        <v>0.0</v>
      </c>
      <c r="H627" s="14">
        <v>0.0</v>
      </c>
    </row>
    <row r="628" ht="15.75" customHeight="1">
      <c r="A628" s="9" t="s">
        <v>1795</v>
      </c>
      <c r="B628" s="14" t="s">
        <v>22</v>
      </c>
      <c r="D628" s="14">
        <v>1.0</v>
      </c>
      <c r="F628" s="14">
        <v>0.0</v>
      </c>
      <c r="G628" s="14">
        <v>0.0</v>
      </c>
      <c r="H628" s="14">
        <v>1.0</v>
      </c>
    </row>
    <row r="629" ht="15.75" customHeight="1">
      <c r="A629" s="9" t="s">
        <v>1797</v>
      </c>
      <c r="B629" s="14" t="s">
        <v>22</v>
      </c>
      <c r="C629" s="14" t="s">
        <v>1005</v>
      </c>
      <c r="D629" s="14">
        <v>1.0</v>
      </c>
      <c r="F629" s="14">
        <v>0.0</v>
      </c>
      <c r="G629" s="14">
        <v>0.0</v>
      </c>
      <c r="H629" s="14">
        <v>1.0</v>
      </c>
    </row>
    <row r="630" ht="15.75" customHeight="1">
      <c r="A630" s="9" t="s">
        <v>1799</v>
      </c>
      <c r="B630" s="14" t="s">
        <v>22</v>
      </c>
      <c r="C630" s="14" t="s">
        <v>1778</v>
      </c>
      <c r="D630" s="14">
        <v>1.0</v>
      </c>
      <c r="F630" s="14">
        <v>0.0</v>
      </c>
      <c r="G630" s="14">
        <v>0.0</v>
      </c>
      <c r="H630" s="14">
        <v>1.0</v>
      </c>
    </row>
    <row r="631" ht="15.75" customHeight="1">
      <c r="A631" s="9" t="s">
        <v>1801</v>
      </c>
      <c r="B631" s="14" t="s">
        <v>41</v>
      </c>
      <c r="C631" s="14" t="s">
        <v>1802</v>
      </c>
      <c r="D631" s="14">
        <v>1.0</v>
      </c>
      <c r="F631" s="14">
        <v>0.0</v>
      </c>
      <c r="G631" s="14">
        <v>0.0</v>
      </c>
      <c r="H631" s="14">
        <v>0.0</v>
      </c>
    </row>
    <row r="632" ht="15.75" customHeight="1">
      <c r="A632" s="14" t="s">
        <v>1804</v>
      </c>
      <c r="B632" s="14" t="s">
        <v>22</v>
      </c>
      <c r="C632" s="14" t="s">
        <v>1805</v>
      </c>
      <c r="D632" s="14">
        <v>1.0</v>
      </c>
      <c r="F632" s="14">
        <v>0.0</v>
      </c>
      <c r="G632" s="14">
        <v>0.0</v>
      </c>
      <c r="H632" s="14">
        <v>0.0</v>
      </c>
    </row>
    <row r="633" ht="15.75" customHeight="1">
      <c r="A633" s="9" t="s">
        <v>1808</v>
      </c>
      <c r="B633" s="14" t="s">
        <v>22</v>
      </c>
      <c r="C633" s="14" t="s">
        <v>1809</v>
      </c>
      <c r="D633" s="14">
        <v>1.0</v>
      </c>
      <c r="F633" s="14">
        <v>0.0</v>
      </c>
      <c r="G633" s="14">
        <v>0.0</v>
      </c>
      <c r="H633" s="14">
        <v>1.0</v>
      </c>
    </row>
    <row r="634" ht="15.75" customHeight="1">
      <c r="A634" s="9" t="s">
        <v>1810</v>
      </c>
      <c r="B634" s="14" t="s">
        <v>22</v>
      </c>
      <c r="C634" s="14" t="s">
        <v>340</v>
      </c>
      <c r="D634" s="14">
        <v>1.0</v>
      </c>
      <c r="F634" s="14">
        <v>0.0</v>
      </c>
      <c r="G634" s="14">
        <v>0.0</v>
      </c>
      <c r="H634" s="14">
        <v>1.0</v>
      </c>
    </row>
    <row r="635" ht="15.75" customHeight="1">
      <c r="A635" s="9" t="s">
        <v>1814</v>
      </c>
      <c r="B635" s="14" t="s">
        <v>22</v>
      </c>
      <c r="C635" s="14" t="s">
        <v>1177</v>
      </c>
      <c r="D635" s="14">
        <v>1.0</v>
      </c>
      <c r="F635" s="14">
        <v>0.0</v>
      </c>
      <c r="G635" s="14">
        <v>0.0</v>
      </c>
      <c r="H635" s="14">
        <v>1.0</v>
      </c>
    </row>
    <row r="636" ht="15.75" customHeight="1">
      <c r="A636" s="9" t="s">
        <v>1815</v>
      </c>
      <c r="B636" s="14" t="s">
        <v>22</v>
      </c>
      <c r="D636" s="14">
        <v>1.0</v>
      </c>
      <c r="F636" s="14">
        <v>0.0</v>
      </c>
      <c r="G636" s="14">
        <v>0.0</v>
      </c>
      <c r="H636" s="14">
        <v>1.0</v>
      </c>
    </row>
    <row r="637" ht="15.75" customHeight="1">
      <c r="A637" s="9" t="s">
        <v>1818</v>
      </c>
      <c r="B637" s="14" t="s">
        <v>22</v>
      </c>
      <c r="D637" s="14">
        <v>1.0</v>
      </c>
      <c r="F637" s="14">
        <v>0.0</v>
      </c>
      <c r="G637" s="14">
        <v>0.0</v>
      </c>
      <c r="H637" s="14">
        <v>1.0</v>
      </c>
    </row>
    <row r="638" ht="15.75" customHeight="1">
      <c r="A638" s="9" t="s">
        <v>1820</v>
      </c>
      <c r="B638" s="14" t="s">
        <v>22</v>
      </c>
      <c r="D638" s="14">
        <v>1.0</v>
      </c>
      <c r="F638" s="14">
        <v>0.0</v>
      </c>
      <c r="G638" s="14">
        <v>0.0</v>
      </c>
      <c r="H638" s="14">
        <v>0.0</v>
      </c>
    </row>
    <row r="639" ht="15.75" customHeight="1">
      <c r="A639" s="9" t="s">
        <v>1821</v>
      </c>
      <c r="B639" s="14" t="s">
        <v>22</v>
      </c>
      <c r="D639" s="14">
        <v>1.0</v>
      </c>
      <c r="F639" s="14">
        <v>0.0</v>
      </c>
      <c r="G639" s="14">
        <v>0.0</v>
      </c>
      <c r="H639" s="14">
        <v>0.0</v>
      </c>
    </row>
    <row r="640" ht="15.75" customHeight="1">
      <c r="A640" s="9" t="s">
        <v>1823</v>
      </c>
      <c r="B640" s="14" t="s">
        <v>22</v>
      </c>
      <c r="C640" s="14" t="s">
        <v>506</v>
      </c>
      <c r="D640" s="14">
        <v>1.0</v>
      </c>
      <c r="F640" s="14">
        <v>0.0</v>
      </c>
      <c r="G640" s="14">
        <v>0.0</v>
      </c>
      <c r="H640" s="14">
        <v>1.0</v>
      </c>
    </row>
    <row r="641" ht="15.75" customHeight="1">
      <c r="A641" s="9" t="s">
        <v>1825</v>
      </c>
      <c r="B641" s="14" t="s">
        <v>117</v>
      </c>
      <c r="D641" s="14">
        <v>1.0</v>
      </c>
      <c r="F641" s="14">
        <v>0.0</v>
      </c>
      <c r="G641" s="14">
        <v>0.0</v>
      </c>
      <c r="H641" s="14">
        <v>3.0</v>
      </c>
    </row>
    <row r="642" ht="15.75" customHeight="1">
      <c r="A642" s="9" t="s">
        <v>1827</v>
      </c>
      <c r="B642" s="14" t="s">
        <v>22</v>
      </c>
      <c r="C642" s="14" t="s">
        <v>1829</v>
      </c>
      <c r="D642" s="14">
        <v>1.0</v>
      </c>
      <c r="F642" s="14">
        <v>0.0</v>
      </c>
      <c r="G642" s="14">
        <v>0.0</v>
      </c>
      <c r="H642" s="14">
        <v>3.0</v>
      </c>
    </row>
    <row r="643" ht="15.75" customHeight="1">
      <c r="A643" s="9" t="s">
        <v>1830</v>
      </c>
      <c r="B643" s="14" t="s">
        <v>22</v>
      </c>
      <c r="D643" s="14">
        <v>1.0</v>
      </c>
      <c r="F643" s="14">
        <v>0.0</v>
      </c>
      <c r="G643" s="14">
        <v>0.0</v>
      </c>
      <c r="H643" s="14">
        <v>0.0</v>
      </c>
    </row>
    <row r="644" ht="15.75" customHeight="1">
      <c r="A644" s="9" t="s">
        <v>1832</v>
      </c>
      <c r="B644" s="14" t="s">
        <v>22</v>
      </c>
      <c r="C644" s="14" t="s">
        <v>467</v>
      </c>
      <c r="D644" s="14">
        <v>1.0</v>
      </c>
      <c r="F644" s="14">
        <v>0.0</v>
      </c>
      <c r="G644" s="14">
        <v>0.0</v>
      </c>
      <c r="H644" s="14">
        <v>4.0</v>
      </c>
    </row>
    <row r="645" ht="15.75" customHeight="1">
      <c r="A645" s="9" t="s">
        <v>1834</v>
      </c>
      <c r="B645" s="14" t="s">
        <v>22</v>
      </c>
      <c r="D645" s="14">
        <v>1.0</v>
      </c>
      <c r="F645" s="14">
        <v>0.0</v>
      </c>
      <c r="G645" s="14">
        <v>0.0</v>
      </c>
      <c r="H645" s="14">
        <v>0.0</v>
      </c>
    </row>
    <row r="646" ht="15.75" customHeight="1">
      <c r="A646" s="9" t="s">
        <v>1837</v>
      </c>
      <c r="B646" s="14" t="s">
        <v>22</v>
      </c>
      <c r="D646" s="14">
        <v>1.0</v>
      </c>
      <c r="F646" s="14">
        <v>0.0</v>
      </c>
      <c r="G646" s="14">
        <v>0.0</v>
      </c>
      <c r="H646" s="14">
        <v>0.0</v>
      </c>
    </row>
    <row r="647" ht="15.75" customHeight="1">
      <c r="A647" s="9" t="s">
        <v>1839</v>
      </c>
      <c r="B647" s="14" t="s">
        <v>22</v>
      </c>
      <c r="C647" s="14" t="s">
        <v>1840</v>
      </c>
      <c r="D647" s="14">
        <v>1.0</v>
      </c>
      <c r="F647" s="14">
        <v>0.0</v>
      </c>
      <c r="G647" s="14">
        <v>0.0</v>
      </c>
      <c r="H647" s="14">
        <v>1.0</v>
      </c>
    </row>
    <row r="648" ht="15.75" customHeight="1">
      <c r="A648" s="9" t="s">
        <v>1841</v>
      </c>
      <c r="B648" s="14" t="s">
        <v>22</v>
      </c>
      <c r="D648" s="14">
        <v>1.0</v>
      </c>
      <c r="F648" s="14">
        <v>0.0</v>
      </c>
      <c r="G648" s="14">
        <v>0.0</v>
      </c>
      <c r="H648" s="14">
        <v>1.0</v>
      </c>
    </row>
    <row r="649" ht="15.75" customHeight="1">
      <c r="A649" s="9" t="s">
        <v>1844</v>
      </c>
      <c r="B649" s="14" t="s">
        <v>22</v>
      </c>
      <c r="C649" s="14" t="s">
        <v>523</v>
      </c>
      <c r="D649" s="14">
        <v>1.0</v>
      </c>
      <c r="F649" s="14">
        <v>0.0</v>
      </c>
      <c r="G649" s="14">
        <v>0.0</v>
      </c>
      <c r="H649" s="14">
        <v>1.0</v>
      </c>
    </row>
    <row r="650" ht="15.75" customHeight="1">
      <c r="A650" s="9" t="s">
        <v>1845</v>
      </c>
      <c r="B650" s="14" t="s">
        <v>22</v>
      </c>
      <c r="D650" s="14">
        <v>1.0</v>
      </c>
      <c r="F650" s="14">
        <v>0.0</v>
      </c>
      <c r="G650" s="14">
        <v>0.0</v>
      </c>
      <c r="H650" s="14">
        <v>1.0</v>
      </c>
    </row>
    <row r="651" ht="15.75" customHeight="1">
      <c r="A651" s="9" t="s">
        <v>1849</v>
      </c>
      <c r="B651" s="14" t="s">
        <v>22</v>
      </c>
      <c r="C651" s="14" t="s">
        <v>523</v>
      </c>
      <c r="D651" s="14">
        <v>1.0</v>
      </c>
      <c r="F651" s="14">
        <v>0.0</v>
      </c>
      <c r="G651" s="14">
        <v>0.0</v>
      </c>
      <c r="H651" s="14">
        <v>0.0</v>
      </c>
    </row>
    <row r="652" ht="15.75" customHeight="1">
      <c r="A652" s="9" t="s">
        <v>1850</v>
      </c>
      <c r="B652" s="14" t="s">
        <v>117</v>
      </c>
      <c r="D652" s="14">
        <v>1.0</v>
      </c>
      <c r="F652" s="14">
        <v>0.0</v>
      </c>
      <c r="G652" s="14">
        <v>0.0</v>
      </c>
      <c r="H652" s="14">
        <v>0.0</v>
      </c>
    </row>
    <row r="653" ht="15.75" customHeight="1">
      <c r="A653" s="9" t="s">
        <v>1852</v>
      </c>
      <c r="B653" s="14" t="s">
        <v>22</v>
      </c>
      <c r="D653" s="14">
        <v>1.0</v>
      </c>
      <c r="F653" s="14">
        <v>0.0</v>
      </c>
      <c r="G653" s="14">
        <v>0.0</v>
      </c>
      <c r="H653" s="14">
        <v>1.0</v>
      </c>
    </row>
    <row r="654" ht="15.75" customHeight="1">
      <c r="A654" s="9" t="s">
        <v>1854</v>
      </c>
      <c r="B654" s="14" t="s">
        <v>22</v>
      </c>
      <c r="C654" s="14" t="s">
        <v>1855</v>
      </c>
      <c r="D654" s="14">
        <v>1.0</v>
      </c>
      <c r="F654" s="14">
        <v>0.0</v>
      </c>
      <c r="G654" s="14">
        <v>0.0</v>
      </c>
      <c r="H654" s="14">
        <v>0.0</v>
      </c>
    </row>
    <row r="655" ht="15.75" customHeight="1">
      <c r="A655" s="14" t="s">
        <v>1856</v>
      </c>
      <c r="B655" s="14" t="s">
        <v>22</v>
      </c>
      <c r="C655" s="14" t="s">
        <v>523</v>
      </c>
      <c r="D655" s="14">
        <v>1.0</v>
      </c>
      <c r="F655" s="14">
        <v>0.0</v>
      </c>
      <c r="G655" s="14">
        <v>0.0</v>
      </c>
      <c r="H655" s="14">
        <v>0.0</v>
      </c>
    </row>
    <row r="656" ht="15.75" customHeight="1">
      <c r="A656" s="9" t="s">
        <v>1857</v>
      </c>
      <c r="B656" s="14" t="s">
        <v>120</v>
      </c>
      <c r="C656" s="14" t="s">
        <v>1858</v>
      </c>
      <c r="D656" s="14">
        <v>1.0</v>
      </c>
      <c r="F656" s="14">
        <v>0.0</v>
      </c>
      <c r="G656" s="14">
        <v>0.0</v>
      </c>
      <c r="H656" s="14">
        <v>0.0</v>
      </c>
    </row>
    <row r="657" ht="15.75" customHeight="1">
      <c r="A657" s="9" t="s">
        <v>1860</v>
      </c>
      <c r="B657" s="14" t="s">
        <v>22</v>
      </c>
      <c r="D657" s="14">
        <v>1.0</v>
      </c>
      <c r="F657" s="14">
        <v>0.0</v>
      </c>
      <c r="G657" s="14">
        <v>0.0</v>
      </c>
      <c r="H657" s="14">
        <v>1.0</v>
      </c>
    </row>
    <row r="658" ht="15.75" customHeight="1">
      <c r="A658" s="9" t="s">
        <v>1861</v>
      </c>
      <c r="B658" s="14" t="s">
        <v>22</v>
      </c>
      <c r="D658" s="14">
        <v>1.0</v>
      </c>
      <c r="F658" s="14">
        <v>0.0</v>
      </c>
      <c r="G658" s="14">
        <v>0.0</v>
      </c>
      <c r="H658" s="14">
        <v>0.0</v>
      </c>
    </row>
    <row r="659" ht="15.75" customHeight="1">
      <c r="A659" s="9" t="s">
        <v>1863</v>
      </c>
      <c r="B659" s="14" t="s">
        <v>22</v>
      </c>
      <c r="D659" s="14">
        <v>1.0</v>
      </c>
      <c r="F659" s="14">
        <v>0.0</v>
      </c>
      <c r="G659" s="14">
        <v>0.0</v>
      </c>
      <c r="H659" s="14">
        <v>2.0</v>
      </c>
    </row>
    <row r="660" ht="15.75" customHeight="1">
      <c r="A660" s="9" t="s">
        <v>1865</v>
      </c>
      <c r="B660" s="14" t="s">
        <v>120</v>
      </c>
      <c r="C660" s="14" t="s">
        <v>340</v>
      </c>
      <c r="D660" s="14">
        <v>1.0</v>
      </c>
      <c r="F660" s="14">
        <v>0.0</v>
      </c>
      <c r="G660" s="14">
        <v>0.0</v>
      </c>
      <c r="H660" s="14">
        <v>1.0</v>
      </c>
    </row>
    <row r="661" ht="15.75" customHeight="1">
      <c r="A661" s="9" t="s">
        <v>1869</v>
      </c>
      <c r="B661" s="14" t="s">
        <v>22</v>
      </c>
      <c r="D661" s="14">
        <v>1.0</v>
      </c>
      <c r="F661" s="14">
        <v>0.0</v>
      </c>
      <c r="G661" s="14">
        <v>0.0</v>
      </c>
      <c r="H661" s="14">
        <v>2.0</v>
      </c>
    </row>
    <row r="662" ht="15.75" customHeight="1">
      <c r="A662" s="9" t="s">
        <v>1871</v>
      </c>
      <c r="B662" s="14" t="s">
        <v>120</v>
      </c>
      <c r="D662" s="14">
        <v>1.0</v>
      </c>
      <c r="F662" s="14">
        <v>0.0</v>
      </c>
      <c r="G662" s="14">
        <v>0.0</v>
      </c>
      <c r="H662" s="14">
        <v>1.0</v>
      </c>
    </row>
    <row r="663" ht="15.75" customHeight="1">
      <c r="A663" s="14" t="s">
        <v>1873</v>
      </c>
      <c r="B663" s="14" t="s">
        <v>85</v>
      </c>
      <c r="C663" s="14" t="s">
        <v>1874</v>
      </c>
      <c r="D663" s="14">
        <v>1.0</v>
      </c>
      <c r="F663" s="14">
        <v>0.0</v>
      </c>
      <c r="G663" s="14">
        <v>0.0</v>
      </c>
      <c r="H663" s="14">
        <v>0.0</v>
      </c>
    </row>
    <row r="664" ht="15.75" customHeight="1">
      <c r="A664" s="9" t="s">
        <v>1875</v>
      </c>
      <c r="B664" s="14" t="s">
        <v>22</v>
      </c>
      <c r="D664" s="14">
        <v>1.0</v>
      </c>
      <c r="F664" s="14">
        <v>0.0</v>
      </c>
      <c r="G664" s="14">
        <v>0.0</v>
      </c>
      <c r="H664" s="14">
        <v>0.0</v>
      </c>
    </row>
    <row r="665" ht="15.75" customHeight="1">
      <c r="A665" s="9" t="s">
        <v>1876</v>
      </c>
      <c r="B665" s="14" t="s">
        <v>120</v>
      </c>
      <c r="C665" s="14" t="s">
        <v>1877</v>
      </c>
      <c r="D665" s="14">
        <v>1.0</v>
      </c>
      <c r="F665" s="14">
        <v>0.0</v>
      </c>
      <c r="G665" s="14">
        <v>0.0</v>
      </c>
      <c r="H665" s="14">
        <v>0.0</v>
      </c>
    </row>
    <row r="666" ht="15.75" customHeight="1">
      <c r="A666" s="9" t="s">
        <v>1878</v>
      </c>
      <c r="B666" s="14" t="s">
        <v>120</v>
      </c>
      <c r="C666" s="14" t="s">
        <v>808</v>
      </c>
      <c r="D666" s="14">
        <v>1.0</v>
      </c>
      <c r="F666" s="14">
        <v>0.0</v>
      </c>
      <c r="G666" s="14">
        <v>0.0</v>
      </c>
      <c r="H666" s="14">
        <v>1.0</v>
      </c>
    </row>
    <row r="667" ht="15.75" customHeight="1">
      <c r="A667" s="9" t="s">
        <v>1881</v>
      </c>
      <c r="B667" s="14" t="s">
        <v>85</v>
      </c>
      <c r="C667" s="14" t="s">
        <v>1193</v>
      </c>
      <c r="D667" s="14">
        <v>1.0</v>
      </c>
      <c r="F667" s="14">
        <v>0.0</v>
      </c>
      <c r="G667" s="14">
        <v>0.0</v>
      </c>
      <c r="H667" s="14">
        <v>1.0</v>
      </c>
    </row>
    <row r="668" ht="15.75" customHeight="1">
      <c r="A668" s="14" t="s">
        <v>1884</v>
      </c>
      <c r="B668" s="14" t="s">
        <v>22</v>
      </c>
      <c r="D668" s="14">
        <v>1.0</v>
      </c>
      <c r="F668" s="14">
        <v>0.0</v>
      </c>
      <c r="G668" s="14">
        <v>0.0</v>
      </c>
      <c r="H668" s="14">
        <v>3.0</v>
      </c>
    </row>
    <row r="669" ht="15.75" customHeight="1">
      <c r="A669" s="9" t="s">
        <v>1885</v>
      </c>
      <c r="B669" s="14" t="s">
        <v>31</v>
      </c>
      <c r="D669" s="14">
        <v>1.0</v>
      </c>
      <c r="F669" s="14">
        <v>0.0</v>
      </c>
      <c r="G669" s="14">
        <v>0.0</v>
      </c>
      <c r="H669" s="14">
        <v>0.0</v>
      </c>
    </row>
    <row r="670" ht="15.75" customHeight="1">
      <c r="A670" s="9" t="s">
        <v>1887</v>
      </c>
      <c r="B670" s="14" t="s">
        <v>117</v>
      </c>
      <c r="C670" s="14" t="s">
        <v>532</v>
      </c>
      <c r="D670" s="14">
        <v>1.0</v>
      </c>
      <c r="F670" s="14">
        <v>0.0</v>
      </c>
      <c r="G670" s="14">
        <v>0.0</v>
      </c>
      <c r="H670" s="14">
        <v>0.0</v>
      </c>
    </row>
    <row r="671" ht="15.75" customHeight="1">
      <c r="A671" s="9" t="s">
        <v>1889</v>
      </c>
      <c r="B671" s="14" t="s">
        <v>41</v>
      </c>
      <c r="C671" s="14" t="s">
        <v>1890</v>
      </c>
      <c r="D671" s="14">
        <v>1.0</v>
      </c>
      <c r="F671" s="14">
        <v>0.0</v>
      </c>
      <c r="G671" s="14">
        <v>0.0</v>
      </c>
      <c r="H671" s="14">
        <v>4.0</v>
      </c>
    </row>
    <row r="672" ht="15.75" customHeight="1">
      <c r="A672" s="9" t="s">
        <v>1892</v>
      </c>
      <c r="B672" s="14" t="s">
        <v>117</v>
      </c>
      <c r="D672" s="14">
        <v>1.0</v>
      </c>
      <c r="F672" s="14">
        <v>0.0</v>
      </c>
      <c r="G672" s="14">
        <v>0.0</v>
      </c>
      <c r="H672" s="14">
        <v>2.0</v>
      </c>
    </row>
    <row r="673" ht="15.75" customHeight="1">
      <c r="A673" s="9" t="s">
        <v>1895</v>
      </c>
      <c r="B673" s="14" t="s">
        <v>22</v>
      </c>
      <c r="D673" s="14">
        <v>1.0</v>
      </c>
      <c r="F673" s="14">
        <v>0.0</v>
      </c>
      <c r="G673" s="14">
        <v>0.0</v>
      </c>
      <c r="H673" s="14">
        <v>0.0</v>
      </c>
    </row>
    <row r="674" ht="15.75" customHeight="1">
      <c r="A674" s="9" t="s">
        <v>1896</v>
      </c>
      <c r="B674" s="14" t="s">
        <v>22</v>
      </c>
      <c r="D674" s="14">
        <v>1.0</v>
      </c>
      <c r="F674" s="14">
        <v>0.0</v>
      </c>
      <c r="G674" s="14">
        <v>0.0</v>
      </c>
      <c r="H674" s="14">
        <v>1.0</v>
      </c>
    </row>
    <row r="675" ht="15.75" customHeight="1">
      <c r="A675" s="9" t="s">
        <v>1899</v>
      </c>
      <c r="B675" s="14" t="s">
        <v>22</v>
      </c>
      <c r="C675" s="14" t="s">
        <v>506</v>
      </c>
      <c r="D675" s="14">
        <v>1.0</v>
      </c>
      <c r="F675" s="14">
        <v>0.0</v>
      </c>
      <c r="G675" s="14">
        <v>0.0</v>
      </c>
      <c r="H675" s="14">
        <v>1.0</v>
      </c>
    </row>
    <row r="676" ht="15.75" customHeight="1">
      <c r="A676" s="14" t="s">
        <v>1901</v>
      </c>
      <c r="B676" s="14" t="s">
        <v>22</v>
      </c>
      <c r="D676" s="14">
        <v>1.0</v>
      </c>
      <c r="F676" s="14">
        <v>0.0</v>
      </c>
      <c r="G676" s="14">
        <v>0.0</v>
      </c>
      <c r="H676" s="14">
        <v>1.0</v>
      </c>
    </row>
    <row r="677" ht="15.75" customHeight="1">
      <c r="A677" s="9" t="s">
        <v>1902</v>
      </c>
      <c r="B677" s="14" t="s">
        <v>22</v>
      </c>
      <c r="D677" s="14">
        <v>1.0</v>
      </c>
      <c r="F677" s="14">
        <v>0.0</v>
      </c>
      <c r="G677" s="14">
        <v>0.0</v>
      </c>
      <c r="H677" s="14">
        <v>0.0</v>
      </c>
    </row>
    <row r="678" ht="15.75" customHeight="1">
      <c r="A678" s="9" t="s">
        <v>1904</v>
      </c>
      <c r="B678" s="14" t="s">
        <v>22</v>
      </c>
      <c r="D678" s="14">
        <v>1.0</v>
      </c>
      <c r="F678" s="14">
        <v>0.0</v>
      </c>
      <c r="G678" s="14">
        <v>0.0</v>
      </c>
      <c r="H678" s="14">
        <v>1.0</v>
      </c>
    </row>
    <row r="679" ht="15.75" customHeight="1">
      <c r="A679" s="9" t="s">
        <v>1905</v>
      </c>
      <c r="B679" s="14" t="s">
        <v>22</v>
      </c>
      <c r="D679" s="14">
        <v>1.0</v>
      </c>
      <c r="F679" s="14">
        <v>0.0</v>
      </c>
      <c r="G679" s="14">
        <v>0.0</v>
      </c>
      <c r="H679" s="14">
        <v>1.0</v>
      </c>
    </row>
    <row r="680" ht="15.75" customHeight="1">
      <c r="A680" s="9" t="s">
        <v>1906</v>
      </c>
      <c r="B680" s="14" t="s">
        <v>22</v>
      </c>
      <c r="D680" s="14">
        <v>1.0</v>
      </c>
      <c r="F680" s="14">
        <v>0.0</v>
      </c>
      <c r="G680" s="14">
        <v>0.0</v>
      </c>
      <c r="H680" s="14">
        <v>1.0</v>
      </c>
    </row>
    <row r="681" ht="15.75" customHeight="1">
      <c r="A681" s="9" t="s">
        <v>1908</v>
      </c>
      <c r="B681" s="14" t="s">
        <v>22</v>
      </c>
      <c r="D681" s="14">
        <v>1.0</v>
      </c>
      <c r="F681" s="14">
        <v>0.0</v>
      </c>
      <c r="G681" s="14">
        <v>0.0</v>
      </c>
      <c r="H681" s="14">
        <v>0.0</v>
      </c>
    </row>
    <row r="682" ht="15.75" customHeight="1">
      <c r="A682" s="9" t="s">
        <v>1910</v>
      </c>
      <c r="B682" s="14" t="s">
        <v>22</v>
      </c>
      <c r="C682" s="14" t="s">
        <v>538</v>
      </c>
      <c r="D682" s="14">
        <v>1.0</v>
      </c>
      <c r="F682" s="14">
        <v>0.0</v>
      </c>
      <c r="G682" s="14">
        <v>0.0</v>
      </c>
      <c r="H682" s="14">
        <v>0.0</v>
      </c>
    </row>
    <row r="683" ht="15.75" customHeight="1">
      <c r="A683" s="9" t="s">
        <v>1912</v>
      </c>
      <c r="B683" s="14" t="s">
        <v>22</v>
      </c>
      <c r="C683" s="14" t="s">
        <v>1913</v>
      </c>
      <c r="D683" s="14">
        <v>1.0</v>
      </c>
      <c r="F683" s="14">
        <v>0.0</v>
      </c>
      <c r="G683" s="14">
        <v>0.0</v>
      </c>
      <c r="H683" s="14">
        <v>2.0</v>
      </c>
    </row>
    <row r="684" ht="15.75" customHeight="1">
      <c r="A684" s="9" t="s">
        <v>1915</v>
      </c>
      <c r="B684" s="14" t="s">
        <v>22</v>
      </c>
      <c r="C684" s="14" t="s">
        <v>523</v>
      </c>
      <c r="D684" s="14">
        <v>1.0</v>
      </c>
      <c r="F684" s="14">
        <v>0.0</v>
      </c>
      <c r="G684" s="14">
        <v>0.0</v>
      </c>
      <c r="H684" s="14">
        <v>2.0</v>
      </c>
    </row>
    <row r="685" ht="15.75" customHeight="1">
      <c r="A685" s="9" t="s">
        <v>1916</v>
      </c>
      <c r="B685" s="14" t="s">
        <v>22</v>
      </c>
      <c r="C685" s="14" t="s">
        <v>1917</v>
      </c>
      <c r="D685" s="14">
        <v>1.0</v>
      </c>
      <c r="F685" s="14">
        <v>0.0</v>
      </c>
      <c r="G685" s="14">
        <v>0.0</v>
      </c>
      <c r="H685" s="14">
        <v>1.0</v>
      </c>
    </row>
    <row r="686" ht="15.75" customHeight="1">
      <c r="A686" s="9" t="s">
        <v>1919</v>
      </c>
      <c r="B686" s="14" t="s">
        <v>85</v>
      </c>
      <c r="C686" s="14" t="s">
        <v>1576</v>
      </c>
      <c r="D686" s="14">
        <v>1.0</v>
      </c>
      <c r="F686" s="14">
        <v>0.0</v>
      </c>
      <c r="G686" s="14">
        <v>0.0</v>
      </c>
      <c r="H686" s="14">
        <v>1.0</v>
      </c>
    </row>
    <row r="687" ht="15.75" customHeight="1">
      <c r="A687" s="9" t="s">
        <v>1920</v>
      </c>
      <c r="B687" s="14" t="s">
        <v>22</v>
      </c>
      <c r="C687" s="14" t="s">
        <v>1921</v>
      </c>
      <c r="D687" s="14">
        <v>1.0</v>
      </c>
      <c r="F687" s="14">
        <v>0.0</v>
      </c>
      <c r="G687" s="14">
        <v>0.0</v>
      </c>
      <c r="H687" s="14">
        <v>1.0</v>
      </c>
    </row>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1:$Z$997"/>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9"/>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1"/>
    <hyperlink r:id="rId59" ref="A62"/>
    <hyperlink r:id="rId60" ref="A63"/>
    <hyperlink r:id="rId61" ref="A64"/>
    <hyperlink r:id="rId62" ref="A65"/>
    <hyperlink r:id="rId63" ref="A66"/>
    <hyperlink r:id="rId64" ref="A67"/>
    <hyperlink r:id="rId65" ref="A68"/>
    <hyperlink r:id="rId66" ref="A69"/>
    <hyperlink r:id="rId67" ref="A70"/>
    <hyperlink r:id="rId68" ref="A71"/>
    <hyperlink r:id="rId69" ref="A72"/>
    <hyperlink r:id="rId70" ref="A73"/>
    <hyperlink r:id="rId71" ref="A74"/>
    <hyperlink r:id="rId72" ref="A75"/>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 r:id="rId90" ref="A93"/>
    <hyperlink r:id="rId91" ref="A94"/>
    <hyperlink r:id="rId92" ref="A95"/>
    <hyperlink r:id="rId93" ref="A96"/>
    <hyperlink r:id="rId94" ref="A97"/>
    <hyperlink r:id="rId95" ref="A98"/>
    <hyperlink r:id="rId96" ref="A99"/>
    <hyperlink r:id="rId97" ref="A100"/>
    <hyperlink r:id="rId98" ref="A101"/>
    <hyperlink r:id="rId99" ref="A102"/>
    <hyperlink r:id="rId100" ref="A103"/>
    <hyperlink r:id="rId101" ref="A104"/>
    <hyperlink r:id="rId102" ref="A105"/>
    <hyperlink r:id="rId103" ref="A106"/>
    <hyperlink r:id="rId104" ref="A107"/>
    <hyperlink r:id="rId105" ref="A108"/>
    <hyperlink r:id="rId106" ref="A109"/>
    <hyperlink r:id="rId107" ref="A110"/>
    <hyperlink r:id="rId108" ref="A111"/>
    <hyperlink r:id="rId109" ref="A112"/>
    <hyperlink r:id="rId110" ref="A113"/>
    <hyperlink r:id="rId111" ref="A114"/>
    <hyperlink r:id="rId112" ref="A115"/>
    <hyperlink r:id="rId113" ref="A116"/>
    <hyperlink r:id="rId114" ref="A117"/>
    <hyperlink r:id="rId115" ref="A118"/>
    <hyperlink r:id="rId116" ref="A119"/>
    <hyperlink r:id="rId117" ref="A120"/>
    <hyperlink r:id="rId118" ref="A121"/>
    <hyperlink r:id="rId119" ref="A122"/>
    <hyperlink r:id="rId120" ref="A124"/>
    <hyperlink r:id="rId121" ref="A125"/>
    <hyperlink r:id="rId122" ref="A126"/>
    <hyperlink r:id="rId123" ref="A127"/>
    <hyperlink r:id="rId124" ref="A128"/>
    <hyperlink r:id="rId125" ref="A129"/>
    <hyperlink r:id="rId126" ref="A130"/>
    <hyperlink r:id="rId127" ref="A131"/>
    <hyperlink r:id="rId128" ref="A132"/>
    <hyperlink r:id="rId129" ref="A133"/>
    <hyperlink r:id="rId130" ref="A134"/>
    <hyperlink r:id="rId131" ref="A135"/>
    <hyperlink r:id="rId132" ref="A136"/>
    <hyperlink r:id="rId133" ref="A137"/>
    <hyperlink r:id="rId134" ref="A138"/>
    <hyperlink r:id="rId135" ref="A139"/>
    <hyperlink r:id="rId136" ref="A140"/>
    <hyperlink r:id="rId137" ref="A141"/>
    <hyperlink r:id="rId138" ref="A142"/>
    <hyperlink r:id="rId139" ref="A143"/>
    <hyperlink r:id="rId140" ref="A144"/>
    <hyperlink r:id="rId141" ref="A145"/>
    <hyperlink r:id="rId142" ref="A146"/>
    <hyperlink r:id="rId143" ref="A147"/>
    <hyperlink r:id="rId144" ref="A148"/>
    <hyperlink r:id="rId145" ref="A149"/>
    <hyperlink r:id="rId146" ref="A150"/>
    <hyperlink r:id="rId147" ref="A151"/>
    <hyperlink r:id="rId148" ref="A152"/>
    <hyperlink r:id="rId149" ref="A153"/>
    <hyperlink r:id="rId150" ref="A154"/>
    <hyperlink r:id="rId151" ref="A155"/>
    <hyperlink r:id="rId152" ref="A156"/>
    <hyperlink r:id="rId153" ref="A157"/>
    <hyperlink r:id="rId154" ref="A158"/>
    <hyperlink r:id="rId155" ref="A159"/>
    <hyperlink r:id="rId156" ref="A160"/>
    <hyperlink r:id="rId157" ref="A161"/>
    <hyperlink r:id="rId158" ref="A162"/>
    <hyperlink r:id="rId159" ref="A165"/>
    <hyperlink r:id="rId160" ref="A166"/>
    <hyperlink r:id="rId161" ref="A167"/>
    <hyperlink r:id="rId162" ref="A168"/>
    <hyperlink r:id="rId163" ref="A169"/>
    <hyperlink r:id="rId164" ref="A170"/>
    <hyperlink r:id="rId165" ref="A171"/>
    <hyperlink r:id="rId166" ref="A172"/>
    <hyperlink r:id="rId167" ref="A173"/>
    <hyperlink r:id="rId168" ref="A174"/>
    <hyperlink r:id="rId169" ref="A176"/>
    <hyperlink r:id="rId170" ref="A177"/>
    <hyperlink r:id="rId171" ref="A179"/>
    <hyperlink r:id="rId172" ref="A180"/>
    <hyperlink r:id="rId173" ref="A181"/>
    <hyperlink r:id="rId174" ref="A182"/>
    <hyperlink r:id="rId175" ref="A183"/>
    <hyperlink r:id="rId176" ref="A184"/>
    <hyperlink r:id="rId177" ref="A185"/>
    <hyperlink r:id="rId178" ref="A186"/>
    <hyperlink r:id="rId179" ref="A187"/>
    <hyperlink r:id="rId180" ref="A188"/>
    <hyperlink r:id="rId181" ref="A189"/>
    <hyperlink r:id="rId182" ref="A190"/>
    <hyperlink r:id="rId183" ref="A191"/>
    <hyperlink r:id="rId184" ref="A192"/>
    <hyperlink r:id="rId185" ref="A193"/>
    <hyperlink r:id="rId186" ref="A194"/>
    <hyperlink r:id="rId187" ref="A195"/>
    <hyperlink r:id="rId188" ref="A196"/>
    <hyperlink r:id="rId189" ref="A197"/>
    <hyperlink r:id="rId190" ref="A198"/>
    <hyperlink r:id="rId191" ref="A199"/>
    <hyperlink r:id="rId192" ref="A200"/>
    <hyperlink r:id="rId193" ref="A201"/>
    <hyperlink r:id="rId194" ref="A202"/>
    <hyperlink r:id="rId195" ref="A203"/>
    <hyperlink r:id="rId196" ref="A204"/>
    <hyperlink r:id="rId197" ref="A205"/>
    <hyperlink r:id="rId198" ref="A206"/>
    <hyperlink r:id="rId199" ref="A207"/>
    <hyperlink r:id="rId200" ref="A208"/>
    <hyperlink r:id="rId201" ref="A209"/>
    <hyperlink r:id="rId202" ref="A210"/>
    <hyperlink r:id="rId203" ref="A211"/>
    <hyperlink r:id="rId204" ref="A212"/>
    <hyperlink r:id="rId205" ref="A213"/>
    <hyperlink r:id="rId206" ref="A214"/>
    <hyperlink r:id="rId207" ref="A215"/>
    <hyperlink r:id="rId208" ref="A216"/>
    <hyperlink r:id="rId209" ref="A217"/>
    <hyperlink r:id="rId210" ref="A218"/>
    <hyperlink r:id="rId211" ref="A219"/>
    <hyperlink r:id="rId212" ref="A220"/>
    <hyperlink r:id="rId213" ref="A221"/>
    <hyperlink r:id="rId214" ref="A222"/>
    <hyperlink r:id="rId215" ref="A223"/>
    <hyperlink r:id="rId216" ref="A224"/>
    <hyperlink r:id="rId217" ref="A225"/>
    <hyperlink r:id="rId218" ref="A226"/>
    <hyperlink r:id="rId219" ref="A227"/>
    <hyperlink r:id="rId220" ref="A228"/>
    <hyperlink r:id="rId221" ref="A229"/>
    <hyperlink r:id="rId222" ref="A230"/>
    <hyperlink r:id="rId223" ref="A231"/>
    <hyperlink r:id="rId224" ref="A232"/>
    <hyperlink r:id="rId225" ref="A233"/>
    <hyperlink r:id="rId226" ref="A234"/>
    <hyperlink r:id="rId227" ref="A235"/>
    <hyperlink r:id="rId228" ref="A236"/>
    <hyperlink r:id="rId229" ref="A237"/>
    <hyperlink r:id="rId230" ref="A238"/>
    <hyperlink r:id="rId231" ref="A239"/>
    <hyperlink r:id="rId232" ref="A240"/>
    <hyperlink r:id="rId233" ref="A241"/>
    <hyperlink r:id="rId234" ref="A242"/>
    <hyperlink r:id="rId235" ref="A243"/>
    <hyperlink r:id="rId236" ref="A245"/>
    <hyperlink r:id="rId237" ref="A246"/>
    <hyperlink r:id="rId238" ref="A247"/>
    <hyperlink r:id="rId239" ref="A248"/>
    <hyperlink r:id="rId240" ref="A250"/>
    <hyperlink r:id="rId241" ref="A251"/>
    <hyperlink r:id="rId242" ref="A252"/>
    <hyperlink r:id="rId243" ref="A253"/>
    <hyperlink r:id="rId244" ref="A254"/>
    <hyperlink r:id="rId245" ref="A256"/>
    <hyperlink r:id="rId246" ref="A257"/>
    <hyperlink r:id="rId247" ref="A258"/>
    <hyperlink r:id="rId248" ref="A259"/>
    <hyperlink r:id="rId249" ref="A260"/>
    <hyperlink r:id="rId250" ref="A262"/>
    <hyperlink r:id="rId251" ref="A263"/>
    <hyperlink r:id="rId252" ref="A264"/>
    <hyperlink r:id="rId253" ref="A265"/>
    <hyperlink r:id="rId254" ref="A266"/>
    <hyperlink r:id="rId255" ref="A267"/>
    <hyperlink r:id="rId256" ref="A268"/>
    <hyperlink r:id="rId257" ref="A269"/>
    <hyperlink r:id="rId258" ref="A270"/>
    <hyperlink r:id="rId259" ref="A271"/>
    <hyperlink r:id="rId260" ref="A272"/>
    <hyperlink r:id="rId261" ref="A273"/>
    <hyperlink r:id="rId262" ref="A274"/>
    <hyperlink r:id="rId263" ref="A275"/>
    <hyperlink r:id="rId264" ref="A276"/>
    <hyperlink r:id="rId265" ref="A277"/>
    <hyperlink r:id="rId266" ref="A278"/>
    <hyperlink r:id="rId267" ref="A279"/>
    <hyperlink r:id="rId268" ref="A280"/>
    <hyperlink r:id="rId269" ref="A281"/>
    <hyperlink r:id="rId270" ref="A282"/>
    <hyperlink r:id="rId271" ref="A283"/>
    <hyperlink r:id="rId272" ref="A284"/>
    <hyperlink r:id="rId273" ref="A285"/>
    <hyperlink r:id="rId274" ref="A286"/>
    <hyperlink r:id="rId275" ref="A287"/>
    <hyperlink r:id="rId276" ref="A288"/>
    <hyperlink r:id="rId277" ref="A289"/>
    <hyperlink r:id="rId278" ref="A290"/>
    <hyperlink r:id="rId279" ref="A291"/>
    <hyperlink r:id="rId280" ref="A292"/>
    <hyperlink r:id="rId281" ref="A293"/>
    <hyperlink r:id="rId282" ref="A294"/>
    <hyperlink r:id="rId283" ref="A295"/>
    <hyperlink r:id="rId284" ref="A296"/>
    <hyperlink r:id="rId285" ref="A297"/>
    <hyperlink r:id="rId286" ref="A298"/>
    <hyperlink r:id="rId287" ref="A299"/>
    <hyperlink r:id="rId288" ref="A300"/>
    <hyperlink r:id="rId289" ref="A301"/>
    <hyperlink r:id="rId290" ref="A302"/>
    <hyperlink r:id="rId291" ref="A303"/>
    <hyperlink r:id="rId292" ref="A304"/>
    <hyperlink r:id="rId293" ref="A305"/>
    <hyperlink r:id="rId294" ref="A306"/>
    <hyperlink r:id="rId295" ref="A307"/>
    <hyperlink r:id="rId296" ref="A308"/>
    <hyperlink r:id="rId297" ref="A309"/>
    <hyperlink r:id="rId298" ref="A310"/>
    <hyperlink r:id="rId299" ref="A311"/>
    <hyperlink r:id="rId300" ref="A312"/>
    <hyperlink r:id="rId301" ref="A313"/>
    <hyperlink r:id="rId302" ref="A314"/>
    <hyperlink r:id="rId303" ref="A315"/>
    <hyperlink r:id="rId304" ref="A316"/>
    <hyperlink r:id="rId305" ref="A317"/>
    <hyperlink r:id="rId306" ref="A318"/>
    <hyperlink r:id="rId307" ref="A319"/>
    <hyperlink r:id="rId308" ref="A320"/>
    <hyperlink r:id="rId309" ref="A321"/>
    <hyperlink r:id="rId310" ref="A322"/>
    <hyperlink r:id="rId311" ref="A323"/>
    <hyperlink r:id="rId312" ref="A324"/>
    <hyperlink r:id="rId313" ref="A325"/>
    <hyperlink r:id="rId314" ref="A326"/>
    <hyperlink r:id="rId315" ref="A327"/>
    <hyperlink r:id="rId316" ref="A328"/>
    <hyperlink r:id="rId317" ref="A329"/>
    <hyperlink r:id="rId318" ref="A330"/>
    <hyperlink r:id="rId319" ref="A331"/>
    <hyperlink r:id="rId320" ref="A332"/>
    <hyperlink r:id="rId321" ref="A333"/>
    <hyperlink r:id="rId322" ref="A334"/>
    <hyperlink r:id="rId323" ref="A335"/>
    <hyperlink r:id="rId324" ref="A336"/>
    <hyperlink r:id="rId325" ref="A337"/>
    <hyperlink r:id="rId326" ref="A338"/>
    <hyperlink r:id="rId327" ref="A339"/>
    <hyperlink r:id="rId328" ref="A340"/>
    <hyperlink r:id="rId329" ref="A341"/>
    <hyperlink r:id="rId330" ref="A342"/>
    <hyperlink r:id="rId331" ref="A343"/>
    <hyperlink r:id="rId332" ref="A344"/>
    <hyperlink r:id="rId333" ref="A345"/>
    <hyperlink r:id="rId334" ref="A346"/>
    <hyperlink r:id="rId335" ref="A347"/>
    <hyperlink r:id="rId336" ref="A348"/>
    <hyperlink r:id="rId337" ref="A349"/>
    <hyperlink r:id="rId338" ref="A350"/>
    <hyperlink r:id="rId339" ref="A351"/>
    <hyperlink r:id="rId340" ref="A352"/>
    <hyperlink r:id="rId341" ref="A353"/>
    <hyperlink r:id="rId342" ref="A354"/>
    <hyperlink r:id="rId343" ref="A355"/>
    <hyperlink r:id="rId344" ref="A356"/>
    <hyperlink r:id="rId345" ref="A357"/>
    <hyperlink r:id="rId346" ref="A358"/>
    <hyperlink r:id="rId347" ref="A359"/>
    <hyperlink r:id="rId348" ref="A360"/>
    <hyperlink r:id="rId349" ref="A361"/>
    <hyperlink r:id="rId350" ref="A362"/>
    <hyperlink r:id="rId351" ref="A363"/>
    <hyperlink r:id="rId352" ref="A364"/>
    <hyperlink r:id="rId353" ref="A365"/>
    <hyperlink r:id="rId354" ref="A366"/>
    <hyperlink r:id="rId355" ref="A367"/>
    <hyperlink r:id="rId356" ref="A369"/>
    <hyperlink r:id="rId357" ref="A370"/>
    <hyperlink r:id="rId358" ref="A371"/>
    <hyperlink r:id="rId359" ref="A372"/>
    <hyperlink r:id="rId360" ref="A373"/>
    <hyperlink r:id="rId361" ref="A374"/>
    <hyperlink r:id="rId362" ref="A375"/>
    <hyperlink r:id="rId363" ref="A376"/>
    <hyperlink r:id="rId364" ref="A377"/>
    <hyperlink r:id="rId365" ref="A378"/>
    <hyperlink r:id="rId366" ref="A379"/>
    <hyperlink r:id="rId367" ref="A380"/>
    <hyperlink r:id="rId368" ref="A382"/>
    <hyperlink r:id="rId369" ref="A383"/>
    <hyperlink r:id="rId370" ref="A384"/>
    <hyperlink r:id="rId371" ref="A385"/>
    <hyperlink r:id="rId372" ref="A386"/>
    <hyperlink r:id="rId373" ref="A387"/>
    <hyperlink r:id="rId374" ref="A388"/>
    <hyperlink r:id="rId375" ref="A389"/>
    <hyperlink r:id="rId376" ref="A390"/>
    <hyperlink r:id="rId377" ref="A391"/>
    <hyperlink r:id="rId378" ref="A392"/>
    <hyperlink r:id="rId379" ref="A393"/>
    <hyperlink r:id="rId380" ref="A394"/>
    <hyperlink r:id="rId381" ref="A395"/>
    <hyperlink r:id="rId382" ref="A396"/>
    <hyperlink r:id="rId383" ref="A397"/>
    <hyperlink r:id="rId384" ref="A398"/>
    <hyperlink r:id="rId385" ref="A399"/>
    <hyperlink r:id="rId386" ref="A400"/>
    <hyperlink r:id="rId387" ref="A401"/>
    <hyperlink r:id="rId388" ref="A402"/>
    <hyperlink r:id="rId389" ref="A403"/>
    <hyperlink r:id="rId390" ref="A404"/>
    <hyperlink r:id="rId391" ref="A405"/>
    <hyperlink r:id="rId392" ref="A406"/>
    <hyperlink r:id="rId393" ref="A407"/>
    <hyperlink r:id="rId394" ref="A408"/>
    <hyperlink r:id="rId395" ref="A409"/>
    <hyperlink r:id="rId396" ref="A410"/>
    <hyperlink r:id="rId397" ref="A411"/>
    <hyperlink r:id="rId398" ref="A412"/>
    <hyperlink r:id="rId399" ref="A413"/>
    <hyperlink r:id="rId400" ref="A414"/>
    <hyperlink r:id="rId401" ref="A415"/>
    <hyperlink r:id="rId402" ref="A416"/>
    <hyperlink r:id="rId403" ref="A417"/>
    <hyperlink r:id="rId404" ref="A418"/>
    <hyperlink r:id="rId405" ref="A419"/>
    <hyperlink r:id="rId406" ref="A420"/>
    <hyperlink r:id="rId407" ref="A421"/>
    <hyperlink r:id="rId408" ref="A422"/>
    <hyperlink r:id="rId409" ref="A423"/>
    <hyperlink r:id="rId410" ref="A424"/>
    <hyperlink r:id="rId411" ref="A425"/>
    <hyperlink r:id="rId412" ref="A426"/>
    <hyperlink r:id="rId413" ref="A427"/>
    <hyperlink r:id="rId414" ref="A428"/>
    <hyperlink r:id="rId415" ref="A429"/>
    <hyperlink r:id="rId416" ref="A430"/>
    <hyperlink r:id="rId417" ref="A431"/>
    <hyperlink r:id="rId418" ref="A432"/>
    <hyperlink r:id="rId419" ref="A433"/>
    <hyperlink r:id="rId420" ref="A434"/>
    <hyperlink r:id="rId421" ref="A435"/>
    <hyperlink r:id="rId422" ref="A436"/>
    <hyperlink r:id="rId423" ref="A437"/>
    <hyperlink r:id="rId424" ref="A438"/>
    <hyperlink r:id="rId425" ref="A439"/>
    <hyperlink r:id="rId426" ref="A440"/>
    <hyperlink r:id="rId427" ref="A441"/>
    <hyperlink r:id="rId428" ref="A442"/>
    <hyperlink r:id="rId429" ref="A443"/>
    <hyperlink r:id="rId430" ref="A444"/>
    <hyperlink r:id="rId431" ref="A445"/>
    <hyperlink r:id="rId432" ref="A446"/>
    <hyperlink r:id="rId433" ref="A447"/>
    <hyperlink r:id="rId434" ref="A448"/>
    <hyperlink r:id="rId435" ref="A449"/>
    <hyperlink r:id="rId436" ref="A450"/>
    <hyperlink r:id="rId437" ref="A451"/>
    <hyperlink r:id="rId438" ref="A452"/>
    <hyperlink r:id="rId439" ref="A453"/>
    <hyperlink r:id="rId440" ref="A454"/>
    <hyperlink r:id="rId441" ref="A455"/>
    <hyperlink r:id="rId442" ref="A456"/>
    <hyperlink r:id="rId443" ref="A457"/>
    <hyperlink r:id="rId444" ref="A458"/>
    <hyperlink r:id="rId445" ref="A459"/>
    <hyperlink r:id="rId446" ref="A460"/>
    <hyperlink r:id="rId447" ref="A461"/>
    <hyperlink r:id="rId448" ref="A462"/>
    <hyperlink r:id="rId449" ref="A463"/>
    <hyperlink r:id="rId450" ref="A464"/>
    <hyperlink r:id="rId451" ref="A465"/>
    <hyperlink r:id="rId452" ref="A466"/>
    <hyperlink r:id="rId453" ref="A467"/>
    <hyperlink r:id="rId454" ref="A468"/>
    <hyperlink r:id="rId455" ref="A470"/>
    <hyperlink r:id="rId456" ref="A471"/>
    <hyperlink r:id="rId457" ref="A472"/>
    <hyperlink r:id="rId458" ref="A473"/>
    <hyperlink r:id="rId459" ref="A474"/>
    <hyperlink r:id="rId460" ref="A475"/>
    <hyperlink r:id="rId461" ref="A477"/>
    <hyperlink r:id="rId462" ref="A478"/>
    <hyperlink r:id="rId463" ref="A479"/>
    <hyperlink r:id="rId464" ref="A480"/>
    <hyperlink r:id="rId465" ref="A481"/>
    <hyperlink r:id="rId466" ref="A482"/>
    <hyperlink r:id="rId467" ref="A483"/>
    <hyperlink r:id="rId468" ref="A484"/>
    <hyperlink r:id="rId469" ref="A485"/>
    <hyperlink r:id="rId470" ref="A486"/>
    <hyperlink r:id="rId471" ref="A487"/>
    <hyperlink r:id="rId472" ref="A488"/>
    <hyperlink r:id="rId473" ref="A489"/>
    <hyperlink r:id="rId474" ref="A490"/>
    <hyperlink r:id="rId475" ref="A491"/>
    <hyperlink r:id="rId476" ref="A493"/>
    <hyperlink r:id="rId477" ref="A494"/>
    <hyperlink r:id="rId478" ref="A495"/>
    <hyperlink r:id="rId479" ref="A496"/>
    <hyperlink r:id="rId480" ref="A497"/>
    <hyperlink r:id="rId481" ref="A498"/>
    <hyperlink r:id="rId482" ref="A499"/>
    <hyperlink r:id="rId483" ref="A500"/>
    <hyperlink r:id="rId484" ref="A501"/>
    <hyperlink r:id="rId485" ref="A502"/>
    <hyperlink r:id="rId486" ref="A503"/>
    <hyperlink r:id="rId487" ref="A504"/>
    <hyperlink r:id="rId488" ref="A505"/>
    <hyperlink r:id="rId489" ref="A506"/>
    <hyperlink r:id="rId490" ref="A507"/>
    <hyperlink r:id="rId491" ref="A508"/>
    <hyperlink r:id="rId492" ref="A509"/>
    <hyperlink r:id="rId493" ref="A510"/>
    <hyperlink r:id="rId494" ref="A511"/>
    <hyperlink r:id="rId495" ref="A512"/>
    <hyperlink r:id="rId496" ref="A513"/>
    <hyperlink r:id="rId497" ref="A514"/>
    <hyperlink r:id="rId498" ref="A515"/>
    <hyperlink r:id="rId499" ref="A516"/>
    <hyperlink r:id="rId500" ref="A517"/>
    <hyperlink r:id="rId501" ref="A518"/>
    <hyperlink r:id="rId502" ref="A519"/>
    <hyperlink r:id="rId503" ref="A520"/>
    <hyperlink r:id="rId504" ref="A521"/>
    <hyperlink r:id="rId505" ref="A522"/>
    <hyperlink r:id="rId506" ref="A523"/>
    <hyperlink r:id="rId507" ref="A524"/>
    <hyperlink r:id="rId508" ref="A525"/>
    <hyperlink r:id="rId509" ref="A526"/>
    <hyperlink r:id="rId510" ref="A527"/>
    <hyperlink r:id="rId511" ref="A528"/>
    <hyperlink r:id="rId512" ref="A529"/>
    <hyperlink r:id="rId513" ref="A530"/>
    <hyperlink r:id="rId514" ref="A531"/>
    <hyperlink r:id="rId515" ref="A532"/>
    <hyperlink r:id="rId516" ref="A533"/>
    <hyperlink r:id="rId517" ref="A534"/>
    <hyperlink r:id="rId518" ref="A535"/>
    <hyperlink r:id="rId519" ref="A536"/>
    <hyperlink r:id="rId520" ref="A537"/>
    <hyperlink r:id="rId521" ref="A538"/>
    <hyperlink r:id="rId522" ref="A539"/>
    <hyperlink r:id="rId523" ref="A540"/>
    <hyperlink r:id="rId524" ref="A541"/>
    <hyperlink r:id="rId525" ref="A542"/>
    <hyperlink r:id="rId526" ref="A543"/>
    <hyperlink r:id="rId527" ref="A544"/>
    <hyperlink r:id="rId528" ref="A545"/>
    <hyperlink r:id="rId529" ref="A546"/>
    <hyperlink r:id="rId530" ref="A547"/>
    <hyperlink r:id="rId531" ref="A548"/>
    <hyperlink r:id="rId532" ref="A549"/>
    <hyperlink r:id="rId533" ref="A550"/>
    <hyperlink r:id="rId534" ref="A551"/>
    <hyperlink r:id="rId535" ref="A552"/>
    <hyperlink r:id="rId536" ref="A553"/>
    <hyperlink r:id="rId537" ref="A554"/>
    <hyperlink r:id="rId538" ref="A555"/>
    <hyperlink r:id="rId539" ref="A556"/>
    <hyperlink r:id="rId540" ref="A557"/>
    <hyperlink r:id="rId541" ref="A558"/>
    <hyperlink r:id="rId542" ref="A559"/>
    <hyperlink r:id="rId543" ref="A560"/>
    <hyperlink r:id="rId544" ref="A561"/>
    <hyperlink r:id="rId545" ref="A562"/>
    <hyperlink r:id="rId546" ref="A563"/>
    <hyperlink r:id="rId547" ref="A564"/>
    <hyperlink r:id="rId548" ref="A565"/>
    <hyperlink r:id="rId549" ref="A566"/>
    <hyperlink r:id="rId550" ref="A567"/>
    <hyperlink r:id="rId551" ref="A568"/>
    <hyperlink r:id="rId552" ref="A569"/>
    <hyperlink r:id="rId553" ref="A570"/>
    <hyperlink r:id="rId554" ref="A571"/>
    <hyperlink r:id="rId555" ref="A572"/>
    <hyperlink r:id="rId556" ref="A573"/>
    <hyperlink r:id="rId557" ref="A574"/>
    <hyperlink r:id="rId558" ref="A575"/>
    <hyperlink r:id="rId559" ref="A576"/>
    <hyperlink r:id="rId560" ref="A577"/>
    <hyperlink r:id="rId561" ref="A578"/>
    <hyperlink r:id="rId562" ref="A579"/>
    <hyperlink r:id="rId563" ref="A580"/>
    <hyperlink r:id="rId564" ref="A581"/>
    <hyperlink r:id="rId565" ref="A582"/>
    <hyperlink r:id="rId566" ref="A583"/>
    <hyperlink r:id="rId567" ref="A584"/>
    <hyperlink r:id="rId568" ref="A585"/>
    <hyperlink r:id="rId569" ref="A586"/>
    <hyperlink r:id="rId570" ref="A587"/>
    <hyperlink r:id="rId571" ref="A589"/>
    <hyperlink r:id="rId572" ref="A590"/>
    <hyperlink r:id="rId573" ref="A591"/>
    <hyperlink r:id="rId574" ref="A592"/>
    <hyperlink r:id="rId575" ref="A593"/>
    <hyperlink r:id="rId576" ref="A594"/>
    <hyperlink r:id="rId577" ref="A595"/>
    <hyperlink r:id="rId578" ref="A596"/>
    <hyperlink r:id="rId579" ref="A597"/>
    <hyperlink r:id="rId580" ref="A598"/>
    <hyperlink r:id="rId581" ref="A599"/>
    <hyperlink r:id="rId582" ref="A600"/>
    <hyperlink r:id="rId583" ref="A601"/>
    <hyperlink r:id="rId584" ref="A602"/>
    <hyperlink r:id="rId585" ref="A603"/>
    <hyperlink r:id="rId586" ref="A605"/>
    <hyperlink r:id="rId587" ref="A606"/>
    <hyperlink r:id="rId588" ref="A607"/>
    <hyperlink r:id="rId589" ref="A608"/>
    <hyperlink r:id="rId590" ref="A609"/>
    <hyperlink r:id="rId591" ref="A610"/>
    <hyperlink r:id="rId592" ref="A611"/>
    <hyperlink r:id="rId593" ref="A612"/>
    <hyperlink r:id="rId594" ref="A613"/>
    <hyperlink r:id="rId595" ref="A614"/>
    <hyperlink r:id="rId596" ref="A615"/>
    <hyperlink r:id="rId597" ref="A616"/>
    <hyperlink r:id="rId598" ref="A617"/>
    <hyperlink r:id="rId599" ref="A618"/>
    <hyperlink r:id="rId600" ref="A619"/>
    <hyperlink r:id="rId601" ref="A620"/>
    <hyperlink r:id="rId602" ref="A621"/>
    <hyperlink r:id="rId603" ref="A622"/>
    <hyperlink r:id="rId604" ref="A623"/>
    <hyperlink r:id="rId605" ref="A624"/>
    <hyperlink r:id="rId606" ref="A625"/>
    <hyperlink r:id="rId607" ref="A626"/>
    <hyperlink r:id="rId608" ref="A627"/>
    <hyperlink r:id="rId609" ref="A628"/>
    <hyperlink r:id="rId610" ref="A629"/>
    <hyperlink r:id="rId611" ref="A630"/>
    <hyperlink r:id="rId612" ref="A631"/>
    <hyperlink r:id="rId613" ref="A633"/>
    <hyperlink r:id="rId614" ref="A634"/>
    <hyperlink r:id="rId615" ref="A635"/>
    <hyperlink r:id="rId616" ref="A636"/>
    <hyperlink r:id="rId617" ref="A637"/>
    <hyperlink r:id="rId618" ref="A638"/>
    <hyperlink r:id="rId619" ref="A639"/>
    <hyperlink r:id="rId620" ref="A640"/>
    <hyperlink r:id="rId621" ref="A641"/>
    <hyperlink r:id="rId622" ref="A642"/>
    <hyperlink r:id="rId623" ref="A643"/>
    <hyperlink r:id="rId624" ref="A644"/>
    <hyperlink r:id="rId625" ref="A645"/>
    <hyperlink r:id="rId626" ref="A646"/>
    <hyperlink r:id="rId627" ref="A647"/>
    <hyperlink r:id="rId628" ref="A648"/>
    <hyperlink r:id="rId629" ref="A649"/>
    <hyperlink r:id="rId630" ref="A650"/>
    <hyperlink r:id="rId631" ref="A651"/>
    <hyperlink r:id="rId632" ref="A652"/>
    <hyperlink r:id="rId633" ref="A653"/>
    <hyperlink r:id="rId634" ref="A654"/>
    <hyperlink r:id="rId635" ref="A656"/>
    <hyperlink r:id="rId636" ref="A657"/>
    <hyperlink r:id="rId637" ref="A658"/>
    <hyperlink r:id="rId638" ref="A659"/>
    <hyperlink r:id="rId639" ref="A660"/>
    <hyperlink r:id="rId640" ref="A661"/>
    <hyperlink r:id="rId641" ref="A662"/>
    <hyperlink r:id="rId642" ref="A664"/>
    <hyperlink r:id="rId643" ref="A665"/>
    <hyperlink r:id="rId644" ref="A666"/>
    <hyperlink r:id="rId645" ref="A667"/>
    <hyperlink r:id="rId646" ref="A669"/>
    <hyperlink r:id="rId647" ref="A670"/>
    <hyperlink r:id="rId648" ref="A671"/>
    <hyperlink r:id="rId649" ref="A672"/>
    <hyperlink r:id="rId650" ref="A673"/>
    <hyperlink r:id="rId651" ref="A674"/>
    <hyperlink r:id="rId652" ref="A675"/>
    <hyperlink r:id="rId653" ref="A677"/>
    <hyperlink r:id="rId654" ref="A678"/>
    <hyperlink r:id="rId655" ref="A679"/>
    <hyperlink r:id="rId656" ref="A680"/>
    <hyperlink r:id="rId657" ref="A681"/>
    <hyperlink r:id="rId658" ref="A682"/>
    <hyperlink r:id="rId659" ref="A683"/>
    <hyperlink r:id="rId660" ref="A684"/>
    <hyperlink r:id="rId661" ref="A685"/>
    <hyperlink r:id="rId662" ref="A686"/>
    <hyperlink r:id="rId663" ref="A687"/>
  </hyperlinks>
  <drawing r:id="rId66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82.63"/>
    <col customWidth="1" min="2" max="2" width="62.0"/>
    <col customWidth="1" min="3" max="3" width="29.63"/>
    <col customWidth="1" min="4" max="4" width="17.75"/>
    <col customWidth="1" min="5" max="5" width="21.88"/>
    <col customWidth="1" min="6" max="6" width="12.63"/>
    <col customWidth="1" min="10" max="10" width="19.75"/>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9" t="s">
        <v>11</v>
      </c>
      <c r="B2" s="10" t="s">
        <v>16</v>
      </c>
      <c r="C2" s="11" t="s">
        <v>17</v>
      </c>
      <c r="D2" s="12" t="s">
        <v>19</v>
      </c>
      <c r="E2" s="13" t="s">
        <v>20</v>
      </c>
      <c r="F2" s="14" t="s">
        <v>21</v>
      </c>
      <c r="G2" s="14" t="b">
        <v>0</v>
      </c>
      <c r="H2" s="14" t="s">
        <v>24</v>
      </c>
      <c r="I2" s="14">
        <v>121.0</v>
      </c>
      <c r="J2" s="14">
        <v>0.13</v>
      </c>
      <c r="K2" s="14">
        <v>1.1</v>
      </c>
    </row>
    <row r="3" ht="15.75" customHeight="1">
      <c r="A3" s="9" t="s">
        <v>26</v>
      </c>
      <c r="B3" s="10" t="s">
        <v>29</v>
      </c>
      <c r="C3" s="11" t="s">
        <v>25</v>
      </c>
      <c r="D3" s="12" t="s">
        <v>30</v>
      </c>
      <c r="E3" s="13" t="s">
        <v>32</v>
      </c>
      <c r="F3" s="14" t="s">
        <v>34</v>
      </c>
      <c r="G3" s="14" t="b">
        <v>0</v>
      </c>
      <c r="H3" s="14" t="s">
        <v>35</v>
      </c>
      <c r="I3" s="14">
        <v>120.0</v>
      </c>
      <c r="J3" s="14">
        <v>0.13</v>
      </c>
      <c r="K3" s="14">
        <v>0.36</v>
      </c>
    </row>
    <row r="4" ht="15.75" customHeight="1">
      <c r="A4" s="9" t="s">
        <v>37</v>
      </c>
      <c r="B4" s="10" t="s">
        <v>40</v>
      </c>
      <c r="C4" s="11" t="s">
        <v>39</v>
      </c>
      <c r="D4" s="12" t="s">
        <v>19</v>
      </c>
      <c r="E4" s="13" t="s">
        <v>20</v>
      </c>
      <c r="F4" s="14" t="s">
        <v>21</v>
      </c>
      <c r="G4" s="14" t="b">
        <v>0</v>
      </c>
      <c r="H4" s="14" t="s">
        <v>44</v>
      </c>
      <c r="I4" s="14">
        <v>99.0</v>
      </c>
      <c r="J4" s="14">
        <v>0.1</v>
      </c>
      <c r="K4" s="14">
        <v>1.31</v>
      </c>
    </row>
    <row r="5" ht="15.75" customHeight="1">
      <c r="A5" s="9" t="s">
        <v>45</v>
      </c>
      <c r="B5" s="10" t="s">
        <v>47</v>
      </c>
      <c r="C5" s="11" t="s">
        <v>18</v>
      </c>
      <c r="D5" s="12" t="s">
        <v>30</v>
      </c>
      <c r="E5" s="13" t="s">
        <v>32</v>
      </c>
      <c r="F5" s="14" t="s">
        <v>34</v>
      </c>
      <c r="G5" s="14" t="b">
        <v>0</v>
      </c>
      <c r="H5" s="14" t="s">
        <v>49</v>
      </c>
      <c r="I5" s="14">
        <v>93.0</v>
      </c>
      <c r="J5" s="14">
        <v>0.1</v>
      </c>
      <c r="K5" s="14">
        <v>1.11</v>
      </c>
    </row>
    <row r="6" ht="15.75" customHeight="1">
      <c r="A6" s="9" t="s">
        <v>50</v>
      </c>
      <c r="B6" s="10" t="s">
        <v>52</v>
      </c>
      <c r="C6" s="11" t="s">
        <v>53</v>
      </c>
      <c r="D6" s="12" t="s">
        <v>19</v>
      </c>
      <c r="E6" s="13" t="s">
        <v>20</v>
      </c>
      <c r="F6" s="14" t="s">
        <v>21</v>
      </c>
      <c r="G6" s="14" t="b">
        <v>0</v>
      </c>
      <c r="H6" s="14" t="s">
        <v>56</v>
      </c>
      <c r="I6" s="14">
        <v>86.0</v>
      </c>
      <c r="J6" s="14">
        <v>0.09</v>
      </c>
      <c r="K6" s="14">
        <v>1.44</v>
      </c>
    </row>
    <row r="7" ht="15.75" customHeight="1">
      <c r="A7" s="9" t="s">
        <v>57</v>
      </c>
      <c r="B7" s="10" t="s">
        <v>59</v>
      </c>
      <c r="C7" s="11" t="s">
        <v>18</v>
      </c>
      <c r="D7" s="12" t="s">
        <v>30</v>
      </c>
      <c r="E7" s="13" t="s">
        <v>32</v>
      </c>
      <c r="F7" s="14" t="s">
        <v>34</v>
      </c>
      <c r="G7" s="14" t="b">
        <v>0</v>
      </c>
      <c r="H7" s="14" t="s">
        <v>61</v>
      </c>
      <c r="I7" s="14">
        <v>83.0</v>
      </c>
      <c r="J7" s="14">
        <v>0.09</v>
      </c>
      <c r="K7" s="14">
        <v>0.59</v>
      </c>
    </row>
    <row r="8" ht="15.75" customHeight="1">
      <c r="A8" s="9" t="s">
        <v>62</v>
      </c>
      <c r="B8" s="10" t="s">
        <v>65</v>
      </c>
      <c r="C8" s="11" t="s">
        <v>60</v>
      </c>
      <c r="D8" s="12" t="s">
        <v>19</v>
      </c>
      <c r="E8" s="13" t="s">
        <v>20</v>
      </c>
      <c r="F8" s="14" t="s">
        <v>21</v>
      </c>
      <c r="G8" s="14" t="b">
        <v>0</v>
      </c>
      <c r="H8" s="14" t="s">
        <v>67</v>
      </c>
      <c r="I8" s="14">
        <v>71.0</v>
      </c>
      <c r="J8" s="14">
        <v>0.07</v>
      </c>
      <c r="K8" s="14">
        <v>1.45</v>
      </c>
    </row>
    <row r="9" ht="15.75" customHeight="1">
      <c r="A9" s="9" t="s">
        <v>68</v>
      </c>
      <c r="B9" s="10" t="s">
        <v>71</v>
      </c>
      <c r="C9" s="11" t="s">
        <v>72</v>
      </c>
      <c r="D9" s="12" t="s">
        <v>19</v>
      </c>
      <c r="E9" s="13" t="s">
        <v>32</v>
      </c>
      <c r="F9" s="14" t="s">
        <v>21</v>
      </c>
      <c r="G9" s="14" t="b">
        <v>0</v>
      </c>
      <c r="H9" s="14" t="s">
        <v>74</v>
      </c>
      <c r="I9" s="14">
        <v>66.0</v>
      </c>
      <c r="J9" s="14">
        <v>0.07</v>
      </c>
      <c r="K9" s="14">
        <v>1.97</v>
      </c>
    </row>
    <row r="10" ht="15.75" customHeight="1">
      <c r="A10" s="9" t="s">
        <v>75</v>
      </c>
      <c r="B10" s="10" t="s">
        <v>77</v>
      </c>
      <c r="C10" s="11" t="s">
        <v>25</v>
      </c>
      <c r="D10" s="12" t="s">
        <v>30</v>
      </c>
      <c r="E10" s="13" t="s">
        <v>32</v>
      </c>
      <c r="F10" s="14" t="s">
        <v>34</v>
      </c>
      <c r="G10" s="14" t="b">
        <v>0</v>
      </c>
      <c r="H10" s="14" t="s">
        <v>79</v>
      </c>
      <c r="I10" s="14">
        <v>56.0</v>
      </c>
      <c r="J10" s="14">
        <v>0.06</v>
      </c>
      <c r="K10" s="14">
        <v>0.07</v>
      </c>
    </row>
    <row r="11" ht="15.75" customHeight="1">
      <c r="A11" s="9" t="s">
        <v>81</v>
      </c>
      <c r="B11" s="10" t="s">
        <v>83</v>
      </c>
      <c r="C11" s="11" t="s">
        <v>43</v>
      </c>
      <c r="D11" s="12" t="s">
        <v>19</v>
      </c>
      <c r="E11" s="13" t="s">
        <v>20</v>
      </c>
      <c r="F11" s="14" t="s">
        <v>21</v>
      </c>
      <c r="G11" s="14" t="b">
        <v>0</v>
      </c>
      <c r="H11" s="14" t="s">
        <v>86</v>
      </c>
      <c r="I11" s="14">
        <v>55.0</v>
      </c>
      <c r="J11" s="14">
        <v>0.06</v>
      </c>
      <c r="K11" s="14">
        <v>2.02</v>
      </c>
    </row>
    <row r="12" ht="15.75" customHeight="1">
      <c r="A12" s="9" t="s">
        <v>88</v>
      </c>
      <c r="B12" s="10" t="s">
        <v>89</v>
      </c>
      <c r="C12" s="11" t="s">
        <v>36</v>
      </c>
      <c r="D12" s="12" t="s">
        <v>30</v>
      </c>
      <c r="E12" s="13" t="s">
        <v>32</v>
      </c>
      <c r="F12" s="14" t="s">
        <v>34</v>
      </c>
      <c r="G12" s="14" t="b">
        <v>0</v>
      </c>
      <c r="H12" s="14" t="s">
        <v>91</v>
      </c>
      <c r="I12" s="14">
        <v>53.0</v>
      </c>
      <c r="J12" s="14">
        <v>0.06</v>
      </c>
      <c r="K12" s="14">
        <v>0.58</v>
      </c>
    </row>
    <row r="13" ht="15.75" customHeight="1">
      <c r="A13" s="9" t="s">
        <v>92</v>
      </c>
      <c r="B13" s="10" t="s">
        <v>93</v>
      </c>
      <c r="C13" s="11" t="s">
        <v>43</v>
      </c>
      <c r="D13" s="12" t="s">
        <v>19</v>
      </c>
      <c r="E13" s="13" t="s">
        <v>20</v>
      </c>
      <c r="F13" s="14" t="s">
        <v>21</v>
      </c>
      <c r="G13" s="14" t="b">
        <v>0</v>
      </c>
      <c r="H13" s="14" t="s">
        <v>94</v>
      </c>
      <c r="I13" s="14">
        <v>53.0</v>
      </c>
      <c r="J13" s="14">
        <v>0.06</v>
      </c>
      <c r="K13" s="14">
        <v>1.7</v>
      </c>
    </row>
    <row r="14" ht="15.75" customHeight="1">
      <c r="A14" s="9" t="s">
        <v>96</v>
      </c>
      <c r="B14" s="10" t="s">
        <v>99</v>
      </c>
      <c r="C14" s="11" t="s">
        <v>100</v>
      </c>
      <c r="D14" s="12" t="s">
        <v>19</v>
      </c>
      <c r="E14" s="13" t="s">
        <v>102</v>
      </c>
      <c r="F14" s="14" t="s">
        <v>21</v>
      </c>
      <c r="G14" s="14" t="b">
        <v>0</v>
      </c>
      <c r="H14" s="14" t="s">
        <v>103</v>
      </c>
      <c r="I14" s="14">
        <v>51.0</v>
      </c>
      <c r="J14" s="14">
        <v>0.05</v>
      </c>
      <c r="K14" s="14">
        <v>2.14</v>
      </c>
    </row>
    <row r="15" ht="15.75" customHeight="1">
      <c r="A15" s="9" t="s">
        <v>105</v>
      </c>
      <c r="B15" s="10" t="s">
        <v>108</v>
      </c>
      <c r="C15" s="11" t="s">
        <v>109</v>
      </c>
      <c r="D15" s="12" t="s">
        <v>19</v>
      </c>
      <c r="E15" s="13" t="s">
        <v>32</v>
      </c>
      <c r="F15" s="14" t="s">
        <v>21</v>
      </c>
      <c r="G15" s="14" t="b">
        <v>0</v>
      </c>
      <c r="H15" s="14" t="s">
        <v>112</v>
      </c>
      <c r="I15" s="14">
        <v>49.0</v>
      </c>
      <c r="J15" s="14">
        <v>0.05</v>
      </c>
      <c r="K15" s="14">
        <v>1.43</v>
      </c>
    </row>
    <row r="16" ht="15.75" customHeight="1">
      <c r="A16" s="9" t="s">
        <v>113</v>
      </c>
      <c r="B16" s="10" t="s">
        <v>115</v>
      </c>
      <c r="C16" s="11" t="s">
        <v>25</v>
      </c>
      <c r="D16" s="12" t="s">
        <v>116</v>
      </c>
      <c r="E16" s="13" t="s">
        <v>32</v>
      </c>
      <c r="F16" s="14" t="s">
        <v>117</v>
      </c>
      <c r="G16" s="14" t="b">
        <v>0</v>
      </c>
      <c r="H16" s="14" t="s">
        <v>118</v>
      </c>
      <c r="I16" s="14">
        <v>47.0</v>
      </c>
      <c r="J16" s="14">
        <v>0.05</v>
      </c>
      <c r="K16" s="14">
        <v>1.06</v>
      </c>
    </row>
    <row r="17" ht="15.75" customHeight="1">
      <c r="A17" s="9" t="s">
        <v>119</v>
      </c>
      <c r="B17" s="10" t="s">
        <v>123</v>
      </c>
      <c r="C17" s="11" t="s">
        <v>124</v>
      </c>
      <c r="D17" s="12" t="s">
        <v>125</v>
      </c>
      <c r="E17" s="13" t="s">
        <v>20</v>
      </c>
      <c r="F17" s="14" t="s">
        <v>126</v>
      </c>
      <c r="G17" s="14" t="b">
        <v>0</v>
      </c>
      <c r="H17" s="14" t="s">
        <v>127</v>
      </c>
      <c r="I17" s="14">
        <v>44.0</v>
      </c>
      <c r="J17" s="14">
        <v>0.05</v>
      </c>
      <c r="K17" s="14">
        <v>1.23</v>
      </c>
    </row>
    <row r="18" ht="15.75" customHeight="1">
      <c r="A18" s="9" t="s">
        <v>129</v>
      </c>
      <c r="B18" s="10" t="s">
        <v>130</v>
      </c>
      <c r="C18" s="11" t="s">
        <v>111</v>
      </c>
      <c r="D18" s="12" t="s">
        <v>19</v>
      </c>
      <c r="E18" s="13" t="s">
        <v>20</v>
      </c>
      <c r="F18" s="14" t="s">
        <v>21</v>
      </c>
      <c r="G18" s="14" t="b">
        <v>0</v>
      </c>
      <c r="H18" s="14" t="s">
        <v>133</v>
      </c>
      <c r="I18" s="14">
        <v>44.0</v>
      </c>
      <c r="J18" s="14">
        <v>0.05</v>
      </c>
      <c r="K18" s="14">
        <v>1.57</v>
      </c>
    </row>
    <row r="19" ht="15.75" customHeight="1">
      <c r="A19" s="9" t="s">
        <v>134</v>
      </c>
      <c r="B19" s="10" t="s">
        <v>135</v>
      </c>
      <c r="C19" s="11" t="s">
        <v>18</v>
      </c>
      <c r="D19" s="12" t="s">
        <v>30</v>
      </c>
      <c r="E19" s="13" t="s">
        <v>32</v>
      </c>
      <c r="F19" s="14" t="s">
        <v>34</v>
      </c>
      <c r="G19" s="14" t="b">
        <v>0</v>
      </c>
      <c r="H19" s="14" t="s">
        <v>137</v>
      </c>
      <c r="I19" s="14">
        <v>42.0</v>
      </c>
      <c r="J19" s="14">
        <v>0.04</v>
      </c>
      <c r="K19" s="14">
        <v>2.81</v>
      </c>
    </row>
    <row r="20" ht="15.75" customHeight="1">
      <c r="A20" s="9" t="s">
        <v>139</v>
      </c>
      <c r="B20" s="10" t="s">
        <v>141</v>
      </c>
      <c r="C20" s="11" t="s">
        <v>70</v>
      </c>
      <c r="D20" s="12" t="s">
        <v>19</v>
      </c>
      <c r="E20" s="13" t="s">
        <v>20</v>
      </c>
      <c r="F20" s="14" t="s">
        <v>21</v>
      </c>
      <c r="G20" s="14" t="b">
        <v>0</v>
      </c>
      <c r="H20" s="14" t="s">
        <v>144</v>
      </c>
      <c r="I20" s="14">
        <v>41.0</v>
      </c>
      <c r="J20" s="14">
        <v>0.04</v>
      </c>
      <c r="K20" s="14">
        <v>1.34</v>
      </c>
    </row>
    <row r="21" ht="15.75" customHeight="1">
      <c r="A21" s="9" t="s">
        <v>145</v>
      </c>
      <c r="B21" s="10" t="s">
        <v>146</v>
      </c>
      <c r="C21" s="11" t="s">
        <v>95</v>
      </c>
      <c r="D21" s="12" t="s">
        <v>125</v>
      </c>
      <c r="E21" s="13" t="s">
        <v>32</v>
      </c>
      <c r="F21" s="14" t="s">
        <v>126</v>
      </c>
      <c r="G21" s="14" t="b">
        <v>0</v>
      </c>
      <c r="H21" s="14" t="s">
        <v>149</v>
      </c>
      <c r="I21" s="14">
        <v>41.0</v>
      </c>
      <c r="J21" s="14">
        <v>0.04</v>
      </c>
      <c r="K21" s="14">
        <v>1.46</v>
      </c>
    </row>
    <row r="22" ht="15.75" customHeight="1">
      <c r="A22" s="9" t="s">
        <v>150</v>
      </c>
      <c r="B22" s="10" t="s">
        <v>153</v>
      </c>
      <c r="C22" s="11" t="s">
        <v>28</v>
      </c>
      <c r="D22" s="12" t="s">
        <v>158</v>
      </c>
      <c r="E22" s="13" t="s">
        <v>159</v>
      </c>
      <c r="F22" s="14" t="s">
        <v>160</v>
      </c>
      <c r="G22" s="14" t="b">
        <v>0</v>
      </c>
      <c r="H22" s="14" t="s">
        <v>161</v>
      </c>
      <c r="I22" s="14">
        <v>40.0</v>
      </c>
      <c r="J22" s="14">
        <v>0.04</v>
      </c>
      <c r="K22" s="14">
        <v>0.88</v>
      </c>
    </row>
    <row r="23" ht="15.75" customHeight="1">
      <c r="A23" s="9" t="s">
        <v>162</v>
      </c>
      <c r="B23" s="10" t="s">
        <v>165</v>
      </c>
      <c r="C23" s="11" t="s">
        <v>166</v>
      </c>
      <c r="D23" s="12" t="s">
        <v>19</v>
      </c>
      <c r="E23" s="13" t="s">
        <v>20</v>
      </c>
      <c r="F23" s="14" t="s">
        <v>21</v>
      </c>
      <c r="G23" s="14" t="b">
        <v>0</v>
      </c>
      <c r="H23" s="14" t="s">
        <v>168</v>
      </c>
      <c r="I23" s="14">
        <v>39.0</v>
      </c>
      <c r="J23" s="14">
        <v>0.04</v>
      </c>
      <c r="K23" s="14">
        <v>1.31</v>
      </c>
    </row>
    <row r="24" ht="15.75" customHeight="1">
      <c r="A24" s="9" t="s">
        <v>169</v>
      </c>
      <c r="B24" s="10" t="s">
        <v>171</v>
      </c>
      <c r="C24" s="11" t="s">
        <v>18</v>
      </c>
      <c r="D24" s="12" t="s">
        <v>116</v>
      </c>
      <c r="E24" s="13" t="s">
        <v>32</v>
      </c>
      <c r="F24" s="14" t="s">
        <v>117</v>
      </c>
      <c r="G24" s="14" t="b">
        <v>0</v>
      </c>
      <c r="H24" s="14" t="s">
        <v>173</v>
      </c>
      <c r="I24" s="14">
        <v>38.0</v>
      </c>
      <c r="J24" s="14">
        <v>0.04</v>
      </c>
      <c r="K24" s="14">
        <v>2.66</v>
      </c>
    </row>
    <row r="25" ht="15.75" customHeight="1">
      <c r="A25" s="9" t="s">
        <v>174</v>
      </c>
      <c r="B25" s="10" t="s">
        <v>176</v>
      </c>
      <c r="C25" s="11" t="s">
        <v>55</v>
      </c>
      <c r="D25" s="12" t="s">
        <v>125</v>
      </c>
      <c r="E25" s="13" t="s">
        <v>20</v>
      </c>
      <c r="F25" s="14" t="s">
        <v>126</v>
      </c>
      <c r="G25" s="14" t="b">
        <v>0</v>
      </c>
      <c r="H25" s="14" t="s">
        <v>178</v>
      </c>
      <c r="I25" s="14">
        <v>38.0</v>
      </c>
      <c r="J25" s="14">
        <v>0.04</v>
      </c>
      <c r="K25" s="14">
        <v>1.18</v>
      </c>
    </row>
    <row r="26" ht="15.75" customHeight="1">
      <c r="A26" s="9" t="s">
        <v>180</v>
      </c>
      <c r="B26" s="10" t="s">
        <v>183</v>
      </c>
      <c r="C26" s="11" t="s">
        <v>55</v>
      </c>
      <c r="D26" s="12" t="s">
        <v>19</v>
      </c>
      <c r="E26" s="13" t="s">
        <v>20</v>
      </c>
      <c r="F26" s="14" t="s">
        <v>21</v>
      </c>
      <c r="G26" s="14" t="b">
        <v>0</v>
      </c>
      <c r="H26" s="14" t="s">
        <v>185</v>
      </c>
      <c r="I26" s="14">
        <v>38.0</v>
      </c>
      <c r="J26" s="14">
        <v>0.04</v>
      </c>
      <c r="K26" s="14">
        <v>1.45</v>
      </c>
    </row>
    <row r="27" ht="15.75" customHeight="1">
      <c r="A27" s="9" t="s">
        <v>186</v>
      </c>
      <c r="B27" s="10" t="s">
        <v>188</v>
      </c>
      <c r="C27" s="11" t="s">
        <v>142</v>
      </c>
      <c r="D27" s="12" t="s">
        <v>30</v>
      </c>
      <c r="E27" s="13" t="s">
        <v>116</v>
      </c>
      <c r="F27" s="14" t="s">
        <v>34</v>
      </c>
      <c r="G27" s="14" t="b">
        <v>0</v>
      </c>
      <c r="H27" s="14" t="s">
        <v>190</v>
      </c>
      <c r="I27" s="14">
        <v>37.0</v>
      </c>
      <c r="J27" s="14">
        <v>0.04</v>
      </c>
      <c r="K27" s="14">
        <v>1.16</v>
      </c>
    </row>
    <row r="28" ht="15.75" customHeight="1">
      <c r="A28" s="9" t="s">
        <v>191</v>
      </c>
      <c r="B28" s="10" t="s">
        <v>193</v>
      </c>
      <c r="C28" s="11" t="s">
        <v>98</v>
      </c>
      <c r="D28" s="12" t="s">
        <v>19</v>
      </c>
      <c r="E28" s="13" t="s">
        <v>32</v>
      </c>
      <c r="F28" s="14" t="s">
        <v>21</v>
      </c>
      <c r="G28" s="14" t="b">
        <v>0</v>
      </c>
      <c r="H28" s="14" t="s">
        <v>195</v>
      </c>
      <c r="I28" s="14">
        <v>37.0</v>
      </c>
      <c r="J28" s="14">
        <v>0.04</v>
      </c>
      <c r="K28" s="14">
        <v>0.65</v>
      </c>
    </row>
    <row r="29" ht="15.75" customHeight="1">
      <c r="A29" s="9" t="s">
        <v>197</v>
      </c>
      <c r="B29" s="10" t="s">
        <v>200</v>
      </c>
      <c r="C29" s="11" t="s">
        <v>28</v>
      </c>
      <c r="D29" s="12" t="s">
        <v>30</v>
      </c>
      <c r="E29" s="13" t="s">
        <v>159</v>
      </c>
      <c r="F29" s="14" t="s">
        <v>34</v>
      </c>
      <c r="G29" s="14" t="b">
        <v>0</v>
      </c>
      <c r="H29" s="14" t="s">
        <v>202</v>
      </c>
      <c r="I29" s="14">
        <v>36.0</v>
      </c>
      <c r="J29" s="14">
        <v>0.04</v>
      </c>
      <c r="K29" s="14">
        <v>0.33</v>
      </c>
    </row>
    <row r="30" ht="15.75" customHeight="1">
      <c r="A30" s="9" t="s">
        <v>203</v>
      </c>
      <c r="B30" s="10" t="s">
        <v>206</v>
      </c>
      <c r="C30" s="11" t="s">
        <v>25</v>
      </c>
      <c r="D30" s="12" t="s">
        <v>30</v>
      </c>
      <c r="E30" s="13" t="s">
        <v>32</v>
      </c>
      <c r="F30" s="14" t="s">
        <v>34</v>
      </c>
      <c r="G30" s="14" t="b">
        <v>0</v>
      </c>
      <c r="H30" s="14" t="s">
        <v>207</v>
      </c>
      <c r="I30" s="14">
        <v>34.0</v>
      </c>
      <c r="J30" s="14">
        <v>0.04</v>
      </c>
      <c r="K30" s="14">
        <v>0.41</v>
      </c>
    </row>
    <row r="31" ht="15.75" customHeight="1">
      <c r="A31" s="9" t="s">
        <v>208</v>
      </c>
      <c r="B31" s="10" t="s">
        <v>211</v>
      </c>
      <c r="C31" s="11" t="s">
        <v>84</v>
      </c>
      <c r="D31" s="12" t="s">
        <v>213</v>
      </c>
      <c r="E31" s="13" t="s">
        <v>85</v>
      </c>
      <c r="F31" s="14" t="s">
        <v>215</v>
      </c>
      <c r="G31" s="14" t="b">
        <v>0</v>
      </c>
      <c r="H31" s="14" t="s">
        <v>216</v>
      </c>
      <c r="I31" s="14">
        <v>34.0</v>
      </c>
      <c r="J31" s="14">
        <v>0.04</v>
      </c>
      <c r="K31" s="14">
        <v>2.21</v>
      </c>
    </row>
    <row r="32" ht="15.75" customHeight="1">
      <c r="A32" s="9" t="s">
        <v>217</v>
      </c>
      <c r="B32" s="10" t="s">
        <v>221</v>
      </c>
      <c r="C32" s="11" t="s">
        <v>25</v>
      </c>
      <c r="D32" s="12" t="s">
        <v>30</v>
      </c>
      <c r="E32" s="13" t="s">
        <v>32</v>
      </c>
      <c r="F32" s="14" t="s">
        <v>34</v>
      </c>
      <c r="G32" s="14" t="b">
        <v>0</v>
      </c>
      <c r="H32" s="14" t="s">
        <v>223</v>
      </c>
      <c r="I32" s="14">
        <v>33.0</v>
      </c>
      <c r="J32" s="14">
        <v>0.03</v>
      </c>
      <c r="K32" s="14">
        <v>0.79</v>
      </c>
    </row>
    <row r="33" ht="15.75" customHeight="1">
      <c r="A33" s="9" t="s">
        <v>224</v>
      </c>
      <c r="B33" s="10" t="s">
        <v>225</v>
      </c>
      <c r="C33" s="11" t="s">
        <v>18</v>
      </c>
      <c r="D33" s="12" t="s">
        <v>30</v>
      </c>
      <c r="E33" s="13" t="s">
        <v>32</v>
      </c>
      <c r="F33" s="14" t="s">
        <v>34</v>
      </c>
      <c r="G33" s="14" t="b">
        <v>0</v>
      </c>
      <c r="H33" s="14" t="s">
        <v>227</v>
      </c>
      <c r="I33" s="14">
        <v>33.0</v>
      </c>
      <c r="J33" s="14">
        <v>0.03</v>
      </c>
      <c r="K33" s="14">
        <v>1.15</v>
      </c>
    </row>
    <row r="34" ht="15.75" customHeight="1">
      <c r="A34" s="9" t="s">
        <v>230</v>
      </c>
      <c r="B34" s="10" t="s">
        <v>232</v>
      </c>
      <c r="C34" s="11" t="s">
        <v>39</v>
      </c>
      <c r="D34" s="12" t="s">
        <v>19</v>
      </c>
      <c r="E34" s="13" t="s">
        <v>20</v>
      </c>
      <c r="F34" s="14" t="s">
        <v>21</v>
      </c>
      <c r="G34" s="14" t="b">
        <v>0</v>
      </c>
      <c r="H34" s="14" t="s">
        <v>234</v>
      </c>
      <c r="I34" s="14">
        <v>33.0</v>
      </c>
      <c r="J34" s="14">
        <v>0.03</v>
      </c>
      <c r="K34" s="14">
        <v>0.45</v>
      </c>
    </row>
    <row r="35" ht="15.75" customHeight="1">
      <c r="A35" s="9" t="s">
        <v>236</v>
      </c>
      <c r="B35" s="10" t="s">
        <v>238</v>
      </c>
      <c r="C35" s="11" t="s">
        <v>76</v>
      </c>
      <c r="D35" s="12" t="s">
        <v>116</v>
      </c>
      <c r="E35" s="13" t="s">
        <v>32</v>
      </c>
      <c r="F35" s="14" t="s">
        <v>117</v>
      </c>
      <c r="G35" s="14" t="b">
        <v>0</v>
      </c>
      <c r="H35" s="14" t="s">
        <v>241</v>
      </c>
      <c r="I35" s="14">
        <v>33.0</v>
      </c>
      <c r="J35" s="14">
        <v>0.03</v>
      </c>
      <c r="K35" s="14">
        <v>1.73</v>
      </c>
    </row>
    <row r="36" ht="15.75" customHeight="1">
      <c r="A36" s="9" t="s">
        <v>242</v>
      </c>
      <c r="B36" s="10" t="s">
        <v>244</v>
      </c>
      <c r="C36" s="11" t="s">
        <v>18</v>
      </c>
      <c r="D36" s="12" t="s">
        <v>158</v>
      </c>
      <c r="E36" s="13" t="s">
        <v>32</v>
      </c>
      <c r="F36" s="14" t="s">
        <v>160</v>
      </c>
      <c r="G36" s="14" t="b">
        <v>0</v>
      </c>
      <c r="H36" s="14" t="s">
        <v>246</v>
      </c>
      <c r="I36" s="14">
        <v>32.0</v>
      </c>
      <c r="J36" s="14">
        <v>0.03</v>
      </c>
      <c r="K36" s="14">
        <v>1.09</v>
      </c>
    </row>
    <row r="37" ht="15.75" customHeight="1">
      <c r="A37" s="9" t="s">
        <v>248</v>
      </c>
      <c r="B37" s="10" t="s">
        <v>250</v>
      </c>
      <c r="C37" s="11" t="s">
        <v>210</v>
      </c>
      <c r="D37" s="12" t="s">
        <v>19</v>
      </c>
      <c r="E37" s="13" t="s">
        <v>159</v>
      </c>
      <c r="F37" s="14" t="s">
        <v>21</v>
      </c>
      <c r="G37" s="14" t="b">
        <v>0</v>
      </c>
      <c r="H37" s="14" t="s">
        <v>253</v>
      </c>
      <c r="I37" s="14">
        <v>31.0</v>
      </c>
      <c r="J37" s="14">
        <v>0.03</v>
      </c>
      <c r="K37" s="14">
        <v>1.26</v>
      </c>
    </row>
    <row r="38" ht="15.75" customHeight="1">
      <c r="A38" s="9" t="s">
        <v>254</v>
      </c>
      <c r="B38" s="10" t="s">
        <v>256</v>
      </c>
      <c r="C38" s="11" t="s">
        <v>177</v>
      </c>
      <c r="D38" s="12" t="s">
        <v>19</v>
      </c>
      <c r="E38" s="13" t="s">
        <v>116</v>
      </c>
      <c r="F38" s="14" t="s">
        <v>21</v>
      </c>
      <c r="G38" s="14" t="b">
        <v>0</v>
      </c>
      <c r="H38" s="14" t="s">
        <v>259</v>
      </c>
      <c r="I38" s="14">
        <v>31.0</v>
      </c>
      <c r="J38" s="14">
        <v>0.03</v>
      </c>
      <c r="K38" s="14">
        <v>1.32</v>
      </c>
    </row>
    <row r="39" ht="15.75" customHeight="1">
      <c r="A39" s="9" t="s">
        <v>260</v>
      </c>
      <c r="B39" s="10" t="s">
        <v>263</v>
      </c>
      <c r="C39" s="11" t="s">
        <v>64</v>
      </c>
      <c r="D39" s="12" t="s">
        <v>19</v>
      </c>
      <c r="E39" s="13" t="s">
        <v>32</v>
      </c>
      <c r="F39" s="14" t="s">
        <v>21</v>
      </c>
      <c r="G39" s="14" t="b">
        <v>0</v>
      </c>
      <c r="H39" s="14" t="s">
        <v>266</v>
      </c>
      <c r="I39" s="14">
        <v>31.0</v>
      </c>
      <c r="J39" s="14">
        <v>0.03</v>
      </c>
      <c r="K39" s="14">
        <v>0.29</v>
      </c>
    </row>
    <row r="40" ht="15.75" customHeight="1">
      <c r="A40" s="9" t="s">
        <v>267</v>
      </c>
      <c r="B40" s="10" t="s">
        <v>270</v>
      </c>
      <c r="C40" s="11" t="s">
        <v>25</v>
      </c>
      <c r="D40" s="12" t="s">
        <v>30</v>
      </c>
      <c r="E40" s="13" t="s">
        <v>32</v>
      </c>
      <c r="F40" s="14" t="s">
        <v>34</v>
      </c>
      <c r="G40" s="14" t="b">
        <v>0</v>
      </c>
      <c r="H40" s="14" t="s">
        <v>271</v>
      </c>
      <c r="I40" s="14">
        <v>30.0</v>
      </c>
      <c r="J40" s="14">
        <v>0.03</v>
      </c>
      <c r="K40" s="14">
        <v>0.77</v>
      </c>
    </row>
    <row r="41" ht="15.75" customHeight="1">
      <c r="A41" s="9" t="s">
        <v>272</v>
      </c>
      <c r="B41" s="10" t="s">
        <v>274</v>
      </c>
      <c r="C41" s="11" t="s">
        <v>172</v>
      </c>
      <c r="D41" s="12" t="s">
        <v>277</v>
      </c>
      <c r="E41" s="13" t="s">
        <v>20</v>
      </c>
      <c r="F41" s="14" t="s">
        <v>278</v>
      </c>
      <c r="G41" s="14" t="b">
        <v>0</v>
      </c>
      <c r="H41" s="14" t="s">
        <v>279</v>
      </c>
      <c r="I41" s="14">
        <v>30.0</v>
      </c>
      <c r="J41" s="14">
        <v>0.03</v>
      </c>
      <c r="K41" s="14">
        <v>1.4</v>
      </c>
    </row>
    <row r="42" ht="15.75" customHeight="1">
      <c r="A42" s="9" t="s">
        <v>281</v>
      </c>
      <c r="B42" s="10" t="s">
        <v>283</v>
      </c>
      <c r="C42" s="11" t="s">
        <v>76</v>
      </c>
      <c r="D42" s="12" t="s">
        <v>19</v>
      </c>
      <c r="E42" s="13" t="s">
        <v>32</v>
      </c>
      <c r="F42" s="14" t="s">
        <v>21</v>
      </c>
      <c r="G42" s="14" t="b">
        <v>0</v>
      </c>
      <c r="H42" s="14" t="s">
        <v>285</v>
      </c>
      <c r="I42" s="14">
        <v>30.0</v>
      </c>
      <c r="J42" s="14">
        <v>0.03</v>
      </c>
      <c r="K42" s="14">
        <v>1.53</v>
      </c>
    </row>
    <row r="43" ht="15.75" customHeight="1">
      <c r="A43" s="9" t="s">
        <v>287</v>
      </c>
      <c r="B43" s="10" t="s">
        <v>289</v>
      </c>
      <c r="C43" s="11" t="s">
        <v>43</v>
      </c>
      <c r="D43" s="12" t="s">
        <v>19</v>
      </c>
      <c r="E43" s="13" t="s">
        <v>20</v>
      </c>
      <c r="F43" s="14" t="s">
        <v>21</v>
      </c>
      <c r="G43" s="14" t="b">
        <v>0</v>
      </c>
      <c r="H43" s="14" t="s">
        <v>291</v>
      </c>
      <c r="I43" s="14">
        <v>30.0</v>
      </c>
      <c r="J43" s="14">
        <v>0.03</v>
      </c>
      <c r="K43" s="14">
        <v>1.1</v>
      </c>
    </row>
    <row r="44" ht="15.75" customHeight="1">
      <c r="A44" s="9" t="s">
        <v>292</v>
      </c>
      <c r="B44" s="10" t="s">
        <v>295</v>
      </c>
      <c r="C44" s="11" t="s">
        <v>64</v>
      </c>
      <c r="D44" s="12" t="s">
        <v>19</v>
      </c>
      <c r="E44" s="13" t="s">
        <v>32</v>
      </c>
      <c r="F44" s="14" t="s">
        <v>21</v>
      </c>
      <c r="G44" s="14" t="b">
        <v>0</v>
      </c>
      <c r="I44" s="14">
        <v>30.0</v>
      </c>
      <c r="J44" s="14">
        <v>0.03</v>
      </c>
      <c r="K44" s="14">
        <v>0.47</v>
      </c>
    </row>
    <row r="45" ht="15.75" customHeight="1">
      <c r="A45" s="9" t="s">
        <v>296</v>
      </c>
      <c r="B45" s="10" t="s">
        <v>299</v>
      </c>
      <c r="C45" s="11" t="s">
        <v>60</v>
      </c>
      <c r="D45" s="12" t="s">
        <v>19</v>
      </c>
      <c r="E45" s="13" t="s">
        <v>20</v>
      </c>
      <c r="F45" s="14" t="s">
        <v>21</v>
      </c>
      <c r="G45" s="14" t="b">
        <v>0</v>
      </c>
      <c r="H45" s="14" t="s">
        <v>300</v>
      </c>
      <c r="I45" s="14">
        <v>29.0</v>
      </c>
      <c r="J45" s="14">
        <v>0.03</v>
      </c>
      <c r="K45" s="14">
        <v>1.62</v>
      </c>
    </row>
    <row r="46" ht="15.75" customHeight="1">
      <c r="A46" s="9" t="s">
        <v>301</v>
      </c>
      <c r="B46" s="10" t="s">
        <v>304</v>
      </c>
      <c r="C46" s="11" t="s">
        <v>222</v>
      </c>
      <c r="D46" s="12" t="s">
        <v>19</v>
      </c>
      <c r="E46" s="13" t="s">
        <v>32</v>
      </c>
      <c r="F46" s="14" t="s">
        <v>21</v>
      </c>
      <c r="G46" s="14" t="b">
        <v>0</v>
      </c>
      <c r="H46" s="14" t="s">
        <v>306</v>
      </c>
      <c r="I46" s="14">
        <v>29.0</v>
      </c>
      <c r="J46" s="14">
        <v>0.03</v>
      </c>
      <c r="K46" s="14">
        <v>0.97</v>
      </c>
    </row>
    <row r="47" ht="15.75" customHeight="1">
      <c r="A47" s="9" t="s">
        <v>308</v>
      </c>
      <c r="B47" s="10" t="s">
        <v>311</v>
      </c>
      <c r="C47" s="11" t="s">
        <v>104</v>
      </c>
      <c r="D47" s="12" t="s">
        <v>312</v>
      </c>
      <c r="E47" s="13" t="s">
        <v>32</v>
      </c>
      <c r="F47" s="14" t="s">
        <v>313</v>
      </c>
      <c r="G47" s="14" t="b">
        <v>0</v>
      </c>
      <c r="H47" s="14" t="s">
        <v>315</v>
      </c>
      <c r="I47" s="14">
        <v>29.0</v>
      </c>
      <c r="J47" s="14">
        <v>0.03</v>
      </c>
      <c r="K47" s="14">
        <v>0.72</v>
      </c>
    </row>
    <row r="48" ht="15.75" customHeight="1">
      <c r="A48" s="9" t="s">
        <v>316</v>
      </c>
      <c r="B48" s="10" t="s">
        <v>318</v>
      </c>
      <c r="C48" s="11" t="s">
        <v>148</v>
      </c>
      <c r="D48" s="12" t="s">
        <v>19</v>
      </c>
      <c r="E48" s="13" t="s">
        <v>20</v>
      </c>
      <c r="F48" s="14" t="s">
        <v>21</v>
      </c>
      <c r="G48" s="14" t="b">
        <v>0</v>
      </c>
      <c r="H48" s="14" t="s">
        <v>321</v>
      </c>
      <c r="I48" s="14">
        <v>29.0</v>
      </c>
      <c r="J48" s="14">
        <v>0.03</v>
      </c>
      <c r="K48" s="14">
        <v>1.07</v>
      </c>
    </row>
    <row r="49" ht="15.75" customHeight="1">
      <c r="A49" s="9" t="s">
        <v>322</v>
      </c>
      <c r="B49" s="10" t="s">
        <v>324</v>
      </c>
      <c r="C49" s="11" t="s">
        <v>28</v>
      </c>
      <c r="D49" s="12" t="s">
        <v>158</v>
      </c>
      <c r="E49" s="13" t="s">
        <v>159</v>
      </c>
      <c r="F49" s="14" t="s">
        <v>160</v>
      </c>
      <c r="G49" s="14" t="b">
        <v>0</v>
      </c>
      <c r="H49" s="14" t="s">
        <v>326</v>
      </c>
      <c r="I49" s="14">
        <v>28.0</v>
      </c>
      <c r="J49" s="14">
        <v>0.03</v>
      </c>
      <c r="K49" s="14">
        <v>1.32</v>
      </c>
    </row>
    <row r="50" ht="15.75" customHeight="1">
      <c r="A50" s="9" t="s">
        <v>327</v>
      </c>
      <c r="B50" s="10" t="s">
        <v>329</v>
      </c>
      <c r="C50" s="11" t="s">
        <v>231</v>
      </c>
      <c r="D50" s="12" t="s">
        <v>277</v>
      </c>
      <c r="E50" s="13" t="s">
        <v>32</v>
      </c>
      <c r="F50" s="14" t="s">
        <v>278</v>
      </c>
      <c r="G50" s="14" t="b">
        <v>0</v>
      </c>
      <c r="H50" s="14" t="s">
        <v>332</v>
      </c>
      <c r="I50" s="14">
        <v>27.0</v>
      </c>
      <c r="J50" s="14">
        <v>0.03</v>
      </c>
      <c r="K50" s="14">
        <v>0.74</v>
      </c>
    </row>
    <row r="51" ht="15.75" customHeight="1">
      <c r="A51" s="9" t="s">
        <v>334</v>
      </c>
      <c r="B51" s="10" t="s">
        <v>335</v>
      </c>
      <c r="C51" s="11" t="s">
        <v>194</v>
      </c>
      <c r="D51" s="12" t="s">
        <v>125</v>
      </c>
      <c r="E51" s="13" t="s">
        <v>32</v>
      </c>
      <c r="F51" s="14" t="s">
        <v>126</v>
      </c>
      <c r="G51" s="14" t="b">
        <v>0</v>
      </c>
      <c r="H51" s="14" t="s">
        <v>338</v>
      </c>
      <c r="I51" s="14">
        <v>27.0</v>
      </c>
      <c r="J51" s="14">
        <v>0.03</v>
      </c>
      <c r="K51" s="14">
        <v>0.85</v>
      </c>
    </row>
    <row r="52" ht="15.75" customHeight="1">
      <c r="A52" s="9" t="s">
        <v>339</v>
      </c>
      <c r="B52" s="10" t="s">
        <v>342</v>
      </c>
      <c r="C52" s="11" t="s">
        <v>235</v>
      </c>
      <c r="D52" s="12" t="s">
        <v>19</v>
      </c>
      <c r="E52" s="13" t="s">
        <v>32</v>
      </c>
      <c r="F52" s="14" t="s">
        <v>21</v>
      </c>
      <c r="G52" s="14" t="b">
        <v>0</v>
      </c>
      <c r="H52" s="14" t="s">
        <v>345</v>
      </c>
      <c r="I52" s="14">
        <v>27.0</v>
      </c>
      <c r="J52" s="14">
        <v>0.03</v>
      </c>
      <c r="K52" s="14">
        <v>0.81</v>
      </c>
    </row>
    <row r="53" ht="15.75" customHeight="1">
      <c r="A53" s="9" t="s">
        <v>346</v>
      </c>
      <c r="B53" s="10" t="s">
        <v>349</v>
      </c>
      <c r="C53" s="11" t="s">
        <v>138</v>
      </c>
      <c r="D53" s="12" t="s">
        <v>19</v>
      </c>
      <c r="E53" s="13" t="s">
        <v>20</v>
      </c>
      <c r="F53" s="14" t="s">
        <v>21</v>
      </c>
      <c r="G53" s="14" t="b">
        <v>0</v>
      </c>
      <c r="H53" s="14" t="s">
        <v>352</v>
      </c>
      <c r="I53" s="14">
        <v>27.0</v>
      </c>
      <c r="J53" s="14">
        <v>0.03</v>
      </c>
      <c r="K53" s="14">
        <v>2.0</v>
      </c>
    </row>
    <row r="54" ht="15.75" customHeight="1">
      <c r="A54" s="9" t="s">
        <v>353</v>
      </c>
      <c r="B54" s="10" t="s">
        <v>356</v>
      </c>
      <c r="C54" s="11" t="s">
        <v>239</v>
      </c>
      <c r="D54" s="12" t="s">
        <v>116</v>
      </c>
      <c r="E54" s="13" t="s">
        <v>102</v>
      </c>
      <c r="F54" s="14" t="s">
        <v>117</v>
      </c>
      <c r="G54" s="14" t="b">
        <v>0</v>
      </c>
      <c r="H54" s="14" t="s">
        <v>359</v>
      </c>
      <c r="I54" s="14">
        <v>27.0</v>
      </c>
      <c r="J54" s="14">
        <v>0.03</v>
      </c>
      <c r="K54" s="14">
        <v>0.85</v>
      </c>
    </row>
    <row r="55" ht="15.75" customHeight="1">
      <c r="A55" s="9" t="s">
        <v>360</v>
      </c>
      <c r="B55" s="10" t="s">
        <v>362</v>
      </c>
      <c r="C55" s="11" t="s">
        <v>36</v>
      </c>
      <c r="D55" s="12" t="s">
        <v>158</v>
      </c>
      <c r="E55" s="13" t="s">
        <v>32</v>
      </c>
      <c r="F55" s="14" t="s">
        <v>160</v>
      </c>
      <c r="G55" s="14" t="b">
        <v>0</v>
      </c>
      <c r="H55" s="14" t="s">
        <v>364</v>
      </c>
      <c r="I55" s="14">
        <v>27.0</v>
      </c>
      <c r="J55" s="14">
        <v>0.03</v>
      </c>
      <c r="K55" s="14">
        <v>0.56</v>
      </c>
    </row>
    <row r="56" ht="15.75" customHeight="1">
      <c r="A56" s="9" t="s">
        <v>365</v>
      </c>
      <c r="B56" s="10" t="s">
        <v>367</v>
      </c>
      <c r="C56" s="11" t="s">
        <v>181</v>
      </c>
      <c r="D56" s="12" t="s">
        <v>277</v>
      </c>
      <c r="E56" s="13" t="s">
        <v>20</v>
      </c>
      <c r="F56" s="14" t="s">
        <v>278</v>
      </c>
      <c r="G56" s="14" t="b">
        <v>0</v>
      </c>
      <c r="H56" s="14" t="s">
        <v>369</v>
      </c>
      <c r="I56" s="14">
        <v>27.0</v>
      </c>
      <c r="J56" s="14">
        <v>0.03</v>
      </c>
      <c r="K56" s="14">
        <v>2.48</v>
      </c>
    </row>
    <row r="57" ht="15.75" customHeight="1">
      <c r="A57" s="9" t="s">
        <v>370</v>
      </c>
      <c r="B57" s="10" t="s">
        <v>372</v>
      </c>
      <c r="C57" s="11" t="s">
        <v>184</v>
      </c>
      <c r="D57" s="12" t="s">
        <v>19</v>
      </c>
      <c r="E57" s="13" t="s">
        <v>32</v>
      </c>
      <c r="F57" s="14" t="s">
        <v>21</v>
      </c>
      <c r="G57" s="14" t="b">
        <v>0</v>
      </c>
      <c r="H57" s="14" t="s">
        <v>374</v>
      </c>
      <c r="I57" s="14">
        <v>26.0</v>
      </c>
      <c r="J57" s="14">
        <v>0.03</v>
      </c>
      <c r="K57" s="14">
        <v>0.0</v>
      </c>
    </row>
    <row r="58" ht="15.75" customHeight="1">
      <c r="A58" s="9" t="s">
        <v>376</v>
      </c>
      <c r="B58" s="10" t="s">
        <v>378</v>
      </c>
      <c r="C58" s="11" t="s">
        <v>243</v>
      </c>
      <c r="D58" s="12" t="s">
        <v>19</v>
      </c>
      <c r="E58" s="13" t="s">
        <v>102</v>
      </c>
      <c r="F58" s="14" t="s">
        <v>21</v>
      </c>
      <c r="G58" s="14" t="b">
        <v>0</v>
      </c>
      <c r="H58" s="14" t="s">
        <v>380</v>
      </c>
      <c r="I58" s="14">
        <v>26.0</v>
      </c>
      <c r="J58" s="14">
        <v>0.03</v>
      </c>
      <c r="K58" s="14">
        <v>1.15</v>
      </c>
    </row>
    <row r="59" ht="15.75" customHeight="1">
      <c r="A59" s="9" t="s">
        <v>382</v>
      </c>
      <c r="B59" s="10" t="s">
        <v>384</v>
      </c>
      <c r="C59" s="11" t="s">
        <v>48</v>
      </c>
      <c r="D59" s="12" t="s">
        <v>277</v>
      </c>
      <c r="E59" s="13" t="s">
        <v>20</v>
      </c>
      <c r="F59" s="14" t="s">
        <v>278</v>
      </c>
      <c r="G59" s="14" t="b">
        <v>0</v>
      </c>
      <c r="H59" s="14" t="s">
        <v>387</v>
      </c>
      <c r="I59" s="14">
        <v>26.0</v>
      </c>
      <c r="J59" s="14">
        <v>0.03</v>
      </c>
      <c r="K59" s="14">
        <v>1.12</v>
      </c>
    </row>
    <row r="60" ht="15.75" customHeight="1">
      <c r="A60" s="9" t="s">
        <v>388</v>
      </c>
      <c r="B60" s="10" t="s">
        <v>391</v>
      </c>
      <c r="C60" s="11" t="s">
        <v>64</v>
      </c>
      <c r="D60" s="12" t="s">
        <v>19</v>
      </c>
      <c r="E60" s="13" t="s">
        <v>32</v>
      </c>
      <c r="F60" s="14" t="s">
        <v>21</v>
      </c>
      <c r="G60" s="14" t="b">
        <v>0</v>
      </c>
      <c r="H60" s="14" t="s">
        <v>393</v>
      </c>
      <c r="I60" s="14">
        <v>26.0</v>
      </c>
      <c r="J60" s="14">
        <v>0.03</v>
      </c>
      <c r="K60" s="14">
        <v>0.62</v>
      </c>
    </row>
    <row r="61" ht="15.75" customHeight="1">
      <c r="A61" s="9" t="s">
        <v>394</v>
      </c>
      <c r="B61" s="10" t="s">
        <v>397</v>
      </c>
      <c r="C61" s="11" t="s">
        <v>132</v>
      </c>
      <c r="D61" s="12" t="s">
        <v>19</v>
      </c>
      <c r="E61" s="13" t="s">
        <v>20</v>
      </c>
      <c r="F61" s="14" t="s">
        <v>21</v>
      </c>
      <c r="G61" s="14" t="b">
        <v>0</v>
      </c>
      <c r="H61" s="14" t="s">
        <v>399</v>
      </c>
      <c r="I61" s="14">
        <v>26.0</v>
      </c>
      <c r="J61" s="14">
        <v>0.03</v>
      </c>
      <c r="K61" s="14">
        <v>1.12</v>
      </c>
    </row>
    <row r="62" ht="15.75" customHeight="1">
      <c r="A62" s="9" t="s">
        <v>401</v>
      </c>
      <c r="B62" s="10" t="s">
        <v>402</v>
      </c>
      <c r="C62" s="11" t="s">
        <v>18</v>
      </c>
      <c r="D62" s="12" t="s">
        <v>30</v>
      </c>
      <c r="E62" s="13" t="s">
        <v>32</v>
      </c>
      <c r="F62" s="14" t="s">
        <v>34</v>
      </c>
      <c r="G62" s="14" t="b">
        <v>0</v>
      </c>
      <c r="H62" s="14" t="s">
        <v>403</v>
      </c>
      <c r="I62" s="14">
        <v>25.0</v>
      </c>
      <c r="J62" s="14">
        <v>0.03</v>
      </c>
      <c r="K62" s="14">
        <v>0.12</v>
      </c>
    </row>
    <row r="63" ht="15.75" customHeight="1">
      <c r="A63" s="9" t="s">
        <v>405</v>
      </c>
      <c r="B63" s="10" t="s">
        <v>407</v>
      </c>
      <c r="C63" s="11" t="s">
        <v>28</v>
      </c>
      <c r="D63" s="12" t="s">
        <v>30</v>
      </c>
      <c r="E63" s="13" t="s">
        <v>159</v>
      </c>
      <c r="F63" s="14" t="s">
        <v>34</v>
      </c>
      <c r="G63" s="14" t="b">
        <v>0</v>
      </c>
      <c r="H63" s="14" t="s">
        <v>409</v>
      </c>
      <c r="I63" s="14">
        <v>25.0</v>
      </c>
      <c r="J63" s="14">
        <v>0.03</v>
      </c>
      <c r="K63" s="14">
        <v>0.12</v>
      </c>
    </row>
    <row r="64" ht="15.75" customHeight="1">
      <c r="A64" s="9" t="s">
        <v>410</v>
      </c>
      <c r="B64" s="10" t="s">
        <v>412</v>
      </c>
      <c r="C64" s="11" t="s">
        <v>107</v>
      </c>
      <c r="D64" s="12" t="s">
        <v>30</v>
      </c>
      <c r="E64" s="13" t="s">
        <v>85</v>
      </c>
      <c r="F64" s="14" t="s">
        <v>34</v>
      </c>
      <c r="G64" s="14" t="b">
        <v>0</v>
      </c>
      <c r="H64" s="14" t="s">
        <v>414</v>
      </c>
      <c r="I64" s="14">
        <v>25.0</v>
      </c>
      <c r="J64" s="14">
        <v>0.03</v>
      </c>
      <c r="K64" s="14">
        <v>0.16</v>
      </c>
    </row>
    <row r="65" ht="15.75" customHeight="1">
      <c r="A65" s="9" t="s">
        <v>416</v>
      </c>
      <c r="B65" s="10" t="s">
        <v>417</v>
      </c>
      <c r="C65" s="11" t="s">
        <v>95</v>
      </c>
      <c r="D65" s="12" t="s">
        <v>19</v>
      </c>
      <c r="E65" s="13" t="s">
        <v>32</v>
      </c>
      <c r="F65" s="14" t="s">
        <v>21</v>
      </c>
      <c r="G65" s="14" t="b">
        <v>0</v>
      </c>
      <c r="H65" s="14" t="s">
        <v>419</v>
      </c>
      <c r="I65" s="14">
        <v>25.0</v>
      </c>
      <c r="J65" s="14">
        <v>0.03</v>
      </c>
      <c r="K65" s="14">
        <v>1.16</v>
      </c>
    </row>
    <row r="66" ht="15.75" customHeight="1">
      <c r="A66" s="9" t="s">
        <v>420</v>
      </c>
      <c r="B66" s="10" t="s">
        <v>423</v>
      </c>
      <c r="C66" s="11" t="s">
        <v>155</v>
      </c>
      <c r="D66" s="12" t="s">
        <v>158</v>
      </c>
      <c r="E66" s="13" t="s">
        <v>32</v>
      </c>
      <c r="F66" s="14" t="s">
        <v>160</v>
      </c>
      <c r="G66" s="14" t="b">
        <v>0</v>
      </c>
      <c r="H66" s="14" t="s">
        <v>424</v>
      </c>
      <c r="I66" s="14">
        <v>24.0</v>
      </c>
      <c r="J66" s="14">
        <v>0.03</v>
      </c>
      <c r="K66" s="14">
        <v>1.33</v>
      </c>
    </row>
    <row r="67" ht="15.75" customHeight="1">
      <c r="A67" s="9" t="s">
        <v>426</v>
      </c>
      <c r="B67" s="10" t="s">
        <v>428</v>
      </c>
      <c r="C67" s="11" t="s">
        <v>70</v>
      </c>
      <c r="D67" s="12" t="s">
        <v>19</v>
      </c>
      <c r="E67" s="13" t="s">
        <v>20</v>
      </c>
      <c r="F67" s="14" t="s">
        <v>21</v>
      </c>
      <c r="G67" s="14" t="b">
        <v>0</v>
      </c>
      <c r="H67" s="14" t="s">
        <v>430</v>
      </c>
      <c r="I67" s="14">
        <v>24.0</v>
      </c>
      <c r="J67" s="14">
        <v>0.03</v>
      </c>
      <c r="K67" s="14">
        <v>2.13</v>
      </c>
    </row>
    <row r="68" ht="15.75" customHeight="1">
      <c r="A68" s="9" t="s">
        <v>431</v>
      </c>
      <c r="B68" s="10" t="s">
        <v>434</v>
      </c>
      <c r="C68" s="11" t="s">
        <v>80</v>
      </c>
      <c r="D68" s="12" t="s">
        <v>30</v>
      </c>
      <c r="E68" s="13" t="s">
        <v>32</v>
      </c>
      <c r="F68" s="14" t="s">
        <v>34</v>
      </c>
      <c r="G68" s="14" t="b">
        <v>0</v>
      </c>
      <c r="I68" s="14">
        <v>24.0</v>
      </c>
      <c r="J68" s="14">
        <v>0.03</v>
      </c>
      <c r="K68" s="14">
        <v>0.33</v>
      </c>
    </row>
    <row r="69" ht="15.75" customHeight="1">
      <c r="A69" s="9" t="s">
        <v>436</v>
      </c>
      <c r="B69" s="10" t="s">
        <v>439</v>
      </c>
      <c r="C69" s="10" t="s">
        <v>228</v>
      </c>
      <c r="D69" s="12" t="s">
        <v>19</v>
      </c>
      <c r="E69" s="13" t="s">
        <v>32</v>
      </c>
      <c r="F69" s="14" t="s">
        <v>21</v>
      </c>
      <c r="G69" s="14" t="b">
        <v>0</v>
      </c>
      <c r="H69" s="14" t="s">
        <v>440</v>
      </c>
      <c r="I69" s="14">
        <v>24.0</v>
      </c>
      <c r="J69" s="14">
        <v>0.03</v>
      </c>
      <c r="K69" s="14">
        <v>1.83</v>
      </c>
    </row>
    <row r="70" ht="15.75" customHeight="1">
      <c r="A70" s="9" t="s">
        <v>441</v>
      </c>
      <c r="B70" s="10" t="s">
        <v>444</v>
      </c>
      <c r="C70" s="11" t="s">
        <v>48</v>
      </c>
      <c r="D70" s="12" t="s">
        <v>116</v>
      </c>
      <c r="E70" s="13" t="s">
        <v>20</v>
      </c>
      <c r="F70" s="14" t="s">
        <v>117</v>
      </c>
      <c r="G70" s="14" t="b">
        <v>0</v>
      </c>
      <c r="H70" s="14" t="s">
        <v>387</v>
      </c>
      <c r="I70" s="14">
        <v>24.0</v>
      </c>
      <c r="J70" s="14">
        <v>0.03</v>
      </c>
      <c r="K70" s="14">
        <v>1.5</v>
      </c>
    </row>
    <row r="71" ht="15.75" customHeight="1">
      <c r="A71" s="9" t="s">
        <v>446</v>
      </c>
      <c r="B71" s="10" t="s">
        <v>448</v>
      </c>
      <c r="C71" s="11" t="s">
        <v>48</v>
      </c>
      <c r="D71" s="12" t="s">
        <v>277</v>
      </c>
      <c r="E71" s="13" t="s">
        <v>20</v>
      </c>
      <c r="F71" s="14" t="s">
        <v>278</v>
      </c>
      <c r="G71" s="14" t="b">
        <v>0</v>
      </c>
      <c r="H71" s="14" t="s">
        <v>450</v>
      </c>
      <c r="I71" s="14">
        <v>24.0</v>
      </c>
      <c r="J71" s="14">
        <v>0.03</v>
      </c>
      <c r="K71" s="14">
        <v>2.58</v>
      </c>
    </row>
    <row r="72" ht="15.75" customHeight="1">
      <c r="A72" s="9" t="s">
        <v>451</v>
      </c>
      <c r="B72" s="10" t="s">
        <v>454</v>
      </c>
      <c r="C72" s="11" t="s">
        <v>255</v>
      </c>
      <c r="D72" s="12" t="s">
        <v>456</v>
      </c>
      <c r="E72" s="13" t="s">
        <v>32</v>
      </c>
      <c r="F72" s="14" t="s">
        <v>457</v>
      </c>
      <c r="G72" s="14" t="b">
        <v>0</v>
      </c>
      <c r="H72" s="14" t="s">
        <v>257</v>
      </c>
      <c r="I72" s="14">
        <v>24.0</v>
      </c>
      <c r="J72" s="14">
        <v>0.03</v>
      </c>
      <c r="K72" s="14">
        <v>0.58</v>
      </c>
    </row>
    <row r="73" ht="15.75" customHeight="1">
      <c r="A73" s="9" t="s">
        <v>459</v>
      </c>
      <c r="B73" s="10" t="s">
        <v>462</v>
      </c>
      <c r="C73" s="11" t="s">
        <v>269</v>
      </c>
      <c r="D73" s="12" t="s">
        <v>277</v>
      </c>
      <c r="E73" s="13" t="s">
        <v>32</v>
      </c>
      <c r="F73" s="14" t="s">
        <v>278</v>
      </c>
      <c r="G73" s="14" t="b">
        <v>0</v>
      </c>
      <c r="I73" s="14">
        <v>23.0</v>
      </c>
      <c r="J73" s="14">
        <v>0.02</v>
      </c>
      <c r="K73" s="14">
        <v>1.13</v>
      </c>
    </row>
    <row r="74" ht="15.75" customHeight="1">
      <c r="A74" s="9" t="s">
        <v>463</v>
      </c>
      <c r="B74" s="10" t="s">
        <v>465</v>
      </c>
      <c r="C74" s="11" t="s">
        <v>164</v>
      </c>
      <c r="D74" s="12" t="s">
        <v>277</v>
      </c>
      <c r="E74" s="13" t="s">
        <v>32</v>
      </c>
      <c r="F74" s="14" t="s">
        <v>278</v>
      </c>
      <c r="G74" s="14" t="b">
        <v>0</v>
      </c>
      <c r="H74" s="14" t="s">
        <v>468</v>
      </c>
      <c r="I74" s="14">
        <v>23.0</v>
      </c>
      <c r="J74" s="14">
        <v>0.02</v>
      </c>
      <c r="K74" s="14">
        <v>1.04</v>
      </c>
    </row>
    <row r="75" ht="15.75" customHeight="1">
      <c r="A75" s="9" t="s">
        <v>469</v>
      </c>
      <c r="B75" s="10" t="s">
        <v>471</v>
      </c>
      <c r="C75" s="11" t="s">
        <v>18</v>
      </c>
      <c r="D75" s="12" t="s">
        <v>158</v>
      </c>
      <c r="E75" s="13" t="s">
        <v>32</v>
      </c>
      <c r="F75" s="14" t="s">
        <v>160</v>
      </c>
      <c r="G75" s="14" t="b">
        <v>0</v>
      </c>
      <c r="H75" s="14" t="s">
        <v>473</v>
      </c>
      <c r="I75" s="14">
        <v>23.0</v>
      </c>
      <c r="J75" s="14">
        <v>0.02</v>
      </c>
      <c r="K75" s="14">
        <v>0.39</v>
      </c>
    </row>
    <row r="76" ht="15.75" customHeight="1">
      <c r="A76" s="9" t="s">
        <v>475</v>
      </c>
      <c r="B76" s="10" t="s">
        <v>477</v>
      </c>
      <c r="C76" s="11" t="s">
        <v>28</v>
      </c>
      <c r="D76" s="12" t="s">
        <v>30</v>
      </c>
      <c r="E76" s="13" t="s">
        <v>159</v>
      </c>
      <c r="F76" s="14" t="s">
        <v>34</v>
      </c>
      <c r="G76" s="14" t="b">
        <v>0</v>
      </c>
      <c r="H76" s="14" t="s">
        <v>478</v>
      </c>
      <c r="I76" s="14">
        <v>23.0</v>
      </c>
      <c r="J76" s="14">
        <v>0.02</v>
      </c>
      <c r="K76" s="14">
        <v>0.04</v>
      </c>
    </row>
    <row r="77" ht="15.75" customHeight="1">
      <c r="A77" s="9" t="s">
        <v>479</v>
      </c>
      <c r="B77" s="10" t="s">
        <v>482</v>
      </c>
      <c r="C77" s="11" t="s">
        <v>28</v>
      </c>
      <c r="D77" s="12" t="s">
        <v>158</v>
      </c>
      <c r="E77" s="13" t="s">
        <v>159</v>
      </c>
      <c r="F77" s="14" t="s">
        <v>160</v>
      </c>
      <c r="G77" s="14" t="b">
        <v>0</v>
      </c>
      <c r="H77" s="14" t="s">
        <v>484</v>
      </c>
      <c r="I77" s="14">
        <v>23.0</v>
      </c>
      <c r="J77" s="14">
        <v>0.02</v>
      </c>
      <c r="K77" s="14">
        <v>0.22</v>
      </c>
    </row>
    <row r="78" ht="15.75" customHeight="1">
      <c r="A78" s="9" t="s">
        <v>485</v>
      </c>
      <c r="B78" s="10" t="s">
        <v>488</v>
      </c>
      <c r="C78" s="11" t="s">
        <v>273</v>
      </c>
      <c r="D78" s="12" t="s">
        <v>19</v>
      </c>
      <c r="E78" s="13" t="s">
        <v>32</v>
      </c>
      <c r="F78" s="14" t="s">
        <v>21</v>
      </c>
      <c r="G78" s="14" t="b">
        <v>0</v>
      </c>
      <c r="H78" s="14" t="s">
        <v>490</v>
      </c>
      <c r="I78" s="14">
        <v>23.0</v>
      </c>
      <c r="J78" s="14">
        <v>0.02</v>
      </c>
      <c r="K78" s="14">
        <v>0.13</v>
      </c>
    </row>
    <row r="79" ht="15.75" customHeight="1">
      <c r="A79" s="9" t="s">
        <v>492</v>
      </c>
      <c r="B79" s="10" t="s">
        <v>494</v>
      </c>
      <c r="C79" s="11" t="s">
        <v>276</v>
      </c>
      <c r="D79" s="12" t="s">
        <v>19</v>
      </c>
      <c r="E79" s="13" t="s">
        <v>102</v>
      </c>
      <c r="F79" s="14" t="s">
        <v>21</v>
      </c>
      <c r="G79" s="14" t="b">
        <v>0</v>
      </c>
      <c r="H79" s="14" t="s">
        <v>496</v>
      </c>
      <c r="I79" s="14">
        <v>23.0</v>
      </c>
      <c r="J79" s="14">
        <v>0.02</v>
      </c>
      <c r="K79" s="14">
        <v>1.78</v>
      </c>
    </row>
    <row r="80" ht="15.75" customHeight="1">
      <c r="A80" s="9" t="s">
        <v>497</v>
      </c>
      <c r="B80" s="10" t="s">
        <v>502</v>
      </c>
      <c r="C80" s="11" t="s">
        <v>48</v>
      </c>
      <c r="D80" s="12" t="s">
        <v>277</v>
      </c>
      <c r="E80" s="13" t="s">
        <v>20</v>
      </c>
      <c r="F80" s="14" t="s">
        <v>278</v>
      </c>
      <c r="G80" s="14" t="b">
        <v>0</v>
      </c>
      <c r="H80" s="14" t="s">
        <v>387</v>
      </c>
      <c r="I80" s="14">
        <v>23.0</v>
      </c>
      <c r="J80" s="14">
        <v>0.02</v>
      </c>
      <c r="K80" s="14">
        <v>1.39</v>
      </c>
    </row>
    <row r="81" ht="15.75" customHeight="1">
      <c r="A81" s="9" t="s">
        <v>503</v>
      </c>
      <c r="B81" s="10" t="s">
        <v>507</v>
      </c>
      <c r="C81" s="11" t="s">
        <v>251</v>
      </c>
      <c r="D81" s="12" t="s">
        <v>277</v>
      </c>
      <c r="E81" s="13" t="s">
        <v>32</v>
      </c>
      <c r="F81" s="14" t="s">
        <v>278</v>
      </c>
      <c r="G81" s="14" t="b">
        <v>0</v>
      </c>
      <c r="H81" s="14" t="s">
        <v>509</v>
      </c>
      <c r="I81" s="14">
        <v>23.0</v>
      </c>
      <c r="J81" s="14">
        <v>0.02</v>
      </c>
      <c r="K81" s="14">
        <v>0.3</v>
      </c>
    </row>
    <row r="82" ht="15.75" customHeight="1">
      <c r="A82" s="9" t="s">
        <v>510</v>
      </c>
      <c r="B82" s="10" t="s">
        <v>512</v>
      </c>
      <c r="C82" s="11" t="s">
        <v>189</v>
      </c>
      <c r="D82" s="12" t="s">
        <v>19</v>
      </c>
      <c r="E82" s="13" t="s">
        <v>32</v>
      </c>
      <c r="F82" s="14" t="s">
        <v>21</v>
      </c>
      <c r="G82" s="14" t="b">
        <v>0</v>
      </c>
      <c r="H82" s="14" t="s">
        <v>515</v>
      </c>
      <c r="I82" s="14">
        <v>22.0</v>
      </c>
      <c r="J82" s="14">
        <v>0.02</v>
      </c>
      <c r="K82" s="14">
        <v>1.18</v>
      </c>
    </row>
    <row r="83" ht="15.75" customHeight="1">
      <c r="A83" s="9" t="s">
        <v>516</v>
      </c>
      <c r="B83" s="10" t="s">
        <v>519</v>
      </c>
      <c r="C83" s="11" t="s">
        <v>282</v>
      </c>
      <c r="D83" s="12" t="s">
        <v>125</v>
      </c>
      <c r="E83" s="13" t="s">
        <v>20</v>
      </c>
      <c r="F83" s="14" t="s">
        <v>126</v>
      </c>
      <c r="G83" s="14" t="b">
        <v>0</v>
      </c>
      <c r="H83" s="14" t="s">
        <v>284</v>
      </c>
      <c r="I83" s="14">
        <v>22.0</v>
      </c>
      <c r="J83" s="14">
        <v>0.02</v>
      </c>
      <c r="K83" s="14">
        <v>1.23</v>
      </c>
    </row>
    <row r="84" ht="15.75" customHeight="1">
      <c r="A84" s="9" t="s">
        <v>522</v>
      </c>
      <c r="B84" s="10" t="s">
        <v>525</v>
      </c>
      <c r="C84" s="11" t="s">
        <v>303</v>
      </c>
      <c r="D84" s="12" t="s">
        <v>116</v>
      </c>
      <c r="E84" s="13" t="s">
        <v>20</v>
      </c>
      <c r="F84" s="14" t="s">
        <v>117</v>
      </c>
      <c r="G84" s="14" t="b">
        <v>0</v>
      </c>
      <c r="H84" s="14" t="s">
        <v>527</v>
      </c>
      <c r="I84" s="14">
        <v>21.0</v>
      </c>
      <c r="J84" s="14">
        <v>0.02</v>
      </c>
      <c r="K84" s="14">
        <v>1.33</v>
      </c>
    </row>
    <row r="85" ht="15.75" customHeight="1">
      <c r="A85" s="9" t="s">
        <v>528</v>
      </c>
      <c r="B85" s="10" t="s">
        <v>530</v>
      </c>
      <c r="C85" s="11" t="s">
        <v>18</v>
      </c>
      <c r="D85" s="12" t="s">
        <v>30</v>
      </c>
      <c r="E85" s="13" t="s">
        <v>32</v>
      </c>
      <c r="F85" s="14" t="s">
        <v>34</v>
      </c>
      <c r="G85" s="14" t="b">
        <v>0</v>
      </c>
      <c r="H85" s="14" t="s">
        <v>531</v>
      </c>
      <c r="I85" s="14">
        <v>21.0</v>
      </c>
      <c r="J85" s="14">
        <v>0.02</v>
      </c>
      <c r="K85" s="14">
        <v>0.24</v>
      </c>
    </row>
    <row r="86" ht="15.75" customHeight="1">
      <c r="A86" s="9" t="s">
        <v>533</v>
      </c>
      <c r="B86" s="10" t="s">
        <v>535</v>
      </c>
      <c r="C86" s="11" t="s">
        <v>290</v>
      </c>
      <c r="D86" s="12" t="s">
        <v>19</v>
      </c>
      <c r="E86" s="13" t="s">
        <v>32</v>
      </c>
      <c r="F86" s="14" t="s">
        <v>21</v>
      </c>
      <c r="G86" s="14" t="b">
        <v>0</v>
      </c>
      <c r="H86" s="14" t="s">
        <v>537</v>
      </c>
      <c r="I86" s="14">
        <v>21.0</v>
      </c>
      <c r="J86" s="14">
        <v>0.02</v>
      </c>
      <c r="K86" s="14">
        <v>0.52</v>
      </c>
    </row>
    <row r="87" ht="15.75" customHeight="1">
      <c r="A87" s="9" t="s">
        <v>539</v>
      </c>
      <c r="B87" s="10" t="s">
        <v>542</v>
      </c>
      <c r="C87" s="11" t="s">
        <v>294</v>
      </c>
      <c r="D87" s="12" t="s">
        <v>116</v>
      </c>
      <c r="E87" s="13" t="s">
        <v>32</v>
      </c>
      <c r="F87" s="14" t="s">
        <v>117</v>
      </c>
      <c r="G87" s="14" t="b">
        <v>0</v>
      </c>
      <c r="H87" s="14" t="s">
        <v>544</v>
      </c>
      <c r="I87" s="14">
        <v>21.0</v>
      </c>
      <c r="J87" s="14">
        <v>0.02</v>
      </c>
      <c r="K87" s="14">
        <v>1.29</v>
      </c>
    </row>
    <row r="88" ht="15.75" customHeight="1">
      <c r="A88" s="9" t="s">
        <v>546</v>
      </c>
      <c r="B88" s="10" t="s">
        <v>548</v>
      </c>
      <c r="C88" s="11" t="s">
        <v>298</v>
      </c>
      <c r="D88" s="12" t="s">
        <v>19</v>
      </c>
      <c r="E88" s="13" t="s">
        <v>32</v>
      </c>
      <c r="F88" s="14" t="s">
        <v>21</v>
      </c>
      <c r="G88" s="14" t="b">
        <v>0</v>
      </c>
      <c r="H88" s="14" t="s">
        <v>302</v>
      </c>
      <c r="I88" s="14">
        <v>21.0</v>
      </c>
      <c r="J88" s="14">
        <v>0.02</v>
      </c>
      <c r="K88" s="14">
        <v>0.86</v>
      </c>
    </row>
    <row r="89" ht="15.75" customHeight="1">
      <c r="A89" s="9" t="s">
        <v>552</v>
      </c>
      <c r="B89" s="10" t="s">
        <v>556</v>
      </c>
      <c r="C89" s="11" t="s">
        <v>317</v>
      </c>
      <c r="D89" s="12" t="s">
        <v>19</v>
      </c>
      <c r="E89" s="13" t="s">
        <v>102</v>
      </c>
      <c r="F89" s="14" t="s">
        <v>21</v>
      </c>
      <c r="G89" s="14" t="b">
        <v>0</v>
      </c>
      <c r="H89" s="14" t="s">
        <v>559</v>
      </c>
      <c r="I89" s="14">
        <v>20.0</v>
      </c>
      <c r="J89" s="14">
        <v>0.02</v>
      </c>
      <c r="K89" s="14">
        <v>0.45</v>
      </c>
    </row>
    <row r="90" ht="15.75" customHeight="1">
      <c r="A90" s="9" t="s">
        <v>560</v>
      </c>
      <c r="B90" s="10" t="s">
        <v>562</v>
      </c>
      <c r="C90" s="11" t="s">
        <v>262</v>
      </c>
      <c r="D90" s="12" t="s">
        <v>19</v>
      </c>
      <c r="E90" s="13" t="s">
        <v>32</v>
      </c>
      <c r="F90" s="14" t="s">
        <v>21</v>
      </c>
      <c r="G90" s="14" t="b">
        <v>0</v>
      </c>
      <c r="H90" s="14" t="s">
        <v>564</v>
      </c>
      <c r="I90" s="14">
        <v>20.0</v>
      </c>
      <c r="J90" s="14">
        <v>0.02</v>
      </c>
      <c r="K90" s="14">
        <v>2.35</v>
      </c>
    </row>
    <row r="91" ht="15.75" customHeight="1">
      <c r="A91" s="9" t="s">
        <v>566</v>
      </c>
      <c r="B91" s="10" t="s">
        <v>567</v>
      </c>
      <c r="C91" s="11" t="s">
        <v>320</v>
      </c>
      <c r="D91" s="12" t="s">
        <v>19</v>
      </c>
      <c r="E91" s="13" t="s">
        <v>32</v>
      </c>
      <c r="F91" s="14" t="s">
        <v>21</v>
      </c>
      <c r="G91" s="14" t="b">
        <v>0</v>
      </c>
      <c r="H91" s="14" t="s">
        <v>323</v>
      </c>
      <c r="I91" s="14">
        <v>20.0</v>
      </c>
      <c r="J91" s="14">
        <v>0.02</v>
      </c>
      <c r="K91" s="14">
        <v>1.05</v>
      </c>
    </row>
    <row r="92" ht="15.75" customHeight="1">
      <c r="A92" s="9" t="s">
        <v>569</v>
      </c>
      <c r="B92" s="10" t="s">
        <v>571</v>
      </c>
      <c r="C92" s="11" t="s">
        <v>36</v>
      </c>
      <c r="D92" s="12" t="s">
        <v>30</v>
      </c>
      <c r="E92" s="13" t="s">
        <v>32</v>
      </c>
      <c r="F92" s="14" t="s">
        <v>34</v>
      </c>
      <c r="G92" s="14" t="b">
        <v>0</v>
      </c>
      <c r="H92" s="14" t="s">
        <v>572</v>
      </c>
      <c r="I92" s="14">
        <v>20.0</v>
      </c>
      <c r="J92" s="14">
        <v>0.02</v>
      </c>
      <c r="K92" s="14">
        <v>0.55</v>
      </c>
    </row>
    <row r="93" ht="15.75" customHeight="1">
      <c r="A93" s="9" t="s">
        <v>573</v>
      </c>
      <c r="B93" s="10" t="s">
        <v>575</v>
      </c>
      <c r="C93" s="11" t="s">
        <v>36</v>
      </c>
      <c r="D93" s="12" t="s">
        <v>30</v>
      </c>
      <c r="E93" s="13" t="s">
        <v>32</v>
      </c>
      <c r="F93" s="14" t="s">
        <v>34</v>
      </c>
      <c r="G93" s="14" t="b">
        <v>0</v>
      </c>
      <c r="H93" s="14" t="s">
        <v>576</v>
      </c>
      <c r="I93" s="14">
        <v>20.0</v>
      </c>
      <c r="J93" s="14">
        <v>0.02</v>
      </c>
      <c r="K93" s="14">
        <v>0.95</v>
      </c>
    </row>
    <row r="94" ht="15.75" customHeight="1">
      <c r="A94" s="9" t="s">
        <v>578</v>
      </c>
      <c r="B94" s="10" t="s">
        <v>579</v>
      </c>
      <c r="C94" s="11" t="s">
        <v>214</v>
      </c>
      <c r="D94" s="12" t="s">
        <v>19</v>
      </c>
      <c r="E94" s="13" t="s">
        <v>32</v>
      </c>
      <c r="F94" s="14" t="s">
        <v>21</v>
      </c>
      <c r="G94" s="14" t="b">
        <v>0</v>
      </c>
      <c r="H94" s="14" t="s">
        <v>582</v>
      </c>
      <c r="I94" s="14">
        <v>20.0</v>
      </c>
      <c r="J94" s="14">
        <v>0.02</v>
      </c>
      <c r="K94" s="14">
        <v>0.3</v>
      </c>
    </row>
    <row r="95" ht="15.75" customHeight="1">
      <c r="A95" s="9" t="s">
        <v>583</v>
      </c>
      <c r="B95" s="10" t="s">
        <v>586</v>
      </c>
      <c r="C95" s="11" t="s">
        <v>247</v>
      </c>
      <c r="D95" s="12" t="s">
        <v>19</v>
      </c>
      <c r="E95" s="13" t="s">
        <v>32</v>
      </c>
      <c r="F95" s="14" t="s">
        <v>21</v>
      </c>
      <c r="G95" s="14" t="b">
        <v>0</v>
      </c>
      <c r="H95" s="14" t="s">
        <v>588</v>
      </c>
      <c r="I95" s="14">
        <v>19.0</v>
      </c>
      <c r="J95" s="14">
        <v>0.02</v>
      </c>
      <c r="K95" s="14">
        <v>1.58</v>
      </c>
    </row>
    <row r="96" ht="15.75" customHeight="1">
      <c r="A96" s="9" t="s">
        <v>589</v>
      </c>
      <c r="B96" s="10" t="s">
        <v>591</v>
      </c>
      <c r="C96" s="11" t="s">
        <v>344</v>
      </c>
      <c r="D96" s="12" t="s">
        <v>125</v>
      </c>
      <c r="E96" s="13" t="s">
        <v>32</v>
      </c>
      <c r="F96" s="14" t="s">
        <v>126</v>
      </c>
      <c r="G96" s="14" t="b">
        <v>0</v>
      </c>
      <c r="H96" s="14" t="s">
        <v>347</v>
      </c>
      <c r="I96" s="14">
        <v>19.0</v>
      </c>
      <c r="J96" s="14">
        <v>0.02</v>
      </c>
      <c r="K96" s="14">
        <v>1.16</v>
      </c>
    </row>
    <row r="97" ht="15.75" customHeight="1">
      <c r="A97" s="9" t="s">
        <v>593</v>
      </c>
      <c r="B97" s="10" t="s">
        <v>596</v>
      </c>
      <c r="C97" s="11" t="s">
        <v>122</v>
      </c>
      <c r="D97" s="12" t="s">
        <v>277</v>
      </c>
      <c r="E97" s="13" t="s">
        <v>20</v>
      </c>
      <c r="F97" s="14" t="s">
        <v>278</v>
      </c>
      <c r="G97" s="14" t="b">
        <v>0</v>
      </c>
      <c r="H97" s="14" t="s">
        <v>599</v>
      </c>
      <c r="I97" s="14">
        <v>19.0</v>
      </c>
      <c r="J97" s="14">
        <v>0.02</v>
      </c>
      <c r="K97" s="14">
        <v>1.26</v>
      </c>
    </row>
    <row r="98" ht="15.75" customHeight="1">
      <c r="A98" s="9" t="s">
        <v>600</v>
      </c>
      <c r="B98" s="10" t="s">
        <v>603</v>
      </c>
      <c r="C98" s="11" t="s">
        <v>307</v>
      </c>
      <c r="D98" s="12" t="s">
        <v>116</v>
      </c>
      <c r="E98" s="13" t="s">
        <v>20</v>
      </c>
      <c r="F98" s="14" t="s">
        <v>117</v>
      </c>
      <c r="G98" s="14" t="b">
        <v>0</v>
      </c>
      <c r="H98" s="14" t="s">
        <v>309</v>
      </c>
      <c r="I98" s="14">
        <v>19.0</v>
      </c>
      <c r="J98" s="14">
        <v>0.02</v>
      </c>
      <c r="K98" s="14">
        <v>1.16</v>
      </c>
    </row>
    <row r="99" ht="15.75" customHeight="1">
      <c r="A99" s="9" t="s">
        <v>605</v>
      </c>
      <c r="B99" s="10" t="s">
        <v>607</v>
      </c>
      <c r="C99" s="11" t="s">
        <v>371</v>
      </c>
      <c r="D99" s="12" t="s">
        <v>19</v>
      </c>
      <c r="E99" s="13" t="s">
        <v>116</v>
      </c>
      <c r="F99" s="14" t="s">
        <v>21</v>
      </c>
      <c r="G99" s="14" t="b">
        <v>0</v>
      </c>
      <c r="H99" s="14" t="s">
        <v>373</v>
      </c>
      <c r="I99" s="14">
        <v>18.0</v>
      </c>
      <c r="J99" s="14">
        <v>0.02</v>
      </c>
      <c r="K99" s="14">
        <v>0.78</v>
      </c>
    </row>
    <row r="100" ht="15.75" customHeight="1">
      <c r="A100" s="9" t="s">
        <v>609</v>
      </c>
      <c r="B100" s="10" t="s">
        <v>611</v>
      </c>
      <c r="C100" s="11" t="s">
        <v>18</v>
      </c>
      <c r="D100" s="12" t="s">
        <v>30</v>
      </c>
      <c r="E100" s="13" t="s">
        <v>32</v>
      </c>
      <c r="F100" s="14" t="s">
        <v>34</v>
      </c>
      <c r="G100" s="14" t="b">
        <v>0</v>
      </c>
      <c r="H100" s="14" t="s">
        <v>612</v>
      </c>
      <c r="I100" s="14">
        <v>18.0</v>
      </c>
      <c r="J100" s="14">
        <v>0.02</v>
      </c>
      <c r="K100" s="14">
        <v>0.06</v>
      </c>
    </row>
    <row r="101" ht="15.75" customHeight="1">
      <c r="A101" s="9" t="s">
        <v>614</v>
      </c>
      <c r="B101" s="10" t="s">
        <v>616</v>
      </c>
      <c r="C101" s="11" t="s">
        <v>201</v>
      </c>
      <c r="D101" s="12" t="s">
        <v>19</v>
      </c>
      <c r="E101" s="13" t="s">
        <v>32</v>
      </c>
      <c r="F101" s="14" t="s">
        <v>21</v>
      </c>
      <c r="G101" s="14" t="b">
        <v>0</v>
      </c>
      <c r="H101" s="14" t="s">
        <v>620</v>
      </c>
      <c r="I101" s="14">
        <v>18.0</v>
      </c>
      <c r="J101" s="14">
        <v>0.02</v>
      </c>
      <c r="K101" s="14">
        <v>0.67</v>
      </c>
    </row>
    <row r="102" ht="15.75" customHeight="1">
      <c r="A102" s="9" t="s">
        <v>621</v>
      </c>
      <c r="B102" s="10" t="s">
        <v>622</v>
      </c>
      <c r="C102" s="11" t="s">
        <v>379</v>
      </c>
      <c r="D102" s="12" t="s">
        <v>116</v>
      </c>
      <c r="E102" s="13" t="s">
        <v>116</v>
      </c>
      <c r="F102" s="14" t="s">
        <v>117</v>
      </c>
      <c r="G102" s="14" t="b">
        <v>0</v>
      </c>
      <c r="H102" s="14" t="s">
        <v>624</v>
      </c>
      <c r="I102" s="14">
        <v>18.0</v>
      </c>
      <c r="J102" s="14">
        <v>0.02</v>
      </c>
      <c r="K102" s="14">
        <v>0.67</v>
      </c>
    </row>
    <row r="103" ht="15.75" customHeight="1">
      <c r="A103" s="9" t="s">
        <v>625</v>
      </c>
      <c r="B103" s="10" t="s">
        <v>627</v>
      </c>
      <c r="C103" s="11" t="s">
        <v>383</v>
      </c>
      <c r="D103" s="12" t="s">
        <v>19</v>
      </c>
      <c r="E103" s="13" t="s">
        <v>102</v>
      </c>
      <c r="F103" s="14" t="s">
        <v>21</v>
      </c>
      <c r="G103" s="14" t="b">
        <v>0</v>
      </c>
      <c r="I103" s="14">
        <v>18.0</v>
      </c>
      <c r="J103" s="14">
        <v>0.02</v>
      </c>
      <c r="K103" s="14">
        <v>0.61</v>
      </c>
    </row>
    <row r="104" ht="15.75" customHeight="1">
      <c r="A104" s="9" t="s">
        <v>629</v>
      </c>
      <c r="B104" s="10" t="s">
        <v>631</v>
      </c>
      <c r="C104" s="11" t="s">
        <v>36</v>
      </c>
      <c r="D104" s="12" t="s">
        <v>158</v>
      </c>
      <c r="E104" s="13" t="s">
        <v>32</v>
      </c>
      <c r="F104" s="14" t="s">
        <v>160</v>
      </c>
      <c r="G104" s="14" t="b">
        <v>0</v>
      </c>
      <c r="H104" s="14" t="s">
        <v>635</v>
      </c>
      <c r="I104" s="14">
        <v>18.0</v>
      </c>
      <c r="J104" s="14">
        <v>0.02</v>
      </c>
      <c r="K104" s="14">
        <v>0.0</v>
      </c>
    </row>
    <row r="105" ht="15.75" customHeight="1">
      <c r="A105" s="9" t="s">
        <v>636</v>
      </c>
      <c r="B105" s="10" t="s">
        <v>638</v>
      </c>
      <c r="C105" s="11" t="s">
        <v>36</v>
      </c>
      <c r="D105" s="12" t="s">
        <v>30</v>
      </c>
      <c r="E105" s="13" t="s">
        <v>32</v>
      </c>
      <c r="F105" s="14" t="s">
        <v>34</v>
      </c>
      <c r="G105" s="14" t="b">
        <v>0</v>
      </c>
      <c r="H105" s="14" t="s">
        <v>640</v>
      </c>
      <c r="I105" s="14">
        <v>18.0</v>
      </c>
      <c r="J105" s="14">
        <v>0.02</v>
      </c>
      <c r="K105" s="14">
        <v>0.72</v>
      </c>
    </row>
    <row r="106" ht="15.75" customHeight="1">
      <c r="A106" s="9" t="s">
        <v>641</v>
      </c>
      <c r="B106" s="10" t="s">
        <v>644</v>
      </c>
      <c r="C106" s="11" t="s">
        <v>198</v>
      </c>
      <c r="D106" s="12" t="s">
        <v>116</v>
      </c>
      <c r="E106" s="13" t="s">
        <v>116</v>
      </c>
      <c r="F106" s="14" t="s">
        <v>117</v>
      </c>
      <c r="G106" s="14" t="b">
        <v>0</v>
      </c>
      <c r="I106" s="14">
        <v>18.0</v>
      </c>
      <c r="J106" s="14">
        <v>0.02</v>
      </c>
      <c r="K106" s="14">
        <v>1.17</v>
      </c>
    </row>
    <row r="107" ht="15.75" customHeight="1">
      <c r="A107" s="9" t="s">
        <v>647</v>
      </c>
      <c r="B107" s="10" t="s">
        <v>648</v>
      </c>
      <c r="C107" s="11" t="s">
        <v>25</v>
      </c>
      <c r="D107" s="12" t="s">
        <v>30</v>
      </c>
      <c r="E107" s="13" t="s">
        <v>32</v>
      </c>
      <c r="F107" s="14" t="s">
        <v>34</v>
      </c>
      <c r="G107" s="14" t="b">
        <v>0</v>
      </c>
      <c r="H107" s="14" t="s">
        <v>650</v>
      </c>
      <c r="I107" s="14">
        <v>17.0</v>
      </c>
      <c r="J107" s="14">
        <v>0.02</v>
      </c>
      <c r="K107" s="14">
        <v>0.18</v>
      </c>
    </row>
    <row r="108" ht="15.75" customHeight="1">
      <c r="A108" s="9" t="s">
        <v>651</v>
      </c>
      <c r="B108" s="10" t="s">
        <v>653</v>
      </c>
      <c r="C108" s="11" t="s">
        <v>55</v>
      </c>
      <c r="D108" s="12" t="s">
        <v>277</v>
      </c>
      <c r="E108" s="13" t="s">
        <v>20</v>
      </c>
      <c r="F108" s="14" t="s">
        <v>278</v>
      </c>
      <c r="G108" s="14" t="b">
        <v>0</v>
      </c>
      <c r="H108" s="14" t="s">
        <v>655</v>
      </c>
      <c r="I108" s="14">
        <v>17.0</v>
      </c>
      <c r="J108" s="14">
        <v>0.02</v>
      </c>
      <c r="K108" s="14">
        <v>1.06</v>
      </c>
    </row>
    <row r="109" ht="15.75" customHeight="1">
      <c r="A109" s="9" t="s">
        <v>656</v>
      </c>
      <c r="B109" s="10" t="s">
        <v>658</v>
      </c>
      <c r="C109" s="11" t="s">
        <v>385</v>
      </c>
      <c r="D109" s="12" t="s">
        <v>19</v>
      </c>
      <c r="E109" s="13" t="s">
        <v>102</v>
      </c>
      <c r="F109" s="14" t="s">
        <v>21</v>
      </c>
      <c r="G109" s="14" t="b">
        <v>0</v>
      </c>
      <c r="H109" s="14" t="s">
        <v>660</v>
      </c>
      <c r="I109" s="14">
        <v>17.0</v>
      </c>
      <c r="J109" s="14">
        <v>0.02</v>
      </c>
      <c r="K109" s="14">
        <v>1.53</v>
      </c>
    </row>
    <row r="110" ht="15.75" customHeight="1">
      <c r="A110" s="9" t="s">
        <v>661</v>
      </c>
      <c r="B110" s="10" t="s">
        <v>663</v>
      </c>
      <c r="C110" s="11" t="s">
        <v>36</v>
      </c>
      <c r="D110" s="12" t="s">
        <v>30</v>
      </c>
      <c r="E110" s="13" t="s">
        <v>32</v>
      </c>
      <c r="F110" s="14" t="s">
        <v>34</v>
      </c>
      <c r="G110" s="14" t="b">
        <v>0</v>
      </c>
      <c r="H110" s="14" t="s">
        <v>665</v>
      </c>
      <c r="I110" s="14">
        <v>17.0</v>
      </c>
      <c r="J110" s="14">
        <v>0.02</v>
      </c>
      <c r="K110" s="14">
        <v>0.65</v>
      </c>
    </row>
    <row r="111" ht="15.75" customHeight="1">
      <c r="A111" s="9" t="s">
        <v>667</v>
      </c>
      <c r="B111" s="10" t="s">
        <v>668</v>
      </c>
      <c r="C111" s="11" t="s">
        <v>80</v>
      </c>
      <c r="D111" s="12" t="s">
        <v>30</v>
      </c>
      <c r="E111" s="13" t="s">
        <v>32</v>
      </c>
      <c r="F111" s="14" t="s">
        <v>34</v>
      </c>
      <c r="G111" s="14" t="b">
        <v>0</v>
      </c>
      <c r="H111" s="14" t="s">
        <v>670</v>
      </c>
      <c r="I111" s="14">
        <v>16.0</v>
      </c>
      <c r="J111" s="14">
        <v>0.02</v>
      </c>
      <c r="K111" s="14">
        <v>0.0</v>
      </c>
    </row>
    <row r="112" ht="15.75" customHeight="1">
      <c r="A112" s="9" t="s">
        <v>672</v>
      </c>
      <c r="B112" s="10" t="s">
        <v>673</v>
      </c>
      <c r="C112" s="11" t="s">
        <v>400</v>
      </c>
      <c r="D112" s="12" t="s">
        <v>125</v>
      </c>
      <c r="E112" s="13" t="s">
        <v>32</v>
      </c>
      <c r="F112" s="14" t="s">
        <v>126</v>
      </c>
      <c r="G112" s="14" t="b">
        <v>0</v>
      </c>
      <c r="I112" s="14">
        <v>16.0</v>
      </c>
      <c r="J112" s="14">
        <v>0.02</v>
      </c>
      <c r="K112" s="14">
        <v>0.44</v>
      </c>
    </row>
    <row r="113" ht="15.75" customHeight="1">
      <c r="A113" s="9" t="s">
        <v>677</v>
      </c>
      <c r="B113" s="10" t="s">
        <v>680</v>
      </c>
      <c r="C113" s="11" t="s">
        <v>404</v>
      </c>
      <c r="D113" s="12" t="s">
        <v>19</v>
      </c>
      <c r="E113" s="13" t="s">
        <v>32</v>
      </c>
      <c r="F113" s="14" t="s">
        <v>21</v>
      </c>
      <c r="G113" s="14" t="b">
        <v>0</v>
      </c>
      <c r="H113" s="14" t="s">
        <v>681</v>
      </c>
      <c r="I113" s="14">
        <v>16.0</v>
      </c>
      <c r="J113" s="14">
        <v>0.02</v>
      </c>
      <c r="K113" s="14">
        <v>1.25</v>
      </c>
    </row>
    <row r="114" ht="15.75" customHeight="1">
      <c r="A114" s="9" t="s">
        <v>683</v>
      </c>
      <c r="B114" s="10" t="s">
        <v>686</v>
      </c>
      <c r="C114" s="11" t="s">
        <v>104</v>
      </c>
      <c r="D114" s="12" t="s">
        <v>158</v>
      </c>
      <c r="E114" s="13" t="s">
        <v>32</v>
      </c>
      <c r="F114" s="14" t="s">
        <v>160</v>
      </c>
      <c r="G114" s="14" t="b">
        <v>0</v>
      </c>
      <c r="H114" s="14" t="s">
        <v>687</v>
      </c>
      <c r="I114" s="14">
        <v>16.0</v>
      </c>
      <c r="J114" s="14">
        <v>0.02</v>
      </c>
      <c r="K114" s="14">
        <v>0.63</v>
      </c>
    </row>
    <row r="115" ht="15.75" customHeight="1">
      <c r="A115" s="9" t="s">
        <v>688</v>
      </c>
      <c r="B115" s="10" t="s">
        <v>690</v>
      </c>
      <c r="C115" s="11" t="s">
        <v>148</v>
      </c>
      <c r="D115" s="12" t="s">
        <v>19</v>
      </c>
      <c r="E115" s="13" t="s">
        <v>20</v>
      </c>
      <c r="F115" s="14" t="s">
        <v>21</v>
      </c>
      <c r="G115" s="14" t="b">
        <v>0</v>
      </c>
      <c r="H115" s="14" t="s">
        <v>691</v>
      </c>
      <c r="I115" s="14">
        <v>16.0</v>
      </c>
      <c r="J115" s="14">
        <v>0.02</v>
      </c>
      <c r="K115" s="14">
        <v>0.31</v>
      </c>
    </row>
    <row r="116" ht="15.75" customHeight="1">
      <c r="A116" s="9" t="s">
        <v>693</v>
      </c>
      <c r="B116" s="10" t="s">
        <v>695</v>
      </c>
      <c r="C116" s="11" t="s">
        <v>415</v>
      </c>
      <c r="D116" s="12" t="s">
        <v>30</v>
      </c>
      <c r="E116" s="13" t="s">
        <v>159</v>
      </c>
      <c r="F116" s="14" t="s">
        <v>34</v>
      </c>
      <c r="G116" s="14" t="b">
        <v>0</v>
      </c>
      <c r="I116" s="14">
        <v>16.0</v>
      </c>
      <c r="J116" s="14">
        <v>0.02</v>
      </c>
      <c r="K116" s="14">
        <v>0.0</v>
      </c>
    </row>
    <row r="117" ht="15.75" customHeight="1">
      <c r="A117" s="9" t="s">
        <v>698</v>
      </c>
      <c r="B117" s="10" t="s">
        <v>700</v>
      </c>
      <c r="C117" s="11" t="s">
        <v>418</v>
      </c>
      <c r="D117" s="12" t="s">
        <v>19</v>
      </c>
      <c r="E117" s="13" t="s">
        <v>159</v>
      </c>
      <c r="F117" s="14" t="s">
        <v>21</v>
      </c>
      <c r="G117" s="14" t="b">
        <v>0</v>
      </c>
      <c r="H117" s="14" t="s">
        <v>703</v>
      </c>
      <c r="I117" s="14">
        <v>16.0</v>
      </c>
      <c r="J117" s="14">
        <v>0.02</v>
      </c>
      <c r="K117" s="14">
        <v>0.0</v>
      </c>
    </row>
    <row r="118" ht="15.75" customHeight="1">
      <c r="A118" s="9" t="s">
        <v>705</v>
      </c>
      <c r="B118" s="10" t="s">
        <v>706</v>
      </c>
      <c r="C118" s="11" t="s">
        <v>98</v>
      </c>
      <c r="D118" s="12" t="s">
        <v>158</v>
      </c>
      <c r="E118" s="13" t="s">
        <v>32</v>
      </c>
      <c r="F118" s="14" t="s">
        <v>160</v>
      </c>
      <c r="G118" s="14" t="b">
        <v>0</v>
      </c>
      <c r="H118" s="14" t="s">
        <v>708</v>
      </c>
      <c r="I118" s="14">
        <v>16.0</v>
      </c>
      <c r="J118" s="14">
        <v>0.02</v>
      </c>
      <c r="K118" s="14">
        <v>0.31</v>
      </c>
    </row>
    <row r="119" ht="15.75" customHeight="1">
      <c r="A119" s="9" t="s">
        <v>709</v>
      </c>
      <c r="B119" s="10" t="s">
        <v>711</v>
      </c>
      <c r="C119" s="11" t="s">
        <v>408</v>
      </c>
      <c r="D119" s="12" t="s">
        <v>116</v>
      </c>
      <c r="E119" s="13" t="s">
        <v>159</v>
      </c>
      <c r="F119" s="14" t="s">
        <v>117</v>
      </c>
      <c r="G119" s="14" t="b">
        <v>0</v>
      </c>
      <c r="I119" s="14">
        <v>16.0</v>
      </c>
      <c r="J119" s="14">
        <v>0.02</v>
      </c>
      <c r="K119" s="14">
        <v>0.5</v>
      </c>
    </row>
    <row r="120" ht="15.75" customHeight="1">
      <c r="A120" s="9" t="s">
        <v>713</v>
      </c>
      <c r="B120" s="10" t="s">
        <v>714</v>
      </c>
      <c r="C120" s="11" t="s">
        <v>25</v>
      </c>
      <c r="D120" s="12" t="s">
        <v>30</v>
      </c>
      <c r="E120" s="13" t="s">
        <v>32</v>
      </c>
      <c r="F120" s="14" t="s">
        <v>34</v>
      </c>
      <c r="G120" s="14" t="b">
        <v>0</v>
      </c>
      <c r="H120" s="14" t="s">
        <v>716</v>
      </c>
      <c r="I120" s="14">
        <v>15.0</v>
      </c>
      <c r="J120" s="14">
        <v>0.02</v>
      </c>
      <c r="K120" s="14">
        <v>0.0</v>
      </c>
    </row>
    <row r="121" ht="15.75" customHeight="1">
      <c r="A121" s="9" t="s">
        <v>717</v>
      </c>
      <c r="B121" s="10" t="s">
        <v>719</v>
      </c>
      <c r="C121" s="11" t="s">
        <v>76</v>
      </c>
      <c r="D121" s="12" t="s">
        <v>19</v>
      </c>
      <c r="E121" s="13" t="s">
        <v>32</v>
      </c>
      <c r="F121" s="14" t="s">
        <v>21</v>
      </c>
      <c r="G121" s="14" t="b">
        <v>0</v>
      </c>
      <c r="H121" s="14" t="s">
        <v>721</v>
      </c>
      <c r="I121" s="14">
        <v>15.0</v>
      </c>
      <c r="J121" s="14">
        <v>0.02</v>
      </c>
      <c r="K121" s="14">
        <v>0.47</v>
      </c>
    </row>
    <row r="122" ht="15.75" customHeight="1">
      <c r="A122" s="9" t="s">
        <v>723</v>
      </c>
      <c r="B122" s="10" t="s">
        <v>725</v>
      </c>
      <c r="C122" s="11" t="s">
        <v>422</v>
      </c>
      <c r="D122" s="12" t="s">
        <v>19</v>
      </c>
      <c r="E122" s="13" t="s">
        <v>32</v>
      </c>
      <c r="F122" s="14" t="s">
        <v>21</v>
      </c>
      <c r="G122" s="14" t="b">
        <v>0</v>
      </c>
      <c r="H122" s="14" t="s">
        <v>726</v>
      </c>
      <c r="I122" s="14">
        <v>15.0</v>
      </c>
      <c r="J122" s="14">
        <v>0.02</v>
      </c>
      <c r="K122" s="14">
        <v>2.4</v>
      </c>
    </row>
    <row r="123" ht="15.75" customHeight="1">
      <c r="A123" s="9" t="s">
        <v>728</v>
      </c>
      <c r="B123" s="10" t="s">
        <v>730</v>
      </c>
      <c r="C123" s="11" t="s">
        <v>84</v>
      </c>
      <c r="D123" s="12" t="s">
        <v>213</v>
      </c>
      <c r="E123" s="13" t="s">
        <v>85</v>
      </c>
      <c r="F123" s="14" t="s">
        <v>215</v>
      </c>
      <c r="G123" s="14" t="b">
        <v>0</v>
      </c>
      <c r="H123" s="14" t="s">
        <v>532</v>
      </c>
      <c r="I123" s="14">
        <v>15.0</v>
      </c>
      <c r="J123" s="14">
        <v>0.02</v>
      </c>
      <c r="K123" s="14">
        <v>1.33</v>
      </c>
    </row>
    <row r="124" ht="15.75" customHeight="1">
      <c r="A124" s="9" t="s">
        <v>732</v>
      </c>
      <c r="B124" s="10" t="s">
        <v>734</v>
      </c>
      <c r="C124" s="11" t="s">
        <v>70</v>
      </c>
      <c r="D124" s="12" t="s">
        <v>19</v>
      </c>
      <c r="E124" s="13" t="s">
        <v>20</v>
      </c>
      <c r="F124" s="14" t="s">
        <v>21</v>
      </c>
      <c r="G124" s="14" t="b">
        <v>0</v>
      </c>
      <c r="H124" s="14" t="s">
        <v>736</v>
      </c>
      <c r="I124" s="14">
        <v>14.0</v>
      </c>
      <c r="J124" s="14">
        <v>0.01</v>
      </c>
      <c r="K124" s="14">
        <v>0.0</v>
      </c>
    </row>
    <row r="125" ht="15.75" customHeight="1">
      <c r="A125" s="9" t="s">
        <v>738</v>
      </c>
      <c r="B125" s="10" t="s">
        <v>739</v>
      </c>
      <c r="C125" s="11" t="s">
        <v>18</v>
      </c>
      <c r="D125" s="12" t="s">
        <v>30</v>
      </c>
      <c r="E125" s="13" t="s">
        <v>32</v>
      </c>
      <c r="F125" s="14" t="s">
        <v>34</v>
      </c>
      <c r="G125" s="14" t="b">
        <v>0</v>
      </c>
      <c r="H125" s="14" t="s">
        <v>741</v>
      </c>
      <c r="I125" s="14">
        <v>14.0</v>
      </c>
      <c r="J125" s="14">
        <v>0.01</v>
      </c>
      <c r="K125" s="14">
        <v>0.21</v>
      </c>
    </row>
    <row r="126" ht="15.75" customHeight="1">
      <c r="A126" s="9" t="s">
        <v>742</v>
      </c>
      <c r="B126" s="10" t="s">
        <v>745</v>
      </c>
      <c r="C126" s="11" t="s">
        <v>375</v>
      </c>
      <c r="D126" s="12" t="s">
        <v>19</v>
      </c>
      <c r="E126" s="13" t="s">
        <v>85</v>
      </c>
      <c r="F126" s="14" t="s">
        <v>21</v>
      </c>
      <c r="G126" s="14" t="b">
        <v>0</v>
      </c>
      <c r="I126" s="14">
        <v>14.0</v>
      </c>
      <c r="J126" s="14">
        <v>0.01</v>
      </c>
      <c r="K126" s="14">
        <v>0.14</v>
      </c>
    </row>
    <row r="127" ht="15.75" customHeight="1">
      <c r="A127" s="9" t="s">
        <v>747</v>
      </c>
      <c r="B127" s="10" t="s">
        <v>748</v>
      </c>
      <c r="C127" s="11" t="s">
        <v>447</v>
      </c>
      <c r="D127" s="12" t="s">
        <v>125</v>
      </c>
      <c r="E127" s="13" t="s">
        <v>32</v>
      </c>
      <c r="F127" s="14" t="s">
        <v>126</v>
      </c>
      <c r="G127" s="14" t="b">
        <v>0</v>
      </c>
      <c r="I127" s="14">
        <v>14.0</v>
      </c>
      <c r="J127" s="14">
        <v>0.01</v>
      </c>
      <c r="K127" s="14">
        <v>1.36</v>
      </c>
    </row>
    <row r="128" ht="15.75" customHeight="1">
      <c r="A128" s="9" t="s">
        <v>751</v>
      </c>
      <c r="B128" s="10" t="s">
        <v>753</v>
      </c>
      <c r="C128" s="11" t="s">
        <v>355</v>
      </c>
      <c r="D128" s="12" t="s">
        <v>19</v>
      </c>
      <c r="E128" s="13" t="s">
        <v>32</v>
      </c>
      <c r="F128" s="14" t="s">
        <v>21</v>
      </c>
      <c r="G128" s="14" t="b">
        <v>0</v>
      </c>
      <c r="H128" s="14" t="s">
        <v>755</v>
      </c>
      <c r="I128" s="14">
        <v>14.0</v>
      </c>
      <c r="J128" s="14">
        <v>0.01</v>
      </c>
      <c r="K128" s="14">
        <v>0.14</v>
      </c>
    </row>
    <row r="129" ht="15.75" customHeight="1">
      <c r="A129" s="9" t="s">
        <v>756</v>
      </c>
      <c r="B129" s="10" t="s">
        <v>757</v>
      </c>
      <c r="C129" s="11" t="s">
        <v>464</v>
      </c>
      <c r="D129" s="12" t="s">
        <v>277</v>
      </c>
      <c r="E129" s="13" t="s">
        <v>32</v>
      </c>
      <c r="F129" s="14" t="s">
        <v>278</v>
      </c>
      <c r="G129" s="14" t="b">
        <v>0</v>
      </c>
      <c r="I129" s="14">
        <v>14.0</v>
      </c>
      <c r="J129" s="14">
        <v>0.01</v>
      </c>
      <c r="K129" s="14">
        <v>1.0</v>
      </c>
    </row>
    <row r="130" ht="15.75" customHeight="1">
      <c r="A130" s="9" t="s">
        <v>760</v>
      </c>
      <c r="B130" s="10" t="s">
        <v>762</v>
      </c>
      <c r="C130" s="11" t="s">
        <v>470</v>
      </c>
      <c r="D130" s="12" t="s">
        <v>125</v>
      </c>
      <c r="E130" s="13" t="s">
        <v>32</v>
      </c>
      <c r="F130" s="14" t="s">
        <v>126</v>
      </c>
      <c r="G130" s="14" t="b">
        <v>0</v>
      </c>
      <c r="H130" s="14" t="s">
        <v>765</v>
      </c>
      <c r="I130" s="14">
        <v>14.0</v>
      </c>
      <c r="J130" s="14">
        <v>0.01</v>
      </c>
      <c r="K130" s="14">
        <v>0.5</v>
      </c>
    </row>
    <row r="131" ht="15.75" customHeight="1">
      <c r="A131" s="9" t="s">
        <v>766</v>
      </c>
      <c r="B131" s="10" t="s">
        <v>768</v>
      </c>
      <c r="C131" s="11" t="s">
        <v>333</v>
      </c>
      <c r="D131" s="12" t="s">
        <v>277</v>
      </c>
      <c r="E131" s="13" t="s">
        <v>20</v>
      </c>
      <c r="F131" s="14" t="s">
        <v>278</v>
      </c>
      <c r="G131" s="14" t="b">
        <v>0</v>
      </c>
      <c r="H131" s="14" t="s">
        <v>769</v>
      </c>
      <c r="I131" s="14">
        <v>14.0</v>
      </c>
      <c r="J131" s="14">
        <v>0.01</v>
      </c>
      <c r="K131" s="14">
        <v>1.29</v>
      </c>
    </row>
    <row r="132" ht="15.75" customHeight="1">
      <c r="A132" s="9" t="s">
        <v>771</v>
      </c>
      <c r="B132" s="10" t="s">
        <v>772</v>
      </c>
      <c r="C132" s="11" t="s">
        <v>466</v>
      </c>
      <c r="D132" s="12" t="s">
        <v>277</v>
      </c>
      <c r="E132" s="13" t="s">
        <v>32</v>
      </c>
      <c r="F132" s="14" t="s">
        <v>278</v>
      </c>
      <c r="G132" s="14" t="b">
        <v>0</v>
      </c>
      <c r="H132" s="14" t="s">
        <v>467</v>
      </c>
      <c r="I132" s="14">
        <v>14.0</v>
      </c>
      <c r="J132" s="14">
        <v>0.01</v>
      </c>
      <c r="K132" s="14">
        <v>0.43</v>
      </c>
    </row>
    <row r="133" ht="15.75" customHeight="1">
      <c r="A133" s="9" t="s">
        <v>776</v>
      </c>
      <c r="B133" s="10" t="s">
        <v>778</v>
      </c>
      <c r="C133" s="11" t="s">
        <v>363</v>
      </c>
      <c r="D133" s="12" t="s">
        <v>19</v>
      </c>
      <c r="E133" s="13" t="s">
        <v>116</v>
      </c>
      <c r="F133" s="14" t="s">
        <v>21</v>
      </c>
      <c r="G133" s="14" t="b">
        <v>0</v>
      </c>
      <c r="H133" s="14" t="s">
        <v>366</v>
      </c>
      <c r="I133" s="14">
        <v>14.0</v>
      </c>
      <c r="J133" s="14">
        <v>0.01</v>
      </c>
      <c r="K133" s="14">
        <v>0.14</v>
      </c>
    </row>
    <row r="134" ht="15.75" customHeight="1">
      <c r="A134" s="9" t="s">
        <v>781</v>
      </c>
      <c r="B134" s="10" t="s">
        <v>784</v>
      </c>
      <c r="C134" s="11" t="s">
        <v>48</v>
      </c>
      <c r="D134" s="12" t="s">
        <v>277</v>
      </c>
      <c r="E134" s="13" t="s">
        <v>20</v>
      </c>
      <c r="F134" s="14" t="s">
        <v>278</v>
      </c>
      <c r="G134" s="14" t="b">
        <v>0</v>
      </c>
      <c r="H134" s="14" t="s">
        <v>387</v>
      </c>
      <c r="I134" s="14">
        <v>14.0</v>
      </c>
      <c r="J134" s="14">
        <v>0.01</v>
      </c>
      <c r="K134" s="14">
        <v>1.07</v>
      </c>
    </row>
    <row r="135" ht="15.75" customHeight="1">
      <c r="A135" s="9" t="s">
        <v>786</v>
      </c>
      <c r="B135" s="10" t="s">
        <v>788</v>
      </c>
      <c r="C135" s="11" t="s">
        <v>368</v>
      </c>
      <c r="D135" s="12" t="s">
        <v>19</v>
      </c>
      <c r="E135" s="13" t="s">
        <v>32</v>
      </c>
      <c r="F135" s="14" t="s">
        <v>21</v>
      </c>
      <c r="G135" s="14" t="b">
        <v>0</v>
      </c>
      <c r="H135" s="14" t="s">
        <v>234</v>
      </c>
      <c r="I135" s="14">
        <v>14.0</v>
      </c>
      <c r="J135" s="14">
        <v>0.01</v>
      </c>
      <c r="K135" s="14">
        <v>0.5</v>
      </c>
    </row>
    <row r="136" ht="15.75" customHeight="1">
      <c r="A136" s="9" t="s">
        <v>789</v>
      </c>
      <c r="B136" s="10" t="s">
        <v>791</v>
      </c>
      <c r="C136" s="11" t="s">
        <v>435</v>
      </c>
      <c r="D136" s="12" t="s">
        <v>277</v>
      </c>
      <c r="E136" s="13" t="s">
        <v>20</v>
      </c>
      <c r="F136" s="14" t="s">
        <v>278</v>
      </c>
      <c r="G136" s="14" t="b">
        <v>0</v>
      </c>
      <c r="H136" s="14" t="s">
        <v>794</v>
      </c>
      <c r="I136" s="14">
        <v>14.0</v>
      </c>
      <c r="J136" s="14">
        <v>0.01</v>
      </c>
      <c r="K136" s="14">
        <v>1.36</v>
      </c>
    </row>
    <row r="137" ht="15.75" customHeight="1">
      <c r="A137" s="9" t="s">
        <v>795</v>
      </c>
      <c r="B137" s="10" t="s">
        <v>797</v>
      </c>
      <c r="C137" s="11" t="s">
        <v>157</v>
      </c>
      <c r="D137" s="12" t="s">
        <v>30</v>
      </c>
      <c r="E137" s="13" t="s">
        <v>159</v>
      </c>
      <c r="F137" s="14" t="s">
        <v>34</v>
      </c>
      <c r="G137" s="14" t="b">
        <v>0</v>
      </c>
      <c r="H137" s="14" t="s">
        <v>800</v>
      </c>
      <c r="I137" s="14">
        <v>14.0</v>
      </c>
      <c r="J137" s="14">
        <v>0.01</v>
      </c>
      <c r="K137" s="14">
        <v>0.36</v>
      </c>
    </row>
    <row r="138" ht="15.75" customHeight="1">
      <c r="A138" s="9" t="s">
        <v>801</v>
      </c>
      <c r="B138" s="10" t="s">
        <v>803</v>
      </c>
      <c r="C138" s="11" t="s">
        <v>286</v>
      </c>
      <c r="D138" s="12" t="s">
        <v>116</v>
      </c>
      <c r="E138" s="13" t="s">
        <v>159</v>
      </c>
      <c r="F138" s="14" t="s">
        <v>117</v>
      </c>
      <c r="G138" s="14" t="b">
        <v>0</v>
      </c>
      <c r="I138" s="14">
        <v>13.0</v>
      </c>
      <c r="J138" s="14">
        <v>0.01</v>
      </c>
      <c r="K138" s="14">
        <v>0.0</v>
      </c>
    </row>
    <row r="139" ht="15.75" customHeight="1">
      <c r="A139" s="9" t="s">
        <v>807</v>
      </c>
      <c r="B139" s="10" t="s">
        <v>809</v>
      </c>
      <c r="C139" s="11" t="s">
        <v>474</v>
      </c>
      <c r="D139" s="12" t="s">
        <v>19</v>
      </c>
      <c r="E139" s="13" t="s">
        <v>32</v>
      </c>
      <c r="F139" s="14" t="s">
        <v>21</v>
      </c>
      <c r="G139" s="14" t="b">
        <v>0</v>
      </c>
      <c r="I139" s="14">
        <v>13.0</v>
      </c>
      <c r="J139" s="14">
        <v>0.01</v>
      </c>
      <c r="K139" s="14">
        <v>0.54</v>
      </c>
    </row>
    <row r="140" ht="15.75" customHeight="1">
      <c r="A140" s="9" t="s">
        <v>811</v>
      </c>
      <c r="B140" s="10" t="s">
        <v>813</v>
      </c>
      <c r="C140" s="11" t="s">
        <v>474</v>
      </c>
      <c r="D140" s="12" t="s">
        <v>19</v>
      </c>
      <c r="E140" s="13" t="s">
        <v>32</v>
      </c>
      <c r="F140" s="14" t="s">
        <v>21</v>
      </c>
      <c r="G140" s="14" t="b">
        <v>0</v>
      </c>
      <c r="I140" s="14">
        <v>13.0</v>
      </c>
      <c r="J140" s="14">
        <v>0.01</v>
      </c>
      <c r="K140" s="14">
        <v>0.15</v>
      </c>
    </row>
    <row r="141" ht="15.75" customHeight="1">
      <c r="A141" s="9" t="s">
        <v>815</v>
      </c>
      <c r="B141" s="10" t="s">
        <v>817</v>
      </c>
      <c r="C141" s="11" t="s">
        <v>453</v>
      </c>
      <c r="D141" s="12" t="s">
        <v>30</v>
      </c>
      <c r="E141" s="13" t="s">
        <v>32</v>
      </c>
      <c r="F141" s="14" t="s">
        <v>34</v>
      </c>
      <c r="G141" s="14" t="b">
        <v>0</v>
      </c>
      <c r="H141" s="14" t="s">
        <v>819</v>
      </c>
      <c r="I141" s="14">
        <v>13.0</v>
      </c>
      <c r="J141" s="14">
        <v>0.01</v>
      </c>
      <c r="K141" s="14">
        <v>0.0</v>
      </c>
    </row>
    <row r="142" ht="15.75" customHeight="1">
      <c r="A142" s="9" t="s">
        <v>820</v>
      </c>
      <c r="B142" s="13"/>
      <c r="C142" s="11" t="s">
        <v>493</v>
      </c>
      <c r="D142" s="12" t="s">
        <v>125</v>
      </c>
      <c r="E142" s="13" t="s">
        <v>32</v>
      </c>
      <c r="F142" s="14" t="s">
        <v>126</v>
      </c>
      <c r="H142" s="14" t="s">
        <v>824</v>
      </c>
      <c r="I142" s="14">
        <v>13.0</v>
      </c>
      <c r="J142" s="14">
        <v>0.01</v>
      </c>
      <c r="K142" s="14">
        <v>2.15</v>
      </c>
    </row>
    <row r="143" ht="15.75" customHeight="1">
      <c r="A143" s="9" t="s">
        <v>826</v>
      </c>
      <c r="B143" s="10" t="s">
        <v>828</v>
      </c>
      <c r="C143" s="11" t="s">
        <v>489</v>
      </c>
      <c r="D143" s="12" t="s">
        <v>277</v>
      </c>
      <c r="E143" s="13" t="s">
        <v>20</v>
      </c>
      <c r="F143" s="14" t="s">
        <v>278</v>
      </c>
      <c r="G143" s="14" t="b">
        <v>0</v>
      </c>
      <c r="H143" s="14" t="s">
        <v>491</v>
      </c>
      <c r="I143" s="14">
        <v>13.0</v>
      </c>
      <c r="J143" s="14">
        <v>0.01</v>
      </c>
      <c r="K143" s="14">
        <v>1.54</v>
      </c>
    </row>
    <row r="144" ht="15.75" customHeight="1">
      <c r="A144" s="9" t="s">
        <v>831</v>
      </c>
      <c r="B144" s="10" t="s">
        <v>833</v>
      </c>
      <c r="C144" s="11" t="s">
        <v>70</v>
      </c>
      <c r="D144" s="12" t="s">
        <v>19</v>
      </c>
      <c r="E144" s="13" t="s">
        <v>20</v>
      </c>
      <c r="F144" s="14" t="s">
        <v>21</v>
      </c>
      <c r="G144" s="14" t="b">
        <v>0</v>
      </c>
      <c r="H144" s="14" t="s">
        <v>835</v>
      </c>
      <c r="I144" s="14">
        <v>13.0</v>
      </c>
      <c r="J144" s="14">
        <v>0.01</v>
      </c>
      <c r="K144" s="14">
        <v>0.69</v>
      </c>
    </row>
    <row r="145" ht="15.75" customHeight="1">
      <c r="A145" s="9" t="s">
        <v>836</v>
      </c>
      <c r="B145" s="10" t="s">
        <v>838</v>
      </c>
      <c r="C145" s="11" t="s">
        <v>18</v>
      </c>
      <c r="D145" s="12" t="s">
        <v>158</v>
      </c>
      <c r="E145" s="13" t="s">
        <v>32</v>
      </c>
      <c r="F145" s="14" t="s">
        <v>160</v>
      </c>
      <c r="G145" s="14" t="b">
        <v>0</v>
      </c>
      <c r="H145" s="14" t="s">
        <v>840</v>
      </c>
      <c r="I145" s="14">
        <v>13.0</v>
      </c>
      <c r="J145" s="14">
        <v>0.01</v>
      </c>
      <c r="K145" s="14">
        <v>0.77</v>
      </c>
    </row>
    <row r="146" ht="15.75" customHeight="1">
      <c r="A146" s="9" t="s">
        <v>841</v>
      </c>
      <c r="B146" s="10" t="s">
        <v>843</v>
      </c>
      <c r="C146" s="11" t="s">
        <v>201</v>
      </c>
      <c r="D146" s="12" t="s">
        <v>19</v>
      </c>
      <c r="E146" s="13" t="s">
        <v>32</v>
      </c>
      <c r="F146" s="14" t="s">
        <v>21</v>
      </c>
      <c r="G146" s="14" t="b">
        <v>0</v>
      </c>
      <c r="H146" s="14" t="s">
        <v>538</v>
      </c>
      <c r="I146" s="14">
        <v>13.0</v>
      </c>
      <c r="J146" s="14">
        <v>0.01</v>
      </c>
      <c r="K146" s="14">
        <v>0.46</v>
      </c>
    </row>
    <row r="147" ht="15.75" customHeight="1">
      <c r="A147" s="9" t="s">
        <v>845</v>
      </c>
      <c r="B147" s="10" t="s">
        <v>848</v>
      </c>
      <c r="C147" s="11" t="s">
        <v>201</v>
      </c>
      <c r="D147" s="12" t="s">
        <v>19</v>
      </c>
      <c r="E147" s="13" t="s">
        <v>32</v>
      </c>
      <c r="F147" s="14" t="s">
        <v>21</v>
      </c>
      <c r="G147" s="14" t="b">
        <v>0</v>
      </c>
      <c r="H147" s="14" t="s">
        <v>340</v>
      </c>
      <c r="I147" s="14">
        <v>13.0</v>
      </c>
      <c r="J147" s="14">
        <v>0.01</v>
      </c>
      <c r="K147" s="14">
        <v>1.46</v>
      </c>
    </row>
    <row r="148" ht="15.75" customHeight="1">
      <c r="A148" s="9" t="s">
        <v>849</v>
      </c>
      <c r="B148" s="10" t="s">
        <v>851</v>
      </c>
      <c r="C148" s="11" t="s">
        <v>28</v>
      </c>
      <c r="D148" s="12" t="s">
        <v>30</v>
      </c>
      <c r="E148" s="13" t="s">
        <v>159</v>
      </c>
      <c r="F148" s="14" t="s">
        <v>34</v>
      </c>
      <c r="G148" s="14" t="b">
        <v>0</v>
      </c>
      <c r="H148" s="14" t="s">
        <v>852</v>
      </c>
      <c r="I148" s="14">
        <v>13.0</v>
      </c>
      <c r="J148" s="14">
        <v>0.01</v>
      </c>
      <c r="K148" s="14">
        <v>1.08</v>
      </c>
    </row>
    <row r="149" ht="15.75" customHeight="1">
      <c r="A149" s="9" t="s">
        <v>854</v>
      </c>
      <c r="B149" s="10" t="s">
        <v>857</v>
      </c>
      <c r="C149" s="11" t="s">
        <v>28</v>
      </c>
      <c r="D149" s="12" t="s">
        <v>158</v>
      </c>
      <c r="E149" s="13" t="s">
        <v>159</v>
      </c>
      <c r="F149" s="14" t="s">
        <v>160</v>
      </c>
      <c r="G149" s="14" t="b">
        <v>0</v>
      </c>
      <c r="H149" s="14" t="s">
        <v>858</v>
      </c>
      <c r="I149" s="14">
        <v>13.0</v>
      </c>
      <c r="J149" s="14">
        <v>0.01</v>
      </c>
      <c r="K149" s="14">
        <v>0.15</v>
      </c>
    </row>
    <row r="150" ht="15.75" customHeight="1">
      <c r="A150" s="9" t="s">
        <v>862</v>
      </c>
      <c r="B150" s="13"/>
      <c r="C150" s="11" t="s">
        <v>152</v>
      </c>
      <c r="D150" s="12" t="s">
        <v>19</v>
      </c>
      <c r="E150" s="13" t="s">
        <v>102</v>
      </c>
      <c r="F150" s="14" t="s">
        <v>21</v>
      </c>
      <c r="G150" s="14" t="b">
        <v>0</v>
      </c>
      <c r="H150" s="14" t="s">
        <v>865</v>
      </c>
      <c r="I150" s="14">
        <v>13.0</v>
      </c>
      <c r="J150" s="14">
        <v>0.01</v>
      </c>
      <c r="K150" s="14">
        <v>0.08</v>
      </c>
    </row>
    <row r="151" ht="15.75" customHeight="1">
      <c r="A151" s="9" t="s">
        <v>867</v>
      </c>
      <c r="B151" s="10" t="s">
        <v>870</v>
      </c>
      <c r="C151" s="11" t="s">
        <v>495</v>
      </c>
      <c r="D151" s="12" t="s">
        <v>19</v>
      </c>
      <c r="E151" s="13" t="s">
        <v>32</v>
      </c>
      <c r="F151" s="14" t="s">
        <v>21</v>
      </c>
      <c r="G151" s="14" t="b">
        <v>0</v>
      </c>
      <c r="H151" s="14" t="s">
        <v>873</v>
      </c>
      <c r="I151" s="14">
        <v>13.0</v>
      </c>
      <c r="J151" s="14">
        <v>0.01</v>
      </c>
      <c r="K151" s="14">
        <v>1.62</v>
      </c>
    </row>
    <row r="152" ht="15.75" customHeight="1">
      <c r="A152" s="9" t="s">
        <v>875</v>
      </c>
      <c r="B152" s="10" t="s">
        <v>877</v>
      </c>
      <c r="C152" s="11" t="s">
        <v>458</v>
      </c>
      <c r="D152" s="12" t="s">
        <v>19</v>
      </c>
      <c r="E152" s="13" t="s">
        <v>32</v>
      </c>
      <c r="F152" s="14" t="s">
        <v>21</v>
      </c>
      <c r="G152" s="14" t="b">
        <v>0</v>
      </c>
      <c r="I152" s="14">
        <v>13.0</v>
      </c>
      <c r="J152" s="14">
        <v>0.01</v>
      </c>
      <c r="K152" s="14">
        <v>0.0</v>
      </c>
    </row>
    <row r="153" ht="15.75" customHeight="1">
      <c r="A153" s="9" t="s">
        <v>881</v>
      </c>
      <c r="B153" s="10" t="s">
        <v>884</v>
      </c>
      <c r="C153" s="10" t="s">
        <v>505</v>
      </c>
      <c r="D153" s="12" t="s">
        <v>19</v>
      </c>
      <c r="E153" s="13" t="s">
        <v>116</v>
      </c>
      <c r="F153" s="14" t="s">
        <v>21</v>
      </c>
      <c r="G153" s="14" t="b">
        <v>0</v>
      </c>
      <c r="H153" s="14" t="s">
        <v>506</v>
      </c>
      <c r="I153" s="14">
        <v>13.0</v>
      </c>
      <c r="J153" s="14">
        <v>0.01</v>
      </c>
      <c r="K153" s="14">
        <v>0.23</v>
      </c>
    </row>
    <row r="154" ht="15.75" customHeight="1">
      <c r="A154" s="9" t="s">
        <v>885</v>
      </c>
      <c r="B154" s="13"/>
      <c r="C154" s="11" t="s">
        <v>486</v>
      </c>
      <c r="D154" s="12" t="s">
        <v>116</v>
      </c>
      <c r="E154" s="13" t="s">
        <v>20</v>
      </c>
      <c r="F154" s="14" t="s">
        <v>117</v>
      </c>
      <c r="G154" s="14" t="b">
        <v>0</v>
      </c>
      <c r="H154" s="14" t="s">
        <v>487</v>
      </c>
      <c r="I154" s="14">
        <v>13.0</v>
      </c>
      <c r="J154" s="14">
        <v>0.01</v>
      </c>
      <c r="K154" s="14">
        <v>1.0</v>
      </c>
    </row>
    <row r="155" ht="15.75" customHeight="1">
      <c r="A155" s="9" t="s">
        <v>889</v>
      </c>
      <c r="B155" s="10" t="s">
        <v>893</v>
      </c>
      <c r="C155" s="11" t="s">
        <v>48</v>
      </c>
      <c r="D155" s="12" t="s">
        <v>277</v>
      </c>
      <c r="E155" s="13" t="s">
        <v>20</v>
      </c>
      <c r="F155" s="14" t="s">
        <v>278</v>
      </c>
      <c r="G155" s="14" t="b">
        <v>0</v>
      </c>
      <c r="H155" s="14" t="s">
        <v>894</v>
      </c>
      <c r="I155" s="14">
        <v>13.0</v>
      </c>
      <c r="J155" s="14">
        <v>0.01</v>
      </c>
      <c r="K155" s="14">
        <v>1.46</v>
      </c>
    </row>
    <row r="156" ht="15.75" customHeight="1">
      <c r="A156" s="9" t="s">
        <v>895</v>
      </c>
      <c r="B156" s="10" t="s">
        <v>898</v>
      </c>
      <c r="C156" s="11" t="s">
        <v>48</v>
      </c>
      <c r="D156" s="12" t="s">
        <v>277</v>
      </c>
      <c r="E156" s="13" t="s">
        <v>20</v>
      </c>
      <c r="F156" s="14" t="s">
        <v>278</v>
      </c>
      <c r="G156" s="14" t="b">
        <v>0</v>
      </c>
      <c r="H156" s="14" t="s">
        <v>899</v>
      </c>
      <c r="I156" s="14">
        <v>13.0</v>
      </c>
      <c r="J156" s="14">
        <v>0.01</v>
      </c>
      <c r="K156" s="14">
        <v>0.85</v>
      </c>
    </row>
    <row r="157" ht="15.75" customHeight="1">
      <c r="A157" s="9" t="s">
        <v>900</v>
      </c>
      <c r="B157" s="10" t="s">
        <v>902</v>
      </c>
      <c r="C157" s="11" t="s">
        <v>104</v>
      </c>
      <c r="D157" s="12" t="s">
        <v>125</v>
      </c>
      <c r="E157" s="13" t="s">
        <v>32</v>
      </c>
      <c r="F157" s="14" t="s">
        <v>126</v>
      </c>
      <c r="G157" s="14" t="b">
        <v>0</v>
      </c>
      <c r="H157" s="14" t="s">
        <v>904</v>
      </c>
      <c r="I157" s="14">
        <v>13.0</v>
      </c>
      <c r="J157" s="14">
        <v>0.01</v>
      </c>
      <c r="K157" s="14">
        <v>1.85</v>
      </c>
    </row>
    <row r="158" ht="15.75" customHeight="1">
      <c r="A158" s="9" t="s">
        <v>906</v>
      </c>
      <c r="B158" s="10" t="s">
        <v>908</v>
      </c>
      <c r="C158" s="11" t="s">
        <v>508</v>
      </c>
      <c r="D158" s="12" t="s">
        <v>19</v>
      </c>
      <c r="E158" s="13" t="s">
        <v>32</v>
      </c>
      <c r="F158" s="14" t="s">
        <v>21</v>
      </c>
      <c r="G158" s="14" t="b">
        <v>0</v>
      </c>
      <c r="I158" s="14">
        <v>13.0</v>
      </c>
      <c r="J158" s="14">
        <v>0.01</v>
      </c>
      <c r="K158" s="14">
        <v>0.38</v>
      </c>
    </row>
    <row r="159" ht="15.75" customHeight="1">
      <c r="A159" s="9" t="s">
        <v>911</v>
      </c>
      <c r="B159" s="10" t="s">
        <v>914</v>
      </c>
      <c r="C159" s="11" t="s">
        <v>258</v>
      </c>
      <c r="D159" s="12" t="s">
        <v>456</v>
      </c>
      <c r="E159" s="13" t="s">
        <v>32</v>
      </c>
      <c r="F159" s="14" t="s">
        <v>457</v>
      </c>
      <c r="G159" s="14" t="b">
        <v>0</v>
      </c>
      <c r="H159" s="14" t="s">
        <v>917</v>
      </c>
      <c r="I159" s="14">
        <v>13.0</v>
      </c>
      <c r="J159" s="14">
        <v>0.01</v>
      </c>
      <c r="K159" s="14">
        <v>0.46</v>
      </c>
    </row>
    <row r="160" ht="15.75" customHeight="1">
      <c r="A160" s="9" t="s">
        <v>919</v>
      </c>
      <c r="B160" s="10" t="s">
        <v>921</v>
      </c>
      <c r="C160" s="11" t="s">
        <v>36</v>
      </c>
      <c r="D160" s="12" t="s">
        <v>30</v>
      </c>
      <c r="E160" s="13" t="s">
        <v>32</v>
      </c>
      <c r="F160" s="14" t="s">
        <v>34</v>
      </c>
      <c r="G160" s="14" t="b">
        <v>0</v>
      </c>
      <c r="H160" s="14" t="s">
        <v>922</v>
      </c>
      <c r="I160" s="14">
        <v>13.0</v>
      </c>
      <c r="J160" s="14">
        <v>0.01</v>
      </c>
      <c r="K160" s="14">
        <v>0.92</v>
      </c>
    </row>
    <row r="161" ht="15.75" customHeight="1">
      <c r="A161" s="9" t="s">
        <v>923</v>
      </c>
      <c r="B161" s="10" t="s">
        <v>927</v>
      </c>
      <c r="C161" s="11" t="s">
        <v>36</v>
      </c>
      <c r="D161" s="12" t="s">
        <v>30</v>
      </c>
      <c r="E161" s="13" t="s">
        <v>32</v>
      </c>
      <c r="F161" s="14" t="s">
        <v>34</v>
      </c>
      <c r="G161" s="14" t="b">
        <v>0</v>
      </c>
      <c r="H161" s="14" t="s">
        <v>928</v>
      </c>
      <c r="I161" s="14">
        <v>13.0</v>
      </c>
      <c r="J161" s="14">
        <v>0.01</v>
      </c>
      <c r="K161" s="14">
        <v>0.08</v>
      </c>
    </row>
    <row r="162" ht="15.75" customHeight="1">
      <c r="A162" s="9" t="s">
        <v>930</v>
      </c>
      <c r="B162" s="10" t="s">
        <v>931</v>
      </c>
      <c r="C162" s="11" t="s">
        <v>251</v>
      </c>
      <c r="D162" s="12" t="s">
        <v>19</v>
      </c>
      <c r="E162" s="13" t="s">
        <v>32</v>
      </c>
      <c r="F162" s="14" t="s">
        <v>21</v>
      </c>
      <c r="G162" s="14" t="b">
        <v>0</v>
      </c>
      <c r="H162" s="14" t="s">
        <v>932</v>
      </c>
      <c r="I162" s="14">
        <v>13.0</v>
      </c>
      <c r="J162" s="14">
        <v>0.01</v>
      </c>
      <c r="K162" s="14">
        <v>0.85</v>
      </c>
    </row>
    <row r="163" ht="15.75" customHeight="1">
      <c r="A163" s="9" t="s">
        <v>934</v>
      </c>
      <c r="B163" s="10" t="s">
        <v>936</v>
      </c>
      <c r="C163" s="11" t="s">
        <v>358</v>
      </c>
      <c r="D163" s="12" t="s">
        <v>456</v>
      </c>
      <c r="E163" s="13" t="s">
        <v>102</v>
      </c>
      <c r="F163" s="14" t="s">
        <v>457</v>
      </c>
      <c r="G163" s="14" t="b">
        <v>0</v>
      </c>
      <c r="H163" s="14" t="s">
        <v>361</v>
      </c>
      <c r="I163" s="14">
        <v>13.0</v>
      </c>
      <c r="J163" s="14">
        <v>0.01</v>
      </c>
      <c r="K163" s="14">
        <v>1.77</v>
      </c>
    </row>
    <row r="164" ht="15.75" customHeight="1">
      <c r="A164" s="9" t="s">
        <v>939</v>
      </c>
      <c r="B164" s="10" t="s">
        <v>941</v>
      </c>
      <c r="C164" s="11" t="s">
        <v>98</v>
      </c>
      <c r="D164" s="12" t="s">
        <v>312</v>
      </c>
      <c r="E164" s="13" t="s">
        <v>32</v>
      </c>
      <c r="F164" s="14" t="s">
        <v>313</v>
      </c>
      <c r="G164" s="14" t="b">
        <v>0</v>
      </c>
      <c r="H164" s="14" t="s">
        <v>467</v>
      </c>
      <c r="I164" s="14">
        <v>13.0</v>
      </c>
      <c r="J164" s="14">
        <v>0.01</v>
      </c>
      <c r="K164" s="14">
        <v>1.23</v>
      </c>
    </row>
    <row r="165" ht="15.75" customHeight="1">
      <c r="A165" s="9" t="s">
        <v>944</v>
      </c>
      <c r="B165" s="10" t="s">
        <v>947</v>
      </c>
      <c r="C165" s="11" t="s">
        <v>511</v>
      </c>
      <c r="D165" s="12" t="s">
        <v>19</v>
      </c>
      <c r="E165" s="13" t="s">
        <v>159</v>
      </c>
      <c r="F165" s="14" t="s">
        <v>21</v>
      </c>
      <c r="G165" s="14" t="b">
        <v>0</v>
      </c>
      <c r="H165" s="14" t="s">
        <v>513</v>
      </c>
      <c r="I165" s="14">
        <v>13.0</v>
      </c>
      <c r="J165" s="14">
        <v>0.01</v>
      </c>
      <c r="K165" s="14">
        <v>0.23</v>
      </c>
    </row>
    <row r="166" ht="15.75" customHeight="1">
      <c r="A166" s="9" t="s">
        <v>949</v>
      </c>
      <c r="B166" s="10" t="s">
        <v>952</v>
      </c>
      <c r="C166" s="11" t="s">
        <v>25</v>
      </c>
      <c r="D166" s="12" t="s">
        <v>30</v>
      </c>
      <c r="E166" s="13" t="s">
        <v>32</v>
      </c>
      <c r="F166" s="14" t="s">
        <v>34</v>
      </c>
      <c r="G166" s="14" t="b">
        <v>0</v>
      </c>
      <c r="H166" s="14" t="s">
        <v>953</v>
      </c>
      <c r="I166" s="14">
        <v>12.0</v>
      </c>
      <c r="J166" s="14">
        <v>0.01</v>
      </c>
      <c r="K166" s="14">
        <v>0.5</v>
      </c>
    </row>
    <row r="167" ht="15.75" customHeight="1">
      <c r="A167" s="9" t="s">
        <v>955</v>
      </c>
      <c r="B167" s="10" t="s">
        <v>958</v>
      </c>
      <c r="C167" s="11" t="s">
        <v>25</v>
      </c>
      <c r="D167" s="12" t="s">
        <v>30</v>
      </c>
      <c r="E167" s="13" t="s">
        <v>32</v>
      </c>
      <c r="F167" s="14" t="s">
        <v>34</v>
      </c>
      <c r="G167" s="14" t="b">
        <v>0</v>
      </c>
      <c r="H167" s="14" t="s">
        <v>960</v>
      </c>
      <c r="I167" s="14">
        <v>12.0</v>
      </c>
      <c r="J167" s="14">
        <v>0.01</v>
      </c>
      <c r="K167" s="14">
        <v>0.5</v>
      </c>
    </row>
    <row r="168" ht="15.75" customHeight="1">
      <c r="A168" s="9" t="s">
        <v>962</v>
      </c>
      <c r="B168" s="10" t="s">
        <v>963</v>
      </c>
      <c r="C168" s="11" t="s">
        <v>449</v>
      </c>
      <c r="D168" s="12" t="s">
        <v>277</v>
      </c>
      <c r="E168" s="13" t="s">
        <v>20</v>
      </c>
      <c r="F168" s="14" t="s">
        <v>278</v>
      </c>
      <c r="G168" s="14" t="b">
        <v>0</v>
      </c>
      <c r="H168" s="14" t="s">
        <v>966</v>
      </c>
      <c r="I168" s="14">
        <v>12.0</v>
      </c>
      <c r="J168" s="14">
        <v>0.01</v>
      </c>
      <c r="K168" s="14">
        <v>1.0</v>
      </c>
    </row>
    <row r="169" ht="15.75" customHeight="1">
      <c r="A169" s="9" t="s">
        <v>967</v>
      </c>
      <c r="B169" s="10" t="s">
        <v>972</v>
      </c>
      <c r="C169" s="11" t="s">
        <v>521</v>
      </c>
      <c r="D169" s="12" t="s">
        <v>19</v>
      </c>
      <c r="E169" s="13" t="s">
        <v>85</v>
      </c>
      <c r="F169" s="14" t="s">
        <v>21</v>
      </c>
      <c r="G169" s="14" t="b">
        <v>0</v>
      </c>
      <c r="H169" s="14" t="s">
        <v>523</v>
      </c>
      <c r="I169" s="14">
        <v>12.0</v>
      </c>
      <c r="J169" s="14">
        <v>0.01</v>
      </c>
      <c r="K169" s="14">
        <v>0.08</v>
      </c>
    </row>
    <row r="170" ht="15.75" customHeight="1">
      <c r="A170" s="9" t="s">
        <v>975</v>
      </c>
      <c r="B170" s="10" t="s">
        <v>977</v>
      </c>
      <c r="C170" s="11" t="s">
        <v>155</v>
      </c>
      <c r="D170" s="12" t="s">
        <v>19</v>
      </c>
      <c r="E170" s="13" t="s">
        <v>32</v>
      </c>
      <c r="F170" s="14" t="s">
        <v>21</v>
      </c>
      <c r="G170" s="14" t="b">
        <v>0</v>
      </c>
      <c r="H170" s="14" t="s">
        <v>708</v>
      </c>
      <c r="I170" s="14">
        <v>12.0</v>
      </c>
      <c r="J170" s="14">
        <v>0.01</v>
      </c>
      <c r="K170" s="14">
        <v>1.0</v>
      </c>
    </row>
    <row r="171" ht="15.75" customHeight="1">
      <c r="A171" s="9" t="s">
        <v>980</v>
      </c>
      <c r="B171" s="10" t="s">
        <v>982</v>
      </c>
      <c r="C171" s="11" t="s">
        <v>107</v>
      </c>
      <c r="D171" s="12" t="s">
        <v>116</v>
      </c>
      <c r="E171" s="13" t="s">
        <v>85</v>
      </c>
      <c r="F171" s="14" t="s">
        <v>117</v>
      </c>
      <c r="G171" s="14" t="b">
        <v>0</v>
      </c>
      <c r="H171" s="14" t="s">
        <v>984</v>
      </c>
      <c r="I171" s="14">
        <v>12.0</v>
      </c>
      <c r="J171" s="14">
        <v>0.01</v>
      </c>
      <c r="K171" s="14">
        <v>0.0</v>
      </c>
    </row>
    <row r="172" ht="15.75" customHeight="1">
      <c r="A172" s="9" t="s">
        <v>985</v>
      </c>
      <c r="B172" s="10" t="s">
        <v>987</v>
      </c>
      <c r="C172" s="11" t="s">
        <v>518</v>
      </c>
      <c r="D172" s="12" t="s">
        <v>30</v>
      </c>
      <c r="E172" s="13" t="s">
        <v>159</v>
      </c>
      <c r="F172" s="14" t="s">
        <v>34</v>
      </c>
      <c r="G172" s="14" t="b">
        <v>0</v>
      </c>
      <c r="H172" s="14" t="s">
        <v>990</v>
      </c>
      <c r="I172" s="14">
        <v>12.0</v>
      </c>
      <c r="J172" s="14">
        <v>0.01</v>
      </c>
      <c r="K172" s="14">
        <v>0.42</v>
      </c>
    </row>
    <row r="173" ht="15.75" customHeight="1">
      <c r="A173" s="9" t="s">
        <v>991</v>
      </c>
      <c r="B173" s="10" t="s">
        <v>994</v>
      </c>
      <c r="C173" s="11" t="s">
        <v>481</v>
      </c>
      <c r="D173" s="12" t="s">
        <v>19</v>
      </c>
      <c r="E173" s="13" t="s">
        <v>32</v>
      </c>
      <c r="F173" s="14" t="s">
        <v>21</v>
      </c>
      <c r="G173" s="14" t="b">
        <v>0</v>
      </c>
      <c r="H173" s="14" t="s">
        <v>997</v>
      </c>
      <c r="I173" s="14">
        <v>12.0</v>
      </c>
      <c r="J173" s="14">
        <v>0.01</v>
      </c>
      <c r="K173" s="14">
        <v>0.92</v>
      </c>
    </row>
    <row r="174" ht="15.75" customHeight="1">
      <c r="A174" s="9" t="s">
        <v>999</v>
      </c>
      <c r="B174" s="10" t="s">
        <v>1001</v>
      </c>
      <c r="C174" s="10" t="s">
        <v>219</v>
      </c>
      <c r="D174" s="12" t="s">
        <v>19</v>
      </c>
      <c r="E174" s="13" t="s">
        <v>32</v>
      </c>
      <c r="F174" s="14" t="s">
        <v>21</v>
      </c>
      <c r="G174" s="14" t="b">
        <v>0</v>
      </c>
      <c r="H174" s="14" t="s">
        <v>538</v>
      </c>
      <c r="I174" s="14">
        <v>12.0</v>
      </c>
      <c r="J174" s="14">
        <v>0.01</v>
      </c>
      <c r="K174" s="14">
        <v>1.5</v>
      </c>
    </row>
    <row r="175" ht="15.75" customHeight="1">
      <c r="A175" s="9" t="s">
        <v>1003</v>
      </c>
      <c r="B175" s="10" t="s">
        <v>1007</v>
      </c>
      <c r="C175" s="11" t="s">
        <v>389</v>
      </c>
      <c r="D175" s="12" t="s">
        <v>19</v>
      </c>
      <c r="E175" s="13" t="s">
        <v>116</v>
      </c>
      <c r="F175" s="14" t="s">
        <v>21</v>
      </c>
      <c r="G175" s="14" t="b">
        <v>0</v>
      </c>
      <c r="H175" s="14" t="s">
        <v>1010</v>
      </c>
      <c r="I175" s="14">
        <v>12.0</v>
      </c>
      <c r="J175" s="14">
        <v>0.01</v>
      </c>
      <c r="K175" s="14">
        <v>2.17</v>
      </c>
    </row>
    <row r="176" ht="15.75" customHeight="1">
      <c r="A176" s="9" t="s">
        <v>1011</v>
      </c>
      <c r="B176" s="10" t="s">
        <v>1014</v>
      </c>
      <c r="C176" s="11" t="s">
        <v>348</v>
      </c>
      <c r="D176" s="12" t="s">
        <v>19</v>
      </c>
      <c r="E176" s="13" t="s">
        <v>32</v>
      </c>
      <c r="F176" s="14" t="s">
        <v>21</v>
      </c>
      <c r="G176" s="14" t="b">
        <v>0</v>
      </c>
      <c r="H176" s="14" t="s">
        <v>1017</v>
      </c>
      <c r="I176" s="14">
        <v>12.0</v>
      </c>
      <c r="J176" s="14">
        <v>0.01</v>
      </c>
      <c r="K176" s="14">
        <v>2.0</v>
      </c>
    </row>
    <row r="177" ht="15.75" customHeight="1">
      <c r="A177" s="9" t="s">
        <v>1019</v>
      </c>
      <c r="B177" s="10" t="s">
        <v>1020</v>
      </c>
      <c r="C177" s="11" t="s">
        <v>258</v>
      </c>
      <c r="D177" s="12" t="s">
        <v>125</v>
      </c>
      <c r="E177" s="13" t="s">
        <v>32</v>
      </c>
      <c r="F177" s="14" t="s">
        <v>126</v>
      </c>
      <c r="G177" s="14" t="b">
        <v>0</v>
      </c>
      <c r="H177" s="14" t="s">
        <v>968</v>
      </c>
      <c r="I177" s="14">
        <v>12.0</v>
      </c>
      <c r="J177" s="14">
        <v>0.01</v>
      </c>
      <c r="K177" s="14">
        <v>0.5</v>
      </c>
    </row>
    <row r="178" ht="15.75" customHeight="1">
      <c r="A178" s="9" t="s">
        <v>1022</v>
      </c>
      <c r="B178" s="10" t="s">
        <v>1025</v>
      </c>
      <c r="C178" s="11" t="s">
        <v>25</v>
      </c>
      <c r="D178" s="12" t="s">
        <v>158</v>
      </c>
      <c r="E178" s="13" t="s">
        <v>32</v>
      </c>
      <c r="F178" s="14" t="s">
        <v>160</v>
      </c>
      <c r="G178" s="14" t="b">
        <v>0</v>
      </c>
      <c r="H178" s="14" t="s">
        <v>1026</v>
      </c>
      <c r="I178" s="14">
        <v>12.0</v>
      </c>
      <c r="J178" s="14">
        <v>0.01</v>
      </c>
      <c r="K178" s="14">
        <v>0.25</v>
      </c>
    </row>
    <row r="179" ht="15.75" customHeight="1">
      <c r="A179" s="9" t="s">
        <v>1027</v>
      </c>
      <c r="B179" s="10" t="s">
        <v>1029</v>
      </c>
      <c r="C179" s="11" t="s">
        <v>157</v>
      </c>
      <c r="D179" s="12" t="s">
        <v>19</v>
      </c>
      <c r="E179" s="13" t="s">
        <v>159</v>
      </c>
      <c r="F179" s="14" t="s">
        <v>21</v>
      </c>
      <c r="G179" s="14" t="b">
        <v>0</v>
      </c>
      <c r="H179" s="14" t="s">
        <v>1031</v>
      </c>
      <c r="I179" s="14">
        <v>12.0</v>
      </c>
      <c r="J179" s="14">
        <v>0.01</v>
      </c>
      <c r="K179" s="14">
        <v>0.42</v>
      </c>
    </row>
    <row r="180" ht="15.75" customHeight="1">
      <c r="A180" s="9" t="s">
        <v>1033</v>
      </c>
      <c r="B180" s="10" t="s">
        <v>1035</v>
      </c>
      <c r="C180" s="11" t="s">
        <v>529</v>
      </c>
      <c r="D180" s="12" t="s">
        <v>125</v>
      </c>
      <c r="E180" s="13" t="s">
        <v>32</v>
      </c>
      <c r="F180" s="14" t="s">
        <v>126</v>
      </c>
      <c r="G180" s="14" t="b">
        <v>0</v>
      </c>
      <c r="H180" s="14" t="s">
        <v>532</v>
      </c>
      <c r="I180" s="14">
        <v>12.0</v>
      </c>
      <c r="J180" s="14">
        <v>0.01</v>
      </c>
      <c r="K180" s="14">
        <v>0.0</v>
      </c>
    </row>
    <row r="181" ht="15.75" customHeight="1">
      <c r="A181" s="9" t="s">
        <v>1037</v>
      </c>
      <c r="B181" s="13"/>
      <c r="C181" s="11" t="s">
        <v>534</v>
      </c>
      <c r="D181" s="12" t="s">
        <v>116</v>
      </c>
      <c r="E181" s="13" t="s">
        <v>102</v>
      </c>
      <c r="F181" s="14" t="s">
        <v>117</v>
      </c>
      <c r="H181" s="14" t="s">
        <v>824</v>
      </c>
      <c r="I181" s="14">
        <v>12.0</v>
      </c>
      <c r="J181" s="14">
        <v>0.01</v>
      </c>
      <c r="K181" s="14">
        <v>1.08</v>
      </c>
    </row>
    <row r="182" ht="15.75" customHeight="1">
      <c r="A182" s="9" t="s">
        <v>1042</v>
      </c>
      <c r="B182" s="10" t="s">
        <v>1046</v>
      </c>
      <c r="C182" s="11" t="s">
        <v>95</v>
      </c>
      <c r="D182" s="12" t="s">
        <v>277</v>
      </c>
      <c r="E182" s="13" t="s">
        <v>32</v>
      </c>
      <c r="F182" s="14" t="s">
        <v>278</v>
      </c>
      <c r="G182" s="14" t="b">
        <v>0</v>
      </c>
      <c r="H182" s="14" t="s">
        <v>1047</v>
      </c>
      <c r="I182" s="14">
        <v>12.0</v>
      </c>
      <c r="J182" s="14">
        <v>0.01</v>
      </c>
      <c r="K182" s="14">
        <v>1.08</v>
      </c>
    </row>
    <row r="183" ht="15.75" customHeight="1">
      <c r="A183" s="9" t="s">
        <v>1049</v>
      </c>
      <c r="B183" s="10" t="s">
        <v>1051</v>
      </c>
      <c r="C183" s="11" t="s">
        <v>310</v>
      </c>
      <c r="D183" s="12" t="s">
        <v>19</v>
      </c>
      <c r="E183" s="13" t="s">
        <v>85</v>
      </c>
      <c r="F183" s="14" t="s">
        <v>21</v>
      </c>
      <c r="G183" s="14" t="b">
        <v>0</v>
      </c>
      <c r="H183" s="14" t="s">
        <v>1054</v>
      </c>
      <c r="I183" s="14">
        <v>12.0</v>
      </c>
      <c r="J183" s="14">
        <v>0.01</v>
      </c>
      <c r="K183" s="14">
        <v>0.92</v>
      </c>
    </row>
    <row r="184" ht="15.75" customHeight="1">
      <c r="A184" s="9" t="s">
        <v>1055</v>
      </c>
      <c r="B184" s="10" t="s">
        <v>1057</v>
      </c>
      <c r="C184" s="11" t="s">
        <v>396</v>
      </c>
      <c r="D184" s="12" t="s">
        <v>277</v>
      </c>
      <c r="E184" s="13" t="s">
        <v>32</v>
      </c>
      <c r="F184" s="14" t="s">
        <v>278</v>
      </c>
      <c r="G184" s="14" t="b">
        <v>0</v>
      </c>
      <c r="I184" s="14">
        <v>11.0</v>
      </c>
      <c r="J184" s="14">
        <v>0.01</v>
      </c>
      <c r="K184" s="14">
        <v>0.64</v>
      </c>
    </row>
    <row r="185" ht="15.75" customHeight="1">
      <c r="A185" s="9" t="s">
        <v>1061</v>
      </c>
      <c r="B185" s="10" t="s">
        <v>1063</v>
      </c>
      <c r="C185" s="11" t="s">
        <v>438</v>
      </c>
      <c r="D185" s="12" t="s">
        <v>125</v>
      </c>
      <c r="E185" s="13" t="s">
        <v>20</v>
      </c>
      <c r="F185" s="14" t="s">
        <v>126</v>
      </c>
      <c r="G185" s="14" t="b">
        <v>0</v>
      </c>
      <c r="H185" s="14" t="s">
        <v>442</v>
      </c>
      <c r="I185" s="14">
        <v>11.0</v>
      </c>
      <c r="J185" s="14">
        <v>0.01</v>
      </c>
      <c r="K185" s="14">
        <v>1.09</v>
      </c>
    </row>
    <row r="186" ht="15.75" customHeight="1">
      <c r="A186" s="9" t="s">
        <v>1065</v>
      </c>
      <c r="B186" s="10" t="s">
        <v>1069</v>
      </c>
      <c r="C186" s="11" t="s">
        <v>558</v>
      </c>
      <c r="D186" s="12" t="s">
        <v>312</v>
      </c>
      <c r="E186" s="13" t="s">
        <v>32</v>
      </c>
      <c r="F186" s="14" t="s">
        <v>313</v>
      </c>
      <c r="G186" s="14" t="b">
        <v>0</v>
      </c>
      <c r="I186" s="14">
        <v>11.0</v>
      </c>
      <c r="J186" s="14">
        <v>0.01</v>
      </c>
      <c r="K186" s="14">
        <v>0.27</v>
      </c>
    </row>
    <row r="187" ht="15.75" customHeight="1">
      <c r="A187" s="9" t="s">
        <v>1071</v>
      </c>
      <c r="B187" s="13"/>
      <c r="C187" s="11" t="s">
        <v>536</v>
      </c>
      <c r="D187" s="12" t="s">
        <v>30</v>
      </c>
      <c r="E187" s="13" t="s">
        <v>85</v>
      </c>
      <c r="F187" s="14" t="s">
        <v>34</v>
      </c>
      <c r="G187" s="14" t="b">
        <v>0</v>
      </c>
      <c r="I187" s="14">
        <v>11.0</v>
      </c>
      <c r="J187" s="14">
        <v>0.01</v>
      </c>
      <c r="K187" s="14">
        <v>0.18</v>
      </c>
    </row>
    <row r="188" ht="15.75" customHeight="1">
      <c r="A188" s="9" t="s">
        <v>1077</v>
      </c>
      <c r="B188" s="10" t="s">
        <v>1079</v>
      </c>
      <c r="C188" s="11" t="s">
        <v>561</v>
      </c>
      <c r="D188" s="12" t="s">
        <v>19</v>
      </c>
      <c r="E188" s="13" t="s">
        <v>116</v>
      </c>
      <c r="F188" s="14" t="s">
        <v>21</v>
      </c>
      <c r="G188" s="14" t="b">
        <v>0</v>
      </c>
      <c r="H188" s="14" t="s">
        <v>1083</v>
      </c>
      <c r="I188" s="14">
        <v>11.0</v>
      </c>
      <c r="J188" s="14">
        <v>0.01</v>
      </c>
      <c r="K188" s="14">
        <v>0.0</v>
      </c>
    </row>
    <row r="189" ht="15.75" customHeight="1">
      <c r="A189" s="9" t="s">
        <v>1085</v>
      </c>
      <c r="B189" s="10" t="s">
        <v>1087</v>
      </c>
      <c r="C189" s="11" t="s">
        <v>18</v>
      </c>
      <c r="D189" s="12" t="s">
        <v>30</v>
      </c>
      <c r="E189" s="13" t="s">
        <v>32</v>
      </c>
      <c r="F189" s="14" t="s">
        <v>34</v>
      </c>
      <c r="G189" s="14" t="b">
        <v>0</v>
      </c>
      <c r="H189" s="14" t="s">
        <v>1088</v>
      </c>
      <c r="I189" s="14">
        <v>11.0</v>
      </c>
      <c r="J189" s="14">
        <v>0.01</v>
      </c>
      <c r="K189" s="14">
        <v>0.0</v>
      </c>
    </row>
    <row r="190" ht="15.75" customHeight="1">
      <c r="A190" s="9" t="s">
        <v>1089</v>
      </c>
      <c r="B190" s="10" t="s">
        <v>1091</v>
      </c>
      <c r="C190" s="11" t="s">
        <v>152</v>
      </c>
      <c r="D190" s="12" t="s">
        <v>19</v>
      </c>
      <c r="E190" s="13" t="s">
        <v>102</v>
      </c>
      <c r="F190" s="14" t="s">
        <v>21</v>
      </c>
      <c r="G190" s="14" t="b">
        <v>0</v>
      </c>
      <c r="H190" s="14" t="s">
        <v>1092</v>
      </c>
      <c r="I190" s="14">
        <v>11.0</v>
      </c>
      <c r="J190" s="14">
        <v>0.01</v>
      </c>
      <c r="K190" s="14">
        <v>0.36</v>
      </c>
    </row>
    <row r="191" ht="15.75" customHeight="1">
      <c r="A191" s="9" t="s">
        <v>1094</v>
      </c>
      <c r="B191" s="10" t="s">
        <v>1096</v>
      </c>
      <c r="C191" s="11" t="s">
        <v>262</v>
      </c>
      <c r="D191" s="12" t="s">
        <v>19</v>
      </c>
      <c r="E191" s="13" t="s">
        <v>32</v>
      </c>
      <c r="F191" s="14" t="s">
        <v>21</v>
      </c>
      <c r="G191" s="14" t="b">
        <v>0</v>
      </c>
      <c r="H191" s="14" t="s">
        <v>1097</v>
      </c>
      <c r="I191" s="14">
        <v>11.0</v>
      </c>
      <c r="J191" s="14">
        <v>0.01</v>
      </c>
      <c r="K191" s="14">
        <v>1.0</v>
      </c>
    </row>
    <row r="192" ht="15.75" customHeight="1">
      <c r="A192" s="9" t="s">
        <v>1099</v>
      </c>
      <c r="B192" s="10" t="s">
        <v>1102</v>
      </c>
      <c r="C192" s="11" t="s">
        <v>540</v>
      </c>
      <c r="D192" s="12" t="s">
        <v>158</v>
      </c>
      <c r="E192" s="13" t="s">
        <v>32</v>
      </c>
      <c r="F192" s="14" t="s">
        <v>160</v>
      </c>
      <c r="G192" s="14" t="b">
        <v>0</v>
      </c>
      <c r="H192" s="14" t="s">
        <v>1104</v>
      </c>
      <c r="I192" s="14">
        <v>11.0</v>
      </c>
      <c r="J192" s="14">
        <v>0.01</v>
      </c>
      <c r="K192" s="14">
        <v>0.64</v>
      </c>
    </row>
    <row r="193" ht="15.75" customHeight="1">
      <c r="A193" s="9" t="s">
        <v>1105</v>
      </c>
      <c r="B193" s="10" t="s">
        <v>1107</v>
      </c>
      <c r="C193" s="11" t="s">
        <v>514</v>
      </c>
      <c r="D193" s="12" t="s">
        <v>30</v>
      </c>
      <c r="E193" s="13" t="s">
        <v>32</v>
      </c>
      <c r="F193" s="14" t="s">
        <v>34</v>
      </c>
      <c r="G193" s="14" t="b">
        <v>0</v>
      </c>
      <c r="H193" s="14" t="s">
        <v>1109</v>
      </c>
      <c r="I193" s="14">
        <v>11.0</v>
      </c>
      <c r="J193" s="14">
        <v>0.01</v>
      </c>
      <c r="K193" s="14">
        <v>0.0</v>
      </c>
    </row>
    <row r="194" ht="15.75" customHeight="1">
      <c r="A194" s="9" t="s">
        <v>1110</v>
      </c>
      <c r="B194" s="10" t="s">
        <v>1112</v>
      </c>
      <c r="C194" s="11" t="s">
        <v>565</v>
      </c>
      <c r="D194" s="12" t="s">
        <v>19</v>
      </c>
      <c r="E194" s="13" t="s">
        <v>32</v>
      </c>
      <c r="F194" s="14" t="s">
        <v>21</v>
      </c>
      <c r="G194" s="14" t="b">
        <v>0</v>
      </c>
      <c r="H194" s="14" t="s">
        <v>523</v>
      </c>
      <c r="I194" s="14">
        <v>11.0</v>
      </c>
      <c r="J194" s="14">
        <v>0.01</v>
      </c>
      <c r="K194" s="14">
        <v>0.73</v>
      </c>
    </row>
    <row r="195" ht="15.75" customHeight="1">
      <c r="A195" s="9" t="s">
        <v>1115</v>
      </c>
      <c r="B195" s="10" t="s">
        <v>1117</v>
      </c>
      <c r="C195" s="11" t="s">
        <v>568</v>
      </c>
      <c r="D195" s="12" t="s">
        <v>277</v>
      </c>
      <c r="E195" s="13" t="s">
        <v>32</v>
      </c>
      <c r="F195" s="14" t="s">
        <v>278</v>
      </c>
      <c r="G195" s="14" t="b">
        <v>0</v>
      </c>
      <c r="I195" s="14">
        <v>11.0</v>
      </c>
      <c r="J195" s="14">
        <v>0.01</v>
      </c>
      <c r="K195" s="14">
        <v>0.91</v>
      </c>
    </row>
    <row r="196" ht="15.75" customHeight="1">
      <c r="A196" s="9" t="s">
        <v>1119</v>
      </c>
      <c r="B196" s="10" t="s">
        <v>1121</v>
      </c>
      <c r="C196" s="11" t="s">
        <v>337</v>
      </c>
      <c r="D196" s="12" t="s">
        <v>19</v>
      </c>
      <c r="E196" s="13" t="s">
        <v>32</v>
      </c>
      <c r="F196" s="14" t="s">
        <v>21</v>
      </c>
      <c r="G196" s="14" t="b">
        <v>0</v>
      </c>
      <c r="H196" s="14" t="s">
        <v>340</v>
      </c>
      <c r="I196" s="14">
        <v>11.0</v>
      </c>
      <c r="J196" s="14">
        <v>0.01</v>
      </c>
      <c r="K196" s="14">
        <v>0.45</v>
      </c>
    </row>
    <row r="197" ht="15.75" customHeight="1">
      <c r="A197" s="9" t="s">
        <v>1128</v>
      </c>
      <c r="B197" s="10" t="s">
        <v>1131</v>
      </c>
      <c r="C197" s="11" t="s">
        <v>570</v>
      </c>
      <c r="D197" s="12" t="s">
        <v>158</v>
      </c>
      <c r="E197" s="13" t="s">
        <v>32</v>
      </c>
      <c r="F197" s="14" t="s">
        <v>160</v>
      </c>
      <c r="G197" s="14" t="b">
        <v>0</v>
      </c>
      <c r="I197" s="14">
        <v>11.0</v>
      </c>
      <c r="J197" s="14">
        <v>0.01</v>
      </c>
      <c r="K197" s="14">
        <v>1.18</v>
      </c>
    </row>
    <row r="198" ht="15.75" customHeight="1">
      <c r="A198" s="9" t="s">
        <v>1134</v>
      </c>
      <c r="B198" s="10" t="s">
        <v>1136</v>
      </c>
      <c r="C198" s="11" t="s">
        <v>25</v>
      </c>
      <c r="D198" s="12" t="s">
        <v>158</v>
      </c>
      <c r="E198" s="13" t="s">
        <v>32</v>
      </c>
      <c r="F198" s="14" t="s">
        <v>160</v>
      </c>
      <c r="G198" s="14" t="b">
        <v>0</v>
      </c>
      <c r="H198" s="14" t="s">
        <v>118</v>
      </c>
      <c r="I198" s="14">
        <v>11.0</v>
      </c>
      <c r="J198" s="14">
        <v>0.01</v>
      </c>
      <c r="K198" s="14">
        <v>0.18</v>
      </c>
    </row>
    <row r="199" ht="15.75" customHeight="1">
      <c r="A199" s="9" t="s">
        <v>1138</v>
      </c>
      <c r="B199" s="10" t="s">
        <v>1141</v>
      </c>
      <c r="C199" s="11" t="s">
        <v>524</v>
      </c>
      <c r="D199" s="12" t="s">
        <v>1143</v>
      </c>
      <c r="E199" s="13" t="s">
        <v>32</v>
      </c>
      <c r="F199" s="14" t="s">
        <v>1145</v>
      </c>
      <c r="G199" s="14" t="b">
        <v>0</v>
      </c>
      <c r="H199" s="14" t="s">
        <v>917</v>
      </c>
      <c r="I199" s="14">
        <v>11.0</v>
      </c>
      <c r="J199" s="14">
        <v>0.01</v>
      </c>
      <c r="K199" s="14">
        <v>0.0</v>
      </c>
    </row>
    <row r="200" ht="15.75" customHeight="1">
      <c r="A200" s="9" t="s">
        <v>1146</v>
      </c>
      <c r="B200" s="10" t="s">
        <v>1148</v>
      </c>
      <c r="C200" s="11" t="s">
        <v>574</v>
      </c>
      <c r="D200" s="12" t="s">
        <v>312</v>
      </c>
      <c r="E200" s="13" t="s">
        <v>32</v>
      </c>
      <c r="F200" s="14" t="s">
        <v>313</v>
      </c>
      <c r="G200" s="14" t="b">
        <v>0</v>
      </c>
      <c r="H200" s="14" t="s">
        <v>257</v>
      </c>
      <c r="I200" s="14">
        <v>11.0</v>
      </c>
      <c r="J200" s="14">
        <v>0.01</v>
      </c>
      <c r="K200" s="14">
        <v>0.0</v>
      </c>
    </row>
    <row r="201" ht="15.75" customHeight="1">
      <c r="A201" s="9" t="s">
        <v>1150</v>
      </c>
      <c r="B201" s="10" t="s">
        <v>1152</v>
      </c>
      <c r="C201" s="11" t="s">
        <v>577</v>
      </c>
      <c r="D201" s="12" t="s">
        <v>158</v>
      </c>
      <c r="E201" s="13" t="s">
        <v>159</v>
      </c>
      <c r="F201" s="14" t="s">
        <v>160</v>
      </c>
      <c r="G201" s="14" t="b">
        <v>0</v>
      </c>
      <c r="H201" s="14" t="s">
        <v>1157</v>
      </c>
      <c r="I201" s="14">
        <v>11.0</v>
      </c>
      <c r="J201" s="14">
        <v>0.01</v>
      </c>
      <c r="K201" s="14">
        <v>0.0</v>
      </c>
    </row>
    <row r="202" ht="15.75" customHeight="1">
      <c r="A202" s="9" t="s">
        <v>1158</v>
      </c>
      <c r="B202" s="10" t="s">
        <v>1160</v>
      </c>
      <c r="C202" s="11" t="s">
        <v>581</v>
      </c>
      <c r="D202" s="12" t="s">
        <v>19</v>
      </c>
      <c r="E202" s="13" t="s">
        <v>32</v>
      </c>
      <c r="F202" s="14" t="s">
        <v>21</v>
      </c>
      <c r="G202" s="14" t="b">
        <v>0</v>
      </c>
      <c r="H202" s="14" t="s">
        <v>584</v>
      </c>
      <c r="I202" s="14">
        <v>11.0</v>
      </c>
      <c r="J202" s="14">
        <v>0.01</v>
      </c>
      <c r="K202" s="14">
        <v>0.0</v>
      </c>
    </row>
    <row r="203" ht="15.75" customHeight="1">
      <c r="A203" s="9" t="s">
        <v>1163</v>
      </c>
      <c r="B203" s="10" t="s">
        <v>1164</v>
      </c>
      <c r="C203" s="11" t="s">
        <v>590</v>
      </c>
      <c r="D203" s="12" t="s">
        <v>277</v>
      </c>
      <c r="E203" s="13" t="s">
        <v>32</v>
      </c>
      <c r="F203" s="14" t="s">
        <v>278</v>
      </c>
      <c r="G203" s="14" t="b">
        <v>0</v>
      </c>
      <c r="H203" s="14" t="s">
        <v>340</v>
      </c>
      <c r="I203" s="14">
        <v>11.0</v>
      </c>
      <c r="J203" s="14">
        <v>0.01</v>
      </c>
      <c r="K203" s="14">
        <v>0.0</v>
      </c>
    </row>
    <row r="204" ht="15.75" customHeight="1">
      <c r="A204" s="9" t="s">
        <v>1167</v>
      </c>
      <c r="B204" s="10" t="s">
        <v>1169</v>
      </c>
      <c r="C204" s="11" t="s">
        <v>476</v>
      </c>
      <c r="D204" s="12" t="s">
        <v>116</v>
      </c>
      <c r="E204" s="13" t="s">
        <v>20</v>
      </c>
      <c r="F204" s="14" t="s">
        <v>117</v>
      </c>
      <c r="G204" s="14" t="b">
        <v>0</v>
      </c>
      <c r="H204" s="14" t="s">
        <v>1171</v>
      </c>
      <c r="I204" s="14">
        <v>11.0</v>
      </c>
      <c r="J204" s="14">
        <v>0.01</v>
      </c>
      <c r="K204" s="14">
        <v>1.09</v>
      </c>
    </row>
    <row r="205" ht="15.75" customHeight="1">
      <c r="A205" s="9" t="s">
        <v>1172</v>
      </c>
      <c r="B205" s="10" t="s">
        <v>1176</v>
      </c>
      <c r="C205" s="11" t="s">
        <v>606</v>
      </c>
      <c r="D205" s="12" t="s">
        <v>19</v>
      </c>
      <c r="E205" s="13" t="s">
        <v>32</v>
      </c>
      <c r="F205" s="14" t="s">
        <v>21</v>
      </c>
      <c r="G205" s="14" t="b">
        <v>0</v>
      </c>
      <c r="H205" s="14" t="s">
        <v>1179</v>
      </c>
      <c r="I205" s="14">
        <v>10.0</v>
      </c>
      <c r="J205" s="14">
        <v>0.01</v>
      </c>
      <c r="K205" s="14">
        <v>0.2</v>
      </c>
    </row>
    <row r="206" ht="15.75" customHeight="1">
      <c r="A206" s="9" t="s">
        <v>1180</v>
      </c>
      <c r="B206" s="10" t="s">
        <v>1182</v>
      </c>
      <c r="C206" s="11" t="s">
        <v>25</v>
      </c>
      <c r="D206" s="12" t="s">
        <v>116</v>
      </c>
      <c r="E206" s="13" t="s">
        <v>32</v>
      </c>
      <c r="F206" s="14" t="s">
        <v>117</v>
      </c>
      <c r="G206" s="14" t="b">
        <v>0</v>
      </c>
      <c r="H206" s="14" t="s">
        <v>1185</v>
      </c>
      <c r="I206" s="14">
        <v>10.0</v>
      </c>
      <c r="J206" s="14">
        <v>0.01</v>
      </c>
      <c r="K206" s="14">
        <v>0.3</v>
      </c>
    </row>
    <row r="207" ht="15.75" customHeight="1">
      <c r="A207" s="9" t="s">
        <v>1186</v>
      </c>
      <c r="B207" s="10" t="s">
        <v>1189</v>
      </c>
      <c r="C207" s="11" t="s">
        <v>25</v>
      </c>
      <c r="D207" s="12" t="s">
        <v>116</v>
      </c>
      <c r="E207" s="13" t="s">
        <v>32</v>
      </c>
      <c r="F207" s="14" t="s">
        <v>117</v>
      </c>
      <c r="G207" s="14" t="b">
        <v>0</v>
      </c>
      <c r="H207" s="14" t="s">
        <v>1190</v>
      </c>
      <c r="I207" s="14">
        <v>10.0</v>
      </c>
      <c r="J207" s="14">
        <v>0.01</v>
      </c>
      <c r="K207" s="14">
        <v>0.8</v>
      </c>
    </row>
    <row r="208" ht="15.75" customHeight="1">
      <c r="A208" s="9" t="s">
        <v>1191</v>
      </c>
      <c r="B208" s="10" t="s">
        <v>1194</v>
      </c>
      <c r="C208" s="11" t="s">
        <v>610</v>
      </c>
      <c r="D208" s="12" t="s">
        <v>125</v>
      </c>
      <c r="E208" s="13" t="s">
        <v>32</v>
      </c>
      <c r="F208" s="14" t="s">
        <v>126</v>
      </c>
      <c r="G208" s="14" t="b">
        <v>0</v>
      </c>
      <c r="I208" s="14">
        <v>10.0</v>
      </c>
      <c r="J208" s="14">
        <v>0.01</v>
      </c>
      <c r="K208" s="14">
        <v>0.9</v>
      </c>
    </row>
    <row r="209" ht="15.75" customHeight="1">
      <c r="A209" s="9" t="s">
        <v>1197</v>
      </c>
      <c r="B209" s="10" t="s">
        <v>1199</v>
      </c>
      <c r="C209" s="11" t="s">
        <v>555</v>
      </c>
      <c r="D209" s="12" t="s">
        <v>312</v>
      </c>
      <c r="E209" s="13" t="s">
        <v>1201</v>
      </c>
      <c r="F209" s="14" t="s">
        <v>313</v>
      </c>
      <c r="G209" s="14" t="b">
        <v>0</v>
      </c>
      <c r="H209" s="14" t="s">
        <v>637</v>
      </c>
      <c r="I209" s="14">
        <v>10.0</v>
      </c>
      <c r="J209" s="14">
        <v>0.01</v>
      </c>
      <c r="K209" s="14">
        <v>2.4</v>
      </c>
    </row>
    <row r="210" ht="15.75" customHeight="1">
      <c r="A210" s="9" t="s">
        <v>1202</v>
      </c>
      <c r="B210" s="10" t="s">
        <v>1204</v>
      </c>
      <c r="C210" s="11" t="s">
        <v>411</v>
      </c>
      <c r="D210" s="12" t="s">
        <v>158</v>
      </c>
      <c r="E210" s="13" t="s">
        <v>32</v>
      </c>
      <c r="F210" s="14" t="s">
        <v>160</v>
      </c>
      <c r="G210" s="14" t="b">
        <v>0</v>
      </c>
      <c r="H210" s="14" t="s">
        <v>1207</v>
      </c>
      <c r="I210" s="14">
        <v>10.0</v>
      </c>
      <c r="J210" s="14">
        <v>0.01</v>
      </c>
      <c r="K210" s="14">
        <v>0.2</v>
      </c>
    </row>
    <row r="211" ht="15.75" customHeight="1">
      <c r="A211" s="9" t="s">
        <v>1208</v>
      </c>
      <c r="B211" s="10" t="s">
        <v>1211</v>
      </c>
      <c r="C211" s="11" t="s">
        <v>613</v>
      </c>
      <c r="D211" s="12" t="s">
        <v>1143</v>
      </c>
      <c r="E211" s="13" t="s">
        <v>85</v>
      </c>
      <c r="F211" s="14" t="s">
        <v>1145</v>
      </c>
      <c r="G211" s="14" t="b">
        <v>0</v>
      </c>
      <c r="H211" s="14" t="s">
        <v>1213</v>
      </c>
      <c r="I211" s="14">
        <v>10.0</v>
      </c>
      <c r="J211" s="14">
        <v>0.01</v>
      </c>
      <c r="K211" s="14">
        <v>0.0</v>
      </c>
    </row>
    <row r="212" ht="15.75" customHeight="1">
      <c r="A212" s="9" t="s">
        <v>1215</v>
      </c>
      <c r="B212" s="10" t="s">
        <v>1217</v>
      </c>
      <c r="C212" s="11" t="s">
        <v>617</v>
      </c>
      <c r="D212" s="12" t="s">
        <v>19</v>
      </c>
      <c r="E212" s="13" t="s">
        <v>85</v>
      </c>
      <c r="F212" s="14" t="s">
        <v>21</v>
      </c>
      <c r="G212" s="14" t="b">
        <v>0</v>
      </c>
      <c r="H212" s="14" t="s">
        <v>1220</v>
      </c>
      <c r="I212" s="14">
        <v>10.0</v>
      </c>
      <c r="J212" s="14">
        <v>0.01</v>
      </c>
      <c r="K212" s="14">
        <v>0.3</v>
      </c>
    </row>
    <row r="213" ht="15.75" customHeight="1">
      <c r="A213" s="9" t="s">
        <v>1221</v>
      </c>
      <c r="B213" s="10" t="s">
        <v>1223</v>
      </c>
      <c r="C213" s="11" t="s">
        <v>70</v>
      </c>
      <c r="D213" s="12" t="s">
        <v>19</v>
      </c>
      <c r="E213" s="13" t="s">
        <v>20</v>
      </c>
      <c r="F213" s="14" t="s">
        <v>21</v>
      </c>
      <c r="G213" s="14" t="b">
        <v>0</v>
      </c>
      <c r="H213" s="14" t="s">
        <v>1225</v>
      </c>
      <c r="I213" s="14">
        <v>10.0</v>
      </c>
      <c r="J213" s="14">
        <v>0.01</v>
      </c>
      <c r="K213" s="14">
        <v>0.2</v>
      </c>
    </row>
    <row r="214" ht="15.75" customHeight="1">
      <c r="A214" s="9" t="s">
        <v>1226</v>
      </c>
      <c r="B214" s="10" t="s">
        <v>1228</v>
      </c>
      <c r="C214" s="11" t="s">
        <v>164</v>
      </c>
      <c r="D214" s="12" t="s">
        <v>277</v>
      </c>
      <c r="E214" s="13" t="s">
        <v>32</v>
      </c>
      <c r="F214" s="14" t="s">
        <v>278</v>
      </c>
      <c r="G214" s="14" t="b">
        <v>0</v>
      </c>
      <c r="H214" s="14" t="s">
        <v>1230</v>
      </c>
      <c r="I214" s="14">
        <v>10.0</v>
      </c>
      <c r="J214" s="14">
        <v>0.01</v>
      </c>
      <c r="K214" s="14">
        <v>1.0</v>
      </c>
    </row>
    <row r="215" ht="15.75" customHeight="1">
      <c r="A215" s="9" t="s">
        <v>1231</v>
      </c>
      <c r="B215" s="10" t="s">
        <v>1233</v>
      </c>
      <c r="C215" s="11" t="s">
        <v>18</v>
      </c>
      <c r="D215" s="12" t="s">
        <v>158</v>
      </c>
      <c r="E215" s="13" t="s">
        <v>32</v>
      </c>
      <c r="F215" s="14" t="s">
        <v>160</v>
      </c>
      <c r="G215" s="14" t="b">
        <v>0</v>
      </c>
      <c r="H215" s="14" t="s">
        <v>1235</v>
      </c>
      <c r="I215" s="14">
        <v>10.0</v>
      </c>
      <c r="J215" s="14">
        <v>0.01</v>
      </c>
      <c r="K215" s="14">
        <v>2.3</v>
      </c>
    </row>
    <row r="216" ht="15.75" customHeight="1">
      <c r="A216" s="9" t="s">
        <v>1236</v>
      </c>
      <c r="B216" s="10" t="s">
        <v>1239</v>
      </c>
      <c r="C216" s="11" t="s">
        <v>201</v>
      </c>
      <c r="D216" s="12" t="s">
        <v>19</v>
      </c>
      <c r="E216" s="13" t="s">
        <v>32</v>
      </c>
      <c r="F216" s="14" t="s">
        <v>21</v>
      </c>
      <c r="G216" s="14" t="b">
        <v>0</v>
      </c>
      <c r="I216" s="14">
        <v>10.0</v>
      </c>
      <c r="J216" s="14">
        <v>0.01</v>
      </c>
      <c r="K216" s="14">
        <v>0.1</v>
      </c>
    </row>
    <row r="217" ht="15.75" customHeight="1">
      <c r="A217" s="9" t="s">
        <v>1240</v>
      </c>
      <c r="B217" s="10" t="s">
        <v>1242</v>
      </c>
      <c r="C217" s="11" t="s">
        <v>619</v>
      </c>
      <c r="D217" s="12" t="s">
        <v>125</v>
      </c>
      <c r="E217" s="13" t="s">
        <v>32</v>
      </c>
      <c r="F217" s="14" t="s">
        <v>126</v>
      </c>
      <c r="G217" s="14" t="b">
        <v>0</v>
      </c>
      <c r="H217" s="14" t="s">
        <v>506</v>
      </c>
      <c r="I217" s="14">
        <v>10.0</v>
      </c>
      <c r="J217" s="14">
        <v>0.01</v>
      </c>
      <c r="K217" s="14">
        <v>2.1</v>
      </c>
    </row>
    <row r="218" ht="15.75" customHeight="1">
      <c r="A218" s="9" t="s">
        <v>1244</v>
      </c>
      <c r="B218" s="10" t="s">
        <v>1246</v>
      </c>
      <c r="C218" s="11" t="s">
        <v>80</v>
      </c>
      <c r="D218" s="12" t="s">
        <v>19</v>
      </c>
      <c r="E218" s="13" t="s">
        <v>32</v>
      </c>
      <c r="F218" s="14" t="s">
        <v>21</v>
      </c>
      <c r="G218" s="14" t="b">
        <v>0</v>
      </c>
      <c r="H218" s="14" t="s">
        <v>1248</v>
      </c>
      <c r="I218" s="14">
        <v>10.0</v>
      </c>
      <c r="J218" s="14">
        <v>0.01</v>
      </c>
      <c r="K218" s="14">
        <v>0.1</v>
      </c>
    </row>
    <row r="219" ht="15.75" customHeight="1">
      <c r="A219" s="9" t="s">
        <v>1249</v>
      </c>
      <c r="B219" s="10" t="s">
        <v>1251</v>
      </c>
      <c r="C219" s="11" t="s">
        <v>602</v>
      </c>
      <c r="D219" s="12" t="s">
        <v>125</v>
      </c>
      <c r="E219" s="13" t="s">
        <v>32</v>
      </c>
      <c r="F219" s="14" t="s">
        <v>126</v>
      </c>
      <c r="G219" s="14" t="b">
        <v>0</v>
      </c>
      <c r="I219" s="14">
        <v>10.0</v>
      </c>
      <c r="J219" s="14">
        <v>0.01</v>
      </c>
      <c r="K219" s="14">
        <v>1.2</v>
      </c>
    </row>
    <row r="220" ht="15.75" customHeight="1">
      <c r="A220" s="9" t="s">
        <v>1254</v>
      </c>
      <c r="B220" s="10" t="s">
        <v>1257</v>
      </c>
      <c r="C220" s="11" t="s">
        <v>39</v>
      </c>
      <c r="D220" s="12" t="s">
        <v>19</v>
      </c>
      <c r="E220" s="13" t="s">
        <v>20</v>
      </c>
      <c r="F220" s="14" t="s">
        <v>21</v>
      </c>
      <c r="G220" s="14" t="b">
        <v>0</v>
      </c>
      <c r="H220" s="14" t="s">
        <v>1258</v>
      </c>
      <c r="I220" s="14">
        <v>10.0</v>
      </c>
      <c r="J220" s="14">
        <v>0.01</v>
      </c>
      <c r="K220" s="14">
        <v>0.5</v>
      </c>
    </row>
    <row r="221" ht="15.75" customHeight="1">
      <c r="A221" s="9" t="s">
        <v>1259</v>
      </c>
      <c r="B221" s="10" t="s">
        <v>1261</v>
      </c>
      <c r="C221" s="11" t="s">
        <v>351</v>
      </c>
      <c r="D221" s="12" t="s">
        <v>158</v>
      </c>
      <c r="E221" s="13" t="s">
        <v>20</v>
      </c>
      <c r="F221" s="14" t="s">
        <v>160</v>
      </c>
      <c r="G221" s="14" t="b">
        <v>0</v>
      </c>
      <c r="H221" s="14" t="s">
        <v>1264</v>
      </c>
      <c r="I221" s="14">
        <v>10.0</v>
      </c>
      <c r="J221" s="14">
        <v>0.01</v>
      </c>
      <c r="K221" s="14">
        <v>1.7</v>
      </c>
    </row>
    <row r="222" ht="15.75" customHeight="1">
      <c r="A222" s="9" t="s">
        <v>1266</v>
      </c>
      <c r="B222" s="10" t="s">
        <v>1269</v>
      </c>
      <c r="C222" s="11" t="s">
        <v>392</v>
      </c>
      <c r="D222" s="12" t="s">
        <v>116</v>
      </c>
      <c r="E222" s="13" t="s">
        <v>32</v>
      </c>
      <c r="F222" s="14" t="s">
        <v>117</v>
      </c>
      <c r="G222" s="14" t="b">
        <v>0</v>
      </c>
      <c r="H222" s="14" t="s">
        <v>1273</v>
      </c>
      <c r="I222" s="14">
        <v>10.0</v>
      </c>
      <c r="J222" s="14">
        <v>0.01</v>
      </c>
      <c r="K222" s="14">
        <v>1.9</v>
      </c>
    </row>
    <row r="223" ht="15.75" customHeight="1">
      <c r="A223" s="9" t="s">
        <v>1275</v>
      </c>
      <c r="B223" s="10" t="s">
        <v>1277</v>
      </c>
      <c r="C223" s="11" t="s">
        <v>55</v>
      </c>
      <c r="D223" s="12" t="s">
        <v>277</v>
      </c>
      <c r="E223" s="13" t="s">
        <v>20</v>
      </c>
      <c r="F223" s="14" t="s">
        <v>278</v>
      </c>
      <c r="G223" s="14" t="b">
        <v>0</v>
      </c>
      <c r="H223" s="14" t="s">
        <v>1278</v>
      </c>
      <c r="I223" s="14">
        <v>10.0</v>
      </c>
      <c r="J223" s="14">
        <v>0.01</v>
      </c>
      <c r="K223" s="14">
        <v>1.1</v>
      </c>
    </row>
    <row r="224" ht="15.75" customHeight="1">
      <c r="A224" s="9" t="s">
        <v>1280</v>
      </c>
      <c r="B224" s="10" t="s">
        <v>1281</v>
      </c>
      <c r="C224" s="11" t="s">
        <v>592</v>
      </c>
      <c r="D224" s="12" t="s">
        <v>19</v>
      </c>
      <c r="E224" s="13" t="s">
        <v>32</v>
      </c>
      <c r="F224" s="14" t="s">
        <v>21</v>
      </c>
      <c r="G224" s="14" t="b">
        <v>0</v>
      </c>
      <c r="H224" s="14" t="s">
        <v>1284</v>
      </c>
      <c r="I224" s="14">
        <v>10.0</v>
      </c>
      <c r="J224" s="14">
        <v>0.01</v>
      </c>
      <c r="K224" s="14">
        <v>0.4</v>
      </c>
    </row>
    <row r="225" ht="15.75" customHeight="1">
      <c r="A225" s="9" t="s">
        <v>1286</v>
      </c>
      <c r="B225" s="10" t="s">
        <v>1288</v>
      </c>
      <c r="C225" s="11" t="s">
        <v>341</v>
      </c>
      <c r="D225" s="12" t="s">
        <v>312</v>
      </c>
      <c r="E225" s="13" t="s">
        <v>20</v>
      </c>
      <c r="F225" s="14" t="s">
        <v>313</v>
      </c>
      <c r="G225" s="14" t="b">
        <v>0</v>
      </c>
      <c r="H225" s="14" t="s">
        <v>1289</v>
      </c>
      <c r="I225" s="14">
        <v>10.0</v>
      </c>
      <c r="J225" s="14">
        <v>0.01</v>
      </c>
      <c r="K225" s="14">
        <v>1.3</v>
      </c>
    </row>
    <row r="226" ht="15.75" customHeight="1">
      <c r="A226" s="9" t="s">
        <v>1291</v>
      </c>
      <c r="B226" s="10" t="s">
        <v>1294</v>
      </c>
      <c r="C226" s="11" t="s">
        <v>501</v>
      </c>
      <c r="D226" s="12" t="s">
        <v>277</v>
      </c>
      <c r="E226" s="13" t="s">
        <v>20</v>
      </c>
      <c r="F226" s="14" t="s">
        <v>278</v>
      </c>
      <c r="G226" s="14" t="b">
        <v>0</v>
      </c>
      <c r="H226" s="14" t="s">
        <v>1297</v>
      </c>
      <c r="I226" s="14">
        <v>10.0</v>
      </c>
      <c r="J226" s="14">
        <v>0.01</v>
      </c>
      <c r="K226" s="14">
        <v>0.0</v>
      </c>
    </row>
    <row r="227" ht="15.75" customHeight="1">
      <c r="A227" s="9" t="s">
        <v>1298</v>
      </c>
      <c r="B227" s="10" t="s">
        <v>1300</v>
      </c>
      <c r="C227" s="10" t="s">
        <v>630</v>
      </c>
      <c r="D227" s="12" t="s">
        <v>277</v>
      </c>
      <c r="E227" s="13" t="s">
        <v>32</v>
      </c>
      <c r="F227" s="14" t="s">
        <v>278</v>
      </c>
      <c r="G227" s="14" t="b">
        <v>0</v>
      </c>
      <c r="H227" s="14" t="s">
        <v>361</v>
      </c>
      <c r="I227" s="14">
        <v>10.0</v>
      </c>
      <c r="J227" s="14">
        <v>0.01</v>
      </c>
      <c r="K227" s="14">
        <v>0.2</v>
      </c>
    </row>
    <row r="228" ht="15.75" customHeight="1">
      <c r="A228" s="9" t="s">
        <v>1302</v>
      </c>
      <c r="B228" s="10" t="s">
        <v>1303</v>
      </c>
      <c r="C228" s="11" t="s">
        <v>585</v>
      </c>
      <c r="D228" s="12" t="s">
        <v>277</v>
      </c>
      <c r="E228" s="13" t="s">
        <v>32</v>
      </c>
      <c r="F228" s="14" t="s">
        <v>278</v>
      </c>
      <c r="G228" s="14" t="b">
        <v>0</v>
      </c>
      <c r="I228" s="14">
        <v>10.0</v>
      </c>
      <c r="J228" s="14">
        <v>0.01</v>
      </c>
      <c r="K228" s="14">
        <v>0.1</v>
      </c>
    </row>
    <row r="229" ht="15.75" customHeight="1">
      <c r="A229" s="9" t="s">
        <v>1307</v>
      </c>
      <c r="B229" s="10" t="s">
        <v>1309</v>
      </c>
      <c r="C229" s="10" t="s">
        <v>632</v>
      </c>
      <c r="D229" s="12" t="s">
        <v>19</v>
      </c>
      <c r="E229" s="13" t="s">
        <v>85</v>
      </c>
      <c r="F229" s="14" t="s">
        <v>21</v>
      </c>
      <c r="G229" s="14" t="b">
        <v>0</v>
      </c>
      <c r="H229" s="14" t="s">
        <v>633</v>
      </c>
      <c r="I229" s="14">
        <v>10.0</v>
      </c>
      <c r="J229" s="14">
        <v>0.01</v>
      </c>
      <c r="K229" s="14">
        <v>0.8</v>
      </c>
    </row>
    <row r="230" ht="15.75" customHeight="1">
      <c r="A230" s="9" t="s">
        <v>1311</v>
      </c>
      <c r="B230" s="10" t="s">
        <v>1313</v>
      </c>
      <c r="C230" s="11" t="s">
        <v>634</v>
      </c>
      <c r="D230" s="12" t="s">
        <v>125</v>
      </c>
      <c r="E230" s="13" t="s">
        <v>20</v>
      </c>
      <c r="F230" s="14" t="s">
        <v>126</v>
      </c>
      <c r="G230" s="14" t="b">
        <v>0</v>
      </c>
      <c r="H230" s="14" t="s">
        <v>637</v>
      </c>
      <c r="I230" s="14">
        <v>10.0</v>
      </c>
      <c r="J230" s="14">
        <v>0.01</v>
      </c>
      <c r="K230" s="14">
        <v>1.0</v>
      </c>
    </row>
    <row r="231" ht="15.75" customHeight="1">
      <c r="A231" s="9" t="s">
        <v>1316</v>
      </c>
      <c r="B231" s="10" t="s">
        <v>1319</v>
      </c>
      <c r="C231" s="11" t="s">
        <v>25</v>
      </c>
      <c r="D231" s="12" t="s">
        <v>30</v>
      </c>
      <c r="E231" s="13" t="s">
        <v>32</v>
      </c>
      <c r="F231" s="14" t="s">
        <v>34</v>
      </c>
      <c r="G231" s="14" t="b">
        <v>0</v>
      </c>
      <c r="H231" s="14" t="s">
        <v>1320</v>
      </c>
      <c r="I231" s="14">
        <v>9.0</v>
      </c>
      <c r="J231" s="14">
        <v>0.01</v>
      </c>
      <c r="K231" s="14">
        <v>0.11</v>
      </c>
    </row>
    <row r="232" ht="15.75" customHeight="1">
      <c r="A232" s="9" t="s">
        <v>1321</v>
      </c>
      <c r="B232" s="10" t="s">
        <v>1323</v>
      </c>
      <c r="C232" s="11" t="s">
        <v>654</v>
      </c>
      <c r="D232" s="12" t="s">
        <v>19</v>
      </c>
      <c r="E232" s="13" t="s">
        <v>32</v>
      </c>
      <c r="F232" s="14" t="s">
        <v>21</v>
      </c>
      <c r="G232" s="14" t="b">
        <v>0</v>
      </c>
      <c r="H232" s="14" t="s">
        <v>1325</v>
      </c>
      <c r="I232" s="14">
        <v>9.0</v>
      </c>
      <c r="J232" s="14">
        <v>0.01</v>
      </c>
      <c r="K232" s="14">
        <v>0.0</v>
      </c>
    </row>
    <row r="233" ht="15.75" customHeight="1">
      <c r="A233" s="9" t="s">
        <v>1327</v>
      </c>
      <c r="B233" s="10" t="s">
        <v>1331</v>
      </c>
      <c r="C233" s="11" t="s">
        <v>659</v>
      </c>
      <c r="D233" s="12" t="s">
        <v>312</v>
      </c>
      <c r="E233" s="13" t="s">
        <v>102</v>
      </c>
      <c r="F233" s="14" t="s">
        <v>313</v>
      </c>
      <c r="G233" s="14" t="b">
        <v>0</v>
      </c>
      <c r="I233" s="14">
        <v>9.0</v>
      </c>
      <c r="J233" s="14">
        <v>0.01</v>
      </c>
      <c r="K233" s="14">
        <v>2.0</v>
      </c>
    </row>
    <row r="234" ht="15.75" customHeight="1">
      <c r="A234" s="9" t="s">
        <v>1334</v>
      </c>
      <c r="B234" s="10" t="s">
        <v>1337</v>
      </c>
      <c r="C234" s="11" t="s">
        <v>265</v>
      </c>
      <c r="D234" s="12" t="s">
        <v>116</v>
      </c>
      <c r="E234" s="13" t="s">
        <v>102</v>
      </c>
      <c r="F234" s="14" t="s">
        <v>117</v>
      </c>
      <c r="G234" s="14" t="b">
        <v>0</v>
      </c>
      <c r="H234" s="14" t="s">
        <v>1339</v>
      </c>
      <c r="I234" s="14">
        <v>9.0</v>
      </c>
      <c r="J234" s="14">
        <v>0.01</v>
      </c>
      <c r="K234" s="14">
        <v>0.33</v>
      </c>
    </row>
    <row r="235" ht="15.75" customHeight="1">
      <c r="A235" s="9" t="s">
        <v>1340</v>
      </c>
      <c r="B235" s="10" t="s">
        <v>1342</v>
      </c>
      <c r="C235" s="11" t="s">
        <v>330</v>
      </c>
      <c r="D235" s="12" t="s">
        <v>19</v>
      </c>
      <c r="E235" s="13" t="s">
        <v>102</v>
      </c>
      <c r="F235" s="14" t="s">
        <v>21</v>
      </c>
      <c r="G235" s="14" t="b">
        <v>0</v>
      </c>
      <c r="H235" s="14" t="s">
        <v>1344</v>
      </c>
      <c r="I235" s="14">
        <v>9.0</v>
      </c>
      <c r="J235" s="14">
        <v>0.01</v>
      </c>
      <c r="K235" s="14">
        <v>4.0</v>
      </c>
    </row>
    <row r="236" ht="15.75" customHeight="1">
      <c r="A236" s="9" t="s">
        <v>1346</v>
      </c>
      <c r="B236" s="10" t="s">
        <v>1349</v>
      </c>
      <c r="C236" s="11" t="s">
        <v>330</v>
      </c>
      <c r="D236" s="12" t="s">
        <v>19</v>
      </c>
      <c r="E236" s="13" t="s">
        <v>102</v>
      </c>
      <c r="F236" s="14" t="s">
        <v>21</v>
      </c>
      <c r="G236" s="14" t="b">
        <v>0</v>
      </c>
      <c r="H236" s="14" t="s">
        <v>1350</v>
      </c>
      <c r="I236" s="14">
        <v>9.0</v>
      </c>
      <c r="J236" s="14">
        <v>0.01</v>
      </c>
      <c r="K236" s="14">
        <v>1.44</v>
      </c>
    </row>
    <row r="237" ht="15.75" customHeight="1">
      <c r="A237" s="9" t="s">
        <v>1351</v>
      </c>
      <c r="B237" s="10" t="s">
        <v>1353</v>
      </c>
      <c r="C237" s="11" t="s">
        <v>70</v>
      </c>
      <c r="D237" s="12" t="s">
        <v>19</v>
      </c>
      <c r="E237" s="13" t="s">
        <v>20</v>
      </c>
      <c r="F237" s="14" t="s">
        <v>21</v>
      </c>
      <c r="G237" s="14" t="b">
        <v>0</v>
      </c>
      <c r="H237" s="14" t="s">
        <v>1355</v>
      </c>
      <c r="I237" s="14">
        <v>9.0</v>
      </c>
      <c r="J237" s="14">
        <v>0.01</v>
      </c>
      <c r="K237" s="14">
        <v>0.0</v>
      </c>
    </row>
    <row r="238" ht="15.75" customHeight="1">
      <c r="A238" s="9" t="s">
        <v>1357</v>
      </c>
      <c r="B238" s="10" t="s">
        <v>1360</v>
      </c>
      <c r="C238" s="11" t="s">
        <v>80</v>
      </c>
      <c r="D238" s="12" t="s">
        <v>19</v>
      </c>
      <c r="E238" s="13" t="s">
        <v>32</v>
      </c>
      <c r="F238" s="14" t="s">
        <v>21</v>
      </c>
      <c r="G238" s="14" t="b">
        <v>0</v>
      </c>
      <c r="H238" s="14" t="s">
        <v>1361</v>
      </c>
      <c r="I238" s="14">
        <v>9.0</v>
      </c>
      <c r="J238" s="14">
        <v>0.01</v>
      </c>
      <c r="K238" s="14">
        <v>0.44</v>
      </c>
    </row>
    <row r="239" ht="15.75" customHeight="1">
      <c r="A239" s="9" t="s">
        <v>1363</v>
      </c>
      <c r="B239" s="10" t="s">
        <v>1365</v>
      </c>
      <c r="C239" s="11" t="s">
        <v>152</v>
      </c>
      <c r="D239" s="12" t="s">
        <v>19</v>
      </c>
      <c r="E239" s="13" t="s">
        <v>102</v>
      </c>
      <c r="F239" s="14" t="s">
        <v>21</v>
      </c>
      <c r="G239" s="14" t="b">
        <v>0</v>
      </c>
      <c r="H239" s="14" t="s">
        <v>1367</v>
      </c>
      <c r="I239" s="14">
        <v>9.0</v>
      </c>
      <c r="J239" s="14">
        <v>0.01</v>
      </c>
      <c r="K239" s="14">
        <v>2.78</v>
      </c>
    </row>
    <row r="240" ht="15.75" customHeight="1">
      <c r="A240" s="9" t="s">
        <v>1370</v>
      </c>
      <c r="B240" s="10" t="s">
        <v>1373</v>
      </c>
      <c r="C240" s="11" t="s">
        <v>152</v>
      </c>
      <c r="D240" s="12" t="s">
        <v>19</v>
      </c>
      <c r="E240" s="13" t="s">
        <v>102</v>
      </c>
      <c r="F240" s="14" t="s">
        <v>21</v>
      </c>
      <c r="G240" s="14" t="b">
        <v>0</v>
      </c>
      <c r="H240" s="14" t="s">
        <v>1374</v>
      </c>
      <c r="I240" s="14">
        <v>9.0</v>
      </c>
      <c r="J240" s="14">
        <v>0.01</v>
      </c>
      <c r="K240" s="14">
        <v>0.11</v>
      </c>
    </row>
    <row r="241" ht="15.75" customHeight="1">
      <c r="A241" s="9" t="s">
        <v>1375</v>
      </c>
      <c r="B241" s="10" t="s">
        <v>1379</v>
      </c>
      <c r="C241" s="11" t="s">
        <v>595</v>
      </c>
      <c r="D241" s="12" t="s">
        <v>19</v>
      </c>
      <c r="E241" s="13" t="s">
        <v>32</v>
      </c>
      <c r="F241" s="14" t="s">
        <v>21</v>
      </c>
      <c r="G241" s="14" t="b">
        <v>0</v>
      </c>
      <c r="H241" s="14" t="s">
        <v>1381</v>
      </c>
      <c r="I241" s="14">
        <v>9.0</v>
      </c>
      <c r="J241" s="14">
        <v>0.01</v>
      </c>
      <c r="K241" s="14">
        <v>0.78</v>
      </c>
    </row>
    <row r="242" ht="15.75" customHeight="1">
      <c r="A242" s="9" t="s">
        <v>1383</v>
      </c>
      <c r="B242" s="10" t="s">
        <v>1386</v>
      </c>
      <c r="C242" s="11" t="s">
        <v>194</v>
      </c>
      <c r="D242" s="12" t="s">
        <v>158</v>
      </c>
      <c r="E242" s="13" t="s">
        <v>32</v>
      </c>
      <c r="F242" s="14" t="s">
        <v>160</v>
      </c>
      <c r="G242" s="14" t="b">
        <v>0</v>
      </c>
      <c r="H242" s="14" t="s">
        <v>1388</v>
      </c>
      <c r="I242" s="14">
        <v>9.0</v>
      </c>
      <c r="J242" s="14">
        <v>0.01</v>
      </c>
      <c r="K242" s="14">
        <v>0.33</v>
      </c>
    </row>
    <row r="243" ht="15.75" customHeight="1">
      <c r="A243" s="9" t="s">
        <v>1389</v>
      </c>
      <c r="B243" s="10" t="s">
        <v>1393</v>
      </c>
      <c r="C243" s="11" t="s">
        <v>194</v>
      </c>
      <c r="D243" s="12" t="s">
        <v>277</v>
      </c>
      <c r="E243" s="13" t="s">
        <v>32</v>
      </c>
      <c r="F243" s="14" t="s">
        <v>278</v>
      </c>
      <c r="G243" s="14" t="b">
        <v>0</v>
      </c>
      <c r="H243" s="14" t="s">
        <v>1388</v>
      </c>
      <c r="I243" s="14">
        <v>9.0</v>
      </c>
      <c r="J243" s="14">
        <v>0.01</v>
      </c>
      <c r="K243" s="14">
        <v>1.22</v>
      </c>
    </row>
    <row r="244" ht="15.75" customHeight="1">
      <c r="A244" s="9" t="s">
        <v>1395</v>
      </c>
      <c r="B244" s="10" t="s">
        <v>1398</v>
      </c>
      <c r="C244" s="11" t="s">
        <v>543</v>
      </c>
      <c r="D244" s="12" t="s">
        <v>30</v>
      </c>
      <c r="E244" s="13" t="s">
        <v>32</v>
      </c>
      <c r="F244" s="14" t="s">
        <v>34</v>
      </c>
      <c r="G244" s="14" t="b">
        <v>0</v>
      </c>
      <c r="I244" s="14">
        <v>9.0</v>
      </c>
      <c r="J244" s="14">
        <v>0.01</v>
      </c>
      <c r="K244" s="14">
        <v>0.33</v>
      </c>
    </row>
    <row r="245" ht="15.75" customHeight="1">
      <c r="A245" s="9" t="s">
        <v>1401</v>
      </c>
      <c r="B245" s="10" t="s">
        <v>1403</v>
      </c>
      <c r="C245" s="11" t="s">
        <v>649</v>
      </c>
      <c r="D245" s="12" t="s">
        <v>19</v>
      </c>
      <c r="E245" s="13" t="s">
        <v>32</v>
      </c>
      <c r="F245" s="14" t="s">
        <v>21</v>
      </c>
      <c r="G245" s="14" t="b">
        <v>0</v>
      </c>
      <c r="H245" s="14" t="s">
        <v>1407</v>
      </c>
      <c r="I245" s="14">
        <v>9.0</v>
      </c>
      <c r="J245" s="14">
        <v>0.01</v>
      </c>
      <c r="K245" s="14">
        <v>1.22</v>
      </c>
    </row>
    <row r="246" ht="15.75" customHeight="1">
      <c r="A246" s="9" t="s">
        <v>1408</v>
      </c>
      <c r="B246" s="10" t="s">
        <v>1410</v>
      </c>
      <c r="C246" s="11" t="s">
        <v>549</v>
      </c>
      <c r="D246" s="12" t="s">
        <v>19</v>
      </c>
      <c r="E246" s="13" t="s">
        <v>159</v>
      </c>
      <c r="F246" s="14" t="s">
        <v>21</v>
      </c>
      <c r="G246" s="14" t="b">
        <v>0</v>
      </c>
      <c r="H246" s="14" t="s">
        <v>1413</v>
      </c>
      <c r="I246" s="14">
        <v>9.0</v>
      </c>
      <c r="J246" s="14">
        <v>0.01</v>
      </c>
      <c r="K246" s="14">
        <v>0.0</v>
      </c>
    </row>
    <row r="247" ht="15.75" customHeight="1">
      <c r="A247" s="9" t="s">
        <v>1414</v>
      </c>
      <c r="B247" s="10" t="s">
        <v>1417</v>
      </c>
      <c r="C247" s="11" t="s">
        <v>545</v>
      </c>
      <c r="D247" s="12" t="s">
        <v>277</v>
      </c>
      <c r="E247" s="13" t="s">
        <v>20</v>
      </c>
      <c r="F247" s="14" t="s">
        <v>278</v>
      </c>
      <c r="G247" s="14" t="b">
        <v>0</v>
      </c>
      <c r="H247" s="14" t="s">
        <v>1419</v>
      </c>
      <c r="I247" s="14">
        <v>9.0</v>
      </c>
      <c r="J247" s="14">
        <v>0.01</v>
      </c>
      <c r="K247" s="14">
        <v>1.44</v>
      </c>
    </row>
    <row r="248" ht="15.75" customHeight="1">
      <c r="A248" s="9" t="s">
        <v>1421</v>
      </c>
      <c r="B248" s="10" t="s">
        <v>1423</v>
      </c>
      <c r="C248" s="11" t="s">
        <v>138</v>
      </c>
      <c r="D248" s="12" t="s">
        <v>125</v>
      </c>
      <c r="E248" s="13" t="s">
        <v>20</v>
      </c>
      <c r="F248" s="14" t="s">
        <v>126</v>
      </c>
      <c r="G248" s="14" t="b">
        <v>0</v>
      </c>
      <c r="H248" s="14" t="s">
        <v>538</v>
      </c>
      <c r="I248" s="14">
        <v>9.0</v>
      </c>
      <c r="J248" s="14">
        <v>0.01</v>
      </c>
      <c r="K248" s="14">
        <v>1.44</v>
      </c>
    </row>
    <row r="249" ht="15.75" customHeight="1">
      <c r="A249" s="9" t="s">
        <v>1424</v>
      </c>
      <c r="B249" s="10" t="s">
        <v>1427</v>
      </c>
      <c r="C249" s="11" t="s">
        <v>461</v>
      </c>
      <c r="D249" s="12" t="s">
        <v>277</v>
      </c>
      <c r="E249" s="13" t="s">
        <v>116</v>
      </c>
      <c r="F249" s="14" t="s">
        <v>278</v>
      </c>
      <c r="G249" s="14" t="b">
        <v>0</v>
      </c>
      <c r="I249" s="14">
        <v>9.0</v>
      </c>
      <c r="J249" s="14">
        <v>0.01</v>
      </c>
      <c r="K249" s="14">
        <v>0.0</v>
      </c>
    </row>
    <row r="250" ht="15.75" customHeight="1">
      <c r="A250" s="9" t="s">
        <v>1429</v>
      </c>
      <c r="B250" s="10" t="s">
        <v>1432</v>
      </c>
      <c r="C250" s="11" t="s">
        <v>671</v>
      </c>
      <c r="D250" s="12" t="s">
        <v>312</v>
      </c>
      <c r="E250" s="13" t="s">
        <v>32</v>
      </c>
      <c r="F250" s="14" t="s">
        <v>313</v>
      </c>
      <c r="G250" s="14" t="b">
        <v>0</v>
      </c>
      <c r="I250" s="14">
        <v>9.0</v>
      </c>
      <c r="J250" s="14">
        <v>0.01</v>
      </c>
      <c r="K250" s="14">
        <v>1.67</v>
      </c>
    </row>
    <row r="251" ht="15.75" customHeight="1">
      <c r="A251" s="9" t="s">
        <v>1435</v>
      </c>
      <c r="B251" s="13"/>
      <c r="C251" s="11" t="s">
        <v>341</v>
      </c>
      <c r="D251" s="12" t="s">
        <v>116</v>
      </c>
      <c r="E251" s="13" t="s">
        <v>20</v>
      </c>
      <c r="F251" s="14" t="s">
        <v>117</v>
      </c>
      <c r="H251" s="14" t="s">
        <v>824</v>
      </c>
      <c r="I251" s="14">
        <v>9.0</v>
      </c>
      <c r="J251" s="14">
        <v>0.01</v>
      </c>
      <c r="K251" s="14">
        <v>0.78</v>
      </c>
    </row>
    <row r="252" ht="15.75" customHeight="1">
      <c r="A252" s="9" t="s">
        <v>1437</v>
      </c>
      <c r="B252" s="10" t="s">
        <v>1439</v>
      </c>
      <c r="C252" s="10" t="s">
        <v>674</v>
      </c>
      <c r="D252" s="12" t="s">
        <v>19</v>
      </c>
      <c r="E252" s="13" t="s">
        <v>32</v>
      </c>
      <c r="F252" s="14" t="s">
        <v>21</v>
      </c>
      <c r="G252" s="14" t="b">
        <v>0</v>
      </c>
      <c r="H252" s="14" t="s">
        <v>1440</v>
      </c>
      <c r="I252" s="14">
        <v>9.0</v>
      </c>
      <c r="J252" s="14">
        <v>0.01</v>
      </c>
      <c r="K252" s="14">
        <v>0.0</v>
      </c>
    </row>
    <row r="253" ht="15.75" customHeight="1">
      <c r="A253" s="9" t="s">
        <v>1443</v>
      </c>
      <c r="B253" s="10" t="s">
        <v>1445</v>
      </c>
      <c r="C253" s="11" t="s">
        <v>676</v>
      </c>
      <c r="D253" s="12" t="s">
        <v>1143</v>
      </c>
      <c r="E253" s="13" t="s">
        <v>32</v>
      </c>
      <c r="F253" s="14" t="s">
        <v>1145</v>
      </c>
      <c r="G253" s="14" t="b">
        <v>0</v>
      </c>
      <c r="H253" s="14" t="s">
        <v>1447</v>
      </c>
      <c r="I253" s="14">
        <v>9.0</v>
      </c>
      <c r="J253" s="14">
        <v>0.01</v>
      </c>
      <c r="K253" s="14">
        <v>0.56</v>
      </c>
    </row>
    <row r="254" ht="15.75" customHeight="1">
      <c r="A254" s="9" t="s">
        <v>1448</v>
      </c>
      <c r="B254" s="10" t="s">
        <v>1451</v>
      </c>
      <c r="C254" s="11" t="s">
        <v>84</v>
      </c>
      <c r="D254" s="12" t="s">
        <v>213</v>
      </c>
      <c r="E254" s="13" t="s">
        <v>85</v>
      </c>
      <c r="F254" s="14" t="s">
        <v>215</v>
      </c>
      <c r="G254" s="14" t="b">
        <v>0</v>
      </c>
      <c r="H254" s="14" t="s">
        <v>1452</v>
      </c>
      <c r="I254" s="14">
        <v>9.0</v>
      </c>
      <c r="J254" s="14">
        <v>0.01</v>
      </c>
      <c r="K254" s="14">
        <v>1.78</v>
      </c>
    </row>
    <row r="255" ht="15.75" customHeight="1">
      <c r="A255" s="9" t="s">
        <v>1453</v>
      </c>
      <c r="B255" s="10" t="s">
        <v>1455</v>
      </c>
      <c r="C255" s="11" t="s">
        <v>122</v>
      </c>
      <c r="D255" s="12" t="s">
        <v>277</v>
      </c>
      <c r="E255" s="13" t="s">
        <v>20</v>
      </c>
      <c r="F255" s="14" t="s">
        <v>278</v>
      </c>
      <c r="G255" s="14" t="b">
        <v>0</v>
      </c>
      <c r="H255" s="14" t="s">
        <v>599</v>
      </c>
      <c r="I255" s="14">
        <v>9.0</v>
      </c>
      <c r="J255" s="14">
        <v>0.01</v>
      </c>
      <c r="K255" s="14">
        <v>1.0</v>
      </c>
    </row>
    <row r="256" ht="15.75" customHeight="1">
      <c r="A256" s="9" t="s">
        <v>1458</v>
      </c>
      <c r="B256" s="10" t="s">
        <v>1460</v>
      </c>
      <c r="C256" s="11" t="s">
        <v>122</v>
      </c>
      <c r="D256" s="12" t="s">
        <v>277</v>
      </c>
      <c r="E256" s="13" t="s">
        <v>20</v>
      </c>
      <c r="F256" s="14" t="s">
        <v>278</v>
      </c>
      <c r="G256" s="14" t="b">
        <v>0</v>
      </c>
      <c r="H256" s="14" t="s">
        <v>1463</v>
      </c>
      <c r="I256" s="14">
        <v>9.0</v>
      </c>
      <c r="J256" s="14">
        <v>0.01</v>
      </c>
      <c r="K256" s="14">
        <v>1.11</v>
      </c>
    </row>
    <row r="257" ht="15.75" customHeight="1">
      <c r="A257" s="9" t="s">
        <v>1464</v>
      </c>
      <c r="B257" s="10" t="s">
        <v>1466</v>
      </c>
      <c r="C257" s="11" t="s">
        <v>36</v>
      </c>
      <c r="D257" s="12" t="s">
        <v>30</v>
      </c>
      <c r="E257" s="13" t="s">
        <v>32</v>
      </c>
      <c r="F257" s="14" t="s">
        <v>34</v>
      </c>
      <c r="G257" s="14" t="b">
        <v>0</v>
      </c>
      <c r="H257" s="14" t="s">
        <v>1469</v>
      </c>
      <c r="I257" s="14">
        <v>9.0</v>
      </c>
      <c r="J257" s="14">
        <v>0.01</v>
      </c>
      <c r="K257" s="14">
        <v>0.11</v>
      </c>
    </row>
    <row r="258" ht="15.75" customHeight="1">
      <c r="A258" s="9" t="s">
        <v>1470</v>
      </c>
      <c r="B258" s="10" t="s">
        <v>1472</v>
      </c>
      <c r="C258" s="11" t="s">
        <v>598</v>
      </c>
      <c r="D258" s="12" t="s">
        <v>19</v>
      </c>
      <c r="E258" s="13" t="s">
        <v>20</v>
      </c>
      <c r="F258" s="14" t="s">
        <v>21</v>
      </c>
      <c r="G258" s="14" t="b">
        <v>0</v>
      </c>
      <c r="H258" s="14" t="s">
        <v>1474</v>
      </c>
      <c r="I258" s="14">
        <v>9.0</v>
      </c>
      <c r="J258" s="14">
        <v>0.01</v>
      </c>
      <c r="K258" s="14">
        <v>1.22</v>
      </c>
    </row>
    <row r="259" ht="15.75" customHeight="1">
      <c r="A259" s="9" t="s">
        <v>1475</v>
      </c>
      <c r="B259" s="10" t="s">
        <v>1477</v>
      </c>
      <c r="C259" s="11" t="s">
        <v>679</v>
      </c>
      <c r="D259" s="12" t="s">
        <v>277</v>
      </c>
      <c r="E259" s="13" t="s">
        <v>32</v>
      </c>
      <c r="F259" s="14" t="s">
        <v>278</v>
      </c>
      <c r="G259" s="14" t="b">
        <v>0</v>
      </c>
      <c r="I259" s="14">
        <v>9.0</v>
      </c>
      <c r="J259" s="14">
        <v>0.01</v>
      </c>
      <c r="K259" s="14">
        <v>1.67</v>
      </c>
    </row>
    <row r="260" ht="15.75" customHeight="1">
      <c r="A260" s="9" t="s">
        <v>1480</v>
      </c>
      <c r="B260" s="10" t="s">
        <v>1482</v>
      </c>
      <c r="C260" s="10" t="s">
        <v>682</v>
      </c>
      <c r="D260" s="12" t="s">
        <v>277</v>
      </c>
      <c r="E260" s="13" t="s">
        <v>32</v>
      </c>
      <c r="F260" s="14" t="s">
        <v>278</v>
      </c>
      <c r="G260" s="14" t="b">
        <v>0</v>
      </c>
      <c r="H260" s="14" t="s">
        <v>1483</v>
      </c>
      <c r="I260" s="14">
        <v>9.0</v>
      </c>
      <c r="J260" s="14">
        <v>0.01</v>
      </c>
      <c r="K260" s="14">
        <v>0.56</v>
      </c>
    </row>
    <row r="261" ht="15.75" customHeight="1">
      <c r="A261" s="9" t="s">
        <v>1485</v>
      </c>
      <c r="B261" s="10" t="s">
        <v>1488</v>
      </c>
      <c r="C261" s="11" t="s">
        <v>198</v>
      </c>
      <c r="D261" s="12" t="s">
        <v>116</v>
      </c>
      <c r="E261" s="13" t="s">
        <v>116</v>
      </c>
      <c r="F261" s="14" t="s">
        <v>117</v>
      </c>
      <c r="G261" s="14" t="b">
        <v>0</v>
      </c>
      <c r="I261" s="14">
        <v>9.0</v>
      </c>
      <c r="J261" s="14">
        <v>0.01</v>
      </c>
      <c r="K261" s="14">
        <v>0.89</v>
      </c>
    </row>
    <row r="262" ht="15.75" customHeight="1">
      <c r="A262" s="9" t="s">
        <v>1489</v>
      </c>
      <c r="B262" s="10" t="s">
        <v>1491</v>
      </c>
      <c r="C262" s="11" t="s">
        <v>646</v>
      </c>
      <c r="D262" s="12" t="s">
        <v>116</v>
      </c>
      <c r="E262" s="13" t="s">
        <v>32</v>
      </c>
      <c r="F262" s="14" t="s">
        <v>117</v>
      </c>
      <c r="G262" s="14" t="b">
        <v>0</v>
      </c>
      <c r="I262" s="14">
        <v>9.0</v>
      </c>
      <c r="J262" s="14">
        <v>0.01</v>
      </c>
      <c r="K262" s="14">
        <v>1.22</v>
      </c>
    </row>
    <row r="263" ht="15.75" customHeight="1">
      <c r="A263" s="9" t="s">
        <v>1494</v>
      </c>
      <c r="B263" s="10" t="s">
        <v>1497</v>
      </c>
      <c r="C263" s="11" t="s">
        <v>111</v>
      </c>
      <c r="D263" s="12" t="s">
        <v>19</v>
      </c>
      <c r="E263" s="13" t="s">
        <v>20</v>
      </c>
      <c r="F263" s="14" t="s">
        <v>21</v>
      </c>
      <c r="G263" s="14" t="b">
        <v>0</v>
      </c>
      <c r="H263" s="14" t="s">
        <v>133</v>
      </c>
      <c r="I263" s="14">
        <v>9.0</v>
      </c>
      <c r="J263" s="14">
        <v>0.01</v>
      </c>
      <c r="K263" s="14">
        <v>0.11</v>
      </c>
    </row>
    <row r="264" ht="15.75" customHeight="1">
      <c r="A264" s="9" t="s">
        <v>1499</v>
      </c>
      <c r="B264" s="10" t="s">
        <v>1501</v>
      </c>
      <c r="C264" s="11" t="s">
        <v>587</v>
      </c>
      <c r="D264" s="12" t="s">
        <v>19</v>
      </c>
      <c r="E264" s="13" t="s">
        <v>32</v>
      </c>
      <c r="F264" s="14" t="s">
        <v>21</v>
      </c>
      <c r="G264" s="14" t="b">
        <v>0</v>
      </c>
      <c r="H264" s="14" t="s">
        <v>538</v>
      </c>
      <c r="I264" s="14">
        <v>9.0</v>
      </c>
      <c r="J264" s="14">
        <v>0.01</v>
      </c>
      <c r="K264" s="14">
        <v>0.0</v>
      </c>
    </row>
    <row r="265" ht="15.75" customHeight="1">
      <c r="A265" s="9" t="s">
        <v>1504</v>
      </c>
      <c r="B265" s="10" t="s">
        <v>1506</v>
      </c>
      <c r="C265" s="11" t="s">
        <v>132</v>
      </c>
      <c r="D265" s="12" t="s">
        <v>19</v>
      </c>
      <c r="E265" s="13" t="s">
        <v>20</v>
      </c>
      <c r="F265" s="14" t="s">
        <v>21</v>
      </c>
      <c r="G265" s="14" t="b">
        <v>0</v>
      </c>
      <c r="H265" s="14" t="s">
        <v>1507</v>
      </c>
      <c r="I265" s="14">
        <v>9.0</v>
      </c>
      <c r="J265" s="14">
        <v>0.01</v>
      </c>
      <c r="K265" s="14">
        <v>1.33</v>
      </c>
    </row>
    <row r="266" ht="15.75" customHeight="1">
      <c r="A266" s="9" t="s">
        <v>1508</v>
      </c>
      <c r="B266" s="10" t="s">
        <v>1510</v>
      </c>
      <c r="C266" s="11" t="s">
        <v>25</v>
      </c>
      <c r="D266" s="12" t="s">
        <v>158</v>
      </c>
      <c r="E266" s="13" t="s">
        <v>32</v>
      </c>
      <c r="F266" s="14" t="s">
        <v>160</v>
      </c>
      <c r="G266" s="14" t="b">
        <v>0</v>
      </c>
      <c r="H266" s="14" t="s">
        <v>1512</v>
      </c>
      <c r="I266" s="14">
        <v>8.0</v>
      </c>
      <c r="J266" s="14">
        <v>0.01</v>
      </c>
      <c r="K266" s="14">
        <v>0.38</v>
      </c>
    </row>
    <row r="267" ht="15.75" customHeight="1">
      <c r="A267" s="9" t="s">
        <v>1513</v>
      </c>
      <c r="B267" s="10" t="s">
        <v>1515</v>
      </c>
      <c r="C267" s="11" t="s">
        <v>710</v>
      </c>
      <c r="D267" s="12" t="s">
        <v>125</v>
      </c>
      <c r="E267" s="13" t="s">
        <v>32</v>
      </c>
      <c r="F267" s="14" t="s">
        <v>126</v>
      </c>
      <c r="G267" s="14" t="b">
        <v>0</v>
      </c>
      <c r="H267" s="14" t="s">
        <v>538</v>
      </c>
      <c r="I267" s="14">
        <v>8.0</v>
      </c>
      <c r="J267" s="14">
        <v>0.01</v>
      </c>
      <c r="K267" s="14">
        <v>0.5</v>
      </c>
    </row>
    <row r="268" ht="15.75" customHeight="1">
      <c r="A268" s="9" t="s">
        <v>1518</v>
      </c>
      <c r="B268" s="13"/>
      <c r="C268" s="11" t="s">
        <v>712</v>
      </c>
      <c r="D268" s="12" t="s">
        <v>116</v>
      </c>
      <c r="E268" s="13" t="s">
        <v>32</v>
      </c>
      <c r="F268" s="14" t="s">
        <v>117</v>
      </c>
      <c r="H268" s="14" t="s">
        <v>824</v>
      </c>
      <c r="I268" s="14">
        <v>8.0</v>
      </c>
      <c r="J268" s="14">
        <v>0.01</v>
      </c>
      <c r="K268" s="14">
        <v>0.0</v>
      </c>
    </row>
    <row r="269" ht="15.75" customHeight="1">
      <c r="A269" s="9" t="s">
        <v>1524</v>
      </c>
      <c r="B269" s="10" t="s">
        <v>1526</v>
      </c>
      <c r="C269" s="11" t="s">
        <v>662</v>
      </c>
      <c r="D269" s="12" t="s">
        <v>125</v>
      </c>
      <c r="E269" s="13" t="s">
        <v>20</v>
      </c>
      <c r="F269" s="14" t="s">
        <v>126</v>
      </c>
      <c r="G269" s="14" t="b">
        <v>0</v>
      </c>
      <c r="H269" s="14" t="s">
        <v>1529</v>
      </c>
      <c r="I269" s="14">
        <v>8.0</v>
      </c>
      <c r="J269" s="14">
        <v>0.01</v>
      </c>
      <c r="K269" s="14">
        <v>1.0</v>
      </c>
    </row>
    <row r="270" ht="15.75" customHeight="1">
      <c r="A270" s="9" t="s">
        <v>1530</v>
      </c>
      <c r="B270" s="10" t="s">
        <v>1532</v>
      </c>
      <c r="C270" s="11" t="s">
        <v>694</v>
      </c>
      <c r="D270" s="12" t="s">
        <v>125</v>
      </c>
      <c r="E270" s="13" t="s">
        <v>20</v>
      </c>
      <c r="F270" s="14" t="s">
        <v>126</v>
      </c>
      <c r="G270" s="14" t="b">
        <v>0</v>
      </c>
      <c r="H270" s="14" t="s">
        <v>696</v>
      </c>
      <c r="I270" s="14">
        <v>8.0</v>
      </c>
      <c r="J270" s="14">
        <v>0.01</v>
      </c>
      <c r="K270" s="14">
        <v>1.63</v>
      </c>
    </row>
    <row r="271" ht="15.75" customHeight="1">
      <c r="A271" s="9" t="s">
        <v>1534</v>
      </c>
      <c r="B271" s="10" t="s">
        <v>1536</v>
      </c>
      <c r="C271" s="11" t="s">
        <v>427</v>
      </c>
      <c r="D271" s="12" t="s">
        <v>277</v>
      </c>
      <c r="E271" s="13" t="s">
        <v>20</v>
      </c>
      <c r="F271" s="14" t="s">
        <v>278</v>
      </c>
      <c r="G271" s="14" t="b">
        <v>0</v>
      </c>
      <c r="H271" s="14" t="s">
        <v>1538</v>
      </c>
      <c r="I271" s="14">
        <v>8.0</v>
      </c>
      <c r="J271" s="14">
        <v>0.01</v>
      </c>
      <c r="K271" s="14">
        <v>1.0</v>
      </c>
    </row>
    <row r="272" ht="15.75" customHeight="1">
      <c r="A272" s="9" t="s">
        <v>1540</v>
      </c>
      <c r="B272" s="10" t="s">
        <v>1543</v>
      </c>
      <c r="C272" s="11" t="s">
        <v>70</v>
      </c>
      <c r="D272" s="12" t="s">
        <v>19</v>
      </c>
      <c r="E272" s="13" t="s">
        <v>20</v>
      </c>
      <c r="F272" s="14" t="s">
        <v>21</v>
      </c>
      <c r="G272" s="14" t="b">
        <v>0</v>
      </c>
      <c r="H272" s="14" t="s">
        <v>1545</v>
      </c>
      <c r="I272" s="14">
        <v>8.0</v>
      </c>
      <c r="J272" s="14">
        <v>0.01</v>
      </c>
      <c r="K272" s="14">
        <v>1.13</v>
      </c>
    </row>
    <row r="273" ht="15.75" customHeight="1">
      <c r="A273" s="9" t="s">
        <v>1546</v>
      </c>
      <c r="B273" s="10" t="s">
        <v>1548</v>
      </c>
      <c r="C273" s="11" t="s">
        <v>697</v>
      </c>
      <c r="D273" s="12" t="s">
        <v>277</v>
      </c>
      <c r="E273" s="13" t="s">
        <v>20</v>
      </c>
      <c r="F273" s="14" t="s">
        <v>278</v>
      </c>
      <c r="G273" s="14" t="b">
        <v>0</v>
      </c>
      <c r="H273" s="14" t="s">
        <v>699</v>
      </c>
      <c r="I273" s="14">
        <v>8.0</v>
      </c>
      <c r="J273" s="14">
        <v>0.01</v>
      </c>
      <c r="K273" s="14">
        <v>1.38</v>
      </c>
    </row>
    <row r="274" ht="15.75" customHeight="1">
      <c r="A274" s="9" t="s">
        <v>1553</v>
      </c>
      <c r="B274" s="10" t="s">
        <v>1555</v>
      </c>
      <c r="C274" s="11" t="s">
        <v>715</v>
      </c>
      <c r="D274" s="12" t="s">
        <v>19</v>
      </c>
      <c r="E274" s="13" t="s">
        <v>32</v>
      </c>
      <c r="F274" s="14" t="s">
        <v>21</v>
      </c>
      <c r="G274" s="14" t="b">
        <v>0</v>
      </c>
      <c r="H274" s="14" t="s">
        <v>538</v>
      </c>
      <c r="I274" s="14">
        <v>8.0</v>
      </c>
      <c r="J274" s="14">
        <v>0.01</v>
      </c>
      <c r="K274" s="14">
        <v>0.0</v>
      </c>
    </row>
    <row r="275" ht="15.75" customHeight="1">
      <c r="A275" s="9" t="s">
        <v>1558</v>
      </c>
      <c r="B275" s="10" t="s">
        <v>1560</v>
      </c>
      <c r="C275" s="11" t="s">
        <v>718</v>
      </c>
      <c r="D275" s="12" t="s">
        <v>19</v>
      </c>
      <c r="E275" s="13" t="s">
        <v>32</v>
      </c>
      <c r="F275" s="14" t="s">
        <v>21</v>
      </c>
      <c r="G275" s="14" t="b">
        <v>0</v>
      </c>
      <c r="H275" s="14" t="s">
        <v>1564</v>
      </c>
      <c r="I275" s="14">
        <v>8.0</v>
      </c>
      <c r="J275" s="14">
        <v>0.01</v>
      </c>
      <c r="K275" s="14">
        <v>0.0</v>
      </c>
    </row>
    <row r="276" ht="15.75" customHeight="1">
      <c r="A276" s="9" t="s">
        <v>1565</v>
      </c>
      <c r="B276" s="10" t="s">
        <v>1567</v>
      </c>
      <c r="C276" s="11" t="s">
        <v>722</v>
      </c>
      <c r="D276" s="12" t="s">
        <v>277</v>
      </c>
      <c r="E276" s="13" t="s">
        <v>32</v>
      </c>
      <c r="F276" s="14" t="s">
        <v>278</v>
      </c>
      <c r="G276" s="14" t="b">
        <v>0</v>
      </c>
      <c r="I276" s="14">
        <v>8.0</v>
      </c>
      <c r="J276" s="14">
        <v>0.01</v>
      </c>
      <c r="K276" s="14">
        <v>0.25</v>
      </c>
    </row>
    <row r="277" ht="15.75" customHeight="1">
      <c r="A277" s="9" t="s">
        <v>1569</v>
      </c>
      <c r="B277" s="10" t="s">
        <v>1571</v>
      </c>
      <c r="C277" s="11" t="s">
        <v>351</v>
      </c>
      <c r="D277" s="12" t="s">
        <v>158</v>
      </c>
      <c r="E277" s="13" t="s">
        <v>20</v>
      </c>
      <c r="F277" s="14" t="s">
        <v>160</v>
      </c>
      <c r="G277" s="14" t="b">
        <v>0</v>
      </c>
      <c r="H277" s="14" t="s">
        <v>1573</v>
      </c>
      <c r="I277" s="14">
        <v>8.0</v>
      </c>
      <c r="J277" s="14">
        <v>0.01</v>
      </c>
      <c r="K277" s="14">
        <v>1.25</v>
      </c>
    </row>
    <row r="278" ht="15.75" customHeight="1">
      <c r="A278" s="9" t="s">
        <v>1574</v>
      </c>
      <c r="B278" s="10" t="s">
        <v>1578</v>
      </c>
      <c r="C278" s="11" t="s">
        <v>729</v>
      </c>
      <c r="D278" s="12" t="s">
        <v>125</v>
      </c>
      <c r="E278" s="13" t="s">
        <v>32</v>
      </c>
      <c r="F278" s="14" t="s">
        <v>126</v>
      </c>
      <c r="G278" s="14" t="b">
        <v>0</v>
      </c>
      <c r="H278" s="14" t="s">
        <v>1580</v>
      </c>
      <c r="I278" s="14">
        <v>8.0</v>
      </c>
      <c r="J278" s="14">
        <v>0.01</v>
      </c>
      <c r="K278" s="14">
        <v>0.0</v>
      </c>
    </row>
    <row r="279" ht="15.75" customHeight="1">
      <c r="A279" s="9" t="s">
        <v>1582</v>
      </c>
      <c r="B279" s="10" t="s">
        <v>1398</v>
      </c>
      <c r="C279" s="11" t="s">
        <v>198</v>
      </c>
      <c r="D279" s="12" t="s">
        <v>30</v>
      </c>
      <c r="E279" s="13" t="s">
        <v>116</v>
      </c>
      <c r="F279" s="14" t="s">
        <v>34</v>
      </c>
      <c r="G279" s="14" t="b">
        <v>0</v>
      </c>
      <c r="I279" s="14">
        <v>8.0</v>
      </c>
      <c r="J279" s="14">
        <v>0.01</v>
      </c>
      <c r="K279" s="14">
        <v>0.13</v>
      </c>
    </row>
    <row r="280" ht="15.75" customHeight="1">
      <c r="A280" s="9" t="s">
        <v>1584</v>
      </c>
      <c r="B280" s="10" t="s">
        <v>1586</v>
      </c>
      <c r="C280" s="11" t="s">
        <v>733</v>
      </c>
      <c r="D280" s="12" t="s">
        <v>19</v>
      </c>
      <c r="E280" s="13" t="s">
        <v>116</v>
      </c>
      <c r="F280" s="14" t="s">
        <v>21</v>
      </c>
      <c r="G280" s="14" t="b">
        <v>0</v>
      </c>
      <c r="H280" s="14" t="s">
        <v>1588</v>
      </c>
      <c r="I280" s="14">
        <v>8.0</v>
      </c>
      <c r="J280" s="14">
        <v>0.01</v>
      </c>
      <c r="K280" s="14">
        <v>0.25</v>
      </c>
    </row>
    <row r="281" ht="15.75" customHeight="1">
      <c r="A281" s="9" t="s">
        <v>1589</v>
      </c>
      <c r="B281" s="10" t="s">
        <v>1591</v>
      </c>
      <c r="C281" s="11" t="s">
        <v>737</v>
      </c>
      <c r="D281" s="12" t="s">
        <v>19</v>
      </c>
      <c r="E281" s="13" t="s">
        <v>116</v>
      </c>
      <c r="F281" s="14" t="s">
        <v>21</v>
      </c>
      <c r="G281" s="14" t="b">
        <v>0</v>
      </c>
      <c r="H281" s="14" t="s">
        <v>523</v>
      </c>
      <c r="I281" s="14">
        <v>8.0</v>
      </c>
      <c r="J281" s="14">
        <v>0.01</v>
      </c>
      <c r="K281" s="14">
        <v>0.0</v>
      </c>
    </row>
    <row r="282" ht="15.75" customHeight="1">
      <c r="A282" s="9" t="s">
        <v>1593</v>
      </c>
      <c r="B282" s="10" t="s">
        <v>1596</v>
      </c>
      <c r="C282" s="11" t="s">
        <v>205</v>
      </c>
      <c r="D282" s="12" t="s">
        <v>19</v>
      </c>
      <c r="E282" s="13" t="s">
        <v>85</v>
      </c>
      <c r="F282" s="14" t="s">
        <v>21</v>
      </c>
      <c r="G282" s="14" t="b">
        <v>0</v>
      </c>
      <c r="I282" s="14">
        <v>8.0</v>
      </c>
      <c r="J282" s="14">
        <v>0.01</v>
      </c>
      <c r="K282" s="14">
        <v>0.0</v>
      </c>
    </row>
    <row r="283" ht="15.75" customHeight="1">
      <c r="A283" s="9" t="s">
        <v>1599</v>
      </c>
      <c r="B283" s="10" t="s">
        <v>1602</v>
      </c>
      <c r="C283" s="11" t="s">
        <v>744</v>
      </c>
      <c r="D283" s="12" t="s">
        <v>277</v>
      </c>
      <c r="E283" s="13" t="s">
        <v>32</v>
      </c>
      <c r="F283" s="14" t="s">
        <v>278</v>
      </c>
      <c r="G283" s="14" t="b">
        <v>0</v>
      </c>
      <c r="I283" s="14">
        <v>8.0</v>
      </c>
      <c r="J283" s="14">
        <v>0.01</v>
      </c>
      <c r="K283" s="14">
        <v>1.5</v>
      </c>
    </row>
    <row r="284" ht="15.75" customHeight="1">
      <c r="A284" s="9" t="s">
        <v>1605</v>
      </c>
      <c r="B284" s="10" t="s">
        <v>1607</v>
      </c>
      <c r="C284" s="11" t="s">
        <v>628</v>
      </c>
      <c r="D284" s="12" t="s">
        <v>277</v>
      </c>
      <c r="E284" s="13" t="s">
        <v>32</v>
      </c>
      <c r="F284" s="14" t="s">
        <v>278</v>
      </c>
      <c r="G284" s="14" t="b">
        <v>0</v>
      </c>
      <c r="I284" s="14">
        <v>8.0</v>
      </c>
      <c r="J284" s="14">
        <v>0.01</v>
      </c>
      <c r="K284" s="14">
        <v>1.38</v>
      </c>
    </row>
    <row r="285" ht="15.75" customHeight="1">
      <c r="A285" s="9" t="s">
        <v>1610</v>
      </c>
      <c r="B285" s="10" t="s">
        <v>1613</v>
      </c>
      <c r="C285" s="11" t="s">
        <v>138</v>
      </c>
      <c r="D285" s="12" t="s">
        <v>312</v>
      </c>
      <c r="E285" s="13" t="s">
        <v>20</v>
      </c>
      <c r="F285" s="14" t="s">
        <v>313</v>
      </c>
      <c r="G285" s="14" t="b">
        <v>0</v>
      </c>
      <c r="H285" s="14" t="s">
        <v>538</v>
      </c>
      <c r="I285" s="14">
        <v>8.0</v>
      </c>
      <c r="J285" s="14">
        <v>0.01</v>
      </c>
      <c r="K285" s="14">
        <v>1.13</v>
      </c>
    </row>
    <row r="286" ht="15.75" customHeight="1">
      <c r="A286" s="9" t="s">
        <v>1614</v>
      </c>
      <c r="B286" s="10" t="s">
        <v>1616</v>
      </c>
      <c r="C286" s="11" t="s">
        <v>746</v>
      </c>
      <c r="D286" s="12" t="s">
        <v>277</v>
      </c>
      <c r="E286" s="13" t="s">
        <v>32</v>
      </c>
      <c r="F286" s="14" t="s">
        <v>278</v>
      </c>
      <c r="G286" s="14" t="b">
        <v>0</v>
      </c>
      <c r="I286" s="14">
        <v>8.0</v>
      </c>
      <c r="J286" s="14">
        <v>0.01</v>
      </c>
      <c r="K286" s="14">
        <v>1.0</v>
      </c>
    </row>
    <row r="287" ht="15.75" customHeight="1">
      <c r="A287" s="9" t="s">
        <v>1618</v>
      </c>
      <c r="B287" s="10" t="s">
        <v>725</v>
      </c>
      <c r="C287" s="11" t="s">
        <v>422</v>
      </c>
      <c r="D287" s="12" t="s">
        <v>19</v>
      </c>
      <c r="E287" s="13" t="s">
        <v>32</v>
      </c>
      <c r="F287" s="14" t="s">
        <v>21</v>
      </c>
      <c r="G287" s="14" t="b">
        <v>0</v>
      </c>
      <c r="H287" s="14" t="s">
        <v>726</v>
      </c>
      <c r="I287" s="14">
        <v>8.0</v>
      </c>
      <c r="J287" s="14">
        <v>0.01</v>
      </c>
      <c r="K287" s="14">
        <v>0.0</v>
      </c>
    </row>
    <row r="288" ht="15.75" customHeight="1">
      <c r="A288" s="9" t="s">
        <v>1620</v>
      </c>
      <c r="B288" s="10" t="s">
        <v>1622</v>
      </c>
      <c r="C288" s="11" t="s">
        <v>704</v>
      </c>
      <c r="D288" s="12" t="s">
        <v>277</v>
      </c>
      <c r="E288" s="13" t="s">
        <v>32</v>
      </c>
      <c r="F288" s="14" t="s">
        <v>278</v>
      </c>
      <c r="G288" s="14" t="b">
        <v>0</v>
      </c>
      <c r="I288" s="14">
        <v>8.0</v>
      </c>
      <c r="J288" s="14">
        <v>0.01</v>
      </c>
      <c r="K288" s="14">
        <v>1.13</v>
      </c>
    </row>
    <row r="289" ht="15.75" customHeight="1">
      <c r="A289" s="9" t="s">
        <v>1624</v>
      </c>
      <c r="B289" s="10" t="s">
        <v>1626</v>
      </c>
      <c r="C289" s="11" t="s">
        <v>48</v>
      </c>
      <c r="D289" s="12" t="s">
        <v>277</v>
      </c>
      <c r="E289" s="13" t="s">
        <v>20</v>
      </c>
      <c r="F289" s="14" t="s">
        <v>278</v>
      </c>
      <c r="G289" s="14" t="b">
        <v>0</v>
      </c>
      <c r="H289" s="14" t="s">
        <v>1628</v>
      </c>
      <c r="I289" s="14">
        <v>8.0</v>
      </c>
      <c r="J289" s="14">
        <v>0.01</v>
      </c>
      <c r="K289" s="14">
        <v>1.13</v>
      </c>
    </row>
    <row r="290" ht="15.75" customHeight="1">
      <c r="A290" s="9" t="s">
        <v>1629</v>
      </c>
      <c r="B290" s="10" t="s">
        <v>1631</v>
      </c>
      <c r="C290" s="11" t="s">
        <v>749</v>
      </c>
      <c r="D290" s="12" t="s">
        <v>19</v>
      </c>
      <c r="E290" s="13" t="s">
        <v>32</v>
      </c>
      <c r="F290" s="14" t="s">
        <v>21</v>
      </c>
      <c r="G290" s="14" t="b">
        <v>0</v>
      </c>
      <c r="H290" s="14" t="s">
        <v>1633</v>
      </c>
      <c r="I290" s="14">
        <v>8.0</v>
      </c>
      <c r="J290" s="14">
        <v>0.01</v>
      </c>
      <c r="K290" s="14">
        <v>0.63</v>
      </c>
    </row>
    <row r="291" ht="15.75" customHeight="1">
      <c r="A291" s="9" t="s">
        <v>1635</v>
      </c>
      <c r="B291" s="10" t="s">
        <v>1637</v>
      </c>
      <c r="C291" s="11" t="s">
        <v>752</v>
      </c>
      <c r="D291" s="12" t="s">
        <v>19</v>
      </c>
      <c r="E291" s="13" t="s">
        <v>32</v>
      </c>
      <c r="F291" s="14" t="s">
        <v>21</v>
      </c>
      <c r="G291" s="14" t="b">
        <v>0</v>
      </c>
      <c r="H291" s="14" t="s">
        <v>538</v>
      </c>
      <c r="I291" s="14">
        <v>8.0</v>
      </c>
      <c r="J291" s="14">
        <v>0.01</v>
      </c>
      <c r="K291" s="14">
        <v>0.0</v>
      </c>
    </row>
    <row r="292" ht="15.75" customHeight="1">
      <c r="A292" s="9" t="s">
        <v>1640</v>
      </c>
      <c r="B292" s="10" t="s">
        <v>1642</v>
      </c>
      <c r="C292" s="11" t="s">
        <v>643</v>
      </c>
      <c r="D292" s="12" t="s">
        <v>116</v>
      </c>
      <c r="E292" s="13" t="s">
        <v>32</v>
      </c>
      <c r="F292" s="14" t="s">
        <v>117</v>
      </c>
      <c r="G292" s="14" t="b">
        <v>0</v>
      </c>
      <c r="H292" s="14" t="s">
        <v>195</v>
      </c>
      <c r="I292" s="14">
        <v>8.0</v>
      </c>
      <c r="J292" s="14">
        <v>0.01</v>
      </c>
      <c r="K292" s="14">
        <v>1.5</v>
      </c>
    </row>
    <row r="293" ht="15.75" customHeight="1">
      <c r="A293" s="9" t="s">
        <v>1645</v>
      </c>
      <c r="B293" s="10" t="s">
        <v>1647</v>
      </c>
      <c r="C293" s="11" t="s">
        <v>36</v>
      </c>
      <c r="D293" s="12" t="s">
        <v>30</v>
      </c>
      <c r="E293" s="13" t="s">
        <v>32</v>
      </c>
      <c r="F293" s="14" t="s">
        <v>34</v>
      </c>
      <c r="G293" s="14" t="b">
        <v>0</v>
      </c>
      <c r="H293" s="14" t="s">
        <v>91</v>
      </c>
      <c r="I293" s="14">
        <v>8.0</v>
      </c>
      <c r="J293" s="14">
        <v>0.01</v>
      </c>
      <c r="K293" s="14">
        <v>0.13</v>
      </c>
    </row>
    <row r="294" ht="15.75" customHeight="1">
      <c r="A294" s="9" t="s">
        <v>1649</v>
      </c>
      <c r="B294" s="10" t="s">
        <v>1651</v>
      </c>
      <c r="C294" s="11" t="s">
        <v>36</v>
      </c>
      <c r="D294" s="12" t="s">
        <v>30</v>
      </c>
      <c r="E294" s="13" t="s">
        <v>32</v>
      </c>
      <c r="F294" s="14" t="s">
        <v>34</v>
      </c>
      <c r="G294" s="14" t="b">
        <v>0</v>
      </c>
      <c r="H294" s="14" t="s">
        <v>1653</v>
      </c>
      <c r="I294" s="14">
        <v>8.0</v>
      </c>
      <c r="J294" s="14">
        <v>0.01</v>
      </c>
      <c r="K294" s="14">
        <v>1.0</v>
      </c>
    </row>
    <row r="295" ht="15.75" customHeight="1">
      <c r="A295" s="9" t="s">
        <v>1654</v>
      </c>
      <c r="B295" s="10" t="s">
        <v>1657</v>
      </c>
      <c r="C295" s="11" t="s">
        <v>685</v>
      </c>
      <c r="D295" s="12" t="s">
        <v>277</v>
      </c>
      <c r="E295" s="13" t="s">
        <v>32</v>
      </c>
      <c r="F295" s="14" t="s">
        <v>278</v>
      </c>
      <c r="G295" s="14" t="b">
        <v>0</v>
      </c>
      <c r="I295" s="14">
        <v>8.0</v>
      </c>
      <c r="J295" s="14">
        <v>0.01</v>
      </c>
      <c r="K295" s="14">
        <v>1.38</v>
      </c>
    </row>
    <row r="296" ht="15.75" customHeight="1">
      <c r="A296" s="9" t="s">
        <v>1660</v>
      </c>
      <c r="B296" s="10" t="s">
        <v>803</v>
      </c>
      <c r="C296" s="11" t="s">
        <v>286</v>
      </c>
      <c r="D296" s="12" t="s">
        <v>116</v>
      </c>
      <c r="E296" s="13" t="s">
        <v>159</v>
      </c>
      <c r="F296" s="14" t="s">
        <v>117</v>
      </c>
      <c r="G296" s="14" t="b">
        <v>0</v>
      </c>
      <c r="I296" s="14">
        <v>7.0</v>
      </c>
      <c r="J296" s="14">
        <v>0.01</v>
      </c>
      <c r="K296" s="14">
        <v>0.0</v>
      </c>
    </row>
    <row r="297" ht="15.75" customHeight="1">
      <c r="A297" s="9" t="s">
        <v>1664</v>
      </c>
      <c r="B297" s="10" t="s">
        <v>1666</v>
      </c>
      <c r="C297" s="11" t="s">
        <v>432</v>
      </c>
      <c r="D297" s="12" t="s">
        <v>312</v>
      </c>
      <c r="E297" s="13" t="s">
        <v>102</v>
      </c>
      <c r="F297" s="14" t="s">
        <v>313</v>
      </c>
      <c r="G297" s="14" t="b">
        <v>0</v>
      </c>
      <c r="H297" s="14" t="s">
        <v>1669</v>
      </c>
      <c r="I297" s="14">
        <v>7.0</v>
      </c>
      <c r="J297" s="14">
        <v>0.01</v>
      </c>
      <c r="K297" s="14">
        <v>0.57</v>
      </c>
    </row>
    <row r="298" ht="15.75" customHeight="1">
      <c r="A298" s="9" t="s">
        <v>1670</v>
      </c>
      <c r="B298" s="10" t="s">
        <v>1672</v>
      </c>
      <c r="C298" s="11" t="s">
        <v>25</v>
      </c>
      <c r="D298" s="12" t="s">
        <v>158</v>
      </c>
      <c r="E298" s="13" t="s">
        <v>32</v>
      </c>
      <c r="F298" s="14" t="s">
        <v>160</v>
      </c>
      <c r="G298" s="14" t="b">
        <v>0</v>
      </c>
      <c r="H298" s="14" t="s">
        <v>1320</v>
      </c>
      <c r="I298" s="14">
        <v>7.0</v>
      </c>
      <c r="J298" s="14">
        <v>0.01</v>
      </c>
      <c r="K298" s="14">
        <v>2.43</v>
      </c>
    </row>
    <row r="299" ht="15.75" customHeight="1">
      <c r="A299" s="9" t="s">
        <v>1674</v>
      </c>
      <c r="B299" s="10" t="s">
        <v>1676</v>
      </c>
      <c r="C299" s="11" t="s">
        <v>25</v>
      </c>
      <c r="D299" s="12" t="s">
        <v>30</v>
      </c>
      <c r="E299" s="13" t="s">
        <v>32</v>
      </c>
      <c r="F299" s="14" t="s">
        <v>34</v>
      </c>
      <c r="G299" s="14" t="b">
        <v>0</v>
      </c>
      <c r="H299" s="14" t="s">
        <v>1678</v>
      </c>
      <c r="I299" s="14">
        <v>7.0</v>
      </c>
      <c r="J299" s="14">
        <v>0.01</v>
      </c>
      <c r="K299" s="14">
        <v>0.0</v>
      </c>
    </row>
    <row r="300" ht="15.75" customHeight="1">
      <c r="A300" s="9" t="s">
        <v>1679</v>
      </c>
      <c r="B300" s="10" t="s">
        <v>1681</v>
      </c>
      <c r="C300" s="11" t="s">
        <v>767</v>
      </c>
      <c r="D300" s="12" t="s">
        <v>125</v>
      </c>
      <c r="E300" s="13" t="s">
        <v>32</v>
      </c>
      <c r="F300" s="14" t="s">
        <v>126</v>
      </c>
      <c r="G300" s="14" t="b">
        <v>0</v>
      </c>
      <c r="I300" s="14">
        <v>7.0</v>
      </c>
      <c r="J300" s="14">
        <v>0.01</v>
      </c>
      <c r="K300" s="14">
        <v>1.29</v>
      </c>
    </row>
    <row r="301" ht="15.75" customHeight="1">
      <c r="A301" s="9" t="s">
        <v>1684</v>
      </c>
      <c r="B301" s="10" t="s">
        <v>977</v>
      </c>
      <c r="C301" s="11" t="s">
        <v>155</v>
      </c>
      <c r="D301" s="12" t="s">
        <v>19</v>
      </c>
      <c r="E301" s="13" t="s">
        <v>32</v>
      </c>
      <c r="F301" s="14" t="s">
        <v>21</v>
      </c>
      <c r="G301" s="14" t="b">
        <v>0</v>
      </c>
      <c r="H301" s="14" t="s">
        <v>708</v>
      </c>
      <c r="I301" s="14">
        <v>7.0</v>
      </c>
      <c r="J301" s="14">
        <v>0.01</v>
      </c>
      <c r="K301" s="14">
        <v>0.0</v>
      </c>
    </row>
    <row r="302" ht="15.75" customHeight="1">
      <c r="A302" s="9" t="s">
        <v>1688</v>
      </c>
      <c r="B302" s="10" t="s">
        <v>1690</v>
      </c>
      <c r="C302" s="11" t="s">
        <v>770</v>
      </c>
      <c r="D302" s="12" t="s">
        <v>125</v>
      </c>
      <c r="E302" s="13" t="s">
        <v>32</v>
      </c>
      <c r="F302" s="14" t="s">
        <v>126</v>
      </c>
      <c r="G302" s="14" t="b">
        <v>0</v>
      </c>
      <c r="I302" s="14">
        <v>7.0</v>
      </c>
      <c r="J302" s="14">
        <v>0.01</v>
      </c>
      <c r="K302" s="14">
        <v>1.14</v>
      </c>
    </row>
    <row r="303" ht="15.75" customHeight="1">
      <c r="A303" s="9" t="s">
        <v>1693</v>
      </c>
      <c r="B303" s="10" t="s">
        <v>1695</v>
      </c>
      <c r="C303" s="11" t="s">
        <v>70</v>
      </c>
      <c r="D303" s="12" t="s">
        <v>19</v>
      </c>
      <c r="E303" s="13" t="s">
        <v>20</v>
      </c>
      <c r="F303" s="14" t="s">
        <v>21</v>
      </c>
      <c r="G303" s="14" t="b">
        <v>0</v>
      </c>
      <c r="H303" s="14" t="s">
        <v>1696</v>
      </c>
      <c r="I303" s="14">
        <v>7.0</v>
      </c>
      <c r="J303" s="14">
        <v>0.01</v>
      </c>
      <c r="K303" s="14">
        <v>0.29</v>
      </c>
    </row>
    <row r="304" ht="15.75" customHeight="1">
      <c r="A304" s="9" t="s">
        <v>1698</v>
      </c>
      <c r="B304" s="10" t="s">
        <v>1700</v>
      </c>
      <c r="C304" s="11" t="s">
        <v>18</v>
      </c>
      <c r="D304" s="12" t="s">
        <v>30</v>
      </c>
      <c r="E304" s="13" t="s">
        <v>32</v>
      </c>
      <c r="F304" s="14" t="s">
        <v>34</v>
      </c>
      <c r="G304" s="14" t="b">
        <v>0</v>
      </c>
      <c r="H304" s="14" t="s">
        <v>1701</v>
      </c>
      <c r="I304" s="14">
        <v>7.0</v>
      </c>
      <c r="J304" s="14">
        <v>0.01</v>
      </c>
      <c r="K304" s="14">
        <v>0.0</v>
      </c>
    </row>
    <row r="305" ht="15.75" customHeight="1">
      <c r="A305" s="9" t="s">
        <v>1702</v>
      </c>
      <c r="B305" s="10" t="s">
        <v>1704</v>
      </c>
      <c r="C305" s="11" t="s">
        <v>28</v>
      </c>
      <c r="D305" s="12" t="s">
        <v>158</v>
      </c>
      <c r="E305" s="13" t="s">
        <v>159</v>
      </c>
      <c r="F305" s="14" t="s">
        <v>160</v>
      </c>
      <c r="G305" s="14" t="b">
        <v>0</v>
      </c>
      <c r="H305" s="14" t="s">
        <v>1706</v>
      </c>
      <c r="I305" s="14">
        <v>7.0</v>
      </c>
      <c r="J305" s="14">
        <v>0.01</v>
      </c>
      <c r="K305" s="14">
        <v>0.86</v>
      </c>
    </row>
    <row r="306" ht="15.75" customHeight="1">
      <c r="A306" s="9" t="s">
        <v>1707</v>
      </c>
      <c r="B306" s="10" t="s">
        <v>1709</v>
      </c>
      <c r="C306" s="11" t="s">
        <v>540</v>
      </c>
      <c r="D306" s="12" t="s">
        <v>158</v>
      </c>
      <c r="E306" s="13" t="s">
        <v>32</v>
      </c>
      <c r="F306" s="14" t="s">
        <v>160</v>
      </c>
      <c r="G306" s="14" t="b">
        <v>0</v>
      </c>
      <c r="H306" s="14" t="s">
        <v>538</v>
      </c>
      <c r="I306" s="14">
        <v>7.0</v>
      </c>
      <c r="J306" s="14">
        <v>0.01</v>
      </c>
      <c r="K306" s="14">
        <v>0.29</v>
      </c>
    </row>
    <row r="307" ht="15.75" customHeight="1">
      <c r="A307" s="9" t="s">
        <v>1711</v>
      </c>
      <c r="B307" s="10" t="s">
        <v>1713</v>
      </c>
      <c r="C307" s="11" t="s">
        <v>443</v>
      </c>
      <c r="D307" s="12" t="s">
        <v>277</v>
      </c>
      <c r="E307" s="13" t="s">
        <v>20</v>
      </c>
      <c r="F307" s="14" t="s">
        <v>278</v>
      </c>
      <c r="G307" s="14" t="b">
        <v>0</v>
      </c>
      <c r="H307" s="14" t="s">
        <v>1716</v>
      </c>
      <c r="I307" s="14">
        <v>7.0</v>
      </c>
      <c r="J307" s="14">
        <v>0.01</v>
      </c>
      <c r="K307" s="14">
        <v>0.71</v>
      </c>
    </row>
    <row r="308" ht="15.75" customHeight="1">
      <c r="A308" s="9" t="s">
        <v>1717</v>
      </c>
      <c r="B308" s="10" t="s">
        <v>1719</v>
      </c>
      <c r="C308" s="11" t="s">
        <v>623</v>
      </c>
      <c r="D308" s="12" t="s">
        <v>158</v>
      </c>
      <c r="E308" s="13" t="s">
        <v>32</v>
      </c>
      <c r="F308" s="14" t="s">
        <v>160</v>
      </c>
      <c r="G308" s="14" t="b">
        <v>0</v>
      </c>
      <c r="I308" s="14">
        <v>7.0</v>
      </c>
      <c r="J308" s="14">
        <v>0.01</v>
      </c>
      <c r="K308" s="14">
        <v>1.14</v>
      </c>
    </row>
    <row r="309" ht="15.75" customHeight="1">
      <c r="A309" s="9" t="s">
        <v>1721</v>
      </c>
      <c r="B309" s="10" t="s">
        <v>1723</v>
      </c>
      <c r="C309" s="11" t="s">
        <v>55</v>
      </c>
      <c r="D309" s="12" t="s">
        <v>277</v>
      </c>
      <c r="E309" s="13" t="s">
        <v>20</v>
      </c>
      <c r="F309" s="14" t="s">
        <v>278</v>
      </c>
      <c r="G309" s="14" t="b">
        <v>0</v>
      </c>
      <c r="H309" s="14" t="s">
        <v>655</v>
      </c>
      <c r="I309" s="14">
        <v>7.0</v>
      </c>
      <c r="J309" s="14">
        <v>0.01</v>
      </c>
      <c r="K309" s="14">
        <v>1.0</v>
      </c>
    </row>
    <row r="310" ht="15.75" customHeight="1">
      <c r="A310" s="9" t="s">
        <v>1726</v>
      </c>
      <c r="B310" s="10" t="s">
        <v>1728</v>
      </c>
      <c r="C310" s="11" t="s">
        <v>740</v>
      </c>
      <c r="D310" s="12" t="s">
        <v>19</v>
      </c>
      <c r="E310" s="13" t="s">
        <v>159</v>
      </c>
      <c r="F310" s="14" t="s">
        <v>21</v>
      </c>
      <c r="G310" s="14" t="b">
        <v>0</v>
      </c>
      <c r="H310" s="14" t="s">
        <v>1730</v>
      </c>
      <c r="I310" s="14">
        <v>7.0</v>
      </c>
      <c r="J310" s="14">
        <v>0.01</v>
      </c>
      <c r="K310" s="14">
        <v>2.14</v>
      </c>
    </row>
    <row r="311" ht="15.75" customHeight="1">
      <c r="A311" s="9" t="s">
        <v>1732</v>
      </c>
      <c r="B311" s="10" t="s">
        <v>1734</v>
      </c>
      <c r="C311" s="11" t="s">
        <v>499</v>
      </c>
      <c r="D311" s="12" t="s">
        <v>158</v>
      </c>
      <c r="E311" s="13" t="s">
        <v>20</v>
      </c>
      <c r="F311" s="14" t="s">
        <v>160</v>
      </c>
      <c r="G311" s="14" t="b">
        <v>0</v>
      </c>
      <c r="H311" s="14" t="s">
        <v>500</v>
      </c>
      <c r="I311" s="14">
        <v>7.0</v>
      </c>
      <c r="J311" s="14">
        <v>0.01</v>
      </c>
      <c r="K311" s="14">
        <v>0.29</v>
      </c>
    </row>
    <row r="312" ht="15.75" customHeight="1">
      <c r="A312" s="9" t="s">
        <v>1738</v>
      </c>
      <c r="B312" s="10" t="s">
        <v>1740</v>
      </c>
      <c r="C312" s="11" t="s">
        <v>775</v>
      </c>
      <c r="D312" s="12" t="s">
        <v>1143</v>
      </c>
      <c r="E312" s="13" t="s">
        <v>32</v>
      </c>
      <c r="F312" s="14" t="s">
        <v>1145</v>
      </c>
      <c r="G312" s="14" t="b">
        <v>0</v>
      </c>
      <c r="H312" s="14" t="s">
        <v>917</v>
      </c>
      <c r="I312" s="14">
        <v>7.0</v>
      </c>
      <c r="J312" s="14">
        <v>0.01</v>
      </c>
      <c r="K312" s="14">
        <v>1.43</v>
      </c>
    </row>
    <row r="313" ht="15.75" customHeight="1">
      <c r="A313" s="9" t="s">
        <v>1743</v>
      </c>
      <c r="B313" s="10" t="s">
        <v>1747</v>
      </c>
      <c r="C313" s="11" t="s">
        <v>780</v>
      </c>
      <c r="D313" s="12" t="s">
        <v>277</v>
      </c>
      <c r="E313" s="13" t="s">
        <v>32</v>
      </c>
      <c r="F313" s="14" t="s">
        <v>278</v>
      </c>
      <c r="G313" s="14" t="b">
        <v>0</v>
      </c>
      <c r="H313" s="14" t="s">
        <v>782</v>
      </c>
      <c r="I313" s="14">
        <v>7.0</v>
      </c>
      <c r="J313" s="14">
        <v>0.01</v>
      </c>
      <c r="K313" s="14">
        <v>1.29</v>
      </c>
    </row>
    <row r="314" ht="15.75" customHeight="1">
      <c r="A314" s="9" t="s">
        <v>1750</v>
      </c>
      <c r="B314" s="10" t="s">
        <v>1752</v>
      </c>
      <c r="C314" s="11" t="s">
        <v>337</v>
      </c>
      <c r="D314" s="12" t="s">
        <v>19</v>
      </c>
      <c r="E314" s="13" t="s">
        <v>32</v>
      </c>
      <c r="F314" s="14" t="s">
        <v>21</v>
      </c>
      <c r="G314" s="14" t="b">
        <v>0</v>
      </c>
      <c r="H314" s="14" t="s">
        <v>340</v>
      </c>
      <c r="I314" s="14">
        <v>7.0</v>
      </c>
      <c r="J314" s="14">
        <v>0.01</v>
      </c>
      <c r="K314" s="14">
        <v>0.29</v>
      </c>
    </row>
    <row r="315" ht="15.75" customHeight="1">
      <c r="A315" s="9" t="s">
        <v>1755</v>
      </c>
      <c r="B315" s="10" t="s">
        <v>1757</v>
      </c>
      <c r="C315" s="11" t="s">
        <v>783</v>
      </c>
      <c r="D315" s="12" t="s">
        <v>277</v>
      </c>
      <c r="E315" s="13" t="s">
        <v>85</v>
      </c>
      <c r="F315" s="14" t="s">
        <v>278</v>
      </c>
      <c r="G315" s="14" t="b">
        <v>0</v>
      </c>
      <c r="H315" s="14" t="s">
        <v>340</v>
      </c>
      <c r="I315" s="14">
        <v>7.0</v>
      </c>
      <c r="J315" s="14">
        <v>0.01</v>
      </c>
      <c r="K315" s="14">
        <v>0.43</v>
      </c>
    </row>
    <row r="316" ht="15.75" customHeight="1">
      <c r="A316" s="9" t="s">
        <v>1761</v>
      </c>
      <c r="B316" s="10" t="s">
        <v>1763</v>
      </c>
      <c r="C316" s="11" t="s">
        <v>785</v>
      </c>
      <c r="D316" s="12" t="s">
        <v>277</v>
      </c>
      <c r="E316" s="13" t="s">
        <v>32</v>
      </c>
      <c r="F316" s="14" t="s">
        <v>278</v>
      </c>
      <c r="G316" s="14" t="b">
        <v>0</v>
      </c>
      <c r="I316" s="14">
        <v>7.0</v>
      </c>
      <c r="J316" s="14">
        <v>0.01</v>
      </c>
      <c r="K316" s="14">
        <v>1.0</v>
      </c>
    </row>
    <row r="317" ht="15.75" customHeight="1">
      <c r="A317" s="9" t="s">
        <v>1765</v>
      </c>
      <c r="B317" s="10" t="s">
        <v>1767</v>
      </c>
      <c r="C317" s="11" t="s">
        <v>787</v>
      </c>
      <c r="D317" s="12" t="s">
        <v>312</v>
      </c>
      <c r="E317" s="13" t="s">
        <v>32</v>
      </c>
      <c r="F317" s="14" t="s">
        <v>313</v>
      </c>
      <c r="G317" s="14" t="b">
        <v>0</v>
      </c>
      <c r="I317" s="14">
        <v>7.0</v>
      </c>
      <c r="J317" s="14">
        <v>0.01</v>
      </c>
      <c r="K317" s="14">
        <v>1.29</v>
      </c>
    </row>
    <row r="318" ht="15.75" customHeight="1">
      <c r="A318" s="9" t="s">
        <v>1769</v>
      </c>
      <c r="B318" s="10" t="s">
        <v>1772</v>
      </c>
      <c r="C318" s="11" t="s">
        <v>790</v>
      </c>
      <c r="D318" s="12" t="s">
        <v>19</v>
      </c>
      <c r="E318" s="13" t="s">
        <v>32</v>
      </c>
      <c r="F318" s="14" t="s">
        <v>21</v>
      </c>
      <c r="G318" s="14" t="b">
        <v>0</v>
      </c>
      <c r="H318" s="14" t="s">
        <v>792</v>
      </c>
      <c r="I318" s="14">
        <v>7.0</v>
      </c>
      <c r="J318" s="14">
        <v>0.01</v>
      </c>
      <c r="K318" s="14">
        <v>0.0</v>
      </c>
    </row>
    <row r="319" ht="15.75" customHeight="1">
      <c r="A319" s="9" t="s">
        <v>1774</v>
      </c>
      <c r="B319" s="10" t="s">
        <v>1777</v>
      </c>
      <c r="C319" s="11" t="s">
        <v>793</v>
      </c>
      <c r="D319" s="12" t="s">
        <v>125</v>
      </c>
      <c r="E319" s="13" t="s">
        <v>32</v>
      </c>
      <c r="F319" s="14" t="s">
        <v>126</v>
      </c>
      <c r="G319" s="14" t="b">
        <v>0</v>
      </c>
      <c r="I319" s="14">
        <v>7.0</v>
      </c>
      <c r="J319" s="14">
        <v>0.01</v>
      </c>
      <c r="K319" s="14">
        <v>1.86</v>
      </c>
    </row>
    <row r="320" ht="15.75" customHeight="1">
      <c r="A320" s="9" t="s">
        <v>1780</v>
      </c>
      <c r="B320" s="10" t="s">
        <v>1782</v>
      </c>
      <c r="C320" s="11" t="s">
        <v>759</v>
      </c>
      <c r="D320" s="12" t="s">
        <v>125</v>
      </c>
      <c r="E320" s="13" t="s">
        <v>32</v>
      </c>
      <c r="F320" s="14" t="s">
        <v>126</v>
      </c>
      <c r="G320" s="14" t="b">
        <v>0</v>
      </c>
      <c r="I320" s="14">
        <v>7.0</v>
      </c>
      <c r="J320" s="14">
        <v>0.01</v>
      </c>
      <c r="K320" s="14">
        <v>1.29</v>
      </c>
    </row>
    <row r="321" ht="15.75" customHeight="1">
      <c r="A321" s="9" t="s">
        <v>1785</v>
      </c>
      <c r="B321" s="10" t="s">
        <v>1787</v>
      </c>
      <c r="C321" s="11" t="s">
        <v>122</v>
      </c>
      <c r="D321" s="12" t="s">
        <v>277</v>
      </c>
      <c r="E321" s="13" t="s">
        <v>20</v>
      </c>
      <c r="F321" s="14" t="s">
        <v>278</v>
      </c>
      <c r="G321" s="14" t="b">
        <v>0</v>
      </c>
      <c r="H321" s="14" t="s">
        <v>1789</v>
      </c>
      <c r="I321" s="14">
        <v>7.0</v>
      </c>
      <c r="J321" s="14">
        <v>0.01</v>
      </c>
      <c r="K321" s="14">
        <v>1.0</v>
      </c>
    </row>
    <row r="322" ht="15.75" customHeight="1">
      <c r="A322" s="9" t="s">
        <v>1790</v>
      </c>
      <c r="B322" s="10" t="s">
        <v>1793</v>
      </c>
      <c r="C322" s="11" t="s">
        <v>104</v>
      </c>
      <c r="D322" s="12" t="s">
        <v>1143</v>
      </c>
      <c r="E322" s="13" t="s">
        <v>32</v>
      </c>
      <c r="F322" s="14" t="s">
        <v>1145</v>
      </c>
      <c r="G322" s="14" t="b">
        <v>0</v>
      </c>
      <c r="H322" s="14" t="s">
        <v>1794</v>
      </c>
      <c r="I322" s="14">
        <v>7.0</v>
      </c>
      <c r="J322" s="14">
        <v>0.01</v>
      </c>
      <c r="K322" s="14">
        <v>1.14</v>
      </c>
    </row>
    <row r="323" ht="15.75" customHeight="1">
      <c r="A323" s="9" t="s">
        <v>1796</v>
      </c>
      <c r="B323" s="10" t="s">
        <v>1798</v>
      </c>
      <c r="C323" s="11" t="s">
        <v>796</v>
      </c>
      <c r="D323" s="12" t="s">
        <v>125</v>
      </c>
      <c r="E323" s="13" t="s">
        <v>32</v>
      </c>
      <c r="F323" s="14" t="s">
        <v>126</v>
      </c>
      <c r="G323" s="14" t="b">
        <v>0</v>
      </c>
      <c r="I323" s="14">
        <v>7.0</v>
      </c>
      <c r="J323" s="14">
        <v>0.01</v>
      </c>
      <c r="K323" s="14">
        <v>0.29</v>
      </c>
    </row>
    <row r="324" ht="15.75" customHeight="1">
      <c r="A324" s="9" t="s">
        <v>1800</v>
      </c>
      <c r="B324" s="10" t="s">
        <v>1803</v>
      </c>
      <c r="C324" s="11" t="s">
        <v>36</v>
      </c>
      <c r="D324" s="12" t="s">
        <v>30</v>
      </c>
      <c r="E324" s="13" t="s">
        <v>32</v>
      </c>
      <c r="F324" s="14" t="s">
        <v>34</v>
      </c>
      <c r="G324" s="14" t="b">
        <v>0</v>
      </c>
      <c r="H324" s="14" t="s">
        <v>1806</v>
      </c>
      <c r="I324" s="14">
        <v>7.0</v>
      </c>
      <c r="J324" s="14">
        <v>0.01</v>
      </c>
      <c r="K324" s="14">
        <v>0.0</v>
      </c>
    </row>
    <row r="325" ht="15.75" customHeight="1">
      <c r="A325" s="9" t="s">
        <v>1807</v>
      </c>
      <c r="B325" s="10" t="s">
        <v>1811</v>
      </c>
      <c r="C325" s="11" t="s">
        <v>36</v>
      </c>
      <c r="D325" s="12" t="s">
        <v>158</v>
      </c>
      <c r="E325" s="13" t="s">
        <v>32</v>
      </c>
      <c r="F325" s="14" t="s">
        <v>160</v>
      </c>
      <c r="G325" s="14" t="b">
        <v>0</v>
      </c>
      <c r="H325" s="14" t="s">
        <v>1812</v>
      </c>
      <c r="I325" s="14">
        <v>7.0</v>
      </c>
      <c r="J325" s="14">
        <v>0.01</v>
      </c>
      <c r="K325" s="14">
        <v>0.86</v>
      </c>
    </row>
    <row r="326" ht="15.75" customHeight="1">
      <c r="A326" s="9" t="s">
        <v>1813</v>
      </c>
      <c r="B326" s="10" t="s">
        <v>1816</v>
      </c>
      <c r="C326" s="11" t="s">
        <v>43</v>
      </c>
      <c r="D326" s="12" t="s">
        <v>19</v>
      </c>
      <c r="E326" s="13" t="s">
        <v>20</v>
      </c>
      <c r="F326" s="14" t="s">
        <v>21</v>
      </c>
      <c r="G326" s="14" t="b">
        <v>0</v>
      </c>
      <c r="H326" s="14" t="s">
        <v>1817</v>
      </c>
      <c r="I326" s="14">
        <v>7.0</v>
      </c>
      <c r="J326" s="14">
        <v>0.01</v>
      </c>
      <c r="K326" s="14">
        <v>1.14</v>
      </c>
    </row>
    <row r="327" ht="15.75" customHeight="1">
      <c r="A327" s="9" t="s">
        <v>1819</v>
      </c>
      <c r="B327" s="10" t="s">
        <v>1822</v>
      </c>
      <c r="C327" s="11" t="s">
        <v>325</v>
      </c>
      <c r="D327" s="12" t="s">
        <v>312</v>
      </c>
      <c r="E327" s="13" t="s">
        <v>102</v>
      </c>
      <c r="F327" s="14" t="s">
        <v>313</v>
      </c>
      <c r="G327" s="14" t="b">
        <v>0</v>
      </c>
      <c r="H327" s="14" t="s">
        <v>1824</v>
      </c>
      <c r="I327" s="14">
        <v>7.0</v>
      </c>
      <c r="J327" s="14">
        <v>0.01</v>
      </c>
      <c r="K327" s="14">
        <v>1.86</v>
      </c>
    </row>
    <row r="328" ht="15.75" customHeight="1">
      <c r="A328" s="9" t="s">
        <v>1826</v>
      </c>
      <c r="B328" s="10" t="s">
        <v>1828</v>
      </c>
      <c r="C328" s="11" t="s">
        <v>98</v>
      </c>
      <c r="D328" s="12" t="s">
        <v>30</v>
      </c>
      <c r="E328" s="13" t="s">
        <v>32</v>
      </c>
      <c r="F328" s="14" t="s">
        <v>34</v>
      </c>
      <c r="G328" s="14" t="b">
        <v>0</v>
      </c>
      <c r="H328" s="14" t="s">
        <v>467</v>
      </c>
      <c r="I328" s="14">
        <v>7.0</v>
      </c>
      <c r="J328" s="14">
        <v>0.01</v>
      </c>
      <c r="K328" s="14">
        <v>0.71</v>
      </c>
    </row>
    <row r="329" ht="15.75" customHeight="1">
      <c r="A329" s="9" t="s">
        <v>1831</v>
      </c>
      <c r="B329" s="10" t="s">
        <v>1833</v>
      </c>
      <c r="C329" s="11" t="s">
        <v>157</v>
      </c>
      <c r="D329" s="12" t="s">
        <v>19</v>
      </c>
      <c r="E329" s="13" t="s">
        <v>159</v>
      </c>
      <c r="F329" s="14" t="s">
        <v>21</v>
      </c>
      <c r="G329" s="14" t="b">
        <v>0</v>
      </c>
      <c r="H329" s="14" t="s">
        <v>1835</v>
      </c>
      <c r="I329" s="14">
        <v>7.0</v>
      </c>
      <c r="J329" s="14">
        <v>0.01</v>
      </c>
      <c r="K329" s="14">
        <v>0.0</v>
      </c>
    </row>
    <row r="330" ht="15.75" customHeight="1">
      <c r="A330" s="9" t="s">
        <v>1836</v>
      </c>
      <c r="B330" s="10" t="s">
        <v>1838</v>
      </c>
      <c r="C330" s="11" t="s">
        <v>754</v>
      </c>
      <c r="D330" s="12" t="s">
        <v>19</v>
      </c>
      <c r="E330" s="13" t="s">
        <v>32</v>
      </c>
      <c r="F330" s="14" t="s">
        <v>21</v>
      </c>
      <c r="G330" s="14" t="b">
        <v>0</v>
      </c>
      <c r="H330" s="14" t="s">
        <v>1842</v>
      </c>
      <c r="I330" s="14">
        <v>7.0</v>
      </c>
      <c r="J330" s="14">
        <v>0.01</v>
      </c>
      <c r="K330" s="14">
        <v>0.86</v>
      </c>
    </row>
    <row r="331" ht="15.75" customHeight="1">
      <c r="A331" s="9" t="s">
        <v>1843</v>
      </c>
      <c r="B331" s="10" t="s">
        <v>1846</v>
      </c>
      <c r="C331" s="11" t="s">
        <v>17</v>
      </c>
      <c r="D331" s="12" t="s">
        <v>277</v>
      </c>
      <c r="E331" s="13" t="s">
        <v>20</v>
      </c>
      <c r="F331" s="14" t="s">
        <v>278</v>
      </c>
      <c r="G331" s="14" t="b">
        <v>0</v>
      </c>
      <c r="H331" s="14" t="s">
        <v>1847</v>
      </c>
      <c r="I331" s="14">
        <v>6.0</v>
      </c>
      <c r="J331" s="14">
        <v>0.01</v>
      </c>
      <c r="K331" s="14">
        <v>0.83</v>
      </c>
    </row>
    <row r="332" ht="15.75" customHeight="1">
      <c r="A332" s="9" t="s">
        <v>1848</v>
      </c>
      <c r="B332" s="10" t="s">
        <v>1851</v>
      </c>
      <c r="C332" s="11" t="s">
        <v>689</v>
      </c>
      <c r="D332" s="12" t="s">
        <v>30</v>
      </c>
      <c r="E332" s="13" t="s">
        <v>159</v>
      </c>
      <c r="F332" s="14" t="s">
        <v>34</v>
      </c>
      <c r="G332" s="14" t="b">
        <v>0</v>
      </c>
      <c r="H332" s="14" t="s">
        <v>361</v>
      </c>
      <c r="I332" s="14">
        <v>6.0</v>
      </c>
      <c r="J332" s="14">
        <v>0.01</v>
      </c>
      <c r="K332" s="14">
        <v>0.17</v>
      </c>
    </row>
    <row r="333" ht="15.75" customHeight="1">
      <c r="A333" s="9" t="s">
        <v>1853</v>
      </c>
      <c r="B333" s="13"/>
      <c r="C333" s="11" t="s">
        <v>814</v>
      </c>
      <c r="D333" s="12" t="s">
        <v>125</v>
      </c>
      <c r="E333" s="13" t="s">
        <v>32</v>
      </c>
      <c r="F333" s="14" t="s">
        <v>126</v>
      </c>
      <c r="H333" s="14" t="s">
        <v>824</v>
      </c>
      <c r="I333" s="14">
        <v>6.0</v>
      </c>
      <c r="J333" s="14">
        <v>0.01</v>
      </c>
      <c r="K333" s="14">
        <v>0.33</v>
      </c>
    </row>
    <row r="334" ht="15.75" customHeight="1">
      <c r="A334" s="9" t="s">
        <v>1859</v>
      </c>
      <c r="B334" s="10" t="s">
        <v>1862</v>
      </c>
      <c r="C334" s="11" t="s">
        <v>639</v>
      </c>
      <c r="D334" s="12" t="s">
        <v>277</v>
      </c>
      <c r="E334" s="13" t="s">
        <v>32</v>
      </c>
      <c r="F334" s="14" t="s">
        <v>278</v>
      </c>
      <c r="G334" s="14" t="b">
        <v>0</v>
      </c>
      <c r="H334" s="14" t="s">
        <v>538</v>
      </c>
      <c r="I334" s="14">
        <v>6.0</v>
      </c>
      <c r="J334" s="14">
        <v>0.01</v>
      </c>
      <c r="K334" s="14">
        <v>0.5</v>
      </c>
    </row>
    <row r="335" ht="15.75" customHeight="1">
      <c r="A335" s="9" t="s">
        <v>1864</v>
      </c>
      <c r="B335" s="10" t="s">
        <v>1866</v>
      </c>
      <c r="C335" s="11" t="s">
        <v>411</v>
      </c>
      <c r="D335" s="12" t="s">
        <v>158</v>
      </c>
      <c r="E335" s="13" t="s">
        <v>32</v>
      </c>
      <c r="F335" s="14" t="s">
        <v>160</v>
      </c>
      <c r="G335" s="14" t="b">
        <v>0</v>
      </c>
      <c r="H335" s="14" t="s">
        <v>1867</v>
      </c>
      <c r="I335" s="14">
        <v>6.0</v>
      </c>
      <c r="J335" s="14">
        <v>0.01</v>
      </c>
      <c r="K335" s="14">
        <v>0.17</v>
      </c>
    </row>
    <row r="336" ht="15.75" customHeight="1">
      <c r="A336" s="9" t="s">
        <v>1868</v>
      </c>
      <c r="B336" s="10" t="s">
        <v>1870</v>
      </c>
      <c r="C336" s="11" t="s">
        <v>155</v>
      </c>
      <c r="D336" s="12" t="s">
        <v>158</v>
      </c>
      <c r="E336" s="13" t="s">
        <v>32</v>
      </c>
      <c r="F336" s="14" t="s">
        <v>160</v>
      </c>
      <c r="G336" s="14" t="b">
        <v>0</v>
      </c>
      <c r="I336" s="14">
        <v>6.0</v>
      </c>
      <c r="J336" s="14">
        <v>0.01</v>
      </c>
      <c r="K336" s="14">
        <v>0.0</v>
      </c>
    </row>
    <row r="337" ht="15.75" customHeight="1">
      <c r="A337" s="9" t="s">
        <v>1872</v>
      </c>
      <c r="B337" s="10" t="s">
        <v>1870</v>
      </c>
      <c r="C337" s="11" t="s">
        <v>155</v>
      </c>
      <c r="D337" s="12" t="s">
        <v>19</v>
      </c>
      <c r="E337" s="13" t="s">
        <v>32</v>
      </c>
      <c r="F337" s="14" t="s">
        <v>21</v>
      </c>
      <c r="G337" s="14" t="b">
        <v>0</v>
      </c>
      <c r="I337" s="14">
        <v>6.0</v>
      </c>
      <c r="J337" s="14">
        <v>0.01</v>
      </c>
      <c r="K337" s="14">
        <v>0.0</v>
      </c>
    </row>
    <row r="338" ht="15.75" customHeight="1">
      <c r="A338" s="9" t="s">
        <v>1879</v>
      </c>
      <c r="B338" s="10" t="s">
        <v>1880</v>
      </c>
      <c r="C338" s="11" t="s">
        <v>189</v>
      </c>
      <c r="D338" s="12" t="s">
        <v>19</v>
      </c>
      <c r="E338" s="13" t="s">
        <v>32</v>
      </c>
      <c r="F338" s="14" t="s">
        <v>21</v>
      </c>
      <c r="G338" s="14" t="b">
        <v>0</v>
      </c>
      <c r="H338" s="14" t="s">
        <v>1882</v>
      </c>
      <c r="I338" s="14">
        <v>6.0</v>
      </c>
      <c r="J338" s="14">
        <v>0.01</v>
      </c>
      <c r="K338" s="14">
        <v>0.5</v>
      </c>
    </row>
    <row r="339" ht="15.75" customHeight="1">
      <c r="A339" s="9" t="s">
        <v>1883</v>
      </c>
      <c r="B339" s="10" t="s">
        <v>1886</v>
      </c>
      <c r="C339" s="11" t="s">
        <v>164</v>
      </c>
      <c r="D339" s="12" t="s">
        <v>277</v>
      </c>
      <c r="E339" s="13" t="s">
        <v>32</v>
      </c>
      <c r="F339" s="14" t="s">
        <v>278</v>
      </c>
      <c r="G339" s="14" t="b">
        <v>0</v>
      </c>
      <c r="H339" s="14" t="s">
        <v>468</v>
      </c>
      <c r="I339" s="14">
        <v>6.0</v>
      </c>
      <c r="J339" s="14">
        <v>0.01</v>
      </c>
      <c r="K339" s="14">
        <v>0.33</v>
      </c>
    </row>
    <row r="340" ht="15.75" customHeight="1">
      <c r="A340" s="9" t="s">
        <v>1888</v>
      </c>
      <c r="B340" s="10" t="s">
        <v>1891</v>
      </c>
      <c r="C340" s="11" t="s">
        <v>18</v>
      </c>
      <c r="D340" s="12" t="s">
        <v>30</v>
      </c>
      <c r="E340" s="13" t="s">
        <v>32</v>
      </c>
      <c r="F340" s="14" t="s">
        <v>34</v>
      </c>
      <c r="G340" s="14" t="b">
        <v>0</v>
      </c>
      <c r="H340" s="14" t="s">
        <v>1893</v>
      </c>
      <c r="I340" s="14">
        <v>6.0</v>
      </c>
      <c r="J340" s="14">
        <v>0.01</v>
      </c>
      <c r="K340" s="14">
        <v>0.17</v>
      </c>
    </row>
    <row r="341" ht="15.75" customHeight="1">
      <c r="A341" s="9" t="s">
        <v>1894</v>
      </c>
      <c r="B341" s="10" t="s">
        <v>1897</v>
      </c>
      <c r="C341" s="11" t="s">
        <v>247</v>
      </c>
      <c r="D341" s="12" t="s">
        <v>19</v>
      </c>
      <c r="E341" s="13" t="s">
        <v>32</v>
      </c>
      <c r="F341" s="14" t="s">
        <v>21</v>
      </c>
      <c r="G341" s="14" t="b">
        <v>0</v>
      </c>
      <c r="H341" s="14" t="s">
        <v>1898</v>
      </c>
      <c r="I341" s="14">
        <v>6.0</v>
      </c>
      <c r="J341" s="14">
        <v>0.01</v>
      </c>
      <c r="K341" s="14">
        <v>0.33</v>
      </c>
    </row>
    <row r="342" ht="15.75" customHeight="1">
      <c r="A342" s="9" t="s">
        <v>1900</v>
      </c>
      <c r="B342" s="10" t="s">
        <v>1903</v>
      </c>
      <c r="C342" s="11" t="s">
        <v>816</v>
      </c>
      <c r="D342" s="12" t="s">
        <v>19</v>
      </c>
      <c r="E342" s="13" t="s">
        <v>32</v>
      </c>
      <c r="F342" s="14" t="s">
        <v>21</v>
      </c>
      <c r="G342" s="14" t="b">
        <v>0</v>
      </c>
      <c r="H342" s="14" t="s">
        <v>794</v>
      </c>
      <c r="I342" s="14">
        <v>6.0</v>
      </c>
      <c r="J342" s="14">
        <v>0.01</v>
      </c>
      <c r="K342" s="14">
        <v>0.33</v>
      </c>
    </row>
    <row r="343" ht="15.75" customHeight="1">
      <c r="A343" s="9" t="s">
        <v>1907</v>
      </c>
      <c r="B343" s="10" t="s">
        <v>1909</v>
      </c>
      <c r="C343" s="11" t="s">
        <v>818</v>
      </c>
      <c r="D343" s="12" t="s">
        <v>116</v>
      </c>
      <c r="E343" s="13" t="s">
        <v>20</v>
      </c>
      <c r="F343" s="14" t="s">
        <v>117</v>
      </c>
      <c r="G343" s="14" t="b">
        <v>0</v>
      </c>
      <c r="H343" s="14" t="s">
        <v>821</v>
      </c>
      <c r="I343" s="14">
        <v>6.0</v>
      </c>
      <c r="J343" s="14">
        <v>0.01</v>
      </c>
      <c r="K343" s="14">
        <v>0.83</v>
      </c>
    </row>
    <row r="344" ht="15.75" customHeight="1">
      <c r="A344" s="9" t="s">
        <v>1911</v>
      </c>
      <c r="B344" s="10" t="s">
        <v>1914</v>
      </c>
      <c r="C344" s="11" t="s">
        <v>810</v>
      </c>
      <c r="D344" s="12" t="s">
        <v>277</v>
      </c>
      <c r="E344" s="13" t="s">
        <v>32</v>
      </c>
      <c r="F344" s="14" t="s">
        <v>278</v>
      </c>
      <c r="G344" s="14" t="b">
        <v>0</v>
      </c>
      <c r="I344" s="14">
        <v>6.0</v>
      </c>
      <c r="J344" s="14">
        <v>0.01</v>
      </c>
      <c r="K344" s="14">
        <v>1.0</v>
      </c>
    </row>
    <row r="345" ht="15.75" customHeight="1">
      <c r="A345" s="9" t="s">
        <v>1918</v>
      </c>
      <c r="B345" s="13"/>
      <c r="C345" s="11" t="s">
        <v>822</v>
      </c>
      <c r="D345" s="12" t="s">
        <v>116</v>
      </c>
      <c r="E345" s="13" t="s">
        <v>85</v>
      </c>
      <c r="F345" s="14" t="s">
        <v>117</v>
      </c>
      <c r="H345" s="14" t="s">
        <v>824</v>
      </c>
      <c r="I345" s="14">
        <v>6.0</v>
      </c>
      <c r="J345" s="14">
        <v>0.01</v>
      </c>
      <c r="K345" s="14">
        <v>1.17</v>
      </c>
    </row>
    <row r="346" ht="15.75" customHeight="1">
      <c r="A346" s="9" t="s">
        <v>1922</v>
      </c>
      <c r="B346" s="10" t="s">
        <v>1923</v>
      </c>
      <c r="C346" s="11" t="s">
        <v>392</v>
      </c>
      <c r="D346" s="12" t="s">
        <v>19</v>
      </c>
      <c r="E346" s="13" t="s">
        <v>32</v>
      </c>
      <c r="F346" s="14" t="s">
        <v>21</v>
      </c>
      <c r="G346" s="14" t="b">
        <v>0</v>
      </c>
      <c r="H346" s="14" t="s">
        <v>1924</v>
      </c>
      <c r="I346" s="14">
        <v>6.0</v>
      </c>
      <c r="J346" s="14">
        <v>0.01</v>
      </c>
      <c r="K346" s="14">
        <v>1.33</v>
      </c>
    </row>
    <row r="347" ht="15.75" customHeight="1">
      <c r="A347" s="9" t="s">
        <v>1925</v>
      </c>
      <c r="B347" s="10" t="s">
        <v>1926</v>
      </c>
      <c r="C347" s="11" t="s">
        <v>724</v>
      </c>
      <c r="D347" s="12" t="s">
        <v>277</v>
      </c>
      <c r="E347" s="13" t="s">
        <v>32</v>
      </c>
      <c r="F347" s="14" t="s">
        <v>278</v>
      </c>
      <c r="G347" s="14" t="b">
        <v>0</v>
      </c>
      <c r="H347" s="14" t="s">
        <v>1927</v>
      </c>
      <c r="I347" s="14">
        <v>6.0</v>
      </c>
      <c r="J347" s="14">
        <v>0.01</v>
      </c>
      <c r="K347" s="14">
        <v>1.0</v>
      </c>
    </row>
    <row r="348" ht="15.75" customHeight="1">
      <c r="A348" s="9" t="s">
        <v>1928</v>
      </c>
      <c r="B348" s="10" t="s">
        <v>1929</v>
      </c>
      <c r="C348" s="11" t="s">
        <v>823</v>
      </c>
      <c r="D348" s="12" t="s">
        <v>30</v>
      </c>
      <c r="E348" s="13" t="s">
        <v>32</v>
      </c>
      <c r="F348" s="14" t="s">
        <v>34</v>
      </c>
      <c r="G348" s="14" t="b">
        <v>0</v>
      </c>
      <c r="H348" s="14" t="s">
        <v>825</v>
      </c>
      <c r="I348" s="14">
        <v>6.0</v>
      </c>
      <c r="J348" s="14">
        <v>0.01</v>
      </c>
      <c r="K348" s="14">
        <v>0.83</v>
      </c>
    </row>
    <row r="349" ht="15.75" customHeight="1">
      <c r="A349" s="9" t="s">
        <v>1930</v>
      </c>
      <c r="B349" s="10" t="s">
        <v>1931</v>
      </c>
      <c r="C349" s="11" t="s">
        <v>827</v>
      </c>
      <c r="D349" s="12" t="s">
        <v>125</v>
      </c>
      <c r="E349" s="13" t="s">
        <v>32</v>
      </c>
      <c r="F349" s="14" t="s">
        <v>126</v>
      </c>
      <c r="G349" s="14" t="b">
        <v>0</v>
      </c>
      <c r="H349" s="14" t="s">
        <v>538</v>
      </c>
      <c r="I349" s="14">
        <v>6.0</v>
      </c>
      <c r="J349" s="14">
        <v>0.01</v>
      </c>
      <c r="K349" s="14">
        <v>0.67</v>
      </c>
    </row>
    <row r="350" ht="15.75" customHeight="1">
      <c r="A350" s="9" t="s">
        <v>1932</v>
      </c>
      <c r="B350" s="10" t="s">
        <v>1933</v>
      </c>
      <c r="C350" s="11" t="s">
        <v>829</v>
      </c>
      <c r="D350" s="12" t="s">
        <v>277</v>
      </c>
      <c r="E350" s="13" t="s">
        <v>32</v>
      </c>
      <c r="F350" s="14" t="s">
        <v>278</v>
      </c>
      <c r="G350" s="14" t="b">
        <v>0</v>
      </c>
      <c r="I350" s="14">
        <v>6.0</v>
      </c>
      <c r="J350" s="14">
        <v>0.01</v>
      </c>
      <c r="K350" s="14">
        <v>1.83</v>
      </c>
    </row>
    <row r="351" ht="15.75" customHeight="1">
      <c r="A351" s="9" t="s">
        <v>1934</v>
      </c>
      <c r="B351" s="10" t="s">
        <v>1935</v>
      </c>
      <c r="C351" s="11" t="s">
        <v>355</v>
      </c>
      <c r="D351" s="12" t="s">
        <v>19</v>
      </c>
      <c r="E351" s="13" t="s">
        <v>32</v>
      </c>
      <c r="F351" s="14" t="s">
        <v>21</v>
      </c>
      <c r="G351" s="14" t="b">
        <v>0</v>
      </c>
      <c r="H351" s="14" t="s">
        <v>1936</v>
      </c>
      <c r="I351" s="14">
        <v>6.0</v>
      </c>
      <c r="J351" s="14">
        <v>0.01</v>
      </c>
      <c r="K351" s="14">
        <v>0.0</v>
      </c>
    </row>
    <row r="352" ht="15.75" customHeight="1">
      <c r="A352" s="9" t="s">
        <v>1937</v>
      </c>
      <c r="B352" s="10" t="s">
        <v>1938</v>
      </c>
      <c r="C352" s="11" t="s">
        <v>830</v>
      </c>
      <c r="D352" s="12" t="s">
        <v>19</v>
      </c>
      <c r="E352" s="13" t="s">
        <v>32</v>
      </c>
      <c r="F352" s="14" t="s">
        <v>21</v>
      </c>
      <c r="G352" s="14" t="b">
        <v>0</v>
      </c>
      <c r="H352" s="14" t="s">
        <v>1939</v>
      </c>
      <c r="I352" s="14">
        <v>6.0</v>
      </c>
      <c r="J352" s="14">
        <v>0.01</v>
      </c>
      <c r="K352" s="14">
        <v>0.17</v>
      </c>
    </row>
    <row r="353" ht="15.75" customHeight="1">
      <c r="A353" s="9" t="s">
        <v>1940</v>
      </c>
      <c r="B353" s="10" t="s">
        <v>1941</v>
      </c>
      <c r="C353" s="11" t="s">
        <v>551</v>
      </c>
      <c r="D353" s="12" t="s">
        <v>312</v>
      </c>
      <c r="E353" s="13" t="s">
        <v>1201</v>
      </c>
      <c r="F353" s="14" t="s">
        <v>313</v>
      </c>
      <c r="G353" s="14" t="b">
        <v>0</v>
      </c>
      <c r="I353" s="14">
        <v>6.0</v>
      </c>
      <c r="J353" s="14">
        <v>0.01</v>
      </c>
      <c r="K353" s="14">
        <v>0.83</v>
      </c>
    </row>
    <row r="354" ht="15.75" customHeight="1">
      <c r="A354" s="9" t="s">
        <v>1942</v>
      </c>
      <c r="B354" s="10" t="s">
        <v>1943</v>
      </c>
      <c r="C354" s="11" t="s">
        <v>834</v>
      </c>
      <c r="D354" s="12" t="s">
        <v>19</v>
      </c>
      <c r="E354" s="13" t="s">
        <v>116</v>
      </c>
      <c r="F354" s="14" t="s">
        <v>21</v>
      </c>
      <c r="G354" s="14" t="b">
        <v>0</v>
      </c>
      <c r="H354" s="14" t="s">
        <v>837</v>
      </c>
      <c r="I354" s="14">
        <v>6.0</v>
      </c>
      <c r="J354" s="14">
        <v>0.01</v>
      </c>
      <c r="K354" s="14">
        <v>0.33</v>
      </c>
    </row>
    <row r="355" ht="15.75" customHeight="1">
      <c r="A355" s="9" t="s">
        <v>1944</v>
      </c>
      <c r="B355" s="10" t="s">
        <v>1945</v>
      </c>
      <c r="C355" s="11" t="s">
        <v>55</v>
      </c>
      <c r="D355" s="12" t="s">
        <v>116</v>
      </c>
      <c r="E355" s="13" t="s">
        <v>20</v>
      </c>
      <c r="F355" s="14" t="s">
        <v>117</v>
      </c>
      <c r="G355" s="14" t="b">
        <v>0</v>
      </c>
      <c r="H355" s="14" t="s">
        <v>1946</v>
      </c>
      <c r="I355" s="14">
        <v>6.0</v>
      </c>
      <c r="J355" s="14">
        <v>0.01</v>
      </c>
      <c r="K355" s="14">
        <v>1.0</v>
      </c>
    </row>
    <row r="356" ht="15.75" customHeight="1">
      <c r="A356" s="9" t="s">
        <v>1947</v>
      </c>
      <c r="B356" s="10" t="s">
        <v>1948</v>
      </c>
      <c r="C356" s="11" t="s">
        <v>499</v>
      </c>
      <c r="D356" s="12" t="s">
        <v>277</v>
      </c>
      <c r="E356" s="13" t="s">
        <v>20</v>
      </c>
      <c r="F356" s="14" t="s">
        <v>278</v>
      </c>
      <c r="G356" s="14" t="b">
        <v>0</v>
      </c>
      <c r="H356" s="14" t="s">
        <v>500</v>
      </c>
      <c r="I356" s="14">
        <v>6.0</v>
      </c>
      <c r="J356" s="14">
        <v>0.01</v>
      </c>
      <c r="K356" s="14">
        <v>2.17</v>
      </c>
    </row>
    <row r="357" ht="15.75" customHeight="1">
      <c r="A357" s="9" t="s">
        <v>1949</v>
      </c>
      <c r="B357" s="10" t="s">
        <v>1950</v>
      </c>
      <c r="C357" s="11" t="s">
        <v>172</v>
      </c>
      <c r="D357" s="12" t="s">
        <v>30</v>
      </c>
      <c r="E357" s="13" t="s">
        <v>20</v>
      </c>
      <c r="F357" s="14" t="s">
        <v>34</v>
      </c>
      <c r="G357" s="14" t="b">
        <v>0</v>
      </c>
      <c r="H357" s="14" t="s">
        <v>279</v>
      </c>
      <c r="I357" s="14">
        <v>6.0</v>
      </c>
      <c r="J357" s="14">
        <v>0.01</v>
      </c>
      <c r="K357" s="14">
        <v>1.0</v>
      </c>
    </row>
    <row r="358" ht="15.75" customHeight="1">
      <c r="A358" s="9" t="s">
        <v>1951</v>
      </c>
      <c r="B358" s="10" t="s">
        <v>1952</v>
      </c>
      <c r="C358" s="11" t="s">
        <v>812</v>
      </c>
      <c r="D358" s="12" t="s">
        <v>277</v>
      </c>
      <c r="E358" s="13" t="s">
        <v>32</v>
      </c>
      <c r="F358" s="14" t="s">
        <v>278</v>
      </c>
      <c r="G358" s="14" t="b">
        <v>0</v>
      </c>
      <c r="I358" s="14">
        <v>6.0</v>
      </c>
      <c r="J358" s="14">
        <v>0.01</v>
      </c>
      <c r="K358" s="14">
        <v>2.33</v>
      </c>
    </row>
    <row r="359" ht="15.75" customHeight="1">
      <c r="A359" s="9" t="s">
        <v>1953</v>
      </c>
      <c r="B359" s="10" t="s">
        <v>1954</v>
      </c>
      <c r="C359" s="11" t="s">
        <v>184</v>
      </c>
      <c r="D359" s="12" t="s">
        <v>19</v>
      </c>
      <c r="E359" s="13" t="s">
        <v>32</v>
      </c>
      <c r="F359" s="14" t="s">
        <v>21</v>
      </c>
      <c r="G359" s="14" t="b">
        <v>0</v>
      </c>
      <c r="I359" s="14">
        <v>6.0</v>
      </c>
      <c r="J359" s="14">
        <v>0.01</v>
      </c>
      <c r="K359" s="14">
        <v>1.0</v>
      </c>
    </row>
    <row r="360" ht="15.75" customHeight="1">
      <c r="A360" s="9" t="s">
        <v>1955</v>
      </c>
      <c r="B360" s="10" t="s">
        <v>1956</v>
      </c>
      <c r="C360" s="11" t="s">
        <v>205</v>
      </c>
      <c r="D360" s="12" t="s">
        <v>19</v>
      </c>
      <c r="E360" s="13" t="s">
        <v>85</v>
      </c>
      <c r="F360" s="14" t="s">
        <v>21</v>
      </c>
      <c r="G360" s="14" t="b">
        <v>0</v>
      </c>
      <c r="H360" s="14" t="s">
        <v>1957</v>
      </c>
      <c r="I360" s="14">
        <v>6.0</v>
      </c>
      <c r="J360" s="14">
        <v>0.01</v>
      </c>
      <c r="K360" s="14">
        <v>0.17</v>
      </c>
    </row>
    <row r="361" ht="15.75" customHeight="1">
      <c r="A361" s="9" t="s">
        <v>1958</v>
      </c>
      <c r="B361" s="10" t="s">
        <v>1959</v>
      </c>
      <c r="C361" s="11" t="s">
        <v>592</v>
      </c>
      <c r="D361" s="12" t="s">
        <v>19</v>
      </c>
      <c r="E361" s="13" t="s">
        <v>32</v>
      </c>
      <c r="F361" s="14" t="s">
        <v>21</v>
      </c>
      <c r="G361" s="14" t="b">
        <v>0</v>
      </c>
      <c r="H361" s="14" t="s">
        <v>1290</v>
      </c>
      <c r="I361" s="14">
        <v>6.0</v>
      </c>
      <c r="J361" s="14">
        <v>0.01</v>
      </c>
      <c r="K361" s="14">
        <v>0.0</v>
      </c>
    </row>
    <row r="362" ht="15.75" customHeight="1">
      <c r="A362" s="9" t="s">
        <v>1960</v>
      </c>
      <c r="B362" s="10" t="s">
        <v>1961</v>
      </c>
      <c r="C362" s="11" t="s">
        <v>626</v>
      </c>
      <c r="D362" s="12" t="s">
        <v>277</v>
      </c>
      <c r="E362" s="13" t="s">
        <v>32</v>
      </c>
      <c r="F362" s="14" t="s">
        <v>278</v>
      </c>
      <c r="G362" s="14" t="b">
        <v>0</v>
      </c>
      <c r="I362" s="14">
        <v>6.0</v>
      </c>
      <c r="J362" s="14">
        <v>0.01</v>
      </c>
      <c r="K362" s="14">
        <v>0.5</v>
      </c>
    </row>
    <row r="363" ht="15.75" customHeight="1">
      <c r="A363" s="9" t="s">
        <v>1962</v>
      </c>
      <c r="B363" s="10" t="s">
        <v>1963</v>
      </c>
      <c r="C363" s="11" t="s">
        <v>777</v>
      </c>
      <c r="D363" s="12" t="s">
        <v>125</v>
      </c>
      <c r="E363" s="13" t="s">
        <v>20</v>
      </c>
      <c r="F363" s="14" t="s">
        <v>126</v>
      </c>
      <c r="G363" s="14" t="b">
        <v>0</v>
      </c>
      <c r="H363" s="14" t="s">
        <v>779</v>
      </c>
      <c r="I363" s="14">
        <v>6.0</v>
      </c>
      <c r="J363" s="14">
        <v>0.01</v>
      </c>
      <c r="K363" s="14">
        <v>1.0</v>
      </c>
    </row>
    <row r="364" ht="15.75" customHeight="1">
      <c r="A364" s="9" t="s">
        <v>1964</v>
      </c>
      <c r="B364" s="10" t="s">
        <v>1965</v>
      </c>
      <c r="C364" s="11" t="s">
        <v>138</v>
      </c>
      <c r="D364" s="12" t="s">
        <v>19</v>
      </c>
      <c r="E364" s="13" t="s">
        <v>20</v>
      </c>
      <c r="F364" s="14" t="s">
        <v>21</v>
      </c>
      <c r="G364" s="14" t="b">
        <v>0</v>
      </c>
      <c r="H364" s="14" t="s">
        <v>352</v>
      </c>
      <c r="I364" s="14">
        <v>6.0</v>
      </c>
      <c r="J364" s="14">
        <v>0.01</v>
      </c>
      <c r="K364" s="14">
        <v>0.67</v>
      </c>
    </row>
    <row r="365" ht="15.75" customHeight="1">
      <c r="A365" s="9" t="s">
        <v>1966</v>
      </c>
      <c r="B365" s="13"/>
      <c r="C365" s="11" t="s">
        <v>604</v>
      </c>
      <c r="D365" s="12" t="s">
        <v>116</v>
      </c>
      <c r="E365" s="13" t="s">
        <v>32</v>
      </c>
      <c r="F365" s="14" t="s">
        <v>117</v>
      </c>
      <c r="H365" s="14" t="s">
        <v>824</v>
      </c>
      <c r="I365" s="14">
        <v>6.0</v>
      </c>
      <c r="J365" s="14">
        <v>0.01</v>
      </c>
      <c r="K365" s="14">
        <v>0.0</v>
      </c>
    </row>
    <row r="366" ht="15.75" customHeight="1">
      <c r="A366" s="9" t="s">
        <v>1967</v>
      </c>
      <c r="B366" s="10" t="s">
        <v>1968</v>
      </c>
      <c r="C366" s="11" t="s">
        <v>839</v>
      </c>
      <c r="D366" s="12" t="s">
        <v>277</v>
      </c>
      <c r="E366" s="13" t="s">
        <v>32</v>
      </c>
      <c r="F366" s="14" t="s">
        <v>278</v>
      </c>
      <c r="G366" s="14" t="b">
        <v>0</v>
      </c>
      <c r="I366" s="14">
        <v>6.0</v>
      </c>
      <c r="J366" s="14">
        <v>0.01</v>
      </c>
      <c r="K366" s="14">
        <v>0.5</v>
      </c>
    </row>
    <row r="367" ht="15.75" customHeight="1">
      <c r="A367" s="9" t="s">
        <v>1969</v>
      </c>
      <c r="B367" s="10" t="s">
        <v>1970</v>
      </c>
      <c r="C367" s="11" t="s">
        <v>842</v>
      </c>
      <c r="D367" s="12" t="s">
        <v>158</v>
      </c>
      <c r="E367" s="13" t="s">
        <v>32</v>
      </c>
      <c r="F367" s="14" t="s">
        <v>160</v>
      </c>
      <c r="G367" s="14" t="b">
        <v>0</v>
      </c>
      <c r="I367" s="14">
        <v>6.0</v>
      </c>
      <c r="J367" s="14">
        <v>0.01</v>
      </c>
      <c r="K367" s="14">
        <v>0.33</v>
      </c>
    </row>
    <row r="368" ht="15.75" customHeight="1">
      <c r="A368" s="9" t="s">
        <v>1971</v>
      </c>
      <c r="B368" s="10" t="s">
        <v>1972</v>
      </c>
      <c r="C368" s="11" t="s">
        <v>847</v>
      </c>
      <c r="D368" s="12" t="s">
        <v>1143</v>
      </c>
      <c r="E368" s="13" t="s">
        <v>32</v>
      </c>
      <c r="F368" s="14" t="s">
        <v>1145</v>
      </c>
      <c r="G368" s="14" t="b">
        <v>0</v>
      </c>
      <c r="H368" s="14" t="s">
        <v>538</v>
      </c>
      <c r="I368" s="14">
        <v>6.0</v>
      </c>
      <c r="J368" s="14">
        <v>0.01</v>
      </c>
      <c r="K368" s="14">
        <v>0.0</v>
      </c>
    </row>
    <row r="369" ht="15.75" customHeight="1">
      <c r="A369" s="9" t="s">
        <v>1973</v>
      </c>
      <c r="B369" s="10" t="s">
        <v>1974</v>
      </c>
      <c r="C369" s="11" t="s">
        <v>850</v>
      </c>
      <c r="D369" s="12" t="s">
        <v>277</v>
      </c>
      <c r="E369" s="13" t="s">
        <v>85</v>
      </c>
      <c r="F369" s="14" t="s">
        <v>278</v>
      </c>
      <c r="G369" s="14" t="b">
        <v>0</v>
      </c>
      <c r="I369" s="14">
        <v>6.0</v>
      </c>
      <c r="J369" s="14">
        <v>0.01</v>
      </c>
      <c r="K369" s="14">
        <v>1.83</v>
      </c>
    </row>
    <row r="370" ht="15.75" customHeight="1">
      <c r="A370" s="9" t="s">
        <v>1975</v>
      </c>
      <c r="B370" s="10" t="s">
        <v>1976</v>
      </c>
      <c r="C370" s="11" t="s">
        <v>853</v>
      </c>
      <c r="D370" s="12" t="s">
        <v>456</v>
      </c>
      <c r="E370" s="13" t="s">
        <v>32</v>
      </c>
      <c r="F370" s="14" t="s">
        <v>457</v>
      </c>
      <c r="G370" s="14" t="b">
        <v>0</v>
      </c>
      <c r="H370" s="14" t="s">
        <v>1977</v>
      </c>
      <c r="I370" s="14">
        <v>6.0</v>
      </c>
      <c r="J370" s="14">
        <v>0.01</v>
      </c>
      <c r="K370" s="14">
        <v>1.33</v>
      </c>
    </row>
    <row r="371" ht="15.75" customHeight="1">
      <c r="A371" s="9" t="s">
        <v>1978</v>
      </c>
      <c r="B371" s="10" t="s">
        <v>1979</v>
      </c>
      <c r="C371" s="11" t="s">
        <v>177</v>
      </c>
      <c r="D371" s="12" t="s">
        <v>116</v>
      </c>
      <c r="E371" s="13" t="s">
        <v>116</v>
      </c>
      <c r="F371" s="14" t="s">
        <v>117</v>
      </c>
      <c r="G371" s="14" t="b">
        <v>0</v>
      </c>
      <c r="H371" s="14" t="s">
        <v>538</v>
      </c>
      <c r="I371" s="14">
        <v>6.0</v>
      </c>
      <c r="J371" s="14">
        <v>0.01</v>
      </c>
      <c r="K371" s="14">
        <v>0.0</v>
      </c>
    </row>
    <row r="372" ht="15.75" customHeight="1">
      <c r="A372" s="9" t="s">
        <v>1980</v>
      </c>
      <c r="B372" s="10" t="s">
        <v>644</v>
      </c>
      <c r="C372" s="11" t="s">
        <v>198</v>
      </c>
      <c r="D372" s="12" t="s">
        <v>116</v>
      </c>
      <c r="E372" s="13" t="s">
        <v>116</v>
      </c>
      <c r="F372" s="14" t="s">
        <v>117</v>
      </c>
      <c r="G372" s="14" t="b">
        <v>0</v>
      </c>
      <c r="I372" s="14">
        <v>6.0</v>
      </c>
      <c r="J372" s="14">
        <v>0.01</v>
      </c>
      <c r="K372" s="14">
        <v>0.5</v>
      </c>
    </row>
    <row r="373" ht="15.75" customHeight="1">
      <c r="A373" s="9" t="s">
        <v>1981</v>
      </c>
      <c r="B373" s="10" t="s">
        <v>1982</v>
      </c>
      <c r="C373" s="11" t="s">
        <v>798</v>
      </c>
      <c r="D373" s="12" t="s">
        <v>125</v>
      </c>
      <c r="E373" s="13" t="s">
        <v>32</v>
      </c>
      <c r="F373" s="14" t="s">
        <v>126</v>
      </c>
      <c r="G373" s="14" t="b">
        <v>0</v>
      </c>
      <c r="I373" s="14">
        <v>6.0</v>
      </c>
      <c r="J373" s="14">
        <v>0.01</v>
      </c>
      <c r="K373" s="14">
        <v>0.0</v>
      </c>
    </row>
    <row r="374" ht="15.75" customHeight="1">
      <c r="A374" s="9" t="s">
        <v>1983</v>
      </c>
      <c r="B374" s="10" t="s">
        <v>1984</v>
      </c>
      <c r="C374" s="11" t="s">
        <v>856</v>
      </c>
      <c r="D374" s="12" t="s">
        <v>19</v>
      </c>
      <c r="E374" s="13" t="s">
        <v>32</v>
      </c>
      <c r="F374" s="14" t="s">
        <v>21</v>
      </c>
      <c r="G374" s="14" t="b">
        <v>0</v>
      </c>
      <c r="I374" s="14">
        <v>6.0</v>
      </c>
      <c r="J374" s="14">
        <v>0.01</v>
      </c>
      <c r="K374" s="14">
        <v>0.0</v>
      </c>
    </row>
    <row r="375" ht="15.75" customHeight="1">
      <c r="A375" s="9" t="s">
        <v>1985</v>
      </c>
      <c r="B375" s="10" t="s">
        <v>1986</v>
      </c>
      <c r="C375" s="11" t="s">
        <v>251</v>
      </c>
      <c r="D375" s="12" t="s">
        <v>19</v>
      </c>
      <c r="E375" s="13" t="s">
        <v>32</v>
      </c>
      <c r="F375" s="14" t="s">
        <v>21</v>
      </c>
      <c r="G375" s="14" t="b">
        <v>0</v>
      </c>
      <c r="H375" s="14" t="s">
        <v>1987</v>
      </c>
      <c r="I375" s="14">
        <v>6.0</v>
      </c>
      <c r="J375" s="14">
        <v>0.01</v>
      </c>
      <c r="K375" s="14">
        <v>0.17</v>
      </c>
    </row>
    <row r="376" ht="15.75" customHeight="1">
      <c r="A376" s="9" t="s">
        <v>1988</v>
      </c>
      <c r="B376" s="10" t="s">
        <v>1989</v>
      </c>
      <c r="C376" s="11" t="s">
        <v>98</v>
      </c>
      <c r="D376" s="12" t="s">
        <v>116</v>
      </c>
      <c r="E376" s="13" t="s">
        <v>32</v>
      </c>
      <c r="F376" s="14" t="s">
        <v>117</v>
      </c>
      <c r="G376" s="14" t="b">
        <v>0</v>
      </c>
      <c r="H376" s="14" t="s">
        <v>467</v>
      </c>
      <c r="I376" s="14">
        <v>6.0</v>
      </c>
      <c r="J376" s="14">
        <v>0.01</v>
      </c>
      <c r="K376" s="14">
        <v>1.17</v>
      </c>
    </row>
    <row r="377" ht="15.75" customHeight="1">
      <c r="A377" s="9" t="s">
        <v>1990</v>
      </c>
      <c r="B377" s="10" t="s">
        <v>1991</v>
      </c>
      <c r="C377" s="11" t="s">
        <v>214</v>
      </c>
      <c r="D377" s="12" t="s">
        <v>116</v>
      </c>
      <c r="E377" s="13" t="s">
        <v>32</v>
      </c>
      <c r="F377" s="14" t="s">
        <v>117</v>
      </c>
      <c r="G377" s="14" t="b">
        <v>0</v>
      </c>
      <c r="H377" s="14" t="s">
        <v>1992</v>
      </c>
      <c r="I377" s="14">
        <v>6.0</v>
      </c>
      <c r="J377" s="14">
        <v>0.01</v>
      </c>
      <c r="K377" s="14">
        <v>0.83</v>
      </c>
    </row>
    <row r="378" ht="15.75" customHeight="1">
      <c r="A378" s="9" t="s">
        <v>1993</v>
      </c>
      <c r="B378" s="10" t="s">
        <v>1994</v>
      </c>
      <c r="C378" s="11" t="s">
        <v>95</v>
      </c>
      <c r="D378" s="12" t="s">
        <v>277</v>
      </c>
      <c r="E378" s="13" t="s">
        <v>32</v>
      </c>
      <c r="F378" s="14" t="s">
        <v>278</v>
      </c>
      <c r="G378" s="14" t="b">
        <v>0</v>
      </c>
      <c r="H378" s="14" t="s">
        <v>149</v>
      </c>
      <c r="I378" s="14">
        <v>6.0</v>
      </c>
      <c r="J378" s="14">
        <v>0.01</v>
      </c>
      <c r="K378" s="14">
        <v>0.17</v>
      </c>
    </row>
    <row r="379" ht="15.75" customHeight="1">
      <c r="A379" s="9" t="s">
        <v>1995</v>
      </c>
      <c r="B379" s="10" t="s">
        <v>1996</v>
      </c>
      <c r="C379" s="11" t="s">
        <v>181</v>
      </c>
      <c r="D379" s="12" t="s">
        <v>19</v>
      </c>
      <c r="E379" s="13" t="s">
        <v>20</v>
      </c>
      <c r="F379" s="14" t="s">
        <v>21</v>
      </c>
      <c r="G379" s="14" t="b">
        <v>0</v>
      </c>
      <c r="H379" s="14" t="s">
        <v>1997</v>
      </c>
      <c r="I379" s="14">
        <v>6.0</v>
      </c>
      <c r="J379" s="14">
        <v>0.01</v>
      </c>
      <c r="K379" s="14">
        <v>0.33</v>
      </c>
    </row>
    <row r="380" ht="15.75" customHeight="1">
      <c r="A380" s="9" t="s">
        <v>1998</v>
      </c>
      <c r="B380" s="10" t="s">
        <v>1999</v>
      </c>
      <c r="C380" s="11" t="s">
        <v>25</v>
      </c>
      <c r="D380" s="12" t="s">
        <v>116</v>
      </c>
      <c r="E380" s="13" t="s">
        <v>32</v>
      </c>
      <c r="F380" s="14" t="s">
        <v>117</v>
      </c>
      <c r="G380" s="14" t="b">
        <v>0</v>
      </c>
      <c r="H380" s="14" t="s">
        <v>1190</v>
      </c>
      <c r="I380" s="14">
        <v>5.0</v>
      </c>
      <c r="J380" s="14">
        <v>0.01</v>
      </c>
      <c r="K380" s="14">
        <v>0.6</v>
      </c>
    </row>
    <row r="381" ht="15.75" customHeight="1">
      <c r="A381" s="9" t="s">
        <v>2000</v>
      </c>
      <c r="B381" s="10" t="s">
        <v>2001</v>
      </c>
      <c r="C381" s="11" t="s">
        <v>806</v>
      </c>
      <c r="D381" s="12" t="s">
        <v>312</v>
      </c>
      <c r="E381" s="13" t="s">
        <v>32</v>
      </c>
      <c r="F381" s="14" t="s">
        <v>313</v>
      </c>
      <c r="G381" s="14" t="b">
        <v>0</v>
      </c>
      <c r="I381" s="14">
        <v>5.0</v>
      </c>
      <c r="J381" s="14">
        <v>0.01</v>
      </c>
      <c r="K381" s="14">
        <v>1.0</v>
      </c>
    </row>
    <row r="382" ht="15.75" customHeight="1">
      <c r="A382" s="9" t="s">
        <v>2002</v>
      </c>
      <c r="B382" s="10" t="s">
        <v>2003</v>
      </c>
      <c r="C382" s="11" t="s">
        <v>861</v>
      </c>
      <c r="D382" s="12" t="s">
        <v>125</v>
      </c>
      <c r="E382" s="13" t="s">
        <v>32</v>
      </c>
      <c r="F382" s="14" t="s">
        <v>126</v>
      </c>
      <c r="G382" s="14" t="b">
        <v>0</v>
      </c>
      <c r="I382" s="14">
        <v>5.0</v>
      </c>
      <c r="J382" s="14">
        <v>0.01</v>
      </c>
      <c r="K382" s="14">
        <v>2.2</v>
      </c>
    </row>
    <row r="383" ht="15.75" customHeight="1">
      <c r="A383" s="9" t="s">
        <v>2004</v>
      </c>
      <c r="B383" s="10" t="s">
        <v>2005</v>
      </c>
      <c r="C383" s="10" t="s">
        <v>868</v>
      </c>
      <c r="D383" s="12" t="s">
        <v>277</v>
      </c>
      <c r="E383" s="13" t="s">
        <v>32</v>
      </c>
      <c r="F383" s="14" t="s">
        <v>278</v>
      </c>
      <c r="G383" s="14" t="b">
        <v>0</v>
      </c>
      <c r="H383" s="14" t="s">
        <v>340</v>
      </c>
      <c r="I383" s="14">
        <v>5.0</v>
      </c>
      <c r="J383" s="14">
        <v>0.01</v>
      </c>
      <c r="K383" s="14">
        <v>0.0</v>
      </c>
    </row>
    <row r="384" ht="15.75" customHeight="1">
      <c r="A384" s="9" t="s">
        <v>2006</v>
      </c>
      <c r="B384" s="10" t="s">
        <v>2007</v>
      </c>
      <c r="C384" s="11" t="s">
        <v>863</v>
      </c>
      <c r="D384" s="12" t="s">
        <v>116</v>
      </c>
      <c r="E384" s="13" t="s">
        <v>32</v>
      </c>
      <c r="F384" s="14" t="s">
        <v>117</v>
      </c>
      <c r="G384" s="14" t="b">
        <v>0</v>
      </c>
      <c r="I384" s="14">
        <v>5.0</v>
      </c>
      <c r="J384" s="14">
        <v>0.01</v>
      </c>
      <c r="K384" s="14">
        <v>1.4</v>
      </c>
    </row>
    <row r="385" ht="15.75" customHeight="1">
      <c r="A385" s="9" t="s">
        <v>2008</v>
      </c>
      <c r="B385" s="10" t="s">
        <v>2009</v>
      </c>
      <c r="C385" s="11" t="s">
        <v>869</v>
      </c>
      <c r="D385" s="12" t="s">
        <v>277</v>
      </c>
      <c r="E385" s="13" t="s">
        <v>32</v>
      </c>
      <c r="F385" s="14" t="s">
        <v>278</v>
      </c>
      <c r="G385" s="14" t="b">
        <v>0</v>
      </c>
      <c r="I385" s="14">
        <v>5.0</v>
      </c>
      <c r="J385" s="14">
        <v>0.01</v>
      </c>
      <c r="K385" s="14">
        <v>1.4</v>
      </c>
    </row>
    <row r="386" ht="15.75" customHeight="1">
      <c r="A386" s="9" t="s">
        <v>2010</v>
      </c>
      <c r="B386" s="10" t="s">
        <v>2011</v>
      </c>
      <c r="C386" s="11" t="s">
        <v>330</v>
      </c>
      <c r="D386" s="12" t="s">
        <v>19</v>
      </c>
      <c r="E386" s="13" t="s">
        <v>102</v>
      </c>
      <c r="F386" s="14" t="s">
        <v>21</v>
      </c>
      <c r="G386" s="14" t="b">
        <v>0</v>
      </c>
      <c r="H386" s="14" t="s">
        <v>2012</v>
      </c>
      <c r="I386" s="14">
        <v>5.0</v>
      </c>
      <c r="J386" s="14">
        <v>0.01</v>
      </c>
      <c r="K386" s="14">
        <v>0.2</v>
      </c>
    </row>
    <row r="387" ht="15.75" customHeight="1">
      <c r="A387" s="9" t="s">
        <v>2013</v>
      </c>
      <c r="B387" s="10" t="s">
        <v>2014</v>
      </c>
      <c r="C387" s="11" t="s">
        <v>871</v>
      </c>
      <c r="D387" s="12" t="s">
        <v>19</v>
      </c>
      <c r="E387" s="13" t="s">
        <v>32</v>
      </c>
      <c r="F387" s="14" t="s">
        <v>21</v>
      </c>
      <c r="G387" s="14" t="b">
        <v>0</v>
      </c>
      <c r="H387" s="14" t="s">
        <v>2015</v>
      </c>
      <c r="I387" s="14">
        <v>5.0</v>
      </c>
      <c r="J387" s="14">
        <v>0.01</v>
      </c>
      <c r="K387" s="14">
        <v>0.0</v>
      </c>
    </row>
    <row r="388" ht="15.75" customHeight="1">
      <c r="A388" s="9" t="s">
        <v>2016</v>
      </c>
      <c r="B388" s="13"/>
      <c r="C388" s="11" t="s">
        <v>536</v>
      </c>
      <c r="D388" s="12" t="s">
        <v>277</v>
      </c>
      <c r="E388" s="13" t="s">
        <v>85</v>
      </c>
      <c r="F388" s="14" t="s">
        <v>278</v>
      </c>
      <c r="G388" s="14" t="b">
        <v>0</v>
      </c>
      <c r="H388" s="14" t="s">
        <v>538</v>
      </c>
      <c r="I388" s="14">
        <v>5.0</v>
      </c>
      <c r="J388" s="14">
        <v>0.01</v>
      </c>
      <c r="K388" s="14">
        <v>0.0</v>
      </c>
    </row>
    <row r="389" ht="15.75" customHeight="1">
      <c r="A389" s="9" t="s">
        <v>2017</v>
      </c>
      <c r="B389" s="10" t="s">
        <v>2018</v>
      </c>
      <c r="C389" s="11" t="s">
        <v>18</v>
      </c>
      <c r="D389" s="12" t="s">
        <v>30</v>
      </c>
      <c r="E389" s="13" t="s">
        <v>32</v>
      </c>
      <c r="F389" s="14" t="s">
        <v>34</v>
      </c>
      <c r="G389" s="14" t="b">
        <v>0</v>
      </c>
      <c r="H389" s="14" t="s">
        <v>2019</v>
      </c>
      <c r="I389" s="14">
        <v>5.0</v>
      </c>
      <c r="J389" s="14">
        <v>0.01</v>
      </c>
      <c r="K389" s="14">
        <v>0.2</v>
      </c>
    </row>
    <row r="390" ht="15.75" customHeight="1">
      <c r="A390" s="9" t="s">
        <v>2020</v>
      </c>
      <c r="B390" s="10" t="s">
        <v>2021</v>
      </c>
      <c r="C390" s="11" t="s">
        <v>18</v>
      </c>
      <c r="D390" s="12" t="s">
        <v>30</v>
      </c>
      <c r="E390" s="13" t="s">
        <v>32</v>
      </c>
      <c r="F390" s="14" t="s">
        <v>34</v>
      </c>
      <c r="G390" s="14" t="b">
        <v>0</v>
      </c>
      <c r="H390" s="14" t="s">
        <v>2022</v>
      </c>
      <c r="I390" s="14">
        <v>5.0</v>
      </c>
      <c r="J390" s="14">
        <v>0.01</v>
      </c>
      <c r="K390" s="14">
        <v>0.0</v>
      </c>
    </row>
    <row r="391" ht="15.75" customHeight="1">
      <c r="A391" s="9" t="s">
        <v>2023</v>
      </c>
      <c r="B391" s="10" t="s">
        <v>2024</v>
      </c>
      <c r="C391" s="11" t="s">
        <v>18</v>
      </c>
      <c r="D391" s="12" t="s">
        <v>116</v>
      </c>
      <c r="E391" s="13" t="s">
        <v>32</v>
      </c>
      <c r="F391" s="14" t="s">
        <v>117</v>
      </c>
      <c r="G391" s="14" t="b">
        <v>0</v>
      </c>
      <c r="H391" s="14" t="s">
        <v>2025</v>
      </c>
      <c r="I391" s="14">
        <v>5.0</v>
      </c>
      <c r="J391" s="14">
        <v>0.01</v>
      </c>
      <c r="K391" s="14">
        <v>0.0</v>
      </c>
    </row>
    <row r="392" ht="15.75" customHeight="1">
      <c r="A392" s="9" t="s">
        <v>2026</v>
      </c>
      <c r="B392" s="10" t="s">
        <v>2027</v>
      </c>
      <c r="C392" s="11" t="s">
        <v>18</v>
      </c>
      <c r="D392" s="12" t="s">
        <v>30</v>
      </c>
      <c r="E392" s="13" t="s">
        <v>32</v>
      </c>
      <c r="F392" s="14" t="s">
        <v>34</v>
      </c>
      <c r="G392" s="14" t="b">
        <v>0</v>
      </c>
      <c r="H392" s="14" t="s">
        <v>1597</v>
      </c>
      <c r="I392" s="14">
        <v>5.0</v>
      </c>
      <c r="J392" s="14">
        <v>0.01</v>
      </c>
      <c r="K392" s="14">
        <v>1.2</v>
      </c>
    </row>
    <row r="393" ht="15.75" customHeight="1">
      <c r="A393" s="9" t="s">
        <v>2028</v>
      </c>
      <c r="B393" s="10" t="s">
        <v>2029</v>
      </c>
      <c r="C393" s="11" t="s">
        <v>874</v>
      </c>
      <c r="D393" s="12" t="s">
        <v>277</v>
      </c>
      <c r="E393" s="13" t="s">
        <v>32</v>
      </c>
      <c r="F393" s="14" t="s">
        <v>278</v>
      </c>
      <c r="G393" s="14" t="b">
        <v>0</v>
      </c>
      <c r="H393" s="14" t="s">
        <v>808</v>
      </c>
      <c r="I393" s="14">
        <v>5.0</v>
      </c>
      <c r="J393" s="14">
        <v>0.01</v>
      </c>
      <c r="K393" s="14">
        <v>0.2</v>
      </c>
    </row>
    <row r="394" ht="15.75" customHeight="1">
      <c r="A394" s="9" t="s">
        <v>2030</v>
      </c>
      <c r="B394" s="10" t="s">
        <v>2031</v>
      </c>
      <c r="C394" s="11" t="s">
        <v>802</v>
      </c>
      <c r="D394" s="12" t="s">
        <v>277</v>
      </c>
      <c r="E394" s="13" t="s">
        <v>32</v>
      </c>
      <c r="F394" s="14" t="s">
        <v>278</v>
      </c>
      <c r="G394" s="14" t="b">
        <v>0</v>
      </c>
      <c r="I394" s="14">
        <v>5.0</v>
      </c>
      <c r="J394" s="14">
        <v>0.01</v>
      </c>
      <c r="K394" s="14">
        <v>1.2</v>
      </c>
    </row>
    <row r="395" ht="15.75" customHeight="1">
      <c r="A395" s="9" t="s">
        <v>2032</v>
      </c>
      <c r="B395" s="10" t="s">
        <v>2033</v>
      </c>
      <c r="C395" s="11" t="s">
        <v>80</v>
      </c>
      <c r="D395" s="12" t="s">
        <v>277</v>
      </c>
      <c r="E395" s="13" t="s">
        <v>32</v>
      </c>
      <c r="F395" s="14" t="s">
        <v>278</v>
      </c>
      <c r="G395" s="14" t="b">
        <v>0</v>
      </c>
      <c r="H395" s="14" t="s">
        <v>2034</v>
      </c>
      <c r="I395" s="14">
        <v>5.0</v>
      </c>
      <c r="J395" s="14">
        <v>0.01</v>
      </c>
      <c r="K395" s="14">
        <v>2.2</v>
      </c>
    </row>
    <row r="396" ht="15.75" customHeight="1">
      <c r="A396" s="9" t="s">
        <v>2035</v>
      </c>
      <c r="B396" s="10" t="s">
        <v>2036</v>
      </c>
      <c r="C396" s="11" t="s">
        <v>701</v>
      </c>
      <c r="D396" s="12" t="s">
        <v>277</v>
      </c>
      <c r="E396" s="13" t="s">
        <v>20</v>
      </c>
      <c r="F396" s="14" t="s">
        <v>278</v>
      </c>
      <c r="G396" s="14" t="b">
        <v>0</v>
      </c>
      <c r="H396" s="14" t="s">
        <v>702</v>
      </c>
      <c r="I396" s="14">
        <v>5.0</v>
      </c>
      <c r="J396" s="14">
        <v>0.01</v>
      </c>
      <c r="K396" s="14">
        <v>0.2</v>
      </c>
    </row>
    <row r="397" ht="15.75" customHeight="1">
      <c r="A397" s="9" t="s">
        <v>2037</v>
      </c>
      <c r="B397" s="13"/>
      <c r="C397" s="11" t="s">
        <v>799</v>
      </c>
      <c r="D397" s="12" t="s">
        <v>116</v>
      </c>
      <c r="E397" s="13" t="s">
        <v>32</v>
      </c>
      <c r="F397" s="14" t="s">
        <v>117</v>
      </c>
      <c r="H397" s="14" t="s">
        <v>824</v>
      </c>
      <c r="I397" s="14">
        <v>5.0</v>
      </c>
      <c r="J397" s="14">
        <v>0.01</v>
      </c>
      <c r="K397" s="14">
        <v>0.4</v>
      </c>
    </row>
    <row r="398" ht="15.75" customHeight="1">
      <c r="A398" s="9" t="s">
        <v>2038</v>
      </c>
      <c r="B398" s="13"/>
      <c r="C398" s="11" t="s">
        <v>799</v>
      </c>
      <c r="D398" s="12" t="s">
        <v>116</v>
      </c>
      <c r="E398" s="13" t="s">
        <v>32</v>
      </c>
      <c r="F398" s="14" t="s">
        <v>117</v>
      </c>
      <c r="H398" s="14" t="s">
        <v>824</v>
      </c>
      <c r="I398" s="14">
        <v>5.0</v>
      </c>
      <c r="J398" s="14">
        <v>0.01</v>
      </c>
      <c r="K398" s="14">
        <v>0.2</v>
      </c>
    </row>
    <row r="399" ht="15.75" customHeight="1">
      <c r="A399" s="9" t="s">
        <v>2039</v>
      </c>
      <c r="B399" s="13"/>
      <c r="C399" s="11" t="s">
        <v>799</v>
      </c>
      <c r="D399" s="12" t="s">
        <v>116</v>
      </c>
      <c r="E399" s="13" t="s">
        <v>32</v>
      </c>
      <c r="F399" s="14" t="s">
        <v>117</v>
      </c>
      <c r="H399" s="14" t="s">
        <v>824</v>
      </c>
      <c r="I399" s="14">
        <v>5.0</v>
      </c>
      <c r="J399" s="14">
        <v>0.01</v>
      </c>
      <c r="K399" s="14">
        <v>1.0</v>
      </c>
    </row>
    <row r="400" ht="15.75" customHeight="1">
      <c r="A400" s="9" t="s">
        <v>2040</v>
      </c>
      <c r="B400" s="10" t="s">
        <v>2041</v>
      </c>
      <c r="C400" s="11" t="s">
        <v>595</v>
      </c>
      <c r="D400" s="12" t="s">
        <v>19</v>
      </c>
      <c r="E400" s="13" t="s">
        <v>32</v>
      </c>
      <c r="F400" s="14" t="s">
        <v>21</v>
      </c>
      <c r="G400" s="14" t="b">
        <v>0</v>
      </c>
      <c r="H400" s="14" t="s">
        <v>2042</v>
      </c>
      <c r="I400" s="14">
        <v>5.0</v>
      </c>
      <c r="J400" s="14">
        <v>0.01</v>
      </c>
      <c r="K400" s="14">
        <v>1.6</v>
      </c>
    </row>
    <row r="401" ht="15.75" customHeight="1">
      <c r="A401" s="9" t="s">
        <v>2043</v>
      </c>
      <c r="B401" s="10" t="s">
        <v>2044</v>
      </c>
      <c r="C401" s="10" t="s">
        <v>878</v>
      </c>
      <c r="D401" s="12" t="s">
        <v>19</v>
      </c>
      <c r="E401" s="13" t="s">
        <v>32</v>
      </c>
      <c r="F401" s="14" t="s">
        <v>21</v>
      </c>
      <c r="G401" s="14" t="b">
        <v>0</v>
      </c>
      <c r="H401" s="14" t="s">
        <v>879</v>
      </c>
      <c r="I401" s="14">
        <v>5.0</v>
      </c>
      <c r="J401" s="14">
        <v>0.01</v>
      </c>
      <c r="K401" s="14">
        <v>0.0</v>
      </c>
    </row>
    <row r="402" ht="15.75" customHeight="1">
      <c r="A402" s="9" t="s">
        <v>2045</v>
      </c>
      <c r="B402" s="10" t="s">
        <v>2046</v>
      </c>
      <c r="C402" s="11" t="s">
        <v>543</v>
      </c>
      <c r="D402" s="12" t="s">
        <v>30</v>
      </c>
      <c r="E402" s="13" t="s">
        <v>32</v>
      </c>
      <c r="F402" s="14" t="s">
        <v>34</v>
      </c>
      <c r="G402" s="14" t="b">
        <v>0</v>
      </c>
      <c r="I402" s="14">
        <v>5.0</v>
      </c>
      <c r="J402" s="14">
        <v>0.01</v>
      </c>
      <c r="K402" s="14">
        <v>0.0</v>
      </c>
    </row>
    <row r="403" ht="15.75" customHeight="1">
      <c r="A403" s="9" t="s">
        <v>2047</v>
      </c>
      <c r="B403" s="10" t="s">
        <v>2048</v>
      </c>
      <c r="C403" s="11" t="s">
        <v>198</v>
      </c>
      <c r="D403" s="12" t="s">
        <v>158</v>
      </c>
      <c r="E403" s="13" t="s">
        <v>116</v>
      </c>
      <c r="F403" s="14" t="s">
        <v>160</v>
      </c>
      <c r="G403" s="14" t="b">
        <v>0</v>
      </c>
      <c r="I403" s="14">
        <v>5.0</v>
      </c>
      <c r="J403" s="14">
        <v>0.01</v>
      </c>
      <c r="K403" s="14">
        <v>0.0</v>
      </c>
    </row>
    <row r="404" ht="15.75" customHeight="1">
      <c r="A404" s="9" t="s">
        <v>2049</v>
      </c>
      <c r="B404" s="10" t="s">
        <v>2050</v>
      </c>
      <c r="C404" s="11" t="s">
        <v>481</v>
      </c>
      <c r="D404" s="12" t="s">
        <v>19</v>
      </c>
      <c r="E404" s="13" t="s">
        <v>32</v>
      </c>
      <c r="F404" s="14" t="s">
        <v>21</v>
      </c>
      <c r="G404" s="14" t="b">
        <v>0</v>
      </c>
      <c r="H404" s="14" t="s">
        <v>332</v>
      </c>
      <c r="I404" s="14">
        <v>5.0</v>
      </c>
      <c r="J404" s="14">
        <v>0.01</v>
      </c>
      <c r="K404" s="14">
        <v>0.4</v>
      </c>
    </row>
    <row r="405" ht="15.75" customHeight="1">
      <c r="A405" s="9" t="s">
        <v>2051</v>
      </c>
      <c r="B405" s="10" t="s">
        <v>2052</v>
      </c>
      <c r="C405" s="11" t="s">
        <v>880</v>
      </c>
      <c r="D405" s="12" t="s">
        <v>19</v>
      </c>
      <c r="E405" s="13" t="s">
        <v>20</v>
      </c>
      <c r="F405" s="14" t="s">
        <v>21</v>
      </c>
      <c r="G405" s="14" t="b">
        <v>0</v>
      </c>
      <c r="H405" s="14" t="s">
        <v>2053</v>
      </c>
      <c r="I405" s="14">
        <v>5.0</v>
      </c>
      <c r="J405" s="14">
        <v>0.01</v>
      </c>
      <c r="K405" s="14">
        <v>1.2</v>
      </c>
    </row>
    <row r="406" ht="15.75" customHeight="1">
      <c r="A406" s="9" t="s">
        <v>2054</v>
      </c>
      <c r="B406" s="10" t="s">
        <v>2055</v>
      </c>
      <c r="C406" s="11" t="s">
        <v>773</v>
      </c>
      <c r="D406" s="12" t="s">
        <v>19</v>
      </c>
      <c r="E406" s="13" t="s">
        <v>32</v>
      </c>
      <c r="F406" s="14" t="s">
        <v>21</v>
      </c>
      <c r="G406" s="14" t="b">
        <v>0</v>
      </c>
      <c r="H406" s="14" t="s">
        <v>2056</v>
      </c>
      <c r="I406" s="14">
        <v>5.0</v>
      </c>
      <c r="J406" s="14">
        <v>0.01</v>
      </c>
      <c r="K406" s="14">
        <v>0.6</v>
      </c>
    </row>
    <row r="407" ht="15.75" customHeight="1">
      <c r="A407" s="9" t="s">
        <v>2057</v>
      </c>
      <c r="B407" s="10" t="s">
        <v>2058</v>
      </c>
      <c r="C407" s="10" t="s">
        <v>219</v>
      </c>
      <c r="D407" s="12" t="s">
        <v>312</v>
      </c>
      <c r="E407" s="13" t="s">
        <v>32</v>
      </c>
      <c r="F407" s="14" t="s">
        <v>313</v>
      </c>
      <c r="G407" s="14" t="b">
        <v>0</v>
      </c>
      <c r="H407" s="14" t="s">
        <v>538</v>
      </c>
      <c r="I407" s="14">
        <v>5.0</v>
      </c>
      <c r="J407" s="14">
        <v>0.01</v>
      </c>
      <c r="K407" s="14">
        <v>0.0</v>
      </c>
    </row>
    <row r="408" ht="15.75" customHeight="1">
      <c r="A408" s="9" t="s">
        <v>2059</v>
      </c>
      <c r="B408" s="10" t="s">
        <v>2060</v>
      </c>
      <c r="C408" s="10" t="s">
        <v>219</v>
      </c>
      <c r="D408" s="12" t="s">
        <v>19</v>
      </c>
      <c r="E408" s="13" t="s">
        <v>32</v>
      </c>
      <c r="F408" s="14" t="s">
        <v>21</v>
      </c>
      <c r="G408" s="14" t="b">
        <v>0</v>
      </c>
      <c r="H408" s="14" t="s">
        <v>2061</v>
      </c>
      <c r="I408" s="14">
        <v>5.0</v>
      </c>
      <c r="J408" s="14">
        <v>0.01</v>
      </c>
      <c r="K408" s="14">
        <v>0.0</v>
      </c>
    </row>
    <row r="409" ht="15.75" customHeight="1">
      <c r="A409" s="9" t="s">
        <v>2062</v>
      </c>
      <c r="B409" s="10" t="s">
        <v>2063</v>
      </c>
      <c r="C409" s="10" t="s">
        <v>219</v>
      </c>
      <c r="D409" s="12" t="s">
        <v>19</v>
      </c>
      <c r="E409" s="13" t="s">
        <v>32</v>
      </c>
      <c r="F409" s="14" t="s">
        <v>21</v>
      </c>
      <c r="G409" s="14" t="b">
        <v>0</v>
      </c>
      <c r="H409" s="14" t="s">
        <v>2064</v>
      </c>
      <c r="I409" s="14">
        <v>5.0</v>
      </c>
      <c r="J409" s="14">
        <v>0.01</v>
      </c>
      <c r="K409" s="14">
        <v>0.0</v>
      </c>
    </row>
    <row r="410" ht="15.75" customHeight="1">
      <c r="A410" s="9" t="s">
        <v>2065</v>
      </c>
      <c r="B410" s="10" t="s">
        <v>2066</v>
      </c>
      <c r="C410" s="11" t="s">
        <v>883</v>
      </c>
      <c r="D410" s="12" t="s">
        <v>125</v>
      </c>
      <c r="E410" s="13" t="s">
        <v>32</v>
      </c>
      <c r="F410" s="14" t="s">
        <v>126</v>
      </c>
      <c r="G410" s="14" t="b">
        <v>0</v>
      </c>
      <c r="H410" s="14" t="s">
        <v>340</v>
      </c>
      <c r="I410" s="14">
        <v>5.0</v>
      </c>
      <c r="J410" s="14">
        <v>0.01</v>
      </c>
      <c r="K410" s="14">
        <v>0.8</v>
      </c>
    </row>
    <row r="411" ht="15.75" customHeight="1">
      <c r="A411" s="9" t="s">
        <v>2067</v>
      </c>
      <c r="B411" s="10" t="s">
        <v>2068</v>
      </c>
      <c r="C411" s="11" t="s">
        <v>886</v>
      </c>
      <c r="D411" s="12" t="s">
        <v>277</v>
      </c>
      <c r="E411" s="13" t="s">
        <v>85</v>
      </c>
      <c r="F411" s="14" t="s">
        <v>278</v>
      </c>
      <c r="G411" s="14" t="b">
        <v>0</v>
      </c>
      <c r="H411" s="14" t="s">
        <v>467</v>
      </c>
      <c r="I411" s="14">
        <v>5.0</v>
      </c>
      <c r="J411" s="14">
        <v>0.01</v>
      </c>
      <c r="K411" s="14">
        <v>1.2</v>
      </c>
    </row>
    <row r="412" ht="15.75" customHeight="1">
      <c r="A412" s="9" t="s">
        <v>2069</v>
      </c>
      <c r="B412" s="10" t="s">
        <v>2070</v>
      </c>
      <c r="C412" s="11" t="s">
        <v>205</v>
      </c>
      <c r="D412" s="12" t="s">
        <v>19</v>
      </c>
      <c r="E412" s="13" t="s">
        <v>85</v>
      </c>
      <c r="F412" s="14" t="s">
        <v>21</v>
      </c>
      <c r="G412" s="14" t="b">
        <v>0</v>
      </c>
      <c r="H412" s="14" t="s">
        <v>2071</v>
      </c>
      <c r="I412" s="14">
        <v>5.0</v>
      </c>
      <c r="J412" s="14">
        <v>0.01</v>
      </c>
      <c r="K412" s="14">
        <v>1.0</v>
      </c>
    </row>
    <row r="413" ht="15.75" customHeight="1">
      <c r="A413" s="9" t="s">
        <v>2072</v>
      </c>
      <c r="B413" s="10" t="s">
        <v>2073</v>
      </c>
      <c r="C413" s="11" t="s">
        <v>887</v>
      </c>
      <c r="D413" s="12" t="s">
        <v>312</v>
      </c>
      <c r="E413" s="13" t="s">
        <v>32</v>
      </c>
      <c r="F413" s="14" t="s">
        <v>313</v>
      </c>
      <c r="G413" s="14" t="b">
        <v>0</v>
      </c>
      <c r="H413" s="14" t="s">
        <v>340</v>
      </c>
      <c r="I413" s="14">
        <v>5.0</v>
      </c>
      <c r="J413" s="14">
        <v>0.01</v>
      </c>
      <c r="K413" s="14">
        <v>1.4</v>
      </c>
    </row>
    <row r="414" ht="15.75" customHeight="1">
      <c r="A414" s="9" t="s">
        <v>2074</v>
      </c>
      <c r="B414" s="10" t="s">
        <v>2075</v>
      </c>
      <c r="C414" s="11" t="s">
        <v>888</v>
      </c>
      <c r="D414" s="12" t="s">
        <v>30</v>
      </c>
      <c r="E414" s="13" t="s">
        <v>116</v>
      </c>
      <c r="F414" s="14" t="s">
        <v>34</v>
      </c>
      <c r="G414" s="14" t="b">
        <v>0</v>
      </c>
      <c r="I414" s="14">
        <v>5.0</v>
      </c>
      <c r="J414" s="14">
        <v>0.01</v>
      </c>
      <c r="K414" s="14">
        <v>0.6</v>
      </c>
    </row>
    <row r="415" ht="15.75" customHeight="1">
      <c r="A415" s="9" t="s">
        <v>2076</v>
      </c>
      <c r="B415" s="13"/>
      <c r="C415" s="10" t="s">
        <v>890</v>
      </c>
      <c r="D415" s="12" t="s">
        <v>19</v>
      </c>
      <c r="E415" s="13" t="s">
        <v>116</v>
      </c>
      <c r="F415" s="14" t="s">
        <v>21</v>
      </c>
      <c r="G415" s="14" t="b">
        <v>0</v>
      </c>
      <c r="H415" s="14" t="s">
        <v>2077</v>
      </c>
      <c r="I415" s="14">
        <v>5.0</v>
      </c>
      <c r="J415" s="14">
        <v>0.01</v>
      </c>
      <c r="K415" s="14">
        <v>0.0</v>
      </c>
    </row>
    <row r="416" ht="15.75" customHeight="1">
      <c r="A416" s="9" t="s">
        <v>2078</v>
      </c>
      <c r="B416" s="10" t="s">
        <v>2079</v>
      </c>
      <c r="C416" s="11" t="s">
        <v>892</v>
      </c>
      <c r="D416" s="12" t="s">
        <v>19</v>
      </c>
      <c r="E416" s="13" t="s">
        <v>32</v>
      </c>
      <c r="F416" s="14" t="s">
        <v>21</v>
      </c>
      <c r="G416" s="14" t="b">
        <v>0</v>
      </c>
      <c r="I416" s="14">
        <v>5.0</v>
      </c>
      <c r="J416" s="14">
        <v>0.01</v>
      </c>
      <c r="K416" s="14">
        <v>0.0</v>
      </c>
    </row>
    <row r="417" ht="15.75" customHeight="1">
      <c r="A417" s="9" t="s">
        <v>2080</v>
      </c>
      <c r="B417" s="10" t="s">
        <v>2081</v>
      </c>
      <c r="C417" s="11" t="s">
        <v>896</v>
      </c>
      <c r="D417" s="12" t="s">
        <v>158</v>
      </c>
      <c r="E417" s="13" t="s">
        <v>32</v>
      </c>
      <c r="F417" s="14" t="s">
        <v>160</v>
      </c>
      <c r="G417" s="14" t="b">
        <v>0</v>
      </c>
      <c r="I417" s="14">
        <v>5.0</v>
      </c>
      <c r="J417" s="14">
        <v>0.01</v>
      </c>
      <c r="K417" s="14">
        <v>1.4</v>
      </c>
    </row>
    <row r="418" ht="15.75" customHeight="1">
      <c r="A418" s="9" t="s">
        <v>2082</v>
      </c>
      <c r="B418" s="10" t="s">
        <v>2083</v>
      </c>
      <c r="C418" s="11" t="s">
        <v>844</v>
      </c>
      <c r="D418" s="12" t="s">
        <v>277</v>
      </c>
      <c r="E418" s="13" t="s">
        <v>32</v>
      </c>
      <c r="F418" s="14" t="s">
        <v>278</v>
      </c>
      <c r="G418" s="14" t="b">
        <v>0</v>
      </c>
      <c r="H418" s="14" t="s">
        <v>1754</v>
      </c>
      <c r="I418" s="14">
        <v>5.0</v>
      </c>
      <c r="J418" s="14">
        <v>0.01</v>
      </c>
      <c r="K418" s="14">
        <v>0.4</v>
      </c>
    </row>
    <row r="419" ht="15.75" customHeight="1">
      <c r="A419" s="9" t="s">
        <v>2084</v>
      </c>
      <c r="B419" s="10" t="s">
        <v>2085</v>
      </c>
      <c r="C419" s="11" t="s">
        <v>333</v>
      </c>
      <c r="D419" s="12" t="s">
        <v>19</v>
      </c>
      <c r="E419" s="13" t="s">
        <v>20</v>
      </c>
      <c r="F419" s="14" t="s">
        <v>21</v>
      </c>
      <c r="G419" s="14" t="b">
        <v>0</v>
      </c>
      <c r="H419" s="14" t="s">
        <v>2086</v>
      </c>
      <c r="I419" s="14">
        <v>5.0</v>
      </c>
      <c r="J419" s="14">
        <v>0.01</v>
      </c>
      <c r="K419" s="14">
        <v>1.2</v>
      </c>
    </row>
    <row r="420" ht="15.75" customHeight="1">
      <c r="A420" s="9" t="s">
        <v>2087</v>
      </c>
      <c r="B420" s="10" t="s">
        <v>2088</v>
      </c>
      <c r="C420" s="10" t="s">
        <v>228</v>
      </c>
      <c r="D420" s="12" t="s">
        <v>19</v>
      </c>
      <c r="E420" s="13" t="s">
        <v>32</v>
      </c>
      <c r="F420" s="14" t="s">
        <v>21</v>
      </c>
      <c r="G420" s="14" t="b">
        <v>0</v>
      </c>
      <c r="H420" s="14" t="s">
        <v>2089</v>
      </c>
      <c r="I420" s="14">
        <v>5.0</v>
      </c>
      <c r="J420" s="14">
        <v>0.01</v>
      </c>
      <c r="K420" s="14">
        <v>1.2</v>
      </c>
    </row>
    <row r="421" ht="15.75" customHeight="1">
      <c r="A421" s="9" t="s">
        <v>2090</v>
      </c>
      <c r="B421" s="10" t="s">
        <v>2091</v>
      </c>
      <c r="C421" s="11" t="s">
        <v>84</v>
      </c>
      <c r="D421" s="12" t="s">
        <v>213</v>
      </c>
      <c r="E421" s="13" t="s">
        <v>85</v>
      </c>
      <c r="F421" s="14" t="s">
        <v>215</v>
      </c>
      <c r="G421" s="14" t="b">
        <v>0</v>
      </c>
      <c r="H421" s="14" t="s">
        <v>2092</v>
      </c>
      <c r="I421" s="14">
        <v>5.0</v>
      </c>
      <c r="J421" s="14">
        <v>0.01</v>
      </c>
      <c r="K421" s="14">
        <v>1.0</v>
      </c>
    </row>
    <row r="422" ht="15.75" customHeight="1">
      <c r="A422" s="9" t="s">
        <v>2093</v>
      </c>
      <c r="B422" s="10" t="s">
        <v>778</v>
      </c>
      <c r="C422" s="11" t="s">
        <v>363</v>
      </c>
      <c r="D422" s="12" t="s">
        <v>19</v>
      </c>
      <c r="E422" s="13" t="s">
        <v>116</v>
      </c>
      <c r="F422" s="14" t="s">
        <v>21</v>
      </c>
      <c r="G422" s="14" t="b">
        <v>0</v>
      </c>
      <c r="H422" s="14" t="s">
        <v>366</v>
      </c>
      <c r="I422" s="14">
        <v>5.0</v>
      </c>
      <c r="J422" s="14">
        <v>0.01</v>
      </c>
      <c r="K422" s="14">
        <v>1.4</v>
      </c>
    </row>
    <row r="423" ht="15.75" customHeight="1">
      <c r="A423" s="9" t="s">
        <v>2094</v>
      </c>
      <c r="B423" s="10" t="s">
        <v>2095</v>
      </c>
      <c r="C423" s="11" t="s">
        <v>48</v>
      </c>
      <c r="D423" s="12" t="s">
        <v>277</v>
      </c>
      <c r="E423" s="13" t="s">
        <v>20</v>
      </c>
      <c r="F423" s="14" t="s">
        <v>278</v>
      </c>
      <c r="G423" s="14" t="b">
        <v>0</v>
      </c>
      <c r="H423" s="14" t="s">
        <v>387</v>
      </c>
      <c r="I423" s="14">
        <v>5.0</v>
      </c>
      <c r="J423" s="14">
        <v>0.01</v>
      </c>
      <c r="K423" s="14">
        <v>0.6</v>
      </c>
    </row>
    <row r="424" ht="15.75" customHeight="1">
      <c r="A424" s="9" t="s">
        <v>2096</v>
      </c>
      <c r="B424" s="10" t="s">
        <v>2097</v>
      </c>
      <c r="C424" s="11" t="s">
        <v>48</v>
      </c>
      <c r="D424" s="12" t="s">
        <v>277</v>
      </c>
      <c r="E424" s="13" t="s">
        <v>20</v>
      </c>
      <c r="F424" s="14" t="s">
        <v>278</v>
      </c>
      <c r="G424" s="14" t="b">
        <v>0</v>
      </c>
      <c r="H424" s="14" t="s">
        <v>387</v>
      </c>
      <c r="I424" s="14">
        <v>5.0</v>
      </c>
      <c r="J424" s="14">
        <v>0.01</v>
      </c>
      <c r="K424" s="14">
        <v>0.4</v>
      </c>
    </row>
    <row r="425" ht="15.75" customHeight="1">
      <c r="A425" s="9" t="s">
        <v>2098</v>
      </c>
      <c r="B425" s="10" t="s">
        <v>448</v>
      </c>
      <c r="C425" s="11" t="s">
        <v>48</v>
      </c>
      <c r="D425" s="12" t="s">
        <v>277</v>
      </c>
      <c r="E425" s="13" t="s">
        <v>20</v>
      </c>
      <c r="F425" s="14" t="s">
        <v>278</v>
      </c>
      <c r="G425" s="14" t="b">
        <v>0</v>
      </c>
      <c r="H425" s="14" t="s">
        <v>450</v>
      </c>
      <c r="I425" s="14">
        <v>5.0</v>
      </c>
      <c r="J425" s="14">
        <v>0.01</v>
      </c>
      <c r="K425" s="14">
        <v>2.0</v>
      </c>
    </row>
    <row r="426" ht="15.75" customHeight="1">
      <c r="A426" s="9" t="s">
        <v>2099</v>
      </c>
      <c r="B426" s="10" t="s">
        <v>2100</v>
      </c>
      <c r="C426" s="11" t="s">
        <v>389</v>
      </c>
      <c r="D426" s="12" t="s">
        <v>19</v>
      </c>
      <c r="E426" s="13" t="s">
        <v>116</v>
      </c>
      <c r="F426" s="14" t="s">
        <v>21</v>
      </c>
      <c r="G426" s="14" t="b">
        <v>0</v>
      </c>
      <c r="H426" s="14" t="s">
        <v>2101</v>
      </c>
      <c r="I426" s="14">
        <v>5.0</v>
      </c>
      <c r="J426" s="14">
        <v>0.01</v>
      </c>
      <c r="K426" s="14">
        <v>0.2</v>
      </c>
    </row>
    <row r="427" ht="15.75" customHeight="1">
      <c r="A427" s="9" t="s">
        <v>2102</v>
      </c>
      <c r="B427" s="10" t="s">
        <v>2103</v>
      </c>
      <c r="C427" s="11" t="s">
        <v>901</v>
      </c>
      <c r="D427" s="12" t="s">
        <v>312</v>
      </c>
      <c r="E427" s="13" t="s">
        <v>20</v>
      </c>
      <c r="F427" s="14" t="s">
        <v>313</v>
      </c>
      <c r="G427" s="14" t="b">
        <v>0</v>
      </c>
      <c r="H427" s="14" t="s">
        <v>903</v>
      </c>
      <c r="I427" s="14">
        <v>5.0</v>
      </c>
      <c r="J427" s="14">
        <v>0.01</v>
      </c>
      <c r="K427" s="14">
        <v>0.6</v>
      </c>
    </row>
    <row r="428" ht="15.75" customHeight="1">
      <c r="A428" s="9" t="s">
        <v>2104</v>
      </c>
      <c r="B428" s="10" t="s">
        <v>2105</v>
      </c>
      <c r="C428" s="11" t="s">
        <v>348</v>
      </c>
      <c r="D428" s="12" t="s">
        <v>19</v>
      </c>
      <c r="E428" s="13" t="s">
        <v>32</v>
      </c>
      <c r="F428" s="14" t="s">
        <v>21</v>
      </c>
      <c r="G428" s="14" t="b">
        <v>0</v>
      </c>
      <c r="H428" s="14" t="s">
        <v>1483</v>
      </c>
      <c r="I428" s="14">
        <v>5.0</v>
      </c>
      <c r="J428" s="14">
        <v>0.01</v>
      </c>
      <c r="K428" s="14">
        <v>0.2</v>
      </c>
    </row>
    <row r="429" ht="15.75" customHeight="1">
      <c r="A429" s="9" t="s">
        <v>2106</v>
      </c>
      <c r="B429" s="10" t="s">
        <v>2107</v>
      </c>
      <c r="C429" s="11" t="s">
        <v>36</v>
      </c>
      <c r="D429" s="12" t="s">
        <v>30</v>
      </c>
      <c r="E429" s="13" t="s">
        <v>32</v>
      </c>
      <c r="F429" s="14" t="s">
        <v>34</v>
      </c>
      <c r="G429" s="14" t="b">
        <v>0</v>
      </c>
      <c r="H429" s="14" t="s">
        <v>2108</v>
      </c>
      <c r="I429" s="14">
        <v>5.0</v>
      </c>
      <c r="J429" s="14">
        <v>0.01</v>
      </c>
      <c r="K429" s="14">
        <v>0.0</v>
      </c>
    </row>
    <row r="430" ht="15.75" customHeight="1">
      <c r="A430" s="9" t="s">
        <v>2109</v>
      </c>
      <c r="B430" s="10" t="s">
        <v>2110</v>
      </c>
      <c r="C430" s="11" t="s">
        <v>905</v>
      </c>
      <c r="D430" s="12" t="s">
        <v>30</v>
      </c>
      <c r="E430" s="13" t="s">
        <v>102</v>
      </c>
      <c r="F430" s="14" t="s">
        <v>34</v>
      </c>
      <c r="G430" s="14" t="b">
        <v>0</v>
      </c>
      <c r="H430" s="14" t="s">
        <v>2111</v>
      </c>
      <c r="I430" s="14">
        <v>5.0</v>
      </c>
      <c r="J430" s="14">
        <v>0.01</v>
      </c>
      <c r="K430" s="14">
        <v>0.4</v>
      </c>
    </row>
    <row r="431" ht="15.75" customHeight="1">
      <c r="A431" s="9" t="s">
        <v>2112</v>
      </c>
      <c r="B431" s="10" t="s">
        <v>2113</v>
      </c>
      <c r="C431" s="11" t="s">
        <v>72</v>
      </c>
      <c r="D431" s="12" t="s">
        <v>19</v>
      </c>
      <c r="E431" s="13" t="s">
        <v>32</v>
      </c>
      <c r="F431" s="14" t="s">
        <v>21</v>
      </c>
      <c r="G431" s="14" t="b">
        <v>0</v>
      </c>
      <c r="H431" s="14" t="s">
        <v>2114</v>
      </c>
      <c r="I431" s="14">
        <v>5.0</v>
      </c>
      <c r="J431" s="14">
        <v>0.01</v>
      </c>
      <c r="K431" s="14">
        <v>1.8</v>
      </c>
    </row>
    <row r="432" ht="15.75" customHeight="1">
      <c r="A432" s="9" t="s">
        <v>2115</v>
      </c>
      <c r="B432" s="10" t="s">
        <v>2116</v>
      </c>
      <c r="C432" s="10" t="s">
        <v>909</v>
      </c>
      <c r="D432" s="12" t="s">
        <v>312</v>
      </c>
      <c r="E432" s="13" t="s">
        <v>32</v>
      </c>
      <c r="F432" s="14" t="s">
        <v>313</v>
      </c>
      <c r="G432" s="14" t="b">
        <v>0</v>
      </c>
      <c r="I432" s="14">
        <v>5.0</v>
      </c>
      <c r="J432" s="14">
        <v>0.01</v>
      </c>
      <c r="K432" s="14">
        <v>0.0</v>
      </c>
    </row>
    <row r="433" ht="15.75" customHeight="1">
      <c r="A433" s="9" t="s">
        <v>2117</v>
      </c>
      <c r="B433" s="10" t="s">
        <v>2118</v>
      </c>
      <c r="C433" s="11" t="s">
        <v>764</v>
      </c>
      <c r="D433" s="12" t="s">
        <v>277</v>
      </c>
      <c r="E433" s="13" t="s">
        <v>32</v>
      </c>
      <c r="F433" s="14" t="s">
        <v>278</v>
      </c>
      <c r="G433" s="14" t="b">
        <v>0</v>
      </c>
      <c r="I433" s="14">
        <v>5.0</v>
      </c>
      <c r="J433" s="14">
        <v>0.01</v>
      </c>
      <c r="K433" s="14">
        <v>1.6</v>
      </c>
    </row>
    <row r="434" ht="15.75" customHeight="1">
      <c r="A434" s="9" t="s">
        <v>2119</v>
      </c>
      <c r="B434" s="10" t="s">
        <v>2120</v>
      </c>
      <c r="C434" s="11" t="s">
        <v>132</v>
      </c>
      <c r="D434" s="12" t="s">
        <v>125</v>
      </c>
      <c r="E434" s="13" t="s">
        <v>20</v>
      </c>
      <c r="F434" s="14" t="s">
        <v>126</v>
      </c>
      <c r="G434" s="14" t="b">
        <v>0</v>
      </c>
      <c r="H434" s="14" t="s">
        <v>2121</v>
      </c>
      <c r="I434" s="14">
        <v>5.0</v>
      </c>
      <c r="J434" s="14">
        <v>0.01</v>
      </c>
      <c r="K434" s="14">
        <v>1.2</v>
      </c>
    </row>
    <row r="435" ht="15.75" customHeight="1">
      <c r="A435" s="9" t="s">
        <v>2122</v>
      </c>
      <c r="B435" s="10" t="s">
        <v>2123</v>
      </c>
      <c r="C435" s="11" t="s">
        <v>910</v>
      </c>
      <c r="D435" s="12" t="s">
        <v>19</v>
      </c>
      <c r="E435" s="13" t="s">
        <v>32</v>
      </c>
      <c r="F435" s="14" t="s">
        <v>21</v>
      </c>
      <c r="G435" s="14" t="b">
        <v>0</v>
      </c>
      <c r="H435" s="14" t="s">
        <v>467</v>
      </c>
      <c r="I435" s="14">
        <v>5.0</v>
      </c>
      <c r="J435" s="14">
        <v>0.01</v>
      </c>
      <c r="K435" s="14">
        <v>0.0</v>
      </c>
    </row>
    <row r="436" ht="15.75" customHeight="1">
      <c r="A436" s="9" t="s">
        <v>2124</v>
      </c>
      <c r="B436" s="10" t="s">
        <v>2125</v>
      </c>
      <c r="C436" s="11" t="s">
        <v>692</v>
      </c>
      <c r="D436" s="12" t="s">
        <v>116</v>
      </c>
      <c r="E436" s="13" t="s">
        <v>32</v>
      </c>
      <c r="F436" s="14" t="s">
        <v>117</v>
      </c>
      <c r="G436" s="14" t="b">
        <v>0</v>
      </c>
      <c r="I436" s="14">
        <v>4.0</v>
      </c>
      <c r="J436" s="14">
        <v>0.0</v>
      </c>
      <c r="K436" s="14">
        <v>1.75</v>
      </c>
    </row>
    <row r="437" ht="15.75" customHeight="1">
      <c r="A437" s="9" t="s">
        <v>2126</v>
      </c>
      <c r="B437" s="10" t="s">
        <v>2127</v>
      </c>
      <c r="C437" s="11" t="s">
        <v>432</v>
      </c>
      <c r="D437" s="12" t="s">
        <v>312</v>
      </c>
      <c r="E437" s="13" t="s">
        <v>102</v>
      </c>
      <c r="F437" s="14" t="s">
        <v>313</v>
      </c>
      <c r="G437" s="14" t="b">
        <v>0</v>
      </c>
      <c r="I437" s="14">
        <v>4.0</v>
      </c>
      <c r="J437" s="14">
        <v>0.0</v>
      </c>
      <c r="K437" s="14">
        <v>0.25</v>
      </c>
    </row>
    <row r="438" ht="15.75" customHeight="1">
      <c r="A438" s="9" t="s">
        <v>2128</v>
      </c>
      <c r="B438" s="10" t="s">
        <v>2129</v>
      </c>
      <c r="C438" s="11" t="s">
        <v>25</v>
      </c>
      <c r="D438" s="12" t="s">
        <v>116</v>
      </c>
      <c r="E438" s="13" t="s">
        <v>32</v>
      </c>
      <c r="F438" s="14" t="s">
        <v>117</v>
      </c>
      <c r="G438" s="14" t="b">
        <v>0</v>
      </c>
      <c r="H438" s="14" t="s">
        <v>2130</v>
      </c>
      <c r="I438" s="14">
        <v>4.0</v>
      </c>
      <c r="J438" s="14">
        <v>0.0</v>
      </c>
      <c r="K438" s="14">
        <v>0.0</v>
      </c>
    </row>
    <row r="439" ht="15.75" customHeight="1">
      <c r="A439" s="9" t="s">
        <v>2131</v>
      </c>
      <c r="B439" s="10" t="s">
        <v>2132</v>
      </c>
      <c r="C439" s="11" t="s">
        <v>25</v>
      </c>
      <c r="D439" s="12" t="s">
        <v>30</v>
      </c>
      <c r="E439" s="13" t="s">
        <v>32</v>
      </c>
      <c r="F439" s="14" t="s">
        <v>34</v>
      </c>
      <c r="G439" s="14" t="b">
        <v>0</v>
      </c>
      <c r="H439" s="14" t="s">
        <v>79</v>
      </c>
      <c r="I439" s="14">
        <v>4.0</v>
      </c>
      <c r="J439" s="14">
        <v>0.0</v>
      </c>
      <c r="K439" s="14">
        <v>0.0</v>
      </c>
    </row>
    <row r="440" ht="15.75" customHeight="1">
      <c r="A440" s="9" t="s">
        <v>2133</v>
      </c>
      <c r="B440" s="10" t="s">
        <v>2134</v>
      </c>
      <c r="C440" s="11" t="s">
        <v>929</v>
      </c>
      <c r="D440" s="12" t="s">
        <v>125</v>
      </c>
      <c r="E440" s="13" t="s">
        <v>32</v>
      </c>
      <c r="F440" s="14" t="s">
        <v>126</v>
      </c>
      <c r="G440" s="14" t="b">
        <v>0</v>
      </c>
      <c r="H440" s="14" t="s">
        <v>309</v>
      </c>
      <c r="I440" s="14">
        <v>4.0</v>
      </c>
      <c r="J440" s="14">
        <v>0.0</v>
      </c>
      <c r="K440" s="14">
        <v>1.25</v>
      </c>
    </row>
    <row r="441" ht="15.75" customHeight="1">
      <c r="A441" s="9" t="s">
        <v>2135</v>
      </c>
      <c r="B441" s="10" t="s">
        <v>2136</v>
      </c>
      <c r="C441" s="11" t="s">
        <v>933</v>
      </c>
      <c r="D441" s="12" t="s">
        <v>1143</v>
      </c>
      <c r="E441" s="13" t="s">
        <v>32</v>
      </c>
      <c r="F441" s="14" t="s">
        <v>1145</v>
      </c>
      <c r="G441" s="14" t="b">
        <v>0</v>
      </c>
      <c r="I441" s="14">
        <v>4.0</v>
      </c>
      <c r="J441" s="14">
        <v>0.0</v>
      </c>
      <c r="K441" s="14">
        <v>1.0</v>
      </c>
    </row>
    <row r="442" ht="15.75" customHeight="1">
      <c r="A442" s="9" t="s">
        <v>2137</v>
      </c>
      <c r="B442" s="10" t="s">
        <v>2138</v>
      </c>
      <c r="C442" s="11" t="s">
        <v>935</v>
      </c>
      <c r="D442" s="12" t="s">
        <v>19</v>
      </c>
      <c r="E442" s="13" t="s">
        <v>1201</v>
      </c>
      <c r="F442" s="14" t="s">
        <v>21</v>
      </c>
      <c r="G442" s="14" t="b">
        <v>0</v>
      </c>
      <c r="H442" s="14" t="s">
        <v>2139</v>
      </c>
      <c r="I442" s="14">
        <v>4.0</v>
      </c>
      <c r="J442" s="14">
        <v>0.0</v>
      </c>
      <c r="K442" s="14">
        <v>1.25</v>
      </c>
    </row>
    <row r="443" ht="15.75" customHeight="1">
      <c r="A443" s="9" t="s">
        <v>2140</v>
      </c>
      <c r="B443" s="13"/>
      <c r="C443" s="11" t="s">
        <v>918</v>
      </c>
      <c r="D443" s="12" t="s">
        <v>116</v>
      </c>
      <c r="E443" s="13" t="s">
        <v>32</v>
      </c>
      <c r="F443" s="14" t="s">
        <v>117</v>
      </c>
      <c r="H443" s="14" t="s">
        <v>824</v>
      </c>
      <c r="I443" s="14">
        <v>4.0</v>
      </c>
      <c r="J443" s="14">
        <v>0.0</v>
      </c>
      <c r="K443" s="14">
        <v>1.5</v>
      </c>
    </row>
    <row r="444" ht="15.75" customHeight="1">
      <c r="A444" s="9" t="s">
        <v>2141</v>
      </c>
      <c r="B444" s="13"/>
      <c r="C444" s="11" t="s">
        <v>938</v>
      </c>
      <c r="D444" s="12" t="s">
        <v>116</v>
      </c>
      <c r="E444" s="13" t="s">
        <v>102</v>
      </c>
      <c r="F444" s="14" t="s">
        <v>117</v>
      </c>
      <c r="H444" s="14" t="s">
        <v>824</v>
      </c>
      <c r="I444" s="14">
        <v>4.0</v>
      </c>
      <c r="J444" s="14">
        <v>0.0</v>
      </c>
      <c r="K444" s="14">
        <v>1.25</v>
      </c>
    </row>
    <row r="445" ht="15.75" customHeight="1">
      <c r="A445" s="9" t="s">
        <v>2142</v>
      </c>
      <c r="B445" s="10" t="s">
        <v>2143</v>
      </c>
      <c r="C445" s="11" t="s">
        <v>427</v>
      </c>
      <c r="D445" s="12" t="s">
        <v>125</v>
      </c>
      <c r="E445" s="13" t="s">
        <v>20</v>
      </c>
      <c r="F445" s="14" t="s">
        <v>126</v>
      </c>
      <c r="G445" s="14" t="b">
        <v>0</v>
      </c>
      <c r="H445" s="14" t="s">
        <v>1538</v>
      </c>
      <c r="I445" s="14">
        <v>4.0</v>
      </c>
      <c r="J445" s="14">
        <v>0.0</v>
      </c>
      <c r="K445" s="14">
        <v>1.5</v>
      </c>
    </row>
    <row r="446" ht="15.75" customHeight="1">
      <c r="A446" s="9" t="s">
        <v>2144</v>
      </c>
      <c r="B446" s="10" t="s">
        <v>2145</v>
      </c>
      <c r="C446" s="11" t="s">
        <v>940</v>
      </c>
      <c r="D446" s="12" t="s">
        <v>19</v>
      </c>
      <c r="E446" s="13" t="s">
        <v>85</v>
      </c>
      <c r="F446" s="14" t="s">
        <v>21</v>
      </c>
      <c r="G446" s="14" t="b">
        <v>0</v>
      </c>
      <c r="H446" s="14" t="s">
        <v>2146</v>
      </c>
      <c r="I446" s="14">
        <v>4.0</v>
      </c>
      <c r="J446" s="14">
        <v>0.0</v>
      </c>
      <c r="K446" s="14">
        <v>0.75</v>
      </c>
    </row>
    <row r="447" ht="15.75" customHeight="1">
      <c r="A447" s="9" t="s">
        <v>2147</v>
      </c>
      <c r="B447" s="10" t="s">
        <v>2148</v>
      </c>
      <c r="C447" s="11" t="s">
        <v>330</v>
      </c>
      <c r="D447" s="12" t="s">
        <v>19</v>
      </c>
      <c r="E447" s="13" t="s">
        <v>102</v>
      </c>
      <c r="F447" s="14" t="s">
        <v>21</v>
      </c>
      <c r="G447" s="14" t="b">
        <v>0</v>
      </c>
      <c r="H447" s="14" t="s">
        <v>2149</v>
      </c>
      <c r="I447" s="14">
        <v>4.0</v>
      </c>
      <c r="J447" s="14">
        <v>0.0</v>
      </c>
      <c r="K447" s="14">
        <v>1.0</v>
      </c>
    </row>
    <row r="448" ht="15.75" customHeight="1">
      <c r="A448" s="9" t="s">
        <v>2150</v>
      </c>
      <c r="B448" s="10" t="s">
        <v>2151</v>
      </c>
      <c r="C448" s="11" t="s">
        <v>70</v>
      </c>
      <c r="D448" s="12" t="s">
        <v>19</v>
      </c>
      <c r="E448" s="13" t="s">
        <v>20</v>
      </c>
      <c r="F448" s="14" t="s">
        <v>21</v>
      </c>
      <c r="G448" s="14" t="b">
        <v>0</v>
      </c>
      <c r="H448" s="14" t="s">
        <v>2152</v>
      </c>
      <c r="I448" s="14">
        <v>4.0</v>
      </c>
      <c r="J448" s="14">
        <v>0.0</v>
      </c>
      <c r="K448" s="14">
        <v>4.25</v>
      </c>
    </row>
    <row r="449" ht="15.75" customHeight="1">
      <c r="A449" s="9" t="s">
        <v>2153</v>
      </c>
      <c r="B449" s="10" t="s">
        <v>2154</v>
      </c>
      <c r="C449" s="11" t="s">
        <v>70</v>
      </c>
      <c r="D449" s="12" t="s">
        <v>19</v>
      </c>
      <c r="E449" s="13" t="s">
        <v>20</v>
      </c>
      <c r="F449" s="14" t="s">
        <v>21</v>
      </c>
      <c r="G449" s="14" t="b">
        <v>0</v>
      </c>
      <c r="H449" s="14" t="s">
        <v>2155</v>
      </c>
      <c r="I449" s="14">
        <v>4.0</v>
      </c>
      <c r="J449" s="14">
        <v>0.0</v>
      </c>
      <c r="K449" s="14">
        <v>0.5</v>
      </c>
    </row>
    <row r="450" ht="15.75" customHeight="1">
      <c r="A450" s="9" t="s">
        <v>2156</v>
      </c>
      <c r="B450" s="10" t="s">
        <v>2157</v>
      </c>
      <c r="C450" s="11" t="s">
        <v>946</v>
      </c>
      <c r="D450" s="12" t="s">
        <v>116</v>
      </c>
      <c r="E450" s="13" t="s">
        <v>159</v>
      </c>
      <c r="F450" s="14" t="s">
        <v>117</v>
      </c>
      <c r="G450" s="14" t="b">
        <v>0</v>
      </c>
      <c r="I450" s="14">
        <v>4.0</v>
      </c>
      <c r="J450" s="14">
        <v>0.0</v>
      </c>
      <c r="K450" s="14">
        <v>1.25</v>
      </c>
    </row>
    <row r="451" ht="15.75" customHeight="1">
      <c r="A451" s="9" t="s">
        <v>2158</v>
      </c>
      <c r="B451" s="10" t="s">
        <v>2159</v>
      </c>
      <c r="C451" s="11" t="s">
        <v>761</v>
      </c>
      <c r="D451" s="12" t="s">
        <v>30</v>
      </c>
      <c r="E451" s="13" t="s">
        <v>102</v>
      </c>
      <c r="F451" s="14" t="s">
        <v>34</v>
      </c>
      <c r="G451" s="14" t="b">
        <v>0</v>
      </c>
      <c r="H451" s="14" t="s">
        <v>2160</v>
      </c>
      <c r="I451" s="14">
        <v>4.0</v>
      </c>
      <c r="J451" s="14">
        <v>0.0</v>
      </c>
      <c r="K451" s="14">
        <v>1.0</v>
      </c>
    </row>
    <row r="452" ht="15.75" customHeight="1">
      <c r="A452" s="9" t="s">
        <v>2161</v>
      </c>
      <c r="B452" s="10" t="s">
        <v>2162</v>
      </c>
      <c r="C452" s="11" t="s">
        <v>18</v>
      </c>
      <c r="D452" s="12" t="s">
        <v>30</v>
      </c>
      <c r="E452" s="13" t="s">
        <v>32</v>
      </c>
      <c r="F452" s="14" t="s">
        <v>34</v>
      </c>
      <c r="G452" s="14" t="b">
        <v>0</v>
      </c>
      <c r="H452" s="14" t="s">
        <v>2163</v>
      </c>
      <c r="I452" s="14">
        <v>4.0</v>
      </c>
      <c r="J452" s="14">
        <v>0.0</v>
      </c>
      <c r="K452" s="14">
        <v>0.0</v>
      </c>
    </row>
    <row r="453" ht="15.75" customHeight="1">
      <c r="A453" s="9" t="s">
        <v>2164</v>
      </c>
      <c r="B453" s="10" t="s">
        <v>2165</v>
      </c>
      <c r="C453" s="11" t="s">
        <v>18</v>
      </c>
      <c r="D453" s="12" t="s">
        <v>30</v>
      </c>
      <c r="E453" s="13" t="s">
        <v>32</v>
      </c>
      <c r="F453" s="14" t="s">
        <v>34</v>
      </c>
      <c r="G453" s="14" t="b">
        <v>0</v>
      </c>
      <c r="H453" s="14" t="s">
        <v>2166</v>
      </c>
      <c r="I453" s="14">
        <v>4.0</v>
      </c>
      <c r="J453" s="14">
        <v>0.0</v>
      </c>
      <c r="K453" s="14">
        <v>0.0</v>
      </c>
    </row>
    <row r="454" ht="15.75" customHeight="1">
      <c r="A454" s="9" t="s">
        <v>2167</v>
      </c>
      <c r="B454" s="10" t="s">
        <v>135</v>
      </c>
      <c r="C454" s="11" t="s">
        <v>18</v>
      </c>
      <c r="D454" s="12" t="s">
        <v>30</v>
      </c>
      <c r="E454" s="13" t="s">
        <v>32</v>
      </c>
      <c r="F454" s="14" t="s">
        <v>34</v>
      </c>
      <c r="G454" s="14" t="b">
        <v>0</v>
      </c>
      <c r="H454" s="14" t="s">
        <v>2168</v>
      </c>
      <c r="I454" s="14">
        <v>4.0</v>
      </c>
      <c r="J454" s="14">
        <v>0.0</v>
      </c>
      <c r="K454" s="14">
        <v>0.0</v>
      </c>
    </row>
    <row r="455" ht="15.75" customHeight="1">
      <c r="A455" s="9" t="s">
        <v>2169</v>
      </c>
      <c r="B455" s="10" t="s">
        <v>2170</v>
      </c>
      <c r="C455" s="11" t="s">
        <v>18</v>
      </c>
      <c r="D455" s="12" t="s">
        <v>30</v>
      </c>
      <c r="E455" s="13" t="s">
        <v>32</v>
      </c>
      <c r="F455" s="14" t="s">
        <v>34</v>
      </c>
      <c r="G455" s="14" t="b">
        <v>0</v>
      </c>
      <c r="H455" s="14" t="s">
        <v>2171</v>
      </c>
      <c r="I455" s="14">
        <v>4.0</v>
      </c>
      <c r="J455" s="14">
        <v>0.0</v>
      </c>
      <c r="K455" s="14">
        <v>0.5</v>
      </c>
    </row>
    <row r="456" ht="15.75" customHeight="1">
      <c r="A456" s="9" t="s">
        <v>2172</v>
      </c>
      <c r="B456" s="10" t="s">
        <v>2173</v>
      </c>
      <c r="C456" s="11" t="s">
        <v>247</v>
      </c>
      <c r="D456" s="12" t="s">
        <v>19</v>
      </c>
      <c r="E456" s="13" t="s">
        <v>32</v>
      </c>
      <c r="F456" s="14" t="s">
        <v>21</v>
      </c>
      <c r="G456" s="14" t="b">
        <v>0</v>
      </c>
      <c r="H456" s="14" t="s">
        <v>2174</v>
      </c>
      <c r="I456" s="14">
        <v>4.0</v>
      </c>
      <c r="J456" s="14">
        <v>0.0</v>
      </c>
      <c r="K456" s="14">
        <v>1.0</v>
      </c>
    </row>
    <row r="457" ht="15.75" customHeight="1">
      <c r="A457" s="9" t="s">
        <v>2175</v>
      </c>
      <c r="B457" s="10" t="s">
        <v>2176</v>
      </c>
      <c r="C457" s="11" t="s">
        <v>915</v>
      </c>
      <c r="D457" s="12" t="s">
        <v>116</v>
      </c>
      <c r="E457" s="13" t="s">
        <v>32</v>
      </c>
      <c r="F457" s="14" t="s">
        <v>117</v>
      </c>
      <c r="G457" s="14" t="b">
        <v>0</v>
      </c>
      <c r="H457" s="14" t="s">
        <v>916</v>
      </c>
      <c r="I457" s="14">
        <v>4.0</v>
      </c>
      <c r="J457" s="14">
        <v>0.0</v>
      </c>
      <c r="K457" s="14">
        <v>1.5</v>
      </c>
    </row>
    <row r="458" ht="15.75" customHeight="1">
      <c r="A458" s="9" t="s">
        <v>2177</v>
      </c>
      <c r="B458" s="10" t="s">
        <v>2178</v>
      </c>
      <c r="C458" s="11" t="s">
        <v>876</v>
      </c>
      <c r="D458" s="12" t="s">
        <v>277</v>
      </c>
      <c r="E458" s="13" t="s">
        <v>32</v>
      </c>
      <c r="F458" s="14" t="s">
        <v>278</v>
      </c>
      <c r="G458" s="14" t="b">
        <v>0</v>
      </c>
      <c r="H458" s="14" t="s">
        <v>538</v>
      </c>
      <c r="I458" s="14">
        <v>4.0</v>
      </c>
      <c r="J458" s="14">
        <v>0.0</v>
      </c>
      <c r="K458" s="14">
        <v>1.75</v>
      </c>
    </row>
    <row r="459" ht="15.75" customHeight="1">
      <c r="A459" s="9" t="s">
        <v>2179</v>
      </c>
      <c r="B459" s="10" t="s">
        <v>2180</v>
      </c>
      <c r="C459" s="11" t="s">
        <v>920</v>
      </c>
      <c r="D459" s="12" t="s">
        <v>277</v>
      </c>
      <c r="E459" s="13" t="s">
        <v>32</v>
      </c>
      <c r="F459" s="14" t="s">
        <v>278</v>
      </c>
      <c r="G459" s="14" t="b">
        <v>0</v>
      </c>
      <c r="I459" s="14">
        <v>4.0</v>
      </c>
      <c r="J459" s="14">
        <v>0.0</v>
      </c>
      <c r="K459" s="14">
        <v>1.25</v>
      </c>
    </row>
    <row r="460" ht="15.75" customHeight="1">
      <c r="A460" s="9" t="s">
        <v>2181</v>
      </c>
      <c r="B460" s="10" t="s">
        <v>2182</v>
      </c>
      <c r="C460" s="11" t="s">
        <v>375</v>
      </c>
      <c r="D460" s="12" t="s">
        <v>19</v>
      </c>
      <c r="E460" s="13" t="s">
        <v>85</v>
      </c>
      <c r="F460" s="14" t="s">
        <v>21</v>
      </c>
      <c r="G460" s="14" t="b">
        <v>0</v>
      </c>
      <c r="H460" s="14" t="s">
        <v>2183</v>
      </c>
      <c r="I460" s="14">
        <v>4.0</v>
      </c>
      <c r="J460" s="14">
        <v>0.0</v>
      </c>
      <c r="K460" s="14">
        <v>0.0</v>
      </c>
    </row>
    <row r="461" ht="15.75" customHeight="1">
      <c r="A461" s="9" t="s">
        <v>2184</v>
      </c>
      <c r="B461" s="10" t="s">
        <v>2185</v>
      </c>
      <c r="C461" s="11" t="s">
        <v>262</v>
      </c>
      <c r="D461" s="12" t="s">
        <v>19</v>
      </c>
      <c r="E461" s="13" t="s">
        <v>32</v>
      </c>
      <c r="F461" s="14" t="s">
        <v>21</v>
      </c>
      <c r="G461" s="14" t="b">
        <v>0</v>
      </c>
      <c r="H461" s="14" t="s">
        <v>2186</v>
      </c>
      <c r="I461" s="14">
        <v>4.0</v>
      </c>
      <c r="J461" s="14">
        <v>0.0</v>
      </c>
      <c r="K461" s="14">
        <v>0.75</v>
      </c>
    </row>
    <row r="462" ht="15.75" customHeight="1">
      <c r="A462" s="9" t="s">
        <v>2187</v>
      </c>
      <c r="B462" s="10" t="s">
        <v>2188</v>
      </c>
      <c r="C462" s="11" t="s">
        <v>142</v>
      </c>
      <c r="D462" s="12" t="s">
        <v>30</v>
      </c>
      <c r="E462" s="13" t="s">
        <v>116</v>
      </c>
      <c r="F462" s="14" t="s">
        <v>34</v>
      </c>
      <c r="G462" s="14" t="b">
        <v>0</v>
      </c>
      <c r="I462" s="14">
        <v>4.0</v>
      </c>
      <c r="J462" s="14">
        <v>0.0</v>
      </c>
      <c r="K462" s="14">
        <v>0.0</v>
      </c>
    </row>
    <row r="463" ht="15.75" customHeight="1">
      <c r="A463" s="9" t="s">
        <v>2189</v>
      </c>
      <c r="B463" s="10" t="s">
        <v>2190</v>
      </c>
      <c r="C463" s="11" t="s">
        <v>107</v>
      </c>
      <c r="D463" s="12" t="s">
        <v>116</v>
      </c>
      <c r="E463" s="13" t="s">
        <v>85</v>
      </c>
      <c r="F463" s="14" t="s">
        <v>117</v>
      </c>
      <c r="G463" s="14" t="b">
        <v>0</v>
      </c>
      <c r="H463" s="14" t="s">
        <v>2191</v>
      </c>
      <c r="I463" s="14">
        <v>4.0</v>
      </c>
      <c r="J463" s="14">
        <v>0.0</v>
      </c>
      <c r="K463" s="14">
        <v>0.0</v>
      </c>
    </row>
    <row r="464" ht="15.75" customHeight="1">
      <c r="A464" s="9" t="s">
        <v>2192</v>
      </c>
      <c r="B464" s="10" t="s">
        <v>2193</v>
      </c>
      <c r="C464" s="11" t="s">
        <v>107</v>
      </c>
      <c r="D464" s="12" t="s">
        <v>158</v>
      </c>
      <c r="E464" s="13" t="s">
        <v>85</v>
      </c>
      <c r="F464" s="14" t="s">
        <v>160</v>
      </c>
      <c r="G464" s="14" t="b">
        <v>0</v>
      </c>
      <c r="H464" s="14" t="s">
        <v>2194</v>
      </c>
      <c r="I464" s="14">
        <v>4.0</v>
      </c>
      <c r="J464" s="14">
        <v>0.0</v>
      </c>
      <c r="K464" s="14">
        <v>0.0</v>
      </c>
    </row>
    <row r="465" ht="15.75" customHeight="1">
      <c r="A465" s="9" t="s">
        <v>2195</v>
      </c>
      <c r="B465" s="10" t="s">
        <v>2196</v>
      </c>
      <c r="C465" s="11" t="s">
        <v>443</v>
      </c>
      <c r="D465" s="12" t="s">
        <v>277</v>
      </c>
      <c r="E465" s="13" t="s">
        <v>20</v>
      </c>
      <c r="F465" s="14" t="s">
        <v>278</v>
      </c>
      <c r="G465" s="14" t="b">
        <v>0</v>
      </c>
      <c r="H465" s="14" t="s">
        <v>2197</v>
      </c>
      <c r="I465" s="14">
        <v>4.0</v>
      </c>
      <c r="J465" s="14">
        <v>0.0</v>
      </c>
      <c r="K465" s="14">
        <v>1.0</v>
      </c>
    </row>
    <row r="466" ht="15.75" customHeight="1">
      <c r="A466" s="9" t="s">
        <v>2198</v>
      </c>
      <c r="B466" s="10" t="s">
        <v>2199</v>
      </c>
      <c r="C466" s="11" t="s">
        <v>957</v>
      </c>
      <c r="D466" s="12" t="s">
        <v>277</v>
      </c>
      <c r="E466" s="13" t="s">
        <v>32</v>
      </c>
      <c r="F466" s="14" t="s">
        <v>278</v>
      </c>
      <c r="G466" s="14" t="b">
        <v>0</v>
      </c>
      <c r="H466" s="14" t="s">
        <v>959</v>
      </c>
      <c r="I466" s="14">
        <v>4.0</v>
      </c>
      <c r="J466" s="14">
        <v>0.0</v>
      </c>
      <c r="K466" s="14">
        <v>0.5</v>
      </c>
    </row>
    <row r="467" ht="15.75" customHeight="1">
      <c r="A467" s="9" t="s">
        <v>2200</v>
      </c>
      <c r="B467" s="10" t="s">
        <v>2201</v>
      </c>
      <c r="C467" s="11" t="s">
        <v>964</v>
      </c>
      <c r="D467" s="12" t="s">
        <v>277</v>
      </c>
      <c r="E467" s="13" t="s">
        <v>32</v>
      </c>
      <c r="F467" s="14" t="s">
        <v>278</v>
      </c>
      <c r="G467" s="14" t="b">
        <v>0</v>
      </c>
      <c r="I467" s="14">
        <v>4.0</v>
      </c>
      <c r="J467" s="14">
        <v>0.0</v>
      </c>
      <c r="K467" s="14">
        <v>0.0</v>
      </c>
    </row>
    <row r="468" ht="15.75" customHeight="1">
      <c r="A468" s="9" t="s">
        <v>2202</v>
      </c>
      <c r="B468" s="10" t="s">
        <v>2203</v>
      </c>
      <c r="C468" s="11" t="s">
        <v>60</v>
      </c>
      <c r="D468" s="12" t="s">
        <v>19</v>
      </c>
      <c r="E468" s="13" t="s">
        <v>20</v>
      </c>
      <c r="F468" s="14" t="s">
        <v>21</v>
      </c>
      <c r="G468" s="14" t="b">
        <v>0</v>
      </c>
      <c r="H468" s="14" t="s">
        <v>2204</v>
      </c>
      <c r="I468" s="14">
        <v>4.0</v>
      </c>
      <c r="J468" s="14">
        <v>0.0</v>
      </c>
      <c r="K468" s="14">
        <v>1.25</v>
      </c>
    </row>
    <row r="469" ht="15.75" customHeight="1">
      <c r="A469" s="9" t="s">
        <v>2205</v>
      </c>
      <c r="B469" s="10" t="s">
        <v>2206</v>
      </c>
      <c r="C469" s="11" t="s">
        <v>965</v>
      </c>
      <c r="D469" s="12" t="s">
        <v>19</v>
      </c>
      <c r="E469" s="13" t="s">
        <v>85</v>
      </c>
      <c r="F469" s="14" t="s">
        <v>21</v>
      </c>
      <c r="G469" s="14" t="b">
        <v>0</v>
      </c>
      <c r="H469" s="14" t="s">
        <v>460</v>
      </c>
      <c r="I469" s="14">
        <v>4.0</v>
      </c>
      <c r="J469" s="14">
        <v>0.0</v>
      </c>
      <c r="K469" s="14">
        <v>0.25</v>
      </c>
    </row>
    <row r="470" ht="15.75" customHeight="1">
      <c r="A470" s="9" t="s">
        <v>2207</v>
      </c>
      <c r="B470" s="10" t="s">
        <v>2208</v>
      </c>
      <c r="C470" s="11" t="s">
        <v>184</v>
      </c>
      <c r="D470" s="12" t="s">
        <v>19</v>
      </c>
      <c r="E470" s="13" t="s">
        <v>32</v>
      </c>
      <c r="F470" s="14" t="s">
        <v>21</v>
      </c>
      <c r="G470" s="14" t="b">
        <v>0</v>
      </c>
      <c r="H470" s="14" t="s">
        <v>2209</v>
      </c>
      <c r="I470" s="14">
        <v>4.0</v>
      </c>
      <c r="J470" s="14">
        <v>0.0</v>
      </c>
      <c r="K470" s="14">
        <v>1.5</v>
      </c>
    </row>
    <row r="471" ht="15.75" customHeight="1">
      <c r="A471" s="9" t="s">
        <v>2210</v>
      </c>
      <c r="B471" s="10" t="s">
        <v>2211</v>
      </c>
      <c r="C471" s="11" t="s">
        <v>545</v>
      </c>
      <c r="D471" s="12" t="s">
        <v>277</v>
      </c>
      <c r="E471" s="13" t="s">
        <v>20</v>
      </c>
      <c r="F471" s="14" t="s">
        <v>278</v>
      </c>
      <c r="G471" s="14" t="b">
        <v>0</v>
      </c>
      <c r="H471" s="14" t="s">
        <v>2212</v>
      </c>
      <c r="I471" s="14">
        <v>4.0</v>
      </c>
      <c r="J471" s="14">
        <v>0.0</v>
      </c>
      <c r="K471" s="14">
        <v>1.25</v>
      </c>
    </row>
    <row r="472" ht="15.75" customHeight="1">
      <c r="A472" s="9" t="s">
        <v>2213</v>
      </c>
      <c r="B472" s="10" t="s">
        <v>2214</v>
      </c>
      <c r="C472" s="11" t="s">
        <v>626</v>
      </c>
      <c r="D472" s="12" t="s">
        <v>277</v>
      </c>
      <c r="E472" s="13" t="s">
        <v>32</v>
      </c>
      <c r="F472" s="14" t="s">
        <v>278</v>
      </c>
      <c r="G472" s="14" t="b">
        <v>0</v>
      </c>
      <c r="I472" s="14">
        <v>4.0</v>
      </c>
      <c r="J472" s="14">
        <v>0.0</v>
      </c>
      <c r="K472" s="14">
        <v>1.0</v>
      </c>
    </row>
    <row r="473" ht="15.75" customHeight="1">
      <c r="A473" s="9" t="s">
        <v>2215</v>
      </c>
      <c r="B473" s="13"/>
      <c r="C473" s="11" t="s">
        <v>974</v>
      </c>
      <c r="D473" s="12" t="s">
        <v>125</v>
      </c>
      <c r="E473" s="13" t="s">
        <v>32</v>
      </c>
      <c r="F473" s="14" t="s">
        <v>126</v>
      </c>
      <c r="H473" s="14" t="s">
        <v>824</v>
      </c>
      <c r="I473" s="14">
        <v>4.0</v>
      </c>
      <c r="J473" s="14">
        <v>0.0</v>
      </c>
      <c r="K473" s="14">
        <v>1.5</v>
      </c>
    </row>
    <row r="474" ht="15.75" customHeight="1">
      <c r="A474" s="9" t="s">
        <v>2216</v>
      </c>
      <c r="B474" s="10" t="s">
        <v>2217</v>
      </c>
      <c r="C474" s="11" t="s">
        <v>976</v>
      </c>
      <c r="D474" s="12" t="s">
        <v>125</v>
      </c>
      <c r="E474" s="13" t="s">
        <v>32</v>
      </c>
      <c r="F474" s="14" t="s">
        <v>126</v>
      </c>
      <c r="G474" s="14" t="b">
        <v>0</v>
      </c>
      <c r="I474" s="14">
        <v>4.0</v>
      </c>
      <c r="J474" s="14">
        <v>0.0</v>
      </c>
      <c r="K474" s="14">
        <v>2.25</v>
      </c>
    </row>
    <row r="475" ht="15.75" customHeight="1">
      <c r="A475" s="9" t="s">
        <v>2218</v>
      </c>
      <c r="B475" s="10" t="s">
        <v>2219</v>
      </c>
      <c r="C475" s="11" t="s">
        <v>978</v>
      </c>
      <c r="D475" s="12" t="s">
        <v>19</v>
      </c>
      <c r="E475" s="13" t="s">
        <v>32</v>
      </c>
      <c r="F475" s="14" t="s">
        <v>21</v>
      </c>
      <c r="G475" s="14" t="b">
        <v>0</v>
      </c>
      <c r="H475" s="14" t="s">
        <v>2220</v>
      </c>
      <c r="I475" s="14">
        <v>4.0</v>
      </c>
      <c r="J475" s="14">
        <v>0.0</v>
      </c>
      <c r="K475" s="14">
        <v>0.0</v>
      </c>
    </row>
    <row r="476" ht="15.75" customHeight="1">
      <c r="A476" s="9" t="s">
        <v>2221</v>
      </c>
      <c r="B476" s="10" t="s">
        <v>2222</v>
      </c>
      <c r="C476" s="11" t="s">
        <v>981</v>
      </c>
      <c r="D476" s="12" t="s">
        <v>19</v>
      </c>
      <c r="E476" s="13" t="s">
        <v>32</v>
      </c>
      <c r="F476" s="14" t="s">
        <v>21</v>
      </c>
      <c r="G476" s="14" t="b">
        <v>0</v>
      </c>
      <c r="I476" s="14">
        <v>4.0</v>
      </c>
      <c r="J476" s="14">
        <v>0.0</v>
      </c>
      <c r="K476" s="14">
        <v>0.5</v>
      </c>
    </row>
    <row r="477" ht="15.75" customHeight="1">
      <c r="A477" s="9" t="s">
        <v>2223</v>
      </c>
      <c r="B477" s="10" t="s">
        <v>2224</v>
      </c>
      <c r="C477" s="11" t="s">
        <v>486</v>
      </c>
      <c r="D477" s="12" t="s">
        <v>158</v>
      </c>
      <c r="E477" s="13" t="s">
        <v>20</v>
      </c>
      <c r="F477" s="14" t="s">
        <v>160</v>
      </c>
      <c r="G477" s="14" t="b">
        <v>0</v>
      </c>
      <c r="H477" s="14" t="s">
        <v>487</v>
      </c>
      <c r="I477" s="14">
        <v>4.0</v>
      </c>
      <c r="J477" s="14">
        <v>0.0</v>
      </c>
      <c r="K477" s="14">
        <v>1.0</v>
      </c>
    </row>
    <row r="478" ht="15.75" customHeight="1">
      <c r="A478" s="9" t="s">
        <v>2225</v>
      </c>
      <c r="B478" s="10" t="s">
        <v>2226</v>
      </c>
      <c r="C478" s="11" t="s">
        <v>84</v>
      </c>
      <c r="D478" s="12" t="s">
        <v>213</v>
      </c>
      <c r="E478" s="13" t="s">
        <v>85</v>
      </c>
      <c r="F478" s="14" t="s">
        <v>215</v>
      </c>
      <c r="G478" s="14" t="b">
        <v>0</v>
      </c>
      <c r="H478" s="14" t="s">
        <v>2227</v>
      </c>
      <c r="I478" s="14">
        <v>4.0</v>
      </c>
      <c r="J478" s="14">
        <v>0.0</v>
      </c>
      <c r="K478" s="14">
        <v>0.75</v>
      </c>
    </row>
    <row r="479" ht="15.75" customHeight="1">
      <c r="A479" s="9" t="s">
        <v>2228</v>
      </c>
      <c r="B479" s="10" t="s">
        <v>2229</v>
      </c>
      <c r="C479" s="11" t="s">
        <v>48</v>
      </c>
      <c r="D479" s="12" t="s">
        <v>277</v>
      </c>
      <c r="E479" s="13" t="s">
        <v>20</v>
      </c>
      <c r="F479" s="14" t="s">
        <v>278</v>
      </c>
      <c r="G479" s="14" t="b">
        <v>0</v>
      </c>
      <c r="H479" s="14" t="s">
        <v>387</v>
      </c>
      <c r="I479" s="14">
        <v>4.0</v>
      </c>
      <c r="J479" s="14">
        <v>0.0</v>
      </c>
      <c r="K479" s="14">
        <v>0.5</v>
      </c>
    </row>
    <row r="480" ht="15.75" customHeight="1">
      <c r="A480" s="9" t="s">
        <v>2230</v>
      </c>
      <c r="B480" s="10" t="s">
        <v>2231</v>
      </c>
      <c r="C480" s="11" t="s">
        <v>986</v>
      </c>
      <c r="D480" s="12" t="s">
        <v>312</v>
      </c>
      <c r="E480" s="13" t="s">
        <v>102</v>
      </c>
      <c r="F480" s="14" t="s">
        <v>313</v>
      </c>
      <c r="G480" s="14" t="b">
        <v>0</v>
      </c>
      <c r="H480" s="14" t="s">
        <v>988</v>
      </c>
      <c r="I480" s="14">
        <v>4.0</v>
      </c>
      <c r="J480" s="14">
        <v>0.0</v>
      </c>
      <c r="K480" s="14">
        <v>1.5</v>
      </c>
    </row>
    <row r="481" ht="15.75" customHeight="1">
      <c r="A481" s="9" t="s">
        <v>2232</v>
      </c>
      <c r="B481" s="10" t="s">
        <v>2233</v>
      </c>
      <c r="C481" s="11" t="s">
        <v>104</v>
      </c>
      <c r="D481" s="12" t="s">
        <v>456</v>
      </c>
      <c r="E481" s="13" t="s">
        <v>32</v>
      </c>
      <c r="F481" s="14" t="s">
        <v>457</v>
      </c>
      <c r="G481" s="14" t="b">
        <v>0</v>
      </c>
      <c r="H481" s="14" t="s">
        <v>315</v>
      </c>
      <c r="I481" s="14">
        <v>4.0</v>
      </c>
      <c r="J481" s="14">
        <v>0.0</v>
      </c>
      <c r="K481" s="14">
        <v>0.0</v>
      </c>
    </row>
    <row r="482" ht="15.75" customHeight="1">
      <c r="A482" s="9" t="s">
        <v>2234</v>
      </c>
      <c r="B482" s="10" t="s">
        <v>2235</v>
      </c>
      <c r="C482" s="11" t="s">
        <v>897</v>
      </c>
      <c r="D482" s="12" t="s">
        <v>125</v>
      </c>
      <c r="E482" s="13" t="s">
        <v>32</v>
      </c>
      <c r="F482" s="14" t="s">
        <v>126</v>
      </c>
      <c r="G482" s="14" t="b">
        <v>0</v>
      </c>
      <c r="I482" s="14">
        <v>4.0</v>
      </c>
      <c r="J482" s="14">
        <v>0.0</v>
      </c>
      <c r="K482" s="14">
        <v>0.0</v>
      </c>
    </row>
    <row r="483" ht="15.75" customHeight="1">
      <c r="A483" s="9" t="s">
        <v>2236</v>
      </c>
      <c r="B483" s="10" t="s">
        <v>2237</v>
      </c>
      <c r="C483" s="11" t="s">
        <v>368</v>
      </c>
      <c r="D483" s="12" t="s">
        <v>125</v>
      </c>
      <c r="E483" s="13" t="s">
        <v>32</v>
      </c>
      <c r="F483" s="14" t="s">
        <v>126</v>
      </c>
      <c r="G483" s="14" t="b">
        <v>0</v>
      </c>
      <c r="I483" s="14">
        <v>4.0</v>
      </c>
      <c r="J483" s="14">
        <v>0.0</v>
      </c>
      <c r="K483" s="14">
        <v>0.75</v>
      </c>
    </row>
    <row r="484" ht="15.75" customHeight="1">
      <c r="A484" s="9" t="s">
        <v>2238</v>
      </c>
      <c r="B484" s="10" t="s">
        <v>2239</v>
      </c>
      <c r="C484" s="11" t="s">
        <v>36</v>
      </c>
      <c r="D484" s="12" t="s">
        <v>158</v>
      </c>
      <c r="E484" s="13" t="s">
        <v>32</v>
      </c>
      <c r="F484" s="14" t="s">
        <v>160</v>
      </c>
      <c r="G484" s="14" t="b">
        <v>0</v>
      </c>
      <c r="H484" s="14" t="s">
        <v>2240</v>
      </c>
      <c r="I484" s="14">
        <v>4.0</v>
      </c>
      <c r="J484" s="14">
        <v>0.0</v>
      </c>
      <c r="K484" s="14">
        <v>0.0</v>
      </c>
    </row>
    <row r="485" ht="15.75" customHeight="1">
      <c r="A485" s="9" t="s">
        <v>2241</v>
      </c>
      <c r="B485" s="10" t="s">
        <v>1488</v>
      </c>
      <c r="C485" s="11" t="s">
        <v>198</v>
      </c>
      <c r="D485" s="12" t="s">
        <v>116</v>
      </c>
      <c r="E485" s="13" t="s">
        <v>116</v>
      </c>
      <c r="F485" s="14" t="s">
        <v>117</v>
      </c>
      <c r="G485" s="14" t="b">
        <v>0</v>
      </c>
      <c r="I485" s="14">
        <v>4.0</v>
      </c>
      <c r="J485" s="14">
        <v>0.0</v>
      </c>
      <c r="K485" s="14">
        <v>1.75</v>
      </c>
    </row>
    <row r="486" ht="15.75" customHeight="1">
      <c r="A486" s="9" t="s">
        <v>2242</v>
      </c>
      <c r="B486" s="10" t="s">
        <v>2243</v>
      </c>
      <c r="C486" s="11" t="s">
        <v>294</v>
      </c>
      <c r="D486" s="12" t="s">
        <v>19</v>
      </c>
      <c r="E486" s="13" t="s">
        <v>32</v>
      </c>
      <c r="F486" s="14" t="s">
        <v>21</v>
      </c>
      <c r="G486" s="14" t="b">
        <v>0</v>
      </c>
      <c r="H486" s="14" t="s">
        <v>2244</v>
      </c>
      <c r="I486" s="14">
        <v>4.0</v>
      </c>
      <c r="J486" s="14">
        <v>0.0</v>
      </c>
      <c r="K486" s="14">
        <v>2.0</v>
      </c>
    </row>
    <row r="487" ht="15.75" customHeight="1">
      <c r="A487" s="9" t="s">
        <v>2245</v>
      </c>
      <c r="B487" s="10" t="s">
        <v>2246</v>
      </c>
      <c r="C487" s="11" t="s">
        <v>358</v>
      </c>
      <c r="D487" s="12" t="s">
        <v>1143</v>
      </c>
      <c r="E487" s="13" t="s">
        <v>102</v>
      </c>
      <c r="F487" s="14" t="s">
        <v>1145</v>
      </c>
      <c r="G487" s="14" t="b">
        <v>0</v>
      </c>
      <c r="H487" s="14" t="s">
        <v>361</v>
      </c>
      <c r="I487" s="14">
        <v>4.0</v>
      </c>
      <c r="J487" s="14">
        <v>0.0</v>
      </c>
      <c r="K487" s="14">
        <v>1.5</v>
      </c>
    </row>
    <row r="488" ht="15.75" customHeight="1">
      <c r="A488" s="9" t="s">
        <v>2247</v>
      </c>
      <c r="B488" s="10" t="s">
        <v>2248</v>
      </c>
      <c r="C488" s="11" t="s">
        <v>325</v>
      </c>
      <c r="D488" s="12" t="s">
        <v>312</v>
      </c>
      <c r="E488" s="13" t="s">
        <v>102</v>
      </c>
      <c r="F488" s="14" t="s">
        <v>313</v>
      </c>
      <c r="G488" s="14" t="b">
        <v>0</v>
      </c>
      <c r="I488" s="14">
        <v>4.0</v>
      </c>
      <c r="J488" s="14">
        <v>0.0</v>
      </c>
      <c r="K488" s="14">
        <v>2.25</v>
      </c>
    </row>
    <row r="489" ht="15.75" customHeight="1">
      <c r="A489" s="9" t="s">
        <v>2249</v>
      </c>
      <c r="B489" s="10" t="s">
        <v>2250</v>
      </c>
      <c r="C489" s="11" t="s">
        <v>111</v>
      </c>
      <c r="D489" s="12" t="s">
        <v>19</v>
      </c>
      <c r="E489" s="13" t="s">
        <v>20</v>
      </c>
      <c r="F489" s="14" t="s">
        <v>21</v>
      </c>
      <c r="G489" s="14" t="b">
        <v>0</v>
      </c>
      <c r="H489" s="14" t="s">
        <v>133</v>
      </c>
      <c r="I489" s="14">
        <v>4.0</v>
      </c>
      <c r="J489" s="14">
        <v>0.0</v>
      </c>
      <c r="K489" s="14">
        <v>2.0</v>
      </c>
    </row>
    <row r="490" ht="15.75" customHeight="1">
      <c r="A490" s="9" t="s">
        <v>2251</v>
      </c>
      <c r="B490" s="10" t="s">
        <v>2252</v>
      </c>
      <c r="C490" s="11" t="s">
        <v>132</v>
      </c>
      <c r="D490" s="12" t="s">
        <v>19</v>
      </c>
      <c r="E490" s="13" t="s">
        <v>20</v>
      </c>
      <c r="F490" s="14" t="s">
        <v>21</v>
      </c>
      <c r="G490" s="14" t="b">
        <v>0</v>
      </c>
      <c r="H490" s="14" t="s">
        <v>2253</v>
      </c>
      <c r="I490" s="14">
        <v>4.0</v>
      </c>
      <c r="J490" s="14">
        <v>0.0</v>
      </c>
      <c r="K490" s="14">
        <v>1.0</v>
      </c>
    </row>
    <row r="491" ht="15.75" customHeight="1">
      <c r="A491" s="9" t="s">
        <v>2254</v>
      </c>
      <c r="B491" s="10" t="s">
        <v>2255</v>
      </c>
      <c r="C491" s="11" t="s">
        <v>993</v>
      </c>
      <c r="D491" s="12" t="s">
        <v>19</v>
      </c>
      <c r="E491" s="13" t="s">
        <v>159</v>
      </c>
      <c r="F491" s="14" t="s">
        <v>21</v>
      </c>
      <c r="G491" s="14" t="b">
        <v>0</v>
      </c>
      <c r="H491" s="14" t="s">
        <v>2256</v>
      </c>
      <c r="I491" s="14">
        <v>4.0</v>
      </c>
      <c r="J491" s="14">
        <v>0.0</v>
      </c>
      <c r="K491" s="14">
        <v>1.25</v>
      </c>
    </row>
    <row r="492" ht="15.75" customHeight="1">
      <c r="A492" s="9" t="s">
        <v>2257</v>
      </c>
      <c r="B492" s="10" t="s">
        <v>2258</v>
      </c>
      <c r="C492" s="11" t="s">
        <v>996</v>
      </c>
      <c r="D492" s="12" t="s">
        <v>19</v>
      </c>
      <c r="E492" s="13" t="s">
        <v>32</v>
      </c>
      <c r="F492" s="14" t="s">
        <v>21</v>
      </c>
      <c r="G492" s="14" t="b">
        <v>0</v>
      </c>
      <c r="I492" s="14">
        <v>4.0</v>
      </c>
      <c r="J492" s="14">
        <v>0.0</v>
      </c>
      <c r="K492" s="14">
        <v>0.0</v>
      </c>
    </row>
    <row r="493" ht="15.75" customHeight="1">
      <c r="A493" s="9" t="s">
        <v>2259</v>
      </c>
      <c r="B493" s="10" t="s">
        <v>2260</v>
      </c>
      <c r="C493" s="11" t="s">
        <v>396</v>
      </c>
      <c r="D493" s="12" t="s">
        <v>1143</v>
      </c>
      <c r="E493" s="13" t="s">
        <v>32</v>
      </c>
      <c r="F493" s="14" t="s">
        <v>1145</v>
      </c>
      <c r="G493" s="14" t="b">
        <v>0</v>
      </c>
      <c r="I493" s="14">
        <v>3.0</v>
      </c>
      <c r="J493" s="14">
        <v>0.0</v>
      </c>
      <c r="K493" s="14">
        <v>0.0</v>
      </c>
    </row>
    <row r="494" ht="15.75" customHeight="1">
      <c r="A494" s="9" t="s">
        <v>2261</v>
      </c>
      <c r="B494" s="13"/>
      <c r="C494" s="11" t="s">
        <v>396</v>
      </c>
      <c r="D494" s="12" t="s">
        <v>1143</v>
      </c>
      <c r="E494" s="13" t="s">
        <v>32</v>
      </c>
      <c r="F494" s="14" t="s">
        <v>1145</v>
      </c>
      <c r="G494" s="14" t="b">
        <v>0</v>
      </c>
      <c r="I494" s="14">
        <v>3.0</v>
      </c>
      <c r="J494" s="14">
        <v>0.0</v>
      </c>
      <c r="K494" s="14">
        <v>1.0</v>
      </c>
    </row>
    <row r="495" ht="15.75" customHeight="1">
      <c r="A495" s="9" t="s">
        <v>2262</v>
      </c>
      <c r="B495" s="10" t="s">
        <v>2263</v>
      </c>
      <c r="C495" s="11" t="s">
        <v>689</v>
      </c>
      <c r="D495" s="12" t="s">
        <v>30</v>
      </c>
      <c r="E495" s="13" t="s">
        <v>159</v>
      </c>
      <c r="F495" s="14" t="s">
        <v>34</v>
      </c>
      <c r="G495" s="14" t="b">
        <v>0</v>
      </c>
      <c r="H495" s="14" t="s">
        <v>361</v>
      </c>
      <c r="I495" s="14">
        <v>3.0</v>
      </c>
      <c r="J495" s="14">
        <v>0.0</v>
      </c>
      <c r="K495" s="14">
        <v>0.33</v>
      </c>
    </row>
    <row r="496" ht="15.75" customHeight="1">
      <c r="A496" s="9" t="s">
        <v>2264</v>
      </c>
      <c r="B496" s="10" t="s">
        <v>2265</v>
      </c>
      <c r="C496" s="11" t="s">
        <v>926</v>
      </c>
      <c r="D496" s="12" t="s">
        <v>125</v>
      </c>
      <c r="E496" s="13" t="s">
        <v>32</v>
      </c>
      <c r="F496" s="14" t="s">
        <v>126</v>
      </c>
      <c r="G496" s="14" t="b">
        <v>0</v>
      </c>
      <c r="I496" s="14">
        <v>3.0</v>
      </c>
      <c r="J496" s="14">
        <v>0.0</v>
      </c>
      <c r="K496" s="14">
        <v>2.0</v>
      </c>
    </row>
    <row r="497" ht="15.75" customHeight="1">
      <c r="A497" s="9" t="s">
        <v>2266</v>
      </c>
      <c r="B497" s="13"/>
      <c r="C497" s="11" t="s">
        <v>1016</v>
      </c>
      <c r="D497" s="12" t="s">
        <v>125</v>
      </c>
      <c r="E497" s="13" t="s">
        <v>32</v>
      </c>
      <c r="F497" s="14" t="s">
        <v>126</v>
      </c>
      <c r="H497" s="14" t="s">
        <v>824</v>
      </c>
      <c r="I497" s="14">
        <v>3.0</v>
      </c>
      <c r="J497" s="14">
        <v>0.0</v>
      </c>
      <c r="K497" s="14">
        <v>0.67</v>
      </c>
    </row>
    <row r="498" ht="15.75" customHeight="1">
      <c r="A498" s="9" t="s">
        <v>2267</v>
      </c>
      <c r="B498" s="10" t="s">
        <v>2268</v>
      </c>
      <c r="C498" s="11" t="s">
        <v>692</v>
      </c>
      <c r="D498" s="12" t="s">
        <v>277</v>
      </c>
      <c r="E498" s="13" t="s">
        <v>32</v>
      </c>
      <c r="F498" s="14" t="s">
        <v>278</v>
      </c>
      <c r="G498" s="14" t="b">
        <v>0</v>
      </c>
      <c r="I498" s="14">
        <v>3.0</v>
      </c>
      <c r="J498" s="14">
        <v>0.0</v>
      </c>
      <c r="K498" s="14">
        <v>0.67</v>
      </c>
    </row>
    <row r="499" ht="15.75" customHeight="1">
      <c r="A499" s="9" t="s">
        <v>2269</v>
      </c>
      <c r="B499" s="10" t="s">
        <v>2270</v>
      </c>
      <c r="C499" s="11" t="s">
        <v>1018</v>
      </c>
      <c r="D499" s="12" t="s">
        <v>277</v>
      </c>
      <c r="E499" s="13" t="s">
        <v>102</v>
      </c>
      <c r="F499" s="14" t="s">
        <v>278</v>
      </c>
      <c r="G499" s="14" t="b">
        <v>0</v>
      </c>
      <c r="I499" s="14">
        <v>3.0</v>
      </c>
      <c r="J499" s="14">
        <v>0.0</v>
      </c>
      <c r="K499" s="14">
        <v>0.33</v>
      </c>
    </row>
    <row r="500" ht="15.75" customHeight="1">
      <c r="A500" s="9" t="s">
        <v>2271</v>
      </c>
      <c r="B500" s="10" t="s">
        <v>2272</v>
      </c>
      <c r="C500" s="11" t="s">
        <v>639</v>
      </c>
      <c r="D500" s="12" t="s">
        <v>125</v>
      </c>
      <c r="E500" s="13" t="s">
        <v>32</v>
      </c>
      <c r="F500" s="14" t="s">
        <v>126</v>
      </c>
      <c r="G500" s="14" t="b">
        <v>0</v>
      </c>
      <c r="I500" s="14">
        <v>3.0</v>
      </c>
      <c r="J500" s="14">
        <v>0.0</v>
      </c>
      <c r="K500" s="14">
        <v>0.67</v>
      </c>
    </row>
    <row r="501" ht="15.75" customHeight="1">
      <c r="A501" s="9" t="s">
        <v>2273</v>
      </c>
      <c r="B501" s="10" t="s">
        <v>2274</v>
      </c>
      <c r="C501" s="11" t="s">
        <v>1021</v>
      </c>
      <c r="D501" s="12" t="s">
        <v>312</v>
      </c>
      <c r="E501" s="13" t="s">
        <v>20</v>
      </c>
      <c r="F501" s="14" t="s">
        <v>313</v>
      </c>
      <c r="G501" s="14" t="b">
        <v>0</v>
      </c>
      <c r="H501" s="14" t="s">
        <v>2275</v>
      </c>
      <c r="I501" s="14">
        <v>3.0</v>
      </c>
      <c r="J501" s="14">
        <v>0.0</v>
      </c>
      <c r="K501" s="14">
        <v>0.0</v>
      </c>
    </row>
    <row r="502" ht="15.75" customHeight="1">
      <c r="A502" s="9" t="s">
        <v>2276</v>
      </c>
      <c r="B502" s="10" t="s">
        <v>2277</v>
      </c>
      <c r="C502" s="11" t="s">
        <v>25</v>
      </c>
      <c r="D502" s="12" t="s">
        <v>116</v>
      </c>
      <c r="E502" s="13" t="s">
        <v>32</v>
      </c>
      <c r="F502" s="14" t="s">
        <v>117</v>
      </c>
      <c r="G502" s="14" t="b">
        <v>0</v>
      </c>
      <c r="H502" s="14" t="s">
        <v>2278</v>
      </c>
      <c r="I502" s="14">
        <v>3.0</v>
      </c>
      <c r="J502" s="14">
        <v>0.0</v>
      </c>
      <c r="K502" s="14">
        <v>0.0</v>
      </c>
    </row>
    <row r="503" ht="15.75" customHeight="1">
      <c r="A503" s="9" t="s">
        <v>2279</v>
      </c>
      <c r="B503" s="10" t="s">
        <v>2280</v>
      </c>
      <c r="C503" s="11" t="s">
        <v>25</v>
      </c>
      <c r="D503" s="12" t="s">
        <v>30</v>
      </c>
      <c r="E503" s="13" t="s">
        <v>32</v>
      </c>
      <c r="F503" s="14" t="s">
        <v>34</v>
      </c>
      <c r="G503" s="14" t="b">
        <v>0</v>
      </c>
      <c r="H503" s="14" t="s">
        <v>118</v>
      </c>
      <c r="I503" s="14">
        <v>3.0</v>
      </c>
      <c r="J503" s="14">
        <v>0.0</v>
      </c>
      <c r="K503" s="14">
        <v>1.0</v>
      </c>
    </row>
    <row r="504" ht="15.75" customHeight="1">
      <c r="A504" s="9" t="s">
        <v>2281</v>
      </c>
      <c r="B504" s="10" t="s">
        <v>2282</v>
      </c>
      <c r="C504" s="11" t="s">
        <v>25</v>
      </c>
      <c r="D504" s="12" t="s">
        <v>116</v>
      </c>
      <c r="E504" s="13" t="s">
        <v>32</v>
      </c>
      <c r="F504" s="14" t="s">
        <v>117</v>
      </c>
      <c r="G504" s="14" t="b">
        <v>0</v>
      </c>
      <c r="H504" s="14" t="s">
        <v>2130</v>
      </c>
      <c r="I504" s="14">
        <v>3.0</v>
      </c>
      <c r="J504" s="14">
        <v>0.0</v>
      </c>
      <c r="K504" s="14">
        <v>1.0</v>
      </c>
    </row>
    <row r="505" ht="15.75" customHeight="1">
      <c r="A505" s="9" t="s">
        <v>2283</v>
      </c>
      <c r="B505" s="10" t="s">
        <v>2284</v>
      </c>
      <c r="C505" s="11" t="s">
        <v>25</v>
      </c>
      <c r="D505" s="12" t="s">
        <v>30</v>
      </c>
      <c r="E505" s="13" t="s">
        <v>32</v>
      </c>
      <c r="F505" s="14" t="s">
        <v>34</v>
      </c>
      <c r="G505" s="14" t="b">
        <v>0</v>
      </c>
      <c r="H505" s="14" t="s">
        <v>2285</v>
      </c>
      <c r="I505" s="14">
        <v>3.0</v>
      </c>
      <c r="J505" s="14">
        <v>0.0</v>
      </c>
      <c r="K505" s="14">
        <v>0.0</v>
      </c>
    </row>
    <row r="506" ht="15.75" customHeight="1">
      <c r="A506" s="9" t="s">
        <v>2286</v>
      </c>
      <c r="B506" s="10" t="s">
        <v>2287</v>
      </c>
      <c r="C506" s="11" t="s">
        <v>1024</v>
      </c>
      <c r="D506" s="12" t="s">
        <v>277</v>
      </c>
      <c r="E506" s="13" t="s">
        <v>32</v>
      </c>
      <c r="F506" s="14" t="s">
        <v>278</v>
      </c>
      <c r="G506" s="14" t="b">
        <v>0</v>
      </c>
      <c r="I506" s="14">
        <v>3.0</v>
      </c>
      <c r="J506" s="14">
        <v>0.0</v>
      </c>
      <c r="K506" s="14">
        <v>0.33</v>
      </c>
    </row>
    <row r="507" ht="15.75" customHeight="1">
      <c r="A507" s="9" t="s">
        <v>2288</v>
      </c>
      <c r="B507" s="10" t="s">
        <v>2289</v>
      </c>
      <c r="C507" s="11" t="s">
        <v>707</v>
      </c>
      <c r="D507" s="12" t="s">
        <v>19</v>
      </c>
      <c r="E507" s="13" t="s">
        <v>32</v>
      </c>
      <c r="F507" s="14" t="s">
        <v>21</v>
      </c>
      <c r="G507" s="14" t="b">
        <v>0</v>
      </c>
      <c r="I507" s="14">
        <v>3.0</v>
      </c>
      <c r="J507" s="14">
        <v>0.0</v>
      </c>
      <c r="K507" s="14">
        <v>0.0</v>
      </c>
    </row>
    <row r="508" ht="15.75" customHeight="1">
      <c r="A508" s="9" t="s">
        <v>2290</v>
      </c>
      <c r="B508" s="10" t="s">
        <v>2291</v>
      </c>
      <c r="C508" s="11" t="s">
        <v>707</v>
      </c>
      <c r="D508" s="12" t="s">
        <v>19</v>
      </c>
      <c r="E508" s="13" t="s">
        <v>32</v>
      </c>
      <c r="F508" s="14" t="s">
        <v>21</v>
      </c>
      <c r="G508" s="14" t="b">
        <v>0</v>
      </c>
      <c r="H508" s="14" t="s">
        <v>538</v>
      </c>
      <c r="I508" s="14">
        <v>3.0</v>
      </c>
      <c r="J508" s="14">
        <v>0.0</v>
      </c>
      <c r="K508" s="14">
        <v>0.0</v>
      </c>
    </row>
    <row r="509" ht="15.75" customHeight="1">
      <c r="A509" s="9" t="s">
        <v>2292</v>
      </c>
      <c r="B509" s="10" t="s">
        <v>2293</v>
      </c>
      <c r="C509" s="11" t="s">
        <v>864</v>
      </c>
      <c r="D509" s="12" t="s">
        <v>312</v>
      </c>
      <c r="E509" s="13" t="s">
        <v>159</v>
      </c>
      <c r="F509" s="14" t="s">
        <v>313</v>
      </c>
      <c r="G509" s="14" t="b">
        <v>0</v>
      </c>
      <c r="I509" s="14">
        <v>3.0</v>
      </c>
      <c r="J509" s="14">
        <v>0.0</v>
      </c>
      <c r="K509" s="14">
        <v>2.0</v>
      </c>
    </row>
    <row r="510" ht="15.75" customHeight="1">
      <c r="A510" s="9" t="s">
        <v>2294</v>
      </c>
      <c r="B510" s="10" t="s">
        <v>2295</v>
      </c>
      <c r="C510" s="11" t="s">
        <v>265</v>
      </c>
      <c r="D510" s="12" t="s">
        <v>19</v>
      </c>
      <c r="E510" s="13" t="s">
        <v>102</v>
      </c>
      <c r="F510" s="14" t="s">
        <v>21</v>
      </c>
      <c r="G510" s="14" t="b">
        <v>0</v>
      </c>
      <c r="H510" s="14" t="s">
        <v>2296</v>
      </c>
      <c r="I510" s="14">
        <v>3.0</v>
      </c>
      <c r="J510" s="14">
        <v>0.0</v>
      </c>
      <c r="K510" s="14">
        <v>0.0</v>
      </c>
    </row>
    <row r="511" ht="15.75" customHeight="1">
      <c r="A511" s="9" t="s">
        <v>2297</v>
      </c>
      <c r="B511" s="10" t="s">
        <v>2298</v>
      </c>
      <c r="C511" s="11" t="s">
        <v>70</v>
      </c>
      <c r="D511" s="12" t="s">
        <v>19</v>
      </c>
      <c r="E511" s="13" t="s">
        <v>20</v>
      </c>
      <c r="F511" s="14" t="s">
        <v>21</v>
      </c>
      <c r="G511" s="14" t="b">
        <v>0</v>
      </c>
      <c r="H511" s="14" t="s">
        <v>2299</v>
      </c>
      <c r="I511" s="14">
        <v>3.0</v>
      </c>
      <c r="J511" s="14">
        <v>0.0</v>
      </c>
      <c r="K511" s="14">
        <v>0.67</v>
      </c>
    </row>
    <row r="512" ht="15.75" customHeight="1">
      <c r="A512" s="9" t="s">
        <v>2300</v>
      </c>
      <c r="B512" s="10" t="s">
        <v>2301</v>
      </c>
      <c r="C512" s="11" t="s">
        <v>948</v>
      </c>
      <c r="D512" s="12" t="s">
        <v>312</v>
      </c>
      <c r="E512" s="13" t="s">
        <v>102</v>
      </c>
      <c r="F512" s="14" t="s">
        <v>313</v>
      </c>
      <c r="G512" s="14" t="b">
        <v>0</v>
      </c>
      <c r="H512" s="14" t="s">
        <v>2302</v>
      </c>
      <c r="I512" s="14">
        <v>3.0</v>
      </c>
      <c r="J512" s="14">
        <v>0.0</v>
      </c>
      <c r="K512" s="14">
        <v>2.0</v>
      </c>
    </row>
    <row r="513" ht="15.75" customHeight="1">
      <c r="A513" s="9" t="s">
        <v>2303</v>
      </c>
      <c r="B513" s="10" t="s">
        <v>2304</v>
      </c>
      <c r="C513" s="11" t="s">
        <v>998</v>
      </c>
      <c r="D513" s="12" t="s">
        <v>125</v>
      </c>
      <c r="E513" s="13" t="s">
        <v>32</v>
      </c>
      <c r="F513" s="14" t="s">
        <v>126</v>
      </c>
      <c r="G513" s="14" t="b">
        <v>0</v>
      </c>
      <c r="I513" s="14">
        <v>3.0</v>
      </c>
      <c r="J513" s="14">
        <v>0.0</v>
      </c>
      <c r="K513" s="14">
        <v>1.67</v>
      </c>
    </row>
    <row r="514" ht="15.75" customHeight="1">
      <c r="A514" s="9" t="s">
        <v>2305</v>
      </c>
      <c r="B514" s="10" t="s">
        <v>2306</v>
      </c>
      <c r="C514" s="11" t="s">
        <v>189</v>
      </c>
      <c r="D514" s="12" t="s">
        <v>19</v>
      </c>
      <c r="E514" s="13" t="s">
        <v>32</v>
      </c>
      <c r="F514" s="14" t="s">
        <v>21</v>
      </c>
      <c r="G514" s="14" t="b">
        <v>0</v>
      </c>
      <c r="H514" s="14" t="s">
        <v>2307</v>
      </c>
      <c r="I514" s="14">
        <v>3.0</v>
      </c>
      <c r="J514" s="14">
        <v>0.0</v>
      </c>
      <c r="K514" s="14">
        <v>1.0</v>
      </c>
    </row>
    <row r="515" ht="15.75" customHeight="1">
      <c r="A515" s="9" t="s">
        <v>2308</v>
      </c>
      <c r="B515" s="10" t="s">
        <v>2309</v>
      </c>
      <c r="C515" s="11" t="s">
        <v>189</v>
      </c>
      <c r="D515" s="12" t="s">
        <v>19</v>
      </c>
      <c r="E515" s="13" t="s">
        <v>32</v>
      </c>
      <c r="F515" s="14" t="s">
        <v>21</v>
      </c>
      <c r="G515" s="14" t="b">
        <v>0</v>
      </c>
      <c r="H515" s="14" t="s">
        <v>2310</v>
      </c>
      <c r="I515" s="14">
        <v>3.0</v>
      </c>
      <c r="J515" s="14">
        <v>0.0</v>
      </c>
      <c r="K515" s="14">
        <v>0.33</v>
      </c>
    </row>
    <row r="516" ht="15.75" customHeight="1">
      <c r="A516" s="9" t="s">
        <v>2311</v>
      </c>
      <c r="B516" s="10" t="s">
        <v>2312</v>
      </c>
      <c r="C516" s="11" t="s">
        <v>18</v>
      </c>
      <c r="D516" s="12" t="s">
        <v>30</v>
      </c>
      <c r="E516" s="13" t="s">
        <v>32</v>
      </c>
      <c r="F516" s="14" t="s">
        <v>34</v>
      </c>
      <c r="G516" s="14" t="b">
        <v>0</v>
      </c>
      <c r="H516" s="14" t="s">
        <v>2313</v>
      </c>
      <c r="I516" s="14">
        <v>3.0</v>
      </c>
      <c r="J516" s="14">
        <v>0.0</v>
      </c>
      <c r="K516" s="14">
        <v>3.33</v>
      </c>
    </row>
    <row r="517" ht="15.75" customHeight="1">
      <c r="A517" s="9" t="s">
        <v>2314</v>
      </c>
      <c r="B517" s="10" t="s">
        <v>2315</v>
      </c>
      <c r="C517" s="11" t="s">
        <v>80</v>
      </c>
      <c r="D517" s="12" t="s">
        <v>19</v>
      </c>
      <c r="E517" s="13" t="s">
        <v>32</v>
      </c>
      <c r="F517" s="14" t="s">
        <v>21</v>
      </c>
      <c r="G517" s="14" t="b">
        <v>0</v>
      </c>
      <c r="H517" s="14" t="s">
        <v>2316</v>
      </c>
      <c r="I517" s="14">
        <v>3.0</v>
      </c>
      <c r="J517" s="14">
        <v>0.0</v>
      </c>
      <c r="K517" s="14">
        <v>0.0</v>
      </c>
    </row>
    <row r="518" ht="15.75" customHeight="1">
      <c r="A518" s="9" t="s">
        <v>2317</v>
      </c>
      <c r="B518" s="10" t="s">
        <v>2318</v>
      </c>
      <c r="C518" s="11" t="s">
        <v>80</v>
      </c>
      <c r="D518" s="12" t="s">
        <v>19</v>
      </c>
      <c r="E518" s="13" t="s">
        <v>32</v>
      </c>
      <c r="F518" s="14" t="s">
        <v>21</v>
      </c>
      <c r="G518" s="14" t="b">
        <v>0</v>
      </c>
      <c r="H518" s="14" t="s">
        <v>2319</v>
      </c>
      <c r="I518" s="14">
        <v>3.0</v>
      </c>
      <c r="J518" s="14">
        <v>0.0</v>
      </c>
      <c r="K518" s="14">
        <v>0.0</v>
      </c>
    </row>
    <row r="519" ht="15.75" customHeight="1">
      <c r="A519" s="9" t="s">
        <v>2320</v>
      </c>
      <c r="B519" s="10" t="s">
        <v>2321</v>
      </c>
      <c r="C519" s="11" t="s">
        <v>28</v>
      </c>
      <c r="D519" s="12" t="s">
        <v>1143</v>
      </c>
      <c r="E519" s="13" t="s">
        <v>159</v>
      </c>
      <c r="F519" s="14" t="s">
        <v>1145</v>
      </c>
      <c r="G519" s="14" t="b">
        <v>0</v>
      </c>
      <c r="H519" s="14" t="s">
        <v>2322</v>
      </c>
      <c r="I519" s="14">
        <v>3.0</v>
      </c>
      <c r="J519" s="14">
        <v>0.0</v>
      </c>
      <c r="K519" s="14">
        <v>0.0</v>
      </c>
    </row>
    <row r="520" ht="15.75" customHeight="1">
      <c r="A520" s="9" t="s">
        <v>2323</v>
      </c>
      <c r="B520" s="10" t="s">
        <v>2324</v>
      </c>
      <c r="C520" s="11" t="s">
        <v>28</v>
      </c>
      <c r="D520" s="12" t="s">
        <v>312</v>
      </c>
      <c r="E520" s="13" t="s">
        <v>159</v>
      </c>
      <c r="F520" s="14" t="s">
        <v>313</v>
      </c>
      <c r="G520" s="14" t="b">
        <v>0</v>
      </c>
      <c r="H520" s="14" t="s">
        <v>2325</v>
      </c>
      <c r="I520" s="14">
        <v>3.0</v>
      </c>
      <c r="J520" s="14">
        <v>0.0</v>
      </c>
      <c r="K520" s="14">
        <v>2.0</v>
      </c>
    </row>
    <row r="521" ht="15.75" customHeight="1">
      <c r="A521" s="9" t="s">
        <v>2326</v>
      </c>
      <c r="B521" s="10" t="s">
        <v>2327</v>
      </c>
      <c r="C521" s="11" t="s">
        <v>859</v>
      </c>
      <c r="D521" s="12" t="s">
        <v>277</v>
      </c>
      <c r="E521" s="13" t="s">
        <v>20</v>
      </c>
      <c r="F521" s="14" t="s">
        <v>278</v>
      </c>
      <c r="G521" s="14" t="b">
        <v>0</v>
      </c>
      <c r="H521" s="14" t="s">
        <v>2328</v>
      </c>
      <c r="I521" s="14">
        <v>3.0</v>
      </c>
      <c r="J521" s="14">
        <v>0.0</v>
      </c>
      <c r="K521" s="14">
        <v>2.0</v>
      </c>
    </row>
    <row r="522" ht="15.75" customHeight="1">
      <c r="A522" s="9" t="s">
        <v>2329</v>
      </c>
      <c r="B522" s="10" t="s">
        <v>2330</v>
      </c>
      <c r="C522" s="11" t="s">
        <v>1032</v>
      </c>
      <c r="D522" s="12" t="s">
        <v>125</v>
      </c>
      <c r="E522" s="13" t="s">
        <v>32</v>
      </c>
      <c r="F522" s="14" t="s">
        <v>126</v>
      </c>
      <c r="G522" s="14" t="b">
        <v>0</v>
      </c>
      <c r="I522" s="14">
        <v>3.0</v>
      </c>
      <c r="J522" s="14">
        <v>0.0</v>
      </c>
      <c r="K522" s="14">
        <v>0.0</v>
      </c>
    </row>
    <row r="523" ht="15.75" customHeight="1">
      <c r="A523" s="9" t="s">
        <v>2331</v>
      </c>
      <c r="B523" s="13"/>
      <c r="C523" s="11" t="s">
        <v>1034</v>
      </c>
      <c r="D523" s="12" t="s">
        <v>125</v>
      </c>
      <c r="E523" s="13" t="s">
        <v>32</v>
      </c>
      <c r="F523" s="14" t="s">
        <v>126</v>
      </c>
      <c r="H523" s="14" t="s">
        <v>824</v>
      </c>
      <c r="I523" s="14">
        <v>3.0</v>
      </c>
      <c r="J523" s="14">
        <v>0.0</v>
      </c>
      <c r="K523" s="14">
        <v>0.67</v>
      </c>
    </row>
    <row r="524" ht="15.75" customHeight="1">
      <c r="A524" s="9" t="s">
        <v>2332</v>
      </c>
      <c r="B524" s="10" t="s">
        <v>2333</v>
      </c>
      <c r="C524" s="11" t="s">
        <v>262</v>
      </c>
      <c r="D524" s="12" t="s">
        <v>19</v>
      </c>
      <c r="E524" s="13" t="s">
        <v>32</v>
      </c>
      <c r="F524" s="14" t="s">
        <v>21</v>
      </c>
      <c r="G524" s="14" t="b">
        <v>0</v>
      </c>
      <c r="H524" s="14" t="s">
        <v>2334</v>
      </c>
      <c r="I524" s="14">
        <v>3.0</v>
      </c>
      <c r="J524" s="14">
        <v>0.0</v>
      </c>
      <c r="K524" s="14">
        <v>0.0</v>
      </c>
    </row>
    <row r="525" ht="15.75" customHeight="1">
      <c r="A525" s="9" t="s">
        <v>2335</v>
      </c>
      <c r="B525" s="10" t="s">
        <v>2336</v>
      </c>
      <c r="C525" s="11" t="s">
        <v>1036</v>
      </c>
      <c r="D525" s="12" t="s">
        <v>277</v>
      </c>
      <c r="E525" s="13" t="s">
        <v>20</v>
      </c>
      <c r="F525" s="14" t="s">
        <v>278</v>
      </c>
      <c r="G525" s="14" t="b">
        <v>0</v>
      </c>
      <c r="H525" s="14" t="s">
        <v>1038</v>
      </c>
      <c r="I525" s="14">
        <v>3.0</v>
      </c>
      <c r="J525" s="14">
        <v>0.0</v>
      </c>
      <c r="K525" s="14">
        <v>1.0</v>
      </c>
    </row>
    <row r="526" ht="15.75" customHeight="1">
      <c r="A526" s="9" t="s">
        <v>2337</v>
      </c>
      <c r="B526" s="10" t="s">
        <v>2338</v>
      </c>
      <c r="C526" s="11" t="s">
        <v>142</v>
      </c>
      <c r="D526" s="12" t="s">
        <v>116</v>
      </c>
      <c r="E526" s="13" t="s">
        <v>116</v>
      </c>
      <c r="F526" s="14" t="s">
        <v>117</v>
      </c>
      <c r="G526" s="14" t="b">
        <v>0</v>
      </c>
      <c r="I526" s="14">
        <v>3.0</v>
      </c>
      <c r="J526" s="14">
        <v>0.0</v>
      </c>
      <c r="K526" s="14">
        <v>0.67</v>
      </c>
    </row>
    <row r="527" ht="15.75" customHeight="1">
      <c r="A527" s="9" t="s">
        <v>2339</v>
      </c>
      <c r="B527" s="10" t="s">
        <v>2340</v>
      </c>
      <c r="C527" s="11" t="s">
        <v>1039</v>
      </c>
      <c r="D527" s="12" t="s">
        <v>19</v>
      </c>
      <c r="E527" s="13" t="s">
        <v>32</v>
      </c>
      <c r="F527" s="14" t="s">
        <v>21</v>
      </c>
      <c r="G527" s="14" t="b">
        <v>0</v>
      </c>
      <c r="H527" s="14" t="s">
        <v>2341</v>
      </c>
      <c r="I527" s="14">
        <v>3.0</v>
      </c>
      <c r="J527" s="14">
        <v>0.0</v>
      </c>
      <c r="K527" s="14">
        <v>1.67</v>
      </c>
    </row>
    <row r="528" ht="15.75" customHeight="1">
      <c r="A528" s="9" t="s">
        <v>2342</v>
      </c>
      <c r="B528" s="10" t="s">
        <v>2343</v>
      </c>
      <c r="C528" s="11" t="s">
        <v>1041</v>
      </c>
      <c r="D528" s="12" t="s">
        <v>277</v>
      </c>
      <c r="E528" s="13" t="s">
        <v>32</v>
      </c>
      <c r="F528" s="14" t="s">
        <v>278</v>
      </c>
      <c r="G528" s="14" t="b">
        <v>0</v>
      </c>
      <c r="I528" s="14">
        <v>3.0</v>
      </c>
      <c r="J528" s="14">
        <v>0.0</v>
      </c>
      <c r="K528" s="14">
        <v>1.67</v>
      </c>
    </row>
    <row r="529" ht="15.75" customHeight="1">
      <c r="A529" s="9" t="s">
        <v>2344</v>
      </c>
      <c r="B529" s="10" t="s">
        <v>2345</v>
      </c>
      <c r="C529" s="11" t="s">
        <v>912</v>
      </c>
      <c r="D529" s="12" t="s">
        <v>125</v>
      </c>
      <c r="E529" s="13" t="s">
        <v>20</v>
      </c>
      <c r="F529" s="14" t="s">
        <v>126</v>
      </c>
      <c r="G529" s="14" t="b">
        <v>0</v>
      </c>
      <c r="H529" s="14" t="s">
        <v>2346</v>
      </c>
      <c r="I529" s="14">
        <v>3.0</v>
      </c>
      <c r="J529" s="14">
        <v>0.0</v>
      </c>
      <c r="K529" s="14">
        <v>2.0</v>
      </c>
    </row>
    <row r="530" ht="15.75" customHeight="1">
      <c r="A530" s="9" t="s">
        <v>2347</v>
      </c>
      <c r="B530" s="10" t="s">
        <v>2348</v>
      </c>
      <c r="C530" s="11" t="s">
        <v>1050</v>
      </c>
      <c r="D530" s="12" t="s">
        <v>19</v>
      </c>
      <c r="E530" s="13" t="s">
        <v>32</v>
      </c>
      <c r="F530" s="14" t="s">
        <v>21</v>
      </c>
      <c r="G530" s="14" t="b">
        <v>0</v>
      </c>
      <c r="I530" s="14">
        <v>3.0</v>
      </c>
      <c r="J530" s="14">
        <v>0.0</v>
      </c>
      <c r="K530" s="14">
        <v>0.0</v>
      </c>
    </row>
    <row r="531" ht="15.75" customHeight="1">
      <c r="A531" s="9" t="s">
        <v>2349</v>
      </c>
      <c r="B531" s="10" t="s">
        <v>2350</v>
      </c>
      <c r="C531" s="11" t="s">
        <v>194</v>
      </c>
      <c r="D531" s="12" t="s">
        <v>30</v>
      </c>
      <c r="E531" s="13" t="s">
        <v>32</v>
      </c>
      <c r="F531" s="14" t="s">
        <v>34</v>
      </c>
      <c r="G531" s="14" t="b">
        <v>0</v>
      </c>
      <c r="H531" s="14" t="s">
        <v>1388</v>
      </c>
      <c r="I531" s="14">
        <v>3.0</v>
      </c>
      <c r="J531" s="14">
        <v>0.0</v>
      </c>
      <c r="K531" s="14">
        <v>0.33</v>
      </c>
    </row>
    <row r="532" ht="15.75" customHeight="1">
      <c r="A532" s="9" t="s">
        <v>2351</v>
      </c>
      <c r="B532" s="10" t="s">
        <v>2352</v>
      </c>
      <c r="C532" s="11" t="s">
        <v>107</v>
      </c>
      <c r="D532" s="12" t="s">
        <v>30</v>
      </c>
      <c r="E532" s="13" t="s">
        <v>85</v>
      </c>
      <c r="F532" s="14" t="s">
        <v>34</v>
      </c>
      <c r="G532" s="14" t="b">
        <v>0</v>
      </c>
      <c r="H532" s="14" t="s">
        <v>2353</v>
      </c>
      <c r="I532" s="14">
        <v>3.0</v>
      </c>
      <c r="J532" s="14">
        <v>0.0</v>
      </c>
      <c r="K532" s="14">
        <v>0.0</v>
      </c>
    </row>
    <row r="533" ht="15.75" customHeight="1">
      <c r="A533" s="9" t="s">
        <v>2354</v>
      </c>
      <c r="B533" s="10" t="s">
        <v>2355</v>
      </c>
      <c r="C533" s="11" t="s">
        <v>107</v>
      </c>
      <c r="D533" s="12" t="s">
        <v>158</v>
      </c>
      <c r="E533" s="13" t="s">
        <v>85</v>
      </c>
      <c r="F533" s="14" t="s">
        <v>160</v>
      </c>
      <c r="G533" s="14" t="b">
        <v>0</v>
      </c>
      <c r="H533" s="14" t="s">
        <v>1388</v>
      </c>
      <c r="I533" s="14">
        <v>3.0</v>
      </c>
      <c r="J533" s="14">
        <v>0.0</v>
      </c>
      <c r="K533" s="14">
        <v>0.0</v>
      </c>
    </row>
    <row r="534" ht="15.75" customHeight="1">
      <c r="A534" s="9" t="s">
        <v>2356</v>
      </c>
      <c r="B534" s="10" t="s">
        <v>982</v>
      </c>
      <c r="C534" s="11" t="s">
        <v>107</v>
      </c>
      <c r="D534" s="12" t="s">
        <v>116</v>
      </c>
      <c r="E534" s="13" t="s">
        <v>85</v>
      </c>
      <c r="F534" s="14" t="s">
        <v>117</v>
      </c>
      <c r="G534" s="14" t="b">
        <v>0</v>
      </c>
      <c r="H534" s="14" t="s">
        <v>2357</v>
      </c>
      <c r="I534" s="14">
        <v>3.0</v>
      </c>
      <c r="J534" s="14">
        <v>0.0</v>
      </c>
      <c r="K534" s="14">
        <v>0.0</v>
      </c>
    </row>
    <row r="535" ht="15.75" customHeight="1">
      <c r="A535" s="9" t="s">
        <v>2358</v>
      </c>
      <c r="B535" s="10" t="s">
        <v>2048</v>
      </c>
      <c r="C535" s="11" t="s">
        <v>1052</v>
      </c>
      <c r="D535" s="12" t="s">
        <v>30</v>
      </c>
      <c r="E535" s="13" t="s">
        <v>32</v>
      </c>
      <c r="F535" s="14" t="s">
        <v>34</v>
      </c>
      <c r="G535" s="14" t="b">
        <v>0</v>
      </c>
      <c r="I535" s="14">
        <v>3.0</v>
      </c>
      <c r="J535" s="14">
        <v>0.0</v>
      </c>
      <c r="K535" s="14">
        <v>0.0</v>
      </c>
    </row>
    <row r="536" ht="15.75" customHeight="1">
      <c r="A536" s="9" t="s">
        <v>2359</v>
      </c>
      <c r="B536" s="13"/>
      <c r="C536" s="11" t="s">
        <v>198</v>
      </c>
      <c r="D536" s="12" t="s">
        <v>116</v>
      </c>
      <c r="E536" s="13" t="s">
        <v>116</v>
      </c>
      <c r="F536" s="14" t="s">
        <v>117</v>
      </c>
      <c r="H536" s="14" t="s">
        <v>824</v>
      </c>
      <c r="I536" s="14">
        <v>3.0</v>
      </c>
      <c r="J536" s="14">
        <v>0.0</v>
      </c>
      <c r="K536" s="14">
        <v>0.0</v>
      </c>
    </row>
    <row r="537" ht="15.75" customHeight="1">
      <c r="A537" s="9" t="s">
        <v>2360</v>
      </c>
      <c r="B537" s="10" t="s">
        <v>2050</v>
      </c>
      <c r="C537" s="11" t="s">
        <v>481</v>
      </c>
      <c r="D537" s="12" t="s">
        <v>19</v>
      </c>
      <c r="E537" s="13" t="s">
        <v>32</v>
      </c>
      <c r="F537" s="14" t="s">
        <v>21</v>
      </c>
      <c r="G537" s="14" t="b">
        <v>0</v>
      </c>
      <c r="H537" s="14" t="s">
        <v>332</v>
      </c>
      <c r="I537" s="14">
        <v>3.0</v>
      </c>
      <c r="J537" s="14">
        <v>0.0</v>
      </c>
      <c r="K537" s="14">
        <v>0.0</v>
      </c>
    </row>
    <row r="538" ht="15.75" customHeight="1">
      <c r="A538" s="9" t="s">
        <v>2361</v>
      </c>
      <c r="B538" s="10" t="s">
        <v>2362</v>
      </c>
      <c r="C538" s="11" t="s">
        <v>1053</v>
      </c>
      <c r="D538" s="12" t="s">
        <v>277</v>
      </c>
      <c r="E538" s="13" t="s">
        <v>32</v>
      </c>
      <c r="F538" s="14" t="s">
        <v>278</v>
      </c>
      <c r="G538" s="14" t="b">
        <v>0</v>
      </c>
      <c r="H538" s="14" t="s">
        <v>340</v>
      </c>
      <c r="I538" s="14">
        <v>3.0</v>
      </c>
      <c r="J538" s="14">
        <v>0.0</v>
      </c>
      <c r="K538" s="14">
        <v>0.0</v>
      </c>
    </row>
    <row r="539" ht="15.75" customHeight="1">
      <c r="A539" s="9" t="s">
        <v>2363</v>
      </c>
      <c r="B539" s="10" t="s">
        <v>2364</v>
      </c>
      <c r="C539" s="11" t="s">
        <v>1056</v>
      </c>
      <c r="D539" s="12" t="s">
        <v>277</v>
      </c>
      <c r="E539" s="13" t="s">
        <v>32</v>
      </c>
      <c r="F539" s="14" t="s">
        <v>278</v>
      </c>
      <c r="G539" s="14" t="b">
        <v>0</v>
      </c>
      <c r="I539" s="14">
        <v>3.0</v>
      </c>
      <c r="J539" s="14">
        <v>0.0</v>
      </c>
      <c r="K539" s="14">
        <v>2.0</v>
      </c>
    </row>
    <row r="540" ht="15.75" customHeight="1">
      <c r="A540" s="9" t="s">
        <v>2365</v>
      </c>
      <c r="B540" s="10" t="s">
        <v>2366</v>
      </c>
      <c r="C540" s="11" t="s">
        <v>623</v>
      </c>
      <c r="D540" s="12" t="s">
        <v>125</v>
      </c>
      <c r="E540" s="13" t="s">
        <v>32</v>
      </c>
      <c r="F540" s="14" t="s">
        <v>126</v>
      </c>
      <c r="G540" s="14" t="b">
        <v>0</v>
      </c>
      <c r="H540" s="14" t="s">
        <v>523</v>
      </c>
      <c r="I540" s="14">
        <v>3.0</v>
      </c>
      <c r="J540" s="14">
        <v>0.0</v>
      </c>
      <c r="K540" s="14">
        <v>1.67</v>
      </c>
    </row>
    <row r="541" ht="15.75" customHeight="1">
      <c r="A541" s="9" t="s">
        <v>2367</v>
      </c>
      <c r="B541" s="10" t="s">
        <v>2368</v>
      </c>
      <c r="C541" s="11" t="s">
        <v>551</v>
      </c>
      <c r="D541" s="12" t="s">
        <v>312</v>
      </c>
      <c r="E541" s="13" t="s">
        <v>1201</v>
      </c>
      <c r="F541" s="14" t="s">
        <v>313</v>
      </c>
      <c r="G541" s="14" t="b">
        <v>0</v>
      </c>
      <c r="H541" s="14" t="s">
        <v>2369</v>
      </c>
      <c r="I541" s="14">
        <v>3.0</v>
      </c>
      <c r="J541" s="14">
        <v>0.0</v>
      </c>
      <c r="K541" s="14">
        <v>0.0</v>
      </c>
    </row>
    <row r="542" ht="15.75" customHeight="1">
      <c r="A542" s="9" t="s">
        <v>2370</v>
      </c>
      <c r="B542" s="10" t="s">
        <v>2371</v>
      </c>
      <c r="C542" s="10" t="s">
        <v>219</v>
      </c>
      <c r="D542" s="12" t="s">
        <v>19</v>
      </c>
      <c r="E542" s="13" t="s">
        <v>32</v>
      </c>
      <c r="F542" s="14" t="s">
        <v>21</v>
      </c>
      <c r="G542" s="14" t="b">
        <v>0</v>
      </c>
      <c r="H542" s="14" t="s">
        <v>2372</v>
      </c>
      <c r="I542" s="14">
        <v>3.0</v>
      </c>
      <c r="J542" s="14">
        <v>0.0</v>
      </c>
      <c r="K542" s="14">
        <v>0.0</v>
      </c>
    </row>
    <row r="543" ht="15.75" customHeight="1">
      <c r="A543" s="9" t="s">
        <v>2373</v>
      </c>
      <c r="B543" s="10" t="s">
        <v>2374</v>
      </c>
      <c r="C543" s="11" t="s">
        <v>1004</v>
      </c>
      <c r="D543" s="12" t="s">
        <v>125</v>
      </c>
      <c r="E543" s="13" t="s">
        <v>32</v>
      </c>
      <c r="F543" s="14" t="s">
        <v>126</v>
      </c>
      <c r="G543" s="14" t="b">
        <v>0</v>
      </c>
      <c r="I543" s="14">
        <v>3.0</v>
      </c>
      <c r="J543" s="14">
        <v>0.0</v>
      </c>
      <c r="K543" s="14">
        <v>0.0</v>
      </c>
    </row>
    <row r="544" ht="15.75" customHeight="1">
      <c r="A544" s="9" t="s">
        <v>2375</v>
      </c>
      <c r="B544" s="13"/>
      <c r="C544" s="11" t="s">
        <v>1060</v>
      </c>
      <c r="D544" s="12" t="s">
        <v>125</v>
      </c>
      <c r="E544" s="13" t="s">
        <v>32</v>
      </c>
      <c r="F544" s="14" t="s">
        <v>126</v>
      </c>
      <c r="H544" s="14" t="s">
        <v>824</v>
      </c>
      <c r="I544" s="14">
        <v>3.0</v>
      </c>
      <c r="J544" s="14">
        <v>0.0</v>
      </c>
      <c r="K544" s="14">
        <v>0.67</v>
      </c>
    </row>
    <row r="545" ht="15.75" customHeight="1">
      <c r="A545" s="9" t="s">
        <v>2376</v>
      </c>
      <c r="B545" s="10" t="s">
        <v>2377</v>
      </c>
      <c r="C545" s="11" t="s">
        <v>172</v>
      </c>
      <c r="D545" s="12" t="s">
        <v>277</v>
      </c>
      <c r="E545" s="13" t="s">
        <v>20</v>
      </c>
      <c r="F545" s="14" t="s">
        <v>278</v>
      </c>
      <c r="G545" s="14" t="b">
        <v>0</v>
      </c>
      <c r="H545" s="14" t="s">
        <v>279</v>
      </c>
      <c r="I545" s="14">
        <v>3.0</v>
      </c>
      <c r="J545" s="14">
        <v>0.0</v>
      </c>
      <c r="K545" s="14">
        <v>1.0</v>
      </c>
    </row>
    <row r="546" ht="15.75" customHeight="1">
      <c r="A546" s="9" t="s">
        <v>2378</v>
      </c>
      <c r="B546" s="10" t="s">
        <v>2379</v>
      </c>
      <c r="C546" s="11" t="s">
        <v>961</v>
      </c>
      <c r="D546" s="12" t="s">
        <v>125</v>
      </c>
      <c r="E546" s="13" t="s">
        <v>32</v>
      </c>
      <c r="F546" s="14" t="s">
        <v>126</v>
      </c>
      <c r="G546" s="14" t="b">
        <v>0</v>
      </c>
      <c r="H546" s="14" t="s">
        <v>538</v>
      </c>
      <c r="I546" s="14">
        <v>3.0</v>
      </c>
      <c r="J546" s="14">
        <v>0.0</v>
      </c>
      <c r="K546" s="14">
        <v>0.67</v>
      </c>
    </row>
    <row r="547" ht="15.75" customHeight="1">
      <c r="A547" s="9" t="s">
        <v>2380</v>
      </c>
      <c r="B547" s="10" t="s">
        <v>2381</v>
      </c>
      <c r="C547" s="11" t="s">
        <v>804</v>
      </c>
      <c r="D547" s="12" t="s">
        <v>277</v>
      </c>
      <c r="E547" s="13" t="s">
        <v>20</v>
      </c>
      <c r="F547" s="14" t="s">
        <v>278</v>
      </c>
      <c r="G547" s="14" t="b">
        <v>0</v>
      </c>
      <c r="H547" s="14" t="s">
        <v>805</v>
      </c>
      <c r="I547" s="14">
        <v>3.0</v>
      </c>
      <c r="J547" s="14">
        <v>0.0</v>
      </c>
      <c r="K547" s="14">
        <v>0.33</v>
      </c>
    </row>
    <row r="548" ht="15.75" customHeight="1">
      <c r="A548" s="9" t="s">
        <v>2382</v>
      </c>
      <c r="B548" s="10" t="s">
        <v>2383</v>
      </c>
      <c r="C548" s="11" t="s">
        <v>549</v>
      </c>
      <c r="D548" s="12" t="s">
        <v>116</v>
      </c>
      <c r="E548" s="13" t="s">
        <v>159</v>
      </c>
      <c r="F548" s="14" t="s">
        <v>117</v>
      </c>
      <c r="G548" s="14" t="b">
        <v>0</v>
      </c>
      <c r="H548" s="14" t="s">
        <v>2384</v>
      </c>
      <c r="I548" s="14">
        <v>3.0</v>
      </c>
      <c r="J548" s="14">
        <v>0.0</v>
      </c>
      <c r="K548" s="14">
        <v>0.0</v>
      </c>
    </row>
    <row r="549" ht="15.75" customHeight="1">
      <c r="A549" s="9" t="s">
        <v>2385</v>
      </c>
      <c r="B549" s="10" t="s">
        <v>2386</v>
      </c>
      <c r="C549" s="11" t="s">
        <v>255</v>
      </c>
      <c r="D549" s="12" t="s">
        <v>312</v>
      </c>
      <c r="E549" s="13" t="s">
        <v>32</v>
      </c>
      <c r="F549" s="14" t="s">
        <v>313</v>
      </c>
      <c r="G549" s="14" t="b">
        <v>0</v>
      </c>
      <c r="I549" s="14">
        <v>3.0</v>
      </c>
      <c r="J549" s="14">
        <v>0.0</v>
      </c>
      <c r="K549" s="14">
        <v>1.0</v>
      </c>
    </row>
    <row r="550" ht="15.75" customHeight="1">
      <c r="A550" s="9" t="s">
        <v>2387</v>
      </c>
      <c r="B550" s="10" t="s">
        <v>2388</v>
      </c>
      <c r="C550" s="11" t="s">
        <v>1062</v>
      </c>
      <c r="D550" s="12" t="s">
        <v>277</v>
      </c>
      <c r="E550" s="13" t="s">
        <v>32</v>
      </c>
      <c r="F550" s="14" t="s">
        <v>278</v>
      </c>
      <c r="G550" s="14" t="b">
        <v>0</v>
      </c>
      <c r="I550" s="14">
        <v>3.0</v>
      </c>
      <c r="J550" s="14">
        <v>0.0</v>
      </c>
      <c r="K550" s="14">
        <v>1.0</v>
      </c>
    </row>
    <row r="551" ht="15.75" customHeight="1">
      <c r="A551" s="9" t="s">
        <v>2389</v>
      </c>
      <c r="B551" s="10" t="s">
        <v>2390</v>
      </c>
      <c r="C551" s="11" t="s">
        <v>969</v>
      </c>
      <c r="D551" s="12" t="s">
        <v>125</v>
      </c>
      <c r="E551" s="13" t="s">
        <v>20</v>
      </c>
      <c r="F551" s="14" t="s">
        <v>126</v>
      </c>
      <c r="G551" s="14" t="b">
        <v>0</v>
      </c>
      <c r="H551" s="14" t="s">
        <v>2391</v>
      </c>
      <c r="I551" s="14">
        <v>3.0</v>
      </c>
      <c r="J551" s="14">
        <v>0.0</v>
      </c>
      <c r="K551" s="14">
        <v>0.67</v>
      </c>
    </row>
    <row r="552" ht="15.75" customHeight="1">
      <c r="A552" s="9" t="s">
        <v>2392</v>
      </c>
      <c r="B552" s="10" t="s">
        <v>2393</v>
      </c>
      <c r="C552" s="11" t="s">
        <v>1064</v>
      </c>
      <c r="D552" s="12" t="s">
        <v>125</v>
      </c>
      <c r="E552" s="13" t="s">
        <v>32</v>
      </c>
      <c r="F552" s="14" t="s">
        <v>126</v>
      </c>
      <c r="G552" s="14" t="b">
        <v>0</v>
      </c>
      <c r="I552" s="14">
        <v>3.0</v>
      </c>
      <c r="J552" s="14">
        <v>0.0</v>
      </c>
      <c r="K552" s="14">
        <v>1.33</v>
      </c>
    </row>
    <row r="553" ht="15.75" customHeight="1">
      <c r="A553" s="9" t="s">
        <v>2394</v>
      </c>
      <c r="B553" s="10" t="s">
        <v>2395</v>
      </c>
      <c r="C553" s="11" t="s">
        <v>1068</v>
      </c>
      <c r="D553" s="12" t="s">
        <v>158</v>
      </c>
      <c r="E553" s="13" t="s">
        <v>32</v>
      </c>
      <c r="F553" s="14" t="s">
        <v>160</v>
      </c>
      <c r="G553" s="14" t="b">
        <v>0</v>
      </c>
      <c r="I553" s="14">
        <v>3.0</v>
      </c>
      <c r="J553" s="14">
        <v>0.0</v>
      </c>
      <c r="K553" s="14">
        <v>0.67</v>
      </c>
    </row>
    <row r="554" ht="15.75" customHeight="1">
      <c r="A554" s="9" t="s">
        <v>2396</v>
      </c>
      <c r="B554" s="10" t="s">
        <v>2397</v>
      </c>
      <c r="C554" s="11" t="s">
        <v>666</v>
      </c>
      <c r="D554" s="12" t="s">
        <v>312</v>
      </c>
      <c r="E554" s="13" t="s">
        <v>102</v>
      </c>
      <c r="F554" s="14" t="s">
        <v>313</v>
      </c>
      <c r="G554" s="14" t="b">
        <v>0</v>
      </c>
      <c r="H554" s="14" t="s">
        <v>2398</v>
      </c>
      <c r="I554" s="14">
        <v>3.0</v>
      </c>
      <c r="J554" s="14">
        <v>0.0</v>
      </c>
      <c r="K554" s="14">
        <v>0.67</v>
      </c>
    </row>
    <row r="555" ht="15.75" customHeight="1">
      <c r="A555" s="9" t="s">
        <v>2399</v>
      </c>
      <c r="B555" s="10" t="s">
        <v>2400</v>
      </c>
      <c r="C555" s="11" t="s">
        <v>461</v>
      </c>
      <c r="D555" s="12" t="s">
        <v>277</v>
      </c>
      <c r="E555" s="13" t="s">
        <v>116</v>
      </c>
      <c r="F555" s="14" t="s">
        <v>278</v>
      </c>
      <c r="G555" s="14" t="b">
        <v>0</v>
      </c>
      <c r="I555" s="14">
        <v>3.0</v>
      </c>
      <c r="J555" s="14">
        <v>0.0</v>
      </c>
      <c r="K555" s="14">
        <v>0.67</v>
      </c>
    </row>
    <row r="556" ht="15.75" customHeight="1">
      <c r="A556" s="9" t="s">
        <v>2401</v>
      </c>
      <c r="B556" s="10" t="s">
        <v>2402</v>
      </c>
      <c r="C556" s="11" t="s">
        <v>1070</v>
      </c>
      <c r="D556" s="12" t="s">
        <v>19</v>
      </c>
      <c r="E556" s="13" t="s">
        <v>32</v>
      </c>
      <c r="F556" s="14" t="s">
        <v>21</v>
      </c>
      <c r="G556" s="14" t="b">
        <v>0</v>
      </c>
      <c r="H556" s="14" t="s">
        <v>1072</v>
      </c>
      <c r="I556" s="14">
        <v>3.0</v>
      </c>
      <c r="J556" s="14">
        <v>0.0</v>
      </c>
      <c r="K556" s="14">
        <v>0.0</v>
      </c>
    </row>
    <row r="557" ht="15.75" customHeight="1">
      <c r="A557" s="9" t="s">
        <v>2403</v>
      </c>
      <c r="B557" s="10" t="s">
        <v>2404</v>
      </c>
      <c r="C557" s="11" t="s">
        <v>1073</v>
      </c>
      <c r="D557" s="12" t="s">
        <v>125</v>
      </c>
      <c r="E557" s="13" t="s">
        <v>20</v>
      </c>
      <c r="F557" s="14" t="s">
        <v>126</v>
      </c>
      <c r="G557" s="14" t="b">
        <v>0</v>
      </c>
      <c r="H557" s="14" t="s">
        <v>1074</v>
      </c>
      <c r="I557" s="14">
        <v>3.0</v>
      </c>
      <c r="J557" s="14">
        <v>0.0</v>
      </c>
      <c r="K557" s="14">
        <v>1.0</v>
      </c>
    </row>
    <row r="558" ht="15.75" customHeight="1">
      <c r="A558" s="9" t="s">
        <v>2405</v>
      </c>
      <c r="B558" s="10" t="s">
        <v>2406</v>
      </c>
      <c r="C558" s="11" t="s">
        <v>1000</v>
      </c>
      <c r="D558" s="12" t="s">
        <v>19</v>
      </c>
      <c r="E558" s="13" t="s">
        <v>32</v>
      </c>
      <c r="F558" s="14" t="s">
        <v>21</v>
      </c>
      <c r="G558" s="14" t="b">
        <v>0</v>
      </c>
      <c r="H558" s="14" t="s">
        <v>2407</v>
      </c>
      <c r="I558" s="14">
        <v>3.0</v>
      </c>
      <c r="J558" s="14">
        <v>0.0</v>
      </c>
      <c r="K558" s="14">
        <v>1.67</v>
      </c>
    </row>
    <row r="559" ht="15.75" customHeight="1">
      <c r="A559" s="9" t="s">
        <v>2408</v>
      </c>
      <c r="B559" s="10" t="s">
        <v>2409</v>
      </c>
      <c r="C559" s="11" t="s">
        <v>1075</v>
      </c>
      <c r="D559" s="12" t="s">
        <v>277</v>
      </c>
      <c r="E559" s="13" t="s">
        <v>32</v>
      </c>
      <c r="F559" s="14" t="s">
        <v>278</v>
      </c>
      <c r="G559" s="14" t="b">
        <v>0</v>
      </c>
      <c r="I559" s="14">
        <v>3.0</v>
      </c>
      <c r="J559" s="14">
        <v>0.0</v>
      </c>
      <c r="K559" s="14">
        <v>0.33</v>
      </c>
    </row>
    <row r="560" ht="15.75" customHeight="1">
      <c r="A560" s="9" t="s">
        <v>2410</v>
      </c>
      <c r="B560" s="10" t="s">
        <v>2411</v>
      </c>
      <c r="C560" s="11" t="s">
        <v>1076</v>
      </c>
      <c r="D560" s="12" t="s">
        <v>277</v>
      </c>
      <c r="E560" s="13" t="s">
        <v>32</v>
      </c>
      <c r="F560" s="14" t="s">
        <v>278</v>
      </c>
      <c r="G560" s="14" t="b">
        <v>0</v>
      </c>
      <c r="I560" s="14">
        <v>3.0</v>
      </c>
      <c r="J560" s="14">
        <v>0.0</v>
      </c>
      <c r="K560" s="14">
        <v>1.0</v>
      </c>
    </row>
    <row r="561" ht="15.75" customHeight="1">
      <c r="A561" s="9" t="s">
        <v>2412</v>
      </c>
      <c r="B561" s="10" t="s">
        <v>2413</v>
      </c>
      <c r="C561" s="11" t="s">
        <v>1078</v>
      </c>
      <c r="D561" s="12" t="s">
        <v>19</v>
      </c>
      <c r="E561" s="13" t="s">
        <v>32</v>
      </c>
      <c r="F561" s="14" t="s">
        <v>21</v>
      </c>
      <c r="G561" s="14" t="b">
        <v>0</v>
      </c>
      <c r="H561" s="14" t="s">
        <v>2414</v>
      </c>
      <c r="I561" s="14">
        <v>3.0</v>
      </c>
      <c r="J561" s="14">
        <v>0.0</v>
      </c>
      <c r="K561" s="14">
        <v>1.0</v>
      </c>
    </row>
    <row r="562" ht="15.75" customHeight="1">
      <c r="A562" s="9" t="s">
        <v>2415</v>
      </c>
      <c r="B562" s="13"/>
      <c r="C562" s="11" t="s">
        <v>604</v>
      </c>
      <c r="D562" s="12" t="s">
        <v>116</v>
      </c>
      <c r="E562" s="13" t="s">
        <v>32</v>
      </c>
      <c r="F562" s="14" t="s">
        <v>117</v>
      </c>
      <c r="H562" s="14" t="s">
        <v>824</v>
      </c>
      <c r="I562" s="14">
        <v>3.0</v>
      </c>
      <c r="J562" s="14">
        <v>0.0</v>
      </c>
      <c r="K562" s="14">
        <v>0.0</v>
      </c>
    </row>
    <row r="563" ht="15.75" customHeight="1">
      <c r="A563" s="9" t="s">
        <v>2416</v>
      </c>
      <c r="B563" s="10" t="s">
        <v>2417</v>
      </c>
      <c r="C563" s="11" t="s">
        <v>1081</v>
      </c>
      <c r="D563" s="12" t="s">
        <v>19</v>
      </c>
      <c r="E563" s="13" t="s">
        <v>32</v>
      </c>
      <c r="F563" s="14" t="s">
        <v>21</v>
      </c>
      <c r="G563" s="14" t="b">
        <v>0</v>
      </c>
      <c r="H563" s="14" t="s">
        <v>2418</v>
      </c>
      <c r="I563" s="14">
        <v>3.0</v>
      </c>
      <c r="J563" s="14">
        <v>0.0</v>
      </c>
      <c r="K563" s="14">
        <v>1.0</v>
      </c>
    </row>
    <row r="564" ht="15.75" customHeight="1">
      <c r="A564" s="9" t="s">
        <v>2419</v>
      </c>
      <c r="B564" s="10" t="s">
        <v>2420</v>
      </c>
      <c r="C564" s="11" t="s">
        <v>983</v>
      </c>
      <c r="D564" s="12" t="s">
        <v>125</v>
      </c>
      <c r="E564" s="13" t="s">
        <v>32</v>
      </c>
      <c r="F564" s="14" t="s">
        <v>126</v>
      </c>
      <c r="G564" s="14" t="b">
        <v>0</v>
      </c>
      <c r="I564" s="14">
        <v>3.0</v>
      </c>
      <c r="J564" s="14">
        <v>0.0</v>
      </c>
      <c r="K564" s="14">
        <v>0.67</v>
      </c>
    </row>
    <row r="565" ht="15.75" customHeight="1">
      <c r="A565" s="9" t="s">
        <v>2421</v>
      </c>
      <c r="B565" s="10" t="s">
        <v>2422</v>
      </c>
      <c r="C565" s="11" t="s">
        <v>1084</v>
      </c>
      <c r="D565" s="12" t="s">
        <v>125</v>
      </c>
      <c r="E565" s="13" t="s">
        <v>32</v>
      </c>
      <c r="F565" s="14" t="s">
        <v>126</v>
      </c>
      <c r="G565" s="14" t="b">
        <v>0</v>
      </c>
      <c r="H565" s="14" t="s">
        <v>1086</v>
      </c>
      <c r="I565" s="14">
        <v>3.0</v>
      </c>
      <c r="J565" s="14">
        <v>0.0</v>
      </c>
      <c r="K565" s="14">
        <v>0.0</v>
      </c>
    </row>
    <row r="566" ht="15.75" customHeight="1">
      <c r="A566" s="9" t="s">
        <v>2423</v>
      </c>
      <c r="B566" s="10" t="s">
        <v>2424</v>
      </c>
      <c r="C566" s="11" t="s">
        <v>1090</v>
      </c>
      <c r="D566" s="12" t="s">
        <v>125</v>
      </c>
      <c r="E566" s="13" t="s">
        <v>32</v>
      </c>
      <c r="F566" s="14" t="s">
        <v>126</v>
      </c>
      <c r="G566" s="14" t="b">
        <v>0</v>
      </c>
      <c r="H566" s="14" t="s">
        <v>1093</v>
      </c>
      <c r="I566" s="14">
        <v>3.0</v>
      </c>
      <c r="J566" s="14">
        <v>0.0</v>
      </c>
      <c r="K566" s="14">
        <v>0.67</v>
      </c>
    </row>
    <row r="567" ht="15.75" customHeight="1">
      <c r="A567" s="9" t="s">
        <v>2425</v>
      </c>
      <c r="B567" s="10" t="s">
        <v>2426</v>
      </c>
      <c r="C567" s="11" t="s">
        <v>1095</v>
      </c>
      <c r="D567" s="12" t="s">
        <v>312</v>
      </c>
      <c r="E567" s="13" t="s">
        <v>1201</v>
      </c>
      <c r="F567" s="14" t="s">
        <v>313</v>
      </c>
      <c r="G567" s="14" t="b">
        <v>0</v>
      </c>
      <c r="H567" s="14" t="s">
        <v>487</v>
      </c>
      <c r="I567" s="14">
        <v>3.0</v>
      </c>
      <c r="J567" s="14">
        <v>0.0</v>
      </c>
      <c r="K567" s="14">
        <v>0.0</v>
      </c>
    </row>
    <row r="568" ht="15.75" customHeight="1">
      <c r="A568" s="9" t="s">
        <v>2427</v>
      </c>
      <c r="B568" s="10" t="s">
        <v>2428</v>
      </c>
      <c r="C568" s="11" t="s">
        <v>1098</v>
      </c>
      <c r="D568" s="12" t="s">
        <v>116</v>
      </c>
      <c r="E568" s="13" t="s">
        <v>32</v>
      </c>
      <c r="F568" s="14" t="s">
        <v>117</v>
      </c>
      <c r="G568" s="14" t="b">
        <v>0</v>
      </c>
      <c r="H568" s="14" t="s">
        <v>2429</v>
      </c>
      <c r="I568" s="14">
        <v>3.0</v>
      </c>
      <c r="J568" s="14">
        <v>0.0</v>
      </c>
      <c r="K568" s="14">
        <v>0.33</v>
      </c>
    </row>
    <row r="569" ht="15.75" customHeight="1">
      <c r="A569" s="9" t="s">
        <v>2430</v>
      </c>
      <c r="B569" s="10" t="s">
        <v>2431</v>
      </c>
      <c r="C569" s="11" t="s">
        <v>84</v>
      </c>
      <c r="D569" s="12" t="s">
        <v>213</v>
      </c>
      <c r="E569" s="13" t="s">
        <v>85</v>
      </c>
      <c r="F569" s="14" t="s">
        <v>215</v>
      </c>
      <c r="G569" s="14" t="b">
        <v>0</v>
      </c>
      <c r="H569" s="14" t="s">
        <v>1193</v>
      </c>
      <c r="I569" s="14">
        <v>3.0</v>
      </c>
      <c r="J569" s="14">
        <v>0.0</v>
      </c>
      <c r="K569" s="14">
        <v>1.67</v>
      </c>
    </row>
    <row r="570" ht="15.75" customHeight="1">
      <c r="A570" s="9" t="s">
        <v>2432</v>
      </c>
      <c r="B570" s="10" t="s">
        <v>2433</v>
      </c>
      <c r="C570" s="11" t="s">
        <v>1101</v>
      </c>
      <c r="D570" s="12" t="s">
        <v>277</v>
      </c>
      <c r="E570" s="13" t="s">
        <v>32</v>
      </c>
      <c r="F570" s="14" t="s">
        <v>278</v>
      </c>
      <c r="G570" s="14" t="b">
        <v>0</v>
      </c>
      <c r="H570" s="14" t="s">
        <v>866</v>
      </c>
      <c r="I570" s="14">
        <v>3.0</v>
      </c>
      <c r="J570" s="14">
        <v>0.0</v>
      </c>
      <c r="K570" s="14">
        <v>0.0</v>
      </c>
    </row>
    <row r="571" ht="15.75" customHeight="1">
      <c r="A571" s="9" t="s">
        <v>2434</v>
      </c>
      <c r="B571" s="10" t="s">
        <v>2435</v>
      </c>
      <c r="C571" s="11" t="s">
        <v>122</v>
      </c>
      <c r="D571" s="12" t="s">
        <v>158</v>
      </c>
      <c r="E571" s="13" t="s">
        <v>20</v>
      </c>
      <c r="F571" s="14" t="s">
        <v>160</v>
      </c>
      <c r="G571" s="14" t="b">
        <v>0</v>
      </c>
      <c r="H571" s="14" t="s">
        <v>2436</v>
      </c>
      <c r="I571" s="14">
        <v>3.0</v>
      </c>
      <c r="J571" s="14">
        <v>0.0</v>
      </c>
      <c r="K571" s="14">
        <v>1.0</v>
      </c>
    </row>
    <row r="572" ht="15.75" customHeight="1">
      <c r="A572" s="9" t="s">
        <v>2437</v>
      </c>
      <c r="B572" s="10" t="s">
        <v>2438</v>
      </c>
      <c r="C572" s="11" t="s">
        <v>1103</v>
      </c>
      <c r="D572" s="12" t="s">
        <v>125</v>
      </c>
      <c r="E572" s="13" t="s">
        <v>32</v>
      </c>
      <c r="F572" s="14" t="s">
        <v>126</v>
      </c>
      <c r="G572" s="14" t="b">
        <v>0</v>
      </c>
      <c r="I572" s="14">
        <v>3.0</v>
      </c>
      <c r="J572" s="14">
        <v>0.0</v>
      </c>
      <c r="K572" s="14">
        <v>0.33</v>
      </c>
    </row>
    <row r="573" ht="15.75" customHeight="1">
      <c r="A573" s="9" t="s">
        <v>2439</v>
      </c>
      <c r="B573" s="10" t="s">
        <v>2440</v>
      </c>
      <c r="C573" s="11" t="s">
        <v>1108</v>
      </c>
      <c r="D573" s="12" t="s">
        <v>19</v>
      </c>
      <c r="E573" s="13" t="s">
        <v>102</v>
      </c>
      <c r="F573" s="14" t="s">
        <v>21</v>
      </c>
      <c r="G573" s="14" t="b">
        <v>0</v>
      </c>
      <c r="H573" s="14" t="s">
        <v>532</v>
      </c>
      <c r="I573" s="14">
        <v>3.0</v>
      </c>
      <c r="J573" s="14">
        <v>0.0</v>
      </c>
      <c r="K573" s="14">
        <v>0.0</v>
      </c>
    </row>
    <row r="574" ht="15.75" customHeight="1">
      <c r="A574" s="9" t="s">
        <v>2441</v>
      </c>
      <c r="B574" s="10" t="s">
        <v>2442</v>
      </c>
      <c r="C574" s="11" t="s">
        <v>148</v>
      </c>
      <c r="D574" s="12" t="s">
        <v>19</v>
      </c>
      <c r="E574" s="13" t="s">
        <v>20</v>
      </c>
      <c r="F574" s="14" t="s">
        <v>21</v>
      </c>
      <c r="G574" s="14" t="b">
        <v>0</v>
      </c>
      <c r="H574" s="14" t="s">
        <v>2443</v>
      </c>
      <c r="I574" s="14">
        <v>3.0</v>
      </c>
      <c r="J574" s="14">
        <v>0.0</v>
      </c>
      <c r="K574" s="14">
        <v>0.67</v>
      </c>
    </row>
    <row r="575" ht="15.75" customHeight="1">
      <c r="A575" s="9" t="s">
        <v>2444</v>
      </c>
      <c r="B575" s="10" t="s">
        <v>2445</v>
      </c>
      <c r="C575" s="11" t="s">
        <v>36</v>
      </c>
      <c r="D575" s="12" t="s">
        <v>30</v>
      </c>
      <c r="E575" s="13" t="s">
        <v>32</v>
      </c>
      <c r="F575" s="14" t="s">
        <v>34</v>
      </c>
      <c r="G575" s="14" t="b">
        <v>0</v>
      </c>
      <c r="H575" s="14" t="s">
        <v>2446</v>
      </c>
      <c r="I575" s="14">
        <v>3.0</v>
      </c>
      <c r="J575" s="14">
        <v>0.0</v>
      </c>
      <c r="K575" s="14">
        <v>0.0</v>
      </c>
    </row>
    <row r="576" ht="15.75" customHeight="1">
      <c r="A576" s="9" t="s">
        <v>2447</v>
      </c>
      <c r="B576" s="10" t="s">
        <v>2448</v>
      </c>
      <c r="C576" s="11" t="s">
        <v>36</v>
      </c>
      <c r="D576" s="12" t="s">
        <v>30</v>
      </c>
      <c r="E576" s="13" t="s">
        <v>32</v>
      </c>
      <c r="F576" s="14" t="s">
        <v>34</v>
      </c>
      <c r="G576" s="14" t="b">
        <v>0</v>
      </c>
      <c r="H576" s="14" t="s">
        <v>2449</v>
      </c>
      <c r="I576" s="14">
        <v>3.0</v>
      </c>
      <c r="J576" s="14">
        <v>0.0</v>
      </c>
      <c r="K576" s="14">
        <v>0.0</v>
      </c>
    </row>
    <row r="577" ht="15.75" customHeight="1">
      <c r="A577" s="9" t="s">
        <v>2450</v>
      </c>
      <c r="B577" s="10" t="s">
        <v>2451</v>
      </c>
      <c r="C577" s="11" t="s">
        <v>1114</v>
      </c>
      <c r="D577" s="12" t="s">
        <v>125</v>
      </c>
      <c r="E577" s="13" t="s">
        <v>32</v>
      </c>
      <c r="F577" s="14" t="s">
        <v>126</v>
      </c>
      <c r="G577" s="14" t="b">
        <v>0</v>
      </c>
      <c r="I577" s="14">
        <v>3.0</v>
      </c>
      <c r="J577" s="14">
        <v>0.0</v>
      </c>
      <c r="K577" s="14">
        <v>0.0</v>
      </c>
    </row>
    <row r="578" ht="15.75" customHeight="1">
      <c r="A578" s="9" t="s">
        <v>2452</v>
      </c>
      <c r="B578" s="10" t="s">
        <v>2453</v>
      </c>
      <c r="C578" s="11" t="s">
        <v>1116</v>
      </c>
      <c r="D578" s="12" t="s">
        <v>19</v>
      </c>
      <c r="E578" s="13" t="s">
        <v>102</v>
      </c>
      <c r="F578" s="14" t="s">
        <v>21</v>
      </c>
      <c r="G578" s="14" t="b">
        <v>0</v>
      </c>
      <c r="H578" s="14" t="s">
        <v>2454</v>
      </c>
      <c r="I578" s="14">
        <v>3.0</v>
      </c>
      <c r="J578" s="14">
        <v>0.0</v>
      </c>
      <c r="K578" s="14">
        <v>0.0</v>
      </c>
    </row>
    <row r="579" ht="15.75" customHeight="1">
      <c r="A579" s="9" t="s">
        <v>2455</v>
      </c>
      <c r="B579" s="10" t="s">
        <v>2456</v>
      </c>
      <c r="C579" s="11" t="s">
        <v>1120</v>
      </c>
      <c r="D579" s="12" t="s">
        <v>277</v>
      </c>
      <c r="E579" s="13" t="s">
        <v>32</v>
      </c>
      <c r="F579" s="14" t="s">
        <v>278</v>
      </c>
      <c r="G579" s="14" t="b">
        <v>0</v>
      </c>
      <c r="I579" s="14">
        <v>3.0</v>
      </c>
      <c r="J579" s="14">
        <v>0.0</v>
      </c>
      <c r="K579" s="14">
        <v>0.67</v>
      </c>
    </row>
    <row r="580" ht="15.75" customHeight="1">
      <c r="A580" s="9" t="s">
        <v>2457</v>
      </c>
      <c r="B580" s="10" t="s">
        <v>2458</v>
      </c>
      <c r="C580" s="11" t="s">
        <v>98</v>
      </c>
      <c r="D580" s="12" t="s">
        <v>158</v>
      </c>
      <c r="E580" s="13" t="s">
        <v>32</v>
      </c>
      <c r="F580" s="14" t="s">
        <v>160</v>
      </c>
      <c r="G580" s="14" t="b">
        <v>0</v>
      </c>
      <c r="H580" s="14" t="s">
        <v>467</v>
      </c>
      <c r="I580" s="14">
        <v>3.0</v>
      </c>
      <c r="J580" s="14">
        <v>0.0</v>
      </c>
      <c r="K580" s="14">
        <v>0.0</v>
      </c>
    </row>
    <row r="581" ht="15.75" customHeight="1">
      <c r="A581" s="9" t="s">
        <v>2459</v>
      </c>
      <c r="B581" s="10" t="s">
        <v>2460</v>
      </c>
      <c r="C581" s="11" t="s">
        <v>157</v>
      </c>
      <c r="D581" s="12" t="s">
        <v>30</v>
      </c>
      <c r="E581" s="13" t="s">
        <v>159</v>
      </c>
      <c r="F581" s="14" t="s">
        <v>34</v>
      </c>
      <c r="G581" s="14" t="b">
        <v>0</v>
      </c>
      <c r="H581" s="14" t="s">
        <v>2461</v>
      </c>
      <c r="I581" s="14">
        <v>3.0</v>
      </c>
      <c r="J581" s="14">
        <v>0.0</v>
      </c>
      <c r="K581" s="14">
        <v>0.0</v>
      </c>
    </row>
    <row r="582" ht="15.75" customHeight="1">
      <c r="A582" s="9" t="s">
        <v>2462</v>
      </c>
      <c r="B582" s="10" t="s">
        <v>2460</v>
      </c>
      <c r="C582" s="11" t="s">
        <v>157</v>
      </c>
      <c r="D582" s="12" t="s">
        <v>19</v>
      </c>
      <c r="E582" s="13" t="s">
        <v>159</v>
      </c>
      <c r="F582" s="14" t="s">
        <v>21</v>
      </c>
      <c r="G582" s="14" t="b">
        <v>0</v>
      </c>
      <c r="H582" s="14" t="s">
        <v>2463</v>
      </c>
      <c r="I582" s="14">
        <v>3.0</v>
      </c>
      <c r="J582" s="14">
        <v>0.0</v>
      </c>
      <c r="K582" s="14">
        <v>0.0</v>
      </c>
    </row>
    <row r="583" ht="15.75" customHeight="1">
      <c r="A583" s="9" t="s">
        <v>2464</v>
      </c>
      <c r="B583" s="10" t="s">
        <v>2465</v>
      </c>
      <c r="C583" s="11" t="s">
        <v>1122</v>
      </c>
      <c r="D583" s="12" t="s">
        <v>277</v>
      </c>
      <c r="E583" s="13" t="s">
        <v>32</v>
      </c>
      <c r="F583" s="14" t="s">
        <v>278</v>
      </c>
      <c r="G583" s="14" t="b">
        <v>0</v>
      </c>
      <c r="I583" s="14">
        <v>3.0</v>
      </c>
      <c r="J583" s="14">
        <v>0.0</v>
      </c>
      <c r="K583" s="14">
        <v>0.0</v>
      </c>
    </row>
    <row r="584" ht="15.75" customHeight="1">
      <c r="A584" s="9" t="s">
        <v>2466</v>
      </c>
      <c r="B584" s="10" t="s">
        <v>2467</v>
      </c>
      <c r="C584" s="11" t="s">
        <v>214</v>
      </c>
      <c r="D584" s="12" t="s">
        <v>116</v>
      </c>
      <c r="E584" s="13" t="s">
        <v>32</v>
      </c>
      <c r="F584" s="14" t="s">
        <v>117</v>
      </c>
      <c r="G584" s="14" t="b">
        <v>0</v>
      </c>
      <c r="H584" s="14" t="s">
        <v>361</v>
      </c>
      <c r="I584" s="14">
        <v>3.0</v>
      </c>
      <c r="J584" s="14">
        <v>0.0</v>
      </c>
      <c r="K584" s="14">
        <v>1.0</v>
      </c>
    </row>
    <row r="585" ht="15.75" customHeight="1">
      <c r="A585" s="9" t="s">
        <v>2468</v>
      </c>
      <c r="B585" s="10" t="s">
        <v>2469</v>
      </c>
      <c r="C585" s="11" t="s">
        <v>764</v>
      </c>
      <c r="D585" s="12" t="s">
        <v>125</v>
      </c>
      <c r="E585" s="13" t="s">
        <v>32</v>
      </c>
      <c r="F585" s="14" t="s">
        <v>126</v>
      </c>
      <c r="G585" s="14" t="b">
        <v>0</v>
      </c>
      <c r="I585" s="14">
        <v>3.0</v>
      </c>
      <c r="J585" s="14">
        <v>0.0</v>
      </c>
      <c r="K585" s="14">
        <v>0.67</v>
      </c>
    </row>
    <row r="586" ht="15.75" customHeight="1">
      <c r="A586" s="9" t="s">
        <v>2470</v>
      </c>
      <c r="B586" s="10" t="s">
        <v>2471</v>
      </c>
      <c r="C586" s="11" t="s">
        <v>1123</v>
      </c>
      <c r="D586" s="12" t="s">
        <v>30</v>
      </c>
      <c r="E586" s="13" t="s">
        <v>32</v>
      </c>
      <c r="F586" s="14" t="s">
        <v>34</v>
      </c>
      <c r="G586" s="14" t="b">
        <v>0</v>
      </c>
      <c r="H586" s="14" t="s">
        <v>2472</v>
      </c>
      <c r="I586" s="14">
        <v>3.0</v>
      </c>
      <c r="J586" s="14">
        <v>0.0</v>
      </c>
      <c r="K586" s="14">
        <v>0.0</v>
      </c>
    </row>
    <row r="587" ht="15.75" customHeight="1">
      <c r="A587" s="9" t="s">
        <v>2473</v>
      </c>
      <c r="B587" s="10" t="s">
        <v>2474</v>
      </c>
      <c r="C587" s="11" t="s">
        <v>1009</v>
      </c>
      <c r="D587" s="12" t="s">
        <v>19</v>
      </c>
      <c r="E587" s="13" t="s">
        <v>32</v>
      </c>
      <c r="F587" s="14" t="s">
        <v>21</v>
      </c>
      <c r="G587" s="14" t="b">
        <v>0</v>
      </c>
      <c r="H587" s="14" t="s">
        <v>1012</v>
      </c>
      <c r="I587" s="14">
        <v>3.0</v>
      </c>
      <c r="J587" s="14">
        <v>0.0</v>
      </c>
      <c r="K587" s="14">
        <v>1.33</v>
      </c>
    </row>
    <row r="588" ht="15.75" customHeight="1">
      <c r="A588" s="9" t="s">
        <v>2475</v>
      </c>
      <c r="B588" s="10" t="s">
        <v>2476</v>
      </c>
      <c r="C588" s="11" t="s">
        <v>1013</v>
      </c>
      <c r="D588" s="12" t="s">
        <v>19</v>
      </c>
      <c r="E588" s="13" t="s">
        <v>159</v>
      </c>
      <c r="F588" s="14" t="s">
        <v>21</v>
      </c>
      <c r="G588" s="14" t="b">
        <v>0</v>
      </c>
      <c r="H588" s="14" t="s">
        <v>1015</v>
      </c>
      <c r="I588" s="14">
        <v>3.0</v>
      </c>
      <c r="J588" s="14">
        <v>0.0</v>
      </c>
      <c r="K588" s="14">
        <v>0.67</v>
      </c>
    </row>
    <row r="589" ht="15.75" customHeight="1">
      <c r="A589" s="9" t="s">
        <v>2477</v>
      </c>
      <c r="B589" s="10" t="s">
        <v>2478</v>
      </c>
      <c r="C589" s="11" t="s">
        <v>989</v>
      </c>
      <c r="D589" s="12" t="s">
        <v>158</v>
      </c>
      <c r="E589" s="13" t="s">
        <v>20</v>
      </c>
      <c r="F589" s="14" t="s">
        <v>160</v>
      </c>
      <c r="G589" s="14" t="b">
        <v>0</v>
      </c>
      <c r="H589" s="14" t="s">
        <v>992</v>
      </c>
      <c r="I589" s="14">
        <v>3.0</v>
      </c>
      <c r="J589" s="14">
        <v>0.0</v>
      </c>
      <c r="K589" s="14">
        <v>0.0</v>
      </c>
    </row>
    <row r="590" ht="15.75" customHeight="1">
      <c r="A590" s="9" t="s">
        <v>2479</v>
      </c>
      <c r="B590" s="10" t="s">
        <v>2480</v>
      </c>
      <c r="C590" s="11" t="s">
        <v>924</v>
      </c>
      <c r="D590" s="12" t="s">
        <v>19</v>
      </c>
      <c r="E590" s="13" t="s">
        <v>159</v>
      </c>
      <c r="F590" s="14" t="s">
        <v>21</v>
      </c>
      <c r="G590" s="14" t="b">
        <v>0</v>
      </c>
      <c r="H590" s="14" t="s">
        <v>2481</v>
      </c>
      <c r="I590" s="14">
        <v>3.0</v>
      </c>
      <c r="J590" s="14">
        <v>0.0</v>
      </c>
      <c r="K590" s="14">
        <v>0.0</v>
      </c>
    </row>
    <row r="591" ht="15.75" customHeight="1">
      <c r="A591" s="9" t="s">
        <v>2482</v>
      </c>
      <c r="B591" s="10" t="s">
        <v>2483</v>
      </c>
      <c r="C591" s="11" t="s">
        <v>1140</v>
      </c>
      <c r="D591" s="12" t="s">
        <v>277</v>
      </c>
      <c r="E591" s="13" t="s">
        <v>32</v>
      </c>
      <c r="F591" s="14" t="s">
        <v>278</v>
      </c>
      <c r="G591" s="14" t="b">
        <v>0</v>
      </c>
      <c r="I591" s="14">
        <v>2.0</v>
      </c>
      <c r="J591" s="14">
        <v>0.0</v>
      </c>
      <c r="K591" s="14">
        <v>0.0</v>
      </c>
    </row>
    <row r="592" ht="15.75" customHeight="1">
      <c r="A592" s="9" t="s">
        <v>2484</v>
      </c>
      <c r="B592" s="10" t="s">
        <v>2485</v>
      </c>
      <c r="C592" s="11" t="s">
        <v>396</v>
      </c>
      <c r="D592" s="12" t="s">
        <v>277</v>
      </c>
      <c r="E592" s="13" t="s">
        <v>32</v>
      </c>
      <c r="F592" s="14" t="s">
        <v>278</v>
      </c>
      <c r="G592" s="14" t="b">
        <v>0</v>
      </c>
      <c r="H592" s="14" t="s">
        <v>2486</v>
      </c>
      <c r="I592" s="14">
        <v>2.0</v>
      </c>
      <c r="J592" s="14">
        <v>0.0</v>
      </c>
      <c r="K592" s="14">
        <v>3.0</v>
      </c>
    </row>
    <row r="593" ht="15.75" customHeight="1">
      <c r="A593" s="9" t="s">
        <v>2487</v>
      </c>
      <c r="B593" s="10" t="s">
        <v>2488</v>
      </c>
      <c r="C593" s="11" t="s">
        <v>396</v>
      </c>
      <c r="D593" s="12" t="s">
        <v>277</v>
      </c>
      <c r="E593" s="13" t="s">
        <v>32</v>
      </c>
      <c r="F593" s="14" t="s">
        <v>278</v>
      </c>
      <c r="G593" s="14" t="b">
        <v>0</v>
      </c>
      <c r="I593" s="14">
        <v>2.0</v>
      </c>
      <c r="J593" s="14">
        <v>0.0</v>
      </c>
      <c r="K593" s="14">
        <v>3.0</v>
      </c>
    </row>
    <row r="594" ht="15.75" customHeight="1">
      <c r="A594" s="9" t="s">
        <v>2489</v>
      </c>
      <c r="B594" s="10" t="s">
        <v>2490</v>
      </c>
      <c r="C594" s="11" t="s">
        <v>432</v>
      </c>
      <c r="D594" s="12" t="s">
        <v>312</v>
      </c>
      <c r="E594" s="13" t="s">
        <v>102</v>
      </c>
      <c r="F594" s="14" t="s">
        <v>313</v>
      </c>
      <c r="G594" s="14" t="b">
        <v>0</v>
      </c>
      <c r="H594" s="14" t="s">
        <v>2491</v>
      </c>
      <c r="I594" s="14">
        <v>2.0</v>
      </c>
      <c r="J594" s="14">
        <v>0.0</v>
      </c>
      <c r="K594" s="14">
        <v>1.5</v>
      </c>
    </row>
    <row r="595" ht="15.75" customHeight="1">
      <c r="A595" s="9" t="s">
        <v>2492</v>
      </c>
      <c r="B595" s="10" t="s">
        <v>2493</v>
      </c>
      <c r="C595" s="11" t="s">
        <v>432</v>
      </c>
      <c r="D595" s="12" t="s">
        <v>19</v>
      </c>
      <c r="E595" s="13" t="s">
        <v>102</v>
      </c>
      <c r="F595" s="14" t="s">
        <v>21</v>
      </c>
      <c r="G595" s="14" t="b">
        <v>0</v>
      </c>
      <c r="H595" s="14" t="s">
        <v>2494</v>
      </c>
      <c r="I595" s="14">
        <v>2.0</v>
      </c>
      <c r="J595" s="14">
        <v>0.0</v>
      </c>
      <c r="K595" s="14">
        <v>3.0</v>
      </c>
    </row>
    <row r="596" ht="15.75" customHeight="1">
      <c r="A596" s="9" t="s">
        <v>2495</v>
      </c>
      <c r="B596" s="10" t="s">
        <v>2496</v>
      </c>
      <c r="C596" s="11" t="s">
        <v>639</v>
      </c>
      <c r="D596" s="12" t="s">
        <v>158</v>
      </c>
      <c r="E596" s="13" t="s">
        <v>32</v>
      </c>
      <c r="F596" s="14" t="s">
        <v>160</v>
      </c>
      <c r="G596" s="14" t="b">
        <v>0</v>
      </c>
      <c r="H596" s="14" t="s">
        <v>2497</v>
      </c>
      <c r="I596" s="14">
        <v>2.0</v>
      </c>
      <c r="J596" s="14">
        <v>0.0</v>
      </c>
      <c r="K596" s="14">
        <v>1.5</v>
      </c>
    </row>
    <row r="597" ht="15.75" customHeight="1">
      <c r="A597" s="9" t="s">
        <v>2498</v>
      </c>
      <c r="B597" s="10" t="s">
        <v>2499</v>
      </c>
      <c r="C597" s="11" t="s">
        <v>1142</v>
      </c>
      <c r="D597" s="12" t="s">
        <v>116</v>
      </c>
      <c r="E597" s="13" t="s">
        <v>32</v>
      </c>
      <c r="F597" s="14" t="s">
        <v>117</v>
      </c>
      <c r="G597" s="14" t="b">
        <v>0</v>
      </c>
      <c r="I597" s="14">
        <v>2.0</v>
      </c>
      <c r="J597" s="14">
        <v>0.0</v>
      </c>
      <c r="K597" s="14">
        <v>0.5</v>
      </c>
    </row>
    <row r="598" ht="15.75" customHeight="1">
      <c r="A598" s="9" t="s">
        <v>2500</v>
      </c>
      <c r="B598" s="10" t="s">
        <v>2501</v>
      </c>
      <c r="C598" s="11" t="s">
        <v>25</v>
      </c>
      <c r="D598" s="12" t="s">
        <v>30</v>
      </c>
      <c r="E598" s="13" t="s">
        <v>32</v>
      </c>
      <c r="F598" s="14" t="s">
        <v>34</v>
      </c>
      <c r="G598" s="14" t="b">
        <v>0</v>
      </c>
      <c r="H598" s="14" t="s">
        <v>2502</v>
      </c>
      <c r="I598" s="14">
        <v>2.0</v>
      </c>
      <c r="J598" s="14">
        <v>0.0</v>
      </c>
      <c r="K598" s="14">
        <v>1.0</v>
      </c>
    </row>
    <row r="599" ht="15.75" customHeight="1">
      <c r="A599" s="9" t="s">
        <v>2503</v>
      </c>
      <c r="B599" s="10" t="s">
        <v>2504</v>
      </c>
      <c r="C599" s="11" t="s">
        <v>25</v>
      </c>
      <c r="D599" s="12" t="s">
        <v>30</v>
      </c>
      <c r="E599" s="13" t="s">
        <v>32</v>
      </c>
      <c r="F599" s="14" t="s">
        <v>34</v>
      </c>
      <c r="G599" s="14" t="b">
        <v>0</v>
      </c>
      <c r="H599" s="14" t="s">
        <v>1026</v>
      </c>
      <c r="I599" s="14">
        <v>2.0</v>
      </c>
      <c r="J599" s="14">
        <v>0.0</v>
      </c>
      <c r="K599" s="14">
        <v>0.0</v>
      </c>
    </row>
    <row r="600" ht="15.75" customHeight="1">
      <c r="A600" s="9" t="s">
        <v>2505</v>
      </c>
      <c r="B600" s="10" t="s">
        <v>2506</v>
      </c>
      <c r="C600" s="11" t="s">
        <v>25</v>
      </c>
      <c r="D600" s="12" t="s">
        <v>116</v>
      </c>
      <c r="E600" s="13" t="s">
        <v>32</v>
      </c>
      <c r="F600" s="14" t="s">
        <v>117</v>
      </c>
      <c r="G600" s="14" t="b">
        <v>0</v>
      </c>
      <c r="H600" s="14" t="s">
        <v>2507</v>
      </c>
      <c r="I600" s="14">
        <v>2.0</v>
      </c>
      <c r="J600" s="14">
        <v>0.0</v>
      </c>
      <c r="K600" s="14">
        <v>0.0</v>
      </c>
    </row>
    <row r="601" ht="15.75" customHeight="1">
      <c r="A601" s="9" t="s">
        <v>2508</v>
      </c>
      <c r="B601" s="10" t="s">
        <v>2509</v>
      </c>
      <c r="C601" s="11" t="s">
        <v>25</v>
      </c>
      <c r="D601" s="12" t="s">
        <v>30</v>
      </c>
      <c r="E601" s="13" t="s">
        <v>32</v>
      </c>
      <c r="F601" s="14" t="s">
        <v>34</v>
      </c>
      <c r="G601" s="14" t="b">
        <v>0</v>
      </c>
      <c r="H601" s="14" t="s">
        <v>2510</v>
      </c>
      <c r="I601" s="14">
        <v>2.0</v>
      </c>
      <c r="J601" s="14">
        <v>0.0</v>
      </c>
      <c r="K601" s="14">
        <v>1.0</v>
      </c>
    </row>
    <row r="602" ht="15.75" customHeight="1">
      <c r="A602" s="9" t="s">
        <v>2511</v>
      </c>
      <c r="B602" s="10" t="s">
        <v>2512</v>
      </c>
      <c r="C602" s="11" t="s">
        <v>25</v>
      </c>
      <c r="D602" s="12" t="s">
        <v>30</v>
      </c>
      <c r="E602" s="13" t="s">
        <v>32</v>
      </c>
      <c r="F602" s="14" t="s">
        <v>34</v>
      </c>
      <c r="G602" s="14" t="b">
        <v>0</v>
      </c>
      <c r="H602" s="14" t="s">
        <v>207</v>
      </c>
      <c r="I602" s="14">
        <v>2.0</v>
      </c>
      <c r="J602" s="14">
        <v>0.0</v>
      </c>
      <c r="K602" s="14">
        <v>0.0</v>
      </c>
    </row>
    <row r="603" ht="15.75" customHeight="1">
      <c r="A603" s="9" t="s">
        <v>2513</v>
      </c>
      <c r="B603" s="10" t="s">
        <v>2514</v>
      </c>
      <c r="C603" s="11" t="s">
        <v>25</v>
      </c>
      <c r="D603" s="12" t="s">
        <v>30</v>
      </c>
      <c r="E603" s="13" t="s">
        <v>32</v>
      </c>
      <c r="F603" s="14" t="s">
        <v>34</v>
      </c>
      <c r="G603" s="14" t="b">
        <v>0</v>
      </c>
      <c r="H603" s="14" t="s">
        <v>2515</v>
      </c>
      <c r="I603" s="14">
        <v>2.0</v>
      </c>
      <c r="J603" s="14">
        <v>0.0</v>
      </c>
      <c r="K603" s="14">
        <v>2.0</v>
      </c>
    </row>
    <row r="604" ht="15.75" customHeight="1">
      <c r="A604" s="9" t="s">
        <v>2516</v>
      </c>
      <c r="B604" s="10" t="s">
        <v>2517</v>
      </c>
      <c r="C604" s="11" t="s">
        <v>25</v>
      </c>
      <c r="D604" s="12" t="s">
        <v>158</v>
      </c>
      <c r="E604" s="13" t="s">
        <v>32</v>
      </c>
      <c r="F604" s="14" t="s">
        <v>160</v>
      </c>
      <c r="G604" s="14" t="b">
        <v>0</v>
      </c>
      <c r="H604" s="14" t="s">
        <v>2518</v>
      </c>
      <c r="I604" s="14">
        <v>2.0</v>
      </c>
      <c r="J604" s="14">
        <v>0.0</v>
      </c>
      <c r="K604" s="14">
        <v>0.0</v>
      </c>
    </row>
    <row r="605" ht="15.75" customHeight="1">
      <c r="A605" s="9" t="s">
        <v>2519</v>
      </c>
      <c r="B605" s="10" t="s">
        <v>2520</v>
      </c>
      <c r="C605" s="11" t="s">
        <v>1144</v>
      </c>
      <c r="D605" s="12" t="s">
        <v>158</v>
      </c>
      <c r="E605" s="13" t="s">
        <v>159</v>
      </c>
      <c r="F605" s="14" t="s">
        <v>160</v>
      </c>
      <c r="G605" s="14" t="b">
        <v>0</v>
      </c>
      <c r="I605" s="14">
        <v>2.0</v>
      </c>
      <c r="J605" s="14">
        <v>0.0</v>
      </c>
      <c r="K605" s="14">
        <v>0.0</v>
      </c>
    </row>
    <row r="606" ht="15.75" customHeight="1">
      <c r="A606" s="9" t="s">
        <v>2521</v>
      </c>
      <c r="B606" s="10" t="s">
        <v>2522</v>
      </c>
      <c r="C606" s="11" t="s">
        <v>1147</v>
      </c>
      <c r="D606" s="12" t="s">
        <v>125</v>
      </c>
      <c r="E606" s="13" t="s">
        <v>32</v>
      </c>
      <c r="F606" s="14" t="s">
        <v>126</v>
      </c>
      <c r="G606" s="14" t="b">
        <v>0</v>
      </c>
      <c r="H606" s="14" t="s">
        <v>340</v>
      </c>
      <c r="I606" s="14">
        <v>2.0</v>
      </c>
      <c r="J606" s="14">
        <v>0.0</v>
      </c>
      <c r="K606" s="14">
        <v>0.5</v>
      </c>
    </row>
    <row r="607" ht="15.75" customHeight="1">
      <c r="A607" s="9" t="s">
        <v>2523</v>
      </c>
      <c r="B607" s="10" t="s">
        <v>2524</v>
      </c>
      <c r="C607" s="11" t="s">
        <v>1149</v>
      </c>
      <c r="D607" s="12" t="s">
        <v>125</v>
      </c>
      <c r="E607" s="13" t="s">
        <v>32</v>
      </c>
      <c r="F607" s="14" t="s">
        <v>126</v>
      </c>
      <c r="G607" s="14" t="b">
        <v>0</v>
      </c>
      <c r="H607" s="14" t="s">
        <v>340</v>
      </c>
      <c r="I607" s="14">
        <v>2.0</v>
      </c>
      <c r="J607" s="14">
        <v>0.0</v>
      </c>
      <c r="K607" s="14">
        <v>0.0</v>
      </c>
    </row>
    <row r="608" ht="15.75" customHeight="1">
      <c r="A608" s="9" t="s">
        <v>2525</v>
      </c>
      <c r="B608" s="10" t="s">
        <v>2526</v>
      </c>
      <c r="C608" s="11" t="s">
        <v>707</v>
      </c>
      <c r="D608" s="12" t="s">
        <v>277</v>
      </c>
      <c r="E608" s="13" t="s">
        <v>32</v>
      </c>
      <c r="F608" s="14" t="s">
        <v>278</v>
      </c>
      <c r="G608" s="14" t="b">
        <v>0</v>
      </c>
      <c r="H608" s="14" t="s">
        <v>538</v>
      </c>
      <c r="I608" s="14">
        <v>2.0</v>
      </c>
      <c r="J608" s="14">
        <v>0.0</v>
      </c>
      <c r="K608" s="14">
        <v>0.5</v>
      </c>
    </row>
    <row r="609" ht="15.75" customHeight="1">
      <c r="A609" s="9" t="s">
        <v>2527</v>
      </c>
      <c r="B609" s="10" t="s">
        <v>2528</v>
      </c>
      <c r="C609" s="11" t="s">
        <v>438</v>
      </c>
      <c r="D609" s="12" t="s">
        <v>277</v>
      </c>
      <c r="E609" s="13" t="s">
        <v>20</v>
      </c>
      <c r="F609" s="14" t="s">
        <v>278</v>
      </c>
      <c r="G609" s="14" t="b">
        <v>0</v>
      </c>
      <c r="H609" s="14" t="s">
        <v>442</v>
      </c>
      <c r="I609" s="14">
        <v>2.0</v>
      </c>
      <c r="J609" s="14">
        <v>0.0</v>
      </c>
      <c r="K609" s="14">
        <v>1.0</v>
      </c>
    </row>
    <row r="610" ht="15.75" customHeight="1">
      <c r="A610" s="9" t="s">
        <v>2529</v>
      </c>
      <c r="B610" s="10" t="s">
        <v>2530</v>
      </c>
      <c r="C610" s="11" t="s">
        <v>438</v>
      </c>
      <c r="D610" s="12" t="s">
        <v>277</v>
      </c>
      <c r="E610" s="13" t="s">
        <v>20</v>
      </c>
      <c r="F610" s="14" t="s">
        <v>278</v>
      </c>
      <c r="G610" s="14" t="b">
        <v>0</v>
      </c>
      <c r="H610" s="14" t="s">
        <v>442</v>
      </c>
      <c r="I610" s="14">
        <v>2.0</v>
      </c>
      <c r="J610" s="14">
        <v>0.0</v>
      </c>
      <c r="K610" s="14">
        <v>0.5</v>
      </c>
    </row>
    <row r="611" ht="15.75" customHeight="1">
      <c r="A611" s="9" t="s">
        <v>2531</v>
      </c>
      <c r="B611" s="10" t="s">
        <v>2532</v>
      </c>
      <c r="C611" s="11" t="s">
        <v>1151</v>
      </c>
      <c r="D611" s="12" t="s">
        <v>19</v>
      </c>
      <c r="E611" s="13" t="s">
        <v>32</v>
      </c>
      <c r="F611" s="14" t="s">
        <v>21</v>
      </c>
      <c r="G611" s="14" t="b">
        <v>0</v>
      </c>
      <c r="H611" s="14" t="s">
        <v>2533</v>
      </c>
      <c r="I611" s="14">
        <v>2.0</v>
      </c>
      <c r="J611" s="14">
        <v>0.0</v>
      </c>
      <c r="K611" s="14">
        <v>0.5</v>
      </c>
    </row>
    <row r="612" ht="15.75" customHeight="1">
      <c r="A612" s="9" t="s">
        <v>2534</v>
      </c>
      <c r="B612" s="10" t="s">
        <v>2535</v>
      </c>
      <c r="C612" s="11" t="s">
        <v>1154</v>
      </c>
      <c r="D612" s="12" t="s">
        <v>19</v>
      </c>
      <c r="E612" s="13" t="s">
        <v>32</v>
      </c>
      <c r="F612" s="14" t="s">
        <v>21</v>
      </c>
      <c r="G612" s="14" t="b">
        <v>0</v>
      </c>
      <c r="H612" s="14" t="s">
        <v>2536</v>
      </c>
      <c r="I612" s="14">
        <v>2.0</v>
      </c>
      <c r="J612" s="14">
        <v>0.0</v>
      </c>
      <c r="K612" s="14">
        <v>0.0</v>
      </c>
    </row>
    <row r="613" ht="15.75" customHeight="1">
      <c r="A613" s="9" t="s">
        <v>2537</v>
      </c>
      <c r="B613" s="10" t="s">
        <v>2538</v>
      </c>
      <c r="C613" s="11" t="s">
        <v>1156</v>
      </c>
      <c r="D613" s="12" t="s">
        <v>277</v>
      </c>
      <c r="E613" s="13" t="s">
        <v>32</v>
      </c>
      <c r="F613" s="14" t="s">
        <v>278</v>
      </c>
      <c r="G613" s="14" t="b">
        <v>0</v>
      </c>
      <c r="I613" s="14">
        <v>2.0</v>
      </c>
      <c r="J613" s="14">
        <v>0.0</v>
      </c>
      <c r="K613" s="14">
        <v>2.0</v>
      </c>
    </row>
    <row r="614" ht="15.75" customHeight="1">
      <c r="A614" s="9" t="s">
        <v>2539</v>
      </c>
      <c r="B614" s="10" t="s">
        <v>2540</v>
      </c>
      <c r="C614" s="11" t="s">
        <v>1159</v>
      </c>
      <c r="D614" s="12" t="s">
        <v>312</v>
      </c>
      <c r="E614" s="13" t="s">
        <v>32</v>
      </c>
      <c r="F614" s="14" t="s">
        <v>313</v>
      </c>
      <c r="G614" s="14" t="b">
        <v>0</v>
      </c>
      <c r="I614" s="14">
        <v>2.0</v>
      </c>
      <c r="J614" s="14">
        <v>0.0</v>
      </c>
      <c r="K614" s="14">
        <v>1.0</v>
      </c>
    </row>
    <row r="615" ht="15.75" customHeight="1">
      <c r="A615" s="9" t="s">
        <v>2541</v>
      </c>
      <c r="B615" s="10" t="s">
        <v>2542</v>
      </c>
      <c r="C615" s="11" t="s">
        <v>205</v>
      </c>
      <c r="D615" s="12" t="s">
        <v>158</v>
      </c>
      <c r="E615" s="13" t="s">
        <v>85</v>
      </c>
      <c r="F615" s="14" t="s">
        <v>160</v>
      </c>
      <c r="G615" s="14" t="b">
        <v>0</v>
      </c>
      <c r="H615" s="14" t="s">
        <v>2543</v>
      </c>
      <c r="I615" s="14">
        <v>2.0</v>
      </c>
      <c r="J615" s="14">
        <v>0.0</v>
      </c>
      <c r="K615" s="14">
        <v>1.0</v>
      </c>
    </row>
    <row r="616" ht="15.75" customHeight="1">
      <c r="A616" s="9" t="s">
        <v>2544</v>
      </c>
      <c r="B616" s="10" t="s">
        <v>2545</v>
      </c>
      <c r="C616" s="11" t="s">
        <v>205</v>
      </c>
      <c r="D616" s="12" t="s">
        <v>158</v>
      </c>
      <c r="E616" s="13" t="s">
        <v>85</v>
      </c>
      <c r="F616" s="14" t="s">
        <v>160</v>
      </c>
      <c r="G616" s="14" t="b">
        <v>1</v>
      </c>
      <c r="H616" s="14" t="s">
        <v>2546</v>
      </c>
      <c r="I616" s="14">
        <v>2.0</v>
      </c>
      <c r="J616" s="14">
        <v>0.0</v>
      </c>
      <c r="K616" s="14">
        <v>1.0</v>
      </c>
    </row>
    <row r="617" ht="15.75" customHeight="1">
      <c r="A617" s="9" t="s">
        <v>2547</v>
      </c>
      <c r="B617" s="10" t="s">
        <v>2548</v>
      </c>
      <c r="C617" s="11" t="s">
        <v>1130</v>
      </c>
      <c r="D617" s="12" t="s">
        <v>19</v>
      </c>
      <c r="E617" s="13" t="s">
        <v>32</v>
      </c>
      <c r="F617" s="14" t="s">
        <v>21</v>
      </c>
      <c r="G617" s="14" t="b">
        <v>0</v>
      </c>
      <c r="H617" s="14" t="s">
        <v>2549</v>
      </c>
      <c r="I617" s="14">
        <v>2.0</v>
      </c>
      <c r="J617" s="14">
        <v>0.0</v>
      </c>
      <c r="K617" s="14">
        <v>1.5</v>
      </c>
    </row>
    <row r="618" ht="15.75" customHeight="1">
      <c r="A618" s="9" t="s">
        <v>2550</v>
      </c>
      <c r="B618" s="10" t="s">
        <v>2551</v>
      </c>
      <c r="C618" s="11" t="s">
        <v>1162</v>
      </c>
      <c r="D618" s="12" t="s">
        <v>19</v>
      </c>
      <c r="E618" s="13" t="s">
        <v>32</v>
      </c>
      <c r="F618" s="14" t="s">
        <v>21</v>
      </c>
      <c r="G618" s="14" t="b">
        <v>0</v>
      </c>
      <c r="I618" s="14">
        <v>2.0</v>
      </c>
      <c r="J618" s="14">
        <v>0.0</v>
      </c>
      <c r="K618" s="14">
        <v>0.0</v>
      </c>
    </row>
    <row r="619" ht="15.75" customHeight="1">
      <c r="A619" s="9" t="s">
        <v>2552</v>
      </c>
      <c r="B619" s="10" t="s">
        <v>1870</v>
      </c>
      <c r="C619" s="11" t="s">
        <v>155</v>
      </c>
      <c r="D619" s="12" t="s">
        <v>19</v>
      </c>
      <c r="E619" s="13" t="s">
        <v>32</v>
      </c>
      <c r="F619" s="14" t="s">
        <v>21</v>
      </c>
      <c r="G619" s="14" t="b">
        <v>0</v>
      </c>
      <c r="I619" s="14">
        <v>2.0</v>
      </c>
      <c r="J619" s="14">
        <v>0.0</v>
      </c>
      <c r="K619" s="14">
        <v>0.0</v>
      </c>
    </row>
    <row r="620" ht="15.75" customHeight="1">
      <c r="A620" s="9" t="s">
        <v>2553</v>
      </c>
      <c r="B620" s="10" t="s">
        <v>2554</v>
      </c>
      <c r="C620" s="11" t="s">
        <v>1165</v>
      </c>
      <c r="D620" s="12" t="s">
        <v>30</v>
      </c>
      <c r="E620" s="13" t="s">
        <v>32</v>
      </c>
      <c r="F620" s="14" t="s">
        <v>34</v>
      </c>
      <c r="G620" s="14" t="b">
        <v>0</v>
      </c>
      <c r="I620" s="14">
        <v>2.0</v>
      </c>
      <c r="J620" s="14">
        <v>0.0</v>
      </c>
      <c r="K620" s="14">
        <v>1.0</v>
      </c>
    </row>
    <row r="621" ht="15.75" customHeight="1">
      <c r="A621" s="9" t="s">
        <v>2555</v>
      </c>
      <c r="B621" s="10" t="s">
        <v>2556</v>
      </c>
      <c r="C621" s="11" t="s">
        <v>1166</v>
      </c>
      <c r="D621" s="12" t="s">
        <v>19</v>
      </c>
      <c r="E621" s="13" t="s">
        <v>102</v>
      </c>
      <c r="F621" s="14" t="s">
        <v>21</v>
      </c>
      <c r="G621" s="14" t="b">
        <v>0</v>
      </c>
      <c r="I621" s="14">
        <v>2.0</v>
      </c>
      <c r="J621" s="14">
        <v>0.0</v>
      </c>
      <c r="K621" s="14">
        <v>0.0</v>
      </c>
    </row>
    <row r="622" ht="15.75" customHeight="1">
      <c r="A622" s="9" t="s">
        <v>2557</v>
      </c>
      <c r="B622" s="10" t="s">
        <v>2558</v>
      </c>
      <c r="C622" s="11" t="s">
        <v>1168</v>
      </c>
      <c r="D622" s="12" t="s">
        <v>125</v>
      </c>
      <c r="E622" s="13" t="s">
        <v>32</v>
      </c>
      <c r="F622" s="14" t="s">
        <v>126</v>
      </c>
      <c r="G622" s="14" t="b">
        <v>0</v>
      </c>
      <c r="I622" s="14">
        <v>2.0</v>
      </c>
      <c r="J622" s="14">
        <v>0.0</v>
      </c>
      <c r="K622" s="14">
        <v>1.0</v>
      </c>
    </row>
    <row r="623" ht="15.75" customHeight="1">
      <c r="A623" s="9" t="s">
        <v>2559</v>
      </c>
      <c r="B623" s="10" t="s">
        <v>2560</v>
      </c>
      <c r="C623" s="11" t="s">
        <v>1170</v>
      </c>
      <c r="D623" s="12" t="s">
        <v>277</v>
      </c>
      <c r="E623" s="13" t="s">
        <v>32</v>
      </c>
      <c r="F623" s="14" t="s">
        <v>278</v>
      </c>
      <c r="G623" s="14" t="b">
        <v>0</v>
      </c>
      <c r="I623" s="14">
        <v>2.0</v>
      </c>
      <c r="J623" s="14">
        <v>0.0</v>
      </c>
      <c r="K623" s="14">
        <v>1.0</v>
      </c>
    </row>
    <row r="624" ht="15.75" customHeight="1">
      <c r="A624" s="9" t="s">
        <v>2561</v>
      </c>
      <c r="B624" s="10" t="s">
        <v>2562</v>
      </c>
      <c r="C624" s="11" t="s">
        <v>1125</v>
      </c>
      <c r="D624" s="12" t="s">
        <v>116</v>
      </c>
      <c r="E624" s="13" t="s">
        <v>32</v>
      </c>
      <c r="F624" s="14" t="s">
        <v>117</v>
      </c>
      <c r="G624" s="14" t="b">
        <v>0</v>
      </c>
      <c r="H624" s="14" t="s">
        <v>2563</v>
      </c>
      <c r="I624" s="14">
        <v>2.0</v>
      </c>
      <c r="J624" s="14">
        <v>0.0</v>
      </c>
      <c r="K624" s="14">
        <v>2.5</v>
      </c>
    </row>
    <row r="625" ht="15.75" customHeight="1">
      <c r="A625" s="9" t="s">
        <v>2564</v>
      </c>
      <c r="B625" s="10" t="s">
        <v>2565</v>
      </c>
      <c r="C625" s="11" t="s">
        <v>1173</v>
      </c>
      <c r="D625" s="12" t="s">
        <v>19</v>
      </c>
      <c r="E625" s="13" t="s">
        <v>159</v>
      </c>
      <c r="F625" s="14" t="s">
        <v>21</v>
      </c>
      <c r="G625" s="14" t="b">
        <v>0</v>
      </c>
      <c r="H625" s="14" t="s">
        <v>2566</v>
      </c>
      <c r="I625" s="14">
        <v>2.0</v>
      </c>
      <c r="J625" s="14">
        <v>0.0</v>
      </c>
      <c r="K625" s="14">
        <v>0.0</v>
      </c>
    </row>
    <row r="626" ht="15.75" customHeight="1">
      <c r="A626" s="9" t="s">
        <v>2567</v>
      </c>
      <c r="B626" s="10" t="s">
        <v>2568</v>
      </c>
      <c r="C626" s="11" t="s">
        <v>427</v>
      </c>
      <c r="D626" s="12" t="s">
        <v>158</v>
      </c>
      <c r="E626" s="13" t="s">
        <v>20</v>
      </c>
      <c r="F626" s="14" t="s">
        <v>160</v>
      </c>
      <c r="G626" s="14" t="b">
        <v>0</v>
      </c>
      <c r="H626" s="14" t="s">
        <v>2569</v>
      </c>
      <c r="I626" s="14">
        <v>2.0</v>
      </c>
      <c r="J626" s="14">
        <v>0.0</v>
      </c>
      <c r="K626" s="14">
        <v>0.0</v>
      </c>
    </row>
    <row r="627" ht="15.75" customHeight="1">
      <c r="A627" s="9" t="s">
        <v>2570</v>
      </c>
      <c r="B627" s="10" t="s">
        <v>2571</v>
      </c>
      <c r="C627" s="11" t="s">
        <v>427</v>
      </c>
      <c r="D627" s="12" t="s">
        <v>277</v>
      </c>
      <c r="E627" s="13" t="s">
        <v>20</v>
      </c>
      <c r="F627" s="14" t="s">
        <v>278</v>
      </c>
      <c r="G627" s="14" t="b">
        <v>0</v>
      </c>
      <c r="H627" s="14" t="s">
        <v>2572</v>
      </c>
      <c r="I627" s="14">
        <v>2.0</v>
      </c>
      <c r="J627" s="14">
        <v>0.0</v>
      </c>
      <c r="K627" s="14">
        <v>1.0</v>
      </c>
    </row>
    <row r="628" ht="15.75" customHeight="1">
      <c r="A628" s="9" t="s">
        <v>2573</v>
      </c>
      <c r="B628" s="10" t="s">
        <v>2574</v>
      </c>
      <c r="C628" s="11" t="s">
        <v>1175</v>
      </c>
      <c r="D628" s="12" t="s">
        <v>312</v>
      </c>
      <c r="E628" s="13" t="s">
        <v>20</v>
      </c>
      <c r="F628" s="14" t="s">
        <v>313</v>
      </c>
      <c r="G628" s="14" t="b">
        <v>0</v>
      </c>
      <c r="H628" s="14" t="s">
        <v>1177</v>
      </c>
      <c r="I628" s="14">
        <v>2.0</v>
      </c>
      <c r="J628" s="14">
        <v>0.0</v>
      </c>
      <c r="K628" s="14">
        <v>1.5</v>
      </c>
    </row>
    <row r="629" ht="15.75" customHeight="1">
      <c r="A629" s="9" t="s">
        <v>2575</v>
      </c>
      <c r="B629" s="10" t="s">
        <v>2576</v>
      </c>
      <c r="C629" s="11" t="s">
        <v>1178</v>
      </c>
      <c r="D629" s="12" t="s">
        <v>125</v>
      </c>
      <c r="E629" s="13" t="s">
        <v>32</v>
      </c>
      <c r="F629" s="14" t="s">
        <v>126</v>
      </c>
      <c r="G629" s="14" t="b">
        <v>0</v>
      </c>
      <c r="I629" s="14">
        <v>2.0</v>
      </c>
      <c r="J629" s="14">
        <v>0.0</v>
      </c>
      <c r="K629" s="14">
        <v>1.5</v>
      </c>
    </row>
    <row r="630" ht="15.75" customHeight="1">
      <c r="A630" s="9" t="s">
        <v>2577</v>
      </c>
      <c r="B630" s="10" t="s">
        <v>2578</v>
      </c>
      <c r="C630" s="11" t="s">
        <v>943</v>
      </c>
      <c r="D630" s="12" t="s">
        <v>19</v>
      </c>
      <c r="E630" s="13" t="s">
        <v>102</v>
      </c>
      <c r="F630" s="14" t="s">
        <v>21</v>
      </c>
      <c r="G630" s="14" t="b">
        <v>0</v>
      </c>
      <c r="H630" s="14" t="s">
        <v>2579</v>
      </c>
      <c r="I630" s="14">
        <v>2.0</v>
      </c>
      <c r="J630" s="14">
        <v>0.0</v>
      </c>
      <c r="K630" s="14">
        <v>0.0</v>
      </c>
    </row>
    <row r="631" ht="15.75" customHeight="1">
      <c r="A631" s="9" t="s">
        <v>2580</v>
      </c>
      <c r="B631" s="10" t="s">
        <v>2581</v>
      </c>
      <c r="C631" s="11" t="s">
        <v>943</v>
      </c>
      <c r="D631" s="12" t="s">
        <v>19</v>
      </c>
      <c r="E631" s="13" t="s">
        <v>102</v>
      </c>
      <c r="F631" s="14" t="s">
        <v>21</v>
      </c>
      <c r="G631" s="14" t="b">
        <v>0</v>
      </c>
      <c r="H631" s="14" t="s">
        <v>2582</v>
      </c>
      <c r="I631" s="14">
        <v>2.0</v>
      </c>
      <c r="J631" s="14">
        <v>0.0</v>
      </c>
      <c r="K631" s="14">
        <v>0.5</v>
      </c>
    </row>
    <row r="632" ht="15.75" customHeight="1">
      <c r="A632" s="9" t="s">
        <v>2583</v>
      </c>
      <c r="B632" s="10" t="s">
        <v>2584</v>
      </c>
      <c r="C632" s="11" t="s">
        <v>198</v>
      </c>
      <c r="D632" s="12" t="s">
        <v>277</v>
      </c>
      <c r="E632" s="13" t="s">
        <v>116</v>
      </c>
      <c r="F632" s="14" t="s">
        <v>278</v>
      </c>
      <c r="G632" s="14" t="b">
        <v>0</v>
      </c>
      <c r="H632" s="14" t="s">
        <v>199</v>
      </c>
      <c r="I632" s="14">
        <v>2.0</v>
      </c>
      <c r="J632" s="14">
        <v>0.0</v>
      </c>
      <c r="K632" s="14">
        <v>0.0</v>
      </c>
    </row>
    <row r="633" ht="15.75" customHeight="1">
      <c r="A633" s="9" t="s">
        <v>2585</v>
      </c>
      <c r="B633" s="13"/>
      <c r="C633" s="11" t="s">
        <v>198</v>
      </c>
      <c r="D633" s="12" t="s">
        <v>116</v>
      </c>
      <c r="E633" s="13" t="s">
        <v>116</v>
      </c>
      <c r="F633" s="14" t="s">
        <v>117</v>
      </c>
      <c r="H633" s="14" t="s">
        <v>824</v>
      </c>
      <c r="I633" s="14">
        <v>2.0</v>
      </c>
      <c r="J633" s="14">
        <v>0.0</v>
      </c>
      <c r="K633" s="14">
        <v>2.0</v>
      </c>
    </row>
    <row r="634" ht="15.75" customHeight="1">
      <c r="A634" s="9" t="s">
        <v>2586</v>
      </c>
      <c r="B634" s="13"/>
      <c r="C634" s="11" t="s">
        <v>536</v>
      </c>
      <c r="D634" s="12" t="s">
        <v>158</v>
      </c>
      <c r="E634" s="13" t="s">
        <v>85</v>
      </c>
      <c r="F634" s="14" t="s">
        <v>160</v>
      </c>
      <c r="G634" s="14" t="b">
        <v>0</v>
      </c>
      <c r="I634" s="14">
        <v>2.0</v>
      </c>
      <c r="J634" s="14">
        <v>0.0</v>
      </c>
      <c r="K634" s="14">
        <v>0.0</v>
      </c>
    </row>
    <row r="635" ht="15.75" customHeight="1">
      <c r="A635" s="9" t="s">
        <v>2587</v>
      </c>
      <c r="B635" s="13"/>
      <c r="C635" s="11" t="s">
        <v>1184</v>
      </c>
      <c r="D635" s="12" t="s">
        <v>125</v>
      </c>
      <c r="E635" s="13" t="s">
        <v>32</v>
      </c>
      <c r="F635" s="14" t="s">
        <v>126</v>
      </c>
      <c r="H635" s="14" t="s">
        <v>824</v>
      </c>
      <c r="I635" s="14">
        <v>2.0</v>
      </c>
      <c r="J635" s="14">
        <v>0.0</v>
      </c>
      <c r="K635" s="14">
        <v>0.0</v>
      </c>
    </row>
    <row r="636" ht="15.75" customHeight="1">
      <c r="A636" s="9" t="s">
        <v>2588</v>
      </c>
      <c r="B636" s="10" t="s">
        <v>2589</v>
      </c>
      <c r="C636" s="10" t="s">
        <v>1187</v>
      </c>
      <c r="D636" s="12" t="s">
        <v>277</v>
      </c>
      <c r="E636" s="13" t="s">
        <v>32</v>
      </c>
      <c r="F636" s="14" t="s">
        <v>278</v>
      </c>
      <c r="G636" s="14" t="b">
        <v>0</v>
      </c>
      <c r="I636" s="14">
        <v>2.0</v>
      </c>
      <c r="J636" s="14">
        <v>0.0</v>
      </c>
      <c r="K636" s="14">
        <v>0.0</v>
      </c>
    </row>
    <row r="637" ht="15.75" customHeight="1">
      <c r="A637" s="9" t="s">
        <v>2590</v>
      </c>
      <c r="B637" s="10" t="s">
        <v>2591</v>
      </c>
      <c r="C637" s="11" t="s">
        <v>951</v>
      </c>
      <c r="D637" s="12" t="s">
        <v>277</v>
      </c>
      <c r="E637" s="13" t="s">
        <v>32</v>
      </c>
      <c r="F637" s="14" t="s">
        <v>278</v>
      </c>
      <c r="G637" s="14" t="b">
        <v>0</v>
      </c>
      <c r="I637" s="14">
        <v>2.0</v>
      </c>
      <c r="J637" s="14">
        <v>0.0</v>
      </c>
      <c r="K637" s="14">
        <v>0.5</v>
      </c>
    </row>
    <row r="638" ht="15.75" customHeight="1">
      <c r="A638" s="9" t="s">
        <v>2592</v>
      </c>
      <c r="B638" s="10" t="s">
        <v>2593</v>
      </c>
      <c r="C638" s="11" t="s">
        <v>18</v>
      </c>
      <c r="D638" s="12" t="s">
        <v>30</v>
      </c>
      <c r="E638" s="13" t="s">
        <v>32</v>
      </c>
      <c r="F638" s="14" t="s">
        <v>34</v>
      </c>
      <c r="G638" s="14" t="b">
        <v>0</v>
      </c>
      <c r="H638" s="14" t="s">
        <v>340</v>
      </c>
      <c r="I638" s="14">
        <v>2.0</v>
      </c>
      <c r="J638" s="14">
        <v>0.0</v>
      </c>
      <c r="K638" s="14">
        <v>0.0</v>
      </c>
    </row>
    <row r="639" ht="15.75" customHeight="1">
      <c r="A639" s="9" t="s">
        <v>2594</v>
      </c>
      <c r="B639" s="10" t="s">
        <v>2595</v>
      </c>
      <c r="C639" s="11" t="s">
        <v>18</v>
      </c>
      <c r="D639" s="12" t="s">
        <v>30</v>
      </c>
      <c r="E639" s="13" t="s">
        <v>32</v>
      </c>
      <c r="F639" s="14" t="s">
        <v>34</v>
      </c>
      <c r="G639" s="14" t="b">
        <v>0</v>
      </c>
      <c r="H639" s="14" t="s">
        <v>2596</v>
      </c>
      <c r="I639" s="14">
        <v>2.0</v>
      </c>
      <c r="J639" s="14">
        <v>0.0</v>
      </c>
      <c r="K639" s="14">
        <v>0.0</v>
      </c>
    </row>
    <row r="640" ht="15.75" customHeight="1">
      <c r="A640" s="9" t="s">
        <v>2597</v>
      </c>
      <c r="B640" s="10" t="s">
        <v>2598</v>
      </c>
      <c r="C640" s="11" t="s">
        <v>18</v>
      </c>
      <c r="D640" s="12" t="s">
        <v>30</v>
      </c>
      <c r="E640" s="13" t="s">
        <v>32</v>
      </c>
      <c r="F640" s="14" t="s">
        <v>34</v>
      </c>
      <c r="G640" s="14" t="b">
        <v>0</v>
      </c>
      <c r="H640" s="14" t="s">
        <v>2599</v>
      </c>
      <c r="I640" s="14">
        <v>2.0</v>
      </c>
      <c r="J640" s="14">
        <v>0.0</v>
      </c>
      <c r="K640" s="14">
        <v>0.0</v>
      </c>
    </row>
    <row r="641" ht="15.75" customHeight="1">
      <c r="A641" s="9" t="s">
        <v>2600</v>
      </c>
      <c r="B641" s="10" t="s">
        <v>2601</v>
      </c>
      <c r="C641" s="11" t="s">
        <v>18</v>
      </c>
      <c r="D641" s="12" t="s">
        <v>30</v>
      </c>
      <c r="E641" s="13" t="s">
        <v>32</v>
      </c>
      <c r="F641" s="14" t="s">
        <v>34</v>
      </c>
      <c r="G641" s="14" t="b">
        <v>0</v>
      </c>
      <c r="H641" s="14" t="s">
        <v>2602</v>
      </c>
      <c r="I641" s="14">
        <v>2.0</v>
      </c>
      <c r="J641" s="14">
        <v>0.0</v>
      </c>
      <c r="K641" s="14">
        <v>1.0</v>
      </c>
    </row>
    <row r="642" ht="15.75" customHeight="1">
      <c r="A642" s="9" t="s">
        <v>2603</v>
      </c>
      <c r="B642" s="10" t="s">
        <v>2604</v>
      </c>
      <c r="C642" s="11" t="s">
        <v>18</v>
      </c>
      <c r="D642" s="12" t="s">
        <v>158</v>
      </c>
      <c r="E642" s="13" t="s">
        <v>32</v>
      </c>
      <c r="F642" s="14" t="s">
        <v>160</v>
      </c>
      <c r="G642" s="14" t="b">
        <v>0</v>
      </c>
      <c r="H642" s="14" t="s">
        <v>2605</v>
      </c>
      <c r="I642" s="14">
        <v>2.0</v>
      </c>
      <c r="J642" s="14">
        <v>0.0</v>
      </c>
      <c r="K642" s="14">
        <v>1.5</v>
      </c>
    </row>
    <row r="643" ht="15.75" customHeight="1">
      <c r="A643" s="9" t="s">
        <v>2606</v>
      </c>
      <c r="B643" s="10" t="s">
        <v>2607</v>
      </c>
      <c r="C643" s="11" t="s">
        <v>247</v>
      </c>
      <c r="D643" s="12" t="s">
        <v>19</v>
      </c>
      <c r="E643" s="13" t="s">
        <v>32</v>
      </c>
      <c r="F643" s="14" t="s">
        <v>21</v>
      </c>
      <c r="G643" s="14" t="b">
        <v>0</v>
      </c>
      <c r="H643" s="14" t="s">
        <v>2608</v>
      </c>
      <c r="I643" s="14">
        <v>2.0</v>
      </c>
      <c r="J643" s="14">
        <v>0.0</v>
      </c>
      <c r="K643" s="14">
        <v>1.0</v>
      </c>
    </row>
    <row r="644" ht="15.75" customHeight="1">
      <c r="A644" s="9" t="s">
        <v>2609</v>
      </c>
      <c r="B644" s="10" t="s">
        <v>2610</v>
      </c>
      <c r="C644" s="11" t="s">
        <v>1192</v>
      </c>
      <c r="D644" s="12" t="s">
        <v>277</v>
      </c>
      <c r="E644" s="13" t="s">
        <v>32</v>
      </c>
      <c r="F644" s="14" t="s">
        <v>278</v>
      </c>
      <c r="G644" s="14" t="b">
        <v>0</v>
      </c>
      <c r="H644" s="14" t="s">
        <v>1193</v>
      </c>
      <c r="I644" s="14">
        <v>2.0</v>
      </c>
      <c r="J644" s="14">
        <v>0.0</v>
      </c>
      <c r="K644" s="14">
        <v>3.0</v>
      </c>
    </row>
    <row r="645" ht="15.75" customHeight="1">
      <c r="A645" s="9" t="s">
        <v>2611</v>
      </c>
      <c r="B645" s="10" t="s">
        <v>2612</v>
      </c>
      <c r="C645" s="11" t="s">
        <v>1195</v>
      </c>
      <c r="D645" s="12" t="s">
        <v>125</v>
      </c>
      <c r="E645" s="13" t="s">
        <v>32</v>
      </c>
      <c r="F645" s="14" t="s">
        <v>126</v>
      </c>
      <c r="G645" s="14" t="b">
        <v>0</v>
      </c>
      <c r="H645" s="14" t="s">
        <v>398</v>
      </c>
      <c r="I645" s="14">
        <v>2.0</v>
      </c>
      <c r="J645" s="14">
        <v>0.0</v>
      </c>
      <c r="K645" s="14">
        <v>3.0</v>
      </c>
    </row>
    <row r="646" ht="15.75" customHeight="1">
      <c r="A646" s="9" t="s">
        <v>2613</v>
      </c>
      <c r="B646" s="10" t="s">
        <v>2614</v>
      </c>
      <c r="C646" s="11" t="s">
        <v>1196</v>
      </c>
      <c r="D646" s="12" t="s">
        <v>277</v>
      </c>
      <c r="E646" s="13" t="s">
        <v>32</v>
      </c>
      <c r="F646" s="14" t="s">
        <v>278</v>
      </c>
      <c r="G646" s="14" t="b">
        <v>0</v>
      </c>
      <c r="I646" s="14">
        <v>2.0</v>
      </c>
      <c r="J646" s="14">
        <v>0.0</v>
      </c>
      <c r="K646" s="14">
        <v>0.0</v>
      </c>
    </row>
    <row r="647" ht="15.75" customHeight="1">
      <c r="A647" s="9" t="s">
        <v>2615</v>
      </c>
      <c r="B647" s="13"/>
      <c r="C647" s="11" t="s">
        <v>1198</v>
      </c>
      <c r="D647" s="12" t="s">
        <v>116</v>
      </c>
      <c r="E647" s="13" t="s">
        <v>1201</v>
      </c>
      <c r="F647" s="14" t="s">
        <v>117</v>
      </c>
      <c r="H647" s="14" t="s">
        <v>824</v>
      </c>
      <c r="I647" s="14">
        <v>2.0</v>
      </c>
      <c r="J647" s="14">
        <v>0.0</v>
      </c>
      <c r="K647" s="14">
        <v>0.0</v>
      </c>
    </row>
    <row r="648" ht="15.75" customHeight="1">
      <c r="A648" s="9" t="s">
        <v>2616</v>
      </c>
      <c r="B648" s="10" t="s">
        <v>2617</v>
      </c>
      <c r="C648" s="11" t="s">
        <v>1200</v>
      </c>
      <c r="D648" s="12" t="s">
        <v>277</v>
      </c>
      <c r="E648" s="13" t="s">
        <v>32</v>
      </c>
      <c r="F648" s="14" t="s">
        <v>278</v>
      </c>
      <c r="G648" s="14" t="b">
        <v>0</v>
      </c>
      <c r="I648" s="14">
        <v>2.0</v>
      </c>
      <c r="J648" s="14">
        <v>0.0</v>
      </c>
      <c r="K648" s="14">
        <v>1.0</v>
      </c>
    </row>
    <row r="649" ht="15.75" customHeight="1">
      <c r="A649" s="9" t="s">
        <v>2618</v>
      </c>
      <c r="B649" s="10" t="s">
        <v>2619</v>
      </c>
      <c r="C649" s="11" t="s">
        <v>80</v>
      </c>
      <c r="D649" s="12" t="s">
        <v>30</v>
      </c>
      <c r="E649" s="13" t="s">
        <v>32</v>
      </c>
      <c r="F649" s="14" t="s">
        <v>34</v>
      </c>
      <c r="G649" s="14" t="b">
        <v>0</v>
      </c>
      <c r="H649" s="14" t="s">
        <v>2620</v>
      </c>
      <c r="I649" s="14">
        <v>2.0</v>
      </c>
      <c r="J649" s="14">
        <v>0.0</v>
      </c>
      <c r="K649" s="14">
        <v>0.0</v>
      </c>
    </row>
    <row r="650" ht="15.75" customHeight="1">
      <c r="A650" s="9" t="s">
        <v>2621</v>
      </c>
      <c r="B650" s="10" t="s">
        <v>2622</v>
      </c>
      <c r="C650" s="11" t="s">
        <v>80</v>
      </c>
      <c r="D650" s="12" t="s">
        <v>30</v>
      </c>
      <c r="E650" s="13" t="s">
        <v>32</v>
      </c>
      <c r="F650" s="14" t="s">
        <v>34</v>
      </c>
      <c r="G650" s="14" t="b">
        <v>0</v>
      </c>
      <c r="H650" s="14" t="s">
        <v>2623</v>
      </c>
      <c r="I650" s="14">
        <v>2.0</v>
      </c>
      <c r="J650" s="14">
        <v>0.0</v>
      </c>
      <c r="K650" s="14">
        <v>0.0</v>
      </c>
    </row>
    <row r="651" ht="15.75" customHeight="1">
      <c r="A651" s="9" t="s">
        <v>2624</v>
      </c>
      <c r="B651" s="10" t="s">
        <v>2625</v>
      </c>
      <c r="C651" s="11" t="s">
        <v>80</v>
      </c>
      <c r="D651" s="12" t="s">
        <v>30</v>
      </c>
      <c r="E651" s="13" t="s">
        <v>32</v>
      </c>
      <c r="F651" s="14" t="s">
        <v>34</v>
      </c>
      <c r="G651" s="14" t="b">
        <v>0</v>
      </c>
      <c r="H651" s="14" t="s">
        <v>2626</v>
      </c>
      <c r="I651" s="14">
        <v>2.0</v>
      </c>
      <c r="J651" s="14">
        <v>0.0</v>
      </c>
      <c r="K651" s="14">
        <v>0.0</v>
      </c>
    </row>
    <row r="652" ht="15.75" customHeight="1">
      <c r="A652" s="9" t="s">
        <v>2627</v>
      </c>
      <c r="B652" s="10" t="s">
        <v>2628</v>
      </c>
      <c r="C652" s="11" t="s">
        <v>28</v>
      </c>
      <c r="D652" s="12" t="s">
        <v>158</v>
      </c>
      <c r="E652" s="13" t="s">
        <v>159</v>
      </c>
      <c r="F652" s="14" t="s">
        <v>160</v>
      </c>
      <c r="G652" s="14" t="b">
        <v>0</v>
      </c>
      <c r="H652" s="14" t="s">
        <v>2629</v>
      </c>
      <c r="I652" s="14">
        <v>2.0</v>
      </c>
      <c r="J652" s="14">
        <v>0.0</v>
      </c>
      <c r="K652" s="14">
        <v>2.0</v>
      </c>
    </row>
    <row r="653" ht="15.75" customHeight="1">
      <c r="A653" s="9" t="s">
        <v>2630</v>
      </c>
      <c r="B653" s="10" t="s">
        <v>2631</v>
      </c>
      <c r="C653" s="11" t="s">
        <v>1203</v>
      </c>
      <c r="D653" s="12" t="s">
        <v>116</v>
      </c>
      <c r="E653" s="13" t="s">
        <v>32</v>
      </c>
      <c r="F653" s="14" t="s">
        <v>117</v>
      </c>
      <c r="G653" s="14" t="b">
        <v>0</v>
      </c>
      <c r="H653" s="14" t="s">
        <v>808</v>
      </c>
      <c r="I653" s="14">
        <v>2.0</v>
      </c>
      <c r="J653" s="14">
        <v>0.0</v>
      </c>
      <c r="K653" s="14">
        <v>1.0</v>
      </c>
    </row>
    <row r="654" ht="15.75" customHeight="1">
      <c r="A654" s="9" t="s">
        <v>2632</v>
      </c>
      <c r="B654" s="10" t="s">
        <v>2633</v>
      </c>
      <c r="C654" s="11" t="s">
        <v>1205</v>
      </c>
      <c r="D654" s="12" t="s">
        <v>277</v>
      </c>
      <c r="E654" s="13" t="s">
        <v>32</v>
      </c>
      <c r="F654" s="14" t="s">
        <v>278</v>
      </c>
      <c r="G654" s="14" t="b">
        <v>0</v>
      </c>
      <c r="H654" s="14" t="s">
        <v>340</v>
      </c>
      <c r="I654" s="14">
        <v>2.0</v>
      </c>
      <c r="J654" s="14">
        <v>0.0</v>
      </c>
      <c r="K654" s="14">
        <v>1.0</v>
      </c>
    </row>
    <row r="655" ht="15.75" customHeight="1">
      <c r="A655" s="9" t="s">
        <v>2634</v>
      </c>
      <c r="B655" s="10" t="s">
        <v>2635</v>
      </c>
      <c r="C655" s="11" t="s">
        <v>39</v>
      </c>
      <c r="D655" s="12" t="s">
        <v>19</v>
      </c>
      <c r="E655" s="13" t="s">
        <v>20</v>
      </c>
      <c r="F655" s="14" t="s">
        <v>21</v>
      </c>
      <c r="G655" s="14" t="b">
        <v>0</v>
      </c>
      <c r="H655" s="14" t="s">
        <v>2636</v>
      </c>
      <c r="I655" s="14">
        <v>2.0</v>
      </c>
      <c r="J655" s="14">
        <v>0.0</v>
      </c>
      <c r="K655" s="14">
        <v>0.5</v>
      </c>
    </row>
    <row r="656" ht="15.75" customHeight="1">
      <c r="A656" s="9" t="s">
        <v>2637</v>
      </c>
      <c r="B656" s="10" t="s">
        <v>2638</v>
      </c>
      <c r="C656" s="11" t="s">
        <v>39</v>
      </c>
      <c r="D656" s="12" t="s">
        <v>19</v>
      </c>
      <c r="E656" s="13" t="s">
        <v>20</v>
      </c>
      <c r="F656" s="14" t="s">
        <v>21</v>
      </c>
      <c r="G656" s="14" t="b">
        <v>0</v>
      </c>
      <c r="H656" s="14" t="s">
        <v>2639</v>
      </c>
      <c r="I656" s="14">
        <v>2.0</v>
      </c>
      <c r="J656" s="14">
        <v>0.0</v>
      </c>
      <c r="K656" s="14">
        <v>1.0</v>
      </c>
    </row>
    <row r="657" ht="15.75" customHeight="1">
      <c r="A657" s="9" t="s">
        <v>2640</v>
      </c>
      <c r="B657" s="10" t="s">
        <v>2641</v>
      </c>
      <c r="C657" s="11" t="s">
        <v>1206</v>
      </c>
      <c r="D657" s="12" t="s">
        <v>125</v>
      </c>
      <c r="E657" s="13" t="s">
        <v>32</v>
      </c>
      <c r="F657" s="14" t="s">
        <v>126</v>
      </c>
      <c r="G657" s="14" t="b">
        <v>0</v>
      </c>
      <c r="H657" s="14" t="s">
        <v>1209</v>
      </c>
      <c r="I657" s="14">
        <v>2.0</v>
      </c>
      <c r="J657" s="14">
        <v>0.0</v>
      </c>
      <c r="K657" s="14">
        <v>0.5</v>
      </c>
    </row>
    <row r="658" ht="15.75" customHeight="1">
      <c r="A658" s="9" t="s">
        <v>2642</v>
      </c>
      <c r="B658" s="10" t="s">
        <v>2643</v>
      </c>
      <c r="C658" s="11" t="s">
        <v>1210</v>
      </c>
      <c r="D658" s="12" t="s">
        <v>277</v>
      </c>
      <c r="E658" s="13" t="s">
        <v>32</v>
      </c>
      <c r="F658" s="14" t="s">
        <v>278</v>
      </c>
      <c r="G658" s="14" t="b">
        <v>0</v>
      </c>
      <c r="I658" s="14">
        <v>2.0</v>
      </c>
      <c r="J658" s="14">
        <v>0.0</v>
      </c>
      <c r="K658" s="14">
        <v>0.0</v>
      </c>
    </row>
    <row r="659" ht="15.75" customHeight="1">
      <c r="A659" s="9" t="s">
        <v>2644</v>
      </c>
      <c r="B659" s="10" t="s">
        <v>2645</v>
      </c>
      <c r="C659" s="11" t="s">
        <v>954</v>
      </c>
      <c r="D659" s="12" t="s">
        <v>125</v>
      </c>
      <c r="E659" s="13" t="s">
        <v>32</v>
      </c>
      <c r="F659" s="14" t="s">
        <v>126</v>
      </c>
      <c r="G659" s="14" t="b">
        <v>0</v>
      </c>
      <c r="H659" s="14" t="s">
        <v>2646</v>
      </c>
      <c r="I659" s="14">
        <v>2.0</v>
      </c>
      <c r="J659" s="14">
        <v>0.0</v>
      </c>
      <c r="K659" s="14">
        <v>0.0</v>
      </c>
    </row>
    <row r="660" ht="15.75" customHeight="1">
      <c r="A660" s="9" t="s">
        <v>2647</v>
      </c>
      <c r="B660" s="10" t="s">
        <v>2648</v>
      </c>
      <c r="C660" s="11" t="s">
        <v>1212</v>
      </c>
      <c r="D660" s="12" t="s">
        <v>312</v>
      </c>
      <c r="E660" s="13" t="s">
        <v>32</v>
      </c>
      <c r="F660" s="14" t="s">
        <v>313</v>
      </c>
      <c r="G660" s="14" t="b">
        <v>0</v>
      </c>
      <c r="I660" s="14">
        <v>2.0</v>
      </c>
      <c r="J660" s="14">
        <v>0.0</v>
      </c>
      <c r="K660" s="14">
        <v>2.0</v>
      </c>
    </row>
    <row r="661" ht="15.75" customHeight="1">
      <c r="A661" s="9" t="s">
        <v>2649</v>
      </c>
      <c r="B661" s="10" t="s">
        <v>2650</v>
      </c>
      <c r="C661" s="11" t="s">
        <v>701</v>
      </c>
      <c r="D661" s="12" t="s">
        <v>277</v>
      </c>
      <c r="E661" s="13" t="s">
        <v>20</v>
      </c>
      <c r="F661" s="14" t="s">
        <v>278</v>
      </c>
      <c r="G661" s="14" t="b">
        <v>0</v>
      </c>
      <c r="H661" s="14" t="s">
        <v>702</v>
      </c>
      <c r="I661" s="14">
        <v>2.0</v>
      </c>
      <c r="J661" s="14">
        <v>0.0</v>
      </c>
      <c r="K661" s="14">
        <v>1.5</v>
      </c>
    </row>
    <row r="662" ht="15.75" customHeight="1">
      <c r="A662" s="9" t="s">
        <v>2651</v>
      </c>
      <c r="B662" s="10" t="s">
        <v>2652</v>
      </c>
      <c r="C662" s="11" t="s">
        <v>799</v>
      </c>
      <c r="D662" s="12" t="s">
        <v>30</v>
      </c>
      <c r="E662" s="13" t="s">
        <v>32</v>
      </c>
      <c r="F662" s="14" t="s">
        <v>34</v>
      </c>
      <c r="G662" s="14" t="b">
        <v>0</v>
      </c>
      <c r="I662" s="14">
        <v>2.0</v>
      </c>
      <c r="J662" s="14">
        <v>0.0</v>
      </c>
      <c r="K662" s="14">
        <v>0.0</v>
      </c>
    </row>
    <row r="663" ht="15.75" customHeight="1">
      <c r="A663" s="9" t="s">
        <v>2653</v>
      </c>
      <c r="B663" s="10" t="s">
        <v>2654</v>
      </c>
      <c r="C663" s="11" t="s">
        <v>1214</v>
      </c>
      <c r="D663" s="12" t="s">
        <v>277</v>
      </c>
      <c r="E663" s="13" t="s">
        <v>20</v>
      </c>
      <c r="F663" s="14" t="s">
        <v>278</v>
      </c>
      <c r="G663" s="14" t="b">
        <v>0</v>
      </c>
      <c r="H663" s="14" t="s">
        <v>1216</v>
      </c>
      <c r="I663" s="14">
        <v>2.0</v>
      </c>
      <c r="J663" s="14">
        <v>0.0</v>
      </c>
      <c r="K663" s="14">
        <v>1.0</v>
      </c>
    </row>
    <row r="664" ht="15.75" customHeight="1">
      <c r="A664" s="9" t="s">
        <v>2655</v>
      </c>
      <c r="B664" s="10" t="s">
        <v>2656</v>
      </c>
      <c r="C664" s="11" t="s">
        <v>1127</v>
      </c>
      <c r="D664" s="12" t="s">
        <v>19</v>
      </c>
      <c r="E664" s="13" t="s">
        <v>32</v>
      </c>
      <c r="F664" s="14" t="s">
        <v>21</v>
      </c>
      <c r="G664" s="14" t="b">
        <v>0</v>
      </c>
      <c r="H664" s="14" t="s">
        <v>2657</v>
      </c>
      <c r="I664" s="14">
        <v>2.0</v>
      </c>
      <c r="J664" s="14">
        <v>0.0</v>
      </c>
      <c r="K664" s="14">
        <v>2.0</v>
      </c>
    </row>
    <row r="665" ht="15.75" customHeight="1">
      <c r="A665" s="9" t="s">
        <v>2658</v>
      </c>
      <c r="B665" s="10" t="s">
        <v>2659</v>
      </c>
      <c r="C665" s="11" t="s">
        <v>142</v>
      </c>
      <c r="D665" s="12" t="s">
        <v>116</v>
      </c>
      <c r="E665" s="13" t="s">
        <v>116</v>
      </c>
      <c r="F665" s="14" t="s">
        <v>117</v>
      </c>
      <c r="G665" s="14" t="b">
        <v>0</v>
      </c>
      <c r="I665" s="14">
        <v>2.0</v>
      </c>
      <c r="J665" s="14">
        <v>0.0</v>
      </c>
      <c r="K665" s="14">
        <v>0.0</v>
      </c>
    </row>
    <row r="666" ht="15.75" customHeight="1">
      <c r="A666" s="9" t="s">
        <v>2660</v>
      </c>
      <c r="B666" s="10" t="s">
        <v>2661</v>
      </c>
      <c r="C666" s="11" t="s">
        <v>142</v>
      </c>
      <c r="D666" s="12" t="s">
        <v>116</v>
      </c>
      <c r="E666" s="13" t="s">
        <v>116</v>
      </c>
      <c r="F666" s="14" t="s">
        <v>117</v>
      </c>
      <c r="G666" s="14" t="b">
        <v>0</v>
      </c>
      <c r="I666" s="14">
        <v>2.0</v>
      </c>
      <c r="J666" s="14">
        <v>0.0</v>
      </c>
      <c r="K666" s="14">
        <v>2.0</v>
      </c>
    </row>
    <row r="667" ht="15.75" customHeight="1">
      <c r="A667" s="9" t="s">
        <v>2662</v>
      </c>
      <c r="B667" s="10" t="s">
        <v>2663</v>
      </c>
      <c r="C667" s="10" t="s">
        <v>1218</v>
      </c>
      <c r="D667" s="12" t="s">
        <v>30</v>
      </c>
      <c r="E667" s="13" t="s">
        <v>32</v>
      </c>
      <c r="F667" s="14" t="s">
        <v>34</v>
      </c>
      <c r="G667" s="14" t="b">
        <v>0</v>
      </c>
      <c r="I667" s="14">
        <v>2.0</v>
      </c>
      <c r="J667" s="14">
        <v>0.0</v>
      </c>
      <c r="K667" s="14">
        <v>1.5</v>
      </c>
    </row>
    <row r="668" ht="15.75" customHeight="1">
      <c r="A668" s="9" t="s">
        <v>2664</v>
      </c>
      <c r="B668" s="10" t="s">
        <v>2665</v>
      </c>
      <c r="C668" s="11" t="s">
        <v>1045</v>
      </c>
      <c r="D668" s="12" t="s">
        <v>19</v>
      </c>
      <c r="E668" s="13" t="s">
        <v>20</v>
      </c>
      <c r="F668" s="14" t="s">
        <v>21</v>
      </c>
      <c r="G668" s="14" t="b">
        <v>0</v>
      </c>
      <c r="H668" s="14" t="s">
        <v>2666</v>
      </c>
      <c r="I668" s="14">
        <v>2.0</v>
      </c>
      <c r="J668" s="14">
        <v>0.0</v>
      </c>
      <c r="K668" s="14">
        <v>0.0</v>
      </c>
    </row>
    <row r="669" ht="15.75" customHeight="1">
      <c r="A669" s="9" t="s">
        <v>2667</v>
      </c>
      <c r="B669" s="10" t="s">
        <v>2668</v>
      </c>
      <c r="C669" s="11" t="s">
        <v>1219</v>
      </c>
      <c r="D669" s="12" t="s">
        <v>125</v>
      </c>
      <c r="E669" s="13" t="s">
        <v>32</v>
      </c>
      <c r="F669" s="14" t="s">
        <v>126</v>
      </c>
      <c r="G669" s="14" t="b">
        <v>0</v>
      </c>
      <c r="I669" s="14">
        <v>2.0</v>
      </c>
      <c r="J669" s="14">
        <v>0.0</v>
      </c>
      <c r="K669" s="14">
        <v>0.0</v>
      </c>
    </row>
    <row r="670" ht="15.75" customHeight="1">
      <c r="A670" s="9" t="s">
        <v>2669</v>
      </c>
      <c r="B670" s="10" t="s">
        <v>2670</v>
      </c>
      <c r="C670" s="11" t="s">
        <v>1222</v>
      </c>
      <c r="D670" s="12" t="s">
        <v>19</v>
      </c>
      <c r="E670" s="13" t="s">
        <v>32</v>
      </c>
      <c r="F670" s="14" t="s">
        <v>21</v>
      </c>
      <c r="G670" s="14" t="b">
        <v>0</v>
      </c>
      <c r="I670" s="14">
        <v>2.0</v>
      </c>
      <c r="J670" s="14">
        <v>0.0</v>
      </c>
      <c r="K670" s="14">
        <v>2.0</v>
      </c>
    </row>
    <row r="671" ht="15.75" customHeight="1">
      <c r="A671" s="9" t="s">
        <v>2671</v>
      </c>
      <c r="B671" s="10" t="s">
        <v>2672</v>
      </c>
      <c r="C671" s="11" t="s">
        <v>1229</v>
      </c>
      <c r="D671" s="12" t="s">
        <v>277</v>
      </c>
      <c r="E671" s="13" t="s">
        <v>32</v>
      </c>
      <c r="F671" s="14" t="s">
        <v>278</v>
      </c>
      <c r="G671" s="14" t="b">
        <v>0</v>
      </c>
      <c r="I671" s="14">
        <v>2.0</v>
      </c>
      <c r="J671" s="14">
        <v>0.0</v>
      </c>
      <c r="K671" s="14">
        <v>1.0</v>
      </c>
    </row>
    <row r="672" ht="15.75" customHeight="1">
      <c r="A672" s="9" t="s">
        <v>2673</v>
      </c>
      <c r="B672" s="10" t="s">
        <v>2674</v>
      </c>
      <c r="C672" s="11" t="s">
        <v>1232</v>
      </c>
      <c r="D672" s="12" t="s">
        <v>19</v>
      </c>
      <c r="E672" s="13" t="s">
        <v>32</v>
      </c>
      <c r="F672" s="14" t="s">
        <v>21</v>
      </c>
      <c r="G672" s="14" t="b">
        <v>0</v>
      </c>
      <c r="H672" s="14" t="s">
        <v>2675</v>
      </c>
      <c r="I672" s="14">
        <v>2.0</v>
      </c>
      <c r="J672" s="14">
        <v>0.0</v>
      </c>
      <c r="K672" s="14">
        <v>0.5</v>
      </c>
    </row>
    <row r="673" ht="15.75" customHeight="1">
      <c r="A673" s="9" t="s">
        <v>2676</v>
      </c>
      <c r="B673" s="13"/>
      <c r="C673" s="11" t="s">
        <v>1237</v>
      </c>
      <c r="D673" s="12" t="s">
        <v>116</v>
      </c>
      <c r="E673" s="13" t="s">
        <v>159</v>
      </c>
      <c r="F673" s="14" t="s">
        <v>117</v>
      </c>
      <c r="H673" s="14" t="s">
        <v>824</v>
      </c>
      <c r="I673" s="14">
        <v>2.0</v>
      </c>
      <c r="J673" s="14">
        <v>0.0</v>
      </c>
      <c r="K673" s="14">
        <v>0.0</v>
      </c>
    </row>
    <row r="674" ht="15.75" customHeight="1">
      <c r="A674" s="9" t="s">
        <v>2677</v>
      </c>
      <c r="B674" s="10" t="s">
        <v>2678</v>
      </c>
      <c r="C674" s="11" t="s">
        <v>1238</v>
      </c>
      <c r="D674" s="12" t="s">
        <v>116</v>
      </c>
      <c r="E674" s="13" t="s">
        <v>32</v>
      </c>
      <c r="F674" s="14" t="s">
        <v>117</v>
      </c>
      <c r="G674" s="14" t="b">
        <v>0</v>
      </c>
      <c r="I674" s="14">
        <v>2.0</v>
      </c>
      <c r="J674" s="14">
        <v>0.0</v>
      </c>
      <c r="K674" s="14">
        <v>0.0</v>
      </c>
    </row>
    <row r="675" ht="15.75" customHeight="1">
      <c r="A675" s="9" t="s">
        <v>2679</v>
      </c>
      <c r="B675" s="10" t="s">
        <v>2680</v>
      </c>
      <c r="C675" s="11" t="s">
        <v>107</v>
      </c>
      <c r="D675" s="12" t="s">
        <v>30</v>
      </c>
      <c r="E675" s="13" t="s">
        <v>85</v>
      </c>
      <c r="F675" s="14" t="s">
        <v>34</v>
      </c>
      <c r="G675" s="14" t="b">
        <v>0</v>
      </c>
      <c r="H675" s="14" t="s">
        <v>2681</v>
      </c>
      <c r="I675" s="14">
        <v>2.0</v>
      </c>
      <c r="J675" s="14">
        <v>0.0</v>
      </c>
      <c r="K675" s="14">
        <v>0.0</v>
      </c>
    </row>
    <row r="676" ht="15.75" customHeight="1">
      <c r="A676" s="9" t="s">
        <v>2682</v>
      </c>
      <c r="B676" s="10" t="s">
        <v>982</v>
      </c>
      <c r="C676" s="11" t="s">
        <v>107</v>
      </c>
      <c r="D676" s="12" t="s">
        <v>116</v>
      </c>
      <c r="E676" s="13" t="s">
        <v>85</v>
      </c>
      <c r="F676" s="14" t="s">
        <v>117</v>
      </c>
      <c r="G676" s="14" t="b">
        <v>0</v>
      </c>
      <c r="H676" s="14" t="s">
        <v>2683</v>
      </c>
      <c r="I676" s="14">
        <v>2.0</v>
      </c>
      <c r="J676" s="14">
        <v>0.0</v>
      </c>
      <c r="K676" s="14">
        <v>0.0</v>
      </c>
    </row>
    <row r="677" ht="15.75" customHeight="1">
      <c r="A677" s="9" t="s">
        <v>2684</v>
      </c>
      <c r="B677" s="13"/>
      <c r="C677" s="11" t="s">
        <v>543</v>
      </c>
      <c r="D677" s="12" t="s">
        <v>116</v>
      </c>
      <c r="E677" s="13" t="s">
        <v>32</v>
      </c>
      <c r="F677" s="14" t="s">
        <v>117</v>
      </c>
      <c r="H677" s="14" t="s">
        <v>824</v>
      </c>
      <c r="I677" s="14">
        <v>2.0</v>
      </c>
      <c r="J677" s="14">
        <v>0.0</v>
      </c>
      <c r="K677" s="14">
        <v>0.0</v>
      </c>
    </row>
    <row r="678" ht="15.75" customHeight="1">
      <c r="A678" s="9" t="s">
        <v>2685</v>
      </c>
      <c r="B678" s="13"/>
      <c r="C678" s="11" t="s">
        <v>198</v>
      </c>
      <c r="D678" s="12" t="s">
        <v>116</v>
      </c>
      <c r="E678" s="13" t="s">
        <v>116</v>
      </c>
      <c r="F678" s="14" t="s">
        <v>117</v>
      </c>
      <c r="H678" s="14" t="s">
        <v>824</v>
      </c>
      <c r="I678" s="14">
        <v>2.0</v>
      </c>
      <c r="J678" s="14">
        <v>0.0</v>
      </c>
      <c r="K678" s="14">
        <v>0.0</v>
      </c>
    </row>
    <row r="679" ht="15.75" customHeight="1">
      <c r="A679" s="9" t="s">
        <v>2686</v>
      </c>
      <c r="B679" s="13"/>
      <c r="C679" s="11" t="s">
        <v>198</v>
      </c>
      <c r="D679" s="12" t="s">
        <v>116</v>
      </c>
      <c r="E679" s="13" t="s">
        <v>116</v>
      </c>
      <c r="F679" s="14" t="s">
        <v>117</v>
      </c>
      <c r="H679" s="14" t="s">
        <v>824</v>
      </c>
      <c r="I679" s="14">
        <v>2.0</v>
      </c>
      <c r="J679" s="14">
        <v>0.0</v>
      </c>
      <c r="K679" s="14">
        <v>1.0</v>
      </c>
    </row>
    <row r="680" ht="15.75" customHeight="1">
      <c r="A680" s="9" t="s">
        <v>2687</v>
      </c>
      <c r="B680" s="10" t="s">
        <v>2688</v>
      </c>
      <c r="C680" s="11" t="s">
        <v>1241</v>
      </c>
      <c r="D680" s="12" t="s">
        <v>277</v>
      </c>
      <c r="E680" s="13" t="s">
        <v>32</v>
      </c>
      <c r="F680" s="14" t="s">
        <v>278</v>
      </c>
      <c r="G680" s="14" t="b">
        <v>0</v>
      </c>
      <c r="H680" s="14" t="s">
        <v>361</v>
      </c>
      <c r="I680" s="14">
        <v>2.0</v>
      </c>
      <c r="J680" s="14">
        <v>0.0</v>
      </c>
      <c r="K680" s="14">
        <v>1.0</v>
      </c>
    </row>
    <row r="681" ht="15.75" customHeight="1">
      <c r="A681" s="9" t="s">
        <v>2689</v>
      </c>
      <c r="B681" s="13"/>
      <c r="C681" s="11" t="s">
        <v>1243</v>
      </c>
      <c r="D681" s="12" t="s">
        <v>125</v>
      </c>
      <c r="E681" s="13" t="s">
        <v>32</v>
      </c>
      <c r="F681" s="14" t="s">
        <v>126</v>
      </c>
      <c r="H681" s="14" t="s">
        <v>824</v>
      </c>
      <c r="I681" s="14">
        <v>2.0</v>
      </c>
      <c r="J681" s="14">
        <v>0.0</v>
      </c>
      <c r="K681" s="14">
        <v>0.0</v>
      </c>
    </row>
    <row r="682" ht="15.75" customHeight="1">
      <c r="A682" s="9" t="s">
        <v>2690</v>
      </c>
      <c r="B682" s="10" t="s">
        <v>2691</v>
      </c>
      <c r="C682" s="11" t="s">
        <v>1245</v>
      </c>
      <c r="D682" s="12" t="s">
        <v>19</v>
      </c>
      <c r="E682" s="13" t="s">
        <v>32</v>
      </c>
      <c r="F682" s="14" t="s">
        <v>21</v>
      </c>
      <c r="G682" s="14" t="b">
        <v>0</v>
      </c>
      <c r="H682" s="14" t="s">
        <v>532</v>
      </c>
      <c r="I682" s="14">
        <v>2.0</v>
      </c>
      <c r="J682" s="14">
        <v>0.0</v>
      </c>
      <c r="K682" s="14">
        <v>0.0</v>
      </c>
    </row>
    <row r="683" ht="15.75" customHeight="1">
      <c r="A683" s="9" t="s">
        <v>2692</v>
      </c>
      <c r="B683" s="10" t="s">
        <v>2693</v>
      </c>
      <c r="C683" s="11" t="s">
        <v>551</v>
      </c>
      <c r="D683" s="12" t="s">
        <v>312</v>
      </c>
      <c r="E683" s="13" t="s">
        <v>1201</v>
      </c>
      <c r="F683" s="14" t="s">
        <v>313</v>
      </c>
      <c r="G683" s="14" t="b">
        <v>0</v>
      </c>
      <c r="H683" s="14" t="s">
        <v>2694</v>
      </c>
      <c r="I683" s="14">
        <v>2.0</v>
      </c>
      <c r="J683" s="14">
        <v>0.0</v>
      </c>
      <c r="K683" s="14">
        <v>1.5</v>
      </c>
    </row>
    <row r="684" ht="15.75" customHeight="1">
      <c r="A684" s="9" t="s">
        <v>2695</v>
      </c>
      <c r="B684" s="10" t="s">
        <v>2696</v>
      </c>
      <c r="C684" s="11" t="s">
        <v>1247</v>
      </c>
      <c r="D684" s="12" t="s">
        <v>116</v>
      </c>
      <c r="E684" s="13" t="s">
        <v>32</v>
      </c>
      <c r="F684" s="14" t="s">
        <v>117</v>
      </c>
      <c r="G684" s="14" t="b">
        <v>0</v>
      </c>
      <c r="H684" s="14" t="s">
        <v>523</v>
      </c>
      <c r="I684" s="14">
        <v>2.0</v>
      </c>
      <c r="J684" s="14">
        <v>0.0</v>
      </c>
      <c r="K684" s="14">
        <v>1.0</v>
      </c>
    </row>
    <row r="685" ht="15.75" customHeight="1">
      <c r="A685" s="9" t="s">
        <v>2697</v>
      </c>
      <c r="B685" s="10" t="s">
        <v>2698</v>
      </c>
      <c r="C685" s="11" t="s">
        <v>1058</v>
      </c>
      <c r="D685" s="12" t="s">
        <v>19</v>
      </c>
      <c r="E685" s="13" t="s">
        <v>32</v>
      </c>
      <c r="F685" s="14" t="s">
        <v>21</v>
      </c>
      <c r="G685" s="14" t="b">
        <v>0</v>
      </c>
      <c r="H685" s="14" t="s">
        <v>2699</v>
      </c>
      <c r="I685" s="14">
        <v>2.0</v>
      </c>
      <c r="J685" s="14">
        <v>0.0</v>
      </c>
      <c r="K685" s="14">
        <v>0.0</v>
      </c>
    </row>
    <row r="686" ht="15.75" customHeight="1">
      <c r="A686" s="9" t="s">
        <v>2700</v>
      </c>
      <c r="B686" s="10" t="s">
        <v>2701</v>
      </c>
      <c r="C686" s="11" t="s">
        <v>172</v>
      </c>
      <c r="D686" s="12" t="s">
        <v>125</v>
      </c>
      <c r="E686" s="13" t="s">
        <v>20</v>
      </c>
      <c r="F686" s="14" t="s">
        <v>126</v>
      </c>
      <c r="G686" s="14" t="b">
        <v>0</v>
      </c>
      <c r="H686" s="14" t="s">
        <v>279</v>
      </c>
      <c r="I686" s="14">
        <v>2.0</v>
      </c>
      <c r="J686" s="14">
        <v>0.0</v>
      </c>
      <c r="K686" s="14">
        <v>1.0</v>
      </c>
    </row>
    <row r="687" ht="15.75" customHeight="1">
      <c r="A687" s="9" t="s">
        <v>2702</v>
      </c>
      <c r="B687" s="10" t="s">
        <v>2157</v>
      </c>
      <c r="C687" s="11" t="s">
        <v>1250</v>
      </c>
      <c r="D687" s="12" t="s">
        <v>19</v>
      </c>
      <c r="E687" s="13" t="s">
        <v>32</v>
      </c>
      <c r="F687" s="14" t="s">
        <v>21</v>
      </c>
      <c r="G687" s="14" t="b">
        <v>0</v>
      </c>
      <c r="H687" s="14" t="s">
        <v>2646</v>
      </c>
      <c r="I687" s="14">
        <v>2.0</v>
      </c>
      <c r="J687" s="14">
        <v>0.0</v>
      </c>
      <c r="K687" s="14">
        <v>0.0</v>
      </c>
    </row>
    <row r="688" ht="15.75" customHeight="1">
      <c r="A688" s="9" t="s">
        <v>2703</v>
      </c>
      <c r="B688" s="10" t="s">
        <v>2704</v>
      </c>
      <c r="C688" s="11" t="s">
        <v>1252</v>
      </c>
      <c r="D688" s="12" t="s">
        <v>277</v>
      </c>
      <c r="E688" s="13" t="s">
        <v>1201</v>
      </c>
      <c r="F688" s="14" t="s">
        <v>278</v>
      </c>
      <c r="G688" s="14" t="b">
        <v>0</v>
      </c>
      <c r="I688" s="14">
        <v>2.0</v>
      </c>
      <c r="J688" s="14">
        <v>0.0</v>
      </c>
      <c r="K688" s="14">
        <v>1.0</v>
      </c>
    </row>
    <row r="689" ht="15.75" customHeight="1">
      <c r="A689" s="9" t="s">
        <v>2705</v>
      </c>
      <c r="B689" s="10" t="s">
        <v>2706</v>
      </c>
      <c r="C689" s="11" t="s">
        <v>804</v>
      </c>
      <c r="D689" s="12" t="s">
        <v>116</v>
      </c>
      <c r="E689" s="13" t="s">
        <v>20</v>
      </c>
      <c r="F689" s="14" t="s">
        <v>117</v>
      </c>
      <c r="G689" s="14" t="b">
        <v>0</v>
      </c>
      <c r="H689" s="14" t="s">
        <v>805</v>
      </c>
      <c r="I689" s="14">
        <v>2.0</v>
      </c>
      <c r="J689" s="14">
        <v>0.0</v>
      </c>
      <c r="K689" s="14">
        <v>2.0</v>
      </c>
    </row>
    <row r="690" ht="15.75" customHeight="1">
      <c r="A690" s="9" t="s">
        <v>2707</v>
      </c>
      <c r="B690" s="10" t="s">
        <v>2708</v>
      </c>
      <c r="C690" s="11" t="s">
        <v>1253</v>
      </c>
      <c r="D690" s="12" t="s">
        <v>277</v>
      </c>
      <c r="E690" s="13" t="s">
        <v>102</v>
      </c>
      <c r="F690" s="14" t="s">
        <v>278</v>
      </c>
      <c r="G690" s="14" t="b">
        <v>0</v>
      </c>
      <c r="I690" s="14">
        <v>2.0</v>
      </c>
      <c r="J690" s="14">
        <v>0.0</v>
      </c>
      <c r="K690" s="14">
        <v>1.5</v>
      </c>
    </row>
    <row r="691" ht="15.75" customHeight="1">
      <c r="A691" s="9" t="s">
        <v>2709</v>
      </c>
      <c r="B691" s="10" t="s">
        <v>2710</v>
      </c>
      <c r="C691" s="11" t="s">
        <v>1255</v>
      </c>
      <c r="D691" s="12" t="s">
        <v>312</v>
      </c>
      <c r="E691" s="13" t="s">
        <v>102</v>
      </c>
      <c r="F691" s="14" t="s">
        <v>313</v>
      </c>
      <c r="G691" s="14" t="b">
        <v>0</v>
      </c>
      <c r="I691" s="14">
        <v>2.0</v>
      </c>
      <c r="J691" s="14">
        <v>0.0</v>
      </c>
      <c r="K691" s="14">
        <v>2.0</v>
      </c>
    </row>
    <row r="692" ht="15.75" customHeight="1">
      <c r="A692" s="9" t="s">
        <v>2711</v>
      </c>
      <c r="B692" s="10" t="s">
        <v>2712</v>
      </c>
      <c r="C692" s="11" t="s">
        <v>549</v>
      </c>
      <c r="D692" s="12" t="s">
        <v>116</v>
      </c>
      <c r="E692" s="13" t="s">
        <v>159</v>
      </c>
      <c r="F692" s="14" t="s">
        <v>117</v>
      </c>
      <c r="G692" s="14" t="b">
        <v>0</v>
      </c>
      <c r="H692" s="14" t="s">
        <v>2713</v>
      </c>
      <c r="I692" s="14">
        <v>2.0</v>
      </c>
      <c r="J692" s="14">
        <v>0.0</v>
      </c>
      <c r="K692" s="14">
        <v>0.5</v>
      </c>
    </row>
    <row r="693" ht="15.75" customHeight="1">
      <c r="A693" s="9" t="s">
        <v>2714</v>
      </c>
      <c r="B693" s="10" t="s">
        <v>2715</v>
      </c>
      <c r="C693" s="11" t="s">
        <v>1260</v>
      </c>
      <c r="D693" s="12" t="s">
        <v>19</v>
      </c>
      <c r="E693" s="13" t="s">
        <v>159</v>
      </c>
      <c r="F693" s="14" t="s">
        <v>21</v>
      </c>
      <c r="G693" s="14" t="b">
        <v>0</v>
      </c>
      <c r="H693" s="14" t="s">
        <v>2716</v>
      </c>
      <c r="I693" s="14">
        <v>2.0</v>
      </c>
      <c r="J693" s="14">
        <v>0.0</v>
      </c>
      <c r="K693" s="14">
        <v>0.0</v>
      </c>
    </row>
    <row r="694" ht="15.75" customHeight="1">
      <c r="A694" s="9" t="s">
        <v>2717</v>
      </c>
      <c r="B694" s="10" t="s">
        <v>2718</v>
      </c>
      <c r="C694" s="11" t="s">
        <v>60</v>
      </c>
      <c r="D694" s="12" t="s">
        <v>19</v>
      </c>
      <c r="E694" s="13" t="s">
        <v>20</v>
      </c>
      <c r="F694" s="14" t="s">
        <v>21</v>
      </c>
      <c r="G694" s="14" t="b">
        <v>0</v>
      </c>
      <c r="H694" s="9" t="s">
        <v>2719</v>
      </c>
      <c r="I694" s="14">
        <v>2.0</v>
      </c>
      <c r="J694" s="14">
        <v>0.0</v>
      </c>
      <c r="K694" s="14">
        <v>1.0</v>
      </c>
    </row>
    <row r="695" ht="15.75" customHeight="1">
      <c r="A695" s="9" t="s">
        <v>2720</v>
      </c>
      <c r="B695" s="10" t="s">
        <v>2721</v>
      </c>
      <c r="C695" s="11" t="s">
        <v>545</v>
      </c>
      <c r="D695" s="12" t="s">
        <v>277</v>
      </c>
      <c r="E695" s="13" t="s">
        <v>20</v>
      </c>
      <c r="F695" s="14" t="s">
        <v>278</v>
      </c>
      <c r="G695" s="14" t="b">
        <v>0</v>
      </c>
      <c r="H695" s="14" t="s">
        <v>1419</v>
      </c>
      <c r="I695" s="14">
        <v>2.0</v>
      </c>
      <c r="J695" s="14">
        <v>0.0</v>
      </c>
      <c r="K695" s="14">
        <v>0.0</v>
      </c>
    </row>
    <row r="696" ht="15.75" customHeight="1">
      <c r="A696" s="9" t="s">
        <v>2722</v>
      </c>
      <c r="B696" s="10" t="s">
        <v>2723</v>
      </c>
      <c r="C696" s="11" t="s">
        <v>205</v>
      </c>
      <c r="D696" s="12" t="s">
        <v>158</v>
      </c>
      <c r="E696" s="13" t="s">
        <v>85</v>
      </c>
      <c r="F696" s="14" t="s">
        <v>160</v>
      </c>
      <c r="G696" s="14" t="b">
        <v>0</v>
      </c>
      <c r="H696" s="14" t="s">
        <v>2724</v>
      </c>
      <c r="I696" s="14">
        <v>2.0</v>
      </c>
      <c r="J696" s="14">
        <v>0.0</v>
      </c>
      <c r="K696" s="14">
        <v>1.5</v>
      </c>
    </row>
    <row r="697" ht="15.75" customHeight="1">
      <c r="A697" s="9" t="s">
        <v>2725</v>
      </c>
      <c r="B697" s="10" t="s">
        <v>1586</v>
      </c>
      <c r="C697" s="11" t="s">
        <v>205</v>
      </c>
      <c r="D697" s="12" t="s">
        <v>19</v>
      </c>
      <c r="E697" s="13" t="s">
        <v>85</v>
      </c>
      <c r="F697" s="14" t="s">
        <v>21</v>
      </c>
      <c r="G697" s="14" t="b">
        <v>0</v>
      </c>
      <c r="H697" s="14" t="s">
        <v>2726</v>
      </c>
      <c r="I697" s="14">
        <v>2.0</v>
      </c>
      <c r="J697" s="14">
        <v>0.0</v>
      </c>
      <c r="K697" s="14">
        <v>1.0</v>
      </c>
    </row>
    <row r="698" ht="15.75" customHeight="1">
      <c r="A698" s="9" t="s">
        <v>2727</v>
      </c>
      <c r="B698" s="13"/>
      <c r="C698" s="11" t="s">
        <v>1263</v>
      </c>
      <c r="D698" s="12" t="s">
        <v>116</v>
      </c>
      <c r="E698" s="13" t="s">
        <v>32</v>
      </c>
      <c r="F698" s="14" t="s">
        <v>117</v>
      </c>
      <c r="H698" s="14" t="s">
        <v>824</v>
      </c>
      <c r="I698" s="14">
        <v>2.0</v>
      </c>
      <c r="J698" s="14">
        <v>0.0</v>
      </c>
      <c r="K698" s="14">
        <v>1.0</v>
      </c>
    </row>
    <row r="699" ht="15.75" customHeight="1">
      <c r="A699" s="9" t="s">
        <v>2728</v>
      </c>
      <c r="B699" s="10" t="s">
        <v>2729</v>
      </c>
      <c r="C699" s="11" t="s">
        <v>1066</v>
      </c>
      <c r="D699" s="12" t="s">
        <v>116</v>
      </c>
      <c r="E699" s="13" t="s">
        <v>20</v>
      </c>
      <c r="F699" s="14" t="s">
        <v>117</v>
      </c>
      <c r="G699" s="14" t="b">
        <v>0</v>
      </c>
      <c r="H699" s="14" t="s">
        <v>2730</v>
      </c>
      <c r="I699" s="14">
        <v>2.0</v>
      </c>
      <c r="J699" s="14">
        <v>0.0</v>
      </c>
      <c r="K699" s="14">
        <v>0.0</v>
      </c>
    </row>
    <row r="700" ht="15.75" customHeight="1">
      <c r="A700" s="9" t="s">
        <v>2731</v>
      </c>
      <c r="B700" s="10" t="s">
        <v>2732</v>
      </c>
      <c r="C700" s="11" t="s">
        <v>1265</v>
      </c>
      <c r="D700" s="12" t="s">
        <v>277</v>
      </c>
      <c r="E700" s="13" t="s">
        <v>32</v>
      </c>
      <c r="F700" s="14" t="s">
        <v>278</v>
      </c>
      <c r="G700" s="14" t="b">
        <v>0</v>
      </c>
      <c r="H700" s="14" t="s">
        <v>1267</v>
      </c>
      <c r="I700" s="14">
        <v>2.0</v>
      </c>
      <c r="J700" s="14">
        <v>0.0</v>
      </c>
      <c r="K700" s="14">
        <v>1.0</v>
      </c>
    </row>
    <row r="701" ht="15.75" customHeight="1">
      <c r="A701" s="9" t="s">
        <v>2733</v>
      </c>
      <c r="B701" s="10" t="s">
        <v>2734</v>
      </c>
      <c r="C701" s="11" t="s">
        <v>1268</v>
      </c>
      <c r="D701" s="12" t="s">
        <v>19</v>
      </c>
      <c r="E701" s="13" t="s">
        <v>32</v>
      </c>
      <c r="F701" s="14" t="s">
        <v>21</v>
      </c>
      <c r="G701" s="14" t="b">
        <v>0</v>
      </c>
      <c r="H701" s="14" t="s">
        <v>2735</v>
      </c>
      <c r="I701" s="14">
        <v>2.0</v>
      </c>
      <c r="J701" s="14">
        <v>0.0</v>
      </c>
      <c r="K701" s="14">
        <v>2.5</v>
      </c>
    </row>
    <row r="702" ht="15.75" customHeight="1">
      <c r="A702" s="9" t="s">
        <v>2736</v>
      </c>
      <c r="B702" s="10" t="s">
        <v>2737</v>
      </c>
      <c r="C702" s="11" t="s">
        <v>198</v>
      </c>
      <c r="D702" s="12" t="s">
        <v>30</v>
      </c>
      <c r="E702" s="13" t="s">
        <v>116</v>
      </c>
      <c r="F702" s="14" t="s">
        <v>34</v>
      </c>
      <c r="G702" s="14" t="b">
        <v>0</v>
      </c>
      <c r="I702" s="14">
        <v>2.0</v>
      </c>
      <c r="J702" s="14">
        <v>0.0</v>
      </c>
      <c r="K702" s="14">
        <v>0.0</v>
      </c>
    </row>
    <row r="703" ht="15.75" customHeight="1">
      <c r="A703" s="9" t="s">
        <v>2738</v>
      </c>
      <c r="B703" s="10" t="s">
        <v>2739</v>
      </c>
      <c r="C703" s="11" t="s">
        <v>628</v>
      </c>
      <c r="D703" s="12" t="s">
        <v>312</v>
      </c>
      <c r="E703" s="13" t="s">
        <v>32</v>
      </c>
      <c r="F703" s="14" t="s">
        <v>313</v>
      </c>
      <c r="G703" s="14" t="b">
        <v>0</v>
      </c>
      <c r="I703" s="14">
        <v>2.0</v>
      </c>
      <c r="J703" s="14">
        <v>0.0</v>
      </c>
      <c r="K703" s="14">
        <v>1.5</v>
      </c>
    </row>
    <row r="704" ht="15.75" customHeight="1">
      <c r="A704" s="9" t="s">
        <v>2740</v>
      </c>
      <c r="B704" s="10" t="s">
        <v>2741</v>
      </c>
      <c r="C704" s="11" t="s">
        <v>1276</v>
      </c>
      <c r="D704" s="12" t="s">
        <v>277</v>
      </c>
      <c r="E704" s="13" t="s">
        <v>32</v>
      </c>
      <c r="F704" s="14" t="s">
        <v>278</v>
      </c>
      <c r="G704" s="14" t="b">
        <v>0</v>
      </c>
      <c r="I704" s="14">
        <v>2.0</v>
      </c>
      <c r="J704" s="14">
        <v>0.0</v>
      </c>
      <c r="K704" s="14">
        <v>0.0</v>
      </c>
    </row>
    <row r="705" ht="15.75" customHeight="1">
      <c r="A705" s="9" t="s">
        <v>2742</v>
      </c>
      <c r="B705" s="10" t="s">
        <v>2743</v>
      </c>
      <c r="C705" s="11" t="s">
        <v>1279</v>
      </c>
      <c r="D705" s="12" t="s">
        <v>125</v>
      </c>
      <c r="E705" s="13" t="s">
        <v>32</v>
      </c>
      <c r="F705" s="14" t="s">
        <v>126</v>
      </c>
      <c r="G705" s="14" t="b">
        <v>0</v>
      </c>
      <c r="H705" s="14" t="s">
        <v>361</v>
      </c>
      <c r="I705" s="14">
        <v>2.0</v>
      </c>
      <c r="J705" s="14">
        <v>0.0</v>
      </c>
      <c r="K705" s="14">
        <v>1.0</v>
      </c>
    </row>
    <row r="706" ht="15.75" customHeight="1">
      <c r="A706" s="9" t="s">
        <v>2744</v>
      </c>
      <c r="B706" s="10" t="s">
        <v>2745</v>
      </c>
      <c r="C706" s="11" t="s">
        <v>666</v>
      </c>
      <c r="D706" s="12" t="s">
        <v>19</v>
      </c>
      <c r="E706" s="13" t="s">
        <v>102</v>
      </c>
      <c r="F706" s="14" t="s">
        <v>21</v>
      </c>
      <c r="G706" s="14" t="b">
        <v>0</v>
      </c>
      <c r="H706" s="14" t="s">
        <v>467</v>
      </c>
      <c r="I706" s="14">
        <v>2.0</v>
      </c>
      <c r="J706" s="14">
        <v>0.0</v>
      </c>
      <c r="K706" s="14">
        <v>0.0</v>
      </c>
    </row>
    <row r="707" ht="15.75" customHeight="1">
      <c r="A707" s="9" t="s">
        <v>2746</v>
      </c>
      <c r="B707" s="10" t="s">
        <v>2747</v>
      </c>
      <c r="C707" s="11" t="s">
        <v>461</v>
      </c>
      <c r="D707" s="12" t="s">
        <v>277</v>
      </c>
      <c r="E707" s="13" t="s">
        <v>116</v>
      </c>
      <c r="F707" s="14" t="s">
        <v>278</v>
      </c>
      <c r="G707" s="14" t="b">
        <v>0</v>
      </c>
      <c r="I707" s="14">
        <v>2.0</v>
      </c>
      <c r="J707" s="14">
        <v>0.0</v>
      </c>
      <c r="K707" s="14">
        <v>1.5</v>
      </c>
    </row>
    <row r="708" ht="15.75" customHeight="1">
      <c r="A708" s="9" t="s">
        <v>2748</v>
      </c>
      <c r="B708" s="10" t="s">
        <v>2749</v>
      </c>
      <c r="C708" s="11" t="s">
        <v>1285</v>
      </c>
      <c r="D708" s="12" t="s">
        <v>125</v>
      </c>
      <c r="E708" s="13" t="s">
        <v>32</v>
      </c>
      <c r="F708" s="14" t="s">
        <v>126</v>
      </c>
      <c r="G708" s="14" t="b">
        <v>0</v>
      </c>
      <c r="I708" s="14">
        <v>2.0</v>
      </c>
      <c r="J708" s="14">
        <v>0.0</v>
      </c>
      <c r="K708" s="14">
        <v>0.0</v>
      </c>
    </row>
    <row r="709" ht="15.75" customHeight="1">
      <c r="A709" s="9" t="s">
        <v>2750</v>
      </c>
      <c r="B709" s="10" t="s">
        <v>2751</v>
      </c>
      <c r="C709" s="11" t="s">
        <v>1287</v>
      </c>
      <c r="D709" s="12" t="s">
        <v>19</v>
      </c>
      <c r="E709" s="13" t="s">
        <v>32</v>
      </c>
      <c r="F709" s="14" t="s">
        <v>21</v>
      </c>
      <c r="G709" s="14" t="b">
        <v>0</v>
      </c>
      <c r="H709" s="14" t="s">
        <v>2752</v>
      </c>
      <c r="I709" s="14">
        <v>2.0</v>
      </c>
      <c r="J709" s="14">
        <v>0.0</v>
      </c>
      <c r="K709" s="14">
        <v>0.0</v>
      </c>
    </row>
    <row r="710" ht="15.75" customHeight="1">
      <c r="A710" s="9" t="s">
        <v>2753</v>
      </c>
      <c r="B710" s="10" t="s">
        <v>2754</v>
      </c>
      <c r="C710" s="11" t="s">
        <v>1295</v>
      </c>
      <c r="D710" s="12" t="s">
        <v>125</v>
      </c>
      <c r="E710" s="13" t="s">
        <v>32</v>
      </c>
      <c r="F710" s="14" t="s">
        <v>126</v>
      </c>
      <c r="G710" s="14" t="b">
        <v>0</v>
      </c>
      <c r="I710" s="14">
        <v>2.0</v>
      </c>
      <c r="J710" s="14">
        <v>0.0</v>
      </c>
      <c r="K710" s="14">
        <v>0.0</v>
      </c>
    </row>
    <row r="711" ht="15.75" customHeight="1">
      <c r="A711" s="9" t="s">
        <v>2755</v>
      </c>
      <c r="B711" s="10" t="s">
        <v>2756</v>
      </c>
      <c r="C711" s="11" t="s">
        <v>1296</v>
      </c>
      <c r="D711" s="12" t="s">
        <v>277</v>
      </c>
      <c r="E711" s="13" t="s">
        <v>32</v>
      </c>
      <c r="F711" s="14" t="s">
        <v>278</v>
      </c>
      <c r="G711" s="14" t="b">
        <v>0</v>
      </c>
      <c r="H711" s="14" t="s">
        <v>361</v>
      </c>
      <c r="I711" s="14">
        <v>2.0</v>
      </c>
      <c r="J711" s="14">
        <v>0.0</v>
      </c>
      <c r="K711" s="14">
        <v>0.0</v>
      </c>
    </row>
    <row r="712" ht="15.75" customHeight="1">
      <c r="A712" s="9" t="s">
        <v>2757</v>
      </c>
      <c r="B712" s="10" t="s">
        <v>2758</v>
      </c>
      <c r="C712" s="11" t="s">
        <v>1299</v>
      </c>
      <c r="D712" s="12" t="s">
        <v>125</v>
      </c>
      <c r="E712" s="13" t="s">
        <v>32</v>
      </c>
      <c r="F712" s="14" t="s">
        <v>126</v>
      </c>
      <c r="G712" s="14" t="b">
        <v>0</v>
      </c>
      <c r="I712" s="14">
        <v>2.0</v>
      </c>
      <c r="J712" s="14">
        <v>0.0</v>
      </c>
      <c r="K712" s="14">
        <v>1.5</v>
      </c>
    </row>
    <row r="713" ht="15.75" customHeight="1">
      <c r="A713" s="9" t="s">
        <v>2759</v>
      </c>
      <c r="B713" s="10" t="s">
        <v>2760</v>
      </c>
      <c r="C713" s="11" t="s">
        <v>501</v>
      </c>
      <c r="D713" s="12" t="s">
        <v>125</v>
      </c>
      <c r="E713" s="13" t="s">
        <v>20</v>
      </c>
      <c r="F713" s="14" t="s">
        <v>126</v>
      </c>
      <c r="G713" s="14" t="b">
        <v>0</v>
      </c>
      <c r="H713" s="14" t="s">
        <v>2761</v>
      </c>
      <c r="I713" s="14">
        <v>2.0</v>
      </c>
      <c r="J713" s="14">
        <v>0.0</v>
      </c>
      <c r="K713" s="14">
        <v>0.5</v>
      </c>
    </row>
    <row r="714" ht="15.75" customHeight="1">
      <c r="A714" s="9" t="s">
        <v>2762</v>
      </c>
      <c r="B714" s="10" t="s">
        <v>2763</v>
      </c>
      <c r="C714" s="11" t="s">
        <v>1301</v>
      </c>
      <c r="D714" s="12" t="s">
        <v>277</v>
      </c>
      <c r="E714" s="13" t="s">
        <v>32</v>
      </c>
      <c r="F714" s="14" t="s">
        <v>278</v>
      </c>
      <c r="G714" s="14" t="b">
        <v>0</v>
      </c>
      <c r="H714" s="14" t="s">
        <v>2764</v>
      </c>
      <c r="I714" s="14">
        <v>2.0</v>
      </c>
      <c r="J714" s="14">
        <v>0.0</v>
      </c>
      <c r="K714" s="14">
        <v>0.0</v>
      </c>
    </row>
    <row r="715" ht="15.75" customHeight="1">
      <c r="A715" s="9" t="s">
        <v>2765</v>
      </c>
      <c r="B715" s="10" t="s">
        <v>2766</v>
      </c>
      <c r="C715" s="11" t="s">
        <v>1305</v>
      </c>
      <c r="D715" s="12" t="s">
        <v>312</v>
      </c>
      <c r="E715" s="13" t="s">
        <v>32</v>
      </c>
      <c r="F715" s="14" t="s">
        <v>313</v>
      </c>
      <c r="G715" s="14" t="b">
        <v>0</v>
      </c>
      <c r="H715" s="14" t="s">
        <v>2752</v>
      </c>
      <c r="I715" s="14">
        <v>2.0</v>
      </c>
      <c r="J715" s="14">
        <v>0.0</v>
      </c>
      <c r="K715" s="14">
        <v>1.0</v>
      </c>
    </row>
    <row r="716" ht="15.75" customHeight="1">
      <c r="A716" s="9" t="s">
        <v>2767</v>
      </c>
      <c r="B716" s="10" t="s">
        <v>2768</v>
      </c>
      <c r="C716" s="11" t="s">
        <v>1306</v>
      </c>
      <c r="D716" s="12" t="s">
        <v>19</v>
      </c>
      <c r="E716" s="13" t="s">
        <v>32</v>
      </c>
      <c r="F716" s="14" t="s">
        <v>21</v>
      </c>
      <c r="G716" s="14" t="b">
        <v>0</v>
      </c>
      <c r="I716" s="14">
        <v>2.0</v>
      </c>
      <c r="J716" s="14">
        <v>0.0</v>
      </c>
      <c r="K716" s="14">
        <v>0.0</v>
      </c>
    </row>
    <row r="717" ht="15.75" customHeight="1">
      <c r="A717" s="9" t="s">
        <v>2769</v>
      </c>
      <c r="B717" s="10" t="s">
        <v>2770</v>
      </c>
      <c r="C717" s="11" t="s">
        <v>1308</v>
      </c>
      <c r="D717" s="12" t="s">
        <v>277</v>
      </c>
      <c r="E717" s="13" t="s">
        <v>32</v>
      </c>
      <c r="F717" s="14" t="s">
        <v>278</v>
      </c>
      <c r="G717" s="14" t="b">
        <v>0</v>
      </c>
      <c r="I717" s="14">
        <v>2.0</v>
      </c>
      <c r="J717" s="14">
        <v>0.0</v>
      </c>
      <c r="K717" s="14">
        <v>1.0</v>
      </c>
    </row>
    <row r="718" ht="15.75" customHeight="1">
      <c r="A718" s="9" t="s">
        <v>2771</v>
      </c>
      <c r="B718" s="10" t="s">
        <v>2772</v>
      </c>
      <c r="C718" s="11" t="s">
        <v>1310</v>
      </c>
      <c r="D718" s="12" t="s">
        <v>125</v>
      </c>
      <c r="E718" s="13" t="s">
        <v>32</v>
      </c>
      <c r="F718" s="14" t="s">
        <v>126</v>
      </c>
      <c r="G718" s="14" t="b">
        <v>0</v>
      </c>
      <c r="I718" s="14">
        <v>2.0</v>
      </c>
      <c r="J718" s="14">
        <v>0.0</v>
      </c>
      <c r="K718" s="14">
        <v>1.0</v>
      </c>
    </row>
    <row r="719" ht="15.75" customHeight="1">
      <c r="A719" s="9" t="s">
        <v>2773</v>
      </c>
      <c r="B719" s="10" t="s">
        <v>2774</v>
      </c>
      <c r="C719" s="11" t="s">
        <v>84</v>
      </c>
      <c r="D719" s="12" t="s">
        <v>213</v>
      </c>
      <c r="E719" s="13" t="s">
        <v>85</v>
      </c>
      <c r="F719" s="14" t="s">
        <v>215</v>
      </c>
      <c r="G719" s="14" t="b">
        <v>0</v>
      </c>
      <c r="H719" s="14" t="s">
        <v>1538</v>
      </c>
      <c r="I719" s="14">
        <v>2.0</v>
      </c>
      <c r="J719" s="14">
        <v>0.0</v>
      </c>
      <c r="K719" s="14">
        <v>2.0</v>
      </c>
    </row>
    <row r="720" ht="15.75" customHeight="1">
      <c r="A720" s="9" t="s">
        <v>2775</v>
      </c>
      <c r="B720" s="10" t="s">
        <v>2776</v>
      </c>
      <c r="C720" s="11" t="s">
        <v>84</v>
      </c>
      <c r="D720" s="12" t="s">
        <v>213</v>
      </c>
      <c r="E720" s="13" t="s">
        <v>85</v>
      </c>
      <c r="F720" s="14" t="s">
        <v>215</v>
      </c>
      <c r="G720" s="14" t="b">
        <v>0</v>
      </c>
      <c r="H720" s="14" t="s">
        <v>361</v>
      </c>
      <c r="I720" s="14">
        <v>2.0</v>
      </c>
      <c r="J720" s="14">
        <v>0.0</v>
      </c>
      <c r="K720" s="14">
        <v>2.0</v>
      </c>
    </row>
    <row r="721" ht="15.75" customHeight="1">
      <c r="A721" s="9" t="s">
        <v>2777</v>
      </c>
      <c r="B721" s="10" t="s">
        <v>2778</v>
      </c>
      <c r="C721" s="11" t="s">
        <v>1006</v>
      </c>
      <c r="D721" s="12" t="s">
        <v>125</v>
      </c>
      <c r="E721" s="13" t="s">
        <v>20</v>
      </c>
      <c r="F721" s="14" t="s">
        <v>126</v>
      </c>
      <c r="G721" s="14" t="b">
        <v>0</v>
      </c>
      <c r="H721" s="14" t="s">
        <v>2497</v>
      </c>
      <c r="I721" s="14">
        <v>2.0</v>
      </c>
      <c r="J721" s="14">
        <v>0.0</v>
      </c>
      <c r="K721" s="14">
        <v>0.5</v>
      </c>
    </row>
    <row r="722" ht="15.75" customHeight="1">
      <c r="A722" s="9" t="s">
        <v>2779</v>
      </c>
      <c r="B722" s="10" t="s">
        <v>2780</v>
      </c>
      <c r="C722" s="11" t="s">
        <v>1312</v>
      </c>
      <c r="D722" s="12" t="s">
        <v>116</v>
      </c>
      <c r="E722" s="13" t="s">
        <v>159</v>
      </c>
      <c r="F722" s="14" t="s">
        <v>117</v>
      </c>
      <c r="G722" s="14" t="b">
        <v>0</v>
      </c>
      <c r="I722" s="14">
        <v>2.0</v>
      </c>
      <c r="J722" s="14">
        <v>0.0</v>
      </c>
      <c r="K722" s="14">
        <v>0.0</v>
      </c>
    </row>
    <row r="723" ht="15.75" customHeight="1">
      <c r="A723" s="9" t="s">
        <v>2781</v>
      </c>
      <c r="B723" s="10" t="s">
        <v>2782</v>
      </c>
      <c r="C723" s="11" t="s">
        <v>1314</v>
      </c>
      <c r="D723" s="12" t="s">
        <v>456</v>
      </c>
      <c r="E723" s="13" t="s">
        <v>32</v>
      </c>
      <c r="F723" s="14" t="s">
        <v>457</v>
      </c>
      <c r="G723" s="14" t="b">
        <v>0</v>
      </c>
      <c r="H723" s="14" t="s">
        <v>361</v>
      </c>
      <c r="I723" s="14">
        <v>2.0</v>
      </c>
      <c r="J723" s="14">
        <v>0.0</v>
      </c>
      <c r="K723" s="14">
        <v>0.0</v>
      </c>
    </row>
    <row r="724" ht="15.75" customHeight="1">
      <c r="A724" s="9" t="s">
        <v>2783</v>
      </c>
      <c r="B724" s="10" t="s">
        <v>2784</v>
      </c>
      <c r="C724" s="11" t="s">
        <v>122</v>
      </c>
      <c r="D724" s="12" t="s">
        <v>116</v>
      </c>
      <c r="E724" s="13" t="s">
        <v>20</v>
      </c>
      <c r="F724" s="14" t="s">
        <v>117</v>
      </c>
      <c r="G724" s="14" t="b">
        <v>0</v>
      </c>
      <c r="H724" s="14" t="s">
        <v>599</v>
      </c>
      <c r="I724" s="14">
        <v>2.0</v>
      </c>
      <c r="J724" s="14">
        <v>0.0</v>
      </c>
      <c r="K724" s="14">
        <v>3.0</v>
      </c>
    </row>
    <row r="725" ht="15.75" customHeight="1">
      <c r="A725" s="9" t="s">
        <v>2785</v>
      </c>
      <c r="B725" s="10" t="s">
        <v>2786</v>
      </c>
      <c r="C725" s="11" t="s">
        <v>104</v>
      </c>
      <c r="D725" s="12" t="s">
        <v>277</v>
      </c>
      <c r="E725" s="13" t="s">
        <v>32</v>
      </c>
      <c r="F725" s="14" t="s">
        <v>278</v>
      </c>
      <c r="G725" s="14" t="b">
        <v>0</v>
      </c>
      <c r="H725" s="14" t="s">
        <v>315</v>
      </c>
      <c r="I725" s="14">
        <v>2.0</v>
      </c>
      <c r="J725" s="14">
        <v>0.0</v>
      </c>
      <c r="K725" s="14">
        <v>1.0</v>
      </c>
    </row>
    <row r="726" ht="15.75" customHeight="1">
      <c r="A726" s="9" t="s">
        <v>2787</v>
      </c>
      <c r="B726" s="10" t="s">
        <v>2788</v>
      </c>
      <c r="C726" s="11" t="s">
        <v>1315</v>
      </c>
      <c r="D726" s="12" t="s">
        <v>277</v>
      </c>
      <c r="E726" s="13" t="s">
        <v>20</v>
      </c>
      <c r="F726" s="14" t="s">
        <v>278</v>
      </c>
      <c r="G726" s="14" t="b">
        <v>0</v>
      </c>
      <c r="H726" s="14" t="s">
        <v>1317</v>
      </c>
      <c r="I726" s="14">
        <v>2.0</v>
      </c>
      <c r="J726" s="14">
        <v>0.0</v>
      </c>
      <c r="K726" s="14">
        <v>1.0</v>
      </c>
    </row>
    <row r="727" ht="15.75" customHeight="1">
      <c r="A727" s="9" t="s">
        <v>2789</v>
      </c>
      <c r="B727" s="10" t="s">
        <v>2790</v>
      </c>
      <c r="C727" s="11" t="s">
        <v>1318</v>
      </c>
      <c r="D727" s="12" t="s">
        <v>19</v>
      </c>
      <c r="E727" s="13" t="s">
        <v>32</v>
      </c>
      <c r="F727" s="14" t="s">
        <v>21</v>
      </c>
      <c r="G727" s="14" t="b">
        <v>0</v>
      </c>
      <c r="H727" s="14" t="s">
        <v>779</v>
      </c>
      <c r="I727" s="14">
        <v>2.0</v>
      </c>
      <c r="J727" s="14">
        <v>0.0</v>
      </c>
      <c r="K727" s="14">
        <v>0.5</v>
      </c>
    </row>
    <row r="728" ht="15.75" customHeight="1">
      <c r="A728" s="9" t="s">
        <v>2791</v>
      </c>
      <c r="B728" s="13"/>
      <c r="C728" s="11" t="s">
        <v>1322</v>
      </c>
      <c r="D728" s="12" t="s">
        <v>125</v>
      </c>
      <c r="E728" s="13" t="s">
        <v>32</v>
      </c>
      <c r="F728" s="14" t="s">
        <v>126</v>
      </c>
      <c r="H728" s="14" t="s">
        <v>824</v>
      </c>
      <c r="I728" s="14">
        <v>2.0</v>
      </c>
      <c r="J728" s="14">
        <v>0.0</v>
      </c>
      <c r="K728" s="14">
        <v>1.0</v>
      </c>
    </row>
    <row r="729" ht="15.75" customHeight="1">
      <c r="A729" s="9" t="s">
        <v>2792</v>
      </c>
      <c r="B729" s="10" t="s">
        <v>2793</v>
      </c>
      <c r="C729" s="11" t="s">
        <v>1324</v>
      </c>
      <c r="D729" s="12" t="s">
        <v>277</v>
      </c>
      <c r="E729" s="13" t="s">
        <v>32</v>
      </c>
      <c r="F729" s="14" t="s">
        <v>278</v>
      </c>
      <c r="G729" s="14" t="b">
        <v>0</v>
      </c>
      <c r="I729" s="14">
        <v>2.0</v>
      </c>
      <c r="J729" s="14">
        <v>0.0</v>
      </c>
      <c r="K729" s="14">
        <v>0.0</v>
      </c>
    </row>
    <row r="730" ht="15.75" customHeight="1">
      <c r="A730" s="9" t="s">
        <v>2794</v>
      </c>
      <c r="B730" s="10" t="s">
        <v>2795</v>
      </c>
      <c r="C730" s="11" t="s">
        <v>348</v>
      </c>
      <c r="D730" s="12" t="s">
        <v>2796</v>
      </c>
      <c r="E730" s="13" t="s">
        <v>32</v>
      </c>
      <c r="F730" s="14" t="s">
        <v>2797</v>
      </c>
      <c r="G730" s="14" t="b">
        <v>0</v>
      </c>
      <c r="H730" s="14" t="s">
        <v>2798</v>
      </c>
      <c r="I730" s="14">
        <v>2.0</v>
      </c>
      <c r="J730" s="14">
        <v>0.0</v>
      </c>
      <c r="K730" s="14">
        <v>0.5</v>
      </c>
    </row>
    <row r="731" ht="15.75" customHeight="1">
      <c r="A731" s="9" t="s">
        <v>2799</v>
      </c>
      <c r="B731" s="10" t="s">
        <v>2800</v>
      </c>
      <c r="C731" s="11" t="s">
        <v>25</v>
      </c>
      <c r="D731" s="12" t="s">
        <v>158</v>
      </c>
      <c r="E731" s="13" t="s">
        <v>32</v>
      </c>
      <c r="F731" s="14" t="s">
        <v>160</v>
      </c>
      <c r="G731" s="14" t="b">
        <v>0</v>
      </c>
      <c r="H731" s="14" t="s">
        <v>271</v>
      </c>
      <c r="I731" s="14">
        <v>2.0</v>
      </c>
      <c r="J731" s="14">
        <v>0.0</v>
      </c>
      <c r="K731" s="14">
        <v>1.0</v>
      </c>
    </row>
    <row r="732" ht="15.75" customHeight="1">
      <c r="A732" s="9" t="s">
        <v>2801</v>
      </c>
      <c r="B732" s="10" t="s">
        <v>2802</v>
      </c>
      <c r="C732" s="11" t="s">
        <v>1106</v>
      </c>
      <c r="D732" s="12" t="s">
        <v>277</v>
      </c>
      <c r="E732" s="13" t="s">
        <v>32</v>
      </c>
      <c r="F732" s="14" t="s">
        <v>278</v>
      </c>
      <c r="G732" s="14" t="b">
        <v>0</v>
      </c>
      <c r="H732" s="14" t="s">
        <v>361</v>
      </c>
      <c r="I732" s="14">
        <v>2.0</v>
      </c>
      <c r="J732" s="14">
        <v>0.0</v>
      </c>
      <c r="K732" s="14">
        <v>1.5</v>
      </c>
    </row>
    <row r="733" ht="15.75" customHeight="1">
      <c r="A733" s="9" t="s">
        <v>2803</v>
      </c>
      <c r="B733" s="10" t="s">
        <v>2804</v>
      </c>
      <c r="C733" s="11" t="s">
        <v>1326</v>
      </c>
      <c r="D733" s="12" t="s">
        <v>19</v>
      </c>
      <c r="E733" s="13" t="s">
        <v>32</v>
      </c>
      <c r="F733" s="14" t="s">
        <v>21</v>
      </c>
      <c r="G733" s="14" t="b">
        <v>0</v>
      </c>
      <c r="H733" s="14" t="s">
        <v>2805</v>
      </c>
      <c r="I733" s="14">
        <v>2.0</v>
      </c>
      <c r="J733" s="14">
        <v>0.0</v>
      </c>
      <c r="K733" s="14">
        <v>0.0</v>
      </c>
    </row>
    <row r="734" ht="15.75" customHeight="1">
      <c r="A734" s="9" t="s">
        <v>2806</v>
      </c>
      <c r="B734" s="10" t="s">
        <v>2807</v>
      </c>
      <c r="C734" s="11" t="s">
        <v>148</v>
      </c>
      <c r="D734" s="12" t="s">
        <v>19</v>
      </c>
      <c r="E734" s="13" t="s">
        <v>20</v>
      </c>
      <c r="F734" s="14" t="s">
        <v>21</v>
      </c>
      <c r="G734" s="14" t="b">
        <v>0</v>
      </c>
      <c r="H734" s="14" t="s">
        <v>2808</v>
      </c>
      <c r="I734" s="14">
        <v>2.0</v>
      </c>
      <c r="J734" s="14">
        <v>0.0</v>
      </c>
      <c r="K734" s="14">
        <v>0.0</v>
      </c>
    </row>
    <row r="735" ht="15.75" customHeight="1">
      <c r="A735" s="9" t="s">
        <v>2809</v>
      </c>
      <c r="B735" s="10" t="s">
        <v>2810</v>
      </c>
      <c r="C735" s="11" t="s">
        <v>1111</v>
      </c>
      <c r="D735" s="12" t="s">
        <v>19</v>
      </c>
      <c r="E735" s="13" t="s">
        <v>32</v>
      </c>
      <c r="F735" s="14" t="s">
        <v>21</v>
      </c>
      <c r="G735" s="14" t="b">
        <v>0</v>
      </c>
      <c r="H735" s="14" t="s">
        <v>2811</v>
      </c>
      <c r="I735" s="14">
        <v>2.0</v>
      </c>
      <c r="J735" s="14">
        <v>0.0</v>
      </c>
      <c r="K735" s="14">
        <v>1.5</v>
      </c>
    </row>
    <row r="736" ht="15.75" customHeight="1">
      <c r="A736" s="9" t="s">
        <v>2812</v>
      </c>
      <c r="B736" s="10" t="s">
        <v>2813</v>
      </c>
      <c r="C736" s="11" t="s">
        <v>36</v>
      </c>
      <c r="D736" s="12" t="s">
        <v>30</v>
      </c>
      <c r="E736" s="13" t="s">
        <v>32</v>
      </c>
      <c r="F736" s="14" t="s">
        <v>34</v>
      </c>
      <c r="G736" s="14" t="b">
        <v>0</v>
      </c>
      <c r="H736" s="14" t="s">
        <v>1987</v>
      </c>
      <c r="I736" s="14">
        <v>2.0</v>
      </c>
      <c r="J736" s="14">
        <v>0.0</v>
      </c>
      <c r="K736" s="14">
        <v>0.0</v>
      </c>
    </row>
    <row r="737" ht="15.75" customHeight="1">
      <c r="A737" s="9" t="s">
        <v>2814</v>
      </c>
      <c r="B737" s="10" t="s">
        <v>2815</v>
      </c>
      <c r="C737" s="11" t="s">
        <v>36</v>
      </c>
      <c r="D737" s="12" t="s">
        <v>158</v>
      </c>
      <c r="E737" s="13" t="s">
        <v>32</v>
      </c>
      <c r="F737" s="14" t="s">
        <v>160</v>
      </c>
      <c r="G737" s="14" t="b">
        <v>0</v>
      </c>
      <c r="H737" s="14" t="s">
        <v>2816</v>
      </c>
      <c r="I737" s="14">
        <v>2.0</v>
      </c>
      <c r="J737" s="14">
        <v>0.0</v>
      </c>
      <c r="K737" s="14">
        <v>0.0</v>
      </c>
    </row>
    <row r="738" ht="15.75" customHeight="1">
      <c r="A738" s="9" t="s">
        <v>2817</v>
      </c>
      <c r="B738" s="10" t="s">
        <v>2818</v>
      </c>
      <c r="C738" s="11" t="s">
        <v>36</v>
      </c>
      <c r="D738" s="12" t="s">
        <v>30</v>
      </c>
      <c r="E738" s="13" t="s">
        <v>32</v>
      </c>
      <c r="F738" s="14" t="s">
        <v>34</v>
      </c>
      <c r="G738" s="14" t="b">
        <v>0</v>
      </c>
      <c r="H738" s="14" t="s">
        <v>2819</v>
      </c>
      <c r="I738" s="14">
        <v>2.0</v>
      </c>
      <c r="J738" s="14">
        <v>0.0</v>
      </c>
      <c r="K738" s="14">
        <v>0.0</v>
      </c>
    </row>
    <row r="739" ht="15.75" customHeight="1">
      <c r="A739" s="9" t="s">
        <v>2820</v>
      </c>
      <c r="B739" s="10" t="s">
        <v>2821</v>
      </c>
      <c r="C739" s="11" t="s">
        <v>36</v>
      </c>
      <c r="D739" s="12" t="s">
        <v>116</v>
      </c>
      <c r="E739" s="13" t="s">
        <v>32</v>
      </c>
      <c r="F739" s="14" t="s">
        <v>117</v>
      </c>
      <c r="G739" s="14" t="b">
        <v>0</v>
      </c>
      <c r="H739" s="14" t="s">
        <v>2822</v>
      </c>
      <c r="I739" s="14">
        <v>2.0</v>
      </c>
      <c r="J739" s="14">
        <v>0.0</v>
      </c>
      <c r="K739" s="14">
        <v>0.0</v>
      </c>
    </row>
    <row r="740" ht="15.75" customHeight="1">
      <c r="A740" s="9" t="s">
        <v>2823</v>
      </c>
      <c r="B740" s="10" t="s">
        <v>2824</v>
      </c>
      <c r="C740" s="11" t="s">
        <v>124</v>
      </c>
      <c r="D740" s="12" t="s">
        <v>277</v>
      </c>
      <c r="E740" s="13" t="s">
        <v>20</v>
      </c>
      <c r="F740" s="14" t="s">
        <v>278</v>
      </c>
      <c r="G740" s="14" t="b">
        <v>0</v>
      </c>
      <c r="H740" s="14" t="s">
        <v>2825</v>
      </c>
      <c r="I740" s="14">
        <v>2.0</v>
      </c>
      <c r="J740" s="14">
        <v>0.0</v>
      </c>
      <c r="K740" s="14">
        <v>1.0</v>
      </c>
    </row>
    <row r="741" ht="15.75" customHeight="1">
      <c r="A741" s="9" t="s">
        <v>2826</v>
      </c>
      <c r="B741" s="10" t="s">
        <v>2827</v>
      </c>
      <c r="C741" s="11" t="s">
        <v>1332</v>
      </c>
      <c r="D741" s="12" t="s">
        <v>277</v>
      </c>
      <c r="E741" s="13" t="s">
        <v>32</v>
      </c>
      <c r="F741" s="14" t="s">
        <v>278</v>
      </c>
      <c r="G741" s="14" t="b">
        <v>0</v>
      </c>
      <c r="I741" s="14">
        <v>2.0</v>
      </c>
      <c r="J741" s="14">
        <v>0.0</v>
      </c>
      <c r="K741" s="14">
        <v>1.0</v>
      </c>
    </row>
    <row r="742" ht="15.75" customHeight="1">
      <c r="A742" s="9" t="s">
        <v>2828</v>
      </c>
      <c r="B742" s="10" t="s">
        <v>644</v>
      </c>
      <c r="C742" s="11" t="s">
        <v>198</v>
      </c>
      <c r="D742" s="12" t="s">
        <v>116</v>
      </c>
      <c r="E742" s="13" t="s">
        <v>116</v>
      </c>
      <c r="F742" s="14" t="s">
        <v>117</v>
      </c>
      <c r="G742" s="14" t="b">
        <v>0</v>
      </c>
      <c r="I742" s="14">
        <v>2.0</v>
      </c>
      <c r="J742" s="14">
        <v>0.0</v>
      </c>
      <c r="K742" s="14">
        <v>0.0</v>
      </c>
    </row>
    <row r="743" ht="15.75" customHeight="1">
      <c r="A743" s="9" t="s">
        <v>2829</v>
      </c>
      <c r="B743" s="10" t="s">
        <v>2830</v>
      </c>
      <c r="C743" s="11" t="s">
        <v>358</v>
      </c>
      <c r="D743" s="12" t="s">
        <v>312</v>
      </c>
      <c r="E743" s="13" t="s">
        <v>102</v>
      </c>
      <c r="F743" s="14" t="s">
        <v>313</v>
      </c>
      <c r="G743" s="14" t="b">
        <v>0</v>
      </c>
      <c r="I743" s="14">
        <v>2.0</v>
      </c>
      <c r="J743" s="14">
        <v>0.0</v>
      </c>
      <c r="K743" s="14">
        <v>1.5</v>
      </c>
    </row>
    <row r="744" ht="15.75" customHeight="1">
      <c r="A744" s="9" t="s">
        <v>2831</v>
      </c>
      <c r="B744" s="10" t="s">
        <v>2832</v>
      </c>
      <c r="C744" s="11" t="s">
        <v>1333</v>
      </c>
      <c r="D744" s="12" t="s">
        <v>19</v>
      </c>
      <c r="E744" s="13" t="s">
        <v>102</v>
      </c>
      <c r="F744" s="14" t="s">
        <v>21</v>
      </c>
      <c r="G744" s="14" t="b">
        <v>0</v>
      </c>
      <c r="H744" s="14" t="s">
        <v>2833</v>
      </c>
      <c r="I744" s="14">
        <v>2.0</v>
      </c>
      <c r="J744" s="14">
        <v>0.0</v>
      </c>
      <c r="K744" s="14">
        <v>0.0</v>
      </c>
    </row>
    <row r="745" ht="15.75" customHeight="1">
      <c r="A745" s="9" t="s">
        <v>2834</v>
      </c>
      <c r="B745" s="10" t="s">
        <v>2835</v>
      </c>
      <c r="C745" s="11" t="s">
        <v>64</v>
      </c>
      <c r="D745" s="12" t="s">
        <v>19</v>
      </c>
      <c r="E745" s="13" t="s">
        <v>32</v>
      </c>
      <c r="F745" s="14" t="s">
        <v>21</v>
      </c>
      <c r="G745" s="14" t="b">
        <v>0</v>
      </c>
      <c r="H745" s="14" t="s">
        <v>2836</v>
      </c>
      <c r="I745" s="14">
        <v>2.0</v>
      </c>
      <c r="J745" s="14">
        <v>0.0</v>
      </c>
      <c r="K745" s="14">
        <v>1.5</v>
      </c>
    </row>
    <row r="746" ht="15.75" customHeight="1">
      <c r="A746" s="9" t="s">
        <v>2837</v>
      </c>
      <c r="B746" s="10" t="s">
        <v>2248</v>
      </c>
      <c r="C746" s="11" t="s">
        <v>325</v>
      </c>
      <c r="D746" s="12" t="s">
        <v>277</v>
      </c>
      <c r="E746" s="13" t="s">
        <v>102</v>
      </c>
      <c r="F746" s="14" t="s">
        <v>278</v>
      </c>
      <c r="G746" s="14" t="b">
        <v>0</v>
      </c>
      <c r="I746" s="14">
        <v>2.0</v>
      </c>
      <c r="J746" s="14">
        <v>0.0</v>
      </c>
      <c r="K746" s="14">
        <v>2.0</v>
      </c>
    </row>
    <row r="747" ht="15.75" customHeight="1">
      <c r="A747" s="9" t="s">
        <v>2838</v>
      </c>
      <c r="B747" s="10" t="s">
        <v>2839</v>
      </c>
      <c r="C747" s="11" t="s">
        <v>325</v>
      </c>
      <c r="D747" s="12" t="s">
        <v>312</v>
      </c>
      <c r="E747" s="13" t="s">
        <v>102</v>
      </c>
      <c r="F747" s="14" t="s">
        <v>313</v>
      </c>
      <c r="G747" s="14" t="b">
        <v>0</v>
      </c>
      <c r="H747" s="14" t="s">
        <v>2840</v>
      </c>
      <c r="I747" s="14">
        <v>2.0</v>
      </c>
      <c r="J747" s="14">
        <v>0.0</v>
      </c>
      <c r="K747" s="14">
        <v>2.0</v>
      </c>
    </row>
    <row r="748" ht="15.75" customHeight="1">
      <c r="A748" s="9" t="s">
        <v>2841</v>
      </c>
      <c r="B748" s="10" t="s">
        <v>2248</v>
      </c>
      <c r="C748" s="11" t="s">
        <v>325</v>
      </c>
      <c r="D748" s="12" t="s">
        <v>312</v>
      </c>
      <c r="E748" s="13" t="s">
        <v>102</v>
      </c>
      <c r="F748" s="14" t="s">
        <v>313</v>
      </c>
      <c r="G748" s="14" t="b">
        <v>0</v>
      </c>
      <c r="I748" s="14">
        <v>2.0</v>
      </c>
      <c r="J748" s="14">
        <v>0.0</v>
      </c>
      <c r="K748" s="14">
        <v>2.0</v>
      </c>
    </row>
    <row r="749" ht="15.75" customHeight="1">
      <c r="A749" s="9" t="s">
        <v>2842</v>
      </c>
      <c r="B749" s="10" t="s">
        <v>2248</v>
      </c>
      <c r="C749" s="11" t="s">
        <v>325</v>
      </c>
      <c r="D749" s="12" t="s">
        <v>312</v>
      </c>
      <c r="E749" s="13" t="s">
        <v>102</v>
      </c>
      <c r="F749" s="14" t="s">
        <v>313</v>
      </c>
      <c r="G749" s="14" t="b">
        <v>0</v>
      </c>
      <c r="I749" s="14">
        <v>2.0</v>
      </c>
      <c r="J749" s="14">
        <v>0.0</v>
      </c>
      <c r="K749" s="14">
        <v>2.0</v>
      </c>
    </row>
    <row r="750" ht="15.75" customHeight="1">
      <c r="A750" s="9" t="s">
        <v>2843</v>
      </c>
      <c r="B750" s="10" t="s">
        <v>2844</v>
      </c>
      <c r="C750" s="11" t="s">
        <v>98</v>
      </c>
      <c r="D750" s="12" t="s">
        <v>158</v>
      </c>
      <c r="E750" s="13" t="s">
        <v>32</v>
      </c>
      <c r="F750" s="14" t="s">
        <v>160</v>
      </c>
      <c r="G750" s="14" t="b">
        <v>0</v>
      </c>
      <c r="H750" s="14" t="s">
        <v>2845</v>
      </c>
      <c r="I750" s="14">
        <v>2.0</v>
      </c>
      <c r="J750" s="14">
        <v>0.0</v>
      </c>
      <c r="K750" s="14">
        <v>0.0</v>
      </c>
    </row>
    <row r="751" ht="15.75" customHeight="1">
      <c r="A751" s="9" t="s">
        <v>2846</v>
      </c>
      <c r="B751" s="10" t="s">
        <v>2847</v>
      </c>
      <c r="C751" s="11" t="s">
        <v>98</v>
      </c>
      <c r="D751" s="12" t="s">
        <v>30</v>
      </c>
      <c r="E751" s="13" t="s">
        <v>32</v>
      </c>
      <c r="F751" s="14" t="s">
        <v>34</v>
      </c>
      <c r="G751" s="14" t="b">
        <v>0</v>
      </c>
      <c r="H751" s="14" t="s">
        <v>467</v>
      </c>
      <c r="I751" s="14">
        <v>2.0</v>
      </c>
      <c r="J751" s="14">
        <v>0.0</v>
      </c>
      <c r="K751" s="14">
        <v>1.5</v>
      </c>
    </row>
    <row r="752" ht="15.75" customHeight="1">
      <c r="A752" s="9" t="s">
        <v>2848</v>
      </c>
      <c r="B752" s="10" t="s">
        <v>2849</v>
      </c>
      <c r="C752" s="11" t="s">
        <v>157</v>
      </c>
      <c r="D752" s="12" t="s">
        <v>19</v>
      </c>
      <c r="E752" s="13" t="s">
        <v>159</v>
      </c>
      <c r="F752" s="14" t="s">
        <v>21</v>
      </c>
      <c r="G752" s="14" t="b">
        <v>0</v>
      </c>
      <c r="H752" s="14" t="s">
        <v>2850</v>
      </c>
      <c r="I752" s="14">
        <v>2.0</v>
      </c>
      <c r="J752" s="14">
        <v>0.0</v>
      </c>
      <c r="K752" s="14">
        <v>0.0</v>
      </c>
    </row>
    <row r="753" ht="15.75" customHeight="1">
      <c r="A753" s="9" t="s">
        <v>2851</v>
      </c>
      <c r="B753" s="10" t="s">
        <v>2852</v>
      </c>
      <c r="C753" s="11" t="s">
        <v>1338</v>
      </c>
      <c r="D753" s="12" t="s">
        <v>277</v>
      </c>
      <c r="E753" s="13" t="s">
        <v>32</v>
      </c>
      <c r="F753" s="14" t="s">
        <v>278</v>
      </c>
      <c r="G753" s="14" t="b">
        <v>0</v>
      </c>
      <c r="I753" s="14">
        <v>2.0</v>
      </c>
      <c r="J753" s="14">
        <v>0.0</v>
      </c>
      <c r="K753" s="14">
        <v>0.0</v>
      </c>
    </row>
    <row r="754" ht="15.75" customHeight="1">
      <c r="A754" s="9" t="s">
        <v>2853</v>
      </c>
      <c r="B754" s="10" t="s">
        <v>2854</v>
      </c>
      <c r="C754" s="11" t="s">
        <v>1137</v>
      </c>
      <c r="D754" s="12" t="s">
        <v>125</v>
      </c>
      <c r="E754" s="13" t="s">
        <v>20</v>
      </c>
      <c r="F754" s="14" t="s">
        <v>126</v>
      </c>
      <c r="G754" s="14" t="b">
        <v>0</v>
      </c>
      <c r="H754" s="14" t="s">
        <v>2855</v>
      </c>
      <c r="I754" s="14">
        <v>2.0</v>
      </c>
      <c r="J754" s="14">
        <v>0.0</v>
      </c>
      <c r="K754" s="14">
        <v>1.0</v>
      </c>
    </row>
    <row r="755" ht="15.75" customHeight="1">
      <c r="A755" s="9" t="s">
        <v>2856</v>
      </c>
      <c r="B755" s="10" t="s">
        <v>2857</v>
      </c>
      <c r="C755" s="11" t="s">
        <v>1341</v>
      </c>
      <c r="D755" s="12" t="s">
        <v>30</v>
      </c>
      <c r="E755" s="13" t="s">
        <v>32</v>
      </c>
      <c r="F755" s="14" t="s">
        <v>34</v>
      </c>
      <c r="G755" s="14" t="b">
        <v>0</v>
      </c>
      <c r="I755" s="14">
        <v>2.0</v>
      </c>
      <c r="J755" s="14">
        <v>0.0</v>
      </c>
      <c r="K755" s="14">
        <v>1.0</v>
      </c>
    </row>
    <row r="756" ht="15.75" customHeight="1">
      <c r="A756" s="9" t="s">
        <v>2858</v>
      </c>
      <c r="B756" s="10" t="s">
        <v>2859</v>
      </c>
      <c r="C756" s="11" t="s">
        <v>1343</v>
      </c>
      <c r="D756" s="12" t="s">
        <v>277</v>
      </c>
      <c r="E756" s="13" t="s">
        <v>32</v>
      </c>
      <c r="F756" s="14" t="s">
        <v>278</v>
      </c>
      <c r="G756" s="14" t="b">
        <v>0</v>
      </c>
      <c r="H756" s="14" t="s">
        <v>361</v>
      </c>
      <c r="I756" s="14">
        <v>2.0</v>
      </c>
      <c r="J756" s="14">
        <v>0.0</v>
      </c>
      <c r="K756" s="14">
        <v>0.0</v>
      </c>
    </row>
    <row r="757" ht="15.75" customHeight="1">
      <c r="A757" s="9" t="s">
        <v>2860</v>
      </c>
      <c r="B757" s="10" t="s">
        <v>2861</v>
      </c>
      <c r="C757" s="11" t="s">
        <v>95</v>
      </c>
      <c r="D757" s="12" t="s">
        <v>158</v>
      </c>
      <c r="E757" s="13" t="s">
        <v>32</v>
      </c>
      <c r="F757" s="14" t="s">
        <v>160</v>
      </c>
      <c r="G757" s="14" t="b">
        <v>0</v>
      </c>
      <c r="H757" s="14" t="s">
        <v>2862</v>
      </c>
      <c r="I757" s="14">
        <v>2.0</v>
      </c>
      <c r="J757" s="14">
        <v>0.0</v>
      </c>
      <c r="K757" s="14">
        <v>0.0</v>
      </c>
    </row>
    <row r="758" ht="15.75" customHeight="1">
      <c r="A758" s="9" t="s">
        <v>2863</v>
      </c>
      <c r="B758" s="10" t="s">
        <v>2864</v>
      </c>
      <c r="C758" s="11" t="s">
        <v>1345</v>
      </c>
      <c r="D758" s="12" t="s">
        <v>158</v>
      </c>
      <c r="E758" s="13" t="s">
        <v>1201</v>
      </c>
      <c r="F758" s="14" t="s">
        <v>160</v>
      </c>
      <c r="G758" s="14" t="b">
        <v>0</v>
      </c>
      <c r="H758" s="14" t="s">
        <v>2865</v>
      </c>
      <c r="I758" s="14">
        <v>2.0</v>
      </c>
      <c r="J758" s="14">
        <v>0.0</v>
      </c>
      <c r="K758" s="14">
        <v>1.0</v>
      </c>
    </row>
    <row r="759" ht="15.75" customHeight="1">
      <c r="A759" s="9" t="s">
        <v>2866</v>
      </c>
      <c r="B759" s="10" t="s">
        <v>2867</v>
      </c>
      <c r="C759" s="11" t="s">
        <v>587</v>
      </c>
      <c r="D759" s="12" t="s">
        <v>19</v>
      </c>
      <c r="E759" s="13" t="s">
        <v>32</v>
      </c>
      <c r="F759" s="14" t="s">
        <v>21</v>
      </c>
      <c r="G759" s="14" t="b">
        <v>0</v>
      </c>
      <c r="I759" s="14">
        <v>2.0</v>
      </c>
      <c r="J759" s="14">
        <v>0.0</v>
      </c>
      <c r="K759" s="14">
        <v>0.0</v>
      </c>
    </row>
    <row r="760" ht="15.75" customHeight="1">
      <c r="A760" s="9" t="s">
        <v>2868</v>
      </c>
      <c r="B760" s="10" t="s">
        <v>2869</v>
      </c>
      <c r="C760" s="11" t="s">
        <v>1356</v>
      </c>
      <c r="D760" s="12" t="s">
        <v>312</v>
      </c>
      <c r="E760" s="13" t="s">
        <v>102</v>
      </c>
      <c r="F760" s="14" t="s">
        <v>313</v>
      </c>
      <c r="G760" s="14" t="b">
        <v>0</v>
      </c>
      <c r="H760" s="14" t="s">
        <v>1358</v>
      </c>
      <c r="I760" s="14">
        <v>2.0</v>
      </c>
      <c r="J760" s="14">
        <v>0.0</v>
      </c>
      <c r="K760" s="14">
        <v>2.0</v>
      </c>
    </row>
    <row r="761" ht="15.75" customHeight="1">
      <c r="A761" s="9" t="s">
        <v>2870</v>
      </c>
      <c r="B761" s="10" t="s">
        <v>2871</v>
      </c>
      <c r="C761" s="11" t="s">
        <v>181</v>
      </c>
      <c r="D761" s="12" t="s">
        <v>19</v>
      </c>
      <c r="E761" s="13" t="s">
        <v>20</v>
      </c>
      <c r="F761" s="14" t="s">
        <v>21</v>
      </c>
      <c r="G761" s="14" t="b">
        <v>0</v>
      </c>
      <c r="H761" s="14" t="s">
        <v>369</v>
      </c>
      <c r="I761" s="14">
        <v>2.0</v>
      </c>
      <c r="J761" s="14">
        <v>0.0</v>
      </c>
      <c r="K761" s="14">
        <v>0.5</v>
      </c>
    </row>
    <row r="762" ht="15.75" customHeight="1">
      <c r="A762" s="9" t="s">
        <v>2872</v>
      </c>
      <c r="B762" s="10" t="s">
        <v>2873</v>
      </c>
      <c r="C762" s="11" t="s">
        <v>1359</v>
      </c>
      <c r="D762" s="12" t="s">
        <v>277</v>
      </c>
      <c r="E762" s="13" t="s">
        <v>32</v>
      </c>
      <c r="F762" s="14" t="s">
        <v>278</v>
      </c>
      <c r="G762" s="14" t="b">
        <v>0</v>
      </c>
      <c r="I762" s="14">
        <v>2.0</v>
      </c>
      <c r="J762" s="14">
        <v>0.0</v>
      </c>
      <c r="K762" s="14">
        <v>2.5</v>
      </c>
    </row>
    <row r="763" ht="15.75" customHeight="1">
      <c r="A763" s="9" t="s">
        <v>2874</v>
      </c>
      <c r="B763" s="10" t="s">
        <v>2875</v>
      </c>
      <c r="C763" s="11" t="s">
        <v>1362</v>
      </c>
      <c r="D763" s="12" t="s">
        <v>19</v>
      </c>
      <c r="E763" s="13" t="s">
        <v>32</v>
      </c>
      <c r="F763" s="14" t="s">
        <v>21</v>
      </c>
      <c r="G763" s="14" t="b">
        <v>0</v>
      </c>
      <c r="H763" s="14" t="s">
        <v>1364</v>
      </c>
      <c r="I763" s="14">
        <v>2.0</v>
      </c>
      <c r="J763" s="14">
        <v>0.0</v>
      </c>
      <c r="K763" s="14">
        <v>0.0</v>
      </c>
    </row>
    <row r="764" ht="15.75" customHeight="1">
      <c r="A764" s="9" t="s">
        <v>2876</v>
      </c>
      <c r="B764" s="10" t="s">
        <v>2877</v>
      </c>
      <c r="C764" s="11" t="s">
        <v>310</v>
      </c>
      <c r="D764" s="12" t="s">
        <v>19</v>
      </c>
      <c r="E764" s="13" t="s">
        <v>85</v>
      </c>
      <c r="F764" s="14" t="s">
        <v>21</v>
      </c>
      <c r="G764" s="14" t="b">
        <v>0</v>
      </c>
      <c r="H764" s="14" t="s">
        <v>755</v>
      </c>
      <c r="I764" s="14">
        <v>2.0</v>
      </c>
      <c r="J764" s="14">
        <v>0.0</v>
      </c>
      <c r="K764" s="14">
        <v>2.0</v>
      </c>
    </row>
    <row r="765" ht="15.75" customHeight="1">
      <c r="A765" s="9" t="s">
        <v>2878</v>
      </c>
      <c r="B765" s="10" t="s">
        <v>2879</v>
      </c>
      <c r="C765" s="11" t="s">
        <v>310</v>
      </c>
      <c r="D765" s="12" t="s">
        <v>312</v>
      </c>
      <c r="E765" s="13" t="s">
        <v>85</v>
      </c>
      <c r="F765" s="14" t="s">
        <v>313</v>
      </c>
      <c r="G765" s="14" t="b">
        <v>0</v>
      </c>
      <c r="H765" s="14" t="s">
        <v>2880</v>
      </c>
      <c r="I765" s="14">
        <v>2.0</v>
      </c>
      <c r="J765" s="14">
        <v>0.0</v>
      </c>
      <c r="K765" s="14">
        <v>1.5</v>
      </c>
    </row>
    <row r="766" ht="15.75" customHeight="1">
      <c r="A766" s="9" t="s">
        <v>2881</v>
      </c>
      <c r="B766" s="10" t="s">
        <v>2882</v>
      </c>
      <c r="C766" s="11" t="s">
        <v>476</v>
      </c>
      <c r="D766" s="12" t="s">
        <v>277</v>
      </c>
      <c r="E766" s="13" t="s">
        <v>20</v>
      </c>
      <c r="F766" s="14" t="s">
        <v>278</v>
      </c>
      <c r="G766" s="14" t="b">
        <v>0</v>
      </c>
      <c r="H766" s="14" t="s">
        <v>480</v>
      </c>
      <c r="I766" s="14">
        <v>2.0</v>
      </c>
      <c r="J766" s="14">
        <v>0.0</v>
      </c>
      <c r="K766" s="14">
        <v>3.5</v>
      </c>
    </row>
    <row r="767" ht="15.75" customHeight="1">
      <c r="A767" s="9" t="s">
        <v>2883</v>
      </c>
      <c r="B767" s="10" t="s">
        <v>2884</v>
      </c>
      <c r="C767" s="11" t="s">
        <v>924</v>
      </c>
      <c r="D767" s="12" t="s">
        <v>19</v>
      </c>
      <c r="E767" s="13" t="s">
        <v>159</v>
      </c>
      <c r="F767" s="14" t="s">
        <v>21</v>
      </c>
      <c r="G767" s="14" t="b">
        <v>0</v>
      </c>
      <c r="H767" s="14" t="s">
        <v>808</v>
      </c>
      <c r="I767" s="14">
        <v>2.0</v>
      </c>
      <c r="J767" s="14">
        <v>0.0</v>
      </c>
      <c r="K767" s="14">
        <v>0.0</v>
      </c>
    </row>
    <row r="768" ht="15.75" customHeight="1">
      <c r="A768" s="9" t="s">
        <v>2885</v>
      </c>
      <c r="B768" s="10" t="s">
        <v>803</v>
      </c>
      <c r="C768" s="11" t="s">
        <v>286</v>
      </c>
      <c r="D768" s="12" t="s">
        <v>116</v>
      </c>
      <c r="E768" s="13" t="s">
        <v>159</v>
      </c>
      <c r="F768" s="14" t="s">
        <v>117</v>
      </c>
      <c r="G768" s="14" t="b">
        <v>0</v>
      </c>
      <c r="I768" s="14">
        <v>1.0</v>
      </c>
      <c r="J768" s="14">
        <v>0.0</v>
      </c>
      <c r="K768" s="14">
        <v>0.0</v>
      </c>
    </row>
    <row r="769" ht="15.75" customHeight="1">
      <c r="A769" s="9" t="s">
        <v>2886</v>
      </c>
      <c r="B769" s="10" t="s">
        <v>2887</v>
      </c>
      <c r="C769" s="11" t="s">
        <v>286</v>
      </c>
      <c r="D769" s="12" t="s">
        <v>116</v>
      </c>
      <c r="E769" s="13" t="s">
        <v>159</v>
      </c>
      <c r="F769" s="14" t="s">
        <v>117</v>
      </c>
      <c r="G769" s="14" t="b">
        <v>0</v>
      </c>
      <c r="H769" s="14" t="s">
        <v>2888</v>
      </c>
      <c r="I769" s="14">
        <v>1.0</v>
      </c>
      <c r="J769" s="14">
        <v>0.0</v>
      </c>
      <c r="K769" s="14">
        <v>0.0</v>
      </c>
    </row>
    <row r="770" ht="15.75" customHeight="1">
      <c r="A770" s="9" t="s">
        <v>2889</v>
      </c>
      <c r="B770" s="10" t="s">
        <v>2890</v>
      </c>
      <c r="C770" s="11" t="s">
        <v>1402</v>
      </c>
      <c r="D770" s="12" t="s">
        <v>19</v>
      </c>
      <c r="E770" s="13" t="s">
        <v>32</v>
      </c>
      <c r="F770" s="14" t="s">
        <v>21</v>
      </c>
      <c r="G770" s="14" t="b">
        <v>0</v>
      </c>
      <c r="I770" s="14">
        <v>1.0</v>
      </c>
      <c r="J770" s="14">
        <v>0.0</v>
      </c>
      <c r="K770" s="14">
        <v>1.0</v>
      </c>
    </row>
    <row r="771" ht="15.75" customHeight="1">
      <c r="A771" s="9" t="s">
        <v>2891</v>
      </c>
      <c r="B771" s="10" t="s">
        <v>2892</v>
      </c>
      <c r="C771" s="11" t="s">
        <v>1404</v>
      </c>
      <c r="D771" s="12" t="s">
        <v>19</v>
      </c>
      <c r="E771" s="13" t="s">
        <v>32</v>
      </c>
      <c r="F771" s="14" t="s">
        <v>21</v>
      </c>
      <c r="G771" s="14" t="b">
        <v>0</v>
      </c>
      <c r="H771" s="14" t="s">
        <v>2893</v>
      </c>
      <c r="I771" s="14">
        <v>1.0</v>
      </c>
      <c r="J771" s="14">
        <v>0.0</v>
      </c>
      <c r="K771" s="14">
        <v>1.0</v>
      </c>
    </row>
    <row r="772" ht="15.75" customHeight="1">
      <c r="A772" s="9" t="s">
        <v>2894</v>
      </c>
      <c r="B772" s="10" t="s">
        <v>2895</v>
      </c>
      <c r="C772" s="11" t="s">
        <v>1372</v>
      </c>
      <c r="D772" s="12" t="s">
        <v>312</v>
      </c>
      <c r="E772" s="13" t="s">
        <v>1201</v>
      </c>
      <c r="F772" s="14" t="s">
        <v>313</v>
      </c>
      <c r="G772" s="14" t="b">
        <v>0</v>
      </c>
      <c r="H772" s="14" t="s">
        <v>1074</v>
      </c>
      <c r="I772" s="14">
        <v>1.0</v>
      </c>
      <c r="J772" s="14">
        <v>0.0</v>
      </c>
      <c r="K772" s="14">
        <v>2.0</v>
      </c>
    </row>
    <row r="773" ht="15.75" customHeight="1">
      <c r="A773" s="9" t="s">
        <v>2896</v>
      </c>
      <c r="B773" s="10" t="s">
        <v>2897</v>
      </c>
      <c r="C773" s="11" t="s">
        <v>1406</v>
      </c>
      <c r="D773" s="12" t="s">
        <v>277</v>
      </c>
      <c r="E773" s="13" t="s">
        <v>32</v>
      </c>
      <c r="F773" s="14" t="s">
        <v>278</v>
      </c>
      <c r="G773" s="14" t="b">
        <v>0</v>
      </c>
      <c r="H773" s="14" t="s">
        <v>2898</v>
      </c>
      <c r="I773" s="14">
        <v>1.0</v>
      </c>
      <c r="J773" s="14">
        <v>0.0</v>
      </c>
      <c r="K773" s="14">
        <v>1.0</v>
      </c>
    </row>
    <row r="774" ht="15.75" customHeight="1">
      <c r="A774" s="9" t="s">
        <v>2899</v>
      </c>
      <c r="B774" s="10" t="s">
        <v>2900</v>
      </c>
      <c r="C774" s="11" t="s">
        <v>1411</v>
      </c>
      <c r="D774" s="12" t="s">
        <v>116</v>
      </c>
      <c r="E774" s="13" t="s">
        <v>1201</v>
      </c>
      <c r="F774" s="14" t="s">
        <v>117</v>
      </c>
      <c r="G774" s="14" t="b">
        <v>0</v>
      </c>
      <c r="I774" s="14">
        <v>1.0</v>
      </c>
      <c r="J774" s="14">
        <v>0.0</v>
      </c>
      <c r="K774" s="14">
        <v>1.0</v>
      </c>
    </row>
    <row r="775" ht="15.75" customHeight="1">
      <c r="A775" s="9" t="s">
        <v>2901</v>
      </c>
      <c r="B775" s="10" t="s">
        <v>2902</v>
      </c>
      <c r="C775" s="11" t="s">
        <v>303</v>
      </c>
      <c r="D775" s="12" t="s">
        <v>277</v>
      </c>
      <c r="E775" s="13" t="s">
        <v>20</v>
      </c>
      <c r="F775" s="14" t="s">
        <v>278</v>
      </c>
      <c r="G775" s="14" t="b">
        <v>0</v>
      </c>
      <c r="H775" s="14" t="s">
        <v>527</v>
      </c>
      <c r="I775" s="14">
        <v>1.0</v>
      </c>
      <c r="J775" s="14">
        <v>0.0</v>
      </c>
      <c r="K775" s="14">
        <v>1.0</v>
      </c>
    </row>
    <row r="776" ht="15.75" customHeight="1">
      <c r="A776" s="9" t="s">
        <v>2903</v>
      </c>
      <c r="B776" s="10" t="s">
        <v>2904</v>
      </c>
      <c r="C776" s="11" t="s">
        <v>926</v>
      </c>
      <c r="D776" s="12" t="s">
        <v>277</v>
      </c>
      <c r="E776" s="13" t="s">
        <v>32</v>
      </c>
      <c r="F776" s="14" t="s">
        <v>278</v>
      </c>
      <c r="G776" s="14" t="b">
        <v>0</v>
      </c>
      <c r="I776" s="14">
        <v>1.0</v>
      </c>
      <c r="J776" s="14">
        <v>0.0</v>
      </c>
      <c r="K776" s="14">
        <v>1.0</v>
      </c>
    </row>
    <row r="777" ht="15.75" customHeight="1">
      <c r="A777" s="9" t="s">
        <v>2905</v>
      </c>
      <c r="B777" s="10" t="s">
        <v>2906</v>
      </c>
      <c r="C777" s="11" t="s">
        <v>1416</v>
      </c>
      <c r="D777" s="12" t="s">
        <v>277</v>
      </c>
      <c r="E777" s="13" t="s">
        <v>32</v>
      </c>
      <c r="F777" s="14" t="s">
        <v>278</v>
      </c>
      <c r="G777" s="14" t="b">
        <v>0</v>
      </c>
      <c r="I777" s="14">
        <v>1.0</v>
      </c>
      <c r="J777" s="14">
        <v>0.0</v>
      </c>
      <c r="K777" s="14">
        <v>1.0</v>
      </c>
    </row>
    <row r="778" ht="15.75" customHeight="1">
      <c r="A778" s="9" t="s">
        <v>2907</v>
      </c>
      <c r="B778" s="10" t="s">
        <v>2908</v>
      </c>
      <c r="C778" s="11" t="s">
        <v>1418</v>
      </c>
      <c r="D778" s="12" t="s">
        <v>116</v>
      </c>
      <c r="E778" s="13" t="s">
        <v>32</v>
      </c>
      <c r="F778" s="14" t="s">
        <v>117</v>
      </c>
      <c r="G778" s="14" t="b">
        <v>0</v>
      </c>
      <c r="I778" s="14">
        <v>1.0</v>
      </c>
      <c r="J778" s="14">
        <v>0.0</v>
      </c>
      <c r="K778" s="14">
        <v>1.0</v>
      </c>
    </row>
    <row r="779" ht="15.75" customHeight="1">
      <c r="A779" s="9" t="s">
        <v>2909</v>
      </c>
      <c r="B779" s="10" t="s">
        <v>2910</v>
      </c>
      <c r="C779" s="11" t="s">
        <v>53</v>
      </c>
      <c r="D779" s="12" t="s">
        <v>19</v>
      </c>
      <c r="E779" s="13" t="s">
        <v>20</v>
      </c>
      <c r="F779" s="14" t="s">
        <v>21</v>
      </c>
      <c r="G779" s="14" t="b">
        <v>0</v>
      </c>
      <c r="H779" s="14" t="s">
        <v>2911</v>
      </c>
      <c r="I779" s="14">
        <v>1.0</v>
      </c>
      <c r="J779" s="14">
        <v>0.0</v>
      </c>
      <c r="K779" s="14">
        <v>1.0</v>
      </c>
    </row>
    <row r="780" ht="15.75" customHeight="1">
      <c r="A780" s="9" t="s">
        <v>2912</v>
      </c>
      <c r="B780" s="10" t="s">
        <v>2913</v>
      </c>
      <c r="C780" s="11" t="s">
        <v>1420</v>
      </c>
      <c r="D780" s="12" t="s">
        <v>125</v>
      </c>
      <c r="E780" s="13" t="s">
        <v>32</v>
      </c>
      <c r="F780" s="14" t="s">
        <v>126</v>
      </c>
      <c r="G780" s="14" t="b">
        <v>0</v>
      </c>
      <c r="I780" s="14">
        <v>1.0</v>
      </c>
      <c r="J780" s="14">
        <v>0.0</v>
      </c>
      <c r="K780" s="14">
        <v>0.0</v>
      </c>
    </row>
    <row r="781" ht="15.75" customHeight="1">
      <c r="A781" s="9" t="s">
        <v>2914</v>
      </c>
      <c r="B781" s="10" t="s">
        <v>2915</v>
      </c>
      <c r="C781" s="11" t="s">
        <v>1422</v>
      </c>
      <c r="D781" s="12" t="s">
        <v>125</v>
      </c>
      <c r="E781" s="13" t="s">
        <v>32</v>
      </c>
      <c r="F781" s="14" t="s">
        <v>126</v>
      </c>
      <c r="G781" s="14" t="b">
        <v>0</v>
      </c>
      <c r="I781" s="14">
        <v>1.0</v>
      </c>
      <c r="J781" s="14">
        <v>0.0</v>
      </c>
      <c r="K781" s="14">
        <v>1.0</v>
      </c>
    </row>
    <row r="782" ht="15.75" customHeight="1">
      <c r="A782" s="9" t="s">
        <v>2916</v>
      </c>
      <c r="B782" s="10" t="s">
        <v>2917</v>
      </c>
      <c r="C782" s="11" t="s">
        <v>1376</v>
      </c>
      <c r="D782" s="12" t="s">
        <v>116</v>
      </c>
      <c r="E782" s="13" t="s">
        <v>1201</v>
      </c>
      <c r="F782" s="14" t="s">
        <v>117</v>
      </c>
      <c r="G782" s="14" t="b">
        <v>0</v>
      </c>
      <c r="H782" s="14" t="s">
        <v>2918</v>
      </c>
      <c r="I782" s="14">
        <v>1.0</v>
      </c>
      <c r="J782" s="14">
        <v>0.0</v>
      </c>
      <c r="K782" s="14">
        <v>1.0</v>
      </c>
    </row>
    <row r="783" ht="15.75" customHeight="1">
      <c r="A783" s="9" t="s">
        <v>2919</v>
      </c>
      <c r="B783" s="10" t="s">
        <v>2920</v>
      </c>
      <c r="C783" s="11" t="s">
        <v>1376</v>
      </c>
      <c r="D783" s="12" t="s">
        <v>30</v>
      </c>
      <c r="E783" s="13" t="s">
        <v>1201</v>
      </c>
      <c r="F783" s="14" t="s">
        <v>34</v>
      </c>
      <c r="G783" s="14" t="b">
        <v>0</v>
      </c>
      <c r="H783" s="14" t="s">
        <v>2918</v>
      </c>
      <c r="I783" s="14">
        <v>1.0</v>
      </c>
      <c r="J783" s="14">
        <v>0.0</v>
      </c>
      <c r="K783" s="14">
        <v>1.0</v>
      </c>
    </row>
    <row r="784" ht="15.75" customHeight="1">
      <c r="A784" s="9" t="s">
        <v>2921</v>
      </c>
      <c r="B784" s="10" t="s">
        <v>2922</v>
      </c>
      <c r="C784" s="11" t="s">
        <v>692</v>
      </c>
      <c r="D784" s="12" t="s">
        <v>158</v>
      </c>
      <c r="E784" s="13" t="s">
        <v>32</v>
      </c>
      <c r="F784" s="14" t="s">
        <v>160</v>
      </c>
      <c r="G784" s="14" t="b">
        <v>0</v>
      </c>
      <c r="I784" s="14">
        <v>1.0</v>
      </c>
      <c r="J784" s="14">
        <v>0.0</v>
      </c>
      <c r="K784" s="14">
        <v>5.0</v>
      </c>
    </row>
    <row r="785" ht="15.75" customHeight="1">
      <c r="A785" s="9" t="s">
        <v>2923</v>
      </c>
      <c r="B785" s="10" t="s">
        <v>2924</v>
      </c>
      <c r="C785" s="11" t="s">
        <v>692</v>
      </c>
      <c r="D785" s="12" t="s">
        <v>158</v>
      </c>
      <c r="E785" s="13" t="s">
        <v>32</v>
      </c>
      <c r="F785" s="14" t="s">
        <v>160</v>
      </c>
      <c r="G785" s="14" t="b">
        <v>0</v>
      </c>
      <c r="I785" s="14">
        <v>1.0</v>
      </c>
      <c r="J785" s="14">
        <v>0.0</v>
      </c>
      <c r="K785" s="14">
        <v>1.0</v>
      </c>
    </row>
    <row r="786" ht="15.75" customHeight="1">
      <c r="A786" s="9" t="s">
        <v>2925</v>
      </c>
      <c r="B786" s="10" t="s">
        <v>2926</v>
      </c>
      <c r="C786" s="11" t="s">
        <v>432</v>
      </c>
      <c r="D786" s="12" t="s">
        <v>19</v>
      </c>
      <c r="E786" s="13" t="s">
        <v>102</v>
      </c>
      <c r="F786" s="14" t="s">
        <v>21</v>
      </c>
      <c r="G786" s="14" t="b">
        <v>0</v>
      </c>
      <c r="H786" s="14" t="s">
        <v>2927</v>
      </c>
      <c r="I786" s="14">
        <v>1.0</v>
      </c>
      <c r="J786" s="14">
        <v>0.0</v>
      </c>
      <c r="K786" s="14">
        <v>0.0</v>
      </c>
    </row>
    <row r="787" ht="15.75" customHeight="1">
      <c r="A787" s="9" t="s">
        <v>2928</v>
      </c>
      <c r="B787" s="10" t="s">
        <v>2929</v>
      </c>
      <c r="C787" s="11" t="s">
        <v>432</v>
      </c>
      <c r="D787" s="12" t="s">
        <v>312</v>
      </c>
      <c r="E787" s="13" t="s">
        <v>102</v>
      </c>
      <c r="F787" s="14" t="s">
        <v>313</v>
      </c>
      <c r="G787" s="14" t="b">
        <v>0</v>
      </c>
      <c r="H787" s="14" t="s">
        <v>2930</v>
      </c>
      <c r="I787" s="14">
        <v>1.0</v>
      </c>
      <c r="J787" s="14">
        <v>0.0</v>
      </c>
      <c r="K787" s="14">
        <v>1.0</v>
      </c>
    </row>
    <row r="788" ht="15.75" customHeight="1">
      <c r="A788" s="9" t="s">
        <v>2931</v>
      </c>
      <c r="B788" s="10" t="s">
        <v>2932</v>
      </c>
      <c r="C788" s="11" t="s">
        <v>432</v>
      </c>
      <c r="D788" s="12" t="s">
        <v>116</v>
      </c>
      <c r="E788" s="13" t="s">
        <v>102</v>
      </c>
      <c r="F788" s="14" t="s">
        <v>117</v>
      </c>
      <c r="G788" s="14" t="b">
        <v>0</v>
      </c>
      <c r="I788" s="14">
        <v>1.0</v>
      </c>
      <c r="J788" s="14">
        <v>0.0</v>
      </c>
      <c r="K788" s="14">
        <v>1.0</v>
      </c>
    </row>
    <row r="789" ht="15.75" customHeight="1">
      <c r="A789" s="9" t="s">
        <v>2933</v>
      </c>
      <c r="B789" s="10" t="s">
        <v>2934</v>
      </c>
      <c r="C789" s="11" t="s">
        <v>1426</v>
      </c>
      <c r="D789" s="12" t="s">
        <v>158</v>
      </c>
      <c r="E789" s="13" t="s">
        <v>102</v>
      </c>
      <c r="F789" s="14" t="s">
        <v>160</v>
      </c>
      <c r="G789" s="14" t="b">
        <v>0</v>
      </c>
      <c r="H789" s="14" t="s">
        <v>1415</v>
      </c>
      <c r="I789" s="14">
        <v>1.0</v>
      </c>
      <c r="J789" s="14">
        <v>0.0</v>
      </c>
      <c r="K789" s="14">
        <v>1.0</v>
      </c>
    </row>
    <row r="790" ht="15.75" customHeight="1">
      <c r="A790" s="9" t="s">
        <v>2935</v>
      </c>
      <c r="B790" s="10" t="s">
        <v>2936</v>
      </c>
      <c r="C790" s="11" t="s">
        <v>639</v>
      </c>
      <c r="D790" s="12" t="s">
        <v>277</v>
      </c>
      <c r="E790" s="13" t="s">
        <v>32</v>
      </c>
      <c r="F790" s="14" t="s">
        <v>278</v>
      </c>
      <c r="G790" s="14" t="b">
        <v>0</v>
      </c>
      <c r="I790" s="14">
        <v>1.0</v>
      </c>
      <c r="J790" s="14">
        <v>0.0</v>
      </c>
      <c r="K790" s="14">
        <v>2.0</v>
      </c>
    </row>
    <row r="791" ht="15.75" customHeight="1">
      <c r="A791" s="9" t="s">
        <v>2937</v>
      </c>
      <c r="B791" s="10" t="s">
        <v>2938</v>
      </c>
      <c r="C791" s="11" t="s">
        <v>1428</v>
      </c>
      <c r="D791" s="12" t="s">
        <v>312</v>
      </c>
      <c r="E791" s="13" t="s">
        <v>1201</v>
      </c>
      <c r="F791" s="14" t="s">
        <v>313</v>
      </c>
      <c r="G791" s="14" t="b">
        <v>0</v>
      </c>
      <c r="H791" s="14" t="s">
        <v>2939</v>
      </c>
      <c r="I791" s="14">
        <v>1.0</v>
      </c>
      <c r="J791" s="14">
        <v>0.0</v>
      </c>
      <c r="K791" s="14">
        <v>3.0</v>
      </c>
    </row>
    <row r="792" ht="15.75" customHeight="1">
      <c r="A792" s="9" t="s">
        <v>2940</v>
      </c>
      <c r="B792" s="10" t="s">
        <v>2941</v>
      </c>
      <c r="C792" s="11" t="s">
        <v>25</v>
      </c>
      <c r="D792" s="12" t="s">
        <v>30</v>
      </c>
      <c r="E792" s="13" t="s">
        <v>32</v>
      </c>
      <c r="F792" s="14" t="s">
        <v>34</v>
      </c>
      <c r="G792" s="14" t="b">
        <v>0</v>
      </c>
      <c r="H792" s="14" t="s">
        <v>2942</v>
      </c>
      <c r="I792" s="14">
        <v>1.0</v>
      </c>
      <c r="J792" s="14">
        <v>0.0</v>
      </c>
      <c r="K792" s="14">
        <v>1.0</v>
      </c>
    </row>
    <row r="793" ht="15.75" customHeight="1">
      <c r="A793" s="9" t="s">
        <v>2943</v>
      </c>
      <c r="B793" s="10" t="s">
        <v>2944</v>
      </c>
      <c r="C793" s="11" t="s">
        <v>25</v>
      </c>
      <c r="D793" s="12" t="s">
        <v>30</v>
      </c>
      <c r="E793" s="13" t="s">
        <v>32</v>
      </c>
      <c r="F793" s="14" t="s">
        <v>34</v>
      </c>
      <c r="G793" s="14" t="b">
        <v>0</v>
      </c>
      <c r="H793" s="14" t="s">
        <v>650</v>
      </c>
      <c r="I793" s="14">
        <v>1.0</v>
      </c>
      <c r="J793" s="14">
        <v>0.0</v>
      </c>
      <c r="K793" s="14">
        <v>0.0</v>
      </c>
    </row>
    <row r="794" ht="15.75" customHeight="1">
      <c r="A794" s="9" t="s">
        <v>2945</v>
      </c>
      <c r="B794" s="10" t="s">
        <v>2946</v>
      </c>
      <c r="C794" s="11" t="s">
        <v>25</v>
      </c>
      <c r="D794" s="12" t="s">
        <v>30</v>
      </c>
      <c r="E794" s="13" t="s">
        <v>32</v>
      </c>
      <c r="F794" s="14" t="s">
        <v>34</v>
      </c>
      <c r="G794" s="14" t="b">
        <v>0</v>
      </c>
      <c r="H794" s="14" t="s">
        <v>2947</v>
      </c>
      <c r="I794" s="14">
        <v>1.0</v>
      </c>
      <c r="J794" s="14">
        <v>0.0</v>
      </c>
      <c r="K794" s="14">
        <v>0.0</v>
      </c>
    </row>
    <row r="795" ht="15.75" customHeight="1">
      <c r="A795" s="9" t="s">
        <v>2948</v>
      </c>
      <c r="B795" s="10" t="s">
        <v>2949</v>
      </c>
      <c r="C795" s="11" t="s">
        <v>25</v>
      </c>
      <c r="D795" s="12" t="s">
        <v>116</v>
      </c>
      <c r="E795" s="13" t="s">
        <v>32</v>
      </c>
      <c r="F795" s="14" t="s">
        <v>117</v>
      </c>
      <c r="G795" s="14" t="b">
        <v>0</v>
      </c>
      <c r="H795" s="14" t="s">
        <v>2278</v>
      </c>
      <c r="I795" s="14">
        <v>1.0</v>
      </c>
      <c r="J795" s="14">
        <v>0.0</v>
      </c>
      <c r="K795" s="14">
        <v>0.0</v>
      </c>
    </row>
    <row r="796" ht="15.75" customHeight="1">
      <c r="A796" s="9" t="s">
        <v>2950</v>
      </c>
      <c r="B796" s="10" t="s">
        <v>2951</v>
      </c>
      <c r="C796" s="11" t="s">
        <v>25</v>
      </c>
      <c r="D796" s="12" t="s">
        <v>30</v>
      </c>
      <c r="E796" s="13" t="s">
        <v>32</v>
      </c>
      <c r="F796" s="14" t="s">
        <v>34</v>
      </c>
      <c r="G796" s="14" t="b">
        <v>0</v>
      </c>
      <c r="H796" s="14" t="s">
        <v>2952</v>
      </c>
      <c r="I796" s="14">
        <v>1.0</v>
      </c>
      <c r="J796" s="14">
        <v>0.0</v>
      </c>
      <c r="K796" s="14">
        <v>0.0</v>
      </c>
    </row>
    <row r="797" ht="15.75" customHeight="1">
      <c r="A797" s="9" t="s">
        <v>2953</v>
      </c>
      <c r="B797" s="10" t="s">
        <v>2954</v>
      </c>
      <c r="C797" s="11" t="s">
        <v>25</v>
      </c>
      <c r="D797" s="12" t="s">
        <v>30</v>
      </c>
      <c r="E797" s="13" t="s">
        <v>32</v>
      </c>
      <c r="F797" s="14" t="s">
        <v>34</v>
      </c>
      <c r="G797" s="14" t="b">
        <v>0</v>
      </c>
      <c r="H797" s="14" t="s">
        <v>2955</v>
      </c>
      <c r="I797" s="14">
        <v>1.0</v>
      </c>
      <c r="J797" s="14">
        <v>0.0</v>
      </c>
      <c r="K797" s="14">
        <v>0.0</v>
      </c>
    </row>
    <row r="798" ht="15.75" customHeight="1">
      <c r="A798" s="9" t="s">
        <v>2956</v>
      </c>
      <c r="B798" s="10" t="s">
        <v>2957</v>
      </c>
      <c r="C798" s="11" t="s">
        <v>25</v>
      </c>
      <c r="D798" s="12" t="s">
        <v>116</v>
      </c>
      <c r="E798" s="13" t="s">
        <v>32</v>
      </c>
      <c r="F798" s="14" t="s">
        <v>117</v>
      </c>
      <c r="G798" s="14" t="b">
        <v>0</v>
      </c>
      <c r="H798" s="14" t="s">
        <v>2958</v>
      </c>
      <c r="I798" s="14">
        <v>1.0</v>
      </c>
      <c r="J798" s="14">
        <v>0.0</v>
      </c>
      <c r="K798" s="14">
        <v>0.0</v>
      </c>
    </row>
    <row r="799" ht="15.75" customHeight="1">
      <c r="A799" s="9" t="s">
        <v>2959</v>
      </c>
      <c r="B799" s="10" t="s">
        <v>2960</v>
      </c>
      <c r="C799" s="11" t="s">
        <v>25</v>
      </c>
      <c r="D799" s="12" t="s">
        <v>30</v>
      </c>
      <c r="E799" s="13" t="s">
        <v>32</v>
      </c>
      <c r="F799" s="14" t="s">
        <v>34</v>
      </c>
      <c r="G799" s="14" t="b">
        <v>0</v>
      </c>
      <c r="H799" s="14" t="s">
        <v>2961</v>
      </c>
      <c r="I799" s="14">
        <v>1.0</v>
      </c>
      <c r="J799" s="14">
        <v>0.0</v>
      </c>
      <c r="K799" s="14">
        <v>0.0</v>
      </c>
    </row>
    <row r="800" ht="15.75" customHeight="1">
      <c r="A800" s="9" t="s">
        <v>2962</v>
      </c>
      <c r="B800" s="10" t="s">
        <v>2963</v>
      </c>
      <c r="C800" s="11" t="s">
        <v>25</v>
      </c>
      <c r="D800" s="12" t="s">
        <v>30</v>
      </c>
      <c r="E800" s="13" t="s">
        <v>32</v>
      </c>
      <c r="F800" s="14" t="s">
        <v>34</v>
      </c>
      <c r="G800" s="14" t="b">
        <v>0</v>
      </c>
      <c r="H800" s="14" t="s">
        <v>2964</v>
      </c>
      <c r="I800" s="14">
        <v>1.0</v>
      </c>
      <c r="J800" s="14">
        <v>0.0</v>
      </c>
      <c r="K800" s="14">
        <v>1.0</v>
      </c>
    </row>
    <row r="801" ht="15.75" customHeight="1">
      <c r="A801" s="9" t="s">
        <v>2965</v>
      </c>
      <c r="B801" s="10" t="s">
        <v>2966</v>
      </c>
      <c r="C801" s="11" t="s">
        <v>25</v>
      </c>
      <c r="D801" s="12" t="s">
        <v>30</v>
      </c>
      <c r="E801" s="13" t="s">
        <v>32</v>
      </c>
      <c r="F801" s="14" t="s">
        <v>34</v>
      </c>
      <c r="G801" s="14" t="b">
        <v>0</v>
      </c>
      <c r="H801" s="14" t="s">
        <v>2967</v>
      </c>
      <c r="I801" s="14">
        <v>1.0</v>
      </c>
      <c r="J801" s="14">
        <v>0.0</v>
      </c>
      <c r="K801" s="14">
        <v>0.0</v>
      </c>
    </row>
    <row r="802" ht="15.75" customHeight="1">
      <c r="A802" s="9" t="s">
        <v>2968</v>
      </c>
      <c r="B802" s="10" t="s">
        <v>2969</v>
      </c>
      <c r="C802" s="11" t="s">
        <v>25</v>
      </c>
      <c r="D802" s="12" t="s">
        <v>30</v>
      </c>
      <c r="E802" s="13" t="s">
        <v>32</v>
      </c>
      <c r="F802" s="14" t="s">
        <v>34</v>
      </c>
      <c r="G802" s="14" t="b">
        <v>0</v>
      </c>
      <c r="H802" s="14" t="s">
        <v>2970</v>
      </c>
      <c r="I802" s="14">
        <v>1.0</v>
      </c>
      <c r="J802" s="14">
        <v>0.0</v>
      </c>
      <c r="K802" s="14">
        <v>0.0</v>
      </c>
    </row>
    <row r="803" ht="15.75" customHeight="1">
      <c r="A803" s="9" t="s">
        <v>2971</v>
      </c>
      <c r="B803" s="10" t="s">
        <v>2972</v>
      </c>
      <c r="C803" s="11" t="s">
        <v>25</v>
      </c>
      <c r="D803" s="12" t="s">
        <v>30</v>
      </c>
      <c r="E803" s="13" t="s">
        <v>32</v>
      </c>
      <c r="F803" s="14" t="s">
        <v>34</v>
      </c>
      <c r="G803" s="14" t="b">
        <v>0</v>
      </c>
      <c r="H803" s="14" t="s">
        <v>960</v>
      </c>
      <c r="I803" s="14">
        <v>1.0</v>
      </c>
      <c r="J803" s="14">
        <v>0.0</v>
      </c>
      <c r="K803" s="14">
        <v>1.0</v>
      </c>
    </row>
    <row r="804" ht="15.75" customHeight="1">
      <c r="A804" s="9" t="s">
        <v>2973</v>
      </c>
      <c r="B804" s="10" t="s">
        <v>2974</v>
      </c>
      <c r="C804" s="11" t="s">
        <v>25</v>
      </c>
      <c r="D804" s="12" t="s">
        <v>30</v>
      </c>
      <c r="E804" s="13" t="s">
        <v>32</v>
      </c>
      <c r="F804" s="14" t="s">
        <v>34</v>
      </c>
      <c r="G804" s="14" t="b">
        <v>0</v>
      </c>
      <c r="H804" s="14" t="s">
        <v>2975</v>
      </c>
      <c r="I804" s="14">
        <v>1.0</v>
      </c>
      <c r="J804" s="14">
        <v>0.0</v>
      </c>
      <c r="K804" s="14">
        <v>0.0</v>
      </c>
    </row>
    <row r="805" ht="15.75" customHeight="1">
      <c r="A805" s="9" t="s">
        <v>2976</v>
      </c>
      <c r="B805" s="10" t="s">
        <v>2977</v>
      </c>
      <c r="C805" s="11" t="s">
        <v>25</v>
      </c>
      <c r="D805" s="12" t="s">
        <v>30</v>
      </c>
      <c r="E805" s="13" t="s">
        <v>32</v>
      </c>
      <c r="F805" s="14" t="s">
        <v>34</v>
      </c>
      <c r="G805" s="14" t="b">
        <v>0</v>
      </c>
      <c r="H805" s="14" t="s">
        <v>2978</v>
      </c>
      <c r="I805" s="14">
        <v>1.0</v>
      </c>
      <c r="J805" s="14">
        <v>0.0</v>
      </c>
      <c r="K805" s="14">
        <v>0.0</v>
      </c>
    </row>
    <row r="806" ht="15.75" customHeight="1">
      <c r="A806" s="9" t="s">
        <v>2979</v>
      </c>
      <c r="B806" s="10" t="s">
        <v>2980</v>
      </c>
      <c r="C806" s="11" t="s">
        <v>25</v>
      </c>
      <c r="D806" s="12" t="s">
        <v>116</v>
      </c>
      <c r="E806" s="13" t="s">
        <v>32</v>
      </c>
      <c r="F806" s="14" t="s">
        <v>117</v>
      </c>
      <c r="G806" s="14" t="b">
        <v>0</v>
      </c>
      <c r="H806" s="14" t="s">
        <v>2981</v>
      </c>
      <c r="I806" s="14">
        <v>1.0</v>
      </c>
      <c r="J806" s="14">
        <v>0.0</v>
      </c>
      <c r="K806" s="14">
        <v>0.0</v>
      </c>
    </row>
    <row r="807" ht="15.75" customHeight="1">
      <c r="A807" s="9" t="s">
        <v>2982</v>
      </c>
      <c r="B807" s="10" t="s">
        <v>2983</v>
      </c>
      <c r="C807" s="11" t="s">
        <v>25</v>
      </c>
      <c r="D807" s="12" t="s">
        <v>30</v>
      </c>
      <c r="E807" s="13" t="s">
        <v>32</v>
      </c>
      <c r="F807" s="14" t="s">
        <v>34</v>
      </c>
      <c r="G807" s="14" t="b">
        <v>0</v>
      </c>
      <c r="H807" s="14" t="s">
        <v>2984</v>
      </c>
      <c r="I807" s="14">
        <v>1.0</v>
      </c>
      <c r="J807" s="14">
        <v>0.0</v>
      </c>
      <c r="K807" s="14">
        <v>0.0</v>
      </c>
    </row>
    <row r="808" ht="15.75" customHeight="1">
      <c r="A808" s="9" t="s">
        <v>2985</v>
      </c>
      <c r="B808" s="10" t="s">
        <v>2986</v>
      </c>
      <c r="C808" s="11" t="s">
        <v>25</v>
      </c>
      <c r="D808" s="12" t="s">
        <v>30</v>
      </c>
      <c r="E808" s="13" t="s">
        <v>32</v>
      </c>
      <c r="F808" s="14" t="s">
        <v>34</v>
      </c>
      <c r="G808" s="14" t="b">
        <v>0</v>
      </c>
      <c r="H808" s="14" t="s">
        <v>2987</v>
      </c>
      <c r="I808" s="14">
        <v>1.0</v>
      </c>
      <c r="J808" s="14">
        <v>0.0</v>
      </c>
      <c r="K808" s="14">
        <v>0.0</v>
      </c>
    </row>
    <row r="809" ht="15.75" customHeight="1">
      <c r="A809" s="9" t="s">
        <v>2988</v>
      </c>
      <c r="B809" s="10" t="s">
        <v>817</v>
      </c>
      <c r="C809" s="11" t="s">
        <v>453</v>
      </c>
      <c r="D809" s="12" t="s">
        <v>30</v>
      </c>
      <c r="E809" s="13" t="s">
        <v>32</v>
      </c>
      <c r="F809" s="14" t="s">
        <v>34</v>
      </c>
      <c r="G809" s="14" t="b">
        <v>0</v>
      </c>
      <c r="H809" s="14" t="s">
        <v>2989</v>
      </c>
      <c r="I809" s="14">
        <v>1.0</v>
      </c>
      <c r="J809" s="14">
        <v>0.0</v>
      </c>
      <c r="K809" s="14">
        <v>1.0</v>
      </c>
    </row>
    <row r="810" ht="15.75" customHeight="1">
      <c r="A810" s="9" t="s">
        <v>2990</v>
      </c>
      <c r="B810" s="10" t="s">
        <v>2991</v>
      </c>
      <c r="C810" s="11" t="s">
        <v>1431</v>
      </c>
      <c r="D810" s="12" t="s">
        <v>1143</v>
      </c>
      <c r="E810" s="13" t="s">
        <v>32</v>
      </c>
      <c r="F810" s="14" t="s">
        <v>1145</v>
      </c>
      <c r="G810" s="14" t="b">
        <v>0</v>
      </c>
      <c r="I810" s="14">
        <v>1.0</v>
      </c>
      <c r="J810" s="14">
        <v>0.0</v>
      </c>
      <c r="K810" s="14">
        <v>0.0</v>
      </c>
    </row>
    <row r="811" ht="15.75" customHeight="1">
      <c r="A811" s="9" t="s">
        <v>2992</v>
      </c>
      <c r="B811" s="10" t="s">
        <v>2993</v>
      </c>
      <c r="C811" s="11" t="s">
        <v>1433</v>
      </c>
      <c r="D811" s="12" t="s">
        <v>125</v>
      </c>
      <c r="E811" s="13" t="s">
        <v>32</v>
      </c>
      <c r="F811" s="14" t="s">
        <v>126</v>
      </c>
      <c r="G811" s="14" t="b">
        <v>0</v>
      </c>
      <c r="I811" s="14">
        <v>1.0</v>
      </c>
      <c r="J811" s="14">
        <v>0.0</v>
      </c>
      <c r="K811" s="14">
        <v>0.0</v>
      </c>
    </row>
    <row r="812" ht="15.75" customHeight="1">
      <c r="A812" s="9" t="s">
        <v>2994</v>
      </c>
      <c r="B812" s="10" t="s">
        <v>2995</v>
      </c>
      <c r="C812" s="11" t="s">
        <v>1434</v>
      </c>
      <c r="D812" s="12" t="s">
        <v>125</v>
      </c>
      <c r="E812" s="13" t="s">
        <v>32</v>
      </c>
      <c r="F812" s="14" t="s">
        <v>126</v>
      </c>
      <c r="G812" s="14" t="b">
        <v>0</v>
      </c>
      <c r="H812" s="14" t="s">
        <v>196</v>
      </c>
      <c r="I812" s="14">
        <v>1.0</v>
      </c>
      <c r="J812" s="14">
        <v>0.0</v>
      </c>
      <c r="K812" s="14">
        <v>1.0</v>
      </c>
    </row>
    <row r="813" ht="15.75" customHeight="1">
      <c r="A813" s="9" t="s">
        <v>2996</v>
      </c>
      <c r="B813" s="10" t="s">
        <v>2997</v>
      </c>
      <c r="C813" s="11" t="s">
        <v>1436</v>
      </c>
      <c r="D813" s="12" t="s">
        <v>125</v>
      </c>
      <c r="E813" s="13" t="s">
        <v>32</v>
      </c>
      <c r="F813" s="14" t="s">
        <v>126</v>
      </c>
      <c r="G813" s="14" t="b">
        <v>0</v>
      </c>
      <c r="H813" s="14" t="s">
        <v>523</v>
      </c>
      <c r="I813" s="14">
        <v>1.0</v>
      </c>
      <c r="J813" s="14">
        <v>0.0</v>
      </c>
      <c r="K813" s="14">
        <v>0.0</v>
      </c>
    </row>
    <row r="814" ht="15.75" customHeight="1">
      <c r="A814" s="9" t="s">
        <v>2998</v>
      </c>
      <c r="B814" s="10" t="s">
        <v>2999</v>
      </c>
      <c r="C814" s="11" t="s">
        <v>1438</v>
      </c>
      <c r="D814" s="12" t="s">
        <v>125</v>
      </c>
      <c r="E814" s="13" t="s">
        <v>32</v>
      </c>
      <c r="F814" s="14" t="s">
        <v>126</v>
      </c>
      <c r="G814" s="14" t="b">
        <v>0</v>
      </c>
      <c r="H814" s="14" t="s">
        <v>538</v>
      </c>
      <c r="I814" s="14">
        <v>1.0</v>
      </c>
      <c r="J814" s="14">
        <v>0.0</v>
      </c>
      <c r="K814" s="14">
        <v>1.0</v>
      </c>
    </row>
    <row r="815" ht="15.75" customHeight="1">
      <c r="A815" s="9" t="s">
        <v>3000</v>
      </c>
      <c r="B815" s="10" t="s">
        <v>3001</v>
      </c>
      <c r="C815" s="10" t="s">
        <v>1441</v>
      </c>
      <c r="D815" s="12" t="s">
        <v>158</v>
      </c>
      <c r="E815" s="13" t="s">
        <v>32</v>
      </c>
      <c r="F815" s="14" t="s">
        <v>160</v>
      </c>
      <c r="G815" s="14" t="b">
        <v>0</v>
      </c>
      <c r="H815" s="14" t="s">
        <v>1442</v>
      </c>
      <c r="I815" s="14">
        <v>1.0</v>
      </c>
      <c r="J815" s="14">
        <v>0.0</v>
      </c>
      <c r="K815" s="14">
        <v>0.0</v>
      </c>
    </row>
    <row r="816" ht="15.75" customHeight="1">
      <c r="A816" s="9" t="s">
        <v>3002</v>
      </c>
      <c r="B816" s="10" t="s">
        <v>3003</v>
      </c>
      <c r="C816" s="11" t="s">
        <v>806</v>
      </c>
      <c r="D816" s="12" t="s">
        <v>1143</v>
      </c>
      <c r="E816" s="13" t="s">
        <v>32</v>
      </c>
      <c r="F816" s="14" t="s">
        <v>1145</v>
      </c>
      <c r="G816" s="14" t="b">
        <v>0</v>
      </c>
      <c r="H816" s="14" t="s">
        <v>808</v>
      </c>
      <c r="I816" s="14">
        <v>1.0</v>
      </c>
      <c r="J816" s="14">
        <v>0.0</v>
      </c>
      <c r="K816" s="14">
        <v>1.0</v>
      </c>
    </row>
    <row r="817" ht="15.75" customHeight="1">
      <c r="A817" s="9" t="s">
        <v>3004</v>
      </c>
      <c r="B817" s="10" t="s">
        <v>3005</v>
      </c>
      <c r="C817" s="11" t="s">
        <v>806</v>
      </c>
      <c r="D817" s="12" t="s">
        <v>277</v>
      </c>
      <c r="E817" s="13" t="s">
        <v>32</v>
      </c>
      <c r="F817" s="14" t="s">
        <v>278</v>
      </c>
      <c r="G817" s="14" t="b">
        <v>0</v>
      </c>
      <c r="I817" s="14">
        <v>1.0</v>
      </c>
      <c r="J817" s="14">
        <v>0.0</v>
      </c>
      <c r="K817" s="14">
        <v>1.0</v>
      </c>
    </row>
    <row r="818" ht="15.75" customHeight="1">
      <c r="A818" s="9" t="s">
        <v>3006</v>
      </c>
      <c r="B818" s="10" t="s">
        <v>3007</v>
      </c>
      <c r="C818" s="11" t="s">
        <v>1444</v>
      </c>
      <c r="D818" s="12" t="s">
        <v>125</v>
      </c>
      <c r="E818" s="13" t="s">
        <v>32</v>
      </c>
      <c r="F818" s="14" t="s">
        <v>126</v>
      </c>
      <c r="G818" s="14" t="b">
        <v>0</v>
      </c>
      <c r="I818" s="14">
        <v>1.0</v>
      </c>
      <c r="J818" s="14">
        <v>0.0</v>
      </c>
      <c r="K818" s="14">
        <v>1.0</v>
      </c>
    </row>
    <row r="819" ht="15.75" customHeight="1">
      <c r="A819" s="9" t="s">
        <v>3008</v>
      </c>
      <c r="B819" s="10" t="s">
        <v>3009</v>
      </c>
      <c r="C819" s="11" t="s">
        <v>449</v>
      </c>
      <c r="D819" s="12" t="s">
        <v>125</v>
      </c>
      <c r="E819" s="13" t="s">
        <v>20</v>
      </c>
      <c r="F819" s="14" t="s">
        <v>126</v>
      </c>
      <c r="G819" s="14" t="b">
        <v>0</v>
      </c>
      <c r="H819" s="14" t="s">
        <v>966</v>
      </c>
      <c r="I819" s="14">
        <v>1.0</v>
      </c>
      <c r="J819" s="14">
        <v>0.0</v>
      </c>
      <c r="K819" s="14">
        <v>1.0</v>
      </c>
    </row>
    <row r="820" ht="15.75" customHeight="1">
      <c r="A820" s="9" t="s">
        <v>3010</v>
      </c>
      <c r="B820" s="10" t="s">
        <v>3011</v>
      </c>
      <c r="C820" s="11" t="s">
        <v>449</v>
      </c>
      <c r="D820" s="12" t="s">
        <v>277</v>
      </c>
      <c r="E820" s="13" t="s">
        <v>20</v>
      </c>
      <c r="F820" s="14" t="s">
        <v>278</v>
      </c>
      <c r="G820" s="14" t="b">
        <v>0</v>
      </c>
      <c r="H820" s="14" t="s">
        <v>3012</v>
      </c>
      <c r="I820" s="14">
        <v>1.0</v>
      </c>
      <c r="J820" s="14">
        <v>0.0</v>
      </c>
      <c r="K820" s="14">
        <v>2.0</v>
      </c>
    </row>
    <row r="821" ht="15.75" customHeight="1">
      <c r="A821" s="9" t="s">
        <v>3013</v>
      </c>
      <c r="B821" s="10" t="s">
        <v>3014</v>
      </c>
      <c r="C821" s="11" t="s">
        <v>449</v>
      </c>
      <c r="D821" s="12" t="s">
        <v>277</v>
      </c>
      <c r="E821" s="13" t="s">
        <v>20</v>
      </c>
      <c r="F821" s="14" t="s">
        <v>278</v>
      </c>
      <c r="G821" s="14" t="b">
        <v>0</v>
      </c>
      <c r="H821" s="14" t="s">
        <v>966</v>
      </c>
      <c r="I821" s="14">
        <v>1.0</v>
      </c>
      <c r="J821" s="14">
        <v>0.0</v>
      </c>
      <c r="K821" s="14">
        <v>3.0</v>
      </c>
    </row>
    <row r="822" ht="15.75" customHeight="1">
      <c r="A822" s="9" t="s">
        <v>3015</v>
      </c>
      <c r="B822" s="10" t="s">
        <v>3016</v>
      </c>
      <c r="C822" s="11" t="s">
        <v>1378</v>
      </c>
      <c r="D822" s="12" t="s">
        <v>125</v>
      </c>
      <c r="E822" s="13" t="s">
        <v>32</v>
      </c>
      <c r="F822" s="14" t="s">
        <v>126</v>
      </c>
      <c r="G822" s="14" t="b">
        <v>0</v>
      </c>
      <c r="I822" s="14">
        <v>1.0</v>
      </c>
      <c r="J822" s="14">
        <v>0.0</v>
      </c>
      <c r="K822" s="14">
        <v>2.0</v>
      </c>
    </row>
    <row r="823" ht="15.75" customHeight="1">
      <c r="A823" s="9" t="s">
        <v>3017</v>
      </c>
      <c r="B823" s="10" t="s">
        <v>3018</v>
      </c>
      <c r="C823" s="11" t="s">
        <v>1378</v>
      </c>
      <c r="D823" s="12" t="s">
        <v>277</v>
      </c>
      <c r="E823" s="13" t="s">
        <v>32</v>
      </c>
      <c r="F823" s="14" t="s">
        <v>278</v>
      </c>
      <c r="G823" s="14" t="b">
        <v>0</v>
      </c>
      <c r="I823" s="14">
        <v>1.0</v>
      </c>
      <c r="J823" s="14">
        <v>0.0</v>
      </c>
      <c r="K823" s="14">
        <v>0.0</v>
      </c>
    </row>
    <row r="824" ht="15.75" customHeight="1">
      <c r="A824" s="9" t="s">
        <v>3019</v>
      </c>
      <c r="B824" s="10" t="s">
        <v>3020</v>
      </c>
      <c r="C824" s="11" t="s">
        <v>1446</v>
      </c>
      <c r="D824" s="12" t="s">
        <v>19</v>
      </c>
      <c r="E824" s="13" t="s">
        <v>32</v>
      </c>
      <c r="F824" s="14" t="s">
        <v>21</v>
      </c>
      <c r="G824" s="14" t="b">
        <v>0</v>
      </c>
      <c r="H824" s="14" t="s">
        <v>3021</v>
      </c>
      <c r="I824" s="14">
        <v>1.0</v>
      </c>
      <c r="J824" s="14">
        <v>0.0</v>
      </c>
      <c r="K824" s="14">
        <v>1.0</v>
      </c>
    </row>
    <row r="825" ht="15.75" customHeight="1">
      <c r="A825" s="9" t="s">
        <v>3022</v>
      </c>
      <c r="B825" s="10" t="s">
        <v>3023</v>
      </c>
      <c r="C825" s="11" t="s">
        <v>438</v>
      </c>
      <c r="D825" s="12" t="s">
        <v>158</v>
      </c>
      <c r="E825" s="13" t="s">
        <v>20</v>
      </c>
      <c r="F825" s="14" t="s">
        <v>160</v>
      </c>
      <c r="G825" s="14" t="b">
        <v>0</v>
      </c>
      <c r="H825" s="14" t="s">
        <v>442</v>
      </c>
      <c r="I825" s="14">
        <v>1.0</v>
      </c>
      <c r="J825" s="14">
        <v>0.0</v>
      </c>
      <c r="K825" s="14">
        <v>1.0</v>
      </c>
    </row>
    <row r="826" ht="15.75" customHeight="1">
      <c r="A826" s="9" t="s">
        <v>3024</v>
      </c>
      <c r="B826" s="10" t="s">
        <v>3025</v>
      </c>
      <c r="C826" s="11" t="s">
        <v>1449</v>
      </c>
      <c r="D826" s="12" t="s">
        <v>312</v>
      </c>
      <c r="E826" s="13" t="s">
        <v>32</v>
      </c>
      <c r="F826" s="14" t="s">
        <v>313</v>
      </c>
      <c r="G826" s="14" t="b">
        <v>0</v>
      </c>
      <c r="I826" s="14">
        <v>1.0</v>
      </c>
      <c r="J826" s="14">
        <v>0.0</v>
      </c>
      <c r="K826" s="14">
        <v>2.0</v>
      </c>
    </row>
    <row r="827" ht="15.75" customHeight="1">
      <c r="A827" s="9" t="s">
        <v>3026</v>
      </c>
      <c r="B827" s="10" t="s">
        <v>3027</v>
      </c>
      <c r="C827" s="11" t="s">
        <v>1450</v>
      </c>
      <c r="D827" s="12" t="s">
        <v>277</v>
      </c>
      <c r="E827" s="13" t="s">
        <v>32</v>
      </c>
      <c r="F827" s="14" t="s">
        <v>278</v>
      </c>
      <c r="G827" s="14" t="b">
        <v>0</v>
      </c>
      <c r="H827" s="14" t="s">
        <v>361</v>
      </c>
      <c r="I827" s="14">
        <v>1.0</v>
      </c>
      <c r="J827" s="14">
        <v>0.0</v>
      </c>
      <c r="K827" s="14">
        <v>1.0</v>
      </c>
    </row>
    <row r="828" ht="15.75" customHeight="1">
      <c r="A828" s="9" t="s">
        <v>3028</v>
      </c>
      <c r="B828" s="10" t="s">
        <v>3029</v>
      </c>
      <c r="C828" s="11" t="s">
        <v>555</v>
      </c>
      <c r="D828" s="12" t="s">
        <v>312</v>
      </c>
      <c r="E828" s="13" t="s">
        <v>1201</v>
      </c>
      <c r="F828" s="14" t="s">
        <v>313</v>
      </c>
      <c r="G828" s="14" t="b">
        <v>0</v>
      </c>
      <c r="H828" s="14" t="s">
        <v>3030</v>
      </c>
      <c r="I828" s="14">
        <v>1.0</v>
      </c>
      <c r="J828" s="14">
        <v>0.0</v>
      </c>
      <c r="K828" s="14">
        <v>0.0</v>
      </c>
    </row>
    <row r="829" ht="15.75" customHeight="1">
      <c r="A829" s="9" t="s">
        <v>3031</v>
      </c>
      <c r="B829" s="10" t="s">
        <v>3032</v>
      </c>
      <c r="C829" s="11" t="s">
        <v>1380</v>
      </c>
      <c r="D829" s="12" t="s">
        <v>125</v>
      </c>
      <c r="E829" s="13" t="s">
        <v>20</v>
      </c>
      <c r="F829" s="14" t="s">
        <v>126</v>
      </c>
      <c r="G829" s="14" t="b">
        <v>0</v>
      </c>
      <c r="H829" s="14" t="s">
        <v>1382</v>
      </c>
      <c r="I829" s="14">
        <v>1.0</v>
      </c>
      <c r="J829" s="14">
        <v>0.0</v>
      </c>
      <c r="K829" s="14">
        <v>2.0</v>
      </c>
    </row>
    <row r="830" ht="15.75" customHeight="1">
      <c r="A830" s="9" t="s">
        <v>3033</v>
      </c>
      <c r="B830" s="10" t="s">
        <v>3034</v>
      </c>
      <c r="C830" s="11" t="s">
        <v>1454</v>
      </c>
      <c r="D830" s="12" t="s">
        <v>158</v>
      </c>
      <c r="E830" s="13" t="s">
        <v>102</v>
      </c>
      <c r="F830" s="14" t="s">
        <v>160</v>
      </c>
      <c r="G830" s="14" t="b">
        <v>0</v>
      </c>
      <c r="H830" s="14" t="s">
        <v>1456</v>
      </c>
      <c r="I830" s="14">
        <v>1.0</v>
      </c>
      <c r="J830" s="14">
        <v>0.0</v>
      </c>
      <c r="K830" s="14">
        <v>0.0</v>
      </c>
    </row>
    <row r="831" ht="15.75" customHeight="1">
      <c r="A831" s="9" t="s">
        <v>3035</v>
      </c>
      <c r="B831" s="10" t="s">
        <v>3036</v>
      </c>
      <c r="C831" s="11" t="s">
        <v>1462</v>
      </c>
      <c r="D831" s="12" t="s">
        <v>277</v>
      </c>
      <c r="E831" s="13" t="s">
        <v>32</v>
      </c>
      <c r="F831" s="14" t="s">
        <v>278</v>
      </c>
      <c r="G831" s="14" t="b">
        <v>0</v>
      </c>
      <c r="H831" s="14" t="s">
        <v>523</v>
      </c>
      <c r="I831" s="14">
        <v>1.0</v>
      </c>
      <c r="J831" s="14">
        <v>0.0</v>
      </c>
      <c r="K831" s="14">
        <v>3.0</v>
      </c>
    </row>
    <row r="832" ht="15.75" customHeight="1">
      <c r="A832" s="9" t="s">
        <v>3037</v>
      </c>
      <c r="B832" s="10" t="s">
        <v>3038</v>
      </c>
      <c r="C832" s="11" t="s">
        <v>1457</v>
      </c>
      <c r="D832" s="12" t="s">
        <v>277</v>
      </c>
      <c r="E832" s="13" t="s">
        <v>32</v>
      </c>
      <c r="F832" s="14" t="s">
        <v>278</v>
      </c>
      <c r="G832" s="14" t="b">
        <v>0</v>
      </c>
      <c r="H832" s="14" t="s">
        <v>361</v>
      </c>
      <c r="I832" s="14">
        <v>1.0</v>
      </c>
      <c r="J832" s="14">
        <v>0.0</v>
      </c>
      <c r="K832" s="14">
        <v>2.0</v>
      </c>
    </row>
    <row r="833" ht="15.75" customHeight="1">
      <c r="A833" s="9" t="s">
        <v>3039</v>
      </c>
      <c r="B833" s="10" t="s">
        <v>3040</v>
      </c>
      <c r="C833" s="10" t="s">
        <v>1459</v>
      </c>
      <c r="D833" s="12" t="s">
        <v>19</v>
      </c>
      <c r="E833" s="13" t="s">
        <v>32</v>
      </c>
      <c r="F833" s="14" t="s">
        <v>21</v>
      </c>
      <c r="G833" s="14" t="b">
        <v>0</v>
      </c>
      <c r="H833" s="14" t="s">
        <v>3041</v>
      </c>
      <c r="I833" s="14">
        <v>1.0</v>
      </c>
      <c r="J833" s="14">
        <v>0.0</v>
      </c>
      <c r="K833" s="14">
        <v>0.0</v>
      </c>
    </row>
    <row r="834" ht="15.75" customHeight="1">
      <c r="A834" s="9" t="s">
        <v>3042</v>
      </c>
      <c r="B834" s="10" t="s">
        <v>3043</v>
      </c>
      <c r="C834" s="11" t="s">
        <v>1465</v>
      </c>
      <c r="D834" s="12" t="s">
        <v>277</v>
      </c>
      <c r="E834" s="13" t="s">
        <v>32</v>
      </c>
      <c r="F834" s="14" t="s">
        <v>278</v>
      </c>
      <c r="G834" s="14" t="b">
        <v>0</v>
      </c>
      <c r="I834" s="14">
        <v>1.0</v>
      </c>
      <c r="J834" s="14">
        <v>0.0</v>
      </c>
      <c r="K834" s="14">
        <v>1.0</v>
      </c>
    </row>
    <row r="835" ht="15.75" customHeight="1">
      <c r="A835" s="9" t="s">
        <v>3044</v>
      </c>
      <c r="B835" s="10" t="s">
        <v>3045</v>
      </c>
      <c r="C835" s="11" t="s">
        <v>1467</v>
      </c>
      <c r="D835" s="12" t="s">
        <v>116</v>
      </c>
      <c r="E835" s="13" t="s">
        <v>32</v>
      </c>
      <c r="F835" s="14" t="s">
        <v>117</v>
      </c>
      <c r="G835" s="14" t="b">
        <v>0</v>
      </c>
      <c r="I835" s="14">
        <v>1.0</v>
      </c>
      <c r="J835" s="14">
        <v>0.0</v>
      </c>
      <c r="K835" s="14">
        <v>1.0</v>
      </c>
    </row>
    <row r="836" ht="15.75" customHeight="1">
      <c r="A836" s="9" t="s">
        <v>3046</v>
      </c>
      <c r="B836" s="10" t="s">
        <v>3047</v>
      </c>
      <c r="C836" s="11" t="s">
        <v>864</v>
      </c>
      <c r="D836" s="12" t="s">
        <v>312</v>
      </c>
      <c r="E836" s="13" t="s">
        <v>159</v>
      </c>
      <c r="F836" s="14" t="s">
        <v>313</v>
      </c>
      <c r="G836" s="14" t="b">
        <v>0</v>
      </c>
      <c r="I836" s="14">
        <v>1.0</v>
      </c>
      <c r="J836" s="14">
        <v>0.0</v>
      </c>
      <c r="K836" s="14">
        <v>3.0</v>
      </c>
    </row>
    <row r="837" ht="15.75" customHeight="1">
      <c r="A837" s="9" t="s">
        <v>3048</v>
      </c>
      <c r="B837" s="10" t="s">
        <v>3049</v>
      </c>
      <c r="C837" s="11" t="s">
        <v>864</v>
      </c>
      <c r="D837" s="12" t="s">
        <v>312</v>
      </c>
      <c r="E837" s="13" t="s">
        <v>159</v>
      </c>
      <c r="F837" s="14" t="s">
        <v>313</v>
      </c>
      <c r="G837" s="14" t="b">
        <v>0</v>
      </c>
      <c r="H837" s="14" t="s">
        <v>866</v>
      </c>
      <c r="I837" s="14">
        <v>1.0</v>
      </c>
      <c r="J837" s="14">
        <v>0.0</v>
      </c>
      <c r="K837" s="14">
        <v>2.0</v>
      </c>
    </row>
    <row r="838" ht="15.75" customHeight="1">
      <c r="A838" s="9" t="s">
        <v>3050</v>
      </c>
      <c r="B838" s="10" t="s">
        <v>3051</v>
      </c>
      <c r="C838" s="11" t="s">
        <v>1161</v>
      </c>
      <c r="D838" s="12" t="s">
        <v>125</v>
      </c>
      <c r="E838" s="13" t="s">
        <v>1201</v>
      </c>
      <c r="F838" s="14" t="s">
        <v>126</v>
      </c>
      <c r="G838" s="14" t="b">
        <v>0</v>
      </c>
      <c r="I838" s="14">
        <v>1.0</v>
      </c>
      <c r="J838" s="14">
        <v>0.0</v>
      </c>
      <c r="K838" s="14">
        <v>1.0</v>
      </c>
    </row>
    <row r="839" ht="15.75" customHeight="1">
      <c r="A839" s="9" t="s">
        <v>3052</v>
      </c>
      <c r="B839" s="10" t="s">
        <v>3053</v>
      </c>
      <c r="C839" s="11" t="s">
        <v>1161</v>
      </c>
      <c r="D839" s="12" t="s">
        <v>30</v>
      </c>
      <c r="E839" s="13" t="s">
        <v>1201</v>
      </c>
      <c r="F839" s="14" t="s">
        <v>34</v>
      </c>
      <c r="G839" s="14" t="b">
        <v>0</v>
      </c>
      <c r="I839" s="14">
        <v>1.0</v>
      </c>
      <c r="J839" s="14">
        <v>0.0</v>
      </c>
      <c r="K839" s="14">
        <v>1.0</v>
      </c>
    </row>
    <row r="840" ht="15.75" customHeight="1">
      <c r="A840" s="9" t="s">
        <v>3054</v>
      </c>
      <c r="B840" s="10" t="s">
        <v>3055</v>
      </c>
      <c r="C840" s="11" t="s">
        <v>1468</v>
      </c>
      <c r="D840" s="12" t="s">
        <v>312</v>
      </c>
      <c r="E840" s="13" t="s">
        <v>32</v>
      </c>
      <c r="F840" s="14" t="s">
        <v>313</v>
      </c>
      <c r="G840" s="14" t="b">
        <v>0</v>
      </c>
      <c r="H840" s="14" t="s">
        <v>541</v>
      </c>
      <c r="I840" s="14">
        <v>1.0</v>
      </c>
      <c r="J840" s="14">
        <v>0.0</v>
      </c>
      <c r="K840" s="14">
        <v>1.0</v>
      </c>
    </row>
    <row r="841" ht="15.75" customHeight="1">
      <c r="A841" s="9" t="s">
        <v>3056</v>
      </c>
      <c r="B841" s="10" t="s">
        <v>3057</v>
      </c>
      <c r="C841" s="11" t="s">
        <v>1500</v>
      </c>
      <c r="D841" s="12" t="s">
        <v>125</v>
      </c>
      <c r="E841" s="13" t="s">
        <v>32</v>
      </c>
      <c r="F841" s="14" t="s">
        <v>126</v>
      </c>
      <c r="G841" s="14" t="b">
        <v>0</v>
      </c>
      <c r="H841" s="14" t="s">
        <v>523</v>
      </c>
      <c r="I841" s="14">
        <v>1.0</v>
      </c>
      <c r="J841" s="14">
        <v>0.0</v>
      </c>
      <c r="K841" s="14">
        <v>2.0</v>
      </c>
    </row>
    <row r="842" ht="15.75" customHeight="1">
      <c r="A842" s="9" t="s">
        <v>3058</v>
      </c>
      <c r="B842" s="10" t="s">
        <v>3059</v>
      </c>
      <c r="C842" s="11" t="s">
        <v>205</v>
      </c>
      <c r="D842" s="12" t="s">
        <v>158</v>
      </c>
      <c r="E842" s="13" t="s">
        <v>85</v>
      </c>
      <c r="F842" s="14" t="s">
        <v>160</v>
      </c>
      <c r="G842" s="14" t="b">
        <v>0</v>
      </c>
      <c r="H842" s="14" t="s">
        <v>3060</v>
      </c>
      <c r="I842" s="14">
        <v>1.0</v>
      </c>
      <c r="J842" s="14">
        <v>0.0</v>
      </c>
      <c r="K842" s="14">
        <v>1.0</v>
      </c>
    </row>
    <row r="843" ht="15.75" customHeight="1">
      <c r="A843" s="9" t="s">
        <v>3061</v>
      </c>
      <c r="B843" s="10" t="s">
        <v>3062</v>
      </c>
      <c r="C843" s="11" t="s">
        <v>205</v>
      </c>
      <c r="D843" s="12" t="s">
        <v>158</v>
      </c>
      <c r="E843" s="13" t="s">
        <v>85</v>
      </c>
      <c r="F843" s="14" t="s">
        <v>160</v>
      </c>
      <c r="G843" s="14" t="b">
        <v>0</v>
      </c>
      <c r="H843" s="14" t="s">
        <v>3063</v>
      </c>
      <c r="I843" s="14">
        <v>1.0</v>
      </c>
      <c r="J843" s="14">
        <v>0.0</v>
      </c>
      <c r="K843" s="14">
        <v>2.0</v>
      </c>
    </row>
    <row r="844" ht="15.75" customHeight="1">
      <c r="A844" s="9" t="s">
        <v>3064</v>
      </c>
      <c r="B844" s="10" t="s">
        <v>3065</v>
      </c>
      <c r="C844" s="11" t="s">
        <v>205</v>
      </c>
      <c r="D844" s="12" t="s">
        <v>158</v>
      </c>
      <c r="E844" s="13" t="s">
        <v>85</v>
      </c>
      <c r="F844" s="14" t="s">
        <v>160</v>
      </c>
      <c r="G844" s="14" t="b">
        <v>0</v>
      </c>
      <c r="H844" s="14" t="s">
        <v>3066</v>
      </c>
      <c r="I844" s="14">
        <v>1.0</v>
      </c>
      <c r="J844" s="14">
        <v>0.0</v>
      </c>
      <c r="K844" s="14">
        <v>1.0</v>
      </c>
    </row>
    <row r="845" ht="15.75" customHeight="1">
      <c r="A845" s="9" t="s">
        <v>3067</v>
      </c>
      <c r="B845" s="10" t="s">
        <v>3068</v>
      </c>
      <c r="C845" s="11" t="s">
        <v>205</v>
      </c>
      <c r="D845" s="12" t="s">
        <v>158</v>
      </c>
      <c r="E845" s="13" t="s">
        <v>85</v>
      </c>
      <c r="F845" s="14" t="s">
        <v>160</v>
      </c>
      <c r="G845" s="14" t="b">
        <v>0</v>
      </c>
      <c r="H845" s="14" t="s">
        <v>3069</v>
      </c>
      <c r="I845" s="14">
        <v>1.0</v>
      </c>
      <c r="J845" s="14">
        <v>0.0</v>
      </c>
      <c r="K845" s="14">
        <v>1.0</v>
      </c>
    </row>
    <row r="846" ht="15.75" customHeight="1">
      <c r="A846" s="9" t="s">
        <v>3070</v>
      </c>
      <c r="B846" s="10" t="s">
        <v>3071</v>
      </c>
      <c r="C846" s="11" t="s">
        <v>205</v>
      </c>
      <c r="D846" s="12" t="s">
        <v>158</v>
      </c>
      <c r="E846" s="13" t="s">
        <v>85</v>
      </c>
      <c r="F846" s="14" t="s">
        <v>160</v>
      </c>
      <c r="G846" s="14" t="b">
        <v>0</v>
      </c>
      <c r="H846" s="14" t="s">
        <v>3072</v>
      </c>
      <c r="I846" s="14">
        <v>1.0</v>
      </c>
      <c r="J846" s="14">
        <v>0.0</v>
      </c>
      <c r="K846" s="14">
        <v>1.0</v>
      </c>
    </row>
    <row r="847" ht="15.75" customHeight="1">
      <c r="A847" s="9" t="s">
        <v>3073</v>
      </c>
      <c r="B847" s="10" t="s">
        <v>3074</v>
      </c>
      <c r="C847" s="11" t="s">
        <v>205</v>
      </c>
      <c r="D847" s="12" t="s">
        <v>116</v>
      </c>
      <c r="E847" s="13" t="s">
        <v>85</v>
      </c>
      <c r="F847" s="14" t="s">
        <v>117</v>
      </c>
      <c r="G847" s="14" t="b">
        <v>0</v>
      </c>
      <c r="I847" s="14">
        <v>1.0</v>
      </c>
      <c r="J847" s="14">
        <v>0.0</v>
      </c>
      <c r="K847" s="14">
        <v>1.0</v>
      </c>
    </row>
    <row r="848" ht="15.75" customHeight="1">
      <c r="A848" s="9" t="s">
        <v>3075</v>
      </c>
      <c r="B848" s="10" t="s">
        <v>3076</v>
      </c>
      <c r="C848" s="11" t="s">
        <v>205</v>
      </c>
      <c r="D848" s="12" t="s">
        <v>158</v>
      </c>
      <c r="E848" s="13" t="s">
        <v>85</v>
      </c>
      <c r="F848" s="14" t="s">
        <v>160</v>
      </c>
      <c r="G848" s="14" t="b">
        <v>0</v>
      </c>
      <c r="H848" s="14" t="s">
        <v>3077</v>
      </c>
      <c r="I848" s="14">
        <v>1.0</v>
      </c>
      <c r="J848" s="14">
        <v>0.0</v>
      </c>
      <c r="K848" s="14">
        <v>1.0</v>
      </c>
    </row>
    <row r="849" ht="15.75" customHeight="1">
      <c r="A849" s="9" t="s">
        <v>3078</v>
      </c>
      <c r="B849" s="10" t="s">
        <v>3079</v>
      </c>
      <c r="C849" s="11" t="s">
        <v>205</v>
      </c>
      <c r="D849" s="12" t="s">
        <v>158</v>
      </c>
      <c r="E849" s="13" t="s">
        <v>85</v>
      </c>
      <c r="F849" s="14" t="s">
        <v>160</v>
      </c>
      <c r="G849" s="14" t="b">
        <v>0</v>
      </c>
      <c r="H849" s="14" t="s">
        <v>3080</v>
      </c>
      <c r="I849" s="14">
        <v>1.0</v>
      </c>
      <c r="J849" s="14">
        <v>0.0</v>
      </c>
      <c r="K849" s="14">
        <v>1.0</v>
      </c>
    </row>
    <row r="850" ht="15.75" customHeight="1">
      <c r="A850" s="9" t="s">
        <v>3081</v>
      </c>
      <c r="B850" s="10" t="s">
        <v>3082</v>
      </c>
      <c r="C850" s="11" t="s">
        <v>205</v>
      </c>
      <c r="D850" s="12" t="s">
        <v>158</v>
      </c>
      <c r="E850" s="13" t="s">
        <v>85</v>
      </c>
      <c r="F850" s="14" t="s">
        <v>160</v>
      </c>
      <c r="G850" s="14" t="b">
        <v>0</v>
      </c>
      <c r="H850" s="14" t="s">
        <v>3083</v>
      </c>
      <c r="I850" s="14">
        <v>1.0</v>
      </c>
      <c r="J850" s="14">
        <v>0.0</v>
      </c>
      <c r="K850" s="14">
        <v>1.0</v>
      </c>
    </row>
    <row r="851" ht="15.75" customHeight="1">
      <c r="A851" s="9" t="s">
        <v>3084</v>
      </c>
      <c r="B851" s="10" t="s">
        <v>3085</v>
      </c>
      <c r="C851" s="11" t="s">
        <v>205</v>
      </c>
      <c r="D851" s="12" t="s">
        <v>158</v>
      </c>
      <c r="E851" s="13" t="s">
        <v>85</v>
      </c>
      <c r="F851" s="14" t="s">
        <v>160</v>
      </c>
      <c r="G851" s="14" t="b">
        <v>0</v>
      </c>
      <c r="H851" s="14" t="s">
        <v>3086</v>
      </c>
      <c r="I851" s="14">
        <v>1.0</v>
      </c>
      <c r="J851" s="14">
        <v>0.0</v>
      </c>
      <c r="K851" s="14">
        <v>0.0</v>
      </c>
    </row>
    <row r="852" ht="15.75" customHeight="1">
      <c r="A852" s="9" t="s">
        <v>3087</v>
      </c>
      <c r="B852" s="10" t="s">
        <v>3088</v>
      </c>
      <c r="C852" s="11" t="s">
        <v>205</v>
      </c>
      <c r="D852" s="12" t="s">
        <v>158</v>
      </c>
      <c r="E852" s="13" t="s">
        <v>85</v>
      </c>
      <c r="F852" s="14" t="s">
        <v>160</v>
      </c>
      <c r="G852" s="14" t="b">
        <v>0</v>
      </c>
      <c r="H852" s="14" t="s">
        <v>3089</v>
      </c>
      <c r="I852" s="14">
        <v>1.0</v>
      </c>
      <c r="J852" s="14">
        <v>0.0</v>
      </c>
      <c r="K852" s="14">
        <v>1.0</v>
      </c>
    </row>
    <row r="853" ht="15.75" customHeight="1">
      <c r="A853" s="9" t="s">
        <v>3090</v>
      </c>
      <c r="B853" s="13"/>
      <c r="C853" s="11" t="s">
        <v>1892</v>
      </c>
      <c r="D853" s="12" t="s">
        <v>116</v>
      </c>
      <c r="E853" s="13" t="s">
        <v>116</v>
      </c>
      <c r="F853" s="14" t="s">
        <v>117</v>
      </c>
      <c r="H853" s="14" t="s">
        <v>824</v>
      </c>
      <c r="I853" s="14">
        <v>1.0</v>
      </c>
      <c r="J853" s="14">
        <v>0.0</v>
      </c>
      <c r="K853" s="14">
        <v>2.0</v>
      </c>
    </row>
    <row r="854" ht="15.75" customHeight="1">
      <c r="A854" s="9" t="s">
        <v>3091</v>
      </c>
      <c r="B854" s="10" t="s">
        <v>3092</v>
      </c>
      <c r="C854" s="11" t="s">
        <v>1625</v>
      </c>
      <c r="D854" s="12" t="s">
        <v>116</v>
      </c>
      <c r="E854" s="13" t="s">
        <v>32</v>
      </c>
      <c r="F854" s="14" t="s">
        <v>117</v>
      </c>
      <c r="G854" s="14" t="b">
        <v>0</v>
      </c>
      <c r="I854" s="14">
        <v>1.0</v>
      </c>
      <c r="J854" s="14">
        <v>0.0</v>
      </c>
      <c r="K854" s="14">
        <v>1.0</v>
      </c>
    </row>
    <row r="855" ht="15.75" customHeight="1">
      <c r="A855" s="9" t="s">
        <v>3093</v>
      </c>
      <c r="B855" s="10" t="s">
        <v>3094</v>
      </c>
      <c r="C855" s="11" t="s">
        <v>1471</v>
      </c>
      <c r="D855" s="12" t="s">
        <v>125</v>
      </c>
      <c r="E855" s="13" t="s">
        <v>102</v>
      </c>
      <c r="F855" s="14" t="s">
        <v>126</v>
      </c>
      <c r="G855" s="14" t="b">
        <v>0</v>
      </c>
      <c r="I855" s="14">
        <v>1.0</v>
      </c>
      <c r="J855" s="14">
        <v>0.0</v>
      </c>
      <c r="K855" s="14">
        <v>0.0</v>
      </c>
    </row>
    <row r="856" ht="15.75" customHeight="1">
      <c r="A856" s="9" t="s">
        <v>3095</v>
      </c>
      <c r="B856" s="10" t="s">
        <v>3096</v>
      </c>
      <c r="C856" s="11" t="s">
        <v>1473</v>
      </c>
      <c r="D856" s="12" t="s">
        <v>125</v>
      </c>
      <c r="E856" s="13" t="s">
        <v>32</v>
      </c>
      <c r="F856" s="14" t="s">
        <v>126</v>
      </c>
      <c r="G856" s="14" t="b">
        <v>0</v>
      </c>
      <c r="I856" s="14">
        <v>1.0</v>
      </c>
      <c r="J856" s="14">
        <v>0.0</v>
      </c>
      <c r="K856" s="14">
        <v>0.0</v>
      </c>
    </row>
    <row r="857" ht="15.75" customHeight="1">
      <c r="A857" s="9" t="s">
        <v>3097</v>
      </c>
      <c r="B857" s="10" t="s">
        <v>3098</v>
      </c>
      <c r="C857" s="11" t="s">
        <v>1476</v>
      </c>
      <c r="D857" s="12" t="s">
        <v>277</v>
      </c>
      <c r="E857" s="13" t="s">
        <v>32</v>
      </c>
      <c r="F857" s="14" t="s">
        <v>278</v>
      </c>
      <c r="G857" s="14" t="b">
        <v>0</v>
      </c>
      <c r="I857" s="14">
        <v>1.0</v>
      </c>
      <c r="J857" s="14">
        <v>0.0</v>
      </c>
      <c r="K857" s="14">
        <v>1.0</v>
      </c>
    </row>
    <row r="858" ht="15.75" customHeight="1">
      <c r="A858" s="9" t="s">
        <v>3099</v>
      </c>
      <c r="B858" s="10" t="s">
        <v>3100</v>
      </c>
      <c r="C858" s="11" t="s">
        <v>1478</v>
      </c>
      <c r="D858" s="12" t="s">
        <v>277</v>
      </c>
      <c r="E858" s="13" t="s">
        <v>32</v>
      </c>
      <c r="F858" s="14" t="s">
        <v>278</v>
      </c>
      <c r="G858" s="14" t="b">
        <v>0</v>
      </c>
      <c r="I858" s="14">
        <v>1.0</v>
      </c>
      <c r="J858" s="14">
        <v>0.0</v>
      </c>
      <c r="K858" s="14">
        <v>0.0</v>
      </c>
    </row>
    <row r="859" ht="15.75" customHeight="1">
      <c r="A859" s="9" t="s">
        <v>3101</v>
      </c>
      <c r="B859" s="10" t="s">
        <v>3102</v>
      </c>
      <c r="C859" s="11" t="s">
        <v>1479</v>
      </c>
      <c r="D859" s="12" t="s">
        <v>158</v>
      </c>
      <c r="E859" s="13" t="s">
        <v>32</v>
      </c>
      <c r="F859" s="14" t="s">
        <v>160</v>
      </c>
      <c r="G859" s="14" t="b">
        <v>0</v>
      </c>
      <c r="I859" s="14">
        <v>1.0</v>
      </c>
      <c r="J859" s="14">
        <v>0.0</v>
      </c>
      <c r="K859" s="14">
        <v>1.0</v>
      </c>
    </row>
    <row r="860" ht="15.75" customHeight="1">
      <c r="A860" s="9" t="s">
        <v>3103</v>
      </c>
      <c r="B860" s="10" t="s">
        <v>3104</v>
      </c>
      <c r="C860" s="11" t="s">
        <v>1481</v>
      </c>
      <c r="D860" s="12" t="s">
        <v>312</v>
      </c>
      <c r="E860" s="13" t="s">
        <v>102</v>
      </c>
      <c r="F860" s="14" t="s">
        <v>313</v>
      </c>
      <c r="G860" s="14" t="b">
        <v>0</v>
      </c>
      <c r="H860" s="14" t="s">
        <v>866</v>
      </c>
      <c r="I860" s="14">
        <v>1.0</v>
      </c>
      <c r="J860" s="14">
        <v>0.0</v>
      </c>
      <c r="K860" s="14">
        <v>2.0</v>
      </c>
    </row>
    <row r="861" ht="15.75" customHeight="1">
      <c r="A861" s="9" t="s">
        <v>3105</v>
      </c>
      <c r="B861" s="10" t="s">
        <v>3106</v>
      </c>
      <c r="C861" s="11" t="s">
        <v>265</v>
      </c>
      <c r="D861" s="12" t="s">
        <v>312</v>
      </c>
      <c r="E861" s="13" t="s">
        <v>102</v>
      </c>
      <c r="F861" s="14" t="s">
        <v>313</v>
      </c>
      <c r="G861" s="14" t="b">
        <v>0</v>
      </c>
      <c r="H861" s="14" t="s">
        <v>3107</v>
      </c>
      <c r="I861" s="14">
        <v>1.0</v>
      </c>
      <c r="J861" s="14">
        <v>0.0</v>
      </c>
      <c r="K861" s="14">
        <v>1.0</v>
      </c>
    </row>
    <row r="862" ht="15.75" customHeight="1">
      <c r="A862" s="9" t="s">
        <v>3108</v>
      </c>
      <c r="B862" s="10" t="s">
        <v>3109</v>
      </c>
      <c r="C862" s="11" t="s">
        <v>265</v>
      </c>
      <c r="D862" s="12" t="s">
        <v>312</v>
      </c>
      <c r="E862" s="13" t="s">
        <v>102</v>
      </c>
      <c r="F862" s="14" t="s">
        <v>313</v>
      </c>
      <c r="G862" s="14" t="b">
        <v>0</v>
      </c>
      <c r="H862" s="14" t="s">
        <v>3110</v>
      </c>
      <c r="I862" s="14">
        <v>1.0</v>
      </c>
      <c r="J862" s="14">
        <v>0.0</v>
      </c>
      <c r="K862" s="14">
        <v>3.0</v>
      </c>
    </row>
    <row r="863" ht="15.75" customHeight="1">
      <c r="A863" s="9" t="s">
        <v>3111</v>
      </c>
      <c r="B863" s="10" t="s">
        <v>2295</v>
      </c>
      <c r="C863" s="11" t="s">
        <v>265</v>
      </c>
      <c r="D863" s="12" t="s">
        <v>19</v>
      </c>
      <c r="E863" s="13" t="s">
        <v>102</v>
      </c>
      <c r="F863" s="14" t="s">
        <v>21</v>
      </c>
      <c r="G863" s="14" t="b">
        <v>0</v>
      </c>
      <c r="H863" s="14" t="s">
        <v>3112</v>
      </c>
      <c r="I863" s="14">
        <v>1.0</v>
      </c>
      <c r="J863" s="14">
        <v>0.0</v>
      </c>
      <c r="K863" s="14">
        <v>3.0</v>
      </c>
    </row>
    <row r="864" ht="15.75" customHeight="1">
      <c r="A864" s="9" t="s">
        <v>3113</v>
      </c>
      <c r="B864" s="10" t="s">
        <v>3114</v>
      </c>
      <c r="C864" s="11" t="s">
        <v>265</v>
      </c>
      <c r="D864" s="12" t="s">
        <v>158</v>
      </c>
      <c r="E864" s="13" t="s">
        <v>102</v>
      </c>
      <c r="F864" s="14" t="s">
        <v>160</v>
      </c>
      <c r="G864" s="14" t="b">
        <v>0</v>
      </c>
      <c r="H864" s="14" t="s">
        <v>3115</v>
      </c>
      <c r="I864" s="14">
        <v>1.0</v>
      </c>
      <c r="J864" s="14">
        <v>0.0</v>
      </c>
      <c r="K864" s="14">
        <v>2.0</v>
      </c>
    </row>
    <row r="865" ht="15.75" customHeight="1">
      <c r="A865" s="9" t="s">
        <v>3116</v>
      </c>
      <c r="B865" s="10" t="s">
        <v>3117</v>
      </c>
      <c r="C865" s="11" t="s">
        <v>265</v>
      </c>
      <c r="D865" s="12" t="s">
        <v>312</v>
      </c>
      <c r="E865" s="13" t="s">
        <v>102</v>
      </c>
      <c r="F865" s="14" t="s">
        <v>313</v>
      </c>
      <c r="G865" s="14" t="b">
        <v>0</v>
      </c>
      <c r="H865" s="14" t="s">
        <v>3118</v>
      </c>
      <c r="I865" s="14">
        <v>1.0</v>
      </c>
      <c r="J865" s="14">
        <v>0.0</v>
      </c>
      <c r="K865" s="14">
        <v>0.0</v>
      </c>
    </row>
    <row r="866" ht="15.75" customHeight="1">
      <c r="A866" s="9" t="s">
        <v>3119</v>
      </c>
      <c r="B866" s="10" t="s">
        <v>3120</v>
      </c>
      <c r="C866" s="11" t="s">
        <v>265</v>
      </c>
      <c r="D866" s="12" t="s">
        <v>312</v>
      </c>
      <c r="E866" s="13" t="s">
        <v>102</v>
      </c>
      <c r="F866" s="14" t="s">
        <v>313</v>
      </c>
      <c r="G866" s="14" t="b">
        <v>0</v>
      </c>
      <c r="H866" s="14" t="s">
        <v>3121</v>
      </c>
      <c r="I866" s="14">
        <v>1.0</v>
      </c>
      <c r="J866" s="14">
        <v>0.0</v>
      </c>
      <c r="K866" s="14">
        <v>1.0</v>
      </c>
    </row>
    <row r="867" ht="15.75" customHeight="1">
      <c r="A867" s="9" t="s">
        <v>3122</v>
      </c>
      <c r="B867" s="10" t="s">
        <v>3123</v>
      </c>
      <c r="C867" s="11" t="s">
        <v>265</v>
      </c>
      <c r="D867" s="12" t="s">
        <v>116</v>
      </c>
      <c r="E867" s="13" t="s">
        <v>102</v>
      </c>
      <c r="F867" s="14" t="s">
        <v>117</v>
      </c>
      <c r="G867" s="14" t="b">
        <v>0</v>
      </c>
      <c r="H867" s="14" t="s">
        <v>3124</v>
      </c>
      <c r="I867" s="14">
        <v>1.0</v>
      </c>
      <c r="J867" s="14">
        <v>0.0</v>
      </c>
      <c r="K867" s="14">
        <v>1.0</v>
      </c>
    </row>
    <row r="868" ht="15.75" customHeight="1">
      <c r="A868" s="9" t="s">
        <v>3125</v>
      </c>
      <c r="B868" s="10" t="s">
        <v>3126</v>
      </c>
      <c r="C868" s="11" t="s">
        <v>265</v>
      </c>
      <c r="D868" s="12" t="s">
        <v>312</v>
      </c>
      <c r="E868" s="13" t="s">
        <v>102</v>
      </c>
      <c r="F868" s="14" t="s">
        <v>313</v>
      </c>
      <c r="G868" s="14" t="b">
        <v>0</v>
      </c>
      <c r="H868" s="14" t="s">
        <v>3127</v>
      </c>
      <c r="I868" s="14">
        <v>1.0</v>
      </c>
      <c r="J868" s="14">
        <v>0.0</v>
      </c>
      <c r="K868" s="14">
        <v>2.0</v>
      </c>
    </row>
    <row r="869" ht="15.75" customHeight="1">
      <c r="A869" s="9" t="s">
        <v>3128</v>
      </c>
      <c r="B869" s="10" t="s">
        <v>3129</v>
      </c>
      <c r="C869" s="11" t="s">
        <v>265</v>
      </c>
      <c r="D869" s="12" t="s">
        <v>312</v>
      </c>
      <c r="E869" s="13" t="s">
        <v>102</v>
      </c>
      <c r="F869" s="14" t="s">
        <v>313</v>
      </c>
      <c r="G869" s="14" t="b">
        <v>0</v>
      </c>
      <c r="H869" s="14" t="s">
        <v>3130</v>
      </c>
      <c r="I869" s="14">
        <v>1.0</v>
      </c>
      <c r="J869" s="14">
        <v>0.0</v>
      </c>
      <c r="K869" s="14">
        <v>0.0</v>
      </c>
    </row>
    <row r="870" ht="15.75" customHeight="1">
      <c r="A870" s="9" t="s">
        <v>3131</v>
      </c>
      <c r="B870" s="10" t="s">
        <v>3132</v>
      </c>
      <c r="C870" s="11" t="s">
        <v>265</v>
      </c>
      <c r="D870" s="12" t="s">
        <v>312</v>
      </c>
      <c r="E870" s="13" t="s">
        <v>102</v>
      </c>
      <c r="F870" s="14" t="s">
        <v>313</v>
      </c>
      <c r="G870" s="14" t="b">
        <v>0</v>
      </c>
      <c r="H870" s="14" t="s">
        <v>3133</v>
      </c>
      <c r="I870" s="14">
        <v>1.0</v>
      </c>
      <c r="J870" s="14">
        <v>0.0</v>
      </c>
      <c r="K870" s="14">
        <v>2.0</v>
      </c>
    </row>
    <row r="871" ht="15.75" customHeight="1">
      <c r="A871" s="9" t="s">
        <v>3134</v>
      </c>
      <c r="B871" s="10" t="s">
        <v>3135</v>
      </c>
      <c r="C871" s="11" t="s">
        <v>265</v>
      </c>
      <c r="D871" s="12" t="s">
        <v>19</v>
      </c>
      <c r="E871" s="13" t="s">
        <v>102</v>
      </c>
      <c r="F871" s="14" t="s">
        <v>21</v>
      </c>
      <c r="G871" s="14" t="b">
        <v>0</v>
      </c>
      <c r="H871" s="14" t="s">
        <v>3136</v>
      </c>
      <c r="I871" s="14">
        <v>1.0</v>
      </c>
      <c r="J871" s="14">
        <v>0.0</v>
      </c>
      <c r="K871" s="14">
        <v>2.0</v>
      </c>
    </row>
    <row r="872" ht="15.75" customHeight="1">
      <c r="A872" s="9" t="s">
        <v>3137</v>
      </c>
      <c r="B872" s="10" t="s">
        <v>3138</v>
      </c>
      <c r="C872" s="11" t="s">
        <v>265</v>
      </c>
      <c r="D872" s="12" t="s">
        <v>312</v>
      </c>
      <c r="E872" s="13" t="s">
        <v>102</v>
      </c>
      <c r="F872" s="14" t="s">
        <v>313</v>
      </c>
      <c r="G872" s="14" t="b">
        <v>0</v>
      </c>
      <c r="H872" s="14" t="s">
        <v>3139</v>
      </c>
      <c r="I872" s="14">
        <v>1.0</v>
      </c>
      <c r="J872" s="14">
        <v>0.0</v>
      </c>
      <c r="K872" s="14">
        <v>1.0</v>
      </c>
    </row>
    <row r="873" ht="15.75" customHeight="1">
      <c r="A873" s="9" t="s">
        <v>3140</v>
      </c>
      <c r="B873" s="10" t="s">
        <v>3141</v>
      </c>
      <c r="C873" s="11" t="s">
        <v>265</v>
      </c>
      <c r="D873" s="12" t="s">
        <v>312</v>
      </c>
      <c r="E873" s="13" t="s">
        <v>102</v>
      </c>
      <c r="F873" s="14" t="s">
        <v>313</v>
      </c>
      <c r="G873" s="14" t="b">
        <v>0</v>
      </c>
      <c r="H873" s="14" t="s">
        <v>3142</v>
      </c>
      <c r="I873" s="14">
        <v>1.0</v>
      </c>
      <c r="J873" s="14">
        <v>0.0</v>
      </c>
      <c r="K873" s="14">
        <v>1.0</v>
      </c>
    </row>
    <row r="874" ht="15.75" customHeight="1">
      <c r="A874" s="9" t="s">
        <v>3143</v>
      </c>
      <c r="B874" s="10" t="s">
        <v>3144</v>
      </c>
      <c r="C874" s="11" t="s">
        <v>265</v>
      </c>
      <c r="D874" s="12" t="s">
        <v>312</v>
      </c>
      <c r="E874" s="13" t="s">
        <v>102</v>
      </c>
      <c r="F874" s="14" t="s">
        <v>313</v>
      </c>
      <c r="G874" s="14" t="b">
        <v>0</v>
      </c>
      <c r="H874" s="14" t="s">
        <v>3145</v>
      </c>
      <c r="I874" s="14">
        <v>1.0</v>
      </c>
      <c r="J874" s="14">
        <v>0.0</v>
      </c>
      <c r="K874" s="14">
        <v>0.0</v>
      </c>
    </row>
    <row r="875" ht="15.75" customHeight="1">
      <c r="A875" s="9" t="s">
        <v>3146</v>
      </c>
      <c r="B875" s="13"/>
      <c r="C875" s="11" t="s">
        <v>155</v>
      </c>
      <c r="D875" s="12" t="s">
        <v>116</v>
      </c>
      <c r="E875" s="13" t="s">
        <v>32</v>
      </c>
      <c r="F875" s="14" t="s">
        <v>117</v>
      </c>
      <c r="H875" s="14" t="s">
        <v>824</v>
      </c>
      <c r="I875" s="14">
        <v>1.0</v>
      </c>
      <c r="J875" s="14">
        <v>0.0</v>
      </c>
      <c r="K875" s="14">
        <v>0.0</v>
      </c>
    </row>
    <row r="876" ht="15.75" customHeight="1">
      <c r="A876" s="9" t="s">
        <v>3147</v>
      </c>
      <c r="B876" s="10" t="s">
        <v>3148</v>
      </c>
      <c r="C876" s="11" t="s">
        <v>1484</v>
      </c>
      <c r="D876" s="12" t="s">
        <v>277</v>
      </c>
      <c r="E876" s="13" t="s">
        <v>20</v>
      </c>
      <c r="F876" s="14" t="s">
        <v>278</v>
      </c>
      <c r="G876" s="14" t="b">
        <v>0</v>
      </c>
      <c r="H876" s="14" t="s">
        <v>1486</v>
      </c>
      <c r="I876" s="14">
        <v>1.0</v>
      </c>
      <c r="J876" s="14">
        <v>0.0</v>
      </c>
      <c r="K876" s="14">
        <v>1.0</v>
      </c>
    </row>
    <row r="877" ht="15.75" customHeight="1">
      <c r="A877" s="9" t="s">
        <v>3149</v>
      </c>
      <c r="B877" s="10" t="s">
        <v>3150</v>
      </c>
      <c r="C877" s="11" t="s">
        <v>1487</v>
      </c>
      <c r="D877" s="12" t="s">
        <v>125</v>
      </c>
      <c r="E877" s="13" t="s">
        <v>32</v>
      </c>
      <c r="F877" s="14" t="s">
        <v>126</v>
      </c>
      <c r="G877" s="14" t="b">
        <v>0</v>
      </c>
      <c r="I877" s="14">
        <v>1.0</v>
      </c>
      <c r="J877" s="14">
        <v>0.0</v>
      </c>
      <c r="K877" s="14">
        <v>0.0</v>
      </c>
    </row>
    <row r="878" ht="15.75" customHeight="1">
      <c r="A878" s="9" t="s">
        <v>3151</v>
      </c>
      <c r="B878" s="10" t="s">
        <v>3152</v>
      </c>
      <c r="C878" s="11" t="s">
        <v>1490</v>
      </c>
      <c r="D878" s="12" t="s">
        <v>19</v>
      </c>
      <c r="E878" s="13" t="s">
        <v>32</v>
      </c>
      <c r="F878" s="14" t="s">
        <v>21</v>
      </c>
      <c r="G878" s="14" t="b">
        <v>0</v>
      </c>
      <c r="H878" s="14" t="s">
        <v>3153</v>
      </c>
      <c r="I878" s="14">
        <v>1.0</v>
      </c>
      <c r="J878" s="14">
        <v>0.0</v>
      </c>
      <c r="K878" s="14">
        <v>0.0</v>
      </c>
    </row>
    <row r="879" ht="15.75" customHeight="1">
      <c r="A879" s="9" t="s">
        <v>3154</v>
      </c>
      <c r="B879" s="10" t="s">
        <v>3155</v>
      </c>
      <c r="C879" s="11" t="s">
        <v>1493</v>
      </c>
      <c r="D879" s="12" t="s">
        <v>19</v>
      </c>
      <c r="E879" s="13" t="s">
        <v>32</v>
      </c>
      <c r="F879" s="14" t="s">
        <v>21</v>
      </c>
      <c r="G879" s="14" t="b">
        <v>0</v>
      </c>
      <c r="H879" s="14" t="s">
        <v>3156</v>
      </c>
      <c r="I879" s="14">
        <v>1.0</v>
      </c>
      <c r="J879" s="14">
        <v>0.0</v>
      </c>
      <c r="K879" s="14">
        <v>1.0</v>
      </c>
    </row>
    <row r="880" ht="15.75" customHeight="1">
      <c r="A880" s="9" t="s">
        <v>3157</v>
      </c>
      <c r="B880" s="10" t="s">
        <v>3158</v>
      </c>
      <c r="C880" s="11" t="s">
        <v>1496</v>
      </c>
      <c r="D880" s="12" t="s">
        <v>277</v>
      </c>
      <c r="E880" s="13" t="s">
        <v>32</v>
      </c>
      <c r="F880" s="14" t="s">
        <v>278</v>
      </c>
      <c r="G880" s="14" t="b">
        <v>0</v>
      </c>
      <c r="H880" s="14" t="s">
        <v>361</v>
      </c>
      <c r="I880" s="14">
        <v>1.0</v>
      </c>
      <c r="J880" s="14">
        <v>0.0</v>
      </c>
      <c r="K880" s="14">
        <v>1.0</v>
      </c>
    </row>
    <row r="881" ht="15.75" customHeight="1">
      <c r="A881" s="9" t="s">
        <v>3159</v>
      </c>
      <c r="B881" s="10" t="s">
        <v>3160</v>
      </c>
      <c r="C881" s="10" t="s">
        <v>1498</v>
      </c>
      <c r="D881" s="12" t="s">
        <v>312</v>
      </c>
      <c r="E881" s="13" t="s">
        <v>102</v>
      </c>
      <c r="F881" s="14" t="s">
        <v>313</v>
      </c>
      <c r="G881" s="14" t="b">
        <v>0</v>
      </c>
      <c r="I881" s="14">
        <v>1.0</v>
      </c>
      <c r="J881" s="14">
        <v>0.0</v>
      </c>
      <c r="K881" s="14">
        <v>0.0</v>
      </c>
    </row>
    <row r="882" ht="15.75" customHeight="1">
      <c r="A882" s="9" t="s">
        <v>3161</v>
      </c>
      <c r="B882" s="10" t="s">
        <v>3162</v>
      </c>
      <c r="C882" s="11" t="s">
        <v>662</v>
      </c>
      <c r="D882" s="12" t="s">
        <v>277</v>
      </c>
      <c r="E882" s="13" t="s">
        <v>20</v>
      </c>
      <c r="F882" s="14" t="s">
        <v>278</v>
      </c>
      <c r="G882" s="14" t="b">
        <v>0</v>
      </c>
      <c r="H882" s="14" t="s">
        <v>1529</v>
      </c>
      <c r="I882" s="14">
        <v>1.0</v>
      </c>
      <c r="J882" s="14">
        <v>0.0</v>
      </c>
      <c r="K882" s="14">
        <v>1.0</v>
      </c>
    </row>
    <row r="883" ht="15.75" customHeight="1">
      <c r="A883" s="9" t="s">
        <v>3163</v>
      </c>
      <c r="B883" s="10" t="s">
        <v>3164</v>
      </c>
      <c r="C883" s="11" t="s">
        <v>694</v>
      </c>
      <c r="D883" s="12" t="s">
        <v>312</v>
      </c>
      <c r="E883" s="13" t="s">
        <v>20</v>
      </c>
      <c r="F883" s="14" t="s">
        <v>313</v>
      </c>
      <c r="G883" s="14" t="b">
        <v>0</v>
      </c>
      <c r="H883" s="14" t="s">
        <v>696</v>
      </c>
      <c r="I883" s="14">
        <v>1.0</v>
      </c>
      <c r="J883" s="14">
        <v>0.0</v>
      </c>
      <c r="K883" s="14">
        <v>1.0</v>
      </c>
    </row>
    <row r="884" ht="15.75" customHeight="1">
      <c r="A884" s="9" t="s">
        <v>3165</v>
      </c>
      <c r="B884" s="10" t="s">
        <v>3166</v>
      </c>
      <c r="C884" s="11" t="s">
        <v>427</v>
      </c>
      <c r="D884" s="12" t="s">
        <v>312</v>
      </c>
      <c r="E884" s="13" t="s">
        <v>20</v>
      </c>
      <c r="F884" s="14" t="s">
        <v>313</v>
      </c>
      <c r="G884" s="14" t="b">
        <v>0</v>
      </c>
      <c r="H884" s="14" t="s">
        <v>1538</v>
      </c>
      <c r="I884" s="14">
        <v>1.0</v>
      </c>
      <c r="J884" s="14">
        <v>0.0</v>
      </c>
      <c r="K884" s="14">
        <v>0.0</v>
      </c>
    </row>
    <row r="885" ht="15.75" customHeight="1">
      <c r="A885" s="9" t="s">
        <v>3167</v>
      </c>
      <c r="B885" s="10" t="s">
        <v>3168</v>
      </c>
      <c r="C885" s="11" t="s">
        <v>427</v>
      </c>
      <c r="D885" s="12" t="s">
        <v>312</v>
      </c>
      <c r="E885" s="13" t="s">
        <v>20</v>
      </c>
      <c r="F885" s="14" t="s">
        <v>313</v>
      </c>
      <c r="G885" s="14" t="b">
        <v>0</v>
      </c>
      <c r="H885" s="14" t="s">
        <v>3169</v>
      </c>
      <c r="I885" s="14">
        <v>1.0</v>
      </c>
      <c r="J885" s="14">
        <v>0.0</v>
      </c>
      <c r="K885" s="14">
        <v>2.0</v>
      </c>
    </row>
    <row r="886" ht="15.75" customHeight="1">
      <c r="A886" s="9" t="s">
        <v>3170</v>
      </c>
      <c r="B886" s="10" t="s">
        <v>3171</v>
      </c>
      <c r="C886" s="11" t="s">
        <v>427</v>
      </c>
      <c r="D886" s="12" t="s">
        <v>312</v>
      </c>
      <c r="E886" s="13" t="s">
        <v>20</v>
      </c>
      <c r="F886" s="14" t="s">
        <v>313</v>
      </c>
      <c r="G886" s="14" t="b">
        <v>0</v>
      </c>
      <c r="H886" s="14" t="s">
        <v>3172</v>
      </c>
      <c r="I886" s="14">
        <v>1.0</v>
      </c>
      <c r="J886" s="14">
        <v>0.0</v>
      </c>
      <c r="K886" s="14">
        <v>0.0</v>
      </c>
    </row>
    <row r="887" ht="15.75" customHeight="1">
      <c r="A887" s="9" t="s">
        <v>3173</v>
      </c>
      <c r="B887" s="10" t="s">
        <v>3174</v>
      </c>
      <c r="C887" s="11" t="s">
        <v>427</v>
      </c>
      <c r="D887" s="12" t="s">
        <v>277</v>
      </c>
      <c r="E887" s="13" t="s">
        <v>20</v>
      </c>
      <c r="F887" s="14" t="s">
        <v>278</v>
      </c>
      <c r="G887" s="14" t="b">
        <v>0</v>
      </c>
      <c r="H887" s="14" t="s">
        <v>3175</v>
      </c>
      <c r="I887" s="14">
        <v>1.0</v>
      </c>
      <c r="J887" s="14">
        <v>0.0</v>
      </c>
      <c r="K887" s="14">
        <v>1.0</v>
      </c>
    </row>
    <row r="888" ht="15.75" customHeight="1">
      <c r="A888" s="9" t="s">
        <v>3176</v>
      </c>
      <c r="B888" s="10" t="s">
        <v>3177</v>
      </c>
      <c r="C888" s="11" t="s">
        <v>427</v>
      </c>
      <c r="D888" s="12" t="s">
        <v>277</v>
      </c>
      <c r="E888" s="13" t="s">
        <v>20</v>
      </c>
      <c r="F888" s="14" t="s">
        <v>278</v>
      </c>
      <c r="G888" s="14" t="b">
        <v>0</v>
      </c>
      <c r="H888" s="14" t="s">
        <v>3178</v>
      </c>
      <c r="I888" s="14">
        <v>1.0</v>
      </c>
      <c r="J888" s="14">
        <v>0.0</v>
      </c>
      <c r="K888" s="14">
        <v>2.0</v>
      </c>
    </row>
    <row r="889" ht="15.75" customHeight="1">
      <c r="A889" s="9" t="s">
        <v>3179</v>
      </c>
      <c r="B889" s="10" t="s">
        <v>3180</v>
      </c>
      <c r="C889" s="11" t="s">
        <v>1181</v>
      </c>
      <c r="D889" s="12" t="s">
        <v>312</v>
      </c>
      <c r="E889" s="13" t="s">
        <v>102</v>
      </c>
      <c r="F889" s="14" t="s">
        <v>313</v>
      </c>
      <c r="G889" s="14" t="b">
        <v>0</v>
      </c>
      <c r="H889" s="14" t="s">
        <v>3181</v>
      </c>
      <c r="I889" s="14">
        <v>1.0</v>
      </c>
      <c r="J889" s="14">
        <v>0.0</v>
      </c>
      <c r="K889" s="14">
        <v>1.0</v>
      </c>
    </row>
    <row r="890" ht="15.75" customHeight="1">
      <c r="A890" s="9" t="s">
        <v>3182</v>
      </c>
      <c r="B890" s="10" t="s">
        <v>3183</v>
      </c>
      <c r="C890" s="11" t="s">
        <v>1181</v>
      </c>
      <c r="D890" s="12" t="s">
        <v>312</v>
      </c>
      <c r="E890" s="13" t="s">
        <v>102</v>
      </c>
      <c r="F890" s="14" t="s">
        <v>313</v>
      </c>
      <c r="G890" s="14" t="b">
        <v>0</v>
      </c>
      <c r="H890" s="14" t="s">
        <v>591</v>
      </c>
      <c r="I890" s="14">
        <v>1.0</v>
      </c>
      <c r="J890" s="14">
        <v>0.0</v>
      </c>
      <c r="K890" s="14">
        <v>1.0</v>
      </c>
    </row>
    <row r="891" ht="15.75" customHeight="1">
      <c r="A891" s="9" t="s">
        <v>3184</v>
      </c>
      <c r="B891" s="13"/>
      <c r="C891" s="11" t="s">
        <v>1502</v>
      </c>
      <c r="D891" s="12" t="s">
        <v>116</v>
      </c>
      <c r="E891" s="13" t="s">
        <v>116</v>
      </c>
      <c r="F891" s="14" t="s">
        <v>117</v>
      </c>
      <c r="H891" s="14" t="s">
        <v>824</v>
      </c>
      <c r="I891" s="14">
        <v>1.0</v>
      </c>
      <c r="J891" s="14">
        <v>0.0</v>
      </c>
      <c r="K891" s="14">
        <v>0.0</v>
      </c>
    </row>
    <row r="892" ht="15.75" customHeight="1">
      <c r="A892" s="9" t="s">
        <v>3185</v>
      </c>
      <c r="B892" s="10" t="s">
        <v>3186</v>
      </c>
      <c r="C892" s="11" t="s">
        <v>1503</v>
      </c>
      <c r="D892" s="12" t="s">
        <v>1143</v>
      </c>
      <c r="E892" s="13" t="s">
        <v>32</v>
      </c>
      <c r="F892" s="14" t="s">
        <v>1145</v>
      </c>
      <c r="G892" s="14" t="b">
        <v>0</v>
      </c>
      <c r="I892" s="14">
        <v>1.0</v>
      </c>
      <c r="J892" s="14">
        <v>0.0</v>
      </c>
      <c r="K892" s="14">
        <v>1.0</v>
      </c>
    </row>
    <row r="893" ht="15.75" customHeight="1">
      <c r="A893" s="9" t="s">
        <v>3187</v>
      </c>
      <c r="B893" s="10" t="s">
        <v>3188</v>
      </c>
      <c r="C893" s="11" t="s">
        <v>330</v>
      </c>
      <c r="D893" s="12" t="s">
        <v>19</v>
      </c>
      <c r="E893" s="13" t="s">
        <v>102</v>
      </c>
      <c r="F893" s="14" t="s">
        <v>21</v>
      </c>
      <c r="G893" s="14" t="b">
        <v>0</v>
      </c>
      <c r="H893" s="14" t="s">
        <v>3189</v>
      </c>
      <c r="I893" s="14">
        <v>1.0</v>
      </c>
      <c r="J893" s="14">
        <v>0.0</v>
      </c>
      <c r="K893" s="14">
        <v>2.0</v>
      </c>
    </row>
    <row r="894" ht="15.75" customHeight="1">
      <c r="A894" s="9" t="s">
        <v>3190</v>
      </c>
      <c r="B894" s="10" t="s">
        <v>3191</v>
      </c>
      <c r="C894" s="11" t="s">
        <v>70</v>
      </c>
      <c r="D894" s="12" t="s">
        <v>19</v>
      </c>
      <c r="E894" s="13" t="s">
        <v>20</v>
      </c>
      <c r="F894" s="14" t="s">
        <v>21</v>
      </c>
      <c r="G894" s="14" t="b">
        <v>0</v>
      </c>
      <c r="H894" s="14" t="s">
        <v>3192</v>
      </c>
      <c r="I894" s="14">
        <v>1.0</v>
      </c>
      <c r="J894" s="14">
        <v>0.0</v>
      </c>
      <c r="K894" s="14">
        <v>0.0</v>
      </c>
    </row>
    <row r="895" ht="15.75" customHeight="1">
      <c r="A895" s="9" t="s">
        <v>3193</v>
      </c>
      <c r="B895" s="10" t="s">
        <v>3194</v>
      </c>
      <c r="C895" s="11" t="s">
        <v>70</v>
      </c>
      <c r="D895" s="12" t="s">
        <v>19</v>
      </c>
      <c r="E895" s="13" t="s">
        <v>20</v>
      </c>
      <c r="F895" s="14" t="s">
        <v>21</v>
      </c>
      <c r="G895" s="14" t="b">
        <v>0</v>
      </c>
      <c r="H895" s="14" t="s">
        <v>3195</v>
      </c>
      <c r="I895" s="14">
        <v>1.0</v>
      </c>
      <c r="J895" s="14">
        <v>0.0</v>
      </c>
      <c r="K895" s="14">
        <v>0.0</v>
      </c>
    </row>
    <row r="896" ht="15.75" customHeight="1">
      <c r="A896" s="9" t="s">
        <v>3196</v>
      </c>
      <c r="B896" s="10" t="s">
        <v>3197</v>
      </c>
      <c r="C896" s="11" t="s">
        <v>1425</v>
      </c>
      <c r="D896" s="12" t="s">
        <v>312</v>
      </c>
      <c r="E896" s="13" t="s">
        <v>32</v>
      </c>
      <c r="F896" s="14" t="s">
        <v>313</v>
      </c>
      <c r="G896" s="14" t="b">
        <v>0</v>
      </c>
      <c r="I896" s="14">
        <v>1.0</v>
      </c>
      <c r="J896" s="14">
        <v>0.0</v>
      </c>
      <c r="K896" s="14">
        <v>1.0</v>
      </c>
    </row>
    <row r="897" ht="15.75" customHeight="1">
      <c r="A897" s="9" t="s">
        <v>3198</v>
      </c>
      <c r="B897" s="10" t="s">
        <v>3199</v>
      </c>
      <c r="C897" s="11" t="s">
        <v>1369</v>
      </c>
      <c r="D897" s="12" t="s">
        <v>116</v>
      </c>
      <c r="E897" s="13" t="s">
        <v>102</v>
      </c>
      <c r="F897" s="14" t="s">
        <v>117</v>
      </c>
      <c r="G897" s="14" t="b">
        <v>0</v>
      </c>
      <c r="H897" s="14" t="s">
        <v>3200</v>
      </c>
      <c r="I897" s="14">
        <v>1.0</v>
      </c>
      <c r="J897" s="14">
        <v>0.0</v>
      </c>
      <c r="K897" s="14">
        <v>3.0</v>
      </c>
    </row>
    <row r="898" ht="15.75" customHeight="1">
      <c r="A898" s="9" t="s">
        <v>3201</v>
      </c>
      <c r="B898" s="10" t="s">
        <v>3202</v>
      </c>
      <c r="C898" s="11" t="s">
        <v>948</v>
      </c>
      <c r="D898" s="12" t="s">
        <v>312</v>
      </c>
      <c r="E898" s="13" t="s">
        <v>102</v>
      </c>
      <c r="F898" s="14" t="s">
        <v>313</v>
      </c>
      <c r="G898" s="14" t="b">
        <v>0</v>
      </c>
      <c r="I898" s="14">
        <v>1.0</v>
      </c>
      <c r="J898" s="14">
        <v>0.0</v>
      </c>
      <c r="K898" s="14">
        <v>2.0</v>
      </c>
    </row>
    <row r="899" ht="15.75" customHeight="1">
      <c r="A899" s="9" t="s">
        <v>3203</v>
      </c>
      <c r="B899" s="10" t="s">
        <v>3204</v>
      </c>
      <c r="C899" s="11" t="s">
        <v>1505</v>
      </c>
      <c r="D899" s="12" t="s">
        <v>277</v>
      </c>
      <c r="E899" s="13" t="s">
        <v>32</v>
      </c>
      <c r="F899" s="14" t="s">
        <v>278</v>
      </c>
      <c r="G899" s="14" t="b">
        <v>0</v>
      </c>
      <c r="I899" s="14">
        <v>1.0</v>
      </c>
      <c r="J899" s="14">
        <v>0.0</v>
      </c>
      <c r="K899" s="14">
        <v>1.0</v>
      </c>
    </row>
    <row r="900" ht="15.75" customHeight="1">
      <c r="A900" s="9" t="s">
        <v>3205</v>
      </c>
      <c r="B900" s="10" t="s">
        <v>3206</v>
      </c>
      <c r="C900" s="11" t="s">
        <v>1509</v>
      </c>
      <c r="D900" s="12" t="s">
        <v>125</v>
      </c>
      <c r="E900" s="13" t="s">
        <v>32</v>
      </c>
      <c r="F900" s="14" t="s">
        <v>126</v>
      </c>
      <c r="G900" s="14" t="b">
        <v>0</v>
      </c>
      <c r="H900" s="14" t="s">
        <v>1104</v>
      </c>
      <c r="I900" s="14">
        <v>1.0</v>
      </c>
      <c r="J900" s="14">
        <v>0.0</v>
      </c>
      <c r="K900" s="14">
        <v>2.0</v>
      </c>
    </row>
    <row r="901" ht="15.75" customHeight="1">
      <c r="A901" s="9" t="s">
        <v>3207</v>
      </c>
      <c r="B901" s="10" t="s">
        <v>3208</v>
      </c>
      <c r="C901" s="11" t="s">
        <v>1511</v>
      </c>
      <c r="D901" s="12" t="s">
        <v>19</v>
      </c>
      <c r="E901" s="13" t="s">
        <v>32</v>
      </c>
      <c r="F901" s="14" t="s">
        <v>21</v>
      </c>
      <c r="G901" s="14" t="b">
        <v>0</v>
      </c>
      <c r="H901" s="14" t="s">
        <v>340</v>
      </c>
      <c r="I901" s="14">
        <v>1.0</v>
      </c>
      <c r="J901" s="14">
        <v>0.0</v>
      </c>
      <c r="K901" s="14">
        <v>0.0</v>
      </c>
    </row>
    <row r="902" ht="15.75" customHeight="1">
      <c r="A902" s="9" t="s">
        <v>3209</v>
      </c>
      <c r="B902" s="10" t="s">
        <v>3210</v>
      </c>
      <c r="C902" s="11" t="s">
        <v>761</v>
      </c>
      <c r="D902" s="12" t="s">
        <v>19</v>
      </c>
      <c r="E902" s="13" t="s">
        <v>102</v>
      </c>
      <c r="F902" s="14" t="s">
        <v>21</v>
      </c>
      <c r="G902" s="14" t="b">
        <v>0</v>
      </c>
      <c r="H902" s="14" t="s">
        <v>3211</v>
      </c>
      <c r="I902" s="14">
        <v>1.0</v>
      </c>
      <c r="J902" s="14">
        <v>0.0</v>
      </c>
      <c r="K902" s="14">
        <v>0.0</v>
      </c>
    </row>
    <row r="903" ht="15.75" customHeight="1">
      <c r="A903" s="9" t="s">
        <v>3212</v>
      </c>
      <c r="B903" s="10" t="s">
        <v>3213</v>
      </c>
      <c r="C903" s="11" t="s">
        <v>761</v>
      </c>
      <c r="D903" s="12" t="s">
        <v>312</v>
      </c>
      <c r="E903" s="13" t="s">
        <v>102</v>
      </c>
      <c r="F903" s="14" t="s">
        <v>313</v>
      </c>
      <c r="G903" s="14" t="b">
        <v>0</v>
      </c>
      <c r="H903" s="14" t="s">
        <v>3214</v>
      </c>
      <c r="I903" s="14">
        <v>1.0</v>
      </c>
      <c r="J903" s="14">
        <v>0.0</v>
      </c>
      <c r="K903" s="14">
        <v>1.0</v>
      </c>
    </row>
    <row r="904" ht="15.75" customHeight="1">
      <c r="A904" s="9" t="s">
        <v>3215</v>
      </c>
      <c r="B904" s="10" t="s">
        <v>3216</v>
      </c>
      <c r="C904" s="11" t="s">
        <v>761</v>
      </c>
      <c r="D904" s="12" t="s">
        <v>312</v>
      </c>
      <c r="E904" s="13" t="s">
        <v>102</v>
      </c>
      <c r="F904" s="14" t="s">
        <v>313</v>
      </c>
      <c r="G904" s="14" t="b">
        <v>0</v>
      </c>
      <c r="H904" s="14" t="s">
        <v>279</v>
      </c>
      <c r="I904" s="14">
        <v>1.0</v>
      </c>
      <c r="J904" s="14">
        <v>0.0</v>
      </c>
      <c r="K904" s="14">
        <v>3.0</v>
      </c>
    </row>
    <row r="905" ht="15.75" customHeight="1">
      <c r="A905" s="9" t="s">
        <v>3217</v>
      </c>
      <c r="B905" s="10" t="s">
        <v>3218</v>
      </c>
      <c r="C905" s="11" t="s">
        <v>761</v>
      </c>
      <c r="D905" s="12" t="s">
        <v>312</v>
      </c>
      <c r="E905" s="13" t="s">
        <v>102</v>
      </c>
      <c r="F905" s="14" t="s">
        <v>313</v>
      </c>
      <c r="G905" s="14" t="b">
        <v>0</v>
      </c>
      <c r="H905" s="14" t="s">
        <v>3219</v>
      </c>
      <c r="I905" s="14">
        <v>1.0</v>
      </c>
      <c r="J905" s="14">
        <v>0.0</v>
      </c>
      <c r="K905" s="14">
        <v>1.0</v>
      </c>
    </row>
    <row r="906" ht="15.75" customHeight="1">
      <c r="A906" s="9" t="s">
        <v>3220</v>
      </c>
      <c r="B906" s="10" t="s">
        <v>3221</v>
      </c>
      <c r="C906" s="11" t="s">
        <v>1514</v>
      </c>
      <c r="D906" s="12" t="s">
        <v>19</v>
      </c>
      <c r="E906" s="13" t="s">
        <v>32</v>
      </c>
      <c r="F906" s="14" t="s">
        <v>21</v>
      </c>
      <c r="G906" s="14" t="b">
        <v>0</v>
      </c>
      <c r="H906" s="14" t="s">
        <v>3222</v>
      </c>
      <c r="I906" s="14">
        <v>1.0</v>
      </c>
      <c r="J906" s="14">
        <v>0.0</v>
      </c>
      <c r="K906" s="14">
        <v>1.0</v>
      </c>
    </row>
    <row r="907" ht="15.75" customHeight="1">
      <c r="A907" s="9" t="s">
        <v>3223</v>
      </c>
      <c r="B907" s="10" t="s">
        <v>3224</v>
      </c>
      <c r="C907" s="11" t="s">
        <v>1517</v>
      </c>
      <c r="D907" s="12" t="s">
        <v>125</v>
      </c>
      <c r="E907" s="13" t="s">
        <v>32</v>
      </c>
      <c r="F907" s="14" t="s">
        <v>126</v>
      </c>
      <c r="G907" s="14" t="b">
        <v>0</v>
      </c>
      <c r="I907" s="14">
        <v>1.0</v>
      </c>
      <c r="J907" s="14">
        <v>0.0</v>
      </c>
      <c r="K907" s="14">
        <v>0.0</v>
      </c>
    </row>
    <row r="908" ht="15.75" customHeight="1">
      <c r="A908" s="9" t="s">
        <v>3225</v>
      </c>
      <c r="B908" s="10" t="s">
        <v>3226</v>
      </c>
      <c r="C908" s="11" t="s">
        <v>1133</v>
      </c>
      <c r="D908" s="12" t="s">
        <v>125</v>
      </c>
      <c r="E908" s="13" t="s">
        <v>32</v>
      </c>
      <c r="F908" s="14" t="s">
        <v>126</v>
      </c>
      <c r="G908" s="14" t="b">
        <v>0</v>
      </c>
      <c r="I908" s="14">
        <v>1.0</v>
      </c>
      <c r="J908" s="14">
        <v>0.0</v>
      </c>
      <c r="K908" s="14">
        <v>2.0</v>
      </c>
    </row>
    <row r="909" ht="15.75" customHeight="1">
      <c r="A909" s="9" t="s">
        <v>3227</v>
      </c>
      <c r="B909" s="10" t="s">
        <v>3228</v>
      </c>
      <c r="C909" s="11" t="s">
        <v>1133</v>
      </c>
      <c r="D909" s="12" t="s">
        <v>277</v>
      </c>
      <c r="E909" s="13" t="s">
        <v>32</v>
      </c>
      <c r="F909" s="14" t="s">
        <v>278</v>
      </c>
      <c r="G909" s="14" t="b">
        <v>0</v>
      </c>
      <c r="I909" s="14">
        <v>1.0</v>
      </c>
      <c r="J909" s="14">
        <v>0.0</v>
      </c>
      <c r="K909" s="14">
        <v>0.0</v>
      </c>
    </row>
    <row r="910" ht="15.75" customHeight="1">
      <c r="A910" s="9" t="s">
        <v>3229</v>
      </c>
      <c r="B910" s="10" t="s">
        <v>3230</v>
      </c>
      <c r="C910" s="11" t="s">
        <v>1519</v>
      </c>
      <c r="D910" s="12" t="s">
        <v>277</v>
      </c>
      <c r="E910" s="13" t="s">
        <v>32</v>
      </c>
      <c r="F910" s="14" t="s">
        <v>278</v>
      </c>
      <c r="G910" s="14" t="b">
        <v>0</v>
      </c>
      <c r="H910" s="14" t="s">
        <v>1520</v>
      </c>
      <c r="I910" s="14">
        <v>1.0</v>
      </c>
      <c r="J910" s="14">
        <v>0.0</v>
      </c>
      <c r="K910" s="14">
        <v>0.0</v>
      </c>
    </row>
    <row r="911" ht="15.75" customHeight="1">
      <c r="A911" s="9" t="s">
        <v>3231</v>
      </c>
      <c r="B911" s="10" t="s">
        <v>3232</v>
      </c>
      <c r="C911" s="11" t="s">
        <v>1521</v>
      </c>
      <c r="D911" s="12" t="s">
        <v>125</v>
      </c>
      <c r="E911" s="13" t="s">
        <v>20</v>
      </c>
      <c r="F911" s="14" t="s">
        <v>126</v>
      </c>
      <c r="G911" s="14" t="b">
        <v>0</v>
      </c>
      <c r="H911" s="14" t="s">
        <v>1522</v>
      </c>
      <c r="I911" s="14">
        <v>1.0</v>
      </c>
      <c r="J911" s="14">
        <v>0.0</v>
      </c>
      <c r="K911" s="14">
        <v>1.0</v>
      </c>
    </row>
    <row r="912" ht="15.75" customHeight="1">
      <c r="A912" s="9" t="s">
        <v>3233</v>
      </c>
      <c r="B912" s="10" t="s">
        <v>3234</v>
      </c>
      <c r="C912" s="11" t="s">
        <v>189</v>
      </c>
      <c r="D912" s="12" t="s">
        <v>19</v>
      </c>
      <c r="E912" s="13" t="s">
        <v>32</v>
      </c>
      <c r="F912" s="14" t="s">
        <v>21</v>
      </c>
      <c r="G912" s="14" t="b">
        <v>0</v>
      </c>
      <c r="H912" s="14" t="s">
        <v>3235</v>
      </c>
      <c r="I912" s="14">
        <v>1.0</v>
      </c>
      <c r="J912" s="14">
        <v>0.0</v>
      </c>
      <c r="K912" s="14">
        <v>1.0</v>
      </c>
    </row>
    <row r="913" ht="15.75" customHeight="1">
      <c r="A913" s="9" t="s">
        <v>3236</v>
      </c>
      <c r="B913" s="10" t="s">
        <v>3237</v>
      </c>
      <c r="C913" s="11" t="s">
        <v>164</v>
      </c>
      <c r="D913" s="12" t="s">
        <v>277</v>
      </c>
      <c r="E913" s="13" t="s">
        <v>32</v>
      </c>
      <c r="F913" s="14" t="s">
        <v>278</v>
      </c>
      <c r="G913" s="14" t="b">
        <v>0</v>
      </c>
      <c r="H913" s="14" t="s">
        <v>3238</v>
      </c>
      <c r="I913" s="14">
        <v>1.0</v>
      </c>
      <c r="J913" s="14">
        <v>0.0</v>
      </c>
      <c r="K913" s="14">
        <v>0.0</v>
      </c>
    </row>
    <row r="914" ht="15.75" customHeight="1">
      <c r="A914" s="9" t="s">
        <v>3239</v>
      </c>
      <c r="B914" s="10" t="s">
        <v>3240</v>
      </c>
      <c r="C914" s="11" t="s">
        <v>164</v>
      </c>
      <c r="D914" s="12" t="s">
        <v>277</v>
      </c>
      <c r="E914" s="13" t="s">
        <v>32</v>
      </c>
      <c r="F914" s="14" t="s">
        <v>278</v>
      </c>
      <c r="G914" s="14" t="b">
        <v>0</v>
      </c>
      <c r="H914" s="14" t="s">
        <v>3241</v>
      </c>
      <c r="I914" s="14">
        <v>1.0</v>
      </c>
      <c r="J914" s="14">
        <v>0.0</v>
      </c>
      <c r="K914" s="14">
        <v>1.0</v>
      </c>
    </row>
    <row r="915" ht="15.75" customHeight="1">
      <c r="A915" s="9" t="s">
        <v>3242</v>
      </c>
      <c r="B915" s="10" t="s">
        <v>3243</v>
      </c>
      <c r="C915" s="11" t="s">
        <v>951</v>
      </c>
      <c r="D915" s="12" t="s">
        <v>125</v>
      </c>
      <c r="E915" s="13" t="s">
        <v>32</v>
      </c>
      <c r="F915" s="14" t="s">
        <v>126</v>
      </c>
      <c r="G915" s="14" t="b">
        <v>0</v>
      </c>
      <c r="I915" s="14">
        <v>1.0</v>
      </c>
      <c r="J915" s="14">
        <v>0.0</v>
      </c>
      <c r="K915" s="14">
        <v>0.0</v>
      </c>
    </row>
    <row r="916" ht="15.75" customHeight="1">
      <c r="A916" s="9" t="s">
        <v>3244</v>
      </c>
      <c r="B916" s="10" t="s">
        <v>3245</v>
      </c>
      <c r="C916" s="11" t="s">
        <v>951</v>
      </c>
      <c r="D916" s="12" t="s">
        <v>277</v>
      </c>
      <c r="E916" s="13" t="s">
        <v>32</v>
      </c>
      <c r="F916" s="14" t="s">
        <v>278</v>
      </c>
      <c r="G916" s="14" t="b">
        <v>0</v>
      </c>
      <c r="I916" s="14">
        <v>1.0</v>
      </c>
      <c r="J916" s="14">
        <v>0.0</v>
      </c>
      <c r="K916" s="14">
        <v>0.0</v>
      </c>
    </row>
    <row r="917" ht="15.75" customHeight="1">
      <c r="A917" s="9" t="s">
        <v>3246</v>
      </c>
      <c r="B917" s="13"/>
      <c r="C917" s="11" t="s">
        <v>198</v>
      </c>
      <c r="D917" s="12" t="s">
        <v>116</v>
      </c>
      <c r="E917" s="13" t="s">
        <v>116</v>
      </c>
      <c r="F917" s="14" t="s">
        <v>117</v>
      </c>
      <c r="H917" s="14" t="s">
        <v>824</v>
      </c>
      <c r="I917" s="14">
        <v>1.0</v>
      </c>
      <c r="J917" s="14">
        <v>0.0</v>
      </c>
      <c r="K917" s="14">
        <v>1.0</v>
      </c>
    </row>
    <row r="918" ht="15.75" customHeight="1">
      <c r="A918" s="9" t="s">
        <v>3247</v>
      </c>
      <c r="B918" s="10" t="s">
        <v>3248</v>
      </c>
      <c r="C918" s="11" t="s">
        <v>18</v>
      </c>
      <c r="D918" s="12" t="s">
        <v>30</v>
      </c>
      <c r="E918" s="13" t="s">
        <v>32</v>
      </c>
      <c r="F918" s="14" t="s">
        <v>34</v>
      </c>
      <c r="G918" s="14" t="b">
        <v>0</v>
      </c>
      <c r="H918" s="14" t="s">
        <v>3249</v>
      </c>
      <c r="I918" s="14">
        <v>1.0</v>
      </c>
      <c r="J918" s="14">
        <v>0.0</v>
      </c>
      <c r="K918" s="14">
        <v>0.0</v>
      </c>
    </row>
    <row r="919" ht="15.75" customHeight="1">
      <c r="A919" s="9" t="s">
        <v>3250</v>
      </c>
      <c r="B919" s="10" t="s">
        <v>3251</v>
      </c>
      <c r="C919" s="11" t="s">
        <v>18</v>
      </c>
      <c r="D919" s="12" t="s">
        <v>30</v>
      </c>
      <c r="E919" s="13" t="s">
        <v>32</v>
      </c>
      <c r="F919" s="14" t="s">
        <v>34</v>
      </c>
      <c r="G919" s="14" t="b">
        <v>0</v>
      </c>
      <c r="H919" s="14" t="s">
        <v>3252</v>
      </c>
      <c r="I919" s="14">
        <v>1.0</v>
      </c>
      <c r="J919" s="14">
        <v>0.0</v>
      </c>
      <c r="K919" s="14">
        <v>0.0</v>
      </c>
    </row>
    <row r="920" ht="15.75" customHeight="1">
      <c r="A920" s="9" t="s">
        <v>3253</v>
      </c>
      <c r="B920" s="10" t="s">
        <v>3254</v>
      </c>
      <c r="C920" s="11" t="s">
        <v>18</v>
      </c>
      <c r="D920" s="12" t="s">
        <v>30</v>
      </c>
      <c r="E920" s="13" t="s">
        <v>32</v>
      </c>
      <c r="F920" s="14" t="s">
        <v>34</v>
      </c>
      <c r="G920" s="14" t="b">
        <v>0</v>
      </c>
      <c r="H920" s="14" t="s">
        <v>3255</v>
      </c>
      <c r="I920" s="14">
        <v>1.0</v>
      </c>
      <c r="J920" s="14">
        <v>0.0</v>
      </c>
      <c r="K920" s="14">
        <v>1.0</v>
      </c>
    </row>
    <row r="921" ht="15.75" customHeight="1">
      <c r="A921" s="9" t="s">
        <v>3256</v>
      </c>
      <c r="B921" s="10" t="s">
        <v>3257</v>
      </c>
      <c r="C921" s="11" t="s">
        <v>18</v>
      </c>
      <c r="D921" s="12" t="s">
        <v>158</v>
      </c>
      <c r="E921" s="13" t="s">
        <v>32</v>
      </c>
      <c r="F921" s="14" t="s">
        <v>160</v>
      </c>
      <c r="G921" s="14" t="b">
        <v>0</v>
      </c>
      <c r="H921" s="14" t="s">
        <v>473</v>
      </c>
      <c r="I921" s="14">
        <v>1.0</v>
      </c>
      <c r="J921" s="14">
        <v>0.0</v>
      </c>
      <c r="K921" s="14">
        <v>0.0</v>
      </c>
    </row>
    <row r="922" ht="15.75" customHeight="1">
      <c r="A922" s="9" t="s">
        <v>3258</v>
      </c>
      <c r="B922" s="10" t="s">
        <v>3259</v>
      </c>
      <c r="C922" s="11" t="s">
        <v>18</v>
      </c>
      <c r="D922" s="12" t="s">
        <v>30</v>
      </c>
      <c r="E922" s="13" t="s">
        <v>32</v>
      </c>
      <c r="F922" s="14" t="s">
        <v>34</v>
      </c>
      <c r="G922" s="14" t="b">
        <v>0</v>
      </c>
      <c r="H922" s="14" t="s">
        <v>3260</v>
      </c>
      <c r="I922" s="14">
        <v>1.0</v>
      </c>
      <c r="J922" s="14">
        <v>0.0</v>
      </c>
      <c r="K922" s="14">
        <v>1.0</v>
      </c>
    </row>
    <row r="923" ht="15.75" customHeight="1">
      <c r="A923" s="9" t="s">
        <v>3261</v>
      </c>
      <c r="B923" s="10" t="s">
        <v>3262</v>
      </c>
      <c r="C923" s="11" t="s">
        <v>18</v>
      </c>
      <c r="D923" s="12" t="s">
        <v>30</v>
      </c>
      <c r="E923" s="13" t="s">
        <v>32</v>
      </c>
      <c r="F923" s="14" t="s">
        <v>34</v>
      </c>
      <c r="G923" s="14" t="b">
        <v>0</v>
      </c>
      <c r="H923" s="14" t="s">
        <v>3263</v>
      </c>
      <c r="I923" s="14">
        <v>1.0</v>
      </c>
      <c r="J923" s="14">
        <v>0.0</v>
      </c>
      <c r="K923" s="14">
        <v>0.0</v>
      </c>
    </row>
    <row r="924" ht="15.75" customHeight="1">
      <c r="A924" s="9" t="s">
        <v>3264</v>
      </c>
      <c r="B924" s="10" t="s">
        <v>3265</v>
      </c>
      <c r="C924" s="11" t="s">
        <v>18</v>
      </c>
      <c r="D924" s="12" t="s">
        <v>30</v>
      </c>
      <c r="E924" s="13" t="s">
        <v>32</v>
      </c>
      <c r="F924" s="14" t="s">
        <v>34</v>
      </c>
      <c r="G924" s="14" t="b">
        <v>0</v>
      </c>
      <c r="H924" s="14" t="s">
        <v>3266</v>
      </c>
      <c r="I924" s="14">
        <v>1.0</v>
      </c>
      <c r="J924" s="14">
        <v>0.0</v>
      </c>
      <c r="K924" s="14">
        <v>0.0</v>
      </c>
    </row>
    <row r="925" ht="15.75" customHeight="1">
      <c r="A925" s="9" t="s">
        <v>3267</v>
      </c>
      <c r="B925" s="10" t="s">
        <v>3268</v>
      </c>
      <c r="C925" s="11" t="s">
        <v>18</v>
      </c>
      <c r="D925" s="12" t="s">
        <v>30</v>
      </c>
      <c r="E925" s="13" t="s">
        <v>32</v>
      </c>
      <c r="F925" s="14" t="s">
        <v>34</v>
      </c>
      <c r="G925" s="14" t="b">
        <v>0</v>
      </c>
      <c r="H925" s="14" t="s">
        <v>3269</v>
      </c>
      <c r="I925" s="14">
        <v>1.0</v>
      </c>
      <c r="J925" s="14">
        <v>0.0</v>
      </c>
      <c r="K925" s="14">
        <v>0.0</v>
      </c>
    </row>
    <row r="926" ht="15.75" customHeight="1">
      <c r="A926" s="9" t="s">
        <v>3270</v>
      </c>
      <c r="B926" s="10" t="s">
        <v>3271</v>
      </c>
      <c r="C926" s="11" t="s">
        <v>18</v>
      </c>
      <c r="D926" s="12" t="s">
        <v>30</v>
      </c>
      <c r="E926" s="13" t="s">
        <v>32</v>
      </c>
      <c r="F926" s="14" t="s">
        <v>34</v>
      </c>
      <c r="G926" s="14" t="b">
        <v>0</v>
      </c>
      <c r="H926" s="14" t="s">
        <v>3272</v>
      </c>
      <c r="I926" s="14">
        <v>1.0</v>
      </c>
      <c r="J926" s="14">
        <v>0.0</v>
      </c>
      <c r="K926" s="14">
        <v>0.0</v>
      </c>
    </row>
    <row r="927" ht="15.75" customHeight="1">
      <c r="A927" s="9" t="s">
        <v>3273</v>
      </c>
      <c r="B927" s="10" t="s">
        <v>3274</v>
      </c>
      <c r="C927" s="11" t="s">
        <v>18</v>
      </c>
      <c r="D927" s="12" t="s">
        <v>30</v>
      </c>
      <c r="E927" s="13" t="s">
        <v>32</v>
      </c>
      <c r="F927" s="14" t="s">
        <v>34</v>
      </c>
      <c r="G927" s="14" t="b">
        <v>0</v>
      </c>
      <c r="H927" s="14" t="s">
        <v>3275</v>
      </c>
      <c r="I927" s="14">
        <v>1.0</v>
      </c>
      <c r="J927" s="14">
        <v>0.0</v>
      </c>
      <c r="K927" s="14">
        <v>0.0</v>
      </c>
    </row>
    <row r="928" ht="15.75" customHeight="1">
      <c r="A928" s="9" t="s">
        <v>3276</v>
      </c>
      <c r="B928" s="10" t="s">
        <v>3277</v>
      </c>
      <c r="C928" s="11" t="s">
        <v>18</v>
      </c>
      <c r="D928" s="12" t="s">
        <v>30</v>
      </c>
      <c r="E928" s="13" t="s">
        <v>32</v>
      </c>
      <c r="F928" s="14" t="s">
        <v>34</v>
      </c>
      <c r="G928" s="14" t="b">
        <v>0</v>
      </c>
      <c r="H928" s="14" t="s">
        <v>3278</v>
      </c>
      <c r="I928" s="14">
        <v>1.0</v>
      </c>
      <c r="J928" s="14">
        <v>0.0</v>
      </c>
      <c r="K928" s="14">
        <v>0.0</v>
      </c>
    </row>
    <row r="929" ht="15.75" customHeight="1">
      <c r="A929" s="9" t="s">
        <v>3279</v>
      </c>
      <c r="B929" s="10" t="s">
        <v>3280</v>
      </c>
      <c r="C929" s="11" t="s">
        <v>18</v>
      </c>
      <c r="D929" s="12" t="s">
        <v>30</v>
      </c>
      <c r="E929" s="13" t="s">
        <v>32</v>
      </c>
      <c r="F929" s="14" t="s">
        <v>34</v>
      </c>
      <c r="G929" s="14" t="b">
        <v>0</v>
      </c>
      <c r="H929" s="14" t="s">
        <v>3281</v>
      </c>
      <c r="I929" s="14">
        <v>1.0</v>
      </c>
      <c r="J929" s="14">
        <v>0.0</v>
      </c>
      <c r="K929" s="14">
        <v>0.0</v>
      </c>
    </row>
    <row r="930" ht="15.75" customHeight="1">
      <c r="A930" s="9" t="s">
        <v>3282</v>
      </c>
      <c r="B930" s="10" t="s">
        <v>3283</v>
      </c>
      <c r="C930" s="11" t="s">
        <v>18</v>
      </c>
      <c r="D930" s="12" t="s">
        <v>116</v>
      </c>
      <c r="E930" s="13" t="s">
        <v>32</v>
      </c>
      <c r="F930" s="14" t="s">
        <v>117</v>
      </c>
      <c r="G930" s="14" t="b">
        <v>0</v>
      </c>
      <c r="H930" s="14" t="s">
        <v>3284</v>
      </c>
      <c r="I930" s="14">
        <v>1.0</v>
      </c>
      <c r="J930" s="14">
        <v>0.0</v>
      </c>
      <c r="K930" s="14">
        <v>0.0</v>
      </c>
    </row>
    <row r="931" ht="15.75" customHeight="1">
      <c r="A931" s="9" t="s">
        <v>3285</v>
      </c>
      <c r="B931" s="10" t="s">
        <v>3286</v>
      </c>
      <c r="C931" s="11" t="s">
        <v>18</v>
      </c>
      <c r="D931" s="12" t="s">
        <v>30</v>
      </c>
      <c r="E931" s="13" t="s">
        <v>32</v>
      </c>
      <c r="F931" s="14" t="s">
        <v>34</v>
      </c>
      <c r="G931" s="14" t="b">
        <v>0</v>
      </c>
      <c r="H931" s="14" t="s">
        <v>3287</v>
      </c>
      <c r="I931" s="14">
        <v>1.0</v>
      </c>
      <c r="J931" s="14">
        <v>0.0</v>
      </c>
      <c r="K931" s="14">
        <v>3.0</v>
      </c>
    </row>
    <row r="932" ht="15.75" customHeight="1">
      <c r="A932" s="9" t="s">
        <v>3288</v>
      </c>
      <c r="B932" s="10" t="s">
        <v>3289</v>
      </c>
      <c r="C932" s="11" t="s">
        <v>18</v>
      </c>
      <c r="D932" s="12" t="s">
        <v>30</v>
      </c>
      <c r="E932" s="13" t="s">
        <v>32</v>
      </c>
      <c r="F932" s="14" t="s">
        <v>34</v>
      </c>
      <c r="G932" s="14" t="b">
        <v>0</v>
      </c>
      <c r="H932" s="14" t="s">
        <v>3290</v>
      </c>
      <c r="I932" s="14">
        <v>1.0</v>
      </c>
      <c r="J932" s="14">
        <v>0.0</v>
      </c>
      <c r="K932" s="14">
        <v>0.0</v>
      </c>
    </row>
    <row r="933" ht="15.75" customHeight="1">
      <c r="A933" s="9" t="s">
        <v>3291</v>
      </c>
      <c r="B933" s="10" t="s">
        <v>3292</v>
      </c>
      <c r="C933" s="11" t="s">
        <v>18</v>
      </c>
      <c r="D933" s="12" t="s">
        <v>30</v>
      </c>
      <c r="E933" s="13" t="s">
        <v>32</v>
      </c>
      <c r="F933" s="14" t="s">
        <v>34</v>
      </c>
      <c r="G933" s="14" t="b">
        <v>0</v>
      </c>
      <c r="H933" s="14" t="s">
        <v>3293</v>
      </c>
      <c r="I933" s="14">
        <v>1.0</v>
      </c>
      <c r="J933" s="14">
        <v>0.0</v>
      </c>
      <c r="K933" s="14">
        <v>0.0</v>
      </c>
    </row>
    <row r="934" ht="15.75" customHeight="1">
      <c r="A934" s="9" t="s">
        <v>3294</v>
      </c>
      <c r="B934" s="10" t="s">
        <v>3295</v>
      </c>
      <c r="C934" s="11" t="s">
        <v>18</v>
      </c>
      <c r="D934" s="12" t="s">
        <v>158</v>
      </c>
      <c r="E934" s="13" t="s">
        <v>32</v>
      </c>
      <c r="F934" s="14" t="s">
        <v>160</v>
      </c>
      <c r="G934" s="14" t="b">
        <v>0</v>
      </c>
      <c r="H934" s="14" t="s">
        <v>3296</v>
      </c>
      <c r="I934" s="14">
        <v>1.0</v>
      </c>
      <c r="J934" s="14">
        <v>0.0</v>
      </c>
      <c r="K934" s="14">
        <v>1.0</v>
      </c>
    </row>
    <row r="935" ht="15.75" customHeight="1">
      <c r="A935" s="9" t="s">
        <v>3297</v>
      </c>
      <c r="B935" s="10" t="s">
        <v>3298</v>
      </c>
      <c r="C935" s="11" t="s">
        <v>1523</v>
      </c>
      <c r="D935" s="12" t="s">
        <v>125</v>
      </c>
      <c r="E935" s="13" t="s">
        <v>32</v>
      </c>
      <c r="F935" s="14" t="s">
        <v>126</v>
      </c>
      <c r="G935" s="14" t="b">
        <v>0</v>
      </c>
      <c r="I935" s="14">
        <v>1.0</v>
      </c>
      <c r="J935" s="14">
        <v>0.0</v>
      </c>
      <c r="K935" s="14">
        <v>2.0</v>
      </c>
    </row>
    <row r="936" ht="15.75" customHeight="1">
      <c r="A936" s="9" t="s">
        <v>3299</v>
      </c>
      <c r="B936" s="10" t="s">
        <v>3300</v>
      </c>
      <c r="C936" s="11" t="s">
        <v>1525</v>
      </c>
      <c r="D936" s="12" t="s">
        <v>1143</v>
      </c>
      <c r="E936" s="13" t="s">
        <v>32</v>
      </c>
      <c r="F936" s="14" t="s">
        <v>1145</v>
      </c>
      <c r="G936" s="14" t="b">
        <v>0</v>
      </c>
      <c r="H936" s="14" t="s">
        <v>340</v>
      </c>
      <c r="I936" s="14">
        <v>1.0</v>
      </c>
      <c r="J936" s="14">
        <v>0.0</v>
      </c>
      <c r="K936" s="14">
        <v>1.0</v>
      </c>
    </row>
    <row r="937" ht="15.75" customHeight="1">
      <c r="A937" s="9" t="s">
        <v>3301</v>
      </c>
      <c r="B937" s="10" t="s">
        <v>3302</v>
      </c>
      <c r="C937" s="11" t="s">
        <v>201</v>
      </c>
      <c r="D937" s="12" t="s">
        <v>19</v>
      </c>
      <c r="E937" s="13" t="s">
        <v>32</v>
      </c>
      <c r="F937" s="14" t="s">
        <v>21</v>
      </c>
      <c r="G937" s="14" t="b">
        <v>0</v>
      </c>
      <c r="H937" s="14" t="s">
        <v>538</v>
      </c>
      <c r="I937" s="14">
        <v>1.0</v>
      </c>
      <c r="J937" s="14">
        <v>0.0</v>
      </c>
      <c r="K937" s="14">
        <v>1.0</v>
      </c>
    </row>
    <row r="938" ht="15.75" customHeight="1">
      <c r="A938" s="9" t="s">
        <v>3303</v>
      </c>
      <c r="B938" s="10" t="s">
        <v>3304</v>
      </c>
      <c r="C938" s="11" t="s">
        <v>1527</v>
      </c>
      <c r="D938" s="12" t="s">
        <v>116</v>
      </c>
      <c r="E938" s="13" t="s">
        <v>32</v>
      </c>
      <c r="F938" s="14" t="s">
        <v>117</v>
      </c>
      <c r="G938" s="14" t="b">
        <v>0</v>
      </c>
      <c r="I938" s="14">
        <v>1.0</v>
      </c>
      <c r="J938" s="14">
        <v>0.0</v>
      </c>
      <c r="K938" s="14">
        <v>1.0</v>
      </c>
    </row>
    <row r="939" ht="15.75" customHeight="1">
      <c r="A939" s="9" t="s">
        <v>3305</v>
      </c>
      <c r="B939" s="10" t="s">
        <v>3306</v>
      </c>
      <c r="C939" s="11" t="s">
        <v>247</v>
      </c>
      <c r="D939" s="12" t="s">
        <v>19</v>
      </c>
      <c r="E939" s="13" t="s">
        <v>32</v>
      </c>
      <c r="F939" s="14" t="s">
        <v>21</v>
      </c>
      <c r="G939" s="14" t="b">
        <v>0</v>
      </c>
      <c r="H939" s="14" t="s">
        <v>3307</v>
      </c>
      <c r="I939" s="14">
        <v>1.0</v>
      </c>
      <c r="J939" s="14">
        <v>0.0</v>
      </c>
      <c r="K939" s="14">
        <v>0.0</v>
      </c>
    </row>
    <row r="940" ht="15.75" customHeight="1">
      <c r="A940" s="9" t="s">
        <v>3308</v>
      </c>
      <c r="B940" s="10" t="s">
        <v>3309</v>
      </c>
      <c r="C940" s="11" t="s">
        <v>1528</v>
      </c>
      <c r="D940" s="12" t="s">
        <v>116</v>
      </c>
      <c r="E940" s="13" t="s">
        <v>85</v>
      </c>
      <c r="F940" s="14" t="s">
        <v>117</v>
      </c>
      <c r="G940" s="14" t="b">
        <v>0</v>
      </c>
      <c r="I940" s="14">
        <v>1.0</v>
      </c>
      <c r="J940" s="14">
        <v>0.0</v>
      </c>
      <c r="K940" s="14">
        <v>0.0</v>
      </c>
    </row>
    <row r="941" ht="15.75" customHeight="1">
      <c r="A941" s="9" t="s">
        <v>3310</v>
      </c>
      <c r="B941" s="10" t="s">
        <v>3311</v>
      </c>
      <c r="C941" s="11" t="s">
        <v>1188</v>
      </c>
      <c r="D941" s="12" t="s">
        <v>277</v>
      </c>
      <c r="E941" s="13" t="s">
        <v>32</v>
      </c>
      <c r="F941" s="14" t="s">
        <v>278</v>
      </c>
      <c r="G941" s="14" t="b">
        <v>0</v>
      </c>
      <c r="H941" s="14" t="s">
        <v>361</v>
      </c>
      <c r="I941" s="14">
        <v>1.0</v>
      </c>
      <c r="J941" s="14">
        <v>0.0</v>
      </c>
      <c r="K941" s="14">
        <v>1.0</v>
      </c>
    </row>
    <row r="942" ht="15.75" customHeight="1">
      <c r="A942" s="9" t="s">
        <v>3312</v>
      </c>
      <c r="B942" s="10" t="s">
        <v>3313</v>
      </c>
      <c r="C942" s="11" t="s">
        <v>1188</v>
      </c>
      <c r="D942" s="12" t="s">
        <v>277</v>
      </c>
      <c r="E942" s="13" t="s">
        <v>32</v>
      </c>
      <c r="F942" s="14" t="s">
        <v>278</v>
      </c>
      <c r="G942" s="14" t="b">
        <v>0</v>
      </c>
      <c r="H942" s="14" t="s">
        <v>361</v>
      </c>
      <c r="I942" s="14">
        <v>1.0</v>
      </c>
      <c r="J942" s="14">
        <v>0.0</v>
      </c>
      <c r="K942" s="14">
        <v>1.0</v>
      </c>
    </row>
    <row r="943" ht="15.75" customHeight="1">
      <c r="A943" s="9" t="s">
        <v>3314</v>
      </c>
      <c r="B943" s="10" t="s">
        <v>3315</v>
      </c>
      <c r="C943" s="11" t="s">
        <v>1531</v>
      </c>
      <c r="D943" s="12" t="s">
        <v>158</v>
      </c>
      <c r="E943" s="13" t="s">
        <v>32</v>
      </c>
      <c r="F943" s="14" t="s">
        <v>160</v>
      </c>
      <c r="G943" s="14" t="b">
        <v>0</v>
      </c>
      <c r="I943" s="14">
        <v>1.0</v>
      </c>
      <c r="J943" s="14">
        <v>0.0</v>
      </c>
      <c r="K943" s="14">
        <v>1.0</v>
      </c>
    </row>
    <row r="944" ht="15.75" customHeight="1">
      <c r="A944" s="9" t="s">
        <v>3316</v>
      </c>
      <c r="B944" s="10" t="s">
        <v>3317</v>
      </c>
      <c r="C944" s="11" t="s">
        <v>1533</v>
      </c>
      <c r="D944" s="12" t="s">
        <v>116</v>
      </c>
      <c r="E944" s="13" t="s">
        <v>102</v>
      </c>
      <c r="F944" s="14" t="s">
        <v>117</v>
      </c>
      <c r="G944" s="14" t="b">
        <v>0</v>
      </c>
      <c r="I944" s="14">
        <v>1.0</v>
      </c>
      <c r="J944" s="14">
        <v>0.0</v>
      </c>
      <c r="K944" s="14">
        <v>2.0</v>
      </c>
    </row>
    <row r="945" ht="15.75" customHeight="1">
      <c r="A945" s="9" t="s">
        <v>3318</v>
      </c>
      <c r="B945" s="10" t="s">
        <v>3319</v>
      </c>
      <c r="C945" s="11" t="s">
        <v>1535</v>
      </c>
      <c r="D945" s="12" t="s">
        <v>116</v>
      </c>
      <c r="E945" s="13" t="s">
        <v>32</v>
      </c>
      <c r="F945" s="14" t="s">
        <v>117</v>
      </c>
      <c r="G945" s="14" t="b">
        <v>0</v>
      </c>
      <c r="I945" s="14">
        <v>1.0</v>
      </c>
      <c r="J945" s="14">
        <v>0.0</v>
      </c>
      <c r="K945" s="14">
        <v>1.0</v>
      </c>
    </row>
    <row r="946" ht="15.75" customHeight="1">
      <c r="A946" s="9" t="s">
        <v>3320</v>
      </c>
      <c r="B946" s="10" t="s">
        <v>3321</v>
      </c>
      <c r="C946" s="11" t="s">
        <v>1537</v>
      </c>
      <c r="D946" s="12" t="s">
        <v>116</v>
      </c>
      <c r="E946" s="13" t="s">
        <v>102</v>
      </c>
      <c r="F946" s="14" t="s">
        <v>117</v>
      </c>
      <c r="G946" s="14" t="b">
        <v>0</v>
      </c>
      <c r="H946" s="14" t="s">
        <v>3322</v>
      </c>
      <c r="I946" s="14">
        <v>1.0</v>
      </c>
      <c r="J946" s="14">
        <v>0.0</v>
      </c>
      <c r="K946" s="14">
        <v>0.0</v>
      </c>
    </row>
    <row r="947" ht="15.75" customHeight="1">
      <c r="A947" s="9" t="s">
        <v>3323</v>
      </c>
      <c r="B947" s="10" t="s">
        <v>3324</v>
      </c>
      <c r="C947" s="11" t="s">
        <v>1541</v>
      </c>
      <c r="D947" s="12" t="s">
        <v>19</v>
      </c>
      <c r="E947" s="13" t="s">
        <v>32</v>
      </c>
      <c r="F947" s="14" t="s">
        <v>21</v>
      </c>
      <c r="G947" s="14" t="b">
        <v>0</v>
      </c>
      <c r="H947" s="14" t="s">
        <v>1542</v>
      </c>
      <c r="I947" s="14">
        <v>1.0</v>
      </c>
      <c r="J947" s="14">
        <v>0.0</v>
      </c>
      <c r="K947" s="14">
        <v>1.0</v>
      </c>
    </row>
    <row r="948" ht="15.75" customHeight="1">
      <c r="A948" s="9" t="s">
        <v>3325</v>
      </c>
      <c r="B948" s="10" t="s">
        <v>3326</v>
      </c>
      <c r="C948" s="11" t="s">
        <v>1544</v>
      </c>
      <c r="D948" s="12" t="s">
        <v>158</v>
      </c>
      <c r="E948" s="13" t="s">
        <v>1201</v>
      </c>
      <c r="F948" s="14" t="s">
        <v>160</v>
      </c>
      <c r="G948" s="14" t="b">
        <v>0</v>
      </c>
      <c r="I948" s="14">
        <v>1.0</v>
      </c>
      <c r="J948" s="14">
        <v>0.0</v>
      </c>
      <c r="K948" s="14">
        <v>1.0</v>
      </c>
    </row>
    <row r="949" ht="15.75" customHeight="1">
      <c r="A949" s="9" t="s">
        <v>3327</v>
      </c>
      <c r="B949" s="10" t="s">
        <v>3328</v>
      </c>
      <c r="C949" s="11" t="s">
        <v>1547</v>
      </c>
      <c r="D949" s="12" t="s">
        <v>158</v>
      </c>
      <c r="E949" s="13" t="s">
        <v>20</v>
      </c>
      <c r="F949" s="14" t="s">
        <v>160</v>
      </c>
      <c r="G949" s="14" t="b">
        <v>0</v>
      </c>
      <c r="H949" s="14" t="s">
        <v>1549</v>
      </c>
      <c r="I949" s="14">
        <v>1.0</v>
      </c>
      <c r="J949" s="14">
        <v>0.0</v>
      </c>
      <c r="K949" s="14">
        <v>1.0</v>
      </c>
    </row>
    <row r="950" ht="15.75" customHeight="1">
      <c r="A950" s="9" t="s">
        <v>3329</v>
      </c>
      <c r="B950" s="10" t="s">
        <v>3330</v>
      </c>
      <c r="C950" s="11" t="s">
        <v>802</v>
      </c>
      <c r="D950" s="12" t="s">
        <v>158</v>
      </c>
      <c r="E950" s="13" t="s">
        <v>32</v>
      </c>
      <c r="F950" s="14" t="s">
        <v>160</v>
      </c>
      <c r="G950" s="14" t="b">
        <v>0</v>
      </c>
      <c r="I950" s="14">
        <v>1.0</v>
      </c>
      <c r="J950" s="14">
        <v>0.0</v>
      </c>
      <c r="K950" s="14">
        <v>0.0</v>
      </c>
    </row>
    <row r="951" ht="15.75" customHeight="1">
      <c r="A951" s="9" t="s">
        <v>3331</v>
      </c>
      <c r="B951" s="10" t="s">
        <v>3332</v>
      </c>
      <c r="C951" s="11" t="s">
        <v>802</v>
      </c>
      <c r="D951" s="12" t="s">
        <v>277</v>
      </c>
      <c r="E951" s="13" t="s">
        <v>32</v>
      </c>
      <c r="F951" s="14" t="s">
        <v>278</v>
      </c>
      <c r="G951" s="14" t="b">
        <v>0</v>
      </c>
      <c r="I951" s="14">
        <v>1.0</v>
      </c>
      <c r="J951" s="14">
        <v>0.0</v>
      </c>
      <c r="K951" s="14">
        <v>2.0</v>
      </c>
    </row>
    <row r="952" ht="15.75" customHeight="1">
      <c r="A952" s="9" t="s">
        <v>3333</v>
      </c>
      <c r="B952" s="10" t="s">
        <v>3334</v>
      </c>
      <c r="C952" s="11" t="s">
        <v>802</v>
      </c>
      <c r="D952" s="12" t="s">
        <v>158</v>
      </c>
      <c r="E952" s="13" t="s">
        <v>32</v>
      </c>
      <c r="F952" s="14" t="s">
        <v>160</v>
      </c>
      <c r="G952" s="14" t="b">
        <v>0</v>
      </c>
      <c r="I952" s="14">
        <v>1.0</v>
      </c>
      <c r="J952" s="14">
        <v>0.0</v>
      </c>
      <c r="K952" s="14">
        <v>0.0</v>
      </c>
    </row>
    <row r="953" ht="15.75" customHeight="1">
      <c r="A953" s="9" t="s">
        <v>3335</v>
      </c>
      <c r="B953" s="10" t="s">
        <v>3336</v>
      </c>
      <c r="C953" s="11" t="s">
        <v>1550</v>
      </c>
      <c r="D953" s="12" t="s">
        <v>19</v>
      </c>
      <c r="E953" s="13" t="s">
        <v>102</v>
      </c>
      <c r="F953" s="14" t="s">
        <v>21</v>
      </c>
      <c r="G953" s="14" t="b">
        <v>0</v>
      </c>
      <c r="H953" s="14" t="s">
        <v>1551</v>
      </c>
      <c r="I953" s="14">
        <v>1.0</v>
      </c>
      <c r="J953" s="14">
        <v>0.0</v>
      </c>
      <c r="K953" s="14">
        <v>0.0</v>
      </c>
    </row>
    <row r="954" ht="15.75" customHeight="1">
      <c r="A954" s="9" t="s">
        <v>3337</v>
      </c>
      <c r="B954" s="10" t="s">
        <v>3338</v>
      </c>
      <c r="C954" s="11" t="s">
        <v>80</v>
      </c>
      <c r="D954" s="12" t="s">
        <v>19</v>
      </c>
      <c r="E954" s="13" t="s">
        <v>32</v>
      </c>
      <c r="F954" s="14" t="s">
        <v>21</v>
      </c>
      <c r="G954" s="14" t="b">
        <v>0</v>
      </c>
      <c r="H954" s="14" t="s">
        <v>3339</v>
      </c>
      <c r="I954" s="14">
        <v>1.0</v>
      </c>
      <c r="J954" s="14">
        <v>0.0</v>
      </c>
      <c r="K954" s="14">
        <v>1.0</v>
      </c>
    </row>
    <row r="955" ht="15.75" customHeight="1">
      <c r="A955" s="9" t="s">
        <v>3340</v>
      </c>
      <c r="B955" s="10" t="s">
        <v>3341</v>
      </c>
      <c r="C955" s="11" t="s">
        <v>80</v>
      </c>
      <c r="D955" s="12" t="s">
        <v>312</v>
      </c>
      <c r="E955" s="13" t="s">
        <v>32</v>
      </c>
      <c r="F955" s="14" t="s">
        <v>313</v>
      </c>
      <c r="G955" s="14" t="b">
        <v>0</v>
      </c>
      <c r="H955" s="14" t="s">
        <v>3342</v>
      </c>
      <c r="I955" s="14">
        <v>1.0</v>
      </c>
      <c r="J955" s="14">
        <v>0.0</v>
      </c>
      <c r="K955" s="14">
        <v>1.0</v>
      </c>
    </row>
    <row r="956" ht="15.75" customHeight="1">
      <c r="A956" s="9" t="s">
        <v>3343</v>
      </c>
      <c r="B956" s="10" t="s">
        <v>3344</v>
      </c>
      <c r="C956" s="11" t="s">
        <v>80</v>
      </c>
      <c r="D956" s="12" t="s">
        <v>1143</v>
      </c>
      <c r="E956" s="13" t="s">
        <v>32</v>
      </c>
      <c r="F956" s="14" t="s">
        <v>1145</v>
      </c>
      <c r="G956" s="14" t="b">
        <v>0</v>
      </c>
      <c r="H956" s="14" t="s">
        <v>3345</v>
      </c>
      <c r="I956" s="14">
        <v>1.0</v>
      </c>
      <c r="J956" s="14">
        <v>0.0</v>
      </c>
      <c r="K956" s="14">
        <v>0.0</v>
      </c>
    </row>
    <row r="957" ht="15.75" customHeight="1">
      <c r="A957" s="9" t="s">
        <v>3346</v>
      </c>
      <c r="B957" s="10" t="s">
        <v>3347</v>
      </c>
      <c r="C957" s="11" t="s">
        <v>80</v>
      </c>
      <c r="D957" s="12" t="s">
        <v>30</v>
      </c>
      <c r="E957" s="13" t="s">
        <v>32</v>
      </c>
      <c r="F957" s="14" t="s">
        <v>34</v>
      </c>
      <c r="G957" s="14" t="b">
        <v>0</v>
      </c>
      <c r="H957" s="14" t="s">
        <v>3348</v>
      </c>
      <c r="I957" s="14">
        <v>1.0</v>
      </c>
      <c r="J957" s="14">
        <v>0.0</v>
      </c>
      <c r="K957" s="14">
        <v>1.0</v>
      </c>
    </row>
    <row r="958" ht="15.75" customHeight="1">
      <c r="A958" s="9" t="s">
        <v>3349</v>
      </c>
      <c r="B958" s="10" t="s">
        <v>3350</v>
      </c>
      <c r="C958" s="11" t="s">
        <v>80</v>
      </c>
      <c r="D958" s="12" t="s">
        <v>30</v>
      </c>
      <c r="E958" s="13" t="s">
        <v>32</v>
      </c>
      <c r="F958" s="14" t="s">
        <v>34</v>
      </c>
      <c r="G958" s="14" t="b">
        <v>0</v>
      </c>
      <c r="H958" s="14" t="s">
        <v>3351</v>
      </c>
      <c r="I958" s="14">
        <v>1.0</v>
      </c>
      <c r="J958" s="14">
        <v>0.0</v>
      </c>
      <c r="K958" s="14">
        <v>0.0</v>
      </c>
    </row>
    <row r="959" ht="15.75" customHeight="1">
      <c r="A959" s="9" t="s">
        <v>3352</v>
      </c>
      <c r="B959" s="10" t="s">
        <v>3353</v>
      </c>
      <c r="C959" s="11" t="s">
        <v>28</v>
      </c>
      <c r="D959" s="12" t="s">
        <v>30</v>
      </c>
      <c r="E959" s="13" t="s">
        <v>159</v>
      </c>
      <c r="F959" s="14" t="s">
        <v>34</v>
      </c>
      <c r="G959" s="14" t="b">
        <v>0</v>
      </c>
      <c r="H959" s="14" t="s">
        <v>1012</v>
      </c>
      <c r="I959" s="14">
        <v>1.0</v>
      </c>
      <c r="J959" s="14">
        <v>0.0</v>
      </c>
      <c r="K959" s="14">
        <v>0.0</v>
      </c>
    </row>
    <row r="960" ht="15.75" customHeight="1">
      <c r="A960" s="9" t="s">
        <v>3354</v>
      </c>
      <c r="B960" s="10" t="s">
        <v>3355</v>
      </c>
      <c r="C960" s="11" t="s">
        <v>28</v>
      </c>
      <c r="D960" s="12" t="s">
        <v>30</v>
      </c>
      <c r="E960" s="13" t="s">
        <v>159</v>
      </c>
      <c r="F960" s="14" t="s">
        <v>34</v>
      </c>
      <c r="G960" s="14" t="b">
        <v>0</v>
      </c>
      <c r="H960" s="14" t="s">
        <v>3356</v>
      </c>
      <c r="I960" s="14">
        <v>1.0</v>
      </c>
      <c r="J960" s="14">
        <v>0.0</v>
      </c>
      <c r="K960" s="14">
        <v>1.0</v>
      </c>
    </row>
    <row r="961" ht="15.75" customHeight="1">
      <c r="A961" s="9" t="s">
        <v>3357</v>
      </c>
      <c r="B961" s="10" t="s">
        <v>3358</v>
      </c>
      <c r="C961" s="11" t="s">
        <v>28</v>
      </c>
      <c r="D961" s="12" t="s">
        <v>158</v>
      </c>
      <c r="E961" s="13" t="s">
        <v>159</v>
      </c>
      <c r="F961" s="14" t="s">
        <v>160</v>
      </c>
      <c r="G961" s="14" t="b">
        <v>0</v>
      </c>
      <c r="H961" s="14" t="s">
        <v>442</v>
      </c>
      <c r="I961" s="14">
        <v>1.0</v>
      </c>
      <c r="J961" s="14">
        <v>0.0</v>
      </c>
      <c r="K961" s="14">
        <v>1.0</v>
      </c>
    </row>
    <row r="962" ht="15.75" customHeight="1">
      <c r="A962" s="9" t="s">
        <v>3359</v>
      </c>
      <c r="B962" s="10" t="s">
        <v>3360</v>
      </c>
      <c r="C962" s="11" t="s">
        <v>876</v>
      </c>
      <c r="D962" s="12" t="s">
        <v>277</v>
      </c>
      <c r="E962" s="13" t="s">
        <v>32</v>
      </c>
      <c r="F962" s="14" t="s">
        <v>278</v>
      </c>
      <c r="G962" s="14" t="b">
        <v>0</v>
      </c>
      <c r="I962" s="14">
        <v>1.0</v>
      </c>
      <c r="J962" s="14">
        <v>0.0</v>
      </c>
      <c r="K962" s="14">
        <v>0.0</v>
      </c>
    </row>
    <row r="963" ht="15.75" customHeight="1">
      <c r="A963" s="9" t="s">
        <v>3361</v>
      </c>
      <c r="B963" s="10" t="s">
        <v>3362</v>
      </c>
      <c r="C963" s="11" t="s">
        <v>1552</v>
      </c>
      <c r="D963" s="12" t="s">
        <v>277</v>
      </c>
      <c r="E963" s="13" t="s">
        <v>32</v>
      </c>
      <c r="F963" s="14" t="s">
        <v>278</v>
      </c>
      <c r="G963" s="14" t="b">
        <v>0</v>
      </c>
      <c r="I963" s="14">
        <v>1.0</v>
      </c>
      <c r="J963" s="14">
        <v>0.0</v>
      </c>
      <c r="K963" s="14">
        <v>0.0</v>
      </c>
    </row>
    <row r="964" ht="15.75" customHeight="1">
      <c r="A964" s="9" t="s">
        <v>3363</v>
      </c>
      <c r="B964" s="10" t="s">
        <v>3364</v>
      </c>
      <c r="C964" s="11" t="s">
        <v>152</v>
      </c>
      <c r="D964" s="12" t="s">
        <v>19</v>
      </c>
      <c r="E964" s="13" t="s">
        <v>102</v>
      </c>
      <c r="F964" s="14" t="s">
        <v>21</v>
      </c>
      <c r="G964" s="14" t="b">
        <v>0</v>
      </c>
      <c r="H964" s="14" t="s">
        <v>3365</v>
      </c>
      <c r="I964" s="14">
        <v>1.0</v>
      </c>
      <c r="J964" s="14">
        <v>0.0</v>
      </c>
      <c r="K964" s="14">
        <v>0.0</v>
      </c>
    </row>
    <row r="965" ht="15.75" customHeight="1">
      <c r="A965" s="9" t="s">
        <v>3366</v>
      </c>
      <c r="B965" s="10" t="s">
        <v>3367</v>
      </c>
      <c r="C965" s="11" t="s">
        <v>1028</v>
      </c>
      <c r="D965" s="12" t="s">
        <v>19</v>
      </c>
      <c r="E965" s="13" t="s">
        <v>159</v>
      </c>
      <c r="F965" s="14" t="s">
        <v>21</v>
      </c>
      <c r="G965" s="14" t="b">
        <v>0</v>
      </c>
      <c r="H965" s="14" t="s">
        <v>3368</v>
      </c>
      <c r="I965" s="14">
        <v>1.0</v>
      </c>
      <c r="J965" s="14">
        <v>0.0</v>
      </c>
      <c r="K965" s="14">
        <v>0.0</v>
      </c>
    </row>
    <row r="966" ht="15.75" customHeight="1">
      <c r="A966" s="9" t="s">
        <v>3369</v>
      </c>
      <c r="B966" s="10" t="s">
        <v>3370</v>
      </c>
      <c r="C966" s="11" t="s">
        <v>1028</v>
      </c>
      <c r="D966" s="12" t="s">
        <v>19</v>
      </c>
      <c r="E966" s="13" t="s">
        <v>159</v>
      </c>
      <c r="F966" s="14" t="s">
        <v>21</v>
      </c>
      <c r="G966" s="14" t="b">
        <v>0</v>
      </c>
      <c r="H966" s="14" t="s">
        <v>3368</v>
      </c>
      <c r="I966" s="14">
        <v>1.0</v>
      </c>
      <c r="J966" s="14">
        <v>0.0</v>
      </c>
      <c r="K966" s="14">
        <v>0.0</v>
      </c>
    </row>
    <row r="967" ht="15.75" customHeight="1">
      <c r="A967" s="9" t="s">
        <v>3371</v>
      </c>
      <c r="B967" s="10" t="s">
        <v>3372</v>
      </c>
      <c r="C967" s="11" t="s">
        <v>1028</v>
      </c>
      <c r="D967" s="12" t="s">
        <v>19</v>
      </c>
      <c r="E967" s="13" t="s">
        <v>159</v>
      </c>
      <c r="F967" s="14" t="s">
        <v>21</v>
      </c>
      <c r="G967" s="14" t="b">
        <v>0</v>
      </c>
      <c r="H967" s="14" t="s">
        <v>3373</v>
      </c>
      <c r="I967" s="14">
        <v>1.0</v>
      </c>
      <c r="J967" s="14">
        <v>0.0</v>
      </c>
      <c r="K967" s="14">
        <v>0.0</v>
      </c>
    </row>
    <row r="968" ht="15.75" customHeight="1">
      <c r="A968" s="9" t="s">
        <v>3374</v>
      </c>
      <c r="B968" s="10" t="s">
        <v>3375</v>
      </c>
      <c r="C968" s="11" t="s">
        <v>1554</v>
      </c>
      <c r="D968" s="12" t="s">
        <v>125</v>
      </c>
      <c r="E968" s="13" t="s">
        <v>32</v>
      </c>
      <c r="F968" s="14" t="s">
        <v>126</v>
      </c>
      <c r="G968" s="14" t="b">
        <v>0</v>
      </c>
      <c r="H968" s="14" t="s">
        <v>3376</v>
      </c>
      <c r="I968" s="14">
        <v>1.0</v>
      </c>
      <c r="J968" s="14">
        <v>0.0</v>
      </c>
      <c r="K968" s="14">
        <v>1.0</v>
      </c>
    </row>
    <row r="969" ht="15.75" customHeight="1">
      <c r="A969" s="9" t="s">
        <v>3377</v>
      </c>
      <c r="B969" s="10" t="s">
        <v>3378</v>
      </c>
      <c r="C969" s="11" t="s">
        <v>39</v>
      </c>
      <c r="D969" s="12" t="s">
        <v>125</v>
      </c>
      <c r="E969" s="13" t="s">
        <v>20</v>
      </c>
      <c r="F969" s="14" t="s">
        <v>126</v>
      </c>
      <c r="G969" s="14" t="b">
        <v>0</v>
      </c>
      <c r="H969" s="14" t="s">
        <v>3379</v>
      </c>
      <c r="I969" s="14">
        <v>1.0</v>
      </c>
      <c r="J969" s="14">
        <v>0.0</v>
      </c>
      <c r="K969" s="14">
        <v>0.0</v>
      </c>
    </row>
    <row r="970" ht="15.75" customHeight="1">
      <c r="A970" s="9" t="s">
        <v>3380</v>
      </c>
      <c r="B970" s="10" t="s">
        <v>3381</v>
      </c>
      <c r="C970" s="11" t="s">
        <v>39</v>
      </c>
      <c r="D970" s="12" t="s">
        <v>19</v>
      </c>
      <c r="E970" s="13" t="s">
        <v>20</v>
      </c>
      <c r="F970" s="14" t="s">
        <v>21</v>
      </c>
      <c r="G970" s="14" t="b">
        <v>0</v>
      </c>
      <c r="H970" s="14" t="s">
        <v>3382</v>
      </c>
      <c r="I970" s="14">
        <v>1.0</v>
      </c>
      <c r="J970" s="14">
        <v>0.0</v>
      </c>
      <c r="K970" s="14">
        <v>1.0</v>
      </c>
    </row>
    <row r="971" ht="15.75" customHeight="1">
      <c r="A971" s="9" t="s">
        <v>3383</v>
      </c>
      <c r="B971" s="10" t="s">
        <v>3384</v>
      </c>
      <c r="C971" s="11" t="s">
        <v>39</v>
      </c>
      <c r="D971" s="12" t="s">
        <v>19</v>
      </c>
      <c r="E971" s="13" t="s">
        <v>20</v>
      </c>
      <c r="F971" s="14" t="s">
        <v>21</v>
      </c>
      <c r="G971" s="14" t="b">
        <v>0</v>
      </c>
      <c r="H971" s="14" t="s">
        <v>3385</v>
      </c>
      <c r="I971" s="14">
        <v>1.0</v>
      </c>
      <c r="J971" s="14">
        <v>0.0</v>
      </c>
      <c r="K971" s="14">
        <v>1.0</v>
      </c>
    </row>
    <row r="972" ht="15.75" customHeight="1">
      <c r="A972" s="9" t="s">
        <v>3386</v>
      </c>
      <c r="B972" s="10" t="s">
        <v>3387</v>
      </c>
      <c r="C972" s="11" t="s">
        <v>39</v>
      </c>
      <c r="D972" s="12" t="s">
        <v>19</v>
      </c>
      <c r="E972" s="13" t="s">
        <v>20</v>
      </c>
      <c r="F972" s="14" t="s">
        <v>21</v>
      </c>
      <c r="G972" s="14" t="b">
        <v>0</v>
      </c>
      <c r="H972" s="14" t="s">
        <v>3388</v>
      </c>
      <c r="I972" s="14">
        <v>1.0</v>
      </c>
      <c r="J972" s="14">
        <v>0.0</v>
      </c>
      <c r="K972" s="14">
        <v>0.0</v>
      </c>
    </row>
    <row r="973" ht="15.75" customHeight="1">
      <c r="A973" s="9" t="s">
        <v>3389</v>
      </c>
      <c r="B973" s="10" t="s">
        <v>3390</v>
      </c>
      <c r="C973" s="11" t="s">
        <v>39</v>
      </c>
      <c r="D973" s="12" t="s">
        <v>19</v>
      </c>
      <c r="E973" s="13" t="s">
        <v>20</v>
      </c>
      <c r="F973" s="14" t="s">
        <v>21</v>
      </c>
      <c r="G973" s="14" t="b">
        <v>0</v>
      </c>
      <c r="H973" s="14" t="s">
        <v>3391</v>
      </c>
      <c r="I973" s="14">
        <v>1.0</v>
      </c>
      <c r="J973" s="14">
        <v>0.0</v>
      </c>
      <c r="K973" s="14">
        <v>1.0</v>
      </c>
    </row>
    <row r="974" ht="15.75" customHeight="1">
      <c r="A974" s="9" t="s">
        <v>3392</v>
      </c>
      <c r="B974" s="10" t="s">
        <v>3393</v>
      </c>
      <c r="C974" s="11" t="s">
        <v>859</v>
      </c>
      <c r="D974" s="12" t="s">
        <v>277</v>
      </c>
      <c r="E974" s="13" t="s">
        <v>20</v>
      </c>
      <c r="F974" s="14" t="s">
        <v>278</v>
      </c>
      <c r="G974" s="14" t="b">
        <v>0</v>
      </c>
      <c r="H974" s="14" t="s">
        <v>2328</v>
      </c>
      <c r="I974" s="14">
        <v>1.0</v>
      </c>
      <c r="J974" s="14">
        <v>0.0</v>
      </c>
      <c r="K974" s="14">
        <v>1.0</v>
      </c>
    </row>
    <row r="975" ht="15.75" customHeight="1">
      <c r="A975" s="9" t="s">
        <v>3394</v>
      </c>
      <c r="B975" s="10" t="s">
        <v>3395</v>
      </c>
      <c r="C975" s="11" t="s">
        <v>859</v>
      </c>
      <c r="D975" s="12" t="s">
        <v>277</v>
      </c>
      <c r="E975" s="13" t="s">
        <v>20</v>
      </c>
      <c r="F975" s="14" t="s">
        <v>278</v>
      </c>
      <c r="G975" s="14" t="b">
        <v>0</v>
      </c>
      <c r="H975" s="14" t="s">
        <v>3396</v>
      </c>
      <c r="I975" s="14">
        <v>1.0</v>
      </c>
      <c r="J975" s="14">
        <v>0.0</v>
      </c>
      <c r="K975" s="14">
        <v>1.0</v>
      </c>
    </row>
    <row r="976" ht="15.75" customHeight="1">
      <c r="A976" s="9" t="s">
        <v>3397</v>
      </c>
      <c r="B976" s="10" t="s">
        <v>3398</v>
      </c>
      <c r="C976" s="11" t="s">
        <v>859</v>
      </c>
      <c r="D976" s="12" t="s">
        <v>277</v>
      </c>
      <c r="E976" s="13" t="s">
        <v>20</v>
      </c>
      <c r="F976" s="14" t="s">
        <v>278</v>
      </c>
      <c r="G976" s="14" t="b">
        <v>0</v>
      </c>
      <c r="H976" s="14" t="s">
        <v>2328</v>
      </c>
      <c r="I976" s="14">
        <v>1.0</v>
      </c>
      <c r="J976" s="14">
        <v>0.0</v>
      </c>
      <c r="K976" s="14">
        <v>1.0</v>
      </c>
    </row>
    <row r="977" ht="15.75" customHeight="1">
      <c r="A977" s="9" t="s">
        <v>3399</v>
      </c>
      <c r="B977" s="10" t="s">
        <v>3400</v>
      </c>
      <c r="C977" s="11" t="s">
        <v>859</v>
      </c>
      <c r="D977" s="12" t="s">
        <v>277</v>
      </c>
      <c r="E977" s="13" t="s">
        <v>20</v>
      </c>
      <c r="F977" s="14" t="s">
        <v>278</v>
      </c>
      <c r="G977" s="14" t="b">
        <v>0</v>
      </c>
      <c r="H977" s="14" t="s">
        <v>3401</v>
      </c>
      <c r="I977" s="14">
        <v>1.0</v>
      </c>
      <c r="J977" s="14">
        <v>0.0</v>
      </c>
      <c r="K977" s="14">
        <v>1.0</v>
      </c>
    </row>
    <row r="978" ht="15.75" customHeight="1">
      <c r="A978" s="9" t="s">
        <v>3402</v>
      </c>
      <c r="B978" s="10" t="s">
        <v>3403</v>
      </c>
      <c r="C978" s="11" t="s">
        <v>954</v>
      </c>
      <c r="D978" s="12" t="s">
        <v>277</v>
      </c>
      <c r="E978" s="13" t="s">
        <v>32</v>
      </c>
      <c r="F978" s="14" t="s">
        <v>278</v>
      </c>
      <c r="G978" s="14" t="b">
        <v>0</v>
      </c>
      <c r="I978" s="14">
        <v>1.0</v>
      </c>
      <c r="J978" s="14">
        <v>0.0</v>
      </c>
      <c r="K978" s="14">
        <v>0.0</v>
      </c>
    </row>
    <row r="979" ht="15.75" customHeight="1">
      <c r="A979" s="9" t="s">
        <v>3404</v>
      </c>
      <c r="B979" s="10" t="s">
        <v>3405</v>
      </c>
      <c r="C979" s="11" t="s">
        <v>954</v>
      </c>
      <c r="D979" s="12" t="s">
        <v>277</v>
      </c>
      <c r="E979" s="13" t="s">
        <v>32</v>
      </c>
      <c r="F979" s="14" t="s">
        <v>278</v>
      </c>
      <c r="G979" s="14" t="b">
        <v>0</v>
      </c>
      <c r="I979" s="14">
        <v>1.0</v>
      </c>
      <c r="J979" s="14">
        <v>0.0</v>
      </c>
      <c r="K979" s="14">
        <v>1.0</v>
      </c>
    </row>
    <row r="980" ht="15.75" customHeight="1">
      <c r="A980" s="9" t="s">
        <v>3406</v>
      </c>
      <c r="B980" s="10" t="s">
        <v>3407</v>
      </c>
      <c r="C980" s="11" t="s">
        <v>1570</v>
      </c>
      <c r="D980" s="12" t="s">
        <v>158</v>
      </c>
      <c r="E980" s="13" t="s">
        <v>1201</v>
      </c>
      <c r="F980" s="14" t="s">
        <v>160</v>
      </c>
      <c r="G980" s="14" t="b">
        <v>0</v>
      </c>
      <c r="I980" s="14">
        <v>1.0</v>
      </c>
      <c r="J980" s="14">
        <v>0.0</v>
      </c>
      <c r="K980" s="14">
        <v>2.0</v>
      </c>
    </row>
    <row r="981" ht="15.75" customHeight="1">
      <c r="A981" s="9" t="s">
        <v>3408</v>
      </c>
      <c r="B981" s="10" t="s">
        <v>3409</v>
      </c>
      <c r="C981" s="11" t="s">
        <v>701</v>
      </c>
      <c r="D981" s="12" t="s">
        <v>277</v>
      </c>
      <c r="E981" s="13" t="s">
        <v>20</v>
      </c>
      <c r="F981" s="14" t="s">
        <v>278</v>
      </c>
      <c r="G981" s="14" t="b">
        <v>0</v>
      </c>
      <c r="H981" s="14" t="s">
        <v>702</v>
      </c>
      <c r="I981" s="14">
        <v>1.0</v>
      </c>
      <c r="J981" s="14">
        <v>0.0</v>
      </c>
      <c r="K981" s="14">
        <v>1.0</v>
      </c>
    </row>
    <row r="982" ht="15.75" customHeight="1">
      <c r="A982" s="9" t="s">
        <v>3410</v>
      </c>
      <c r="B982" s="10" t="s">
        <v>3411</v>
      </c>
      <c r="C982" s="11" t="s">
        <v>1384</v>
      </c>
      <c r="D982" s="12" t="s">
        <v>125</v>
      </c>
      <c r="E982" s="13" t="s">
        <v>32</v>
      </c>
      <c r="F982" s="14" t="s">
        <v>126</v>
      </c>
      <c r="G982" s="14" t="b">
        <v>0</v>
      </c>
      <c r="I982" s="14">
        <v>1.0</v>
      </c>
      <c r="J982" s="14">
        <v>0.0</v>
      </c>
      <c r="K982" s="14">
        <v>2.0</v>
      </c>
    </row>
    <row r="983" ht="15.75" customHeight="1">
      <c r="A983" s="9" t="s">
        <v>3412</v>
      </c>
      <c r="B983" s="10" t="s">
        <v>3413</v>
      </c>
      <c r="C983" s="11" t="s">
        <v>1384</v>
      </c>
      <c r="D983" s="12" t="s">
        <v>116</v>
      </c>
      <c r="E983" s="13" t="s">
        <v>32</v>
      </c>
      <c r="F983" s="14" t="s">
        <v>117</v>
      </c>
      <c r="G983" s="14" t="b">
        <v>0</v>
      </c>
      <c r="I983" s="14">
        <v>1.0</v>
      </c>
      <c r="J983" s="14">
        <v>0.0</v>
      </c>
      <c r="K983" s="14">
        <v>0.0</v>
      </c>
    </row>
    <row r="984" ht="15.75" customHeight="1">
      <c r="A984" s="9" t="s">
        <v>3414</v>
      </c>
      <c r="B984" s="10" t="s">
        <v>3415</v>
      </c>
      <c r="C984" s="11" t="s">
        <v>1557</v>
      </c>
      <c r="D984" s="12" t="s">
        <v>277</v>
      </c>
      <c r="E984" s="13" t="s">
        <v>32</v>
      </c>
      <c r="F984" s="14" t="s">
        <v>278</v>
      </c>
      <c r="G984" s="14" t="b">
        <v>0</v>
      </c>
      <c r="I984" s="14">
        <v>1.0</v>
      </c>
      <c r="J984" s="14">
        <v>0.0</v>
      </c>
      <c r="K984" s="14">
        <v>0.0</v>
      </c>
    </row>
    <row r="985" ht="15.75" customHeight="1">
      <c r="A985" s="9" t="s">
        <v>3416</v>
      </c>
      <c r="B985" s="10" t="s">
        <v>3417</v>
      </c>
      <c r="C985" s="11" t="s">
        <v>1559</v>
      </c>
      <c r="D985" s="12" t="s">
        <v>2796</v>
      </c>
      <c r="E985" s="13" t="s">
        <v>32</v>
      </c>
      <c r="F985" s="14" t="s">
        <v>2797</v>
      </c>
      <c r="G985" s="14" t="b">
        <v>0</v>
      </c>
      <c r="I985" s="14">
        <v>1.0</v>
      </c>
      <c r="J985" s="14">
        <v>0.0</v>
      </c>
      <c r="K985" s="14">
        <v>1.0</v>
      </c>
    </row>
    <row r="986" ht="15.75" customHeight="1">
      <c r="A986" s="9" t="s">
        <v>3418</v>
      </c>
      <c r="B986" s="10" t="s">
        <v>3419</v>
      </c>
      <c r="C986" s="11" t="s">
        <v>1561</v>
      </c>
      <c r="D986" s="12" t="s">
        <v>277</v>
      </c>
      <c r="E986" s="13" t="s">
        <v>20</v>
      </c>
      <c r="F986" s="14" t="s">
        <v>278</v>
      </c>
      <c r="G986" s="14" t="b">
        <v>0</v>
      </c>
      <c r="H986" s="14" t="s">
        <v>3420</v>
      </c>
      <c r="I986" s="14">
        <v>1.0</v>
      </c>
      <c r="J986" s="14">
        <v>0.0</v>
      </c>
      <c r="K986" s="14">
        <v>6.0</v>
      </c>
    </row>
    <row r="987" ht="15.75" customHeight="1">
      <c r="A987" s="9" t="s">
        <v>3421</v>
      </c>
      <c r="B987" s="10" t="s">
        <v>3422</v>
      </c>
      <c r="C987" s="11" t="s">
        <v>1563</v>
      </c>
      <c r="D987" s="12" t="s">
        <v>277</v>
      </c>
      <c r="E987" s="13" t="s">
        <v>32</v>
      </c>
      <c r="F987" s="14" t="s">
        <v>278</v>
      </c>
      <c r="G987" s="14" t="b">
        <v>0</v>
      </c>
      <c r="I987" s="14">
        <v>1.0</v>
      </c>
      <c r="J987" s="14">
        <v>0.0</v>
      </c>
      <c r="K987" s="14">
        <v>2.0</v>
      </c>
    </row>
    <row r="988" ht="15.75" customHeight="1">
      <c r="A988" s="9" t="s">
        <v>3423</v>
      </c>
      <c r="B988" s="13"/>
      <c r="C988" s="11" t="s">
        <v>799</v>
      </c>
      <c r="D988" s="12" t="s">
        <v>116</v>
      </c>
      <c r="E988" s="13" t="s">
        <v>116</v>
      </c>
      <c r="F988" s="14" t="s">
        <v>117</v>
      </c>
      <c r="H988" s="14" t="s">
        <v>824</v>
      </c>
      <c r="I988" s="14">
        <v>1.0</v>
      </c>
      <c r="J988" s="14">
        <v>0.0</v>
      </c>
      <c r="K988" s="14">
        <v>0.0</v>
      </c>
    </row>
    <row r="989" ht="15.75" customHeight="1">
      <c r="A989" s="9" t="s">
        <v>3424</v>
      </c>
      <c r="B989" s="13"/>
      <c r="C989" s="11" t="s">
        <v>799</v>
      </c>
      <c r="D989" s="12" t="s">
        <v>116</v>
      </c>
      <c r="E989" s="13" t="s">
        <v>116</v>
      </c>
      <c r="F989" s="14" t="s">
        <v>117</v>
      </c>
      <c r="H989" s="14" t="s">
        <v>824</v>
      </c>
      <c r="I989" s="14">
        <v>1.0</v>
      </c>
      <c r="J989" s="14">
        <v>0.0</v>
      </c>
      <c r="K989" s="14">
        <v>0.0</v>
      </c>
    </row>
    <row r="990" ht="15.75" customHeight="1">
      <c r="A990" s="9" t="s">
        <v>3425</v>
      </c>
      <c r="B990" s="10" t="s">
        <v>3426</v>
      </c>
      <c r="C990" s="11" t="s">
        <v>1385</v>
      </c>
      <c r="D990" s="12" t="s">
        <v>277</v>
      </c>
      <c r="E990" s="13" t="s">
        <v>32</v>
      </c>
      <c r="F990" s="14" t="s">
        <v>278</v>
      </c>
      <c r="G990" s="14" t="b">
        <v>0</v>
      </c>
      <c r="I990" s="14">
        <v>1.0</v>
      </c>
      <c r="J990" s="14">
        <v>0.0</v>
      </c>
      <c r="K990" s="14">
        <v>0.0</v>
      </c>
    </row>
    <row r="991" ht="15.75" customHeight="1">
      <c r="A991" s="9" t="s">
        <v>3427</v>
      </c>
      <c r="B991" s="10" t="s">
        <v>3426</v>
      </c>
      <c r="C991" s="11" t="s">
        <v>1385</v>
      </c>
      <c r="D991" s="12" t="s">
        <v>277</v>
      </c>
      <c r="E991" s="13" t="s">
        <v>32</v>
      </c>
      <c r="F991" s="14" t="s">
        <v>278</v>
      </c>
      <c r="G991" s="14" t="b">
        <v>0</v>
      </c>
      <c r="I991" s="14">
        <v>1.0</v>
      </c>
      <c r="J991" s="14">
        <v>0.0</v>
      </c>
      <c r="K991" s="14">
        <v>0.0</v>
      </c>
    </row>
    <row r="992" ht="15.75" customHeight="1">
      <c r="A992" s="9" t="s">
        <v>3428</v>
      </c>
      <c r="B992" s="10" t="s">
        <v>3429</v>
      </c>
      <c r="C992" s="11" t="s">
        <v>262</v>
      </c>
      <c r="D992" s="12" t="s">
        <v>158</v>
      </c>
      <c r="E992" s="13" t="s">
        <v>32</v>
      </c>
      <c r="F992" s="14" t="s">
        <v>160</v>
      </c>
      <c r="G992" s="14" t="b">
        <v>0</v>
      </c>
      <c r="H992" s="14" t="s">
        <v>3430</v>
      </c>
      <c r="I992" s="14">
        <v>1.0</v>
      </c>
      <c r="J992" s="14">
        <v>0.0</v>
      </c>
      <c r="K992" s="14">
        <v>1.0</v>
      </c>
    </row>
    <row r="993" ht="15.75" customHeight="1">
      <c r="A993" s="9" t="s">
        <v>3431</v>
      </c>
      <c r="B993" s="10" t="s">
        <v>3432</v>
      </c>
      <c r="C993" s="11" t="s">
        <v>262</v>
      </c>
      <c r="D993" s="12" t="s">
        <v>19</v>
      </c>
      <c r="E993" s="13" t="s">
        <v>32</v>
      </c>
      <c r="F993" s="14" t="s">
        <v>21</v>
      </c>
      <c r="G993" s="14" t="b">
        <v>0</v>
      </c>
      <c r="H993" s="14" t="s">
        <v>2186</v>
      </c>
      <c r="I993" s="14">
        <v>1.0</v>
      </c>
      <c r="J993" s="14">
        <v>0.0</v>
      </c>
      <c r="K993" s="14">
        <v>1.0</v>
      </c>
    </row>
    <row r="994" ht="15.75" customHeight="1">
      <c r="A994" s="9" t="s">
        <v>3433</v>
      </c>
      <c r="B994" s="10" t="s">
        <v>3434</v>
      </c>
      <c r="C994" s="11" t="s">
        <v>810</v>
      </c>
      <c r="D994" s="12" t="s">
        <v>125</v>
      </c>
      <c r="E994" s="13" t="s">
        <v>32</v>
      </c>
      <c r="F994" s="14" t="s">
        <v>126</v>
      </c>
      <c r="G994" s="14" t="b">
        <v>0</v>
      </c>
      <c r="I994" s="14">
        <v>1.0</v>
      </c>
      <c r="J994" s="14">
        <v>0.0</v>
      </c>
      <c r="K994" s="14">
        <v>1.0</v>
      </c>
    </row>
    <row r="995" ht="15.75" customHeight="1">
      <c r="A995" s="9" t="s">
        <v>3435</v>
      </c>
      <c r="B995" s="10" t="s">
        <v>3436</v>
      </c>
      <c r="C995" s="11" t="s">
        <v>1566</v>
      </c>
      <c r="D995" s="12" t="s">
        <v>116</v>
      </c>
      <c r="E995" s="13" t="s">
        <v>32</v>
      </c>
      <c r="F995" s="14" t="s">
        <v>117</v>
      </c>
      <c r="G995" s="14" t="b">
        <v>0</v>
      </c>
      <c r="I995" s="14">
        <v>1.0</v>
      </c>
      <c r="J995" s="14">
        <v>0.0</v>
      </c>
      <c r="K995" s="14">
        <v>0.0</v>
      </c>
    </row>
    <row r="996">
      <c r="A996" s="9" t="s">
        <v>3437</v>
      </c>
      <c r="B996" s="10" t="s">
        <v>3438</v>
      </c>
      <c r="C996" s="11" t="s">
        <v>514</v>
      </c>
      <c r="D996" s="12" t="s">
        <v>30</v>
      </c>
      <c r="E996" s="13" t="s">
        <v>32</v>
      </c>
      <c r="F996" s="14" t="s">
        <v>34</v>
      </c>
      <c r="G996" s="14" t="b">
        <v>0</v>
      </c>
      <c r="H996" s="14" t="s">
        <v>1109</v>
      </c>
      <c r="I996" s="14">
        <v>1.0</v>
      </c>
      <c r="J996" s="14">
        <v>0.0</v>
      </c>
      <c r="K996" s="14">
        <v>0.0</v>
      </c>
    </row>
    <row r="997">
      <c r="A997" s="9" t="s">
        <v>3439</v>
      </c>
      <c r="B997" s="10" t="s">
        <v>3440</v>
      </c>
      <c r="C997" s="11" t="s">
        <v>1568</v>
      </c>
      <c r="D997" s="12" t="s">
        <v>125</v>
      </c>
      <c r="E997" s="13" t="s">
        <v>32</v>
      </c>
      <c r="F997" s="14" t="s">
        <v>126</v>
      </c>
      <c r="G997" s="14" t="b">
        <v>0</v>
      </c>
      <c r="I997" s="14">
        <v>1.0</v>
      </c>
      <c r="J997" s="14">
        <v>0.0</v>
      </c>
      <c r="K997" s="14">
        <v>1.0</v>
      </c>
    </row>
    <row r="998">
      <c r="A998" s="9" t="s">
        <v>3441</v>
      </c>
      <c r="B998" s="10" t="s">
        <v>3442</v>
      </c>
      <c r="C998" s="11" t="s">
        <v>1572</v>
      </c>
      <c r="D998" s="12" t="s">
        <v>116</v>
      </c>
      <c r="E998" s="13" t="s">
        <v>32</v>
      </c>
      <c r="F998" s="14" t="s">
        <v>117</v>
      </c>
      <c r="G998" s="14" t="b">
        <v>0</v>
      </c>
      <c r="I998" s="14">
        <v>1.0</v>
      </c>
      <c r="J998" s="14">
        <v>0.0</v>
      </c>
      <c r="K998" s="14">
        <v>1.0</v>
      </c>
    </row>
    <row r="999">
      <c r="A999" s="9" t="s">
        <v>3443</v>
      </c>
      <c r="B999" s="10" t="s">
        <v>3444</v>
      </c>
      <c r="C999" s="11" t="s">
        <v>1575</v>
      </c>
      <c r="D999" s="12" t="s">
        <v>312</v>
      </c>
      <c r="E999" s="13" t="s">
        <v>85</v>
      </c>
      <c r="F999" s="14" t="s">
        <v>313</v>
      </c>
      <c r="G999" s="14" t="b">
        <v>0</v>
      </c>
      <c r="H999" s="14" t="s">
        <v>1576</v>
      </c>
      <c r="I999" s="14">
        <v>1.0</v>
      </c>
      <c r="J999" s="14">
        <v>0.0</v>
      </c>
      <c r="K999" s="14">
        <v>1.0</v>
      </c>
    </row>
    <row r="1000">
      <c r="A1000" s="9" t="s">
        <v>3445</v>
      </c>
      <c r="B1000" s="10" t="s">
        <v>3446</v>
      </c>
      <c r="C1000" s="11" t="s">
        <v>1577</v>
      </c>
      <c r="D1000" s="12" t="s">
        <v>456</v>
      </c>
      <c r="E1000" s="13" t="s">
        <v>32</v>
      </c>
      <c r="F1000" s="14" t="s">
        <v>457</v>
      </c>
      <c r="G1000" s="14" t="b">
        <v>0</v>
      </c>
      <c r="I1000" s="14">
        <v>1.0</v>
      </c>
      <c r="J1000" s="14">
        <v>0.0</v>
      </c>
      <c r="K1000" s="14">
        <v>2.0</v>
      </c>
    </row>
    <row r="1001">
      <c r="A1001" s="9" t="s">
        <v>3447</v>
      </c>
      <c r="B1001" s="10" t="s">
        <v>3448</v>
      </c>
      <c r="C1001" s="11" t="s">
        <v>1579</v>
      </c>
      <c r="D1001" s="12" t="s">
        <v>277</v>
      </c>
      <c r="E1001" s="13" t="s">
        <v>32</v>
      </c>
      <c r="F1001" s="14" t="s">
        <v>278</v>
      </c>
      <c r="G1001" s="14" t="b">
        <v>0</v>
      </c>
      <c r="I1001" s="14">
        <v>1.0</v>
      </c>
      <c r="J1001" s="14">
        <v>0.0</v>
      </c>
      <c r="K1001" s="14">
        <v>1.0</v>
      </c>
    </row>
    <row r="1002">
      <c r="A1002" s="9" t="s">
        <v>3449</v>
      </c>
      <c r="B1002" s="10" t="s">
        <v>3450</v>
      </c>
      <c r="C1002" s="11" t="s">
        <v>1043</v>
      </c>
      <c r="D1002" s="12" t="s">
        <v>312</v>
      </c>
      <c r="E1002" s="13" t="s">
        <v>85</v>
      </c>
      <c r="F1002" s="14" t="s">
        <v>313</v>
      </c>
      <c r="G1002" s="14" t="b">
        <v>0</v>
      </c>
      <c r="H1002" s="14" t="s">
        <v>3451</v>
      </c>
      <c r="I1002" s="14">
        <v>1.0</v>
      </c>
      <c r="J1002" s="14">
        <v>0.0</v>
      </c>
      <c r="K1002" s="14">
        <v>1.0</v>
      </c>
    </row>
    <row r="1003">
      <c r="A1003" s="9" t="s">
        <v>3452</v>
      </c>
      <c r="B1003" s="13"/>
      <c r="C1003" s="11" t="s">
        <v>1043</v>
      </c>
      <c r="D1003" s="12" t="s">
        <v>116</v>
      </c>
      <c r="E1003" s="13" t="s">
        <v>116</v>
      </c>
      <c r="F1003" s="14" t="s">
        <v>117</v>
      </c>
      <c r="H1003" s="14" t="s">
        <v>824</v>
      </c>
      <c r="I1003" s="14">
        <v>1.0</v>
      </c>
      <c r="J1003" s="14">
        <v>0.0</v>
      </c>
      <c r="K1003" s="14">
        <v>1.0</v>
      </c>
    </row>
    <row r="1004">
      <c r="A1004" s="9" t="s">
        <v>3453</v>
      </c>
      <c r="B1004" s="10" t="s">
        <v>3454</v>
      </c>
      <c r="C1004" s="11" t="s">
        <v>1043</v>
      </c>
      <c r="D1004" s="12" t="s">
        <v>116</v>
      </c>
      <c r="E1004" s="13" t="s">
        <v>85</v>
      </c>
      <c r="F1004" s="14" t="s">
        <v>117</v>
      </c>
      <c r="G1004" s="14" t="b">
        <v>0</v>
      </c>
      <c r="I1004" s="14">
        <v>1.0</v>
      </c>
      <c r="J1004" s="14">
        <v>0.0</v>
      </c>
      <c r="K1004" s="14">
        <v>1.0</v>
      </c>
    </row>
    <row r="1005">
      <c r="A1005" s="9" t="s">
        <v>3455</v>
      </c>
      <c r="B1005" s="10" t="s">
        <v>3456</v>
      </c>
      <c r="C1005" s="11" t="s">
        <v>1581</v>
      </c>
      <c r="D1005" s="12" t="s">
        <v>277</v>
      </c>
      <c r="E1005" s="13" t="s">
        <v>32</v>
      </c>
      <c r="F1005" s="14" t="s">
        <v>278</v>
      </c>
      <c r="G1005" s="14" t="b">
        <v>0</v>
      </c>
      <c r="H1005" s="14" t="s">
        <v>361</v>
      </c>
      <c r="I1005" s="14">
        <v>1.0</v>
      </c>
      <c r="J1005" s="14">
        <v>0.0</v>
      </c>
      <c r="K1005" s="14">
        <v>1.0</v>
      </c>
    </row>
    <row r="1006">
      <c r="A1006" s="9" t="s">
        <v>3457</v>
      </c>
      <c r="B1006" s="10" t="s">
        <v>3458</v>
      </c>
      <c r="C1006" s="11" t="s">
        <v>1583</v>
      </c>
      <c r="D1006" s="12" t="s">
        <v>277</v>
      </c>
      <c r="E1006" s="13" t="s">
        <v>32</v>
      </c>
      <c r="F1006" s="14" t="s">
        <v>278</v>
      </c>
      <c r="G1006" s="14" t="b">
        <v>0</v>
      </c>
      <c r="H1006" s="14" t="s">
        <v>538</v>
      </c>
      <c r="I1006" s="14">
        <v>1.0</v>
      </c>
      <c r="J1006" s="14">
        <v>0.0</v>
      </c>
      <c r="K1006" s="14">
        <v>1.0</v>
      </c>
    </row>
    <row r="1007">
      <c r="A1007" s="9" t="s">
        <v>3459</v>
      </c>
      <c r="B1007" s="10" t="s">
        <v>3460</v>
      </c>
      <c r="C1007" s="11" t="s">
        <v>912</v>
      </c>
      <c r="D1007" s="12" t="s">
        <v>125</v>
      </c>
      <c r="E1007" s="13" t="s">
        <v>20</v>
      </c>
      <c r="F1007" s="14" t="s">
        <v>126</v>
      </c>
      <c r="G1007" s="14" t="b">
        <v>0</v>
      </c>
      <c r="H1007" s="14" t="s">
        <v>3461</v>
      </c>
      <c r="I1007" s="14">
        <v>1.0</v>
      </c>
      <c r="J1007" s="14">
        <v>0.0</v>
      </c>
      <c r="K1007" s="14">
        <v>1.0</v>
      </c>
    </row>
    <row r="1008">
      <c r="A1008" s="9" t="s">
        <v>3462</v>
      </c>
      <c r="B1008" s="10" t="s">
        <v>3463</v>
      </c>
      <c r="C1008" s="11" t="s">
        <v>1045</v>
      </c>
      <c r="D1008" s="12" t="s">
        <v>19</v>
      </c>
      <c r="E1008" s="13" t="s">
        <v>20</v>
      </c>
      <c r="F1008" s="14" t="s">
        <v>21</v>
      </c>
      <c r="G1008" s="14" t="b">
        <v>0</v>
      </c>
      <c r="H1008" s="14" t="s">
        <v>2752</v>
      </c>
      <c r="I1008" s="14">
        <v>1.0</v>
      </c>
      <c r="J1008" s="14">
        <v>0.0</v>
      </c>
      <c r="K1008" s="14">
        <v>0.0</v>
      </c>
    </row>
    <row r="1009">
      <c r="A1009" s="9" t="s">
        <v>3464</v>
      </c>
      <c r="B1009" s="10" t="s">
        <v>3465</v>
      </c>
      <c r="C1009" s="11" t="s">
        <v>1585</v>
      </c>
      <c r="D1009" s="12" t="s">
        <v>277</v>
      </c>
      <c r="E1009" s="13" t="s">
        <v>32</v>
      </c>
      <c r="F1009" s="14" t="s">
        <v>278</v>
      </c>
      <c r="G1009" s="14" t="b">
        <v>0</v>
      </c>
      <c r="I1009" s="14">
        <v>1.0</v>
      </c>
      <c r="J1009" s="14">
        <v>0.0</v>
      </c>
      <c r="K1009" s="14">
        <v>1.0</v>
      </c>
    </row>
    <row r="1010">
      <c r="A1010" s="9" t="s">
        <v>3466</v>
      </c>
      <c r="B1010" s="10" t="s">
        <v>3467</v>
      </c>
      <c r="C1010" s="11" t="s">
        <v>1587</v>
      </c>
      <c r="D1010" s="12" t="s">
        <v>125</v>
      </c>
      <c r="E1010" s="13" t="s">
        <v>32</v>
      </c>
      <c r="F1010" s="14" t="s">
        <v>126</v>
      </c>
      <c r="G1010" s="14" t="b">
        <v>0</v>
      </c>
      <c r="I1010" s="14">
        <v>1.0</v>
      </c>
      <c r="J1010" s="14">
        <v>0.0</v>
      </c>
      <c r="K1010" s="14">
        <v>1.0</v>
      </c>
    </row>
    <row r="1011">
      <c r="A1011" s="9" t="s">
        <v>3468</v>
      </c>
      <c r="B1011" s="10" t="s">
        <v>3469</v>
      </c>
      <c r="C1011" s="11" t="s">
        <v>1590</v>
      </c>
      <c r="D1011" s="12" t="s">
        <v>116</v>
      </c>
      <c r="E1011" s="13" t="s">
        <v>32</v>
      </c>
      <c r="F1011" s="14" t="s">
        <v>117</v>
      </c>
      <c r="G1011" s="14" t="b">
        <v>0</v>
      </c>
      <c r="I1011" s="14">
        <v>1.0</v>
      </c>
      <c r="J1011" s="14">
        <v>0.0</v>
      </c>
      <c r="K1011" s="14">
        <v>0.0</v>
      </c>
    </row>
    <row r="1012">
      <c r="A1012" s="9" t="s">
        <v>3470</v>
      </c>
      <c r="B1012" s="10" t="s">
        <v>3471</v>
      </c>
      <c r="C1012" s="11" t="s">
        <v>1592</v>
      </c>
      <c r="D1012" s="12" t="s">
        <v>125</v>
      </c>
      <c r="E1012" s="13" t="s">
        <v>32</v>
      </c>
      <c r="F1012" s="14" t="s">
        <v>126</v>
      </c>
      <c r="G1012" s="14" t="b">
        <v>0</v>
      </c>
      <c r="I1012" s="14">
        <v>1.0</v>
      </c>
      <c r="J1012" s="14">
        <v>0.0</v>
      </c>
      <c r="K1012" s="14">
        <v>2.0</v>
      </c>
    </row>
    <row r="1013">
      <c r="A1013" s="9" t="s">
        <v>3472</v>
      </c>
      <c r="B1013" s="10" t="s">
        <v>3473</v>
      </c>
      <c r="C1013" s="11" t="s">
        <v>100</v>
      </c>
      <c r="D1013" s="12" t="s">
        <v>19</v>
      </c>
      <c r="E1013" s="13" t="s">
        <v>102</v>
      </c>
      <c r="F1013" s="14" t="s">
        <v>21</v>
      </c>
      <c r="G1013" s="14" t="b">
        <v>0</v>
      </c>
      <c r="H1013" s="14" t="s">
        <v>3474</v>
      </c>
      <c r="I1013" s="14">
        <v>1.0</v>
      </c>
      <c r="J1013" s="14">
        <v>0.0</v>
      </c>
      <c r="K1013" s="14">
        <v>1.0</v>
      </c>
    </row>
    <row r="1014">
      <c r="A1014" s="9" t="s">
        <v>3475</v>
      </c>
      <c r="B1014" s="10" t="s">
        <v>3476</v>
      </c>
      <c r="C1014" s="11" t="s">
        <v>1594</v>
      </c>
      <c r="D1014" s="12" t="s">
        <v>277</v>
      </c>
      <c r="E1014" s="13" t="s">
        <v>32</v>
      </c>
      <c r="F1014" s="14" t="s">
        <v>278</v>
      </c>
      <c r="G1014" s="14" t="b">
        <v>0</v>
      </c>
      <c r="I1014" s="14">
        <v>1.0</v>
      </c>
      <c r="J1014" s="14">
        <v>0.0</v>
      </c>
      <c r="K1014" s="14">
        <v>0.0</v>
      </c>
    </row>
    <row r="1015">
      <c r="A1015" s="9" t="s">
        <v>3477</v>
      </c>
      <c r="B1015" s="10" t="s">
        <v>3478</v>
      </c>
      <c r="C1015" s="11" t="s">
        <v>1224</v>
      </c>
      <c r="D1015" s="12" t="s">
        <v>116</v>
      </c>
      <c r="E1015" s="13" t="s">
        <v>1201</v>
      </c>
      <c r="F1015" s="14" t="s">
        <v>117</v>
      </c>
      <c r="G1015" s="14" t="b">
        <v>0</v>
      </c>
      <c r="I1015" s="14">
        <v>1.0</v>
      </c>
      <c r="J1015" s="14">
        <v>0.0</v>
      </c>
      <c r="K1015" s="14">
        <v>1.0</v>
      </c>
    </row>
    <row r="1016">
      <c r="A1016" s="9" t="s">
        <v>3479</v>
      </c>
      <c r="B1016" s="13"/>
      <c r="C1016" s="11" t="s">
        <v>1224</v>
      </c>
      <c r="D1016" s="12" t="s">
        <v>116</v>
      </c>
      <c r="E1016" s="13" t="s">
        <v>1201</v>
      </c>
      <c r="F1016" s="14" t="s">
        <v>117</v>
      </c>
      <c r="G1016" s="14" t="b">
        <v>0</v>
      </c>
      <c r="H1016" s="14" t="s">
        <v>506</v>
      </c>
      <c r="I1016" s="14">
        <v>1.0</v>
      </c>
      <c r="J1016" s="14">
        <v>0.0</v>
      </c>
      <c r="K1016" s="14">
        <v>1.0</v>
      </c>
    </row>
    <row r="1017">
      <c r="A1017" s="9" t="s">
        <v>3480</v>
      </c>
      <c r="B1017" s="10" t="s">
        <v>3481</v>
      </c>
      <c r="C1017" s="11" t="s">
        <v>1227</v>
      </c>
      <c r="D1017" s="12" t="s">
        <v>312</v>
      </c>
      <c r="E1017" s="13" t="s">
        <v>32</v>
      </c>
      <c r="F1017" s="14" t="s">
        <v>313</v>
      </c>
      <c r="G1017" s="14" t="b">
        <v>0</v>
      </c>
      <c r="I1017" s="14">
        <v>1.0</v>
      </c>
      <c r="J1017" s="14">
        <v>0.0</v>
      </c>
      <c r="K1017" s="14">
        <v>1.0</v>
      </c>
    </row>
    <row r="1018">
      <c r="A1018" s="9" t="s">
        <v>3482</v>
      </c>
      <c r="B1018" s="10" t="s">
        <v>3483</v>
      </c>
      <c r="C1018" s="11" t="s">
        <v>1227</v>
      </c>
      <c r="D1018" s="12" t="s">
        <v>312</v>
      </c>
      <c r="E1018" s="13" t="s">
        <v>32</v>
      </c>
      <c r="F1018" s="14" t="s">
        <v>313</v>
      </c>
      <c r="G1018" s="14" t="b">
        <v>0</v>
      </c>
      <c r="H1018" s="14" t="s">
        <v>3484</v>
      </c>
      <c r="I1018" s="14">
        <v>1.0</v>
      </c>
      <c r="J1018" s="14">
        <v>0.0</v>
      </c>
      <c r="K1018" s="14">
        <v>2.0</v>
      </c>
    </row>
    <row r="1019">
      <c r="A1019" s="9" t="s">
        <v>3485</v>
      </c>
      <c r="B1019" s="10" t="s">
        <v>3486</v>
      </c>
      <c r="C1019" s="11" t="s">
        <v>724</v>
      </c>
      <c r="D1019" s="12" t="s">
        <v>1143</v>
      </c>
      <c r="E1019" s="13" t="s">
        <v>32</v>
      </c>
      <c r="F1019" s="14" t="s">
        <v>1145</v>
      </c>
      <c r="G1019" s="14" t="b">
        <v>0</v>
      </c>
      <c r="H1019" s="14" t="s">
        <v>3342</v>
      </c>
      <c r="I1019" s="14">
        <v>1.0</v>
      </c>
      <c r="J1019" s="14">
        <v>0.0</v>
      </c>
      <c r="K1019" s="14">
        <v>1.0</v>
      </c>
    </row>
    <row r="1020">
      <c r="A1020" s="9" t="s">
        <v>3487</v>
      </c>
      <c r="B1020" s="10" t="s">
        <v>3488</v>
      </c>
      <c r="C1020" s="11" t="s">
        <v>724</v>
      </c>
      <c r="D1020" s="12" t="s">
        <v>277</v>
      </c>
      <c r="E1020" s="13" t="s">
        <v>32</v>
      </c>
      <c r="F1020" s="14" t="s">
        <v>278</v>
      </c>
      <c r="G1020" s="14" t="b">
        <v>0</v>
      </c>
      <c r="H1020" s="14" t="s">
        <v>3489</v>
      </c>
      <c r="I1020" s="14">
        <v>1.0</v>
      </c>
      <c r="J1020" s="14">
        <v>0.0</v>
      </c>
      <c r="K1020" s="14">
        <v>0.0</v>
      </c>
    </row>
    <row r="1021">
      <c r="A1021" s="9" t="s">
        <v>3490</v>
      </c>
      <c r="B1021" s="10" t="s">
        <v>3491</v>
      </c>
      <c r="C1021" s="11" t="s">
        <v>1595</v>
      </c>
      <c r="D1021" s="12" t="s">
        <v>312</v>
      </c>
      <c r="E1021" s="13" t="s">
        <v>32</v>
      </c>
      <c r="F1021" s="14" t="s">
        <v>313</v>
      </c>
      <c r="G1021" s="14" t="b">
        <v>0</v>
      </c>
      <c r="H1021" s="14" t="s">
        <v>1597</v>
      </c>
      <c r="I1021" s="14">
        <v>1.0</v>
      </c>
      <c r="J1021" s="14">
        <v>0.0</v>
      </c>
      <c r="K1021" s="14">
        <v>1.0</v>
      </c>
    </row>
    <row r="1022">
      <c r="A1022" s="9" t="s">
        <v>3492</v>
      </c>
      <c r="B1022" s="10" t="s">
        <v>3493</v>
      </c>
      <c r="C1022" s="11" t="s">
        <v>1598</v>
      </c>
      <c r="D1022" s="12" t="s">
        <v>125</v>
      </c>
      <c r="E1022" s="13" t="s">
        <v>32</v>
      </c>
      <c r="F1022" s="14" t="s">
        <v>126</v>
      </c>
      <c r="G1022" s="14" t="b">
        <v>0</v>
      </c>
      <c r="I1022" s="14">
        <v>1.0</v>
      </c>
      <c r="J1022" s="14">
        <v>0.0</v>
      </c>
      <c r="K1022" s="14">
        <v>2.0</v>
      </c>
    </row>
    <row r="1023">
      <c r="A1023" s="9" t="s">
        <v>3494</v>
      </c>
      <c r="B1023" s="10" t="s">
        <v>3495</v>
      </c>
      <c r="C1023" s="11" t="s">
        <v>1600</v>
      </c>
      <c r="D1023" s="12" t="s">
        <v>19</v>
      </c>
      <c r="E1023" s="13" t="s">
        <v>102</v>
      </c>
      <c r="F1023" s="14" t="s">
        <v>21</v>
      </c>
      <c r="G1023" s="14" t="b">
        <v>0</v>
      </c>
      <c r="H1023" s="14" t="s">
        <v>3496</v>
      </c>
      <c r="I1023" s="14">
        <v>1.0</v>
      </c>
      <c r="J1023" s="14">
        <v>0.0</v>
      </c>
      <c r="K1023" s="14">
        <v>0.0</v>
      </c>
    </row>
    <row r="1024">
      <c r="A1024" s="9" t="s">
        <v>3497</v>
      </c>
      <c r="B1024" s="10" t="s">
        <v>3498</v>
      </c>
      <c r="C1024" s="11" t="s">
        <v>1603</v>
      </c>
      <c r="D1024" s="12" t="s">
        <v>19</v>
      </c>
      <c r="E1024" s="13" t="s">
        <v>32</v>
      </c>
      <c r="F1024" s="14" t="s">
        <v>21</v>
      </c>
      <c r="G1024" s="14" t="b">
        <v>0</v>
      </c>
      <c r="H1024" s="14" t="s">
        <v>369</v>
      </c>
      <c r="I1024" s="14">
        <v>1.0</v>
      </c>
      <c r="J1024" s="14">
        <v>0.0</v>
      </c>
      <c r="K1024" s="14">
        <v>1.0</v>
      </c>
    </row>
    <row r="1025">
      <c r="A1025" s="9" t="s">
        <v>3499</v>
      </c>
      <c r="B1025" s="10" t="s">
        <v>3500</v>
      </c>
      <c r="C1025" s="11" t="s">
        <v>1604</v>
      </c>
      <c r="D1025" s="12" t="s">
        <v>277</v>
      </c>
      <c r="E1025" s="13" t="s">
        <v>85</v>
      </c>
      <c r="F1025" s="14" t="s">
        <v>278</v>
      </c>
      <c r="G1025" s="14" t="b">
        <v>0</v>
      </c>
      <c r="I1025" s="14">
        <v>1.0</v>
      </c>
      <c r="J1025" s="14">
        <v>0.0</v>
      </c>
      <c r="K1025" s="14">
        <v>0.0</v>
      </c>
    </row>
    <row r="1026">
      <c r="A1026" s="9" t="s">
        <v>3501</v>
      </c>
      <c r="B1026" s="10" t="s">
        <v>3502</v>
      </c>
      <c r="C1026" s="11" t="s">
        <v>1606</v>
      </c>
      <c r="D1026" s="12" t="s">
        <v>125</v>
      </c>
      <c r="E1026" s="13" t="s">
        <v>32</v>
      </c>
      <c r="F1026" s="14" t="s">
        <v>126</v>
      </c>
      <c r="G1026" s="14" t="b">
        <v>0</v>
      </c>
      <c r="I1026" s="14">
        <v>1.0</v>
      </c>
      <c r="J1026" s="14">
        <v>0.0</v>
      </c>
      <c r="K1026" s="14">
        <v>1.0</v>
      </c>
    </row>
    <row r="1027">
      <c r="A1027" s="9" t="s">
        <v>3503</v>
      </c>
      <c r="B1027" s="10" t="s">
        <v>3504</v>
      </c>
      <c r="C1027" s="11" t="s">
        <v>1608</v>
      </c>
      <c r="D1027" s="12" t="s">
        <v>125</v>
      </c>
      <c r="E1027" s="13" t="s">
        <v>32</v>
      </c>
      <c r="F1027" s="14" t="s">
        <v>126</v>
      </c>
      <c r="G1027" s="14" t="b">
        <v>0</v>
      </c>
      <c r="I1027" s="14">
        <v>1.0</v>
      </c>
      <c r="J1027" s="14">
        <v>0.0</v>
      </c>
      <c r="K1027" s="14">
        <v>1.0</v>
      </c>
    </row>
    <row r="1028">
      <c r="A1028" s="9" t="s">
        <v>3505</v>
      </c>
      <c r="B1028" s="10" t="s">
        <v>3506</v>
      </c>
      <c r="C1028" s="11" t="s">
        <v>1609</v>
      </c>
      <c r="D1028" s="12" t="s">
        <v>116</v>
      </c>
      <c r="E1028" s="13" t="s">
        <v>102</v>
      </c>
      <c r="F1028" s="14" t="s">
        <v>117</v>
      </c>
      <c r="G1028" s="14" t="b">
        <v>0</v>
      </c>
      <c r="H1028" s="14" t="s">
        <v>3507</v>
      </c>
      <c r="I1028" s="14">
        <v>1.0</v>
      </c>
      <c r="J1028" s="14">
        <v>0.0</v>
      </c>
      <c r="K1028" s="14">
        <v>0.0</v>
      </c>
    </row>
    <row r="1029">
      <c r="A1029" s="9" t="s">
        <v>3508</v>
      </c>
      <c r="B1029" s="13"/>
      <c r="C1029" s="11" t="s">
        <v>1612</v>
      </c>
      <c r="D1029" s="12" t="s">
        <v>116</v>
      </c>
      <c r="E1029" s="13" t="s">
        <v>32</v>
      </c>
      <c r="F1029" s="14" t="s">
        <v>117</v>
      </c>
      <c r="H1029" s="14" t="s">
        <v>824</v>
      </c>
      <c r="I1029" s="14">
        <v>1.0</v>
      </c>
      <c r="J1029" s="14">
        <v>0.0</v>
      </c>
      <c r="K1029" s="14">
        <v>1.0</v>
      </c>
    </row>
    <row r="1030">
      <c r="A1030" s="9" t="s">
        <v>3509</v>
      </c>
      <c r="B1030" s="10" t="s">
        <v>3510</v>
      </c>
      <c r="C1030" s="11" t="s">
        <v>1615</v>
      </c>
      <c r="D1030" s="12" t="s">
        <v>125</v>
      </c>
      <c r="E1030" s="13" t="s">
        <v>32</v>
      </c>
      <c r="F1030" s="14" t="s">
        <v>126</v>
      </c>
      <c r="G1030" s="14" t="b">
        <v>0</v>
      </c>
      <c r="I1030" s="14">
        <v>1.0</v>
      </c>
      <c r="J1030" s="14">
        <v>0.0</v>
      </c>
      <c r="K1030" s="14">
        <v>2.0</v>
      </c>
    </row>
    <row r="1031">
      <c r="A1031" s="9" t="s">
        <v>3511</v>
      </c>
      <c r="B1031" s="10" t="s">
        <v>3512</v>
      </c>
      <c r="C1031" s="11" t="s">
        <v>1387</v>
      </c>
      <c r="D1031" s="12" t="s">
        <v>125</v>
      </c>
      <c r="E1031" s="13" t="s">
        <v>3513</v>
      </c>
      <c r="F1031" s="14" t="s">
        <v>126</v>
      </c>
      <c r="G1031" s="14" t="b">
        <v>1</v>
      </c>
      <c r="H1031" s="14" t="s">
        <v>1391</v>
      </c>
      <c r="I1031" s="14">
        <v>1.0</v>
      </c>
      <c r="J1031" s="14">
        <v>0.0</v>
      </c>
      <c r="K1031" s="14">
        <v>2.0</v>
      </c>
    </row>
    <row r="1032">
      <c r="A1032" s="9" t="s">
        <v>3514</v>
      </c>
      <c r="B1032" s="10" t="s">
        <v>3515</v>
      </c>
      <c r="C1032" s="11" t="s">
        <v>107</v>
      </c>
      <c r="D1032" s="12" t="s">
        <v>30</v>
      </c>
      <c r="E1032" s="13" t="s">
        <v>85</v>
      </c>
      <c r="F1032" s="14" t="s">
        <v>34</v>
      </c>
      <c r="G1032" s="14" t="b">
        <v>0</v>
      </c>
      <c r="H1032" s="14" t="s">
        <v>3516</v>
      </c>
      <c r="I1032" s="14">
        <v>1.0</v>
      </c>
      <c r="J1032" s="14">
        <v>0.0</v>
      </c>
      <c r="K1032" s="14">
        <v>0.0</v>
      </c>
    </row>
    <row r="1033">
      <c r="A1033" s="9" t="s">
        <v>3517</v>
      </c>
      <c r="B1033" s="10" t="s">
        <v>3518</v>
      </c>
      <c r="C1033" s="11" t="s">
        <v>107</v>
      </c>
      <c r="D1033" s="12" t="s">
        <v>158</v>
      </c>
      <c r="E1033" s="13" t="s">
        <v>85</v>
      </c>
      <c r="F1033" s="14" t="s">
        <v>160</v>
      </c>
      <c r="G1033" s="14" t="b">
        <v>0</v>
      </c>
      <c r="H1033" s="14" t="s">
        <v>3519</v>
      </c>
      <c r="I1033" s="14">
        <v>1.0</v>
      </c>
      <c r="J1033" s="14">
        <v>0.0</v>
      </c>
      <c r="K1033" s="14">
        <v>0.0</v>
      </c>
    </row>
    <row r="1034">
      <c r="A1034" s="9" t="s">
        <v>3520</v>
      </c>
      <c r="B1034" s="10" t="s">
        <v>3521</v>
      </c>
      <c r="C1034" s="11" t="s">
        <v>107</v>
      </c>
      <c r="D1034" s="12" t="s">
        <v>30</v>
      </c>
      <c r="E1034" s="13" t="s">
        <v>85</v>
      </c>
      <c r="F1034" s="14" t="s">
        <v>34</v>
      </c>
      <c r="G1034" s="14" t="b">
        <v>0</v>
      </c>
      <c r="H1034" s="14" t="s">
        <v>3522</v>
      </c>
      <c r="I1034" s="14">
        <v>1.0</v>
      </c>
      <c r="J1034" s="14">
        <v>0.0</v>
      </c>
      <c r="K1034" s="14">
        <v>0.0</v>
      </c>
    </row>
    <row r="1035">
      <c r="A1035" s="9" t="s">
        <v>3523</v>
      </c>
      <c r="B1035" s="10" t="s">
        <v>3524</v>
      </c>
      <c r="C1035" s="11" t="s">
        <v>107</v>
      </c>
      <c r="D1035" s="12" t="s">
        <v>30</v>
      </c>
      <c r="E1035" s="13" t="s">
        <v>85</v>
      </c>
      <c r="F1035" s="14" t="s">
        <v>34</v>
      </c>
      <c r="G1035" s="14" t="b">
        <v>0</v>
      </c>
      <c r="H1035" s="14" t="s">
        <v>3525</v>
      </c>
      <c r="I1035" s="14">
        <v>1.0</v>
      </c>
      <c r="J1035" s="14">
        <v>0.0</v>
      </c>
      <c r="K1035" s="14">
        <v>0.0</v>
      </c>
    </row>
    <row r="1036">
      <c r="A1036" s="9" t="s">
        <v>3526</v>
      </c>
      <c r="B1036" s="10" t="s">
        <v>3527</v>
      </c>
      <c r="C1036" s="11" t="s">
        <v>107</v>
      </c>
      <c r="D1036" s="12" t="s">
        <v>30</v>
      </c>
      <c r="E1036" s="13" t="s">
        <v>85</v>
      </c>
      <c r="F1036" s="14" t="s">
        <v>34</v>
      </c>
      <c r="G1036" s="14" t="b">
        <v>0</v>
      </c>
      <c r="H1036" s="14" t="s">
        <v>3528</v>
      </c>
      <c r="I1036" s="14">
        <v>1.0</v>
      </c>
      <c r="J1036" s="14">
        <v>0.0</v>
      </c>
      <c r="K1036" s="14">
        <v>0.0</v>
      </c>
    </row>
    <row r="1037">
      <c r="A1037" s="9" t="s">
        <v>3529</v>
      </c>
      <c r="B1037" s="13"/>
      <c r="C1037" s="11" t="s">
        <v>198</v>
      </c>
      <c r="D1037" s="12" t="s">
        <v>116</v>
      </c>
      <c r="E1037" s="13" t="s">
        <v>116</v>
      </c>
      <c r="F1037" s="14" t="s">
        <v>117</v>
      </c>
      <c r="H1037" s="14" t="s">
        <v>824</v>
      </c>
      <c r="I1037" s="14">
        <v>1.0</v>
      </c>
      <c r="J1037" s="14">
        <v>0.0</v>
      </c>
      <c r="K1037" s="14">
        <v>0.0</v>
      </c>
    </row>
    <row r="1038">
      <c r="A1038" s="9" t="s">
        <v>3530</v>
      </c>
      <c r="B1038" s="13"/>
      <c r="C1038" s="11" t="s">
        <v>198</v>
      </c>
      <c r="D1038" s="12" t="s">
        <v>116</v>
      </c>
      <c r="E1038" s="13" t="s">
        <v>116</v>
      </c>
      <c r="F1038" s="14" t="s">
        <v>117</v>
      </c>
      <c r="H1038" s="14" t="s">
        <v>824</v>
      </c>
      <c r="I1038" s="14">
        <v>1.0</v>
      </c>
      <c r="J1038" s="14">
        <v>0.0</v>
      </c>
      <c r="K1038" s="14">
        <v>0.0</v>
      </c>
    </row>
    <row r="1039">
      <c r="A1039" s="9" t="s">
        <v>3531</v>
      </c>
      <c r="B1039" s="13"/>
      <c r="C1039" s="11" t="s">
        <v>198</v>
      </c>
      <c r="D1039" s="12" t="s">
        <v>116</v>
      </c>
      <c r="E1039" s="13" t="s">
        <v>116</v>
      </c>
      <c r="F1039" s="14" t="s">
        <v>117</v>
      </c>
      <c r="H1039" s="14" t="s">
        <v>824</v>
      </c>
      <c r="I1039" s="14">
        <v>1.0</v>
      </c>
      <c r="J1039" s="14">
        <v>0.0</v>
      </c>
      <c r="K1039" s="14">
        <v>0.0</v>
      </c>
    </row>
    <row r="1040">
      <c r="A1040" s="9" t="s">
        <v>3532</v>
      </c>
      <c r="B1040" s="13"/>
      <c r="C1040" s="11" t="s">
        <v>198</v>
      </c>
      <c r="D1040" s="12" t="s">
        <v>116</v>
      </c>
      <c r="E1040" s="13" t="s">
        <v>116</v>
      </c>
      <c r="F1040" s="14" t="s">
        <v>117</v>
      </c>
      <c r="H1040" s="14" t="s">
        <v>824</v>
      </c>
      <c r="I1040" s="14">
        <v>1.0</v>
      </c>
      <c r="J1040" s="14">
        <v>0.0</v>
      </c>
      <c r="K1040" s="14">
        <v>0.0</v>
      </c>
    </row>
    <row r="1041">
      <c r="A1041" s="9" t="s">
        <v>3533</v>
      </c>
      <c r="B1041" s="13"/>
      <c r="C1041" s="11" t="s">
        <v>198</v>
      </c>
      <c r="D1041" s="12" t="s">
        <v>116</v>
      </c>
      <c r="E1041" s="13" t="s">
        <v>116</v>
      </c>
      <c r="F1041" s="14" t="s">
        <v>117</v>
      </c>
      <c r="H1041" s="14" t="s">
        <v>824</v>
      </c>
      <c r="I1041" s="14">
        <v>1.0</v>
      </c>
      <c r="J1041" s="14">
        <v>0.0</v>
      </c>
      <c r="K1041" s="14">
        <v>1.0</v>
      </c>
    </row>
    <row r="1042">
      <c r="A1042" s="9" t="s">
        <v>3534</v>
      </c>
      <c r="B1042" s="13"/>
      <c r="C1042" s="11" t="s">
        <v>198</v>
      </c>
      <c r="D1042" s="12" t="s">
        <v>116</v>
      </c>
      <c r="E1042" s="13" t="s">
        <v>116</v>
      </c>
      <c r="F1042" s="14" t="s">
        <v>117</v>
      </c>
      <c r="H1042" s="14" t="s">
        <v>824</v>
      </c>
      <c r="I1042" s="14">
        <v>1.0</v>
      </c>
      <c r="J1042" s="14">
        <v>0.0</v>
      </c>
      <c r="K1042" s="14">
        <v>0.0</v>
      </c>
    </row>
    <row r="1043">
      <c r="A1043" s="9" t="s">
        <v>3535</v>
      </c>
      <c r="B1043" s="13"/>
      <c r="C1043" s="11" t="s">
        <v>198</v>
      </c>
      <c r="D1043" s="12" t="s">
        <v>116</v>
      </c>
      <c r="E1043" s="13" t="s">
        <v>116</v>
      </c>
      <c r="F1043" s="14" t="s">
        <v>117</v>
      </c>
      <c r="H1043" s="14" t="s">
        <v>824</v>
      </c>
      <c r="I1043" s="14">
        <v>1.0</v>
      </c>
      <c r="J1043" s="14">
        <v>0.0</v>
      </c>
      <c r="K1043" s="14">
        <v>0.0</v>
      </c>
    </row>
    <row r="1044">
      <c r="A1044" s="9" t="s">
        <v>3536</v>
      </c>
      <c r="B1044" s="13"/>
      <c r="C1044" s="11" t="s">
        <v>198</v>
      </c>
      <c r="D1044" s="12" t="s">
        <v>116</v>
      </c>
      <c r="E1044" s="13" t="s">
        <v>116</v>
      </c>
      <c r="F1044" s="14" t="s">
        <v>117</v>
      </c>
      <c r="H1044" s="14" t="s">
        <v>824</v>
      </c>
      <c r="I1044" s="14">
        <v>1.0</v>
      </c>
      <c r="J1044" s="14">
        <v>0.0</v>
      </c>
      <c r="K1044" s="14">
        <v>0.0</v>
      </c>
    </row>
    <row r="1045">
      <c r="A1045" s="9" t="s">
        <v>3537</v>
      </c>
      <c r="B1045" s="13"/>
      <c r="C1045" s="11" t="s">
        <v>198</v>
      </c>
      <c r="D1045" s="12" t="s">
        <v>116</v>
      </c>
      <c r="E1045" s="13" t="s">
        <v>116</v>
      </c>
      <c r="F1045" s="14" t="s">
        <v>117</v>
      </c>
      <c r="H1045" s="14" t="s">
        <v>824</v>
      </c>
      <c r="I1045" s="14">
        <v>1.0</v>
      </c>
      <c r="J1045" s="14">
        <v>0.0</v>
      </c>
      <c r="K1045" s="14">
        <v>0.0</v>
      </c>
    </row>
    <row r="1046">
      <c r="A1046" s="9" t="s">
        <v>3538</v>
      </c>
      <c r="B1046" s="13"/>
      <c r="C1046" s="11" t="s">
        <v>198</v>
      </c>
      <c r="D1046" s="12" t="s">
        <v>116</v>
      </c>
      <c r="E1046" s="13" t="s">
        <v>116</v>
      </c>
      <c r="F1046" s="14" t="s">
        <v>117</v>
      </c>
      <c r="H1046" s="14" t="s">
        <v>824</v>
      </c>
      <c r="I1046" s="14">
        <v>1.0</v>
      </c>
      <c r="J1046" s="14">
        <v>0.0</v>
      </c>
      <c r="K1046" s="14">
        <v>0.0</v>
      </c>
    </row>
    <row r="1047">
      <c r="A1047" s="9" t="s">
        <v>3539</v>
      </c>
      <c r="B1047" s="13"/>
      <c r="C1047" s="11" t="s">
        <v>198</v>
      </c>
      <c r="D1047" s="12" t="s">
        <v>116</v>
      </c>
      <c r="E1047" s="13" t="s">
        <v>116</v>
      </c>
      <c r="F1047" s="14" t="s">
        <v>117</v>
      </c>
      <c r="H1047" s="14" t="s">
        <v>824</v>
      </c>
      <c r="I1047" s="14">
        <v>1.0</v>
      </c>
      <c r="J1047" s="14">
        <v>0.0</v>
      </c>
      <c r="K1047" s="14">
        <v>0.0</v>
      </c>
    </row>
    <row r="1048">
      <c r="A1048" s="9" t="s">
        <v>3540</v>
      </c>
      <c r="B1048" s="13"/>
      <c r="C1048" s="11" t="s">
        <v>198</v>
      </c>
      <c r="D1048" s="12" t="s">
        <v>116</v>
      </c>
      <c r="E1048" s="13" t="s">
        <v>116</v>
      </c>
      <c r="F1048" s="14" t="s">
        <v>117</v>
      </c>
      <c r="H1048" s="14" t="s">
        <v>824</v>
      </c>
      <c r="I1048" s="14">
        <v>1.0</v>
      </c>
      <c r="J1048" s="14">
        <v>0.0</v>
      </c>
      <c r="K1048" s="14">
        <v>0.0</v>
      </c>
    </row>
    <row r="1049">
      <c r="A1049" s="9" t="s">
        <v>3541</v>
      </c>
      <c r="B1049" s="13"/>
      <c r="C1049" s="11" t="s">
        <v>198</v>
      </c>
      <c r="D1049" s="12" t="s">
        <v>116</v>
      </c>
      <c r="E1049" s="13" t="s">
        <v>116</v>
      </c>
      <c r="F1049" s="14" t="s">
        <v>117</v>
      </c>
      <c r="H1049" s="14" t="s">
        <v>824</v>
      </c>
      <c r="I1049" s="14">
        <v>1.0</v>
      </c>
      <c r="J1049" s="14">
        <v>0.0</v>
      </c>
      <c r="K1049" s="14">
        <v>0.0</v>
      </c>
    </row>
    <row r="1050">
      <c r="A1050" s="9" t="s">
        <v>3542</v>
      </c>
      <c r="B1050" s="13"/>
      <c r="C1050" s="11" t="s">
        <v>198</v>
      </c>
      <c r="D1050" s="12" t="s">
        <v>116</v>
      </c>
      <c r="E1050" s="13" t="s">
        <v>116</v>
      </c>
      <c r="F1050" s="14" t="s">
        <v>117</v>
      </c>
      <c r="H1050" s="14" t="s">
        <v>824</v>
      </c>
      <c r="I1050" s="14">
        <v>1.0</v>
      </c>
      <c r="J1050" s="14">
        <v>0.0</v>
      </c>
      <c r="K1050" s="14">
        <v>1.0</v>
      </c>
    </row>
    <row r="1051">
      <c r="A1051" s="9" t="s">
        <v>3543</v>
      </c>
      <c r="B1051" s="13"/>
      <c r="C1051" s="11" t="s">
        <v>198</v>
      </c>
      <c r="D1051" s="12" t="s">
        <v>116</v>
      </c>
      <c r="E1051" s="13" t="s">
        <v>116</v>
      </c>
      <c r="F1051" s="14" t="s">
        <v>117</v>
      </c>
      <c r="H1051" s="14" t="s">
        <v>824</v>
      </c>
      <c r="I1051" s="14">
        <v>1.0</v>
      </c>
      <c r="J1051" s="14">
        <v>0.0</v>
      </c>
      <c r="K1051" s="14">
        <v>0.0</v>
      </c>
    </row>
    <row r="1052">
      <c r="A1052" s="9" t="s">
        <v>3544</v>
      </c>
      <c r="B1052" s="13"/>
      <c r="C1052" s="11" t="s">
        <v>198</v>
      </c>
      <c r="D1052" s="12" t="s">
        <v>116</v>
      </c>
      <c r="E1052" s="13" t="s">
        <v>116</v>
      </c>
      <c r="F1052" s="14" t="s">
        <v>117</v>
      </c>
      <c r="H1052" s="14" t="s">
        <v>824</v>
      </c>
      <c r="I1052" s="14">
        <v>1.0</v>
      </c>
      <c r="J1052" s="14">
        <v>0.0</v>
      </c>
      <c r="K1052" s="14">
        <v>0.0</v>
      </c>
    </row>
    <row r="1053">
      <c r="A1053" s="9" t="s">
        <v>3545</v>
      </c>
      <c r="B1053" s="13"/>
      <c r="C1053" s="11" t="s">
        <v>198</v>
      </c>
      <c r="D1053" s="12" t="s">
        <v>116</v>
      </c>
      <c r="E1053" s="13" t="s">
        <v>116</v>
      </c>
      <c r="F1053" s="14" t="s">
        <v>117</v>
      </c>
      <c r="H1053" s="14" t="s">
        <v>824</v>
      </c>
      <c r="I1053" s="14">
        <v>1.0</v>
      </c>
      <c r="J1053" s="14">
        <v>0.0</v>
      </c>
      <c r="K1053" s="14">
        <v>0.0</v>
      </c>
    </row>
    <row r="1054">
      <c r="A1054" s="9" t="s">
        <v>3546</v>
      </c>
      <c r="B1054" s="13"/>
      <c r="C1054" s="11" t="s">
        <v>198</v>
      </c>
      <c r="D1054" s="12" t="s">
        <v>116</v>
      </c>
      <c r="E1054" s="13" t="s">
        <v>116</v>
      </c>
      <c r="F1054" s="14" t="s">
        <v>117</v>
      </c>
      <c r="H1054" s="14" t="s">
        <v>824</v>
      </c>
      <c r="I1054" s="14">
        <v>1.0</v>
      </c>
      <c r="J1054" s="14">
        <v>0.0</v>
      </c>
      <c r="K1054" s="14">
        <v>0.0</v>
      </c>
    </row>
    <row r="1055">
      <c r="A1055" s="9" t="s">
        <v>3547</v>
      </c>
      <c r="B1055" s="13"/>
      <c r="C1055" s="11" t="s">
        <v>198</v>
      </c>
      <c r="D1055" s="12" t="s">
        <v>116</v>
      </c>
      <c r="E1055" s="13" t="s">
        <v>116</v>
      </c>
      <c r="F1055" s="14" t="s">
        <v>117</v>
      </c>
      <c r="H1055" s="14" t="s">
        <v>824</v>
      </c>
      <c r="I1055" s="14">
        <v>1.0</v>
      </c>
      <c r="J1055" s="14">
        <v>0.0</v>
      </c>
      <c r="K1055" s="14">
        <v>1.0</v>
      </c>
    </row>
    <row r="1056">
      <c r="A1056" s="9" t="s">
        <v>3548</v>
      </c>
      <c r="B1056" s="13"/>
      <c r="C1056" s="11" t="s">
        <v>198</v>
      </c>
      <c r="D1056" s="12" t="s">
        <v>116</v>
      </c>
      <c r="E1056" s="13" t="s">
        <v>116</v>
      </c>
      <c r="F1056" s="14" t="s">
        <v>117</v>
      </c>
      <c r="H1056" s="14" t="s">
        <v>824</v>
      </c>
      <c r="I1056" s="14">
        <v>1.0</v>
      </c>
      <c r="J1056" s="14">
        <v>0.0</v>
      </c>
      <c r="K1056" s="14">
        <v>0.0</v>
      </c>
    </row>
    <row r="1057">
      <c r="A1057" s="9" t="s">
        <v>3549</v>
      </c>
      <c r="B1057" s="13"/>
      <c r="C1057" s="11" t="s">
        <v>198</v>
      </c>
      <c r="D1057" s="12" t="s">
        <v>116</v>
      </c>
      <c r="E1057" s="13" t="s">
        <v>116</v>
      </c>
      <c r="F1057" s="14" t="s">
        <v>117</v>
      </c>
      <c r="H1057" s="14" t="s">
        <v>824</v>
      </c>
      <c r="I1057" s="14">
        <v>1.0</v>
      </c>
      <c r="J1057" s="14">
        <v>0.0</v>
      </c>
      <c r="K1057" s="14">
        <v>0.0</v>
      </c>
    </row>
    <row r="1058">
      <c r="A1058" s="9" t="s">
        <v>3550</v>
      </c>
      <c r="B1058" s="13"/>
      <c r="C1058" s="11" t="s">
        <v>198</v>
      </c>
      <c r="D1058" s="12" t="s">
        <v>116</v>
      </c>
      <c r="E1058" s="13" t="s">
        <v>116</v>
      </c>
      <c r="F1058" s="14" t="s">
        <v>117</v>
      </c>
      <c r="H1058" s="14" t="s">
        <v>824</v>
      </c>
      <c r="I1058" s="14">
        <v>1.0</v>
      </c>
      <c r="J1058" s="14">
        <v>0.0</v>
      </c>
      <c r="K1058" s="14">
        <v>0.0</v>
      </c>
    </row>
    <row r="1059">
      <c r="A1059" s="9" t="s">
        <v>3551</v>
      </c>
      <c r="B1059" s="10" t="s">
        <v>3552</v>
      </c>
      <c r="C1059" s="11" t="s">
        <v>443</v>
      </c>
      <c r="D1059" s="12" t="s">
        <v>277</v>
      </c>
      <c r="E1059" s="13" t="s">
        <v>20</v>
      </c>
      <c r="F1059" s="14" t="s">
        <v>278</v>
      </c>
      <c r="G1059" s="14" t="b">
        <v>0</v>
      </c>
      <c r="H1059" s="14" t="s">
        <v>2197</v>
      </c>
      <c r="I1059" s="14">
        <v>1.0</v>
      </c>
      <c r="J1059" s="14">
        <v>0.0</v>
      </c>
      <c r="K1059" s="14">
        <v>5.0</v>
      </c>
    </row>
    <row r="1060">
      <c r="A1060" s="9" t="s">
        <v>3553</v>
      </c>
      <c r="B1060" s="10" t="s">
        <v>3554</v>
      </c>
      <c r="C1060" s="11" t="s">
        <v>443</v>
      </c>
      <c r="D1060" s="12" t="s">
        <v>125</v>
      </c>
      <c r="E1060" s="13" t="s">
        <v>20</v>
      </c>
      <c r="F1060" s="14" t="s">
        <v>126</v>
      </c>
      <c r="G1060" s="14" t="b">
        <v>0</v>
      </c>
      <c r="H1060" s="14" t="s">
        <v>3555</v>
      </c>
      <c r="I1060" s="14">
        <v>1.0</v>
      </c>
      <c r="J1060" s="14">
        <v>0.0</v>
      </c>
      <c r="K1060" s="14">
        <v>2.0</v>
      </c>
    </row>
    <row r="1061">
      <c r="A1061" s="9" t="s">
        <v>3556</v>
      </c>
      <c r="B1061" s="10" t="s">
        <v>3557</v>
      </c>
      <c r="C1061" s="11" t="s">
        <v>443</v>
      </c>
      <c r="D1061" s="12" t="s">
        <v>277</v>
      </c>
      <c r="E1061" s="13" t="s">
        <v>20</v>
      </c>
      <c r="F1061" s="14" t="s">
        <v>278</v>
      </c>
      <c r="G1061" s="14" t="b">
        <v>0</v>
      </c>
      <c r="H1061" s="14" t="s">
        <v>2197</v>
      </c>
      <c r="I1061" s="14">
        <v>1.0</v>
      </c>
      <c r="J1061" s="14">
        <v>0.0</v>
      </c>
      <c r="K1061" s="14">
        <v>1.0</v>
      </c>
    </row>
    <row r="1062">
      <c r="A1062" s="9" t="s">
        <v>3558</v>
      </c>
      <c r="B1062" s="10" t="s">
        <v>3559</v>
      </c>
      <c r="C1062" s="11" t="s">
        <v>443</v>
      </c>
      <c r="D1062" s="12" t="s">
        <v>158</v>
      </c>
      <c r="E1062" s="13" t="s">
        <v>20</v>
      </c>
      <c r="F1062" s="14" t="s">
        <v>160</v>
      </c>
      <c r="G1062" s="14" t="b">
        <v>0</v>
      </c>
      <c r="H1062" s="14" t="s">
        <v>3560</v>
      </c>
      <c r="I1062" s="14">
        <v>1.0</v>
      </c>
      <c r="J1062" s="14">
        <v>0.0</v>
      </c>
      <c r="K1062" s="14">
        <v>0.0</v>
      </c>
    </row>
    <row r="1063">
      <c r="A1063" s="9" t="s">
        <v>3561</v>
      </c>
      <c r="B1063" s="10" t="s">
        <v>3562</v>
      </c>
      <c r="C1063" s="11" t="s">
        <v>1617</v>
      </c>
      <c r="D1063" s="12" t="s">
        <v>277</v>
      </c>
      <c r="E1063" s="13" t="s">
        <v>32</v>
      </c>
      <c r="F1063" s="14" t="s">
        <v>278</v>
      </c>
      <c r="G1063" s="14" t="b">
        <v>0</v>
      </c>
      <c r="I1063" s="14">
        <v>1.0</v>
      </c>
      <c r="J1063" s="14">
        <v>0.0</v>
      </c>
      <c r="K1063" s="14">
        <v>1.0</v>
      </c>
    </row>
    <row r="1064">
      <c r="A1064" s="9" t="s">
        <v>3563</v>
      </c>
      <c r="B1064" s="10" t="s">
        <v>3564</v>
      </c>
      <c r="C1064" s="11" t="s">
        <v>1619</v>
      </c>
      <c r="D1064" s="12" t="s">
        <v>19</v>
      </c>
      <c r="E1064" s="13" t="s">
        <v>32</v>
      </c>
      <c r="F1064" s="14" t="s">
        <v>21</v>
      </c>
      <c r="G1064" s="14" t="b">
        <v>0</v>
      </c>
      <c r="H1064" s="14" t="s">
        <v>1576</v>
      </c>
      <c r="I1064" s="14">
        <v>1.0</v>
      </c>
      <c r="J1064" s="14">
        <v>0.0</v>
      </c>
      <c r="K1064" s="14">
        <v>0.0</v>
      </c>
    </row>
    <row r="1065">
      <c r="A1065" s="9" t="s">
        <v>3565</v>
      </c>
      <c r="B1065" s="10" t="s">
        <v>3566</v>
      </c>
      <c r="C1065" s="11" t="s">
        <v>1621</v>
      </c>
      <c r="D1065" s="12" t="s">
        <v>158</v>
      </c>
      <c r="E1065" s="13" t="s">
        <v>32</v>
      </c>
      <c r="F1065" s="14" t="s">
        <v>160</v>
      </c>
      <c r="G1065" s="14" t="b">
        <v>0</v>
      </c>
      <c r="I1065" s="14">
        <v>1.0</v>
      </c>
      <c r="J1065" s="14">
        <v>0.0</v>
      </c>
      <c r="K1065" s="14">
        <v>4.0</v>
      </c>
    </row>
    <row r="1066">
      <c r="A1066" s="9" t="s">
        <v>3567</v>
      </c>
      <c r="B1066" s="10" t="s">
        <v>3568</v>
      </c>
      <c r="C1066" s="11" t="s">
        <v>1623</v>
      </c>
      <c r="D1066" s="12" t="s">
        <v>277</v>
      </c>
      <c r="E1066" s="13" t="s">
        <v>32</v>
      </c>
      <c r="F1066" s="14" t="s">
        <v>278</v>
      </c>
      <c r="G1066" s="14" t="b">
        <v>0</v>
      </c>
      <c r="I1066" s="14">
        <v>1.0</v>
      </c>
      <c r="J1066" s="14">
        <v>0.0</v>
      </c>
      <c r="K1066" s="14">
        <v>0.0</v>
      </c>
    </row>
    <row r="1067">
      <c r="A1067" s="9" t="s">
        <v>3569</v>
      </c>
      <c r="B1067" s="10" t="s">
        <v>3570</v>
      </c>
      <c r="C1067" s="11" t="s">
        <v>1627</v>
      </c>
      <c r="D1067" s="12" t="s">
        <v>277</v>
      </c>
      <c r="E1067" s="13" t="s">
        <v>32</v>
      </c>
      <c r="F1067" s="14" t="s">
        <v>278</v>
      </c>
      <c r="G1067" s="14" t="b">
        <v>0</v>
      </c>
      <c r="I1067" s="14">
        <v>1.0</v>
      </c>
      <c r="J1067" s="14">
        <v>0.0</v>
      </c>
      <c r="K1067" s="14">
        <v>2.0</v>
      </c>
    </row>
    <row r="1068">
      <c r="A1068" s="9" t="s">
        <v>3571</v>
      </c>
      <c r="B1068" s="10" t="s">
        <v>3572</v>
      </c>
      <c r="C1068" s="11" t="s">
        <v>1630</v>
      </c>
      <c r="D1068" s="12" t="s">
        <v>277</v>
      </c>
      <c r="E1068" s="13" t="s">
        <v>32</v>
      </c>
      <c r="F1068" s="14" t="s">
        <v>278</v>
      </c>
      <c r="G1068" s="14" t="b">
        <v>0</v>
      </c>
      <c r="I1068" s="14">
        <v>1.0</v>
      </c>
      <c r="J1068" s="14">
        <v>0.0</v>
      </c>
      <c r="K1068" s="14">
        <v>0.0</v>
      </c>
    </row>
    <row r="1069">
      <c r="A1069" s="9" t="s">
        <v>3573</v>
      </c>
      <c r="B1069" s="10" t="s">
        <v>3574</v>
      </c>
      <c r="C1069" s="11" t="s">
        <v>355</v>
      </c>
      <c r="D1069" s="12" t="s">
        <v>19</v>
      </c>
      <c r="E1069" s="13" t="s">
        <v>32</v>
      </c>
      <c r="F1069" s="14" t="s">
        <v>21</v>
      </c>
      <c r="G1069" s="14" t="b">
        <v>0</v>
      </c>
      <c r="I1069" s="14">
        <v>1.0</v>
      </c>
      <c r="J1069" s="14">
        <v>0.0</v>
      </c>
      <c r="K1069" s="14">
        <v>1.0</v>
      </c>
    </row>
    <row r="1070">
      <c r="A1070" s="9" t="s">
        <v>3575</v>
      </c>
      <c r="B1070" s="10" t="s">
        <v>3576</v>
      </c>
      <c r="C1070" s="11" t="s">
        <v>1632</v>
      </c>
      <c r="D1070" s="12" t="s">
        <v>125</v>
      </c>
      <c r="E1070" s="13" t="s">
        <v>32</v>
      </c>
      <c r="F1070" s="14" t="s">
        <v>126</v>
      </c>
      <c r="G1070" s="14" t="b">
        <v>0</v>
      </c>
      <c r="I1070" s="14">
        <v>1.0</v>
      </c>
      <c r="J1070" s="14">
        <v>0.0</v>
      </c>
      <c r="K1070" s="14">
        <v>0.0</v>
      </c>
    </row>
    <row r="1071">
      <c r="A1071" s="9" t="s">
        <v>3577</v>
      </c>
      <c r="B1071" s="10" t="s">
        <v>3578</v>
      </c>
      <c r="C1071" s="11" t="s">
        <v>1634</v>
      </c>
      <c r="D1071" s="12" t="s">
        <v>19</v>
      </c>
      <c r="E1071" s="13" t="s">
        <v>32</v>
      </c>
      <c r="F1071" s="14" t="s">
        <v>21</v>
      </c>
      <c r="G1071" s="14" t="b">
        <v>0</v>
      </c>
      <c r="I1071" s="14">
        <v>1.0</v>
      </c>
      <c r="J1071" s="14">
        <v>0.0</v>
      </c>
      <c r="K1071" s="14">
        <v>1.0</v>
      </c>
    </row>
    <row r="1072">
      <c r="A1072" s="9" t="s">
        <v>3579</v>
      </c>
      <c r="B1072" s="10" t="s">
        <v>3580</v>
      </c>
      <c r="C1072" s="11" t="s">
        <v>458</v>
      </c>
      <c r="D1072" s="12" t="s">
        <v>312</v>
      </c>
      <c r="E1072" s="13" t="s">
        <v>32</v>
      </c>
      <c r="F1072" s="14" t="s">
        <v>313</v>
      </c>
      <c r="G1072" s="14" t="b">
        <v>0</v>
      </c>
      <c r="H1072" s="14" t="s">
        <v>968</v>
      </c>
      <c r="I1072" s="14">
        <v>1.0</v>
      </c>
      <c r="J1072" s="14">
        <v>0.0</v>
      </c>
      <c r="K1072" s="14">
        <v>1.0</v>
      </c>
    </row>
    <row r="1073">
      <c r="A1073" s="9" t="s">
        <v>3581</v>
      </c>
      <c r="B1073" s="10" t="s">
        <v>3582</v>
      </c>
      <c r="C1073" s="11" t="s">
        <v>1636</v>
      </c>
      <c r="D1073" s="12" t="s">
        <v>312</v>
      </c>
      <c r="E1073" s="13" t="s">
        <v>32</v>
      </c>
      <c r="F1073" s="14" t="s">
        <v>313</v>
      </c>
      <c r="G1073" s="14" t="b">
        <v>0</v>
      </c>
      <c r="I1073" s="14">
        <v>1.0</v>
      </c>
      <c r="J1073" s="14">
        <v>0.0</v>
      </c>
      <c r="K1073" s="14">
        <v>1.0</v>
      </c>
    </row>
    <row r="1074">
      <c r="A1074" s="9" t="s">
        <v>3583</v>
      </c>
      <c r="B1074" s="10" t="s">
        <v>3584</v>
      </c>
      <c r="C1074" s="11" t="s">
        <v>773</v>
      </c>
      <c r="D1074" s="12" t="s">
        <v>19</v>
      </c>
      <c r="E1074" s="13" t="s">
        <v>32</v>
      </c>
      <c r="F1074" s="14" t="s">
        <v>21</v>
      </c>
      <c r="G1074" s="14" t="b">
        <v>0</v>
      </c>
      <c r="H1074" s="14" t="s">
        <v>3585</v>
      </c>
      <c r="I1074" s="14">
        <v>1.0</v>
      </c>
      <c r="J1074" s="14">
        <v>0.0</v>
      </c>
      <c r="K1074" s="14">
        <v>0.0</v>
      </c>
    </row>
    <row r="1075">
      <c r="A1075" s="9" t="s">
        <v>3586</v>
      </c>
      <c r="B1075" s="10" t="s">
        <v>3587</v>
      </c>
      <c r="C1075" s="11" t="s">
        <v>773</v>
      </c>
      <c r="D1075" s="12" t="s">
        <v>19</v>
      </c>
      <c r="E1075" s="13" t="s">
        <v>32</v>
      </c>
      <c r="F1075" s="14" t="s">
        <v>21</v>
      </c>
      <c r="G1075" s="14" t="b">
        <v>0</v>
      </c>
      <c r="H1075" s="14" t="s">
        <v>3588</v>
      </c>
      <c r="I1075" s="14">
        <v>1.0</v>
      </c>
      <c r="J1075" s="14">
        <v>0.0</v>
      </c>
      <c r="K1075" s="14">
        <v>1.0</v>
      </c>
    </row>
    <row r="1076">
      <c r="A1076" s="9" t="s">
        <v>3589</v>
      </c>
      <c r="B1076" s="13"/>
      <c r="C1076" s="11" t="s">
        <v>1638</v>
      </c>
      <c r="D1076" s="12" t="s">
        <v>116</v>
      </c>
      <c r="E1076" s="13" t="s">
        <v>32</v>
      </c>
      <c r="F1076" s="14" t="s">
        <v>117</v>
      </c>
      <c r="G1076" s="14" t="b">
        <v>0</v>
      </c>
      <c r="H1076" s="14" t="s">
        <v>1104</v>
      </c>
      <c r="I1076" s="14">
        <v>1.0</v>
      </c>
      <c r="J1076" s="14">
        <v>0.0</v>
      </c>
      <c r="K1076" s="14">
        <v>1.0</v>
      </c>
    </row>
    <row r="1077">
      <c r="A1077" s="9" t="s">
        <v>3590</v>
      </c>
      <c r="B1077" s="13"/>
      <c r="C1077" s="11" t="s">
        <v>1639</v>
      </c>
      <c r="D1077" s="12" t="s">
        <v>125</v>
      </c>
      <c r="E1077" s="13" t="s">
        <v>32</v>
      </c>
      <c r="F1077" s="14" t="s">
        <v>126</v>
      </c>
      <c r="H1077" s="14" t="s">
        <v>824</v>
      </c>
      <c r="I1077" s="14">
        <v>1.0</v>
      </c>
      <c r="J1077" s="14">
        <v>0.0</v>
      </c>
      <c r="K1077" s="14">
        <v>2.0</v>
      </c>
    </row>
    <row r="1078">
      <c r="A1078" s="9" t="s">
        <v>3591</v>
      </c>
      <c r="B1078" s="10" t="s">
        <v>3592</v>
      </c>
      <c r="C1078" s="11" t="s">
        <v>1641</v>
      </c>
      <c r="D1078" s="12" t="s">
        <v>19</v>
      </c>
      <c r="E1078" s="13" t="s">
        <v>32</v>
      </c>
      <c r="F1078" s="14" t="s">
        <v>21</v>
      </c>
      <c r="G1078" s="14" t="b">
        <v>0</v>
      </c>
      <c r="H1078" s="14" t="s">
        <v>3593</v>
      </c>
      <c r="I1078" s="14">
        <v>1.0</v>
      </c>
      <c r="J1078" s="14">
        <v>0.0</v>
      </c>
      <c r="K1078" s="14">
        <v>0.0</v>
      </c>
    </row>
    <row r="1079">
      <c r="A1079" s="9" t="s">
        <v>3594</v>
      </c>
      <c r="B1079" s="10" t="s">
        <v>3595</v>
      </c>
      <c r="C1079" s="11" t="s">
        <v>551</v>
      </c>
      <c r="D1079" s="12" t="s">
        <v>312</v>
      </c>
      <c r="E1079" s="13" t="s">
        <v>1201</v>
      </c>
      <c r="F1079" s="14" t="s">
        <v>313</v>
      </c>
      <c r="G1079" s="14" t="b">
        <v>0</v>
      </c>
      <c r="H1079" s="14" t="s">
        <v>3596</v>
      </c>
      <c r="I1079" s="14">
        <v>1.0</v>
      </c>
      <c r="J1079" s="14">
        <v>0.0</v>
      </c>
      <c r="K1079" s="14">
        <v>2.0</v>
      </c>
    </row>
    <row r="1080">
      <c r="A1080" s="9" t="s">
        <v>3597</v>
      </c>
      <c r="B1080" s="13"/>
      <c r="C1080" s="11" t="s">
        <v>551</v>
      </c>
      <c r="D1080" s="12" t="s">
        <v>116</v>
      </c>
      <c r="E1080" s="13" t="s">
        <v>1201</v>
      </c>
      <c r="F1080" s="14" t="s">
        <v>117</v>
      </c>
      <c r="G1080" s="14" t="b">
        <v>0</v>
      </c>
      <c r="I1080" s="14">
        <v>1.0</v>
      </c>
      <c r="J1080" s="14">
        <v>0.0</v>
      </c>
      <c r="K1080" s="14">
        <v>2.0</v>
      </c>
    </row>
    <row r="1081">
      <c r="A1081" s="9" t="s">
        <v>3598</v>
      </c>
      <c r="B1081" s="10" t="s">
        <v>3599</v>
      </c>
      <c r="C1081" s="11" t="s">
        <v>1644</v>
      </c>
      <c r="D1081" s="12" t="s">
        <v>116</v>
      </c>
      <c r="E1081" s="13" t="s">
        <v>32</v>
      </c>
      <c r="F1081" s="14" t="s">
        <v>117</v>
      </c>
      <c r="G1081" s="14" t="b">
        <v>0</v>
      </c>
      <c r="H1081" s="14" t="s">
        <v>538</v>
      </c>
      <c r="I1081" s="14">
        <v>1.0</v>
      </c>
      <c r="J1081" s="14">
        <v>0.0</v>
      </c>
      <c r="K1081" s="14">
        <v>1.0</v>
      </c>
    </row>
    <row r="1082">
      <c r="A1082" s="9" t="s">
        <v>3600</v>
      </c>
      <c r="B1082" s="10" t="s">
        <v>3601</v>
      </c>
      <c r="C1082" s="11" t="s">
        <v>1646</v>
      </c>
      <c r="D1082" s="12" t="s">
        <v>116</v>
      </c>
      <c r="E1082" s="13" t="s">
        <v>32</v>
      </c>
      <c r="F1082" s="14" t="s">
        <v>117</v>
      </c>
      <c r="G1082" s="14" t="b">
        <v>0</v>
      </c>
      <c r="I1082" s="14">
        <v>1.0</v>
      </c>
      <c r="J1082" s="14">
        <v>0.0</v>
      </c>
      <c r="K1082" s="14">
        <v>1.0</v>
      </c>
    </row>
    <row r="1083">
      <c r="A1083" s="9" t="s">
        <v>3602</v>
      </c>
      <c r="B1083" s="10" t="s">
        <v>3603</v>
      </c>
      <c r="C1083" s="11" t="s">
        <v>55</v>
      </c>
      <c r="D1083" s="12" t="s">
        <v>116</v>
      </c>
      <c r="E1083" s="13" t="s">
        <v>20</v>
      </c>
      <c r="F1083" s="14" t="s">
        <v>117</v>
      </c>
      <c r="G1083" s="14" t="b">
        <v>0</v>
      </c>
      <c r="H1083" s="14" t="s">
        <v>1946</v>
      </c>
      <c r="I1083" s="14">
        <v>1.0</v>
      </c>
      <c r="J1083" s="14">
        <v>0.0</v>
      </c>
      <c r="K1083" s="14">
        <v>1.0</v>
      </c>
    </row>
    <row r="1084">
      <c r="A1084" s="9" t="s">
        <v>3604</v>
      </c>
      <c r="B1084" s="10" t="s">
        <v>3605</v>
      </c>
      <c r="C1084" s="11" t="s">
        <v>55</v>
      </c>
      <c r="D1084" s="12" t="s">
        <v>277</v>
      </c>
      <c r="E1084" s="13" t="s">
        <v>20</v>
      </c>
      <c r="F1084" s="14" t="s">
        <v>278</v>
      </c>
      <c r="G1084" s="14" t="b">
        <v>0</v>
      </c>
      <c r="H1084" s="14" t="s">
        <v>340</v>
      </c>
      <c r="I1084" s="14">
        <v>1.0</v>
      </c>
      <c r="J1084" s="14">
        <v>0.0</v>
      </c>
      <c r="K1084" s="14">
        <v>2.0</v>
      </c>
    </row>
    <row r="1085">
      <c r="A1085" s="9" t="s">
        <v>3606</v>
      </c>
      <c r="B1085" s="10" t="s">
        <v>3607</v>
      </c>
      <c r="C1085" s="11" t="s">
        <v>55</v>
      </c>
      <c r="D1085" s="12" t="s">
        <v>125</v>
      </c>
      <c r="E1085" s="13" t="s">
        <v>20</v>
      </c>
      <c r="F1085" s="14" t="s">
        <v>126</v>
      </c>
      <c r="G1085" s="14" t="b">
        <v>0</v>
      </c>
      <c r="H1085" s="14" t="s">
        <v>3608</v>
      </c>
      <c r="I1085" s="14">
        <v>1.0</v>
      </c>
      <c r="J1085" s="14">
        <v>0.0</v>
      </c>
      <c r="K1085" s="14">
        <v>2.0</v>
      </c>
    </row>
    <row r="1086">
      <c r="A1086" s="9" t="s">
        <v>3609</v>
      </c>
      <c r="B1086" s="10" t="s">
        <v>3610</v>
      </c>
      <c r="C1086" s="11" t="s">
        <v>55</v>
      </c>
      <c r="D1086" s="12" t="s">
        <v>277</v>
      </c>
      <c r="E1086" s="13" t="s">
        <v>20</v>
      </c>
      <c r="F1086" s="14" t="s">
        <v>278</v>
      </c>
      <c r="G1086" s="14" t="b">
        <v>0</v>
      </c>
      <c r="H1086" s="14" t="s">
        <v>3611</v>
      </c>
      <c r="I1086" s="14">
        <v>1.0</v>
      </c>
      <c r="J1086" s="14">
        <v>0.0</v>
      </c>
      <c r="K1086" s="14">
        <v>1.0</v>
      </c>
    </row>
    <row r="1087">
      <c r="A1087" s="9" t="s">
        <v>3612</v>
      </c>
      <c r="B1087" s="10" t="s">
        <v>3613</v>
      </c>
      <c r="C1087" s="11" t="s">
        <v>55</v>
      </c>
      <c r="D1087" s="12" t="s">
        <v>277</v>
      </c>
      <c r="E1087" s="13" t="s">
        <v>20</v>
      </c>
      <c r="F1087" s="14" t="s">
        <v>278</v>
      </c>
      <c r="G1087" s="14" t="b">
        <v>0</v>
      </c>
      <c r="H1087" s="14" t="s">
        <v>1278</v>
      </c>
      <c r="I1087" s="14">
        <v>1.0</v>
      </c>
      <c r="J1087" s="14">
        <v>0.0</v>
      </c>
      <c r="K1087" s="14">
        <v>1.0</v>
      </c>
    </row>
    <row r="1088">
      <c r="A1088" s="9" t="s">
        <v>3614</v>
      </c>
      <c r="B1088" s="10" t="s">
        <v>3615</v>
      </c>
      <c r="C1088" s="11" t="s">
        <v>1058</v>
      </c>
      <c r="D1088" s="12" t="s">
        <v>456</v>
      </c>
      <c r="E1088" s="13" t="s">
        <v>32</v>
      </c>
      <c r="F1088" s="14" t="s">
        <v>457</v>
      </c>
      <c r="G1088" s="14" t="b">
        <v>0</v>
      </c>
      <c r="I1088" s="14">
        <v>1.0</v>
      </c>
      <c r="J1088" s="14">
        <v>0.0</v>
      </c>
      <c r="K1088" s="14">
        <v>1.0</v>
      </c>
    </row>
    <row r="1089">
      <c r="A1089" s="9" t="s">
        <v>3616</v>
      </c>
      <c r="B1089" s="10" t="s">
        <v>3617</v>
      </c>
      <c r="C1089" s="11" t="s">
        <v>1004</v>
      </c>
      <c r="D1089" s="12" t="s">
        <v>30</v>
      </c>
      <c r="E1089" s="13" t="s">
        <v>32</v>
      </c>
      <c r="F1089" s="14" t="s">
        <v>34</v>
      </c>
      <c r="G1089" s="14" t="b">
        <v>0</v>
      </c>
      <c r="H1089" s="14" t="s">
        <v>1005</v>
      </c>
      <c r="I1089" s="14">
        <v>1.0</v>
      </c>
      <c r="J1089" s="14">
        <v>0.0</v>
      </c>
      <c r="K1089" s="14">
        <v>0.0</v>
      </c>
    </row>
    <row r="1090">
      <c r="A1090" s="9" t="s">
        <v>3618</v>
      </c>
      <c r="B1090" s="10" t="s">
        <v>3619</v>
      </c>
      <c r="C1090" s="11" t="s">
        <v>1648</v>
      </c>
      <c r="D1090" s="12" t="s">
        <v>277</v>
      </c>
      <c r="E1090" s="13" t="s">
        <v>32</v>
      </c>
      <c r="F1090" s="14" t="s">
        <v>278</v>
      </c>
      <c r="G1090" s="14" t="b">
        <v>0</v>
      </c>
      <c r="I1090" s="14">
        <v>1.0</v>
      </c>
      <c r="J1090" s="14">
        <v>0.0</v>
      </c>
      <c r="K1090" s="14">
        <v>1.0</v>
      </c>
    </row>
    <row r="1091">
      <c r="A1091" s="9" t="s">
        <v>3620</v>
      </c>
      <c r="B1091" s="10" t="s">
        <v>3621</v>
      </c>
      <c r="C1091" s="11" t="s">
        <v>1387</v>
      </c>
      <c r="D1091" s="12" t="s">
        <v>312</v>
      </c>
      <c r="E1091" s="13" t="s">
        <v>3513</v>
      </c>
      <c r="F1091" s="14" t="s">
        <v>313</v>
      </c>
      <c r="G1091" s="14" t="b">
        <v>1</v>
      </c>
      <c r="H1091" s="14" t="s">
        <v>1391</v>
      </c>
      <c r="I1091" s="14">
        <v>1.0</v>
      </c>
      <c r="J1091" s="14">
        <v>0.0</v>
      </c>
      <c r="K1091" s="14">
        <v>0.0</v>
      </c>
    </row>
    <row r="1092">
      <c r="A1092" s="9" t="s">
        <v>3622</v>
      </c>
      <c r="B1092" s="10" t="s">
        <v>3623</v>
      </c>
      <c r="C1092" s="11" t="s">
        <v>1650</v>
      </c>
      <c r="D1092" s="12" t="s">
        <v>125</v>
      </c>
      <c r="E1092" s="13" t="s">
        <v>32</v>
      </c>
      <c r="F1092" s="14" t="s">
        <v>126</v>
      </c>
      <c r="G1092" s="14" t="b">
        <v>0</v>
      </c>
      <c r="I1092" s="14">
        <v>1.0</v>
      </c>
      <c r="J1092" s="14">
        <v>0.0</v>
      </c>
      <c r="K1092" s="14">
        <v>1.0</v>
      </c>
    </row>
    <row r="1093">
      <c r="A1093" s="9" t="s">
        <v>3624</v>
      </c>
      <c r="B1093" s="10" t="s">
        <v>3625</v>
      </c>
      <c r="C1093" s="11" t="s">
        <v>1652</v>
      </c>
      <c r="D1093" s="12" t="s">
        <v>19</v>
      </c>
      <c r="E1093" s="13" t="s">
        <v>32</v>
      </c>
      <c r="F1093" s="14" t="s">
        <v>21</v>
      </c>
      <c r="G1093" s="14" t="b">
        <v>0</v>
      </c>
      <c r="H1093" s="14" t="s">
        <v>1655</v>
      </c>
      <c r="I1093" s="14">
        <v>1.0</v>
      </c>
      <c r="J1093" s="14">
        <v>0.0</v>
      </c>
      <c r="K1093" s="14">
        <v>1.0</v>
      </c>
    </row>
    <row r="1094">
      <c r="A1094" s="9" t="s">
        <v>3626</v>
      </c>
      <c r="B1094" s="10" t="s">
        <v>3627</v>
      </c>
      <c r="C1094" s="11" t="s">
        <v>740</v>
      </c>
      <c r="D1094" s="12" t="s">
        <v>19</v>
      </c>
      <c r="E1094" s="13" t="s">
        <v>159</v>
      </c>
      <c r="F1094" s="14" t="s">
        <v>21</v>
      </c>
      <c r="G1094" s="14" t="b">
        <v>0</v>
      </c>
      <c r="H1094" s="14" t="s">
        <v>3628</v>
      </c>
      <c r="I1094" s="14">
        <v>1.0</v>
      </c>
      <c r="J1094" s="14">
        <v>0.0</v>
      </c>
      <c r="K1094" s="14">
        <v>1.0</v>
      </c>
    </row>
    <row r="1095">
      <c r="A1095" s="9" t="s">
        <v>3629</v>
      </c>
      <c r="B1095" s="10" t="s">
        <v>3630</v>
      </c>
      <c r="C1095" s="11" t="s">
        <v>1256</v>
      </c>
      <c r="D1095" s="12" t="s">
        <v>116</v>
      </c>
      <c r="E1095" s="13" t="s">
        <v>32</v>
      </c>
      <c r="F1095" s="14" t="s">
        <v>117</v>
      </c>
      <c r="G1095" s="14" t="b">
        <v>0</v>
      </c>
      <c r="H1095" s="14" t="s">
        <v>538</v>
      </c>
      <c r="I1095" s="14">
        <v>1.0</v>
      </c>
      <c r="J1095" s="14">
        <v>0.0</v>
      </c>
      <c r="K1095" s="14">
        <v>2.0</v>
      </c>
    </row>
    <row r="1096">
      <c r="A1096" s="9" t="s">
        <v>3631</v>
      </c>
      <c r="B1096" s="10" t="s">
        <v>3632</v>
      </c>
      <c r="C1096" s="11" t="s">
        <v>1656</v>
      </c>
      <c r="D1096" s="12" t="s">
        <v>125</v>
      </c>
      <c r="E1096" s="13" t="s">
        <v>32</v>
      </c>
      <c r="F1096" s="14" t="s">
        <v>126</v>
      </c>
      <c r="G1096" s="14" t="b">
        <v>0</v>
      </c>
      <c r="I1096" s="14">
        <v>1.0</v>
      </c>
      <c r="J1096" s="14">
        <v>0.0</v>
      </c>
      <c r="K1096" s="14">
        <v>2.0</v>
      </c>
    </row>
    <row r="1097">
      <c r="A1097" s="9" t="s">
        <v>3633</v>
      </c>
      <c r="B1097" s="10" t="s">
        <v>3634</v>
      </c>
      <c r="C1097" s="11" t="s">
        <v>172</v>
      </c>
      <c r="D1097" s="12" t="s">
        <v>277</v>
      </c>
      <c r="E1097" s="13" t="s">
        <v>20</v>
      </c>
      <c r="F1097" s="14" t="s">
        <v>278</v>
      </c>
      <c r="G1097" s="14" t="b">
        <v>0</v>
      </c>
      <c r="H1097" s="14" t="s">
        <v>279</v>
      </c>
      <c r="I1097" s="14">
        <v>1.0</v>
      </c>
      <c r="J1097" s="14">
        <v>0.0</v>
      </c>
      <c r="K1097" s="14">
        <v>1.0</v>
      </c>
    </row>
    <row r="1098">
      <c r="A1098" s="9" t="s">
        <v>3635</v>
      </c>
      <c r="B1098" s="10" t="s">
        <v>3636</v>
      </c>
      <c r="C1098" s="11" t="s">
        <v>172</v>
      </c>
      <c r="D1098" s="12" t="s">
        <v>277</v>
      </c>
      <c r="E1098" s="13" t="s">
        <v>20</v>
      </c>
      <c r="F1098" s="14" t="s">
        <v>278</v>
      </c>
      <c r="G1098" s="14" t="b">
        <v>0</v>
      </c>
      <c r="H1098" s="14" t="s">
        <v>279</v>
      </c>
      <c r="I1098" s="14">
        <v>1.0</v>
      </c>
      <c r="J1098" s="14">
        <v>0.0</v>
      </c>
      <c r="K1098" s="14">
        <v>1.0</v>
      </c>
    </row>
    <row r="1099">
      <c r="A1099" s="9" t="s">
        <v>3637</v>
      </c>
      <c r="B1099" s="10" t="s">
        <v>3638</v>
      </c>
      <c r="C1099" s="11" t="s">
        <v>172</v>
      </c>
      <c r="D1099" s="12" t="s">
        <v>312</v>
      </c>
      <c r="E1099" s="13" t="s">
        <v>20</v>
      </c>
      <c r="F1099" s="14" t="s">
        <v>313</v>
      </c>
      <c r="G1099" s="14" t="b">
        <v>0</v>
      </c>
      <c r="H1099" s="14" t="s">
        <v>175</v>
      </c>
      <c r="I1099" s="14">
        <v>1.0</v>
      </c>
      <c r="J1099" s="14">
        <v>0.0</v>
      </c>
      <c r="K1099" s="14">
        <v>1.0</v>
      </c>
    </row>
    <row r="1100">
      <c r="A1100" s="9" t="s">
        <v>3639</v>
      </c>
      <c r="B1100" s="10" t="s">
        <v>3640</v>
      </c>
      <c r="C1100" s="11" t="s">
        <v>1658</v>
      </c>
      <c r="D1100" s="12" t="s">
        <v>116</v>
      </c>
      <c r="E1100" s="13" t="s">
        <v>32</v>
      </c>
      <c r="F1100" s="14" t="s">
        <v>117</v>
      </c>
      <c r="G1100" s="14" t="b">
        <v>0</v>
      </c>
      <c r="I1100" s="14">
        <v>1.0</v>
      </c>
      <c r="J1100" s="14">
        <v>0.0</v>
      </c>
      <c r="K1100" s="14">
        <v>1.0</v>
      </c>
    </row>
    <row r="1101">
      <c r="A1101" s="9" t="s">
        <v>3641</v>
      </c>
      <c r="B1101" s="10" t="s">
        <v>3642</v>
      </c>
      <c r="C1101" s="11" t="s">
        <v>1659</v>
      </c>
      <c r="D1101" s="12" t="s">
        <v>312</v>
      </c>
      <c r="E1101" s="13" t="s">
        <v>85</v>
      </c>
      <c r="F1101" s="14" t="s">
        <v>313</v>
      </c>
      <c r="G1101" s="14" t="b">
        <v>0</v>
      </c>
      <c r="H1101" s="14" t="s">
        <v>1661</v>
      </c>
      <c r="I1101" s="14">
        <v>1.0</v>
      </c>
      <c r="J1101" s="14">
        <v>0.0</v>
      </c>
      <c r="K1101" s="14">
        <v>1.0</v>
      </c>
    </row>
    <row r="1102">
      <c r="A1102" s="9" t="s">
        <v>3643</v>
      </c>
      <c r="B1102" s="10" t="s">
        <v>3644</v>
      </c>
      <c r="C1102" s="11" t="s">
        <v>961</v>
      </c>
      <c r="D1102" s="12" t="s">
        <v>158</v>
      </c>
      <c r="E1102" s="13" t="s">
        <v>32</v>
      </c>
      <c r="F1102" s="14" t="s">
        <v>160</v>
      </c>
      <c r="G1102" s="14" t="b">
        <v>0</v>
      </c>
      <c r="I1102" s="14">
        <v>1.0</v>
      </c>
      <c r="J1102" s="14">
        <v>0.0</v>
      </c>
      <c r="K1102" s="14">
        <v>1.0</v>
      </c>
    </row>
    <row r="1103">
      <c r="A1103" s="9" t="s">
        <v>3645</v>
      </c>
      <c r="B1103" s="10" t="s">
        <v>3646</v>
      </c>
      <c r="C1103" s="11" t="s">
        <v>109</v>
      </c>
      <c r="D1103" s="12" t="s">
        <v>19</v>
      </c>
      <c r="E1103" s="13" t="s">
        <v>32</v>
      </c>
      <c r="F1103" s="14" t="s">
        <v>21</v>
      </c>
      <c r="G1103" s="14" t="b">
        <v>0</v>
      </c>
      <c r="H1103" s="14" t="s">
        <v>3647</v>
      </c>
      <c r="I1103" s="14">
        <v>1.0</v>
      </c>
      <c r="J1103" s="14">
        <v>0.0</v>
      </c>
      <c r="K1103" s="14">
        <v>0.0</v>
      </c>
    </row>
    <row r="1104">
      <c r="A1104" s="9" t="s">
        <v>3648</v>
      </c>
      <c r="B1104" s="10" t="s">
        <v>3649</v>
      </c>
      <c r="C1104" s="11" t="s">
        <v>1662</v>
      </c>
      <c r="D1104" s="12" t="s">
        <v>19</v>
      </c>
      <c r="E1104" s="13" t="s">
        <v>32</v>
      </c>
      <c r="F1104" s="14" t="s">
        <v>21</v>
      </c>
      <c r="G1104" s="14" t="b">
        <v>0</v>
      </c>
      <c r="H1104" s="14" t="s">
        <v>1663</v>
      </c>
      <c r="I1104" s="14">
        <v>1.0</v>
      </c>
      <c r="J1104" s="14">
        <v>0.0</v>
      </c>
      <c r="K1104" s="14">
        <v>1.0</v>
      </c>
    </row>
    <row r="1105">
      <c r="A1105" s="9" t="s">
        <v>3650</v>
      </c>
      <c r="B1105" s="10" t="s">
        <v>3651</v>
      </c>
      <c r="C1105" s="11" t="s">
        <v>804</v>
      </c>
      <c r="D1105" s="12" t="s">
        <v>277</v>
      </c>
      <c r="E1105" s="13" t="s">
        <v>20</v>
      </c>
      <c r="F1105" s="14" t="s">
        <v>278</v>
      </c>
      <c r="G1105" s="14" t="b">
        <v>0</v>
      </c>
      <c r="H1105" s="14" t="s">
        <v>805</v>
      </c>
      <c r="I1105" s="14">
        <v>1.0</v>
      </c>
      <c r="J1105" s="14">
        <v>0.0</v>
      </c>
      <c r="K1105" s="14">
        <v>1.0</v>
      </c>
    </row>
    <row r="1106">
      <c r="A1106" s="9" t="s">
        <v>3652</v>
      </c>
      <c r="B1106" s="10" t="s">
        <v>3653</v>
      </c>
      <c r="C1106" s="11" t="s">
        <v>1665</v>
      </c>
      <c r="D1106" s="12" t="s">
        <v>19</v>
      </c>
      <c r="E1106" s="13" t="s">
        <v>32</v>
      </c>
      <c r="F1106" s="14" t="s">
        <v>21</v>
      </c>
      <c r="G1106" s="14" t="b">
        <v>0</v>
      </c>
      <c r="I1106" s="14">
        <v>1.0</v>
      </c>
      <c r="J1106" s="14">
        <v>0.0</v>
      </c>
      <c r="K1106" s="14">
        <v>1.0</v>
      </c>
    </row>
    <row r="1107">
      <c r="A1107" s="9" t="s">
        <v>3654</v>
      </c>
      <c r="B1107" s="10" t="s">
        <v>3655</v>
      </c>
      <c r="C1107" s="11" t="s">
        <v>1667</v>
      </c>
      <c r="D1107" s="12" t="s">
        <v>277</v>
      </c>
      <c r="E1107" s="13" t="s">
        <v>32</v>
      </c>
      <c r="F1107" s="14" t="s">
        <v>278</v>
      </c>
      <c r="G1107" s="14" t="b">
        <v>0</v>
      </c>
      <c r="I1107" s="14">
        <v>1.0</v>
      </c>
      <c r="J1107" s="14">
        <v>0.0</v>
      </c>
      <c r="K1107" s="14">
        <v>3.0</v>
      </c>
    </row>
    <row r="1108">
      <c r="A1108" s="9" t="s">
        <v>3656</v>
      </c>
      <c r="B1108" s="13"/>
      <c r="C1108" s="11" t="s">
        <v>1668</v>
      </c>
      <c r="D1108" s="12" t="s">
        <v>116</v>
      </c>
      <c r="E1108" s="13" t="s">
        <v>116</v>
      </c>
      <c r="F1108" s="14" t="s">
        <v>117</v>
      </c>
      <c r="H1108" s="14" t="s">
        <v>824</v>
      </c>
      <c r="I1108" s="14">
        <v>1.0</v>
      </c>
      <c r="J1108" s="14">
        <v>0.0</v>
      </c>
      <c r="K1108" s="14">
        <v>1.0</v>
      </c>
    </row>
    <row r="1109">
      <c r="A1109" s="9" t="s">
        <v>3657</v>
      </c>
      <c r="B1109" s="10" t="s">
        <v>3658</v>
      </c>
      <c r="C1109" s="11" t="s">
        <v>1671</v>
      </c>
      <c r="D1109" s="12" t="s">
        <v>312</v>
      </c>
      <c r="E1109" s="13" t="s">
        <v>102</v>
      </c>
      <c r="F1109" s="14" t="s">
        <v>313</v>
      </c>
      <c r="G1109" s="14" t="b">
        <v>0</v>
      </c>
      <c r="H1109" s="14" t="s">
        <v>279</v>
      </c>
      <c r="I1109" s="14">
        <v>1.0</v>
      </c>
      <c r="J1109" s="14">
        <v>0.0</v>
      </c>
      <c r="K1109" s="14">
        <v>1.0</v>
      </c>
    </row>
    <row r="1110">
      <c r="A1110" s="9" t="s">
        <v>3659</v>
      </c>
      <c r="B1110" s="10" t="s">
        <v>3660</v>
      </c>
      <c r="C1110" s="11" t="s">
        <v>1673</v>
      </c>
      <c r="D1110" s="12" t="s">
        <v>312</v>
      </c>
      <c r="E1110" s="13" t="s">
        <v>102</v>
      </c>
      <c r="F1110" s="14" t="s">
        <v>313</v>
      </c>
      <c r="G1110" s="14" t="b">
        <v>0</v>
      </c>
      <c r="I1110" s="14">
        <v>1.0</v>
      </c>
      <c r="J1110" s="14">
        <v>0.0</v>
      </c>
      <c r="K1110" s="14">
        <v>0.0</v>
      </c>
    </row>
    <row r="1111">
      <c r="A1111" s="9" t="s">
        <v>3661</v>
      </c>
      <c r="B1111" s="10" t="s">
        <v>3662</v>
      </c>
      <c r="C1111" s="11" t="s">
        <v>549</v>
      </c>
      <c r="D1111" s="12" t="s">
        <v>19</v>
      </c>
      <c r="E1111" s="13" t="s">
        <v>159</v>
      </c>
      <c r="F1111" s="14" t="s">
        <v>21</v>
      </c>
      <c r="G1111" s="14" t="b">
        <v>0</v>
      </c>
      <c r="H1111" s="14" t="s">
        <v>3663</v>
      </c>
      <c r="I1111" s="14">
        <v>1.0</v>
      </c>
      <c r="J1111" s="14">
        <v>0.0</v>
      </c>
      <c r="K1111" s="14">
        <v>0.0</v>
      </c>
    </row>
    <row r="1112">
      <c r="A1112" s="9" t="s">
        <v>3664</v>
      </c>
      <c r="B1112" s="10" t="s">
        <v>3665</v>
      </c>
      <c r="C1112" s="11" t="s">
        <v>1675</v>
      </c>
      <c r="D1112" s="12" t="s">
        <v>30</v>
      </c>
      <c r="E1112" s="13" t="s">
        <v>32</v>
      </c>
      <c r="F1112" s="14" t="s">
        <v>34</v>
      </c>
      <c r="G1112" s="14" t="b">
        <v>0</v>
      </c>
      <c r="H1112" s="14" t="s">
        <v>538</v>
      </c>
      <c r="I1112" s="14">
        <v>1.0</v>
      </c>
      <c r="J1112" s="14">
        <v>0.0</v>
      </c>
      <c r="K1112" s="14">
        <v>1.0</v>
      </c>
    </row>
    <row r="1113">
      <c r="A1113" s="9" t="s">
        <v>3666</v>
      </c>
      <c r="B1113" s="10" t="s">
        <v>3667</v>
      </c>
      <c r="C1113" s="11" t="s">
        <v>1677</v>
      </c>
      <c r="D1113" s="12" t="s">
        <v>125</v>
      </c>
      <c r="E1113" s="13" t="s">
        <v>32</v>
      </c>
      <c r="F1113" s="14" t="s">
        <v>126</v>
      </c>
      <c r="G1113" s="14" t="b">
        <v>0</v>
      </c>
      <c r="I1113" s="14">
        <v>1.0</v>
      </c>
      <c r="J1113" s="14">
        <v>0.0</v>
      </c>
      <c r="K1113" s="14">
        <v>0.0</v>
      </c>
    </row>
    <row r="1114">
      <c r="A1114" s="9" t="s">
        <v>3668</v>
      </c>
      <c r="B1114" s="10" t="s">
        <v>3669</v>
      </c>
      <c r="C1114" s="11" t="s">
        <v>1256</v>
      </c>
      <c r="D1114" s="12" t="s">
        <v>312</v>
      </c>
      <c r="E1114" s="13" t="s">
        <v>32</v>
      </c>
      <c r="F1114" s="14" t="s">
        <v>313</v>
      </c>
      <c r="G1114" s="14" t="b">
        <v>0</v>
      </c>
      <c r="H1114" s="14" t="s">
        <v>361</v>
      </c>
      <c r="I1114" s="14">
        <v>1.0</v>
      </c>
      <c r="J1114" s="14">
        <v>0.0</v>
      </c>
      <c r="K1114" s="14">
        <v>0.0</v>
      </c>
    </row>
    <row r="1115">
      <c r="A1115" s="9" t="s">
        <v>3670</v>
      </c>
      <c r="B1115" s="10" t="s">
        <v>3671</v>
      </c>
      <c r="C1115" s="11" t="s">
        <v>1680</v>
      </c>
      <c r="D1115" s="12" t="s">
        <v>19</v>
      </c>
      <c r="E1115" s="13" t="s">
        <v>32</v>
      </c>
      <c r="F1115" s="14" t="s">
        <v>21</v>
      </c>
      <c r="G1115" s="14" t="b">
        <v>0</v>
      </c>
      <c r="H1115" s="14" t="s">
        <v>523</v>
      </c>
      <c r="I1115" s="14">
        <v>1.0</v>
      </c>
      <c r="J1115" s="14">
        <v>0.0</v>
      </c>
      <c r="K1115" s="14">
        <v>0.0</v>
      </c>
    </row>
    <row r="1116">
      <c r="A1116" s="9" t="s">
        <v>3672</v>
      </c>
      <c r="B1116" s="10" t="s">
        <v>3673</v>
      </c>
      <c r="C1116" s="11" t="s">
        <v>1682</v>
      </c>
      <c r="D1116" s="12" t="s">
        <v>19</v>
      </c>
      <c r="E1116" s="13" t="s">
        <v>32</v>
      </c>
      <c r="F1116" s="14" t="s">
        <v>21</v>
      </c>
      <c r="G1116" s="14" t="b">
        <v>0</v>
      </c>
      <c r="H1116" s="14" t="s">
        <v>340</v>
      </c>
      <c r="I1116" s="14">
        <v>1.0</v>
      </c>
      <c r="J1116" s="14">
        <v>0.0</v>
      </c>
      <c r="K1116" s="14">
        <v>0.0</v>
      </c>
    </row>
    <row r="1117">
      <c r="A1117" s="9" t="s">
        <v>3674</v>
      </c>
      <c r="B1117" s="10" t="s">
        <v>3675</v>
      </c>
      <c r="C1117" s="11" t="s">
        <v>1683</v>
      </c>
      <c r="D1117" s="12" t="s">
        <v>19</v>
      </c>
      <c r="E1117" s="13" t="s">
        <v>32</v>
      </c>
      <c r="F1117" s="14" t="s">
        <v>21</v>
      </c>
      <c r="G1117" s="14" t="b">
        <v>0</v>
      </c>
      <c r="H1117" s="14" t="s">
        <v>1685</v>
      </c>
      <c r="I1117" s="14">
        <v>1.0</v>
      </c>
      <c r="J1117" s="14">
        <v>0.0</v>
      </c>
      <c r="K1117" s="14">
        <v>0.0</v>
      </c>
    </row>
    <row r="1118">
      <c r="A1118" s="9" t="s">
        <v>3676</v>
      </c>
      <c r="B1118" s="10" t="s">
        <v>3677</v>
      </c>
      <c r="C1118" s="11" t="s">
        <v>1686</v>
      </c>
      <c r="D1118" s="12" t="s">
        <v>277</v>
      </c>
      <c r="E1118" s="13" t="s">
        <v>32</v>
      </c>
      <c r="F1118" s="14" t="s">
        <v>278</v>
      </c>
      <c r="G1118" s="14" t="b">
        <v>0</v>
      </c>
      <c r="I1118" s="14">
        <v>1.0</v>
      </c>
      <c r="J1118" s="14">
        <v>0.0</v>
      </c>
      <c r="K1118" s="14">
        <v>0.0</v>
      </c>
    </row>
    <row r="1119">
      <c r="A1119" s="9" t="s">
        <v>3678</v>
      </c>
      <c r="B1119" s="10" t="s">
        <v>3679</v>
      </c>
      <c r="C1119" s="11" t="s">
        <v>1687</v>
      </c>
      <c r="D1119" s="12" t="s">
        <v>125</v>
      </c>
      <c r="E1119" s="13" t="s">
        <v>20</v>
      </c>
      <c r="F1119" s="14" t="s">
        <v>126</v>
      </c>
      <c r="G1119" s="14" t="b">
        <v>0</v>
      </c>
      <c r="H1119" s="14" t="s">
        <v>3680</v>
      </c>
      <c r="I1119" s="14">
        <v>1.0</v>
      </c>
      <c r="J1119" s="14">
        <v>0.0</v>
      </c>
      <c r="K1119" s="14">
        <v>1.0</v>
      </c>
    </row>
    <row r="1120">
      <c r="A1120" s="9" t="s">
        <v>3681</v>
      </c>
      <c r="B1120" s="10" t="s">
        <v>3682</v>
      </c>
      <c r="C1120" s="11" t="s">
        <v>1691</v>
      </c>
      <c r="D1120" s="12" t="s">
        <v>277</v>
      </c>
      <c r="E1120" s="13" t="s">
        <v>32</v>
      </c>
      <c r="F1120" s="14" t="s">
        <v>278</v>
      </c>
      <c r="G1120" s="14" t="b">
        <v>0</v>
      </c>
      <c r="I1120" s="14">
        <v>1.0</v>
      </c>
      <c r="J1120" s="14">
        <v>0.0</v>
      </c>
      <c r="K1120" s="14">
        <v>0.0</v>
      </c>
    </row>
    <row r="1121">
      <c r="A1121" s="9" t="s">
        <v>3683</v>
      </c>
      <c r="B1121" s="10" t="s">
        <v>3684</v>
      </c>
      <c r="C1121" s="11" t="s">
        <v>1692</v>
      </c>
      <c r="D1121" s="12" t="s">
        <v>116</v>
      </c>
      <c r="E1121" s="13" t="s">
        <v>32</v>
      </c>
      <c r="F1121" s="14" t="s">
        <v>117</v>
      </c>
      <c r="G1121" s="14" t="b">
        <v>0</v>
      </c>
      <c r="I1121" s="14">
        <v>1.0</v>
      </c>
      <c r="J1121" s="14">
        <v>0.0</v>
      </c>
      <c r="K1121" s="14">
        <v>1.0</v>
      </c>
    </row>
    <row r="1122">
      <c r="A1122" s="9" t="s">
        <v>3685</v>
      </c>
      <c r="B1122" s="10" t="s">
        <v>3686</v>
      </c>
      <c r="C1122" s="11" t="s">
        <v>1694</v>
      </c>
      <c r="D1122" s="12" t="s">
        <v>277</v>
      </c>
      <c r="E1122" s="13" t="s">
        <v>32</v>
      </c>
      <c r="F1122" s="14" t="s">
        <v>278</v>
      </c>
      <c r="G1122" s="14" t="b">
        <v>0</v>
      </c>
      <c r="I1122" s="14">
        <v>1.0</v>
      </c>
      <c r="J1122" s="14">
        <v>0.0</v>
      </c>
      <c r="K1122" s="14">
        <v>1.0</v>
      </c>
    </row>
    <row r="1123">
      <c r="A1123" s="9" t="s">
        <v>3687</v>
      </c>
      <c r="B1123" s="10" t="s">
        <v>3688</v>
      </c>
      <c r="C1123" s="11" t="s">
        <v>1697</v>
      </c>
      <c r="D1123" s="12" t="s">
        <v>125</v>
      </c>
      <c r="E1123" s="13" t="s">
        <v>32</v>
      </c>
      <c r="F1123" s="14" t="s">
        <v>126</v>
      </c>
      <c r="G1123" s="14" t="b">
        <v>0</v>
      </c>
      <c r="I1123" s="14">
        <v>1.0</v>
      </c>
      <c r="J1123" s="14">
        <v>0.0</v>
      </c>
      <c r="K1123" s="14">
        <v>2.0</v>
      </c>
    </row>
    <row r="1124">
      <c r="A1124" s="9" t="s">
        <v>3689</v>
      </c>
      <c r="B1124" s="10" t="s">
        <v>3690</v>
      </c>
      <c r="C1124" s="11" t="s">
        <v>1392</v>
      </c>
      <c r="D1124" s="12" t="s">
        <v>116</v>
      </c>
      <c r="E1124" s="13" t="s">
        <v>32</v>
      </c>
      <c r="F1124" s="14" t="s">
        <v>117</v>
      </c>
      <c r="G1124" s="14" t="b">
        <v>0</v>
      </c>
      <c r="H1124" s="14" t="s">
        <v>523</v>
      </c>
      <c r="I1124" s="14">
        <v>1.0</v>
      </c>
      <c r="J1124" s="14">
        <v>0.0</v>
      </c>
      <c r="K1124" s="14">
        <v>2.0</v>
      </c>
    </row>
    <row r="1125">
      <c r="A1125" s="9" t="s">
        <v>3691</v>
      </c>
      <c r="B1125" s="10" t="s">
        <v>3692</v>
      </c>
      <c r="C1125" s="11" t="s">
        <v>812</v>
      </c>
      <c r="D1125" s="12" t="s">
        <v>277</v>
      </c>
      <c r="E1125" s="13" t="s">
        <v>32</v>
      </c>
      <c r="F1125" s="14" t="s">
        <v>278</v>
      </c>
      <c r="G1125" s="14" t="b">
        <v>0</v>
      </c>
      <c r="I1125" s="14">
        <v>1.0</v>
      </c>
      <c r="J1125" s="14">
        <v>0.0</v>
      </c>
      <c r="K1125" s="14">
        <v>0.0</v>
      </c>
    </row>
    <row r="1126">
      <c r="A1126" s="9" t="s">
        <v>3693</v>
      </c>
      <c r="B1126" s="10" t="s">
        <v>3694</v>
      </c>
      <c r="C1126" s="11" t="s">
        <v>1699</v>
      </c>
      <c r="D1126" s="12" t="s">
        <v>125</v>
      </c>
      <c r="E1126" s="13" t="s">
        <v>32</v>
      </c>
      <c r="F1126" s="14" t="s">
        <v>126</v>
      </c>
      <c r="G1126" s="14" t="b">
        <v>0</v>
      </c>
      <c r="I1126" s="14">
        <v>1.0</v>
      </c>
      <c r="J1126" s="14">
        <v>0.0</v>
      </c>
      <c r="K1126" s="14">
        <v>0.0</v>
      </c>
    </row>
    <row r="1127">
      <c r="A1127" s="9" t="s">
        <v>3695</v>
      </c>
      <c r="B1127" s="10" t="s">
        <v>3696</v>
      </c>
      <c r="C1127" s="11" t="s">
        <v>60</v>
      </c>
      <c r="D1127" s="12" t="s">
        <v>125</v>
      </c>
      <c r="E1127" s="13" t="s">
        <v>20</v>
      </c>
      <c r="F1127" s="14" t="s">
        <v>126</v>
      </c>
      <c r="G1127" s="14" t="b">
        <v>0</v>
      </c>
      <c r="H1127" s="14" t="s">
        <v>3697</v>
      </c>
      <c r="I1127" s="14">
        <v>1.0</v>
      </c>
      <c r="J1127" s="14">
        <v>0.0</v>
      </c>
      <c r="K1127" s="14">
        <v>1.0</v>
      </c>
    </row>
    <row r="1128">
      <c r="A1128" s="9" t="s">
        <v>3698</v>
      </c>
      <c r="B1128" s="10" t="s">
        <v>3699</v>
      </c>
      <c r="C1128" s="11" t="s">
        <v>60</v>
      </c>
      <c r="D1128" s="12" t="s">
        <v>277</v>
      </c>
      <c r="E1128" s="13" t="s">
        <v>20</v>
      </c>
      <c r="F1128" s="14" t="s">
        <v>278</v>
      </c>
      <c r="G1128" s="14" t="b">
        <v>0</v>
      </c>
      <c r="H1128" s="14" t="s">
        <v>3700</v>
      </c>
      <c r="I1128" s="14">
        <v>1.0</v>
      </c>
      <c r="J1128" s="14">
        <v>0.0</v>
      </c>
      <c r="K1128" s="14">
        <v>1.0</v>
      </c>
    </row>
    <row r="1129">
      <c r="A1129" s="9" t="s">
        <v>3701</v>
      </c>
      <c r="B1129" s="10" t="s">
        <v>3702</v>
      </c>
      <c r="C1129" s="11" t="s">
        <v>60</v>
      </c>
      <c r="D1129" s="12" t="s">
        <v>277</v>
      </c>
      <c r="E1129" s="13" t="s">
        <v>20</v>
      </c>
      <c r="F1129" s="14" t="s">
        <v>278</v>
      </c>
      <c r="G1129" s="14" t="b">
        <v>0</v>
      </c>
      <c r="H1129" s="14" t="s">
        <v>3697</v>
      </c>
      <c r="I1129" s="14">
        <v>1.0</v>
      </c>
      <c r="J1129" s="14">
        <v>0.0</v>
      </c>
      <c r="K1129" s="14">
        <v>1.0</v>
      </c>
    </row>
    <row r="1130">
      <c r="A1130" s="9" t="s">
        <v>3703</v>
      </c>
      <c r="B1130" s="10" t="s">
        <v>3704</v>
      </c>
      <c r="C1130" s="11" t="s">
        <v>184</v>
      </c>
      <c r="D1130" s="12" t="s">
        <v>158</v>
      </c>
      <c r="E1130" s="13" t="s">
        <v>32</v>
      </c>
      <c r="F1130" s="14" t="s">
        <v>160</v>
      </c>
      <c r="G1130" s="14" t="b">
        <v>0</v>
      </c>
      <c r="I1130" s="14">
        <v>1.0</v>
      </c>
      <c r="J1130" s="14">
        <v>0.0</v>
      </c>
      <c r="K1130" s="14">
        <v>1.0</v>
      </c>
    </row>
    <row r="1131">
      <c r="A1131" s="9" t="s">
        <v>3705</v>
      </c>
      <c r="B1131" s="10" t="s">
        <v>3706</v>
      </c>
      <c r="C1131" s="11" t="s">
        <v>184</v>
      </c>
      <c r="D1131" s="12" t="s">
        <v>158</v>
      </c>
      <c r="E1131" s="13" t="s">
        <v>32</v>
      </c>
      <c r="F1131" s="14" t="s">
        <v>160</v>
      </c>
      <c r="G1131" s="14" t="b">
        <v>0</v>
      </c>
      <c r="H1131" s="14" t="s">
        <v>3707</v>
      </c>
      <c r="I1131" s="14">
        <v>1.0</v>
      </c>
      <c r="J1131" s="14">
        <v>0.0</v>
      </c>
      <c r="K1131" s="14">
        <v>1.0</v>
      </c>
    </row>
    <row r="1132">
      <c r="A1132" s="9" t="s">
        <v>3708</v>
      </c>
      <c r="B1132" s="10" t="s">
        <v>3709</v>
      </c>
      <c r="C1132" s="11" t="s">
        <v>969</v>
      </c>
      <c r="D1132" s="12" t="s">
        <v>277</v>
      </c>
      <c r="E1132" s="13" t="s">
        <v>20</v>
      </c>
      <c r="F1132" s="14" t="s">
        <v>278</v>
      </c>
      <c r="G1132" s="14" t="b">
        <v>0</v>
      </c>
      <c r="H1132" s="14" t="s">
        <v>1193</v>
      </c>
      <c r="I1132" s="14">
        <v>1.0</v>
      </c>
      <c r="J1132" s="14">
        <v>0.0</v>
      </c>
      <c r="K1132" s="14">
        <v>0.0</v>
      </c>
    </row>
    <row r="1133">
      <c r="A1133" s="9" t="s">
        <v>3710</v>
      </c>
      <c r="B1133" s="10" t="s">
        <v>3711</v>
      </c>
      <c r="C1133" s="11" t="s">
        <v>545</v>
      </c>
      <c r="D1133" s="12" t="s">
        <v>125</v>
      </c>
      <c r="E1133" s="13" t="s">
        <v>20</v>
      </c>
      <c r="F1133" s="14" t="s">
        <v>126</v>
      </c>
      <c r="G1133" s="14" t="b">
        <v>0</v>
      </c>
      <c r="H1133" s="14" t="s">
        <v>2212</v>
      </c>
      <c r="I1133" s="14">
        <v>1.0</v>
      </c>
      <c r="J1133" s="14">
        <v>0.0</v>
      </c>
      <c r="K1133" s="14">
        <v>0.0</v>
      </c>
    </row>
    <row r="1134">
      <c r="A1134" s="9" t="s">
        <v>3712</v>
      </c>
      <c r="B1134" s="10" t="s">
        <v>3713</v>
      </c>
      <c r="C1134" s="11" t="s">
        <v>1703</v>
      </c>
      <c r="D1134" s="12" t="s">
        <v>277</v>
      </c>
      <c r="E1134" s="13" t="s">
        <v>32</v>
      </c>
      <c r="F1134" s="14" t="s">
        <v>278</v>
      </c>
      <c r="G1134" s="14" t="b">
        <v>0</v>
      </c>
      <c r="I1134" s="14">
        <v>1.0</v>
      </c>
      <c r="J1134" s="14">
        <v>0.0</v>
      </c>
      <c r="K1134" s="14">
        <v>1.0</v>
      </c>
    </row>
    <row r="1135">
      <c r="A1135" s="9" t="s">
        <v>3714</v>
      </c>
      <c r="B1135" s="10" t="s">
        <v>3715</v>
      </c>
      <c r="C1135" s="11" t="s">
        <v>1705</v>
      </c>
      <c r="D1135" s="12" t="s">
        <v>277</v>
      </c>
      <c r="E1135" s="13" t="s">
        <v>32</v>
      </c>
      <c r="F1135" s="14" t="s">
        <v>278</v>
      </c>
      <c r="G1135" s="14" t="b">
        <v>0</v>
      </c>
      <c r="I1135" s="14">
        <v>1.0</v>
      </c>
      <c r="J1135" s="14">
        <v>0.0</v>
      </c>
      <c r="K1135" s="14">
        <v>0.0</v>
      </c>
    </row>
    <row r="1136">
      <c r="A1136" s="9" t="s">
        <v>3716</v>
      </c>
      <c r="B1136" s="10" t="s">
        <v>3717</v>
      </c>
      <c r="C1136" s="11" t="s">
        <v>1066</v>
      </c>
      <c r="D1136" s="12" t="s">
        <v>1143</v>
      </c>
      <c r="E1136" s="13" t="s">
        <v>20</v>
      </c>
      <c r="F1136" s="14" t="s">
        <v>1145</v>
      </c>
      <c r="G1136" s="14" t="b">
        <v>0</v>
      </c>
      <c r="H1136" s="14" t="s">
        <v>3718</v>
      </c>
      <c r="I1136" s="14">
        <v>1.0</v>
      </c>
      <c r="J1136" s="14">
        <v>0.0</v>
      </c>
      <c r="K1136" s="14">
        <v>1.0</v>
      </c>
    </row>
    <row r="1137">
      <c r="A1137" s="9" t="s">
        <v>3719</v>
      </c>
      <c r="B1137" s="10" t="s">
        <v>3720</v>
      </c>
      <c r="C1137" s="11" t="s">
        <v>1708</v>
      </c>
      <c r="D1137" s="12" t="s">
        <v>116</v>
      </c>
      <c r="E1137" s="13" t="s">
        <v>32</v>
      </c>
      <c r="F1137" s="14" t="s">
        <v>117</v>
      </c>
      <c r="G1137" s="14" t="b">
        <v>0</v>
      </c>
      <c r="I1137" s="14">
        <v>1.0</v>
      </c>
      <c r="J1137" s="14">
        <v>0.0</v>
      </c>
      <c r="K1137" s="14">
        <v>1.0</v>
      </c>
    </row>
    <row r="1138">
      <c r="A1138" s="9" t="s">
        <v>3721</v>
      </c>
      <c r="B1138" s="10" t="s">
        <v>3722</v>
      </c>
      <c r="C1138" s="11" t="s">
        <v>1710</v>
      </c>
      <c r="D1138" s="12" t="s">
        <v>125</v>
      </c>
      <c r="E1138" s="13" t="s">
        <v>20</v>
      </c>
      <c r="F1138" s="14" t="s">
        <v>126</v>
      </c>
      <c r="G1138" s="14" t="b">
        <v>0</v>
      </c>
      <c r="H1138" s="14" t="s">
        <v>1576</v>
      </c>
      <c r="I1138" s="14">
        <v>1.0</v>
      </c>
      <c r="J1138" s="14">
        <v>0.0</v>
      </c>
      <c r="K1138" s="14">
        <v>1.0</v>
      </c>
    </row>
    <row r="1139">
      <c r="A1139" s="9" t="s">
        <v>3723</v>
      </c>
      <c r="B1139" s="10" t="s">
        <v>3724</v>
      </c>
      <c r="C1139" s="10" t="s">
        <v>1712</v>
      </c>
      <c r="D1139" s="12" t="s">
        <v>158</v>
      </c>
      <c r="E1139" s="13" t="s">
        <v>32</v>
      </c>
      <c r="F1139" s="14" t="s">
        <v>160</v>
      </c>
      <c r="G1139" s="14" t="b">
        <v>0</v>
      </c>
      <c r="H1139" s="14" t="s">
        <v>467</v>
      </c>
      <c r="I1139" s="14">
        <v>1.0</v>
      </c>
      <c r="J1139" s="14">
        <v>0.0</v>
      </c>
      <c r="K1139" s="14">
        <v>0.0</v>
      </c>
    </row>
    <row r="1140">
      <c r="A1140" s="9" t="s">
        <v>3725</v>
      </c>
      <c r="B1140" s="10" t="s">
        <v>3726</v>
      </c>
      <c r="C1140" s="11" t="s">
        <v>1714</v>
      </c>
      <c r="D1140" s="12" t="s">
        <v>116</v>
      </c>
      <c r="E1140" s="13" t="s">
        <v>32</v>
      </c>
      <c r="F1140" s="14" t="s">
        <v>117</v>
      </c>
      <c r="G1140" s="14" t="b">
        <v>0</v>
      </c>
      <c r="I1140" s="14">
        <v>1.0</v>
      </c>
      <c r="J1140" s="14">
        <v>0.0</v>
      </c>
      <c r="K1140" s="14">
        <v>1.0</v>
      </c>
    </row>
    <row r="1141">
      <c r="A1141" s="9" t="s">
        <v>3727</v>
      </c>
      <c r="B1141" s="10" t="s">
        <v>3728</v>
      </c>
      <c r="C1141" s="11" t="s">
        <v>1919</v>
      </c>
      <c r="D1141" s="12" t="s">
        <v>158</v>
      </c>
      <c r="E1141" s="13" t="s">
        <v>85</v>
      </c>
      <c r="F1141" s="14" t="s">
        <v>160</v>
      </c>
      <c r="G1141" s="14" t="b">
        <v>0</v>
      </c>
      <c r="H1141" s="14" t="s">
        <v>1576</v>
      </c>
      <c r="I1141" s="14">
        <v>1.0</v>
      </c>
      <c r="J1141" s="14">
        <v>0.0</v>
      </c>
      <c r="K1141" s="14">
        <v>1.0</v>
      </c>
    </row>
    <row r="1142">
      <c r="A1142" s="9" t="s">
        <v>3729</v>
      </c>
      <c r="B1142" s="10" t="s">
        <v>3730</v>
      </c>
      <c r="C1142" s="11" t="s">
        <v>1715</v>
      </c>
      <c r="D1142" s="12" t="s">
        <v>277</v>
      </c>
      <c r="E1142" s="13" t="s">
        <v>32</v>
      </c>
      <c r="F1142" s="14" t="s">
        <v>278</v>
      </c>
      <c r="G1142" s="14" t="b">
        <v>0</v>
      </c>
      <c r="H1142" s="14" t="s">
        <v>538</v>
      </c>
      <c r="I1142" s="14">
        <v>1.0</v>
      </c>
      <c r="J1142" s="14">
        <v>0.0</v>
      </c>
      <c r="K1142" s="14">
        <v>0.0</v>
      </c>
    </row>
    <row r="1143">
      <c r="A1143" s="9" t="s">
        <v>3731</v>
      </c>
      <c r="B1143" s="10" t="s">
        <v>3732</v>
      </c>
      <c r="C1143" s="11" t="s">
        <v>1718</v>
      </c>
      <c r="D1143" s="12" t="s">
        <v>125</v>
      </c>
      <c r="E1143" s="13" t="s">
        <v>32</v>
      </c>
      <c r="F1143" s="14" t="s">
        <v>126</v>
      </c>
      <c r="G1143" s="14" t="b">
        <v>0</v>
      </c>
      <c r="I1143" s="14">
        <v>1.0</v>
      </c>
      <c r="J1143" s="14">
        <v>0.0</v>
      </c>
      <c r="K1143" s="14">
        <v>2.0</v>
      </c>
    </row>
    <row r="1144">
      <c r="A1144" s="9" t="s">
        <v>3733</v>
      </c>
      <c r="B1144" s="10" t="s">
        <v>3734</v>
      </c>
      <c r="C1144" s="11" t="s">
        <v>1720</v>
      </c>
      <c r="D1144" s="12" t="s">
        <v>125</v>
      </c>
      <c r="E1144" s="13" t="s">
        <v>32</v>
      </c>
      <c r="F1144" s="14" t="s">
        <v>126</v>
      </c>
      <c r="G1144" s="14" t="b">
        <v>0</v>
      </c>
      <c r="I1144" s="14">
        <v>1.0</v>
      </c>
      <c r="J1144" s="14">
        <v>0.0</v>
      </c>
      <c r="K1144" s="14">
        <v>1.0</v>
      </c>
    </row>
    <row r="1145">
      <c r="A1145" s="9" t="s">
        <v>3735</v>
      </c>
      <c r="B1145" s="10" t="s">
        <v>3736</v>
      </c>
      <c r="C1145" s="11" t="s">
        <v>777</v>
      </c>
      <c r="D1145" s="12" t="s">
        <v>158</v>
      </c>
      <c r="E1145" s="13" t="s">
        <v>20</v>
      </c>
      <c r="F1145" s="14" t="s">
        <v>160</v>
      </c>
      <c r="G1145" s="14" t="b">
        <v>0</v>
      </c>
      <c r="H1145" s="14" t="s">
        <v>779</v>
      </c>
      <c r="I1145" s="14">
        <v>1.0</v>
      </c>
      <c r="J1145" s="14">
        <v>0.0</v>
      </c>
      <c r="K1145" s="14">
        <v>2.0</v>
      </c>
    </row>
    <row r="1146">
      <c r="A1146" s="9" t="s">
        <v>3737</v>
      </c>
      <c r="B1146" s="10" t="s">
        <v>3738</v>
      </c>
      <c r="C1146" s="11" t="s">
        <v>1722</v>
      </c>
      <c r="D1146" s="12" t="s">
        <v>116</v>
      </c>
      <c r="E1146" s="13" t="s">
        <v>102</v>
      </c>
      <c r="F1146" s="14" t="s">
        <v>117</v>
      </c>
      <c r="G1146" s="14" t="b">
        <v>0</v>
      </c>
      <c r="H1146" s="14" t="s">
        <v>3739</v>
      </c>
      <c r="I1146" s="14">
        <v>1.0</v>
      </c>
      <c r="J1146" s="14">
        <v>0.0</v>
      </c>
      <c r="K1146" s="14">
        <v>0.0</v>
      </c>
    </row>
    <row r="1147">
      <c r="A1147" s="9" t="s">
        <v>3740</v>
      </c>
      <c r="B1147" s="10" t="s">
        <v>3741</v>
      </c>
      <c r="C1147" s="11" t="s">
        <v>1725</v>
      </c>
      <c r="D1147" s="12" t="s">
        <v>125</v>
      </c>
      <c r="E1147" s="13" t="s">
        <v>32</v>
      </c>
      <c r="F1147" s="14" t="s">
        <v>126</v>
      </c>
      <c r="G1147" s="14" t="b">
        <v>0</v>
      </c>
      <c r="I1147" s="14">
        <v>1.0</v>
      </c>
      <c r="J1147" s="14">
        <v>0.0</v>
      </c>
      <c r="K1147" s="14">
        <v>4.0</v>
      </c>
    </row>
    <row r="1148">
      <c r="A1148" s="9" t="s">
        <v>3742</v>
      </c>
      <c r="B1148" s="10" t="s">
        <v>3743</v>
      </c>
      <c r="C1148" s="11" t="s">
        <v>1727</v>
      </c>
      <c r="D1148" s="12" t="s">
        <v>125</v>
      </c>
      <c r="E1148" s="13" t="s">
        <v>102</v>
      </c>
      <c r="F1148" s="14" t="s">
        <v>126</v>
      </c>
      <c r="G1148" s="14" t="b">
        <v>0</v>
      </c>
      <c r="H1148" s="14" t="s">
        <v>361</v>
      </c>
      <c r="I1148" s="14">
        <v>1.0</v>
      </c>
      <c r="J1148" s="14">
        <v>0.0</v>
      </c>
      <c r="K1148" s="14">
        <v>0.0</v>
      </c>
    </row>
    <row r="1149">
      <c r="A1149" s="9" t="s">
        <v>3744</v>
      </c>
      <c r="B1149" s="10" t="s">
        <v>3745</v>
      </c>
      <c r="C1149" s="11" t="s">
        <v>1271</v>
      </c>
      <c r="D1149" s="12" t="s">
        <v>30</v>
      </c>
      <c r="E1149" s="13" t="s">
        <v>32</v>
      </c>
      <c r="F1149" s="14" t="s">
        <v>34</v>
      </c>
      <c r="G1149" s="14" t="b">
        <v>0</v>
      </c>
      <c r="H1149" s="14" t="s">
        <v>1272</v>
      </c>
      <c r="I1149" s="14">
        <v>1.0</v>
      </c>
      <c r="J1149" s="14">
        <v>0.0</v>
      </c>
      <c r="K1149" s="14">
        <v>0.0</v>
      </c>
    </row>
    <row r="1150">
      <c r="A1150" s="9" t="s">
        <v>3746</v>
      </c>
      <c r="B1150" s="10" t="s">
        <v>3747</v>
      </c>
      <c r="C1150" s="11" t="s">
        <v>1271</v>
      </c>
      <c r="D1150" s="12" t="s">
        <v>30</v>
      </c>
      <c r="E1150" s="13" t="s">
        <v>32</v>
      </c>
      <c r="F1150" s="14" t="s">
        <v>34</v>
      </c>
      <c r="G1150" s="14" t="b">
        <v>0</v>
      </c>
      <c r="H1150" s="14" t="s">
        <v>1538</v>
      </c>
      <c r="I1150" s="14">
        <v>1.0</v>
      </c>
      <c r="J1150" s="14">
        <v>0.0</v>
      </c>
      <c r="K1150" s="14">
        <v>0.0</v>
      </c>
    </row>
    <row r="1151">
      <c r="A1151" s="9" t="s">
        <v>3748</v>
      </c>
      <c r="B1151" s="13"/>
      <c r="C1151" s="11" t="s">
        <v>198</v>
      </c>
      <c r="D1151" s="12" t="s">
        <v>116</v>
      </c>
      <c r="E1151" s="13" t="s">
        <v>116</v>
      </c>
      <c r="F1151" s="14" t="s">
        <v>117</v>
      </c>
      <c r="H1151" s="14" t="s">
        <v>824</v>
      </c>
      <c r="I1151" s="14">
        <v>1.0</v>
      </c>
      <c r="J1151" s="14">
        <v>0.0</v>
      </c>
      <c r="K1151" s="14">
        <v>0.0</v>
      </c>
    </row>
    <row r="1152">
      <c r="A1152" s="9" t="s">
        <v>3749</v>
      </c>
      <c r="B1152" s="10" t="s">
        <v>3750</v>
      </c>
      <c r="C1152" s="11" t="s">
        <v>1274</v>
      </c>
      <c r="D1152" s="12" t="s">
        <v>1143</v>
      </c>
      <c r="E1152" s="13" t="s">
        <v>32</v>
      </c>
      <c r="F1152" s="14" t="s">
        <v>1145</v>
      </c>
      <c r="G1152" s="14" t="b">
        <v>0</v>
      </c>
      <c r="H1152" s="14" t="s">
        <v>538</v>
      </c>
      <c r="I1152" s="14">
        <v>1.0</v>
      </c>
      <c r="J1152" s="14">
        <v>0.0</v>
      </c>
      <c r="K1152" s="14">
        <v>0.0</v>
      </c>
    </row>
    <row r="1153">
      <c r="A1153" s="9" t="s">
        <v>3751</v>
      </c>
      <c r="B1153" s="10" t="s">
        <v>3752</v>
      </c>
      <c r="C1153" s="11" t="s">
        <v>1274</v>
      </c>
      <c r="D1153" s="12" t="s">
        <v>277</v>
      </c>
      <c r="E1153" s="13" t="s">
        <v>32</v>
      </c>
      <c r="F1153" s="14" t="s">
        <v>278</v>
      </c>
      <c r="G1153" s="14" t="b">
        <v>0</v>
      </c>
      <c r="H1153" s="14" t="s">
        <v>538</v>
      </c>
      <c r="I1153" s="14">
        <v>1.0</v>
      </c>
      <c r="J1153" s="14">
        <v>0.0</v>
      </c>
      <c r="K1153" s="14">
        <v>1.0</v>
      </c>
    </row>
    <row r="1154">
      <c r="A1154" s="9" t="s">
        <v>3753</v>
      </c>
      <c r="B1154" s="10" t="s">
        <v>3754</v>
      </c>
      <c r="C1154" s="11" t="s">
        <v>1729</v>
      </c>
      <c r="D1154" s="12" t="s">
        <v>1143</v>
      </c>
      <c r="E1154" s="13" t="s">
        <v>1201</v>
      </c>
      <c r="F1154" s="14" t="s">
        <v>1145</v>
      </c>
      <c r="G1154" s="14" t="b">
        <v>0</v>
      </c>
      <c r="I1154" s="14">
        <v>1.0</v>
      </c>
      <c r="J1154" s="14">
        <v>0.0</v>
      </c>
      <c r="K1154" s="14">
        <v>0.0</v>
      </c>
    </row>
    <row r="1155">
      <c r="A1155" s="9" t="s">
        <v>3755</v>
      </c>
      <c r="B1155" s="10" t="s">
        <v>3756</v>
      </c>
      <c r="C1155" s="11" t="s">
        <v>1731</v>
      </c>
      <c r="D1155" s="12" t="s">
        <v>277</v>
      </c>
      <c r="E1155" s="13" t="s">
        <v>32</v>
      </c>
      <c r="F1155" s="14" t="s">
        <v>278</v>
      </c>
      <c r="G1155" s="14" t="b">
        <v>0</v>
      </c>
      <c r="I1155" s="14">
        <v>1.0</v>
      </c>
      <c r="J1155" s="14">
        <v>0.0</v>
      </c>
      <c r="K1155" s="14">
        <v>0.0</v>
      </c>
    </row>
    <row r="1156">
      <c r="A1156" s="9" t="s">
        <v>3757</v>
      </c>
      <c r="B1156" s="10" t="s">
        <v>3758</v>
      </c>
      <c r="C1156" s="11" t="s">
        <v>337</v>
      </c>
      <c r="D1156" s="12" t="s">
        <v>19</v>
      </c>
      <c r="E1156" s="13" t="s">
        <v>32</v>
      </c>
      <c r="F1156" s="14" t="s">
        <v>21</v>
      </c>
      <c r="G1156" s="14" t="b">
        <v>0</v>
      </c>
      <c r="H1156" s="14" t="s">
        <v>340</v>
      </c>
      <c r="I1156" s="14">
        <v>1.0</v>
      </c>
      <c r="J1156" s="14">
        <v>0.0</v>
      </c>
      <c r="K1156" s="14">
        <v>1.0</v>
      </c>
    </row>
    <row r="1157">
      <c r="A1157" s="9" t="s">
        <v>3759</v>
      </c>
      <c r="B1157" s="10" t="s">
        <v>3760</v>
      </c>
      <c r="C1157" s="11" t="s">
        <v>138</v>
      </c>
      <c r="D1157" s="12" t="s">
        <v>277</v>
      </c>
      <c r="E1157" s="13" t="s">
        <v>20</v>
      </c>
      <c r="F1157" s="14" t="s">
        <v>278</v>
      </c>
      <c r="G1157" s="14" t="b">
        <v>0</v>
      </c>
      <c r="H1157" s="14" t="s">
        <v>538</v>
      </c>
      <c r="I1157" s="14">
        <v>1.0</v>
      </c>
      <c r="J1157" s="14">
        <v>0.0</v>
      </c>
      <c r="K1157" s="14">
        <v>0.0</v>
      </c>
    </row>
    <row r="1158">
      <c r="A1158" s="9" t="s">
        <v>3761</v>
      </c>
      <c r="B1158" s="10" t="s">
        <v>3762</v>
      </c>
      <c r="C1158" s="11" t="s">
        <v>76</v>
      </c>
      <c r="D1158" s="12" t="s">
        <v>19</v>
      </c>
      <c r="E1158" s="13" t="s">
        <v>32</v>
      </c>
      <c r="F1158" s="14" t="s">
        <v>21</v>
      </c>
      <c r="G1158" s="14" t="b">
        <v>0</v>
      </c>
      <c r="H1158" s="14" t="s">
        <v>3763</v>
      </c>
      <c r="I1158" s="14">
        <v>1.0</v>
      </c>
      <c r="J1158" s="14">
        <v>0.0</v>
      </c>
      <c r="K1158" s="14">
        <v>0.0</v>
      </c>
    </row>
    <row r="1159">
      <c r="A1159" s="9" t="s">
        <v>3764</v>
      </c>
      <c r="B1159" s="10" t="s">
        <v>3765</v>
      </c>
      <c r="C1159" s="11" t="s">
        <v>76</v>
      </c>
      <c r="D1159" s="12" t="s">
        <v>19</v>
      </c>
      <c r="E1159" s="13" t="s">
        <v>32</v>
      </c>
      <c r="F1159" s="14" t="s">
        <v>21</v>
      </c>
      <c r="G1159" s="14" t="b">
        <v>0</v>
      </c>
      <c r="H1159" s="14" t="s">
        <v>3766</v>
      </c>
      <c r="I1159" s="14">
        <v>1.0</v>
      </c>
      <c r="J1159" s="14">
        <v>0.0</v>
      </c>
      <c r="K1159" s="14">
        <v>0.0</v>
      </c>
    </row>
    <row r="1160">
      <c r="A1160" s="9" t="s">
        <v>3767</v>
      </c>
      <c r="B1160" s="13"/>
      <c r="C1160" s="11" t="s">
        <v>1733</v>
      </c>
      <c r="D1160" s="12" t="s">
        <v>116</v>
      </c>
      <c r="E1160" s="13" t="s">
        <v>32</v>
      </c>
      <c r="F1160" s="14" t="s">
        <v>117</v>
      </c>
      <c r="H1160" s="14" t="s">
        <v>824</v>
      </c>
      <c r="I1160" s="14">
        <v>1.0</v>
      </c>
      <c r="J1160" s="14">
        <v>0.0</v>
      </c>
      <c r="K1160" s="14">
        <v>1.0</v>
      </c>
    </row>
    <row r="1161">
      <c r="A1161" s="9" t="s">
        <v>3768</v>
      </c>
      <c r="B1161" s="10" t="s">
        <v>3769</v>
      </c>
      <c r="C1161" s="11" t="s">
        <v>666</v>
      </c>
      <c r="D1161" s="12" t="s">
        <v>116</v>
      </c>
      <c r="E1161" s="13" t="s">
        <v>102</v>
      </c>
      <c r="F1161" s="14" t="s">
        <v>117</v>
      </c>
      <c r="G1161" s="14" t="b">
        <v>0</v>
      </c>
      <c r="H1161" s="14" t="s">
        <v>3770</v>
      </c>
      <c r="I1161" s="14">
        <v>1.0</v>
      </c>
      <c r="J1161" s="14">
        <v>0.0</v>
      </c>
      <c r="K1161" s="14">
        <v>0.0</v>
      </c>
    </row>
    <row r="1162">
      <c r="A1162" s="9" t="s">
        <v>3771</v>
      </c>
      <c r="B1162" s="10" t="s">
        <v>3772</v>
      </c>
      <c r="C1162" s="11" t="s">
        <v>666</v>
      </c>
      <c r="D1162" s="12" t="s">
        <v>312</v>
      </c>
      <c r="E1162" s="13" t="s">
        <v>102</v>
      </c>
      <c r="F1162" s="14" t="s">
        <v>313</v>
      </c>
      <c r="G1162" s="14" t="b">
        <v>0</v>
      </c>
      <c r="H1162" s="14" t="s">
        <v>3773</v>
      </c>
      <c r="I1162" s="14">
        <v>1.0</v>
      </c>
      <c r="J1162" s="14">
        <v>0.0</v>
      </c>
      <c r="K1162" s="14">
        <v>1.0</v>
      </c>
    </row>
    <row r="1163">
      <c r="A1163" s="9" t="s">
        <v>3774</v>
      </c>
      <c r="B1163" s="10" t="s">
        <v>3775</v>
      </c>
      <c r="C1163" s="11" t="s">
        <v>666</v>
      </c>
      <c r="D1163" s="12" t="s">
        <v>116</v>
      </c>
      <c r="E1163" s="13" t="s">
        <v>102</v>
      </c>
      <c r="F1163" s="14" t="s">
        <v>117</v>
      </c>
      <c r="G1163" s="14" t="b">
        <v>0</v>
      </c>
      <c r="H1163" s="14" t="s">
        <v>523</v>
      </c>
      <c r="I1163" s="14">
        <v>1.0</v>
      </c>
      <c r="J1163" s="14">
        <v>0.0</v>
      </c>
      <c r="K1163" s="14">
        <v>0.0</v>
      </c>
    </row>
    <row r="1164">
      <c r="A1164" s="9" t="s">
        <v>3776</v>
      </c>
      <c r="B1164" s="10" t="s">
        <v>3777</v>
      </c>
      <c r="C1164" s="11" t="s">
        <v>666</v>
      </c>
      <c r="D1164" s="12" t="s">
        <v>312</v>
      </c>
      <c r="E1164" s="13" t="s">
        <v>102</v>
      </c>
      <c r="F1164" s="14" t="s">
        <v>313</v>
      </c>
      <c r="G1164" s="14" t="b">
        <v>0</v>
      </c>
      <c r="H1164" s="14" t="s">
        <v>3778</v>
      </c>
      <c r="I1164" s="14">
        <v>1.0</v>
      </c>
      <c r="J1164" s="14">
        <v>0.0</v>
      </c>
      <c r="K1164" s="14">
        <v>3.0</v>
      </c>
    </row>
    <row r="1165">
      <c r="A1165" s="9" t="s">
        <v>3779</v>
      </c>
      <c r="B1165" s="10" t="s">
        <v>3780</v>
      </c>
      <c r="C1165" s="11" t="s">
        <v>1735</v>
      </c>
      <c r="D1165" s="12" t="s">
        <v>19</v>
      </c>
      <c r="E1165" s="13" t="s">
        <v>20</v>
      </c>
      <c r="F1165" s="14" t="s">
        <v>21</v>
      </c>
      <c r="G1165" s="14" t="b">
        <v>0</v>
      </c>
      <c r="H1165" s="14" t="s">
        <v>3781</v>
      </c>
      <c r="I1165" s="14">
        <v>1.0</v>
      </c>
      <c r="J1165" s="14">
        <v>0.0</v>
      </c>
      <c r="K1165" s="14">
        <v>1.0</v>
      </c>
    </row>
    <row r="1166">
      <c r="A1166" s="9" t="s">
        <v>3782</v>
      </c>
      <c r="B1166" s="10" t="s">
        <v>3783</v>
      </c>
      <c r="C1166" s="11" t="s">
        <v>1282</v>
      </c>
      <c r="D1166" s="12" t="s">
        <v>277</v>
      </c>
      <c r="E1166" s="13" t="s">
        <v>32</v>
      </c>
      <c r="F1166" s="14" t="s">
        <v>278</v>
      </c>
      <c r="G1166" s="14" t="b">
        <v>0</v>
      </c>
      <c r="H1166" s="14" t="s">
        <v>3784</v>
      </c>
      <c r="I1166" s="14">
        <v>1.0</v>
      </c>
      <c r="J1166" s="14">
        <v>0.0</v>
      </c>
      <c r="K1166" s="14">
        <v>1.0</v>
      </c>
    </row>
    <row r="1167">
      <c r="A1167" s="9" t="s">
        <v>3785</v>
      </c>
      <c r="B1167" s="10" t="s">
        <v>3786</v>
      </c>
      <c r="C1167" s="11" t="s">
        <v>1282</v>
      </c>
      <c r="D1167" s="12" t="s">
        <v>277</v>
      </c>
      <c r="E1167" s="13" t="s">
        <v>32</v>
      </c>
      <c r="F1167" s="14" t="s">
        <v>278</v>
      </c>
      <c r="G1167" s="14" t="b">
        <v>0</v>
      </c>
      <c r="H1167" s="14" t="s">
        <v>3784</v>
      </c>
      <c r="I1167" s="14">
        <v>1.0</v>
      </c>
      <c r="J1167" s="14">
        <v>0.0</v>
      </c>
      <c r="K1167" s="14">
        <v>1.0</v>
      </c>
    </row>
    <row r="1168">
      <c r="A1168" s="9" t="s">
        <v>3787</v>
      </c>
      <c r="B1168" s="10" t="s">
        <v>3788</v>
      </c>
      <c r="C1168" s="11" t="s">
        <v>404</v>
      </c>
      <c r="D1168" s="12" t="s">
        <v>19</v>
      </c>
      <c r="E1168" s="13" t="s">
        <v>32</v>
      </c>
      <c r="F1168" s="14" t="s">
        <v>21</v>
      </c>
      <c r="G1168" s="14" t="b">
        <v>0</v>
      </c>
      <c r="H1168" s="14" t="s">
        <v>3789</v>
      </c>
      <c r="I1168" s="14">
        <v>1.0</v>
      </c>
      <c r="J1168" s="14">
        <v>0.0</v>
      </c>
      <c r="K1168" s="14">
        <v>6.0</v>
      </c>
    </row>
    <row r="1169">
      <c r="A1169" s="9" t="s">
        <v>3790</v>
      </c>
      <c r="B1169" s="10" t="s">
        <v>3791</v>
      </c>
      <c r="C1169" s="11" t="s">
        <v>1394</v>
      </c>
      <c r="D1169" s="12" t="s">
        <v>116</v>
      </c>
      <c r="E1169" s="13" t="s">
        <v>32</v>
      </c>
      <c r="F1169" s="14" t="s">
        <v>117</v>
      </c>
      <c r="G1169" s="14" t="b">
        <v>0</v>
      </c>
      <c r="H1169" s="14" t="s">
        <v>1549</v>
      </c>
      <c r="I1169" s="14">
        <v>1.0</v>
      </c>
      <c r="J1169" s="14">
        <v>0.0</v>
      </c>
      <c r="K1169" s="14">
        <v>2.0</v>
      </c>
    </row>
    <row r="1170">
      <c r="A1170" s="9" t="s">
        <v>3792</v>
      </c>
      <c r="B1170" s="10" t="s">
        <v>3793</v>
      </c>
      <c r="C1170" s="11" t="s">
        <v>1394</v>
      </c>
      <c r="D1170" s="12" t="s">
        <v>277</v>
      </c>
      <c r="E1170" s="13" t="s">
        <v>32</v>
      </c>
      <c r="F1170" s="14" t="s">
        <v>278</v>
      </c>
      <c r="G1170" s="14" t="b">
        <v>0</v>
      </c>
      <c r="H1170" s="14" t="s">
        <v>1396</v>
      </c>
      <c r="I1170" s="14">
        <v>1.0</v>
      </c>
      <c r="J1170" s="14">
        <v>0.0</v>
      </c>
      <c r="K1170" s="14">
        <v>0.0</v>
      </c>
    </row>
    <row r="1171">
      <c r="A1171" s="9" t="s">
        <v>3794</v>
      </c>
      <c r="B1171" s="10" t="s">
        <v>3795</v>
      </c>
      <c r="C1171" s="11" t="s">
        <v>1737</v>
      </c>
      <c r="D1171" s="12" t="s">
        <v>125</v>
      </c>
      <c r="E1171" s="13" t="s">
        <v>32</v>
      </c>
      <c r="F1171" s="14" t="s">
        <v>126</v>
      </c>
      <c r="G1171" s="14" t="b">
        <v>0</v>
      </c>
      <c r="H1171" s="14" t="s">
        <v>398</v>
      </c>
      <c r="I1171" s="14">
        <v>1.0</v>
      </c>
      <c r="J1171" s="14">
        <v>0.0</v>
      </c>
      <c r="K1171" s="14">
        <v>0.0</v>
      </c>
    </row>
    <row r="1172">
      <c r="A1172" s="9" t="s">
        <v>3796</v>
      </c>
      <c r="B1172" s="10" t="s">
        <v>3797</v>
      </c>
      <c r="C1172" s="11" t="s">
        <v>282</v>
      </c>
      <c r="D1172" s="12" t="s">
        <v>1143</v>
      </c>
      <c r="E1172" s="13" t="s">
        <v>20</v>
      </c>
      <c r="F1172" s="14" t="s">
        <v>1145</v>
      </c>
      <c r="G1172" s="14" t="b">
        <v>0</v>
      </c>
      <c r="H1172" s="14" t="s">
        <v>3798</v>
      </c>
      <c r="I1172" s="14">
        <v>1.0</v>
      </c>
      <c r="J1172" s="14">
        <v>0.0</v>
      </c>
      <c r="K1172" s="14">
        <v>1.0</v>
      </c>
    </row>
    <row r="1173">
      <c r="A1173" s="9" t="s">
        <v>3799</v>
      </c>
      <c r="B1173" s="10" t="s">
        <v>3800</v>
      </c>
      <c r="C1173" s="11" t="s">
        <v>282</v>
      </c>
      <c r="D1173" s="12" t="s">
        <v>277</v>
      </c>
      <c r="E1173" s="13" t="s">
        <v>20</v>
      </c>
      <c r="F1173" s="14" t="s">
        <v>278</v>
      </c>
      <c r="G1173" s="14" t="b">
        <v>0</v>
      </c>
      <c r="H1173" s="14" t="s">
        <v>3798</v>
      </c>
      <c r="I1173" s="14">
        <v>1.0</v>
      </c>
      <c r="J1173" s="14">
        <v>0.0</v>
      </c>
      <c r="K1173" s="14">
        <v>1.0</v>
      </c>
    </row>
    <row r="1174">
      <c r="A1174" s="9" t="s">
        <v>3801</v>
      </c>
      <c r="B1174" s="10" t="s">
        <v>3802</v>
      </c>
      <c r="C1174" s="11" t="s">
        <v>971</v>
      </c>
      <c r="D1174" s="12" t="s">
        <v>125</v>
      </c>
      <c r="E1174" s="13" t="s">
        <v>32</v>
      </c>
      <c r="F1174" s="14" t="s">
        <v>126</v>
      </c>
      <c r="G1174" s="14" t="b">
        <v>0</v>
      </c>
      <c r="H1174" s="14" t="s">
        <v>3803</v>
      </c>
      <c r="I1174" s="14">
        <v>1.0</v>
      </c>
      <c r="J1174" s="14">
        <v>0.0</v>
      </c>
      <c r="K1174" s="14">
        <v>1.0</v>
      </c>
    </row>
    <row r="1175">
      <c r="A1175" s="9" t="s">
        <v>3804</v>
      </c>
      <c r="B1175" s="10" t="s">
        <v>3805</v>
      </c>
      <c r="C1175" s="11" t="s">
        <v>971</v>
      </c>
      <c r="D1175" s="12" t="s">
        <v>312</v>
      </c>
      <c r="E1175" s="13" t="s">
        <v>32</v>
      </c>
      <c r="F1175" s="14" t="s">
        <v>313</v>
      </c>
      <c r="G1175" s="14" t="b">
        <v>0</v>
      </c>
      <c r="H1175" s="14" t="s">
        <v>279</v>
      </c>
      <c r="I1175" s="14">
        <v>1.0</v>
      </c>
      <c r="J1175" s="14">
        <v>0.0</v>
      </c>
      <c r="K1175" s="14">
        <v>1.0</v>
      </c>
    </row>
    <row r="1176">
      <c r="A1176" s="9" t="s">
        <v>3806</v>
      </c>
      <c r="B1176" s="10" t="s">
        <v>3807</v>
      </c>
      <c r="C1176" s="11" t="s">
        <v>971</v>
      </c>
      <c r="D1176" s="12" t="s">
        <v>312</v>
      </c>
      <c r="E1176" s="13" t="s">
        <v>32</v>
      </c>
      <c r="F1176" s="14" t="s">
        <v>313</v>
      </c>
      <c r="G1176" s="14" t="b">
        <v>0</v>
      </c>
      <c r="H1176" s="14" t="s">
        <v>3808</v>
      </c>
      <c r="I1176" s="14">
        <v>1.0</v>
      </c>
      <c r="J1176" s="14">
        <v>0.0</v>
      </c>
      <c r="K1176" s="14">
        <v>1.0</v>
      </c>
    </row>
    <row r="1177">
      <c r="A1177" s="9" t="s">
        <v>3809</v>
      </c>
      <c r="B1177" s="10" t="s">
        <v>3810</v>
      </c>
      <c r="C1177" s="11" t="s">
        <v>971</v>
      </c>
      <c r="D1177" s="12" t="s">
        <v>312</v>
      </c>
      <c r="E1177" s="13" t="s">
        <v>32</v>
      </c>
      <c r="F1177" s="14" t="s">
        <v>313</v>
      </c>
      <c r="G1177" s="14" t="b">
        <v>0</v>
      </c>
      <c r="H1177" s="14" t="s">
        <v>3811</v>
      </c>
      <c r="I1177" s="14">
        <v>1.0</v>
      </c>
      <c r="J1177" s="14">
        <v>0.0</v>
      </c>
      <c r="K1177" s="14">
        <v>1.0</v>
      </c>
    </row>
    <row r="1178">
      <c r="A1178" s="9" t="s">
        <v>3812</v>
      </c>
      <c r="B1178" s="10" t="s">
        <v>3813</v>
      </c>
      <c r="C1178" s="11" t="s">
        <v>1739</v>
      </c>
      <c r="D1178" s="12" t="s">
        <v>19</v>
      </c>
      <c r="E1178" s="13" t="s">
        <v>32</v>
      </c>
      <c r="F1178" s="14" t="s">
        <v>21</v>
      </c>
      <c r="G1178" s="14" t="b">
        <v>0</v>
      </c>
      <c r="I1178" s="14">
        <v>1.0</v>
      </c>
      <c r="J1178" s="14">
        <v>0.0</v>
      </c>
      <c r="K1178" s="14">
        <v>1.0</v>
      </c>
    </row>
    <row r="1179">
      <c r="A1179" s="9" t="s">
        <v>3814</v>
      </c>
      <c r="B1179" s="10" t="s">
        <v>3815</v>
      </c>
      <c r="C1179" s="11" t="s">
        <v>1741</v>
      </c>
      <c r="D1179" s="12" t="s">
        <v>125</v>
      </c>
      <c r="E1179" s="13" t="s">
        <v>32</v>
      </c>
      <c r="F1179" s="14" t="s">
        <v>126</v>
      </c>
      <c r="G1179" s="14" t="b">
        <v>0</v>
      </c>
      <c r="I1179" s="14">
        <v>1.0</v>
      </c>
      <c r="J1179" s="14">
        <v>0.0</v>
      </c>
      <c r="K1179" s="14">
        <v>1.0</v>
      </c>
    </row>
    <row r="1180">
      <c r="A1180" s="9" t="s">
        <v>3816</v>
      </c>
      <c r="B1180" s="10" t="s">
        <v>3817</v>
      </c>
      <c r="C1180" s="11" t="s">
        <v>1742</v>
      </c>
      <c r="D1180" s="12" t="s">
        <v>277</v>
      </c>
      <c r="E1180" s="13" t="s">
        <v>32</v>
      </c>
      <c r="F1180" s="14" t="s">
        <v>278</v>
      </c>
      <c r="G1180" s="14" t="b">
        <v>0</v>
      </c>
      <c r="I1180" s="14">
        <v>1.0</v>
      </c>
      <c r="J1180" s="14">
        <v>0.0</v>
      </c>
      <c r="K1180" s="14">
        <v>1.0</v>
      </c>
    </row>
    <row r="1181">
      <c r="A1181" s="9" t="s">
        <v>3818</v>
      </c>
      <c r="B1181" s="13"/>
      <c r="C1181" s="11" t="s">
        <v>1292</v>
      </c>
      <c r="D1181" s="12" t="s">
        <v>312</v>
      </c>
      <c r="E1181" s="13" t="s">
        <v>102</v>
      </c>
      <c r="F1181" s="14" t="s">
        <v>313</v>
      </c>
      <c r="G1181" s="14" t="b">
        <v>0</v>
      </c>
      <c r="H1181" s="14" t="s">
        <v>1789</v>
      </c>
      <c r="I1181" s="14">
        <v>1.0</v>
      </c>
      <c r="J1181" s="14">
        <v>0.0</v>
      </c>
      <c r="K1181" s="14">
        <v>2.0</v>
      </c>
    </row>
    <row r="1182">
      <c r="A1182" s="9" t="s">
        <v>3819</v>
      </c>
      <c r="B1182" s="10" t="s">
        <v>3820</v>
      </c>
      <c r="C1182" s="11" t="s">
        <v>1292</v>
      </c>
      <c r="D1182" s="12" t="s">
        <v>158</v>
      </c>
      <c r="E1182" s="13" t="s">
        <v>102</v>
      </c>
      <c r="F1182" s="14" t="s">
        <v>160</v>
      </c>
      <c r="G1182" s="14" t="b">
        <v>0</v>
      </c>
      <c r="H1182" s="14" t="s">
        <v>696</v>
      </c>
      <c r="I1182" s="14">
        <v>1.0</v>
      </c>
      <c r="J1182" s="14">
        <v>0.0</v>
      </c>
      <c r="K1182" s="14">
        <v>1.0</v>
      </c>
    </row>
    <row r="1183">
      <c r="A1183" s="9" t="s">
        <v>3821</v>
      </c>
      <c r="B1183" s="10" t="s">
        <v>3822</v>
      </c>
      <c r="C1183" s="10" t="s">
        <v>1744</v>
      </c>
      <c r="D1183" s="12" t="s">
        <v>19</v>
      </c>
      <c r="E1183" s="13" t="s">
        <v>32</v>
      </c>
      <c r="F1183" s="14" t="s">
        <v>21</v>
      </c>
      <c r="G1183" s="14" t="b">
        <v>0</v>
      </c>
      <c r="H1183" s="14" t="s">
        <v>3823</v>
      </c>
      <c r="I1183" s="14">
        <v>1.0</v>
      </c>
      <c r="J1183" s="14">
        <v>0.0</v>
      </c>
      <c r="K1183" s="14">
        <v>1.0</v>
      </c>
    </row>
    <row r="1184">
      <c r="A1184" s="9" t="s">
        <v>3824</v>
      </c>
      <c r="B1184" s="10" t="s">
        <v>3825</v>
      </c>
      <c r="C1184" s="11" t="s">
        <v>1746</v>
      </c>
      <c r="D1184" s="12" t="s">
        <v>277</v>
      </c>
      <c r="E1184" s="13" t="s">
        <v>32</v>
      </c>
      <c r="F1184" s="14" t="s">
        <v>278</v>
      </c>
      <c r="G1184" s="14" t="b">
        <v>0</v>
      </c>
      <c r="I1184" s="14">
        <v>1.0</v>
      </c>
      <c r="J1184" s="14">
        <v>0.0</v>
      </c>
      <c r="K1184" s="14">
        <v>0.0</v>
      </c>
    </row>
    <row r="1185">
      <c r="A1185" s="9" t="s">
        <v>3826</v>
      </c>
      <c r="B1185" s="10" t="s">
        <v>3827</v>
      </c>
      <c r="C1185" s="11" t="s">
        <v>1397</v>
      </c>
      <c r="D1185" s="12" t="s">
        <v>116</v>
      </c>
      <c r="E1185" s="13" t="s">
        <v>32</v>
      </c>
      <c r="F1185" s="14" t="s">
        <v>117</v>
      </c>
      <c r="G1185" s="14" t="b">
        <v>0</v>
      </c>
      <c r="I1185" s="14">
        <v>1.0</v>
      </c>
      <c r="J1185" s="14">
        <v>0.0</v>
      </c>
      <c r="K1185" s="14">
        <v>2.0</v>
      </c>
    </row>
    <row r="1186">
      <c r="A1186" s="9" t="s">
        <v>3828</v>
      </c>
      <c r="B1186" s="10" t="s">
        <v>3829</v>
      </c>
      <c r="C1186" s="11" t="s">
        <v>1412</v>
      </c>
      <c r="D1186" s="12" t="s">
        <v>312</v>
      </c>
      <c r="E1186" s="13" t="s">
        <v>20</v>
      </c>
      <c r="F1186" s="14" t="s">
        <v>313</v>
      </c>
      <c r="G1186" s="14" t="b">
        <v>0</v>
      </c>
      <c r="H1186" s="14" t="s">
        <v>1415</v>
      </c>
      <c r="I1186" s="14">
        <v>1.0</v>
      </c>
      <c r="J1186" s="14">
        <v>0.0</v>
      </c>
      <c r="K1186" s="14">
        <v>1.0</v>
      </c>
    </row>
    <row r="1187">
      <c r="A1187" s="9" t="s">
        <v>3830</v>
      </c>
      <c r="B1187" s="10" t="s">
        <v>3831</v>
      </c>
      <c r="C1187" s="11" t="s">
        <v>1881</v>
      </c>
      <c r="D1187" s="12" t="s">
        <v>19</v>
      </c>
      <c r="E1187" s="13" t="s">
        <v>85</v>
      </c>
      <c r="F1187" s="14" t="s">
        <v>21</v>
      </c>
      <c r="G1187" s="14" t="b">
        <v>0</v>
      </c>
      <c r="H1187" s="14" t="s">
        <v>1193</v>
      </c>
      <c r="I1187" s="14">
        <v>1.0</v>
      </c>
      <c r="J1187" s="14">
        <v>0.0</v>
      </c>
      <c r="K1187" s="14">
        <v>1.0</v>
      </c>
    </row>
    <row r="1188">
      <c r="A1188" s="9" t="s">
        <v>3832</v>
      </c>
      <c r="B1188" s="10" t="s">
        <v>3833</v>
      </c>
      <c r="C1188" s="11" t="s">
        <v>1748</v>
      </c>
      <c r="D1188" s="12" t="s">
        <v>277</v>
      </c>
      <c r="E1188" s="13" t="s">
        <v>32</v>
      </c>
      <c r="F1188" s="14" t="s">
        <v>278</v>
      </c>
      <c r="G1188" s="14" t="b">
        <v>0</v>
      </c>
      <c r="I1188" s="14">
        <v>1.0</v>
      </c>
      <c r="J1188" s="14">
        <v>0.0</v>
      </c>
      <c r="K1188" s="14">
        <v>0.0</v>
      </c>
    </row>
    <row r="1189">
      <c r="A1189" s="9" t="s">
        <v>3834</v>
      </c>
      <c r="B1189" s="10" t="s">
        <v>3835</v>
      </c>
      <c r="C1189" s="11" t="s">
        <v>1749</v>
      </c>
      <c r="D1189" s="12" t="s">
        <v>277</v>
      </c>
      <c r="E1189" s="13" t="s">
        <v>32</v>
      </c>
      <c r="F1189" s="14" t="s">
        <v>278</v>
      </c>
      <c r="G1189" s="14" t="b">
        <v>0</v>
      </c>
      <c r="H1189" s="14" t="s">
        <v>1388</v>
      </c>
      <c r="I1189" s="14">
        <v>1.0</v>
      </c>
      <c r="J1189" s="14">
        <v>0.0</v>
      </c>
      <c r="K1189" s="14">
        <v>0.0</v>
      </c>
    </row>
    <row r="1190">
      <c r="A1190" s="9" t="s">
        <v>3836</v>
      </c>
      <c r="B1190" s="10" t="s">
        <v>3837</v>
      </c>
      <c r="C1190" s="11" t="s">
        <v>290</v>
      </c>
      <c r="D1190" s="12" t="s">
        <v>19</v>
      </c>
      <c r="E1190" s="13" t="s">
        <v>32</v>
      </c>
      <c r="F1190" s="14" t="s">
        <v>21</v>
      </c>
      <c r="G1190" s="14" t="b">
        <v>0</v>
      </c>
      <c r="H1190" s="14" t="s">
        <v>3838</v>
      </c>
      <c r="I1190" s="14">
        <v>1.0</v>
      </c>
      <c r="J1190" s="14">
        <v>0.0</v>
      </c>
      <c r="K1190" s="14">
        <v>1.0</v>
      </c>
    </row>
    <row r="1191">
      <c r="A1191" s="9" t="s">
        <v>3839</v>
      </c>
      <c r="B1191" s="10" t="s">
        <v>3840</v>
      </c>
      <c r="C1191" s="11" t="s">
        <v>1751</v>
      </c>
      <c r="D1191" s="12" t="s">
        <v>19</v>
      </c>
      <c r="E1191" s="13" t="s">
        <v>32</v>
      </c>
      <c r="F1191" s="14" t="s">
        <v>21</v>
      </c>
      <c r="G1191" s="14" t="b">
        <v>0</v>
      </c>
      <c r="H1191" s="14" t="s">
        <v>532</v>
      </c>
      <c r="I1191" s="14">
        <v>1.0</v>
      </c>
      <c r="J1191" s="14">
        <v>0.0</v>
      </c>
      <c r="K1191" s="14">
        <v>0.0</v>
      </c>
    </row>
    <row r="1192">
      <c r="A1192" s="9" t="s">
        <v>3841</v>
      </c>
      <c r="B1192" s="10" t="s">
        <v>3842</v>
      </c>
      <c r="C1192" s="11" t="s">
        <v>1753</v>
      </c>
      <c r="D1192" s="12" t="s">
        <v>277</v>
      </c>
      <c r="E1192" s="13" t="s">
        <v>32</v>
      </c>
      <c r="F1192" s="14" t="s">
        <v>278</v>
      </c>
      <c r="G1192" s="14" t="b">
        <v>0</v>
      </c>
      <c r="H1192" s="14" t="s">
        <v>1754</v>
      </c>
      <c r="I1192" s="14">
        <v>1.0</v>
      </c>
      <c r="J1192" s="14">
        <v>0.0</v>
      </c>
      <c r="K1192" s="14">
        <v>0.0</v>
      </c>
    </row>
    <row r="1193">
      <c r="A1193" s="9" t="s">
        <v>3843</v>
      </c>
      <c r="B1193" s="10" t="s">
        <v>3844</v>
      </c>
      <c r="C1193" s="11" t="s">
        <v>1756</v>
      </c>
      <c r="D1193" s="12" t="s">
        <v>125</v>
      </c>
      <c r="E1193" s="13" t="s">
        <v>32</v>
      </c>
      <c r="F1193" s="14" t="s">
        <v>126</v>
      </c>
      <c r="G1193" s="14" t="b">
        <v>0</v>
      </c>
      <c r="H1193" s="14" t="s">
        <v>1005</v>
      </c>
      <c r="I1193" s="14">
        <v>1.0</v>
      </c>
      <c r="J1193" s="14">
        <v>0.0</v>
      </c>
      <c r="K1193" s="14">
        <v>1.0</v>
      </c>
    </row>
    <row r="1194">
      <c r="A1194" s="9" t="s">
        <v>3845</v>
      </c>
      <c r="B1194" s="10" t="s">
        <v>3846</v>
      </c>
      <c r="C1194" s="11" t="s">
        <v>1758</v>
      </c>
      <c r="D1194" s="12" t="s">
        <v>19</v>
      </c>
      <c r="E1194" s="13" t="s">
        <v>32</v>
      </c>
      <c r="F1194" s="14" t="s">
        <v>21</v>
      </c>
      <c r="G1194" s="14" t="b">
        <v>0</v>
      </c>
      <c r="H1194" s="14" t="s">
        <v>3847</v>
      </c>
      <c r="I1194" s="14">
        <v>1.0</v>
      </c>
      <c r="J1194" s="14">
        <v>0.0</v>
      </c>
      <c r="K1194" s="14">
        <v>0.0</v>
      </c>
    </row>
    <row r="1195">
      <c r="A1195" s="9" t="s">
        <v>3848</v>
      </c>
      <c r="B1195" s="13"/>
      <c r="C1195" s="11" t="s">
        <v>1135</v>
      </c>
      <c r="D1195" s="12" t="s">
        <v>116</v>
      </c>
      <c r="E1195" s="13" t="s">
        <v>116</v>
      </c>
      <c r="F1195" s="14" t="s">
        <v>117</v>
      </c>
      <c r="H1195" s="14" t="s">
        <v>824</v>
      </c>
      <c r="I1195" s="14">
        <v>1.0</v>
      </c>
      <c r="J1195" s="14">
        <v>0.0</v>
      </c>
      <c r="K1195" s="14">
        <v>4.0</v>
      </c>
    </row>
    <row r="1196">
      <c r="A1196" s="9" t="s">
        <v>3849</v>
      </c>
      <c r="B1196" s="13"/>
      <c r="C1196" s="11" t="s">
        <v>1135</v>
      </c>
      <c r="D1196" s="12" t="s">
        <v>116</v>
      </c>
      <c r="E1196" s="13" t="s">
        <v>116</v>
      </c>
      <c r="F1196" s="14" t="s">
        <v>117</v>
      </c>
      <c r="H1196" s="14" t="s">
        <v>824</v>
      </c>
      <c r="I1196" s="14">
        <v>1.0</v>
      </c>
      <c r="J1196" s="14">
        <v>0.0</v>
      </c>
      <c r="K1196" s="14">
        <v>0.0</v>
      </c>
    </row>
    <row r="1197">
      <c r="A1197" s="9" t="s">
        <v>3850</v>
      </c>
      <c r="B1197" s="13"/>
      <c r="C1197" s="11" t="s">
        <v>1135</v>
      </c>
      <c r="D1197" s="12" t="s">
        <v>116</v>
      </c>
      <c r="E1197" s="13" t="s">
        <v>116</v>
      </c>
      <c r="F1197" s="14" t="s">
        <v>117</v>
      </c>
      <c r="H1197" s="14" t="s">
        <v>824</v>
      </c>
      <c r="I1197" s="14">
        <v>1.0</v>
      </c>
      <c r="J1197" s="14">
        <v>0.0</v>
      </c>
      <c r="K1197" s="14">
        <v>0.0</v>
      </c>
    </row>
    <row r="1198">
      <c r="A1198" s="9" t="s">
        <v>3851</v>
      </c>
      <c r="B1198" s="10" t="s">
        <v>3852</v>
      </c>
      <c r="C1198" s="11" t="s">
        <v>1760</v>
      </c>
      <c r="D1198" s="12" t="s">
        <v>116</v>
      </c>
      <c r="E1198" s="13" t="s">
        <v>32</v>
      </c>
      <c r="F1198" s="14" t="s">
        <v>117</v>
      </c>
      <c r="G1198" s="14" t="b">
        <v>0</v>
      </c>
      <c r="H1198" s="14" t="s">
        <v>1317</v>
      </c>
      <c r="I1198" s="14">
        <v>1.0</v>
      </c>
      <c r="J1198" s="14">
        <v>0.0</v>
      </c>
      <c r="K1198" s="14">
        <v>1.0</v>
      </c>
    </row>
    <row r="1199">
      <c r="A1199" s="9" t="s">
        <v>3853</v>
      </c>
      <c r="B1199" s="10" t="s">
        <v>3854</v>
      </c>
      <c r="C1199" s="11" t="s">
        <v>1762</v>
      </c>
      <c r="D1199" s="12" t="s">
        <v>277</v>
      </c>
      <c r="E1199" s="13" t="s">
        <v>32</v>
      </c>
      <c r="F1199" s="14" t="s">
        <v>278</v>
      </c>
      <c r="G1199" s="14" t="b">
        <v>0</v>
      </c>
      <c r="I1199" s="14">
        <v>1.0</v>
      </c>
      <c r="J1199" s="14">
        <v>0.0</v>
      </c>
      <c r="K1199" s="14">
        <v>2.0</v>
      </c>
    </row>
    <row r="1200">
      <c r="A1200" s="9" t="s">
        <v>3855</v>
      </c>
      <c r="B1200" s="10" t="s">
        <v>3856</v>
      </c>
      <c r="C1200" s="11" t="s">
        <v>501</v>
      </c>
      <c r="D1200" s="12" t="s">
        <v>158</v>
      </c>
      <c r="E1200" s="13" t="s">
        <v>20</v>
      </c>
      <c r="F1200" s="14" t="s">
        <v>160</v>
      </c>
      <c r="G1200" s="14" t="b">
        <v>0</v>
      </c>
      <c r="H1200" s="14" t="s">
        <v>1297</v>
      </c>
      <c r="I1200" s="14">
        <v>1.0</v>
      </c>
      <c r="J1200" s="14">
        <v>0.0</v>
      </c>
      <c r="K1200" s="14">
        <v>0.0</v>
      </c>
    </row>
    <row r="1201">
      <c r="A1201" s="9" t="s">
        <v>3857</v>
      </c>
      <c r="B1201" s="13"/>
      <c r="C1201" s="11" t="s">
        <v>604</v>
      </c>
      <c r="D1201" s="12" t="s">
        <v>116</v>
      </c>
      <c r="E1201" s="13" t="s">
        <v>32</v>
      </c>
      <c r="F1201" s="14" t="s">
        <v>117</v>
      </c>
      <c r="H1201" s="14" t="s">
        <v>824</v>
      </c>
      <c r="I1201" s="14">
        <v>1.0</v>
      </c>
      <c r="J1201" s="14">
        <v>0.0</v>
      </c>
      <c r="K1201" s="14">
        <v>0.0</v>
      </c>
    </row>
    <row r="1202">
      <c r="A1202" s="9" t="s">
        <v>3858</v>
      </c>
      <c r="B1202" s="13"/>
      <c r="C1202" s="11" t="s">
        <v>604</v>
      </c>
      <c r="D1202" s="12" t="s">
        <v>116</v>
      </c>
      <c r="E1202" s="13" t="s">
        <v>116</v>
      </c>
      <c r="F1202" s="14" t="s">
        <v>117</v>
      </c>
      <c r="H1202" s="14" t="s">
        <v>824</v>
      </c>
      <c r="I1202" s="14">
        <v>1.0</v>
      </c>
      <c r="J1202" s="14">
        <v>0.0</v>
      </c>
      <c r="K1202" s="14">
        <v>0.0</v>
      </c>
    </row>
    <row r="1203">
      <c r="A1203" s="9" t="s">
        <v>3859</v>
      </c>
      <c r="B1203" s="10" t="s">
        <v>3860</v>
      </c>
      <c r="C1203" s="11" t="s">
        <v>1764</v>
      </c>
      <c r="D1203" s="12" t="s">
        <v>19</v>
      </c>
      <c r="E1203" s="13" t="s">
        <v>32</v>
      </c>
      <c r="F1203" s="14" t="s">
        <v>21</v>
      </c>
      <c r="G1203" s="14" t="b">
        <v>0</v>
      </c>
      <c r="H1203" s="14" t="s">
        <v>103</v>
      </c>
      <c r="I1203" s="14">
        <v>1.0</v>
      </c>
      <c r="J1203" s="14">
        <v>0.0</v>
      </c>
      <c r="K1203" s="14">
        <v>1.0</v>
      </c>
    </row>
    <row r="1204">
      <c r="A1204" s="9" t="s">
        <v>3861</v>
      </c>
      <c r="B1204" s="10" t="s">
        <v>3862</v>
      </c>
      <c r="C1204" s="11" t="s">
        <v>1766</v>
      </c>
      <c r="D1204" s="12" t="s">
        <v>277</v>
      </c>
      <c r="E1204" s="13" t="s">
        <v>32</v>
      </c>
      <c r="F1204" s="14" t="s">
        <v>278</v>
      </c>
      <c r="G1204" s="14" t="b">
        <v>0</v>
      </c>
      <c r="I1204" s="14">
        <v>1.0</v>
      </c>
      <c r="J1204" s="14">
        <v>0.0</v>
      </c>
      <c r="K1204" s="14">
        <v>0.0</v>
      </c>
    </row>
    <row r="1205">
      <c r="A1205" s="9" t="s">
        <v>3863</v>
      </c>
      <c r="B1205" s="10" t="s">
        <v>3864</v>
      </c>
      <c r="C1205" s="11" t="s">
        <v>983</v>
      </c>
      <c r="D1205" s="12" t="s">
        <v>277</v>
      </c>
      <c r="E1205" s="13" t="s">
        <v>32</v>
      </c>
      <c r="F1205" s="14" t="s">
        <v>278</v>
      </c>
      <c r="G1205" s="14" t="b">
        <v>0</v>
      </c>
      <c r="I1205" s="14">
        <v>1.0</v>
      </c>
      <c r="J1205" s="14">
        <v>0.0</v>
      </c>
      <c r="K1205" s="14">
        <v>0.0</v>
      </c>
    </row>
    <row r="1206">
      <c r="A1206" s="9" t="s">
        <v>3865</v>
      </c>
      <c r="B1206" s="10" t="s">
        <v>3866</v>
      </c>
      <c r="C1206" s="11" t="s">
        <v>1768</v>
      </c>
      <c r="D1206" s="12" t="s">
        <v>456</v>
      </c>
      <c r="E1206" s="13" t="s">
        <v>32</v>
      </c>
      <c r="F1206" s="14" t="s">
        <v>457</v>
      </c>
      <c r="G1206" s="14" t="b">
        <v>0</v>
      </c>
      <c r="H1206" s="14" t="s">
        <v>538</v>
      </c>
      <c r="I1206" s="14">
        <v>1.0</v>
      </c>
      <c r="J1206" s="14">
        <v>0.0</v>
      </c>
      <c r="K1206" s="14">
        <v>1.0</v>
      </c>
    </row>
    <row r="1207">
      <c r="A1207" s="9" t="s">
        <v>3867</v>
      </c>
      <c r="B1207" s="10" t="s">
        <v>3868</v>
      </c>
      <c r="C1207" s="11" t="s">
        <v>1770</v>
      </c>
      <c r="D1207" s="12" t="s">
        <v>125</v>
      </c>
      <c r="E1207" s="13" t="s">
        <v>32</v>
      </c>
      <c r="F1207" s="14" t="s">
        <v>126</v>
      </c>
      <c r="G1207" s="14" t="b">
        <v>0</v>
      </c>
      <c r="H1207" s="14" t="s">
        <v>917</v>
      </c>
      <c r="I1207" s="14">
        <v>1.0</v>
      </c>
      <c r="J1207" s="14">
        <v>0.0</v>
      </c>
      <c r="K1207" s="14">
        <v>2.0</v>
      </c>
    </row>
    <row r="1208">
      <c r="A1208" s="9" t="s">
        <v>3869</v>
      </c>
      <c r="B1208" s="10" t="s">
        <v>3870</v>
      </c>
      <c r="C1208" s="11" t="s">
        <v>1771</v>
      </c>
      <c r="D1208" s="12" t="s">
        <v>277</v>
      </c>
      <c r="E1208" s="13" t="s">
        <v>32</v>
      </c>
      <c r="F1208" s="14" t="s">
        <v>278</v>
      </c>
      <c r="G1208" s="14" t="b">
        <v>0</v>
      </c>
      <c r="H1208" s="14" t="s">
        <v>361</v>
      </c>
      <c r="I1208" s="14">
        <v>1.0</v>
      </c>
      <c r="J1208" s="14">
        <v>0.0</v>
      </c>
      <c r="K1208" s="14">
        <v>2.0</v>
      </c>
    </row>
    <row r="1209">
      <c r="A1209" s="9" t="s">
        <v>3871</v>
      </c>
      <c r="B1209" s="10" t="s">
        <v>3872</v>
      </c>
      <c r="C1209" s="11" t="s">
        <v>1773</v>
      </c>
      <c r="D1209" s="12" t="s">
        <v>19</v>
      </c>
      <c r="E1209" s="13" t="s">
        <v>102</v>
      </c>
      <c r="F1209" s="14" t="s">
        <v>21</v>
      </c>
      <c r="G1209" s="14" t="b">
        <v>0</v>
      </c>
      <c r="H1209" s="14" t="s">
        <v>1775</v>
      </c>
      <c r="I1209" s="14">
        <v>1.0</v>
      </c>
      <c r="J1209" s="14">
        <v>0.0</v>
      </c>
      <c r="K1209" s="14">
        <v>0.0</v>
      </c>
    </row>
    <row r="1210">
      <c r="A1210" s="9" t="s">
        <v>3873</v>
      </c>
      <c r="B1210" s="13"/>
      <c r="C1210" s="11" t="s">
        <v>1776</v>
      </c>
      <c r="D1210" s="12" t="s">
        <v>125</v>
      </c>
      <c r="E1210" s="13" t="s">
        <v>32</v>
      </c>
      <c r="F1210" s="14" t="s">
        <v>126</v>
      </c>
      <c r="G1210" s="14" t="b">
        <v>0</v>
      </c>
      <c r="H1210" s="14" t="s">
        <v>1778</v>
      </c>
      <c r="I1210" s="14">
        <v>1.0</v>
      </c>
      <c r="J1210" s="14">
        <v>0.0</v>
      </c>
      <c r="K1210" s="14">
        <v>3.0</v>
      </c>
    </row>
    <row r="1211">
      <c r="A1211" s="9" t="s">
        <v>3874</v>
      </c>
      <c r="B1211" s="10" t="s">
        <v>3875</v>
      </c>
      <c r="C1211" s="11" t="s">
        <v>1779</v>
      </c>
      <c r="D1211" s="12" t="s">
        <v>19</v>
      </c>
      <c r="E1211" s="13" t="s">
        <v>32</v>
      </c>
      <c r="F1211" s="14" t="s">
        <v>21</v>
      </c>
      <c r="G1211" s="14" t="b">
        <v>0</v>
      </c>
      <c r="H1211" s="14" t="s">
        <v>340</v>
      </c>
      <c r="I1211" s="14">
        <v>1.0</v>
      </c>
      <c r="J1211" s="14">
        <v>0.0</v>
      </c>
      <c r="K1211" s="14">
        <v>0.0</v>
      </c>
    </row>
    <row r="1212">
      <c r="A1212" s="9" t="s">
        <v>3876</v>
      </c>
      <c r="B1212" s="10" t="s">
        <v>3877</v>
      </c>
      <c r="C1212" s="11" t="s">
        <v>1781</v>
      </c>
      <c r="D1212" s="12" t="s">
        <v>277</v>
      </c>
      <c r="E1212" s="13" t="s">
        <v>32</v>
      </c>
      <c r="F1212" s="14" t="s">
        <v>278</v>
      </c>
      <c r="G1212" s="14" t="b">
        <v>0</v>
      </c>
      <c r="I1212" s="14">
        <v>1.0</v>
      </c>
      <c r="J1212" s="14">
        <v>0.0</v>
      </c>
      <c r="K1212" s="14">
        <v>1.0</v>
      </c>
    </row>
    <row r="1213">
      <c r="A1213" s="9" t="s">
        <v>3878</v>
      </c>
      <c r="B1213" s="10" t="s">
        <v>3879</v>
      </c>
      <c r="C1213" s="11" t="s">
        <v>1783</v>
      </c>
      <c r="D1213" s="12" t="s">
        <v>116</v>
      </c>
      <c r="E1213" s="13" t="s">
        <v>32</v>
      </c>
      <c r="F1213" s="14" t="s">
        <v>117</v>
      </c>
      <c r="G1213" s="14" t="b">
        <v>0</v>
      </c>
      <c r="I1213" s="14">
        <v>1.0</v>
      </c>
      <c r="J1213" s="14">
        <v>0.0</v>
      </c>
      <c r="K1213" s="14">
        <v>0.0</v>
      </c>
    </row>
    <row r="1214">
      <c r="A1214" s="9" t="s">
        <v>3880</v>
      </c>
      <c r="B1214" s="10" t="s">
        <v>3881</v>
      </c>
      <c r="C1214" s="11" t="s">
        <v>844</v>
      </c>
      <c r="D1214" s="12" t="s">
        <v>277</v>
      </c>
      <c r="E1214" s="13" t="s">
        <v>32</v>
      </c>
      <c r="F1214" s="14" t="s">
        <v>278</v>
      </c>
      <c r="G1214" s="14" t="b">
        <v>0</v>
      </c>
      <c r="H1214" s="14" t="s">
        <v>340</v>
      </c>
      <c r="I1214" s="14">
        <v>1.0</v>
      </c>
      <c r="J1214" s="14">
        <v>0.0</v>
      </c>
      <c r="K1214" s="14">
        <v>1.0</v>
      </c>
    </row>
    <row r="1215">
      <c r="A1215" s="9" t="s">
        <v>3882</v>
      </c>
      <c r="B1215" s="10" t="s">
        <v>3883</v>
      </c>
      <c r="C1215" s="11" t="s">
        <v>1784</v>
      </c>
      <c r="D1215" s="12" t="s">
        <v>158</v>
      </c>
      <c r="E1215" s="13" t="s">
        <v>32</v>
      </c>
      <c r="F1215" s="14" t="s">
        <v>160</v>
      </c>
      <c r="G1215" s="14" t="b">
        <v>0</v>
      </c>
      <c r="I1215" s="14">
        <v>1.0</v>
      </c>
      <c r="J1215" s="14">
        <v>0.0</v>
      </c>
      <c r="K1215" s="14">
        <v>0.0</v>
      </c>
    </row>
    <row r="1216">
      <c r="A1216" s="9" t="s">
        <v>3884</v>
      </c>
      <c r="B1216" s="10" t="s">
        <v>3885</v>
      </c>
      <c r="C1216" s="11" t="s">
        <v>1786</v>
      </c>
      <c r="D1216" s="12" t="s">
        <v>456</v>
      </c>
      <c r="E1216" s="13" t="s">
        <v>32</v>
      </c>
      <c r="F1216" s="14" t="s">
        <v>457</v>
      </c>
      <c r="G1216" s="14" t="b">
        <v>0</v>
      </c>
      <c r="H1216" s="14" t="s">
        <v>917</v>
      </c>
      <c r="I1216" s="14">
        <v>1.0</v>
      </c>
      <c r="J1216" s="14">
        <v>0.0</v>
      </c>
      <c r="K1216" s="14">
        <v>1.0</v>
      </c>
    </row>
    <row r="1217">
      <c r="A1217" s="9" t="s">
        <v>3886</v>
      </c>
      <c r="B1217" s="10" t="s">
        <v>3887</v>
      </c>
      <c r="C1217" s="11" t="s">
        <v>333</v>
      </c>
      <c r="D1217" s="12" t="s">
        <v>277</v>
      </c>
      <c r="E1217" s="13" t="s">
        <v>20</v>
      </c>
      <c r="F1217" s="14" t="s">
        <v>278</v>
      </c>
      <c r="G1217" s="14" t="b">
        <v>0</v>
      </c>
      <c r="H1217" s="14" t="s">
        <v>769</v>
      </c>
      <c r="I1217" s="14">
        <v>1.0</v>
      </c>
      <c r="J1217" s="14">
        <v>0.0</v>
      </c>
      <c r="K1217" s="14">
        <v>1.0</v>
      </c>
    </row>
    <row r="1218">
      <c r="A1218" s="9" t="s">
        <v>3888</v>
      </c>
      <c r="B1218" s="13"/>
      <c r="C1218" s="11" t="s">
        <v>1788</v>
      </c>
      <c r="D1218" s="12" t="s">
        <v>19</v>
      </c>
      <c r="E1218" s="13" t="s">
        <v>32</v>
      </c>
      <c r="F1218" s="14" t="s">
        <v>21</v>
      </c>
      <c r="G1218" s="14" t="b">
        <v>0</v>
      </c>
      <c r="H1218" s="14" t="s">
        <v>3889</v>
      </c>
      <c r="I1218" s="14">
        <v>1.0</v>
      </c>
      <c r="J1218" s="14">
        <v>0.0</v>
      </c>
      <c r="K1218" s="14">
        <v>1.0</v>
      </c>
    </row>
    <row r="1219">
      <c r="A1219" s="9" t="s">
        <v>3890</v>
      </c>
      <c r="B1219" s="10" t="s">
        <v>3891</v>
      </c>
      <c r="C1219" s="11" t="s">
        <v>1792</v>
      </c>
      <c r="D1219" s="12" t="s">
        <v>125</v>
      </c>
      <c r="E1219" s="13" t="s">
        <v>32</v>
      </c>
      <c r="F1219" s="14" t="s">
        <v>126</v>
      </c>
      <c r="G1219" s="14" t="b">
        <v>0</v>
      </c>
      <c r="I1219" s="14">
        <v>1.0</v>
      </c>
      <c r="J1219" s="14">
        <v>0.0</v>
      </c>
      <c r="K1219" s="14">
        <v>0.0</v>
      </c>
    </row>
    <row r="1220">
      <c r="A1220" s="9" t="s">
        <v>3892</v>
      </c>
      <c r="B1220" s="10" t="s">
        <v>3893</v>
      </c>
      <c r="C1220" s="11" t="s">
        <v>1795</v>
      </c>
      <c r="D1220" s="12" t="s">
        <v>125</v>
      </c>
      <c r="E1220" s="13" t="s">
        <v>32</v>
      </c>
      <c r="F1220" s="14" t="s">
        <v>126</v>
      </c>
      <c r="G1220" s="14" t="b">
        <v>0</v>
      </c>
      <c r="I1220" s="14">
        <v>1.0</v>
      </c>
      <c r="J1220" s="14">
        <v>0.0</v>
      </c>
      <c r="K1220" s="14">
        <v>1.0</v>
      </c>
    </row>
    <row r="1221">
      <c r="A1221" s="9" t="s">
        <v>3894</v>
      </c>
      <c r="B1221" s="10" t="s">
        <v>3895</v>
      </c>
      <c r="C1221" s="11" t="s">
        <v>1797</v>
      </c>
      <c r="D1221" s="12" t="s">
        <v>277</v>
      </c>
      <c r="E1221" s="13" t="s">
        <v>32</v>
      </c>
      <c r="F1221" s="14" t="s">
        <v>278</v>
      </c>
      <c r="G1221" s="14" t="b">
        <v>0</v>
      </c>
      <c r="H1221" s="14" t="s">
        <v>1005</v>
      </c>
      <c r="I1221" s="14">
        <v>1.0</v>
      </c>
      <c r="J1221" s="14">
        <v>0.0</v>
      </c>
      <c r="K1221" s="14">
        <v>1.0</v>
      </c>
    </row>
    <row r="1222">
      <c r="A1222" s="9" t="s">
        <v>3896</v>
      </c>
      <c r="B1222" s="10" t="s">
        <v>3897</v>
      </c>
      <c r="C1222" s="11" t="s">
        <v>1799</v>
      </c>
      <c r="D1222" s="12" t="s">
        <v>30</v>
      </c>
      <c r="E1222" s="13" t="s">
        <v>32</v>
      </c>
      <c r="F1222" s="14" t="s">
        <v>34</v>
      </c>
      <c r="G1222" s="14" t="b">
        <v>0</v>
      </c>
      <c r="H1222" s="14" t="s">
        <v>1778</v>
      </c>
      <c r="I1222" s="14">
        <v>1.0</v>
      </c>
      <c r="J1222" s="14">
        <v>0.0</v>
      </c>
      <c r="K1222" s="14">
        <v>1.0</v>
      </c>
    </row>
    <row r="1223">
      <c r="A1223" s="9" t="s">
        <v>3898</v>
      </c>
      <c r="B1223" s="10" t="s">
        <v>3899</v>
      </c>
      <c r="C1223" s="11" t="s">
        <v>84</v>
      </c>
      <c r="D1223" s="12" t="s">
        <v>213</v>
      </c>
      <c r="E1223" s="13" t="s">
        <v>85</v>
      </c>
      <c r="F1223" s="14" t="s">
        <v>215</v>
      </c>
      <c r="G1223" s="14" t="b">
        <v>0</v>
      </c>
      <c r="H1223" s="14" t="s">
        <v>3900</v>
      </c>
      <c r="I1223" s="14">
        <v>1.0</v>
      </c>
      <c r="J1223" s="14">
        <v>0.0</v>
      </c>
      <c r="K1223" s="14">
        <v>0.0</v>
      </c>
    </row>
    <row r="1224">
      <c r="A1224" s="9" t="s">
        <v>3901</v>
      </c>
      <c r="B1224" s="10" t="s">
        <v>3902</v>
      </c>
      <c r="C1224" s="11" t="s">
        <v>84</v>
      </c>
      <c r="D1224" s="12" t="s">
        <v>213</v>
      </c>
      <c r="E1224" s="13" t="s">
        <v>85</v>
      </c>
      <c r="F1224" s="14" t="s">
        <v>215</v>
      </c>
      <c r="G1224" s="14" t="b">
        <v>0</v>
      </c>
      <c r="H1224" s="14" t="s">
        <v>361</v>
      </c>
      <c r="I1224" s="14">
        <v>1.0</v>
      </c>
      <c r="J1224" s="14">
        <v>0.0</v>
      </c>
      <c r="K1224" s="14">
        <v>0.0</v>
      </c>
    </row>
    <row r="1225">
      <c r="A1225" s="9" t="s">
        <v>3903</v>
      </c>
      <c r="B1225" s="10" t="s">
        <v>3904</v>
      </c>
      <c r="C1225" s="11" t="s">
        <v>84</v>
      </c>
      <c r="D1225" s="12" t="s">
        <v>213</v>
      </c>
      <c r="E1225" s="13" t="s">
        <v>85</v>
      </c>
      <c r="F1225" s="14" t="s">
        <v>215</v>
      </c>
      <c r="G1225" s="14" t="b">
        <v>0</v>
      </c>
      <c r="H1225" s="14" t="s">
        <v>3905</v>
      </c>
      <c r="I1225" s="14">
        <v>1.0</v>
      </c>
      <c r="J1225" s="14">
        <v>0.0</v>
      </c>
      <c r="K1225" s="14">
        <v>2.0</v>
      </c>
    </row>
    <row r="1226">
      <c r="A1226" s="9" t="s">
        <v>3906</v>
      </c>
      <c r="B1226" s="10" t="s">
        <v>3907</v>
      </c>
      <c r="C1226" s="11" t="s">
        <v>84</v>
      </c>
      <c r="D1226" s="12" t="s">
        <v>213</v>
      </c>
      <c r="E1226" s="13" t="s">
        <v>85</v>
      </c>
      <c r="F1226" s="14" t="s">
        <v>215</v>
      </c>
      <c r="G1226" s="14" t="b">
        <v>0</v>
      </c>
      <c r="H1226" s="14" t="s">
        <v>3908</v>
      </c>
      <c r="I1226" s="14">
        <v>1.0</v>
      </c>
      <c r="J1226" s="14">
        <v>0.0</v>
      </c>
      <c r="K1226" s="14">
        <v>1.0</v>
      </c>
    </row>
    <row r="1227">
      <c r="A1227" s="9" t="s">
        <v>3909</v>
      </c>
      <c r="B1227" s="10" t="s">
        <v>3910</v>
      </c>
      <c r="C1227" s="11" t="s">
        <v>84</v>
      </c>
      <c r="D1227" s="12" t="s">
        <v>213</v>
      </c>
      <c r="E1227" s="13" t="s">
        <v>85</v>
      </c>
      <c r="F1227" s="14" t="s">
        <v>215</v>
      </c>
      <c r="G1227" s="14" t="b">
        <v>0</v>
      </c>
      <c r="H1227" s="14" t="s">
        <v>3911</v>
      </c>
      <c r="I1227" s="14">
        <v>1.0</v>
      </c>
      <c r="J1227" s="14">
        <v>0.0</v>
      </c>
      <c r="K1227" s="14">
        <v>1.0</v>
      </c>
    </row>
    <row r="1228">
      <c r="A1228" s="9" t="s">
        <v>3912</v>
      </c>
      <c r="B1228" s="10" t="s">
        <v>3913</v>
      </c>
      <c r="C1228" s="11" t="s">
        <v>84</v>
      </c>
      <c r="D1228" s="12" t="s">
        <v>213</v>
      </c>
      <c r="E1228" s="13" t="s">
        <v>85</v>
      </c>
      <c r="F1228" s="14" t="s">
        <v>215</v>
      </c>
      <c r="G1228" s="14" t="b">
        <v>0</v>
      </c>
      <c r="I1228" s="14">
        <v>1.0</v>
      </c>
      <c r="J1228" s="14">
        <v>0.0</v>
      </c>
      <c r="K1228" s="14">
        <v>1.0</v>
      </c>
    </row>
    <row r="1229">
      <c r="A1229" s="9" t="s">
        <v>3914</v>
      </c>
      <c r="B1229" s="10" t="s">
        <v>3915</v>
      </c>
      <c r="C1229" s="11" t="s">
        <v>84</v>
      </c>
      <c r="D1229" s="12" t="s">
        <v>213</v>
      </c>
      <c r="E1229" s="13" t="s">
        <v>85</v>
      </c>
      <c r="F1229" s="14" t="s">
        <v>215</v>
      </c>
      <c r="G1229" s="14" t="b">
        <v>0</v>
      </c>
      <c r="I1229" s="14">
        <v>1.0</v>
      </c>
      <c r="J1229" s="14">
        <v>0.0</v>
      </c>
      <c r="K1229" s="14">
        <v>2.0</v>
      </c>
    </row>
    <row r="1230">
      <c r="A1230" s="9" t="s">
        <v>3916</v>
      </c>
      <c r="B1230" s="10" t="s">
        <v>3917</v>
      </c>
      <c r="C1230" s="11" t="s">
        <v>84</v>
      </c>
      <c r="D1230" s="12" t="s">
        <v>213</v>
      </c>
      <c r="E1230" s="13" t="s">
        <v>85</v>
      </c>
      <c r="F1230" s="14" t="s">
        <v>215</v>
      </c>
      <c r="G1230" s="14" t="b">
        <v>0</v>
      </c>
      <c r="H1230" s="14" t="s">
        <v>3918</v>
      </c>
      <c r="I1230" s="14">
        <v>1.0</v>
      </c>
      <c r="J1230" s="14">
        <v>0.0</v>
      </c>
      <c r="K1230" s="14">
        <v>2.0</v>
      </c>
    </row>
    <row r="1231">
      <c r="A1231" s="9" t="s">
        <v>3919</v>
      </c>
      <c r="B1231" s="10" t="s">
        <v>3920</v>
      </c>
      <c r="C1231" s="11" t="s">
        <v>84</v>
      </c>
      <c r="D1231" s="12" t="s">
        <v>213</v>
      </c>
      <c r="E1231" s="13" t="s">
        <v>85</v>
      </c>
      <c r="F1231" s="14" t="s">
        <v>215</v>
      </c>
      <c r="G1231" s="14" t="b">
        <v>0</v>
      </c>
      <c r="H1231" s="14" t="s">
        <v>1663</v>
      </c>
      <c r="I1231" s="14">
        <v>1.0</v>
      </c>
      <c r="J1231" s="14">
        <v>0.0</v>
      </c>
      <c r="K1231" s="14">
        <v>1.0</v>
      </c>
    </row>
    <row r="1232">
      <c r="A1232" s="9" t="s">
        <v>3921</v>
      </c>
      <c r="B1232" s="10" t="s">
        <v>3922</v>
      </c>
      <c r="C1232" s="11" t="s">
        <v>84</v>
      </c>
      <c r="D1232" s="12" t="s">
        <v>213</v>
      </c>
      <c r="E1232" s="13" t="s">
        <v>85</v>
      </c>
      <c r="F1232" s="14" t="s">
        <v>215</v>
      </c>
      <c r="G1232" s="14" t="b">
        <v>0</v>
      </c>
      <c r="H1232" s="14" t="s">
        <v>3923</v>
      </c>
      <c r="I1232" s="14">
        <v>1.0</v>
      </c>
      <c r="J1232" s="14">
        <v>0.0</v>
      </c>
      <c r="K1232" s="14">
        <v>2.0</v>
      </c>
    </row>
    <row r="1233">
      <c r="A1233" s="9" t="s">
        <v>3924</v>
      </c>
      <c r="B1233" s="10" t="s">
        <v>3925</v>
      </c>
      <c r="C1233" s="11" t="s">
        <v>1801</v>
      </c>
      <c r="D1233" s="12" t="s">
        <v>116</v>
      </c>
      <c r="E1233" s="13" t="s">
        <v>20</v>
      </c>
      <c r="F1233" s="14" t="s">
        <v>117</v>
      </c>
      <c r="G1233" s="14" t="b">
        <v>0</v>
      </c>
      <c r="H1233" s="14" t="s">
        <v>1802</v>
      </c>
      <c r="I1233" s="14">
        <v>1.0</v>
      </c>
      <c r="J1233" s="14">
        <v>0.0</v>
      </c>
      <c r="K1233" s="14">
        <v>0.0</v>
      </c>
    </row>
    <row r="1234">
      <c r="A1234" s="9" t="s">
        <v>3926</v>
      </c>
      <c r="B1234" s="10" t="s">
        <v>3927</v>
      </c>
      <c r="C1234" s="11" t="s">
        <v>1006</v>
      </c>
      <c r="D1234" s="12" t="s">
        <v>158</v>
      </c>
      <c r="E1234" s="13" t="s">
        <v>20</v>
      </c>
      <c r="F1234" s="14" t="s">
        <v>160</v>
      </c>
      <c r="G1234" s="14" t="b">
        <v>0</v>
      </c>
      <c r="H1234" s="14" t="s">
        <v>2497</v>
      </c>
      <c r="I1234" s="14">
        <v>1.0</v>
      </c>
      <c r="J1234" s="14">
        <v>0.0</v>
      </c>
      <c r="K1234" s="14">
        <v>1.0</v>
      </c>
    </row>
    <row r="1235">
      <c r="A1235" s="9" t="s">
        <v>3928</v>
      </c>
      <c r="B1235" s="10" t="s">
        <v>3929</v>
      </c>
      <c r="C1235" s="11" t="s">
        <v>1006</v>
      </c>
      <c r="D1235" s="12" t="s">
        <v>277</v>
      </c>
      <c r="E1235" s="13" t="s">
        <v>20</v>
      </c>
      <c r="F1235" s="14" t="s">
        <v>278</v>
      </c>
      <c r="G1235" s="14" t="b">
        <v>0</v>
      </c>
      <c r="H1235" s="14" t="s">
        <v>3930</v>
      </c>
      <c r="I1235" s="14">
        <v>1.0</v>
      </c>
      <c r="J1235" s="14">
        <v>0.0</v>
      </c>
      <c r="K1235" s="14">
        <v>1.0</v>
      </c>
    </row>
    <row r="1236">
      <c r="A1236" s="9" t="s">
        <v>3931</v>
      </c>
      <c r="B1236" s="10" t="s">
        <v>3932</v>
      </c>
      <c r="C1236" s="11" t="s">
        <v>48</v>
      </c>
      <c r="D1236" s="12" t="s">
        <v>158</v>
      </c>
      <c r="E1236" s="13" t="s">
        <v>20</v>
      </c>
      <c r="F1236" s="14" t="s">
        <v>160</v>
      </c>
      <c r="G1236" s="14" t="b">
        <v>0</v>
      </c>
      <c r="H1236" s="14" t="s">
        <v>387</v>
      </c>
      <c r="I1236" s="14">
        <v>1.0</v>
      </c>
      <c r="J1236" s="14">
        <v>0.0</v>
      </c>
      <c r="K1236" s="14">
        <v>1.0</v>
      </c>
    </row>
    <row r="1237">
      <c r="A1237" s="9" t="s">
        <v>3933</v>
      </c>
      <c r="B1237" s="10" t="s">
        <v>3934</v>
      </c>
      <c r="C1237" s="11" t="s">
        <v>48</v>
      </c>
      <c r="D1237" s="12" t="s">
        <v>312</v>
      </c>
      <c r="E1237" s="13" t="s">
        <v>20</v>
      </c>
      <c r="F1237" s="14" t="s">
        <v>313</v>
      </c>
      <c r="G1237" s="14" t="b">
        <v>0</v>
      </c>
      <c r="H1237" s="14" t="s">
        <v>3935</v>
      </c>
      <c r="I1237" s="14">
        <v>1.0</v>
      </c>
      <c r="J1237" s="14">
        <v>0.0</v>
      </c>
      <c r="K1237" s="14">
        <v>2.0</v>
      </c>
    </row>
    <row r="1238">
      <c r="A1238" s="9" t="s">
        <v>3936</v>
      </c>
      <c r="B1238" s="10" t="s">
        <v>3937</v>
      </c>
      <c r="C1238" s="11" t="s">
        <v>48</v>
      </c>
      <c r="D1238" s="12" t="s">
        <v>312</v>
      </c>
      <c r="E1238" s="13" t="s">
        <v>20</v>
      </c>
      <c r="F1238" s="14" t="s">
        <v>313</v>
      </c>
      <c r="G1238" s="14" t="b">
        <v>0</v>
      </c>
      <c r="H1238" s="14" t="s">
        <v>387</v>
      </c>
      <c r="I1238" s="14">
        <v>1.0</v>
      </c>
      <c r="J1238" s="14">
        <v>0.0</v>
      </c>
      <c r="K1238" s="14">
        <v>2.0</v>
      </c>
    </row>
    <row r="1239">
      <c r="A1239" s="9" t="s">
        <v>3938</v>
      </c>
      <c r="B1239" s="10" t="s">
        <v>3939</v>
      </c>
      <c r="C1239" s="11" t="s">
        <v>48</v>
      </c>
      <c r="D1239" s="12" t="s">
        <v>158</v>
      </c>
      <c r="E1239" s="13" t="s">
        <v>20</v>
      </c>
      <c r="F1239" s="14" t="s">
        <v>160</v>
      </c>
      <c r="G1239" s="14" t="b">
        <v>0</v>
      </c>
      <c r="H1239" s="14" t="s">
        <v>387</v>
      </c>
      <c r="I1239" s="14">
        <v>1.0</v>
      </c>
      <c r="J1239" s="14">
        <v>0.0</v>
      </c>
      <c r="K1239" s="14">
        <v>1.0</v>
      </c>
    </row>
    <row r="1240">
      <c r="A1240" s="9" t="s">
        <v>3940</v>
      </c>
      <c r="B1240" s="10" t="s">
        <v>3941</v>
      </c>
      <c r="C1240" s="11" t="s">
        <v>48</v>
      </c>
      <c r="D1240" s="12" t="s">
        <v>277</v>
      </c>
      <c r="E1240" s="13" t="s">
        <v>20</v>
      </c>
      <c r="F1240" s="14" t="s">
        <v>278</v>
      </c>
      <c r="G1240" s="14" t="b">
        <v>0</v>
      </c>
      <c r="H1240" s="14" t="s">
        <v>894</v>
      </c>
      <c r="I1240" s="14">
        <v>1.0</v>
      </c>
      <c r="J1240" s="14">
        <v>0.0</v>
      </c>
      <c r="K1240" s="14">
        <v>1.0</v>
      </c>
    </row>
    <row r="1241">
      <c r="A1241" s="9" t="s">
        <v>3942</v>
      </c>
      <c r="B1241" s="10" t="s">
        <v>3943</v>
      </c>
      <c r="C1241" s="11" t="s">
        <v>48</v>
      </c>
      <c r="D1241" s="12" t="s">
        <v>277</v>
      </c>
      <c r="E1241" s="13" t="s">
        <v>20</v>
      </c>
      <c r="F1241" s="14" t="s">
        <v>278</v>
      </c>
      <c r="G1241" s="14" t="b">
        <v>0</v>
      </c>
      <c r="H1241" s="14" t="s">
        <v>450</v>
      </c>
      <c r="I1241" s="14">
        <v>1.0</v>
      </c>
      <c r="J1241" s="14">
        <v>0.0</v>
      </c>
      <c r="K1241" s="14">
        <v>8.0</v>
      </c>
    </row>
    <row r="1242">
      <c r="A1242" s="9" t="s">
        <v>3944</v>
      </c>
      <c r="B1242" s="10" t="s">
        <v>3945</v>
      </c>
      <c r="C1242" s="11" t="s">
        <v>48</v>
      </c>
      <c r="D1242" s="12" t="s">
        <v>277</v>
      </c>
      <c r="E1242" s="13" t="s">
        <v>20</v>
      </c>
      <c r="F1242" s="14" t="s">
        <v>278</v>
      </c>
      <c r="G1242" s="14" t="b">
        <v>0</v>
      </c>
      <c r="H1242" s="14" t="s">
        <v>450</v>
      </c>
      <c r="I1242" s="14">
        <v>1.0</v>
      </c>
      <c r="J1242" s="14">
        <v>0.0</v>
      </c>
      <c r="K1242" s="14">
        <v>1.0</v>
      </c>
    </row>
    <row r="1243">
      <c r="A1243" s="9" t="s">
        <v>3946</v>
      </c>
      <c r="B1243" s="10" t="s">
        <v>3947</v>
      </c>
      <c r="C1243" s="11" t="s">
        <v>48</v>
      </c>
      <c r="D1243" s="12" t="s">
        <v>277</v>
      </c>
      <c r="E1243" s="13" t="s">
        <v>20</v>
      </c>
      <c r="F1243" s="14" t="s">
        <v>278</v>
      </c>
      <c r="G1243" s="14" t="b">
        <v>0</v>
      </c>
      <c r="H1243" s="14" t="s">
        <v>3935</v>
      </c>
      <c r="I1243" s="14">
        <v>1.0</v>
      </c>
      <c r="J1243" s="14">
        <v>0.0</v>
      </c>
      <c r="K1243" s="14">
        <v>0.0</v>
      </c>
    </row>
    <row r="1244">
      <c r="A1244" s="9" t="s">
        <v>3948</v>
      </c>
      <c r="B1244" s="10" t="s">
        <v>3949</v>
      </c>
      <c r="C1244" s="10" t="s">
        <v>1804</v>
      </c>
      <c r="D1244" s="12" t="s">
        <v>158</v>
      </c>
      <c r="E1244" s="13" t="s">
        <v>32</v>
      </c>
      <c r="F1244" s="14" t="s">
        <v>160</v>
      </c>
      <c r="G1244" s="14" t="b">
        <v>0</v>
      </c>
      <c r="H1244" s="14" t="s">
        <v>3950</v>
      </c>
      <c r="I1244" s="14">
        <v>1.0</v>
      </c>
      <c r="J1244" s="14">
        <v>0.0</v>
      </c>
      <c r="K1244" s="14">
        <v>0.0</v>
      </c>
    </row>
    <row r="1245">
      <c r="A1245" s="9" t="s">
        <v>3951</v>
      </c>
      <c r="B1245" s="10" t="s">
        <v>3952</v>
      </c>
      <c r="C1245" s="11" t="s">
        <v>1808</v>
      </c>
      <c r="D1245" s="12" t="s">
        <v>19</v>
      </c>
      <c r="E1245" s="13" t="s">
        <v>32</v>
      </c>
      <c r="F1245" s="14" t="s">
        <v>21</v>
      </c>
      <c r="G1245" s="14" t="b">
        <v>0</v>
      </c>
      <c r="H1245" s="14" t="s">
        <v>3953</v>
      </c>
      <c r="I1245" s="14">
        <v>1.0</v>
      </c>
      <c r="J1245" s="14">
        <v>0.0</v>
      </c>
      <c r="K1245" s="14">
        <v>1.0</v>
      </c>
    </row>
    <row r="1246">
      <c r="A1246" s="9" t="s">
        <v>3954</v>
      </c>
      <c r="B1246" s="10" t="s">
        <v>3955</v>
      </c>
      <c r="C1246" s="11" t="s">
        <v>1810</v>
      </c>
      <c r="D1246" s="12" t="s">
        <v>1143</v>
      </c>
      <c r="E1246" s="13" t="s">
        <v>32</v>
      </c>
      <c r="F1246" s="14" t="s">
        <v>1145</v>
      </c>
      <c r="G1246" s="14" t="b">
        <v>0</v>
      </c>
      <c r="H1246" s="14" t="s">
        <v>340</v>
      </c>
      <c r="I1246" s="14">
        <v>1.0</v>
      </c>
      <c r="J1246" s="14">
        <v>0.0</v>
      </c>
      <c r="K1246" s="14">
        <v>1.0</v>
      </c>
    </row>
    <row r="1247">
      <c r="A1247" s="9" t="s">
        <v>3956</v>
      </c>
      <c r="B1247" s="10" t="s">
        <v>3957</v>
      </c>
      <c r="C1247" s="11" t="s">
        <v>122</v>
      </c>
      <c r="D1247" s="12" t="s">
        <v>125</v>
      </c>
      <c r="E1247" s="13" t="s">
        <v>20</v>
      </c>
      <c r="F1247" s="14" t="s">
        <v>126</v>
      </c>
      <c r="G1247" s="14" t="b">
        <v>0</v>
      </c>
      <c r="H1247" s="14" t="s">
        <v>599</v>
      </c>
      <c r="I1247" s="14">
        <v>1.0</v>
      </c>
      <c r="J1247" s="14">
        <v>0.0</v>
      </c>
      <c r="K1247" s="14">
        <v>1.0</v>
      </c>
    </row>
    <row r="1248">
      <c r="A1248" s="9" t="s">
        <v>3958</v>
      </c>
      <c r="B1248" s="10" t="s">
        <v>3959</v>
      </c>
      <c r="C1248" s="11" t="s">
        <v>122</v>
      </c>
      <c r="D1248" s="12" t="s">
        <v>277</v>
      </c>
      <c r="E1248" s="13" t="s">
        <v>20</v>
      </c>
      <c r="F1248" s="14" t="s">
        <v>278</v>
      </c>
      <c r="G1248" s="14" t="b">
        <v>0</v>
      </c>
      <c r="H1248" s="14" t="s">
        <v>1463</v>
      </c>
      <c r="I1248" s="14">
        <v>1.0</v>
      </c>
      <c r="J1248" s="14">
        <v>0.0</v>
      </c>
      <c r="K1248" s="14">
        <v>1.0</v>
      </c>
    </row>
    <row r="1249">
      <c r="A1249" s="9" t="s">
        <v>3960</v>
      </c>
      <c r="B1249" s="10" t="s">
        <v>3961</v>
      </c>
      <c r="C1249" s="11" t="s">
        <v>122</v>
      </c>
      <c r="D1249" s="12" t="s">
        <v>277</v>
      </c>
      <c r="E1249" s="13" t="s">
        <v>20</v>
      </c>
      <c r="F1249" s="14" t="s">
        <v>278</v>
      </c>
      <c r="G1249" s="14" t="b">
        <v>0</v>
      </c>
      <c r="H1249" s="14" t="s">
        <v>1789</v>
      </c>
      <c r="I1249" s="14">
        <v>1.0</v>
      </c>
      <c r="J1249" s="14">
        <v>0.0</v>
      </c>
      <c r="K1249" s="14">
        <v>1.0</v>
      </c>
    </row>
    <row r="1250">
      <c r="A1250" s="9" t="s">
        <v>3962</v>
      </c>
      <c r="B1250" s="10" t="s">
        <v>3963</v>
      </c>
      <c r="C1250" s="11" t="s">
        <v>1814</v>
      </c>
      <c r="D1250" s="12" t="s">
        <v>158</v>
      </c>
      <c r="E1250" s="13" t="s">
        <v>32</v>
      </c>
      <c r="F1250" s="14" t="s">
        <v>160</v>
      </c>
      <c r="G1250" s="14" t="b">
        <v>0</v>
      </c>
      <c r="H1250" s="14" t="s">
        <v>3484</v>
      </c>
      <c r="I1250" s="14">
        <v>1.0</v>
      </c>
      <c r="J1250" s="14">
        <v>0.0</v>
      </c>
      <c r="K1250" s="14">
        <v>1.0</v>
      </c>
    </row>
    <row r="1251">
      <c r="A1251" s="9" t="s">
        <v>3964</v>
      </c>
      <c r="B1251" s="10" t="s">
        <v>3965</v>
      </c>
      <c r="C1251" s="11" t="s">
        <v>104</v>
      </c>
      <c r="D1251" s="12" t="s">
        <v>158</v>
      </c>
      <c r="E1251" s="13" t="s">
        <v>32</v>
      </c>
      <c r="F1251" s="14" t="s">
        <v>160</v>
      </c>
      <c r="G1251" s="14" t="b">
        <v>0</v>
      </c>
      <c r="H1251" s="14" t="s">
        <v>904</v>
      </c>
      <c r="I1251" s="14">
        <v>1.0</v>
      </c>
      <c r="J1251" s="14">
        <v>0.0</v>
      </c>
      <c r="K1251" s="14">
        <v>0.0</v>
      </c>
    </row>
    <row r="1252">
      <c r="A1252" s="9" t="s">
        <v>3966</v>
      </c>
      <c r="B1252" s="10" t="s">
        <v>3967</v>
      </c>
      <c r="C1252" s="11" t="s">
        <v>104</v>
      </c>
      <c r="D1252" s="12" t="s">
        <v>19</v>
      </c>
      <c r="E1252" s="13" t="s">
        <v>32</v>
      </c>
      <c r="F1252" s="14" t="s">
        <v>21</v>
      </c>
      <c r="G1252" s="14" t="b">
        <v>0</v>
      </c>
      <c r="H1252" s="14" t="s">
        <v>315</v>
      </c>
      <c r="I1252" s="14">
        <v>1.0</v>
      </c>
      <c r="J1252" s="14">
        <v>0.0</v>
      </c>
      <c r="K1252" s="14">
        <v>0.0</v>
      </c>
    </row>
    <row r="1253">
      <c r="A1253" s="9" t="s">
        <v>3968</v>
      </c>
      <c r="B1253" s="10" t="s">
        <v>902</v>
      </c>
      <c r="C1253" s="11" t="s">
        <v>104</v>
      </c>
      <c r="D1253" s="12" t="s">
        <v>277</v>
      </c>
      <c r="E1253" s="13" t="s">
        <v>32</v>
      </c>
      <c r="F1253" s="14" t="s">
        <v>278</v>
      </c>
      <c r="G1253" s="14" t="b">
        <v>0</v>
      </c>
      <c r="H1253" s="14" t="s">
        <v>3969</v>
      </c>
      <c r="I1253" s="14">
        <v>1.0</v>
      </c>
      <c r="J1253" s="14">
        <v>0.0</v>
      </c>
      <c r="K1253" s="14">
        <v>0.0</v>
      </c>
    </row>
    <row r="1254">
      <c r="A1254" s="9" t="s">
        <v>3970</v>
      </c>
      <c r="B1254" s="10" t="s">
        <v>3971</v>
      </c>
      <c r="C1254" s="11" t="s">
        <v>897</v>
      </c>
      <c r="D1254" s="12" t="s">
        <v>19</v>
      </c>
      <c r="E1254" s="13" t="s">
        <v>32</v>
      </c>
      <c r="F1254" s="14" t="s">
        <v>21</v>
      </c>
      <c r="G1254" s="14" t="b">
        <v>0</v>
      </c>
      <c r="I1254" s="14">
        <v>1.0</v>
      </c>
      <c r="J1254" s="14">
        <v>0.0</v>
      </c>
      <c r="K1254" s="14">
        <v>0.0</v>
      </c>
    </row>
    <row r="1255">
      <c r="A1255" s="9" t="s">
        <v>3972</v>
      </c>
      <c r="B1255" s="10" t="s">
        <v>3973</v>
      </c>
      <c r="C1255" s="11" t="s">
        <v>1815</v>
      </c>
      <c r="D1255" s="12" t="s">
        <v>19</v>
      </c>
      <c r="E1255" s="13" t="s">
        <v>32</v>
      </c>
      <c r="F1255" s="14" t="s">
        <v>21</v>
      </c>
      <c r="G1255" s="14" t="b">
        <v>0</v>
      </c>
      <c r="I1255" s="14">
        <v>1.0</v>
      </c>
      <c r="J1255" s="14">
        <v>0.0</v>
      </c>
      <c r="K1255" s="14">
        <v>1.0</v>
      </c>
    </row>
    <row r="1256">
      <c r="A1256" s="9" t="s">
        <v>3974</v>
      </c>
      <c r="B1256" s="10" t="s">
        <v>3975</v>
      </c>
      <c r="C1256" s="11" t="s">
        <v>1818</v>
      </c>
      <c r="D1256" s="12" t="s">
        <v>19</v>
      </c>
      <c r="E1256" s="13" t="s">
        <v>32</v>
      </c>
      <c r="F1256" s="14" t="s">
        <v>21</v>
      </c>
      <c r="G1256" s="14" t="b">
        <v>0</v>
      </c>
      <c r="I1256" s="14">
        <v>1.0</v>
      </c>
      <c r="J1256" s="14">
        <v>0.0</v>
      </c>
      <c r="K1256" s="14">
        <v>1.0</v>
      </c>
    </row>
    <row r="1257">
      <c r="A1257" s="9" t="s">
        <v>3976</v>
      </c>
      <c r="B1257" s="10" t="s">
        <v>3977</v>
      </c>
      <c r="C1257" s="11" t="s">
        <v>307</v>
      </c>
      <c r="D1257" s="12" t="s">
        <v>277</v>
      </c>
      <c r="E1257" s="13" t="s">
        <v>20</v>
      </c>
      <c r="F1257" s="14" t="s">
        <v>278</v>
      </c>
      <c r="G1257" s="14" t="b">
        <v>0</v>
      </c>
      <c r="H1257" s="14" t="s">
        <v>309</v>
      </c>
      <c r="I1257" s="14">
        <v>1.0</v>
      </c>
      <c r="J1257" s="14">
        <v>0.0</v>
      </c>
      <c r="K1257" s="14">
        <v>1.0</v>
      </c>
    </row>
    <row r="1258">
      <c r="A1258" s="9" t="s">
        <v>3978</v>
      </c>
      <c r="B1258" s="10" t="s">
        <v>3979</v>
      </c>
      <c r="C1258" s="11" t="s">
        <v>1820</v>
      </c>
      <c r="D1258" s="12" t="s">
        <v>125</v>
      </c>
      <c r="E1258" s="13" t="s">
        <v>32</v>
      </c>
      <c r="F1258" s="14" t="s">
        <v>126</v>
      </c>
      <c r="G1258" s="14" t="b">
        <v>0</v>
      </c>
      <c r="I1258" s="14">
        <v>1.0</v>
      </c>
      <c r="J1258" s="14">
        <v>0.0</v>
      </c>
      <c r="K1258" s="14">
        <v>0.0</v>
      </c>
    </row>
    <row r="1259">
      <c r="A1259" s="9" t="s">
        <v>3980</v>
      </c>
      <c r="B1259" s="10" t="s">
        <v>3981</v>
      </c>
      <c r="C1259" s="11" t="s">
        <v>1821</v>
      </c>
      <c r="D1259" s="12" t="s">
        <v>30</v>
      </c>
      <c r="E1259" s="13" t="s">
        <v>32</v>
      </c>
      <c r="F1259" s="14" t="s">
        <v>34</v>
      </c>
      <c r="G1259" s="14" t="b">
        <v>0</v>
      </c>
      <c r="I1259" s="14">
        <v>1.0</v>
      </c>
      <c r="J1259" s="14">
        <v>0.0</v>
      </c>
      <c r="K1259" s="14">
        <v>0.0</v>
      </c>
    </row>
    <row r="1260">
      <c r="A1260" s="9" t="s">
        <v>3982</v>
      </c>
      <c r="B1260" s="10" t="s">
        <v>3983</v>
      </c>
      <c r="C1260" s="11" t="s">
        <v>1823</v>
      </c>
      <c r="D1260" s="12" t="s">
        <v>30</v>
      </c>
      <c r="E1260" s="13" t="s">
        <v>32</v>
      </c>
      <c r="F1260" s="14" t="s">
        <v>34</v>
      </c>
      <c r="G1260" s="14" t="b">
        <v>0</v>
      </c>
      <c r="H1260" s="14" t="s">
        <v>506</v>
      </c>
      <c r="I1260" s="14">
        <v>1.0</v>
      </c>
      <c r="J1260" s="14">
        <v>0.0</v>
      </c>
      <c r="K1260" s="14">
        <v>1.0</v>
      </c>
    </row>
    <row r="1261">
      <c r="A1261" s="9" t="s">
        <v>3984</v>
      </c>
      <c r="B1261" s="13"/>
      <c r="C1261" s="11" t="s">
        <v>1825</v>
      </c>
      <c r="D1261" s="12" t="s">
        <v>116</v>
      </c>
      <c r="E1261" s="13" t="s">
        <v>116</v>
      </c>
      <c r="F1261" s="14" t="s">
        <v>117</v>
      </c>
      <c r="H1261" s="14" t="s">
        <v>824</v>
      </c>
      <c r="I1261" s="14">
        <v>1.0</v>
      </c>
      <c r="J1261" s="14">
        <v>0.0</v>
      </c>
      <c r="K1261" s="14">
        <v>3.0</v>
      </c>
    </row>
    <row r="1262">
      <c r="A1262" s="9" t="s">
        <v>3985</v>
      </c>
      <c r="B1262" s="10" t="s">
        <v>3986</v>
      </c>
      <c r="C1262" s="11" t="s">
        <v>1827</v>
      </c>
      <c r="D1262" s="12" t="s">
        <v>125</v>
      </c>
      <c r="E1262" s="13" t="s">
        <v>32</v>
      </c>
      <c r="F1262" s="14" t="s">
        <v>126</v>
      </c>
      <c r="G1262" s="14" t="b">
        <v>0</v>
      </c>
      <c r="H1262" s="14" t="s">
        <v>1829</v>
      </c>
      <c r="I1262" s="14">
        <v>1.0</v>
      </c>
      <c r="J1262" s="14">
        <v>0.0</v>
      </c>
      <c r="K1262" s="14">
        <v>3.0</v>
      </c>
    </row>
    <row r="1263">
      <c r="A1263" s="9" t="s">
        <v>3987</v>
      </c>
      <c r="B1263" s="10" t="s">
        <v>3988</v>
      </c>
      <c r="C1263" s="11" t="s">
        <v>1830</v>
      </c>
      <c r="D1263" s="12" t="s">
        <v>277</v>
      </c>
      <c r="E1263" s="13" t="s">
        <v>32</v>
      </c>
      <c r="F1263" s="14" t="s">
        <v>278</v>
      </c>
      <c r="G1263" s="14" t="b">
        <v>0</v>
      </c>
      <c r="I1263" s="14">
        <v>1.0</v>
      </c>
      <c r="J1263" s="14">
        <v>0.0</v>
      </c>
      <c r="K1263" s="14">
        <v>0.0</v>
      </c>
    </row>
    <row r="1264">
      <c r="A1264" s="9" t="s">
        <v>3989</v>
      </c>
      <c r="B1264" s="10" t="s">
        <v>3990</v>
      </c>
      <c r="C1264" s="11" t="s">
        <v>1106</v>
      </c>
      <c r="D1264" s="12" t="s">
        <v>125</v>
      </c>
      <c r="E1264" s="13" t="s">
        <v>32</v>
      </c>
      <c r="F1264" s="14" t="s">
        <v>126</v>
      </c>
      <c r="G1264" s="14" t="b">
        <v>0</v>
      </c>
      <c r="I1264" s="14">
        <v>1.0</v>
      </c>
      <c r="J1264" s="14">
        <v>0.0</v>
      </c>
      <c r="K1264" s="14">
        <v>0.0</v>
      </c>
    </row>
    <row r="1265">
      <c r="A1265" s="9" t="s">
        <v>3991</v>
      </c>
      <c r="B1265" s="10" t="s">
        <v>3992</v>
      </c>
      <c r="C1265" s="11" t="s">
        <v>1832</v>
      </c>
      <c r="D1265" s="12" t="s">
        <v>277</v>
      </c>
      <c r="E1265" s="13" t="s">
        <v>32</v>
      </c>
      <c r="F1265" s="14" t="s">
        <v>278</v>
      </c>
      <c r="G1265" s="14" t="b">
        <v>0</v>
      </c>
      <c r="H1265" s="14" t="s">
        <v>467</v>
      </c>
      <c r="I1265" s="14">
        <v>1.0</v>
      </c>
      <c r="J1265" s="14">
        <v>0.0</v>
      </c>
      <c r="K1265" s="14">
        <v>4.0</v>
      </c>
    </row>
    <row r="1266">
      <c r="A1266" s="9" t="s">
        <v>3993</v>
      </c>
      <c r="B1266" s="10" t="s">
        <v>3994</v>
      </c>
      <c r="C1266" s="11" t="s">
        <v>1834</v>
      </c>
      <c r="D1266" s="12" t="s">
        <v>277</v>
      </c>
      <c r="E1266" s="13" t="s">
        <v>32</v>
      </c>
      <c r="F1266" s="14" t="s">
        <v>278</v>
      </c>
      <c r="G1266" s="14" t="b">
        <v>0</v>
      </c>
      <c r="I1266" s="14">
        <v>1.0</v>
      </c>
      <c r="J1266" s="14">
        <v>0.0</v>
      </c>
      <c r="K1266" s="14">
        <v>0.0</v>
      </c>
    </row>
    <row r="1267">
      <c r="A1267" s="9" t="s">
        <v>3995</v>
      </c>
      <c r="B1267" s="10" t="s">
        <v>3996</v>
      </c>
      <c r="C1267" s="11" t="s">
        <v>1837</v>
      </c>
      <c r="D1267" s="12" t="s">
        <v>116</v>
      </c>
      <c r="E1267" s="13" t="s">
        <v>32</v>
      </c>
      <c r="F1267" s="14" t="s">
        <v>117</v>
      </c>
      <c r="G1267" s="14" t="b">
        <v>0</v>
      </c>
      <c r="I1267" s="14">
        <v>1.0</v>
      </c>
      <c r="J1267" s="14">
        <v>0.0</v>
      </c>
      <c r="K1267" s="14">
        <v>0.0</v>
      </c>
    </row>
    <row r="1268">
      <c r="A1268" s="9" t="s">
        <v>3997</v>
      </c>
      <c r="B1268" s="10" t="s">
        <v>3998</v>
      </c>
      <c r="C1268" s="11" t="s">
        <v>1839</v>
      </c>
      <c r="D1268" s="12" t="s">
        <v>19</v>
      </c>
      <c r="E1268" s="13" t="s">
        <v>32</v>
      </c>
      <c r="F1268" s="14" t="s">
        <v>21</v>
      </c>
      <c r="G1268" s="14" t="b">
        <v>0</v>
      </c>
      <c r="H1268" s="14" t="s">
        <v>3999</v>
      </c>
      <c r="I1268" s="14">
        <v>1.0</v>
      </c>
      <c r="J1268" s="14">
        <v>0.0</v>
      </c>
      <c r="K1268" s="14">
        <v>1.0</v>
      </c>
    </row>
    <row r="1269">
      <c r="A1269" s="9" t="s">
        <v>4000</v>
      </c>
      <c r="B1269" s="10" t="s">
        <v>4001</v>
      </c>
      <c r="C1269" s="11" t="s">
        <v>1329</v>
      </c>
      <c r="D1269" s="12" t="s">
        <v>19</v>
      </c>
      <c r="E1269" s="13" t="s">
        <v>32</v>
      </c>
      <c r="F1269" s="14" t="s">
        <v>21</v>
      </c>
      <c r="G1269" s="14" t="b">
        <v>0</v>
      </c>
      <c r="H1269" s="14" t="s">
        <v>4002</v>
      </c>
      <c r="I1269" s="14">
        <v>1.0</v>
      </c>
      <c r="J1269" s="14">
        <v>0.0</v>
      </c>
      <c r="K1269" s="14">
        <v>0.0</v>
      </c>
    </row>
    <row r="1270">
      <c r="A1270" s="9" t="s">
        <v>4003</v>
      </c>
      <c r="B1270" s="10" t="s">
        <v>4004</v>
      </c>
      <c r="C1270" s="11" t="s">
        <v>1329</v>
      </c>
      <c r="D1270" s="12" t="s">
        <v>312</v>
      </c>
      <c r="E1270" s="13" t="s">
        <v>32</v>
      </c>
      <c r="F1270" s="14" t="s">
        <v>313</v>
      </c>
      <c r="G1270" s="14" t="b">
        <v>0</v>
      </c>
      <c r="H1270" s="14" t="s">
        <v>538</v>
      </c>
      <c r="I1270" s="14">
        <v>1.0</v>
      </c>
      <c r="J1270" s="14">
        <v>0.0</v>
      </c>
      <c r="K1270" s="14">
        <v>1.0</v>
      </c>
    </row>
    <row r="1271">
      <c r="A1271" s="9" t="s">
        <v>4005</v>
      </c>
      <c r="B1271" s="10" t="s">
        <v>4006</v>
      </c>
      <c r="C1271" s="11" t="s">
        <v>1841</v>
      </c>
      <c r="D1271" s="12" t="s">
        <v>19</v>
      </c>
      <c r="E1271" s="13" t="s">
        <v>32</v>
      </c>
      <c r="F1271" s="14" t="s">
        <v>21</v>
      </c>
      <c r="G1271" s="14" t="b">
        <v>0</v>
      </c>
      <c r="I1271" s="14">
        <v>1.0</v>
      </c>
      <c r="J1271" s="14">
        <v>0.0</v>
      </c>
      <c r="K1271" s="14">
        <v>1.0</v>
      </c>
    </row>
    <row r="1272">
      <c r="A1272" s="9" t="s">
        <v>4007</v>
      </c>
      <c r="B1272" s="10" t="s">
        <v>4008</v>
      </c>
      <c r="C1272" s="11" t="s">
        <v>1844</v>
      </c>
      <c r="D1272" s="12" t="s">
        <v>125</v>
      </c>
      <c r="E1272" s="13" t="s">
        <v>32</v>
      </c>
      <c r="F1272" s="14" t="s">
        <v>126</v>
      </c>
      <c r="G1272" s="14" t="b">
        <v>0</v>
      </c>
      <c r="H1272" s="14" t="s">
        <v>523</v>
      </c>
      <c r="I1272" s="14">
        <v>1.0</v>
      </c>
      <c r="J1272" s="14">
        <v>0.0</v>
      </c>
      <c r="K1272" s="14">
        <v>1.0</v>
      </c>
    </row>
    <row r="1273">
      <c r="A1273" s="9" t="s">
        <v>4009</v>
      </c>
      <c r="B1273" s="10" t="s">
        <v>4010</v>
      </c>
      <c r="C1273" s="11" t="s">
        <v>643</v>
      </c>
      <c r="D1273" s="12" t="s">
        <v>125</v>
      </c>
      <c r="E1273" s="13" t="s">
        <v>32</v>
      </c>
      <c r="F1273" s="14" t="s">
        <v>126</v>
      </c>
      <c r="G1273" s="14" t="b">
        <v>0</v>
      </c>
      <c r="I1273" s="14">
        <v>1.0</v>
      </c>
      <c r="J1273" s="14">
        <v>0.0</v>
      </c>
      <c r="K1273" s="14">
        <v>0.0</v>
      </c>
    </row>
    <row r="1274">
      <c r="A1274" s="9" t="s">
        <v>4011</v>
      </c>
      <c r="B1274" s="10" t="s">
        <v>4012</v>
      </c>
      <c r="C1274" s="11" t="s">
        <v>148</v>
      </c>
      <c r="D1274" s="12" t="s">
        <v>277</v>
      </c>
      <c r="E1274" s="13" t="s">
        <v>20</v>
      </c>
      <c r="F1274" s="14" t="s">
        <v>278</v>
      </c>
      <c r="G1274" s="14" t="b">
        <v>0</v>
      </c>
      <c r="H1274" s="14" t="s">
        <v>4013</v>
      </c>
      <c r="I1274" s="14">
        <v>1.0</v>
      </c>
      <c r="J1274" s="14">
        <v>0.0</v>
      </c>
      <c r="K1274" s="14">
        <v>1.0</v>
      </c>
    </row>
    <row r="1275">
      <c r="A1275" s="9" t="s">
        <v>4014</v>
      </c>
      <c r="B1275" s="10" t="s">
        <v>4015</v>
      </c>
      <c r="C1275" s="11" t="s">
        <v>1845</v>
      </c>
      <c r="D1275" s="12" t="s">
        <v>116</v>
      </c>
      <c r="E1275" s="13" t="s">
        <v>32</v>
      </c>
      <c r="F1275" s="14" t="s">
        <v>117</v>
      </c>
      <c r="G1275" s="14" t="b">
        <v>0</v>
      </c>
      <c r="I1275" s="14">
        <v>1.0</v>
      </c>
      <c r="J1275" s="14">
        <v>0.0</v>
      </c>
      <c r="K1275" s="14">
        <v>1.0</v>
      </c>
    </row>
    <row r="1276">
      <c r="A1276" s="9" t="s">
        <v>4016</v>
      </c>
      <c r="B1276" s="10" t="s">
        <v>4017</v>
      </c>
      <c r="C1276" s="11" t="s">
        <v>1111</v>
      </c>
      <c r="D1276" s="12" t="s">
        <v>19</v>
      </c>
      <c r="E1276" s="13" t="s">
        <v>32</v>
      </c>
      <c r="F1276" s="14" t="s">
        <v>21</v>
      </c>
      <c r="G1276" s="14" t="b">
        <v>0</v>
      </c>
      <c r="H1276" s="14" t="s">
        <v>4018</v>
      </c>
      <c r="I1276" s="14">
        <v>1.0</v>
      </c>
      <c r="J1276" s="14">
        <v>0.0</v>
      </c>
      <c r="K1276" s="14">
        <v>1.0</v>
      </c>
    </row>
    <row r="1277">
      <c r="A1277" s="9" t="s">
        <v>4019</v>
      </c>
      <c r="B1277" s="10" t="s">
        <v>1803</v>
      </c>
      <c r="C1277" s="11" t="s">
        <v>36</v>
      </c>
      <c r="D1277" s="12" t="s">
        <v>30</v>
      </c>
      <c r="E1277" s="13" t="s">
        <v>32</v>
      </c>
      <c r="F1277" s="14" t="s">
        <v>34</v>
      </c>
      <c r="G1277" s="14" t="b">
        <v>0</v>
      </c>
      <c r="H1277" s="14" t="s">
        <v>1806</v>
      </c>
      <c r="I1277" s="14">
        <v>1.0</v>
      </c>
      <c r="J1277" s="14">
        <v>0.0</v>
      </c>
      <c r="K1277" s="14">
        <v>0.0</v>
      </c>
    </row>
    <row r="1278">
      <c r="A1278" s="9" t="s">
        <v>4020</v>
      </c>
      <c r="B1278" s="10" t="s">
        <v>4021</v>
      </c>
      <c r="C1278" s="11" t="s">
        <v>36</v>
      </c>
      <c r="D1278" s="12" t="s">
        <v>30</v>
      </c>
      <c r="E1278" s="13" t="s">
        <v>32</v>
      </c>
      <c r="F1278" s="14" t="s">
        <v>34</v>
      </c>
      <c r="G1278" s="14" t="b">
        <v>0</v>
      </c>
      <c r="I1278" s="14">
        <v>1.0</v>
      </c>
      <c r="J1278" s="14">
        <v>0.0</v>
      </c>
      <c r="K1278" s="14">
        <v>1.0</v>
      </c>
    </row>
    <row r="1279">
      <c r="A1279" s="9" t="s">
        <v>4022</v>
      </c>
      <c r="B1279" s="10" t="s">
        <v>4023</v>
      </c>
      <c r="C1279" s="11" t="s">
        <v>36</v>
      </c>
      <c r="D1279" s="12" t="s">
        <v>30</v>
      </c>
      <c r="E1279" s="13" t="s">
        <v>32</v>
      </c>
      <c r="F1279" s="14" t="s">
        <v>34</v>
      </c>
      <c r="G1279" s="14" t="b">
        <v>0</v>
      </c>
      <c r="H1279" s="14" t="s">
        <v>4024</v>
      </c>
      <c r="I1279" s="14">
        <v>1.0</v>
      </c>
      <c r="J1279" s="14">
        <v>0.0</v>
      </c>
      <c r="K1279" s="14">
        <v>0.0</v>
      </c>
    </row>
    <row r="1280">
      <c r="A1280" s="9" t="s">
        <v>4025</v>
      </c>
      <c r="B1280" s="10" t="s">
        <v>4026</v>
      </c>
      <c r="C1280" s="11" t="s">
        <v>36</v>
      </c>
      <c r="D1280" s="12" t="s">
        <v>30</v>
      </c>
      <c r="E1280" s="13" t="s">
        <v>32</v>
      </c>
      <c r="F1280" s="14" t="s">
        <v>34</v>
      </c>
      <c r="G1280" s="14" t="b">
        <v>0</v>
      </c>
      <c r="H1280" s="14" t="s">
        <v>4027</v>
      </c>
      <c r="I1280" s="14">
        <v>1.0</v>
      </c>
      <c r="J1280" s="14">
        <v>0.0</v>
      </c>
      <c r="K1280" s="14">
        <v>0.0</v>
      </c>
    </row>
    <row r="1281">
      <c r="A1281" s="9" t="s">
        <v>4028</v>
      </c>
      <c r="B1281" s="10" t="s">
        <v>362</v>
      </c>
      <c r="C1281" s="11" t="s">
        <v>36</v>
      </c>
      <c r="D1281" s="12" t="s">
        <v>30</v>
      </c>
      <c r="E1281" s="13" t="s">
        <v>32</v>
      </c>
      <c r="F1281" s="14" t="s">
        <v>34</v>
      </c>
      <c r="G1281" s="14" t="b">
        <v>0</v>
      </c>
      <c r="H1281" s="14" t="s">
        <v>4029</v>
      </c>
      <c r="I1281" s="14">
        <v>1.0</v>
      </c>
      <c r="J1281" s="14">
        <v>0.0</v>
      </c>
      <c r="K1281" s="14">
        <v>0.0</v>
      </c>
    </row>
    <row r="1282">
      <c r="A1282" s="9" t="s">
        <v>4030</v>
      </c>
      <c r="B1282" s="10" t="s">
        <v>4031</v>
      </c>
      <c r="C1282" s="11" t="s">
        <v>36</v>
      </c>
      <c r="D1282" s="12" t="s">
        <v>30</v>
      </c>
      <c r="E1282" s="13" t="s">
        <v>32</v>
      </c>
      <c r="F1282" s="14" t="s">
        <v>34</v>
      </c>
      <c r="G1282" s="14" t="b">
        <v>0</v>
      </c>
      <c r="H1282" s="14" t="s">
        <v>4032</v>
      </c>
      <c r="I1282" s="14">
        <v>1.0</v>
      </c>
      <c r="J1282" s="14">
        <v>0.0</v>
      </c>
      <c r="K1282" s="14">
        <v>0.0</v>
      </c>
    </row>
    <row r="1283">
      <c r="A1283" s="9" t="s">
        <v>4033</v>
      </c>
      <c r="B1283" s="10" t="s">
        <v>4034</v>
      </c>
      <c r="C1283" s="11" t="s">
        <v>36</v>
      </c>
      <c r="D1283" s="12" t="s">
        <v>158</v>
      </c>
      <c r="E1283" s="13" t="s">
        <v>32</v>
      </c>
      <c r="F1283" s="14" t="s">
        <v>160</v>
      </c>
      <c r="G1283" s="14" t="b">
        <v>0</v>
      </c>
      <c r="H1283" s="14" t="s">
        <v>4035</v>
      </c>
      <c r="I1283" s="14">
        <v>1.0</v>
      </c>
      <c r="J1283" s="14">
        <v>0.0</v>
      </c>
      <c r="K1283" s="14">
        <v>0.0</v>
      </c>
    </row>
    <row r="1284">
      <c r="A1284" s="9" t="s">
        <v>4036</v>
      </c>
      <c r="B1284" s="10" t="s">
        <v>4037</v>
      </c>
      <c r="C1284" s="11" t="s">
        <v>36</v>
      </c>
      <c r="D1284" s="12" t="s">
        <v>158</v>
      </c>
      <c r="E1284" s="13" t="s">
        <v>32</v>
      </c>
      <c r="F1284" s="14" t="s">
        <v>160</v>
      </c>
      <c r="G1284" s="14" t="b">
        <v>0</v>
      </c>
      <c r="H1284" s="14" t="s">
        <v>4038</v>
      </c>
      <c r="I1284" s="14">
        <v>1.0</v>
      </c>
      <c r="J1284" s="14">
        <v>0.0</v>
      </c>
      <c r="K1284" s="14">
        <v>0.0</v>
      </c>
    </row>
    <row r="1285">
      <c r="A1285" s="9" t="s">
        <v>4039</v>
      </c>
      <c r="B1285" s="10" t="s">
        <v>4040</v>
      </c>
      <c r="C1285" s="11" t="s">
        <v>36</v>
      </c>
      <c r="D1285" s="12" t="s">
        <v>30</v>
      </c>
      <c r="E1285" s="13" t="s">
        <v>32</v>
      </c>
      <c r="F1285" s="14" t="s">
        <v>34</v>
      </c>
      <c r="G1285" s="14" t="b">
        <v>0</v>
      </c>
      <c r="H1285" s="14" t="s">
        <v>4041</v>
      </c>
      <c r="I1285" s="14">
        <v>1.0</v>
      </c>
      <c r="J1285" s="14">
        <v>0.0</v>
      </c>
      <c r="K1285" s="14">
        <v>0.0</v>
      </c>
    </row>
    <row r="1286">
      <c r="A1286" s="9" t="s">
        <v>4042</v>
      </c>
      <c r="B1286" s="10" t="s">
        <v>4043</v>
      </c>
      <c r="C1286" s="11" t="s">
        <v>36</v>
      </c>
      <c r="D1286" s="12" t="s">
        <v>30</v>
      </c>
      <c r="E1286" s="13" t="s">
        <v>32</v>
      </c>
      <c r="F1286" s="14" t="s">
        <v>34</v>
      </c>
      <c r="G1286" s="14" t="b">
        <v>0</v>
      </c>
      <c r="H1286" s="14" t="s">
        <v>4044</v>
      </c>
      <c r="I1286" s="14">
        <v>1.0</v>
      </c>
      <c r="J1286" s="14">
        <v>0.0</v>
      </c>
      <c r="K1286" s="14">
        <v>0.0</v>
      </c>
    </row>
    <row r="1287">
      <c r="A1287" s="9" t="s">
        <v>4045</v>
      </c>
      <c r="B1287" s="10" t="s">
        <v>4046</v>
      </c>
      <c r="C1287" s="11" t="s">
        <v>36</v>
      </c>
      <c r="D1287" s="12" t="s">
        <v>30</v>
      </c>
      <c r="E1287" s="13" t="s">
        <v>32</v>
      </c>
      <c r="F1287" s="14" t="s">
        <v>34</v>
      </c>
      <c r="G1287" s="14" t="b">
        <v>0</v>
      </c>
      <c r="H1287" s="14" t="s">
        <v>4047</v>
      </c>
      <c r="I1287" s="14">
        <v>1.0</v>
      </c>
      <c r="J1287" s="14">
        <v>0.0</v>
      </c>
      <c r="K1287" s="14">
        <v>0.0</v>
      </c>
    </row>
    <row r="1288">
      <c r="A1288" s="9" t="s">
        <v>4048</v>
      </c>
      <c r="B1288" s="10" t="s">
        <v>4049</v>
      </c>
      <c r="C1288" s="11" t="s">
        <v>36</v>
      </c>
      <c r="D1288" s="12" t="s">
        <v>158</v>
      </c>
      <c r="E1288" s="13" t="s">
        <v>32</v>
      </c>
      <c r="F1288" s="14" t="s">
        <v>160</v>
      </c>
      <c r="G1288" s="14" t="b">
        <v>0</v>
      </c>
      <c r="H1288" s="14" t="s">
        <v>4050</v>
      </c>
      <c r="I1288" s="14">
        <v>1.0</v>
      </c>
      <c r="J1288" s="14">
        <v>0.0</v>
      </c>
      <c r="K1288" s="14">
        <v>0.0</v>
      </c>
    </row>
    <row r="1289">
      <c r="A1289" s="9" t="s">
        <v>4051</v>
      </c>
      <c r="B1289" s="10" t="s">
        <v>4052</v>
      </c>
      <c r="C1289" s="11" t="s">
        <v>1849</v>
      </c>
      <c r="D1289" s="12" t="s">
        <v>312</v>
      </c>
      <c r="E1289" s="13" t="s">
        <v>32</v>
      </c>
      <c r="F1289" s="14" t="s">
        <v>313</v>
      </c>
      <c r="G1289" s="14" t="b">
        <v>0</v>
      </c>
      <c r="H1289" s="14" t="s">
        <v>523</v>
      </c>
      <c r="I1289" s="14">
        <v>1.0</v>
      </c>
      <c r="J1289" s="14">
        <v>0.0</v>
      </c>
      <c r="K1289" s="14">
        <v>0.0</v>
      </c>
    </row>
    <row r="1290">
      <c r="A1290" s="9" t="s">
        <v>4053</v>
      </c>
      <c r="B1290" s="10" t="s">
        <v>4054</v>
      </c>
      <c r="C1290" s="11" t="s">
        <v>598</v>
      </c>
      <c r="D1290" s="12" t="s">
        <v>19</v>
      </c>
      <c r="E1290" s="13" t="s">
        <v>20</v>
      </c>
      <c r="F1290" s="14" t="s">
        <v>21</v>
      </c>
      <c r="G1290" s="14" t="b">
        <v>0</v>
      </c>
      <c r="H1290" s="14" t="s">
        <v>4055</v>
      </c>
      <c r="I1290" s="14">
        <v>1.0</v>
      </c>
      <c r="J1290" s="14">
        <v>0.0</v>
      </c>
      <c r="K1290" s="14">
        <v>0.0</v>
      </c>
    </row>
    <row r="1291">
      <c r="A1291" s="9" t="s">
        <v>4056</v>
      </c>
      <c r="B1291" s="10" t="s">
        <v>4057</v>
      </c>
      <c r="C1291" s="11" t="s">
        <v>124</v>
      </c>
      <c r="D1291" s="12" t="s">
        <v>158</v>
      </c>
      <c r="E1291" s="13" t="s">
        <v>20</v>
      </c>
      <c r="F1291" s="14" t="s">
        <v>160</v>
      </c>
      <c r="G1291" s="14" t="b">
        <v>0</v>
      </c>
      <c r="H1291" s="14" t="s">
        <v>3484</v>
      </c>
      <c r="I1291" s="14">
        <v>1.0</v>
      </c>
      <c r="J1291" s="14">
        <v>0.0</v>
      </c>
      <c r="K1291" s="14">
        <v>2.0</v>
      </c>
    </row>
    <row r="1292">
      <c r="A1292" s="9" t="s">
        <v>4058</v>
      </c>
      <c r="B1292" s="10" t="s">
        <v>4059</v>
      </c>
      <c r="C1292" s="11" t="s">
        <v>1850</v>
      </c>
      <c r="D1292" s="12" t="s">
        <v>277</v>
      </c>
      <c r="E1292" s="13" t="s">
        <v>116</v>
      </c>
      <c r="F1292" s="14" t="s">
        <v>278</v>
      </c>
      <c r="G1292" s="14" t="b">
        <v>0</v>
      </c>
      <c r="I1292" s="14">
        <v>1.0</v>
      </c>
      <c r="J1292" s="14">
        <v>0.0</v>
      </c>
      <c r="K1292" s="14">
        <v>0.0</v>
      </c>
    </row>
    <row r="1293">
      <c r="A1293" s="9" t="s">
        <v>4060</v>
      </c>
      <c r="B1293" s="10" t="s">
        <v>4061</v>
      </c>
      <c r="C1293" s="11" t="s">
        <v>1852</v>
      </c>
      <c r="D1293" s="12" t="s">
        <v>19</v>
      </c>
      <c r="E1293" s="13" t="s">
        <v>32</v>
      </c>
      <c r="F1293" s="14" t="s">
        <v>21</v>
      </c>
      <c r="G1293" s="14" t="b">
        <v>0</v>
      </c>
      <c r="I1293" s="14">
        <v>1.0</v>
      </c>
      <c r="J1293" s="14">
        <v>0.0</v>
      </c>
      <c r="K1293" s="14">
        <v>1.0</v>
      </c>
    </row>
    <row r="1294">
      <c r="A1294" s="9" t="s">
        <v>4062</v>
      </c>
      <c r="B1294" s="10" t="s">
        <v>4063</v>
      </c>
      <c r="C1294" s="11" t="s">
        <v>524</v>
      </c>
      <c r="D1294" s="12" t="s">
        <v>125</v>
      </c>
      <c r="E1294" s="13" t="s">
        <v>32</v>
      </c>
      <c r="F1294" s="14" t="s">
        <v>126</v>
      </c>
      <c r="G1294" s="14" t="b">
        <v>0</v>
      </c>
      <c r="H1294" s="14" t="s">
        <v>506</v>
      </c>
      <c r="I1294" s="14">
        <v>1.0</v>
      </c>
      <c r="J1294" s="14">
        <v>0.0</v>
      </c>
      <c r="K1294" s="14">
        <v>0.0</v>
      </c>
    </row>
    <row r="1295">
      <c r="A1295" s="9" t="s">
        <v>4064</v>
      </c>
      <c r="B1295" s="10" t="s">
        <v>4065</v>
      </c>
      <c r="C1295" s="11" t="s">
        <v>1854</v>
      </c>
      <c r="D1295" s="12" t="s">
        <v>19</v>
      </c>
      <c r="E1295" s="13" t="s">
        <v>32</v>
      </c>
      <c r="F1295" s="14" t="s">
        <v>21</v>
      </c>
      <c r="G1295" s="14" t="b">
        <v>0</v>
      </c>
      <c r="H1295" s="14" t="s">
        <v>4066</v>
      </c>
      <c r="I1295" s="14">
        <v>1.0</v>
      </c>
      <c r="J1295" s="14">
        <v>0.0</v>
      </c>
      <c r="K1295" s="14">
        <v>0.0</v>
      </c>
    </row>
    <row r="1296">
      <c r="A1296" s="9" t="s">
        <v>4067</v>
      </c>
      <c r="B1296" s="10" t="s">
        <v>4068</v>
      </c>
      <c r="C1296" s="10" t="s">
        <v>1856</v>
      </c>
      <c r="D1296" s="12" t="s">
        <v>125</v>
      </c>
      <c r="E1296" s="13" t="s">
        <v>32</v>
      </c>
      <c r="F1296" s="14" t="s">
        <v>126</v>
      </c>
      <c r="G1296" s="14" t="b">
        <v>0</v>
      </c>
      <c r="H1296" s="14" t="s">
        <v>523</v>
      </c>
      <c r="I1296" s="14">
        <v>1.0</v>
      </c>
      <c r="J1296" s="14">
        <v>0.0</v>
      </c>
      <c r="K1296" s="14">
        <v>0.0</v>
      </c>
    </row>
    <row r="1297">
      <c r="A1297" s="9" t="s">
        <v>4069</v>
      </c>
      <c r="B1297" s="10" t="s">
        <v>4070</v>
      </c>
      <c r="C1297" s="11" t="s">
        <v>1857</v>
      </c>
      <c r="D1297" s="12" t="s">
        <v>19</v>
      </c>
      <c r="E1297" s="13" t="s">
        <v>102</v>
      </c>
      <c r="F1297" s="14" t="s">
        <v>21</v>
      </c>
      <c r="G1297" s="14" t="b">
        <v>0</v>
      </c>
      <c r="H1297" s="14" t="s">
        <v>4071</v>
      </c>
      <c r="I1297" s="14">
        <v>1.0</v>
      </c>
      <c r="J1297" s="14">
        <v>0.0</v>
      </c>
      <c r="K1297" s="14">
        <v>0.0</v>
      </c>
    </row>
    <row r="1298">
      <c r="A1298" s="9" t="s">
        <v>4072</v>
      </c>
      <c r="B1298" s="10" t="s">
        <v>4073</v>
      </c>
      <c r="C1298" s="11" t="s">
        <v>1860</v>
      </c>
      <c r="D1298" s="12" t="s">
        <v>1143</v>
      </c>
      <c r="E1298" s="13" t="s">
        <v>32</v>
      </c>
      <c r="F1298" s="14" t="s">
        <v>1145</v>
      </c>
      <c r="G1298" s="14" t="b">
        <v>0</v>
      </c>
      <c r="I1298" s="14">
        <v>1.0</v>
      </c>
      <c r="J1298" s="14">
        <v>0.0</v>
      </c>
      <c r="K1298" s="14">
        <v>1.0</v>
      </c>
    </row>
    <row r="1299">
      <c r="A1299" s="9" t="s">
        <v>4074</v>
      </c>
      <c r="B1299" s="10" t="s">
        <v>4075</v>
      </c>
      <c r="C1299" s="11" t="s">
        <v>435</v>
      </c>
      <c r="D1299" s="12" t="s">
        <v>125</v>
      </c>
      <c r="E1299" s="13" t="s">
        <v>20</v>
      </c>
      <c r="F1299" s="14" t="s">
        <v>126</v>
      </c>
      <c r="G1299" s="14" t="b">
        <v>0</v>
      </c>
      <c r="H1299" s="14" t="s">
        <v>4076</v>
      </c>
      <c r="I1299" s="14">
        <v>1.0</v>
      </c>
      <c r="J1299" s="14">
        <v>0.0</v>
      </c>
      <c r="K1299" s="14">
        <v>1.0</v>
      </c>
    </row>
    <row r="1300">
      <c r="A1300" s="9" t="s">
        <v>4077</v>
      </c>
      <c r="B1300" s="10" t="s">
        <v>4078</v>
      </c>
      <c r="C1300" s="11" t="s">
        <v>435</v>
      </c>
      <c r="D1300" s="12" t="s">
        <v>277</v>
      </c>
      <c r="E1300" s="13" t="s">
        <v>20</v>
      </c>
      <c r="F1300" s="14" t="s">
        <v>278</v>
      </c>
      <c r="G1300" s="14" t="b">
        <v>0</v>
      </c>
      <c r="H1300" s="14" t="s">
        <v>4076</v>
      </c>
      <c r="I1300" s="14">
        <v>1.0</v>
      </c>
      <c r="J1300" s="14">
        <v>0.0</v>
      </c>
      <c r="K1300" s="14">
        <v>2.0</v>
      </c>
    </row>
    <row r="1301">
      <c r="A1301" s="9" t="s">
        <v>4079</v>
      </c>
      <c r="B1301" s="10" t="s">
        <v>4080</v>
      </c>
      <c r="C1301" s="11" t="s">
        <v>1861</v>
      </c>
      <c r="D1301" s="12" t="s">
        <v>277</v>
      </c>
      <c r="E1301" s="13" t="s">
        <v>32</v>
      </c>
      <c r="F1301" s="14" t="s">
        <v>278</v>
      </c>
      <c r="G1301" s="14" t="b">
        <v>0</v>
      </c>
      <c r="I1301" s="14">
        <v>1.0</v>
      </c>
      <c r="J1301" s="14">
        <v>0.0</v>
      </c>
      <c r="K1301" s="14">
        <v>0.0</v>
      </c>
    </row>
    <row r="1302">
      <c r="A1302" s="9" t="s">
        <v>4081</v>
      </c>
      <c r="B1302" s="10" t="s">
        <v>4082</v>
      </c>
      <c r="C1302" s="11" t="s">
        <v>1863</v>
      </c>
      <c r="D1302" s="12" t="s">
        <v>125</v>
      </c>
      <c r="E1302" s="13" t="s">
        <v>32</v>
      </c>
      <c r="F1302" s="14" t="s">
        <v>126</v>
      </c>
      <c r="G1302" s="14" t="b">
        <v>0</v>
      </c>
      <c r="I1302" s="14">
        <v>1.0</v>
      </c>
      <c r="J1302" s="14">
        <v>0.0</v>
      </c>
      <c r="K1302" s="14">
        <v>2.0</v>
      </c>
    </row>
    <row r="1303">
      <c r="A1303" s="9" t="s">
        <v>4083</v>
      </c>
      <c r="B1303" s="10" t="s">
        <v>4084</v>
      </c>
      <c r="C1303" s="11" t="s">
        <v>198</v>
      </c>
      <c r="D1303" s="12" t="s">
        <v>312</v>
      </c>
      <c r="E1303" s="13" t="s">
        <v>116</v>
      </c>
      <c r="F1303" s="14" t="s">
        <v>313</v>
      </c>
      <c r="G1303" s="14" t="b">
        <v>0</v>
      </c>
      <c r="I1303" s="14">
        <v>1.0</v>
      </c>
      <c r="J1303" s="14">
        <v>0.0</v>
      </c>
      <c r="K1303" s="14">
        <v>1.0</v>
      </c>
    </row>
    <row r="1304">
      <c r="A1304" s="9" t="s">
        <v>4085</v>
      </c>
      <c r="B1304" s="10" t="s">
        <v>4086</v>
      </c>
      <c r="C1304" s="11" t="s">
        <v>798</v>
      </c>
      <c r="D1304" s="12" t="s">
        <v>277</v>
      </c>
      <c r="E1304" s="13" t="s">
        <v>32</v>
      </c>
      <c r="F1304" s="14" t="s">
        <v>278</v>
      </c>
      <c r="G1304" s="14" t="b">
        <v>0</v>
      </c>
      <c r="I1304" s="14">
        <v>1.0</v>
      </c>
      <c r="J1304" s="14">
        <v>0.0</v>
      </c>
      <c r="K1304" s="14">
        <v>0.0</v>
      </c>
    </row>
    <row r="1305">
      <c r="A1305" s="9" t="s">
        <v>4087</v>
      </c>
      <c r="B1305" s="10" t="s">
        <v>4088</v>
      </c>
      <c r="C1305" s="11" t="s">
        <v>251</v>
      </c>
      <c r="D1305" s="12" t="s">
        <v>125</v>
      </c>
      <c r="E1305" s="13" t="s">
        <v>32</v>
      </c>
      <c r="F1305" s="14" t="s">
        <v>126</v>
      </c>
      <c r="G1305" s="14" t="b">
        <v>0</v>
      </c>
      <c r="H1305" s="14" t="s">
        <v>4089</v>
      </c>
      <c r="I1305" s="14">
        <v>1.0</v>
      </c>
      <c r="J1305" s="14">
        <v>0.0</v>
      </c>
      <c r="K1305" s="14">
        <v>2.0</v>
      </c>
    </row>
    <row r="1306">
      <c r="A1306" s="9" t="s">
        <v>4090</v>
      </c>
      <c r="B1306" s="10" t="s">
        <v>4091</v>
      </c>
      <c r="C1306" s="11" t="s">
        <v>358</v>
      </c>
      <c r="D1306" s="12" t="s">
        <v>312</v>
      </c>
      <c r="E1306" s="13" t="s">
        <v>102</v>
      </c>
      <c r="F1306" s="14" t="s">
        <v>313</v>
      </c>
      <c r="G1306" s="14" t="b">
        <v>0</v>
      </c>
      <c r="H1306" s="14" t="s">
        <v>361</v>
      </c>
      <c r="I1306" s="14">
        <v>1.0</v>
      </c>
      <c r="J1306" s="14">
        <v>0.0</v>
      </c>
      <c r="K1306" s="14">
        <v>2.0</v>
      </c>
    </row>
    <row r="1307">
      <c r="A1307" s="9" t="s">
        <v>4092</v>
      </c>
      <c r="B1307" s="10" t="s">
        <v>4093</v>
      </c>
      <c r="C1307" s="11" t="s">
        <v>1865</v>
      </c>
      <c r="D1307" s="12" t="s">
        <v>19</v>
      </c>
      <c r="E1307" s="13" t="s">
        <v>102</v>
      </c>
      <c r="F1307" s="14" t="s">
        <v>21</v>
      </c>
      <c r="G1307" s="14" t="b">
        <v>0</v>
      </c>
      <c r="H1307" s="14" t="s">
        <v>340</v>
      </c>
      <c r="I1307" s="14">
        <v>1.0</v>
      </c>
      <c r="J1307" s="14">
        <v>0.0</v>
      </c>
      <c r="K1307" s="14">
        <v>1.0</v>
      </c>
    </row>
    <row r="1308">
      <c r="A1308" s="9" t="s">
        <v>4094</v>
      </c>
      <c r="B1308" s="10" t="s">
        <v>4095</v>
      </c>
      <c r="C1308" s="11" t="s">
        <v>72</v>
      </c>
      <c r="D1308" s="12" t="s">
        <v>19</v>
      </c>
      <c r="E1308" s="13" t="s">
        <v>32</v>
      </c>
      <c r="F1308" s="14" t="s">
        <v>21</v>
      </c>
      <c r="G1308" s="14" t="b">
        <v>0</v>
      </c>
      <c r="H1308" s="14" t="s">
        <v>4096</v>
      </c>
      <c r="I1308" s="14">
        <v>1.0</v>
      </c>
      <c r="J1308" s="14">
        <v>0.0</v>
      </c>
      <c r="K1308" s="14">
        <v>1.0</v>
      </c>
    </row>
    <row r="1309">
      <c r="A1309" s="9" t="s">
        <v>4097</v>
      </c>
      <c r="B1309" s="10" t="s">
        <v>4098</v>
      </c>
      <c r="C1309" s="11" t="s">
        <v>72</v>
      </c>
      <c r="D1309" s="12" t="s">
        <v>19</v>
      </c>
      <c r="E1309" s="13" t="s">
        <v>32</v>
      </c>
      <c r="F1309" s="14" t="s">
        <v>21</v>
      </c>
      <c r="G1309" s="14" t="b">
        <v>0</v>
      </c>
      <c r="H1309" s="14" t="s">
        <v>4099</v>
      </c>
      <c r="I1309" s="14">
        <v>1.0</v>
      </c>
      <c r="J1309" s="14">
        <v>0.0</v>
      </c>
      <c r="K1309" s="14">
        <v>1.0</v>
      </c>
    </row>
    <row r="1310">
      <c r="A1310" s="9" t="s">
        <v>4100</v>
      </c>
      <c r="B1310" s="10" t="s">
        <v>2248</v>
      </c>
      <c r="C1310" s="11" t="s">
        <v>325</v>
      </c>
      <c r="D1310" s="12" t="s">
        <v>312</v>
      </c>
      <c r="E1310" s="13" t="s">
        <v>102</v>
      </c>
      <c r="F1310" s="14" t="s">
        <v>313</v>
      </c>
      <c r="G1310" s="14" t="b">
        <v>0</v>
      </c>
      <c r="H1310" s="14" t="s">
        <v>4101</v>
      </c>
      <c r="I1310" s="14">
        <v>1.0</v>
      </c>
      <c r="J1310" s="14">
        <v>0.0</v>
      </c>
      <c r="K1310" s="14">
        <v>2.0</v>
      </c>
    </row>
    <row r="1311">
      <c r="A1311" s="9" t="s">
        <v>4102</v>
      </c>
      <c r="B1311" s="10" t="s">
        <v>4103</v>
      </c>
      <c r="C1311" s="11" t="s">
        <v>1869</v>
      </c>
      <c r="D1311" s="12" t="s">
        <v>277</v>
      </c>
      <c r="E1311" s="13" t="s">
        <v>32</v>
      </c>
      <c r="F1311" s="14" t="s">
        <v>278</v>
      </c>
      <c r="G1311" s="14" t="b">
        <v>0</v>
      </c>
      <c r="I1311" s="14">
        <v>1.0</v>
      </c>
      <c r="J1311" s="14">
        <v>0.0</v>
      </c>
      <c r="K1311" s="14">
        <v>2.0</v>
      </c>
    </row>
    <row r="1312">
      <c r="A1312" s="9" t="s">
        <v>4104</v>
      </c>
      <c r="B1312" s="10" t="s">
        <v>4105</v>
      </c>
      <c r="C1312" s="11" t="s">
        <v>1871</v>
      </c>
      <c r="D1312" s="12" t="s">
        <v>312</v>
      </c>
      <c r="E1312" s="13" t="s">
        <v>102</v>
      </c>
      <c r="F1312" s="14" t="s">
        <v>313</v>
      </c>
      <c r="G1312" s="14" t="b">
        <v>0</v>
      </c>
      <c r="I1312" s="14">
        <v>1.0</v>
      </c>
      <c r="J1312" s="14">
        <v>0.0</v>
      </c>
      <c r="K1312" s="14">
        <v>1.0</v>
      </c>
    </row>
    <row r="1313">
      <c r="A1313" s="9" t="s">
        <v>4106</v>
      </c>
      <c r="B1313" s="10" t="s">
        <v>4107</v>
      </c>
      <c r="C1313" s="11" t="s">
        <v>98</v>
      </c>
      <c r="D1313" s="12" t="s">
        <v>125</v>
      </c>
      <c r="E1313" s="13" t="s">
        <v>32</v>
      </c>
      <c r="F1313" s="14" t="s">
        <v>126</v>
      </c>
      <c r="G1313" s="14" t="b">
        <v>0</v>
      </c>
      <c r="H1313" s="14" t="s">
        <v>467</v>
      </c>
      <c r="I1313" s="14">
        <v>1.0</v>
      </c>
      <c r="J1313" s="14">
        <v>0.0</v>
      </c>
      <c r="K1313" s="14">
        <v>0.0</v>
      </c>
    </row>
    <row r="1314">
      <c r="A1314" s="9" t="s">
        <v>4108</v>
      </c>
      <c r="B1314" s="10" t="s">
        <v>4109</v>
      </c>
      <c r="C1314" s="11" t="s">
        <v>98</v>
      </c>
      <c r="D1314" s="12" t="s">
        <v>158</v>
      </c>
      <c r="E1314" s="13" t="s">
        <v>32</v>
      </c>
      <c r="F1314" s="14" t="s">
        <v>160</v>
      </c>
      <c r="G1314" s="14" t="b">
        <v>0</v>
      </c>
      <c r="H1314" s="14" t="s">
        <v>467</v>
      </c>
      <c r="I1314" s="14">
        <v>1.0</v>
      </c>
      <c r="J1314" s="14">
        <v>0.0</v>
      </c>
      <c r="K1314" s="14">
        <v>0.0</v>
      </c>
    </row>
    <row r="1315">
      <c r="A1315" s="9" t="s">
        <v>4110</v>
      </c>
      <c r="B1315" s="10" t="s">
        <v>4111</v>
      </c>
      <c r="C1315" s="11" t="s">
        <v>98</v>
      </c>
      <c r="D1315" s="12" t="s">
        <v>158</v>
      </c>
      <c r="E1315" s="13" t="s">
        <v>32</v>
      </c>
      <c r="F1315" s="14" t="s">
        <v>160</v>
      </c>
      <c r="G1315" s="14" t="b">
        <v>0</v>
      </c>
      <c r="H1315" s="14" t="s">
        <v>467</v>
      </c>
      <c r="I1315" s="14">
        <v>1.0</v>
      </c>
      <c r="J1315" s="14">
        <v>0.0</v>
      </c>
      <c r="K1315" s="14">
        <v>0.0</v>
      </c>
    </row>
    <row r="1316">
      <c r="A1316" s="9" t="s">
        <v>4112</v>
      </c>
      <c r="B1316" s="10" t="s">
        <v>4113</v>
      </c>
      <c r="C1316" s="11" t="s">
        <v>98</v>
      </c>
      <c r="D1316" s="12" t="s">
        <v>312</v>
      </c>
      <c r="E1316" s="13" t="s">
        <v>32</v>
      </c>
      <c r="F1316" s="14" t="s">
        <v>313</v>
      </c>
      <c r="G1316" s="14" t="b">
        <v>0</v>
      </c>
      <c r="H1316" s="14" t="s">
        <v>467</v>
      </c>
      <c r="I1316" s="14">
        <v>1.0</v>
      </c>
      <c r="J1316" s="14">
        <v>0.0</v>
      </c>
      <c r="K1316" s="14">
        <v>0.0</v>
      </c>
    </row>
    <row r="1317">
      <c r="A1317" s="9" t="s">
        <v>4114</v>
      </c>
      <c r="B1317" s="10" t="s">
        <v>4115</v>
      </c>
      <c r="C1317" s="11" t="s">
        <v>98</v>
      </c>
      <c r="D1317" s="12" t="s">
        <v>312</v>
      </c>
      <c r="E1317" s="13" t="s">
        <v>32</v>
      </c>
      <c r="F1317" s="14" t="s">
        <v>313</v>
      </c>
      <c r="G1317" s="14" t="b">
        <v>0</v>
      </c>
      <c r="H1317" s="14" t="s">
        <v>4116</v>
      </c>
      <c r="I1317" s="14">
        <v>1.0</v>
      </c>
      <c r="J1317" s="14">
        <v>0.0</v>
      </c>
      <c r="K1317" s="14">
        <v>2.0</v>
      </c>
    </row>
    <row r="1318">
      <c r="A1318" s="9" t="s">
        <v>4117</v>
      </c>
      <c r="B1318" s="10" t="s">
        <v>4118</v>
      </c>
      <c r="C1318" s="11" t="s">
        <v>98</v>
      </c>
      <c r="D1318" s="12" t="s">
        <v>158</v>
      </c>
      <c r="E1318" s="13" t="s">
        <v>32</v>
      </c>
      <c r="F1318" s="14" t="s">
        <v>160</v>
      </c>
      <c r="G1318" s="14" t="b">
        <v>0</v>
      </c>
      <c r="H1318" s="14" t="s">
        <v>4119</v>
      </c>
      <c r="I1318" s="14">
        <v>1.0</v>
      </c>
      <c r="J1318" s="14">
        <v>0.0</v>
      </c>
      <c r="K1318" s="14">
        <v>0.0</v>
      </c>
    </row>
    <row r="1319">
      <c r="A1319" s="9" t="s">
        <v>4120</v>
      </c>
      <c r="B1319" s="10" t="s">
        <v>4121</v>
      </c>
      <c r="C1319" s="11" t="s">
        <v>1336</v>
      </c>
      <c r="D1319" s="12" t="s">
        <v>125</v>
      </c>
      <c r="E1319" s="13" t="s">
        <v>32</v>
      </c>
      <c r="F1319" s="14" t="s">
        <v>126</v>
      </c>
      <c r="G1319" s="14" t="b">
        <v>0</v>
      </c>
      <c r="I1319" s="14">
        <v>1.0</v>
      </c>
      <c r="J1319" s="14">
        <v>0.0</v>
      </c>
      <c r="K1319" s="14">
        <v>1.0</v>
      </c>
    </row>
    <row r="1320">
      <c r="A1320" s="9" t="s">
        <v>4122</v>
      </c>
      <c r="B1320" s="10" t="s">
        <v>4123</v>
      </c>
      <c r="C1320" s="11" t="s">
        <v>1336</v>
      </c>
      <c r="D1320" s="12" t="s">
        <v>277</v>
      </c>
      <c r="E1320" s="13" t="s">
        <v>32</v>
      </c>
      <c r="F1320" s="14" t="s">
        <v>278</v>
      </c>
      <c r="G1320" s="14" t="b">
        <v>0</v>
      </c>
      <c r="I1320" s="14">
        <v>1.0</v>
      </c>
      <c r="J1320" s="14">
        <v>0.0</v>
      </c>
      <c r="K1320" s="14">
        <v>0.0</v>
      </c>
    </row>
    <row r="1321">
      <c r="A1321" s="9" t="s">
        <v>4124</v>
      </c>
      <c r="B1321" s="10" t="s">
        <v>4125</v>
      </c>
      <c r="C1321" s="11" t="s">
        <v>157</v>
      </c>
      <c r="D1321" s="12" t="s">
        <v>19</v>
      </c>
      <c r="E1321" s="13" t="s">
        <v>159</v>
      </c>
      <c r="F1321" s="14" t="s">
        <v>21</v>
      </c>
      <c r="G1321" s="14" t="b">
        <v>0</v>
      </c>
      <c r="H1321" s="14" t="s">
        <v>1031</v>
      </c>
      <c r="I1321" s="14">
        <v>1.0</v>
      </c>
      <c r="J1321" s="14">
        <v>0.0</v>
      </c>
      <c r="K1321" s="14">
        <v>0.0</v>
      </c>
    </row>
    <row r="1322">
      <c r="A1322" s="9" t="s">
        <v>4126</v>
      </c>
      <c r="B1322" s="10" t="s">
        <v>4127</v>
      </c>
      <c r="C1322" s="11" t="s">
        <v>157</v>
      </c>
      <c r="D1322" s="12" t="s">
        <v>19</v>
      </c>
      <c r="E1322" s="13" t="s">
        <v>159</v>
      </c>
      <c r="F1322" s="14" t="s">
        <v>21</v>
      </c>
      <c r="G1322" s="14" t="b">
        <v>0</v>
      </c>
      <c r="H1322" s="14" t="s">
        <v>4128</v>
      </c>
      <c r="I1322" s="14">
        <v>1.0</v>
      </c>
      <c r="J1322" s="14">
        <v>0.0</v>
      </c>
      <c r="K1322" s="14">
        <v>0.0</v>
      </c>
    </row>
    <row r="1323">
      <c r="A1323" s="9" t="s">
        <v>4129</v>
      </c>
      <c r="B1323" s="10" t="s">
        <v>4130</v>
      </c>
      <c r="C1323" s="11" t="s">
        <v>157</v>
      </c>
      <c r="D1323" s="12" t="s">
        <v>116</v>
      </c>
      <c r="E1323" s="13" t="s">
        <v>159</v>
      </c>
      <c r="F1323" s="14" t="s">
        <v>117</v>
      </c>
      <c r="G1323" s="14" t="b">
        <v>0</v>
      </c>
      <c r="H1323" s="14" t="s">
        <v>4131</v>
      </c>
      <c r="I1323" s="14">
        <v>1.0</v>
      </c>
      <c r="J1323" s="14">
        <v>0.0</v>
      </c>
      <c r="K1323" s="14">
        <v>2.0</v>
      </c>
    </row>
    <row r="1324">
      <c r="A1324" s="9" t="s">
        <v>4132</v>
      </c>
      <c r="B1324" s="10" t="s">
        <v>4133</v>
      </c>
      <c r="C1324" s="10" t="s">
        <v>1873</v>
      </c>
      <c r="D1324" s="12" t="s">
        <v>312</v>
      </c>
      <c r="E1324" s="13" t="s">
        <v>85</v>
      </c>
      <c r="F1324" s="14" t="s">
        <v>313</v>
      </c>
      <c r="G1324" s="14" t="b">
        <v>0</v>
      </c>
      <c r="H1324" s="14" t="s">
        <v>3169</v>
      </c>
      <c r="I1324" s="14">
        <v>1.0</v>
      </c>
      <c r="J1324" s="14">
        <v>0.0</v>
      </c>
      <c r="K1324" s="14">
        <v>0.0</v>
      </c>
    </row>
    <row r="1325">
      <c r="A1325" s="9" t="s">
        <v>4134</v>
      </c>
      <c r="B1325" s="10" t="s">
        <v>4135</v>
      </c>
      <c r="C1325" s="11" t="s">
        <v>1875</v>
      </c>
      <c r="D1325" s="12" t="s">
        <v>277</v>
      </c>
      <c r="E1325" s="13" t="s">
        <v>32</v>
      </c>
      <c r="F1325" s="14" t="s">
        <v>278</v>
      </c>
      <c r="G1325" s="14" t="b">
        <v>0</v>
      </c>
      <c r="I1325" s="14">
        <v>1.0</v>
      </c>
      <c r="J1325" s="14">
        <v>0.0</v>
      </c>
      <c r="K1325" s="14">
        <v>0.0</v>
      </c>
    </row>
    <row r="1326">
      <c r="A1326" s="9" t="s">
        <v>4136</v>
      </c>
      <c r="B1326" s="10" t="s">
        <v>4137</v>
      </c>
      <c r="C1326" s="11" t="s">
        <v>1876</v>
      </c>
      <c r="D1326" s="12" t="s">
        <v>116</v>
      </c>
      <c r="E1326" s="13" t="s">
        <v>102</v>
      </c>
      <c r="F1326" s="14" t="s">
        <v>117</v>
      </c>
      <c r="G1326" s="14" t="b">
        <v>0</v>
      </c>
      <c r="H1326" s="14" t="s">
        <v>4138</v>
      </c>
      <c r="I1326" s="14">
        <v>1.0</v>
      </c>
      <c r="J1326" s="14">
        <v>0.0</v>
      </c>
      <c r="K1326" s="14">
        <v>0.0</v>
      </c>
    </row>
    <row r="1327">
      <c r="A1327" s="9" t="s">
        <v>4139</v>
      </c>
      <c r="B1327" s="10" t="s">
        <v>4140</v>
      </c>
      <c r="C1327" s="11" t="s">
        <v>1878</v>
      </c>
      <c r="D1327" s="12" t="s">
        <v>19</v>
      </c>
      <c r="E1327" s="13" t="s">
        <v>102</v>
      </c>
      <c r="F1327" s="14" t="s">
        <v>21</v>
      </c>
      <c r="G1327" s="14" t="b">
        <v>0</v>
      </c>
      <c r="H1327" s="14" t="s">
        <v>808</v>
      </c>
      <c r="I1327" s="14">
        <v>1.0</v>
      </c>
      <c r="J1327" s="14">
        <v>0.0</v>
      </c>
      <c r="K1327" s="14">
        <v>1.0</v>
      </c>
    </row>
    <row r="1328">
      <c r="A1328" s="9" t="s">
        <v>4141</v>
      </c>
      <c r="B1328" s="10" t="s">
        <v>4142</v>
      </c>
      <c r="C1328" s="11" t="s">
        <v>585</v>
      </c>
      <c r="D1328" s="12" t="s">
        <v>125</v>
      </c>
      <c r="E1328" s="13" t="s">
        <v>32</v>
      </c>
      <c r="F1328" s="14" t="s">
        <v>126</v>
      </c>
      <c r="G1328" s="14" t="b">
        <v>0</v>
      </c>
      <c r="H1328" s="14" t="s">
        <v>538</v>
      </c>
      <c r="I1328" s="14">
        <v>1.0</v>
      </c>
      <c r="J1328" s="14">
        <v>0.0</v>
      </c>
      <c r="K1328" s="14">
        <v>0.0</v>
      </c>
    </row>
    <row r="1329">
      <c r="A1329" s="9" t="s">
        <v>4143</v>
      </c>
      <c r="B1329" s="10" t="s">
        <v>4144</v>
      </c>
      <c r="C1329" s="11" t="s">
        <v>1137</v>
      </c>
      <c r="D1329" s="12" t="s">
        <v>312</v>
      </c>
      <c r="E1329" s="13" t="s">
        <v>20</v>
      </c>
      <c r="F1329" s="14" t="s">
        <v>313</v>
      </c>
      <c r="G1329" s="14" t="b">
        <v>0</v>
      </c>
      <c r="H1329" s="14" t="s">
        <v>4145</v>
      </c>
      <c r="I1329" s="14">
        <v>1.0</v>
      </c>
      <c r="J1329" s="14">
        <v>0.0</v>
      </c>
      <c r="K1329" s="14">
        <v>1.0</v>
      </c>
    </row>
    <row r="1330">
      <c r="A1330" s="9" t="s">
        <v>4146</v>
      </c>
      <c r="B1330" s="10" t="s">
        <v>4147</v>
      </c>
      <c r="C1330" s="11" t="s">
        <v>214</v>
      </c>
      <c r="D1330" s="12" t="s">
        <v>116</v>
      </c>
      <c r="E1330" s="13" t="s">
        <v>32</v>
      </c>
      <c r="F1330" s="14" t="s">
        <v>117</v>
      </c>
      <c r="G1330" s="14" t="b">
        <v>0</v>
      </c>
      <c r="H1330" s="14" t="s">
        <v>4148</v>
      </c>
      <c r="I1330" s="14">
        <v>1.0</v>
      </c>
      <c r="J1330" s="14">
        <v>0.0</v>
      </c>
      <c r="K1330" s="14">
        <v>1.0</v>
      </c>
    </row>
    <row r="1331">
      <c r="A1331" s="9" t="s">
        <v>4149</v>
      </c>
      <c r="B1331" s="10" t="s">
        <v>1991</v>
      </c>
      <c r="C1331" s="11" t="s">
        <v>214</v>
      </c>
      <c r="D1331" s="12" t="s">
        <v>19</v>
      </c>
      <c r="E1331" s="13" t="s">
        <v>32</v>
      </c>
      <c r="F1331" s="14" t="s">
        <v>21</v>
      </c>
      <c r="G1331" s="14" t="b">
        <v>0</v>
      </c>
      <c r="H1331" s="14" t="s">
        <v>1992</v>
      </c>
      <c r="I1331" s="14">
        <v>1.0</v>
      </c>
      <c r="J1331" s="14">
        <v>0.0</v>
      </c>
      <c r="K1331" s="14">
        <v>0.0</v>
      </c>
    </row>
    <row r="1332">
      <c r="A1332" s="9" t="s">
        <v>4150</v>
      </c>
      <c r="B1332" s="10" t="s">
        <v>4151</v>
      </c>
      <c r="C1332" s="10" t="s">
        <v>1884</v>
      </c>
      <c r="D1332" s="12" t="s">
        <v>277</v>
      </c>
      <c r="E1332" s="13" t="s">
        <v>32</v>
      </c>
      <c r="F1332" s="14" t="s">
        <v>278</v>
      </c>
      <c r="G1332" s="14" t="b">
        <v>0</v>
      </c>
      <c r="I1332" s="14">
        <v>1.0</v>
      </c>
      <c r="J1332" s="14">
        <v>0.0</v>
      </c>
      <c r="K1332" s="14">
        <v>3.0</v>
      </c>
    </row>
    <row r="1333">
      <c r="A1333" s="9" t="s">
        <v>4152</v>
      </c>
      <c r="B1333" s="10" t="s">
        <v>4153</v>
      </c>
      <c r="C1333" s="11" t="s">
        <v>1885</v>
      </c>
      <c r="D1333" s="12" t="s">
        <v>116</v>
      </c>
      <c r="E1333" s="13" t="s">
        <v>159</v>
      </c>
      <c r="F1333" s="14" t="s">
        <v>117</v>
      </c>
      <c r="G1333" s="14" t="b">
        <v>0</v>
      </c>
      <c r="I1333" s="14">
        <v>1.0</v>
      </c>
      <c r="J1333" s="14">
        <v>0.0</v>
      </c>
      <c r="K1333" s="14">
        <v>0.0</v>
      </c>
    </row>
    <row r="1334">
      <c r="A1334" s="9" t="s">
        <v>4154</v>
      </c>
      <c r="B1334" s="10" t="s">
        <v>4155</v>
      </c>
      <c r="C1334" s="11" t="s">
        <v>1887</v>
      </c>
      <c r="D1334" s="12" t="s">
        <v>19</v>
      </c>
      <c r="E1334" s="13" t="s">
        <v>116</v>
      </c>
      <c r="F1334" s="14" t="s">
        <v>21</v>
      </c>
      <c r="G1334" s="14" t="b">
        <v>0</v>
      </c>
      <c r="H1334" s="14" t="s">
        <v>532</v>
      </c>
      <c r="I1334" s="14">
        <v>1.0</v>
      </c>
      <c r="J1334" s="14">
        <v>0.0</v>
      </c>
      <c r="K1334" s="14">
        <v>0.0</v>
      </c>
    </row>
    <row r="1335">
      <c r="A1335" s="9" t="s">
        <v>4156</v>
      </c>
      <c r="B1335" s="10" t="s">
        <v>4157</v>
      </c>
      <c r="C1335" s="11" t="s">
        <v>255</v>
      </c>
      <c r="D1335" s="12" t="s">
        <v>1143</v>
      </c>
      <c r="E1335" s="13" t="s">
        <v>32</v>
      </c>
      <c r="F1335" s="14" t="s">
        <v>1145</v>
      </c>
      <c r="G1335" s="14" t="b">
        <v>0</v>
      </c>
      <c r="I1335" s="14">
        <v>1.0</v>
      </c>
      <c r="J1335" s="14">
        <v>0.0</v>
      </c>
      <c r="K1335" s="14">
        <v>1.0</v>
      </c>
    </row>
    <row r="1336">
      <c r="A1336" s="9" t="s">
        <v>4158</v>
      </c>
      <c r="B1336" s="10" t="s">
        <v>4159</v>
      </c>
      <c r="C1336" s="11" t="s">
        <v>1889</v>
      </c>
      <c r="D1336" s="12" t="s">
        <v>158</v>
      </c>
      <c r="E1336" s="13" t="s">
        <v>20</v>
      </c>
      <c r="F1336" s="14" t="s">
        <v>160</v>
      </c>
      <c r="G1336" s="14" t="b">
        <v>0</v>
      </c>
      <c r="H1336" s="14" t="s">
        <v>1890</v>
      </c>
      <c r="I1336" s="14">
        <v>1.0</v>
      </c>
      <c r="J1336" s="14">
        <v>0.0</v>
      </c>
      <c r="K1336" s="14">
        <v>4.0</v>
      </c>
    </row>
    <row r="1337">
      <c r="A1337" s="9" t="s">
        <v>4160</v>
      </c>
      <c r="B1337" s="10" t="s">
        <v>4161</v>
      </c>
      <c r="C1337" s="11" t="s">
        <v>1895</v>
      </c>
      <c r="D1337" s="12" t="s">
        <v>277</v>
      </c>
      <c r="E1337" s="13" t="s">
        <v>32</v>
      </c>
      <c r="F1337" s="14" t="s">
        <v>278</v>
      </c>
      <c r="G1337" s="14" t="b">
        <v>0</v>
      </c>
      <c r="I1337" s="14">
        <v>1.0</v>
      </c>
      <c r="J1337" s="14">
        <v>0.0</v>
      </c>
      <c r="K1337" s="14">
        <v>0.0</v>
      </c>
    </row>
    <row r="1338">
      <c r="A1338" s="9" t="s">
        <v>4162</v>
      </c>
      <c r="B1338" s="10" t="s">
        <v>2861</v>
      </c>
      <c r="C1338" s="11" t="s">
        <v>95</v>
      </c>
      <c r="D1338" s="12" t="s">
        <v>158</v>
      </c>
      <c r="E1338" s="13" t="s">
        <v>32</v>
      </c>
      <c r="F1338" s="14" t="s">
        <v>160</v>
      </c>
      <c r="G1338" s="14" t="b">
        <v>0</v>
      </c>
      <c r="H1338" s="14" t="s">
        <v>2862</v>
      </c>
      <c r="I1338" s="14">
        <v>1.0</v>
      </c>
      <c r="J1338" s="14">
        <v>0.0</v>
      </c>
      <c r="K1338" s="14">
        <v>1.0</v>
      </c>
    </row>
    <row r="1339">
      <c r="A1339" s="9" t="s">
        <v>4163</v>
      </c>
      <c r="B1339" s="10" t="s">
        <v>4164</v>
      </c>
      <c r="C1339" s="11" t="s">
        <v>95</v>
      </c>
      <c r="D1339" s="12" t="s">
        <v>277</v>
      </c>
      <c r="E1339" s="13" t="s">
        <v>32</v>
      </c>
      <c r="F1339" s="14" t="s">
        <v>278</v>
      </c>
      <c r="G1339" s="14" t="b">
        <v>0</v>
      </c>
      <c r="H1339" s="14" t="s">
        <v>149</v>
      </c>
      <c r="I1339" s="14">
        <v>1.0</v>
      </c>
      <c r="J1339" s="14">
        <v>0.0</v>
      </c>
      <c r="K1339" s="14">
        <v>0.0</v>
      </c>
    </row>
    <row r="1340">
      <c r="A1340" s="9" t="s">
        <v>4165</v>
      </c>
      <c r="B1340" s="10" t="s">
        <v>4166</v>
      </c>
      <c r="C1340" s="11" t="s">
        <v>95</v>
      </c>
      <c r="D1340" s="12" t="s">
        <v>277</v>
      </c>
      <c r="E1340" s="13" t="s">
        <v>32</v>
      </c>
      <c r="F1340" s="14" t="s">
        <v>278</v>
      </c>
      <c r="G1340" s="14" t="b">
        <v>0</v>
      </c>
      <c r="H1340" s="14" t="s">
        <v>149</v>
      </c>
      <c r="I1340" s="14">
        <v>1.0</v>
      </c>
      <c r="J1340" s="14">
        <v>0.0</v>
      </c>
      <c r="K1340" s="14">
        <v>0.0</v>
      </c>
    </row>
    <row r="1341">
      <c r="A1341" s="9" t="s">
        <v>4167</v>
      </c>
      <c r="B1341" s="10" t="s">
        <v>4168</v>
      </c>
      <c r="C1341" s="11" t="s">
        <v>1896</v>
      </c>
      <c r="D1341" s="12" t="s">
        <v>277</v>
      </c>
      <c r="E1341" s="13" t="s">
        <v>32</v>
      </c>
      <c r="F1341" s="14" t="s">
        <v>278</v>
      </c>
      <c r="G1341" s="14" t="b">
        <v>0</v>
      </c>
      <c r="I1341" s="14">
        <v>1.0</v>
      </c>
      <c r="J1341" s="14">
        <v>0.0</v>
      </c>
      <c r="K1341" s="14">
        <v>1.0</v>
      </c>
    </row>
    <row r="1342">
      <c r="A1342" s="9" t="s">
        <v>4169</v>
      </c>
      <c r="B1342" s="10" t="s">
        <v>4170</v>
      </c>
      <c r="C1342" s="11" t="s">
        <v>1899</v>
      </c>
      <c r="D1342" s="12" t="s">
        <v>30</v>
      </c>
      <c r="E1342" s="13" t="s">
        <v>32</v>
      </c>
      <c r="F1342" s="14" t="s">
        <v>34</v>
      </c>
      <c r="G1342" s="14" t="b">
        <v>0</v>
      </c>
      <c r="H1342" s="14" t="s">
        <v>506</v>
      </c>
      <c r="I1342" s="14">
        <v>1.0</v>
      </c>
      <c r="J1342" s="14">
        <v>0.0</v>
      </c>
      <c r="K1342" s="14">
        <v>1.0</v>
      </c>
    </row>
    <row r="1343">
      <c r="A1343" s="9" t="s">
        <v>4171</v>
      </c>
      <c r="B1343" s="10" t="s">
        <v>4172</v>
      </c>
      <c r="C1343" s="11" t="s">
        <v>132</v>
      </c>
      <c r="D1343" s="12" t="s">
        <v>125</v>
      </c>
      <c r="E1343" s="13" t="s">
        <v>20</v>
      </c>
      <c r="F1343" s="14" t="s">
        <v>126</v>
      </c>
      <c r="G1343" s="14" t="b">
        <v>0</v>
      </c>
      <c r="H1343" s="14" t="s">
        <v>2121</v>
      </c>
      <c r="I1343" s="14">
        <v>1.0</v>
      </c>
      <c r="J1343" s="14">
        <v>0.0</v>
      </c>
      <c r="K1343" s="14">
        <v>1.0</v>
      </c>
    </row>
    <row r="1344">
      <c r="A1344" s="9" t="s">
        <v>4173</v>
      </c>
      <c r="B1344" s="10" t="s">
        <v>4174</v>
      </c>
      <c r="C1344" s="11" t="s">
        <v>132</v>
      </c>
      <c r="D1344" s="12" t="s">
        <v>19</v>
      </c>
      <c r="E1344" s="13" t="s">
        <v>20</v>
      </c>
      <c r="F1344" s="14" t="s">
        <v>21</v>
      </c>
      <c r="G1344" s="14" t="b">
        <v>0</v>
      </c>
      <c r="H1344" s="14" t="s">
        <v>4175</v>
      </c>
      <c r="I1344" s="14">
        <v>1.0</v>
      </c>
      <c r="J1344" s="14">
        <v>0.0</v>
      </c>
      <c r="K1344" s="14">
        <v>0.0</v>
      </c>
    </row>
    <row r="1345">
      <c r="A1345" s="9" t="s">
        <v>4176</v>
      </c>
      <c r="B1345" s="10" t="s">
        <v>4177</v>
      </c>
      <c r="C1345" s="10" t="s">
        <v>1901</v>
      </c>
      <c r="D1345" s="12" t="s">
        <v>277</v>
      </c>
      <c r="E1345" s="13" t="s">
        <v>32</v>
      </c>
      <c r="F1345" s="14" t="s">
        <v>278</v>
      </c>
      <c r="G1345" s="14" t="b">
        <v>0</v>
      </c>
      <c r="I1345" s="14">
        <v>1.0</v>
      </c>
      <c r="J1345" s="14">
        <v>0.0</v>
      </c>
      <c r="K1345" s="14">
        <v>1.0</v>
      </c>
    </row>
    <row r="1346">
      <c r="A1346" s="9" t="s">
        <v>4178</v>
      </c>
      <c r="B1346" s="10" t="s">
        <v>4179</v>
      </c>
      <c r="C1346" s="11" t="s">
        <v>1902</v>
      </c>
      <c r="D1346" s="12" t="s">
        <v>125</v>
      </c>
      <c r="E1346" s="13" t="s">
        <v>32</v>
      </c>
      <c r="F1346" s="14" t="s">
        <v>126</v>
      </c>
      <c r="G1346" s="14" t="b">
        <v>0</v>
      </c>
      <c r="I1346" s="14">
        <v>1.0</v>
      </c>
      <c r="J1346" s="14">
        <v>0.0</v>
      </c>
      <c r="K1346" s="14">
        <v>0.0</v>
      </c>
    </row>
    <row r="1347">
      <c r="A1347" s="9" t="s">
        <v>4180</v>
      </c>
      <c r="B1347" s="10" t="s">
        <v>4181</v>
      </c>
      <c r="C1347" s="11" t="s">
        <v>1904</v>
      </c>
      <c r="D1347" s="12" t="s">
        <v>125</v>
      </c>
      <c r="E1347" s="13" t="s">
        <v>32</v>
      </c>
      <c r="F1347" s="14" t="s">
        <v>126</v>
      </c>
      <c r="G1347" s="14" t="b">
        <v>0</v>
      </c>
      <c r="I1347" s="14">
        <v>1.0</v>
      </c>
      <c r="J1347" s="14">
        <v>0.0</v>
      </c>
      <c r="K1347" s="14">
        <v>1.0</v>
      </c>
    </row>
    <row r="1348">
      <c r="A1348" s="9" t="s">
        <v>4182</v>
      </c>
      <c r="B1348" s="10" t="s">
        <v>4183</v>
      </c>
      <c r="C1348" s="11" t="s">
        <v>1905</v>
      </c>
      <c r="D1348" s="12" t="s">
        <v>19</v>
      </c>
      <c r="E1348" s="13" t="s">
        <v>32</v>
      </c>
      <c r="F1348" s="14" t="s">
        <v>21</v>
      </c>
      <c r="G1348" s="14" t="b">
        <v>0</v>
      </c>
      <c r="I1348" s="14">
        <v>1.0</v>
      </c>
      <c r="J1348" s="14">
        <v>0.0</v>
      </c>
      <c r="K1348" s="14">
        <v>1.0</v>
      </c>
    </row>
    <row r="1349">
      <c r="A1349" s="9" t="s">
        <v>4184</v>
      </c>
      <c r="B1349" s="10" t="s">
        <v>4185</v>
      </c>
      <c r="C1349" s="11" t="s">
        <v>754</v>
      </c>
      <c r="D1349" s="12" t="s">
        <v>116</v>
      </c>
      <c r="E1349" s="13" t="s">
        <v>32</v>
      </c>
      <c r="F1349" s="14" t="s">
        <v>117</v>
      </c>
      <c r="G1349" s="14" t="b">
        <v>0</v>
      </c>
      <c r="I1349" s="14">
        <v>1.0</v>
      </c>
      <c r="J1349" s="14">
        <v>0.0</v>
      </c>
      <c r="K1349" s="14">
        <v>1.0</v>
      </c>
    </row>
    <row r="1350">
      <c r="A1350" s="9" t="s">
        <v>4186</v>
      </c>
      <c r="B1350" s="13"/>
      <c r="C1350" s="11" t="s">
        <v>1906</v>
      </c>
      <c r="D1350" s="12" t="s">
        <v>125</v>
      </c>
      <c r="E1350" s="13" t="s">
        <v>32</v>
      </c>
      <c r="F1350" s="14" t="s">
        <v>126</v>
      </c>
      <c r="H1350" s="14" t="s">
        <v>824</v>
      </c>
      <c r="I1350" s="14">
        <v>1.0</v>
      </c>
      <c r="J1350" s="14">
        <v>0.0</v>
      </c>
      <c r="K1350" s="14">
        <v>1.0</v>
      </c>
    </row>
    <row r="1351">
      <c r="A1351" s="9" t="s">
        <v>4187</v>
      </c>
      <c r="B1351" s="10" t="s">
        <v>4188</v>
      </c>
      <c r="C1351" s="11" t="s">
        <v>1348</v>
      </c>
      <c r="D1351" s="12" t="s">
        <v>277</v>
      </c>
      <c r="E1351" s="13" t="s">
        <v>32</v>
      </c>
      <c r="F1351" s="14" t="s">
        <v>278</v>
      </c>
      <c r="G1351" s="14" t="b">
        <v>0</v>
      </c>
      <c r="H1351" s="14" t="s">
        <v>532</v>
      </c>
      <c r="I1351" s="14">
        <v>1.0</v>
      </c>
      <c r="J1351" s="14">
        <v>0.0</v>
      </c>
      <c r="K1351" s="14">
        <v>0.0</v>
      </c>
    </row>
    <row r="1352">
      <c r="A1352" s="9" t="s">
        <v>4189</v>
      </c>
      <c r="B1352" s="10" t="s">
        <v>4190</v>
      </c>
      <c r="C1352" s="11" t="s">
        <v>1348</v>
      </c>
      <c r="D1352" s="12" t="s">
        <v>456</v>
      </c>
      <c r="E1352" s="13" t="s">
        <v>32</v>
      </c>
      <c r="F1352" s="14" t="s">
        <v>457</v>
      </c>
      <c r="G1352" s="14" t="b">
        <v>0</v>
      </c>
      <c r="I1352" s="14">
        <v>1.0</v>
      </c>
      <c r="J1352" s="14">
        <v>0.0</v>
      </c>
      <c r="K1352" s="14">
        <v>1.0</v>
      </c>
    </row>
    <row r="1353">
      <c r="A1353" s="9" t="s">
        <v>4191</v>
      </c>
      <c r="B1353" s="10" t="s">
        <v>2476</v>
      </c>
      <c r="C1353" s="11" t="s">
        <v>1013</v>
      </c>
      <c r="D1353" s="12" t="s">
        <v>19</v>
      </c>
      <c r="E1353" s="13" t="s">
        <v>159</v>
      </c>
      <c r="F1353" s="14" t="s">
        <v>21</v>
      </c>
      <c r="G1353" s="14" t="b">
        <v>0</v>
      </c>
      <c r="H1353" s="14" t="s">
        <v>1015</v>
      </c>
      <c r="I1353" s="14">
        <v>1.0</v>
      </c>
      <c r="J1353" s="14">
        <v>0.0</v>
      </c>
      <c r="K1353" s="14">
        <v>2.0</v>
      </c>
    </row>
    <row r="1354">
      <c r="A1354" s="9" t="s">
        <v>4192</v>
      </c>
      <c r="B1354" s="10" t="s">
        <v>4193</v>
      </c>
      <c r="C1354" s="11" t="s">
        <v>1908</v>
      </c>
      <c r="D1354" s="12" t="s">
        <v>125</v>
      </c>
      <c r="E1354" s="13" t="s">
        <v>32</v>
      </c>
      <c r="F1354" s="14" t="s">
        <v>126</v>
      </c>
      <c r="G1354" s="14" t="b">
        <v>0</v>
      </c>
      <c r="I1354" s="14">
        <v>1.0</v>
      </c>
      <c r="J1354" s="14">
        <v>0.0</v>
      </c>
      <c r="K1354" s="14">
        <v>0.0</v>
      </c>
    </row>
    <row r="1355">
      <c r="A1355" s="9" t="s">
        <v>4194</v>
      </c>
      <c r="B1355" s="10" t="s">
        <v>4195</v>
      </c>
      <c r="C1355" s="11" t="s">
        <v>989</v>
      </c>
      <c r="D1355" s="12" t="s">
        <v>125</v>
      </c>
      <c r="E1355" s="13" t="s">
        <v>20</v>
      </c>
      <c r="F1355" s="14" t="s">
        <v>126</v>
      </c>
      <c r="G1355" s="14" t="b">
        <v>0</v>
      </c>
      <c r="H1355" s="14" t="s">
        <v>992</v>
      </c>
      <c r="I1355" s="14">
        <v>1.0</v>
      </c>
      <c r="J1355" s="14">
        <v>0.0</v>
      </c>
      <c r="K1355" s="14">
        <v>0.0</v>
      </c>
    </row>
    <row r="1356">
      <c r="A1356" s="9" t="s">
        <v>4196</v>
      </c>
      <c r="B1356" s="10" t="s">
        <v>4197</v>
      </c>
      <c r="C1356" s="11" t="s">
        <v>1399</v>
      </c>
      <c r="D1356" s="12" t="s">
        <v>125</v>
      </c>
      <c r="E1356" s="13" t="s">
        <v>20</v>
      </c>
      <c r="F1356" s="14" t="s">
        <v>126</v>
      </c>
      <c r="G1356" s="14" t="b">
        <v>0</v>
      </c>
      <c r="H1356" s="14" t="s">
        <v>1400</v>
      </c>
      <c r="I1356" s="14">
        <v>1.0</v>
      </c>
      <c r="J1356" s="14">
        <v>0.0</v>
      </c>
      <c r="K1356" s="14">
        <v>1.0</v>
      </c>
    </row>
    <row r="1357">
      <c r="A1357" s="9" t="s">
        <v>4198</v>
      </c>
      <c r="B1357" s="10" t="s">
        <v>4199</v>
      </c>
      <c r="C1357" s="11" t="s">
        <v>1399</v>
      </c>
      <c r="D1357" s="12" t="s">
        <v>277</v>
      </c>
      <c r="E1357" s="13" t="s">
        <v>20</v>
      </c>
      <c r="F1357" s="14" t="s">
        <v>278</v>
      </c>
      <c r="G1357" s="14" t="b">
        <v>0</v>
      </c>
      <c r="H1357" s="14" t="s">
        <v>1400</v>
      </c>
      <c r="I1357" s="14">
        <v>1.0</v>
      </c>
      <c r="J1357" s="14">
        <v>0.0</v>
      </c>
      <c r="K1357" s="14">
        <v>1.0</v>
      </c>
    </row>
    <row r="1358">
      <c r="A1358" s="9" t="s">
        <v>4200</v>
      </c>
      <c r="B1358" s="10" t="s">
        <v>4201</v>
      </c>
      <c r="C1358" s="11" t="s">
        <v>1352</v>
      </c>
      <c r="D1358" s="12" t="s">
        <v>19</v>
      </c>
      <c r="E1358" s="13" t="s">
        <v>32</v>
      </c>
      <c r="F1358" s="14" t="s">
        <v>21</v>
      </c>
      <c r="G1358" s="14" t="b">
        <v>0</v>
      </c>
      <c r="H1358" s="14" t="s">
        <v>4202</v>
      </c>
      <c r="I1358" s="14">
        <v>1.0</v>
      </c>
      <c r="J1358" s="14">
        <v>0.0</v>
      </c>
      <c r="K1358" s="14">
        <v>0.0</v>
      </c>
    </row>
    <row r="1359">
      <c r="A1359" s="9" t="s">
        <v>4203</v>
      </c>
      <c r="B1359" s="10" t="s">
        <v>4204</v>
      </c>
      <c r="C1359" s="11" t="s">
        <v>1352</v>
      </c>
      <c r="D1359" s="12" t="s">
        <v>19</v>
      </c>
      <c r="E1359" s="13" t="s">
        <v>32</v>
      </c>
      <c r="F1359" s="14" t="s">
        <v>21</v>
      </c>
      <c r="G1359" s="14" t="b">
        <v>1</v>
      </c>
      <c r="H1359" s="14" t="s">
        <v>4205</v>
      </c>
      <c r="I1359" s="14">
        <v>1.0</v>
      </c>
      <c r="J1359" s="14">
        <v>0.0</v>
      </c>
      <c r="K1359" s="14">
        <v>0.0</v>
      </c>
    </row>
    <row r="1360">
      <c r="A1360" s="9" t="s">
        <v>4206</v>
      </c>
      <c r="B1360" s="10" t="s">
        <v>4207</v>
      </c>
      <c r="C1360" s="11" t="s">
        <v>1910</v>
      </c>
      <c r="D1360" s="12" t="s">
        <v>125</v>
      </c>
      <c r="E1360" s="13" t="s">
        <v>32</v>
      </c>
      <c r="F1360" s="14" t="s">
        <v>126</v>
      </c>
      <c r="G1360" s="14" t="b">
        <v>0</v>
      </c>
      <c r="H1360" s="14" t="s">
        <v>538</v>
      </c>
      <c r="I1360" s="14">
        <v>1.0</v>
      </c>
      <c r="J1360" s="14">
        <v>0.0</v>
      </c>
      <c r="K1360" s="14">
        <v>0.0</v>
      </c>
    </row>
    <row r="1361">
      <c r="A1361" s="9" t="s">
        <v>4208</v>
      </c>
      <c r="B1361" s="10" t="s">
        <v>4209</v>
      </c>
      <c r="C1361" s="11" t="s">
        <v>1912</v>
      </c>
      <c r="D1361" s="12" t="s">
        <v>277</v>
      </c>
      <c r="E1361" s="13" t="s">
        <v>32</v>
      </c>
      <c r="F1361" s="14" t="s">
        <v>278</v>
      </c>
      <c r="G1361" s="14" t="b">
        <v>0</v>
      </c>
      <c r="H1361" s="14" t="s">
        <v>1913</v>
      </c>
      <c r="I1361" s="14">
        <v>1.0</v>
      </c>
      <c r="J1361" s="14">
        <v>0.0</v>
      </c>
      <c r="K1361" s="14">
        <v>2.0</v>
      </c>
    </row>
    <row r="1362">
      <c r="A1362" s="9" t="s">
        <v>4210</v>
      </c>
      <c r="B1362" s="10" t="s">
        <v>4211</v>
      </c>
      <c r="C1362" s="11" t="s">
        <v>1915</v>
      </c>
      <c r="D1362" s="12" t="s">
        <v>277</v>
      </c>
      <c r="E1362" s="13" t="s">
        <v>32</v>
      </c>
      <c r="F1362" s="14" t="s">
        <v>278</v>
      </c>
      <c r="G1362" s="14" t="b">
        <v>0</v>
      </c>
      <c r="H1362" s="14" t="s">
        <v>523</v>
      </c>
      <c r="I1362" s="14">
        <v>1.0</v>
      </c>
      <c r="J1362" s="14">
        <v>0.0</v>
      </c>
      <c r="K1362" s="14">
        <v>2.0</v>
      </c>
    </row>
    <row r="1363">
      <c r="A1363" s="9" t="s">
        <v>4212</v>
      </c>
      <c r="B1363" s="10" t="s">
        <v>4213</v>
      </c>
      <c r="C1363" s="11" t="s">
        <v>1916</v>
      </c>
      <c r="D1363" s="12" t="s">
        <v>19</v>
      </c>
      <c r="E1363" s="13" t="s">
        <v>32</v>
      </c>
      <c r="F1363" s="14" t="s">
        <v>21</v>
      </c>
      <c r="G1363" s="14" t="b">
        <v>0</v>
      </c>
      <c r="H1363" s="14" t="s">
        <v>4214</v>
      </c>
      <c r="I1363" s="14">
        <v>1.0</v>
      </c>
      <c r="J1363" s="14">
        <v>0.0</v>
      </c>
      <c r="K1363" s="14">
        <v>1.0</v>
      </c>
    </row>
    <row r="1364">
      <c r="A1364" s="9" t="s">
        <v>4215</v>
      </c>
      <c r="B1364" s="10" t="s">
        <v>4216</v>
      </c>
      <c r="C1364" s="11" t="s">
        <v>408</v>
      </c>
      <c r="D1364" s="12" t="s">
        <v>30</v>
      </c>
      <c r="E1364" s="13" t="s">
        <v>159</v>
      </c>
      <c r="F1364" s="14" t="s">
        <v>34</v>
      </c>
      <c r="G1364" s="14" t="b">
        <v>0</v>
      </c>
      <c r="I1364" s="14">
        <v>1.0</v>
      </c>
      <c r="J1364" s="14">
        <v>0.0</v>
      </c>
      <c r="K1364" s="14">
        <v>0.0</v>
      </c>
    </row>
    <row r="1365">
      <c r="A1365" s="9" t="s">
        <v>4217</v>
      </c>
      <c r="B1365" s="10" t="s">
        <v>4218</v>
      </c>
      <c r="C1365" s="11" t="s">
        <v>1366</v>
      </c>
      <c r="D1365" s="12" t="s">
        <v>312</v>
      </c>
      <c r="E1365" s="13" t="s">
        <v>20</v>
      </c>
      <c r="F1365" s="14" t="s">
        <v>313</v>
      </c>
      <c r="G1365" s="14" t="b">
        <v>0</v>
      </c>
      <c r="H1365" s="14" t="s">
        <v>1015</v>
      </c>
      <c r="I1365" s="14">
        <v>1.0</v>
      </c>
      <c r="J1365" s="14">
        <v>0.0</v>
      </c>
      <c r="K1365" s="14">
        <v>0.0</v>
      </c>
    </row>
    <row r="1366">
      <c r="A1366" s="9" t="s">
        <v>4219</v>
      </c>
      <c r="B1366" s="10" t="s">
        <v>4220</v>
      </c>
      <c r="C1366" s="11" t="s">
        <v>1366</v>
      </c>
      <c r="D1366" s="12" t="s">
        <v>312</v>
      </c>
      <c r="E1366" s="13" t="s">
        <v>20</v>
      </c>
      <c r="F1366" s="14" t="s">
        <v>313</v>
      </c>
      <c r="G1366" s="14" t="b">
        <v>0</v>
      </c>
      <c r="H1366" s="14" t="s">
        <v>4221</v>
      </c>
      <c r="I1366" s="14">
        <v>1.0</v>
      </c>
      <c r="J1366" s="14">
        <v>0.0</v>
      </c>
      <c r="K1366" s="14">
        <v>2.0</v>
      </c>
    </row>
    <row r="1367">
      <c r="A1367" s="9" t="s">
        <v>4222</v>
      </c>
      <c r="B1367" s="10" t="s">
        <v>4223</v>
      </c>
      <c r="C1367" s="11" t="s">
        <v>1366</v>
      </c>
      <c r="D1367" s="12" t="s">
        <v>158</v>
      </c>
      <c r="E1367" s="13" t="s">
        <v>20</v>
      </c>
      <c r="F1367" s="14" t="s">
        <v>160</v>
      </c>
      <c r="G1367" s="14" t="b">
        <v>0</v>
      </c>
      <c r="H1367" s="14" t="s">
        <v>1015</v>
      </c>
      <c r="I1367" s="14">
        <v>1.0</v>
      </c>
      <c r="J1367" s="14">
        <v>0.0</v>
      </c>
      <c r="K1367" s="14">
        <v>0.0</v>
      </c>
    </row>
    <row r="1368">
      <c r="A1368" s="9" t="s">
        <v>4224</v>
      </c>
      <c r="B1368" s="10" t="s">
        <v>4225</v>
      </c>
      <c r="C1368" s="11" t="s">
        <v>1366</v>
      </c>
      <c r="D1368" s="12" t="s">
        <v>312</v>
      </c>
      <c r="E1368" s="13" t="s">
        <v>20</v>
      </c>
      <c r="F1368" s="14" t="s">
        <v>313</v>
      </c>
      <c r="G1368" s="14" t="b">
        <v>0</v>
      </c>
      <c r="H1368" s="14" t="s">
        <v>4226</v>
      </c>
      <c r="I1368" s="14">
        <v>1.0</v>
      </c>
      <c r="J1368" s="14">
        <v>0.0</v>
      </c>
      <c r="K1368" s="14">
        <v>0.0</v>
      </c>
    </row>
    <row r="1369">
      <c r="A1369" s="9" t="s">
        <v>4227</v>
      </c>
      <c r="B1369" s="10" t="s">
        <v>4228</v>
      </c>
      <c r="C1369" s="11" t="s">
        <v>181</v>
      </c>
      <c r="D1369" s="12" t="s">
        <v>277</v>
      </c>
      <c r="E1369" s="13" t="s">
        <v>20</v>
      </c>
      <c r="F1369" s="14" t="s">
        <v>278</v>
      </c>
      <c r="G1369" s="14" t="b">
        <v>0</v>
      </c>
      <c r="H1369" s="14" t="s">
        <v>369</v>
      </c>
      <c r="I1369" s="14">
        <v>1.0</v>
      </c>
      <c r="J1369" s="14">
        <v>0.0</v>
      </c>
      <c r="K1369" s="14">
        <v>1.0</v>
      </c>
    </row>
    <row r="1370">
      <c r="A1370" s="9" t="s">
        <v>4229</v>
      </c>
      <c r="B1370" s="10" t="s">
        <v>4230</v>
      </c>
      <c r="C1370" s="11" t="s">
        <v>181</v>
      </c>
      <c r="D1370" s="12" t="s">
        <v>277</v>
      </c>
      <c r="E1370" s="13" t="s">
        <v>20</v>
      </c>
      <c r="F1370" s="14" t="s">
        <v>278</v>
      </c>
      <c r="G1370" s="14" t="b">
        <v>0</v>
      </c>
      <c r="H1370" s="14" t="s">
        <v>369</v>
      </c>
      <c r="I1370" s="14">
        <v>1.0</v>
      </c>
      <c r="J1370" s="14">
        <v>0.0</v>
      </c>
      <c r="K1370" s="14">
        <v>1.0</v>
      </c>
    </row>
    <row r="1371">
      <c r="A1371" s="9" t="s">
        <v>4231</v>
      </c>
      <c r="B1371" s="10" t="s">
        <v>4232</v>
      </c>
      <c r="C1371" s="11" t="s">
        <v>181</v>
      </c>
      <c r="D1371" s="12" t="s">
        <v>277</v>
      </c>
      <c r="E1371" s="13" t="s">
        <v>20</v>
      </c>
      <c r="F1371" s="14" t="s">
        <v>278</v>
      </c>
      <c r="G1371" s="14" t="b">
        <v>0</v>
      </c>
      <c r="H1371" s="14" t="s">
        <v>369</v>
      </c>
      <c r="I1371" s="14">
        <v>1.0</v>
      </c>
      <c r="J1371" s="14">
        <v>0.0</v>
      </c>
      <c r="K1371" s="14">
        <v>1.0</v>
      </c>
    </row>
    <row r="1372">
      <c r="A1372" s="9" t="s">
        <v>4233</v>
      </c>
      <c r="B1372" s="10" t="s">
        <v>4234</v>
      </c>
      <c r="C1372" s="11" t="s">
        <v>310</v>
      </c>
      <c r="D1372" s="12" t="s">
        <v>19</v>
      </c>
      <c r="E1372" s="13" t="s">
        <v>85</v>
      </c>
      <c r="F1372" s="14" t="s">
        <v>21</v>
      </c>
      <c r="G1372" s="14" t="b">
        <v>0</v>
      </c>
      <c r="H1372" s="14" t="s">
        <v>956</v>
      </c>
      <c r="I1372" s="14">
        <v>1.0</v>
      </c>
      <c r="J1372" s="14">
        <v>0.0</v>
      </c>
      <c r="K1372" s="14">
        <v>1.0</v>
      </c>
    </row>
    <row r="1373">
      <c r="A1373" s="9" t="s">
        <v>4235</v>
      </c>
      <c r="B1373" s="10" t="s">
        <v>4236</v>
      </c>
      <c r="C1373" s="11" t="s">
        <v>310</v>
      </c>
      <c r="D1373" s="12" t="s">
        <v>312</v>
      </c>
      <c r="E1373" s="13" t="s">
        <v>85</v>
      </c>
      <c r="F1373" s="14" t="s">
        <v>313</v>
      </c>
      <c r="G1373" s="14" t="b">
        <v>0</v>
      </c>
      <c r="H1373" s="14" t="s">
        <v>4237</v>
      </c>
      <c r="I1373" s="14">
        <v>1.0</v>
      </c>
      <c r="J1373" s="14">
        <v>0.0</v>
      </c>
      <c r="K1373" s="14">
        <v>1.0</v>
      </c>
    </row>
    <row r="1374">
      <c r="A1374" s="9" t="s">
        <v>4238</v>
      </c>
      <c r="B1374" s="10" t="s">
        <v>4239</v>
      </c>
      <c r="C1374" s="11" t="s">
        <v>310</v>
      </c>
      <c r="D1374" s="12" t="s">
        <v>19</v>
      </c>
      <c r="E1374" s="13" t="s">
        <v>85</v>
      </c>
      <c r="F1374" s="14" t="s">
        <v>21</v>
      </c>
      <c r="G1374" s="14" t="b">
        <v>0</v>
      </c>
      <c r="H1374" s="14" t="s">
        <v>1936</v>
      </c>
      <c r="I1374" s="14">
        <v>1.0</v>
      </c>
      <c r="J1374" s="14">
        <v>0.0</v>
      </c>
      <c r="K1374" s="14">
        <v>0.0</v>
      </c>
    </row>
    <row r="1375">
      <c r="A1375" s="9" t="s">
        <v>4240</v>
      </c>
      <c r="B1375" s="10" t="s">
        <v>4241</v>
      </c>
      <c r="C1375" s="11" t="s">
        <v>310</v>
      </c>
      <c r="D1375" s="12" t="s">
        <v>312</v>
      </c>
      <c r="E1375" s="13" t="s">
        <v>85</v>
      </c>
      <c r="F1375" s="14" t="s">
        <v>313</v>
      </c>
      <c r="G1375" s="14" t="b">
        <v>0</v>
      </c>
      <c r="H1375" s="14" t="s">
        <v>506</v>
      </c>
      <c r="I1375" s="14">
        <v>1.0</v>
      </c>
      <c r="J1375" s="14">
        <v>0.0</v>
      </c>
      <c r="K1375" s="14">
        <v>1.0</v>
      </c>
    </row>
    <row r="1376">
      <c r="A1376" s="9" t="s">
        <v>4242</v>
      </c>
      <c r="B1376" s="10" t="s">
        <v>4243</v>
      </c>
      <c r="C1376" s="11" t="s">
        <v>310</v>
      </c>
      <c r="D1376" s="12" t="s">
        <v>19</v>
      </c>
      <c r="E1376" s="13" t="s">
        <v>85</v>
      </c>
      <c r="F1376" s="14" t="s">
        <v>21</v>
      </c>
      <c r="G1376" s="14" t="b">
        <v>0</v>
      </c>
      <c r="I1376" s="14">
        <v>1.0</v>
      </c>
      <c r="J1376" s="14">
        <v>0.0</v>
      </c>
      <c r="K1376" s="14">
        <v>2.0</v>
      </c>
    </row>
    <row r="1377">
      <c r="A1377" s="9" t="s">
        <v>4244</v>
      </c>
      <c r="B1377" s="10" t="s">
        <v>4245</v>
      </c>
      <c r="C1377" s="11" t="s">
        <v>1920</v>
      </c>
      <c r="D1377" s="12" t="s">
        <v>158</v>
      </c>
      <c r="E1377" s="13" t="s">
        <v>32</v>
      </c>
      <c r="F1377" s="14" t="s">
        <v>160</v>
      </c>
      <c r="G1377" s="14" t="b">
        <v>0</v>
      </c>
      <c r="H1377" s="14" t="s">
        <v>4246</v>
      </c>
      <c r="I1377" s="14">
        <v>1.0</v>
      </c>
      <c r="J1377" s="14">
        <v>0.0</v>
      </c>
      <c r="K1377" s="14">
        <v>1.0</v>
      </c>
    </row>
    <row r="1378">
      <c r="B1378" s="13"/>
      <c r="C1378" s="10"/>
      <c r="D1378" s="12"/>
      <c r="E1378" s="13"/>
    </row>
    <row r="1379">
      <c r="B1379" s="13"/>
      <c r="C1379" s="10"/>
      <c r="D1379" s="12"/>
      <c r="E1379" s="13"/>
    </row>
    <row r="1380">
      <c r="B1380" s="13"/>
      <c r="C1380" s="10"/>
      <c r="D1380" s="12"/>
      <c r="E1380" s="13"/>
    </row>
    <row r="1381">
      <c r="B1381" s="13"/>
      <c r="C1381" s="10"/>
      <c r="D1381" s="12"/>
      <c r="E1381" s="13"/>
    </row>
    <row r="1382">
      <c r="B1382" s="13"/>
      <c r="C1382" s="10"/>
      <c r="D1382" s="12"/>
      <c r="E1382" s="13"/>
    </row>
    <row r="1383">
      <c r="B1383" s="13"/>
      <c r="C1383" s="10"/>
      <c r="D1383" s="12"/>
      <c r="E1383" s="13"/>
    </row>
    <row r="1384">
      <c r="B1384" s="13"/>
      <c r="C1384" s="10"/>
      <c r="D1384" s="12"/>
      <c r="E1384" s="13"/>
    </row>
    <row r="1385">
      <c r="B1385" s="13"/>
      <c r="C1385" s="10"/>
      <c r="D1385" s="12"/>
      <c r="E1385" s="13"/>
    </row>
    <row r="1386">
      <c r="B1386" s="13"/>
      <c r="C1386" s="10"/>
      <c r="D1386" s="12"/>
      <c r="E1386" s="13"/>
    </row>
    <row r="1387">
      <c r="B1387" s="13"/>
      <c r="C1387" s="10"/>
      <c r="D1387" s="12"/>
      <c r="E1387" s="13"/>
    </row>
    <row r="1388">
      <c r="B1388" s="13"/>
      <c r="C1388" s="10"/>
      <c r="D1388" s="12"/>
      <c r="E1388" s="13"/>
    </row>
    <row r="1389">
      <c r="B1389" s="13"/>
      <c r="C1389" s="10"/>
      <c r="D1389" s="12"/>
      <c r="E1389" s="13"/>
    </row>
    <row r="1390">
      <c r="B1390" s="13"/>
      <c r="C1390" s="10"/>
      <c r="D1390" s="12"/>
      <c r="E1390" s="13"/>
    </row>
    <row r="1391">
      <c r="B1391" s="13"/>
      <c r="C1391" s="10"/>
      <c r="D1391" s="12"/>
      <c r="E1391" s="13"/>
    </row>
    <row r="1392">
      <c r="B1392" s="13"/>
      <c r="C1392" s="10"/>
      <c r="D1392" s="12"/>
      <c r="E1392" s="13"/>
    </row>
    <row r="1393">
      <c r="B1393" s="13"/>
      <c r="C1393" s="10"/>
      <c r="D1393" s="12"/>
      <c r="E1393" s="13"/>
    </row>
    <row r="1394">
      <c r="B1394" s="13"/>
      <c r="C1394" s="10"/>
      <c r="D1394" s="12"/>
      <c r="E1394" s="13"/>
    </row>
    <row r="1395">
      <c r="B1395" s="13"/>
      <c r="C1395" s="10"/>
      <c r="D1395" s="12"/>
      <c r="E1395" s="13"/>
    </row>
    <row r="1396">
      <c r="B1396" s="13"/>
      <c r="C1396" s="10"/>
      <c r="D1396" s="12"/>
      <c r="E1396" s="13"/>
    </row>
    <row r="1397">
      <c r="B1397" s="13"/>
      <c r="C1397" s="10"/>
      <c r="D1397" s="12"/>
      <c r="E1397" s="13"/>
    </row>
    <row r="1398">
      <c r="B1398" s="13"/>
      <c r="C1398" s="10"/>
      <c r="D1398" s="12"/>
      <c r="E1398" s="13"/>
    </row>
    <row r="1399">
      <c r="B1399" s="13"/>
      <c r="C1399" s="10"/>
      <c r="D1399" s="12"/>
      <c r="E1399" s="13"/>
    </row>
    <row r="1400">
      <c r="B1400" s="13"/>
      <c r="C1400" s="10"/>
      <c r="D1400" s="12"/>
      <c r="E1400" s="13"/>
    </row>
    <row r="1401">
      <c r="B1401" s="13"/>
      <c r="C1401" s="10"/>
      <c r="D1401" s="12"/>
      <c r="E1401" s="13"/>
    </row>
    <row r="1402">
      <c r="B1402" s="13"/>
      <c r="C1402" s="10"/>
      <c r="D1402" s="12"/>
      <c r="E1402" s="13"/>
    </row>
    <row r="1403">
      <c r="B1403" s="13"/>
      <c r="C1403" s="10"/>
      <c r="D1403" s="12"/>
      <c r="E1403" s="13"/>
    </row>
    <row r="1404">
      <c r="B1404" s="13"/>
      <c r="C1404" s="10"/>
      <c r="D1404" s="12"/>
      <c r="E1404" s="13"/>
    </row>
    <row r="1405">
      <c r="B1405" s="13"/>
      <c r="C1405" s="10"/>
      <c r="D1405" s="12"/>
      <c r="E1405" s="13"/>
    </row>
    <row r="1406">
      <c r="B1406" s="13"/>
      <c r="C1406" s="10"/>
      <c r="D1406" s="12"/>
      <c r="E1406" s="13"/>
    </row>
    <row r="1407">
      <c r="B1407" s="13"/>
      <c r="C1407" s="10"/>
      <c r="D1407" s="12"/>
      <c r="E1407" s="13"/>
    </row>
    <row r="1408">
      <c r="B1408" s="13"/>
      <c r="C1408" s="10"/>
      <c r="D1408" s="12"/>
      <c r="E1408" s="13"/>
    </row>
    <row r="1409">
      <c r="B1409" s="13"/>
      <c r="C1409" s="10"/>
      <c r="D1409" s="12"/>
      <c r="E1409" s="13"/>
    </row>
    <row r="1410">
      <c r="B1410" s="13"/>
      <c r="C1410" s="10"/>
      <c r="D1410" s="12"/>
      <c r="E1410" s="13"/>
    </row>
    <row r="1411">
      <c r="B1411" s="13"/>
      <c r="C1411" s="10"/>
      <c r="D1411" s="12"/>
      <c r="E1411" s="13"/>
    </row>
    <row r="1412">
      <c r="B1412" s="13"/>
      <c r="C1412" s="10"/>
      <c r="D1412" s="12"/>
      <c r="E1412" s="13"/>
    </row>
    <row r="1413">
      <c r="B1413" s="13"/>
      <c r="C1413" s="10"/>
      <c r="D1413" s="12"/>
      <c r="E1413" s="13"/>
    </row>
    <row r="1414">
      <c r="B1414" s="13"/>
      <c r="C1414" s="10"/>
      <c r="D1414" s="12"/>
      <c r="E1414" s="13"/>
    </row>
    <row r="1415">
      <c r="B1415" s="13"/>
      <c r="C1415" s="10"/>
      <c r="D1415" s="12"/>
      <c r="E1415" s="13"/>
    </row>
    <row r="1416">
      <c r="B1416" s="13"/>
      <c r="C1416" s="10"/>
      <c r="D1416" s="12"/>
      <c r="E1416" s="13"/>
    </row>
    <row r="1417">
      <c r="B1417" s="13"/>
      <c r="C1417" s="10"/>
      <c r="D1417" s="12"/>
      <c r="E1417" s="13"/>
    </row>
    <row r="1418">
      <c r="B1418" s="13"/>
      <c r="C1418" s="10"/>
      <c r="D1418" s="12"/>
      <c r="E1418" s="13"/>
    </row>
    <row r="1419">
      <c r="B1419" s="13"/>
      <c r="C1419" s="10"/>
      <c r="D1419" s="12"/>
      <c r="E1419" s="13"/>
    </row>
    <row r="1420">
      <c r="B1420" s="13"/>
      <c r="C1420" s="10"/>
      <c r="D1420" s="12"/>
      <c r="E1420" s="13"/>
    </row>
    <row r="1421">
      <c r="B1421" s="13"/>
      <c r="C1421" s="10"/>
      <c r="D1421" s="12"/>
      <c r="E1421" s="13"/>
    </row>
    <row r="1422">
      <c r="B1422" s="13"/>
      <c r="C1422" s="13"/>
      <c r="D1422" s="12"/>
      <c r="E1422" s="13"/>
    </row>
    <row r="1423">
      <c r="B1423" s="13"/>
      <c r="C1423" s="10"/>
      <c r="D1423" s="12"/>
      <c r="E1423" s="13"/>
    </row>
    <row r="1424">
      <c r="B1424" s="13"/>
      <c r="C1424" s="10"/>
      <c r="D1424" s="12"/>
      <c r="E1424" s="13"/>
    </row>
    <row r="1425">
      <c r="B1425" s="13"/>
      <c r="C1425" s="13"/>
      <c r="D1425" s="12"/>
      <c r="E1425" s="13"/>
    </row>
    <row r="1426">
      <c r="B1426" s="13"/>
      <c r="C1426" s="13"/>
      <c r="D1426" s="12"/>
      <c r="E1426" s="13"/>
    </row>
    <row r="1427">
      <c r="B1427" s="13"/>
      <c r="C1427" s="10"/>
      <c r="D1427" s="12"/>
      <c r="E1427" s="13"/>
    </row>
    <row r="1428">
      <c r="B1428" s="13"/>
      <c r="C1428" s="10"/>
      <c r="D1428" s="12"/>
      <c r="E1428" s="13"/>
    </row>
    <row r="1429">
      <c r="B1429" s="13"/>
      <c r="C1429" s="10"/>
      <c r="D1429" s="12"/>
      <c r="E1429" s="13"/>
    </row>
    <row r="1430">
      <c r="B1430" s="13"/>
      <c r="C1430" s="10"/>
      <c r="D1430" s="12"/>
      <c r="E1430" s="13"/>
    </row>
    <row r="1431">
      <c r="B1431" s="13"/>
      <c r="C1431" s="10"/>
      <c r="D1431" s="12"/>
      <c r="E1431" s="13"/>
    </row>
    <row r="1432">
      <c r="B1432" s="13"/>
      <c r="C1432" s="10"/>
      <c r="D1432" s="12"/>
      <c r="E1432" s="13"/>
    </row>
    <row r="1433">
      <c r="B1433" s="13"/>
      <c r="C1433" s="10"/>
      <c r="D1433" s="12"/>
      <c r="E1433" s="13"/>
    </row>
    <row r="1434">
      <c r="B1434" s="13"/>
      <c r="C1434" s="10"/>
      <c r="D1434" s="12"/>
      <c r="E1434" s="13"/>
    </row>
    <row r="1435">
      <c r="B1435" s="13"/>
      <c r="C1435" s="10"/>
      <c r="D1435" s="12"/>
      <c r="E1435" s="13"/>
    </row>
    <row r="1436">
      <c r="B1436" s="13"/>
      <c r="C1436" s="10"/>
      <c r="D1436" s="12"/>
      <c r="E1436" s="13"/>
    </row>
    <row r="1437">
      <c r="B1437" s="13"/>
      <c r="C1437" s="10"/>
      <c r="D1437" s="12"/>
      <c r="E1437" s="13"/>
    </row>
    <row r="1438">
      <c r="B1438" s="13"/>
      <c r="C1438" s="10"/>
      <c r="D1438" s="12"/>
      <c r="E1438" s="13"/>
    </row>
    <row r="1439">
      <c r="B1439" s="13"/>
      <c r="C1439" s="10"/>
      <c r="D1439" s="12"/>
      <c r="E1439" s="13"/>
    </row>
    <row r="1440">
      <c r="B1440" s="13"/>
      <c r="C1440" s="10"/>
      <c r="D1440" s="12"/>
      <c r="E1440" s="13"/>
    </row>
    <row r="1441">
      <c r="B1441" s="13"/>
      <c r="C1441" s="10"/>
      <c r="D1441" s="12"/>
      <c r="E1441" s="13"/>
    </row>
    <row r="1442">
      <c r="B1442" s="13"/>
      <c r="C1442" s="10"/>
      <c r="D1442" s="12"/>
      <c r="E1442" s="13"/>
    </row>
    <row r="1443">
      <c r="B1443" s="13"/>
      <c r="C1443" s="10"/>
      <c r="D1443" s="12"/>
      <c r="E1443" s="13"/>
    </row>
    <row r="1444">
      <c r="B1444" s="13"/>
      <c r="C1444" s="10"/>
      <c r="D1444" s="12"/>
      <c r="E1444" s="13"/>
    </row>
    <row r="1445">
      <c r="B1445" s="13"/>
      <c r="C1445" s="10"/>
      <c r="D1445" s="12"/>
      <c r="E1445" s="13"/>
    </row>
    <row r="1446">
      <c r="B1446" s="13"/>
      <c r="C1446" s="10"/>
      <c r="D1446" s="12"/>
      <c r="E1446" s="13"/>
    </row>
    <row r="1447">
      <c r="B1447" s="13"/>
      <c r="C1447" s="10"/>
      <c r="D1447" s="12"/>
      <c r="E1447" s="13"/>
    </row>
    <row r="1448">
      <c r="B1448" s="13"/>
      <c r="C1448" s="10"/>
      <c r="D1448" s="12"/>
      <c r="E1448" s="13"/>
    </row>
    <row r="1449">
      <c r="B1449" s="13"/>
      <c r="C1449" s="10"/>
      <c r="D1449" s="12"/>
      <c r="E1449" s="13"/>
    </row>
    <row r="1450">
      <c r="B1450" s="13"/>
      <c r="C1450" s="13"/>
      <c r="D1450" s="12"/>
      <c r="E1450" s="13"/>
    </row>
    <row r="1451">
      <c r="B1451" s="13"/>
      <c r="C1451" s="10"/>
      <c r="D1451" s="12"/>
      <c r="E1451" s="13"/>
    </row>
    <row r="1452">
      <c r="B1452" s="13"/>
      <c r="C1452" s="10"/>
      <c r="D1452" s="12"/>
      <c r="E1452" s="13"/>
    </row>
    <row r="1453">
      <c r="B1453" s="13"/>
      <c r="C1453" s="10"/>
      <c r="D1453" s="12"/>
      <c r="E1453" s="13"/>
    </row>
    <row r="1454">
      <c r="B1454" s="13"/>
      <c r="C1454" s="10"/>
      <c r="D1454" s="12"/>
      <c r="E1454" s="13"/>
    </row>
    <row r="1455">
      <c r="B1455" s="13"/>
      <c r="C1455" s="10"/>
      <c r="D1455" s="12"/>
      <c r="E1455" s="13"/>
    </row>
    <row r="1456">
      <c r="B1456" s="13"/>
      <c r="C1456" s="10"/>
      <c r="D1456" s="12"/>
      <c r="E1456" s="13"/>
    </row>
    <row r="1457">
      <c r="B1457" s="13"/>
      <c r="C1457" s="10"/>
      <c r="D1457" s="12"/>
      <c r="E1457" s="13"/>
    </row>
    <row r="1458">
      <c r="B1458" s="13"/>
      <c r="C1458" s="10"/>
      <c r="D1458" s="12"/>
      <c r="E1458" s="13"/>
    </row>
    <row r="1459">
      <c r="B1459" s="13"/>
      <c r="C1459" s="10"/>
      <c r="D1459" s="12"/>
      <c r="E1459" s="13"/>
    </row>
    <row r="1460">
      <c r="B1460" s="13"/>
      <c r="C1460" s="10"/>
      <c r="D1460" s="12"/>
      <c r="E1460" s="13"/>
    </row>
    <row r="1461">
      <c r="B1461" s="13"/>
      <c r="C1461" s="10"/>
      <c r="D1461" s="12"/>
      <c r="E1461" s="13"/>
    </row>
    <row r="1462">
      <c r="B1462" s="13"/>
      <c r="C1462" s="10"/>
      <c r="D1462" s="12"/>
      <c r="E1462" s="13"/>
    </row>
    <row r="1463">
      <c r="B1463" s="13"/>
      <c r="C1463" s="10"/>
      <c r="D1463" s="12"/>
      <c r="E1463" s="13"/>
    </row>
    <row r="1464">
      <c r="B1464" s="13"/>
      <c r="C1464" s="10"/>
      <c r="D1464" s="12"/>
      <c r="E1464" s="13"/>
    </row>
    <row r="1465">
      <c r="B1465" s="13"/>
      <c r="C1465" s="10"/>
      <c r="D1465" s="12"/>
      <c r="E1465" s="13"/>
    </row>
    <row r="1466">
      <c r="B1466" s="13"/>
      <c r="C1466" s="10"/>
      <c r="D1466" s="12"/>
      <c r="E1466" s="13"/>
    </row>
    <row r="1467">
      <c r="B1467" s="13"/>
      <c r="C1467" s="10"/>
      <c r="D1467" s="12"/>
      <c r="E1467" s="13"/>
    </row>
    <row r="1468">
      <c r="B1468" s="13"/>
      <c r="C1468" s="10"/>
      <c r="D1468" s="12"/>
      <c r="E1468" s="13"/>
    </row>
    <row r="1469">
      <c r="B1469" s="13"/>
      <c r="C1469" s="10"/>
      <c r="D1469" s="12"/>
      <c r="E1469" s="13"/>
    </row>
    <row r="1470">
      <c r="B1470" s="13"/>
      <c r="C1470" s="10"/>
      <c r="D1470" s="12"/>
      <c r="E1470" s="13"/>
    </row>
    <row r="1471">
      <c r="B1471" s="13"/>
      <c r="C1471" s="10"/>
      <c r="D1471" s="12"/>
      <c r="E1471" s="13"/>
    </row>
    <row r="1472">
      <c r="B1472" s="13"/>
      <c r="C1472" s="10"/>
      <c r="D1472" s="12"/>
      <c r="E1472" s="13"/>
    </row>
    <row r="1473">
      <c r="B1473" s="13"/>
      <c r="C1473" s="10"/>
      <c r="D1473" s="12"/>
      <c r="E1473" s="13"/>
    </row>
    <row r="1474">
      <c r="B1474" s="13"/>
      <c r="C1474" s="10"/>
      <c r="D1474" s="12"/>
      <c r="E1474" s="13"/>
    </row>
    <row r="1475">
      <c r="B1475" s="13"/>
      <c r="C1475" s="10"/>
      <c r="D1475" s="12"/>
      <c r="E1475" s="13"/>
    </row>
    <row r="1476">
      <c r="B1476" s="13"/>
      <c r="C1476" s="10"/>
      <c r="D1476" s="12"/>
      <c r="E1476" s="13"/>
    </row>
    <row r="1477">
      <c r="B1477" s="13"/>
      <c r="C1477" s="10"/>
      <c r="D1477" s="12"/>
      <c r="E1477" s="13"/>
    </row>
    <row r="1478">
      <c r="B1478" s="13"/>
      <c r="C1478" s="10"/>
      <c r="D1478" s="12"/>
      <c r="E1478" s="13"/>
    </row>
    <row r="1479">
      <c r="B1479" s="13"/>
      <c r="C1479" s="10"/>
      <c r="D1479" s="12"/>
      <c r="E1479" s="13"/>
    </row>
    <row r="1480">
      <c r="B1480" s="13"/>
      <c r="C1480" s="10"/>
      <c r="D1480" s="12"/>
      <c r="E1480" s="13"/>
    </row>
    <row r="1481">
      <c r="B1481" s="13"/>
      <c r="C1481" s="10"/>
      <c r="D1481" s="12"/>
      <c r="E1481" s="13"/>
    </row>
    <row r="1482">
      <c r="B1482" s="13"/>
      <c r="C1482" s="10"/>
      <c r="D1482" s="12"/>
      <c r="E1482" s="13"/>
    </row>
    <row r="1483">
      <c r="B1483" s="13"/>
      <c r="C1483" s="10"/>
      <c r="D1483" s="12"/>
      <c r="E1483" s="13"/>
    </row>
    <row r="1484">
      <c r="B1484" s="13"/>
      <c r="C1484" s="10"/>
      <c r="D1484" s="12"/>
      <c r="E1484" s="13"/>
    </row>
    <row r="1485">
      <c r="B1485" s="13"/>
      <c r="C1485" s="10"/>
      <c r="D1485" s="12"/>
      <c r="E1485" s="13"/>
    </row>
    <row r="1486">
      <c r="B1486" s="13"/>
      <c r="C1486" s="10"/>
      <c r="D1486" s="12"/>
      <c r="E1486" s="13"/>
    </row>
    <row r="1487">
      <c r="B1487" s="13"/>
      <c r="C1487" s="10"/>
      <c r="D1487" s="12"/>
      <c r="E1487" s="13"/>
    </row>
    <row r="1488">
      <c r="B1488" s="13"/>
      <c r="C1488" s="10"/>
      <c r="D1488" s="12"/>
      <c r="E1488" s="13"/>
    </row>
    <row r="1489">
      <c r="B1489" s="13"/>
      <c r="C1489" s="10"/>
      <c r="D1489" s="12"/>
      <c r="E1489" s="13"/>
    </row>
    <row r="1490">
      <c r="B1490" s="13"/>
      <c r="C1490" s="13"/>
      <c r="D1490" s="12"/>
      <c r="E1490" s="13"/>
    </row>
    <row r="1491">
      <c r="B1491" s="13"/>
      <c r="C1491" s="13"/>
      <c r="D1491" s="12"/>
      <c r="E1491" s="13"/>
    </row>
    <row r="1492">
      <c r="B1492" s="13"/>
      <c r="C1492" s="13"/>
      <c r="D1492" s="12"/>
      <c r="E1492" s="13"/>
    </row>
    <row r="1493">
      <c r="B1493" s="13"/>
      <c r="C1493" s="13"/>
      <c r="D1493" s="12"/>
      <c r="E1493" s="13"/>
    </row>
    <row r="1494">
      <c r="B1494" s="13"/>
      <c r="C1494" s="13"/>
      <c r="D1494" s="12"/>
      <c r="E1494" s="13"/>
    </row>
    <row r="1495">
      <c r="B1495" s="13"/>
      <c r="C1495" s="13"/>
      <c r="D1495" s="12"/>
      <c r="E1495" s="13"/>
    </row>
    <row r="1496">
      <c r="B1496" s="13"/>
      <c r="C1496" s="13"/>
      <c r="D1496" s="12"/>
      <c r="E1496" s="13"/>
    </row>
    <row r="1497">
      <c r="B1497" s="13"/>
      <c r="C1497" s="13"/>
      <c r="D1497" s="12"/>
      <c r="E1497" s="13"/>
    </row>
    <row r="1498">
      <c r="B1498" s="13"/>
      <c r="C1498" s="13"/>
      <c r="D1498" s="12"/>
      <c r="E1498" s="13"/>
    </row>
    <row r="1499">
      <c r="B1499" s="13"/>
      <c r="C1499" s="13"/>
      <c r="D1499" s="12"/>
      <c r="E1499" s="13"/>
    </row>
    <row r="1500">
      <c r="B1500" s="13"/>
      <c r="C1500" s="13"/>
      <c r="D1500" s="12"/>
      <c r="E1500" s="13"/>
    </row>
    <row r="1501">
      <c r="B1501" s="13"/>
      <c r="C1501" s="13"/>
      <c r="D1501" s="12"/>
      <c r="E1501" s="13"/>
    </row>
    <row r="1502">
      <c r="B1502" s="13"/>
      <c r="C1502" s="13"/>
      <c r="D1502" s="12"/>
      <c r="E1502" s="13"/>
    </row>
    <row r="1503">
      <c r="B1503" s="13"/>
      <c r="C1503" s="13"/>
      <c r="D1503" s="12"/>
      <c r="E1503" s="13"/>
    </row>
    <row r="1504">
      <c r="B1504" s="13"/>
      <c r="C1504" s="13"/>
      <c r="D1504" s="12"/>
      <c r="E1504" s="13"/>
    </row>
    <row r="1505">
      <c r="B1505" s="13"/>
      <c r="C1505" s="13"/>
      <c r="D1505" s="12"/>
      <c r="E1505" s="13"/>
    </row>
    <row r="1506">
      <c r="B1506" s="13"/>
      <c r="C1506" s="13"/>
      <c r="D1506" s="12"/>
      <c r="E1506" s="13"/>
    </row>
    <row r="1507">
      <c r="B1507" s="13"/>
      <c r="C1507" s="13"/>
      <c r="D1507" s="12"/>
      <c r="E1507" s="13"/>
    </row>
    <row r="1508">
      <c r="B1508" s="13"/>
      <c r="C1508" s="13"/>
      <c r="D1508" s="12"/>
      <c r="E1508" s="13"/>
    </row>
    <row r="1509">
      <c r="B1509" s="13"/>
      <c r="C1509" s="13"/>
      <c r="D1509" s="12"/>
      <c r="E1509" s="13"/>
    </row>
    <row r="1510">
      <c r="B1510" s="13"/>
      <c r="C1510" s="13"/>
      <c r="D1510" s="12"/>
      <c r="E1510" s="13"/>
    </row>
    <row r="1511">
      <c r="B1511" s="13"/>
      <c r="C1511" s="13"/>
      <c r="D1511" s="12"/>
      <c r="E1511" s="13"/>
    </row>
    <row r="1512">
      <c r="B1512" s="13"/>
      <c r="C1512" s="13"/>
      <c r="D1512" s="12"/>
      <c r="E1512" s="13"/>
    </row>
    <row r="1513">
      <c r="B1513" s="13"/>
      <c r="C1513" s="13"/>
      <c r="D1513" s="12"/>
      <c r="E1513" s="13"/>
    </row>
    <row r="1514">
      <c r="B1514" s="13"/>
      <c r="C1514" s="13"/>
      <c r="D1514" s="12"/>
      <c r="E1514" s="13"/>
    </row>
    <row r="1515">
      <c r="B1515" s="13"/>
      <c r="C1515" s="13"/>
      <c r="D1515" s="12"/>
      <c r="E1515" s="13"/>
    </row>
    <row r="1516">
      <c r="B1516" s="13"/>
      <c r="C1516" s="13"/>
      <c r="D1516" s="12"/>
      <c r="E1516" s="13"/>
    </row>
    <row r="1517">
      <c r="B1517" s="13"/>
      <c r="C1517" s="13"/>
      <c r="D1517" s="12"/>
      <c r="E1517" s="13"/>
    </row>
    <row r="1518">
      <c r="B1518" s="13"/>
      <c r="C1518" s="13"/>
      <c r="D1518" s="12"/>
      <c r="E1518" s="13"/>
    </row>
    <row r="1519">
      <c r="B1519" s="13"/>
      <c r="C1519" s="13"/>
      <c r="D1519" s="12"/>
      <c r="E1519" s="13"/>
    </row>
    <row r="1520">
      <c r="B1520" s="13"/>
      <c r="C1520" s="13"/>
      <c r="D1520" s="12"/>
      <c r="E1520" s="13"/>
    </row>
    <row r="1521">
      <c r="B1521" s="13"/>
      <c r="C1521" s="13"/>
      <c r="D1521" s="12"/>
      <c r="E1521" s="13"/>
    </row>
    <row r="1522">
      <c r="B1522" s="13"/>
      <c r="C1522" s="13"/>
      <c r="D1522" s="12"/>
      <c r="E1522" s="13"/>
    </row>
    <row r="1523">
      <c r="B1523" s="13"/>
      <c r="C1523" s="13"/>
      <c r="D1523" s="12"/>
      <c r="E1523" s="13"/>
    </row>
    <row r="1524">
      <c r="B1524" s="13"/>
      <c r="C1524" s="13"/>
      <c r="D1524" s="12"/>
      <c r="E1524" s="13"/>
    </row>
    <row r="1525">
      <c r="B1525" s="13"/>
      <c r="C1525" s="13"/>
      <c r="D1525" s="12"/>
      <c r="E1525" s="13"/>
    </row>
    <row r="1526">
      <c r="B1526" s="13"/>
      <c r="C1526" s="13"/>
      <c r="D1526" s="12"/>
      <c r="E1526" s="13"/>
    </row>
    <row r="1527">
      <c r="B1527" s="13"/>
      <c r="C1527" s="13"/>
      <c r="D1527" s="12"/>
      <c r="E1527" s="13"/>
    </row>
    <row r="1528">
      <c r="B1528" s="13"/>
      <c r="C1528" s="13"/>
      <c r="D1528" s="12"/>
      <c r="E1528" s="13"/>
    </row>
    <row r="1529">
      <c r="B1529" s="13"/>
      <c r="C1529" s="13"/>
      <c r="D1529" s="12"/>
      <c r="E1529" s="13"/>
    </row>
    <row r="1530">
      <c r="B1530" s="13"/>
      <c r="C1530" s="13"/>
      <c r="D1530" s="12"/>
      <c r="E1530" s="13"/>
    </row>
    <row r="1531">
      <c r="B1531" s="13"/>
      <c r="C1531" s="13"/>
      <c r="D1531" s="12"/>
      <c r="E1531" s="13"/>
    </row>
    <row r="1532">
      <c r="B1532" s="13"/>
      <c r="C1532" s="13"/>
      <c r="D1532" s="12"/>
      <c r="E1532" s="13"/>
    </row>
    <row r="1533">
      <c r="B1533" s="13"/>
      <c r="C1533" s="13"/>
      <c r="D1533" s="12"/>
      <c r="E1533" s="13"/>
    </row>
    <row r="1534">
      <c r="B1534" s="13"/>
      <c r="C1534" s="13"/>
      <c r="D1534" s="12"/>
      <c r="E1534" s="13"/>
    </row>
    <row r="1535">
      <c r="B1535" s="13"/>
      <c r="C1535" s="13"/>
      <c r="D1535" s="12"/>
      <c r="E1535" s="13"/>
    </row>
    <row r="1536">
      <c r="B1536" s="13"/>
      <c r="C1536" s="13"/>
      <c r="D1536" s="12"/>
      <c r="E1536" s="13"/>
    </row>
    <row r="1537">
      <c r="B1537" s="13"/>
      <c r="C1537" s="13"/>
      <c r="D1537" s="12"/>
      <c r="E1537" s="13"/>
    </row>
    <row r="1538">
      <c r="B1538" s="13"/>
      <c r="C1538" s="13"/>
      <c r="D1538" s="12"/>
      <c r="E1538" s="13"/>
    </row>
    <row r="1539">
      <c r="B1539" s="13"/>
      <c r="C1539" s="13"/>
      <c r="D1539" s="12"/>
      <c r="E1539" s="13"/>
    </row>
    <row r="1540">
      <c r="B1540" s="13"/>
      <c r="C1540" s="13"/>
      <c r="D1540" s="12"/>
      <c r="E1540" s="13"/>
    </row>
    <row r="1541">
      <c r="B1541" s="13"/>
      <c r="C1541" s="13"/>
      <c r="D1541" s="12"/>
      <c r="E1541" s="13"/>
    </row>
    <row r="1542">
      <c r="B1542" s="13"/>
      <c r="C1542" s="13"/>
      <c r="D1542" s="12"/>
      <c r="E1542" s="13"/>
    </row>
    <row r="1543">
      <c r="B1543" s="13"/>
      <c r="C1543" s="13"/>
      <c r="D1543" s="12"/>
      <c r="E1543" s="13"/>
    </row>
    <row r="1544">
      <c r="B1544" s="13"/>
      <c r="C1544" s="13"/>
      <c r="D1544" s="12"/>
      <c r="E1544" s="13"/>
    </row>
    <row r="1545">
      <c r="B1545" s="13"/>
      <c r="C1545" s="13"/>
      <c r="D1545" s="12"/>
      <c r="E1545" s="13"/>
    </row>
    <row r="1546">
      <c r="B1546" s="13"/>
      <c r="C1546" s="13"/>
      <c r="D1546" s="12"/>
      <c r="E1546" s="13"/>
    </row>
    <row r="1547">
      <c r="B1547" s="13"/>
      <c r="C1547" s="13"/>
      <c r="D1547" s="12"/>
      <c r="E1547" s="13"/>
    </row>
    <row r="1548">
      <c r="B1548" s="13"/>
      <c r="C1548" s="13"/>
      <c r="D1548" s="12"/>
      <c r="E1548" s="13"/>
    </row>
    <row r="1549">
      <c r="B1549" s="13"/>
      <c r="C1549" s="13"/>
      <c r="D1549" s="12"/>
      <c r="E1549" s="13"/>
    </row>
    <row r="1550">
      <c r="B1550" s="13"/>
      <c r="C1550" s="13"/>
      <c r="D1550" s="12"/>
      <c r="E1550" s="13"/>
    </row>
    <row r="1551">
      <c r="B1551" s="13"/>
      <c r="C1551" s="13"/>
      <c r="D1551" s="12"/>
      <c r="E1551" s="13"/>
    </row>
    <row r="1552">
      <c r="B1552" s="13"/>
      <c r="C1552" s="13"/>
      <c r="D1552" s="12"/>
      <c r="E1552" s="13"/>
    </row>
    <row r="1553">
      <c r="B1553" s="13"/>
      <c r="C1553" s="13"/>
      <c r="D1553" s="12"/>
      <c r="E1553" s="13"/>
    </row>
    <row r="1554">
      <c r="B1554" s="13"/>
      <c r="C1554" s="13"/>
      <c r="D1554" s="12"/>
      <c r="E1554" s="13"/>
    </row>
    <row r="1555">
      <c r="B1555" s="13"/>
      <c r="C1555" s="13"/>
      <c r="D1555" s="12"/>
      <c r="E1555" s="13"/>
    </row>
    <row r="1556">
      <c r="B1556" s="13"/>
      <c r="C1556" s="13"/>
      <c r="D1556" s="12"/>
      <c r="E1556" s="13"/>
    </row>
    <row r="1557">
      <c r="B1557" s="13"/>
      <c r="C1557" s="13"/>
      <c r="D1557" s="12"/>
      <c r="E1557" s="13"/>
    </row>
    <row r="1558">
      <c r="B1558" s="13"/>
      <c r="C1558" s="13"/>
      <c r="D1558" s="12"/>
      <c r="E1558" s="13"/>
    </row>
    <row r="1559">
      <c r="B1559" s="13"/>
      <c r="C1559" s="13"/>
      <c r="D1559" s="12"/>
      <c r="E1559" s="13"/>
    </row>
    <row r="1560">
      <c r="B1560" s="13"/>
      <c r="C1560" s="13"/>
      <c r="D1560" s="12"/>
      <c r="E1560" s="13"/>
    </row>
    <row r="1561">
      <c r="B1561" s="13"/>
      <c r="C1561" s="13"/>
      <c r="D1561" s="12"/>
      <c r="E1561" s="13"/>
    </row>
    <row r="1562">
      <c r="B1562" s="13"/>
      <c r="C1562" s="13"/>
      <c r="D1562" s="12"/>
      <c r="E1562" s="13"/>
    </row>
    <row r="1563">
      <c r="B1563" s="13"/>
      <c r="C1563" s="13"/>
      <c r="D1563" s="12"/>
      <c r="E1563" s="13"/>
    </row>
    <row r="1564">
      <c r="B1564" s="13"/>
      <c r="C1564" s="13"/>
      <c r="D1564" s="12"/>
      <c r="E1564" s="13"/>
    </row>
    <row r="1565">
      <c r="B1565" s="13"/>
      <c r="C1565" s="13"/>
      <c r="D1565" s="12"/>
      <c r="E1565" s="13"/>
    </row>
    <row r="1566">
      <c r="B1566" s="13"/>
      <c r="C1566" s="13"/>
      <c r="D1566" s="12"/>
      <c r="E1566" s="13"/>
    </row>
    <row r="1567">
      <c r="B1567" s="13"/>
      <c r="C1567" s="13"/>
      <c r="D1567" s="12"/>
      <c r="E1567" s="13"/>
    </row>
    <row r="1568">
      <c r="B1568" s="13"/>
      <c r="C1568" s="13"/>
      <c r="D1568" s="12"/>
      <c r="E1568" s="13"/>
    </row>
    <row r="1569">
      <c r="B1569" s="13"/>
      <c r="C1569" s="13"/>
      <c r="D1569" s="12"/>
      <c r="E1569" s="13"/>
    </row>
    <row r="1570">
      <c r="B1570" s="13"/>
      <c r="C1570" s="13"/>
      <c r="D1570" s="12"/>
      <c r="E1570" s="13"/>
    </row>
    <row r="1571">
      <c r="B1571" s="13"/>
      <c r="C1571" s="13"/>
      <c r="D1571" s="12"/>
      <c r="E1571" s="13"/>
    </row>
    <row r="1572">
      <c r="B1572" s="13"/>
      <c r="C1572" s="13"/>
      <c r="D1572" s="12"/>
      <c r="E1572" s="13"/>
    </row>
    <row r="1573">
      <c r="B1573" s="13"/>
      <c r="C1573" s="13"/>
      <c r="D1573" s="12"/>
      <c r="E1573" s="13"/>
    </row>
    <row r="1574">
      <c r="B1574" s="13"/>
      <c r="C1574" s="13"/>
      <c r="D1574" s="12"/>
      <c r="E1574" s="13"/>
    </row>
    <row r="1575">
      <c r="B1575" s="13"/>
      <c r="C1575" s="13"/>
      <c r="D1575" s="12"/>
      <c r="E1575" s="13"/>
    </row>
    <row r="1576">
      <c r="B1576" s="13"/>
      <c r="C1576" s="13"/>
      <c r="D1576" s="12"/>
      <c r="E1576" s="13"/>
    </row>
    <row r="1577">
      <c r="B1577" s="13"/>
      <c r="C1577" s="13"/>
      <c r="D1577" s="12"/>
      <c r="E1577" s="13"/>
    </row>
    <row r="1578">
      <c r="B1578" s="13"/>
      <c r="C1578" s="13"/>
      <c r="D1578" s="12"/>
      <c r="E1578" s="13"/>
    </row>
    <row r="1579">
      <c r="B1579" s="13"/>
      <c r="C1579" s="13"/>
      <c r="D1579" s="12"/>
      <c r="E1579" s="13"/>
    </row>
    <row r="1580">
      <c r="B1580" s="13"/>
      <c r="C1580" s="13"/>
      <c r="D1580" s="12"/>
      <c r="E1580" s="13"/>
    </row>
    <row r="1581">
      <c r="B1581" s="13"/>
      <c r="C1581" s="13"/>
      <c r="D1581" s="12"/>
      <c r="E1581" s="13"/>
    </row>
    <row r="1582">
      <c r="B1582" s="13"/>
      <c r="C1582" s="13"/>
      <c r="D1582" s="12"/>
      <c r="E1582" s="13"/>
    </row>
    <row r="1583">
      <c r="B1583" s="13"/>
      <c r="C1583" s="13"/>
      <c r="D1583" s="12"/>
      <c r="E1583" s="13"/>
    </row>
    <row r="1584">
      <c r="B1584" s="13"/>
      <c r="C1584" s="13"/>
      <c r="D1584" s="12"/>
      <c r="E1584" s="13"/>
    </row>
    <row r="1585">
      <c r="B1585" s="13"/>
      <c r="C1585" s="13"/>
      <c r="D1585" s="12"/>
      <c r="E1585" s="13"/>
    </row>
    <row r="1586">
      <c r="B1586" s="13"/>
      <c r="C1586" s="13"/>
      <c r="D1586" s="12"/>
      <c r="E1586" s="13"/>
    </row>
    <row r="1587">
      <c r="B1587" s="13"/>
      <c r="C1587" s="13"/>
      <c r="D1587" s="12"/>
      <c r="E1587" s="13"/>
    </row>
    <row r="1588">
      <c r="B1588" s="13"/>
      <c r="C1588" s="13"/>
      <c r="D1588" s="12"/>
      <c r="E1588" s="13"/>
    </row>
    <row r="1589">
      <c r="B1589" s="13"/>
      <c r="C1589" s="13"/>
      <c r="D1589" s="12"/>
      <c r="E1589" s="13"/>
    </row>
    <row r="1590">
      <c r="B1590" s="13"/>
      <c r="C1590" s="13"/>
      <c r="D1590" s="12"/>
      <c r="E1590" s="13"/>
    </row>
    <row r="1591">
      <c r="B1591" s="13"/>
      <c r="C1591" s="13"/>
      <c r="D1591" s="12"/>
      <c r="E1591" s="13"/>
    </row>
    <row r="1592">
      <c r="B1592" s="13"/>
      <c r="C1592" s="13"/>
      <c r="D1592" s="12"/>
      <c r="E1592" s="13"/>
    </row>
    <row r="1593">
      <c r="B1593" s="13"/>
      <c r="C1593" s="13"/>
      <c r="D1593" s="12"/>
      <c r="E1593" s="13"/>
    </row>
    <row r="1594">
      <c r="B1594" s="13"/>
      <c r="C1594" s="13"/>
      <c r="D1594" s="12"/>
      <c r="E1594" s="13"/>
    </row>
    <row r="1595">
      <c r="B1595" s="13"/>
      <c r="C1595" s="13"/>
      <c r="D1595" s="12"/>
      <c r="E1595" s="13"/>
    </row>
    <row r="1596">
      <c r="B1596" s="13"/>
      <c r="C1596" s="13"/>
      <c r="D1596" s="12"/>
      <c r="E1596" s="13"/>
    </row>
    <row r="1597">
      <c r="B1597" s="13"/>
      <c r="C1597" s="13"/>
      <c r="D1597" s="12"/>
      <c r="E1597" s="13"/>
    </row>
    <row r="1598">
      <c r="B1598" s="13"/>
      <c r="C1598" s="13"/>
      <c r="D1598" s="12"/>
      <c r="E1598" s="13"/>
    </row>
    <row r="1599">
      <c r="B1599" s="13"/>
      <c r="C1599" s="13"/>
      <c r="D1599" s="12"/>
      <c r="E1599" s="13"/>
    </row>
    <row r="1600">
      <c r="B1600" s="13"/>
      <c r="C1600" s="13"/>
      <c r="D1600" s="12"/>
      <c r="E1600" s="13"/>
    </row>
    <row r="1601">
      <c r="B1601" s="13"/>
      <c r="C1601" s="13"/>
      <c r="D1601" s="12"/>
      <c r="E1601" s="13"/>
    </row>
    <row r="1602">
      <c r="B1602" s="13"/>
      <c r="C1602" s="13"/>
      <c r="D1602" s="12"/>
      <c r="E1602" s="13"/>
    </row>
    <row r="1603">
      <c r="B1603" s="13"/>
      <c r="C1603" s="13"/>
      <c r="D1603" s="12"/>
      <c r="E1603" s="13"/>
    </row>
    <row r="1604">
      <c r="B1604" s="13"/>
      <c r="C1604" s="13"/>
      <c r="D1604" s="12"/>
      <c r="E1604" s="13"/>
    </row>
    <row r="1605">
      <c r="B1605" s="13"/>
      <c r="C1605" s="13"/>
      <c r="D1605" s="12"/>
      <c r="E1605" s="13"/>
    </row>
    <row r="1606">
      <c r="B1606" s="13"/>
      <c r="C1606" s="13"/>
      <c r="D1606" s="12"/>
      <c r="E1606" s="13"/>
    </row>
    <row r="1607">
      <c r="B1607" s="13"/>
      <c r="C1607" s="13"/>
      <c r="D1607" s="12"/>
      <c r="E1607" s="13"/>
    </row>
    <row r="1608">
      <c r="B1608" s="13"/>
      <c r="C1608" s="13"/>
      <c r="D1608" s="12"/>
      <c r="E1608" s="13"/>
    </row>
    <row r="1609">
      <c r="B1609" s="13"/>
      <c r="C1609" s="13"/>
      <c r="D1609" s="12"/>
      <c r="E1609" s="13"/>
    </row>
    <row r="1610">
      <c r="B1610" s="13"/>
      <c r="C1610" s="13"/>
      <c r="D1610" s="12"/>
      <c r="E1610" s="13"/>
    </row>
    <row r="1611">
      <c r="B1611" s="13"/>
      <c r="C1611" s="13"/>
      <c r="D1611" s="12"/>
      <c r="E1611" s="13"/>
    </row>
    <row r="1612">
      <c r="B1612" s="13"/>
      <c r="C1612" s="13"/>
      <c r="D1612" s="12"/>
      <c r="E1612" s="13"/>
    </row>
    <row r="1613">
      <c r="B1613" s="13"/>
      <c r="C1613" s="13"/>
      <c r="D1613" s="12"/>
      <c r="E1613" s="13"/>
    </row>
    <row r="1614">
      <c r="B1614" s="13"/>
      <c r="C1614" s="13"/>
      <c r="D1614" s="12"/>
      <c r="E1614" s="13"/>
    </row>
    <row r="1615">
      <c r="B1615" s="13"/>
      <c r="C1615" s="13"/>
      <c r="D1615" s="12"/>
      <c r="E1615" s="13"/>
    </row>
    <row r="1616">
      <c r="B1616" s="13"/>
      <c r="C1616" s="13"/>
      <c r="D1616" s="12"/>
      <c r="E1616" s="13"/>
    </row>
    <row r="1617">
      <c r="B1617" s="13"/>
      <c r="C1617" s="13"/>
      <c r="D1617" s="12"/>
      <c r="E1617" s="13"/>
    </row>
    <row r="1618">
      <c r="B1618" s="13"/>
      <c r="C1618" s="13"/>
      <c r="D1618" s="12"/>
      <c r="E1618" s="13"/>
    </row>
    <row r="1619">
      <c r="B1619" s="13"/>
      <c r="C1619" s="13"/>
      <c r="D1619" s="12"/>
      <c r="E1619" s="13"/>
    </row>
    <row r="1620">
      <c r="B1620" s="13"/>
      <c r="C1620" s="13"/>
      <c r="D1620" s="12"/>
      <c r="E1620" s="13"/>
    </row>
    <row r="1621">
      <c r="B1621" s="13"/>
      <c r="C1621" s="13"/>
      <c r="D1621" s="12"/>
      <c r="E1621" s="13"/>
    </row>
    <row r="1622">
      <c r="B1622" s="13"/>
      <c r="C1622" s="13"/>
      <c r="D1622" s="12"/>
      <c r="E1622" s="13"/>
    </row>
    <row r="1623">
      <c r="B1623" s="13"/>
      <c r="C1623" s="13"/>
      <c r="D1623" s="12"/>
      <c r="E1623" s="13"/>
    </row>
    <row r="1624">
      <c r="B1624" s="13"/>
      <c r="C1624" s="13"/>
      <c r="D1624" s="12"/>
      <c r="E1624" s="13"/>
    </row>
    <row r="1625">
      <c r="B1625" s="13"/>
      <c r="C1625" s="13"/>
      <c r="D1625" s="12"/>
      <c r="E1625" s="13"/>
    </row>
    <row r="1626">
      <c r="B1626" s="13"/>
      <c r="C1626" s="13"/>
      <c r="D1626" s="12"/>
      <c r="E1626" s="13"/>
    </row>
    <row r="1627">
      <c r="B1627" s="13"/>
      <c r="C1627" s="13"/>
      <c r="D1627" s="12"/>
      <c r="E1627" s="13"/>
    </row>
    <row r="1628">
      <c r="B1628" s="13"/>
      <c r="C1628" s="13"/>
      <c r="D1628" s="12"/>
      <c r="E1628" s="13"/>
    </row>
    <row r="1629">
      <c r="B1629" s="13"/>
      <c r="C1629" s="13"/>
      <c r="D1629" s="12"/>
      <c r="E1629" s="13"/>
    </row>
    <row r="1630">
      <c r="B1630" s="13"/>
      <c r="C1630" s="13"/>
      <c r="D1630" s="12"/>
      <c r="E1630" s="13"/>
    </row>
    <row r="1631">
      <c r="B1631" s="13"/>
      <c r="C1631" s="13"/>
      <c r="D1631" s="12"/>
      <c r="E1631" s="13"/>
    </row>
    <row r="1632">
      <c r="B1632" s="13"/>
      <c r="C1632" s="13"/>
      <c r="D1632" s="12"/>
      <c r="E1632" s="13"/>
    </row>
    <row r="1633">
      <c r="B1633" s="13"/>
      <c r="C1633" s="13"/>
      <c r="D1633" s="12"/>
      <c r="E1633" s="13"/>
    </row>
    <row r="1634">
      <c r="B1634" s="13"/>
      <c r="C1634" s="13"/>
      <c r="D1634" s="12"/>
      <c r="E1634" s="13"/>
    </row>
    <row r="1635">
      <c r="B1635" s="13"/>
      <c r="C1635" s="13"/>
      <c r="D1635" s="12"/>
      <c r="E1635" s="13"/>
    </row>
    <row r="1636">
      <c r="B1636" s="13"/>
      <c r="C1636" s="13"/>
      <c r="D1636" s="12"/>
      <c r="E1636" s="13"/>
    </row>
    <row r="1637">
      <c r="B1637" s="13"/>
      <c r="C1637" s="13"/>
      <c r="D1637" s="12"/>
      <c r="E1637" s="13"/>
    </row>
    <row r="1638">
      <c r="B1638" s="13"/>
      <c r="C1638" s="13"/>
      <c r="D1638" s="12"/>
      <c r="E1638" s="13"/>
    </row>
    <row r="1639">
      <c r="B1639" s="13"/>
      <c r="C1639" s="13"/>
      <c r="D1639" s="12"/>
      <c r="E1639" s="13"/>
    </row>
    <row r="1640">
      <c r="B1640" s="13"/>
      <c r="C1640" s="13"/>
      <c r="D1640" s="12"/>
      <c r="E1640" s="13"/>
    </row>
    <row r="1641">
      <c r="B1641" s="13"/>
      <c r="C1641" s="13"/>
      <c r="D1641" s="12"/>
      <c r="E1641" s="13"/>
    </row>
    <row r="1642">
      <c r="B1642" s="13"/>
      <c r="C1642" s="13"/>
      <c r="D1642" s="12"/>
      <c r="E1642" s="13"/>
    </row>
    <row r="1643">
      <c r="B1643" s="13"/>
      <c r="C1643" s="13"/>
      <c r="D1643" s="12"/>
      <c r="E1643" s="13"/>
    </row>
    <row r="1644">
      <c r="B1644" s="13"/>
      <c r="C1644" s="13"/>
      <c r="D1644" s="12"/>
      <c r="E1644" s="13"/>
    </row>
    <row r="1645">
      <c r="B1645" s="13"/>
      <c r="C1645" s="13"/>
      <c r="D1645" s="12"/>
      <c r="E1645" s="13"/>
    </row>
    <row r="1646">
      <c r="B1646" s="13"/>
      <c r="C1646" s="13"/>
      <c r="D1646" s="12"/>
      <c r="E1646" s="13"/>
    </row>
    <row r="1647">
      <c r="B1647" s="13"/>
      <c r="C1647" s="13"/>
      <c r="D1647" s="12"/>
      <c r="E1647" s="13"/>
    </row>
    <row r="1648">
      <c r="B1648" s="13"/>
      <c r="C1648" s="13"/>
      <c r="D1648" s="12"/>
      <c r="E1648" s="13"/>
    </row>
    <row r="1649">
      <c r="B1649" s="13"/>
      <c r="C1649" s="13"/>
      <c r="D1649" s="12"/>
      <c r="E1649" s="13"/>
    </row>
    <row r="1650">
      <c r="B1650" s="13"/>
      <c r="C1650" s="13"/>
      <c r="D1650" s="12"/>
      <c r="E1650" s="13"/>
    </row>
    <row r="1651">
      <c r="B1651" s="13"/>
      <c r="C1651" s="13"/>
      <c r="D1651" s="12"/>
      <c r="E1651" s="13"/>
    </row>
    <row r="1652">
      <c r="B1652" s="13"/>
      <c r="C1652" s="13"/>
      <c r="D1652" s="12"/>
      <c r="E1652" s="13"/>
    </row>
    <row r="1653">
      <c r="B1653" s="13"/>
      <c r="C1653" s="13"/>
      <c r="D1653" s="12"/>
      <c r="E1653" s="13"/>
    </row>
    <row r="1654">
      <c r="B1654" s="13"/>
      <c r="C1654" s="13"/>
      <c r="D1654" s="12"/>
      <c r="E1654" s="13"/>
    </row>
    <row r="1655">
      <c r="B1655" s="13"/>
      <c r="C1655" s="13"/>
      <c r="D1655" s="12"/>
      <c r="E1655" s="13"/>
    </row>
    <row r="1656">
      <c r="B1656" s="13"/>
      <c r="C1656" s="13"/>
      <c r="D1656" s="12"/>
      <c r="E1656" s="13"/>
    </row>
    <row r="1657">
      <c r="B1657" s="13"/>
      <c r="C1657" s="13"/>
      <c r="D1657" s="12"/>
      <c r="E1657" s="13"/>
    </row>
    <row r="1658">
      <c r="B1658" s="13"/>
      <c r="C1658" s="13"/>
      <c r="D1658" s="12"/>
      <c r="E1658" s="13"/>
    </row>
    <row r="1659">
      <c r="B1659" s="13"/>
      <c r="C1659" s="13"/>
      <c r="D1659" s="12"/>
      <c r="E1659" s="13"/>
    </row>
    <row r="1660">
      <c r="B1660" s="13"/>
      <c r="C1660" s="13"/>
      <c r="D1660" s="12"/>
      <c r="E1660" s="13"/>
    </row>
    <row r="1661">
      <c r="B1661" s="13"/>
      <c r="C1661" s="13"/>
      <c r="D1661" s="12"/>
      <c r="E1661" s="13"/>
    </row>
    <row r="1662">
      <c r="B1662" s="13"/>
      <c r="C1662" s="13"/>
      <c r="D1662" s="12"/>
      <c r="E1662" s="13"/>
    </row>
    <row r="1663">
      <c r="B1663" s="13"/>
      <c r="C1663" s="13"/>
      <c r="D1663" s="12"/>
      <c r="E1663" s="13"/>
    </row>
    <row r="1664">
      <c r="B1664" s="13"/>
      <c r="C1664" s="13"/>
      <c r="D1664" s="12"/>
      <c r="E1664" s="13"/>
    </row>
    <row r="1665">
      <c r="B1665" s="13"/>
      <c r="C1665" s="13"/>
      <c r="D1665" s="12"/>
      <c r="E1665" s="13"/>
    </row>
    <row r="1666">
      <c r="B1666" s="13"/>
      <c r="C1666" s="13"/>
      <c r="D1666" s="12"/>
      <c r="E1666" s="13"/>
    </row>
    <row r="1667">
      <c r="B1667" s="13"/>
      <c r="C1667" s="13"/>
      <c r="D1667" s="12"/>
      <c r="E1667" s="13"/>
    </row>
    <row r="1668">
      <c r="B1668" s="13"/>
      <c r="C1668" s="13"/>
      <c r="D1668" s="12"/>
      <c r="E1668" s="13"/>
    </row>
    <row r="1669">
      <c r="B1669" s="13"/>
      <c r="C1669" s="13"/>
      <c r="D1669" s="12"/>
      <c r="E1669" s="13"/>
    </row>
    <row r="1670">
      <c r="B1670" s="13"/>
      <c r="C1670" s="13"/>
      <c r="D1670" s="12"/>
      <c r="E1670" s="13"/>
    </row>
    <row r="1671">
      <c r="B1671" s="13"/>
      <c r="C1671" s="13"/>
      <c r="D1671" s="12"/>
      <c r="E1671" s="13"/>
    </row>
    <row r="1672">
      <c r="B1672" s="13"/>
      <c r="C1672" s="13"/>
      <c r="D1672" s="12"/>
      <c r="E1672" s="13"/>
    </row>
    <row r="1673">
      <c r="B1673" s="13"/>
      <c r="C1673" s="13"/>
      <c r="D1673" s="12"/>
      <c r="E1673" s="13"/>
    </row>
    <row r="1674">
      <c r="B1674" s="13"/>
      <c r="C1674" s="13"/>
      <c r="D1674" s="12"/>
      <c r="E1674" s="13"/>
    </row>
    <row r="1675">
      <c r="B1675" s="13"/>
      <c r="C1675" s="13"/>
      <c r="D1675" s="12"/>
      <c r="E1675" s="13"/>
    </row>
    <row r="1676">
      <c r="B1676" s="13"/>
      <c r="C1676" s="13"/>
      <c r="D1676" s="12"/>
      <c r="E1676" s="13"/>
    </row>
    <row r="1677">
      <c r="B1677" s="13"/>
      <c r="C1677" s="13"/>
      <c r="D1677" s="12"/>
      <c r="E1677" s="13"/>
    </row>
    <row r="1678">
      <c r="B1678" s="13"/>
      <c r="C1678" s="13"/>
      <c r="D1678" s="12"/>
      <c r="E1678" s="13"/>
    </row>
    <row r="1679">
      <c r="B1679" s="13"/>
      <c r="C1679" s="13"/>
      <c r="D1679" s="12"/>
      <c r="E1679" s="13"/>
    </row>
    <row r="1680">
      <c r="B1680" s="13"/>
      <c r="C1680" s="13"/>
      <c r="D1680" s="12"/>
      <c r="E1680" s="13"/>
    </row>
    <row r="1681">
      <c r="B1681" s="13"/>
      <c r="C1681" s="13"/>
      <c r="D1681" s="12"/>
      <c r="E1681" s="13"/>
    </row>
    <row r="1682">
      <c r="B1682" s="13"/>
      <c r="C1682" s="13"/>
      <c r="D1682" s="12"/>
      <c r="E1682" s="13"/>
    </row>
    <row r="1683">
      <c r="B1683" s="13"/>
      <c r="C1683" s="13"/>
      <c r="D1683" s="12"/>
      <c r="E1683" s="13"/>
    </row>
    <row r="1684">
      <c r="B1684" s="13"/>
      <c r="C1684" s="13"/>
      <c r="D1684" s="12"/>
      <c r="E1684" s="13"/>
    </row>
    <row r="1685">
      <c r="B1685" s="13"/>
      <c r="C1685" s="13"/>
      <c r="D1685" s="12"/>
      <c r="E1685" s="13"/>
    </row>
    <row r="1686">
      <c r="B1686" s="13"/>
      <c r="C1686" s="13"/>
      <c r="D1686" s="12"/>
      <c r="E1686" s="13"/>
    </row>
    <row r="1687">
      <c r="B1687" s="13"/>
      <c r="C1687" s="13"/>
      <c r="D1687" s="12"/>
      <c r="E1687" s="13"/>
    </row>
    <row r="1688">
      <c r="B1688" s="13"/>
      <c r="C1688" s="13"/>
      <c r="D1688" s="12"/>
      <c r="E1688" s="13"/>
    </row>
    <row r="1689">
      <c r="B1689" s="13"/>
      <c r="C1689" s="13"/>
      <c r="D1689" s="12"/>
      <c r="E1689" s="13"/>
    </row>
    <row r="1690">
      <c r="B1690" s="13"/>
      <c r="C1690" s="13"/>
      <c r="D1690" s="12"/>
      <c r="E1690" s="13"/>
    </row>
    <row r="1691">
      <c r="B1691" s="13"/>
      <c r="C1691" s="13"/>
      <c r="D1691" s="12"/>
      <c r="E1691" s="13"/>
    </row>
    <row r="1692">
      <c r="B1692" s="13"/>
      <c r="C1692" s="13"/>
      <c r="D1692" s="12"/>
      <c r="E1692" s="13"/>
    </row>
    <row r="1693">
      <c r="B1693" s="13"/>
      <c r="C1693" s="13"/>
      <c r="D1693" s="12"/>
      <c r="E1693" s="13"/>
    </row>
    <row r="1694">
      <c r="B1694" s="13"/>
      <c r="C1694" s="13"/>
      <c r="D1694" s="12"/>
      <c r="E1694" s="13"/>
    </row>
    <row r="1695">
      <c r="B1695" s="13"/>
      <c r="C1695" s="13"/>
      <c r="D1695" s="12"/>
      <c r="E1695" s="13"/>
    </row>
    <row r="1696">
      <c r="B1696" s="13"/>
      <c r="C1696" s="13"/>
      <c r="D1696" s="12"/>
      <c r="E1696" s="13"/>
    </row>
    <row r="1697">
      <c r="B1697" s="13"/>
      <c r="C1697" s="13"/>
      <c r="D1697" s="12"/>
      <c r="E1697" s="13"/>
    </row>
    <row r="1698">
      <c r="B1698" s="13"/>
      <c r="C1698" s="13"/>
      <c r="D1698" s="12"/>
      <c r="E1698" s="13"/>
    </row>
    <row r="1699">
      <c r="B1699" s="13"/>
      <c r="C1699" s="13"/>
      <c r="D1699" s="12"/>
      <c r="E1699" s="13"/>
    </row>
    <row r="1700">
      <c r="B1700" s="13"/>
      <c r="C1700" s="13"/>
      <c r="D1700" s="12"/>
      <c r="E1700" s="13"/>
    </row>
    <row r="1701">
      <c r="B1701" s="13"/>
      <c r="C1701" s="13"/>
      <c r="D1701" s="12"/>
      <c r="E1701" s="13"/>
    </row>
    <row r="1702">
      <c r="B1702" s="13"/>
      <c r="C1702" s="13"/>
      <c r="D1702" s="12"/>
      <c r="E1702" s="13"/>
    </row>
    <row r="1703">
      <c r="B1703" s="13"/>
      <c r="C1703" s="13"/>
      <c r="D1703" s="12"/>
      <c r="E1703" s="13"/>
    </row>
    <row r="1704">
      <c r="B1704" s="13"/>
      <c r="C1704" s="13"/>
      <c r="D1704" s="12"/>
      <c r="E1704" s="13"/>
    </row>
    <row r="1705">
      <c r="B1705" s="13"/>
      <c r="C1705" s="13"/>
      <c r="D1705" s="12"/>
      <c r="E1705" s="13"/>
    </row>
    <row r="1706">
      <c r="B1706" s="13"/>
      <c r="C1706" s="13"/>
      <c r="D1706" s="12"/>
      <c r="E1706" s="13"/>
    </row>
    <row r="1707">
      <c r="B1707" s="13"/>
      <c r="C1707" s="13"/>
      <c r="D1707" s="12"/>
      <c r="E1707" s="13"/>
    </row>
    <row r="1708">
      <c r="B1708" s="13"/>
      <c r="C1708" s="13"/>
      <c r="D1708" s="12"/>
      <c r="E1708" s="13"/>
    </row>
    <row r="1709">
      <c r="B1709" s="13"/>
      <c r="C1709" s="13"/>
      <c r="D1709" s="12"/>
      <c r="E1709" s="13"/>
    </row>
    <row r="1710">
      <c r="B1710" s="13"/>
      <c r="C1710" s="13"/>
      <c r="D1710" s="12"/>
      <c r="E1710" s="13"/>
    </row>
    <row r="1711">
      <c r="B1711" s="13"/>
      <c r="C1711" s="13"/>
      <c r="D1711" s="12"/>
      <c r="E1711" s="13"/>
    </row>
    <row r="1712">
      <c r="B1712" s="13"/>
      <c r="C1712" s="13"/>
      <c r="D1712" s="12"/>
      <c r="E1712" s="13"/>
    </row>
    <row r="1713">
      <c r="B1713" s="13"/>
      <c r="C1713" s="13"/>
      <c r="D1713" s="12"/>
      <c r="E1713" s="13"/>
    </row>
    <row r="1714">
      <c r="B1714" s="13"/>
      <c r="C1714" s="13"/>
      <c r="D1714" s="12"/>
      <c r="E1714" s="13"/>
    </row>
    <row r="1715">
      <c r="B1715" s="13"/>
      <c r="C1715" s="13"/>
      <c r="D1715" s="12"/>
      <c r="E1715" s="13"/>
    </row>
    <row r="1716">
      <c r="B1716" s="13"/>
      <c r="C1716" s="13"/>
      <c r="D1716" s="12"/>
      <c r="E1716" s="13"/>
    </row>
    <row r="1717">
      <c r="B1717" s="13"/>
      <c r="C1717" s="13"/>
      <c r="D1717" s="12"/>
      <c r="E1717" s="13"/>
    </row>
    <row r="1718">
      <c r="B1718" s="13"/>
      <c r="C1718" s="13"/>
      <c r="D1718" s="12"/>
      <c r="E1718" s="13"/>
    </row>
    <row r="1719">
      <c r="B1719" s="13"/>
      <c r="C1719" s="13"/>
      <c r="D1719" s="12"/>
      <c r="E1719" s="13"/>
    </row>
    <row r="1720">
      <c r="B1720" s="13"/>
      <c r="C1720" s="13"/>
      <c r="D1720" s="12"/>
      <c r="E1720" s="13"/>
    </row>
    <row r="1721">
      <c r="B1721" s="13"/>
      <c r="C1721" s="13"/>
      <c r="D1721" s="12"/>
      <c r="E1721" s="13"/>
    </row>
    <row r="1722">
      <c r="B1722" s="13"/>
      <c r="C1722" s="13"/>
      <c r="D1722" s="12"/>
      <c r="E1722" s="13"/>
    </row>
    <row r="1723">
      <c r="B1723" s="13"/>
      <c r="C1723" s="13"/>
      <c r="D1723" s="12"/>
      <c r="E1723" s="13"/>
    </row>
    <row r="1724">
      <c r="B1724" s="13"/>
      <c r="C1724" s="13"/>
      <c r="D1724" s="12"/>
      <c r="E1724" s="13"/>
    </row>
    <row r="1725">
      <c r="B1725" s="13"/>
      <c r="C1725" s="13"/>
      <c r="D1725" s="12"/>
      <c r="E1725" s="13"/>
    </row>
    <row r="1726">
      <c r="B1726" s="13"/>
      <c r="C1726" s="13"/>
      <c r="D1726" s="12"/>
      <c r="E1726" s="13"/>
    </row>
    <row r="1727">
      <c r="B1727" s="13"/>
      <c r="C1727" s="13"/>
      <c r="D1727" s="12"/>
      <c r="E1727" s="13"/>
    </row>
    <row r="1728">
      <c r="B1728" s="13"/>
      <c r="C1728" s="13"/>
      <c r="D1728" s="12"/>
      <c r="E1728" s="13"/>
    </row>
    <row r="1729">
      <c r="B1729" s="13"/>
      <c r="C1729" s="13"/>
      <c r="D1729" s="12"/>
      <c r="E1729" s="13"/>
    </row>
    <row r="1730">
      <c r="B1730" s="13"/>
      <c r="C1730" s="13"/>
      <c r="D1730" s="12"/>
      <c r="E1730" s="13"/>
    </row>
    <row r="1731">
      <c r="B1731" s="13"/>
      <c r="C1731" s="13"/>
      <c r="D1731" s="12"/>
      <c r="E1731" s="13"/>
    </row>
    <row r="1732">
      <c r="B1732" s="13"/>
      <c r="C1732" s="13"/>
      <c r="D1732" s="12"/>
      <c r="E1732" s="13"/>
    </row>
    <row r="1733">
      <c r="B1733" s="13"/>
      <c r="C1733" s="13"/>
      <c r="D1733" s="12"/>
      <c r="E1733" s="13"/>
    </row>
    <row r="1734">
      <c r="B1734" s="13"/>
      <c r="C1734" s="13"/>
      <c r="D1734" s="12"/>
      <c r="E1734" s="13"/>
    </row>
    <row r="1735">
      <c r="B1735" s="13"/>
      <c r="C1735" s="13"/>
      <c r="D1735" s="12"/>
      <c r="E1735" s="13"/>
    </row>
    <row r="1736">
      <c r="B1736" s="13"/>
      <c r="C1736" s="13"/>
      <c r="D1736" s="12"/>
      <c r="E1736" s="13"/>
    </row>
    <row r="1737">
      <c r="B1737" s="13"/>
      <c r="C1737" s="13"/>
      <c r="D1737" s="12"/>
      <c r="E1737" s="13"/>
    </row>
    <row r="1738">
      <c r="B1738" s="13"/>
      <c r="C1738" s="13"/>
      <c r="D1738" s="12"/>
      <c r="E1738" s="13"/>
    </row>
    <row r="1739">
      <c r="B1739" s="13"/>
      <c r="C1739" s="13"/>
      <c r="D1739" s="12"/>
      <c r="E1739" s="13"/>
    </row>
    <row r="1740">
      <c r="B1740" s="13"/>
      <c r="C1740" s="13"/>
      <c r="D1740" s="12"/>
      <c r="E1740" s="13"/>
    </row>
    <row r="1741">
      <c r="B1741" s="13"/>
      <c r="C1741" s="13"/>
      <c r="D1741" s="12"/>
      <c r="E1741" s="13"/>
    </row>
    <row r="1742">
      <c r="B1742" s="13"/>
      <c r="C1742" s="13"/>
      <c r="D1742" s="12"/>
      <c r="E1742" s="13"/>
    </row>
    <row r="1743">
      <c r="B1743" s="13"/>
      <c r="C1743" s="13"/>
      <c r="D1743" s="12"/>
      <c r="E1743" s="13"/>
    </row>
    <row r="1744">
      <c r="B1744" s="13"/>
      <c r="C1744" s="13"/>
      <c r="D1744" s="12"/>
      <c r="E1744" s="13"/>
    </row>
    <row r="1745">
      <c r="B1745" s="13"/>
      <c r="C1745" s="13"/>
      <c r="D1745" s="12"/>
      <c r="E1745" s="13"/>
    </row>
    <row r="1746">
      <c r="B1746" s="13"/>
      <c r="C1746" s="13"/>
      <c r="D1746" s="12"/>
      <c r="E1746" s="13"/>
    </row>
    <row r="1747">
      <c r="B1747" s="13"/>
      <c r="C1747" s="13"/>
      <c r="D1747" s="12"/>
      <c r="E1747" s="13"/>
    </row>
    <row r="1748">
      <c r="B1748" s="13"/>
      <c r="C1748" s="13"/>
      <c r="D1748" s="12"/>
      <c r="E1748" s="13"/>
    </row>
    <row r="1749">
      <c r="B1749" s="13"/>
      <c r="C1749" s="13"/>
      <c r="D1749" s="12"/>
      <c r="E1749" s="13"/>
    </row>
    <row r="1750">
      <c r="B1750" s="13"/>
      <c r="C1750" s="13"/>
      <c r="D1750" s="12"/>
      <c r="E1750" s="13"/>
    </row>
    <row r="1751">
      <c r="B1751" s="13"/>
      <c r="C1751" s="13"/>
      <c r="D1751" s="12"/>
      <c r="E1751" s="13"/>
    </row>
    <row r="1752">
      <c r="B1752" s="13"/>
      <c r="C1752" s="13"/>
      <c r="D1752" s="12"/>
      <c r="E1752" s="13"/>
    </row>
    <row r="1753">
      <c r="B1753" s="13"/>
      <c r="C1753" s="13"/>
      <c r="D1753" s="12"/>
      <c r="E1753" s="13"/>
    </row>
    <row r="1754">
      <c r="B1754" s="13"/>
      <c r="C1754" s="13"/>
      <c r="D1754" s="12"/>
      <c r="E1754" s="13"/>
    </row>
    <row r="1755">
      <c r="B1755" s="13"/>
      <c r="C1755" s="13"/>
      <c r="D1755" s="12"/>
      <c r="E1755" s="13"/>
    </row>
    <row r="1756">
      <c r="B1756" s="13"/>
      <c r="C1756" s="13"/>
      <c r="D1756" s="12"/>
      <c r="E1756" s="13"/>
    </row>
    <row r="1757">
      <c r="B1757" s="13"/>
      <c r="C1757" s="13"/>
      <c r="D1757" s="12"/>
      <c r="E1757" s="13"/>
    </row>
    <row r="1758">
      <c r="B1758" s="13"/>
      <c r="C1758" s="13"/>
      <c r="D1758" s="12"/>
      <c r="E1758" s="13"/>
    </row>
    <row r="1759">
      <c r="B1759" s="13"/>
      <c r="C1759" s="13"/>
      <c r="D1759" s="12"/>
      <c r="E1759" s="13"/>
    </row>
    <row r="1760">
      <c r="B1760" s="13"/>
      <c r="C1760" s="13"/>
      <c r="D1760" s="12"/>
      <c r="E1760" s="13"/>
    </row>
    <row r="1761">
      <c r="B1761" s="13"/>
      <c r="C1761" s="13"/>
      <c r="D1761" s="12"/>
      <c r="E1761" s="13"/>
    </row>
    <row r="1762">
      <c r="B1762" s="13"/>
      <c r="C1762" s="13"/>
      <c r="D1762" s="12"/>
      <c r="E1762" s="13"/>
    </row>
    <row r="1763">
      <c r="B1763" s="13"/>
      <c r="C1763" s="13"/>
      <c r="D1763" s="12"/>
      <c r="E1763" s="13"/>
    </row>
    <row r="1764">
      <c r="B1764" s="13"/>
      <c r="C1764" s="13"/>
      <c r="D1764" s="12"/>
      <c r="E1764" s="13"/>
    </row>
    <row r="1765">
      <c r="B1765" s="13"/>
      <c r="C1765" s="13"/>
      <c r="D1765" s="12"/>
      <c r="E1765" s="13"/>
    </row>
    <row r="1766">
      <c r="B1766" s="13"/>
      <c r="C1766" s="13"/>
      <c r="D1766" s="12"/>
      <c r="E1766" s="13"/>
    </row>
    <row r="1767">
      <c r="B1767" s="13"/>
      <c r="C1767" s="13"/>
      <c r="D1767" s="12"/>
      <c r="E1767" s="13"/>
    </row>
    <row r="1768">
      <c r="B1768" s="13"/>
      <c r="C1768" s="13"/>
      <c r="D1768" s="12"/>
      <c r="E1768" s="13"/>
    </row>
    <row r="1769">
      <c r="B1769" s="13"/>
      <c r="C1769" s="13"/>
      <c r="D1769" s="12"/>
      <c r="E1769" s="13"/>
    </row>
    <row r="1770">
      <c r="B1770" s="13"/>
      <c r="C1770" s="13"/>
      <c r="D1770" s="12"/>
      <c r="E1770" s="13"/>
    </row>
    <row r="1771">
      <c r="B1771" s="13"/>
      <c r="C1771" s="13"/>
      <c r="D1771" s="12"/>
      <c r="E1771" s="13"/>
    </row>
    <row r="1772">
      <c r="B1772" s="13"/>
      <c r="C1772" s="13"/>
      <c r="D1772" s="12"/>
      <c r="E1772" s="13"/>
    </row>
    <row r="1773">
      <c r="B1773" s="13"/>
      <c r="C1773" s="13"/>
      <c r="D1773" s="12"/>
      <c r="E1773" s="13"/>
    </row>
    <row r="1774">
      <c r="B1774" s="13"/>
      <c r="C1774" s="13"/>
      <c r="D1774" s="12"/>
      <c r="E1774" s="13"/>
    </row>
    <row r="1775">
      <c r="B1775" s="13"/>
      <c r="C1775" s="13"/>
      <c r="D1775" s="12"/>
      <c r="E1775" s="13"/>
    </row>
    <row r="1776">
      <c r="B1776" s="13"/>
      <c r="C1776" s="13"/>
      <c r="D1776" s="12"/>
      <c r="E1776" s="13"/>
    </row>
    <row r="1777">
      <c r="B1777" s="13"/>
      <c r="C1777" s="13"/>
      <c r="D1777" s="12"/>
      <c r="E1777" s="13"/>
    </row>
    <row r="1778">
      <c r="B1778" s="13"/>
      <c r="C1778" s="13"/>
      <c r="D1778" s="12"/>
      <c r="E1778" s="13"/>
    </row>
    <row r="1779">
      <c r="B1779" s="13"/>
      <c r="C1779" s="13"/>
      <c r="D1779" s="12"/>
      <c r="E1779" s="13"/>
    </row>
    <row r="1780">
      <c r="B1780" s="13"/>
      <c r="C1780" s="13"/>
      <c r="D1780" s="12"/>
      <c r="E1780" s="13"/>
    </row>
    <row r="1781">
      <c r="B1781" s="13"/>
      <c r="C1781" s="13"/>
      <c r="D1781" s="12"/>
      <c r="E1781" s="13"/>
    </row>
    <row r="1782">
      <c r="B1782" s="13"/>
      <c r="C1782" s="13"/>
      <c r="D1782" s="12"/>
      <c r="E1782" s="13"/>
    </row>
    <row r="1783">
      <c r="B1783" s="13"/>
      <c r="C1783" s="13"/>
      <c r="D1783" s="12"/>
      <c r="E1783" s="13"/>
    </row>
    <row r="1784">
      <c r="B1784" s="13"/>
      <c r="C1784" s="13"/>
      <c r="D1784" s="12"/>
      <c r="E1784" s="13"/>
    </row>
    <row r="1785">
      <c r="B1785" s="13"/>
      <c r="C1785" s="13"/>
      <c r="D1785" s="12"/>
      <c r="E1785" s="13"/>
    </row>
    <row r="1786">
      <c r="B1786" s="13"/>
      <c r="C1786" s="13"/>
      <c r="D1786" s="12"/>
      <c r="E1786" s="13"/>
    </row>
    <row r="1787">
      <c r="B1787" s="13"/>
      <c r="C1787" s="13"/>
      <c r="D1787" s="12"/>
      <c r="E1787" s="13"/>
    </row>
    <row r="1788">
      <c r="B1788" s="13"/>
      <c r="C1788" s="13"/>
      <c r="D1788" s="12"/>
      <c r="E1788" s="13"/>
    </row>
    <row r="1789">
      <c r="B1789" s="13"/>
      <c r="C1789" s="13"/>
      <c r="D1789" s="12"/>
      <c r="E1789" s="13"/>
    </row>
    <row r="1790">
      <c r="B1790" s="13"/>
      <c r="C1790" s="13"/>
      <c r="D1790" s="12"/>
      <c r="E1790" s="13"/>
    </row>
    <row r="1791">
      <c r="B1791" s="13"/>
      <c r="C1791" s="13"/>
      <c r="D1791" s="12"/>
      <c r="E1791" s="13"/>
    </row>
    <row r="1792">
      <c r="B1792" s="13"/>
      <c r="C1792" s="13"/>
      <c r="D1792" s="12"/>
      <c r="E1792" s="13"/>
    </row>
    <row r="1793">
      <c r="B1793" s="13"/>
      <c r="C1793" s="13"/>
      <c r="D1793" s="12"/>
      <c r="E1793" s="13"/>
    </row>
    <row r="1794">
      <c r="B1794" s="13"/>
      <c r="C1794" s="13"/>
      <c r="D1794" s="12"/>
      <c r="E1794" s="13"/>
    </row>
    <row r="1795">
      <c r="B1795" s="13"/>
      <c r="C1795" s="13"/>
      <c r="D1795" s="12"/>
      <c r="E1795" s="13"/>
    </row>
    <row r="1796">
      <c r="B1796" s="13"/>
      <c r="C1796" s="13"/>
      <c r="D1796" s="12"/>
      <c r="E1796" s="13"/>
    </row>
    <row r="1797">
      <c r="B1797" s="13"/>
      <c r="C1797" s="13"/>
      <c r="D1797" s="12"/>
      <c r="E1797" s="13"/>
    </row>
    <row r="1798">
      <c r="B1798" s="13"/>
      <c r="C1798" s="13"/>
      <c r="D1798" s="12"/>
      <c r="E1798" s="13"/>
    </row>
    <row r="1799">
      <c r="B1799" s="13"/>
      <c r="C1799" s="13"/>
      <c r="D1799" s="12"/>
      <c r="E1799" s="13"/>
    </row>
    <row r="1800">
      <c r="B1800" s="13"/>
      <c r="C1800" s="13"/>
      <c r="D1800" s="12"/>
      <c r="E1800" s="13"/>
    </row>
    <row r="1801">
      <c r="B1801" s="13"/>
      <c r="C1801" s="13"/>
      <c r="D1801" s="12"/>
      <c r="E1801" s="13"/>
    </row>
    <row r="1802">
      <c r="B1802" s="13"/>
      <c r="C1802" s="13"/>
      <c r="D1802" s="12"/>
      <c r="E1802" s="13"/>
    </row>
    <row r="1803">
      <c r="B1803" s="13"/>
      <c r="C1803" s="13"/>
      <c r="D1803" s="12"/>
      <c r="E1803" s="13"/>
    </row>
    <row r="1804">
      <c r="B1804" s="13"/>
      <c r="C1804" s="13"/>
      <c r="D1804" s="12"/>
      <c r="E1804" s="13"/>
    </row>
    <row r="1805">
      <c r="B1805" s="13"/>
      <c r="C1805" s="13"/>
      <c r="D1805" s="12"/>
      <c r="E1805" s="13"/>
    </row>
    <row r="1806">
      <c r="B1806" s="13"/>
      <c r="C1806" s="13"/>
      <c r="D1806" s="12"/>
      <c r="E1806" s="13"/>
    </row>
    <row r="1807">
      <c r="B1807" s="13"/>
      <c r="C1807" s="13"/>
      <c r="D1807" s="12"/>
      <c r="E1807" s="13"/>
    </row>
    <row r="1808">
      <c r="B1808" s="13"/>
      <c r="C1808" s="13"/>
      <c r="D1808" s="12"/>
      <c r="E1808" s="13"/>
    </row>
    <row r="1809">
      <c r="B1809" s="13"/>
      <c r="C1809" s="13"/>
      <c r="D1809" s="12"/>
      <c r="E1809" s="13"/>
    </row>
    <row r="1810">
      <c r="B1810" s="13"/>
      <c r="C1810" s="13"/>
      <c r="D1810" s="12"/>
      <c r="E1810" s="13"/>
    </row>
    <row r="1811">
      <c r="B1811" s="13"/>
      <c r="C1811" s="13"/>
      <c r="D1811" s="12"/>
      <c r="E1811" s="13"/>
    </row>
    <row r="1812">
      <c r="B1812" s="13"/>
      <c r="C1812" s="13"/>
      <c r="D1812" s="12"/>
      <c r="E1812" s="13"/>
    </row>
    <row r="1813">
      <c r="B1813" s="13"/>
      <c r="C1813" s="13"/>
      <c r="D1813" s="12"/>
      <c r="E1813" s="13"/>
    </row>
    <row r="1814">
      <c r="B1814" s="13"/>
      <c r="C1814" s="13"/>
      <c r="D1814" s="12"/>
      <c r="E1814" s="13"/>
    </row>
    <row r="1815">
      <c r="B1815" s="13"/>
      <c r="C1815" s="13"/>
      <c r="D1815" s="12"/>
      <c r="E1815" s="13"/>
    </row>
    <row r="1816">
      <c r="B1816" s="13"/>
      <c r="C1816" s="13"/>
      <c r="D1816" s="12"/>
      <c r="E1816" s="13"/>
    </row>
    <row r="1817">
      <c r="B1817" s="13"/>
      <c r="C1817" s="13"/>
      <c r="D1817" s="12"/>
      <c r="E1817" s="13"/>
    </row>
    <row r="1818">
      <c r="B1818" s="13"/>
      <c r="C1818" s="13"/>
      <c r="D1818" s="12"/>
      <c r="E1818" s="13"/>
    </row>
    <row r="1819">
      <c r="B1819" s="13"/>
      <c r="C1819" s="13"/>
      <c r="D1819" s="12"/>
      <c r="E1819" s="13"/>
    </row>
    <row r="1820">
      <c r="B1820" s="13"/>
      <c r="C1820" s="13"/>
      <c r="D1820" s="12"/>
      <c r="E1820" s="13"/>
    </row>
    <row r="1821">
      <c r="B1821" s="13"/>
      <c r="C1821" s="13"/>
      <c r="D1821" s="12"/>
      <c r="E1821" s="13"/>
    </row>
    <row r="1822">
      <c r="B1822" s="13"/>
      <c r="C1822" s="13"/>
      <c r="D1822" s="12"/>
      <c r="E1822" s="13"/>
    </row>
    <row r="1823">
      <c r="B1823" s="13"/>
      <c r="C1823" s="13"/>
      <c r="D1823" s="12"/>
      <c r="E1823" s="13"/>
    </row>
    <row r="1824">
      <c r="B1824" s="13"/>
      <c r="C1824" s="13"/>
      <c r="D1824" s="12"/>
      <c r="E1824" s="13"/>
    </row>
    <row r="1825">
      <c r="B1825" s="13"/>
      <c r="C1825" s="13"/>
      <c r="D1825" s="12"/>
      <c r="E1825" s="13"/>
    </row>
    <row r="1826">
      <c r="B1826" s="13"/>
      <c r="C1826" s="13"/>
      <c r="D1826" s="12"/>
      <c r="E1826" s="13"/>
    </row>
    <row r="1827">
      <c r="B1827" s="13"/>
      <c r="C1827" s="13"/>
      <c r="D1827" s="12"/>
      <c r="E1827" s="13"/>
    </row>
    <row r="1828">
      <c r="B1828" s="13"/>
      <c r="C1828" s="13"/>
      <c r="D1828" s="12"/>
      <c r="E1828" s="13"/>
    </row>
    <row r="1829">
      <c r="B1829" s="13"/>
      <c r="C1829" s="13"/>
      <c r="D1829" s="12"/>
      <c r="E1829" s="13"/>
    </row>
    <row r="1830">
      <c r="B1830" s="13"/>
      <c r="C1830" s="13"/>
      <c r="D1830" s="12"/>
      <c r="E1830" s="13"/>
    </row>
    <row r="1831">
      <c r="B1831" s="13"/>
      <c r="C1831" s="13"/>
      <c r="D1831" s="12"/>
      <c r="E1831" s="13"/>
    </row>
    <row r="1832">
      <c r="B1832" s="13"/>
      <c r="C1832" s="13"/>
      <c r="D1832" s="12"/>
      <c r="E1832" s="13"/>
    </row>
    <row r="1833">
      <c r="B1833" s="13"/>
      <c r="C1833" s="13"/>
      <c r="D1833" s="12"/>
      <c r="E1833" s="13"/>
    </row>
    <row r="1834">
      <c r="B1834" s="13"/>
      <c r="C1834" s="13"/>
      <c r="D1834" s="12"/>
      <c r="E1834" s="13"/>
    </row>
    <row r="1835">
      <c r="B1835" s="13"/>
      <c r="C1835" s="13"/>
      <c r="D1835" s="12"/>
      <c r="E1835" s="13"/>
    </row>
    <row r="1836">
      <c r="B1836" s="13"/>
      <c r="C1836" s="13"/>
      <c r="D1836" s="12"/>
      <c r="E1836" s="13"/>
    </row>
    <row r="1837">
      <c r="B1837" s="13"/>
      <c r="C1837" s="13"/>
      <c r="D1837" s="12"/>
      <c r="E1837" s="13"/>
    </row>
    <row r="1838">
      <c r="B1838" s="13"/>
      <c r="C1838" s="13"/>
      <c r="D1838" s="12"/>
      <c r="E1838" s="13"/>
    </row>
    <row r="1839">
      <c r="B1839" s="13"/>
      <c r="C1839" s="13"/>
      <c r="D1839" s="12"/>
      <c r="E1839" s="13"/>
    </row>
    <row r="1840">
      <c r="B1840" s="13"/>
      <c r="C1840" s="13"/>
      <c r="D1840" s="12"/>
      <c r="E1840" s="13"/>
    </row>
    <row r="1841">
      <c r="B1841" s="13"/>
      <c r="C1841" s="13"/>
      <c r="D1841" s="12"/>
      <c r="E1841" s="13"/>
    </row>
    <row r="1842">
      <c r="B1842" s="13"/>
      <c r="C1842" s="13"/>
      <c r="D1842" s="12"/>
      <c r="E1842" s="13"/>
    </row>
    <row r="1843">
      <c r="B1843" s="13"/>
      <c r="C1843" s="13"/>
      <c r="D1843" s="12"/>
      <c r="E1843" s="13"/>
    </row>
    <row r="1844">
      <c r="B1844" s="13"/>
      <c r="C1844" s="13"/>
      <c r="D1844" s="12"/>
      <c r="E1844" s="13"/>
    </row>
    <row r="1845">
      <c r="B1845" s="13"/>
      <c r="C1845" s="13"/>
      <c r="D1845" s="12"/>
      <c r="E1845" s="13"/>
    </row>
    <row r="1846">
      <c r="B1846" s="13"/>
      <c r="C1846" s="13"/>
      <c r="D1846" s="12"/>
      <c r="E1846" s="13"/>
    </row>
    <row r="1847">
      <c r="B1847" s="13"/>
      <c r="C1847" s="13"/>
      <c r="D1847" s="12"/>
      <c r="E1847" s="13"/>
    </row>
    <row r="1848">
      <c r="B1848" s="13"/>
      <c r="C1848" s="13"/>
      <c r="D1848" s="12"/>
      <c r="E1848" s="13"/>
    </row>
    <row r="1849">
      <c r="B1849" s="13"/>
      <c r="C1849" s="13"/>
      <c r="D1849" s="12"/>
      <c r="E1849" s="13"/>
    </row>
    <row r="1850">
      <c r="B1850" s="13"/>
      <c r="C1850" s="13"/>
      <c r="D1850" s="12"/>
      <c r="E1850" s="13"/>
    </row>
    <row r="1851">
      <c r="B1851" s="13"/>
      <c r="C1851" s="13"/>
      <c r="D1851" s="12"/>
      <c r="E1851" s="13"/>
    </row>
    <row r="1852">
      <c r="B1852" s="13"/>
      <c r="C1852" s="13"/>
      <c r="D1852" s="12"/>
      <c r="E1852" s="13"/>
    </row>
    <row r="1853">
      <c r="B1853" s="13"/>
      <c r="C1853" s="13"/>
      <c r="D1853" s="12"/>
      <c r="E1853" s="13"/>
    </row>
    <row r="1854">
      <c r="B1854" s="13"/>
      <c r="C1854" s="13"/>
      <c r="D1854" s="12"/>
      <c r="E1854" s="13"/>
    </row>
    <row r="1855">
      <c r="B1855" s="13"/>
      <c r="C1855" s="13"/>
      <c r="D1855" s="13"/>
      <c r="E1855" s="13"/>
    </row>
    <row r="1856">
      <c r="B1856" s="13"/>
      <c r="C1856" s="13"/>
      <c r="D1856" s="13"/>
      <c r="E1856" s="13"/>
    </row>
    <row r="1857">
      <c r="B1857" s="13"/>
      <c r="C1857" s="13"/>
      <c r="D1857" s="13"/>
      <c r="E1857" s="13"/>
    </row>
    <row r="1858">
      <c r="B1858" s="13"/>
      <c r="C1858" s="13"/>
      <c r="D1858" s="13"/>
      <c r="E1858" s="13"/>
    </row>
    <row r="1859">
      <c r="B1859" s="13"/>
      <c r="C1859" s="13"/>
      <c r="D1859" s="13"/>
      <c r="E1859" s="13"/>
    </row>
    <row r="1860">
      <c r="B1860" s="13"/>
      <c r="C1860" s="13"/>
      <c r="D1860" s="13"/>
      <c r="E1860" s="13"/>
    </row>
    <row r="1861">
      <c r="B1861" s="13"/>
      <c r="C1861" s="13"/>
      <c r="D1861" s="13"/>
      <c r="E1861" s="13"/>
    </row>
    <row r="1862">
      <c r="B1862" s="13"/>
      <c r="C1862" s="13"/>
      <c r="D1862" s="13"/>
      <c r="E1862" s="13"/>
    </row>
    <row r="1863">
      <c r="B1863" s="13"/>
      <c r="C1863" s="13"/>
      <c r="D1863" s="13"/>
      <c r="E1863" s="13"/>
    </row>
    <row r="1864">
      <c r="B1864" s="13"/>
      <c r="C1864" s="13"/>
      <c r="D1864" s="13"/>
      <c r="E1864" s="13"/>
    </row>
    <row r="1865">
      <c r="B1865" s="13"/>
      <c r="C1865" s="13"/>
      <c r="D1865" s="13"/>
      <c r="E1865" s="13"/>
    </row>
    <row r="1866">
      <c r="B1866" s="13"/>
      <c r="C1866" s="13"/>
      <c r="D1866" s="13"/>
      <c r="E1866" s="13"/>
    </row>
    <row r="1867">
      <c r="B1867" s="13"/>
      <c r="C1867" s="13"/>
      <c r="D1867" s="13"/>
      <c r="E1867" s="13"/>
    </row>
    <row r="1868">
      <c r="B1868" s="13"/>
      <c r="C1868" s="13"/>
      <c r="D1868" s="13"/>
      <c r="E1868" s="13"/>
    </row>
    <row r="1869">
      <c r="B1869" s="13"/>
      <c r="C1869" s="13"/>
      <c r="D1869" s="13"/>
      <c r="E1869" s="13"/>
    </row>
    <row r="1870">
      <c r="B1870" s="13"/>
      <c r="C1870" s="13"/>
      <c r="D1870" s="13"/>
      <c r="E1870" s="13"/>
    </row>
    <row r="1871">
      <c r="B1871" s="13"/>
      <c r="C1871" s="13"/>
      <c r="D1871" s="13"/>
      <c r="E1871" s="13"/>
    </row>
    <row r="1872">
      <c r="B1872" s="13"/>
      <c r="C1872" s="13"/>
      <c r="D1872" s="13"/>
      <c r="E1872" s="13"/>
    </row>
    <row r="1873">
      <c r="B1873" s="13"/>
      <c r="C1873" s="13"/>
      <c r="D1873" s="13"/>
      <c r="E1873" s="13"/>
    </row>
    <row r="1874">
      <c r="B1874" s="13"/>
      <c r="C1874" s="13"/>
      <c r="D1874" s="13"/>
      <c r="E1874" s="13"/>
    </row>
    <row r="1875">
      <c r="B1875" s="13"/>
      <c r="C1875" s="13"/>
      <c r="D1875" s="13"/>
      <c r="E1875" s="13"/>
    </row>
    <row r="1876">
      <c r="B1876" s="13"/>
      <c r="C1876" s="13"/>
      <c r="D1876" s="13"/>
      <c r="E1876" s="13"/>
    </row>
    <row r="1877">
      <c r="B1877" s="13"/>
      <c r="C1877" s="13"/>
      <c r="D1877" s="13"/>
      <c r="E1877" s="13"/>
    </row>
    <row r="1878">
      <c r="B1878" s="13"/>
      <c r="C1878" s="13"/>
      <c r="D1878" s="13"/>
      <c r="E1878" s="13"/>
    </row>
    <row r="1879">
      <c r="B1879" s="13"/>
      <c r="C1879" s="13"/>
      <c r="D1879" s="13"/>
      <c r="E1879" s="13"/>
    </row>
    <row r="1880">
      <c r="B1880" s="13"/>
      <c r="C1880" s="13"/>
      <c r="D1880" s="13"/>
      <c r="E1880" s="13"/>
    </row>
    <row r="1881">
      <c r="B1881" s="13"/>
      <c r="C1881" s="13"/>
      <c r="D1881" s="13"/>
      <c r="E1881" s="13"/>
    </row>
    <row r="1882">
      <c r="B1882" s="13"/>
      <c r="C1882" s="13"/>
      <c r="D1882" s="13"/>
      <c r="E1882" s="13"/>
    </row>
    <row r="1883">
      <c r="B1883" s="13"/>
      <c r="C1883" s="13"/>
      <c r="D1883" s="13"/>
      <c r="E1883" s="13"/>
    </row>
    <row r="1884">
      <c r="B1884" s="13"/>
      <c r="C1884" s="13"/>
      <c r="D1884" s="13"/>
      <c r="E1884" s="13"/>
    </row>
    <row r="1885">
      <c r="B1885" s="13"/>
      <c r="C1885" s="13"/>
      <c r="D1885" s="13"/>
      <c r="E1885" s="13"/>
    </row>
    <row r="1886">
      <c r="B1886" s="13"/>
      <c r="C1886" s="13"/>
      <c r="D1886" s="13"/>
      <c r="E1886" s="13"/>
    </row>
    <row r="1887">
      <c r="B1887" s="13"/>
      <c r="C1887" s="13"/>
      <c r="D1887" s="13"/>
      <c r="E1887" s="13"/>
    </row>
    <row r="1888">
      <c r="B1888" s="13"/>
      <c r="C1888" s="13"/>
      <c r="D1888" s="13"/>
      <c r="E1888" s="13"/>
    </row>
    <row r="1889">
      <c r="B1889" s="13"/>
      <c r="C1889" s="13"/>
      <c r="D1889" s="13"/>
      <c r="E1889" s="13"/>
    </row>
    <row r="1890">
      <c r="B1890" s="13"/>
      <c r="C1890" s="13"/>
      <c r="D1890" s="13"/>
      <c r="E1890" s="13"/>
    </row>
    <row r="1891">
      <c r="B1891" s="13"/>
      <c r="C1891" s="13"/>
      <c r="D1891" s="13"/>
      <c r="E1891" s="13"/>
    </row>
    <row r="1892">
      <c r="B1892" s="13"/>
      <c r="C1892" s="13"/>
      <c r="D1892" s="13"/>
      <c r="E1892" s="13"/>
    </row>
    <row r="1893">
      <c r="B1893" s="13"/>
      <c r="C1893" s="13"/>
      <c r="D1893" s="13"/>
      <c r="E1893" s="13"/>
    </row>
    <row r="1894">
      <c r="B1894" s="13"/>
      <c r="C1894" s="13"/>
      <c r="D1894" s="13"/>
      <c r="E1894" s="13"/>
    </row>
    <row r="1895">
      <c r="B1895" s="13"/>
      <c r="C1895" s="13"/>
      <c r="D1895" s="13"/>
      <c r="E1895" s="13"/>
    </row>
    <row r="1896">
      <c r="B1896" s="13"/>
      <c r="C1896" s="13"/>
      <c r="D1896" s="13"/>
      <c r="E1896" s="13"/>
    </row>
    <row r="1897">
      <c r="B1897" s="13"/>
      <c r="C1897" s="13"/>
      <c r="D1897" s="13"/>
      <c r="E1897" s="13"/>
    </row>
    <row r="1898">
      <c r="B1898" s="13"/>
      <c r="C1898" s="13"/>
      <c r="D1898" s="13"/>
      <c r="E1898" s="13"/>
    </row>
    <row r="1899">
      <c r="B1899" s="13"/>
      <c r="C1899" s="13"/>
      <c r="D1899" s="13"/>
      <c r="E1899" s="13"/>
    </row>
    <row r="1900">
      <c r="B1900" s="13"/>
      <c r="C1900" s="13"/>
      <c r="D1900" s="13"/>
      <c r="E1900" s="13"/>
    </row>
    <row r="1901">
      <c r="B1901" s="13"/>
      <c r="C1901" s="13"/>
      <c r="D1901" s="13"/>
      <c r="E1901" s="13"/>
    </row>
    <row r="1902">
      <c r="B1902" s="13"/>
      <c r="C1902" s="13"/>
      <c r="D1902" s="13"/>
      <c r="E1902" s="13"/>
    </row>
    <row r="1903">
      <c r="B1903" s="13"/>
      <c r="C1903" s="13"/>
      <c r="D1903" s="13"/>
      <c r="E1903" s="13"/>
    </row>
    <row r="1904">
      <c r="B1904" s="13"/>
      <c r="C1904" s="13"/>
      <c r="D1904" s="13"/>
      <c r="E1904" s="13"/>
    </row>
    <row r="1905">
      <c r="B1905" s="13"/>
      <c r="C1905" s="13"/>
      <c r="D1905" s="13"/>
      <c r="E1905" s="13"/>
    </row>
    <row r="1906">
      <c r="B1906" s="13"/>
      <c r="C1906" s="13"/>
      <c r="D1906" s="13"/>
      <c r="E1906" s="13"/>
    </row>
    <row r="1907">
      <c r="B1907" s="13"/>
      <c r="C1907" s="13"/>
      <c r="D1907" s="13"/>
      <c r="E1907" s="13"/>
    </row>
    <row r="1908">
      <c r="B1908" s="13"/>
      <c r="C1908" s="13"/>
      <c r="D1908" s="13"/>
      <c r="E1908" s="13"/>
    </row>
    <row r="1909">
      <c r="B1909" s="13"/>
      <c r="C1909" s="13"/>
      <c r="D1909" s="13"/>
      <c r="E1909" s="13"/>
    </row>
    <row r="1910">
      <c r="B1910" s="13"/>
      <c r="C1910" s="13"/>
      <c r="D1910" s="13"/>
      <c r="E1910" s="13"/>
    </row>
    <row r="1911">
      <c r="B1911" s="13"/>
      <c r="C1911" s="13"/>
      <c r="D1911" s="13"/>
      <c r="E1911" s="13"/>
    </row>
    <row r="1912">
      <c r="B1912" s="13"/>
      <c r="C1912" s="13"/>
      <c r="D1912" s="13"/>
      <c r="E1912" s="13"/>
    </row>
    <row r="1913">
      <c r="B1913" s="13"/>
      <c r="C1913" s="13"/>
      <c r="D1913" s="13"/>
      <c r="E1913" s="13"/>
    </row>
    <row r="1914">
      <c r="B1914" s="13"/>
      <c r="C1914" s="13"/>
      <c r="D1914" s="13"/>
      <c r="E1914" s="13"/>
    </row>
    <row r="1915">
      <c r="B1915" s="13"/>
      <c r="C1915" s="13"/>
      <c r="D1915" s="13"/>
      <c r="E1915" s="13"/>
    </row>
    <row r="1916">
      <c r="B1916" s="13"/>
      <c r="C1916" s="13"/>
      <c r="D1916" s="13"/>
      <c r="E1916" s="13"/>
    </row>
    <row r="1917">
      <c r="B1917" s="13"/>
      <c r="C1917" s="13"/>
      <c r="D1917" s="13"/>
      <c r="E1917" s="13"/>
    </row>
    <row r="1918">
      <c r="B1918" s="13"/>
      <c r="C1918" s="13"/>
      <c r="D1918" s="13"/>
      <c r="E1918" s="13"/>
    </row>
    <row r="1919">
      <c r="B1919" s="13"/>
      <c r="C1919" s="13"/>
      <c r="D1919" s="13"/>
      <c r="E1919" s="13"/>
    </row>
    <row r="1920">
      <c r="B1920" s="13"/>
      <c r="C1920" s="13"/>
      <c r="D1920" s="13"/>
      <c r="E1920" s="13"/>
    </row>
    <row r="1921">
      <c r="B1921" s="13"/>
      <c r="C1921" s="13"/>
      <c r="D1921" s="13"/>
      <c r="E1921" s="13"/>
    </row>
    <row r="1922">
      <c r="B1922" s="13"/>
      <c r="C1922" s="13"/>
      <c r="D1922" s="13"/>
      <c r="E1922" s="13"/>
    </row>
    <row r="1923">
      <c r="B1923" s="13"/>
      <c r="C1923" s="13"/>
      <c r="D1923" s="13"/>
      <c r="E1923" s="13"/>
    </row>
    <row r="1924">
      <c r="B1924" s="13"/>
      <c r="C1924" s="13"/>
      <c r="D1924" s="13"/>
      <c r="E1924" s="13"/>
    </row>
    <row r="1925">
      <c r="B1925" s="13"/>
      <c r="C1925" s="13"/>
      <c r="D1925" s="13"/>
      <c r="E1925" s="13"/>
    </row>
    <row r="1926">
      <c r="B1926" s="13"/>
      <c r="C1926" s="13"/>
      <c r="D1926" s="13"/>
      <c r="E1926" s="13"/>
    </row>
    <row r="1927">
      <c r="B1927" s="13"/>
      <c r="C1927" s="13"/>
      <c r="D1927" s="13"/>
      <c r="E1927" s="13"/>
    </row>
    <row r="1928">
      <c r="B1928" s="13"/>
      <c r="C1928" s="13"/>
      <c r="D1928" s="13"/>
      <c r="E1928" s="13"/>
    </row>
    <row r="1929">
      <c r="B1929" s="13"/>
      <c r="C1929" s="13"/>
      <c r="D1929" s="13"/>
      <c r="E1929" s="13"/>
    </row>
    <row r="1930">
      <c r="B1930" s="13"/>
      <c r="C1930" s="13"/>
      <c r="D1930" s="13"/>
      <c r="E1930" s="13"/>
    </row>
    <row r="1931">
      <c r="B1931" s="13"/>
      <c r="C1931" s="13"/>
      <c r="D1931" s="13"/>
      <c r="E1931" s="13"/>
    </row>
    <row r="1932">
      <c r="B1932" s="13"/>
      <c r="C1932" s="13"/>
      <c r="D1932" s="13"/>
      <c r="E1932" s="13"/>
    </row>
    <row r="1933">
      <c r="B1933" s="13"/>
      <c r="C1933" s="13"/>
      <c r="D1933" s="13"/>
      <c r="E1933" s="13"/>
    </row>
    <row r="1934">
      <c r="B1934" s="13"/>
      <c r="C1934" s="13"/>
      <c r="D1934" s="13"/>
      <c r="E1934" s="13"/>
    </row>
    <row r="1935">
      <c r="B1935" s="13"/>
      <c r="C1935" s="13"/>
      <c r="D1935" s="13"/>
      <c r="E1935" s="13"/>
    </row>
    <row r="1936">
      <c r="B1936" s="13"/>
      <c r="C1936" s="13"/>
      <c r="D1936" s="13"/>
      <c r="E1936" s="13"/>
    </row>
    <row r="1937">
      <c r="B1937" s="13"/>
      <c r="C1937" s="13"/>
      <c r="D1937" s="13"/>
      <c r="E1937" s="13"/>
    </row>
    <row r="1938">
      <c r="B1938" s="13"/>
      <c r="C1938" s="13"/>
      <c r="D1938" s="13"/>
      <c r="E1938" s="13"/>
    </row>
    <row r="1939">
      <c r="B1939" s="13"/>
      <c r="C1939" s="13"/>
      <c r="D1939" s="13"/>
      <c r="E1939" s="13"/>
    </row>
    <row r="1940">
      <c r="B1940" s="13"/>
      <c r="C1940" s="13"/>
      <c r="D1940" s="13"/>
      <c r="E1940" s="13"/>
    </row>
    <row r="1941">
      <c r="B1941" s="13"/>
      <c r="C1941" s="13"/>
      <c r="D1941" s="13"/>
      <c r="E1941" s="13"/>
    </row>
    <row r="1942">
      <c r="B1942" s="13"/>
      <c r="C1942" s="13"/>
      <c r="D1942" s="13"/>
      <c r="E1942" s="13"/>
    </row>
    <row r="1943">
      <c r="B1943" s="13"/>
      <c r="C1943" s="13"/>
      <c r="D1943" s="13"/>
      <c r="E1943" s="13"/>
    </row>
    <row r="1944">
      <c r="B1944" s="13"/>
      <c r="C1944" s="13"/>
      <c r="D1944" s="13"/>
      <c r="E1944" s="13"/>
    </row>
    <row r="1945">
      <c r="B1945" s="13"/>
      <c r="C1945" s="13"/>
      <c r="D1945" s="13"/>
      <c r="E1945" s="13"/>
    </row>
    <row r="1946">
      <c r="B1946" s="13"/>
      <c r="C1946" s="13"/>
      <c r="D1946" s="13"/>
      <c r="E1946" s="13"/>
    </row>
    <row r="1947">
      <c r="B1947" s="13"/>
      <c r="C1947" s="13"/>
      <c r="D1947" s="13"/>
      <c r="E1947" s="13"/>
    </row>
    <row r="1948">
      <c r="B1948" s="13"/>
      <c r="C1948" s="13"/>
      <c r="D1948" s="13"/>
      <c r="E1948" s="13"/>
    </row>
    <row r="1949">
      <c r="B1949" s="13"/>
      <c r="C1949" s="13"/>
      <c r="D1949" s="13"/>
      <c r="E1949" s="13"/>
    </row>
    <row r="1950">
      <c r="B1950" s="13"/>
      <c r="C1950" s="13"/>
      <c r="D1950" s="13"/>
      <c r="E1950" s="13"/>
    </row>
    <row r="1951">
      <c r="B1951" s="13"/>
      <c r="C1951" s="13"/>
      <c r="D1951" s="13"/>
      <c r="E1951" s="13"/>
    </row>
    <row r="1952">
      <c r="B1952" s="13"/>
      <c r="C1952" s="13"/>
      <c r="D1952" s="13"/>
      <c r="E1952" s="13"/>
    </row>
    <row r="1953">
      <c r="B1953" s="13"/>
      <c r="C1953" s="13"/>
      <c r="D1953" s="13"/>
      <c r="E1953" s="13"/>
    </row>
    <row r="1954">
      <c r="B1954" s="13"/>
      <c r="C1954" s="13"/>
      <c r="D1954" s="13"/>
      <c r="E1954" s="13"/>
    </row>
    <row r="1955">
      <c r="B1955" s="13"/>
      <c r="C1955" s="13"/>
      <c r="D1955" s="13"/>
      <c r="E1955" s="13"/>
    </row>
    <row r="1956">
      <c r="B1956" s="13"/>
      <c r="C1956" s="13"/>
      <c r="D1956" s="13"/>
      <c r="E1956" s="13"/>
    </row>
    <row r="1957">
      <c r="B1957" s="13"/>
      <c r="C1957" s="13"/>
      <c r="D1957" s="13"/>
      <c r="E1957" s="13"/>
    </row>
    <row r="1958">
      <c r="B1958" s="13"/>
      <c r="C1958" s="13"/>
      <c r="D1958" s="13"/>
      <c r="E1958" s="13"/>
    </row>
    <row r="1959">
      <c r="B1959" s="13"/>
      <c r="C1959" s="13"/>
      <c r="D1959" s="13"/>
      <c r="E1959" s="13"/>
    </row>
    <row r="1960">
      <c r="B1960" s="13"/>
      <c r="C1960" s="13"/>
      <c r="D1960" s="13"/>
      <c r="E1960" s="13"/>
    </row>
    <row r="1961">
      <c r="B1961" s="13"/>
      <c r="C1961" s="13"/>
      <c r="D1961" s="13"/>
      <c r="E1961" s="13"/>
    </row>
    <row r="1962">
      <c r="B1962" s="13"/>
      <c r="C1962" s="13"/>
      <c r="D1962" s="13"/>
      <c r="E1962" s="13"/>
    </row>
    <row r="1963">
      <c r="B1963" s="13"/>
      <c r="C1963" s="13"/>
      <c r="D1963" s="13"/>
      <c r="E1963" s="13"/>
    </row>
    <row r="1964">
      <c r="B1964" s="13"/>
      <c r="C1964" s="13"/>
      <c r="D1964" s="13"/>
      <c r="E1964" s="13"/>
    </row>
    <row r="1965">
      <c r="B1965" s="13"/>
      <c r="C1965" s="13"/>
      <c r="D1965" s="13"/>
      <c r="E1965" s="13"/>
    </row>
    <row r="1966">
      <c r="B1966" s="13"/>
      <c r="C1966" s="13"/>
      <c r="D1966" s="13"/>
      <c r="E1966" s="13"/>
    </row>
    <row r="1967">
      <c r="B1967" s="13"/>
      <c r="C1967" s="13"/>
      <c r="D1967" s="13"/>
      <c r="E1967" s="13"/>
    </row>
    <row r="1968">
      <c r="B1968" s="13"/>
      <c r="C1968" s="13"/>
      <c r="D1968" s="13"/>
      <c r="E1968" s="13"/>
    </row>
    <row r="1969">
      <c r="B1969" s="13"/>
      <c r="C1969" s="13"/>
      <c r="D1969" s="13"/>
      <c r="E1969" s="13"/>
    </row>
    <row r="1970">
      <c r="B1970" s="13"/>
      <c r="C1970" s="13"/>
      <c r="D1970" s="13"/>
      <c r="E1970" s="13"/>
    </row>
    <row r="1971">
      <c r="B1971" s="13"/>
      <c r="C1971" s="13"/>
      <c r="D1971" s="13"/>
      <c r="E1971" s="13"/>
    </row>
    <row r="1972">
      <c r="B1972" s="13"/>
      <c r="C1972" s="13"/>
      <c r="D1972" s="13"/>
      <c r="E1972" s="13"/>
    </row>
    <row r="1973">
      <c r="B1973" s="13"/>
      <c r="C1973" s="13"/>
      <c r="D1973" s="13"/>
      <c r="E1973" s="13"/>
    </row>
    <row r="1974">
      <c r="B1974" s="13"/>
      <c r="C1974" s="13"/>
      <c r="D1974" s="13"/>
      <c r="E1974" s="13"/>
    </row>
    <row r="1975">
      <c r="B1975" s="13"/>
      <c r="C1975" s="13"/>
      <c r="D1975" s="13"/>
      <c r="E1975" s="13"/>
    </row>
    <row r="1976">
      <c r="B1976" s="13"/>
      <c r="C1976" s="13"/>
      <c r="D1976" s="13"/>
      <c r="E1976" s="13"/>
    </row>
    <row r="1977">
      <c r="B1977" s="13"/>
      <c r="C1977" s="13"/>
      <c r="D1977" s="13"/>
      <c r="E1977" s="13"/>
    </row>
    <row r="1978">
      <c r="B1978" s="13"/>
      <c r="C1978" s="13"/>
      <c r="D1978" s="13"/>
      <c r="E1978" s="13"/>
    </row>
    <row r="1979">
      <c r="B1979" s="13"/>
      <c r="C1979" s="13"/>
      <c r="D1979" s="13"/>
      <c r="E1979" s="13"/>
    </row>
    <row r="1980">
      <c r="B1980" s="13"/>
      <c r="C1980" s="13"/>
      <c r="D1980" s="13"/>
      <c r="E1980" s="13"/>
    </row>
    <row r="1981">
      <c r="B1981" s="13"/>
      <c r="C1981" s="13"/>
      <c r="D1981" s="13"/>
      <c r="E1981" s="13"/>
    </row>
    <row r="1982">
      <c r="B1982" s="13"/>
      <c r="C1982" s="13"/>
      <c r="D1982" s="13"/>
      <c r="E1982" s="13"/>
    </row>
    <row r="1983">
      <c r="B1983" s="13"/>
      <c r="C1983" s="13"/>
      <c r="D1983" s="13"/>
      <c r="E1983" s="13"/>
    </row>
    <row r="1984">
      <c r="B1984" s="13"/>
      <c r="C1984" s="13"/>
      <c r="D1984" s="13"/>
      <c r="E1984" s="13"/>
    </row>
    <row r="1985">
      <c r="B1985" s="13"/>
      <c r="C1985" s="13"/>
      <c r="D1985" s="13"/>
      <c r="E1985" s="13"/>
    </row>
    <row r="1986">
      <c r="B1986" s="13"/>
      <c r="C1986" s="13"/>
      <c r="D1986" s="13"/>
      <c r="E1986" s="13"/>
    </row>
    <row r="1987">
      <c r="B1987" s="13"/>
      <c r="C1987" s="13"/>
      <c r="D1987" s="13"/>
      <c r="E1987" s="13"/>
    </row>
    <row r="1988">
      <c r="B1988" s="13"/>
      <c r="C1988" s="13"/>
      <c r="D1988" s="13"/>
      <c r="E1988" s="13"/>
    </row>
    <row r="1989">
      <c r="B1989" s="13"/>
      <c r="C1989" s="13"/>
      <c r="D1989" s="13"/>
      <c r="E1989" s="13"/>
    </row>
    <row r="1990">
      <c r="B1990" s="13"/>
      <c r="C1990" s="13"/>
      <c r="D1990" s="13"/>
      <c r="E1990" s="13"/>
    </row>
    <row r="1991">
      <c r="B1991" s="13"/>
      <c r="C1991" s="13"/>
      <c r="D1991" s="13"/>
      <c r="E1991" s="13"/>
    </row>
    <row r="1992">
      <c r="B1992" s="13"/>
      <c r="C1992" s="13"/>
      <c r="D1992" s="13"/>
      <c r="E1992" s="13"/>
    </row>
    <row r="1993">
      <c r="B1993" s="13"/>
      <c r="C1993" s="13"/>
      <c r="D1993" s="13"/>
      <c r="E1993" s="13"/>
    </row>
    <row r="1994">
      <c r="B1994" s="13"/>
      <c r="C1994" s="13"/>
      <c r="D1994" s="13"/>
      <c r="E1994" s="13"/>
    </row>
    <row r="1995">
      <c r="B1995" s="13"/>
      <c r="C1995" s="13"/>
      <c r="D1995" s="13"/>
      <c r="E1995" s="13"/>
    </row>
    <row r="1996">
      <c r="B1996" s="13"/>
      <c r="C1996" s="13"/>
      <c r="D1996" s="13"/>
      <c r="E1996" s="13"/>
    </row>
    <row r="1997">
      <c r="B1997" s="13"/>
      <c r="C1997" s="13"/>
      <c r="D1997" s="13"/>
      <c r="E1997" s="13"/>
    </row>
    <row r="1998">
      <c r="B1998" s="13"/>
      <c r="C1998" s="13"/>
      <c r="D1998" s="13"/>
      <c r="E1998" s="13"/>
    </row>
    <row r="1999">
      <c r="B1999" s="13"/>
      <c r="C1999" s="13"/>
      <c r="D1999" s="13"/>
      <c r="E1999" s="13"/>
    </row>
    <row r="2000">
      <c r="B2000" s="13"/>
      <c r="C2000" s="13"/>
      <c r="D2000" s="13"/>
      <c r="E2000" s="13"/>
    </row>
    <row r="2001">
      <c r="B2001" s="13"/>
      <c r="C2001" s="13"/>
      <c r="D2001" s="13"/>
      <c r="E2001" s="13"/>
    </row>
    <row r="2002">
      <c r="B2002" s="13"/>
      <c r="C2002" s="13"/>
      <c r="D2002" s="13"/>
      <c r="E2002" s="13"/>
    </row>
    <row r="2003">
      <c r="B2003" s="13"/>
      <c r="C2003" s="13"/>
      <c r="D2003" s="13"/>
      <c r="E2003" s="13"/>
    </row>
    <row r="2004">
      <c r="B2004" s="13"/>
      <c r="C2004" s="13"/>
      <c r="D2004" s="13"/>
      <c r="E2004" s="13"/>
    </row>
    <row r="2005">
      <c r="B2005" s="13"/>
      <c r="C2005" s="13"/>
      <c r="D2005" s="13"/>
      <c r="E2005" s="13"/>
    </row>
    <row r="2006">
      <c r="B2006" s="13"/>
      <c r="C2006" s="13"/>
      <c r="D2006" s="13"/>
      <c r="E2006" s="13"/>
    </row>
    <row r="2007">
      <c r="B2007" s="13"/>
      <c r="C2007" s="13"/>
      <c r="D2007" s="13"/>
      <c r="E2007" s="13"/>
    </row>
    <row r="2008">
      <c r="B2008" s="13"/>
      <c r="C2008" s="13"/>
      <c r="D2008" s="13"/>
      <c r="E2008" s="13"/>
    </row>
    <row r="2009">
      <c r="B2009" s="13"/>
      <c r="C2009" s="13"/>
      <c r="D2009" s="13"/>
      <c r="E2009" s="13"/>
    </row>
    <row r="2010">
      <c r="B2010" s="13"/>
      <c r="C2010" s="13"/>
      <c r="D2010" s="13"/>
      <c r="E2010" s="13"/>
    </row>
    <row r="2011">
      <c r="B2011" s="13"/>
      <c r="C2011" s="13"/>
      <c r="D2011" s="13"/>
      <c r="E2011" s="13"/>
    </row>
    <row r="2012">
      <c r="B2012" s="13"/>
      <c r="C2012" s="13"/>
      <c r="D2012" s="13"/>
      <c r="E2012" s="13"/>
    </row>
    <row r="2013">
      <c r="B2013" s="13"/>
      <c r="C2013" s="13"/>
      <c r="D2013" s="13"/>
      <c r="E2013" s="13"/>
    </row>
    <row r="2014">
      <c r="B2014" s="13"/>
      <c r="C2014" s="13"/>
      <c r="D2014" s="13"/>
      <c r="E2014" s="13"/>
    </row>
    <row r="2015">
      <c r="B2015" s="13"/>
      <c r="C2015" s="13"/>
      <c r="D2015" s="13"/>
      <c r="E2015" s="13"/>
    </row>
    <row r="2016">
      <c r="B2016" s="13"/>
      <c r="C2016" s="13"/>
      <c r="D2016" s="13"/>
      <c r="E2016" s="13"/>
    </row>
    <row r="2017">
      <c r="B2017" s="13"/>
      <c r="C2017" s="13"/>
      <c r="D2017" s="13"/>
      <c r="E2017" s="13"/>
    </row>
    <row r="2018">
      <c r="B2018" s="13"/>
      <c r="C2018" s="13"/>
      <c r="D2018" s="13"/>
      <c r="E2018" s="13"/>
    </row>
    <row r="2019">
      <c r="B2019" s="13"/>
      <c r="C2019" s="13"/>
      <c r="D2019" s="13"/>
      <c r="E2019" s="13"/>
    </row>
    <row r="2020">
      <c r="B2020" s="13"/>
      <c r="C2020" s="13"/>
      <c r="D2020" s="13"/>
      <c r="E2020" s="13"/>
    </row>
    <row r="2021">
      <c r="B2021" s="13"/>
      <c r="C2021" s="13"/>
      <c r="D2021" s="13"/>
      <c r="E2021" s="13"/>
    </row>
    <row r="2022">
      <c r="B2022" s="13"/>
      <c r="C2022" s="13"/>
      <c r="D2022" s="13"/>
      <c r="E2022" s="13"/>
    </row>
    <row r="2023">
      <c r="B2023" s="13"/>
      <c r="C2023" s="13"/>
      <c r="D2023" s="13"/>
      <c r="E2023" s="13"/>
    </row>
    <row r="2024">
      <c r="B2024" s="13"/>
      <c r="C2024" s="13"/>
      <c r="D2024" s="13"/>
      <c r="E2024" s="13"/>
    </row>
    <row r="2025">
      <c r="B2025" s="13"/>
      <c r="C2025" s="13"/>
      <c r="D2025" s="13"/>
      <c r="E2025" s="13"/>
    </row>
    <row r="2026">
      <c r="B2026" s="13"/>
      <c r="C2026" s="13"/>
      <c r="D2026" s="13"/>
      <c r="E2026" s="13"/>
    </row>
    <row r="2027">
      <c r="B2027" s="13"/>
      <c r="C2027" s="13"/>
      <c r="D2027" s="13"/>
      <c r="E2027" s="13"/>
    </row>
    <row r="2028">
      <c r="B2028" s="13"/>
      <c r="C2028" s="13"/>
      <c r="D2028" s="13"/>
      <c r="E2028" s="13"/>
    </row>
    <row r="2029">
      <c r="B2029" s="13"/>
      <c r="C2029" s="13"/>
      <c r="D2029" s="13"/>
      <c r="E2029" s="13"/>
    </row>
    <row r="2030">
      <c r="B2030" s="13"/>
      <c r="C2030" s="13"/>
      <c r="D2030" s="13"/>
      <c r="E2030" s="13"/>
    </row>
    <row r="2031">
      <c r="B2031" s="13"/>
      <c r="C2031" s="13"/>
      <c r="D2031" s="13"/>
      <c r="E2031" s="13"/>
    </row>
    <row r="2032">
      <c r="B2032" s="13"/>
      <c r="C2032" s="13"/>
      <c r="D2032" s="13"/>
      <c r="E2032" s="13"/>
    </row>
    <row r="2033">
      <c r="B2033" s="13"/>
      <c r="C2033" s="13"/>
      <c r="D2033" s="13"/>
      <c r="E2033" s="13"/>
    </row>
    <row r="2034">
      <c r="B2034" s="13"/>
      <c r="C2034" s="13"/>
      <c r="D2034" s="13"/>
      <c r="E2034" s="13"/>
    </row>
    <row r="2035">
      <c r="B2035" s="13"/>
      <c r="C2035" s="13"/>
      <c r="D2035" s="13"/>
      <c r="E2035" s="13"/>
    </row>
    <row r="2036">
      <c r="B2036" s="13"/>
      <c r="C2036" s="13"/>
      <c r="D2036" s="13"/>
      <c r="E2036" s="13"/>
    </row>
    <row r="2037">
      <c r="B2037" s="13"/>
      <c r="C2037" s="13"/>
      <c r="D2037" s="13"/>
      <c r="E2037" s="13"/>
    </row>
    <row r="2038">
      <c r="B2038" s="13"/>
      <c r="C2038" s="13"/>
      <c r="D2038" s="13"/>
      <c r="E2038" s="13"/>
    </row>
    <row r="2039">
      <c r="B2039" s="13"/>
      <c r="C2039" s="13"/>
      <c r="D2039" s="13"/>
      <c r="E2039" s="13"/>
    </row>
    <row r="2040">
      <c r="B2040" s="13"/>
      <c r="C2040" s="13"/>
      <c r="D2040" s="13"/>
      <c r="E2040" s="13"/>
    </row>
    <row r="2041">
      <c r="B2041" s="13"/>
      <c r="C2041" s="13"/>
      <c r="D2041" s="13"/>
      <c r="E2041" s="13"/>
    </row>
    <row r="2042">
      <c r="B2042" s="13"/>
      <c r="C2042" s="13"/>
      <c r="D2042" s="13"/>
      <c r="E2042" s="13"/>
    </row>
    <row r="2043">
      <c r="B2043" s="13"/>
      <c r="C2043" s="13"/>
      <c r="D2043" s="13"/>
      <c r="E2043" s="13"/>
    </row>
    <row r="2044">
      <c r="B2044" s="13"/>
      <c r="C2044" s="13"/>
      <c r="D2044" s="13"/>
      <c r="E2044" s="13"/>
    </row>
    <row r="2045">
      <c r="B2045" s="13"/>
      <c r="C2045" s="13"/>
      <c r="D2045" s="13"/>
      <c r="E2045" s="13"/>
    </row>
    <row r="2046">
      <c r="B2046" s="13"/>
      <c r="C2046" s="13"/>
      <c r="D2046" s="13"/>
      <c r="E2046" s="13"/>
    </row>
    <row r="2047">
      <c r="B2047" s="13"/>
      <c r="C2047" s="13"/>
      <c r="D2047" s="13"/>
      <c r="E2047" s="13"/>
    </row>
    <row r="2048">
      <c r="B2048" s="13"/>
      <c r="C2048" s="13"/>
      <c r="D2048" s="13"/>
      <c r="E2048" s="13"/>
    </row>
    <row r="2049">
      <c r="B2049" s="13"/>
      <c r="C2049" s="13"/>
      <c r="D2049" s="13"/>
      <c r="E2049" s="13"/>
    </row>
    <row r="2050">
      <c r="B2050" s="13"/>
      <c r="C2050" s="13"/>
      <c r="D2050" s="13"/>
      <c r="E2050" s="13"/>
    </row>
    <row r="2051">
      <c r="B2051" s="13"/>
      <c r="C2051" s="13"/>
      <c r="D2051" s="13"/>
      <c r="E2051" s="13"/>
    </row>
    <row r="2052">
      <c r="B2052" s="13"/>
      <c r="C2052" s="13"/>
      <c r="D2052" s="13"/>
      <c r="E2052" s="13"/>
    </row>
    <row r="2053">
      <c r="B2053" s="13"/>
      <c r="C2053" s="13"/>
      <c r="D2053" s="13"/>
      <c r="E2053" s="13"/>
    </row>
    <row r="2054">
      <c r="B2054" s="13"/>
      <c r="C2054" s="13"/>
      <c r="D2054" s="13"/>
      <c r="E2054" s="13"/>
    </row>
    <row r="2055">
      <c r="B2055" s="13"/>
      <c r="C2055" s="13"/>
      <c r="D2055" s="13"/>
      <c r="E2055" s="13"/>
    </row>
    <row r="2056">
      <c r="B2056" s="13"/>
      <c r="C2056" s="13"/>
      <c r="D2056" s="13"/>
      <c r="E2056" s="13"/>
    </row>
    <row r="2057">
      <c r="B2057" s="13"/>
      <c r="C2057" s="13"/>
      <c r="D2057" s="13"/>
      <c r="E2057" s="13"/>
    </row>
    <row r="2058">
      <c r="B2058" s="13"/>
      <c r="C2058" s="13"/>
      <c r="D2058" s="13"/>
      <c r="E2058" s="13"/>
    </row>
    <row r="2059">
      <c r="B2059" s="13"/>
      <c r="C2059" s="13"/>
      <c r="D2059" s="13"/>
      <c r="E2059" s="13"/>
    </row>
    <row r="2060">
      <c r="B2060" s="13"/>
      <c r="C2060" s="13"/>
      <c r="D2060" s="13"/>
      <c r="E2060" s="13"/>
    </row>
    <row r="2061">
      <c r="B2061" s="13"/>
      <c r="C2061" s="13"/>
      <c r="D2061" s="13"/>
      <c r="E2061" s="13"/>
    </row>
    <row r="2062">
      <c r="B2062" s="13"/>
      <c r="C2062" s="13"/>
      <c r="D2062" s="13"/>
      <c r="E2062" s="13"/>
    </row>
    <row r="2063">
      <c r="B2063" s="13"/>
      <c r="C2063" s="13"/>
      <c r="D2063" s="13"/>
      <c r="E2063" s="13"/>
    </row>
    <row r="2064">
      <c r="B2064" s="13"/>
      <c r="C2064" s="13"/>
      <c r="D2064" s="13"/>
      <c r="E2064" s="13"/>
    </row>
    <row r="2065">
      <c r="B2065" s="13"/>
      <c r="C2065" s="13"/>
      <c r="D2065" s="13"/>
      <c r="E2065" s="13"/>
    </row>
    <row r="2066">
      <c r="B2066" s="13"/>
      <c r="C2066" s="13"/>
      <c r="D2066" s="13"/>
      <c r="E2066" s="13"/>
    </row>
    <row r="2067">
      <c r="B2067" s="13"/>
      <c r="C2067" s="13"/>
      <c r="D2067" s="13"/>
      <c r="E2067" s="13"/>
    </row>
    <row r="2068">
      <c r="B2068" s="13"/>
      <c r="C2068" s="13"/>
      <c r="D2068" s="13"/>
      <c r="E2068" s="13"/>
    </row>
    <row r="2069">
      <c r="B2069" s="13"/>
      <c r="C2069" s="13"/>
      <c r="D2069" s="13"/>
      <c r="E2069" s="13"/>
    </row>
    <row r="2070">
      <c r="B2070" s="13"/>
      <c r="C2070" s="13"/>
      <c r="D2070" s="13"/>
      <c r="E2070" s="13"/>
    </row>
    <row r="2071">
      <c r="B2071" s="13"/>
      <c r="C2071" s="13"/>
      <c r="D2071" s="13"/>
      <c r="E2071" s="13"/>
    </row>
    <row r="2072">
      <c r="B2072" s="13"/>
      <c r="C2072" s="13"/>
      <c r="D2072" s="13"/>
      <c r="E2072" s="13"/>
    </row>
    <row r="2073">
      <c r="B2073" s="13"/>
      <c r="C2073" s="13"/>
      <c r="D2073" s="13"/>
      <c r="E2073" s="13"/>
    </row>
    <row r="2074">
      <c r="B2074" s="13"/>
      <c r="C2074" s="13"/>
      <c r="D2074" s="13"/>
      <c r="E2074" s="13"/>
    </row>
  </sheetData>
  <autoFilter ref="$A$1:$Z$2074"/>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C9"/>
    <hyperlink r:id="rId17" ref="A10"/>
    <hyperlink r:id="rId18" ref="C10"/>
    <hyperlink r:id="rId19" ref="A11"/>
    <hyperlink r:id="rId20" ref="C11"/>
    <hyperlink r:id="rId21" ref="A12"/>
    <hyperlink r:id="rId22" ref="C12"/>
    <hyperlink r:id="rId23" ref="A13"/>
    <hyperlink r:id="rId24" ref="C13"/>
    <hyperlink r:id="rId25" location=":~:text=This%20sits%20alongside%20a%20mature%20technical%20SEO,of%20the%20discipline.%20%2D%20Jaywing.%20Best%20for." ref="A14"/>
    <hyperlink r:id="rId26" ref="C14"/>
    <hyperlink r:id="rId27" ref="A15"/>
    <hyperlink r:id="rId28" ref="C15"/>
    <hyperlink r:id="rId29" ref="A16"/>
    <hyperlink r:id="rId30" ref="C16"/>
    <hyperlink r:id="rId31" ref="A17"/>
    <hyperlink r:id="rId32" ref="C17"/>
    <hyperlink r:id="rId33" ref="A18"/>
    <hyperlink r:id="rId34" ref="C18"/>
    <hyperlink r:id="rId35" ref="A19"/>
    <hyperlink r:id="rId36" ref="C19"/>
    <hyperlink r:id="rId37" ref="A20"/>
    <hyperlink r:id="rId38" ref="C20"/>
    <hyperlink r:id="rId39" ref="A21"/>
    <hyperlink r:id="rId40" ref="C21"/>
    <hyperlink r:id="rId41" ref="A22"/>
    <hyperlink r:id="rId42" ref="C22"/>
    <hyperlink r:id="rId43" ref="A23"/>
    <hyperlink r:id="rId44" ref="C23"/>
    <hyperlink r:id="rId45" location=":~:text=farsiight%20is%20a%20digital%20marketing%20agency%20specializing,return%20on%20ad%20spend%20and%20customer%20acquisition." ref="A24"/>
    <hyperlink r:id="rId46" ref="C24"/>
    <hyperlink r:id="rId47" ref="A25"/>
    <hyperlink r:id="rId48" ref="C25"/>
    <hyperlink r:id="rId49" ref="A26"/>
    <hyperlink r:id="rId50" ref="C26"/>
    <hyperlink r:id="rId51" ref="A27"/>
    <hyperlink r:id="rId52" ref="C27"/>
    <hyperlink r:id="rId53" ref="A28"/>
    <hyperlink r:id="rId54" ref="C28"/>
    <hyperlink r:id="rId55" ref="A29"/>
    <hyperlink r:id="rId56" ref="C29"/>
    <hyperlink r:id="rId57" ref="A30"/>
    <hyperlink r:id="rId58" ref="C30"/>
    <hyperlink r:id="rId59" ref="A31"/>
    <hyperlink r:id="rId60" ref="C31"/>
    <hyperlink r:id="rId61" ref="A32"/>
    <hyperlink r:id="rId62" ref="C32"/>
    <hyperlink r:id="rId63" ref="A33"/>
    <hyperlink r:id="rId64" ref="C33"/>
    <hyperlink r:id="rId65" ref="A34"/>
    <hyperlink r:id="rId66" ref="C34"/>
    <hyperlink r:id="rId67" location=":~:text=Kamexa%20is%20often%20ranked%20among%20top%20AI,businesses%20that%20want%20deep%20AI%20implementation.%203." ref="A35"/>
    <hyperlink r:id="rId68" ref="C35"/>
    <hyperlink r:id="rId69" ref="A36"/>
    <hyperlink r:id="rId70" ref="C36"/>
    <hyperlink r:id="rId71" ref="A37"/>
    <hyperlink r:id="rId72" ref="C37"/>
    <hyperlink r:id="rId73" ref="A38"/>
    <hyperlink r:id="rId74" ref="C38"/>
    <hyperlink r:id="rId75" ref="A39"/>
    <hyperlink r:id="rId76" ref="C39"/>
    <hyperlink r:id="rId77" ref="A40"/>
    <hyperlink r:id="rId78" ref="C40"/>
    <hyperlink r:id="rId79" ref="A41"/>
    <hyperlink r:id="rId80" ref="C41"/>
    <hyperlink r:id="rId81" ref="A42"/>
    <hyperlink r:id="rId82" ref="C42"/>
    <hyperlink r:id="rId83" ref="A43"/>
    <hyperlink r:id="rId84" ref="C43"/>
    <hyperlink r:id="rId85" ref="A44"/>
    <hyperlink r:id="rId86" ref="C44"/>
    <hyperlink r:id="rId87" ref="A45"/>
    <hyperlink r:id="rId88" ref="C45"/>
    <hyperlink r:id="rId89" location=":~:text=Their%20team%20takes%20an%20evidence%2Dbased%20approach%2C%20using,%26%20PPC%2C%20CRO%2C%20digital%20strategy%2C%20content%20optimisation." ref="A46"/>
    <hyperlink r:id="rId90" ref="C46"/>
    <hyperlink r:id="rId91" ref="A47"/>
    <hyperlink r:id="rId92" ref="C47"/>
    <hyperlink r:id="rId93" ref="A48"/>
    <hyperlink r:id="rId94" ref="C48"/>
    <hyperlink r:id="rId95" ref="A49"/>
    <hyperlink r:id="rId96" ref="C49"/>
    <hyperlink r:id="rId97" ref="A50"/>
    <hyperlink r:id="rId98" ref="C50"/>
    <hyperlink r:id="rId99" ref="A51"/>
    <hyperlink r:id="rId100" ref="C51"/>
    <hyperlink r:id="rId101" ref="A52"/>
    <hyperlink r:id="rId102" ref="C52"/>
    <hyperlink r:id="rId103" ref="A53"/>
    <hyperlink r:id="rId104" ref="C53"/>
    <hyperlink r:id="rId105" ref="A54"/>
    <hyperlink r:id="rId106" ref="C54"/>
    <hyperlink r:id="rId107" ref="A55"/>
    <hyperlink r:id="rId108" ref="C55"/>
    <hyperlink r:id="rId109" ref="A56"/>
    <hyperlink r:id="rId110" ref="C56"/>
    <hyperlink r:id="rId111" ref="A57"/>
    <hyperlink r:id="rId112" ref="C57"/>
    <hyperlink r:id="rId113" ref="A58"/>
    <hyperlink r:id="rId114" ref="C58"/>
    <hyperlink r:id="rId115" ref="A59"/>
    <hyperlink r:id="rId116" ref="C59"/>
    <hyperlink r:id="rId117" ref="A60"/>
    <hyperlink r:id="rId118" ref="C60"/>
    <hyperlink r:id="rId119" ref="A61"/>
    <hyperlink r:id="rId120" ref="C61"/>
    <hyperlink r:id="rId121" ref="A62"/>
    <hyperlink r:id="rId122" ref="C62"/>
    <hyperlink r:id="rId123" ref="A63"/>
    <hyperlink r:id="rId124" ref="C63"/>
    <hyperlink r:id="rId125" ref="A64"/>
    <hyperlink r:id="rId126" ref="C64"/>
    <hyperlink r:id="rId127" ref="A65"/>
    <hyperlink r:id="rId128" ref="C65"/>
    <hyperlink r:id="rId129" location=":~:text=HERO%20dominated%20the%20new%20AdNews%20category%20with,2026%20AdNews%20Independent%20Agency%20of%20the%20Year." ref="A66"/>
    <hyperlink r:id="rId130" ref="C66"/>
    <hyperlink r:id="rId131" ref="A67"/>
    <hyperlink r:id="rId132" ref="C67"/>
    <hyperlink r:id="rId133" ref="A68"/>
    <hyperlink r:id="rId134" ref="C68"/>
    <hyperlink r:id="rId135" location=":~:text=Luminary%20is%20one%20of%20the%20most%20established,where%20UX%2C%20accessibility%2C%20and%20governance%20are%20critical." ref="A69"/>
    <hyperlink r:id="rId136" location=":~:text=Our%20marketing%20performance%20measurement%20capabilities%20range%20from,of%20the%20most%20accoladed%20Google%20Premier%20Partners."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C83"/>
    <hyperlink r:id="rId164" location=":~:text=AI%20Agency%20%7C%20Absolutely%20AI.%20AI%20Agency.,The%20team%20behind%20your%20favourite%20AI%20Agency." ref="A84"/>
    <hyperlink r:id="rId165" ref="C84"/>
    <hyperlink r:id="rId166" ref="A85"/>
    <hyperlink r:id="rId167" ref="C85"/>
    <hyperlink r:id="rId168" ref="A86"/>
    <hyperlink r:id="rId169" ref="C86"/>
    <hyperlink r:id="rId170" ref="A87"/>
    <hyperlink r:id="rId171" ref="C87"/>
    <hyperlink r:id="rId172" ref="A88"/>
    <hyperlink r:id="rId173" ref="C88"/>
    <hyperlink r:id="rId174" ref="A89"/>
    <hyperlink r:id="rId175" ref="C89"/>
    <hyperlink r:id="rId176" location=":~:text=Quick%20answer.%20Australia's%20best%20AI%20consulting%20firm,for%20secure%20Microsoft%20365%20and%20Copilot%20adoption." ref="A90"/>
    <hyperlink r:id="rId177" ref="C90"/>
    <hyperlink r:id="rId178" ref="A91"/>
    <hyperlink r:id="rId179" ref="C91"/>
    <hyperlink r:id="rId180" ref="A92"/>
    <hyperlink r:id="rId181" ref="C92"/>
    <hyperlink r:id="rId182" ref="A93"/>
    <hyperlink r:id="rId183" ref="C93"/>
    <hyperlink r:id="rId184" ref="A94"/>
    <hyperlink r:id="rId185" ref="C94"/>
    <hyperlink r:id="rId186" ref="A95"/>
    <hyperlink r:id="rId187" ref="C95"/>
    <hyperlink r:id="rId188" ref="A96"/>
    <hyperlink r:id="rId189" ref="C96"/>
    <hyperlink r:id="rId190" ref="A97"/>
    <hyperlink r:id="rId191" ref="C97"/>
    <hyperlink r:id="rId192" location=":~:text=Generative%20Engine%20Optimisation%20that%20drives%20next%2Dgen%20visibility.,one%20AI%20tools%20trust%2C%20reference%2C%20and%20cite." ref="A98"/>
    <hyperlink r:id="rId193" ref="C98"/>
    <hyperlink r:id="rId194" ref="A99"/>
    <hyperlink r:id="rId195" ref="C99"/>
    <hyperlink r:id="rId196" ref="A100"/>
    <hyperlink r:id="rId197" ref="C100"/>
    <hyperlink r:id="rId198" ref="A101"/>
    <hyperlink r:id="rId199" ref="C101"/>
    <hyperlink r:id="rId200" ref="A102"/>
    <hyperlink r:id="rId201" ref="C102"/>
    <hyperlink r:id="rId202" ref="A103"/>
    <hyperlink r:id="rId203" ref="C103"/>
    <hyperlink r:id="rId204" ref="A104"/>
    <hyperlink r:id="rId205" ref="C104"/>
    <hyperlink r:id="rId206" ref="A105"/>
    <hyperlink r:id="rId207" ref="C105"/>
    <hyperlink r:id="rId208" ref="A106"/>
    <hyperlink r:id="rId209" ref="C106"/>
    <hyperlink r:id="rId210" ref="A107"/>
    <hyperlink r:id="rId211" ref="C107"/>
    <hyperlink r:id="rId212" ref="A108"/>
    <hyperlink r:id="rId213" ref="C108"/>
    <hyperlink r:id="rId214" ref="A109"/>
    <hyperlink r:id="rId215" ref="C109"/>
    <hyperlink r:id="rId216" ref="A110"/>
    <hyperlink r:id="rId217" ref="C110"/>
    <hyperlink r:id="rId218" ref="A111"/>
    <hyperlink r:id="rId219" ref="C111"/>
    <hyperlink r:id="rId220" location=":~:text=We've%20spent%2010%2B%20years%20building%20the%20technical,and%20a%20future%2Dfacing%20strategy%20in%20one%20campaign." ref="A112"/>
    <hyperlink r:id="rId221" ref="C112"/>
    <hyperlink r:id="rId222" ref="A113"/>
    <hyperlink r:id="rId223" ref="C113"/>
    <hyperlink r:id="rId224" ref="A114"/>
    <hyperlink r:id="rId225" ref="C114"/>
    <hyperlink r:id="rId226" ref="A115"/>
    <hyperlink r:id="rId227" ref="C115"/>
    <hyperlink r:id="rId228" ref="A116"/>
    <hyperlink r:id="rId229" ref="C116"/>
    <hyperlink r:id="rId230" ref="A117"/>
    <hyperlink r:id="rId231" ref="C117"/>
    <hyperlink r:id="rId232" ref="A118"/>
    <hyperlink r:id="rId233" ref="C118"/>
    <hyperlink r:id="rId234" ref="A119"/>
    <hyperlink r:id="rId235" ref="C119"/>
    <hyperlink r:id="rId236" ref="A120"/>
    <hyperlink r:id="rId237" ref="C120"/>
    <hyperlink r:id="rId238" ref="A121"/>
    <hyperlink r:id="rId239" ref="C121"/>
    <hyperlink r:id="rId240" ref="A122"/>
    <hyperlink r:id="rId241" ref="C122"/>
    <hyperlink r:id="rId242" ref="A123"/>
    <hyperlink r:id="rId243" ref="C123"/>
    <hyperlink r:id="rId244" ref="A124"/>
    <hyperlink r:id="rId245" ref="C124"/>
    <hyperlink r:id="rId246" ref="A125"/>
    <hyperlink r:id="rId247" ref="C125"/>
    <hyperlink r:id="rId248" ref="A126"/>
    <hyperlink r:id="rId249" ref="C126"/>
    <hyperlink r:id="rId250" ref="A127"/>
    <hyperlink r:id="rId251" ref="C127"/>
    <hyperlink r:id="rId252" ref="A128"/>
    <hyperlink r:id="rId253" ref="C128"/>
    <hyperlink r:id="rId254" ref="A129"/>
    <hyperlink r:id="rId255" ref="C129"/>
    <hyperlink r:id="rId256" ref="A130"/>
    <hyperlink r:id="rId257" ref="C130"/>
    <hyperlink r:id="rId258" ref="A131"/>
    <hyperlink r:id="rId259" ref="C131"/>
    <hyperlink r:id="rId260" ref="A132"/>
    <hyperlink r:id="rId261" ref="C132"/>
    <hyperlink r:id="rId262" ref="A133"/>
    <hyperlink r:id="rId263" ref="C133"/>
    <hyperlink r:id="rId264" ref="A134"/>
    <hyperlink r:id="rId265" ref="C134"/>
    <hyperlink r:id="rId266" ref="A135"/>
    <hyperlink r:id="rId267" ref="C135"/>
    <hyperlink r:id="rId268" ref="A136"/>
    <hyperlink r:id="rId269" ref="C136"/>
    <hyperlink r:id="rId270" ref="A137"/>
    <hyperlink r:id="rId271" ref="C137"/>
    <hyperlink r:id="rId272" ref="A138"/>
    <hyperlink r:id="rId273" ref="C138"/>
    <hyperlink r:id="rId274" ref="A139"/>
    <hyperlink r:id="rId275" ref="C139"/>
    <hyperlink r:id="rId276" ref="A140"/>
    <hyperlink r:id="rId277" ref="C140"/>
    <hyperlink r:id="rId278" ref="A141"/>
    <hyperlink r:id="rId279" ref="C141"/>
    <hyperlink r:id="rId280" ref="A142"/>
    <hyperlink r:id="rId281" ref="C142"/>
    <hyperlink r:id="rId282" ref="A143"/>
    <hyperlink r:id="rId283" ref="C143"/>
    <hyperlink r:id="rId284" ref="A144"/>
    <hyperlink r:id="rId285" ref="C144"/>
    <hyperlink r:id="rId286" ref="A145"/>
    <hyperlink r:id="rId287" ref="C145"/>
    <hyperlink r:id="rId288" ref="A146"/>
    <hyperlink r:id="rId289" ref="C146"/>
    <hyperlink r:id="rId290" ref="A147"/>
    <hyperlink r:id="rId291" ref="C147"/>
    <hyperlink r:id="rId292" ref="A148"/>
    <hyperlink r:id="rId293" ref="C148"/>
    <hyperlink r:id="rId294" ref="A149"/>
    <hyperlink r:id="rId295" ref="C149"/>
    <hyperlink r:id="rId296" ref="A150"/>
    <hyperlink r:id="rId297" ref="C150"/>
    <hyperlink r:id="rId298" ref="A151"/>
    <hyperlink r:id="rId299" ref="C151"/>
    <hyperlink r:id="rId300" ref="A152"/>
    <hyperlink r:id="rId301" ref="C152"/>
    <hyperlink r:id="rId302" ref="A153"/>
    <hyperlink r:id="rId303" ref="A154"/>
    <hyperlink r:id="rId304" ref="C154"/>
    <hyperlink r:id="rId305" ref="A155"/>
    <hyperlink r:id="rId306" ref="C155"/>
    <hyperlink r:id="rId307" ref="A156"/>
    <hyperlink r:id="rId308" ref="C156"/>
    <hyperlink r:id="rId309" ref="A157"/>
    <hyperlink r:id="rId310" ref="C157"/>
    <hyperlink r:id="rId311" ref="A158"/>
    <hyperlink r:id="rId312" ref="C158"/>
    <hyperlink r:id="rId313" ref="A159"/>
    <hyperlink r:id="rId314" ref="C159"/>
    <hyperlink r:id="rId315" ref="A160"/>
    <hyperlink r:id="rId316" ref="C160"/>
    <hyperlink r:id="rId317" ref="A161"/>
    <hyperlink r:id="rId318" ref="C161"/>
    <hyperlink r:id="rId319" ref="A162"/>
    <hyperlink r:id="rId320" ref="C162"/>
    <hyperlink r:id="rId321" ref="A163"/>
    <hyperlink r:id="rId322" ref="C163"/>
    <hyperlink r:id="rId323" ref="A164"/>
    <hyperlink r:id="rId324" ref="C164"/>
    <hyperlink r:id="rId325" ref="A165"/>
    <hyperlink r:id="rId326" ref="C165"/>
    <hyperlink r:id="rId327" ref="A166"/>
    <hyperlink r:id="rId328" ref="C166"/>
    <hyperlink r:id="rId329" ref="A167"/>
    <hyperlink r:id="rId330" ref="C167"/>
    <hyperlink r:id="rId331" ref="A168"/>
    <hyperlink r:id="rId332" ref="C168"/>
    <hyperlink r:id="rId333" ref="A169"/>
    <hyperlink r:id="rId334" ref="C169"/>
    <hyperlink r:id="rId335" ref="A170"/>
    <hyperlink r:id="rId336" ref="C170"/>
    <hyperlink r:id="rId337" ref="A171"/>
    <hyperlink r:id="rId338" ref="C171"/>
    <hyperlink r:id="rId339" ref="A172"/>
    <hyperlink r:id="rId340" ref="C172"/>
    <hyperlink r:id="rId341" ref="A173"/>
    <hyperlink r:id="rId342" ref="C173"/>
    <hyperlink r:id="rId343" ref="A174"/>
    <hyperlink r:id="rId344" ref="A175"/>
    <hyperlink r:id="rId345" ref="C175"/>
    <hyperlink r:id="rId346" ref="A176"/>
    <hyperlink r:id="rId347" ref="C176"/>
    <hyperlink r:id="rId348" ref="A177"/>
    <hyperlink r:id="rId349" ref="C177"/>
    <hyperlink r:id="rId350" ref="A178"/>
    <hyperlink r:id="rId351" ref="C178"/>
    <hyperlink r:id="rId352" ref="A179"/>
    <hyperlink r:id="rId353" ref="C179"/>
    <hyperlink r:id="rId354" ref="A180"/>
    <hyperlink r:id="rId355" ref="C180"/>
    <hyperlink r:id="rId356" ref="A181"/>
    <hyperlink r:id="rId357" ref="C181"/>
    <hyperlink r:id="rId358" ref="A182"/>
    <hyperlink r:id="rId359" ref="C182"/>
    <hyperlink r:id="rId360" ref="A183"/>
    <hyperlink r:id="rId361" ref="C183"/>
    <hyperlink r:id="rId362" ref="A184"/>
    <hyperlink r:id="rId363" ref="C184"/>
    <hyperlink r:id="rId364" ref="A185"/>
    <hyperlink r:id="rId365" ref="C185"/>
    <hyperlink r:id="rId366" ref="A186"/>
    <hyperlink r:id="rId367" ref="C186"/>
    <hyperlink r:id="rId368" ref="A187"/>
    <hyperlink r:id="rId369" ref="C187"/>
    <hyperlink r:id="rId370" ref="A188"/>
    <hyperlink r:id="rId371" ref="C188"/>
    <hyperlink r:id="rId372" ref="A189"/>
    <hyperlink r:id="rId373" ref="C189"/>
    <hyperlink r:id="rId374" ref="A190"/>
    <hyperlink r:id="rId375" ref="C190"/>
    <hyperlink r:id="rId376" ref="A191"/>
    <hyperlink r:id="rId377" ref="C191"/>
    <hyperlink r:id="rId378" ref="A192"/>
    <hyperlink r:id="rId379" ref="C192"/>
    <hyperlink r:id="rId380" ref="A193"/>
    <hyperlink r:id="rId381" ref="C193"/>
    <hyperlink r:id="rId382" ref="A194"/>
    <hyperlink r:id="rId383" ref="C194"/>
    <hyperlink r:id="rId384" ref="A195"/>
    <hyperlink r:id="rId385" ref="C195"/>
    <hyperlink r:id="rId386" ref="A196"/>
    <hyperlink r:id="rId387" ref="C196"/>
    <hyperlink r:id="rId388" ref="A197"/>
    <hyperlink r:id="rId389" ref="C197"/>
    <hyperlink r:id="rId390" ref="A198"/>
    <hyperlink r:id="rId391" ref="C198"/>
    <hyperlink r:id="rId392" ref="A199"/>
    <hyperlink r:id="rId393" ref="C199"/>
    <hyperlink r:id="rId394" ref="A200"/>
    <hyperlink r:id="rId395" ref="C200"/>
    <hyperlink r:id="rId396" ref="A201"/>
    <hyperlink r:id="rId397" ref="C201"/>
    <hyperlink r:id="rId398" ref="A202"/>
    <hyperlink r:id="rId399" ref="C202"/>
    <hyperlink r:id="rId400" ref="A203"/>
    <hyperlink r:id="rId401" ref="C203"/>
    <hyperlink r:id="rId402" location=":~:text=AI%20marketing%20services.%20An%20AI%20marketing%20agency,partner%20model.%20%2D%20AI%20SEO.%20AI%2Dpowered%20SEO." ref="A204"/>
    <hyperlink r:id="rId403" ref="C204"/>
    <hyperlink r:id="rId404" ref="A205"/>
    <hyperlink r:id="rId405" ref="C205"/>
    <hyperlink r:id="rId406" ref="A206"/>
    <hyperlink r:id="rId407" ref="C206"/>
    <hyperlink r:id="rId408" ref="A207"/>
    <hyperlink r:id="rId409" ref="C207"/>
    <hyperlink r:id="rId410" ref="A208"/>
    <hyperlink r:id="rId411" ref="C208"/>
    <hyperlink r:id="rId412" ref="A209"/>
    <hyperlink r:id="rId413" ref="C209"/>
    <hyperlink r:id="rId414" ref="A210"/>
    <hyperlink r:id="rId415" ref="C210"/>
    <hyperlink r:id="rId416" ref="A211"/>
    <hyperlink r:id="rId417" ref="C211"/>
    <hyperlink r:id="rId418" ref="A212"/>
    <hyperlink r:id="rId419" ref="C212"/>
    <hyperlink r:id="rId420" ref="A213"/>
    <hyperlink r:id="rId421" ref="C213"/>
    <hyperlink r:id="rId422" ref="A214"/>
    <hyperlink r:id="rId423" ref="C214"/>
    <hyperlink r:id="rId424" ref="A215"/>
    <hyperlink r:id="rId425" ref="C215"/>
    <hyperlink r:id="rId426" ref="A216"/>
    <hyperlink r:id="rId427" ref="C216"/>
    <hyperlink r:id="rId428" ref="A217"/>
    <hyperlink r:id="rId429" ref="C217"/>
    <hyperlink r:id="rId430" ref="A218"/>
    <hyperlink r:id="rId431" ref="C218"/>
    <hyperlink r:id="rId432" ref="A219"/>
    <hyperlink r:id="rId433" ref="C219"/>
    <hyperlink r:id="rId434" ref="A220"/>
    <hyperlink r:id="rId435" ref="C220"/>
    <hyperlink r:id="rId436" ref="A221"/>
    <hyperlink r:id="rId437" ref="C221"/>
    <hyperlink r:id="rId438" location=":~:text=A%20global%20leader%20in%20creative%20communications%2C%20Leo,insight%2C%20helping%20companies%20forge%20deep%20audience%20connections." ref="A222"/>
    <hyperlink r:id="rId439" ref="C222"/>
    <hyperlink r:id="rId440" ref="A223"/>
    <hyperlink r:id="rId441" ref="C223"/>
    <hyperlink r:id="rId442" ref="A224"/>
    <hyperlink r:id="rId443" ref="C224"/>
    <hyperlink r:id="rId444" ref="A225"/>
    <hyperlink r:id="rId445" ref="C225"/>
    <hyperlink r:id="rId446" ref="A226"/>
    <hyperlink r:id="rId447" ref="C226"/>
    <hyperlink r:id="rId448" ref="A227"/>
    <hyperlink r:id="rId449" ref="A228"/>
    <hyperlink r:id="rId450" ref="C228"/>
    <hyperlink r:id="rId451" ref="A229"/>
    <hyperlink r:id="rId452" ref="A230"/>
    <hyperlink r:id="rId453" ref="C230"/>
    <hyperlink r:id="rId454" ref="A231"/>
    <hyperlink r:id="rId455" ref="C231"/>
    <hyperlink r:id="rId456" ref="A232"/>
    <hyperlink r:id="rId457" ref="C232"/>
    <hyperlink r:id="rId458" ref="A233"/>
    <hyperlink r:id="rId459" ref="C233"/>
    <hyperlink r:id="rId460" ref="A234"/>
    <hyperlink r:id="rId461" ref="C234"/>
    <hyperlink r:id="rId462" ref="A235"/>
    <hyperlink r:id="rId463" ref="C235"/>
    <hyperlink r:id="rId464" ref="A236"/>
    <hyperlink r:id="rId465" ref="C236"/>
    <hyperlink r:id="rId466" ref="A237"/>
    <hyperlink r:id="rId467" ref="C237"/>
    <hyperlink r:id="rId468" ref="A238"/>
    <hyperlink r:id="rId469" ref="C238"/>
    <hyperlink r:id="rId470" ref="A239"/>
    <hyperlink r:id="rId471" ref="C239"/>
    <hyperlink r:id="rId472" ref="A240"/>
    <hyperlink r:id="rId473" ref="C240"/>
    <hyperlink r:id="rId474" ref="A241"/>
    <hyperlink r:id="rId475" ref="C241"/>
    <hyperlink r:id="rId476" ref="A242"/>
    <hyperlink r:id="rId477" ref="C242"/>
    <hyperlink r:id="rId478" ref="A243"/>
    <hyperlink r:id="rId479" ref="C243"/>
    <hyperlink r:id="rId480" ref="A244"/>
    <hyperlink r:id="rId481" ref="C244"/>
    <hyperlink r:id="rId482" ref="A245"/>
    <hyperlink r:id="rId483" ref="C245"/>
    <hyperlink r:id="rId484" ref="A246"/>
    <hyperlink r:id="rId485" ref="C246"/>
    <hyperlink r:id="rId486" ref="A247"/>
    <hyperlink r:id="rId487" ref="C247"/>
    <hyperlink r:id="rId488" ref="A248"/>
    <hyperlink r:id="rId489" ref="C248"/>
    <hyperlink r:id="rId490" ref="A249"/>
    <hyperlink r:id="rId491" ref="C249"/>
    <hyperlink r:id="rId492" ref="A250"/>
    <hyperlink r:id="rId493" ref="C250"/>
    <hyperlink r:id="rId494" ref="A251"/>
    <hyperlink r:id="rId495" ref="C251"/>
    <hyperlink r:id="rId496" ref="A252"/>
    <hyperlink r:id="rId497" ref="A253"/>
    <hyperlink r:id="rId498" ref="C253"/>
    <hyperlink r:id="rId499" ref="A254"/>
    <hyperlink r:id="rId500" ref="C254"/>
    <hyperlink r:id="rId501" ref="A255"/>
    <hyperlink r:id="rId502" ref="C255"/>
    <hyperlink r:id="rId503" ref="A256"/>
    <hyperlink r:id="rId504" ref="C256"/>
    <hyperlink r:id="rId505" ref="A257"/>
    <hyperlink r:id="rId506" ref="C257"/>
    <hyperlink r:id="rId507" location=":~:text=Soup%20is%20a%20strong%20fit%20for%20businesses,connecting%20those%20channels%20across%20the%20customer%20journey." ref="A258"/>
    <hyperlink r:id="rId508" ref="C258"/>
    <hyperlink r:id="rId509" ref="A259"/>
    <hyperlink r:id="rId510" ref="C259"/>
    <hyperlink r:id="rId511" ref="A260"/>
    <hyperlink r:id="rId512" ref="A261"/>
    <hyperlink r:id="rId513" ref="C261"/>
    <hyperlink r:id="rId514" location=":~:text=Reporting%20is%20only%20as%20good%20as%20the,Us.%20How%20It%20Works%20%2D%20Market%20Analysis." ref="A262"/>
    <hyperlink r:id="rId515" ref="C262"/>
    <hyperlink r:id="rId516" ref="A263"/>
    <hyperlink r:id="rId517" ref="C263"/>
    <hyperlink r:id="rId518" ref="A264"/>
    <hyperlink r:id="rId519" ref="C264"/>
    <hyperlink r:id="rId520" ref="A265"/>
    <hyperlink r:id="rId521" ref="C265"/>
    <hyperlink r:id="rId522" ref="A266"/>
    <hyperlink r:id="rId523" ref="C266"/>
    <hyperlink r:id="rId524" ref="A267"/>
    <hyperlink r:id="rId525" ref="C267"/>
    <hyperlink r:id="rId526" ref="A268"/>
    <hyperlink r:id="rId527" ref="C268"/>
    <hyperlink r:id="rId528" ref="A269"/>
    <hyperlink r:id="rId529" ref="C269"/>
    <hyperlink r:id="rId530" ref="A270"/>
    <hyperlink r:id="rId531" ref="C270"/>
    <hyperlink r:id="rId532" ref="A271"/>
    <hyperlink r:id="rId533" ref="C271"/>
    <hyperlink r:id="rId534" ref="A272"/>
    <hyperlink r:id="rId535" ref="C272"/>
    <hyperlink r:id="rId536" ref="A273"/>
    <hyperlink r:id="rId537" ref="C273"/>
    <hyperlink r:id="rId538" ref="A274"/>
    <hyperlink r:id="rId539" ref="C274"/>
    <hyperlink r:id="rId540" ref="A275"/>
    <hyperlink r:id="rId541" ref="C275"/>
    <hyperlink r:id="rId542" ref="A276"/>
    <hyperlink r:id="rId543" ref="C276"/>
    <hyperlink r:id="rId544" location=":~:text=At%20farsiight%2C%20we%20specialise%20in,Education%2C%20Travel%2C%20and%20more." ref="A277"/>
    <hyperlink r:id="rId545" ref="C277"/>
    <hyperlink r:id="rId546" ref="A278"/>
    <hyperlink r:id="rId547" ref="C278"/>
    <hyperlink r:id="rId548" ref="A279"/>
    <hyperlink r:id="rId549" ref="C279"/>
    <hyperlink r:id="rId550" ref="A280"/>
    <hyperlink r:id="rId551" ref="C280"/>
    <hyperlink r:id="rId552" ref="A281"/>
    <hyperlink r:id="rId553" ref="C281"/>
    <hyperlink r:id="rId554" ref="A282"/>
    <hyperlink r:id="rId555" ref="C282"/>
    <hyperlink r:id="rId556" ref="A283"/>
    <hyperlink r:id="rId557" ref="C283"/>
    <hyperlink r:id="rId558" ref="A284"/>
    <hyperlink r:id="rId559" ref="C284"/>
    <hyperlink r:id="rId560" ref="A285"/>
    <hyperlink r:id="rId561" ref="C285"/>
    <hyperlink r:id="rId562" ref="A286"/>
    <hyperlink r:id="rId563" ref="C286"/>
    <hyperlink r:id="rId564" ref="A287"/>
    <hyperlink r:id="rId565" ref="C287"/>
    <hyperlink r:id="rId566" location=":~:text=Organic%20Social%20%26%20EDM%20Performance.%20Effortlessly%20compare,%2D%20Controlled%20Experiments.%20%2D%20Marketing%20Mix%20Modelling." ref="A288"/>
    <hyperlink r:id="rId567" ref="C288"/>
    <hyperlink r:id="rId568" ref="A289"/>
    <hyperlink r:id="rId569" ref="C289"/>
    <hyperlink r:id="rId570" ref="A290"/>
    <hyperlink r:id="rId571" ref="C290"/>
    <hyperlink r:id="rId572" ref="A291"/>
    <hyperlink r:id="rId573" ref="C291"/>
    <hyperlink r:id="rId574" location=":~:text=2.%20Blue%2DChip%20Client%20Portfolios%20and%20Commercial%20Impact.,simple%20aesthetics%20to%20solve%20complex%20business%20problems." ref="A292"/>
    <hyperlink r:id="rId575" ref="C292"/>
    <hyperlink r:id="rId576" ref="A293"/>
    <hyperlink r:id="rId577" ref="C293"/>
    <hyperlink r:id="rId578" ref="A294"/>
    <hyperlink r:id="rId579" ref="C294"/>
    <hyperlink r:id="rId580" location=":~:text=If%20your%20reporting%20feels%20shallow%2C%20confusing%20or,sales%20across%20both%20brand%20and%20performance%20channels." ref="A295"/>
    <hyperlink r:id="rId581" ref="C295"/>
    <hyperlink r:id="rId582" ref="A296"/>
    <hyperlink r:id="rId583" ref="C296"/>
    <hyperlink r:id="rId584" ref="A297"/>
    <hyperlink r:id="rId585" ref="C297"/>
    <hyperlink r:id="rId586" ref="A298"/>
    <hyperlink r:id="rId587" ref="C298"/>
    <hyperlink r:id="rId588" ref="A299"/>
    <hyperlink r:id="rId589" ref="C299"/>
    <hyperlink r:id="rId590" ref="A300"/>
    <hyperlink r:id="rId591" ref="C300"/>
    <hyperlink r:id="rId592" ref="A301"/>
    <hyperlink r:id="rId593" ref="C301"/>
    <hyperlink r:id="rId594" ref="A302"/>
    <hyperlink r:id="rId595" ref="C302"/>
    <hyperlink r:id="rId596" ref="A303"/>
    <hyperlink r:id="rId597" ref="C303"/>
    <hyperlink r:id="rId598" ref="A304"/>
    <hyperlink r:id="rId599" ref="C304"/>
    <hyperlink r:id="rId600" ref="A305"/>
    <hyperlink r:id="rId601" ref="C305"/>
    <hyperlink r:id="rId602" ref="A306"/>
    <hyperlink r:id="rId603" ref="C306"/>
    <hyperlink r:id="rId604" ref="A307"/>
    <hyperlink r:id="rId605" ref="C307"/>
    <hyperlink r:id="rId606" ref="A308"/>
    <hyperlink r:id="rId607" ref="C308"/>
    <hyperlink r:id="rId608" ref="A309"/>
    <hyperlink r:id="rId609" ref="C309"/>
    <hyperlink r:id="rId610" ref="A310"/>
    <hyperlink r:id="rId611" ref="C310"/>
    <hyperlink r:id="rId612" ref="A311"/>
    <hyperlink r:id="rId613" ref="C311"/>
    <hyperlink r:id="rId614" ref="A312"/>
    <hyperlink r:id="rId615" ref="C312"/>
    <hyperlink r:id="rId616" ref="A313"/>
    <hyperlink r:id="rId617" ref="C313"/>
    <hyperlink r:id="rId618" ref="A314"/>
    <hyperlink r:id="rId619" ref="C314"/>
    <hyperlink r:id="rId620" ref="A315"/>
    <hyperlink r:id="rId621" ref="C315"/>
    <hyperlink r:id="rId622" ref="A316"/>
    <hyperlink r:id="rId623" ref="C316"/>
    <hyperlink r:id="rId624" ref="A317"/>
    <hyperlink r:id="rId625" ref="C317"/>
    <hyperlink r:id="rId626" ref="A318"/>
    <hyperlink r:id="rId627" ref="C318"/>
    <hyperlink r:id="rId628" ref="A319"/>
    <hyperlink r:id="rId629" ref="C319"/>
    <hyperlink r:id="rId630" ref="A320"/>
    <hyperlink r:id="rId631" ref="C320"/>
    <hyperlink r:id="rId632" ref="A321"/>
    <hyperlink r:id="rId633" ref="C321"/>
    <hyperlink r:id="rId634" ref="A322"/>
    <hyperlink r:id="rId635" ref="C322"/>
    <hyperlink r:id="rId636" ref="A323"/>
    <hyperlink r:id="rId637" ref="C323"/>
    <hyperlink r:id="rId638" ref="A324"/>
    <hyperlink r:id="rId639" ref="C324"/>
    <hyperlink r:id="rId640" ref="A325"/>
    <hyperlink r:id="rId641" ref="C325"/>
    <hyperlink r:id="rId642" ref="A326"/>
    <hyperlink r:id="rId643" ref="C326"/>
    <hyperlink r:id="rId644" ref="A327"/>
    <hyperlink r:id="rId645" ref="C327"/>
    <hyperlink r:id="rId646" ref="A328"/>
    <hyperlink r:id="rId647" ref="C328"/>
    <hyperlink r:id="rId648" ref="A329"/>
    <hyperlink r:id="rId649" ref="C329"/>
    <hyperlink r:id="rId650" ref="A330"/>
    <hyperlink r:id="rId651" ref="C330"/>
    <hyperlink r:id="rId652" ref="A331"/>
    <hyperlink r:id="rId653" ref="C331"/>
    <hyperlink r:id="rId654" ref="A332"/>
    <hyperlink r:id="rId655" ref="C332"/>
    <hyperlink r:id="rId656" ref="A333"/>
    <hyperlink r:id="rId657" ref="C333"/>
    <hyperlink r:id="rId658" ref="A334"/>
    <hyperlink r:id="rId659" ref="C334"/>
    <hyperlink r:id="rId660" ref="A335"/>
    <hyperlink r:id="rId661" ref="C335"/>
    <hyperlink r:id="rId662" ref="A336"/>
    <hyperlink r:id="rId663" ref="C336"/>
    <hyperlink r:id="rId664" ref="A337"/>
    <hyperlink r:id="rId665" ref="C337"/>
    <hyperlink r:id="rId666" ref="A338"/>
    <hyperlink r:id="rId667" ref="C338"/>
    <hyperlink r:id="rId668" ref="A339"/>
    <hyperlink r:id="rId669" ref="C339"/>
    <hyperlink r:id="rId670" ref="A340"/>
    <hyperlink r:id="rId671" ref="C340"/>
    <hyperlink r:id="rId672" ref="A341"/>
    <hyperlink r:id="rId673" ref="C341"/>
    <hyperlink r:id="rId674" ref="A342"/>
    <hyperlink r:id="rId675" ref="C342"/>
    <hyperlink r:id="rId676" location=":~:text=Imagine%20your%20social%20media%20campaigns%2C%20supercharged%20by,AI%20meets%20creativity%20and%20strategy%20meets%20technology." ref="A343"/>
    <hyperlink r:id="rId677" ref="C343"/>
    <hyperlink r:id="rId678" ref="A344"/>
    <hyperlink r:id="rId679" ref="C344"/>
    <hyperlink r:id="rId680" ref="A345"/>
    <hyperlink r:id="rId681" ref="C345"/>
    <hyperlink r:id="rId682" ref="A346"/>
    <hyperlink r:id="rId683" ref="C346"/>
    <hyperlink r:id="rId684" ref="A347"/>
    <hyperlink r:id="rId685" ref="C347"/>
    <hyperlink r:id="rId686" ref="A348"/>
    <hyperlink r:id="rId687" ref="C348"/>
    <hyperlink r:id="rId688" ref="A349"/>
    <hyperlink r:id="rId689" ref="C349"/>
    <hyperlink r:id="rId690" ref="A350"/>
    <hyperlink r:id="rId691" ref="C350"/>
    <hyperlink r:id="rId692" ref="A351"/>
    <hyperlink r:id="rId693" ref="C351"/>
    <hyperlink r:id="rId694" ref="A352"/>
    <hyperlink r:id="rId695" ref="C352"/>
    <hyperlink r:id="rId696" ref="A353"/>
    <hyperlink r:id="rId697" ref="C353"/>
    <hyperlink r:id="rId698" ref="A354"/>
    <hyperlink r:id="rId699" ref="C354"/>
    <hyperlink r:id="rId700" location=":~:text=Impressive%20is%20committed%20to%20providing%20innovative%20data,experience%20in%20every%20aspect%20of%20your%20business." ref="A355"/>
    <hyperlink r:id="rId701" ref="C355"/>
    <hyperlink r:id="rId702" ref="A356"/>
    <hyperlink r:id="rId703" ref="C356"/>
    <hyperlink r:id="rId704" ref="A357"/>
    <hyperlink r:id="rId705" ref="C357"/>
    <hyperlink r:id="rId706" ref="A358"/>
    <hyperlink r:id="rId707" ref="C358"/>
    <hyperlink r:id="rId708" ref="A359"/>
    <hyperlink r:id="rId709" ref="C359"/>
    <hyperlink r:id="rId710" ref="A360"/>
    <hyperlink r:id="rId711" ref="C360"/>
    <hyperlink r:id="rId712" ref="A361"/>
    <hyperlink r:id="rId713" ref="C361"/>
    <hyperlink r:id="rId714" ref="A362"/>
    <hyperlink r:id="rId715" ref="C362"/>
    <hyperlink r:id="rId716" ref="A363"/>
    <hyperlink r:id="rId717" ref="C363"/>
    <hyperlink r:id="rId718" ref="A364"/>
    <hyperlink r:id="rId719" ref="C364"/>
    <hyperlink r:id="rId720" ref="A365"/>
    <hyperlink r:id="rId721" ref="C365"/>
    <hyperlink r:id="rId722" ref="A366"/>
    <hyperlink r:id="rId723" ref="C366"/>
    <hyperlink r:id="rId724" ref="A367"/>
    <hyperlink r:id="rId725" ref="C367"/>
    <hyperlink r:id="rId726" ref="A368"/>
    <hyperlink r:id="rId727" ref="C368"/>
    <hyperlink r:id="rId728" ref="A369"/>
    <hyperlink r:id="rId729" ref="C369"/>
    <hyperlink r:id="rId730" ref="A370"/>
    <hyperlink r:id="rId731" ref="C370"/>
    <hyperlink r:id="rId732" ref="A371"/>
    <hyperlink r:id="rId733" ref="C371"/>
    <hyperlink r:id="rId734" ref="A372"/>
    <hyperlink r:id="rId735" ref="C372"/>
    <hyperlink r:id="rId736" ref="A373"/>
    <hyperlink r:id="rId737" ref="C373"/>
    <hyperlink r:id="rId738" ref="A374"/>
    <hyperlink r:id="rId739" ref="C374"/>
    <hyperlink r:id="rId740" ref="A375"/>
    <hyperlink r:id="rId741" ref="C375"/>
    <hyperlink r:id="rId742" location=":~:text=The%20report%20found%20food%20manufacturing%20was%20the,PR%20and%20CX%2C%20according%20to%20the%20report." ref="A376"/>
    <hyperlink r:id="rId743" ref="C376"/>
    <hyperlink r:id="rId744" ref="A377"/>
    <hyperlink r:id="rId745" ref="C377"/>
    <hyperlink r:id="rId746" ref="A378"/>
    <hyperlink r:id="rId747" ref="C378"/>
    <hyperlink r:id="rId748" ref="A379"/>
    <hyperlink r:id="rId749" ref="C379"/>
    <hyperlink r:id="rId750" ref="A380"/>
    <hyperlink r:id="rId751" ref="C380"/>
    <hyperlink r:id="rId752" ref="A381"/>
    <hyperlink r:id="rId753" ref="C381"/>
    <hyperlink r:id="rId754" ref="A382"/>
    <hyperlink r:id="rId755" ref="C382"/>
    <hyperlink r:id="rId756" ref="A383"/>
    <hyperlink r:id="rId757" location=":~:text=Process%20Automation%20(RPA%20%2B%20AI)%3A%20Automate%20repetitive,Ensure%20ethical%2C%20secure%2C%20and%20compliant%20AI%20use." ref="A384"/>
    <hyperlink r:id="rId758" ref="C384"/>
    <hyperlink r:id="rId759" ref="A385"/>
    <hyperlink r:id="rId760" ref="C385"/>
    <hyperlink r:id="rId761" ref="A386"/>
    <hyperlink r:id="rId762" ref="C386"/>
    <hyperlink r:id="rId763" ref="A387"/>
    <hyperlink r:id="rId764" ref="C387"/>
    <hyperlink r:id="rId765" ref="A388"/>
    <hyperlink r:id="rId766" ref="C388"/>
    <hyperlink r:id="rId767" ref="A389"/>
    <hyperlink r:id="rId768" ref="C389"/>
    <hyperlink r:id="rId769" ref="A390"/>
    <hyperlink r:id="rId770" ref="C390"/>
    <hyperlink r:id="rId771" ref="A391"/>
    <hyperlink r:id="rId772" ref="C391"/>
    <hyperlink r:id="rId773" ref="A392"/>
    <hyperlink r:id="rId774" ref="C392"/>
    <hyperlink r:id="rId775" ref="A393"/>
    <hyperlink r:id="rId776" ref="C393"/>
    <hyperlink r:id="rId777" ref="A394"/>
    <hyperlink r:id="rId778" ref="C394"/>
    <hyperlink r:id="rId779" ref="A395"/>
    <hyperlink r:id="rId780" ref="C395"/>
    <hyperlink r:id="rId781" ref="A396"/>
    <hyperlink r:id="rId782" ref="C396"/>
    <hyperlink r:id="rId783" ref="A397"/>
    <hyperlink r:id="rId784" ref="C397"/>
    <hyperlink r:id="rId785" ref="A398"/>
    <hyperlink r:id="rId786" ref="C398"/>
    <hyperlink r:id="rId787" ref="A399"/>
    <hyperlink r:id="rId788" ref="C399"/>
    <hyperlink r:id="rId789" ref="A400"/>
    <hyperlink r:id="rId790" ref="C400"/>
    <hyperlink r:id="rId791" ref="A401"/>
    <hyperlink r:id="rId792" ref="A402"/>
    <hyperlink r:id="rId793" ref="C402"/>
    <hyperlink r:id="rId794" ref="A403"/>
    <hyperlink r:id="rId795" ref="C403"/>
    <hyperlink r:id="rId796" ref="A404"/>
    <hyperlink r:id="rId797" ref="C404"/>
    <hyperlink r:id="rId798" ref="A405"/>
    <hyperlink r:id="rId799" ref="C405"/>
    <hyperlink r:id="rId800" ref="A406"/>
    <hyperlink r:id="rId801" ref="C406"/>
    <hyperlink r:id="rId802" ref="A407"/>
    <hyperlink r:id="rId803" ref="A408"/>
    <hyperlink r:id="rId804" ref="A409"/>
    <hyperlink r:id="rId805" ref="A410"/>
    <hyperlink r:id="rId806" ref="C410"/>
    <hyperlink r:id="rId807" ref="A411"/>
    <hyperlink r:id="rId808" ref="C411"/>
    <hyperlink r:id="rId809" ref="A412"/>
    <hyperlink r:id="rId810" ref="C412"/>
    <hyperlink r:id="rId811" ref="A413"/>
    <hyperlink r:id="rId812" ref="C413"/>
    <hyperlink r:id="rId813" ref="A414"/>
    <hyperlink r:id="rId814" ref="C414"/>
    <hyperlink r:id="rId815" ref="A415"/>
    <hyperlink r:id="rId816" ref="A416"/>
    <hyperlink r:id="rId817" ref="C416"/>
    <hyperlink r:id="rId818" ref="A417"/>
    <hyperlink r:id="rId819" ref="C417"/>
    <hyperlink r:id="rId820" ref="A418"/>
    <hyperlink r:id="rId821" ref="C418"/>
    <hyperlink r:id="rId822" location=":~:text=Recognisable%20clients%3A%20PepsiCo%2C%20St.%20George%20Bank%2C%20IAG%2C,at%20the%202018%20SEMrush%20Search%20Marketing%20Awards." ref="A419"/>
    <hyperlink r:id="rId823" ref="C419"/>
    <hyperlink r:id="rId824" location=":~:text=FutureBrand%20takes%20a%20highly%20strategic,Key%20strengths%3A" ref="A420"/>
    <hyperlink r:id="rId825" ref="A421"/>
    <hyperlink r:id="rId826" ref="C421"/>
    <hyperlink r:id="rId827" ref="A422"/>
    <hyperlink r:id="rId828" ref="C422"/>
    <hyperlink r:id="rId829" ref="A423"/>
    <hyperlink r:id="rId830" ref="C423"/>
    <hyperlink r:id="rId831" ref="A424"/>
    <hyperlink r:id="rId832" ref="C424"/>
    <hyperlink r:id="rId833" ref="A425"/>
    <hyperlink r:id="rId834" ref="C425"/>
    <hyperlink r:id="rId835" ref="A426"/>
    <hyperlink r:id="rId836" ref="C426"/>
    <hyperlink r:id="rId837" ref="A427"/>
    <hyperlink r:id="rId838" ref="C427"/>
    <hyperlink r:id="rId839" ref="A428"/>
    <hyperlink r:id="rId840" ref="C428"/>
    <hyperlink r:id="rId841" ref="A429"/>
    <hyperlink r:id="rId842" ref="C429"/>
    <hyperlink r:id="rId843" ref="A430"/>
    <hyperlink r:id="rId844" ref="C430"/>
    <hyperlink r:id="rId845" ref="A431"/>
    <hyperlink r:id="rId846" ref="C431"/>
    <hyperlink r:id="rId847" ref="A432"/>
    <hyperlink r:id="rId848" ref="A433"/>
    <hyperlink r:id="rId849" ref="C433"/>
    <hyperlink r:id="rId850" location=":~:text=We%20run%20your%20key%20service%20queries%20through,and%20which%20competitors%20are%20currently%20getting%20recommended." ref="A434"/>
    <hyperlink r:id="rId851" ref="C434"/>
    <hyperlink r:id="rId852" ref="A435"/>
    <hyperlink r:id="rId853" ref="C435"/>
    <hyperlink r:id="rId854" ref="A436"/>
    <hyperlink r:id="rId855" ref="C436"/>
    <hyperlink r:id="rId856" ref="A437"/>
    <hyperlink r:id="rId857" ref="C437"/>
    <hyperlink r:id="rId858" ref="A438"/>
    <hyperlink r:id="rId859" ref="C438"/>
    <hyperlink r:id="rId860" ref="A439"/>
    <hyperlink r:id="rId861" ref="C439"/>
    <hyperlink r:id="rId862" ref="A440"/>
    <hyperlink r:id="rId863" ref="C440"/>
    <hyperlink r:id="rId864" ref="A441"/>
    <hyperlink r:id="rId865" ref="C441"/>
    <hyperlink r:id="rId866" ref="A442"/>
    <hyperlink r:id="rId867" ref="C442"/>
    <hyperlink r:id="rId868" ref="A443"/>
    <hyperlink r:id="rId869" ref="C443"/>
    <hyperlink r:id="rId870" ref="A444"/>
    <hyperlink r:id="rId871" ref="C444"/>
    <hyperlink r:id="rId872" ref="A445"/>
    <hyperlink r:id="rId873" ref="C445"/>
    <hyperlink r:id="rId874" ref="A446"/>
    <hyperlink r:id="rId875" ref="C446"/>
    <hyperlink r:id="rId876" ref="A447"/>
    <hyperlink r:id="rId877" ref="C447"/>
    <hyperlink r:id="rId878" ref="A448"/>
    <hyperlink r:id="rId879" ref="C448"/>
    <hyperlink r:id="rId880" ref="A449"/>
    <hyperlink r:id="rId881" ref="C449"/>
    <hyperlink r:id="rId882" ref="A450"/>
    <hyperlink r:id="rId883" ref="C450"/>
    <hyperlink r:id="rId884" ref="A451"/>
    <hyperlink r:id="rId885" ref="C451"/>
    <hyperlink r:id="rId886" ref="A452"/>
    <hyperlink r:id="rId887" ref="C452"/>
    <hyperlink r:id="rId888" ref="A453"/>
    <hyperlink r:id="rId889" ref="C453"/>
    <hyperlink r:id="rId890" ref="A454"/>
    <hyperlink r:id="rId891" ref="C454"/>
    <hyperlink r:id="rId892" ref="A455"/>
    <hyperlink r:id="rId893" ref="C455"/>
    <hyperlink r:id="rId894" ref="A456"/>
    <hyperlink r:id="rId895" ref="C456"/>
    <hyperlink r:id="rId896" location=":~:text=If%20you%20want%20AI%2Daware%20SEO%20that%20feels,technical%20SEO%2C%20product%20management%2C%20and%20applied%20AI." ref="A457"/>
    <hyperlink r:id="rId897" ref="C457"/>
    <hyperlink r:id="rId898" ref="A458"/>
    <hyperlink r:id="rId899" ref="C458"/>
    <hyperlink r:id="rId900" ref="A459"/>
    <hyperlink r:id="rId901" ref="C459"/>
    <hyperlink r:id="rId902" ref="A460"/>
    <hyperlink r:id="rId903" ref="C460"/>
    <hyperlink r:id="rId904" ref="A461"/>
    <hyperlink r:id="rId905" ref="C461"/>
    <hyperlink r:id="rId906" ref="A462"/>
    <hyperlink r:id="rId907" ref="C462"/>
    <hyperlink r:id="rId908" ref="A463"/>
    <hyperlink r:id="rId909" ref="C463"/>
    <hyperlink r:id="rId910" ref="A464"/>
    <hyperlink r:id="rId911" ref="C464"/>
    <hyperlink r:id="rId912" ref="A465"/>
    <hyperlink r:id="rId913" ref="C465"/>
    <hyperlink r:id="rId914" ref="A466"/>
    <hyperlink r:id="rId915" ref="C466"/>
    <hyperlink r:id="rId916" ref="A467"/>
    <hyperlink r:id="rId917" ref="C467"/>
    <hyperlink r:id="rId918" ref="A468"/>
    <hyperlink r:id="rId919" ref="C468"/>
    <hyperlink r:id="rId920" ref="A469"/>
    <hyperlink r:id="rId921" ref="C469"/>
    <hyperlink r:id="rId922" ref="A470"/>
    <hyperlink r:id="rId923" ref="C470"/>
    <hyperlink r:id="rId924" ref="A471"/>
    <hyperlink r:id="rId925" ref="C471"/>
    <hyperlink r:id="rId926" ref="A472"/>
    <hyperlink r:id="rId927" ref="C472"/>
    <hyperlink r:id="rId928" ref="A473"/>
    <hyperlink r:id="rId929" ref="C473"/>
    <hyperlink r:id="rId930" ref="A474"/>
    <hyperlink r:id="rId931" ref="C474"/>
    <hyperlink r:id="rId932" ref="A475"/>
    <hyperlink r:id="rId933" ref="C475"/>
    <hyperlink r:id="rId934" ref="A476"/>
    <hyperlink r:id="rId935" ref="C476"/>
    <hyperlink r:id="rId936" ref="A477"/>
    <hyperlink r:id="rId937" ref="C477"/>
    <hyperlink r:id="rId938" ref="A478"/>
    <hyperlink r:id="rId939" ref="C478"/>
    <hyperlink r:id="rId940" ref="A479"/>
    <hyperlink r:id="rId941" ref="C479"/>
    <hyperlink r:id="rId942" ref="A480"/>
    <hyperlink r:id="rId943" ref="C480"/>
    <hyperlink r:id="rId944" ref="A481"/>
    <hyperlink r:id="rId945" ref="C481"/>
    <hyperlink r:id="rId946" ref="A482"/>
    <hyperlink r:id="rId947" ref="C482"/>
    <hyperlink r:id="rId948" ref="A483"/>
    <hyperlink r:id="rId949" ref="C483"/>
    <hyperlink r:id="rId950" ref="A484"/>
    <hyperlink r:id="rId951" ref="C484"/>
    <hyperlink r:id="rId952" ref="A485"/>
    <hyperlink r:id="rId953" ref="C485"/>
    <hyperlink r:id="rId954" ref="A486"/>
    <hyperlink r:id="rId955" ref="C486"/>
    <hyperlink r:id="rId956" ref="A487"/>
    <hyperlink r:id="rId957" ref="C487"/>
    <hyperlink r:id="rId958" ref="A488"/>
    <hyperlink r:id="rId959" ref="C488"/>
    <hyperlink r:id="rId960" ref="A489"/>
    <hyperlink r:id="rId961" ref="C489"/>
    <hyperlink r:id="rId962" ref="A490"/>
    <hyperlink r:id="rId963" ref="C490"/>
    <hyperlink r:id="rId964" ref="A491"/>
    <hyperlink r:id="rId965" ref="C491"/>
    <hyperlink r:id="rId966" ref="A492"/>
    <hyperlink r:id="rId967" ref="C492"/>
    <hyperlink r:id="rId968" ref="A493"/>
    <hyperlink r:id="rId969" ref="C493"/>
    <hyperlink r:id="rId970" ref="A494"/>
    <hyperlink r:id="rId971" ref="C494"/>
    <hyperlink r:id="rId972" ref="A495"/>
    <hyperlink r:id="rId973" ref="C495"/>
    <hyperlink r:id="rId974" ref="A496"/>
    <hyperlink r:id="rId975" ref="C496"/>
    <hyperlink r:id="rId976" ref="A497"/>
    <hyperlink r:id="rId977" ref="C497"/>
    <hyperlink r:id="rId978" ref="A498"/>
    <hyperlink r:id="rId979" ref="C498"/>
    <hyperlink r:id="rId980" ref="A499"/>
    <hyperlink r:id="rId981" ref="C499"/>
    <hyperlink r:id="rId982" ref="A500"/>
    <hyperlink r:id="rId983" ref="C500"/>
    <hyperlink r:id="rId984" ref="A501"/>
    <hyperlink r:id="rId985" ref="C501"/>
    <hyperlink r:id="rId986" ref="A502"/>
    <hyperlink r:id="rId987" ref="C502"/>
    <hyperlink r:id="rId988" ref="A503"/>
    <hyperlink r:id="rId989" ref="C503"/>
    <hyperlink r:id="rId990" ref="A504"/>
    <hyperlink r:id="rId991" ref="C504"/>
    <hyperlink r:id="rId992" ref="A505"/>
    <hyperlink r:id="rId993" ref="C505"/>
    <hyperlink r:id="rId994" ref="A506"/>
    <hyperlink r:id="rId995" ref="C506"/>
    <hyperlink r:id="rId996" ref="A507"/>
    <hyperlink r:id="rId997" ref="C507"/>
    <hyperlink r:id="rId998" ref="A508"/>
    <hyperlink r:id="rId999" ref="C508"/>
    <hyperlink r:id="rId1000" ref="A509"/>
    <hyperlink r:id="rId1001" ref="C509"/>
    <hyperlink r:id="rId1002" ref="A510"/>
    <hyperlink r:id="rId1003" ref="C510"/>
    <hyperlink r:id="rId1004" ref="A511"/>
    <hyperlink r:id="rId1005" ref="C511"/>
    <hyperlink r:id="rId1006" ref="A512"/>
    <hyperlink r:id="rId1007" ref="C512"/>
    <hyperlink r:id="rId1008" location=":~:text=How%20Captovate%20Optimises%20Your%20Business%20for%20AI,Strategy.%20Adapting%20for%20voice%20and%20AI%2Ddriven%20queries." ref="A513"/>
    <hyperlink r:id="rId1009" ref="C513"/>
    <hyperlink r:id="rId1010" ref="A514"/>
    <hyperlink r:id="rId1011" ref="C514"/>
    <hyperlink r:id="rId1012" ref="A515"/>
    <hyperlink r:id="rId1013" ref="C515"/>
    <hyperlink r:id="rId1014" ref="A516"/>
    <hyperlink r:id="rId1015" ref="C516"/>
    <hyperlink r:id="rId1016" ref="A517"/>
    <hyperlink r:id="rId1017" ref="C517"/>
    <hyperlink r:id="rId1018" ref="A518"/>
    <hyperlink r:id="rId1019" ref="C518"/>
    <hyperlink r:id="rId1020" ref="A519"/>
    <hyperlink r:id="rId1021" ref="C519"/>
    <hyperlink r:id="rId1022" ref="A520"/>
    <hyperlink r:id="rId1023" ref="C520"/>
    <hyperlink r:id="rId1024" ref="A521"/>
    <hyperlink r:id="rId1025" ref="C521"/>
    <hyperlink r:id="rId1026" ref="A522"/>
    <hyperlink r:id="rId1027" ref="C522"/>
    <hyperlink r:id="rId1028" ref="A523"/>
    <hyperlink r:id="rId1029" ref="C523"/>
    <hyperlink r:id="rId1030" ref="A524"/>
    <hyperlink r:id="rId1031" ref="C524"/>
    <hyperlink r:id="rId1032" ref="A525"/>
    <hyperlink r:id="rId1033" ref="C525"/>
    <hyperlink r:id="rId1034" ref="A526"/>
    <hyperlink r:id="rId1035" ref="C526"/>
    <hyperlink r:id="rId1036" ref="A527"/>
    <hyperlink r:id="rId1037" ref="C527"/>
    <hyperlink r:id="rId1038" ref="A528"/>
    <hyperlink r:id="rId1039" ref="C528"/>
    <hyperlink r:id="rId1040" location=":~:text=Our%20SEO%20strategists%2C%20in%2Dhouse%20web%20developers%20and,SEO.%20%2D%20Shopify%20SEO.%20%2D%20WordPress%20SEO." ref="A529"/>
    <hyperlink r:id="rId1041" ref="C529"/>
    <hyperlink r:id="rId1042" ref="A530"/>
    <hyperlink r:id="rId1043" ref="C530"/>
    <hyperlink r:id="rId1044" ref="A531"/>
    <hyperlink r:id="rId1045" ref="C531"/>
    <hyperlink r:id="rId1046" ref="A532"/>
    <hyperlink r:id="rId1047" ref="C532"/>
    <hyperlink r:id="rId1048" ref="A533"/>
    <hyperlink r:id="rId1049" ref="C533"/>
    <hyperlink r:id="rId1050" ref="A534"/>
    <hyperlink r:id="rId1051" ref="C534"/>
    <hyperlink r:id="rId1052" ref="A535"/>
    <hyperlink r:id="rId1053" ref="C535"/>
    <hyperlink r:id="rId1054" ref="A536"/>
    <hyperlink r:id="rId1055" ref="C536"/>
    <hyperlink r:id="rId1056" ref="A537"/>
    <hyperlink r:id="rId1057" ref="C537"/>
    <hyperlink r:id="rId1058" ref="A538"/>
    <hyperlink r:id="rId1059" ref="C538"/>
    <hyperlink r:id="rId1060" ref="A539"/>
    <hyperlink r:id="rId1061" ref="C539"/>
    <hyperlink r:id="rId1062" ref="A540"/>
    <hyperlink r:id="rId1063" ref="C540"/>
    <hyperlink r:id="rId1064" ref="A541"/>
    <hyperlink r:id="rId1065" ref="C541"/>
    <hyperlink r:id="rId1066" ref="A542"/>
    <hyperlink r:id="rId1067" ref="A543"/>
    <hyperlink r:id="rId1068" ref="C543"/>
    <hyperlink r:id="rId1069" ref="A544"/>
    <hyperlink r:id="rId1070" ref="C544"/>
    <hyperlink r:id="rId1071" ref="A545"/>
    <hyperlink r:id="rId1072" ref="C545"/>
    <hyperlink r:id="rId1073" ref="A546"/>
    <hyperlink r:id="rId1074" ref="C546"/>
    <hyperlink r:id="rId1075" ref="A547"/>
    <hyperlink r:id="rId1076" ref="C547"/>
    <hyperlink r:id="rId1077" ref="A548"/>
    <hyperlink r:id="rId1078" ref="C548"/>
    <hyperlink r:id="rId1079" ref="A549"/>
    <hyperlink r:id="rId1080" ref="C549"/>
    <hyperlink r:id="rId1081" ref="A550"/>
    <hyperlink r:id="rId1082" ref="C550"/>
    <hyperlink r:id="rId1083" ref="A551"/>
    <hyperlink r:id="rId1084" ref="C551"/>
    <hyperlink r:id="rId1085" ref="A552"/>
    <hyperlink r:id="rId1086" ref="C552"/>
    <hyperlink r:id="rId1087" ref="A553"/>
    <hyperlink r:id="rId1088" ref="C553"/>
    <hyperlink r:id="rId1089" ref="A554"/>
    <hyperlink r:id="rId1090" ref="C554"/>
    <hyperlink r:id="rId1091" ref="A555"/>
    <hyperlink r:id="rId1092" ref="C555"/>
    <hyperlink r:id="rId1093" ref="A556"/>
    <hyperlink r:id="rId1094" ref="C556"/>
    <hyperlink r:id="rId1095" ref="A557"/>
    <hyperlink r:id="rId1096" ref="C557"/>
    <hyperlink r:id="rId1097" ref="A558"/>
    <hyperlink r:id="rId1098" ref="C558"/>
    <hyperlink r:id="rId1099" ref="A559"/>
    <hyperlink r:id="rId1100" ref="C559"/>
    <hyperlink r:id="rId1101" ref="A560"/>
    <hyperlink r:id="rId1102" ref="C560"/>
    <hyperlink r:id="rId1103" ref="A561"/>
    <hyperlink r:id="rId1104" ref="C561"/>
    <hyperlink r:id="rId1105" ref="A562"/>
    <hyperlink r:id="rId1106" ref="C562"/>
    <hyperlink r:id="rId1107" ref="A563"/>
    <hyperlink r:id="rId1108" ref="C563"/>
    <hyperlink r:id="rId1109" ref="A564"/>
    <hyperlink r:id="rId1110" ref="C564"/>
    <hyperlink r:id="rId1111" ref="A565"/>
    <hyperlink r:id="rId1112" ref="C565"/>
    <hyperlink r:id="rId1113" ref="A566"/>
    <hyperlink r:id="rId1114" ref="C566"/>
    <hyperlink r:id="rId1115" ref="A567"/>
    <hyperlink r:id="rId1116" ref="C567"/>
    <hyperlink r:id="rId1117" ref="A568"/>
    <hyperlink r:id="rId1118" ref="C568"/>
    <hyperlink r:id="rId1119" ref="A569"/>
    <hyperlink r:id="rId1120" ref="C569"/>
    <hyperlink r:id="rId1121" ref="A570"/>
    <hyperlink r:id="rId1122" ref="C570"/>
    <hyperlink r:id="rId1123" ref="A571"/>
    <hyperlink r:id="rId1124" ref="C571"/>
    <hyperlink r:id="rId1125" ref="A572"/>
    <hyperlink r:id="rId1126" ref="C572"/>
    <hyperlink r:id="rId1127" ref="A573"/>
    <hyperlink r:id="rId1128" ref="C573"/>
    <hyperlink r:id="rId1129" ref="A574"/>
    <hyperlink r:id="rId1130" ref="C574"/>
    <hyperlink r:id="rId1131" ref="A575"/>
    <hyperlink r:id="rId1132" ref="C575"/>
    <hyperlink r:id="rId1133" ref="A576"/>
    <hyperlink r:id="rId1134" ref="C576"/>
    <hyperlink r:id="rId1135" ref="A577"/>
    <hyperlink r:id="rId1136" ref="C577"/>
    <hyperlink r:id="rId1137" ref="A578"/>
    <hyperlink r:id="rId1138" ref="C578"/>
    <hyperlink r:id="rId1139" ref="A579"/>
    <hyperlink r:id="rId1140" ref="C579"/>
    <hyperlink r:id="rId1141" ref="A580"/>
    <hyperlink r:id="rId1142" ref="C580"/>
    <hyperlink r:id="rId1143" ref="A581"/>
    <hyperlink r:id="rId1144" ref="C581"/>
    <hyperlink r:id="rId1145" ref="A582"/>
    <hyperlink r:id="rId1146" ref="C582"/>
    <hyperlink r:id="rId1147" ref="A583"/>
    <hyperlink r:id="rId1148" ref="C583"/>
    <hyperlink r:id="rId1149" ref="A584"/>
    <hyperlink r:id="rId1150" ref="C584"/>
    <hyperlink r:id="rId1151" ref="A585"/>
    <hyperlink r:id="rId1152" ref="C585"/>
    <hyperlink r:id="rId1153" ref="A586"/>
    <hyperlink r:id="rId1154" ref="C586"/>
    <hyperlink r:id="rId1155" location=":~:text=10.%20Bastion%20Insights%20%E2%80%93%20Cremorne.%20They%20combine,FMCG%2C%20this%20niche%20firm%20provides%20unmatched%20expertise." ref="A587"/>
    <hyperlink r:id="rId1156" ref="C587"/>
    <hyperlink r:id="rId1157" ref="A588"/>
    <hyperlink r:id="rId1158" ref="C588"/>
    <hyperlink r:id="rId1159" ref="A589"/>
    <hyperlink r:id="rId1160" ref="C589"/>
    <hyperlink r:id="rId1161" ref="A590"/>
    <hyperlink r:id="rId1162" ref="C590"/>
    <hyperlink r:id="rId1163" ref="A591"/>
    <hyperlink r:id="rId1164" ref="C591"/>
    <hyperlink r:id="rId1165" ref="A592"/>
    <hyperlink r:id="rId1166" ref="C592"/>
    <hyperlink r:id="rId1167" ref="A593"/>
    <hyperlink r:id="rId1168" ref="C593"/>
    <hyperlink r:id="rId1169" ref="A594"/>
    <hyperlink r:id="rId1170" ref="C594"/>
    <hyperlink r:id="rId1171" ref="A595"/>
    <hyperlink r:id="rId1172" ref="C595"/>
    <hyperlink r:id="rId1173" ref="A596"/>
    <hyperlink r:id="rId1174" ref="C596"/>
    <hyperlink r:id="rId1175" ref="A597"/>
    <hyperlink r:id="rId1176" ref="C597"/>
    <hyperlink r:id="rId1177" ref="A598"/>
    <hyperlink r:id="rId1178" ref="C598"/>
    <hyperlink r:id="rId1179" ref="A599"/>
    <hyperlink r:id="rId1180" ref="C599"/>
    <hyperlink r:id="rId1181" ref="A600"/>
    <hyperlink r:id="rId1182" ref="C600"/>
    <hyperlink r:id="rId1183" ref="A601"/>
    <hyperlink r:id="rId1184" ref="C601"/>
    <hyperlink r:id="rId1185" ref="A602"/>
    <hyperlink r:id="rId1186" ref="C602"/>
    <hyperlink r:id="rId1187" ref="A603"/>
    <hyperlink r:id="rId1188" ref="C603"/>
    <hyperlink r:id="rId1189" ref="A604"/>
    <hyperlink r:id="rId1190" ref="C604"/>
    <hyperlink r:id="rId1191" ref="A605"/>
    <hyperlink r:id="rId1192" ref="C605"/>
    <hyperlink r:id="rId1193" ref="A606"/>
    <hyperlink r:id="rId1194" ref="C606"/>
    <hyperlink r:id="rId1195" ref="A607"/>
    <hyperlink r:id="rId1196" ref="C607"/>
    <hyperlink r:id="rId1197" ref="A608"/>
    <hyperlink r:id="rId1198" ref="C608"/>
    <hyperlink r:id="rId1199" ref="A609"/>
    <hyperlink r:id="rId1200" ref="C609"/>
    <hyperlink r:id="rId1201" ref="A610"/>
    <hyperlink r:id="rId1202" ref="C610"/>
    <hyperlink r:id="rId1203" ref="A611"/>
    <hyperlink r:id="rId1204" ref="C611"/>
    <hyperlink r:id="rId1205" ref="A612"/>
    <hyperlink r:id="rId1206" ref="C612"/>
    <hyperlink r:id="rId1207" ref="A613"/>
    <hyperlink r:id="rId1208" ref="C613"/>
    <hyperlink r:id="rId1209" ref="A614"/>
    <hyperlink r:id="rId1210" ref="C614"/>
    <hyperlink r:id="rId1211" ref="A615"/>
    <hyperlink r:id="rId1212" ref="C615"/>
    <hyperlink r:id="rId1213" ref="A616"/>
    <hyperlink r:id="rId1214" ref="C616"/>
    <hyperlink r:id="rId1215" location=":~:text=Megantic.%20One%20of%20the%20few%20e%2Dcommerce%2Doriented%20SEO,E%2Dcommerce%20SEO%20is%20a%20very%20specific%20field." ref="A617"/>
    <hyperlink r:id="rId1216" ref="C617"/>
    <hyperlink r:id="rId1217" ref="A618"/>
    <hyperlink r:id="rId1218" ref="C618"/>
    <hyperlink r:id="rId1219" ref="A619"/>
    <hyperlink r:id="rId1220" ref="C619"/>
    <hyperlink r:id="rId1221" ref="A620"/>
    <hyperlink r:id="rId1222" ref="C620"/>
    <hyperlink r:id="rId1223" ref="A621"/>
    <hyperlink r:id="rId1224" ref="C621"/>
    <hyperlink r:id="rId1225" ref="A622"/>
    <hyperlink r:id="rId1226" ref="C622"/>
    <hyperlink r:id="rId1227" ref="A623"/>
    <hyperlink r:id="rId1228" ref="C623"/>
    <hyperlink r:id="rId1229" location=":~:text=Mid%2Dmarket%20and%20enterprise%20businesses%20operating%20in%20competitive,ThreatX%2C%20and%20Tiddle.%20Key%20services.%20SEO%20management." ref="A624"/>
    <hyperlink r:id="rId1230" ref="C624"/>
    <hyperlink r:id="rId1231" ref="A625"/>
    <hyperlink r:id="rId1232" ref="C625"/>
    <hyperlink r:id="rId1233" ref="A626"/>
    <hyperlink r:id="rId1234" ref="C626"/>
    <hyperlink r:id="rId1235" ref="A627"/>
    <hyperlink r:id="rId1236" ref="C627"/>
    <hyperlink r:id="rId1237" ref="A628"/>
    <hyperlink r:id="rId1238" ref="C628"/>
    <hyperlink r:id="rId1239" ref="A629"/>
    <hyperlink r:id="rId1240" ref="C629"/>
    <hyperlink r:id="rId1241" ref="A630"/>
    <hyperlink r:id="rId1242" ref="C630"/>
    <hyperlink r:id="rId1243" ref="A631"/>
    <hyperlink r:id="rId1244" ref="C631"/>
    <hyperlink r:id="rId1245" ref="A632"/>
    <hyperlink r:id="rId1246" ref="C632"/>
    <hyperlink r:id="rId1247" ref="A633"/>
    <hyperlink r:id="rId1248" ref="C633"/>
    <hyperlink r:id="rId1249" ref="A634"/>
    <hyperlink r:id="rId1250" ref="C634"/>
    <hyperlink r:id="rId1251" ref="A635"/>
    <hyperlink r:id="rId1252" ref="C635"/>
    <hyperlink r:id="rId1253" ref="A636"/>
    <hyperlink r:id="rId1254" ref="A637"/>
    <hyperlink r:id="rId1255" ref="C637"/>
    <hyperlink r:id="rId1256" ref="A638"/>
    <hyperlink r:id="rId1257" ref="C638"/>
    <hyperlink r:id="rId1258" ref="A639"/>
    <hyperlink r:id="rId1259" ref="C639"/>
    <hyperlink r:id="rId1260" ref="A640"/>
    <hyperlink r:id="rId1261" ref="C640"/>
    <hyperlink r:id="rId1262" ref="A641"/>
    <hyperlink r:id="rId1263" ref="C641"/>
    <hyperlink r:id="rId1264" ref="A642"/>
    <hyperlink r:id="rId1265" ref="C642"/>
    <hyperlink r:id="rId1266" ref="A643"/>
    <hyperlink r:id="rId1267" ref="C643"/>
    <hyperlink r:id="rId1268" ref="A644"/>
    <hyperlink r:id="rId1269" ref="C644"/>
    <hyperlink r:id="rId1270" ref="A645"/>
    <hyperlink r:id="rId1271" ref="C645"/>
    <hyperlink r:id="rId1272" ref="A646"/>
    <hyperlink r:id="rId1273" ref="C646"/>
    <hyperlink r:id="rId1274" ref="A647"/>
    <hyperlink r:id="rId1275" ref="C647"/>
    <hyperlink r:id="rId1276" ref="A648"/>
    <hyperlink r:id="rId1277" ref="C648"/>
    <hyperlink r:id="rId1278" ref="A649"/>
    <hyperlink r:id="rId1279" ref="C649"/>
    <hyperlink r:id="rId1280" ref="A650"/>
    <hyperlink r:id="rId1281" ref="C650"/>
    <hyperlink r:id="rId1282" ref="A651"/>
    <hyperlink r:id="rId1283" ref="C651"/>
    <hyperlink r:id="rId1284" ref="A652"/>
    <hyperlink r:id="rId1285" ref="C652"/>
    <hyperlink r:id="rId1286" ref="A653"/>
    <hyperlink r:id="rId1287" ref="C653"/>
    <hyperlink r:id="rId1288" ref="A654"/>
    <hyperlink r:id="rId1289" ref="C654"/>
    <hyperlink r:id="rId1290" ref="A655"/>
    <hyperlink r:id="rId1291" ref="C655"/>
    <hyperlink r:id="rId1292" ref="A656"/>
    <hyperlink r:id="rId1293" ref="C656"/>
    <hyperlink r:id="rId1294" ref="A657"/>
    <hyperlink r:id="rId1295" ref="C657"/>
    <hyperlink r:id="rId1296" ref="A658"/>
    <hyperlink r:id="rId1297" ref="C658"/>
    <hyperlink r:id="rId1298" ref="A659"/>
    <hyperlink r:id="rId1299" ref="C659"/>
    <hyperlink r:id="rId1300" ref="A660"/>
    <hyperlink r:id="rId1301" ref="C660"/>
    <hyperlink r:id="rId1302" location=":~:text=Our%20LLM%20SEO%20services%20help,LLMs%20and%20AI%20search%20engines." ref="A661"/>
    <hyperlink r:id="rId1303" ref="C661"/>
    <hyperlink r:id="rId1304" ref="A662"/>
    <hyperlink r:id="rId1305" ref="C662"/>
    <hyperlink r:id="rId1306" location=":~:text=Our%20live%20dashboards%20track%20your%20brand's%20presence,optimised%20for%20the%20latest%20AI%2Dpowered%20search%20results." ref="A663"/>
    <hyperlink r:id="rId1307" ref="C663"/>
    <hyperlink r:id="rId1308" ref="A664"/>
    <hyperlink r:id="rId1309" ref="C664"/>
    <hyperlink r:id="rId1310" ref="A665"/>
    <hyperlink r:id="rId1311" ref="C665"/>
    <hyperlink r:id="rId1312" ref="A666"/>
    <hyperlink r:id="rId1313" ref="C666"/>
    <hyperlink r:id="rId1314" ref="A667"/>
    <hyperlink r:id="rId1315" ref="A668"/>
    <hyperlink r:id="rId1316" ref="C668"/>
    <hyperlink r:id="rId1317" ref="A669"/>
    <hyperlink r:id="rId1318" ref="C669"/>
    <hyperlink r:id="rId1319" ref="A670"/>
    <hyperlink r:id="rId1320" ref="C670"/>
    <hyperlink r:id="rId1321" ref="A671"/>
    <hyperlink r:id="rId1322" ref="C671"/>
    <hyperlink r:id="rId1323" ref="A672"/>
    <hyperlink r:id="rId1324" ref="C672"/>
    <hyperlink r:id="rId1325" ref="A673"/>
    <hyperlink r:id="rId1326" ref="C673"/>
    <hyperlink r:id="rId1327" ref="A674"/>
    <hyperlink r:id="rId1328" ref="C674"/>
    <hyperlink r:id="rId1329" ref="A675"/>
    <hyperlink r:id="rId1330" ref="C675"/>
    <hyperlink r:id="rId1331" ref="A676"/>
    <hyperlink r:id="rId1332" ref="C676"/>
    <hyperlink r:id="rId1333" ref="A677"/>
    <hyperlink r:id="rId1334" ref="C677"/>
    <hyperlink r:id="rId1335" ref="A678"/>
    <hyperlink r:id="rId1336" ref="C678"/>
    <hyperlink r:id="rId1337" ref="A679"/>
    <hyperlink r:id="rId1338" ref="C679"/>
    <hyperlink r:id="rId1339" ref="A680"/>
    <hyperlink r:id="rId1340" ref="C680"/>
    <hyperlink r:id="rId1341" ref="A681"/>
    <hyperlink r:id="rId1342" ref="C681"/>
    <hyperlink r:id="rId1343" ref="A682"/>
    <hyperlink r:id="rId1344" ref="C682"/>
    <hyperlink r:id="rId1345" ref="A683"/>
    <hyperlink r:id="rId1346" ref="C683"/>
    <hyperlink r:id="rId1347" ref="A684"/>
    <hyperlink r:id="rId1348" ref="C684"/>
    <hyperlink r:id="rId1349" ref="A685"/>
    <hyperlink r:id="rId1350" ref="C685"/>
    <hyperlink r:id="rId1351" ref="A686"/>
    <hyperlink r:id="rId1352" ref="C686"/>
    <hyperlink r:id="rId1353" ref="A687"/>
    <hyperlink r:id="rId1354" ref="C687"/>
    <hyperlink r:id="rId1355" ref="A688"/>
    <hyperlink r:id="rId1356" ref="C688"/>
    <hyperlink r:id="rId1357" location=":~:text=As%20an%20AEO%20Agency%2C%20we%20bring%20tested,matters%20most%2C%20in%20front%20of%20your%20customers." ref="A689"/>
    <hyperlink r:id="rId1358" ref="C689"/>
    <hyperlink r:id="rId1359" ref="A690"/>
    <hyperlink r:id="rId1360" ref="C690"/>
    <hyperlink r:id="rId1361" ref="A691"/>
    <hyperlink r:id="rId1362" ref="C691"/>
    <hyperlink r:id="rId1363" ref="A692"/>
    <hyperlink r:id="rId1364" ref="C692"/>
    <hyperlink r:id="rId1365" ref="A693"/>
    <hyperlink r:id="rId1366" ref="C693"/>
    <hyperlink r:id="rId1367" ref="A694"/>
    <hyperlink r:id="rId1368" ref="C694"/>
    <hyperlink r:id="rId1369" ref="H694"/>
    <hyperlink r:id="rId1370" ref="A695"/>
    <hyperlink r:id="rId1371" ref="C695"/>
    <hyperlink r:id="rId1372" ref="A696"/>
    <hyperlink r:id="rId1373" ref="C696"/>
    <hyperlink r:id="rId1374" ref="A697"/>
    <hyperlink r:id="rId1375" ref="C697"/>
    <hyperlink r:id="rId1376" ref="A698"/>
    <hyperlink r:id="rId1377" ref="C698"/>
    <hyperlink r:id="rId1378" ref="A699"/>
    <hyperlink r:id="rId1379" ref="C699"/>
    <hyperlink r:id="rId1380" ref="A700"/>
    <hyperlink r:id="rId1381" ref="C700"/>
    <hyperlink r:id="rId1382" ref="A701"/>
    <hyperlink r:id="rId1383" ref="C701"/>
    <hyperlink r:id="rId1384" ref="A702"/>
    <hyperlink r:id="rId1385" ref="C702"/>
    <hyperlink r:id="rId1386" ref="A703"/>
    <hyperlink r:id="rId1387" ref="C703"/>
    <hyperlink r:id="rId1388" ref="A704"/>
    <hyperlink r:id="rId1389" ref="C704"/>
    <hyperlink r:id="rId1390" location=":~:text=We'll%20be%20sure%20to%20boost%20your%20key,team%20but%20need%20some%20coaching%20or%20strategy%3F" ref="A705"/>
    <hyperlink r:id="rId1391" ref="C705"/>
    <hyperlink r:id="rId1392" ref="A706"/>
    <hyperlink r:id="rId1393" ref="C706"/>
    <hyperlink r:id="rId1394" ref="A707"/>
    <hyperlink r:id="rId1395" ref="C707"/>
    <hyperlink r:id="rId1396" ref="A708"/>
    <hyperlink r:id="rId1397" ref="C708"/>
    <hyperlink r:id="rId1398" ref="A709"/>
    <hyperlink r:id="rId1399" ref="C709"/>
    <hyperlink r:id="rId1400" ref="A710"/>
    <hyperlink r:id="rId1401" ref="C710"/>
    <hyperlink r:id="rId1402" ref="A711"/>
    <hyperlink r:id="rId1403" ref="C711"/>
    <hyperlink r:id="rId1404" ref="A712"/>
    <hyperlink r:id="rId1405" ref="C712"/>
    <hyperlink r:id="rId1406" ref="A713"/>
    <hyperlink r:id="rId1407" ref="C713"/>
    <hyperlink r:id="rId1408" ref="A714"/>
    <hyperlink r:id="rId1409" ref="C714"/>
    <hyperlink r:id="rId1410" ref="A715"/>
    <hyperlink r:id="rId1411" ref="C715"/>
    <hyperlink r:id="rId1412" ref="A716"/>
    <hyperlink r:id="rId1413" ref="C716"/>
    <hyperlink r:id="rId1414" ref="A717"/>
    <hyperlink r:id="rId1415" ref="C717"/>
    <hyperlink r:id="rId1416" ref="A718"/>
    <hyperlink r:id="rId1417" ref="C718"/>
    <hyperlink r:id="rId1418" ref="A719"/>
    <hyperlink r:id="rId1419" ref="C719"/>
    <hyperlink r:id="rId1420" ref="A720"/>
    <hyperlink r:id="rId1421" ref="C720"/>
    <hyperlink r:id="rId1422" ref="A721"/>
    <hyperlink r:id="rId1423" ref="C721"/>
    <hyperlink r:id="rId1424" ref="A722"/>
    <hyperlink r:id="rId1425" ref="C722"/>
    <hyperlink r:id="rId1426" ref="A723"/>
    <hyperlink r:id="rId1427" ref="C723"/>
    <hyperlink r:id="rId1428" ref="A724"/>
    <hyperlink r:id="rId1429" ref="C724"/>
    <hyperlink r:id="rId1430" ref="A725"/>
    <hyperlink r:id="rId1431" ref="C725"/>
    <hyperlink r:id="rId1432" ref="A726"/>
    <hyperlink r:id="rId1433" ref="C726"/>
    <hyperlink r:id="rId1434" ref="A727"/>
    <hyperlink r:id="rId1435" ref="C727"/>
    <hyperlink r:id="rId1436" ref="A728"/>
    <hyperlink r:id="rId1437" ref="C728"/>
    <hyperlink r:id="rId1438" ref="A729"/>
    <hyperlink r:id="rId1439" ref="C729"/>
    <hyperlink r:id="rId1440" ref="A730"/>
    <hyperlink r:id="rId1441" ref="C730"/>
    <hyperlink r:id="rId1442" ref="A731"/>
    <hyperlink r:id="rId1443" ref="C731"/>
    <hyperlink r:id="rId1444" ref="A732"/>
    <hyperlink r:id="rId1445" ref="C732"/>
    <hyperlink r:id="rId1446" ref="A733"/>
    <hyperlink r:id="rId1447" ref="C733"/>
    <hyperlink r:id="rId1448" ref="A734"/>
    <hyperlink r:id="rId1449" ref="C734"/>
    <hyperlink r:id="rId1450" ref="A735"/>
    <hyperlink r:id="rId1451" ref="C735"/>
    <hyperlink r:id="rId1452" ref="A736"/>
    <hyperlink r:id="rId1453" ref="C736"/>
    <hyperlink r:id="rId1454" ref="A737"/>
    <hyperlink r:id="rId1455" ref="C737"/>
    <hyperlink r:id="rId1456" ref="A738"/>
    <hyperlink r:id="rId1457" ref="C738"/>
    <hyperlink r:id="rId1458" ref="A739"/>
    <hyperlink r:id="rId1459" ref="C739"/>
    <hyperlink r:id="rId1460" ref="A740"/>
    <hyperlink r:id="rId1461" ref="C740"/>
    <hyperlink r:id="rId1462" ref="A741"/>
    <hyperlink r:id="rId1463" ref="C741"/>
    <hyperlink r:id="rId1464" ref="A742"/>
    <hyperlink r:id="rId1465" ref="C742"/>
    <hyperlink r:id="rId1466" ref="A743"/>
    <hyperlink r:id="rId1467" ref="C743"/>
    <hyperlink r:id="rId1468" ref="A744"/>
    <hyperlink r:id="rId1469" ref="C744"/>
    <hyperlink r:id="rId1470" ref="A745"/>
    <hyperlink r:id="rId1471" ref="C745"/>
    <hyperlink r:id="rId1472" ref="A746"/>
    <hyperlink r:id="rId1473" ref="C746"/>
    <hyperlink r:id="rId1474" ref="A747"/>
    <hyperlink r:id="rId1475" ref="C747"/>
    <hyperlink r:id="rId1476" ref="A748"/>
    <hyperlink r:id="rId1477" ref="C748"/>
    <hyperlink r:id="rId1478" ref="A749"/>
    <hyperlink r:id="rId1479" ref="C749"/>
    <hyperlink r:id="rId1480" ref="A750"/>
    <hyperlink r:id="rId1481" ref="C750"/>
    <hyperlink r:id="rId1482" ref="A751"/>
    <hyperlink r:id="rId1483" ref="C751"/>
    <hyperlink r:id="rId1484" ref="A752"/>
    <hyperlink r:id="rId1485" ref="C752"/>
    <hyperlink r:id="rId1486" ref="A753"/>
    <hyperlink r:id="rId1487" ref="C753"/>
    <hyperlink r:id="rId1488" ref="A754"/>
    <hyperlink r:id="rId1489" ref="C754"/>
    <hyperlink r:id="rId1490" ref="A755"/>
    <hyperlink r:id="rId1491" ref="C755"/>
    <hyperlink r:id="rId1492" ref="A756"/>
    <hyperlink r:id="rId1493" ref="C756"/>
    <hyperlink r:id="rId1494" ref="A757"/>
    <hyperlink r:id="rId1495" ref="C757"/>
    <hyperlink r:id="rId1496" ref="A758"/>
    <hyperlink r:id="rId1497" ref="C758"/>
    <hyperlink r:id="rId1498" ref="A759"/>
    <hyperlink r:id="rId1499" ref="C759"/>
    <hyperlink r:id="rId1500" ref="A760"/>
    <hyperlink r:id="rId1501" ref="C760"/>
    <hyperlink r:id="rId1502" ref="A761"/>
    <hyperlink r:id="rId1503" ref="C761"/>
    <hyperlink r:id="rId1504" ref="A762"/>
    <hyperlink r:id="rId1505" ref="C762"/>
    <hyperlink r:id="rId1506" ref="A763"/>
    <hyperlink r:id="rId1507" ref="C763"/>
    <hyperlink r:id="rId1508" ref="A764"/>
    <hyperlink r:id="rId1509" ref="C764"/>
    <hyperlink r:id="rId1510" ref="A765"/>
    <hyperlink r:id="rId1511" ref="C765"/>
    <hyperlink r:id="rId1512" location=":~:text=They're%20engineered%20to%20be%20the%20reference.%20%2D,SEO%20clients%2C%20local%20trades%20to%20ASX%20brands." ref="A766"/>
    <hyperlink r:id="rId1513" ref="C766"/>
    <hyperlink r:id="rId1514" ref="A767"/>
    <hyperlink r:id="rId1515" ref="C767"/>
    <hyperlink r:id="rId1516" ref="A768"/>
    <hyperlink r:id="rId1517" ref="C768"/>
    <hyperlink r:id="rId1518" ref="A769"/>
    <hyperlink r:id="rId1519" ref="C769"/>
    <hyperlink r:id="rId1520" ref="A770"/>
    <hyperlink r:id="rId1521" ref="C770"/>
    <hyperlink r:id="rId1522" ref="A771"/>
    <hyperlink r:id="rId1523" ref="C771"/>
    <hyperlink r:id="rId1524" location=":~:text=In%20your%20view%2C%20how%20will%20MMM%20evolve,death%20of%20the%20cookie%20shouldn't%20alarm%20marketers." ref="A772"/>
    <hyperlink r:id="rId1525" ref="C772"/>
    <hyperlink r:id="rId1526" ref="A773"/>
    <hyperlink r:id="rId1527" ref="C773"/>
    <hyperlink r:id="rId1528" ref="A774"/>
    <hyperlink r:id="rId1529" ref="C774"/>
    <hyperlink r:id="rId1530" ref="A775"/>
    <hyperlink r:id="rId1531" ref="C775"/>
    <hyperlink r:id="rId1532" ref="A776"/>
    <hyperlink r:id="rId1533" ref="C776"/>
    <hyperlink r:id="rId1534" ref="A777"/>
    <hyperlink r:id="rId1535" ref="C777"/>
    <hyperlink r:id="rId1536" ref="A778"/>
    <hyperlink r:id="rId1537" ref="C778"/>
    <hyperlink r:id="rId1538" ref="A779"/>
    <hyperlink r:id="rId1539" ref="C779"/>
    <hyperlink r:id="rId1540" ref="A780"/>
    <hyperlink r:id="rId1541" ref="C780"/>
    <hyperlink r:id="rId1542" location=":~:text=Adelaide%20%E2%80%94%20Attention%20Metrics%20for%20Digital%20Media.,Request%20a%20demo.%20Get%20free%20attention%20guides." ref="A781"/>
    <hyperlink r:id="rId1543" ref="C781"/>
    <hyperlink r:id="rId1544" ref="A782"/>
    <hyperlink r:id="rId1545" ref="C782"/>
    <hyperlink r:id="rId1546" ref="A783"/>
    <hyperlink r:id="rId1547" ref="C783"/>
    <hyperlink r:id="rId1548" ref="A784"/>
    <hyperlink r:id="rId1549" ref="C784"/>
    <hyperlink r:id="rId1550" ref="A785"/>
    <hyperlink r:id="rId1551" ref="C785"/>
    <hyperlink r:id="rId1552" ref="A786"/>
    <hyperlink r:id="rId1553" ref="C786"/>
    <hyperlink r:id="rId1554" ref="A787"/>
    <hyperlink r:id="rId1555" ref="C787"/>
    <hyperlink r:id="rId1556" ref="A788"/>
    <hyperlink r:id="rId1557" ref="C788"/>
    <hyperlink r:id="rId1558" ref="A789"/>
    <hyperlink r:id="rId1559" ref="C789"/>
    <hyperlink r:id="rId1560" ref="A790"/>
    <hyperlink r:id="rId1561" ref="C790"/>
    <hyperlink r:id="rId1562" ref="A791"/>
    <hyperlink r:id="rId1563" ref="C791"/>
    <hyperlink r:id="rId1564" ref="A792"/>
    <hyperlink r:id="rId1565" ref="C792"/>
    <hyperlink r:id="rId1566" ref="A793"/>
    <hyperlink r:id="rId1567" ref="C793"/>
    <hyperlink r:id="rId1568" ref="A794"/>
    <hyperlink r:id="rId1569" ref="C794"/>
    <hyperlink r:id="rId1570" ref="A795"/>
    <hyperlink r:id="rId1571" ref="C795"/>
    <hyperlink r:id="rId1572" ref="A796"/>
    <hyperlink r:id="rId1573" ref="C796"/>
    <hyperlink r:id="rId1574" ref="A797"/>
    <hyperlink r:id="rId1575" ref="C797"/>
    <hyperlink r:id="rId1576" ref="A798"/>
    <hyperlink r:id="rId1577" ref="C798"/>
    <hyperlink r:id="rId1578" ref="A799"/>
    <hyperlink r:id="rId1579" ref="C799"/>
    <hyperlink r:id="rId1580" ref="A800"/>
    <hyperlink r:id="rId1581" ref="C800"/>
    <hyperlink r:id="rId1582" ref="A801"/>
    <hyperlink r:id="rId1583" ref="C801"/>
    <hyperlink r:id="rId1584" ref="A802"/>
    <hyperlink r:id="rId1585" ref="C802"/>
    <hyperlink r:id="rId1586" ref="A803"/>
    <hyperlink r:id="rId1587" ref="C803"/>
    <hyperlink r:id="rId1588" ref="A804"/>
    <hyperlink r:id="rId1589" ref="C804"/>
    <hyperlink r:id="rId1590" ref="A805"/>
    <hyperlink r:id="rId1591" ref="C805"/>
    <hyperlink r:id="rId1592" ref="A806"/>
    <hyperlink r:id="rId1593" ref="C806"/>
    <hyperlink r:id="rId1594" ref="A807"/>
    <hyperlink r:id="rId1595" ref="C807"/>
    <hyperlink r:id="rId1596" ref="A808"/>
    <hyperlink r:id="rId1597" ref="C808"/>
    <hyperlink r:id="rId1598" ref="A809"/>
    <hyperlink r:id="rId1599" ref="C809"/>
    <hyperlink r:id="rId1600" ref="A810"/>
    <hyperlink r:id="rId1601" ref="C810"/>
    <hyperlink r:id="rId1602" ref="A811"/>
    <hyperlink r:id="rId1603" ref="C811"/>
    <hyperlink r:id="rId1604" ref="A812"/>
    <hyperlink r:id="rId1605" ref="C812"/>
    <hyperlink r:id="rId1606" ref="A813"/>
    <hyperlink r:id="rId1607" ref="C813"/>
    <hyperlink r:id="rId1608" ref="A814"/>
    <hyperlink r:id="rId1609" ref="C814"/>
    <hyperlink r:id="rId1610" ref="A815"/>
    <hyperlink r:id="rId1611" ref="A816"/>
    <hyperlink r:id="rId1612" ref="C816"/>
    <hyperlink r:id="rId1613" ref="A817"/>
    <hyperlink r:id="rId1614" ref="C817"/>
    <hyperlink r:id="rId1615" ref="A818"/>
    <hyperlink r:id="rId1616" ref="C818"/>
    <hyperlink r:id="rId1617" ref="A819"/>
    <hyperlink r:id="rId1618" ref="C819"/>
    <hyperlink r:id="rId1619" ref="A820"/>
    <hyperlink r:id="rId1620" ref="C820"/>
    <hyperlink r:id="rId1621" ref="A821"/>
    <hyperlink r:id="rId1622" ref="C821"/>
    <hyperlink r:id="rId1623" ref="A822"/>
    <hyperlink r:id="rId1624" ref="C822"/>
    <hyperlink r:id="rId1625" ref="A823"/>
    <hyperlink r:id="rId1626" ref="C823"/>
    <hyperlink r:id="rId1627" ref="A824"/>
    <hyperlink r:id="rId1628" ref="C824"/>
    <hyperlink r:id="rId1629" ref="A825"/>
    <hyperlink r:id="rId1630" ref="C825"/>
    <hyperlink r:id="rId1631" ref="A826"/>
    <hyperlink r:id="rId1632" ref="C826"/>
    <hyperlink r:id="rId1633" ref="A827"/>
    <hyperlink r:id="rId1634" ref="C827"/>
    <hyperlink r:id="rId1635" ref="A828"/>
    <hyperlink r:id="rId1636" ref="C828"/>
    <hyperlink r:id="rId1637" location=":~:text=%E2%80%9CGlobal%20enterprises%20looking%20to%20get%20started%20with,more.%20Our%20Hands%2Don%20Approach%20to%20Smarter%20Decisioning." ref="A829"/>
    <hyperlink r:id="rId1638" ref="C829"/>
    <hyperlink r:id="rId1639" ref="A830"/>
    <hyperlink r:id="rId1640" ref="C830"/>
    <hyperlink r:id="rId1641" ref="A831"/>
    <hyperlink r:id="rId1642" ref="C831"/>
    <hyperlink r:id="rId1643" ref="A832"/>
    <hyperlink r:id="rId1644" ref="C832"/>
    <hyperlink r:id="rId1645" ref="A833"/>
    <hyperlink r:id="rId1646" ref="A834"/>
    <hyperlink r:id="rId1647" ref="C834"/>
    <hyperlink r:id="rId1648" ref="A835"/>
    <hyperlink r:id="rId1649" ref="C835"/>
    <hyperlink r:id="rId1650" ref="A836"/>
    <hyperlink r:id="rId1651" ref="C836"/>
    <hyperlink r:id="rId1652" ref="A837"/>
    <hyperlink r:id="rId1653" ref="C837"/>
    <hyperlink r:id="rId1654" ref="A838"/>
    <hyperlink r:id="rId1655" ref="C838"/>
    <hyperlink r:id="rId1656" ref="A839"/>
    <hyperlink r:id="rId1657" ref="C839"/>
    <hyperlink r:id="rId1658" ref="A840"/>
    <hyperlink r:id="rId1659" ref="C840"/>
    <hyperlink r:id="rId1660" ref="A841"/>
    <hyperlink r:id="rId1661" ref="C841"/>
    <hyperlink r:id="rId1662" ref="A842"/>
    <hyperlink r:id="rId1663" ref="C842"/>
    <hyperlink r:id="rId1664" ref="A843"/>
    <hyperlink r:id="rId1665" ref="C843"/>
    <hyperlink r:id="rId1666" ref="A844"/>
    <hyperlink r:id="rId1667" ref="C844"/>
    <hyperlink r:id="rId1668" ref="A845"/>
    <hyperlink r:id="rId1669" ref="C845"/>
    <hyperlink r:id="rId1670" ref="A846"/>
    <hyperlink r:id="rId1671" ref="C846"/>
    <hyperlink r:id="rId1672" ref="A847"/>
    <hyperlink r:id="rId1673" ref="C847"/>
    <hyperlink r:id="rId1674" ref="A848"/>
    <hyperlink r:id="rId1675" ref="C848"/>
    <hyperlink r:id="rId1676" ref="A849"/>
    <hyperlink r:id="rId1677" ref="C849"/>
    <hyperlink r:id="rId1678" ref="A850"/>
    <hyperlink r:id="rId1679" ref="C850"/>
    <hyperlink r:id="rId1680" ref="A851"/>
    <hyperlink r:id="rId1681" ref="C851"/>
    <hyperlink r:id="rId1682" ref="A852"/>
    <hyperlink r:id="rId1683" ref="C852"/>
    <hyperlink r:id="rId1684" ref="A853"/>
    <hyperlink r:id="rId1685" ref="C853"/>
    <hyperlink r:id="rId1686" ref="A854"/>
    <hyperlink r:id="rId1687" ref="C854"/>
    <hyperlink r:id="rId1688" ref="A855"/>
    <hyperlink r:id="rId1689" ref="C855"/>
    <hyperlink r:id="rId1690" ref="A856"/>
    <hyperlink r:id="rId1691" ref="C856"/>
    <hyperlink r:id="rId1692" ref="A857"/>
    <hyperlink r:id="rId1693" ref="C857"/>
    <hyperlink r:id="rId1694" ref="A858"/>
    <hyperlink r:id="rId1695" ref="C858"/>
    <hyperlink r:id="rId1696" ref="A859"/>
    <hyperlink r:id="rId1697" ref="C859"/>
    <hyperlink r:id="rId1698" ref="A860"/>
    <hyperlink r:id="rId1699" ref="C860"/>
    <hyperlink r:id="rId1700" ref="A861"/>
    <hyperlink r:id="rId1701" ref="C861"/>
    <hyperlink r:id="rId1702" ref="A862"/>
    <hyperlink r:id="rId1703" ref="C862"/>
    <hyperlink r:id="rId1704" ref="A863"/>
    <hyperlink r:id="rId1705" ref="C863"/>
    <hyperlink r:id="rId1706" ref="A864"/>
    <hyperlink r:id="rId1707" ref="C864"/>
    <hyperlink r:id="rId1708" ref="A865"/>
    <hyperlink r:id="rId1709" ref="C865"/>
    <hyperlink r:id="rId1710" ref="A866"/>
    <hyperlink r:id="rId1711" ref="C866"/>
    <hyperlink r:id="rId1712" ref="A867"/>
    <hyperlink r:id="rId1713" ref="C867"/>
    <hyperlink r:id="rId1714" ref="A868"/>
    <hyperlink r:id="rId1715" ref="C868"/>
    <hyperlink r:id="rId1716" ref="A869"/>
    <hyperlink r:id="rId1717" ref="C869"/>
    <hyperlink r:id="rId1718" ref="A870"/>
    <hyperlink r:id="rId1719" ref="C870"/>
    <hyperlink r:id="rId1720" ref="A871"/>
    <hyperlink r:id="rId1721" ref="C871"/>
    <hyperlink r:id="rId1722" ref="A872"/>
    <hyperlink r:id="rId1723" ref="C872"/>
    <hyperlink r:id="rId1724" ref="A873"/>
    <hyperlink r:id="rId1725" ref="C873"/>
    <hyperlink r:id="rId1726" ref="A874"/>
    <hyperlink r:id="rId1727" ref="C874"/>
    <hyperlink r:id="rId1728" ref="A875"/>
    <hyperlink r:id="rId1729" ref="C875"/>
    <hyperlink r:id="rId1730" ref="A876"/>
    <hyperlink r:id="rId1731" ref="C876"/>
    <hyperlink r:id="rId1732" ref="A877"/>
    <hyperlink r:id="rId1733" ref="C877"/>
    <hyperlink r:id="rId1734" ref="A878"/>
    <hyperlink r:id="rId1735" ref="C878"/>
    <hyperlink r:id="rId1736" ref="A879"/>
    <hyperlink r:id="rId1737" ref="C879"/>
    <hyperlink r:id="rId1738" location=":~:text=BizWisdom%20leverage%20the%20latest%20programmatic,LEARN%20HOW" ref="A880"/>
    <hyperlink r:id="rId1739" ref="C880"/>
    <hyperlink r:id="rId1740" ref="A881"/>
    <hyperlink r:id="rId1741" location=":~:text=Owns%20growth%20strategy%20across%20the%20portfolio%3A%20the,the%20concepts%20and%20angles%20that%20drive%20profit." ref="A882"/>
    <hyperlink r:id="rId1742" ref="C882"/>
    <hyperlink r:id="rId1743" ref="A883"/>
    <hyperlink r:id="rId1744" ref="C883"/>
    <hyperlink r:id="rId1745" ref="A884"/>
    <hyperlink r:id="rId1746" ref="C884"/>
    <hyperlink r:id="rId1747" ref="A885"/>
    <hyperlink r:id="rId1748" ref="C885"/>
    <hyperlink r:id="rId1749" ref="A886"/>
    <hyperlink r:id="rId1750" ref="C886"/>
    <hyperlink r:id="rId1751" ref="A887"/>
    <hyperlink r:id="rId1752" ref="C887"/>
    <hyperlink r:id="rId1753" ref="A888"/>
    <hyperlink r:id="rId1754" ref="C888"/>
    <hyperlink r:id="rId1755" ref="A889"/>
    <hyperlink r:id="rId1756" ref="C889"/>
    <hyperlink r:id="rId1757" ref="A890"/>
    <hyperlink r:id="rId1758" ref="C890"/>
    <hyperlink r:id="rId1759" ref="A891"/>
    <hyperlink r:id="rId1760" ref="C891"/>
    <hyperlink r:id="rId1761" location=":~:text=Create%20dedicated%20FAQ%20pages%20or%20blog%20posts,your%20listings%20and%20make%20them%20identical%20everywhere." ref="A892"/>
    <hyperlink r:id="rId1762" ref="C892"/>
    <hyperlink r:id="rId1763" ref="A893"/>
    <hyperlink r:id="rId1764" ref="C893"/>
    <hyperlink r:id="rId1765" ref="A894"/>
    <hyperlink r:id="rId1766" ref="C894"/>
    <hyperlink r:id="rId1767" ref="A895"/>
    <hyperlink r:id="rId1768" ref="C895"/>
    <hyperlink r:id="rId1769" ref="A896"/>
    <hyperlink r:id="rId1770" ref="C896"/>
    <hyperlink r:id="rId1771" location=":~:text=%23%20The%206%20best%20AI%20SEO%20agencies,AI%2Dassisted%2C%20delivery%2Dfocused%20%7C%20Enterprise%20technical%20SEO%20depth" ref="A897"/>
    <hyperlink r:id="rId1772" ref="C897"/>
    <hyperlink r:id="rId1773" ref="A898"/>
    <hyperlink r:id="rId1774" ref="C898"/>
    <hyperlink r:id="rId1775" ref="A899"/>
    <hyperlink r:id="rId1776" ref="C899"/>
    <hyperlink r:id="rId1777" ref="A900"/>
    <hyperlink r:id="rId1778" ref="C900"/>
    <hyperlink r:id="rId1779" ref="A901"/>
    <hyperlink r:id="rId1780" ref="C901"/>
    <hyperlink r:id="rId1781" ref="A902"/>
    <hyperlink r:id="rId1782" ref="C902"/>
    <hyperlink r:id="rId1783" ref="A903"/>
    <hyperlink r:id="rId1784" ref="C903"/>
    <hyperlink r:id="rId1785" ref="A904"/>
    <hyperlink r:id="rId1786" ref="C904"/>
    <hyperlink r:id="rId1787" ref="A905"/>
    <hyperlink r:id="rId1788" ref="C905"/>
    <hyperlink r:id="rId1789" ref="A906"/>
    <hyperlink r:id="rId1790" ref="C906"/>
    <hyperlink r:id="rId1791" ref="A907"/>
    <hyperlink r:id="rId1792" ref="C907"/>
    <hyperlink r:id="rId1793" location=":~:text=Streamline%20and%20strengthen%20for%20more%20efficient%20operations,marketing%20investments%20across%20all%20channels%20and%20touchpoints." ref="A908"/>
    <hyperlink r:id="rId1794" ref="C908"/>
    <hyperlink r:id="rId1795" ref="A909"/>
    <hyperlink r:id="rId1796" ref="C909"/>
    <hyperlink r:id="rId1797" ref="A910"/>
    <hyperlink r:id="rId1798" ref="C910"/>
    <hyperlink r:id="rId1799" ref="A911"/>
    <hyperlink r:id="rId1800" ref="C911"/>
    <hyperlink r:id="rId1801" ref="A912"/>
    <hyperlink r:id="rId1802" ref="C912"/>
    <hyperlink r:id="rId1803" ref="A913"/>
    <hyperlink r:id="rId1804" ref="C913"/>
    <hyperlink r:id="rId1805" location=":~:text=DV360%20(Google's%20enterprise%20DSP)%20and%20The%20Trade,work%20follows%20IAB%20Australia%20brand%20safety%20standards." ref="A914"/>
    <hyperlink r:id="rId1806" ref="C914"/>
    <hyperlink r:id="rId1807" ref="A915"/>
    <hyperlink r:id="rId1808" ref="C915"/>
    <hyperlink r:id="rId1809" ref="A916"/>
    <hyperlink r:id="rId1810" ref="C916"/>
    <hyperlink r:id="rId1811" ref="A917"/>
    <hyperlink r:id="rId1812" ref="C917"/>
    <hyperlink r:id="rId1813" ref="A918"/>
    <hyperlink r:id="rId1814" ref="C918"/>
    <hyperlink r:id="rId1815" ref="A919"/>
    <hyperlink r:id="rId1816" ref="C919"/>
    <hyperlink r:id="rId1817" ref="A920"/>
    <hyperlink r:id="rId1818" ref="C920"/>
    <hyperlink r:id="rId1819" ref="A921"/>
    <hyperlink r:id="rId1820" ref="C921"/>
    <hyperlink r:id="rId1821" ref="A922"/>
    <hyperlink r:id="rId1822" ref="C922"/>
    <hyperlink r:id="rId1823" ref="A923"/>
    <hyperlink r:id="rId1824" ref="C923"/>
    <hyperlink r:id="rId1825" ref="A924"/>
    <hyperlink r:id="rId1826" ref="C924"/>
    <hyperlink r:id="rId1827" ref="A925"/>
    <hyperlink r:id="rId1828" ref="C925"/>
    <hyperlink r:id="rId1829" ref="A926"/>
    <hyperlink r:id="rId1830" ref="C926"/>
    <hyperlink r:id="rId1831" ref="A927"/>
    <hyperlink r:id="rId1832" ref="C927"/>
    <hyperlink r:id="rId1833" ref="A928"/>
    <hyperlink r:id="rId1834" ref="C928"/>
    <hyperlink r:id="rId1835" ref="A929"/>
    <hyperlink r:id="rId1836" ref="C929"/>
    <hyperlink r:id="rId1837" ref="A930"/>
    <hyperlink r:id="rId1838" ref="C930"/>
    <hyperlink r:id="rId1839" ref="A931"/>
    <hyperlink r:id="rId1840" ref="C931"/>
    <hyperlink r:id="rId1841" ref="A932"/>
    <hyperlink r:id="rId1842" ref="C932"/>
    <hyperlink r:id="rId1843" ref="A933"/>
    <hyperlink r:id="rId1844" ref="C933"/>
    <hyperlink r:id="rId1845" ref="A934"/>
    <hyperlink r:id="rId1846" ref="C934"/>
    <hyperlink r:id="rId1847" ref="A935"/>
    <hyperlink r:id="rId1848" ref="C935"/>
    <hyperlink r:id="rId1849" ref="A936"/>
    <hyperlink r:id="rId1850" ref="C936"/>
    <hyperlink r:id="rId1851" ref="A937"/>
    <hyperlink r:id="rId1852" ref="C937"/>
    <hyperlink r:id="rId1853" ref="A938"/>
    <hyperlink r:id="rId1854" ref="C938"/>
    <hyperlink r:id="rId1855" ref="A939"/>
    <hyperlink r:id="rId1856" ref="C939"/>
    <hyperlink r:id="rId1857" ref="A940"/>
    <hyperlink r:id="rId1858" ref="C940"/>
    <hyperlink r:id="rId1859" ref="A941"/>
    <hyperlink r:id="rId1860" ref="C941"/>
    <hyperlink r:id="rId1861" ref="A942"/>
    <hyperlink r:id="rId1862" ref="C942"/>
    <hyperlink r:id="rId1863" ref="A943"/>
    <hyperlink r:id="rId1864" ref="C943"/>
    <hyperlink r:id="rId1865" ref="A944"/>
    <hyperlink r:id="rId1866" ref="C944"/>
    <hyperlink r:id="rId1867" location=":~:text=That's%20why%20I'm%20here%20to%20help.%20AI,(AI%20SEO)%20%2D%20Generative%20Engine%20Optimisation%20(GEO)" ref="A945"/>
    <hyperlink r:id="rId1868" ref="C945"/>
    <hyperlink r:id="rId1869" ref="A946"/>
    <hyperlink r:id="rId1870" ref="C946"/>
    <hyperlink r:id="rId1871" ref="A947"/>
    <hyperlink r:id="rId1872" ref="C947"/>
    <hyperlink r:id="rId1873" ref="A948"/>
    <hyperlink r:id="rId1874" ref="C948"/>
    <hyperlink r:id="rId1875" ref="A949"/>
    <hyperlink r:id="rId1876" ref="C949"/>
    <hyperlink r:id="rId1877" ref="A950"/>
    <hyperlink r:id="rId1878" ref="C950"/>
    <hyperlink r:id="rId1879" ref="A951"/>
    <hyperlink r:id="rId1880" ref="C951"/>
    <hyperlink r:id="rId1881" ref="A952"/>
    <hyperlink r:id="rId1882" ref="C952"/>
    <hyperlink r:id="rId1883" ref="A953"/>
    <hyperlink r:id="rId1884" ref="C953"/>
    <hyperlink r:id="rId1885" ref="A954"/>
    <hyperlink r:id="rId1886" ref="C954"/>
    <hyperlink r:id="rId1887" ref="A955"/>
    <hyperlink r:id="rId1888" ref="C955"/>
    <hyperlink r:id="rId1889" ref="A956"/>
    <hyperlink r:id="rId1890" ref="C956"/>
    <hyperlink r:id="rId1891" ref="A957"/>
    <hyperlink r:id="rId1892" ref="C957"/>
    <hyperlink r:id="rId1893" ref="A958"/>
    <hyperlink r:id="rId1894" ref="C958"/>
    <hyperlink r:id="rId1895" ref="A959"/>
    <hyperlink r:id="rId1896" ref="C959"/>
    <hyperlink r:id="rId1897" ref="A960"/>
    <hyperlink r:id="rId1898" ref="C960"/>
    <hyperlink r:id="rId1899" ref="A961"/>
    <hyperlink r:id="rId1900" ref="C961"/>
    <hyperlink r:id="rId1901" ref="A962"/>
    <hyperlink r:id="rId1902" ref="C962"/>
    <hyperlink r:id="rId1903" ref="A963"/>
    <hyperlink r:id="rId1904" ref="C963"/>
    <hyperlink r:id="rId1905" ref="A964"/>
    <hyperlink r:id="rId1906" ref="C964"/>
    <hyperlink r:id="rId1907" ref="A965"/>
    <hyperlink r:id="rId1908" ref="C965"/>
    <hyperlink r:id="rId1909" ref="A966"/>
    <hyperlink r:id="rId1910" ref="C966"/>
    <hyperlink r:id="rId1911" ref="A967"/>
    <hyperlink r:id="rId1912" ref="C967"/>
    <hyperlink r:id="rId1913" ref="A968"/>
    <hyperlink r:id="rId1914" ref="C968"/>
    <hyperlink r:id="rId1915" ref="A969"/>
    <hyperlink r:id="rId1916" ref="C969"/>
    <hyperlink r:id="rId1917" ref="A970"/>
    <hyperlink r:id="rId1918" ref="C970"/>
    <hyperlink r:id="rId1919" ref="A971"/>
    <hyperlink r:id="rId1920" ref="C971"/>
    <hyperlink r:id="rId1921" ref="A972"/>
    <hyperlink r:id="rId1922" ref="C972"/>
    <hyperlink r:id="rId1923" ref="A973"/>
    <hyperlink r:id="rId1924" ref="C973"/>
    <hyperlink r:id="rId1925" ref="A974"/>
    <hyperlink r:id="rId1926" ref="C974"/>
    <hyperlink r:id="rId1927" ref="A975"/>
    <hyperlink r:id="rId1928" ref="C975"/>
    <hyperlink r:id="rId1929" ref="A976"/>
    <hyperlink r:id="rId1930" ref="C976"/>
    <hyperlink r:id="rId1931" ref="A977"/>
    <hyperlink r:id="rId1932" ref="C977"/>
    <hyperlink r:id="rId1933" ref="A978"/>
    <hyperlink r:id="rId1934" ref="C978"/>
    <hyperlink r:id="rId1935" ref="A979"/>
    <hyperlink r:id="rId1936" ref="C979"/>
    <hyperlink r:id="rId1937" ref="A980"/>
    <hyperlink r:id="rId1938" ref="C980"/>
    <hyperlink r:id="rId1939" ref="A981"/>
    <hyperlink r:id="rId1940" ref="C981"/>
    <hyperlink r:id="rId1941" ref="A982"/>
    <hyperlink r:id="rId1942" ref="C982"/>
    <hyperlink r:id="rId1943" ref="A983"/>
    <hyperlink r:id="rId1944" ref="C983"/>
    <hyperlink r:id="rId1945" ref="A984"/>
    <hyperlink r:id="rId1946" ref="C984"/>
    <hyperlink r:id="rId1947" ref="A985"/>
    <hyperlink r:id="rId1948" ref="C985"/>
    <hyperlink r:id="rId1949" ref="A986"/>
    <hyperlink r:id="rId1950" ref="C986"/>
    <hyperlink r:id="rId1951" ref="A987"/>
    <hyperlink r:id="rId1952" ref="C987"/>
    <hyperlink r:id="rId1953" ref="A988"/>
    <hyperlink r:id="rId1954" ref="C988"/>
    <hyperlink r:id="rId1955" ref="A989"/>
    <hyperlink r:id="rId1956" ref="C989"/>
    <hyperlink r:id="rId1957" ref="A990"/>
    <hyperlink r:id="rId1958" ref="C990"/>
    <hyperlink r:id="rId1959" ref="A991"/>
    <hyperlink r:id="rId1960" ref="C991"/>
    <hyperlink r:id="rId1961" ref="A992"/>
    <hyperlink r:id="rId1962" ref="C992"/>
    <hyperlink r:id="rId1963" ref="A993"/>
    <hyperlink r:id="rId1964" ref="C993"/>
    <hyperlink r:id="rId1965" ref="A994"/>
    <hyperlink r:id="rId1966" ref="C994"/>
    <hyperlink r:id="rId1967" ref="A995"/>
    <hyperlink r:id="rId1968" ref="C995"/>
    <hyperlink r:id="rId1969" ref="A996"/>
    <hyperlink r:id="rId1970" ref="C996"/>
    <hyperlink r:id="rId1971" ref="A997"/>
    <hyperlink r:id="rId1972" ref="C997"/>
    <hyperlink r:id="rId1973" ref="A998"/>
    <hyperlink r:id="rId1974" ref="C998"/>
    <hyperlink r:id="rId1975" ref="A999"/>
    <hyperlink r:id="rId1976" ref="C999"/>
    <hyperlink r:id="rId1977" ref="A1000"/>
    <hyperlink r:id="rId1978" ref="C1000"/>
    <hyperlink r:id="rId1979" ref="A1001"/>
    <hyperlink r:id="rId1980" ref="C1001"/>
    <hyperlink r:id="rId1981" ref="A1002"/>
    <hyperlink r:id="rId1982" ref="C1002"/>
    <hyperlink r:id="rId1983" ref="A1003"/>
    <hyperlink r:id="rId1984" ref="C1003"/>
    <hyperlink r:id="rId1985" ref="A1004"/>
    <hyperlink r:id="rId1986" ref="C1004"/>
    <hyperlink r:id="rId1987" ref="A1005"/>
    <hyperlink r:id="rId1988" ref="C1005"/>
    <hyperlink r:id="rId1989" ref="A1006"/>
    <hyperlink r:id="rId1990" ref="C1006"/>
    <hyperlink r:id="rId1991" ref="A1007"/>
    <hyperlink r:id="rId1992" ref="C1007"/>
    <hyperlink r:id="rId1993" ref="A1008"/>
    <hyperlink r:id="rId1994" ref="C1008"/>
    <hyperlink r:id="rId1995" ref="A1009"/>
    <hyperlink r:id="rId1996" ref="C1009"/>
    <hyperlink r:id="rId1997" ref="A1010"/>
    <hyperlink r:id="rId1998" ref="C1010"/>
    <hyperlink r:id="rId1999" ref="A1011"/>
    <hyperlink r:id="rId2000" ref="C1011"/>
    <hyperlink r:id="rId2001" ref="A1012"/>
    <hyperlink r:id="rId2002" ref="C1012"/>
    <hyperlink r:id="rId2003" ref="A1013"/>
    <hyperlink r:id="rId2004" ref="C1013"/>
    <hyperlink r:id="rId2005" ref="A1014"/>
    <hyperlink r:id="rId2006" ref="C1014"/>
    <hyperlink r:id="rId2007" location=":~:text=FTA%20is%20a%20founding%20member,co%2Ddesign%20this%20important%20reform." ref="A1015"/>
    <hyperlink r:id="rId2008" ref="C1015"/>
    <hyperlink r:id="rId2009" location=":~:text=What%20is%20ATT%3F%20%E2%80%A2%20A%20voluntary%20trade,to%20a%20range%20of%20trade%20facilitation%20benefits." ref="A1016"/>
    <hyperlink r:id="rId2010" ref="C1016"/>
    <hyperlink r:id="rId2011" ref="A1017"/>
    <hyperlink r:id="rId2012" ref="C1017"/>
    <hyperlink r:id="rId2013" ref="A1018"/>
    <hyperlink r:id="rId2014" ref="C1018"/>
    <hyperlink r:id="rId2015" ref="A1019"/>
    <hyperlink r:id="rId2016" ref="C1019"/>
    <hyperlink r:id="rId2017" ref="A1020"/>
    <hyperlink r:id="rId2018" ref="C1020"/>
    <hyperlink r:id="rId2019" ref="A1021"/>
    <hyperlink r:id="rId2020" ref="C1021"/>
    <hyperlink r:id="rId2021" ref="A1022"/>
    <hyperlink r:id="rId2022" ref="C1022"/>
    <hyperlink r:id="rId2023" ref="A1023"/>
    <hyperlink r:id="rId2024" ref="C1023"/>
    <hyperlink r:id="rId2025" ref="A1024"/>
    <hyperlink r:id="rId2026" ref="C1024"/>
    <hyperlink r:id="rId2027" ref="A1025"/>
    <hyperlink r:id="rId2028" ref="C1025"/>
    <hyperlink r:id="rId2029" ref="A1026"/>
    <hyperlink r:id="rId2030" ref="C1026"/>
    <hyperlink r:id="rId2031" ref="A1027"/>
    <hyperlink r:id="rId2032" ref="C1027"/>
    <hyperlink r:id="rId2033" ref="A1028"/>
    <hyperlink r:id="rId2034" ref="C1028"/>
    <hyperlink r:id="rId2035" ref="A1029"/>
    <hyperlink r:id="rId2036" ref="C1029"/>
    <hyperlink r:id="rId2037" ref="A1030"/>
    <hyperlink r:id="rId2038" ref="C1030"/>
    <hyperlink r:id="rId2039" ref="A1031"/>
    <hyperlink r:id="rId2040" ref="C1031"/>
    <hyperlink r:id="rId2041" ref="A1032"/>
    <hyperlink r:id="rId2042" ref="C1032"/>
    <hyperlink r:id="rId2043" ref="A1033"/>
    <hyperlink r:id="rId2044" ref="C1033"/>
    <hyperlink r:id="rId2045" ref="A1034"/>
    <hyperlink r:id="rId2046" ref="C1034"/>
    <hyperlink r:id="rId2047" ref="A1035"/>
    <hyperlink r:id="rId2048" ref="C1035"/>
    <hyperlink r:id="rId2049" ref="A1036"/>
    <hyperlink r:id="rId2050" ref="C1036"/>
    <hyperlink r:id="rId2051" ref="A1037"/>
    <hyperlink r:id="rId2052" ref="C1037"/>
    <hyperlink r:id="rId2053" ref="A1038"/>
    <hyperlink r:id="rId2054" ref="C1038"/>
    <hyperlink r:id="rId2055" ref="A1039"/>
    <hyperlink r:id="rId2056" ref="C1039"/>
    <hyperlink r:id="rId2057" ref="A1040"/>
    <hyperlink r:id="rId2058" ref="C1040"/>
    <hyperlink r:id="rId2059" ref="A1041"/>
    <hyperlink r:id="rId2060" ref="C1041"/>
    <hyperlink r:id="rId2061" ref="A1042"/>
    <hyperlink r:id="rId2062" ref="C1042"/>
    <hyperlink r:id="rId2063" ref="A1043"/>
    <hyperlink r:id="rId2064" ref="C1043"/>
    <hyperlink r:id="rId2065" ref="A1044"/>
    <hyperlink r:id="rId2066" ref="C1044"/>
    <hyperlink r:id="rId2067" ref="A1045"/>
    <hyperlink r:id="rId2068" ref="C1045"/>
    <hyperlink r:id="rId2069" ref="A1046"/>
    <hyperlink r:id="rId2070" ref="C1046"/>
    <hyperlink r:id="rId2071" ref="A1047"/>
    <hyperlink r:id="rId2072" ref="C1047"/>
    <hyperlink r:id="rId2073" ref="A1048"/>
    <hyperlink r:id="rId2074" ref="C1048"/>
    <hyperlink r:id="rId2075" ref="A1049"/>
    <hyperlink r:id="rId2076" ref="C1049"/>
    <hyperlink r:id="rId2077" ref="A1050"/>
    <hyperlink r:id="rId2078" ref="C1050"/>
    <hyperlink r:id="rId2079" ref="A1051"/>
    <hyperlink r:id="rId2080" ref="C1051"/>
    <hyperlink r:id="rId2081" ref="A1052"/>
    <hyperlink r:id="rId2082" ref="C1052"/>
    <hyperlink r:id="rId2083" ref="A1053"/>
    <hyperlink r:id="rId2084" ref="C1053"/>
    <hyperlink r:id="rId2085" ref="A1054"/>
    <hyperlink r:id="rId2086" ref="C1054"/>
    <hyperlink r:id="rId2087" ref="A1055"/>
    <hyperlink r:id="rId2088" ref="C1055"/>
    <hyperlink r:id="rId2089" ref="A1056"/>
    <hyperlink r:id="rId2090" ref="C1056"/>
    <hyperlink r:id="rId2091" ref="A1057"/>
    <hyperlink r:id="rId2092" ref="C1057"/>
    <hyperlink r:id="rId2093" ref="A1058"/>
    <hyperlink r:id="rId2094" ref="C1058"/>
    <hyperlink r:id="rId2095" ref="A1059"/>
    <hyperlink r:id="rId2096" ref="C1059"/>
    <hyperlink r:id="rId2097" ref="A1060"/>
    <hyperlink r:id="rId2098" ref="C1060"/>
    <hyperlink r:id="rId2099" ref="A1061"/>
    <hyperlink r:id="rId2100" ref="C1061"/>
    <hyperlink r:id="rId2101" ref="A1062"/>
    <hyperlink r:id="rId2102" ref="C1062"/>
    <hyperlink r:id="rId2103" ref="A1063"/>
    <hyperlink r:id="rId2104" ref="C1063"/>
    <hyperlink r:id="rId2105" ref="A1064"/>
    <hyperlink r:id="rId2106" ref="C1064"/>
    <hyperlink r:id="rId2107" ref="A1065"/>
    <hyperlink r:id="rId2108" ref="C1065"/>
    <hyperlink r:id="rId2109" ref="A1066"/>
    <hyperlink r:id="rId2110" ref="C1066"/>
    <hyperlink r:id="rId2111" ref="A1067"/>
    <hyperlink r:id="rId2112" ref="C1067"/>
    <hyperlink r:id="rId2113" ref="A1068"/>
    <hyperlink r:id="rId2114" ref="C1068"/>
    <hyperlink r:id="rId2115" ref="A1069"/>
    <hyperlink r:id="rId2116" ref="C1069"/>
    <hyperlink r:id="rId2117" ref="A1070"/>
    <hyperlink r:id="rId2118" ref="C1070"/>
    <hyperlink r:id="rId2119" ref="A1071"/>
    <hyperlink r:id="rId2120" ref="C1071"/>
    <hyperlink r:id="rId2121" ref="A1072"/>
    <hyperlink r:id="rId2122" ref="C1072"/>
    <hyperlink r:id="rId2123" ref="A1073"/>
    <hyperlink r:id="rId2124" ref="C1073"/>
    <hyperlink r:id="rId2125" ref="A1074"/>
    <hyperlink r:id="rId2126" ref="C1074"/>
    <hyperlink r:id="rId2127" ref="A1075"/>
    <hyperlink r:id="rId2128" ref="C1075"/>
    <hyperlink r:id="rId2129" ref="A1076"/>
    <hyperlink r:id="rId2130" ref="C1076"/>
    <hyperlink r:id="rId2131" ref="A1077"/>
    <hyperlink r:id="rId2132" ref="C1077"/>
    <hyperlink r:id="rId2133" ref="A1078"/>
    <hyperlink r:id="rId2134" ref="C1078"/>
    <hyperlink r:id="rId2135" ref="A1079"/>
    <hyperlink r:id="rId2136" ref="C1079"/>
    <hyperlink r:id="rId2137" ref="A1080"/>
    <hyperlink r:id="rId2138" ref="C1080"/>
    <hyperlink r:id="rId2139" ref="A1081"/>
    <hyperlink r:id="rId2140" ref="C1081"/>
    <hyperlink r:id="rId2141" ref="A1082"/>
    <hyperlink r:id="rId2142" ref="C1082"/>
    <hyperlink r:id="rId2143" ref="A1083"/>
    <hyperlink r:id="rId2144" ref="C1083"/>
    <hyperlink r:id="rId2145" ref="A1084"/>
    <hyperlink r:id="rId2146" ref="C1084"/>
    <hyperlink r:id="rId2147" ref="A1085"/>
    <hyperlink r:id="rId2148" ref="C1085"/>
    <hyperlink r:id="rId2149" ref="A1086"/>
    <hyperlink r:id="rId2150" ref="C1086"/>
    <hyperlink r:id="rId2151" location=":~:text=%2B66%25%20Rola.%20%2B147%25%20Synergie%20Skin.%20%2B459%25%20T2.,related%20content%20together%20to%20push%20relevance%20site%2Dwide." ref="A1087"/>
    <hyperlink r:id="rId2152" ref="C1087"/>
    <hyperlink r:id="rId2153" ref="A1088"/>
    <hyperlink r:id="rId2154" ref="C1088"/>
    <hyperlink r:id="rId2155" ref="A1089"/>
    <hyperlink r:id="rId2156" ref="C1089"/>
    <hyperlink r:id="rId2157" ref="A1090"/>
    <hyperlink r:id="rId2158" ref="C1090"/>
    <hyperlink r:id="rId2159" ref="A1091"/>
    <hyperlink r:id="rId2160" ref="C1091"/>
    <hyperlink r:id="rId2161" ref="A1092"/>
    <hyperlink r:id="rId2162" ref="C1092"/>
    <hyperlink r:id="rId2163" ref="A1093"/>
    <hyperlink r:id="rId2164" ref="C1093"/>
    <hyperlink r:id="rId2165" ref="A1094"/>
    <hyperlink r:id="rId2166" ref="C1094"/>
    <hyperlink r:id="rId2167" ref="A1095"/>
    <hyperlink r:id="rId2168" ref="C1095"/>
    <hyperlink r:id="rId2169" ref="A1096"/>
    <hyperlink r:id="rId2170" ref="C1096"/>
    <hyperlink r:id="rId2171" ref="A1097"/>
    <hyperlink r:id="rId2172" ref="C1097"/>
    <hyperlink r:id="rId2173" ref="A1098"/>
    <hyperlink r:id="rId2174" ref="C1098"/>
    <hyperlink r:id="rId2175" ref="A1099"/>
    <hyperlink r:id="rId2176" ref="C1099"/>
    <hyperlink r:id="rId2177" location=":~:text=Media%20Attribution%20%7C%20Insighten,Conversion%20Rate%20Optimisation" ref="A1100"/>
    <hyperlink r:id="rId2178" ref="C1100"/>
    <hyperlink r:id="rId2179" ref="A1101"/>
    <hyperlink r:id="rId2180" ref="C1101"/>
    <hyperlink r:id="rId2181" ref="A1102"/>
    <hyperlink r:id="rId2182" ref="C1102"/>
    <hyperlink r:id="rId2183" ref="A1103"/>
    <hyperlink r:id="rId2184" ref="C1103"/>
    <hyperlink r:id="rId2185" ref="A1104"/>
    <hyperlink r:id="rId2186" ref="C1104"/>
    <hyperlink r:id="rId2187" ref="A1105"/>
    <hyperlink r:id="rId2188" ref="C1105"/>
    <hyperlink r:id="rId2189" ref="A1106"/>
    <hyperlink r:id="rId2190" ref="C1106"/>
    <hyperlink r:id="rId2191" ref="A1107"/>
    <hyperlink r:id="rId2192" ref="C1107"/>
    <hyperlink r:id="rId2193" ref="A1108"/>
    <hyperlink r:id="rId2194" ref="C1108"/>
    <hyperlink r:id="rId2195" ref="A1109"/>
    <hyperlink r:id="rId2196" ref="C1109"/>
    <hyperlink r:id="rId2197" ref="A1110"/>
    <hyperlink r:id="rId2198" ref="C1110"/>
    <hyperlink r:id="rId2199" ref="A1111"/>
    <hyperlink r:id="rId2200" ref="C1111"/>
    <hyperlink r:id="rId2201" ref="A1112"/>
    <hyperlink r:id="rId2202" ref="C1112"/>
    <hyperlink r:id="rId2203" ref="A1113"/>
    <hyperlink r:id="rId2204" ref="C1113"/>
    <hyperlink r:id="rId2205" ref="A1114"/>
    <hyperlink r:id="rId2206" ref="C1114"/>
    <hyperlink r:id="rId2207" ref="A1115"/>
    <hyperlink r:id="rId2208" ref="C1115"/>
    <hyperlink r:id="rId2209" ref="A1116"/>
    <hyperlink r:id="rId2210" ref="C1116"/>
    <hyperlink r:id="rId2211" ref="A1117"/>
    <hyperlink r:id="rId2212" ref="C1117"/>
    <hyperlink r:id="rId2213" ref="A1118"/>
    <hyperlink r:id="rId2214" ref="C1118"/>
    <hyperlink r:id="rId2215" ref="A1119"/>
    <hyperlink r:id="rId2216" ref="C1119"/>
    <hyperlink r:id="rId2217" ref="A1120"/>
    <hyperlink r:id="rId2218" ref="C1120"/>
    <hyperlink r:id="rId2219" ref="A1121"/>
    <hyperlink r:id="rId2220" ref="C1121"/>
    <hyperlink r:id="rId2221" ref="A1122"/>
    <hyperlink r:id="rId2222" ref="C1122"/>
    <hyperlink r:id="rId2223" ref="A1123"/>
    <hyperlink r:id="rId2224" ref="C1123"/>
    <hyperlink r:id="rId2225" location=":~:text=Get%20the%20visibility%20to%20lead%20with%20confidence.,and%20a%20step%20ahead.%20TALK%20TO%20US." ref="A1124"/>
    <hyperlink r:id="rId2226" ref="C1124"/>
    <hyperlink r:id="rId2227" ref="A1125"/>
    <hyperlink r:id="rId2228" ref="C1125"/>
    <hyperlink r:id="rId2229" ref="A1126"/>
    <hyperlink r:id="rId2230" ref="C1126"/>
    <hyperlink r:id="rId2231" ref="A1127"/>
    <hyperlink r:id="rId2232" ref="C1127"/>
    <hyperlink r:id="rId2233" ref="A1128"/>
    <hyperlink r:id="rId2234" ref="C1128"/>
    <hyperlink r:id="rId2235" ref="A1129"/>
    <hyperlink r:id="rId2236" ref="C1129"/>
    <hyperlink r:id="rId2237" ref="A1130"/>
    <hyperlink r:id="rId2238" ref="C1130"/>
    <hyperlink r:id="rId2239" ref="A1131"/>
    <hyperlink r:id="rId2240" ref="C1131"/>
    <hyperlink r:id="rId2241" ref="A1132"/>
    <hyperlink r:id="rId2242" ref="C1132"/>
    <hyperlink r:id="rId2243" ref="A1133"/>
    <hyperlink r:id="rId2244" ref="C1133"/>
    <hyperlink r:id="rId2245" location=":~:text=Top%20AI%20Agency%20in%20Sydney.%20Lightning%20Ventures,build%20for%20Sydney%20businesses%20%2D%20AI%20Integration." ref="A1134"/>
    <hyperlink r:id="rId2246" ref="C1134"/>
    <hyperlink r:id="rId2247" ref="A1135"/>
    <hyperlink r:id="rId2248" ref="C1135"/>
    <hyperlink r:id="rId2249" ref="A1136"/>
    <hyperlink r:id="rId2250" ref="C1136"/>
    <hyperlink r:id="rId2251" ref="A1137"/>
    <hyperlink r:id="rId2252" ref="C1137"/>
    <hyperlink r:id="rId2253" ref="A1138"/>
    <hyperlink r:id="rId2254" ref="C1138"/>
    <hyperlink r:id="rId2255" ref="A1139"/>
    <hyperlink r:id="rId2256" ref="A1140"/>
    <hyperlink r:id="rId2257" ref="C1140"/>
    <hyperlink r:id="rId2258" ref="A1141"/>
    <hyperlink r:id="rId2259" ref="C1141"/>
    <hyperlink r:id="rId2260" ref="A1142"/>
    <hyperlink r:id="rId2261" ref="C1142"/>
    <hyperlink r:id="rId2262" ref="A1143"/>
    <hyperlink r:id="rId2263" ref="C1143"/>
    <hyperlink r:id="rId2264" ref="A1144"/>
    <hyperlink r:id="rId2265" ref="C1144"/>
    <hyperlink r:id="rId2266" ref="A1145"/>
    <hyperlink r:id="rId2267" ref="C1145"/>
    <hyperlink r:id="rId2268" ref="A1146"/>
    <hyperlink r:id="rId2269" ref="C1146"/>
    <hyperlink r:id="rId2270" ref="A1147"/>
    <hyperlink r:id="rId2271" ref="C1147"/>
    <hyperlink r:id="rId2272" ref="A1148"/>
    <hyperlink r:id="rId2273" ref="C1148"/>
    <hyperlink r:id="rId2274" ref="A1149"/>
    <hyperlink r:id="rId2275" ref="C1149"/>
    <hyperlink r:id="rId2276" ref="A1150"/>
    <hyperlink r:id="rId2277" ref="C1150"/>
    <hyperlink r:id="rId2278" ref="A1151"/>
    <hyperlink r:id="rId2279" ref="C1151"/>
    <hyperlink r:id="rId2280" ref="A1152"/>
    <hyperlink r:id="rId2281" ref="C1152"/>
    <hyperlink r:id="rId2282" location=":~:text=Run%20the%20campaign%20in%20test,Incrementality%20as%20calibration." ref="A1153"/>
    <hyperlink r:id="rId2283" ref="C1153"/>
    <hyperlink r:id="rId2284" ref="A1154"/>
    <hyperlink r:id="rId2285" ref="C1154"/>
    <hyperlink r:id="rId2286" ref="A1155"/>
    <hyperlink r:id="rId2287" ref="C1155"/>
    <hyperlink r:id="rId2288" ref="A1156"/>
    <hyperlink r:id="rId2289" ref="C1156"/>
    <hyperlink r:id="rId2290" ref="A1157"/>
    <hyperlink r:id="rId2291" ref="C1157"/>
    <hyperlink r:id="rId2292" ref="A1158"/>
    <hyperlink r:id="rId2293" ref="C1158"/>
    <hyperlink r:id="rId2294" ref="A1159"/>
    <hyperlink r:id="rId2295" ref="C1159"/>
    <hyperlink r:id="rId2296" ref="A1160"/>
    <hyperlink r:id="rId2297" ref="C1160"/>
    <hyperlink r:id="rId2298" ref="A1161"/>
    <hyperlink r:id="rId2299" ref="C1161"/>
    <hyperlink r:id="rId2300" location=":~:text=But%20the%20awards%20that%20Australian,Australia's%20first%20Media%20Grand%20Prix." ref="A1162"/>
    <hyperlink r:id="rId2301" ref="C1162"/>
    <hyperlink r:id="rId2302" ref="A1163"/>
    <hyperlink r:id="rId2303" ref="C1163"/>
    <hyperlink r:id="rId2304" ref="A1164"/>
    <hyperlink r:id="rId2305" ref="C1164"/>
    <hyperlink r:id="rId2306" ref="A1165"/>
    <hyperlink r:id="rId2307" ref="C1165"/>
    <hyperlink r:id="rId2308" ref="A1166"/>
    <hyperlink r:id="rId2309" ref="C1166"/>
    <hyperlink r:id="rId2310" ref="A1167"/>
    <hyperlink r:id="rId2311" ref="C1167"/>
    <hyperlink r:id="rId2312" ref="A1168"/>
    <hyperlink r:id="rId2313" ref="C1168"/>
    <hyperlink r:id="rId2314" ref="A1169"/>
    <hyperlink r:id="rId2315" ref="C1169"/>
    <hyperlink r:id="rId2316" ref="A1170"/>
    <hyperlink r:id="rId2317" ref="C1170"/>
    <hyperlink r:id="rId2318" ref="A1171"/>
    <hyperlink r:id="rId2319" ref="C1171"/>
    <hyperlink r:id="rId2320" ref="A1172"/>
    <hyperlink r:id="rId2321" ref="C1172"/>
    <hyperlink r:id="rId2322" ref="A1173"/>
    <hyperlink r:id="rId2323" ref="C1173"/>
    <hyperlink r:id="rId2324" ref="A1174"/>
    <hyperlink r:id="rId2325" ref="C1174"/>
    <hyperlink r:id="rId2326" ref="A1175"/>
    <hyperlink r:id="rId2327" ref="C1175"/>
    <hyperlink r:id="rId2328" ref="A1176"/>
    <hyperlink r:id="rId2329" ref="C1176"/>
    <hyperlink r:id="rId2330" location=":~:text=Download%20the%20report%20inside%20this%20series%20for,the%20pin%2Dup%20of%20what%20not%20to%20do." ref="A1177"/>
    <hyperlink r:id="rId2331" ref="C1177"/>
    <hyperlink r:id="rId2332" location=":~:text=Their%20focus%20on%20thorough%20upfront,Perth%2C%20Australia" ref="A1178"/>
    <hyperlink r:id="rId2333" ref="C1178"/>
    <hyperlink r:id="rId2334" ref="A1179"/>
    <hyperlink r:id="rId2335" ref="C1179"/>
    <hyperlink r:id="rId2336" location=":~:text=Move%20Ahead%20Media%20will%20assign%20you%20a,a%20significant%20return%20on%20your%20advertising%20investment." ref="A1180"/>
    <hyperlink r:id="rId2337" ref="C1180"/>
    <hyperlink r:id="rId2338" ref="A1181"/>
    <hyperlink r:id="rId2339" ref="C1181"/>
    <hyperlink r:id="rId2340" ref="A1182"/>
    <hyperlink r:id="rId2341" ref="C1182"/>
    <hyperlink r:id="rId2342" ref="A1183"/>
    <hyperlink r:id="rId2343" ref="A1184"/>
    <hyperlink r:id="rId2344" ref="C1184"/>
    <hyperlink r:id="rId2345" location=":~:text=Optimise%20execution.%20Guide%20performance.%20Learn%20More.%20Nature,and%20advanced%20analytics.%20Brand%20strategy.%20Data%20visualisation." ref="A1185"/>
    <hyperlink r:id="rId2346" ref="C1185"/>
    <hyperlink r:id="rId2347" ref="A1186"/>
    <hyperlink r:id="rId2348" ref="C1186"/>
    <hyperlink r:id="rId2349" ref="A1187"/>
    <hyperlink r:id="rId2350" ref="C1187"/>
    <hyperlink r:id="rId2351" ref="A1188"/>
    <hyperlink r:id="rId2352" ref="C1188"/>
    <hyperlink r:id="rId2353" ref="A1189"/>
    <hyperlink r:id="rId2354" ref="C1189"/>
    <hyperlink r:id="rId2355" ref="A1190"/>
    <hyperlink r:id="rId2356" ref="C1190"/>
    <hyperlink r:id="rId2357" ref="A1191"/>
    <hyperlink r:id="rId2358" ref="C1191"/>
    <hyperlink r:id="rId2359" ref="A1192"/>
    <hyperlink r:id="rId2360" ref="C1192"/>
    <hyperlink r:id="rId2361" ref="A1193"/>
    <hyperlink r:id="rId2362" ref="C1193"/>
    <hyperlink r:id="rId2363" ref="A1194"/>
    <hyperlink r:id="rId2364" ref="C1194"/>
    <hyperlink r:id="rId2365" ref="A1195"/>
    <hyperlink r:id="rId2366" ref="C1195"/>
    <hyperlink r:id="rId2367" ref="A1196"/>
    <hyperlink r:id="rId2368" ref="C1196"/>
    <hyperlink r:id="rId2369" ref="A1197"/>
    <hyperlink r:id="rId2370" ref="C1197"/>
    <hyperlink r:id="rId2371" ref="A1198"/>
    <hyperlink r:id="rId2372" ref="C1198"/>
    <hyperlink r:id="rId2373" ref="A1199"/>
    <hyperlink r:id="rId2374" ref="C1199"/>
    <hyperlink r:id="rId2375" ref="A1200"/>
    <hyperlink r:id="rId2376" ref="C1200"/>
    <hyperlink r:id="rId2377" ref="A1201"/>
    <hyperlink r:id="rId2378" ref="C1201"/>
    <hyperlink r:id="rId2379" ref="A1202"/>
    <hyperlink r:id="rId2380" ref="C1202"/>
    <hyperlink r:id="rId2381" ref="A1203"/>
    <hyperlink r:id="rId2382" ref="C1203"/>
    <hyperlink r:id="rId2383" ref="A1204"/>
    <hyperlink r:id="rId2384" ref="C1204"/>
    <hyperlink r:id="rId2385" ref="A1205"/>
    <hyperlink r:id="rId2386" ref="C1205"/>
    <hyperlink r:id="rId2387" location=":~:text=This%20means%3A%20%2D%20Users%20are%20asking%20longer%2C,Helps%20your%20content%20surface%20in%20AI%2Ddriven%20answers." ref="A1206"/>
    <hyperlink r:id="rId2388" ref="C1206"/>
    <hyperlink r:id="rId2389" ref="A1207"/>
    <hyperlink r:id="rId2390" ref="C1207"/>
    <hyperlink r:id="rId2391" ref="A1208"/>
    <hyperlink r:id="rId2392" ref="C1208"/>
    <hyperlink r:id="rId2393" ref="A1209"/>
    <hyperlink r:id="rId2394" ref="C1209"/>
    <hyperlink r:id="rId2395" ref="A1210"/>
    <hyperlink r:id="rId2396" ref="C1210"/>
    <hyperlink r:id="rId2397" ref="A1211"/>
    <hyperlink r:id="rId2398" ref="C1211"/>
    <hyperlink r:id="rId2399" ref="A1212"/>
    <hyperlink r:id="rId2400" ref="C1212"/>
    <hyperlink r:id="rId2401" ref="A1213"/>
    <hyperlink r:id="rId2402" ref="C1213"/>
    <hyperlink r:id="rId2403" ref="A1214"/>
    <hyperlink r:id="rId2404" ref="C1214"/>
    <hyperlink r:id="rId2405" ref="A1215"/>
    <hyperlink r:id="rId2406" ref="C1215"/>
    <hyperlink r:id="rId2407" ref="A1216"/>
    <hyperlink r:id="rId2408" ref="C1216"/>
    <hyperlink r:id="rId2409" ref="A1217"/>
    <hyperlink r:id="rId2410" ref="C1217"/>
    <hyperlink r:id="rId2411" ref="A1218"/>
    <hyperlink r:id="rId2412" ref="C1218"/>
    <hyperlink r:id="rId2413" ref="A1219"/>
    <hyperlink r:id="rId2414" ref="C1219"/>
    <hyperlink r:id="rId2415" ref="A1220"/>
    <hyperlink r:id="rId2416" ref="C1220"/>
    <hyperlink r:id="rId2417" ref="A1221"/>
    <hyperlink r:id="rId2418" ref="C1221"/>
    <hyperlink r:id="rId2419" ref="A1222"/>
    <hyperlink r:id="rId2420" ref="C1222"/>
    <hyperlink r:id="rId2421" ref="A1223"/>
    <hyperlink r:id="rId2422" ref="C1223"/>
    <hyperlink r:id="rId2423" ref="A1224"/>
    <hyperlink r:id="rId2424" ref="C1224"/>
    <hyperlink r:id="rId2425" ref="A1225"/>
    <hyperlink r:id="rId2426" ref="C1225"/>
    <hyperlink r:id="rId2427" ref="A1226"/>
    <hyperlink r:id="rId2428" ref="C1226"/>
    <hyperlink r:id="rId2429" ref="A1227"/>
    <hyperlink r:id="rId2430" ref="C1227"/>
    <hyperlink r:id="rId2431" location=":~:text=So%20instead%20of%20just%20ranking%20on%20a,even%20on%20platforms%20like%20Google's%20answer%20box." ref="A1228"/>
    <hyperlink r:id="rId2432" ref="C1228"/>
    <hyperlink r:id="rId2433" ref="A1229"/>
    <hyperlink r:id="rId2434" ref="C1229"/>
    <hyperlink r:id="rId2435" ref="A1230"/>
    <hyperlink r:id="rId2436" ref="C1230"/>
    <hyperlink r:id="rId2437" ref="A1231"/>
    <hyperlink r:id="rId2438" ref="C1231"/>
    <hyperlink r:id="rId2439" ref="A1232"/>
    <hyperlink r:id="rId2440" ref="C1232"/>
    <hyperlink r:id="rId2441" ref="A1233"/>
    <hyperlink r:id="rId2442" ref="C1233"/>
    <hyperlink r:id="rId2443" ref="A1234"/>
    <hyperlink r:id="rId2444" ref="C1234"/>
    <hyperlink r:id="rId2445" ref="A1235"/>
    <hyperlink r:id="rId2446" ref="C1235"/>
    <hyperlink r:id="rId2447" ref="A1236"/>
    <hyperlink r:id="rId2448" ref="C1236"/>
    <hyperlink r:id="rId2449" ref="A1237"/>
    <hyperlink r:id="rId2450" ref="C1237"/>
    <hyperlink r:id="rId2451" ref="A1238"/>
    <hyperlink r:id="rId2452" ref="C1238"/>
    <hyperlink r:id="rId2453" ref="A1239"/>
    <hyperlink r:id="rId2454" ref="C1239"/>
    <hyperlink r:id="rId2455" ref="A1240"/>
    <hyperlink r:id="rId2456" ref="C1240"/>
    <hyperlink r:id="rId2457" ref="A1241"/>
    <hyperlink r:id="rId2458" ref="C1241"/>
    <hyperlink r:id="rId2459" ref="A1242"/>
    <hyperlink r:id="rId2460" ref="C1242"/>
    <hyperlink r:id="rId2461" ref="A1243"/>
    <hyperlink r:id="rId2462" ref="C1243"/>
    <hyperlink r:id="rId2463" ref="A1244"/>
    <hyperlink r:id="rId2464" ref="A1245"/>
    <hyperlink r:id="rId2465" ref="C1245"/>
    <hyperlink r:id="rId2466" ref="A1246"/>
    <hyperlink r:id="rId2467" ref="C1246"/>
    <hyperlink r:id="rId2468" ref="A1247"/>
    <hyperlink r:id="rId2469" ref="C1247"/>
    <hyperlink r:id="rId2470" ref="A1248"/>
    <hyperlink r:id="rId2471" ref="C1248"/>
    <hyperlink r:id="rId2472" ref="A1249"/>
    <hyperlink r:id="rId2473" ref="C1249"/>
    <hyperlink r:id="rId2474" ref="A1250"/>
    <hyperlink r:id="rId2475" ref="C1250"/>
    <hyperlink r:id="rId2476" ref="A1251"/>
    <hyperlink r:id="rId2477" ref="C1251"/>
    <hyperlink r:id="rId2478" ref="A1252"/>
    <hyperlink r:id="rId2479" ref="C1252"/>
    <hyperlink r:id="rId2480" ref="A1253"/>
    <hyperlink r:id="rId2481" ref="C1253"/>
    <hyperlink r:id="rId2482" ref="A1254"/>
    <hyperlink r:id="rId2483" ref="C1254"/>
    <hyperlink r:id="rId2484" ref="A1255"/>
    <hyperlink r:id="rId2485" ref="C1255"/>
    <hyperlink r:id="rId2486" ref="A1256"/>
    <hyperlink r:id="rId2487" ref="C1256"/>
    <hyperlink r:id="rId2488" location=":~:text=There's%20no%20shortcut%20to%20being%20the%20preferred,opportunity%20to%20be%20cited.%20Entity%2Dbased%20content%20strategy." ref="A1257"/>
    <hyperlink r:id="rId2489" ref="C1257"/>
    <hyperlink r:id="rId2490" ref="A1258"/>
    <hyperlink r:id="rId2491" ref="C1258"/>
    <hyperlink r:id="rId2492" ref="A1259"/>
    <hyperlink r:id="rId2493" ref="C1259"/>
    <hyperlink r:id="rId2494" ref="A1260"/>
    <hyperlink r:id="rId2495" ref="C1260"/>
    <hyperlink r:id="rId2496" ref="A1261"/>
    <hyperlink r:id="rId2497" ref="C1261"/>
    <hyperlink r:id="rId2498" ref="A1262"/>
    <hyperlink r:id="rId2499" ref="C1262"/>
    <hyperlink r:id="rId2500" ref="A1263"/>
    <hyperlink r:id="rId2501" ref="C1263"/>
    <hyperlink r:id="rId2502" ref="A1264"/>
    <hyperlink r:id="rId2503" ref="C1264"/>
    <hyperlink r:id="rId2504" ref="A1265"/>
    <hyperlink r:id="rId2505" ref="C1265"/>
    <hyperlink r:id="rId2506" ref="A1266"/>
    <hyperlink r:id="rId2507" ref="C1266"/>
    <hyperlink r:id="rId2508" ref="A1267"/>
    <hyperlink r:id="rId2509" ref="C1267"/>
    <hyperlink r:id="rId2510" ref="A1268"/>
    <hyperlink r:id="rId2511" ref="C1268"/>
    <hyperlink r:id="rId2512" ref="A1269"/>
    <hyperlink r:id="rId2513" ref="C1269"/>
    <hyperlink r:id="rId2514" ref="A1270"/>
    <hyperlink r:id="rId2515" ref="C1270"/>
    <hyperlink r:id="rId2516" ref="A1271"/>
    <hyperlink r:id="rId2517" ref="C1271"/>
    <hyperlink r:id="rId2518" location=":~:text=Slalom%20is%20a%20fiercely%20human,consulting%20that%20drives%20real%20impact" ref="A1272"/>
    <hyperlink r:id="rId2519" ref="C1272"/>
    <hyperlink r:id="rId2520" ref="A1273"/>
    <hyperlink r:id="rId2521" ref="C1273"/>
    <hyperlink r:id="rId2522" location=":~:text=Get%20to%20know%20us%20or,'single%20source%20of%20truth'." ref="A1274"/>
    <hyperlink r:id="rId2523" ref="C1274"/>
    <hyperlink r:id="rId2524" location=":~:text=Built%20for%20clarity%2C%20accountability%20and%20better%20decisions.,performance%20opportunities.%20%2D%20Custom%20Reporting%20%2B%20Insights." ref="A1275"/>
    <hyperlink r:id="rId2525" ref="C1275"/>
    <hyperlink r:id="rId2526" ref="A1276"/>
    <hyperlink r:id="rId2527" ref="C1276"/>
    <hyperlink r:id="rId2528" ref="A1277"/>
    <hyperlink r:id="rId2529" ref="C1277"/>
    <hyperlink r:id="rId2530" ref="A1278"/>
    <hyperlink r:id="rId2531" ref="C1278"/>
    <hyperlink r:id="rId2532" ref="A1279"/>
    <hyperlink r:id="rId2533" ref="C1279"/>
    <hyperlink r:id="rId2534" ref="A1280"/>
    <hyperlink r:id="rId2535" ref="C1280"/>
    <hyperlink r:id="rId2536" ref="A1281"/>
    <hyperlink r:id="rId2537" ref="C1281"/>
    <hyperlink r:id="rId2538" ref="A1282"/>
    <hyperlink r:id="rId2539" ref="C1282"/>
    <hyperlink r:id="rId2540" ref="A1283"/>
    <hyperlink r:id="rId2541" ref="C1283"/>
    <hyperlink r:id="rId2542" ref="A1284"/>
    <hyperlink r:id="rId2543" ref="C1284"/>
    <hyperlink r:id="rId2544" ref="A1285"/>
    <hyperlink r:id="rId2545" ref="C1285"/>
    <hyperlink r:id="rId2546" ref="A1286"/>
    <hyperlink r:id="rId2547" ref="C1286"/>
    <hyperlink r:id="rId2548" ref="A1287"/>
    <hyperlink r:id="rId2549" ref="C1287"/>
    <hyperlink r:id="rId2550" ref="A1288"/>
    <hyperlink r:id="rId2551" ref="C1288"/>
    <hyperlink r:id="rId2552" ref="A1289"/>
    <hyperlink r:id="rId2553" ref="C1289"/>
    <hyperlink r:id="rId2554" ref="A1290"/>
    <hyperlink r:id="rId2555" ref="C1290"/>
    <hyperlink r:id="rId2556" ref="A1291"/>
    <hyperlink r:id="rId2557" ref="C1291"/>
    <hyperlink r:id="rId2558" ref="A1292"/>
    <hyperlink r:id="rId2559" ref="C1292"/>
    <hyperlink r:id="rId2560" ref="A1293"/>
    <hyperlink r:id="rId2561" ref="C1293"/>
    <hyperlink r:id="rId2562" ref="A1294"/>
    <hyperlink r:id="rId2563" ref="C1294"/>
    <hyperlink r:id="rId2564" ref="A1295"/>
    <hyperlink r:id="rId2565" ref="C1295"/>
    <hyperlink r:id="rId2566" ref="A1296"/>
    <hyperlink r:id="rId2567" ref="A1297"/>
    <hyperlink r:id="rId2568" ref="C1297"/>
    <hyperlink r:id="rId2569" ref="A1298"/>
    <hyperlink r:id="rId2570" ref="C1298"/>
    <hyperlink r:id="rId2571" location=":~:text=No%20generalists%20here%2C%20just%20a,rewriting%20the%20SEO%20agency%20playbook." ref="A1299"/>
    <hyperlink r:id="rId2572" ref="C1299"/>
    <hyperlink r:id="rId2573" location=":~:text=The%20SEO%20masters%20partnering%20with%20you.%20In,for%20us%3B%20we%20live%20and%20breathe%20search." ref="A1300"/>
    <hyperlink r:id="rId2574" ref="C1300"/>
    <hyperlink r:id="rId2575" ref="A1301"/>
    <hyperlink r:id="rId2576" ref="C1301"/>
    <hyperlink r:id="rId2577" ref="A1302"/>
    <hyperlink r:id="rId2578" ref="C1302"/>
    <hyperlink r:id="rId2579" ref="A1303"/>
    <hyperlink r:id="rId2580" ref="C1303"/>
    <hyperlink r:id="rId2581" ref="A1304"/>
    <hyperlink r:id="rId2582" ref="C1304"/>
    <hyperlink r:id="rId2583" ref="A1305"/>
    <hyperlink r:id="rId2584" ref="C1305"/>
    <hyperlink r:id="rId2585" ref="A1306"/>
    <hyperlink r:id="rId2586" ref="C1306"/>
    <hyperlink r:id="rId2587" ref="A1307"/>
    <hyperlink r:id="rId2588" ref="C1307"/>
    <hyperlink r:id="rId2589" ref="A1308"/>
    <hyperlink r:id="rId2590" ref="C1308"/>
    <hyperlink r:id="rId2591" ref="A1309"/>
    <hyperlink r:id="rId2592" ref="C1309"/>
    <hyperlink r:id="rId2593" ref="A1310"/>
    <hyperlink r:id="rId2594" ref="C1310"/>
    <hyperlink r:id="rId2595" ref="A1311"/>
    <hyperlink r:id="rId2596" ref="C1311"/>
    <hyperlink r:id="rId2597" ref="A1312"/>
    <hyperlink r:id="rId2598" ref="C1312"/>
    <hyperlink r:id="rId2599" ref="A1313"/>
    <hyperlink r:id="rId2600" ref="C1313"/>
    <hyperlink r:id="rId2601" ref="A1314"/>
    <hyperlink r:id="rId2602" ref="C1314"/>
    <hyperlink r:id="rId2603" ref="A1315"/>
    <hyperlink r:id="rId2604" ref="C1315"/>
    <hyperlink r:id="rId2605" ref="A1316"/>
    <hyperlink r:id="rId2606" ref="C1316"/>
    <hyperlink r:id="rId2607" ref="A1317"/>
    <hyperlink r:id="rId2608" ref="C1317"/>
    <hyperlink r:id="rId2609" ref="A1318"/>
    <hyperlink r:id="rId2610" ref="C1318"/>
    <hyperlink r:id="rId2611" location=":~:text=Australia's%20Best%20Performance%20Creative%20Agency,Our%20strategies%20incorporate%20the" ref="A1319"/>
    <hyperlink r:id="rId2612" ref="C1319"/>
    <hyperlink r:id="rId2613" ref="A1320"/>
    <hyperlink r:id="rId2614" ref="C1320"/>
    <hyperlink r:id="rId2615" ref="A1321"/>
    <hyperlink r:id="rId2616" ref="C1321"/>
    <hyperlink r:id="rId2617" ref="A1322"/>
    <hyperlink r:id="rId2618" ref="C1322"/>
    <hyperlink r:id="rId2619" ref="A1323"/>
    <hyperlink r:id="rId2620" ref="C1323"/>
    <hyperlink r:id="rId2621" ref="A1324"/>
    <hyperlink r:id="rId2622" ref="A1325"/>
    <hyperlink r:id="rId2623" ref="C1325"/>
    <hyperlink r:id="rId2624" ref="A1326"/>
    <hyperlink r:id="rId2625" ref="C1326"/>
    <hyperlink r:id="rId2626" location=":~:text=The%20leading%20AI%20automation%20agencies,IT%20team%20to%20run%20it." ref="A1327"/>
    <hyperlink r:id="rId2627" ref="C1327"/>
    <hyperlink r:id="rId2628" ref="A1328"/>
    <hyperlink r:id="rId2629" ref="C1328"/>
    <hyperlink r:id="rId2630" ref="A1329"/>
    <hyperlink r:id="rId2631" ref="C1329"/>
    <hyperlink r:id="rId2632" ref="A1330"/>
    <hyperlink r:id="rId2633" ref="C1330"/>
    <hyperlink r:id="rId2634" ref="A1331"/>
    <hyperlink r:id="rId2635" ref="C1331"/>
    <hyperlink r:id="rId2636" ref="A1332"/>
    <hyperlink r:id="rId2637" ref="A1333"/>
    <hyperlink r:id="rId2638" ref="C1333"/>
    <hyperlink r:id="rId2639" ref="A1334"/>
    <hyperlink r:id="rId2640" ref="C1334"/>
    <hyperlink r:id="rId2641" ref="A1335"/>
    <hyperlink r:id="rId2642" ref="C1335"/>
    <hyperlink r:id="rId2643" ref="A1336"/>
    <hyperlink r:id="rId2644" ref="C1336"/>
    <hyperlink r:id="rId2645" ref="A1337"/>
    <hyperlink r:id="rId2646" ref="C1337"/>
    <hyperlink r:id="rId2647" ref="A1338"/>
    <hyperlink r:id="rId2648" ref="C1338"/>
    <hyperlink r:id="rId2649" ref="A1339"/>
    <hyperlink r:id="rId2650" ref="C1339"/>
    <hyperlink r:id="rId2651" ref="A1340"/>
    <hyperlink r:id="rId2652" ref="C1340"/>
    <hyperlink r:id="rId2653" ref="A1341"/>
    <hyperlink r:id="rId2654" ref="C1341"/>
    <hyperlink r:id="rId2655" ref="A1342"/>
    <hyperlink r:id="rId2656" ref="C1342"/>
    <hyperlink r:id="rId2657" location=":~:text=Home%20%E2%80%BA%20AI%20SEO,Perplexity%20is%20becoming%20increasingly%20important." ref="A1343"/>
    <hyperlink r:id="rId2658" ref="C1343"/>
    <hyperlink r:id="rId2659" ref="A1344"/>
    <hyperlink r:id="rId2660" ref="C1344"/>
    <hyperlink r:id="rId2661" ref="A1345"/>
    <hyperlink r:id="rId2662" ref="A1346"/>
    <hyperlink r:id="rId2663" ref="C1346"/>
    <hyperlink r:id="rId2664" ref="A1347"/>
    <hyperlink r:id="rId2665" ref="C1347"/>
    <hyperlink r:id="rId2666" ref="A1348"/>
    <hyperlink r:id="rId2667" ref="C1348"/>
    <hyperlink r:id="rId2668" location=":~:text=Virtual%20Ad%20Agency%20(VAA)%20distinguishes%20itself%20as,top%2Dof%2Dfunnel%20creative%20campaigns%20with%20bottom%2Dfunnel%20business%20outcomes." ref="A1349"/>
    <hyperlink r:id="rId2669" ref="C1349"/>
    <hyperlink r:id="rId2670" ref="A1350"/>
    <hyperlink r:id="rId2671" ref="C1350"/>
    <hyperlink r:id="rId2672" ref="A1351"/>
    <hyperlink r:id="rId2673" ref="C1351"/>
    <hyperlink r:id="rId2674" ref="A1352"/>
    <hyperlink r:id="rId2675" ref="C1352"/>
    <hyperlink r:id="rId2676" ref="A1353"/>
    <hyperlink r:id="rId2677" ref="C1353"/>
    <hyperlink r:id="rId2678" ref="A1354"/>
    <hyperlink r:id="rId2679" ref="C1354"/>
    <hyperlink r:id="rId2680" ref="A1355"/>
    <hyperlink r:id="rId2681" ref="C1355"/>
    <hyperlink r:id="rId2682" ref="A1356"/>
    <hyperlink r:id="rId2683" ref="C1356"/>
    <hyperlink r:id="rId2684" ref="A1357"/>
    <hyperlink r:id="rId2685" ref="C1357"/>
    <hyperlink r:id="rId2686" ref="A1358"/>
    <hyperlink r:id="rId2687" ref="C1358"/>
    <hyperlink r:id="rId2688" ref="A1359"/>
    <hyperlink r:id="rId2689" ref="C1359"/>
    <hyperlink r:id="rId2690" ref="A1360"/>
    <hyperlink r:id="rId2691" ref="C1360"/>
    <hyperlink r:id="rId2692" ref="A1361"/>
    <hyperlink r:id="rId2693" ref="C1361"/>
    <hyperlink r:id="rId2694" ref="A1362"/>
    <hyperlink r:id="rId2695" ref="C1362"/>
    <hyperlink r:id="rId2696" ref="A1363"/>
    <hyperlink r:id="rId2697" ref="C1363"/>
    <hyperlink r:id="rId2698" ref="A1364"/>
    <hyperlink r:id="rId2699" ref="C1364"/>
    <hyperlink r:id="rId2700" ref="A1365"/>
    <hyperlink r:id="rId2701" ref="C1365"/>
    <hyperlink r:id="rId2702" ref="A1366"/>
    <hyperlink r:id="rId2703" ref="C1366"/>
    <hyperlink r:id="rId2704" ref="A1367"/>
    <hyperlink r:id="rId2705" ref="C1367"/>
    <hyperlink r:id="rId2706" ref="A1368"/>
    <hyperlink r:id="rId2707" ref="C1368"/>
    <hyperlink r:id="rId2708" ref="A1369"/>
    <hyperlink r:id="rId2709" ref="C1369"/>
    <hyperlink r:id="rId2710" ref="A1370"/>
    <hyperlink r:id="rId2711" ref="C1370"/>
    <hyperlink r:id="rId2712" ref="A1371"/>
    <hyperlink r:id="rId2713" ref="C1371"/>
    <hyperlink r:id="rId2714" ref="A1372"/>
    <hyperlink r:id="rId2715" ref="C1372"/>
    <hyperlink r:id="rId2716" ref="A1373"/>
    <hyperlink r:id="rId2717" ref="C1373"/>
    <hyperlink r:id="rId2718" ref="A1374"/>
    <hyperlink r:id="rId2719" ref="C1374"/>
    <hyperlink r:id="rId2720" ref="A1375"/>
    <hyperlink r:id="rId2721" ref="C1375"/>
    <hyperlink r:id="rId2722" ref="A1376"/>
    <hyperlink r:id="rId2723" ref="C1376"/>
    <hyperlink r:id="rId2724" ref="A1377"/>
    <hyperlink r:id="rId2725" ref="C1377"/>
  </hyperlinks>
  <drawing r:id="rId27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4" width="12.63"/>
    <col customWidth="1" min="5" max="5" width="31.5"/>
    <col customWidth="1" min="6"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All'!A2:L1670,
    REGEXMATCH(LOWER(TRIM(TO_TEXT('PEEC - URLs - All'!B2:B1670))),""\bbest\b|\btop\b"")
  ),
  """"
)"),"https://www.23digital.com.au/top-13-full-service-digital-marketing-agencies-in-australia/")</f>
        <v>https://www.23digital.com.au/top-13-full-service-digital-marketing-agencies-in-australia/</v>
      </c>
      <c r="B2" s="7" t="str">
        <f>IFERROR(__xludf.DUMMYFUNCTION("""COMPUTED_VALUE"""),"Top 13 Full-Service Digital Marketing Agencies in Australia")</f>
        <v>Top 13 Full-Service Digital Marketing Agencies in Australia</v>
      </c>
      <c r="C2" s="6" t="str">
        <f>IFERROR(__xludf.DUMMYFUNCTION("""COMPUTED_VALUE"""),"23digital.com.au")</f>
        <v>23digital.com.au</v>
      </c>
      <c r="D2" s="7" t="str">
        <f>IFERROR(__xludf.DUMMYFUNCTION("""COMPUTED_VALUE"""),"LISTICLE")</f>
        <v>LISTICLE</v>
      </c>
      <c r="E2" s="7" t="str">
        <f>IFERROR(__xludf.DUMMYFUNCTION("""COMPUTED_VALUE"""),"COMPETITOR")</f>
        <v>COMPETITOR</v>
      </c>
      <c r="F2" s="7" t="str">
        <f>IFERROR(__xludf.DUMMYFUNCTION("""COMPUTED_VALUE"""),"Listicle")</f>
        <v>Listicle</v>
      </c>
      <c r="G2" s="7" t="b">
        <f>IFERROR(__xludf.DUMMYFUNCTION("""COMPUTED_VALUE"""),FALSE)</f>
        <v>0</v>
      </c>
      <c r="H2" s="7" t="str">
        <f>IFERROR(__xludf.DUMMYFUNCTION("""COMPUTED_VALUE"""),"23 Digital, Digital Nomads HQ, Megaphone, Rocket Agency, Emote Digital, Clearwater Agency, Earned Media, Soup Agency, Impressive, Reef Digital Agency, Webprofits, King Kong, Sparro, Brainlabs, Farsiight")</f>
        <v>23 Digital, Digital Nomads HQ, Megaphone, Rocket Agency, Emote Digital, Clearwater Agency, Earned Media, Soup Agency, Impressive, Reef Digital Agency, Webprofits, King Kong, Sparro, Brainlabs, Farsiight</v>
      </c>
      <c r="I2" s="7">
        <f>IFERROR(__xludf.DUMMYFUNCTION("""COMPUTED_VALUE"""),121.0)</f>
        <v>121</v>
      </c>
      <c r="J2" s="7">
        <f>IFERROR(__xludf.DUMMYFUNCTION("""COMPUTED_VALUE"""),0.13)</f>
        <v>0.13</v>
      </c>
      <c r="K2" s="7">
        <f>IFERROR(__xludf.DUMMYFUNCTION("""COMPUTED_VALUE"""),1.1)</f>
        <v>1.1</v>
      </c>
      <c r="L2" s="7"/>
    </row>
    <row r="3" ht="15.75" customHeight="1">
      <c r="A3" s="6" t="str">
        <f>IFERROR(__xludf.DUMMYFUNCTION("""COMPUTED_VALUE"""),"https://agencies.semrush.com/list/australia/")</f>
        <v>https://agencies.semrush.com/list/australia/</v>
      </c>
      <c r="B3" s="7" t="str">
        <f>IFERROR(__xludf.DUMMYFUNCTION("""COMPUTED_VALUE"""),"Best Digital Marketing Agencies in Australia 2026 | Semrush")</f>
        <v>Best Digital Marketing Agencies in Australia 2026 | Semrush</v>
      </c>
      <c r="C3" s="6" t="str">
        <f>IFERROR(__xludf.DUMMYFUNCTION("""COMPUTED_VALUE"""),"semrush.com")</f>
        <v>semrush.com</v>
      </c>
      <c r="D3" s="7" t="str">
        <f>IFERROR(__xludf.DUMMYFUNCTION("""COMPUTED_VALUE"""),"CATEGORY_PAGE")</f>
        <v>CATEGORY_PAGE</v>
      </c>
      <c r="E3" s="7" t="str">
        <f>IFERROR(__xludf.DUMMYFUNCTION("""COMPUTED_VALUE"""),"CORPORATE")</f>
        <v>CORPORATE</v>
      </c>
      <c r="F3" s="7" t="str">
        <f>IFERROR(__xludf.DUMMYFUNCTION("""COMPUTED_VALUE"""),"Category Page")</f>
        <v>Category Page</v>
      </c>
      <c r="G3" s="7" t="b">
        <f>IFERROR(__xludf.DUMMYFUNCTION("""COMPUTED_VALUE"""),FALSE)</f>
        <v>0</v>
      </c>
      <c r="H3" s="7" t="str">
        <f>IFERROR(__xludf.DUMMYFUNCTION("""COMPUTED_VALUE"""),"Edge Marketing, Digital Nomads HQ, Supple Digital, DNM Digital, Soup Agency, First Page, Clearwater Agency, Measured, Earned Media, Impressive, Online Marketing Gurus, Omnicom Media Group, Human Digital, Click Click Media")</f>
        <v>Edge Marketing, Digital Nomads HQ, Supple Digital, DNM Digital, Soup Agency, First Page, Clearwater Agency, Measured, Earned Media, Impressive, Online Marketing Gurus, Omnicom Media Group, Human Digital, Click Click Media</v>
      </c>
      <c r="I3" s="7">
        <f>IFERROR(__xludf.DUMMYFUNCTION("""COMPUTED_VALUE"""),120.0)</f>
        <v>120</v>
      </c>
      <c r="J3" s="7">
        <f>IFERROR(__xludf.DUMMYFUNCTION("""COMPUTED_VALUE"""),0.13)</f>
        <v>0.13</v>
      </c>
      <c r="K3" s="7">
        <f>IFERROR(__xludf.DUMMYFUNCTION("""COMPUTED_VALUE"""),0.36)</f>
        <v>0.36</v>
      </c>
      <c r="L3" s="7"/>
    </row>
    <row r="4" ht="15.75" customHeight="1">
      <c r="A4" s="6" t="str">
        <f>IFERROR(__xludf.DUMMYFUNCTION("""COMPUTED_VALUE"""),"https://digitalnomadshq.com.au/blog/top-digital-marketing-agencies/")</f>
        <v>https://digitalnomadshq.com.au/blog/top-digital-marketing-agencies/</v>
      </c>
      <c r="B4" s="7" t="str">
        <f>IFERROR(__xludf.DUMMYFUNCTION("""COMPUTED_VALUE"""),"Top Digital Marketing Agencies in Australia (2026)")</f>
        <v>Top Digital Marketing Agencies in Australia (2026)</v>
      </c>
      <c r="C4" s="6" t="str">
        <f>IFERROR(__xludf.DUMMYFUNCTION("""COMPUTED_VALUE"""),"digitalnomadshq.com.au")</f>
        <v>digitalnomadshq.com.au</v>
      </c>
      <c r="D4" s="7" t="str">
        <f>IFERROR(__xludf.DUMMYFUNCTION("""COMPUTED_VALUE"""),"LISTICLE")</f>
        <v>LISTICLE</v>
      </c>
      <c r="E4" s="7" t="str">
        <f>IFERROR(__xludf.DUMMYFUNCTION("""COMPUTED_VALUE"""),"COMPETITOR")</f>
        <v>COMPETITOR</v>
      </c>
      <c r="F4" s="7" t="str">
        <f>IFERROR(__xludf.DUMMYFUNCTION("""COMPUTED_VALUE"""),"Listicle")</f>
        <v>Listicle</v>
      </c>
      <c r="G4" s="7" t="b">
        <f>IFERROR(__xludf.DUMMYFUNCTION("""COMPUTED_VALUE"""),FALSE)</f>
        <v>0</v>
      </c>
      <c r="H4" s="7" t="str">
        <f>IFERROR(__xludf.DUMMYFUNCTION("""COMPUTED_VALUE"""),"Digital Nomads HQ, Sparro, CUT THRU, Megaphone, Farsiight, Saatchi &amp; Saatchi, Alpha Digital, Rocket Agency, Brainlabs, XPON")</f>
        <v>Digital Nomads HQ, Sparro, CUT THRU, Megaphone, Farsiight, Saatchi &amp; Saatchi, Alpha Digital, Rocket Agency, Brainlabs, XPON</v>
      </c>
      <c r="I4" s="7">
        <f>IFERROR(__xludf.DUMMYFUNCTION("""COMPUTED_VALUE"""),99.0)</f>
        <v>99</v>
      </c>
      <c r="J4" s="7">
        <f>IFERROR(__xludf.DUMMYFUNCTION("""COMPUTED_VALUE"""),0.1)</f>
        <v>0.1</v>
      </c>
      <c r="K4" s="7">
        <f>IFERROR(__xludf.DUMMYFUNCTION("""COMPUTED_VALUE"""),1.31)</f>
        <v>1.31</v>
      </c>
      <c r="L4" s="7"/>
    </row>
    <row r="5" ht="15.75" customHeight="1">
      <c r="A5" s="6" t="str">
        <f>IFERROR(__xludf.DUMMYFUNCTION("""COMPUTED_VALUE"""),"https://clutch.co/au/agencies/digital-marketing")</f>
        <v>https://clutch.co/au/agencies/digital-marketing</v>
      </c>
      <c r="B5" s="7" t="str">
        <f>IFERROR(__xludf.DUMMYFUNCTION("""COMPUTED_VALUE"""),"Top Digital Marketing Agencies in Australia - Jul 2026 Rankings \| Clutch.co")</f>
        <v>Top Digital Marketing Agencies in Australia - Jul 2026 Rankings \| Clutch.co</v>
      </c>
      <c r="C5" s="6" t="str">
        <f>IFERROR(__xludf.DUMMYFUNCTION("""COMPUTED_VALUE"""),"clutch.co")</f>
        <v>clutch.co</v>
      </c>
      <c r="D5" s="7" t="str">
        <f>IFERROR(__xludf.DUMMYFUNCTION("""COMPUTED_VALUE"""),"CATEGORY_PAGE")</f>
        <v>CATEGORY_PAGE</v>
      </c>
      <c r="E5" s="7" t="str">
        <f>IFERROR(__xludf.DUMMYFUNCTION("""COMPUTED_VALUE"""),"CORPORATE")</f>
        <v>CORPORATE</v>
      </c>
      <c r="F5" s="7" t="str">
        <f>IFERROR(__xludf.DUMMYFUNCTION("""COMPUTED_VALUE"""),"Category Page")</f>
        <v>Category Page</v>
      </c>
      <c r="G5" s="7" t="b">
        <f>IFERROR(__xludf.DUMMYFUNCTION("""COMPUTED_VALUE"""),FALSE)</f>
        <v>0</v>
      </c>
      <c r="H5" s="7" t="str">
        <f>IFERROR(__xludf.DUMMYFUNCTION("""COMPUTED_VALUE"""),"Clearwater Agency, Soup Agency, Luminary, Farsiight, Digital Nomads HQ, SIXGUN, Impressive, Intesols, 80/20 Digital, MyWork, Ninja Promo, Human Digital, Undivided, Salt &amp; Fuessel, Emote Digital, StudioHawk, Supple Digital, Alley Group, EvenDigit")</f>
        <v>Clearwater Agency, Soup Agency, Luminary, Farsiight, Digital Nomads HQ, SIXGUN, Impressive, Intesols, 80/20 Digital, MyWork, Ninja Promo, Human Digital, Undivided, Salt &amp; Fuessel, Emote Digital, StudioHawk, Supple Digital, Alley Group, EvenDigit</v>
      </c>
      <c r="I5" s="7">
        <f>IFERROR(__xludf.DUMMYFUNCTION("""COMPUTED_VALUE"""),93.0)</f>
        <v>93</v>
      </c>
      <c r="J5" s="7">
        <f>IFERROR(__xludf.DUMMYFUNCTION("""COMPUTED_VALUE"""),0.1)</f>
        <v>0.1</v>
      </c>
      <c r="K5" s="7">
        <f>IFERROR(__xludf.DUMMYFUNCTION("""COMPUTED_VALUE"""),1.11)</f>
        <v>1.11</v>
      </c>
      <c r="L5" s="7"/>
    </row>
    <row r="6" ht="15.75" customHeight="1">
      <c r="A6" s="6" t="str">
        <f>IFERROR(__xludf.DUMMYFUNCTION("""COMPUTED_VALUE"""),"https://www.adcore.com/blog/top-10-digital-marketing-agencies-in-australia/")</f>
        <v>https://www.adcore.com/blog/top-10-digital-marketing-agencies-in-australia/</v>
      </c>
      <c r="B6" s="7" t="str">
        <f>IFERROR(__xludf.DUMMYFUNCTION("""COMPUTED_VALUE"""),"Top 10 Digital Marketing Agencies in Australia [2026] | Adcore Blog")</f>
        <v>Top 10 Digital Marketing Agencies in Australia [2026] | Adcore Blog</v>
      </c>
      <c r="C6" s="6" t="str">
        <f>IFERROR(__xludf.DUMMYFUNCTION("""COMPUTED_VALUE"""),"adcore.com")</f>
        <v>adcore.com</v>
      </c>
      <c r="D6" s="7" t="str">
        <f>IFERROR(__xludf.DUMMYFUNCTION("""COMPUTED_VALUE"""),"LISTICLE")</f>
        <v>LISTICLE</v>
      </c>
      <c r="E6" s="7" t="str">
        <f>IFERROR(__xludf.DUMMYFUNCTION("""COMPUTED_VALUE"""),"COMPETITOR")</f>
        <v>COMPETITOR</v>
      </c>
      <c r="F6" s="7" t="str">
        <f>IFERROR(__xludf.DUMMYFUNCTION("""COMPUTED_VALUE"""),"Listicle")</f>
        <v>Listicle</v>
      </c>
      <c r="G6" s="7" t="b">
        <f>IFERROR(__xludf.DUMMYFUNCTION("""COMPUTED_VALUE"""),FALSE)</f>
        <v>0</v>
      </c>
      <c r="H6" s="7" t="str">
        <f>IFERROR(__xludf.DUMMYFUNCTION("""COMPUTED_VALUE"""),"Adcore Elite, Momentum, First Page, First Page Australia, Sparro, Clearwater Agency, Impressive, Alpha Digital, Digital Nomads HQ, Megaphone, Farsiight, Soup Agency")</f>
        <v>Adcore Elite, Momentum, First Page, First Page Australia, Sparro, Clearwater Agency, Impressive, Alpha Digital, Digital Nomads HQ, Megaphone, Farsiight, Soup Agency</v>
      </c>
      <c r="I6" s="7">
        <f>IFERROR(__xludf.DUMMYFUNCTION("""COMPUTED_VALUE"""),86.0)</f>
        <v>86</v>
      </c>
      <c r="J6" s="7">
        <f>IFERROR(__xludf.DUMMYFUNCTION("""COMPUTED_VALUE"""),0.09)</f>
        <v>0.09</v>
      </c>
      <c r="K6" s="7">
        <f>IFERROR(__xludf.DUMMYFUNCTION("""COMPUTED_VALUE"""),1.44)</f>
        <v>1.44</v>
      </c>
      <c r="L6" s="7"/>
    </row>
    <row r="7" ht="15.75" customHeight="1">
      <c r="A7" s="6" t="str">
        <f>IFERROR(__xludf.DUMMYFUNCTION("""COMPUTED_VALUE"""),"https://clutch.co/au/agencies")</f>
        <v>https://clutch.co/au/agencies</v>
      </c>
      <c r="B7" s="7" t="str">
        <f>IFERROR(__xludf.DUMMYFUNCTION("""COMPUTED_VALUE"""),"Top Advertising Agencies in Australia - Jul 2026 Rankings \| Clutch.co")</f>
        <v>Top Advertising Agencies in Australia - Jul 2026 Rankings \| Clutch.co</v>
      </c>
      <c r="C7" s="6" t="str">
        <f>IFERROR(__xludf.DUMMYFUNCTION("""COMPUTED_VALUE"""),"clutch.co")</f>
        <v>clutch.co</v>
      </c>
      <c r="D7" s="7" t="str">
        <f>IFERROR(__xludf.DUMMYFUNCTION("""COMPUTED_VALUE"""),"CATEGORY_PAGE")</f>
        <v>CATEGORY_PAGE</v>
      </c>
      <c r="E7" s="7" t="str">
        <f>IFERROR(__xludf.DUMMYFUNCTION("""COMPUTED_VALUE"""),"CORPORATE")</f>
        <v>CORPORATE</v>
      </c>
      <c r="F7" s="7" t="str">
        <f>IFERROR(__xludf.DUMMYFUNCTION("""COMPUTED_VALUE"""),"Category Page")</f>
        <v>Category Page</v>
      </c>
      <c r="G7" s="7" t="b">
        <f>IFERROR(__xludf.DUMMYFUNCTION("""COMPUTED_VALUE"""),FALSE)</f>
        <v>0</v>
      </c>
      <c r="H7" s="7" t="str">
        <f>IFERROR(__xludf.DUMMYFUNCTION("""COMPUTED_VALUE"""),"Chello, Human Digital, Soup Agency, Farsiight, DNM Digital, In Marketing We Trust, Version2, Impressive, Ninja Promo, Bench Media, Insil")</f>
        <v>Chello, Human Digital, Soup Agency, Farsiight, DNM Digital, In Marketing We Trust, Version2, Impressive, Ninja Promo, Bench Media, Insil</v>
      </c>
      <c r="I7" s="7">
        <f>IFERROR(__xludf.DUMMYFUNCTION("""COMPUTED_VALUE"""),83.0)</f>
        <v>83</v>
      </c>
      <c r="J7" s="7">
        <f>IFERROR(__xludf.DUMMYFUNCTION("""COMPUTED_VALUE"""),0.09)</f>
        <v>0.09</v>
      </c>
      <c r="K7" s="7">
        <f>IFERROR(__xludf.DUMMYFUNCTION("""COMPUTED_VALUE"""),0.59)</f>
        <v>0.59</v>
      </c>
      <c r="L7" s="7"/>
    </row>
    <row r="8" ht="15.75" customHeight="1">
      <c r="A8" s="6" t="str">
        <f>IFERROR(__xludf.DUMMYFUNCTION("""COMPUTED_VALUE"""),"https://leadsnow.ai/best-ai-marketing-agencies-australia/")</f>
        <v>https://leadsnow.ai/best-ai-marketing-agencies-australia/</v>
      </c>
      <c r="B8" s="7" t="str">
        <f>IFERROR(__xludf.DUMMYFUNCTION("""COMPUTED_VALUE"""),"Best AI Marketing Agencies in Australia (2026) - Leads Now AI")</f>
        <v>Best AI Marketing Agencies in Australia (2026) - Leads Now AI</v>
      </c>
      <c r="C8" s="6" t="str">
        <f>IFERROR(__xludf.DUMMYFUNCTION("""COMPUTED_VALUE"""),"leadsnow.ai")</f>
        <v>leadsnow.ai</v>
      </c>
      <c r="D8" s="7" t="str">
        <f>IFERROR(__xludf.DUMMYFUNCTION("""COMPUTED_VALUE"""),"LISTICLE")</f>
        <v>LISTICLE</v>
      </c>
      <c r="E8" s="7" t="str">
        <f>IFERROR(__xludf.DUMMYFUNCTION("""COMPUTED_VALUE"""),"COMPETITOR")</f>
        <v>COMPETITOR</v>
      </c>
      <c r="F8" s="7" t="str">
        <f>IFERROR(__xludf.DUMMYFUNCTION("""COMPUTED_VALUE"""),"Listicle")</f>
        <v>Listicle</v>
      </c>
      <c r="G8" s="7" t="b">
        <f>IFERROR(__xludf.DUMMYFUNCTION("""COMPUTED_VALUE"""),FALSE)</f>
        <v>0</v>
      </c>
      <c r="H8" s="7" t="str">
        <f>IFERROR(__xludf.DUMMYFUNCTION("""COMPUTED_VALUE"""),"LeadsNow.ai, King Kong, Megaphone, Omnicom Media Group, Online Marketing Gurus, XPON, Alpha Digital, Rocket Agency, Absolutely AI, Bushnote")</f>
        <v>LeadsNow.ai, King Kong, Megaphone, Omnicom Media Group, Online Marketing Gurus, XPON, Alpha Digital, Rocket Agency, Absolutely AI, Bushnote</v>
      </c>
      <c r="I8" s="7">
        <f>IFERROR(__xludf.DUMMYFUNCTION("""COMPUTED_VALUE"""),71.0)</f>
        <v>71</v>
      </c>
      <c r="J8" s="7">
        <f>IFERROR(__xludf.DUMMYFUNCTION("""COMPUTED_VALUE"""),0.07)</f>
        <v>0.07</v>
      </c>
      <c r="K8" s="7">
        <f>IFERROR(__xludf.DUMMYFUNCTION("""COMPUTED_VALUE"""),1.45)</f>
        <v>1.45</v>
      </c>
      <c r="L8" s="7"/>
    </row>
    <row r="9" ht="15.75" customHeight="1">
      <c r="A9" s="6" t="str">
        <f>IFERROR(__xludf.DUMMYFUNCTION("""COMPUTED_VALUE"""),"https://agencies.semrush.com/list/advertising/australia/")</f>
        <v>https://agencies.semrush.com/list/advertising/australia/</v>
      </c>
      <c r="B9" s="7" t="str">
        <f>IFERROR(__xludf.DUMMYFUNCTION("""COMPUTED_VALUE"""),"Best Advertising Agencies in Australia 2026 | Semrush")</f>
        <v>Best Advertising Agencies in Australia 2026 | Semrush</v>
      </c>
      <c r="C9" s="6" t="str">
        <f>IFERROR(__xludf.DUMMYFUNCTION("""COMPUTED_VALUE"""),"semrush.com")</f>
        <v>semrush.com</v>
      </c>
      <c r="D9" s="7" t="str">
        <f>IFERROR(__xludf.DUMMYFUNCTION("""COMPUTED_VALUE"""),"CATEGORY_PAGE")</f>
        <v>CATEGORY_PAGE</v>
      </c>
      <c r="E9" s="7" t="str">
        <f>IFERROR(__xludf.DUMMYFUNCTION("""COMPUTED_VALUE"""),"CORPORATE")</f>
        <v>CORPORATE</v>
      </c>
      <c r="F9" s="7" t="str">
        <f>IFERROR(__xludf.DUMMYFUNCTION("""COMPUTED_VALUE"""),"Category Page")</f>
        <v>Category Page</v>
      </c>
      <c r="G9" s="7" t="b">
        <f>IFERROR(__xludf.DUMMYFUNCTION("""COMPUTED_VALUE"""),FALSE)</f>
        <v>0</v>
      </c>
      <c r="H9" s="7"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9" s="7">
        <f>IFERROR(__xludf.DUMMYFUNCTION("""COMPUTED_VALUE"""),56.0)</f>
        <v>56</v>
      </c>
      <c r="J9" s="7">
        <f>IFERROR(__xludf.DUMMYFUNCTION("""COMPUTED_VALUE"""),0.06)</f>
        <v>0.06</v>
      </c>
      <c r="K9" s="7">
        <f>IFERROR(__xludf.DUMMYFUNCTION("""COMPUTED_VALUE"""),0.07)</f>
        <v>0.07</v>
      </c>
      <c r="L9" s="7"/>
    </row>
    <row r="10" ht="15.75" customHeight="1">
      <c r="A10" s="6" t="str">
        <f>IFERROR(__xludf.DUMMYFUNCTION("""COMPUTED_VALUE"""),"https://talonsmarketing.com.au/6-best-aeo-agencies-australia/")</f>
        <v>https://talonsmarketing.com.au/6-best-aeo-agencies-australia/</v>
      </c>
      <c r="B10" s="7" t="str">
        <f>IFERROR(__xludf.DUMMYFUNCTION("""COMPUTED_VALUE"""),"6 Best AEO Agencies in Australia for 2026 - Talons Marketing")</f>
        <v>6 Best AEO Agencies in Australia for 2026 - Talons Marketing</v>
      </c>
      <c r="C10" s="6" t="str">
        <f>IFERROR(__xludf.DUMMYFUNCTION("""COMPUTED_VALUE"""),"talonsmarketing.com.au")</f>
        <v>talonsmarketing.com.au</v>
      </c>
      <c r="D10" s="7" t="str">
        <f>IFERROR(__xludf.DUMMYFUNCTION("""COMPUTED_VALUE"""),"LISTICLE")</f>
        <v>LISTICLE</v>
      </c>
      <c r="E10" s="7" t="str">
        <f>IFERROR(__xludf.DUMMYFUNCTION("""COMPUTED_VALUE"""),"COMPETITOR")</f>
        <v>COMPETITOR</v>
      </c>
      <c r="F10" s="7" t="str">
        <f>IFERROR(__xludf.DUMMYFUNCTION("""COMPUTED_VALUE"""),"Listicle")</f>
        <v>Listicle</v>
      </c>
      <c r="G10" s="7" t="b">
        <f>IFERROR(__xludf.DUMMYFUNCTION("""COMPUTED_VALUE"""),FALSE)</f>
        <v>0</v>
      </c>
      <c r="H10" s="7" t="str">
        <f>IFERROR(__xludf.DUMMYFUNCTION("""COMPUTED_VALUE"""),"Talons Marketing, In Marketing We Trust, Prosperity Media, Webprofits, Rocket Agency, Digital Nomads HQ")</f>
        <v>Talons Marketing, In Marketing We Trust, Prosperity Media, Webprofits, Rocket Agency, Digital Nomads HQ</v>
      </c>
      <c r="I10" s="7">
        <f>IFERROR(__xludf.DUMMYFUNCTION("""COMPUTED_VALUE"""),55.0)</f>
        <v>55</v>
      </c>
      <c r="J10" s="7">
        <f>IFERROR(__xludf.DUMMYFUNCTION("""COMPUTED_VALUE"""),0.06)</f>
        <v>0.06</v>
      </c>
      <c r="K10" s="7">
        <f>IFERROR(__xludf.DUMMYFUNCTION("""COMPUTED_VALUE"""),2.02)</f>
        <v>2.02</v>
      </c>
      <c r="L10" s="7"/>
    </row>
    <row r="11" ht="15.75" customHeight="1">
      <c r="A11" s="6" t="str">
        <f>IFERROR(__xludf.DUMMYFUNCTION("""COMPUTED_VALUE"""),"https://www.sortlist.com/s/paid-media/australia-au")</f>
        <v>https://www.sortlist.com/s/paid-media/australia-au</v>
      </c>
      <c r="B11" s="7" t="str">
        <f>IFERROR(__xludf.DUMMYFUNCTION("""COMPUTED_VALUE"""),"The 10 Best Paid Media Agencies in Australia - 2026 Reviews")</f>
        <v>The 10 Best Paid Media Agencies in Australia - 2026 Reviews</v>
      </c>
      <c r="C11" s="6" t="str">
        <f>IFERROR(__xludf.DUMMYFUNCTION("""COMPUTED_VALUE"""),"sortlist.com")</f>
        <v>sortlist.com</v>
      </c>
      <c r="D11" s="7" t="str">
        <f>IFERROR(__xludf.DUMMYFUNCTION("""COMPUTED_VALUE"""),"CATEGORY_PAGE")</f>
        <v>CATEGORY_PAGE</v>
      </c>
      <c r="E11" s="7" t="str">
        <f>IFERROR(__xludf.DUMMYFUNCTION("""COMPUTED_VALUE"""),"CORPORATE")</f>
        <v>CORPORATE</v>
      </c>
      <c r="F11" s="7" t="str">
        <f>IFERROR(__xludf.DUMMYFUNCTION("""COMPUTED_VALUE"""),"Category Page")</f>
        <v>Category Page</v>
      </c>
      <c r="G11" s="7" t="b">
        <f>IFERROR(__xludf.DUMMYFUNCTION("""COMPUTED_VALUE"""),FALSE)</f>
        <v>0</v>
      </c>
      <c r="H11" s="7" t="str">
        <f>IFERROR(__xludf.DUMMYFUNCTION("""COMPUTED_VALUE"""),"Measured, Earned Media, Clearwater Agency, Impressive, Supple Digital, SIXGUN, Digital Nomads HQ, Soup Agency, HERO")</f>
        <v>Measured, Earned Media, Clearwater Agency, Impressive, Supple Digital, SIXGUN, Digital Nomads HQ, Soup Agency, HERO</v>
      </c>
      <c r="I11" s="7">
        <f>IFERROR(__xludf.DUMMYFUNCTION("""COMPUTED_VALUE"""),53.0)</f>
        <v>53</v>
      </c>
      <c r="J11" s="7">
        <f>IFERROR(__xludf.DUMMYFUNCTION("""COMPUTED_VALUE"""),0.06)</f>
        <v>0.06</v>
      </c>
      <c r="K11" s="7">
        <f>IFERROR(__xludf.DUMMYFUNCTION("""COMPUTED_VALUE"""),0.58)</f>
        <v>0.58</v>
      </c>
      <c r="L11" s="7"/>
    </row>
    <row r="12" ht="15.75" customHeight="1">
      <c r="A12" s="6" t="str">
        <f>IFERROR(__xludf.DUMMYFUNCTION("""COMPUTED_VALUE"""),"https://talonsmarketing.com.au/8-best-generative-engine-optimisation-geo-agencies-australia/")</f>
        <v>https://talonsmarketing.com.au/8-best-generative-engine-optimisation-geo-agencies-australia/</v>
      </c>
      <c r="B12" s="7" t="str">
        <f>IFERROR(__xludf.DUMMYFUNCTION("""COMPUTED_VALUE"""),"8 Best Generative Engine Optimisation (GEO) Agencies in Australia for 2026 - Talons Marketing")</f>
        <v>8 Best Generative Engine Optimisation (GEO) Agencies in Australia for 2026 - Talons Marketing</v>
      </c>
      <c r="C12" s="6" t="str">
        <f>IFERROR(__xludf.DUMMYFUNCTION("""COMPUTED_VALUE"""),"talonsmarketing.com.au")</f>
        <v>talonsmarketing.com.au</v>
      </c>
      <c r="D12" s="7" t="str">
        <f>IFERROR(__xludf.DUMMYFUNCTION("""COMPUTED_VALUE"""),"LISTICLE")</f>
        <v>LISTICLE</v>
      </c>
      <c r="E12" s="7" t="str">
        <f>IFERROR(__xludf.DUMMYFUNCTION("""COMPUTED_VALUE"""),"COMPETITOR")</f>
        <v>COMPETITOR</v>
      </c>
      <c r="F12" s="7" t="str">
        <f>IFERROR(__xludf.DUMMYFUNCTION("""COMPUTED_VALUE"""),"Listicle")</f>
        <v>Listicle</v>
      </c>
      <c r="G12" s="7" t="b">
        <f>IFERROR(__xludf.DUMMYFUNCTION("""COMPUTED_VALUE"""),FALSE)</f>
        <v>0</v>
      </c>
      <c r="H12" s="7" t="str">
        <f>IFERROR(__xludf.DUMMYFUNCTION("""COMPUTED_VALUE"""),"Talons Marketing, In Marketing We Trust, Megantic, Prosperity Media, Webprofits, Rocket Agency, Digital Nomads HQ")</f>
        <v>Talons Marketing, In Marketing We Trust, Megantic, Prosperity Media, Webprofits, Rocket Agency, Digital Nomads HQ</v>
      </c>
      <c r="I12" s="7">
        <f>IFERROR(__xludf.DUMMYFUNCTION("""COMPUTED_VALUE"""),53.0)</f>
        <v>53</v>
      </c>
      <c r="J12" s="7">
        <f>IFERROR(__xludf.DUMMYFUNCTION("""COMPUTED_VALUE"""),0.06)</f>
        <v>0.06</v>
      </c>
      <c r="K12" s="7">
        <f>IFERROR(__xludf.DUMMYFUNCTION("""COMPUTED_VALUE"""),1.7)</f>
        <v>1.7</v>
      </c>
      <c r="L12" s="7"/>
    </row>
    <row r="13" ht="15.75" customHeight="1">
      <c r="A13" s="6" t="str">
        <f>IFERROR(__xludf.DUMMYFUNCTION("""COMPUTED_VALUE"""),"https://www.formulate.com.au/articles/best-ai-seo-agencies-in-australia-2026/#:~:text=This%20sits%20alongside%20a%20mature%20technical%20SEO,of%20the%20discipline.%20%2D%20Jaywing.%20Best%20for.")</f>
        <v>https://www.formulate.com.au/articles/best-ai-seo-agencies-in-australia-2026/#:~:text=This%20sits%20alongside%20a%20mature%20technical%20SEO,of%20the%20discipline.%20%2D%20Jaywing.%20Best%20for.</v>
      </c>
      <c r="B13" s="7" t="str">
        <f>IFERROR(__xludf.DUMMYFUNCTION("""COMPUTED_VALUE"""),"Best AI SEO Agencies in Australia (2026) &amp;#8211; Formulate Design Blog")</f>
        <v>Best AI SEO Agencies in Australia (2026) &amp;#8211; Formulate Design Blog</v>
      </c>
      <c r="C13" s="6" t="str">
        <f>IFERROR(__xludf.DUMMYFUNCTION("""COMPUTED_VALUE"""),"formulate.com.au")</f>
        <v>formulate.com.au</v>
      </c>
      <c r="D13" s="7" t="str">
        <f>IFERROR(__xludf.DUMMYFUNCTION("""COMPUTED_VALUE"""),"LISTICLE")</f>
        <v>LISTICLE</v>
      </c>
      <c r="E13" s="7" t="str">
        <f>IFERROR(__xludf.DUMMYFUNCTION("""COMPUTED_VALUE"""),"EDITORIAL")</f>
        <v>EDITORIAL</v>
      </c>
      <c r="F13" s="7" t="str">
        <f>IFERROR(__xludf.DUMMYFUNCTION("""COMPUTED_VALUE"""),"Listicle")</f>
        <v>Listicle</v>
      </c>
      <c r="G13" s="7" t="b">
        <f>IFERROR(__xludf.DUMMYFUNCTION("""COMPUTED_VALUE"""),FALSE)</f>
        <v>0</v>
      </c>
      <c r="H13" s="7" t="str">
        <f>IFERROR(__xludf.DUMMYFUNCTION("""COMPUTED_VALUE"""),"Prosperity Media, Jaywing")</f>
        <v>Prosperity Media, Jaywing</v>
      </c>
      <c r="I13" s="7">
        <f>IFERROR(__xludf.DUMMYFUNCTION("""COMPUTED_VALUE"""),51.0)</f>
        <v>51</v>
      </c>
      <c r="J13" s="7">
        <f>IFERROR(__xludf.DUMMYFUNCTION("""COMPUTED_VALUE"""),0.05)</f>
        <v>0.05</v>
      </c>
      <c r="K13" s="7">
        <f>IFERROR(__xludf.DUMMYFUNCTION("""COMPUTED_VALUE"""),2.14)</f>
        <v>2.14</v>
      </c>
      <c r="L13" s="7"/>
    </row>
    <row r="14" ht="15.75" customHeight="1">
      <c r="A14" s="6" t="str">
        <f>IFERROR(__xludf.DUMMYFUNCTION("""COMPUTED_VALUE"""),"https://intelligentresourcing.co/blogs/best-aeo-agencies-australia")</f>
        <v>https://intelligentresourcing.co/blogs/best-aeo-agencies-australia</v>
      </c>
      <c r="B14" s="7" t="str">
        <f>IFERROR(__xludf.DUMMYFUNCTION("""COMPUTED_VALUE"""),"Best GEO and AEO Agencies in Australia 2026: Not Doing Traditional SEO")</f>
        <v>Best GEO and AEO Agencies in Australia 2026: Not Doing Traditional SEO</v>
      </c>
      <c r="C14" s="6" t="str">
        <f>IFERROR(__xludf.DUMMYFUNCTION("""COMPUTED_VALUE"""),"intelligentresourcing.co")</f>
        <v>intelligentresourcing.co</v>
      </c>
      <c r="D14" s="7" t="str">
        <f>IFERROR(__xludf.DUMMYFUNCTION("""COMPUTED_VALUE"""),"LISTICLE")</f>
        <v>LISTICLE</v>
      </c>
      <c r="E14" s="7" t="str">
        <f>IFERROR(__xludf.DUMMYFUNCTION("""COMPUTED_VALUE"""),"CORPORATE")</f>
        <v>CORPORATE</v>
      </c>
      <c r="F14" s="7" t="str">
        <f>IFERROR(__xludf.DUMMYFUNCTION("""COMPUTED_VALUE"""),"Listicle")</f>
        <v>Listicle</v>
      </c>
      <c r="G14" s="7" t="b">
        <f>IFERROR(__xludf.DUMMYFUNCTION("""COMPUTED_VALUE"""),FALSE)</f>
        <v>0</v>
      </c>
      <c r="H14" s="7" t="str">
        <f>IFERROR(__xludf.DUMMYFUNCTION("""COMPUTED_VALUE"""),"Intelligent Resourcing, ROI Growth Agency, Luminary, Covert, UR Digital, Ziff Digital, Digital Nomads HQ, In Marketing We Trust")</f>
        <v>Intelligent Resourcing, ROI Growth Agency, Luminary, Covert, UR Digital, Ziff Digital, Digital Nomads HQ, In Marketing We Trust</v>
      </c>
      <c r="I14" s="7">
        <f>IFERROR(__xludf.DUMMYFUNCTION("""COMPUTED_VALUE"""),49.0)</f>
        <v>49</v>
      </c>
      <c r="J14" s="7">
        <f>IFERROR(__xludf.DUMMYFUNCTION("""COMPUTED_VALUE"""),0.05)</f>
        <v>0.05</v>
      </c>
      <c r="K14" s="7">
        <f>IFERROR(__xludf.DUMMYFUNCTION("""COMPUTED_VALUE"""),1.43)</f>
        <v>1.43</v>
      </c>
      <c r="L14" s="7"/>
    </row>
    <row r="15" ht="15.75" customHeight="1">
      <c r="A15" s="6" t="str">
        <f>IFERROR(__xludf.DUMMYFUNCTION("""COMPUTED_VALUE"""),"https://agencies.semrush.com/list/display-advertising/australia/")</f>
        <v>https://agencies.semrush.com/list/display-advertising/australia/</v>
      </c>
      <c r="B15" s="7" t="str">
        <f>IFERROR(__xludf.DUMMYFUNCTION("""COMPUTED_VALUE"""),"Best Display Ads Agencies in Australia 2026 | Semrush")</f>
        <v>Best Display Ads Agencies in Australia 2026 | Semrush</v>
      </c>
      <c r="C15" s="6" t="str">
        <f>IFERROR(__xludf.DUMMYFUNCTION("""COMPUTED_VALUE"""),"semrush.com")</f>
        <v>semrush.com</v>
      </c>
      <c r="D15" s="7" t="str">
        <f>IFERROR(__xludf.DUMMYFUNCTION("""COMPUTED_VALUE"""),"OTHER")</f>
        <v>OTHER</v>
      </c>
      <c r="E15" s="7" t="str">
        <f>IFERROR(__xludf.DUMMYFUNCTION("""COMPUTED_VALUE"""),"CORPORATE")</f>
        <v>CORPORATE</v>
      </c>
      <c r="F15" s="7" t="str">
        <f>IFERROR(__xludf.DUMMYFUNCTION("""COMPUTED_VALUE"""),"Other")</f>
        <v>Other</v>
      </c>
      <c r="G15" s="7" t="b">
        <f>IFERROR(__xludf.DUMMYFUNCTION("""COMPUTED_VALUE"""),FALSE)</f>
        <v>0</v>
      </c>
      <c r="H15" s="7"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15" s="7">
        <f>IFERROR(__xludf.DUMMYFUNCTION("""COMPUTED_VALUE"""),47.0)</f>
        <v>47</v>
      </c>
      <c r="J15" s="7">
        <f>IFERROR(__xludf.DUMMYFUNCTION("""COMPUTED_VALUE"""),0.05)</f>
        <v>0.05</v>
      </c>
      <c r="K15" s="7">
        <f>IFERROR(__xludf.DUMMYFUNCTION("""COMPUTED_VALUE"""),1.06)</f>
        <v>1.06</v>
      </c>
      <c r="L15" s="7"/>
    </row>
    <row r="16" ht="15.75" customHeight="1">
      <c r="A16" s="6" t="str">
        <f>IFERROR(__xludf.DUMMYFUNCTION("""COMPUTED_VALUE"""),"https://theredrepublic.com/top-5-best-advertising-agencies-australia-2026/")</f>
        <v>https://theredrepublic.com/top-5-best-advertising-agencies-australia-2026/</v>
      </c>
      <c r="B16" s="7" t="str">
        <f>IFERROR(__xludf.DUMMYFUNCTION("""COMPUTED_VALUE"""),"Our Top 5: The Best Creative Advertising Agencies Leading Australia into 2026 | The Red Republic")</f>
        <v>Our Top 5: The Best Creative Advertising Agencies Leading Australia into 2026 | The Red Republic</v>
      </c>
      <c r="C16" s="6" t="str">
        <f>IFERROR(__xludf.DUMMYFUNCTION("""COMPUTED_VALUE"""),"theredrepublic.com")</f>
        <v>theredrepublic.com</v>
      </c>
      <c r="D16" s="7" t="str">
        <f>IFERROR(__xludf.DUMMYFUNCTION("""COMPUTED_VALUE"""),"LISTICLE")</f>
        <v>LISTICLE</v>
      </c>
      <c r="E16" s="7" t="str">
        <f>IFERROR(__xludf.DUMMYFUNCTION("""COMPUTED_VALUE"""),"COMPETITOR")</f>
        <v>COMPETITOR</v>
      </c>
      <c r="F16" s="7" t="str">
        <f>IFERROR(__xludf.DUMMYFUNCTION("""COMPUTED_VALUE"""),"Listicle")</f>
        <v>Listicle</v>
      </c>
      <c r="G16" s="7" t="b">
        <f>IFERROR(__xludf.DUMMYFUNCTION("""COMPUTED_VALUE"""),FALSE)</f>
        <v>0</v>
      </c>
      <c r="H16" s="7" t="str">
        <f>IFERROR(__xludf.DUMMYFUNCTION("""COMPUTED_VALUE"""),"The Red Republic, HERO")</f>
        <v>The Red Republic, HERO</v>
      </c>
      <c r="I16" s="7">
        <f>IFERROR(__xludf.DUMMYFUNCTION("""COMPUTED_VALUE"""),44.0)</f>
        <v>44</v>
      </c>
      <c r="J16" s="7">
        <f>IFERROR(__xludf.DUMMYFUNCTION("""COMPUTED_VALUE"""),0.05)</f>
        <v>0.05</v>
      </c>
      <c r="K16" s="7">
        <f>IFERROR(__xludf.DUMMYFUNCTION("""COMPUTED_VALUE"""),1.57)</f>
        <v>1.57</v>
      </c>
      <c r="L16" s="7"/>
    </row>
    <row r="17" ht="15.75" customHeight="1">
      <c r="A17" s="6" t="str">
        <f>IFERROR(__xludf.DUMMYFUNCTION("""COMPUTED_VALUE"""),"https://clutch.co/au/agencies/ppc")</f>
        <v>https://clutch.co/au/agencies/ppc</v>
      </c>
      <c r="B17" s="7" t="str">
        <f>IFERROR(__xludf.DUMMYFUNCTION("""COMPUTED_VALUE"""),"Top PPC Agencies in Australia - Jul 2026 Rankings | Clutch.co")</f>
        <v>Top PPC Agencies in Australia - Jul 2026 Rankings | Clutch.co</v>
      </c>
      <c r="C17" s="6" t="str">
        <f>IFERROR(__xludf.DUMMYFUNCTION("""COMPUTED_VALUE"""),"clutch.co")</f>
        <v>clutch.co</v>
      </c>
      <c r="D17" s="7" t="str">
        <f>IFERROR(__xludf.DUMMYFUNCTION("""COMPUTED_VALUE"""),"CATEGORY_PAGE")</f>
        <v>CATEGORY_PAGE</v>
      </c>
      <c r="E17" s="7" t="str">
        <f>IFERROR(__xludf.DUMMYFUNCTION("""COMPUTED_VALUE"""),"CORPORATE")</f>
        <v>CORPORATE</v>
      </c>
      <c r="F17" s="7" t="str">
        <f>IFERROR(__xludf.DUMMYFUNCTION("""COMPUTED_VALUE"""),"Category Page")</f>
        <v>Category Page</v>
      </c>
      <c r="G17" s="7" t="b">
        <f>IFERROR(__xludf.DUMMYFUNCTION("""COMPUTED_VALUE"""),FALSE)</f>
        <v>0</v>
      </c>
      <c r="H17" s="7" t="str">
        <f>IFERROR(__xludf.DUMMYFUNCTION("""COMPUTED_VALUE"""),"Soup Agency, Digital Nomads HQ, SIXGUN, Impressive, First Page, Farsiight, Human Digital, Intesols, MyWork, Salt &amp; Fuessel, Emote Digital, 80/20 Digital, Supple Digital, Alley Group, EvenDigit, Rocket Agency, Clearwater Agency, DNM Digital, Edge Marketing"&amp;", Megaphone, Huge, Paradox Marketing, Online Marketing Gurus, Omnicom Media Group, Marketix Digital")</f>
        <v>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v>
      </c>
      <c r="I17" s="7">
        <f>IFERROR(__xludf.DUMMYFUNCTION("""COMPUTED_VALUE"""),42.0)</f>
        <v>42</v>
      </c>
      <c r="J17" s="7">
        <f>IFERROR(__xludf.DUMMYFUNCTION("""COMPUTED_VALUE"""),0.04)</f>
        <v>0.04</v>
      </c>
      <c r="K17" s="7">
        <f>IFERROR(__xludf.DUMMYFUNCTION("""COMPUTED_VALUE"""),2.81)</f>
        <v>2.81</v>
      </c>
      <c r="L17" s="7"/>
    </row>
    <row r="18" ht="15.75" customHeight="1">
      <c r="A18" s="6" t="str">
        <f>IFERROR(__xludf.DUMMYFUNCTION("""COMPUTED_VALUE"""),"https://www.bushnote.com/articles/best-aeo-agencies-in-australia-in-2026")</f>
        <v>https://www.bushnote.com/articles/best-aeo-agencies-in-australia-in-2026</v>
      </c>
      <c r="B18" s="7" t="str">
        <f>IFERROR(__xludf.DUMMYFUNCTION("""COMPUTED_VALUE"""),"Australia's Best AEO Agencies for AI Search 2026")</f>
        <v>Australia's Best AEO Agencies for AI Search 2026</v>
      </c>
      <c r="C18" s="6" t="str">
        <f>IFERROR(__xludf.DUMMYFUNCTION("""COMPUTED_VALUE"""),"bushnote.com")</f>
        <v>bushnote.com</v>
      </c>
      <c r="D18" s="7" t="str">
        <f>IFERROR(__xludf.DUMMYFUNCTION("""COMPUTED_VALUE"""),"LISTICLE")</f>
        <v>LISTICLE</v>
      </c>
      <c r="E18" s="7" t="str">
        <f>IFERROR(__xludf.DUMMYFUNCTION("""COMPUTED_VALUE"""),"COMPETITOR")</f>
        <v>COMPETITOR</v>
      </c>
      <c r="F18" s="7" t="str">
        <f>IFERROR(__xludf.DUMMYFUNCTION("""COMPUTED_VALUE"""),"Listicle")</f>
        <v>Listicle</v>
      </c>
      <c r="G18" s="7" t="b">
        <f>IFERROR(__xludf.DUMMYFUNCTION("""COMPUTED_VALUE"""),FALSE)</f>
        <v>0</v>
      </c>
      <c r="H18" s="7" t="str">
        <f>IFERROR(__xludf.DUMMYFUNCTION("""COMPUTED_VALUE"""),"Measured, Bushnote, Luminary, StudioHawk, Online Marketing Gurus")</f>
        <v>Measured, Bushnote, Luminary, StudioHawk, Online Marketing Gurus</v>
      </c>
      <c r="I18" s="7">
        <f>IFERROR(__xludf.DUMMYFUNCTION("""COMPUTED_VALUE"""),41.0)</f>
        <v>41</v>
      </c>
      <c r="J18" s="7">
        <f>IFERROR(__xludf.DUMMYFUNCTION("""COMPUTED_VALUE"""),0.04)</f>
        <v>0.04</v>
      </c>
      <c r="K18" s="7">
        <f>IFERROR(__xludf.DUMMYFUNCTION("""COMPUTED_VALUE"""),1.34)</f>
        <v>1.34</v>
      </c>
      <c r="L18" s="7"/>
    </row>
    <row r="19" ht="15.75" customHeight="1">
      <c r="A19" s="6" t="str">
        <f>IFERROR(__xludf.DUMMYFUNCTION("""COMPUTED_VALUE"""),"https://digitalagencynetwork.com/agencies/australia/ai-marketing/")</f>
        <v>https://digitalagencynetwork.com/agencies/australia/ai-marketing/</v>
      </c>
      <c r="B19" s="7" t="str">
        <f>IFERROR(__xludf.DUMMYFUNCTION("""COMPUTED_VALUE"""),"Top AI Marketing Agencies in Australia (2026)")</f>
        <v>Top AI Marketing Agencies in Australia (2026)</v>
      </c>
      <c r="C19" s="6" t="str">
        <f>IFERROR(__xludf.DUMMYFUNCTION("""COMPUTED_VALUE"""),"digitalagencynetwork.com")</f>
        <v>digitalagencynetwork.com</v>
      </c>
      <c r="D19" s="7" t="str">
        <f>IFERROR(__xludf.DUMMYFUNCTION("""COMPUTED_VALUE"""),"PROFILE")</f>
        <v>PROFILE</v>
      </c>
      <c r="E19" s="7" t="str">
        <f>IFERROR(__xludf.DUMMYFUNCTION("""COMPUTED_VALUE"""),"REFERENCE")</f>
        <v>REFERENCE</v>
      </c>
      <c r="F19" s="7" t="str">
        <f>IFERROR(__xludf.DUMMYFUNCTION("""COMPUTED_VALUE"""),"Profile")</f>
        <v>Profile</v>
      </c>
      <c r="G19" s="7" t="b">
        <f>IFERROR(__xludf.DUMMYFUNCTION("""COMPUTED_VALUE"""),FALSE)</f>
        <v>0</v>
      </c>
      <c r="H19" s="7" t="str">
        <f>IFERROR(__xludf.DUMMYFUNCTION("""COMPUTED_VALUE"""),"In Marketing We Trust, Soup Agency")</f>
        <v>In Marketing We Trust, Soup Agency</v>
      </c>
      <c r="I19" s="7">
        <f>IFERROR(__xludf.DUMMYFUNCTION("""COMPUTED_VALUE"""),40.0)</f>
        <v>40</v>
      </c>
      <c r="J19" s="7">
        <f>IFERROR(__xludf.DUMMYFUNCTION("""COMPUTED_VALUE"""),0.04)</f>
        <v>0.04</v>
      </c>
      <c r="K19" s="7">
        <f>IFERROR(__xludf.DUMMYFUNCTION("""COMPUTED_VALUE"""),0.88)</f>
        <v>0.88</v>
      </c>
      <c r="L19" s="7"/>
    </row>
    <row r="20" ht="15.75" customHeight="1">
      <c r="A20" s="6" t="str">
        <f>IFERROR(__xludf.DUMMYFUNCTION("""COMPUTED_VALUE"""),"https://ninjapromo.io/top-digital-marketing-agencies-in-australia")</f>
        <v>https://ninjapromo.io/top-digital-marketing-agencies-in-australia</v>
      </c>
      <c r="B20" s="7" t="str">
        <f>IFERROR(__xludf.DUMMYFUNCTION("""COMPUTED_VALUE"""),"Top 12 Digital Marketing Agencies in Australia for 2026")</f>
        <v>Top 12 Digital Marketing Agencies in Australia for 2026</v>
      </c>
      <c r="C20" s="6" t="str">
        <f>IFERROR(__xludf.DUMMYFUNCTION("""COMPUTED_VALUE"""),"ninjapromo.io")</f>
        <v>ninjapromo.io</v>
      </c>
      <c r="D20" s="7" t="str">
        <f>IFERROR(__xludf.DUMMYFUNCTION("""COMPUTED_VALUE"""),"LISTICLE")</f>
        <v>LISTICLE</v>
      </c>
      <c r="E20" s="7" t="str">
        <f>IFERROR(__xludf.DUMMYFUNCTION("""COMPUTED_VALUE"""),"COMPETITOR")</f>
        <v>COMPETITOR</v>
      </c>
      <c r="F20" s="7" t="str">
        <f>IFERROR(__xludf.DUMMYFUNCTION("""COMPUTED_VALUE"""),"Listicle")</f>
        <v>Listicle</v>
      </c>
      <c r="G20" s="7" t="b">
        <f>IFERROR(__xludf.DUMMYFUNCTION("""COMPUTED_VALUE"""),FALSE)</f>
        <v>0</v>
      </c>
      <c r="H20" s="7" t="str">
        <f>IFERROR(__xludf.DUMMYFUNCTION("""COMPUTED_VALUE"""),"Ninja Promo, 23 Digital, PHD, Clearwater Agency, Alpha Digital, XPON, Impressive, Measured, Emote Digital, Gorilla 360, Earned Media")</f>
        <v>Ninja Promo, 23 Digital, PHD, Clearwater Agency, Alpha Digital, XPON, Impressive, Measured, Emote Digital, Gorilla 360, Earned Media</v>
      </c>
      <c r="I20" s="7">
        <f>IFERROR(__xludf.DUMMYFUNCTION("""COMPUTED_VALUE"""),39.0)</f>
        <v>39</v>
      </c>
      <c r="J20" s="7">
        <f>IFERROR(__xludf.DUMMYFUNCTION("""COMPUTED_VALUE"""),0.04)</f>
        <v>0.04</v>
      </c>
      <c r="K20" s="7">
        <f>IFERROR(__xludf.DUMMYFUNCTION("""COMPUTED_VALUE"""),1.31)</f>
        <v>1.31</v>
      </c>
      <c r="L20" s="7"/>
    </row>
    <row r="21" ht="15.75" customHeight="1">
      <c r="A21" s="6" t="str">
        <f>IFERROR(__xludf.DUMMYFUNCTION("""COMPUTED_VALUE"""),"https://clutch.co/au/agencies/social-media-marketing#:~:text=farsiight%20is%20a%20digital%20marketing%20agency%20specializing,return%20on%20ad%20spend%20and%20customer%20acquisition.")</f>
        <v>https://clutch.co/au/agencies/social-media-marketing#:~:text=farsiight%20is%20a%20digital%20marketing%20agency%20specializing,return%20on%20ad%20spend%20and%20customer%20acquisition.</v>
      </c>
      <c r="B21" s="7" t="str">
        <f>IFERROR(__xludf.DUMMYFUNCTION("""COMPUTED_VALUE"""),"Top Social Media Marketing Companies in Australia - Jul 2026 Rankings | Clutch.co")</f>
        <v>Top Social Media Marketing Companies in Australia - Jul 2026 Rankings | Clutch.co</v>
      </c>
      <c r="C21" s="6" t="str">
        <f>IFERROR(__xludf.DUMMYFUNCTION("""COMPUTED_VALUE"""),"clutch.co")</f>
        <v>clutch.co</v>
      </c>
      <c r="D21" s="7" t="str">
        <f>IFERROR(__xludf.DUMMYFUNCTION("""COMPUTED_VALUE"""),"OTHER")</f>
        <v>OTHER</v>
      </c>
      <c r="E21" s="7" t="str">
        <f>IFERROR(__xludf.DUMMYFUNCTION("""COMPUTED_VALUE"""),"CORPORATE")</f>
        <v>CORPORATE</v>
      </c>
      <c r="F21" s="7" t="str">
        <f>IFERROR(__xludf.DUMMYFUNCTION("""COMPUTED_VALUE"""),"Other")</f>
        <v>Other</v>
      </c>
      <c r="G21" s="7" t="b">
        <f>IFERROR(__xludf.DUMMYFUNCTION("""COMPUTED_VALUE"""),FALSE)</f>
        <v>0</v>
      </c>
      <c r="H21" s="7" t="str">
        <f>IFERROR(__xludf.DUMMYFUNCTION("""COMPUTED_VALUE"""),"Soup Agency, Impressive, Digital Nomads HQ, SIXGUN, Farsiight, Human Digital, Emote Digital, Intesols, MyWork, Salt &amp; Fuessel, Alley Group, EvenDigit, Rocket Agency, Clearwater Agency, DNM Digital, Edge Marketing, Megaphone")</f>
        <v>Soup Agency, Impressive, Digital Nomads HQ, SIXGUN, Farsiight, Human Digital, Emote Digital, Intesols, MyWork, Salt &amp; Fuessel, Alley Group, EvenDigit, Rocket Agency, Clearwater Agency, DNM Digital, Edge Marketing, Megaphone</v>
      </c>
      <c r="I21" s="7">
        <f>IFERROR(__xludf.DUMMYFUNCTION("""COMPUTED_VALUE"""),38.0)</f>
        <v>38</v>
      </c>
      <c r="J21" s="7">
        <f>IFERROR(__xludf.DUMMYFUNCTION("""COMPUTED_VALUE"""),0.04)</f>
        <v>0.04</v>
      </c>
      <c r="K21" s="7">
        <f>IFERROR(__xludf.DUMMYFUNCTION("""COMPUTED_VALUE"""),2.66)</f>
        <v>2.66</v>
      </c>
      <c r="L21" s="7"/>
    </row>
    <row r="22" ht="15.75" customHeight="1">
      <c r="A22" s="6" t="str">
        <f>IFERROR(__xludf.DUMMYFUNCTION("""COMPUTED_VALUE"""),"https://impressive.com.au/best-ai-seo-agencies-melbourne/")</f>
        <v>https://impressive.com.au/best-ai-seo-agencies-melbourne/</v>
      </c>
      <c r="B22" s="7" t="str">
        <f>IFERROR(__xludf.DUMMYFUNCTION("""COMPUTED_VALUE"""),"Best AI SEO Agencies in Melbourne: 2026 Guide")</f>
        <v>Best AI SEO Agencies in Melbourne: 2026 Guide</v>
      </c>
      <c r="C22" s="6" t="str">
        <f>IFERROR(__xludf.DUMMYFUNCTION("""COMPUTED_VALUE"""),"impressive.com.au")</f>
        <v>impressive.com.au</v>
      </c>
      <c r="D22" s="7" t="str">
        <f>IFERROR(__xludf.DUMMYFUNCTION("""COMPUTED_VALUE"""),"LISTICLE")</f>
        <v>LISTICLE</v>
      </c>
      <c r="E22" s="7" t="str">
        <f>IFERROR(__xludf.DUMMYFUNCTION("""COMPUTED_VALUE"""),"COMPETITOR")</f>
        <v>COMPETITOR</v>
      </c>
      <c r="F22" s="7" t="str">
        <f>IFERROR(__xludf.DUMMYFUNCTION("""COMPUTED_VALUE"""),"Listicle")</f>
        <v>Listicle</v>
      </c>
      <c r="G22" s="7" t="b">
        <f>IFERROR(__xludf.DUMMYFUNCTION("""COMPUTED_VALUE"""),FALSE)</f>
        <v>0</v>
      </c>
      <c r="H22" s="7" t="str">
        <f>IFERROR(__xludf.DUMMYFUNCTION("""COMPUTED_VALUE"""),"Impressive, Salt &amp; Fuessel, Predicta Digital, Luminary, Rocket Agency, Prosperity Media, Earned Media, Bonfire")</f>
        <v>Impressive, Salt &amp; Fuessel, Predicta Digital, Luminary, Rocket Agency, Prosperity Media, Earned Media, Bonfire</v>
      </c>
      <c r="I22" s="7">
        <f>IFERROR(__xludf.DUMMYFUNCTION("""COMPUTED_VALUE"""),38.0)</f>
        <v>38</v>
      </c>
      <c r="J22" s="7">
        <f>IFERROR(__xludf.DUMMYFUNCTION("""COMPUTED_VALUE"""),0.04)</f>
        <v>0.04</v>
      </c>
      <c r="K22" s="7">
        <f>IFERROR(__xludf.DUMMYFUNCTION("""COMPUTED_VALUE"""),1.45)</f>
        <v>1.45</v>
      </c>
      <c r="L22" s="7"/>
    </row>
    <row r="23" ht="15.75" customHeight="1">
      <c r="A23" s="6" t="str">
        <f>IFERROR(__xludf.DUMMYFUNCTION("""COMPUTED_VALUE"""),"https://ensun.io/search/marketing-analytics/australia")</f>
        <v>https://ensun.io/search/marketing-analytics/australia</v>
      </c>
      <c r="B23" s="7" t="str">
        <f>IFERROR(__xludf.DUMMYFUNCTION("""COMPUTED_VALUE"""),"Top 100 Marketing Analytics Companies in Australia (2026) \| ensun")</f>
        <v>Top 100 Marketing Analytics Companies in Australia (2026) \| ensun</v>
      </c>
      <c r="C23" s="6" t="str">
        <f>IFERROR(__xludf.DUMMYFUNCTION("""COMPUTED_VALUE"""),"ensun.io")</f>
        <v>ensun.io</v>
      </c>
      <c r="D23" s="7" t="str">
        <f>IFERROR(__xludf.DUMMYFUNCTION("""COMPUTED_VALUE"""),"CATEGORY_PAGE")</f>
        <v>CATEGORY_PAGE</v>
      </c>
      <c r="E23" s="7" t="str">
        <f>IFERROR(__xludf.DUMMYFUNCTION("""COMPUTED_VALUE"""),"OTHER")</f>
        <v>OTHER</v>
      </c>
      <c r="F23" s="7" t="str">
        <f>IFERROR(__xludf.DUMMYFUNCTION("""COMPUTED_VALUE"""),"Category Page")</f>
        <v>Category Page</v>
      </c>
      <c r="G23" s="7" t="b">
        <f>IFERROR(__xludf.DUMMYFUNCTION("""COMPUTED_VALUE"""),FALSE)</f>
        <v>0</v>
      </c>
      <c r="H23" s="7" t="str">
        <f>IFERROR(__xludf.DUMMYFUNCTION("""COMPUTED_VALUE"""),"Loves Data, Online Marketing Gurus, Omnicom Media Group")</f>
        <v>Loves Data, Online Marketing Gurus, Omnicom Media Group</v>
      </c>
      <c r="I23" s="7">
        <f>IFERROR(__xludf.DUMMYFUNCTION("""COMPUTED_VALUE"""),37.0)</f>
        <v>37</v>
      </c>
      <c r="J23" s="7">
        <f>IFERROR(__xludf.DUMMYFUNCTION("""COMPUTED_VALUE"""),0.04)</f>
        <v>0.04</v>
      </c>
      <c r="K23" s="7">
        <f>IFERROR(__xludf.DUMMYFUNCTION("""COMPUTED_VALUE"""),1.16)</f>
        <v>1.16</v>
      </c>
      <c r="L23" s="7"/>
    </row>
    <row r="24" ht="15.75" customHeight="1">
      <c r="A24" s="6" t="str">
        <f>IFERROR(__xludf.DUMMYFUNCTION("""COMPUTED_VALUE"""),"https://www.thehero.co/news/top-10-best-ad-agency-in-australia-leading-sydney-melbourne-brisbane")</f>
        <v>https://www.thehero.co/news/top-10-best-ad-agency-in-australia-leading-sydney-melbourne-brisbane</v>
      </c>
      <c r="B24" s="7" t="str">
        <f>IFERROR(__xludf.DUMMYFUNCTION("""COMPUTED_VALUE"""),"HERO Tops Best Creative Ad Agency Hot List for Australia, Across Sydney, Melbourne and Brisbane")</f>
        <v>HERO Tops Best Creative Ad Agency Hot List for Australia, Across Sydney, Melbourne and Brisbane</v>
      </c>
      <c r="C24" s="6" t="str">
        <f>IFERROR(__xludf.DUMMYFUNCTION("""COMPUTED_VALUE"""),"thehero.co")</f>
        <v>thehero.co</v>
      </c>
      <c r="D24" s="7" t="str">
        <f>IFERROR(__xludf.DUMMYFUNCTION("""COMPUTED_VALUE"""),"LISTICLE")</f>
        <v>LISTICLE</v>
      </c>
      <c r="E24" s="7" t="str">
        <f>IFERROR(__xludf.DUMMYFUNCTION("""COMPUTED_VALUE"""),"CORPORATE")</f>
        <v>CORPORATE</v>
      </c>
      <c r="F24" s="7" t="str">
        <f>IFERROR(__xludf.DUMMYFUNCTION("""COMPUTED_VALUE"""),"Listicle")</f>
        <v>Listicle</v>
      </c>
      <c r="G24" s="7" t="b">
        <f>IFERROR(__xludf.DUMMYFUNCTION("""COMPUTED_VALUE"""),FALSE)</f>
        <v>0</v>
      </c>
      <c r="H24" s="7" t="str">
        <f>IFERROR(__xludf.DUMMYFUNCTION("""COMPUTED_VALUE"""),"HERO, Momentum")</f>
        <v>HERO, Momentum</v>
      </c>
      <c r="I24" s="7">
        <f>IFERROR(__xludf.DUMMYFUNCTION("""COMPUTED_VALUE"""),37.0)</f>
        <v>37</v>
      </c>
      <c r="J24" s="7">
        <f>IFERROR(__xludf.DUMMYFUNCTION("""COMPUTED_VALUE"""),0.04)</f>
        <v>0.04</v>
      </c>
      <c r="K24" s="7">
        <f>IFERROR(__xludf.DUMMYFUNCTION("""COMPUTED_VALUE"""),0.65)</f>
        <v>0.65</v>
      </c>
      <c r="L24" s="7"/>
    </row>
    <row r="25" ht="15.75" customHeight="1">
      <c r="A25" s="6" t="str">
        <f>IFERROR(__xludf.DUMMYFUNCTION("""COMPUTED_VALUE"""),"https://digitalagencynetwork.com/agencies/australia/")</f>
        <v>https://digitalagencynetwork.com/agencies/australia/</v>
      </c>
      <c r="B25" s="7" t="str">
        <f>IFERROR(__xludf.DUMMYFUNCTION("""COMPUTED_VALUE"""),"Best Digital Marketing Agencies in Australia | Digital Agency Network")</f>
        <v>Best Digital Marketing Agencies in Australia | Digital Agency Network</v>
      </c>
      <c r="C25" s="6" t="str">
        <f>IFERROR(__xludf.DUMMYFUNCTION("""COMPUTED_VALUE"""),"digitalagencynetwork.com")</f>
        <v>digitalagencynetwork.com</v>
      </c>
      <c r="D25" s="7" t="str">
        <f>IFERROR(__xludf.DUMMYFUNCTION("""COMPUTED_VALUE"""),"CATEGORY_PAGE")</f>
        <v>CATEGORY_PAGE</v>
      </c>
      <c r="E25" s="7" t="str">
        <f>IFERROR(__xludf.DUMMYFUNCTION("""COMPUTED_VALUE"""),"REFERENCE")</f>
        <v>REFERENCE</v>
      </c>
      <c r="F25" s="7" t="str">
        <f>IFERROR(__xludf.DUMMYFUNCTION("""COMPUTED_VALUE"""),"Category Page")</f>
        <v>Category Page</v>
      </c>
      <c r="G25" s="7" t="b">
        <f>IFERROR(__xludf.DUMMYFUNCTION("""COMPUTED_VALUE"""),FALSE)</f>
        <v>0</v>
      </c>
      <c r="H25" s="7" t="str">
        <f>IFERROR(__xludf.DUMMYFUNCTION("""COMPUTED_VALUE"""),"Emote Digital, Luminary, Supple Digital, 80/20 Digital, Clearwater Agency, Digital Nomads HQ, Soup Agency, Impressive, Jaywing, In Marketing We Trust")</f>
        <v>Emote Digital, Luminary, Supple Digital, 80/20 Digital, Clearwater Agency, Digital Nomads HQ, Soup Agency, Impressive, Jaywing, In Marketing We Trust</v>
      </c>
      <c r="I25" s="7">
        <f>IFERROR(__xludf.DUMMYFUNCTION("""COMPUTED_VALUE"""),36.0)</f>
        <v>36</v>
      </c>
      <c r="J25" s="7">
        <f>IFERROR(__xludf.DUMMYFUNCTION("""COMPUTED_VALUE"""),0.04)</f>
        <v>0.04</v>
      </c>
      <c r="K25" s="7">
        <f>IFERROR(__xludf.DUMMYFUNCTION("""COMPUTED_VALUE"""),0.33)</f>
        <v>0.33</v>
      </c>
      <c r="L25" s="7"/>
    </row>
    <row r="26" ht="15.75" customHeight="1">
      <c r="A26" s="6" t="str">
        <f>IFERROR(__xludf.DUMMYFUNCTION("""COMPUTED_VALUE"""),"https://agencies.semrush.com/list/smm/australia/")</f>
        <v>https://agencies.semrush.com/list/smm/australia/</v>
      </c>
      <c r="B26" s="7" t="str">
        <f>IFERROR(__xludf.DUMMYFUNCTION("""COMPUTED_VALUE"""),"Best Social Media Marketing Agencies in Australia 2026 | Semrush")</f>
        <v>Best Social Media Marketing Agencies in Australia 2026 | Semrush</v>
      </c>
      <c r="C26" s="6" t="str">
        <f>IFERROR(__xludf.DUMMYFUNCTION("""COMPUTED_VALUE"""),"semrush.com")</f>
        <v>semrush.com</v>
      </c>
      <c r="D26" s="7" t="str">
        <f>IFERROR(__xludf.DUMMYFUNCTION("""COMPUTED_VALUE"""),"CATEGORY_PAGE")</f>
        <v>CATEGORY_PAGE</v>
      </c>
      <c r="E26" s="7" t="str">
        <f>IFERROR(__xludf.DUMMYFUNCTION("""COMPUTED_VALUE"""),"CORPORATE")</f>
        <v>CORPORATE</v>
      </c>
      <c r="F26" s="7" t="str">
        <f>IFERROR(__xludf.DUMMYFUNCTION("""COMPUTED_VALUE"""),"Category Page")</f>
        <v>Category Page</v>
      </c>
      <c r="G26" s="7" t="b">
        <f>IFERROR(__xludf.DUMMYFUNCTION("""COMPUTED_VALUE"""),FALSE)</f>
        <v>0</v>
      </c>
      <c r="H26" s="7"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26" s="7">
        <f>IFERROR(__xludf.DUMMYFUNCTION("""COMPUTED_VALUE"""),34.0)</f>
        <v>34</v>
      </c>
      <c r="J26" s="7">
        <f>IFERROR(__xludf.DUMMYFUNCTION("""COMPUTED_VALUE"""),0.04)</f>
        <v>0.04</v>
      </c>
      <c r="K26" s="7">
        <f>IFERROR(__xludf.DUMMYFUNCTION("""COMPUTED_VALUE"""),0.41)</f>
        <v>0.41</v>
      </c>
      <c r="L26" s="7"/>
    </row>
    <row r="27" ht="15.75" customHeight="1">
      <c r="A27" s="6" t="str">
        <f>IFERROR(__xludf.DUMMYFUNCTION("""COMPUTED_VALUE"""),"https://www.reddit.com/r/BestInAustralia/comments/1rwwbcw/5_best_digital_marketing_agencies_leveraging_ai/")</f>
        <v>https://www.reddit.com/r/BestInAustralia/comments/1rwwbcw/5_best_digital_marketing_agencies_leveraging_ai/</v>
      </c>
      <c r="B27" s="7" t="str">
        <f>IFERROR(__xludf.DUMMYFUNCTION("""COMPUTED_VALUE"""),"5 Best Digital Marketing Agencies Leveraging AI in Australia (2026 Guide)")</f>
        <v>5 Best Digital Marketing Agencies Leveraging AI in Australia (2026 Guide)</v>
      </c>
      <c r="C27" s="6" t="str">
        <f>IFERROR(__xludf.DUMMYFUNCTION("""COMPUTED_VALUE"""),"reddit.com")</f>
        <v>reddit.com</v>
      </c>
      <c r="D27" s="7" t="str">
        <f>IFERROR(__xludf.DUMMYFUNCTION("""COMPUTED_VALUE"""),"DISCUSSION")</f>
        <v>DISCUSSION</v>
      </c>
      <c r="E27" s="7" t="str">
        <f>IFERROR(__xludf.DUMMYFUNCTION("""COMPUTED_VALUE"""),"UGC")</f>
        <v>UGC</v>
      </c>
      <c r="F27" s="7" t="str">
        <f>IFERROR(__xludf.DUMMYFUNCTION("""COMPUTED_VALUE"""),"Discussion")</f>
        <v>Discussion</v>
      </c>
      <c r="G27" s="7" t="b">
        <f>IFERROR(__xludf.DUMMYFUNCTION("""COMPUTED_VALUE"""),FALSE)</f>
        <v>0</v>
      </c>
      <c r="H27" s="7" t="str">
        <f>IFERROR(__xludf.DUMMYFUNCTION("""COMPUTED_VALUE"""),"Rocket Agency, Marketix Digital, Alley Group, In Marketing We Trust, Digital Nomads HQ")</f>
        <v>Rocket Agency, Marketix Digital, Alley Group, In Marketing We Trust, Digital Nomads HQ</v>
      </c>
      <c r="I27" s="7">
        <f>IFERROR(__xludf.DUMMYFUNCTION("""COMPUTED_VALUE"""),34.0)</f>
        <v>34</v>
      </c>
      <c r="J27" s="7">
        <f>IFERROR(__xludf.DUMMYFUNCTION("""COMPUTED_VALUE"""),0.04)</f>
        <v>0.04</v>
      </c>
      <c r="K27" s="7">
        <f>IFERROR(__xludf.DUMMYFUNCTION("""COMPUTED_VALUE"""),2.21)</f>
        <v>2.21</v>
      </c>
      <c r="L27" s="7"/>
    </row>
    <row r="28" ht="15.75" customHeight="1">
      <c r="A28" s="6" t="str">
        <f>IFERROR(__xludf.DUMMYFUNCTION("""COMPUTED_VALUE"""),"https://agencies.semrush.com/list/ai-optimization/sydney/")</f>
        <v>https://agencies.semrush.com/list/ai-optimization/sydney/</v>
      </c>
      <c r="B28" s="7" t="str">
        <f>IFERROR(__xludf.DUMMYFUNCTION("""COMPUTED_VALUE"""),"Best AI Search Optimization Agencies in Sydney 2026 | Semrush")</f>
        <v>Best AI Search Optimization Agencies in Sydney 2026 | Semrush</v>
      </c>
      <c r="C28" s="6" t="str">
        <f>IFERROR(__xludf.DUMMYFUNCTION("""COMPUTED_VALUE"""),"semrush.com")</f>
        <v>semrush.com</v>
      </c>
      <c r="D28" s="7" t="str">
        <f>IFERROR(__xludf.DUMMYFUNCTION("""COMPUTED_VALUE"""),"CATEGORY_PAGE")</f>
        <v>CATEGORY_PAGE</v>
      </c>
      <c r="E28" s="7" t="str">
        <f>IFERROR(__xludf.DUMMYFUNCTION("""COMPUTED_VALUE"""),"CORPORATE")</f>
        <v>CORPORATE</v>
      </c>
      <c r="F28" s="7" t="str">
        <f>IFERROR(__xludf.DUMMYFUNCTION("""COMPUTED_VALUE"""),"Category Page")</f>
        <v>Category Page</v>
      </c>
      <c r="G28" s="7" t="b">
        <f>IFERROR(__xludf.DUMMYFUNCTION("""COMPUTED_VALUE"""),FALSE)</f>
        <v>0</v>
      </c>
      <c r="H28" s="7" t="str">
        <f>IFERROR(__xludf.DUMMYFUNCTION("""COMPUTED_VALUE"""),"DNM Digital, Online Marketing Gurus, Omnicom Media Group, Earned Media, Huge, Edge Marketing, First Page, Clearwater Agency, Measured")</f>
        <v>DNM Digital, Online Marketing Gurus, Omnicom Media Group, Earned Media, Huge, Edge Marketing, First Page, Clearwater Agency, Measured</v>
      </c>
      <c r="I28" s="7">
        <f>IFERROR(__xludf.DUMMYFUNCTION("""COMPUTED_VALUE"""),33.0)</f>
        <v>33</v>
      </c>
      <c r="J28" s="7">
        <f>IFERROR(__xludf.DUMMYFUNCTION("""COMPUTED_VALUE"""),0.03)</f>
        <v>0.03</v>
      </c>
      <c r="K28" s="7">
        <f>IFERROR(__xludf.DUMMYFUNCTION("""COMPUTED_VALUE"""),0.79)</f>
        <v>0.79</v>
      </c>
      <c r="L28" s="7"/>
    </row>
    <row r="29" ht="15.75" customHeight="1">
      <c r="A29" s="6" t="str">
        <f>IFERROR(__xludf.DUMMYFUNCTION("""COMPUTED_VALUE"""),"https://clutch.co/au/agencies/creative")</f>
        <v>https://clutch.co/au/agencies/creative</v>
      </c>
      <c r="B29" s="7" t="str">
        <f>IFERROR(__xludf.DUMMYFUNCTION("""COMPUTED_VALUE"""),"Top Creative Agencies in Australia - Jul 2026 Rankings \| Clutch.co")</f>
        <v>Top Creative Agencies in Australia - Jul 2026 Rankings \| Clutch.co</v>
      </c>
      <c r="C29" s="6" t="str">
        <f>IFERROR(__xludf.DUMMYFUNCTION("""COMPUTED_VALUE"""),"clutch.co")</f>
        <v>clutch.co</v>
      </c>
      <c r="D29" s="7" t="str">
        <f>IFERROR(__xludf.DUMMYFUNCTION("""COMPUTED_VALUE"""),"CATEGORY_PAGE")</f>
        <v>CATEGORY_PAGE</v>
      </c>
      <c r="E29" s="7" t="str">
        <f>IFERROR(__xludf.DUMMYFUNCTION("""COMPUTED_VALUE"""),"CORPORATE")</f>
        <v>CORPORATE</v>
      </c>
      <c r="F29" s="7" t="str">
        <f>IFERROR(__xludf.DUMMYFUNCTION("""COMPUTED_VALUE"""),"Category Page")</f>
        <v>Category Page</v>
      </c>
      <c r="G29" s="7" t="b">
        <f>IFERROR(__xludf.DUMMYFUNCTION("""COMPUTED_VALUE"""),FALSE)</f>
        <v>0</v>
      </c>
      <c r="H29" s="7" t="str">
        <f>IFERROR(__xludf.DUMMYFUNCTION("""COMPUTED_VALUE"""),"Chello, Human Digital, Impressive, Measured, Dentsu")</f>
        <v>Chello, Human Digital, Impressive, Measured, Dentsu</v>
      </c>
      <c r="I29" s="7">
        <f>IFERROR(__xludf.DUMMYFUNCTION("""COMPUTED_VALUE"""),33.0)</f>
        <v>33</v>
      </c>
      <c r="J29" s="7">
        <f>IFERROR(__xludf.DUMMYFUNCTION("""COMPUTED_VALUE"""),0.03)</f>
        <v>0.03</v>
      </c>
      <c r="K29" s="7">
        <f>IFERROR(__xludf.DUMMYFUNCTION("""COMPUTED_VALUE"""),1.15)</f>
        <v>1.15</v>
      </c>
      <c r="L29" s="7"/>
    </row>
    <row r="30" ht="15.75" customHeight="1">
      <c r="A30" s="6" t="str">
        <f>IFERROR(__xludf.DUMMYFUNCTION("""COMPUTED_VALUE"""),"https://digitalnomadshq.com.au/blog/best-aeo-answer-engine-optimisation-agencies/")</f>
        <v>https://digitalnomadshq.com.au/blog/best-aeo-answer-engine-optimisation-agencies/</v>
      </c>
      <c r="B30" s="7" t="str">
        <f>IFERROR(__xludf.DUMMYFUNCTION("""COMPUTED_VALUE"""),"Best AEO (Answer Engine Optimisation) Agencies 2026")</f>
        <v>Best AEO (Answer Engine Optimisation) Agencies 2026</v>
      </c>
      <c r="C30" s="6" t="str">
        <f>IFERROR(__xludf.DUMMYFUNCTION("""COMPUTED_VALUE"""),"digitalnomadshq.com.au")</f>
        <v>digitalnomadshq.com.au</v>
      </c>
      <c r="D30" s="7" t="str">
        <f>IFERROR(__xludf.DUMMYFUNCTION("""COMPUTED_VALUE"""),"LISTICLE")</f>
        <v>LISTICLE</v>
      </c>
      <c r="E30" s="7" t="str">
        <f>IFERROR(__xludf.DUMMYFUNCTION("""COMPUTED_VALUE"""),"COMPETITOR")</f>
        <v>COMPETITOR</v>
      </c>
      <c r="F30" s="7" t="str">
        <f>IFERROR(__xludf.DUMMYFUNCTION("""COMPUTED_VALUE"""),"Listicle")</f>
        <v>Listicle</v>
      </c>
      <c r="G30" s="7" t="b">
        <f>IFERROR(__xludf.DUMMYFUNCTION("""COMPUTED_VALUE"""),FALSE)</f>
        <v>0</v>
      </c>
      <c r="H30" s="7" t="str">
        <f>IFERROR(__xludf.DUMMYFUNCTION("""COMPUTED_VALUE"""),"Digital Nomads HQ")</f>
        <v>Digital Nomads HQ</v>
      </c>
      <c r="I30" s="7">
        <f>IFERROR(__xludf.DUMMYFUNCTION("""COMPUTED_VALUE"""),33.0)</f>
        <v>33</v>
      </c>
      <c r="J30" s="7">
        <f>IFERROR(__xludf.DUMMYFUNCTION("""COMPUTED_VALUE"""),0.03)</f>
        <v>0.03</v>
      </c>
      <c r="K30" s="7">
        <f>IFERROR(__xludf.DUMMYFUNCTION("""COMPUTED_VALUE"""),0.45)</f>
        <v>0.45</v>
      </c>
      <c r="L30" s="7"/>
    </row>
    <row r="31" ht="15.75" customHeight="1">
      <c r="A31" s="6" t="str">
        <f>IFERROR(__xludf.DUMMYFUNCTION("""COMPUTED_VALUE"""),"https://mediaplusdigital.co/au/ai-marketing-agencies-in-australia/#:~:text=Kamexa%20is%20often%20ranked%20among%20top%20AI,businesses%20that%20want%20deep%20AI%20implementation.%203.")</f>
        <v>https://mediaplusdigital.co/au/ai-marketing-agencies-in-australia/#:~:text=Kamexa%20is%20often%20ranked%20among%20top%20AI,businesses%20that%20want%20deep%20AI%20implementation.%203.</v>
      </c>
      <c r="B31" s="7" t="str">
        <f>IFERROR(__xludf.DUMMYFUNCTION("""COMPUTED_VALUE"""),"Top 10 AI Marketing Agencies in Australia (2026) - MPD Australia")</f>
        <v>Top 10 AI Marketing Agencies in Australia (2026) - MPD Australia</v>
      </c>
      <c r="C31" s="6" t="str">
        <f>IFERROR(__xludf.DUMMYFUNCTION("""COMPUTED_VALUE"""),"mediaplusdigital.co")</f>
        <v>mediaplusdigital.co</v>
      </c>
      <c r="D31" s="7" t="str">
        <f>IFERROR(__xludf.DUMMYFUNCTION("""COMPUTED_VALUE"""),"OTHER")</f>
        <v>OTHER</v>
      </c>
      <c r="E31" s="7" t="str">
        <f>IFERROR(__xludf.DUMMYFUNCTION("""COMPUTED_VALUE"""),"CORPORATE")</f>
        <v>CORPORATE</v>
      </c>
      <c r="F31" s="7" t="str">
        <f>IFERROR(__xludf.DUMMYFUNCTION("""COMPUTED_VALUE"""),"Other")</f>
        <v>Other</v>
      </c>
      <c r="G31" s="7" t="b">
        <f>IFERROR(__xludf.DUMMYFUNCTION("""COMPUTED_VALUE"""),FALSE)</f>
        <v>0</v>
      </c>
      <c r="H31" s="7" t="str">
        <f>IFERROR(__xludf.DUMMYFUNCTION("""COMPUTED_VALUE"""),"Alley Group, Rocket Agency, Marketix Digital, Digital Nomads HQ, First Page, First Page Australia, Sparro")</f>
        <v>Alley Group, Rocket Agency, Marketix Digital, Digital Nomads HQ, First Page, First Page Australia, Sparro</v>
      </c>
      <c r="I31" s="7">
        <f>IFERROR(__xludf.DUMMYFUNCTION("""COMPUTED_VALUE"""),33.0)</f>
        <v>33</v>
      </c>
      <c r="J31" s="7">
        <f>IFERROR(__xludf.DUMMYFUNCTION("""COMPUTED_VALUE"""),0.03)</f>
        <v>0.03</v>
      </c>
      <c r="K31" s="7">
        <f>IFERROR(__xludf.DUMMYFUNCTION("""COMPUTED_VALUE"""),1.73)</f>
        <v>1.73</v>
      </c>
      <c r="L31" s="7"/>
    </row>
    <row r="32" ht="15.75" customHeight="1">
      <c r="A32" s="6" t="str">
        <f>IFERROR(__xludf.DUMMYFUNCTION("""COMPUTED_VALUE"""),"https://clutch.co/au/agencies/ppc/display")</f>
        <v>https://clutch.co/au/agencies/ppc/display</v>
      </c>
      <c r="B32" s="7" t="str">
        <f>IFERROR(__xludf.DUMMYFUNCTION("""COMPUTED_VALUE"""),"Top Display Advertising Services in Australia - Jul 2026 Rankings | Clutch.co")</f>
        <v>Top Display Advertising Services in Australia - Jul 2026 Rankings | Clutch.co</v>
      </c>
      <c r="C32" s="6" t="str">
        <f>IFERROR(__xludf.DUMMYFUNCTION("""COMPUTED_VALUE"""),"clutch.co")</f>
        <v>clutch.co</v>
      </c>
      <c r="D32" s="7" t="str">
        <f>IFERROR(__xludf.DUMMYFUNCTION("""COMPUTED_VALUE"""),"PROFILE")</f>
        <v>PROFILE</v>
      </c>
      <c r="E32" s="7" t="str">
        <f>IFERROR(__xludf.DUMMYFUNCTION("""COMPUTED_VALUE"""),"CORPORATE")</f>
        <v>CORPORATE</v>
      </c>
      <c r="F32" s="7" t="str">
        <f>IFERROR(__xludf.DUMMYFUNCTION("""COMPUTED_VALUE"""),"Profile")</f>
        <v>Profile</v>
      </c>
      <c r="G32" s="7" t="b">
        <f>IFERROR(__xludf.DUMMYFUNCTION("""COMPUTED_VALUE"""),FALSE)</f>
        <v>0</v>
      </c>
      <c r="H32" s="7" t="str">
        <f>IFERROR(__xludf.DUMMYFUNCTION("""COMPUTED_VALUE"""),"Intesols, First Page, Soup Agency, Impressive, Salt &amp; Fuessel, EvenDigit, Paradox Marketing, Click Click Media")</f>
        <v>Intesols, First Page, Soup Agency, Impressive, Salt &amp; Fuessel, EvenDigit, Paradox Marketing, Click Click Media</v>
      </c>
      <c r="I32" s="7">
        <f>IFERROR(__xludf.DUMMYFUNCTION("""COMPUTED_VALUE"""),32.0)</f>
        <v>32</v>
      </c>
      <c r="J32" s="7">
        <f>IFERROR(__xludf.DUMMYFUNCTION("""COMPUTED_VALUE"""),0.03)</f>
        <v>0.03</v>
      </c>
      <c r="K32" s="7">
        <f>IFERROR(__xludf.DUMMYFUNCTION("""COMPUTED_VALUE"""),1.09)</f>
        <v>1.09</v>
      </c>
      <c r="L32" s="7"/>
    </row>
    <row r="33" ht="15.75" customHeight="1">
      <c r="A33" s="6" t="str">
        <f>IFERROR(__xludf.DUMMYFUNCTION("""COMPUTED_VALUE"""),"https://business.localsearch.com.au/blog/top-digital-marketing-agencies-australia-2026")</f>
        <v>https://business.localsearch.com.au/blog/top-digital-marketing-agencies-australia-2026</v>
      </c>
      <c r="B33" s="7" t="str">
        <f>IFERROR(__xludf.DUMMYFUNCTION("""COMPUTED_VALUE"""),"The Top 10 Digital Marketing Agencies in Australia for 2026: Our Honest Take")</f>
        <v>The Top 10 Digital Marketing Agencies in Australia for 2026: Our Honest Take</v>
      </c>
      <c r="C33" s="6" t="str">
        <f>IFERROR(__xludf.DUMMYFUNCTION("""COMPUTED_VALUE"""),"localsearch.com.au")</f>
        <v>localsearch.com.au</v>
      </c>
      <c r="D33" s="7" t="str">
        <f>IFERROR(__xludf.DUMMYFUNCTION("""COMPUTED_VALUE"""),"LISTICLE")</f>
        <v>LISTICLE</v>
      </c>
      <c r="E33" s="7" t="str">
        <f>IFERROR(__xludf.DUMMYFUNCTION("""COMPUTED_VALUE"""),"REFERENCE")</f>
        <v>REFERENCE</v>
      </c>
      <c r="F33" s="7" t="str">
        <f>IFERROR(__xludf.DUMMYFUNCTION("""COMPUTED_VALUE"""),"Listicle")</f>
        <v>Listicle</v>
      </c>
      <c r="G33" s="7" t="b">
        <f>IFERROR(__xludf.DUMMYFUNCTION("""COMPUTED_VALUE"""),FALSE)</f>
        <v>0</v>
      </c>
      <c r="H33" s="7" t="str">
        <f>IFERROR(__xludf.DUMMYFUNCTION("""COMPUTED_VALUE"""),"Sparro, Brainlabs, King Kong, Online Marketing Gurus, Omnicom Media Group, First Page, StudioHawk, Prosperity Media, Clearwater Agency, SIXGUN, Measured")</f>
        <v>Sparro, Brainlabs, King Kong, Online Marketing Gurus, Omnicom Media Group, First Page, StudioHawk, Prosperity Media, Clearwater Agency, SIXGUN, Measured</v>
      </c>
      <c r="I33" s="7">
        <f>IFERROR(__xludf.DUMMYFUNCTION("""COMPUTED_VALUE"""),31.0)</f>
        <v>31</v>
      </c>
      <c r="J33" s="7">
        <f>IFERROR(__xludf.DUMMYFUNCTION("""COMPUTED_VALUE"""),0.03)</f>
        <v>0.03</v>
      </c>
      <c r="K33" s="7">
        <f>IFERROR(__xludf.DUMMYFUNCTION("""COMPUTED_VALUE"""),1.26)</f>
        <v>1.26</v>
      </c>
      <c r="L33" s="7"/>
    </row>
    <row r="34" ht="15.75" customHeight="1">
      <c r="A34" s="6" t="str">
        <f>IFERROR(__xludf.DUMMYFUNCTION("""COMPUTED_VALUE"""),"https://sourceforge.net/software/incrementality-testing/australia/")</f>
        <v>https://sourceforge.net/software/incrementality-testing/australia/</v>
      </c>
      <c r="B34" s="7" t="str">
        <f>IFERROR(__xludf.DUMMYFUNCTION("""COMPUTED_VALUE"""),"Best Incrementality Testing Tools in Australia of 2026 - Reviews &amp;amp; Comparison")</f>
        <v>Best Incrementality Testing Tools in Australia of 2026 - Reviews &amp;amp; Comparison</v>
      </c>
      <c r="C34" s="6" t="str">
        <f>IFERROR(__xludf.DUMMYFUNCTION("""COMPUTED_VALUE"""),"sourceforge.net")</f>
        <v>sourceforge.net</v>
      </c>
      <c r="D34" s="7" t="str">
        <f>IFERROR(__xludf.DUMMYFUNCTION("""COMPUTED_VALUE"""),"LISTICLE")</f>
        <v>LISTICLE</v>
      </c>
      <c r="E34" s="7" t="str">
        <f>IFERROR(__xludf.DUMMYFUNCTION("""COMPUTED_VALUE"""),"OTHER")</f>
        <v>OTHER</v>
      </c>
      <c r="F34" s="7" t="str">
        <f>IFERROR(__xludf.DUMMYFUNCTION("""COMPUTED_VALUE"""),"Listicle")</f>
        <v>Listicle</v>
      </c>
      <c r="G34" s="7" t="b">
        <f>IFERROR(__xludf.DUMMYFUNCTION("""COMPUTED_VALUE"""),FALSE)</f>
        <v>0</v>
      </c>
      <c r="H34" s="7" t="str">
        <f>IFERROR(__xludf.DUMMYFUNCTION("""COMPUTED_VALUE"""),"Measured, Lifesight, Workmagic, Haus, Analytic Partners")</f>
        <v>Measured, Lifesight, Workmagic, Haus, Analytic Partners</v>
      </c>
      <c r="I34" s="7">
        <f>IFERROR(__xludf.DUMMYFUNCTION("""COMPUTED_VALUE"""),31.0)</f>
        <v>31</v>
      </c>
      <c r="J34" s="7">
        <f>IFERROR(__xludf.DUMMYFUNCTION("""COMPUTED_VALUE"""),0.03)</f>
        <v>0.03</v>
      </c>
      <c r="K34" s="7">
        <f>IFERROR(__xludf.DUMMYFUNCTION("""COMPUTED_VALUE"""),1.32)</f>
        <v>1.32</v>
      </c>
      <c r="L34" s="7"/>
    </row>
    <row r="35" ht="15.75" customHeight="1">
      <c r="A35" s="6" t="str">
        <f>IFERROR(__xludf.DUMMYFUNCTION("""COMPUTED_VALUE"""),"https://thatware.co/top-10-ai-search-companies-in-australia/")</f>
        <v>https://thatware.co/top-10-ai-search-companies-in-australia/</v>
      </c>
      <c r="B35" s="7" t="str">
        <f>IFERROR(__xludf.DUMMYFUNCTION("""COMPUTED_VALUE"""),"Top AI Search Optimisation Companies Australia | 10 Best AI Firms")</f>
        <v>Top AI Search Optimisation Companies Australia | 10 Best AI Firms</v>
      </c>
      <c r="C35" s="6" t="str">
        <f>IFERROR(__xludf.DUMMYFUNCTION("""COMPUTED_VALUE"""),"thatware.co")</f>
        <v>thatware.co</v>
      </c>
      <c r="D35" s="7" t="str">
        <f>IFERROR(__xludf.DUMMYFUNCTION("""COMPUTED_VALUE"""),"LISTICLE")</f>
        <v>LISTICLE</v>
      </c>
      <c r="E35" s="7" t="str">
        <f>IFERROR(__xludf.DUMMYFUNCTION("""COMPUTED_VALUE"""),"CORPORATE")</f>
        <v>CORPORATE</v>
      </c>
      <c r="F35" s="7" t="str">
        <f>IFERROR(__xludf.DUMMYFUNCTION("""COMPUTED_VALUE"""),"Listicle")</f>
        <v>Listicle</v>
      </c>
      <c r="G35" s="7" t="b">
        <f>IFERROR(__xludf.DUMMYFUNCTION("""COMPUTED_VALUE"""),FALSE)</f>
        <v>0</v>
      </c>
      <c r="H35" s="7" t="str">
        <f>IFERROR(__xludf.DUMMYFUNCTION("""COMPUTED_VALUE"""),"StudioHawk, Intesols, Gorilla 360, Supple Digital, Predicta Digital, ROI Growth Agency, Digital Nomads HQ")</f>
        <v>StudioHawk, Intesols, Gorilla 360, Supple Digital, Predicta Digital, ROI Growth Agency, Digital Nomads HQ</v>
      </c>
      <c r="I35" s="7">
        <f>IFERROR(__xludf.DUMMYFUNCTION("""COMPUTED_VALUE"""),31.0)</f>
        <v>31</v>
      </c>
      <c r="J35" s="7">
        <f>IFERROR(__xludf.DUMMYFUNCTION("""COMPUTED_VALUE"""),0.03)</f>
        <v>0.03</v>
      </c>
      <c r="K35" s="7">
        <f>IFERROR(__xludf.DUMMYFUNCTION("""COMPUTED_VALUE"""),0.29)</f>
        <v>0.29</v>
      </c>
      <c r="L35" s="7"/>
    </row>
    <row r="36" ht="15.75" customHeight="1">
      <c r="A36" s="6" t="str">
        <f>IFERROR(__xludf.DUMMYFUNCTION("""COMPUTED_VALUE"""),"https://agencies.semrush.com/list/analytics-data-science/australia/")</f>
        <v>https://agencies.semrush.com/list/analytics-data-science/australia/</v>
      </c>
      <c r="B36" s="7" t="str">
        <f>IFERROR(__xludf.DUMMYFUNCTION("""COMPUTED_VALUE"""),"Best Data Analytics Services in Australia 2026 | Semrush")</f>
        <v>Best Data Analytics Services in Australia 2026 | Semrush</v>
      </c>
      <c r="C36" s="6" t="str">
        <f>IFERROR(__xludf.DUMMYFUNCTION("""COMPUTED_VALUE"""),"semrush.com")</f>
        <v>semrush.com</v>
      </c>
      <c r="D36" s="7" t="str">
        <f>IFERROR(__xludf.DUMMYFUNCTION("""COMPUTED_VALUE"""),"CATEGORY_PAGE")</f>
        <v>CATEGORY_PAGE</v>
      </c>
      <c r="E36" s="7" t="str">
        <f>IFERROR(__xludf.DUMMYFUNCTION("""COMPUTED_VALUE"""),"CORPORATE")</f>
        <v>CORPORATE</v>
      </c>
      <c r="F36" s="7" t="str">
        <f>IFERROR(__xludf.DUMMYFUNCTION("""COMPUTED_VALUE"""),"Category Page")</f>
        <v>Category Page</v>
      </c>
      <c r="G36" s="7" t="b">
        <f>IFERROR(__xludf.DUMMYFUNCTION("""COMPUTED_VALUE"""),FALSE)</f>
        <v>0</v>
      </c>
      <c r="H36" s="7"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36" s="7">
        <f>IFERROR(__xludf.DUMMYFUNCTION("""COMPUTED_VALUE"""),30.0)</f>
        <v>30</v>
      </c>
      <c r="J36" s="7">
        <f>IFERROR(__xludf.DUMMYFUNCTION("""COMPUTED_VALUE"""),0.03)</f>
        <v>0.03</v>
      </c>
      <c r="K36" s="7">
        <f>IFERROR(__xludf.DUMMYFUNCTION("""COMPUTED_VALUE"""),0.77)</f>
        <v>0.77</v>
      </c>
      <c r="L36" s="7"/>
    </row>
    <row r="37" ht="15.75" customHeight="1">
      <c r="A37" s="6" t="str">
        <f>IFERROR(__xludf.DUMMYFUNCTION("""COMPUTED_VALUE"""),"https://mediaplusdigital.co/au/geo-agencies-in-australia/")</f>
        <v>https://mediaplusdigital.co/au/geo-agencies-in-australia/</v>
      </c>
      <c r="B37" s="7" t="str">
        <f>IFERROR(__xludf.DUMMYFUNCTION("""COMPUTED_VALUE"""),"Top 10 GEO Agencies in Australia (2026) - MPD Australia")</f>
        <v>Top 10 GEO Agencies in Australia (2026) - MPD Australia</v>
      </c>
      <c r="C37" s="6" t="str">
        <f>IFERROR(__xludf.DUMMYFUNCTION("""COMPUTED_VALUE"""),"mediaplusdigital.co")</f>
        <v>mediaplusdigital.co</v>
      </c>
      <c r="D37" s="7" t="str">
        <f>IFERROR(__xludf.DUMMYFUNCTION("""COMPUTED_VALUE"""),"LISTICLE")</f>
        <v>LISTICLE</v>
      </c>
      <c r="E37" s="7" t="str">
        <f>IFERROR(__xludf.DUMMYFUNCTION("""COMPUTED_VALUE"""),"CORPORATE")</f>
        <v>CORPORATE</v>
      </c>
      <c r="F37" s="7" t="str">
        <f>IFERROR(__xludf.DUMMYFUNCTION("""COMPUTED_VALUE"""),"Listicle")</f>
        <v>Listicle</v>
      </c>
      <c r="G37" s="7" t="b">
        <f>IFERROR(__xludf.DUMMYFUNCTION("""COMPUTED_VALUE"""),FALSE)</f>
        <v>0</v>
      </c>
      <c r="H37" s="7" t="str">
        <f>IFERROR(__xludf.DUMMYFUNCTION("""COMPUTED_VALUE"""),"Online Marketing Gurus, StudioHawk, Bushnote, Prosperity Media, Impressive, Webprofits, Megantic, Digital Nomads HQ, Intesols, Omnicom Media Group")</f>
        <v>Online Marketing Gurus, StudioHawk, Bushnote, Prosperity Media, Impressive, Webprofits, Megantic, Digital Nomads HQ, Intesols, Omnicom Media Group</v>
      </c>
      <c r="I37" s="7">
        <f>IFERROR(__xludf.DUMMYFUNCTION("""COMPUTED_VALUE"""),30.0)</f>
        <v>30</v>
      </c>
      <c r="J37" s="7">
        <f>IFERROR(__xludf.DUMMYFUNCTION("""COMPUTED_VALUE"""),0.03)</f>
        <v>0.03</v>
      </c>
      <c r="K37" s="7">
        <f>IFERROR(__xludf.DUMMYFUNCTION("""COMPUTED_VALUE"""),1.53)</f>
        <v>1.53</v>
      </c>
      <c r="L37" s="7"/>
    </row>
    <row r="38" ht="15.75" customHeight="1">
      <c r="A38" s="6" t="str">
        <f>IFERROR(__xludf.DUMMYFUNCTION("""COMPUTED_VALUE"""),"https://talonsmarketing.com.au/10-best-ai-seo-agencies-in-australia/")</f>
        <v>https://talonsmarketing.com.au/10-best-ai-seo-agencies-in-australia/</v>
      </c>
      <c r="B38" s="7" t="str">
        <f>IFERROR(__xludf.DUMMYFUNCTION("""COMPUTED_VALUE"""),"10 Best AI SEO Agencies in Australia (2026 Guide) - Talons Marketing")</f>
        <v>10 Best AI SEO Agencies in Australia (2026 Guide) - Talons Marketing</v>
      </c>
      <c r="C38" s="6" t="str">
        <f>IFERROR(__xludf.DUMMYFUNCTION("""COMPUTED_VALUE"""),"talonsmarketing.com.au")</f>
        <v>talonsmarketing.com.au</v>
      </c>
      <c r="D38" s="7" t="str">
        <f>IFERROR(__xludf.DUMMYFUNCTION("""COMPUTED_VALUE"""),"LISTICLE")</f>
        <v>LISTICLE</v>
      </c>
      <c r="E38" s="7" t="str">
        <f>IFERROR(__xludf.DUMMYFUNCTION("""COMPUTED_VALUE"""),"COMPETITOR")</f>
        <v>COMPETITOR</v>
      </c>
      <c r="F38" s="7" t="str">
        <f>IFERROR(__xludf.DUMMYFUNCTION("""COMPUTED_VALUE"""),"Listicle")</f>
        <v>Listicle</v>
      </c>
      <c r="G38" s="7" t="b">
        <f>IFERROR(__xludf.DUMMYFUNCTION("""COMPUTED_VALUE"""),FALSE)</f>
        <v>0</v>
      </c>
      <c r="H38" s="7" t="str">
        <f>IFERROR(__xludf.DUMMYFUNCTION("""COMPUTED_VALUE"""),"Talons Marketing, eMarket Experts, Supple Digital, Salt &amp; Fuessel, SIXGUN, Intesols, Clearwater Agency, Online Marketing Gurus, First Page, Digital Nomads HQ")</f>
        <v>Talons Marketing, eMarket Experts, Supple Digital, Salt &amp; Fuessel, SIXGUN, Intesols, Clearwater Agency, Online Marketing Gurus, First Page, Digital Nomads HQ</v>
      </c>
      <c r="I38" s="7">
        <f>IFERROR(__xludf.DUMMYFUNCTION("""COMPUTED_VALUE"""),30.0)</f>
        <v>30</v>
      </c>
      <c r="J38" s="7">
        <f>IFERROR(__xludf.DUMMYFUNCTION("""COMPUTED_VALUE"""),0.03)</f>
        <v>0.03</v>
      </c>
      <c r="K38" s="7">
        <f>IFERROR(__xludf.DUMMYFUNCTION("""COMPUTED_VALUE"""),1.1)</f>
        <v>1.1</v>
      </c>
      <c r="L38" s="7"/>
    </row>
    <row r="39" ht="15.75" customHeight="1">
      <c r="A39" s="6" t="str">
        <f>IFERROR(__xludf.DUMMYFUNCTION("""COMPUTED_VALUE"""),"https://thatware.co/top-10-aeo-companies-in-australia/")</f>
        <v>https://thatware.co/top-10-aeo-companies-in-australia/</v>
      </c>
      <c r="B39" s="7" t="str">
        <f>IFERROR(__xludf.DUMMYFUNCTION("""COMPUTED_VALUE"""),"Top AEO Companies in Australia \| 10 Best Australia AEO Firms")</f>
        <v>Top AEO Companies in Australia \| 10 Best Australia AEO Firms</v>
      </c>
      <c r="C39" s="6" t="str">
        <f>IFERROR(__xludf.DUMMYFUNCTION("""COMPUTED_VALUE"""),"thatware.co")</f>
        <v>thatware.co</v>
      </c>
      <c r="D39" s="7" t="str">
        <f>IFERROR(__xludf.DUMMYFUNCTION("""COMPUTED_VALUE"""),"LISTICLE")</f>
        <v>LISTICLE</v>
      </c>
      <c r="E39" s="7" t="str">
        <f>IFERROR(__xludf.DUMMYFUNCTION("""COMPUTED_VALUE"""),"CORPORATE")</f>
        <v>CORPORATE</v>
      </c>
      <c r="F39" s="7" t="str">
        <f>IFERROR(__xludf.DUMMYFUNCTION("""COMPUTED_VALUE"""),"Listicle")</f>
        <v>Listicle</v>
      </c>
      <c r="G39" s="7" t="b">
        <f>IFERROR(__xludf.DUMMYFUNCTION("""COMPUTED_VALUE"""),FALSE)</f>
        <v>0</v>
      </c>
      <c r="H39" s="7"/>
      <c r="I39" s="7">
        <f>IFERROR(__xludf.DUMMYFUNCTION("""COMPUTED_VALUE"""),30.0)</f>
        <v>30</v>
      </c>
      <c r="J39" s="7">
        <f>IFERROR(__xludf.DUMMYFUNCTION("""COMPUTED_VALUE"""),0.03)</f>
        <v>0.03</v>
      </c>
      <c r="K39" s="7">
        <f>IFERROR(__xludf.DUMMYFUNCTION("""COMPUTED_VALUE"""),0.47)</f>
        <v>0.47</v>
      </c>
      <c r="L39" s="7"/>
    </row>
    <row r="40" ht="15.75" customHeight="1">
      <c r="A40" s="6" t="str">
        <f>IFERROR(__xludf.DUMMYFUNCTION("""COMPUTED_VALUE"""),"https://leadsnow.ai/best-ai-seo-aeo-agencies-australia/")</f>
        <v>https://leadsnow.ai/best-ai-seo-aeo-agencies-australia/</v>
      </c>
      <c r="B40" s="7" t="str">
        <f>IFERROR(__xludf.DUMMYFUNCTION("""COMPUTED_VALUE"""),"Best AI SEO &amp;amp; Answer Engine Optimisation (AEO) Agencies in Australia (2026) - Leads Now AI")</f>
        <v>Best AI SEO &amp;amp; Answer Engine Optimisation (AEO) Agencies in Australia (2026) - Leads Now AI</v>
      </c>
      <c r="C40" s="6" t="str">
        <f>IFERROR(__xludf.DUMMYFUNCTION("""COMPUTED_VALUE"""),"leadsnow.ai")</f>
        <v>leadsnow.ai</v>
      </c>
      <c r="D40" s="7" t="str">
        <f>IFERROR(__xludf.DUMMYFUNCTION("""COMPUTED_VALUE"""),"LISTICLE")</f>
        <v>LISTICLE</v>
      </c>
      <c r="E40" s="7" t="str">
        <f>IFERROR(__xludf.DUMMYFUNCTION("""COMPUTED_VALUE"""),"COMPETITOR")</f>
        <v>COMPETITOR</v>
      </c>
      <c r="F40" s="7" t="str">
        <f>IFERROR(__xludf.DUMMYFUNCTION("""COMPUTED_VALUE"""),"Listicle")</f>
        <v>Listicle</v>
      </c>
      <c r="G40" s="7" t="b">
        <f>IFERROR(__xludf.DUMMYFUNCTION("""COMPUTED_VALUE"""),FALSE)</f>
        <v>0</v>
      </c>
      <c r="H40" s="7" t="str">
        <f>IFERROR(__xludf.DUMMYFUNCTION("""COMPUTED_VALUE"""),"LeadsNow.ai, Earned Media, StudioHawk, Omnicom Media Group, Uprise Digital, HERO, Online Marketing Gurus, Megantic")</f>
        <v>LeadsNow.ai, Earned Media, StudioHawk, Omnicom Media Group, Uprise Digital, HERO, Online Marketing Gurus, Megantic</v>
      </c>
      <c r="I40" s="7">
        <f>IFERROR(__xludf.DUMMYFUNCTION("""COMPUTED_VALUE"""),29.0)</f>
        <v>29</v>
      </c>
      <c r="J40" s="7">
        <f>IFERROR(__xludf.DUMMYFUNCTION("""COMPUTED_VALUE"""),0.03)</f>
        <v>0.03</v>
      </c>
      <c r="K40" s="7">
        <f>IFERROR(__xludf.DUMMYFUNCTION("""COMPUTED_VALUE"""),1.62)</f>
        <v>1.62</v>
      </c>
      <c r="L40" s="7"/>
    </row>
    <row r="41" ht="15.75" customHeight="1">
      <c r="A41" s="6" t="str">
        <f>IFERROR(__xludf.DUMMYFUNCTION("""COMPUTED_VALUE"""),"https://marginmedia.com.au/our-blog/top-digital-marketing-agencies-australia#:~:text=Their%20team%20takes%20an%20evidence%2Dbased%20approach%2C%20using,%26%20PPC%2C%20CRO%2C%20digital%20strategy%2C%20content%20optimisation.")</f>
        <v>https://marginmedia.com.au/our-blog/top-digital-marketing-agencies-australia#:~:text=Their%20team%20takes%20an%20evidence%2Dbased%20approach%2C%20using,%26%20PPC%2C%20CRO%2C%20digital%20strategy%2C%20content%20optimisation.</v>
      </c>
      <c r="B41" s="7" t="str">
        <f>IFERROR(__xludf.DUMMYFUNCTION("""COMPUTED_VALUE"""),"Top 15 Digital Marketing Agencies in Australia for 2026")</f>
        <v>Top 15 Digital Marketing Agencies in Australia for 2026</v>
      </c>
      <c r="C41" s="6" t="str">
        <f>IFERROR(__xludf.DUMMYFUNCTION("""COMPUTED_VALUE"""),"marginmedia.com.au")</f>
        <v>marginmedia.com.au</v>
      </c>
      <c r="D41" s="7" t="str">
        <f>IFERROR(__xludf.DUMMYFUNCTION("""COMPUTED_VALUE"""),"LISTICLE")</f>
        <v>LISTICLE</v>
      </c>
      <c r="E41" s="7" t="str">
        <f>IFERROR(__xludf.DUMMYFUNCTION("""COMPUTED_VALUE"""),"CORPORATE")</f>
        <v>CORPORATE</v>
      </c>
      <c r="F41" s="7" t="str">
        <f>IFERROR(__xludf.DUMMYFUNCTION("""COMPUTED_VALUE"""),"Listicle")</f>
        <v>Listicle</v>
      </c>
      <c r="G41" s="7" t="b">
        <f>IFERROR(__xludf.DUMMYFUNCTION("""COMPUTED_VALUE"""),FALSE)</f>
        <v>0</v>
      </c>
      <c r="H41" s="7" t="str">
        <f>IFERROR(__xludf.DUMMYFUNCTION("""COMPUTED_VALUE"""),"Clearwater Agency, Reef Digital Agency, Zib Digital, Rocket Agency, AdVisible, Sparro, Emote Digital, Momentum")</f>
        <v>Clearwater Agency, Reef Digital Agency, Zib Digital, Rocket Agency, AdVisible, Sparro, Emote Digital, Momentum</v>
      </c>
      <c r="I41" s="7">
        <f>IFERROR(__xludf.DUMMYFUNCTION("""COMPUTED_VALUE"""),29.0)</f>
        <v>29</v>
      </c>
      <c r="J41" s="7">
        <f>IFERROR(__xludf.DUMMYFUNCTION("""COMPUTED_VALUE"""),0.03)</f>
        <v>0.03</v>
      </c>
      <c r="K41" s="7">
        <f>IFERROR(__xludf.DUMMYFUNCTION("""COMPUTED_VALUE"""),0.97)</f>
        <v>0.97</v>
      </c>
      <c r="L41" s="7"/>
    </row>
    <row r="42" ht="15.75" customHeight="1">
      <c r="A42" s="6" t="str">
        <f>IFERROR(__xludf.DUMMYFUNCTION("""COMPUTED_VALUE"""),"https://www.smartosc.com/top-10-ai-marketing-agency-in-australia/")</f>
        <v>https://www.smartosc.com/top-10-ai-marketing-agency-in-australia/</v>
      </c>
      <c r="B42" s="7" t="str">
        <f>IFERROR(__xludf.DUMMYFUNCTION("""COMPUTED_VALUE"""),"Top 10 AI Marketing Agencies in Australia Driving Data-Led Growth - SmartOSC")</f>
        <v>Top 10 AI Marketing Agencies in Australia Driving Data-Led Growth - SmartOSC</v>
      </c>
      <c r="C42" s="6" t="str">
        <f>IFERROR(__xludf.DUMMYFUNCTION("""COMPUTED_VALUE"""),"smartosc.com")</f>
        <v>smartosc.com</v>
      </c>
      <c r="D42" s="7" t="str">
        <f>IFERROR(__xludf.DUMMYFUNCTION("""COMPUTED_VALUE"""),"LISTICLE")</f>
        <v>LISTICLE</v>
      </c>
      <c r="E42" s="7" t="str">
        <f>IFERROR(__xludf.DUMMYFUNCTION("""COMPUTED_VALUE"""),"COMPETITOR")</f>
        <v>COMPETITOR</v>
      </c>
      <c r="F42" s="7" t="str">
        <f>IFERROR(__xludf.DUMMYFUNCTION("""COMPUTED_VALUE"""),"Listicle")</f>
        <v>Listicle</v>
      </c>
      <c r="G42" s="7" t="b">
        <f>IFERROR(__xludf.DUMMYFUNCTION("""COMPUTED_VALUE"""),FALSE)</f>
        <v>0</v>
      </c>
      <c r="H42" s="7" t="str">
        <f>IFERROR(__xludf.DUMMYFUNCTION("""COMPUTED_VALUE"""),"SmartOSC, Eight Clients, Clearwater Agency, Supple Digital, Emote Digital, King Kong, Bench Media")</f>
        <v>SmartOSC, Eight Clients, Clearwater Agency, Supple Digital, Emote Digital, King Kong, Bench Media</v>
      </c>
      <c r="I42" s="7">
        <f>IFERROR(__xludf.DUMMYFUNCTION("""COMPUTED_VALUE"""),29.0)</f>
        <v>29</v>
      </c>
      <c r="J42" s="7">
        <f>IFERROR(__xludf.DUMMYFUNCTION("""COMPUTED_VALUE"""),0.03)</f>
        <v>0.03</v>
      </c>
      <c r="K42" s="7">
        <f>IFERROR(__xludf.DUMMYFUNCTION("""COMPUTED_VALUE"""),1.07)</f>
        <v>1.07</v>
      </c>
      <c r="L42" s="7"/>
    </row>
    <row r="43" ht="15.75" customHeight="1">
      <c r="A43" s="6" t="str">
        <f>IFERROR(__xludf.DUMMYFUNCTION("""COMPUTED_VALUE"""),"https://digitalagencynetwork.com/agencies/australia/geo/")</f>
        <v>https://digitalagencynetwork.com/agencies/australia/geo/</v>
      </c>
      <c r="B43" s="7" t="str">
        <f>IFERROR(__xludf.DUMMYFUNCTION("""COMPUTED_VALUE"""),"Top GEO Agencies in Australia for Generative Engine Optimization (2026)")</f>
        <v>Top GEO Agencies in Australia for Generative Engine Optimization (2026)</v>
      </c>
      <c r="C43" s="6" t="str">
        <f>IFERROR(__xludf.DUMMYFUNCTION("""COMPUTED_VALUE"""),"digitalagencynetwork.com")</f>
        <v>digitalagencynetwork.com</v>
      </c>
      <c r="D43" s="7" t="str">
        <f>IFERROR(__xludf.DUMMYFUNCTION("""COMPUTED_VALUE"""),"PROFILE")</f>
        <v>PROFILE</v>
      </c>
      <c r="E43" s="7" t="str">
        <f>IFERROR(__xludf.DUMMYFUNCTION("""COMPUTED_VALUE"""),"REFERENCE")</f>
        <v>REFERENCE</v>
      </c>
      <c r="F43" s="7" t="str">
        <f>IFERROR(__xludf.DUMMYFUNCTION("""COMPUTED_VALUE"""),"Profile")</f>
        <v>Profile</v>
      </c>
      <c r="G43" s="7" t="b">
        <f>IFERROR(__xludf.DUMMYFUNCTION("""COMPUTED_VALUE"""),FALSE)</f>
        <v>0</v>
      </c>
      <c r="H43" s="7" t="str">
        <f>IFERROR(__xludf.DUMMYFUNCTION("""COMPUTED_VALUE"""),"Luminary, Digital Nomads HQ, Clearwater Agency, In Marketing We Trust")</f>
        <v>Luminary, Digital Nomads HQ, Clearwater Agency, In Marketing We Trust</v>
      </c>
      <c r="I43" s="7">
        <f>IFERROR(__xludf.DUMMYFUNCTION("""COMPUTED_VALUE"""),28.0)</f>
        <v>28</v>
      </c>
      <c r="J43" s="7">
        <f>IFERROR(__xludf.DUMMYFUNCTION("""COMPUTED_VALUE"""),0.03)</f>
        <v>0.03</v>
      </c>
      <c r="K43" s="7">
        <f>IFERROR(__xludf.DUMMYFUNCTION("""COMPUTED_VALUE"""),1.32)</f>
        <v>1.32</v>
      </c>
      <c r="L43" s="7"/>
    </row>
    <row r="44" ht="15.75" customHeight="1">
      <c r="A44" s="6" t="str">
        <f>IFERROR(__xludf.DUMMYFUNCTION("""COMPUTED_VALUE"""),"https://www.globalgenie.com.au/top-digital-marketing-agencies-in-australia/")</f>
        <v>https://www.globalgenie.com.au/top-digital-marketing-agencies-in-australia/</v>
      </c>
      <c r="B44" s="7" t="str">
        <f>IFERROR(__xludf.DUMMYFUNCTION("""COMPUTED_VALUE"""),"Top 7 Digital Marketing Agencies in Australia (2026 Rankings)")</f>
        <v>Top 7 Digital Marketing Agencies in Australia (2026 Rankings)</v>
      </c>
      <c r="C44" s="6" t="str">
        <f>IFERROR(__xludf.DUMMYFUNCTION("""COMPUTED_VALUE"""),"globalgenie.com.au")</f>
        <v>globalgenie.com.au</v>
      </c>
      <c r="D44" s="7" t="str">
        <f>IFERROR(__xludf.DUMMYFUNCTION("""COMPUTED_VALUE"""),"LISTICLE")</f>
        <v>LISTICLE</v>
      </c>
      <c r="E44" s="7" t="str">
        <f>IFERROR(__xludf.DUMMYFUNCTION("""COMPUTED_VALUE"""),"CORPORATE")</f>
        <v>CORPORATE</v>
      </c>
      <c r="F44" s="7" t="str">
        <f>IFERROR(__xludf.DUMMYFUNCTION("""COMPUTED_VALUE"""),"Listicle")</f>
        <v>Listicle</v>
      </c>
      <c r="G44" s="7" t="b">
        <f>IFERROR(__xludf.DUMMYFUNCTION("""COMPUTED_VALUE"""),FALSE)</f>
        <v>0</v>
      </c>
      <c r="H44" s="7" t="str">
        <f>IFERROR(__xludf.DUMMYFUNCTION("""COMPUTED_VALUE"""),"Emote Digital, Intero Digital, Impressive, King Kong, MyWork")</f>
        <v>Emote Digital, Intero Digital, Impressive, King Kong, MyWork</v>
      </c>
      <c r="I44" s="7">
        <f>IFERROR(__xludf.DUMMYFUNCTION("""COMPUTED_VALUE"""),27.0)</f>
        <v>27</v>
      </c>
      <c r="J44" s="7">
        <f>IFERROR(__xludf.DUMMYFUNCTION("""COMPUTED_VALUE"""),0.03)</f>
        <v>0.03</v>
      </c>
      <c r="K44" s="7">
        <f>IFERROR(__xludf.DUMMYFUNCTION("""COMPUTED_VALUE"""),0.81)</f>
        <v>0.81</v>
      </c>
      <c r="L44" s="7"/>
    </row>
    <row r="45" ht="15.75" customHeight="1">
      <c r="A45" s="6" t="str">
        <f>IFERROR(__xludf.DUMMYFUNCTION("""COMPUTED_VALUE"""),"https://www.measured.com/faq/best-incrementality-testing-companies-software-for-marketing-2026/")</f>
        <v>https://www.measured.com/faq/best-incrementality-testing-companies-software-for-marketing-2026/</v>
      </c>
      <c r="B45" s="7" t="str">
        <f>IFERROR(__xludf.DUMMYFUNCTION("""COMPUTED_VALUE"""),"Best Incrementality Testing Companies &amp;amp; Software for Marketing (2026)")</f>
        <v>Best Incrementality Testing Companies &amp;amp; Software for Marketing (2026)</v>
      </c>
      <c r="C45" s="6" t="str">
        <f>IFERROR(__xludf.DUMMYFUNCTION("""COMPUTED_VALUE"""),"measured.com")</f>
        <v>measured.com</v>
      </c>
      <c r="D45" s="7" t="str">
        <f>IFERROR(__xludf.DUMMYFUNCTION("""COMPUTED_VALUE"""),"LISTICLE")</f>
        <v>LISTICLE</v>
      </c>
      <c r="E45" s="7" t="str">
        <f>IFERROR(__xludf.DUMMYFUNCTION("""COMPUTED_VALUE"""),"COMPETITOR")</f>
        <v>COMPETITOR</v>
      </c>
      <c r="F45" s="7" t="str">
        <f>IFERROR(__xludf.DUMMYFUNCTION("""COMPUTED_VALUE"""),"Listicle")</f>
        <v>Listicle</v>
      </c>
      <c r="G45" s="7" t="b">
        <f>IFERROR(__xludf.DUMMYFUNCTION("""COMPUTED_VALUE"""),FALSE)</f>
        <v>0</v>
      </c>
      <c r="H45" s="7" t="str">
        <f>IFERROR(__xludf.DUMMYFUNCTION("""COMPUTED_VALUE"""),"Measured, Haus, Analytic Partners")</f>
        <v>Measured, Haus, Analytic Partners</v>
      </c>
      <c r="I45" s="7">
        <f>IFERROR(__xludf.DUMMYFUNCTION("""COMPUTED_VALUE"""),27.0)</f>
        <v>27</v>
      </c>
      <c r="J45" s="7">
        <f>IFERROR(__xludf.DUMMYFUNCTION("""COMPUTED_VALUE"""),0.03)</f>
        <v>0.03</v>
      </c>
      <c r="K45" s="7">
        <f>IFERROR(__xludf.DUMMYFUNCTION("""COMPUTED_VALUE"""),2.0)</f>
        <v>2</v>
      </c>
      <c r="L45" s="7"/>
    </row>
    <row r="46" ht="15.75" customHeight="1">
      <c r="A46" s="6" t="str">
        <f>IFERROR(__xludf.DUMMYFUNCTION("""COMPUTED_VALUE"""),"https://slashdot.org/software/incrementality-testing/in-australia/")</f>
        <v>https://slashdot.org/software/incrementality-testing/in-australia/</v>
      </c>
      <c r="B46" s="7" t="str">
        <f>IFERROR(__xludf.DUMMYFUNCTION("""COMPUTED_VALUE"""),"Top Incrementality Testing Tools in Australia in 2026")</f>
        <v>Top Incrementality Testing Tools in Australia in 2026</v>
      </c>
      <c r="C46" s="6" t="str">
        <f>IFERROR(__xludf.DUMMYFUNCTION("""COMPUTED_VALUE"""),"slashdot.org")</f>
        <v>slashdot.org</v>
      </c>
      <c r="D46" s="7" t="str">
        <f>IFERROR(__xludf.DUMMYFUNCTION("""COMPUTED_VALUE"""),"OTHER")</f>
        <v>OTHER</v>
      </c>
      <c r="E46" s="7" t="str">
        <f>IFERROR(__xludf.DUMMYFUNCTION("""COMPUTED_VALUE"""),"EDITORIAL")</f>
        <v>EDITORIAL</v>
      </c>
      <c r="F46" s="7" t="str">
        <f>IFERROR(__xludf.DUMMYFUNCTION("""COMPUTED_VALUE"""),"Other")</f>
        <v>Other</v>
      </c>
      <c r="G46" s="7" t="b">
        <f>IFERROR(__xludf.DUMMYFUNCTION("""COMPUTED_VALUE"""),FALSE)</f>
        <v>0</v>
      </c>
      <c r="H46" s="7" t="str">
        <f>IFERROR(__xludf.DUMMYFUNCTION("""COMPUTED_VALUE"""),"Measured, Lifesight, Workmagic, Haus, Edge Marketing, Analytic Partners")</f>
        <v>Measured, Lifesight, Workmagic, Haus, Edge Marketing, Analytic Partners</v>
      </c>
      <c r="I46" s="7">
        <f>IFERROR(__xludf.DUMMYFUNCTION("""COMPUTED_VALUE"""),27.0)</f>
        <v>27</v>
      </c>
      <c r="J46" s="7">
        <f>IFERROR(__xludf.DUMMYFUNCTION("""COMPUTED_VALUE"""),0.03)</f>
        <v>0.03</v>
      </c>
      <c r="K46" s="7">
        <f>IFERROR(__xludf.DUMMYFUNCTION("""COMPUTED_VALUE"""),0.85)</f>
        <v>0.85</v>
      </c>
      <c r="L46" s="7"/>
    </row>
    <row r="47" ht="15.75" customHeight="1">
      <c r="A47" s="6" t="str">
        <f>IFERROR(__xludf.DUMMYFUNCTION("""COMPUTED_VALUE"""),"https://www.sortlist.com/s/display-advertising/australia-au")</f>
        <v>https://www.sortlist.com/s/display-advertising/australia-au</v>
      </c>
      <c r="B47" s="7" t="str">
        <f>IFERROR(__xludf.DUMMYFUNCTION("""COMPUTED_VALUE"""),"The 10 Best Display Advertising Agencies in Australia - 2026 Reviews")</f>
        <v>The 10 Best Display Advertising Agencies in Australia - 2026 Reviews</v>
      </c>
      <c r="C47" s="6" t="str">
        <f>IFERROR(__xludf.DUMMYFUNCTION("""COMPUTED_VALUE"""),"sortlist.com")</f>
        <v>sortlist.com</v>
      </c>
      <c r="D47" s="7" t="str">
        <f>IFERROR(__xludf.DUMMYFUNCTION("""COMPUTED_VALUE"""),"PROFILE")</f>
        <v>PROFILE</v>
      </c>
      <c r="E47" s="7" t="str">
        <f>IFERROR(__xludf.DUMMYFUNCTION("""COMPUTED_VALUE"""),"CORPORATE")</f>
        <v>CORPORATE</v>
      </c>
      <c r="F47" s="7" t="str">
        <f>IFERROR(__xludf.DUMMYFUNCTION("""COMPUTED_VALUE"""),"Profile")</f>
        <v>Profile</v>
      </c>
      <c r="G47" s="7" t="b">
        <f>IFERROR(__xludf.DUMMYFUNCTION("""COMPUTED_VALUE"""),FALSE)</f>
        <v>0</v>
      </c>
      <c r="H47" s="7" t="str">
        <f>IFERROR(__xludf.DUMMYFUNCTION("""COMPUTED_VALUE"""),"Measured, Earned Media, Clearwater Agency, Impressive, Supple Digital, SIXGUN, Soup Agency, HERO, Digital Nomads HQ, Momentum, CUT THRU")</f>
        <v>Measured, Earned Media, Clearwater Agency, Impressive, Supple Digital, SIXGUN, Soup Agency, HERO, Digital Nomads HQ, Momentum, CUT THRU</v>
      </c>
      <c r="I47" s="7">
        <f>IFERROR(__xludf.DUMMYFUNCTION("""COMPUTED_VALUE"""),27.0)</f>
        <v>27</v>
      </c>
      <c r="J47" s="7">
        <f>IFERROR(__xludf.DUMMYFUNCTION("""COMPUTED_VALUE"""),0.03)</f>
        <v>0.03</v>
      </c>
      <c r="K47" s="7">
        <f>IFERROR(__xludf.DUMMYFUNCTION("""COMPUTED_VALUE"""),0.56)</f>
        <v>0.56</v>
      </c>
      <c r="L47" s="7"/>
    </row>
    <row r="48" ht="15.75" customHeight="1">
      <c r="A48" s="6" t="str">
        <f>IFERROR(__xludf.DUMMYFUNCTION("""COMPUTED_VALUE"""),"https://lengreo.com/australia-aeo-geo-llmo-companies/")</f>
        <v>https://lengreo.com/australia-aeo-geo-llmo-companies/</v>
      </c>
      <c r="B48" s="7" t="str">
        <f>IFERROR(__xludf.DUMMYFUNCTION("""COMPUTED_VALUE"""),"7 Best Australia's Companies for AEO, GEO, and LLMO (2026)")</f>
        <v>7 Best Australia's Companies for AEO, GEO, and LLMO (2026)</v>
      </c>
      <c r="C48" s="6" t="str">
        <f>IFERROR(__xludf.DUMMYFUNCTION("""COMPUTED_VALUE"""),"lengreo.com")</f>
        <v>lengreo.com</v>
      </c>
      <c r="D48" s="7" t="str">
        <f>IFERROR(__xludf.DUMMYFUNCTION("""COMPUTED_VALUE"""),"LISTICLE")</f>
        <v>LISTICLE</v>
      </c>
      <c r="E48" s="7" t="str">
        <f>IFERROR(__xludf.DUMMYFUNCTION("""COMPUTED_VALUE"""),"CORPORATE")</f>
        <v>CORPORATE</v>
      </c>
      <c r="F48" s="7" t="str">
        <f>IFERROR(__xludf.DUMMYFUNCTION("""COMPUTED_VALUE"""),"Listicle")</f>
        <v>Listicle</v>
      </c>
      <c r="G48" s="7" t="b">
        <f>IFERROR(__xludf.DUMMYFUNCTION("""COMPUTED_VALUE"""),FALSE)</f>
        <v>0</v>
      </c>
      <c r="H48" s="7" t="str">
        <f>IFERROR(__xludf.DUMMYFUNCTION("""COMPUTED_VALUE"""),"Salt &amp; Fuessel, Luminary")</f>
        <v>Salt &amp; Fuessel, Luminary</v>
      </c>
      <c r="I48" s="7">
        <f>IFERROR(__xludf.DUMMYFUNCTION("""COMPUTED_VALUE"""),26.0)</f>
        <v>26</v>
      </c>
      <c r="J48" s="7">
        <f>IFERROR(__xludf.DUMMYFUNCTION("""COMPUTED_VALUE"""),0.03)</f>
        <v>0.03</v>
      </c>
      <c r="K48" s="7">
        <f>IFERROR(__xludf.DUMMYFUNCTION("""COMPUTED_VALUE"""),0.0)</f>
        <v>0</v>
      </c>
      <c r="L48" s="7"/>
    </row>
    <row r="49" ht="15.75" customHeight="1">
      <c r="A49" s="6" t="str">
        <f>IFERROR(__xludf.DUMMYFUNCTION("""COMPUTED_VALUE"""),"https://www.purshology.com/2026/07/8-top-ai-driven-marketing-agencies-redefining-search-in-australia/")</f>
        <v>https://www.purshology.com/2026/07/8-top-ai-driven-marketing-agencies-redefining-search-in-australia/</v>
      </c>
      <c r="B49" s="7" t="str">
        <f>IFERROR(__xludf.DUMMYFUNCTION("""COMPUTED_VALUE"""),"8-Top AI-Driven Marketing Agencies Redefining Search in Australia - purshoLOGY")</f>
        <v>8-Top AI-Driven Marketing Agencies Redefining Search in Australia - purshoLOGY</v>
      </c>
      <c r="C49" s="6" t="str">
        <f>IFERROR(__xludf.DUMMYFUNCTION("""COMPUTED_VALUE"""),"purshology.com")</f>
        <v>purshology.com</v>
      </c>
      <c r="D49" s="7" t="str">
        <f>IFERROR(__xludf.DUMMYFUNCTION("""COMPUTED_VALUE"""),"LISTICLE")</f>
        <v>LISTICLE</v>
      </c>
      <c r="E49" s="7" t="str">
        <f>IFERROR(__xludf.DUMMYFUNCTION("""COMPUTED_VALUE"""),"EDITORIAL")</f>
        <v>EDITORIAL</v>
      </c>
      <c r="F49" s="7" t="str">
        <f>IFERROR(__xludf.DUMMYFUNCTION("""COMPUTED_VALUE"""),"Listicle")</f>
        <v>Listicle</v>
      </c>
      <c r="G49" s="7" t="b">
        <f>IFERROR(__xludf.DUMMYFUNCTION("""COMPUTED_VALUE"""),FALSE)</f>
        <v>0</v>
      </c>
      <c r="H49" s="7" t="str">
        <f>IFERROR(__xludf.DUMMYFUNCTION("""COMPUTED_VALUE"""),"Measured, NP Digital Australia, SIXGUN, StudioHawk, Online Marketing Gurus, Rocket Agency, First Page, First Page Australia, Digital Nomads HQ")</f>
        <v>Measured, NP Digital Australia, SIXGUN, StudioHawk, Online Marketing Gurus, Rocket Agency, First Page, First Page Australia, Digital Nomads HQ</v>
      </c>
      <c r="I49" s="7">
        <f>IFERROR(__xludf.DUMMYFUNCTION("""COMPUTED_VALUE"""),26.0)</f>
        <v>26</v>
      </c>
      <c r="J49" s="7">
        <f>IFERROR(__xludf.DUMMYFUNCTION("""COMPUTED_VALUE"""),0.03)</f>
        <v>0.03</v>
      </c>
      <c r="K49" s="7">
        <f>IFERROR(__xludf.DUMMYFUNCTION("""COMPUTED_VALUE"""),1.15)</f>
        <v>1.15</v>
      </c>
      <c r="L49" s="7"/>
    </row>
    <row r="50" ht="15.75" customHeight="1">
      <c r="A50" s="6" t="str">
        <f>IFERROR(__xludf.DUMMYFUNCTION("""COMPUTED_VALUE"""),"https://thatware.co/top-10-geo-companies-in-australia/")</f>
        <v>https://thatware.co/top-10-geo-companies-in-australia/</v>
      </c>
      <c r="B50" s="7" t="str">
        <f>IFERROR(__xludf.DUMMYFUNCTION("""COMPUTED_VALUE"""),"Top GEO Companies in Australia | 10 Best Australia GEO Firms")</f>
        <v>Top GEO Companies in Australia | 10 Best Australia GEO Firms</v>
      </c>
      <c r="C50" s="6" t="str">
        <f>IFERROR(__xludf.DUMMYFUNCTION("""COMPUTED_VALUE"""),"thatware.co")</f>
        <v>thatware.co</v>
      </c>
      <c r="D50" s="7" t="str">
        <f>IFERROR(__xludf.DUMMYFUNCTION("""COMPUTED_VALUE"""),"LISTICLE")</f>
        <v>LISTICLE</v>
      </c>
      <c r="E50" s="7" t="str">
        <f>IFERROR(__xludf.DUMMYFUNCTION("""COMPUTED_VALUE"""),"CORPORATE")</f>
        <v>CORPORATE</v>
      </c>
      <c r="F50" s="7" t="str">
        <f>IFERROR(__xludf.DUMMYFUNCTION("""COMPUTED_VALUE"""),"Listicle")</f>
        <v>Listicle</v>
      </c>
      <c r="G50" s="7" t="b">
        <f>IFERROR(__xludf.DUMMYFUNCTION("""COMPUTED_VALUE"""),FALSE)</f>
        <v>0</v>
      </c>
      <c r="H50" s="7" t="str">
        <f>IFERROR(__xludf.DUMMYFUNCTION("""COMPUTED_VALUE"""),"Luminary, Intesols, Predicta Digital, PK SEO, Prosperity Media")</f>
        <v>Luminary, Intesols, Predicta Digital, PK SEO, Prosperity Media</v>
      </c>
      <c r="I50" s="7">
        <f>IFERROR(__xludf.DUMMYFUNCTION("""COMPUTED_VALUE"""),26.0)</f>
        <v>26</v>
      </c>
      <c r="J50" s="7">
        <f>IFERROR(__xludf.DUMMYFUNCTION("""COMPUTED_VALUE"""),0.03)</f>
        <v>0.03</v>
      </c>
      <c r="K50" s="7">
        <f>IFERROR(__xludf.DUMMYFUNCTION("""COMPUTED_VALUE"""),0.62)</f>
        <v>0.62</v>
      </c>
      <c r="L50" s="7"/>
    </row>
    <row r="51" ht="15.75" customHeight="1">
      <c r="A51" s="6" t="str">
        <f>IFERROR(__xludf.DUMMYFUNCTION("""COMPUTED_VALUE"""),"https://uprisedigital.com.au/blog/social-media-agencies-melbourne/")</f>
        <v>https://uprisedigital.com.au/blog/social-media-agencies-melbourne/</v>
      </c>
      <c r="B51" s="7" t="str">
        <f>IFERROR(__xludf.DUMMYFUNCTION("""COMPUTED_VALUE"""),"Top 15 Social Media Marketing Agencies in Melbourne (2026)")</f>
        <v>Top 15 Social Media Marketing Agencies in Melbourne (2026)</v>
      </c>
      <c r="C51" s="6" t="str">
        <f>IFERROR(__xludf.DUMMYFUNCTION("""COMPUTED_VALUE"""),"uprisedigital.com.au")</f>
        <v>uprisedigital.com.au</v>
      </c>
      <c r="D51" s="7" t="str">
        <f>IFERROR(__xludf.DUMMYFUNCTION("""COMPUTED_VALUE"""),"LISTICLE")</f>
        <v>LISTICLE</v>
      </c>
      <c r="E51" s="7" t="str">
        <f>IFERROR(__xludf.DUMMYFUNCTION("""COMPUTED_VALUE"""),"COMPETITOR")</f>
        <v>COMPETITOR</v>
      </c>
      <c r="F51" s="7" t="str">
        <f>IFERROR(__xludf.DUMMYFUNCTION("""COMPUTED_VALUE"""),"Listicle")</f>
        <v>Listicle</v>
      </c>
      <c r="G51" s="7" t="b">
        <f>IFERROR(__xludf.DUMMYFUNCTION("""COMPUTED_VALUE"""),FALSE)</f>
        <v>0</v>
      </c>
      <c r="H51" s="7" t="str">
        <f>IFERROR(__xludf.DUMMYFUNCTION("""COMPUTED_VALUE"""),"Uprise Digital, Soup Agency, Megaphone, EvenDigit, Emote Digital, Salt &amp; Fuessel, Digital Nomads HQ, Clearwater Agency, Intesols, Ninja Promo, Alley Group")</f>
        <v>Uprise Digital, Soup Agency, Megaphone, EvenDigit, Emote Digital, Salt &amp; Fuessel, Digital Nomads HQ, Clearwater Agency, Intesols, Ninja Promo, Alley Group</v>
      </c>
      <c r="I51" s="7">
        <f>IFERROR(__xludf.DUMMYFUNCTION("""COMPUTED_VALUE"""),26.0)</f>
        <v>26</v>
      </c>
      <c r="J51" s="7">
        <f>IFERROR(__xludf.DUMMYFUNCTION("""COMPUTED_VALUE"""),0.03)</f>
        <v>0.03</v>
      </c>
      <c r="K51" s="7">
        <f>IFERROR(__xludf.DUMMYFUNCTION("""COMPUTED_VALUE"""),1.12)</f>
        <v>1.12</v>
      </c>
      <c r="L51" s="7"/>
    </row>
    <row r="52" ht="15.75" customHeight="1">
      <c r="A52" s="6" t="str">
        <f>IFERROR(__xludf.DUMMYFUNCTION("""COMPUTED_VALUE"""),"https://clutch.co/au/consulting/ai")</f>
        <v>https://clutch.co/au/consulting/ai</v>
      </c>
      <c r="B52" s="7" t="str">
        <f>IFERROR(__xludf.DUMMYFUNCTION("""COMPUTED_VALUE"""),"Top AI Consultants in Australia - Jul 2026 Rankings \| Clutch.co")</f>
        <v>Top AI Consultants in Australia - Jul 2026 Rankings \| Clutch.co</v>
      </c>
      <c r="C52" s="6" t="str">
        <f>IFERROR(__xludf.DUMMYFUNCTION("""COMPUTED_VALUE"""),"clutch.co")</f>
        <v>clutch.co</v>
      </c>
      <c r="D52" s="7" t="str">
        <f>IFERROR(__xludf.DUMMYFUNCTION("""COMPUTED_VALUE"""),"CATEGORY_PAGE")</f>
        <v>CATEGORY_PAGE</v>
      </c>
      <c r="E52" s="7" t="str">
        <f>IFERROR(__xludf.DUMMYFUNCTION("""COMPUTED_VALUE"""),"CORPORATE")</f>
        <v>CORPORATE</v>
      </c>
      <c r="F52" s="7" t="str">
        <f>IFERROR(__xludf.DUMMYFUNCTION("""COMPUTED_VALUE"""),"Category Page")</f>
        <v>Category Page</v>
      </c>
      <c r="G52" s="7" t="b">
        <f>IFERROR(__xludf.DUMMYFUNCTION("""COMPUTED_VALUE"""),FALSE)</f>
        <v>0</v>
      </c>
      <c r="H52" s="7" t="str">
        <f>IFERROR(__xludf.DUMMYFUNCTION("""COMPUTED_VALUE"""),"Luminary, Impressive, Huge, In Marketing We Trust, Team 400")</f>
        <v>Luminary, Impressive, Huge, In Marketing We Trust, Team 400</v>
      </c>
      <c r="I52" s="7">
        <f>IFERROR(__xludf.DUMMYFUNCTION("""COMPUTED_VALUE"""),25.0)</f>
        <v>25</v>
      </c>
      <c r="J52" s="7">
        <f>IFERROR(__xludf.DUMMYFUNCTION("""COMPUTED_VALUE"""),0.03)</f>
        <v>0.03</v>
      </c>
      <c r="K52" s="7">
        <f>IFERROR(__xludf.DUMMYFUNCTION("""COMPUTED_VALUE"""),0.12)</f>
        <v>0.12</v>
      </c>
      <c r="L52" s="7"/>
    </row>
    <row r="53" ht="15.75" customHeight="1">
      <c r="A53" s="6" t="str">
        <f>IFERROR(__xludf.DUMMYFUNCTION("""COMPUTED_VALUE"""),"https://digitalagencynetwork.com/agencies/australia/creative/")</f>
        <v>https://digitalagencynetwork.com/agencies/australia/creative/</v>
      </c>
      <c r="B53" s="7" t="str">
        <f>IFERROR(__xludf.DUMMYFUNCTION("""COMPUTED_VALUE"""),"Top Creative Agencies in Australia (2026)")</f>
        <v>Top Creative Agencies in Australia (2026)</v>
      </c>
      <c r="C53" s="6" t="str">
        <f>IFERROR(__xludf.DUMMYFUNCTION("""COMPUTED_VALUE"""),"digitalagencynetwork.com")</f>
        <v>digitalagencynetwork.com</v>
      </c>
      <c r="D53" s="7" t="str">
        <f>IFERROR(__xludf.DUMMYFUNCTION("""COMPUTED_VALUE"""),"CATEGORY_PAGE")</f>
        <v>CATEGORY_PAGE</v>
      </c>
      <c r="E53" s="7" t="str">
        <f>IFERROR(__xludf.DUMMYFUNCTION("""COMPUTED_VALUE"""),"REFERENCE")</f>
        <v>REFERENCE</v>
      </c>
      <c r="F53" s="7" t="str">
        <f>IFERROR(__xludf.DUMMYFUNCTION("""COMPUTED_VALUE"""),"Category Page")</f>
        <v>Category Page</v>
      </c>
      <c r="G53" s="7" t="b">
        <f>IFERROR(__xludf.DUMMYFUNCTION("""COMPUTED_VALUE"""),FALSE)</f>
        <v>0</v>
      </c>
      <c r="H53" s="7" t="str">
        <f>IFERROR(__xludf.DUMMYFUNCTION("""COMPUTED_VALUE"""),"Jaywing, Clearwater Agency, Emote Digital")</f>
        <v>Jaywing, Clearwater Agency, Emote Digital</v>
      </c>
      <c r="I53" s="7">
        <f>IFERROR(__xludf.DUMMYFUNCTION("""COMPUTED_VALUE"""),25.0)</f>
        <v>25</v>
      </c>
      <c r="J53" s="7">
        <f>IFERROR(__xludf.DUMMYFUNCTION("""COMPUTED_VALUE"""),0.03)</f>
        <v>0.03</v>
      </c>
      <c r="K53" s="7">
        <f>IFERROR(__xludf.DUMMYFUNCTION("""COMPUTED_VALUE"""),0.12)</f>
        <v>0.12</v>
      </c>
      <c r="L53" s="7"/>
    </row>
    <row r="54" ht="15.75" customHeight="1">
      <c r="A54" s="6" t="str">
        <f>IFERROR(__xludf.DUMMYFUNCTION("""COMPUTED_VALUE"""),"https://www.goodfirms.co/advertising-companies/creative/australia")</f>
        <v>https://www.goodfirms.co/advertising-companies/creative/australia</v>
      </c>
      <c r="B54" s="7" t="str">
        <f>IFERROR(__xludf.DUMMYFUNCTION("""COMPUTED_VALUE"""),"Top Creative Agencies in Australia - 2026 Reviews | Goodfirms")</f>
        <v>Top Creative Agencies in Australia - 2026 Reviews | Goodfirms</v>
      </c>
      <c r="C54" s="6" t="str">
        <f>IFERROR(__xludf.DUMMYFUNCTION("""COMPUTED_VALUE"""),"goodfirms.co")</f>
        <v>goodfirms.co</v>
      </c>
      <c r="D54" s="7" t="str">
        <f>IFERROR(__xludf.DUMMYFUNCTION("""COMPUTED_VALUE"""),"CATEGORY_PAGE")</f>
        <v>CATEGORY_PAGE</v>
      </c>
      <c r="E54" s="7" t="str">
        <f>IFERROR(__xludf.DUMMYFUNCTION("""COMPUTED_VALUE"""),"UGC")</f>
        <v>UGC</v>
      </c>
      <c r="F54" s="7" t="str">
        <f>IFERROR(__xludf.DUMMYFUNCTION("""COMPUTED_VALUE"""),"Category Page")</f>
        <v>Category Page</v>
      </c>
      <c r="G54" s="7" t="b">
        <f>IFERROR(__xludf.DUMMYFUNCTION("""COMPUTED_VALUE"""),FALSE)</f>
        <v>0</v>
      </c>
      <c r="H54" s="7" t="str">
        <f>IFERROR(__xludf.DUMMYFUNCTION("""COMPUTED_VALUE"""),"Uprise Digital, CUT THRU, BMF, Measured, Digital Movement")</f>
        <v>Uprise Digital, CUT THRU, BMF, Measured, Digital Movement</v>
      </c>
      <c r="I54" s="7">
        <f>IFERROR(__xludf.DUMMYFUNCTION("""COMPUTED_VALUE"""),25.0)</f>
        <v>25</v>
      </c>
      <c r="J54" s="7">
        <f>IFERROR(__xludf.DUMMYFUNCTION("""COMPUTED_VALUE"""),0.03)</f>
        <v>0.03</v>
      </c>
      <c r="K54" s="7">
        <f>IFERROR(__xludf.DUMMYFUNCTION("""COMPUTED_VALUE"""),0.16)</f>
        <v>0.16</v>
      </c>
      <c r="L54" s="7"/>
    </row>
    <row r="55" ht="15.75" customHeight="1">
      <c r="A55" s="6" t="str">
        <f>IFERROR(__xludf.DUMMYFUNCTION("""COMPUTED_VALUE"""),"https://www.undivided.com.au/blog/top-5-digital-agencies-in-australia")</f>
        <v>https://www.undivided.com.au/blog/top-5-digital-agencies-in-australia</v>
      </c>
      <c r="B55" s="7" t="str">
        <f>IFERROR(__xludf.DUMMYFUNCTION("""COMPUTED_VALUE"""),"Top 5 Digital Agencies in Australia")</f>
        <v>Top 5 Digital Agencies in Australia</v>
      </c>
      <c r="C55" s="6" t="str">
        <f>IFERROR(__xludf.DUMMYFUNCTION("""COMPUTED_VALUE"""),"undivided.com.au")</f>
        <v>undivided.com.au</v>
      </c>
      <c r="D55" s="7" t="str">
        <f>IFERROR(__xludf.DUMMYFUNCTION("""COMPUTED_VALUE"""),"LISTICLE")</f>
        <v>LISTICLE</v>
      </c>
      <c r="E55" s="7" t="str">
        <f>IFERROR(__xludf.DUMMYFUNCTION("""COMPUTED_VALUE"""),"CORPORATE")</f>
        <v>CORPORATE</v>
      </c>
      <c r="F55" s="7" t="str">
        <f>IFERROR(__xludf.DUMMYFUNCTION("""COMPUTED_VALUE"""),"Listicle")</f>
        <v>Listicle</v>
      </c>
      <c r="G55" s="7" t="b">
        <f>IFERROR(__xludf.DUMMYFUNCTION("""COMPUTED_VALUE"""),FALSE)</f>
        <v>0</v>
      </c>
      <c r="H55" s="7" t="str">
        <f>IFERROR(__xludf.DUMMYFUNCTION("""COMPUTED_VALUE"""),"Undivided, Sparro, Jaywing, King Kong, Impressive, Earned Media, Measured")</f>
        <v>Undivided, Sparro, Jaywing, King Kong, Impressive, Earned Media, Measured</v>
      </c>
      <c r="I55" s="7">
        <f>IFERROR(__xludf.DUMMYFUNCTION("""COMPUTED_VALUE"""),25.0)</f>
        <v>25</v>
      </c>
      <c r="J55" s="7">
        <f>IFERROR(__xludf.DUMMYFUNCTION("""COMPUTED_VALUE"""),0.03)</f>
        <v>0.03</v>
      </c>
      <c r="K55" s="7">
        <f>IFERROR(__xludf.DUMMYFUNCTION("""COMPUTED_VALUE"""),1.16)</f>
        <v>1.16</v>
      </c>
      <c r="L55" s="7"/>
    </row>
    <row r="56" ht="15.75" customHeight="1">
      <c r="A56" s="6" t="str">
        <f>IFERROR(__xludf.DUMMYFUNCTION("""COMPUTED_VALUE"""),"https://www.bbe.io/best-advertising-agencies-2026-melbourne-sydney-brisbane#:~:text=HERO%20dominated%20the%20new%20AdNews%20category%20with,2026%20AdNews%20Independent%20Agency%20of%20the%20Year.")</f>
        <v>https://www.bbe.io/best-advertising-agencies-2026-melbourne-sydney-brisbane#:~:text=HERO%20dominated%20the%20new%20AdNews%20category%20with,2026%20AdNews%20Independent%20Agency%20of%20the%20Year.</v>
      </c>
      <c r="B56" s="7" t="str">
        <f>IFERROR(__xludf.DUMMYFUNCTION("""COMPUTED_VALUE"""),"The BBE Best: Top Creative Advertising Agencies for 2026 in Sydney, Melbourne and Brisbane")</f>
        <v>The BBE Best: Top Creative Advertising Agencies for 2026 in Sydney, Melbourne and Brisbane</v>
      </c>
      <c r="C56" s="6" t="str">
        <f>IFERROR(__xludf.DUMMYFUNCTION("""COMPUTED_VALUE"""),"bbe.io")</f>
        <v>bbe.io</v>
      </c>
      <c r="D56" s="7" t="str">
        <f>IFERROR(__xludf.DUMMYFUNCTION("""COMPUTED_VALUE"""),"PROFILE")</f>
        <v>PROFILE</v>
      </c>
      <c r="E56" s="7" t="str">
        <f>IFERROR(__xludf.DUMMYFUNCTION("""COMPUTED_VALUE"""),"CORPORATE")</f>
        <v>CORPORATE</v>
      </c>
      <c r="F56" s="7" t="str">
        <f>IFERROR(__xludf.DUMMYFUNCTION("""COMPUTED_VALUE"""),"Profile")</f>
        <v>Profile</v>
      </c>
      <c r="G56" s="7" t="b">
        <f>IFERROR(__xludf.DUMMYFUNCTION("""COMPUTED_VALUE"""),FALSE)</f>
        <v>0</v>
      </c>
      <c r="H56" s="7" t="str">
        <f>IFERROR(__xludf.DUMMYFUNCTION("""COMPUTED_VALUE"""),"HERO, Impressive")</f>
        <v>HERO, Impressive</v>
      </c>
      <c r="I56" s="7">
        <f>IFERROR(__xludf.DUMMYFUNCTION("""COMPUTED_VALUE"""),24.0)</f>
        <v>24</v>
      </c>
      <c r="J56" s="7">
        <f>IFERROR(__xludf.DUMMYFUNCTION("""COMPUTED_VALUE"""),0.03)</f>
        <v>0.03</v>
      </c>
      <c r="K56" s="7">
        <f>IFERROR(__xludf.DUMMYFUNCTION("""COMPUTED_VALUE"""),1.33)</f>
        <v>1.33</v>
      </c>
      <c r="L56" s="7"/>
    </row>
    <row r="57" ht="15.75" customHeight="1">
      <c r="A57" s="6" t="str">
        <f>IFERROR(__xludf.DUMMYFUNCTION("""COMPUTED_VALUE"""),"https://www.bushnote.com/articles/best-ai-search-agency-australia")</f>
        <v>https://www.bushnote.com/articles/best-ai-search-agency-australia</v>
      </c>
      <c r="B57" s="7" t="str">
        <f>IFERROR(__xludf.DUMMYFUNCTION("""COMPUTED_VALUE"""),"Best AI Search Agency Australia | AEO and GEO Experts (2026)")</f>
        <v>Best AI Search Agency Australia | AEO and GEO Experts (2026)</v>
      </c>
      <c r="C57" s="6" t="str">
        <f>IFERROR(__xludf.DUMMYFUNCTION("""COMPUTED_VALUE"""),"bushnote.com")</f>
        <v>bushnote.com</v>
      </c>
      <c r="D57" s="7" t="str">
        <f>IFERROR(__xludf.DUMMYFUNCTION("""COMPUTED_VALUE"""),"LISTICLE")</f>
        <v>LISTICLE</v>
      </c>
      <c r="E57" s="7" t="str">
        <f>IFERROR(__xludf.DUMMYFUNCTION("""COMPUTED_VALUE"""),"COMPETITOR")</f>
        <v>COMPETITOR</v>
      </c>
      <c r="F57" s="7" t="str">
        <f>IFERROR(__xludf.DUMMYFUNCTION("""COMPUTED_VALUE"""),"Listicle")</f>
        <v>Listicle</v>
      </c>
      <c r="G57" s="7" t="b">
        <f>IFERROR(__xludf.DUMMYFUNCTION("""COMPUTED_VALUE"""),FALSE)</f>
        <v>0</v>
      </c>
      <c r="H57" s="7" t="str">
        <f>IFERROR(__xludf.DUMMYFUNCTION("""COMPUTED_VALUE"""),"Bushnote, Luminary, Rocket Agency, Covert, Intesols")</f>
        <v>Bushnote, Luminary, Rocket Agency, Covert, Intesols</v>
      </c>
      <c r="I57" s="7">
        <f>IFERROR(__xludf.DUMMYFUNCTION("""COMPUTED_VALUE"""),24.0)</f>
        <v>24</v>
      </c>
      <c r="J57" s="7">
        <f>IFERROR(__xludf.DUMMYFUNCTION("""COMPUTED_VALUE"""),0.03)</f>
        <v>0.03</v>
      </c>
      <c r="K57" s="7">
        <f>IFERROR(__xludf.DUMMYFUNCTION("""COMPUTED_VALUE"""),2.13)</f>
        <v>2.13</v>
      </c>
      <c r="L57" s="7"/>
    </row>
    <row r="58" ht="15.75" customHeight="1">
      <c r="A58" s="6" t="str">
        <f>IFERROR(__xludf.DUMMYFUNCTION("""COMPUTED_VALUE"""),"https://www.designrush.com/agency/creative-agencies/au")</f>
        <v>https://www.designrush.com/agency/creative-agencies/au</v>
      </c>
      <c r="B58" s="7" t="str">
        <f>IFERROR(__xludf.DUMMYFUNCTION("""COMPUTED_VALUE"""),"Top Creative Agencies in Australia | 2026")</f>
        <v>Top Creative Agencies in Australia | 2026</v>
      </c>
      <c r="C58" s="6" t="str">
        <f>IFERROR(__xludf.DUMMYFUNCTION("""COMPUTED_VALUE"""),"designrush.com")</f>
        <v>designrush.com</v>
      </c>
      <c r="D58" s="7" t="str">
        <f>IFERROR(__xludf.DUMMYFUNCTION("""COMPUTED_VALUE"""),"CATEGORY_PAGE")</f>
        <v>CATEGORY_PAGE</v>
      </c>
      <c r="E58" s="7" t="str">
        <f>IFERROR(__xludf.DUMMYFUNCTION("""COMPUTED_VALUE"""),"CORPORATE")</f>
        <v>CORPORATE</v>
      </c>
      <c r="F58" s="7" t="str">
        <f>IFERROR(__xludf.DUMMYFUNCTION("""COMPUTED_VALUE"""),"Category Page")</f>
        <v>Category Page</v>
      </c>
      <c r="G58" s="7" t="b">
        <f>IFERROR(__xludf.DUMMYFUNCTION("""COMPUTED_VALUE"""),FALSE)</f>
        <v>0</v>
      </c>
      <c r="H58" s="7"/>
      <c r="I58" s="7">
        <f>IFERROR(__xludf.DUMMYFUNCTION("""COMPUTED_VALUE"""),24.0)</f>
        <v>24</v>
      </c>
      <c r="J58" s="7">
        <f>IFERROR(__xludf.DUMMYFUNCTION("""COMPUTED_VALUE"""),0.03)</f>
        <v>0.03</v>
      </c>
      <c r="K58" s="7">
        <f>IFERROR(__xludf.DUMMYFUNCTION("""COMPUTED_VALUE"""),0.33)</f>
        <v>0.33</v>
      </c>
      <c r="L58" s="7"/>
    </row>
    <row r="59" ht="15.75" customHeight="1">
      <c r="A59" s="6" t="str">
        <f>IFERROR(__xludf.DUMMYFUNCTION("""COMPUTED_VALUE"""),"https://raw.studio/blog/top-10-creative-design-agencies-in-australia-in-2026/#:~:text=Luminary%20is%20one%20of%20the%20most%20established,where%20UX%2C%20accessibility%2C%20and%20governance%20are%20critical.")</f>
        <v>https://raw.studio/blog/top-10-creative-design-agencies-in-australia-in-2026/#:~:text=Luminary%20is%20one%20of%20the%20most%20established,where%20UX%2C%20accessibility%2C%20and%20governance%20are%20critical.</v>
      </c>
      <c r="B59" s="7" t="str">
        <f>IFERROR(__xludf.DUMMYFUNCTION("""COMPUTED_VALUE"""),"Top 10 Creative Design Agencies in Australia in 2026 | Raw.Studio")</f>
        <v>Top 10 Creative Design Agencies in Australia in 2026 | Raw.Studio</v>
      </c>
      <c r="C59" s="7" t="str">
        <f>IFERROR(__xludf.DUMMYFUNCTION("""COMPUTED_VALUE"""),"raw.studio")</f>
        <v>raw.studio</v>
      </c>
      <c r="D59" s="7" t="str">
        <f>IFERROR(__xludf.DUMMYFUNCTION("""COMPUTED_VALUE"""),"LISTICLE")</f>
        <v>LISTICLE</v>
      </c>
      <c r="E59" s="7" t="str">
        <f>IFERROR(__xludf.DUMMYFUNCTION("""COMPUTED_VALUE"""),"CORPORATE")</f>
        <v>CORPORATE</v>
      </c>
      <c r="F59" s="7" t="str">
        <f>IFERROR(__xludf.DUMMYFUNCTION("""COMPUTED_VALUE"""),"Listicle")</f>
        <v>Listicle</v>
      </c>
      <c r="G59" s="7" t="b">
        <f>IFERROR(__xludf.DUMMYFUNCTION("""COMPUTED_VALUE"""),FALSE)</f>
        <v>0</v>
      </c>
      <c r="H59" s="7" t="str">
        <f>IFERROR(__xludf.DUMMYFUNCTION("""COMPUTED_VALUE"""),"RAW Studio, CUT THRU, Digital Nomads HQ, Luminary, HERO")</f>
        <v>RAW Studio, CUT THRU, Digital Nomads HQ, Luminary, HERO</v>
      </c>
      <c r="I59" s="7">
        <f>IFERROR(__xludf.DUMMYFUNCTION("""COMPUTED_VALUE"""),24.0)</f>
        <v>24</v>
      </c>
      <c r="J59" s="7">
        <f>IFERROR(__xludf.DUMMYFUNCTION("""COMPUTED_VALUE"""),0.03)</f>
        <v>0.03</v>
      </c>
      <c r="K59" s="7">
        <f>IFERROR(__xludf.DUMMYFUNCTION("""COMPUTED_VALUE"""),1.83)</f>
        <v>1.83</v>
      </c>
      <c r="L59" s="7"/>
    </row>
    <row r="60" ht="15.75" customHeight="1">
      <c r="A60" s="6" t="str">
        <f>IFERROR(__xludf.DUMMYFUNCTION("""COMPUTED_VALUE"""),"https://www.triplewhale.com/blog/best-incrementality-testing-tools")</f>
        <v>https://www.triplewhale.com/blog/best-incrementality-testing-tools</v>
      </c>
      <c r="B60" s="7" t="str">
        <f>IFERROR(__xludf.DUMMYFUNCTION("""COMPUTED_VALUE"""),"The Best Incrementality Testing Tools for Marketers in 2026 | Triple Whale")</f>
        <v>The Best Incrementality Testing Tools for Marketers in 2026 | Triple Whale</v>
      </c>
      <c r="C60" s="6" t="str">
        <f>IFERROR(__xludf.DUMMYFUNCTION("""COMPUTED_VALUE"""),"triplewhale.com")</f>
        <v>triplewhale.com</v>
      </c>
      <c r="D60" s="7" t="str">
        <f>IFERROR(__xludf.DUMMYFUNCTION("""COMPUTED_VALUE"""),"COMPARISON")</f>
        <v>COMPARISON</v>
      </c>
      <c r="E60" s="7" t="str">
        <f>IFERROR(__xludf.DUMMYFUNCTION("""COMPUTED_VALUE"""),"CORPORATE")</f>
        <v>CORPORATE</v>
      </c>
      <c r="F60" s="7" t="str">
        <f>IFERROR(__xludf.DUMMYFUNCTION("""COMPUTED_VALUE"""),"Comparison")</f>
        <v>Comparison</v>
      </c>
      <c r="G60" s="7" t="b">
        <f>IFERROR(__xludf.DUMMYFUNCTION("""COMPUTED_VALUE"""),FALSE)</f>
        <v>0</v>
      </c>
      <c r="H60" s="7" t="str">
        <f>IFERROR(__xludf.DUMMYFUNCTION("""COMPUTED_VALUE"""),"Haus, Measured")</f>
        <v>Haus, Measured</v>
      </c>
      <c r="I60" s="7">
        <f>IFERROR(__xludf.DUMMYFUNCTION("""COMPUTED_VALUE"""),24.0)</f>
        <v>24</v>
      </c>
      <c r="J60" s="7">
        <f>IFERROR(__xludf.DUMMYFUNCTION("""COMPUTED_VALUE"""),0.03)</f>
        <v>0.03</v>
      </c>
      <c r="K60" s="7">
        <f>IFERROR(__xludf.DUMMYFUNCTION("""COMPUTED_VALUE"""),0.58)</f>
        <v>0.58</v>
      </c>
      <c r="L60" s="7"/>
    </row>
    <row r="61" ht="15.75" customHeight="1">
      <c r="A61" s="6" t="str">
        <f>IFERROR(__xludf.DUMMYFUNCTION("""COMPUTED_VALUE"""),"https://clutch.co/au/agencies/media-buying")</f>
        <v>https://clutch.co/au/agencies/media-buying</v>
      </c>
      <c r="B61" s="7" t="str">
        <f>IFERROR(__xludf.DUMMYFUNCTION("""COMPUTED_VALUE"""),"Top Media Buying Agencies in Australia - Jul 2026 Rankings \| Clutch.co")</f>
        <v>Top Media Buying Agencies in Australia - Jul 2026 Rankings \| Clutch.co</v>
      </c>
      <c r="C61" s="6" t="str">
        <f>IFERROR(__xludf.DUMMYFUNCTION("""COMPUTED_VALUE"""),"clutch.co")</f>
        <v>clutch.co</v>
      </c>
      <c r="D61" s="7" t="str">
        <f>IFERROR(__xludf.DUMMYFUNCTION("""COMPUTED_VALUE"""),"PROFILE")</f>
        <v>PROFILE</v>
      </c>
      <c r="E61" s="7" t="str">
        <f>IFERROR(__xludf.DUMMYFUNCTION("""COMPUTED_VALUE"""),"CORPORATE")</f>
        <v>CORPORATE</v>
      </c>
      <c r="F61" s="7" t="str">
        <f>IFERROR(__xludf.DUMMYFUNCTION("""COMPUTED_VALUE"""),"Profile")</f>
        <v>Profile</v>
      </c>
      <c r="G61" s="7" t="b">
        <f>IFERROR(__xludf.DUMMYFUNCTION("""COMPUTED_VALUE"""),FALSE)</f>
        <v>0</v>
      </c>
      <c r="H61" s="7" t="str">
        <f>IFERROR(__xludf.DUMMYFUNCTION("""COMPUTED_VALUE"""),"Soup Agency, DNM Digital, Bench Media, Impressive, MK Media")</f>
        <v>Soup Agency, DNM Digital, Bench Media, Impressive, MK Media</v>
      </c>
      <c r="I61" s="7">
        <f>IFERROR(__xludf.DUMMYFUNCTION("""COMPUTED_VALUE"""),23.0)</f>
        <v>23</v>
      </c>
      <c r="J61" s="7">
        <f>IFERROR(__xludf.DUMMYFUNCTION("""COMPUTED_VALUE"""),0.02)</f>
        <v>0.02</v>
      </c>
      <c r="K61" s="7">
        <f>IFERROR(__xludf.DUMMYFUNCTION("""COMPUTED_VALUE"""),0.39)</f>
        <v>0.39</v>
      </c>
      <c r="L61" s="7"/>
    </row>
    <row r="62" ht="15.75" customHeight="1">
      <c r="A62" s="6" t="str">
        <f>IFERROR(__xludf.DUMMYFUNCTION("""COMPUTED_VALUE"""),"https://digitalagencynetwork.com/agencies/australia/social-media-marketing/")</f>
        <v>https://digitalagencynetwork.com/agencies/australia/social-media-marketing/</v>
      </c>
      <c r="B62" s="7" t="str">
        <f>IFERROR(__xludf.DUMMYFUNCTION("""COMPUTED_VALUE"""),"Best Social Media Marketing Agencies in Australia | Digital Agency Network")</f>
        <v>Best Social Media Marketing Agencies in Australia | Digital Agency Network</v>
      </c>
      <c r="C62" s="6" t="str">
        <f>IFERROR(__xludf.DUMMYFUNCTION("""COMPUTED_VALUE"""),"digitalagencynetwork.com")</f>
        <v>digitalagencynetwork.com</v>
      </c>
      <c r="D62" s="7" t="str">
        <f>IFERROR(__xludf.DUMMYFUNCTION("""COMPUTED_VALUE"""),"CATEGORY_PAGE")</f>
        <v>CATEGORY_PAGE</v>
      </c>
      <c r="E62" s="7" t="str">
        <f>IFERROR(__xludf.DUMMYFUNCTION("""COMPUTED_VALUE"""),"REFERENCE")</f>
        <v>REFERENCE</v>
      </c>
      <c r="F62" s="7" t="str">
        <f>IFERROR(__xludf.DUMMYFUNCTION("""COMPUTED_VALUE"""),"Category Page")</f>
        <v>Category Page</v>
      </c>
      <c r="G62" s="7" t="b">
        <f>IFERROR(__xludf.DUMMYFUNCTION("""COMPUTED_VALUE"""),FALSE)</f>
        <v>0</v>
      </c>
      <c r="H62" s="7" t="str">
        <f>IFERROR(__xludf.DUMMYFUNCTION("""COMPUTED_VALUE"""),"Emote Digital, Clearwater Agency, Supple Digital, Soup Agency, Digital Nomads HQ, Impressive, Momentum, Measured, Human Digital")</f>
        <v>Emote Digital, Clearwater Agency, Supple Digital, Soup Agency, Digital Nomads HQ, Impressive, Momentum, Measured, Human Digital</v>
      </c>
      <c r="I62" s="7">
        <f>IFERROR(__xludf.DUMMYFUNCTION("""COMPUTED_VALUE"""),23.0)</f>
        <v>23</v>
      </c>
      <c r="J62" s="7">
        <f>IFERROR(__xludf.DUMMYFUNCTION("""COMPUTED_VALUE"""),0.02)</f>
        <v>0.02</v>
      </c>
      <c r="K62" s="7">
        <f>IFERROR(__xludf.DUMMYFUNCTION("""COMPUTED_VALUE"""),0.04)</f>
        <v>0.04</v>
      </c>
      <c r="L62" s="7"/>
    </row>
    <row r="63" ht="15.75" customHeight="1">
      <c r="A63" s="6" t="str">
        <f>IFERROR(__xludf.DUMMYFUNCTION("""COMPUTED_VALUE"""),"https://digitalagencynetwork.com/agencies/sydney/geo/")</f>
        <v>https://digitalagencynetwork.com/agencies/sydney/geo/</v>
      </c>
      <c r="B63" s="7" t="str">
        <f>IFERROR(__xludf.DUMMYFUNCTION("""COMPUTED_VALUE"""),"Top GEO Agencies in Sydney for Generative Engine Optimization (2026)")</f>
        <v>Top GEO Agencies in Sydney for Generative Engine Optimization (2026)</v>
      </c>
      <c r="C63" s="6" t="str">
        <f>IFERROR(__xludf.DUMMYFUNCTION("""COMPUTED_VALUE"""),"digitalagencynetwork.com")</f>
        <v>digitalagencynetwork.com</v>
      </c>
      <c r="D63" s="7" t="str">
        <f>IFERROR(__xludf.DUMMYFUNCTION("""COMPUTED_VALUE"""),"PROFILE")</f>
        <v>PROFILE</v>
      </c>
      <c r="E63" s="7" t="str">
        <f>IFERROR(__xludf.DUMMYFUNCTION("""COMPUTED_VALUE"""),"REFERENCE")</f>
        <v>REFERENCE</v>
      </c>
      <c r="F63" s="7" t="str">
        <f>IFERROR(__xludf.DUMMYFUNCTION("""COMPUTED_VALUE"""),"Profile")</f>
        <v>Profile</v>
      </c>
      <c r="G63" s="7" t="b">
        <f>IFERROR(__xludf.DUMMYFUNCTION("""COMPUTED_VALUE"""),FALSE)</f>
        <v>0</v>
      </c>
      <c r="H63" s="7" t="str">
        <f>IFERROR(__xludf.DUMMYFUNCTION("""COMPUTED_VALUE"""),"Luminary, Digital Nomads HQ, In Marketing We Trust")</f>
        <v>Luminary, Digital Nomads HQ, In Marketing We Trust</v>
      </c>
      <c r="I63" s="7">
        <f>IFERROR(__xludf.DUMMYFUNCTION("""COMPUTED_VALUE"""),23.0)</f>
        <v>23</v>
      </c>
      <c r="J63" s="7">
        <f>IFERROR(__xludf.DUMMYFUNCTION("""COMPUTED_VALUE"""),0.02)</f>
        <v>0.02</v>
      </c>
      <c r="K63" s="7">
        <f>IFERROR(__xludf.DUMMYFUNCTION("""COMPUTED_VALUE"""),0.22)</f>
        <v>0.22</v>
      </c>
      <c r="L63" s="7"/>
    </row>
    <row r="64" ht="15.75" customHeight="1">
      <c r="A64" s="6" t="str">
        <f>IFERROR(__xludf.DUMMYFUNCTION("""COMPUTED_VALUE"""),"https://www.inbeat.co/articles/top-marketing-agencies-australia/")</f>
        <v>https://www.inbeat.co/articles/top-marketing-agencies-australia/</v>
      </c>
      <c r="B64" s="7" t="str">
        <f>IFERROR(__xludf.DUMMYFUNCTION("""COMPUTED_VALUE"""),"Top 31 Marketing Agencies in Australia for Collaboration in 2025")</f>
        <v>Top 31 Marketing Agencies in Australia for Collaboration in 2025</v>
      </c>
      <c r="C64" s="6" t="str">
        <f>IFERROR(__xludf.DUMMYFUNCTION("""COMPUTED_VALUE"""),"inbeat.co")</f>
        <v>inbeat.co</v>
      </c>
      <c r="D64" s="7" t="str">
        <f>IFERROR(__xludf.DUMMYFUNCTION("""COMPUTED_VALUE"""),"LISTICLE")</f>
        <v>LISTICLE</v>
      </c>
      <c r="E64" s="7" t="str">
        <f>IFERROR(__xludf.DUMMYFUNCTION("""COMPUTED_VALUE"""),"CORPORATE")</f>
        <v>CORPORATE</v>
      </c>
      <c r="F64" s="7" t="str">
        <f>IFERROR(__xludf.DUMMYFUNCTION("""COMPUTED_VALUE"""),"Listicle")</f>
        <v>Listicle</v>
      </c>
      <c r="G64" s="7" t="b">
        <f>IFERROR(__xludf.DUMMYFUNCTION("""COMPUTED_VALUE"""),FALSE)</f>
        <v>0</v>
      </c>
      <c r="H64" s="7" t="str">
        <f>IFERROR(__xludf.DUMMYFUNCTION("""COMPUTED_VALUE"""),"Sparro, King Kong, Earned Media, Alpha Digital, First Page, First Page Australia, Megaphone, Zib Digital, Soup Agency, Emote Digital, Online Marketing Gurus, Ogilvy Australia, Eight Clients, Resolution Digital, Impressive")</f>
        <v>Sparro, King Kong, Earned Media, Alpha Digital, First Page, First Page Australia, Megaphone, Zib Digital, Soup Agency, Emote Digital, Online Marketing Gurus, Ogilvy Australia, Eight Clients, Resolution Digital, Impressive</v>
      </c>
      <c r="I64" s="7">
        <f>IFERROR(__xludf.DUMMYFUNCTION("""COMPUTED_VALUE"""),23.0)</f>
        <v>23</v>
      </c>
      <c r="J64" s="7">
        <f>IFERROR(__xludf.DUMMYFUNCTION("""COMPUTED_VALUE"""),0.02)</f>
        <v>0.02</v>
      </c>
      <c r="K64" s="7">
        <f>IFERROR(__xludf.DUMMYFUNCTION("""COMPUTED_VALUE"""),0.13)</f>
        <v>0.13</v>
      </c>
      <c r="L64" s="7"/>
    </row>
    <row r="65" ht="15.75" customHeight="1">
      <c r="A65" s="6" t="str">
        <f>IFERROR(__xludf.DUMMYFUNCTION("""COMPUTED_VALUE"""),"https://metapress.com/the-6-best-australian-agencies-for-navigating-the-ai-search-era/")</f>
        <v>https://metapress.com/the-6-best-australian-agencies-for-navigating-the-ai-search-era/</v>
      </c>
      <c r="B65" s="7" t="str">
        <f>IFERROR(__xludf.DUMMYFUNCTION("""COMPUTED_VALUE"""),"The 6 Best Australian Agencies for Navigating the AI Search Era")</f>
        <v>The 6 Best Australian Agencies for Navigating the AI Search Era</v>
      </c>
      <c r="C65" s="6" t="str">
        <f>IFERROR(__xludf.DUMMYFUNCTION("""COMPUTED_VALUE"""),"metapress.com")</f>
        <v>metapress.com</v>
      </c>
      <c r="D65" s="7" t="str">
        <f>IFERROR(__xludf.DUMMYFUNCTION("""COMPUTED_VALUE"""),"LISTICLE")</f>
        <v>LISTICLE</v>
      </c>
      <c r="E65" s="7" t="str">
        <f>IFERROR(__xludf.DUMMYFUNCTION("""COMPUTED_VALUE"""),"EDITORIAL")</f>
        <v>EDITORIAL</v>
      </c>
      <c r="F65" s="7" t="str">
        <f>IFERROR(__xludf.DUMMYFUNCTION("""COMPUTED_VALUE"""),"Listicle")</f>
        <v>Listicle</v>
      </c>
      <c r="G65" s="7" t="b">
        <f>IFERROR(__xludf.DUMMYFUNCTION("""COMPUTED_VALUE"""),FALSE)</f>
        <v>0</v>
      </c>
      <c r="H65" s="7" t="str">
        <f>IFERROR(__xludf.DUMMYFUNCTION("""COMPUTED_VALUE"""),"NP Digital Australia, Impressive, Megantic, Emote Digital, Soup Agency")</f>
        <v>NP Digital Australia, Impressive, Megantic, Emote Digital, Soup Agency</v>
      </c>
      <c r="I65" s="7">
        <f>IFERROR(__xludf.DUMMYFUNCTION("""COMPUTED_VALUE"""),23.0)</f>
        <v>23</v>
      </c>
      <c r="J65" s="7">
        <f>IFERROR(__xludf.DUMMYFUNCTION("""COMPUTED_VALUE"""),0.02)</f>
        <v>0.02</v>
      </c>
      <c r="K65" s="7">
        <f>IFERROR(__xludf.DUMMYFUNCTION("""COMPUTED_VALUE"""),1.78)</f>
        <v>1.78</v>
      </c>
      <c r="L65" s="7"/>
    </row>
    <row r="66" ht="15.75" customHeight="1">
      <c r="A66" s="6" t="str">
        <f>IFERROR(__xludf.DUMMYFUNCTION("""COMPUTED_VALUE"""),"https://clickclickbangbang.com.au/google-display-advertising-companies/")</f>
        <v>https://clickclickbangbang.com.au/google-display-advertising-companies/</v>
      </c>
      <c r="B66" s="7" t="str">
        <f>IFERROR(__xludf.DUMMYFUNCTION("""COMPUTED_VALUE"""),"Top google display advertising companies in Australia (2025)")</f>
        <v>Top google display advertising companies in Australia (2025)</v>
      </c>
      <c r="C66" s="6" t="str">
        <f>IFERROR(__xludf.DUMMYFUNCTION("""COMPUTED_VALUE"""),"clickclickbangbang.com.au")</f>
        <v>clickclickbangbang.com.au</v>
      </c>
      <c r="D66" s="7" t="str">
        <f>IFERROR(__xludf.DUMMYFUNCTION("""COMPUTED_VALUE"""),"LISTICLE")</f>
        <v>LISTICLE</v>
      </c>
      <c r="E66" s="7" t="str">
        <f>IFERROR(__xludf.DUMMYFUNCTION("""COMPUTED_VALUE"""),"CORPORATE")</f>
        <v>CORPORATE</v>
      </c>
      <c r="F66" s="7" t="str">
        <f>IFERROR(__xludf.DUMMYFUNCTION("""COMPUTED_VALUE"""),"Listicle")</f>
        <v>Listicle</v>
      </c>
      <c r="G66" s="7" t="b">
        <f>IFERROR(__xludf.DUMMYFUNCTION("""COMPUTED_VALUE"""),FALSE)</f>
        <v>0</v>
      </c>
      <c r="H66" s="7" t="str">
        <f>IFERROR(__xludf.DUMMYFUNCTION("""COMPUTED_VALUE"""),"Reload Media, WebSavvy, Sparro, Brainlabs, Megaphone, Impressive")</f>
        <v>Reload Media, WebSavvy, Sparro, Brainlabs, Megaphone, Impressive</v>
      </c>
      <c r="I66" s="7">
        <f>IFERROR(__xludf.DUMMYFUNCTION("""COMPUTED_VALUE"""),22.0)</f>
        <v>22</v>
      </c>
      <c r="J66" s="7">
        <f>IFERROR(__xludf.DUMMYFUNCTION("""COMPUTED_VALUE"""),0.02)</f>
        <v>0.02</v>
      </c>
      <c r="K66" s="7">
        <f>IFERROR(__xludf.DUMMYFUNCTION("""COMPUTED_VALUE"""),1.18)</f>
        <v>1.18</v>
      </c>
      <c r="L66" s="7"/>
    </row>
    <row r="67" ht="15.75" customHeight="1">
      <c r="A67" s="6" t="str">
        <f>IFERROR(__xludf.DUMMYFUNCTION("""COMPUTED_VALUE"""),"https://clutch.co/au/agencies/ppc/advertising-industry")</f>
        <v>https://clutch.co/au/agencies/ppc/advertising-industry</v>
      </c>
      <c r="B67" s="7" t="str">
        <f>IFERROR(__xludf.DUMMYFUNCTION("""COMPUTED_VALUE"""),"Top PPC Agencies for Ad Agencies in Australia - Jul 2026 Rankings | Clutch.co")</f>
        <v>Top PPC Agencies for Ad Agencies in Australia - Jul 2026 Rankings | Clutch.co</v>
      </c>
      <c r="C67" s="6" t="str">
        <f>IFERROR(__xludf.DUMMYFUNCTION("""COMPUTED_VALUE"""),"clutch.co")</f>
        <v>clutch.co</v>
      </c>
      <c r="D67" s="7" t="str">
        <f>IFERROR(__xludf.DUMMYFUNCTION("""COMPUTED_VALUE"""),"CATEGORY_PAGE")</f>
        <v>CATEGORY_PAGE</v>
      </c>
      <c r="E67" s="7" t="str">
        <f>IFERROR(__xludf.DUMMYFUNCTION("""COMPUTED_VALUE"""),"CORPORATE")</f>
        <v>CORPORATE</v>
      </c>
      <c r="F67" s="7" t="str">
        <f>IFERROR(__xludf.DUMMYFUNCTION("""COMPUTED_VALUE"""),"Category Page")</f>
        <v>Category Page</v>
      </c>
      <c r="G67" s="7" t="b">
        <f>IFERROR(__xludf.DUMMYFUNCTION("""COMPUTED_VALUE"""),FALSE)</f>
        <v>0</v>
      </c>
      <c r="H67" s="7" t="str">
        <f>IFERROR(__xludf.DUMMYFUNCTION("""COMPUTED_VALUE"""),"Soup Agency, Impressive, Alley Group, Rocket Agency, DNM Digital, Megaphone, Online Marketing Gurus, Omnicom Media Group")</f>
        <v>Soup Agency, Impressive, Alley Group, Rocket Agency, DNM Digital, Megaphone, Online Marketing Gurus, Omnicom Media Group</v>
      </c>
      <c r="I67" s="7">
        <f>IFERROR(__xludf.DUMMYFUNCTION("""COMPUTED_VALUE"""),21.0)</f>
        <v>21</v>
      </c>
      <c r="J67" s="7">
        <f>IFERROR(__xludf.DUMMYFUNCTION("""COMPUTED_VALUE"""),0.02)</f>
        <v>0.02</v>
      </c>
      <c r="K67" s="7">
        <f>IFERROR(__xludf.DUMMYFUNCTION("""COMPUTED_VALUE"""),0.24)</f>
        <v>0.24</v>
      </c>
      <c r="L67" s="7"/>
    </row>
    <row r="68" ht="15.75" customHeight="1">
      <c r="A68" s="6" t="str">
        <f>IFERROR(__xludf.DUMMYFUNCTION("""COMPUTED_VALUE"""),"https://noirandblanco.com/best-digital-marketing-agencies-in-australia/")</f>
        <v>https://noirandblanco.com/best-digital-marketing-agencies-in-australia/</v>
      </c>
      <c r="B68" s="7" t="str">
        <f>IFERROR(__xludf.DUMMYFUNCTION("""COMPUTED_VALUE"""),"11 Best Digital Marketing Agencies in Australia")</f>
        <v>11 Best Digital Marketing Agencies in Australia</v>
      </c>
      <c r="C68" s="6" t="str">
        <f>IFERROR(__xludf.DUMMYFUNCTION("""COMPUTED_VALUE"""),"noirandblanco.com")</f>
        <v>noirandblanco.com</v>
      </c>
      <c r="D68" s="7" t="str">
        <f>IFERROR(__xludf.DUMMYFUNCTION("""COMPUTED_VALUE"""),"LISTICLE")</f>
        <v>LISTICLE</v>
      </c>
      <c r="E68" s="7" t="str">
        <f>IFERROR(__xludf.DUMMYFUNCTION("""COMPUTED_VALUE"""),"CORPORATE")</f>
        <v>CORPORATE</v>
      </c>
      <c r="F68" s="7" t="str">
        <f>IFERROR(__xludf.DUMMYFUNCTION("""COMPUTED_VALUE"""),"Listicle")</f>
        <v>Listicle</v>
      </c>
      <c r="G68" s="7" t="b">
        <f>IFERROR(__xludf.DUMMYFUNCTION("""COMPUTED_VALUE"""),FALSE)</f>
        <v>0</v>
      </c>
      <c r="H68" s="7" t="str">
        <f>IFERROR(__xludf.DUMMYFUNCTION("""COMPUTED_VALUE"""),"Supple Digital, Alley Group, 80/20 Digital, Earned Media")</f>
        <v>Supple Digital, Alley Group, 80/20 Digital, Earned Media</v>
      </c>
      <c r="I68" s="7">
        <f>IFERROR(__xludf.DUMMYFUNCTION("""COMPUTED_VALUE"""),21.0)</f>
        <v>21</v>
      </c>
      <c r="J68" s="7">
        <f>IFERROR(__xludf.DUMMYFUNCTION("""COMPUTED_VALUE"""),0.02)</f>
        <v>0.02</v>
      </c>
      <c r="K68" s="7">
        <f>IFERROR(__xludf.DUMMYFUNCTION("""COMPUTED_VALUE"""),0.52)</f>
        <v>0.52</v>
      </c>
      <c r="L68" s="7"/>
    </row>
    <row r="69" ht="15.75" customHeight="1">
      <c r="A69" s="6" t="str">
        <f>IFERROR(__xludf.DUMMYFUNCTION("""COMPUTED_VALUE"""),"https://tdsaustralia.com.au/best-brand-design-agency-australia/?srsltid=AfmBOoqgyBP8Mx3xalA9482IFmPBsWmB_7IcuOz2wt01IXzLQd8IhP8w")</f>
        <v>https://tdsaustralia.com.au/best-brand-design-agency-australia/?srsltid=AfmBOoqgyBP8Mx3xalA9482IFmPBsWmB_7IcuOz2wt01IXzLQd8IhP8w</v>
      </c>
      <c r="B69" s="7" t="str">
        <f>IFERROR(__xludf.DUMMYFUNCTION("""COMPUTED_VALUE"""),"The 12 Best Brand Design Agencies in Australia (2025–2026)")</f>
        <v>The 12 Best Brand Design Agencies in Australia (2025–2026)</v>
      </c>
      <c r="C69" s="6" t="str">
        <f>IFERROR(__xludf.DUMMYFUNCTION("""COMPUTED_VALUE"""),"tdsaustralia.com.au")</f>
        <v>tdsaustralia.com.au</v>
      </c>
      <c r="D69" s="7" t="str">
        <f>IFERROR(__xludf.DUMMYFUNCTION("""COMPUTED_VALUE"""),"OTHER")</f>
        <v>OTHER</v>
      </c>
      <c r="E69" s="7" t="str">
        <f>IFERROR(__xludf.DUMMYFUNCTION("""COMPUTED_VALUE"""),"CORPORATE")</f>
        <v>CORPORATE</v>
      </c>
      <c r="F69" s="7" t="str">
        <f>IFERROR(__xludf.DUMMYFUNCTION("""COMPUTED_VALUE"""),"Other")</f>
        <v>Other</v>
      </c>
      <c r="G69" s="7" t="b">
        <f>IFERROR(__xludf.DUMMYFUNCTION("""COMPUTED_VALUE"""),FALSE)</f>
        <v>0</v>
      </c>
      <c r="H69" s="7" t="str">
        <f>IFERROR(__xludf.DUMMYFUNCTION("""COMPUTED_VALUE"""),"Hulsbosch, WPP, Chello")</f>
        <v>Hulsbosch, WPP, Chello</v>
      </c>
      <c r="I69" s="7">
        <f>IFERROR(__xludf.DUMMYFUNCTION("""COMPUTED_VALUE"""),21.0)</f>
        <v>21</v>
      </c>
      <c r="J69" s="7">
        <f>IFERROR(__xludf.DUMMYFUNCTION("""COMPUTED_VALUE"""),0.02)</f>
        <v>0.02</v>
      </c>
      <c r="K69" s="7">
        <f>IFERROR(__xludf.DUMMYFUNCTION("""COMPUTED_VALUE"""),1.29)</f>
        <v>1.29</v>
      </c>
      <c r="L69" s="7"/>
    </row>
    <row r="70" ht="15.75" customHeight="1">
      <c r="A70" s="6" t="str">
        <f>IFERROR(__xludf.DUMMYFUNCTION("""COMPUTED_VALUE"""),"https://www.caribbeannationalweekly.com/posts/top-generative-engine-optimisation-geo-agencies-for-australian-brands")</f>
        <v>https://www.caribbeannationalweekly.com/posts/top-generative-engine-optimisation-geo-agencies-for-australian-brands</v>
      </c>
      <c r="B70" s="7" t="str">
        <f>IFERROR(__xludf.DUMMYFUNCTION("""COMPUTED_VALUE"""),"Top Generative Engine Optimisation Agencies for Brands")</f>
        <v>Top Generative Engine Optimisation Agencies for Brands</v>
      </c>
      <c r="C70" s="6" t="str">
        <f>IFERROR(__xludf.DUMMYFUNCTION("""COMPUTED_VALUE"""),"caribbeannationalweekly.com")</f>
        <v>caribbeannationalweekly.com</v>
      </c>
      <c r="D70" s="7" t="str">
        <f>IFERROR(__xludf.DUMMYFUNCTION("""COMPUTED_VALUE"""),"LISTICLE")</f>
        <v>LISTICLE</v>
      </c>
      <c r="E70" s="7" t="str">
        <f>IFERROR(__xludf.DUMMYFUNCTION("""COMPUTED_VALUE"""),"EDITORIAL")</f>
        <v>EDITORIAL</v>
      </c>
      <c r="F70" s="7" t="str">
        <f>IFERROR(__xludf.DUMMYFUNCTION("""COMPUTED_VALUE"""),"Listicle")</f>
        <v>Listicle</v>
      </c>
      <c r="G70" s="7" t="b">
        <f>IFERROR(__xludf.DUMMYFUNCTION("""COMPUTED_VALUE"""),FALSE)</f>
        <v>0</v>
      </c>
      <c r="H70" s="7" t="str">
        <f>IFERROR(__xludf.DUMMYFUNCTION("""COMPUTED_VALUE"""),"NP Digital Australia, StudioHawk, Impressive, Prosperity Media, Rocket Agency, Reef Digital Agency, Webprofits, Farsiight, Alpha Digital")</f>
        <v>NP Digital Australia, StudioHawk, Impressive, Prosperity Media, Rocket Agency, Reef Digital Agency, Webprofits, Farsiight, Alpha Digital</v>
      </c>
      <c r="I70" s="7">
        <f>IFERROR(__xludf.DUMMYFUNCTION("""COMPUTED_VALUE"""),20.0)</f>
        <v>20</v>
      </c>
      <c r="J70" s="7">
        <f>IFERROR(__xludf.DUMMYFUNCTION("""COMPUTED_VALUE"""),0.02)</f>
        <v>0.02</v>
      </c>
      <c r="K70" s="7">
        <f>IFERROR(__xludf.DUMMYFUNCTION("""COMPUTED_VALUE"""),0.45)</f>
        <v>0.45</v>
      </c>
      <c r="L70" s="7"/>
    </row>
    <row r="71" ht="15.75" customHeight="1">
      <c r="A71" s="6" t="str">
        <f>IFERROR(__xludf.DUMMYFUNCTION("""COMPUTED_VALUE"""),"https://edisonai.au/insights/top-ai-consulting-firms-australia#:~:text=Quick%20answer.%20Australia's%20best%20AI%20consulting%20firm,for%20secure%20Microsoft%20365%20and%20Copilot%20adoption.")</f>
        <v>https://edisonai.au/insights/top-ai-consulting-firms-australia#:~:text=Quick%20answer.%20Australia's%20best%20AI%20consulting%20firm,for%20secure%20Microsoft%20365%20and%20Copilot%20adoption.</v>
      </c>
      <c r="B71" s="7" t="str">
        <f>IFERROR(__xludf.DUMMYFUNCTION("""COMPUTED_VALUE"""),"Top 7 AI Consulting Firms in Australia (2026) \| Edison AI")</f>
        <v>Top 7 AI Consulting Firms in Australia (2026) \| Edison AI</v>
      </c>
      <c r="C71" s="6" t="str">
        <f>IFERROR(__xludf.DUMMYFUNCTION("""COMPUTED_VALUE"""),"edisonai.au")</f>
        <v>edisonai.au</v>
      </c>
      <c r="D71" s="7" t="str">
        <f>IFERROR(__xludf.DUMMYFUNCTION("""COMPUTED_VALUE"""),"LISTICLE")</f>
        <v>LISTICLE</v>
      </c>
      <c r="E71" s="7" t="str">
        <f>IFERROR(__xludf.DUMMYFUNCTION("""COMPUTED_VALUE"""),"CORPORATE")</f>
        <v>CORPORATE</v>
      </c>
      <c r="F71" s="7" t="str">
        <f>IFERROR(__xludf.DUMMYFUNCTION("""COMPUTED_VALUE"""),"Listicle")</f>
        <v>Listicle</v>
      </c>
      <c r="G71" s="7" t="b">
        <f>IFERROR(__xludf.DUMMYFUNCTION("""COMPUTED_VALUE"""),FALSE)</f>
        <v>0</v>
      </c>
      <c r="H71" s="7" t="str">
        <f>IFERROR(__xludf.DUMMYFUNCTION("""COMPUTED_VALUE"""),"Edison AI, Deloitte, KPMG, Mantel Group, Momentum, Measured")</f>
        <v>Edison AI, Deloitte, KPMG, Mantel Group, Momentum, Measured</v>
      </c>
      <c r="I71" s="7">
        <f>IFERROR(__xludf.DUMMYFUNCTION("""COMPUTED_VALUE"""),20.0)</f>
        <v>20</v>
      </c>
      <c r="J71" s="7">
        <f>IFERROR(__xludf.DUMMYFUNCTION("""COMPUTED_VALUE"""),0.02)</f>
        <v>0.02</v>
      </c>
      <c r="K71" s="7">
        <f>IFERROR(__xludf.DUMMYFUNCTION("""COMPUTED_VALUE"""),2.35)</f>
        <v>2.35</v>
      </c>
      <c r="L71" s="7"/>
    </row>
    <row r="72" ht="15.75" customHeight="1">
      <c r="A72" s="6" t="str">
        <f>IFERROR(__xludf.DUMMYFUNCTION("""COMPUTED_VALUE"""),"https://findcreatives.com.au/journal/top-creative-agencies-in-australia")</f>
        <v>https://findcreatives.com.au/journal/top-creative-agencies-in-australia</v>
      </c>
      <c r="B72" s="7" t="str">
        <f>IFERROR(__xludf.DUMMYFUNCTION("""COMPUTED_VALUE"""),"Top Creative Agencies in Australia | Find Creatives")</f>
        <v>Top Creative Agencies in Australia | Find Creatives</v>
      </c>
      <c r="C72" s="6" t="str">
        <f>IFERROR(__xludf.DUMMYFUNCTION("""COMPUTED_VALUE"""),"findcreatives.com.au")</f>
        <v>findcreatives.com.au</v>
      </c>
      <c r="D72" s="7" t="str">
        <f>IFERROR(__xludf.DUMMYFUNCTION("""COMPUTED_VALUE"""),"LISTICLE")</f>
        <v>LISTICLE</v>
      </c>
      <c r="E72" s="7" t="str">
        <f>IFERROR(__xludf.DUMMYFUNCTION("""COMPUTED_VALUE"""),"CORPORATE")</f>
        <v>CORPORATE</v>
      </c>
      <c r="F72" s="7" t="str">
        <f>IFERROR(__xludf.DUMMYFUNCTION("""COMPUTED_VALUE"""),"Listicle")</f>
        <v>Listicle</v>
      </c>
      <c r="G72" s="7" t="b">
        <f>IFERROR(__xludf.DUMMYFUNCTION("""COMPUTED_VALUE"""),FALSE)</f>
        <v>0</v>
      </c>
      <c r="H72" s="7" t="str">
        <f>IFERROR(__xludf.DUMMYFUNCTION("""COMPUTED_VALUE"""),"Chello")</f>
        <v>Chello</v>
      </c>
      <c r="I72" s="7">
        <f>IFERROR(__xludf.DUMMYFUNCTION("""COMPUTED_VALUE"""),20.0)</f>
        <v>20</v>
      </c>
      <c r="J72" s="7">
        <f>IFERROR(__xludf.DUMMYFUNCTION("""COMPUTED_VALUE"""),0.02)</f>
        <v>0.02</v>
      </c>
      <c r="K72" s="7">
        <f>IFERROR(__xludf.DUMMYFUNCTION("""COMPUTED_VALUE"""),1.05)</f>
        <v>1.05</v>
      </c>
      <c r="L72" s="7"/>
    </row>
    <row r="73" ht="15.75" customHeight="1">
      <c r="A73" s="6" t="str">
        <f>IFERROR(__xludf.DUMMYFUNCTION("""COMPUTED_VALUE"""),"https://www.sortlist.com/s/paid-media/sydney-au")</f>
        <v>https://www.sortlist.com/s/paid-media/sydney-au</v>
      </c>
      <c r="B73" s="7" t="str">
        <f>IFERROR(__xludf.DUMMYFUNCTION("""COMPUTED_VALUE"""),"The 10 Best Paid Media Agencies in Sydney - 2026 Reviews")</f>
        <v>The 10 Best Paid Media Agencies in Sydney - 2026 Reviews</v>
      </c>
      <c r="C73" s="6" t="str">
        <f>IFERROR(__xludf.DUMMYFUNCTION("""COMPUTED_VALUE"""),"sortlist.com")</f>
        <v>sortlist.com</v>
      </c>
      <c r="D73" s="7" t="str">
        <f>IFERROR(__xludf.DUMMYFUNCTION("""COMPUTED_VALUE"""),"CATEGORY_PAGE")</f>
        <v>CATEGORY_PAGE</v>
      </c>
      <c r="E73" s="7" t="str">
        <f>IFERROR(__xludf.DUMMYFUNCTION("""COMPUTED_VALUE"""),"CORPORATE")</f>
        <v>CORPORATE</v>
      </c>
      <c r="F73" s="7" t="str">
        <f>IFERROR(__xludf.DUMMYFUNCTION("""COMPUTED_VALUE"""),"Category Page")</f>
        <v>Category Page</v>
      </c>
      <c r="G73" s="7" t="b">
        <f>IFERROR(__xludf.DUMMYFUNCTION("""COMPUTED_VALUE"""),FALSE)</f>
        <v>0</v>
      </c>
      <c r="H73" s="7" t="str">
        <f>IFERROR(__xludf.DUMMYFUNCTION("""COMPUTED_VALUE"""),"Impressive, Supple Digital, Measured, Earned Media, Clearwater Agency, SIXGUN, Ninja Promo, Momentum, Soup Agency, HERO, Digital Nomads HQ")</f>
        <v>Impressive, Supple Digital, Measured, Earned Media, Clearwater Agency, SIXGUN, Ninja Promo, Momentum, Soup Agency, HERO, Digital Nomads HQ</v>
      </c>
      <c r="I73" s="7">
        <f>IFERROR(__xludf.DUMMYFUNCTION("""COMPUTED_VALUE"""),20.0)</f>
        <v>20</v>
      </c>
      <c r="J73" s="7">
        <f>IFERROR(__xludf.DUMMYFUNCTION("""COMPUTED_VALUE"""),0.02)</f>
        <v>0.02</v>
      </c>
      <c r="K73" s="7">
        <f>IFERROR(__xludf.DUMMYFUNCTION("""COMPUTED_VALUE"""),0.55)</f>
        <v>0.55</v>
      </c>
      <c r="L73" s="7"/>
    </row>
    <row r="74" ht="15.75" customHeight="1">
      <c r="A74" s="6" t="str">
        <f>IFERROR(__xludf.DUMMYFUNCTION("""COMPUTED_VALUE"""),"https://www.sortlist.com/s/performance-marketing/australia-au")</f>
        <v>https://www.sortlist.com/s/performance-marketing/australia-au</v>
      </c>
      <c r="B74" s="7" t="str">
        <f>IFERROR(__xludf.DUMMYFUNCTION("""COMPUTED_VALUE"""),"The 10 Best Performance Marketing Agencies in Australia - 2026 Reviews")</f>
        <v>The 10 Best Performance Marketing Agencies in Australia - 2026 Reviews</v>
      </c>
      <c r="C74" s="6" t="str">
        <f>IFERROR(__xludf.DUMMYFUNCTION("""COMPUTED_VALUE"""),"sortlist.com")</f>
        <v>sortlist.com</v>
      </c>
      <c r="D74" s="7" t="str">
        <f>IFERROR(__xludf.DUMMYFUNCTION("""COMPUTED_VALUE"""),"CATEGORY_PAGE")</f>
        <v>CATEGORY_PAGE</v>
      </c>
      <c r="E74" s="7" t="str">
        <f>IFERROR(__xludf.DUMMYFUNCTION("""COMPUTED_VALUE"""),"CORPORATE")</f>
        <v>CORPORATE</v>
      </c>
      <c r="F74" s="7" t="str">
        <f>IFERROR(__xludf.DUMMYFUNCTION("""COMPUTED_VALUE"""),"Category Page")</f>
        <v>Category Page</v>
      </c>
      <c r="G74" s="7" t="b">
        <f>IFERROR(__xludf.DUMMYFUNCTION("""COMPUTED_VALUE"""),FALSE)</f>
        <v>0</v>
      </c>
      <c r="H74" s="7" t="str">
        <f>IFERROR(__xludf.DUMMYFUNCTION("""COMPUTED_VALUE"""),"Measured, Earned Media, Clearwater Agency, Impressive, Supple Digital, SIXGUN, Digital Nomads HQ, Soup Agency, HERO, Momentum, CUT THRU")</f>
        <v>Measured, Earned Media, Clearwater Agency, Impressive, Supple Digital, SIXGUN, Digital Nomads HQ, Soup Agency, HERO, Momentum, CUT THRU</v>
      </c>
      <c r="I74" s="7">
        <f>IFERROR(__xludf.DUMMYFUNCTION("""COMPUTED_VALUE"""),20.0)</f>
        <v>20</v>
      </c>
      <c r="J74" s="7">
        <f>IFERROR(__xludf.DUMMYFUNCTION("""COMPUTED_VALUE"""),0.02)</f>
        <v>0.02</v>
      </c>
      <c r="K74" s="7">
        <f>IFERROR(__xludf.DUMMYFUNCTION("""COMPUTED_VALUE"""),0.95)</f>
        <v>0.95</v>
      </c>
      <c r="L74" s="7"/>
    </row>
    <row r="75" ht="15.75" customHeight="1">
      <c r="A75" s="6" t="str">
        <f>IFERROR(__xludf.DUMMYFUNCTION("""COMPUTED_VALUE"""),"https://titanblue.com.au/best-seo-agency-australia/")</f>
        <v>https://titanblue.com.au/best-seo-agency-australia/</v>
      </c>
      <c r="B75" s="7" t="str">
        <f>IFERROR(__xludf.DUMMYFUNCTION("""COMPUTED_VALUE"""),"7 Of The Best SEO Agency Australia Picks For 2026")</f>
        <v>7 Of The Best SEO Agency Australia Picks For 2026</v>
      </c>
      <c r="C75" s="6" t="str">
        <f>IFERROR(__xludf.DUMMYFUNCTION("""COMPUTED_VALUE"""),"titanblue.com.au")</f>
        <v>titanblue.com.au</v>
      </c>
      <c r="D75" s="7" t="str">
        <f>IFERROR(__xludf.DUMMYFUNCTION("""COMPUTED_VALUE"""),"LISTICLE")</f>
        <v>LISTICLE</v>
      </c>
      <c r="E75" s="7" t="str">
        <f>IFERROR(__xludf.DUMMYFUNCTION("""COMPUTED_VALUE"""),"CORPORATE")</f>
        <v>CORPORATE</v>
      </c>
      <c r="F75" s="7" t="str">
        <f>IFERROR(__xludf.DUMMYFUNCTION("""COMPUTED_VALUE"""),"Listicle")</f>
        <v>Listicle</v>
      </c>
      <c r="G75" s="7" t="b">
        <f>IFERROR(__xludf.DUMMYFUNCTION("""COMPUTED_VALUE"""),FALSE)</f>
        <v>0</v>
      </c>
      <c r="H75" s="7" t="str">
        <f>IFERROR(__xludf.DUMMYFUNCTION("""COMPUTED_VALUE"""),"StudioHawk, Prosperity Media, Rocket Agency, Safari Digital, Online Marketing Gurus, Omnicom Media Group, Megantic")</f>
        <v>StudioHawk, Prosperity Media, Rocket Agency, Safari Digital, Online Marketing Gurus, Omnicom Media Group, Megantic</v>
      </c>
      <c r="I75" s="7">
        <f>IFERROR(__xludf.DUMMYFUNCTION("""COMPUTED_VALUE"""),20.0)</f>
        <v>20</v>
      </c>
      <c r="J75" s="7">
        <f>IFERROR(__xludf.DUMMYFUNCTION("""COMPUTED_VALUE"""),0.02)</f>
        <v>0.02</v>
      </c>
      <c r="K75" s="7">
        <f>IFERROR(__xludf.DUMMYFUNCTION("""COMPUTED_VALUE"""),0.3)</f>
        <v>0.3</v>
      </c>
      <c r="L75" s="7"/>
    </row>
    <row r="76" ht="15.75" customHeight="1">
      <c r="A76" s="6" t="str">
        <f>IFERROR(__xludf.DUMMYFUNCTION("""COMPUTED_VALUE"""),"https://conquerradigital.com.au/top-10-programmatic-ads-agencies-in-the-australia/")</f>
        <v>https://conquerradigital.com.au/top-10-programmatic-ads-agencies-in-the-australia/</v>
      </c>
      <c r="B76" s="7" t="str">
        <f>IFERROR(__xludf.DUMMYFUNCTION("""COMPUTED_VALUE"""),"Top 10 Programmatic Ads Agencies In The Australia | Conquerra Digital")</f>
        <v>Top 10 Programmatic Ads Agencies In The Australia | Conquerra Digital</v>
      </c>
      <c r="C76" s="6" t="str">
        <f>IFERROR(__xludf.DUMMYFUNCTION("""COMPUTED_VALUE"""),"conquerradigital.com.au")</f>
        <v>conquerradigital.com.au</v>
      </c>
      <c r="D76" s="7" t="str">
        <f>IFERROR(__xludf.DUMMYFUNCTION("""COMPUTED_VALUE"""),"LISTICLE")</f>
        <v>LISTICLE</v>
      </c>
      <c r="E76" s="7" t="str">
        <f>IFERROR(__xludf.DUMMYFUNCTION("""COMPUTED_VALUE"""),"CORPORATE")</f>
        <v>CORPORATE</v>
      </c>
      <c r="F76" s="7" t="str">
        <f>IFERROR(__xludf.DUMMYFUNCTION("""COMPUTED_VALUE"""),"Listicle")</f>
        <v>Listicle</v>
      </c>
      <c r="G76" s="7" t="b">
        <f>IFERROR(__xludf.DUMMYFUNCTION("""COMPUTED_VALUE"""),FALSE)</f>
        <v>0</v>
      </c>
      <c r="H76" s="7" t="str">
        <f>IFERROR(__xludf.DUMMYFUNCTION("""COMPUTED_VALUE"""),"Soup Agency, Bench Media, Rocket Agency, Megaphone, Resolution Digital, WebSavvy, Clearwater Agency, Momentum")</f>
        <v>Soup Agency, Bench Media, Rocket Agency, Megaphone, Resolution Digital, WebSavvy, Clearwater Agency, Momentum</v>
      </c>
      <c r="I76" s="7">
        <f>IFERROR(__xludf.DUMMYFUNCTION("""COMPUTED_VALUE"""),19.0)</f>
        <v>19</v>
      </c>
      <c r="J76" s="7">
        <f>IFERROR(__xludf.DUMMYFUNCTION("""COMPUTED_VALUE"""),0.02)</f>
        <v>0.02</v>
      </c>
      <c r="K76" s="7">
        <f>IFERROR(__xludf.DUMMYFUNCTION("""COMPUTED_VALUE"""),1.58)</f>
        <v>1.58</v>
      </c>
      <c r="L76" s="7"/>
    </row>
    <row r="77" ht="15.75" customHeight="1">
      <c r="A77" s="6" t="str">
        <f>IFERROR(__xludf.DUMMYFUNCTION("""COMPUTED_VALUE"""),"https://www.airanklab.com/blog/best-ai-seo-agencies-australia")</f>
        <v>https://www.airanklab.com/blog/best-ai-seo-agencies-australia</v>
      </c>
      <c r="B77" s="7" t="str">
        <f>IFERROR(__xludf.DUMMYFUNCTION("""COMPUTED_VALUE"""),"7 Best AI SEO Agencies in Australia 2026: Ranked | AI Rank Lab - Free SEO, AEO &amp;amp; GEO Analyzer")</f>
        <v>7 Best AI SEO Agencies in Australia 2026: Ranked | AI Rank Lab - Free SEO, AEO &amp;amp; GEO Analyzer</v>
      </c>
      <c r="C77" s="6" t="str">
        <f>IFERROR(__xludf.DUMMYFUNCTION("""COMPUTED_VALUE"""),"airanklab.com")</f>
        <v>airanklab.com</v>
      </c>
      <c r="D77" s="7" t="str">
        <f>IFERROR(__xludf.DUMMYFUNCTION("""COMPUTED_VALUE"""),"LISTICLE")</f>
        <v>LISTICLE</v>
      </c>
      <c r="E77" s="7" t="str">
        <f>IFERROR(__xludf.DUMMYFUNCTION("""COMPUTED_VALUE"""),"OTHER")</f>
        <v>OTHER</v>
      </c>
      <c r="F77" s="7" t="str">
        <f>IFERROR(__xludf.DUMMYFUNCTION("""COMPUTED_VALUE"""),"Listicle")</f>
        <v>Listicle</v>
      </c>
      <c r="G77" s="7" t="b">
        <f>IFERROR(__xludf.DUMMYFUNCTION("""COMPUTED_VALUE"""),FALSE)</f>
        <v>0</v>
      </c>
      <c r="H77" s="7" t="str">
        <f>IFERROR(__xludf.DUMMYFUNCTION("""COMPUTED_VALUE"""),"HERO, Supple Digital, StudioHawk, First Page")</f>
        <v>HERO, Supple Digital, StudioHawk, First Page</v>
      </c>
      <c r="I77" s="7">
        <f>IFERROR(__xludf.DUMMYFUNCTION("""COMPUTED_VALUE"""),18.0)</f>
        <v>18</v>
      </c>
      <c r="J77" s="7">
        <f>IFERROR(__xludf.DUMMYFUNCTION("""COMPUTED_VALUE"""),0.02)</f>
        <v>0.02</v>
      </c>
      <c r="K77" s="7">
        <f>IFERROR(__xludf.DUMMYFUNCTION("""COMPUTED_VALUE"""),0.78)</f>
        <v>0.78</v>
      </c>
      <c r="L77" s="7"/>
    </row>
    <row r="78" ht="15.75" customHeight="1">
      <c r="A78" s="6" t="str">
        <f>IFERROR(__xludf.DUMMYFUNCTION("""COMPUTED_VALUE"""),"https://clutch.co/au/agencies/social-media-marketing/facebook")</f>
        <v>https://clutch.co/au/agencies/social-media-marketing/facebook</v>
      </c>
      <c r="B78" s="7" t="str">
        <f>IFERROR(__xludf.DUMMYFUNCTION("""COMPUTED_VALUE"""),"Top Facebook Advertising Agencies in Australia - Jul 2026 Rankings | Clutch.co")</f>
        <v>Top Facebook Advertising Agencies in Australia - Jul 2026 Rankings | Clutch.co</v>
      </c>
      <c r="C78" s="6" t="str">
        <f>IFERROR(__xludf.DUMMYFUNCTION("""COMPUTED_VALUE"""),"clutch.co")</f>
        <v>clutch.co</v>
      </c>
      <c r="D78" s="7" t="str">
        <f>IFERROR(__xludf.DUMMYFUNCTION("""COMPUTED_VALUE"""),"CATEGORY_PAGE")</f>
        <v>CATEGORY_PAGE</v>
      </c>
      <c r="E78" s="7" t="str">
        <f>IFERROR(__xludf.DUMMYFUNCTION("""COMPUTED_VALUE"""),"CORPORATE")</f>
        <v>CORPORATE</v>
      </c>
      <c r="F78" s="7" t="str">
        <f>IFERROR(__xludf.DUMMYFUNCTION("""COMPUTED_VALUE"""),"Category Page")</f>
        <v>Category Page</v>
      </c>
      <c r="G78" s="7" t="b">
        <f>IFERROR(__xludf.DUMMYFUNCTION("""COMPUTED_VALUE"""),FALSE)</f>
        <v>0</v>
      </c>
      <c r="H78" s="7" t="str">
        <f>IFERROR(__xludf.DUMMYFUNCTION("""COMPUTED_VALUE"""),"Digital Nomads HQ, SIXGUN, Intesols, Impressive, Farsiight, Soup Agency, Emote Digital, Human Digital, Salt &amp; Fuessel, EvenDigit, Rocket Agency, Clearwater Agency, DNM Digital, Edge Marketing, Megaphone, Online Marketing Gurus, Omnicom Media Group, Parado"&amp;"x Marketing, Bench Media, Insil")</f>
        <v>Digital Nomads HQ, SIXGUN, Intesols, Impressive, Farsiight, Soup Agency, Emote Digital, Human Digital, Salt &amp; Fuessel, EvenDigit, Rocket Agency, Clearwater Agency, DNM Digital, Edge Marketing, Megaphone, Online Marketing Gurus, Omnicom Media Group, Paradox Marketing, Bench Media, Insil</v>
      </c>
      <c r="I78" s="7">
        <f>IFERROR(__xludf.DUMMYFUNCTION("""COMPUTED_VALUE"""),18.0)</f>
        <v>18</v>
      </c>
      <c r="J78" s="7">
        <f>IFERROR(__xludf.DUMMYFUNCTION("""COMPUTED_VALUE"""),0.02)</f>
        <v>0.02</v>
      </c>
      <c r="K78" s="7">
        <f>IFERROR(__xludf.DUMMYFUNCTION("""COMPUTED_VALUE"""),0.06)</f>
        <v>0.06</v>
      </c>
      <c r="L78" s="7"/>
    </row>
    <row r="79" ht="15.75" customHeight="1">
      <c r="A79" s="6" t="str">
        <f>IFERROR(__xludf.DUMMYFUNCTION("""COMPUTED_VALUE"""),"https://www.cometly.com/post/marketing-incrementality-testing-tools")</f>
        <v>https://www.cometly.com/post/marketing-incrementality-testing-tools</v>
      </c>
      <c r="B79" s="7" t="str">
        <f>IFERROR(__xludf.DUMMYFUNCTION("""COMPUTED_VALUE"""),"9 Best Marketing Incrementality Testing Tools 2026")</f>
        <v>9 Best Marketing Incrementality Testing Tools 2026</v>
      </c>
      <c r="C79" s="6" t="str">
        <f>IFERROR(__xludf.DUMMYFUNCTION("""COMPUTED_VALUE"""),"cometly.com")</f>
        <v>cometly.com</v>
      </c>
      <c r="D79" s="7" t="str">
        <f>IFERROR(__xludf.DUMMYFUNCTION("""COMPUTED_VALUE"""),"LISTICLE")</f>
        <v>LISTICLE</v>
      </c>
      <c r="E79" s="7" t="str">
        <f>IFERROR(__xludf.DUMMYFUNCTION("""COMPUTED_VALUE"""),"CORPORATE")</f>
        <v>CORPORATE</v>
      </c>
      <c r="F79" s="7" t="str">
        <f>IFERROR(__xludf.DUMMYFUNCTION("""COMPUTED_VALUE"""),"Listicle")</f>
        <v>Listicle</v>
      </c>
      <c r="G79" s="7" t="b">
        <f>IFERROR(__xludf.DUMMYFUNCTION("""COMPUTED_VALUE"""),FALSE)</f>
        <v>0</v>
      </c>
      <c r="H79" s="7" t="str">
        <f>IFERROR(__xludf.DUMMYFUNCTION("""COMPUTED_VALUE"""),"Measured, Lifesight, Haus")</f>
        <v>Measured, Lifesight, Haus</v>
      </c>
      <c r="I79" s="7">
        <f>IFERROR(__xludf.DUMMYFUNCTION("""COMPUTED_VALUE"""),18.0)</f>
        <v>18</v>
      </c>
      <c r="J79" s="7">
        <f>IFERROR(__xludf.DUMMYFUNCTION("""COMPUTED_VALUE"""),0.02)</f>
        <v>0.02</v>
      </c>
      <c r="K79" s="7">
        <f>IFERROR(__xludf.DUMMYFUNCTION("""COMPUTED_VALUE"""),0.67)</f>
        <v>0.67</v>
      </c>
      <c r="L79" s="7"/>
    </row>
    <row r="80" ht="15.75" customHeight="1">
      <c r="A80" s="6" t="str">
        <f>IFERROR(__xludf.DUMMYFUNCTION("""COMPUTED_VALUE"""),"https://mystrika.com/directory/agencies/top/data-analytics-in-country-australia")</f>
        <v>https://mystrika.com/directory/agencies/top/data-analytics-in-country-australia</v>
      </c>
      <c r="B80" s="7" t="str">
        <f>IFERROR(__xludf.DUMMYFUNCTION("""COMPUTED_VALUE"""),"Top Rated Data Analytics Agencies in Australia - Directory - Mystrika | Stop Cold Emailing. Start Conversations")</f>
        <v>Top Rated Data Analytics Agencies in Australia - Directory - Mystrika | Stop Cold Emailing. Start Conversations</v>
      </c>
      <c r="C80" s="6" t="str">
        <f>IFERROR(__xludf.DUMMYFUNCTION("""COMPUTED_VALUE"""),"mystrika.com")</f>
        <v>mystrika.com</v>
      </c>
      <c r="D80" s="7" t="str">
        <f>IFERROR(__xludf.DUMMYFUNCTION("""COMPUTED_VALUE"""),"OTHER")</f>
        <v>OTHER</v>
      </c>
      <c r="E80" s="7" t="str">
        <f>IFERROR(__xludf.DUMMYFUNCTION("""COMPUTED_VALUE"""),"OTHER")</f>
        <v>OTHER</v>
      </c>
      <c r="F80" s="7" t="str">
        <f>IFERROR(__xludf.DUMMYFUNCTION("""COMPUTED_VALUE"""),"Other")</f>
        <v>Other</v>
      </c>
      <c r="G80" s="7" t="b">
        <f>IFERROR(__xludf.DUMMYFUNCTION("""COMPUTED_VALUE"""),FALSE)</f>
        <v>0</v>
      </c>
      <c r="H80" s="7" t="str">
        <f>IFERROR(__xludf.DUMMYFUNCTION("""COMPUTED_VALUE"""),"Digital Nomads HQ, DNM Digital, Edge Marketing, Soup Agency, Supple Digital, 80/20 Digital, Bench Media, Bonfire, Measured, Clearwater Agency, Earned Media, Click Click Media, First Page, First Page Australia, Human Digital, Impressive, Megaphone, Online "&amp;"Marketing Gurus, Omnicom Media Group, Salt &amp; Fuessel, Luminary, Megantic, Rocket Agency, Webprofits")</f>
        <v>Digital Nomads HQ, DNM Digital, Edge Marketing, Soup Agency, Supple Digital, 80/20 Digital, Bench Media, Bonfire, Measured, Clearwater Agency, Earned Media, Click Click Media, First Page, First Page Australia, Human Digital, Impressive, Megaphone, Online Marketing Gurus, Omnicom Media Group, Salt &amp; Fuessel, Luminary, Megantic, Rocket Agency, Webprofits</v>
      </c>
      <c r="I80" s="7">
        <f>IFERROR(__xludf.DUMMYFUNCTION("""COMPUTED_VALUE"""),18.0)</f>
        <v>18</v>
      </c>
      <c r="J80" s="7">
        <f>IFERROR(__xludf.DUMMYFUNCTION("""COMPUTED_VALUE"""),0.02)</f>
        <v>0.02</v>
      </c>
      <c r="K80" s="7">
        <f>IFERROR(__xludf.DUMMYFUNCTION("""COMPUTED_VALUE"""),0.67)</f>
        <v>0.67</v>
      </c>
      <c r="L80" s="7"/>
    </row>
    <row r="81" ht="15.75" customHeight="1">
      <c r="A81" s="6" t="str">
        <f>IFERROR(__xludf.DUMMYFUNCTION("""COMPUTED_VALUE"""),"https://newsfromperth.com/business/our-top-7-ai-geo-generative-engine-optimisation-agencies-in-australia/")</f>
        <v>https://newsfromperth.com/business/our-top-7-ai-geo-generative-engine-optimisation-agencies-in-australia/</v>
      </c>
      <c r="B81" s="7" t="str">
        <f>IFERROR(__xludf.DUMMYFUNCTION("""COMPUTED_VALUE"""),"Our Top 7 AI GEO (Generative Engine Optimisation) Agencies in Australia – News from Perth")</f>
        <v>Our Top 7 AI GEO (Generative Engine Optimisation) Agencies in Australia – News from Perth</v>
      </c>
      <c r="C81" s="6" t="str">
        <f>IFERROR(__xludf.DUMMYFUNCTION("""COMPUTED_VALUE"""),"newsfromperth.com")</f>
        <v>newsfromperth.com</v>
      </c>
      <c r="D81" s="7" t="str">
        <f>IFERROR(__xludf.DUMMYFUNCTION("""COMPUTED_VALUE"""),"LISTICLE")</f>
        <v>LISTICLE</v>
      </c>
      <c r="E81" s="7" t="str">
        <f>IFERROR(__xludf.DUMMYFUNCTION("""COMPUTED_VALUE"""),"EDITORIAL")</f>
        <v>EDITORIAL</v>
      </c>
      <c r="F81" s="7" t="str">
        <f>IFERROR(__xludf.DUMMYFUNCTION("""COMPUTED_VALUE"""),"Listicle")</f>
        <v>Listicle</v>
      </c>
      <c r="G81" s="7" t="b">
        <f>IFERROR(__xludf.DUMMYFUNCTION("""COMPUTED_VALUE"""),FALSE)</f>
        <v>0</v>
      </c>
      <c r="H81" s="7"/>
      <c r="I81" s="7">
        <f>IFERROR(__xludf.DUMMYFUNCTION("""COMPUTED_VALUE"""),18.0)</f>
        <v>18</v>
      </c>
      <c r="J81" s="7">
        <f>IFERROR(__xludf.DUMMYFUNCTION("""COMPUTED_VALUE"""),0.02)</f>
        <v>0.02</v>
      </c>
      <c r="K81" s="7">
        <f>IFERROR(__xludf.DUMMYFUNCTION("""COMPUTED_VALUE"""),0.61)</f>
        <v>0.61</v>
      </c>
      <c r="L81" s="7"/>
    </row>
    <row r="82" ht="15.75" customHeight="1">
      <c r="A82" s="6" t="str">
        <f>IFERROR(__xludf.DUMMYFUNCTION("""COMPUTED_VALUE"""),"https://www.sortlist.com/s/creative/australia-au")</f>
        <v>https://www.sortlist.com/s/creative/australia-au</v>
      </c>
      <c r="B82" s="7" t="str">
        <f>IFERROR(__xludf.DUMMYFUNCTION("""COMPUTED_VALUE"""),"The 10 Best Creative Agencies in Australia - 2026 Reviews")</f>
        <v>The 10 Best Creative Agencies in Australia - 2026 Reviews</v>
      </c>
      <c r="C82" s="6" t="str">
        <f>IFERROR(__xludf.DUMMYFUNCTION("""COMPUTED_VALUE"""),"sortlist.com")</f>
        <v>sortlist.com</v>
      </c>
      <c r="D82" s="7" t="str">
        <f>IFERROR(__xludf.DUMMYFUNCTION("""COMPUTED_VALUE"""),"PROFILE")</f>
        <v>PROFILE</v>
      </c>
      <c r="E82" s="7" t="str">
        <f>IFERROR(__xludf.DUMMYFUNCTION("""COMPUTED_VALUE"""),"CORPORATE")</f>
        <v>CORPORATE</v>
      </c>
      <c r="F82" s="7" t="str">
        <f>IFERROR(__xludf.DUMMYFUNCTION("""COMPUTED_VALUE"""),"Profile")</f>
        <v>Profile</v>
      </c>
      <c r="G82" s="7" t="b">
        <f>IFERROR(__xludf.DUMMYFUNCTION("""COMPUTED_VALUE"""),FALSE)</f>
        <v>0</v>
      </c>
      <c r="H82" s="7" t="str">
        <f>IFERROR(__xludf.DUMMYFUNCTION("""COMPUTED_VALUE"""),"Momentum, Impressive, Ninja Promo")</f>
        <v>Momentum, Impressive, Ninja Promo</v>
      </c>
      <c r="I82" s="7">
        <f>IFERROR(__xludf.DUMMYFUNCTION("""COMPUTED_VALUE"""),18.0)</f>
        <v>18</v>
      </c>
      <c r="J82" s="7">
        <f>IFERROR(__xludf.DUMMYFUNCTION("""COMPUTED_VALUE"""),0.02)</f>
        <v>0.02</v>
      </c>
      <c r="K82" s="7">
        <f>IFERROR(__xludf.DUMMYFUNCTION("""COMPUTED_VALUE"""),0.0)</f>
        <v>0</v>
      </c>
      <c r="L82" s="7"/>
    </row>
    <row r="83" ht="15.75" customHeight="1">
      <c r="A83" s="6" t="str">
        <f>IFERROR(__xludf.DUMMYFUNCTION("""COMPUTED_VALUE"""),"https://www.sortlist.com/s/performance-marketing/melbourne-au")</f>
        <v>https://www.sortlist.com/s/performance-marketing/melbourne-au</v>
      </c>
      <c r="B83" s="7" t="str">
        <f>IFERROR(__xludf.DUMMYFUNCTION("""COMPUTED_VALUE"""),"The 10 Best Performance Marketing Agencies in Melbourne - 2026 Reviews")</f>
        <v>The 10 Best Performance Marketing Agencies in Melbourne - 2026 Reviews</v>
      </c>
      <c r="C83" s="6" t="str">
        <f>IFERROR(__xludf.DUMMYFUNCTION("""COMPUTED_VALUE"""),"sortlist.com")</f>
        <v>sortlist.com</v>
      </c>
      <c r="D83" s="7" t="str">
        <f>IFERROR(__xludf.DUMMYFUNCTION("""COMPUTED_VALUE"""),"CATEGORY_PAGE")</f>
        <v>CATEGORY_PAGE</v>
      </c>
      <c r="E83" s="7" t="str">
        <f>IFERROR(__xludf.DUMMYFUNCTION("""COMPUTED_VALUE"""),"CORPORATE")</f>
        <v>CORPORATE</v>
      </c>
      <c r="F83" s="7" t="str">
        <f>IFERROR(__xludf.DUMMYFUNCTION("""COMPUTED_VALUE"""),"Category Page")</f>
        <v>Category Page</v>
      </c>
      <c r="G83" s="7" t="b">
        <f>IFERROR(__xludf.DUMMYFUNCTION("""COMPUTED_VALUE"""),FALSE)</f>
        <v>0</v>
      </c>
      <c r="H83" s="7" t="str">
        <f>IFERROR(__xludf.DUMMYFUNCTION("""COMPUTED_VALUE"""),"Measured, Earned Media, Clearwater Agency, SIXGUN, Impressive, Supple Digital, Momentum, Adcore Elite, 80/20 Digital, Deloitte")</f>
        <v>Measured, Earned Media, Clearwater Agency, SIXGUN, Impressive, Supple Digital, Momentum, Adcore Elite, 80/20 Digital, Deloitte</v>
      </c>
      <c r="I83" s="7">
        <f>IFERROR(__xludf.DUMMYFUNCTION("""COMPUTED_VALUE"""),18.0)</f>
        <v>18</v>
      </c>
      <c r="J83" s="7">
        <f>IFERROR(__xludf.DUMMYFUNCTION("""COMPUTED_VALUE"""),0.02)</f>
        <v>0.02</v>
      </c>
      <c r="K83" s="7">
        <f>IFERROR(__xludf.DUMMYFUNCTION("""COMPUTED_VALUE"""),0.72)</f>
        <v>0.72</v>
      </c>
      <c r="L83" s="7"/>
    </row>
    <row r="84" ht="15.75" customHeight="1">
      <c r="A84" s="6" t="str">
        <f>IFERROR(__xludf.DUMMYFUNCTION("""COMPUTED_VALUE"""),"https://agencies.semrush.com/list/ai-optimization/australia/small-business/")</f>
        <v>https://agencies.semrush.com/list/ai-optimization/australia/small-business/</v>
      </c>
      <c r="B84" s="7" t="str">
        <f>IFERROR(__xludf.DUMMYFUNCTION("""COMPUTED_VALUE"""),"Best AI Search Optimization Agencies for Small Business in Australia 2026 | Semrush")</f>
        <v>Best AI Search Optimization Agencies for Small Business in Australia 2026 | Semrush</v>
      </c>
      <c r="C84" s="6" t="str">
        <f>IFERROR(__xludf.DUMMYFUNCTION("""COMPUTED_VALUE"""),"semrush.com")</f>
        <v>semrush.com</v>
      </c>
      <c r="D84" s="7" t="str">
        <f>IFERROR(__xludf.DUMMYFUNCTION("""COMPUTED_VALUE"""),"CATEGORY_PAGE")</f>
        <v>CATEGORY_PAGE</v>
      </c>
      <c r="E84" s="7" t="str">
        <f>IFERROR(__xludf.DUMMYFUNCTION("""COMPUTED_VALUE"""),"CORPORATE")</f>
        <v>CORPORATE</v>
      </c>
      <c r="F84" s="7" t="str">
        <f>IFERROR(__xludf.DUMMYFUNCTION("""COMPUTED_VALUE"""),"Category Page")</f>
        <v>Category Page</v>
      </c>
      <c r="G84" s="7" t="b">
        <f>IFERROR(__xludf.DUMMYFUNCTION("""COMPUTED_VALUE"""),FALSE)</f>
        <v>0</v>
      </c>
      <c r="H84" s="7" t="str">
        <f>IFERROR(__xludf.DUMMYFUNCTION("""COMPUTED_VALUE"""),"DNM Digital, First Page, Clearwater Agency, Measured, Earned Media, Online Marketing Gurus, Omnicom Media Group, Huge")</f>
        <v>DNM Digital, First Page, Clearwater Agency, Measured, Earned Media, Online Marketing Gurus, Omnicom Media Group, Huge</v>
      </c>
      <c r="I84" s="7">
        <f>IFERROR(__xludf.DUMMYFUNCTION("""COMPUTED_VALUE"""),17.0)</f>
        <v>17</v>
      </c>
      <c r="J84" s="7">
        <f>IFERROR(__xludf.DUMMYFUNCTION("""COMPUTED_VALUE"""),0.02)</f>
        <v>0.02</v>
      </c>
      <c r="K84" s="7">
        <f>IFERROR(__xludf.DUMMYFUNCTION("""COMPUTED_VALUE"""),0.18)</f>
        <v>0.18</v>
      </c>
      <c r="L84" s="7"/>
    </row>
    <row r="85" ht="15.75" customHeight="1">
      <c r="A85" s="6" t="str">
        <f>IFERROR(__xludf.DUMMYFUNCTION("""COMPUTED_VALUE"""),"https://programminginsider.com/the-10-best-agencies-for-seo-and-geo-visibility-in-australia/")</f>
        <v>https://programminginsider.com/the-10-best-agencies-for-seo-and-geo-visibility-in-australia/</v>
      </c>
      <c r="B85" s="7" t="str">
        <f>IFERROR(__xludf.DUMMYFUNCTION("""COMPUTED_VALUE"""),"The 10 Best Agencies for SEO and GEO Visibility in Australia - Programming Insider")</f>
        <v>The 10 Best Agencies for SEO and GEO Visibility in Australia - Programming Insider</v>
      </c>
      <c r="C85" s="6" t="str">
        <f>IFERROR(__xludf.DUMMYFUNCTION("""COMPUTED_VALUE"""),"programminginsider.com")</f>
        <v>programminginsider.com</v>
      </c>
      <c r="D85" s="7" t="str">
        <f>IFERROR(__xludf.DUMMYFUNCTION("""COMPUTED_VALUE"""),"LISTICLE")</f>
        <v>LISTICLE</v>
      </c>
      <c r="E85" s="7" t="str">
        <f>IFERROR(__xludf.DUMMYFUNCTION("""COMPUTED_VALUE"""),"EDITORIAL")</f>
        <v>EDITORIAL</v>
      </c>
      <c r="F85" s="7" t="str">
        <f>IFERROR(__xludf.DUMMYFUNCTION("""COMPUTED_VALUE"""),"Listicle")</f>
        <v>Listicle</v>
      </c>
      <c r="G85" s="7" t="b">
        <f>IFERROR(__xludf.DUMMYFUNCTION("""COMPUTED_VALUE"""),FALSE)</f>
        <v>0</v>
      </c>
      <c r="H85" s="7" t="str">
        <f>IFERROR(__xludf.DUMMYFUNCTION("""COMPUTED_VALUE"""),"NP Digital Australia, Zib Digital, Safari Digital, Megantic, 80/20 Digital, Click Click Media, Digital Nomads HQ")</f>
        <v>NP Digital Australia, Zib Digital, Safari Digital, Megantic, 80/20 Digital, Click Click Media, Digital Nomads HQ</v>
      </c>
      <c r="I85" s="7">
        <f>IFERROR(__xludf.DUMMYFUNCTION("""COMPUTED_VALUE"""),17.0)</f>
        <v>17</v>
      </c>
      <c r="J85" s="7">
        <f>IFERROR(__xludf.DUMMYFUNCTION("""COMPUTED_VALUE"""),0.02)</f>
        <v>0.02</v>
      </c>
      <c r="K85" s="7">
        <f>IFERROR(__xludf.DUMMYFUNCTION("""COMPUTED_VALUE"""),1.53)</f>
        <v>1.53</v>
      </c>
      <c r="L85" s="7"/>
    </row>
    <row r="86" ht="15.75" customHeight="1">
      <c r="A86" s="6" t="str">
        <f>IFERROR(__xludf.DUMMYFUNCTION("""COMPUTED_VALUE"""),"https://www.sortlist.com/s/marketing-analytics/australia-au")</f>
        <v>https://www.sortlist.com/s/marketing-analytics/australia-au</v>
      </c>
      <c r="B86" s="7" t="str">
        <f>IFERROR(__xludf.DUMMYFUNCTION("""COMPUTED_VALUE"""),"The 10 Best Marketing Analytics Companies in Australia - 2026 Reviews")</f>
        <v>The 10 Best Marketing Analytics Companies in Australia - 2026 Reviews</v>
      </c>
      <c r="C86" s="6" t="str">
        <f>IFERROR(__xludf.DUMMYFUNCTION("""COMPUTED_VALUE"""),"sortlist.com")</f>
        <v>sortlist.com</v>
      </c>
      <c r="D86" s="7" t="str">
        <f>IFERROR(__xludf.DUMMYFUNCTION("""COMPUTED_VALUE"""),"CATEGORY_PAGE")</f>
        <v>CATEGORY_PAGE</v>
      </c>
      <c r="E86" s="7" t="str">
        <f>IFERROR(__xludf.DUMMYFUNCTION("""COMPUTED_VALUE"""),"CORPORATE")</f>
        <v>CORPORATE</v>
      </c>
      <c r="F86" s="7" t="str">
        <f>IFERROR(__xludf.DUMMYFUNCTION("""COMPUTED_VALUE"""),"Category Page")</f>
        <v>Category Page</v>
      </c>
      <c r="G86" s="7" t="b">
        <f>IFERROR(__xludf.DUMMYFUNCTION("""COMPUTED_VALUE"""),FALSE)</f>
        <v>0</v>
      </c>
      <c r="H86" s="7" t="str">
        <f>IFERROR(__xludf.DUMMYFUNCTION("""COMPUTED_VALUE"""),"Digital Nomads HQ, Momentum, Soup Agency, HERO, SIXGUN, Impressive, Intelligent Resourcing, Ninja Promo")</f>
        <v>Digital Nomads HQ, Momentum, Soup Agency, HERO, SIXGUN, Impressive, Intelligent Resourcing, Ninja Promo</v>
      </c>
      <c r="I86" s="7">
        <f>IFERROR(__xludf.DUMMYFUNCTION("""COMPUTED_VALUE"""),17.0)</f>
        <v>17</v>
      </c>
      <c r="J86" s="7">
        <f>IFERROR(__xludf.DUMMYFUNCTION("""COMPUTED_VALUE"""),0.02)</f>
        <v>0.02</v>
      </c>
      <c r="K86" s="7">
        <f>IFERROR(__xludf.DUMMYFUNCTION("""COMPUTED_VALUE"""),0.65)</f>
        <v>0.65</v>
      </c>
      <c r="L86" s="7"/>
    </row>
    <row r="87" ht="15.75" customHeight="1">
      <c r="A87" s="6" t="str">
        <f>IFERROR(__xludf.DUMMYFUNCTION("""COMPUTED_VALUE"""),"https://www.designrush.com/agency/ad-agencies/au")</f>
        <v>https://www.designrush.com/agency/ad-agencies/au</v>
      </c>
      <c r="B87" s="7" t="str">
        <f>IFERROR(__xludf.DUMMYFUNCTION("""COMPUTED_VALUE"""),"Top Australia Advertising Agencies | 2026")</f>
        <v>Top Australia Advertising Agencies | 2026</v>
      </c>
      <c r="C87" s="6" t="str">
        <f>IFERROR(__xludf.DUMMYFUNCTION("""COMPUTED_VALUE"""),"designrush.com")</f>
        <v>designrush.com</v>
      </c>
      <c r="D87" s="7" t="str">
        <f>IFERROR(__xludf.DUMMYFUNCTION("""COMPUTED_VALUE"""),"CATEGORY_PAGE")</f>
        <v>CATEGORY_PAGE</v>
      </c>
      <c r="E87" s="7" t="str">
        <f>IFERROR(__xludf.DUMMYFUNCTION("""COMPUTED_VALUE"""),"CORPORATE")</f>
        <v>CORPORATE</v>
      </c>
      <c r="F87" s="7" t="str">
        <f>IFERROR(__xludf.DUMMYFUNCTION("""COMPUTED_VALUE"""),"Category Page")</f>
        <v>Category Page</v>
      </c>
      <c r="G87" s="7" t="b">
        <f>IFERROR(__xludf.DUMMYFUNCTION("""COMPUTED_VALUE"""),FALSE)</f>
        <v>0</v>
      </c>
      <c r="H87" s="7" t="str">
        <f>IFERROR(__xludf.DUMMYFUNCTION("""COMPUTED_VALUE"""),"Growth Digital, Soup Agency")</f>
        <v>Growth Digital, Soup Agency</v>
      </c>
      <c r="I87" s="7">
        <f>IFERROR(__xludf.DUMMYFUNCTION("""COMPUTED_VALUE"""),16.0)</f>
        <v>16</v>
      </c>
      <c r="J87" s="7">
        <f>IFERROR(__xludf.DUMMYFUNCTION("""COMPUTED_VALUE"""),0.02)</f>
        <v>0.02</v>
      </c>
      <c r="K87" s="7">
        <f>IFERROR(__xludf.DUMMYFUNCTION("""COMPUTED_VALUE"""),0.0)</f>
        <v>0</v>
      </c>
      <c r="L87" s="7"/>
    </row>
    <row r="88" ht="15.75" customHeight="1">
      <c r="A88" s="6" t="str">
        <f>IFERROR(__xludf.DUMMYFUNCTION("""COMPUTED_VALUE"""),"https://mentionfirst.ai/best-ai-seo-agencies-in-australia-the-2026-rankings/")</f>
        <v>https://mentionfirst.ai/best-ai-seo-agencies-in-australia-the-2026-rankings/</v>
      </c>
      <c r="B88" s="7" t="str">
        <f>IFERROR(__xludf.DUMMYFUNCTION("""COMPUTED_VALUE"""),"Best AI SEO Agencies in Australia: The 2026 Rankings - Mention First AI")</f>
        <v>Best AI SEO Agencies in Australia: The 2026 Rankings - Mention First AI</v>
      </c>
      <c r="C88" s="6" t="str">
        <f>IFERROR(__xludf.DUMMYFUNCTION("""COMPUTED_VALUE"""),"mentionfirst.ai")</f>
        <v>mentionfirst.ai</v>
      </c>
      <c r="D88" s="7" t="str">
        <f>IFERROR(__xludf.DUMMYFUNCTION("""COMPUTED_VALUE"""),"LISTICLE")</f>
        <v>LISTICLE</v>
      </c>
      <c r="E88" s="7" t="str">
        <f>IFERROR(__xludf.DUMMYFUNCTION("""COMPUTED_VALUE"""),"CORPORATE")</f>
        <v>CORPORATE</v>
      </c>
      <c r="F88" s="7" t="str">
        <f>IFERROR(__xludf.DUMMYFUNCTION("""COMPUTED_VALUE"""),"Listicle")</f>
        <v>Listicle</v>
      </c>
      <c r="G88" s="7" t="b">
        <f>IFERROR(__xludf.DUMMYFUNCTION("""COMPUTED_VALUE"""),FALSE)</f>
        <v>0</v>
      </c>
      <c r="H88" s="7" t="str">
        <f>IFERROR(__xludf.DUMMYFUNCTION("""COMPUTED_VALUE"""),"Online Marketing Gurus, Omnicom Media Group, Digital Nomads HQ, Supple Digital, Emote Digital")</f>
        <v>Online Marketing Gurus, Omnicom Media Group, Digital Nomads HQ, Supple Digital, Emote Digital</v>
      </c>
      <c r="I88" s="7">
        <f>IFERROR(__xludf.DUMMYFUNCTION("""COMPUTED_VALUE"""),16.0)</f>
        <v>16</v>
      </c>
      <c r="J88" s="7">
        <f>IFERROR(__xludf.DUMMYFUNCTION("""COMPUTED_VALUE"""),0.02)</f>
        <v>0.02</v>
      </c>
      <c r="K88" s="7">
        <f>IFERROR(__xludf.DUMMYFUNCTION("""COMPUTED_VALUE"""),1.25)</f>
        <v>1.25</v>
      </c>
      <c r="L88" s="7"/>
    </row>
    <row r="89" ht="15.75" customHeight="1">
      <c r="A89" s="6" t="str">
        <f>IFERROR(__xludf.DUMMYFUNCTION("""COMPUTED_VALUE"""),"https://www.smartosc.com/top-10-ai-consulting-firms-in-australia/")</f>
        <v>https://www.smartosc.com/top-10-ai-consulting-firms-in-australia/</v>
      </c>
      <c r="B89" s="7" t="str">
        <f>IFERROR(__xludf.DUMMYFUNCTION("""COMPUTED_VALUE"""),"Top 10 AI Consulting Firms in Australia for Enterprise Transformation - SmartOSC")</f>
        <v>Top 10 AI Consulting Firms in Australia for Enterprise Transformation - SmartOSC</v>
      </c>
      <c r="C89" s="6" t="str">
        <f>IFERROR(__xludf.DUMMYFUNCTION("""COMPUTED_VALUE"""),"smartosc.com")</f>
        <v>smartosc.com</v>
      </c>
      <c r="D89" s="7" t="str">
        <f>IFERROR(__xludf.DUMMYFUNCTION("""COMPUTED_VALUE"""),"LISTICLE")</f>
        <v>LISTICLE</v>
      </c>
      <c r="E89" s="7" t="str">
        <f>IFERROR(__xludf.DUMMYFUNCTION("""COMPUTED_VALUE"""),"COMPETITOR")</f>
        <v>COMPETITOR</v>
      </c>
      <c r="F89" s="7" t="str">
        <f>IFERROR(__xludf.DUMMYFUNCTION("""COMPUTED_VALUE"""),"Listicle")</f>
        <v>Listicle</v>
      </c>
      <c r="G89" s="7" t="b">
        <f>IFERROR(__xludf.DUMMYFUNCTION("""COMPUTED_VALUE"""),FALSE)</f>
        <v>0</v>
      </c>
      <c r="H89" s="7" t="str">
        <f>IFERROR(__xludf.DUMMYFUNCTION("""COMPUTED_VALUE"""),"SmartOSC, Deloitte, KPMG")</f>
        <v>SmartOSC, Deloitte, KPMG</v>
      </c>
      <c r="I89" s="7">
        <f>IFERROR(__xludf.DUMMYFUNCTION("""COMPUTED_VALUE"""),16.0)</f>
        <v>16</v>
      </c>
      <c r="J89" s="7">
        <f>IFERROR(__xludf.DUMMYFUNCTION("""COMPUTED_VALUE"""),0.02)</f>
        <v>0.02</v>
      </c>
      <c r="K89" s="7">
        <f>IFERROR(__xludf.DUMMYFUNCTION("""COMPUTED_VALUE"""),0.31)</f>
        <v>0.31</v>
      </c>
      <c r="L89" s="7"/>
    </row>
    <row r="90" ht="15.75" customHeight="1">
      <c r="A90" s="6" t="str">
        <f>IFERROR(__xludf.DUMMYFUNCTION("""COMPUTED_VALUE"""),"https://www.softwaresuggest.com/services/marketing-analytics-companies/australia")</f>
        <v>https://www.softwaresuggest.com/services/marketing-analytics-companies/australia</v>
      </c>
      <c r="B90" s="7" t="str">
        <f>IFERROR(__xludf.DUMMYFUNCTION("""COMPUTED_VALUE"""),"Top Marketing analytics Companies in Australia for 2025")</f>
        <v>Top Marketing analytics Companies in Australia for 2025</v>
      </c>
      <c r="C90" s="6" t="str">
        <f>IFERROR(__xludf.DUMMYFUNCTION("""COMPUTED_VALUE"""),"softwaresuggest.com")</f>
        <v>softwaresuggest.com</v>
      </c>
      <c r="D90" s="7" t="str">
        <f>IFERROR(__xludf.DUMMYFUNCTION("""COMPUTED_VALUE"""),"CATEGORY_PAGE")</f>
        <v>CATEGORY_PAGE</v>
      </c>
      <c r="E90" s="7" t="str">
        <f>IFERROR(__xludf.DUMMYFUNCTION("""COMPUTED_VALUE"""),"REFERENCE")</f>
        <v>REFERENCE</v>
      </c>
      <c r="F90" s="7" t="str">
        <f>IFERROR(__xludf.DUMMYFUNCTION("""COMPUTED_VALUE"""),"Category Page")</f>
        <v>Category Page</v>
      </c>
      <c r="G90" s="7" t="b">
        <f>IFERROR(__xludf.DUMMYFUNCTION("""COMPUTED_VALUE"""),FALSE)</f>
        <v>0</v>
      </c>
      <c r="H90" s="7"/>
      <c r="I90" s="7">
        <f>IFERROR(__xludf.DUMMYFUNCTION("""COMPUTED_VALUE"""),16.0)</f>
        <v>16</v>
      </c>
      <c r="J90" s="7">
        <f>IFERROR(__xludf.DUMMYFUNCTION("""COMPUTED_VALUE"""),0.02)</f>
        <v>0.02</v>
      </c>
      <c r="K90" s="7">
        <f>IFERROR(__xludf.DUMMYFUNCTION("""COMPUTED_VALUE"""),0.0)</f>
        <v>0</v>
      </c>
      <c r="L90" s="7"/>
    </row>
    <row r="91" ht="15.75" customHeight="1">
      <c r="A91" s="6" t="str">
        <f>IFERROR(__xludf.DUMMYFUNCTION("""COMPUTED_VALUE"""),"https://superbcompanies.com/categories/creative-agencies-in-australia/")</f>
        <v>https://superbcompanies.com/categories/creative-agencies-in-australia/</v>
      </c>
      <c r="B91" s="7" t="str">
        <f>IFERROR(__xludf.DUMMYFUNCTION("""COMPUTED_VALUE"""),"Top 100 Creative Agencies in Australia - Jul 2026 | Ranking | SuperbCompanies")</f>
        <v>Top 100 Creative Agencies in Australia - Jul 2026 | Ranking | SuperbCompanies</v>
      </c>
      <c r="C91" s="6" t="str">
        <f>IFERROR(__xludf.DUMMYFUNCTION("""COMPUTED_VALUE"""),"superbcompanies.com")</f>
        <v>superbcompanies.com</v>
      </c>
      <c r="D91" s="7" t="str">
        <f>IFERROR(__xludf.DUMMYFUNCTION("""COMPUTED_VALUE"""),"LISTICLE")</f>
        <v>LISTICLE</v>
      </c>
      <c r="E91" s="7" t="str">
        <f>IFERROR(__xludf.DUMMYFUNCTION("""COMPUTED_VALUE"""),"REFERENCE")</f>
        <v>REFERENCE</v>
      </c>
      <c r="F91" s="7" t="str">
        <f>IFERROR(__xludf.DUMMYFUNCTION("""COMPUTED_VALUE"""),"Listicle")</f>
        <v>Listicle</v>
      </c>
      <c r="G91" s="7" t="b">
        <f>IFERROR(__xludf.DUMMYFUNCTION("""COMPUTED_VALUE"""),FALSE)</f>
        <v>0</v>
      </c>
      <c r="H91" s="7" t="str">
        <f>IFERROR(__xludf.DUMMYFUNCTION("""COMPUTED_VALUE"""),"Emote Digital, Luminary, Impressive")</f>
        <v>Emote Digital, Luminary, Impressive</v>
      </c>
      <c r="I91" s="7">
        <f>IFERROR(__xludf.DUMMYFUNCTION("""COMPUTED_VALUE"""),16.0)</f>
        <v>16</v>
      </c>
      <c r="J91" s="7">
        <f>IFERROR(__xludf.DUMMYFUNCTION("""COMPUTED_VALUE"""),0.02)</f>
        <v>0.02</v>
      </c>
      <c r="K91" s="7">
        <f>IFERROR(__xludf.DUMMYFUNCTION("""COMPUTED_VALUE"""),0.0)</f>
        <v>0</v>
      </c>
      <c r="L91" s="7"/>
    </row>
    <row r="92" ht="15.75" customHeight="1">
      <c r="A92" s="6" t="str">
        <f>IFERROR(__xludf.DUMMYFUNCTION("""COMPUTED_VALUE"""),"https://agencies.semrush.com/list/machine-learning-and-ai/australia/")</f>
        <v>https://agencies.semrush.com/list/machine-learning-and-ai/australia/</v>
      </c>
      <c r="B92" s="7" t="str">
        <f>IFERROR(__xludf.DUMMYFUNCTION("""COMPUTED_VALUE"""),"Best Machine Learning and AI Services in Australia 2026 | Semrush")</f>
        <v>Best Machine Learning and AI Services in Australia 2026 | Semrush</v>
      </c>
      <c r="C92" s="6" t="str">
        <f>IFERROR(__xludf.DUMMYFUNCTION("""COMPUTED_VALUE"""),"semrush.com")</f>
        <v>semrush.com</v>
      </c>
      <c r="D92" s="7" t="str">
        <f>IFERROR(__xludf.DUMMYFUNCTION("""COMPUTED_VALUE"""),"CATEGORY_PAGE")</f>
        <v>CATEGORY_PAGE</v>
      </c>
      <c r="E92" s="7" t="str">
        <f>IFERROR(__xludf.DUMMYFUNCTION("""COMPUTED_VALUE"""),"CORPORATE")</f>
        <v>CORPORATE</v>
      </c>
      <c r="F92" s="7" t="str">
        <f>IFERROR(__xludf.DUMMYFUNCTION("""COMPUTED_VALUE"""),"Category Page")</f>
        <v>Category Page</v>
      </c>
      <c r="G92" s="7" t="b">
        <f>IFERROR(__xludf.DUMMYFUNCTION("""COMPUTED_VALUE"""),FALSE)</f>
        <v>0</v>
      </c>
      <c r="H92" s="7" t="str">
        <f>IFERROR(__xludf.DUMMYFUNCTION("""COMPUTED_VALUE"""),"Soup Agency, First Page, Clearwater Agency, Measured, Earned Media, Impressive, Online Marketing Gurus, Omnicom Media Group, 80/20 Digital")</f>
        <v>Soup Agency, First Page, Clearwater Agency, Measured, Earned Media, Impressive, Online Marketing Gurus, Omnicom Media Group, 80/20 Digital</v>
      </c>
      <c r="I92" s="7">
        <f>IFERROR(__xludf.DUMMYFUNCTION("""COMPUTED_VALUE"""),15.0)</f>
        <v>15</v>
      </c>
      <c r="J92" s="7">
        <f>IFERROR(__xludf.DUMMYFUNCTION("""COMPUTED_VALUE"""),0.02)</f>
        <v>0.02</v>
      </c>
      <c r="K92" s="7">
        <f>IFERROR(__xludf.DUMMYFUNCTION("""COMPUTED_VALUE"""),0.0)</f>
        <v>0</v>
      </c>
      <c r="L92" s="7"/>
    </row>
    <row r="93" ht="15.75" customHeight="1">
      <c r="A93" s="6" t="str">
        <f>IFERROR(__xludf.DUMMYFUNCTION("""COMPUTED_VALUE"""),"https://mediaplusdigital.co/au/top-digital-media-agencies-in-australia/")</f>
        <v>https://mediaplusdigital.co/au/top-digital-media-agencies-in-australia/</v>
      </c>
      <c r="B93" s="7" t="str">
        <f>IFERROR(__xludf.DUMMYFUNCTION("""COMPUTED_VALUE"""),"Top 10 Digital Media Agencies in Australia (2026): Compared by Specialisation - MPD Australia")</f>
        <v>Top 10 Digital Media Agencies in Australia (2026): Compared by Specialisation - MPD Australia</v>
      </c>
      <c r="C93" s="6" t="str">
        <f>IFERROR(__xludf.DUMMYFUNCTION("""COMPUTED_VALUE"""),"mediaplusdigital.co")</f>
        <v>mediaplusdigital.co</v>
      </c>
      <c r="D93" s="7" t="str">
        <f>IFERROR(__xludf.DUMMYFUNCTION("""COMPUTED_VALUE"""),"LISTICLE")</f>
        <v>LISTICLE</v>
      </c>
      <c r="E93" s="7" t="str">
        <f>IFERROR(__xludf.DUMMYFUNCTION("""COMPUTED_VALUE"""),"CORPORATE")</f>
        <v>CORPORATE</v>
      </c>
      <c r="F93" s="7" t="str">
        <f>IFERROR(__xludf.DUMMYFUNCTION("""COMPUTED_VALUE"""),"Listicle")</f>
        <v>Listicle</v>
      </c>
      <c r="G93" s="7" t="b">
        <f>IFERROR(__xludf.DUMMYFUNCTION("""COMPUTED_VALUE"""),FALSE)</f>
        <v>0</v>
      </c>
      <c r="H93" s="7" t="str">
        <f>IFERROR(__xludf.DUMMYFUNCTION("""COMPUTED_VALUE"""),"OMD, EssenceMediacom, WPP, Wavemaker, Sparro, Brainlabs, Impressive, King Kong, Rocket Agency, Megaphone, Clearwater Agency, Luminary, Measured, Momentum")</f>
        <v>OMD, EssenceMediacom, WPP, Wavemaker, Sparro, Brainlabs, Impressive, King Kong, Rocket Agency, Megaphone, Clearwater Agency, Luminary, Measured, Momentum</v>
      </c>
      <c r="I93" s="7">
        <f>IFERROR(__xludf.DUMMYFUNCTION("""COMPUTED_VALUE"""),15.0)</f>
        <v>15</v>
      </c>
      <c r="J93" s="7">
        <f>IFERROR(__xludf.DUMMYFUNCTION("""COMPUTED_VALUE"""),0.02)</f>
        <v>0.02</v>
      </c>
      <c r="K93" s="7">
        <f>IFERROR(__xludf.DUMMYFUNCTION("""COMPUTED_VALUE"""),0.47)</f>
        <v>0.47</v>
      </c>
      <c r="L93" s="7"/>
    </row>
    <row r="94" ht="15.75" customHeight="1">
      <c r="A94" s="6" t="str">
        <f>IFERROR(__xludf.DUMMYFUNCTION("""COMPUTED_VALUE"""),"https://omnieclipse.ai/au/blog/best-aeo-agencies-australia-2026")</f>
        <v>https://omnieclipse.ai/au/blog/best-aeo-agencies-australia-2026</v>
      </c>
      <c r="B94" s="7" t="str">
        <f>IFERROR(__xludf.DUMMYFUNCTION("""COMPUTED_VALUE"""),"Best AEO Agencies in Australia for 2026 | Omni Eclipse")</f>
        <v>Best AEO Agencies in Australia for 2026 | Omni Eclipse</v>
      </c>
      <c r="C94" s="6" t="str">
        <f>IFERROR(__xludf.DUMMYFUNCTION("""COMPUTED_VALUE"""),"omnieclipse.ai")</f>
        <v>omnieclipse.ai</v>
      </c>
      <c r="D94" s="7" t="str">
        <f>IFERROR(__xludf.DUMMYFUNCTION("""COMPUTED_VALUE"""),"LISTICLE")</f>
        <v>LISTICLE</v>
      </c>
      <c r="E94" s="7" t="str">
        <f>IFERROR(__xludf.DUMMYFUNCTION("""COMPUTED_VALUE"""),"CORPORATE")</f>
        <v>CORPORATE</v>
      </c>
      <c r="F94" s="7" t="str">
        <f>IFERROR(__xludf.DUMMYFUNCTION("""COMPUTED_VALUE"""),"Listicle")</f>
        <v>Listicle</v>
      </c>
      <c r="G94" s="7" t="b">
        <f>IFERROR(__xludf.DUMMYFUNCTION("""COMPUTED_VALUE"""),FALSE)</f>
        <v>0</v>
      </c>
      <c r="H94" s="7" t="str">
        <f>IFERROR(__xludf.DUMMYFUNCTION("""COMPUTED_VALUE"""),"Omni Eclipse, Talons Marketing, Luminary, Intesols, Brainlabs, Bushnote")</f>
        <v>Omni Eclipse, Talons Marketing, Luminary, Intesols, Brainlabs, Bushnote</v>
      </c>
      <c r="I94" s="7">
        <f>IFERROR(__xludf.DUMMYFUNCTION("""COMPUTED_VALUE"""),15.0)</f>
        <v>15</v>
      </c>
      <c r="J94" s="7">
        <f>IFERROR(__xludf.DUMMYFUNCTION("""COMPUTED_VALUE"""),0.02)</f>
        <v>0.02</v>
      </c>
      <c r="K94" s="7">
        <f>IFERROR(__xludf.DUMMYFUNCTION("""COMPUTED_VALUE"""),2.4)</f>
        <v>2.4</v>
      </c>
      <c r="L94" s="7"/>
    </row>
    <row r="95" ht="15.75" customHeight="1">
      <c r="A95" s="6" t="str">
        <f>IFERROR(__xludf.DUMMYFUNCTION("""COMPUTED_VALUE"""),"https://www.reddit.com/r/Superframeworks/comments/1twfxf1/10_best_ai_seo_geoaeo_agencies_for_2026_no/")</f>
        <v>https://www.reddit.com/r/Superframeworks/comments/1twfxf1/10_best_ai_seo_geoaeo_agencies_for_2026_no/</v>
      </c>
      <c r="B95" s="7" t="str">
        <f>IFERROR(__xludf.DUMMYFUNCTION("""COMPUTED_VALUE"""),"10 Best AI SEO (GEO/AEO) Agencies for 2026: No Self-Ranking, Verified by Clutch Reviews and Real AI-Citation Proof")</f>
        <v>10 Best AI SEO (GEO/AEO) Agencies for 2026: No Self-Ranking, Verified by Clutch Reviews and Real AI-Citation Proof</v>
      </c>
      <c r="C95" s="6" t="str">
        <f>IFERROR(__xludf.DUMMYFUNCTION("""COMPUTED_VALUE"""),"reddit.com")</f>
        <v>reddit.com</v>
      </c>
      <c r="D95" s="7" t="str">
        <f>IFERROR(__xludf.DUMMYFUNCTION("""COMPUTED_VALUE"""),"DISCUSSION")</f>
        <v>DISCUSSION</v>
      </c>
      <c r="E95" s="7" t="str">
        <f>IFERROR(__xludf.DUMMYFUNCTION("""COMPUTED_VALUE"""),"UGC")</f>
        <v>UGC</v>
      </c>
      <c r="F95" s="7" t="str">
        <f>IFERROR(__xludf.DUMMYFUNCTION("""COMPUTED_VALUE"""),"Discussion")</f>
        <v>Discussion</v>
      </c>
      <c r="G95" s="7" t="b">
        <f>IFERROR(__xludf.DUMMYFUNCTION("""COMPUTED_VALUE"""),FALSE)</f>
        <v>0</v>
      </c>
      <c r="H95" s="7" t="str">
        <f>IFERROR(__xludf.DUMMYFUNCTION("""COMPUTED_VALUE"""),"First Page")</f>
        <v>First Page</v>
      </c>
      <c r="I95" s="7">
        <f>IFERROR(__xludf.DUMMYFUNCTION("""COMPUTED_VALUE"""),15.0)</f>
        <v>15</v>
      </c>
      <c r="J95" s="7">
        <f>IFERROR(__xludf.DUMMYFUNCTION("""COMPUTED_VALUE"""),0.02)</f>
        <v>0.02</v>
      </c>
      <c r="K95" s="7">
        <f>IFERROR(__xludf.DUMMYFUNCTION("""COMPUTED_VALUE"""),1.33)</f>
        <v>1.33</v>
      </c>
      <c r="L95" s="7"/>
    </row>
    <row r="96" ht="15.75" customHeight="1">
      <c r="A96" s="6" t="str">
        <f>IFERROR(__xludf.DUMMYFUNCTION("""COMPUTED_VALUE"""),"https://www.bushnote.com/articles/best-10-aeo-agencies-in-australia-to-promote-b2c-companies-in-2026")</f>
        <v>https://www.bushnote.com/articles/best-10-aeo-agencies-in-australia-to-promote-b2c-companies-in-2026</v>
      </c>
      <c r="B96" s="7" t="str">
        <f>IFERROR(__xludf.DUMMYFUNCTION("""COMPUTED_VALUE"""),"Best 10 AEO Agencies in Australia for B2C Brands (2026)")</f>
        <v>Best 10 AEO Agencies in Australia for B2C Brands (2026)</v>
      </c>
      <c r="C96" s="6" t="str">
        <f>IFERROR(__xludf.DUMMYFUNCTION("""COMPUTED_VALUE"""),"bushnote.com")</f>
        <v>bushnote.com</v>
      </c>
      <c r="D96" s="7" t="str">
        <f>IFERROR(__xludf.DUMMYFUNCTION("""COMPUTED_VALUE"""),"LISTICLE")</f>
        <v>LISTICLE</v>
      </c>
      <c r="E96" s="7" t="str">
        <f>IFERROR(__xludf.DUMMYFUNCTION("""COMPUTED_VALUE"""),"COMPETITOR")</f>
        <v>COMPETITOR</v>
      </c>
      <c r="F96" s="7" t="str">
        <f>IFERROR(__xludf.DUMMYFUNCTION("""COMPUTED_VALUE"""),"Listicle")</f>
        <v>Listicle</v>
      </c>
      <c r="G96" s="7" t="b">
        <f>IFERROR(__xludf.DUMMYFUNCTION("""COMPUTED_VALUE"""),FALSE)</f>
        <v>0</v>
      </c>
      <c r="H96" s="7" t="str">
        <f>IFERROR(__xludf.DUMMYFUNCTION("""COMPUTED_VALUE"""),"Bushnote, Online Marketing Gurus, Omnicom Media Group, Prosperity Media, Rocket Agency, StudioHawk, Marketix Digital")</f>
        <v>Bushnote, Online Marketing Gurus, Omnicom Media Group, Prosperity Media, Rocket Agency, StudioHawk, Marketix Digital</v>
      </c>
      <c r="I96" s="7">
        <f>IFERROR(__xludf.DUMMYFUNCTION("""COMPUTED_VALUE"""),14.0)</f>
        <v>14</v>
      </c>
      <c r="J96" s="7">
        <f>IFERROR(__xludf.DUMMYFUNCTION("""COMPUTED_VALUE"""),0.01)</f>
        <v>0.01</v>
      </c>
      <c r="K96" s="7">
        <f>IFERROR(__xludf.DUMMYFUNCTION("""COMPUTED_VALUE"""),0.0)</f>
        <v>0</v>
      </c>
      <c r="L96" s="7"/>
    </row>
    <row r="97" ht="15.75" customHeight="1">
      <c r="A97" s="6" t="str">
        <f>IFERROR(__xludf.DUMMYFUNCTION("""COMPUTED_VALUE"""),"https://clutch.co/au/agencies/ppc/google-adwords")</f>
        <v>https://clutch.co/au/agencies/ppc/google-adwords</v>
      </c>
      <c r="B97" s="7" t="str">
        <f>IFERROR(__xludf.DUMMYFUNCTION("""COMPUTED_VALUE"""),"Top Google Ads PPC Agencies in Australia - Jul 2026 Rankings \| Clutch.co")</f>
        <v>Top Google Ads PPC Agencies in Australia - Jul 2026 Rankings \| Clutch.co</v>
      </c>
      <c r="C97" s="6" t="str">
        <f>IFERROR(__xludf.DUMMYFUNCTION("""COMPUTED_VALUE"""),"clutch.co")</f>
        <v>clutch.co</v>
      </c>
      <c r="D97" s="7" t="str">
        <f>IFERROR(__xludf.DUMMYFUNCTION("""COMPUTED_VALUE"""),"CATEGORY_PAGE")</f>
        <v>CATEGORY_PAGE</v>
      </c>
      <c r="E97" s="7" t="str">
        <f>IFERROR(__xludf.DUMMYFUNCTION("""COMPUTED_VALUE"""),"CORPORATE")</f>
        <v>CORPORATE</v>
      </c>
      <c r="F97" s="7" t="str">
        <f>IFERROR(__xludf.DUMMYFUNCTION("""COMPUTED_VALUE"""),"Category Page")</f>
        <v>Category Page</v>
      </c>
      <c r="G97" s="7" t="b">
        <f>IFERROR(__xludf.DUMMYFUNCTION("""COMPUTED_VALUE"""),FALSE)</f>
        <v>0</v>
      </c>
      <c r="H97" s="7" t="str">
        <f>IFERROR(__xludf.DUMMYFUNCTION("""COMPUTED_VALUE"""),"Digital Nomads HQ, SIXGUN, Human Digital, Farsiight, Intesols, MyWork, Soup Agency, 80/20 Digital, Impressive, Salt &amp; Fuessel, Emote Digital, Supple Digital, EvenDigit, Rocket Agency, Clearwater Agency, DNM Digital, Megaphone, Momentum")</f>
        <v>Digital Nomads HQ, SIXGUN, Human Digital, Farsiight, Intesols, MyWork, Soup Agency, 80/20 Digital, Impressive, Salt &amp; Fuessel, Emote Digital, Supple Digital, EvenDigit, Rocket Agency, Clearwater Agency, DNM Digital, Megaphone, Momentum</v>
      </c>
      <c r="I97" s="7">
        <f>IFERROR(__xludf.DUMMYFUNCTION("""COMPUTED_VALUE"""),14.0)</f>
        <v>14</v>
      </c>
      <c r="J97" s="7">
        <f>IFERROR(__xludf.DUMMYFUNCTION("""COMPUTED_VALUE"""),0.01)</f>
        <v>0.01</v>
      </c>
      <c r="K97" s="7">
        <f>IFERROR(__xludf.DUMMYFUNCTION("""COMPUTED_VALUE"""),0.21)</f>
        <v>0.21</v>
      </c>
      <c r="L97" s="7"/>
    </row>
    <row r="98" ht="15.75" customHeight="1">
      <c r="A98" s="6" t="str">
        <f>IFERROR(__xludf.DUMMYFUNCTION("""COMPUTED_VALUE"""),"https://www.digitalreference.co/design-professionals/best-creative-agencies-in-australia")</f>
        <v>https://www.digitalreference.co/design-professionals/best-creative-agencies-in-australia</v>
      </c>
      <c r="B98" s="7" t="str">
        <f>IFERROR(__xludf.DUMMYFUNCTION("""COMPUTED_VALUE"""),"Best Creative Agencies &amp;amp; Creative Firms in Australia")</f>
        <v>Best Creative Agencies &amp;amp; Creative Firms in Australia</v>
      </c>
      <c r="C98" s="6" t="str">
        <f>IFERROR(__xludf.DUMMYFUNCTION("""COMPUTED_VALUE"""),"digitalreference.co")</f>
        <v>digitalreference.co</v>
      </c>
      <c r="D98" s="7" t="str">
        <f>IFERROR(__xludf.DUMMYFUNCTION("""COMPUTED_VALUE"""),"LISTICLE")</f>
        <v>LISTICLE</v>
      </c>
      <c r="E98" s="7" t="str">
        <f>IFERROR(__xludf.DUMMYFUNCTION("""COMPUTED_VALUE"""),"UGC")</f>
        <v>UGC</v>
      </c>
      <c r="F98" s="7" t="str">
        <f>IFERROR(__xludf.DUMMYFUNCTION("""COMPUTED_VALUE"""),"Listicle")</f>
        <v>Listicle</v>
      </c>
      <c r="G98" s="7" t="b">
        <f>IFERROR(__xludf.DUMMYFUNCTION("""COMPUTED_VALUE"""),FALSE)</f>
        <v>0</v>
      </c>
      <c r="H98" s="7"/>
      <c r="I98" s="7">
        <f>IFERROR(__xludf.DUMMYFUNCTION("""COMPUTED_VALUE"""),14.0)</f>
        <v>14</v>
      </c>
      <c r="J98" s="7">
        <f>IFERROR(__xludf.DUMMYFUNCTION("""COMPUTED_VALUE"""),0.01)</f>
        <v>0.01</v>
      </c>
      <c r="K98" s="7">
        <f>IFERROR(__xludf.DUMMYFUNCTION("""COMPUTED_VALUE"""),0.14)</f>
        <v>0.14</v>
      </c>
      <c r="L98" s="7"/>
    </row>
    <row r="99" ht="15.75" customHeight="1">
      <c r="A99" s="6" t="str">
        <f>IFERROR(__xludf.DUMMYFUNCTION("""COMPUTED_VALUE"""),"https://hikemytraffic.com/ai-digital-marketing-services-in-australia/")</f>
        <v>https://hikemytraffic.com/ai-digital-marketing-services-in-australia/</v>
      </c>
      <c r="B99" s="7" t="str">
        <f>IFERROR(__xludf.DUMMYFUNCTION("""COMPUTED_VALUE"""),"12 Best AI-Powered Digital Marketing Services in Australia (2026)")</f>
        <v>12 Best AI-Powered Digital Marketing Services in Australia (2026)</v>
      </c>
      <c r="C99" s="6" t="str">
        <f>IFERROR(__xludf.DUMMYFUNCTION("""COMPUTED_VALUE"""),"hikemytraffic.com")</f>
        <v>hikemytraffic.com</v>
      </c>
      <c r="D99" s="7" t="str">
        <f>IFERROR(__xludf.DUMMYFUNCTION("""COMPUTED_VALUE"""),"LISTICLE")</f>
        <v>LISTICLE</v>
      </c>
      <c r="E99" s="7" t="str">
        <f>IFERROR(__xludf.DUMMYFUNCTION("""COMPUTED_VALUE"""),"CORPORATE")</f>
        <v>CORPORATE</v>
      </c>
      <c r="F99" s="7" t="str">
        <f>IFERROR(__xludf.DUMMYFUNCTION("""COMPUTED_VALUE"""),"Listicle")</f>
        <v>Listicle</v>
      </c>
      <c r="G99" s="7" t="b">
        <f>IFERROR(__xludf.DUMMYFUNCTION("""COMPUTED_VALUE"""),FALSE)</f>
        <v>0</v>
      </c>
      <c r="H99" s="7" t="str">
        <f>IFERROR(__xludf.DUMMYFUNCTION("""COMPUTED_VALUE"""),"OMD, Rocket Agency, Digital Movement, First Page, Emote Digital")</f>
        <v>OMD, Rocket Agency, Digital Movement, First Page, Emote Digital</v>
      </c>
      <c r="I99" s="7">
        <f>IFERROR(__xludf.DUMMYFUNCTION("""COMPUTED_VALUE"""),14.0)</f>
        <v>14</v>
      </c>
      <c r="J99" s="7">
        <f>IFERROR(__xludf.DUMMYFUNCTION("""COMPUTED_VALUE"""),0.01)</f>
        <v>0.01</v>
      </c>
      <c r="K99" s="7">
        <f>IFERROR(__xludf.DUMMYFUNCTION("""COMPUTED_VALUE"""),0.14)</f>
        <v>0.14</v>
      </c>
      <c r="L99" s="7"/>
    </row>
    <row r="100" ht="15.75" customHeight="1">
      <c r="A100" s="6" t="str">
        <f>IFERROR(__xludf.DUMMYFUNCTION("""COMPUTED_VALUE"""),"https://www.redpandas.com.au/blog/best-paid-media-agencies-in-australia-an-unbiased-review/")</f>
        <v>https://www.redpandas.com.au/blog/best-paid-media-agencies-in-australia-an-unbiased-review/</v>
      </c>
      <c r="B100" s="7" t="str">
        <f>IFERROR(__xludf.DUMMYFUNCTION("""COMPUTED_VALUE"""),"Best Paid Media Agencies in Australia: An Unbiased Review&amp;nbsp; | RedPandas Digital")</f>
        <v>Best Paid Media Agencies in Australia: An Unbiased Review&amp;nbsp; | RedPandas Digital</v>
      </c>
      <c r="C100" s="6" t="str">
        <f>IFERROR(__xludf.DUMMYFUNCTION("""COMPUTED_VALUE"""),"redpandas.com.au")</f>
        <v>redpandas.com.au</v>
      </c>
      <c r="D100" s="7" t="str">
        <f>IFERROR(__xludf.DUMMYFUNCTION("""COMPUTED_VALUE"""),"LISTICLE")</f>
        <v>LISTICLE</v>
      </c>
      <c r="E100" s="7" t="str">
        <f>IFERROR(__xludf.DUMMYFUNCTION("""COMPUTED_VALUE"""),"OTHER")</f>
        <v>OTHER</v>
      </c>
      <c r="F100" s="7" t="str">
        <f>IFERROR(__xludf.DUMMYFUNCTION("""COMPUTED_VALUE"""),"Listicle")</f>
        <v>Listicle</v>
      </c>
      <c r="G100" s="7" t="b">
        <f>IFERROR(__xludf.DUMMYFUNCTION("""COMPUTED_VALUE"""),FALSE)</f>
        <v>0</v>
      </c>
      <c r="H100" s="7" t="str">
        <f>IFERROR(__xludf.DUMMYFUNCTION("""COMPUTED_VALUE"""),"Megaphone")</f>
        <v>Megaphone</v>
      </c>
      <c r="I100" s="7">
        <f>IFERROR(__xludf.DUMMYFUNCTION("""COMPUTED_VALUE"""),14.0)</f>
        <v>14</v>
      </c>
      <c r="J100" s="7">
        <f>IFERROR(__xludf.DUMMYFUNCTION("""COMPUTED_VALUE"""),0.01)</f>
        <v>0.01</v>
      </c>
      <c r="K100" s="7">
        <f>IFERROR(__xludf.DUMMYFUNCTION("""COMPUTED_VALUE"""),0.14)</f>
        <v>0.14</v>
      </c>
      <c r="L100" s="7"/>
    </row>
    <row r="101" ht="15.75" customHeight="1">
      <c r="A101" s="6" t="str">
        <f>IFERROR(__xludf.DUMMYFUNCTION("""COMPUTED_VALUE"""),"https://skyscale.com.au/blogs/best-aeo-agencies-melbourne-2025")</f>
        <v>https://skyscale.com.au/blogs/best-aeo-agencies-melbourne-2025</v>
      </c>
      <c r="B101" s="7" t="str">
        <f>IFERROR(__xludf.DUMMYFUNCTION("""COMPUTED_VALUE"""),"Best AEO Agencies in Melbourne: How to Choose the Right Partner")</f>
        <v>Best AEO Agencies in Melbourne: How to Choose the Right Partner</v>
      </c>
      <c r="C101" s="6" t="str">
        <f>IFERROR(__xludf.DUMMYFUNCTION("""COMPUTED_VALUE"""),"skyscale.com.au")</f>
        <v>skyscale.com.au</v>
      </c>
      <c r="D101" s="7" t="str">
        <f>IFERROR(__xludf.DUMMYFUNCTION("""COMPUTED_VALUE"""),"LISTICLE")</f>
        <v>LISTICLE</v>
      </c>
      <c r="E101" s="7" t="str">
        <f>IFERROR(__xludf.DUMMYFUNCTION("""COMPUTED_VALUE"""),"CORPORATE")</f>
        <v>CORPORATE</v>
      </c>
      <c r="F101" s="7" t="str">
        <f>IFERROR(__xludf.DUMMYFUNCTION("""COMPUTED_VALUE"""),"Listicle")</f>
        <v>Listicle</v>
      </c>
      <c r="G101" s="7" t="b">
        <f>IFERROR(__xludf.DUMMYFUNCTION("""COMPUTED_VALUE"""),FALSE)</f>
        <v>0</v>
      </c>
      <c r="H101" s="7" t="str">
        <f>IFERROR(__xludf.DUMMYFUNCTION("""COMPUTED_VALUE"""),"Digital Nomads HQ")</f>
        <v>Digital Nomads HQ</v>
      </c>
      <c r="I101" s="7">
        <f>IFERROR(__xludf.DUMMYFUNCTION("""COMPUTED_VALUE"""),14.0)</f>
        <v>14</v>
      </c>
      <c r="J101" s="7">
        <f>IFERROR(__xludf.DUMMYFUNCTION("""COMPUTED_VALUE"""),0.01)</f>
        <v>0.01</v>
      </c>
      <c r="K101" s="7">
        <f>IFERROR(__xludf.DUMMYFUNCTION("""COMPUTED_VALUE"""),0.5)</f>
        <v>0.5</v>
      </c>
      <c r="L101" s="7"/>
    </row>
    <row r="102" ht="15.75" customHeight="1">
      <c r="A102" s="6" t="str">
        <f>IFERROR(__xludf.DUMMYFUNCTION("""COMPUTED_VALUE"""),"https://themanifest.com/au/creative/agencies")</f>
        <v>https://themanifest.com/au/creative/agencies</v>
      </c>
      <c r="B102" s="7" t="str">
        <f>IFERROR(__xludf.DUMMYFUNCTION("""COMPUTED_VALUE"""),"The Best Creative Companies in Australia - Jul 2026 | The Manifest")</f>
        <v>The Best Creative Companies in Australia - Jul 2026 | The Manifest</v>
      </c>
      <c r="C102" s="6" t="str">
        <f>IFERROR(__xludf.DUMMYFUNCTION("""COMPUTED_VALUE"""),"themanifest.com")</f>
        <v>themanifest.com</v>
      </c>
      <c r="D102" s="7" t="str">
        <f>IFERROR(__xludf.DUMMYFUNCTION("""COMPUTED_VALUE"""),"CATEGORY_PAGE")</f>
        <v>CATEGORY_PAGE</v>
      </c>
      <c r="E102" s="7" t="str">
        <f>IFERROR(__xludf.DUMMYFUNCTION("""COMPUTED_VALUE"""),"REFERENCE")</f>
        <v>REFERENCE</v>
      </c>
      <c r="F102" s="7" t="str">
        <f>IFERROR(__xludf.DUMMYFUNCTION("""COMPUTED_VALUE"""),"Category Page")</f>
        <v>Category Page</v>
      </c>
      <c r="G102" s="7" t="b">
        <f>IFERROR(__xludf.DUMMYFUNCTION("""COMPUTED_VALUE"""),FALSE)</f>
        <v>0</v>
      </c>
      <c r="H102" s="7" t="str">
        <f>IFERROR(__xludf.DUMMYFUNCTION("""COMPUTED_VALUE"""),"Chello, Human Digital")</f>
        <v>Chello, Human Digital</v>
      </c>
      <c r="I102" s="7">
        <f>IFERROR(__xludf.DUMMYFUNCTION("""COMPUTED_VALUE"""),14.0)</f>
        <v>14</v>
      </c>
      <c r="J102" s="7">
        <f>IFERROR(__xludf.DUMMYFUNCTION("""COMPUTED_VALUE"""),0.01)</f>
        <v>0.01</v>
      </c>
      <c r="K102" s="7">
        <f>IFERROR(__xludf.DUMMYFUNCTION("""COMPUTED_VALUE"""),0.36)</f>
        <v>0.36</v>
      </c>
      <c r="L102" s="7"/>
    </row>
    <row r="103" ht="15.75" customHeight="1">
      <c r="A103" s="6" t="str">
        <f>IFERROR(__xludf.DUMMYFUNCTION("""COMPUTED_VALUE"""),"https://www.10seos.com/au/display-advertising-companies-in-australia?page=4")</f>
        <v>https://www.10seos.com/au/display-advertising-companies-in-australia?page=4</v>
      </c>
      <c r="B103" s="7" t="str">
        <f>IFERROR(__xludf.DUMMYFUNCTION("""COMPUTED_VALUE"""),"Top 10 Display Advertising Companies For Best Services-Australia | July 2026")</f>
        <v>Top 10 Display Advertising Companies For Best Services-Australia | July 2026</v>
      </c>
      <c r="C103" s="6" t="str">
        <f>IFERROR(__xludf.DUMMYFUNCTION("""COMPUTED_VALUE"""),"10seos.com")</f>
        <v>10seos.com</v>
      </c>
      <c r="D103" s="7" t="str">
        <f>IFERROR(__xludf.DUMMYFUNCTION("""COMPUTED_VALUE"""),"OTHER")</f>
        <v>OTHER</v>
      </c>
      <c r="E103" s="7" t="str">
        <f>IFERROR(__xludf.DUMMYFUNCTION("""COMPUTED_VALUE"""),"REFERENCE")</f>
        <v>REFERENCE</v>
      </c>
      <c r="F103" s="7" t="str">
        <f>IFERROR(__xludf.DUMMYFUNCTION("""COMPUTED_VALUE"""),"Other")</f>
        <v>Other</v>
      </c>
      <c r="G103" s="7" t="b">
        <f>IFERROR(__xludf.DUMMYFUNCTION("""COMPUTED_VALUE"""),FALSE)</f>
        <v>0</v>
      </c>
      <c r="H103" s="7"/>
      <c r="I103" s="7">
        <f>IFERROR(__xludf.DUMMYFUNCTION("""COMPUTED_VALUE"""),13.0)</f>
        <v>13</v>
      </c>
      <c r="J103" s="7">
        <f>IFERROR(__xludf.DUMMYFUNCTION("""COMPUTED_VALUE"""),0.01)</f>
        <v>0.01</v>
      </c>
      <c r="K103" s="7">
        <f>IFERROR(__xludf.DUMMYFUNCTION("""COMPUTED_VALUE"""),0.0)</f>
        <v>0</v>
      </c>
      <c r="L103" s="7"/>
    </row>
    <row r="104" ht="15.75" customHeight="1">
      <c r="A104" s="6" t="str">
        <f>IFERROR(__xludf.DUMMYFUNCTION("""COMPUTED_VALUE"""),"https://www.adbeacon.com/19-best-marketing-attribution-software-solutions-in-2026/")</f>
        <v>https://www.adbeacon.com/19-best-marketing-attribution-software-solutions-in-2026/</v>
      </c>
      <c r="B104" s="7" t="str">
        <f>IFERROR(__xludf.DUMMYFUNCTION("""COMPUTED_VALUE"""),"19 Best Marketing Attribution Software Solutions in 2026 | AdBeacon")</f>
        <v>19 Best Marketing Attribution Software Solutions in 2026 | AdBeacon</v>
      </c>
      <c r="C104" s="6" t="str">
        <f>IFERROR(__xludf.DUMMYFUNCTION("""COMPUTED_VALUE"""),"adbeacon.com")</f>
        <v>adbeacon.com</v>
      </c>
      <c r="D104" s="7" t="str">
        <f>IFERROR(__xludf.DUMMYFUNCTION("""COMPUTED_VALUE"""),"LISTICLE")</f>
        <v>LISTICLE</v>
      </c>
      <c r="E104" s="7" t="str">
        <f>IFERROR(__xludf.DUMMYFUNCTION("""COMPUTED_VALUE"""),"CORPORATE")</f>
        <v>CORPORATE</v>
      </c>
      <c r="F104" s="7" t="str">
        <f>IFERROR(__xludf.DUMMYFUNCTION("""COMPUTED_VALUE"""),"Listicle")</f>
        <v>Listicle</v>
      </c>
      <c r="G104" s="7" t="b">
        <f>IFERROR(__xludf.DUMMYFUNCTION("""COMPUTED_VALUE"""),FALSE)</f>
        <v>0</v>
      </c>
      <c r="H104" s="7"/>
      <c r="I104" s="7">
        <f>IFERROR(__xludf.DUMMYFUNCTION("""COMPUTED_VALUE"""),13.0)</f>
        <v>13</v>
      </c>
      <c r="J104" s="7">
        <f>IFERROR(__xludf.DUMMYFUNCTION("""COMPUTED_VALUE"""),0.01)</f>
        <v>0.01</v>
      </c>
      <c r="K104" s="7">
        <f>IFERROR(__xludf.DUMMYFUNCTION("""COMPUTED_VALUE"""),0.54)</f>
        <v>0.54</v>
      </c>
      <c r="L104" s="7"/>
    </row>
    <row r="105" ht="15.75" customHeight="1">
      <c r="A105" s="6" t="str">
        <f>IFERROR(__xludf.DUMMYFUNCTION("""COMPUTED_VALUE"""),"https://www.adbeacon.com/7-best-marketing-attribution-tools-compared-2026/")</f>
        <v>https://www.adbeacon.com/7-best-marketing-attribution-tools-compared-2026/</v>
      </c>
      <c r="B105" s="7" t="str">
        <f>IFERROR(__xludf.DUMMYFUNCTION("""COMPUTED_VALUE"""),"7 Best Marketing Attribution Tools Compared (2026) | AdBeacon")</f>
        <v>7 Best Marketing Attribution Tools Compared (2026) | AdBeacon</v>
      </c>
      <c r="C105" s="6" t="str">
        <f>IFERROR(__xludf.DUMMYFUNCTION("""COMPUTED_VALUE"""),"adbeacon.com")</f>
        <v>adbeacon.com</v>
      </c>
      <c r="D105" s="7" t="str">
        <f>IFERROR(__xludf.DUMMYFUNCTION("""COMPUTED_VALUE"""),"LISTICLE")</f>
        <v>LISTICLE</v>
      </c>
      <c r="E105" s="7" t="str">
        <f>IFERROR(__xludf.DUMMYFUNCTION("""COMPUTED_VALUE"""),"CORPORATE")</f>
        <v>CORPORATE</v>
      </c>
      <c r="F105" s="7" t="str">
        <f>IFERROR(__xludf.DUMMYFUNCTION("""COMPUTED_VALUE"""),"Listicle")</f>
        <v>Listicle</v>
      </c>
      <c r="G105" s="7" t="b">
        <f>IFERROR(__xludf.DUMMYFUNCTION("""COMPUTED_VALUE"""),FALSE)</f>
        <v>0</v>
      </c>
      <c r="H105" s="7"/>
      <c r="I105" s="7">
        <f>IFERROR(__xludf.DUMMYFUNCTION("""COMPUTED_VALUE"""),13.0)</f>
        <v>13</v>
      </c>
      <c r="J105" s="7">
        <f>IFERROR(__xludf.DUMMYFUNCTION("""COMPUTED_VALUE"""),0.01)</f>
        <v>0.01</v>
      </c>
      <c r="K105" s="7">
        <f>IFERROR(__xludf.DUMMYFUNCTION("""COMPUTED_VALUE"""),0.15)</f>
        <v>0.15</v>
      </c>
      <c r="L105" s="7"/>
    </row>
    <row r="106" ht="15.75" customHeight="1">
      <c r="A106" s="6" t="str">
        <f>IFERROR(__xludf.DUMMYFUNCTION("""COMPUTED_VALUE"""),"https://www.bushnote.com/articles/top-ai-marketing-agencies-australia-2025-f19a3")</f>
        <v>https://www.bushnote.com/articles/top-ai-marketing-agencies-australia-2025-f19a3</v>
      </c>
      <c r="B106" s="7" t="str">
        <f>IFERROR(__xludf.DUMMYFUNCTION("""COMPUTED_VALUE"""),"Top AI Marketing Agencies Australia 2025")</f>
        <v>Top AI Marketing Agencies Australia 2025</v>
      </c>
      <c r="C106" s="6" t="str">
        <f>IFERROR(__xludf.DUMMYFUNCTION("""COMPUTED_VALUE"""),"bushnote.com")</f>
        <v>bushnote.com</v>
      </c>
      <c r="D106" s="7" t="str">
        <f>IFERROR(__xludf.DUMMYFUNCTION("""COMPUTED_VALUE"""),"LISTICLE")</f>
        <v>LISTICLE</v>
      </c>
      <c r="E106" s="7" t="str">
        <f>IFERROR(__xludf.DUMMYFUNCTION("""COMPUTED_VALUE"""),"COMPETITOR")</f>
        <v>COMPETITOR</v>
      </c>
      <c r="F106" s="7" t="str">
        <f>IFERROR(__xludf.DUMMYFUNCTION("""COMPUTED_VALUE"""),"Listicle")</f>
        <v>Listicle</v>
      </c>
      <c r="G106" s="7" t="b">
        <f>IFERROR(__xludf.DUMMYFUNCTION("""COMPUTED_VALUE"""),FALSE)</f>
        <v>0</v>
      </c>
      <c r="H106" s="7" t="str">
        <f>IFERROR(__xludf.DUMMYFUNCTION("""COMPUTED_VALUE"""),"Bushnote, Deloitte Digital, Deloitte, Accenture Song")</f>
        <v>Bushnote, Deloitte Digital, Deloitte, Accenture Song</v>
      </c>
      <c r="I106" s="7">
        <f>IFERROR(__xludf.DUMMYFUNCTION("""COMPUTED_VALUE"""),13.0)</f>
        <v>13</v>
      </c>
      <c r="J106" s="7">
        <f>IFERROR(__xludf.DUMMYFUNCTION("""COMPUTED_VALUE"""),0.01)</f>
        <v>0.01</v>
      </c>
      <c r="K106" s="7">
        <f>IFERROR(__xludf.DUMMYFUNCTION("""COMPUTED_VALUE"""),0.69)</f>
        <v>0.69</v>
      </c>
      <c r="L106" s="7"/>
    </row>
    <row r="107" ht="15.75" customHeight="1">
      <c r="A107" s="6" t="str">
        <f>IFERROR(__xludf.DUMMYFUNCTION("""COMPUTED_VALUE"""),"https://clutch.co/au/consulting/ai/strategy")</f>
        <v>https://clutch.co/au/consulting/ai/strategy</v>
      </c>
      <c r="B107" s="7" t="str">
        <f>IFERROR(__xludf.DUMMYFUNCTION("""COMPUTED_VALUE"""),"Top AI Strategy Companies in Australia - Jul 2026 Rankings \| Clutch.co")</f>
        <v>Top AI Strategy Companies in Australia - Jul 2026 Rankings \| Clutch.co</v>
      </c>
      <c r="C107" s="6" t="str">
        <f>IFERROR(__xludf.DUMMYFUNCTION("""COMPUTED_VALUE"""),"clutch.co")</f>
        <v>clutch.co</v>
      </c>
      <c r="D107" s="7" t="str">
        <f>IFERROR(__xludf.DUMMYFUNCTION("""COMPUTED_VALUE"""),"PROFILE")</f>
        <v>PROFILE</v>
      </c>
      <c r="E107" s="7" t="str">
        <f>IFERROR(__xludf.DUMMYFUNCTION("""COMPUTED_VALUE"""),"CORPORATE")</f>
        <v>CORPORATE</v>
      </c>
      <c r="F107" s="7" t="str">
        <f>IFERROR(__xludf.DUMMYFUNCTION("""COMPUTED_VALUE"""),"Profile")</f>
        <v>Profile</v>
      </c>
      <c r="G107" s="7" t="b">
        <f>IFERROR(__xludf.DUMMYFUNCTION("""COMPUTED_VALUE"""),FALSE)</f>
        <v>0</v>
      </c>
      <c r="H107" s="7" t="str">
        <f>IFERROR(__xludf.DUMMYFUNCTION("""COMPUTED_VALUE"""),"In Marketing We Trust, Impressive, Team 400")</f>
        <v>In Marketing We Trust, Impressive, Team 400</v>
      </c>
      <c r="I107" s="7">
        <f>IFERROR(__xludf.DUMMYFUNCTION("""COMPUTED_VALUE"""),13.0)</f>
        <v>13</v>
      </c>
      <c r="J107" s="7">
        <f>IFERROR(__xludf.DUMMYFUNCTION("""COMPUTED_VALUE"""),0.01)</f>
        <v>0.01</v>
      </c>
      <c r="K107" s="7">
        <f>IFERROR(__xludf.DUMMYFUNCTION("""COMPUTED_VALUE"""),0.77)</f>
        <v>0.77</v>
      </c>
      <c r="L107" s="7"/>
    </row>
    <row r="108" ht="15.75" customHeight="1">
      <c r="A108" s="6" t="str">
        <f>IFERROR(__xludf.DUMMYFUNCTION("""COMPUTED_VALUE"""),"https://www.cometly.com/post/marketing-attribution-consultant-services")</f>
        <v>https://www.cometly.com/post/marketing-attribution-consultant-services</v>
      </c>
      <c r="B108" s="7" t="str">
        <f>IFERROR(__xludf.DUMMYFUNCTION("""COMPUTED_VALUE"""),"Best Marketing Attribution Consultant Services 2026")</f>
        <v>Best Marketing Attribution Consultant Services 2026</v>
      </c>
      <c r="C108" s="6" t="str">
        <f>IFERROR(__xludf.DUMMYFUNCTION("""COMPUTED_VALUE"""),"cometly.com")</f>
        <v>cometly.com</v>
      </c>
      <c r="D108" s="7" t="str">
        <f>IFERROR(__xludf.DUMMYFUNCTION("""COMPUTED_VALUE"""),"LISTICLE")</f>
        <v>LISTICLE</v>
      </c>
      <c r="E108" s="7" t="str">
        <f>IFERROR(__xludf.DUMMYFUNCTION("""COMPUTED_VALUE"""),"CORPORATE")</f>
        <v>CORPORATE</v>
      </c>
      <c r="F108" s="7" t="str">
        <f>IFERROR(__xludf.DUMMYFUNCTION("""COMPUTED_VALUE"""),"Listicle")</f>
        <v>Listicle</v>
      </c>
      <c r="G108" s="7" t="b">
        <f>IFERROR(__xludf.DUMMYFUNCTION("""COMPUTED_VALUE"""),FALSE)</f>
        <v>0</v>
      </c>
      <c r="H108" s="7" t="str">
        <f>IFERROR(__xludf.DUMMYFUNCTION("""COMPUTED_VALUE"""),"Measured")</f>
        <v>Measured</v>
      </c>
      <c r="I108" s="7">
        <f>IFERROR(__xludf.DUMMYFUNCTION("""COMPUTED_VALUE"""),13.0)</f>
        <v>13</v>
      </c>
      <c r="J108" s="7">
        <f>IFERROR(__xludf.DUMMYFUNCTION("""COMPUTED_VALUE"""),0.01)</f>
        <v>0.01</v>
      </c>
      <c r="K108" s="7">
        <f>IFERROR(__xludf.DUMMYFUNCTION("""COMPUTED_VALUE"""),0.46)</f>
        <v>0.46</v>
      </c>
      <c r="L108" s="7"/>
    </row>
    <row r="109" ht="15.75" customHeight="1">
      <c r="A109" s="6" t="str">
        <f>IFERROR(__xludf.DUMMYFUNCTION("""COMPUTED_VALUE"""),"https://www.cometly.com/post/marketing-attribution-platform-for-agencies")</f>
        <v>https://www.cometly.com/post/marketing-attribution-platform-for-agencies</v>
      </c>
      <c r="B109" s="7" t="str">
        <f>IFERROR(__xludf.DUMMYFUNCTION("""COMPUTED_VALUE"""),"Best Marketing Attribution Platform For Agencies 2026")</f>
        <v>Best Marketing Attribution Platform For Agencies 2026</v>
      </c>
      <c r="C109" s="6" t="str">
        <f>IFERROR(__xludf.DUMMYFUNCTION("""COMPUTED_VALUE"""),"cometly.com")</f>
        <v>cometly.com</v>
      </c>
      <c r="D109" s="7" t="str">
        <f>IFERROR(__xludf.DUMMYFUNCTION("""COMPUTED_VALUE"""),"LISTICLE")</f>
        <v>LISTICLE</v>
      </c>
      <c r="E109" s="7" t="str">
        <f>IFERROR(__xludf.DUMMYFUNCTION("""COMPUTED_VALUE"""),"CORPORATE")</f>
        <v>CORPORATE</v>
      </c>
      <c r="F109" s="7" t="str">
        <f>IFERROR(__xludf.DUMMYFUNCTION("""COMPUTED_VALUE"""),"Listicle")</f>
        <v>Listicle</v>
      </c>
      <c r="G109" s="7" t="b">
        <f>IFERROR(__xludf.DUMMYFUNCTION("""COMPUTED_VALUE"""),FALSE)</f>
        <v>0</v>
      </c>
      <c r="H109" s="7" t="str">
        <f>IFERROR(__xludf.DUMMYFUNCTION("""COMPUTED_VALUE"""),"Impressive")</f>
        <v>Impressive</v>
      </c>
      <c r="I109" s="7">
        <f>IFERROR(__xludf.DUMMYFUNCTION("""COMPUTED_VALUE"""),13.0)</f>
        <v>13</v>
      </c>
      <c r="J109" s="7">
        <f>IFERROR(__xludf.DUMMYFUNCTION("""COMPUTED_VALUE"""),0.01)</f>
        <v>0.01</v>
      </c>
      <c r="K109" s="7">
        <f>IFERROR(__xludf.DUMMYFUNCTION("""COMPUTED_VALUE"""),1.46)</f>
        <v>1.46</v>
      </c>
      <c r="L109" s="7"/>
    </row>
    <row r="110" ht="15.75" customHeight="1">
      <c r="A110" s="6" t="str">
        <f>IFERROR(__xludf.DUMMYFUNCTION("""COMPUTED_VALUE"""),"https://digitalagencynetwork.com/agencies/australia/online-advertising/")</f>
        <v>https://digitalagencynetwork.com/agencies/australia/online-advertising/</v>
      </c>
      <c r="B110" s="7" t="str">
        <f>IFERROR(__xludf.DUMMYFUNCTION("""COMPUTED_VALUE"""),"Best Online Advertising Agencies in Australia")</f>
        <v>Best Online Advertising Agencies in Australia</v>
      </c>
      <c r="C110" s="6" t="str">
        <f>IFERROR(__xludf.DUMMYFUNCTION("""COMPUTED_VALUE"""),"digitalagencynetwork.com")</f>
        <v>digitalagencynetwork.com</v>
      </c>
      <c r="D110" s="7" t="str">
        <f>IFERROR(__xludf.DUMMYFUNCTION("""COMPUTED_VALUE"""),"CATEGORY_PAGE")</f>
        <v>CATEGORY_PAGE</v>
      </c>
      <c r="E110" s="7" t="str">
        <f>IFERROR(__xludf.DUMMYFUNCTION("""COMPUTED_VALUE"""),"REFERENCE")</f>
        <v>REFERENCE</v>
      </c>
      <c r="F110" s="7" t="str">
        <f>IFERROR(__xludf.DUMMYFUNCTION("""COMPUTED_VALUE"""),"Category Page")</f>
        <v>Category Page</v>
      </c>
      <c r="G110" s="7" t="b">
        <f>IFERROR(__xludf.DUMMYFUNCTION("""COMPUTED_VALUE"""),FALSE)</f>
        <v>0</v>
      </c>
      <c r="H110" s="7" t="str">
        <f>IFERROR(__xludf.DUMMYFUNCTION("""COMPUTED_VALUE"""),"Emote Digital, 80/20 Digital, Clearwater Agency, Jaywing, Impressive, In Marketing We Trust, Digital Nomads HQ, Human Digital, Online Marketing Gurus, Zib Digital")</f>
        <v>Emote Digital, 80/20 Digital, Clearwater Agency, Jaywing, Impressive, In Marketing We Trust, Digital Nomads HQ, Human Digital, Online Marketing Gurus, Zib Digital</v>
      </c>
      <c r="I110" s="7">
        <f>IFERROR(__xludf.DUMMYFUNCTION("""COMPUTED_VALUE"""),13.0)</f>
        <v>13</v>
      </c>
      <c r="J110" s="7">
        <f>IFERROR(__xludf.DUMMYFUNCTION("""COMPUTED_VALUE"""),0.01)</f>
        <v>0.01</v>
      </c>
      <c r="K110" s="7">
        <f>IFERROR(__xludf.DUMMYFUNCTION("""COMPUTED_VALUE"""),1.08)</f>
        <v>1.08</v>
      </c>
      <c r="L110" s="7"/>
    </row>
    <row r="111" ht="15.75" customHeight="1">
      <c r="A111" s="6" t="str">
        <f>IFERROR(__xludf.DUMMYFUNCTION("""COMPUTED_VALUE"""),"https://digitalagencynetwork.com/agencies/melbourne/ai-marketing/")</f>
        <v>https://digitalagencynetwork.com/agencies/melbourne/ai-marketing/</v>
      </c>
      <c r="B111" s="7" t="str">
        <f>IFERROR(__xludf.DUMMYFUNCTION("""COMPUTED_VALUE"""),"Top AI Marketing Agencies in Melbourne (2026)")</f>
        <v>Top AI Marketing Agencies in Melbourne (2026)</v>
      </c>
      <c r="C111" s="6" t="str">
        <f>IFERROR(__xludf.DUMMYFUNCTION("""COMPUTED_VALUE"""),"digitalagencynetwork.com")</f>
        <v>digitalagencynetwork.com</v>
      </c>
      <c r="D111" s="7" t="str">
        <f>IFERROR(__xludf.DUMMYFUNCTION("""COMPUTED_VALUE"""),"PROFILE")</f>
        <v>PROFILE</v>
      </c>
      <c r="E111" s="7" t="str">
        <f>IFERROR(__xludf.DUMMYFUNCTION("""COMPUTED_VALUE"""),"REFERENCE")</f>
        <v>REFERENCE</v>
      </c>
      <c r="F111" s="7" t="str">
        <f>IFERROR(__xludf.DUMMYFUNCTION("""COMPUTED_VALUE"""),"Profile")</f>
        <v>Profile</v>
      </c>
      <c r="G111" s="7" t="b">
        <f>IFERROR(__xludf.DUMMYFUNCTION("""COMPUTED_VALUE"""),FALSE)</f>
        <v>0</v>
      </c>
      <c r="H111" s="7" t="str">
        <f>IFERROR(__xludf.DUMMYFUNCTION("""COMPUTED_VALUE"""),"Emote Digital, Luminary, Soup Agency")</f>
        <v>Emote Digital, Luminary, Soup Agency</v>
      </c>
      <c r="I111" s="7">
        <f>IFERROR(__xludf.DUMMYFUNCTION("""COMPUTED_VALUE"""),13.0)</f>
        <v>13</v>
      </c>
      <c r="J111" s="7">
        <f>IFERROR(__xludf.DUMMYFUNCTION("""COMPUTED_VALUE"""),0.01)</f>
        <v>0.01</v>
      </c>
      <c r="K111" s="7">
        <f>IFERROR(__xludf.DUMMYFUNCTION("""COMPUTED_VALUE"""),0.15)</f>
        <v>0.15</v>
      </c>
      <c r="L111" s="7"/>
    </row>
    <row r="112" ht="15.75" customHeight="1">
      <c r="A112" s="6" t="str">
        <f>IFERROR(__xludf.DUMMYFUNCTION("""COMPUTED_VALUE"""),"https://godigitalalpha.com/best-performance-marketing-services-in-australia-2025/")</f>
        <v>https://godigitalalpha.com/best-performance-marketing-services-in-australia-2025/</v>
      </c>
      <c r="B112" s="7" t="str">
        <f>IFERROR(__xludf.DUMMYFUNCTION("""COMPUTED_VALUE"""),"Best Performance Marketing Services in Australia | Go Digital Alpha")</f>
        <v>Best Performance Marketing Services in Australia | Go Digital Alpha</v>
      </c>
      <c r="C112" s="6" t="str">
        <f>IFERROR(__xludf.DUMMYFUNCTION("""COMPUTED_VALUE"""),"godigitalalpha.com")</f>
        <v>godigitalalpha.com</v>
      </c>
      <c r="D112" s="7" t="str">
        <f>IFERROR(__xludf.DUMMYFUNCTION("""COMPUTED_VALUE"""),"LISTICLE")</f>
        <v>LISTICLE</v>
      </c>
      <c r="E112" s="7" t="str">
        <f>IFERROR(__xludf.DUMMYFUNCTION("""COMPUTED_VALUE"""),"CORPORATE")</f>
        <v>CORPORATE</v>
      </c>
      <c r="F112" s="7" t="str">
        <f>IFERROR(__xludf.DUMMYFUNCTION("""COMPUTED_VALUE"""),"Listicle")</f>
        <v>Listicle</v>
      </c>
      <c r="G112" s="7" t="b">
        <f>IFERROR(__xludf.DUMMYFUNCTION("""COMPUTED_VALUE"""),FALSE)</f>
        <v>0</v>
      </c>
      <c r="H112" s="7" t="str">
        <f>IFERROR(__xludf.DUMMYFUNCTION("""COMPUTED_VALUE"""),"Reload Media, Megaphone, First Page, First Page Australia, Rocket Agency, Clearwater Agency, Sparro")</f>
        <v>Reload Media, Megaphone, First Page, First Page Australia, Rocket Agency, Clearwater Agency, Sparro</v>
      </c>
      <c r="I112" s="7">
        <f>IFERROR(__xludf.DUMMYFUNCTION("""COMPUTED_VALUE"""),13.0)</f>
        <v>13</v>
      </c>
      <c r="J112" s="7">
        <f>IFERROR(__xludf.DUMMYFUNCTION("""COMPUTED_VALUE"""),0.01)</f>
        <v>0.01</v>
      </c>
      <c r="K112" s="7">
        <f>IFERROR(__xludf.DUMMYFUNCTION("""COMPUTED_VALUE"""),1.62)</f>
        <v>1.62</v>
      </c>
      <c r="L112" s="7"/>
    </row>
    <row r="113" ht="15.75" customHeight="1">
      <c r="A113" s="6" t="str">
        <f>IFERROR(__xludf.DUMMYFUNCTION("""COMPUTED_VALUE"""),"https://www.hockeystack.com/blog-posts/best-marketing-attribution-software")</f>
        <v>https://www.hockeystack.com/blog-posts/best-marketing-attribution-software</v>
      </c>
      <c r="B113" s="7" t="str">
        <f>IFERROR(__xludf.DUMMYFUNCTION("""COMPUTED_VALUE"""),"19 Best Marketing Attribution Software Solutions Reviewed for 2026")</f>
        <v>19 Best Marketing Attribution Software Solutions Reviewed for 2026</v>
      </c>
      <c r="C113" s="6" t="str">
        <f>IFERROR(__xludf.DUMMYFUNCTION("""COMPUTED_VALUE"""),"hockeystack.com")</f>
        <v>hockeystack.com</v>
      </c>
      <c r="D113" s="7" t="str">
        <f>IFERROR(__xludf.DUMMYFUNCTION("""COMPUTED_VALUE"""),"LISTICLE")</f>
        <v>LISTICLE</v>
      </c>
      <c r="E113" s="7" t="str">
        <f>IFERROR(__xludf.DUMMYFUNCTION("""COMPUTED_VALUE"""),"CORPORATE")</f>
        <v>CORPORATE</v>
      </c>
      <c r="F113" s="7" t="str">
        <f>IFERROR(__xludf.DUMMYFUNCTION("""COMPUTED_VALUE"""),"Listicle")</f>
        <v>Listicle</v>
      </c>
      <c r="G113" s="7" t="b">
        <f>IFERROR(__xludf.DUMMYFUNCTION("""COMPUTED_VALUE"""),FALSE)</f>
        <v>0</v>
      </c>
      <c r="H113" s="7"/>
      <c r="I113" s="7">
        <f>IFERROR(__xludf.DUMMYFUNCTION("""COMPUTED_VALUE"""),13.0)</f>
        <v>13</v>
      </c>
      <c r="J113" s="7">
        <f>IFERROR(__xludf.DUMMYFUNCTION("""COMPUTED_VALUE"""),0.01)</f>
        <v>0.01</v>
      </c>
      <c r="K113" s="7">
        <f>IFERROR(__xludf.DUMMYFUNCTION("""COMPUTED_VALUE"""),0.0)</f>
        <v>0</v>
      </c>
      <c r="L113" s="7"/>
    </row>
    <row r="114" ht="15.75" customHeight="1">
      <c r="A114" s="6" t="str">
        <f>IFERROR(__xludf.DUMMYFUNCTION("""COMPUTED_VALUE"""),"https://oski.site/blog/ai-consulting-companies-australia/")</f>
        <v>https://oski.site/blog/ai-consulting-companies-australia/</v>
      </c>
      <c r="B114" s="7" t="str">
        <f>IFERROR(__xludf.DUMMYFUNCTION("""COMPUTED_VALUE"""),"Top AI Consulting Companies in Australia 2026")</f>
        <v>Top AI Consulting Companies in Australia 2026</v>
      </c>
      <c r="C114" s="7" t="str">
        <f>IFERROR(__xludf.DUMMYFUNCTION("""COMPUTED_VALUE"""),"oski.site")</f>
        <v>oski.site</v>
      </c>
      <c r="D114" s="7" t="str">
        <f>IFERROR(__xludf.DUMMYFUNCTION("""COMPUTED_VALUE"""),"LISTICLE")</f>
        <v>LISTICLE</v>
      </c>
      <c r="E114" s="7" t="str">
        <f>IFERROR(__xludf.DUMMYFUNCTION("""COMPUTED_VALUE"""),"OTHER")</f>
        <v>OTHER</v>
      </c>
      <c r="F114" s="7" t="str">
        <f>IFERROR(__xludf.DUMMYFUNCTION("""COMPUTED_VALUE"""),"Listicle")</f>
        <v>Listicle</v>
      </c>
      <c r="G114" s="7" t="b">
        <f>IFERROR(__xludf.DUMMYFUNCTION("""COMPUTED_VALUE"""),FALSE)</f>
        <v>0</v>
      </c>
      <c r="H114" s="7" t="str">
        <f>IFERROR(__xludf.DUMMYFUNCTION("""COMPUTED_VALUE"""),"PHD")</f>
        <v>PHD</v>
      </c>
      <c r="I114" s="7">
        <f>IFERROR(__xludf.DUMMYFUNCTION("""COMPUTED_VALUE"""),13.0)</f>
        <v>13</v>
      </c>
      <c r="J114" s="7">
        <f>IFERROR(__xludf.DUMMYFUNCTION("""COMPUTED_VALUE"""),0.01)</f>
        <v>0.01</v>
      </c>
      <c r="K114" s="7">
        <f>IFERROR(__xludf.DUMMYFUNCTION("""COMPUTED_VALUE"""),0.23)</f>
        <v>0.23</v>
      </c>
      <c r="L114" s="7"/>
    </row>
    <row r="115" ht="15.75" customHeight="1">
      <c r="A115" s="6" t="str">
        <f>IFERROR(__xludf.DUMMYFUNCTION("""COMPUTED_VALUE"""),"https://www.salesmate.io/blog/marketing-attribution-software/")</f>
        <v>https://www.salesmate.io/blog/marketing-attribution-software/</v>
      </c>
      <c r="B115" s="7" t="str">
        <f>IFERROR(__xludf.DUMMYFUNCTION("""COMPUTED_VALUE"""),"11 Best Marketing Attribution Software (2026 Guide)")</f>
        <v>11 Best Marketing Attribution Software (2026 Guide)</v>
      </c>
      <c r="C115" s="6" t="str">
        <f>IFERROR(__xludf.DUMMYFUNCTION("""COMPUTED_VALUE"""),"salesmate.io")</f>
        <v>salesmate.io</v>
      </c>
      <c r="D115" s="7" t="str">
        <f>IFERROR(__xludf.DUMMYFUNCTION("""COMPUTED_VALUE"""),"LISTICLE")</f>
        <v>LISTICLE</v>
      </c>
      <c r="E115" s="7" t="str">
        <f>IFERROR(__xludf.DUMMYFUNCTION("""COMPUTED_VALUE"""),"CORPORATE")</f>
        <v>CORPORATE</v>
      </c>
      <c r="F115" s="7" t="str">
        <f>IFERROR(__xludf.DUMMYFUNCTION("""COMPUTED_VALUE"""),"Listicle")</f>
        <v>Listicle</v>
      </c>
      <c r="G115" s="7" t="b">
        <f>IFERROR(__xludf.DUMMYFUNCTION("""COMPUTED_VALUE"""),FALSE)</f>
        <v>0</v>
      </c>
      <c r="H115" s="7"/>
      <c r="I115" s="7">
        <f>IFERROR(__xludf.DUMMYFUNCTION("""COMPUTED_VALUE"""),13.0)</f>
        <v>13</v>
      </c>
      <c r="J115" s="7">
        <f>IFERROR(__xludf.DUMMYFUNCTION("""COMPUTED_VALUE"""),0.01)</f>
        <v>0.01</v>
      </c>
      <c r="K115" s="7">
        <f>IFERROR(__xludf.DUMMYFUNCTION("""COMPUTED_VALUE"""),0.38)</f>
        <v>0.38</v>
      </c>
      <c r="L115" s="7"/>
    </row>
    <row r="116" ht="15.75" customHeight="1">
      <c r="A116" s="6" t="str">
        <f>IFERROR(__xludf.DUMMYFUNCTION("""COMPUTED_VALUE"""),"https://sellforte.com/blog/best-incrementality-testing-tools")</f>
        <v>https://sellforte.com/blog/best-incrementality-testing-tools</v>
      </c>
      <c r="B116" s="7" t="str">
        <f>IFERROR(__xludf.DUMMYFUNCTION("""COMPUTED_VALUE"""),"Best Incrementality Testing Tools in 2026: In-depth Vendor Comparison")</f>
        <v>Best Incrementality Testing Tools in 2026: In-depth Vendor Comparison</v>
      </c>
      <c r="C116" s="6" t="str">
        <f>IFERROR(__xludf.DUMMYFUNCTION("""COMPUTED_VALUE"""),"sellforte.com")</f>
        <v>sellforte.com</v>
      </c>
      <c r="D116" s="7" t="str">
        <f>IFERROR(__xludf.DUMMYFUNCTION("""COMPUTED_VALUE"""),"COMPARISON")</f>
        <v>COMPARISON</v>
      </c>
      <c r="E116" s="7" t="str">
        <f>IFERROR(__xludf.DUMMYFUNCTION("""COMPUTED_VALUE"""),"CORPORATE")</f>
        <v>CORPORATE</v>
      </c>
      <c r="F116" s="7" t="str">
        <f>IFERROR(__xludf.DUMMYFUNCTION("""COMPUTED_VALUE"""),"Comparison")</f>
        <v>Comparison</v>
      </c>
      <c r="G116" s="7" t="b">
        <f>IFERROR(__xludf.DUMMYFUNCTION("""COMPUTED_VALUE"""),FALSE)</f>
        <v>0</v>
      </c>
      <c r="H116" s="7" t="str">
        <f>IFERROR(__xludf.DUMMYFUNCTION("""COMPUTED_VALUE"""),"Measured, Haus")</f>
        <v>Measured, Haus</v>
      </c>
      <c r="I116" s="7">
        <f>IFERROR(__xludf.DUMMYFUNCTION("""COMPUTED_VALUE"""),13.0)</f>
        <v>13</v>
      </c>
      <c r="J116" s="7">
        <f>IFERROR(__xludf.DUMMYFUNCTION("""COMPUTED_VALUE"""),0.01)</f>
        <v>0.01</v>
      </c>
      <c r="K116" s="7">
        <f>IFERROR(__xludf.DUMMYFUNCTION("""COMPUTED_VALUE"""),0.46)</f>
        <v>0.46</v>
      </c>
      <c r="L116" s="7"/>
    </row>
    <row r="117" ht="15.75" customHeight="1">
      <c r="A117" s="6" t="str">
        <f>IFERROR(__xludf.DUMMYFUNCTION("""COMPUTED_VALUE"""),"https://www.sortlist.com/media-planning/australia-au")</f>
        <v>https://www.sortlist.com/media-planning/australia-au</v>
      </c>
      <c r="B117" s="7" t="str">
        <f>IFERROR(__xludf.DUMMYFUNCTION("""COMPUTED_VALUE"""),"The 10 Best Media Agencies in Australia - 2026 Reviews")</f>
        <v>The 10 Best Media Agencies in Australia - 2026 Reviews</v>
      </c>
      <c r="C117" s="6" t="str">
        <f>IFERROR(__xludf.DUMMYFUNCTION("""COMPUTED_VALUE"""),"sortlist.com")</f>
        <v>sortlist.com</v>
      </c>
      <c r="D117" s="7" t="str">
        <f>IFERROR(__xludf.DUMMYFUNCTION("""COMPUTED_VALUE"""),"CATEGORY_PAGE")</f>
        <v>CATEGORY_PAGE</v>
      </c>
      <c r="E117" s="7" t="str">
        <f>IFERROR(__xludf.DUMMYFUNCTION("""COMPUTED_VALUE"""),"CORPORATE")</f>
        <v>CORPORATE</v>
      </c>
      <c r="F117" s="7" t="str">
        <f>IFERROR(__xludf.DUMMYFUNCTION("""COMPUTED_VALUE"""),"Category Page")</f>
        <v>Category Page</v>
      </c>
      <c r="G117" s="7" t="b">
        <f>IFERROR(__xludf.DUMMYFUNCTION("""COMPUTED_VALUE"""),FALSE)</f>
        <v>0</v>
      </c>
      <c r="H117" s="7" t="str">
        <f>IFERROR(__xludf.DUMMYFUNCTION("""COMPUTED_VALUE"""),"Impressive, CUT THRU, Momentum, Earned Media, SIXGUN")</f>
        <v>Impressive, CUT THRU, Momentum, Earned Media, SIXGUN</v>
      </c>
      <c r="I117" s="7">
        <f>IFERROR(__xludf.DUMMYFUNCTION("""COMPUTED_VALUE"""),13.0)</f>
        <v>13</v>
      </c>
      <c r="J117" s="7">
        <f>IFERROR(__xludf.DUMMYFUNCTION("""COMPUTED_VALUE"""),0.01)</f>
        <v>0.01</v>
      </c>
      <c r="K117" s="7">
        <f>IFERROR(__xludf.DUMMYFUNCTION("""COMPUTED_VALUE"""),0.92)</f>
        <v>0.92</v>
      </c>
      <c r="L117" s="7"/>
    </row>
    <row r="118" ht="15.75" customHeight="1">
      <c r="A118" s="6" t="str">
        <f>IFERROR(__xludf.DUMMYFUNCTION("""COMPUTED_VALUE"""),"https://www.sortlist.com/s/paid-media/australian-capital-territory-act-au")</f>
        <v>https://www.sortlist.com/s/paid-media/australian-capital-territory-act-au</v>
      </c>
      <c r="B118" s="7" t="str">
        <f>IFERROR(__xludf.DUMMYFUNCTION("""COMPUTED_VALUE"""),"The 10 Best Paid Media Agencies in Australian Capital Territory - 2026 Reviews")</f>
        <v>The 10 Best Paid Media Agencies in Australian Capital Territory - 2026 Reviews</v>
      </c>
      <c r="C118" s="6" t="str">
        <f>IFERROR(__xludf.DUMMYFUNCTION("""COMPUTED_VALUE"""),"sortlist.com")</f>
        <v>sortlist.com</v>
      </c>
      <c r="D118" s="7" t="str">
        <f>IFERROR(__xludf.DUMMYFUNCTION("""COMPUTED_VALUE"""),"CATEGORY_PAGE")</f>
        <v>CATEGORY_PAGE</v>
      </c>
      <c r="E118" s="7" t="str">
        <f>IFERROR(__xludf.DUMMYFUNCTION("""COMPUTED_VALUE"""),"CORPORATE")</f>
        <v>CORPORATE</v>
      </c>
      <c r="F118" s="7" t="str">
        <f>IFERROR(__xludf.DUMMYFUNCTION("""COMPUTED_VALUE"""),"Category Page")</f>
        <v>Category Page</v>
      </c>
      <c r="G118" s="7" t="b">
        <f>IFERROR(__xludf.DUMMYFUNCTION("""COMPUTED_VALUE"""),FALSE)</f>
        <v>0</v>
      </c>
      <c r="H118" s="7" t="str">
        <f>IFERROR(__xludf.DUMMYFUNCTION("""COMPUTED_VALUE"""),"Measured, Earned Media, Clearwater Agency, SIXGUN, Impressive, Supple Digital, Ninja Promo, Momentum, Digital Nomads HQ, Soup Agency, HERO, 23 Digital")</f>
        <v>Measured, Earned Media, Clearwater Agency, SIXGUN, Impressive, Supple Digital, Ninja Promo, Momentum, Digital Nomads HQ, Soup Agency, HERO, 23 Digital</v>
      </c>
      <c r="I118" s="7">
        <f>IFERROR(__xludf.DUMMYFUNCTION("""COMPUTED_VALUE"""),13.0)</f>
        <v>13</v>
      </c>
      <c r="J118" s="7">
        <f>IFERROR(__xludf.DUMMYFUNCTION("""COMPUTED_VALUE"""),0.01)</f>
        <v>0.01</v>
      </c>
      <c r="K118" s="7">
        <f>IFERROR(__xludf.DUMMYFUNCTION("""COMPUTED_VALUE"""),0.08)</f>
        <v>0.08</v>
      </c>
      <c r="L118" s="7"/>
    </row>
    <row r="119" ht="15.75" customHeight="1">
      <c r="A119" s="6" t="str">
        <f>IFERROR(__xludf.DUMMYFUNCTION("""COMPUTED_VALUE"""),"https://team400.ai/blog/2026-04-top-ai-consultants-australia")</f>
        <v>https://team400.ai/blog/2026-04-top-ai-consultants-australia</v>
      </c>
      <c r="B119" s="7" t="str">
        <f>IFERROR(__xludf.DUMMYFUNCTION("""COMPUTED_VALUE"""),"Top AI Consultants in Australia (2026) | Team 400 Blog")</f>
        <v>Top AI Consultants in Australia (2026) | Team 400 Blog</v>
      </c>
      <c r="C119" s="6" t="str">
        <f>IFERROR(__xludf.DUMMYFUNCTION("""COMPUTED_VALUE"""),"team400.ai")</f>
        <v>team400.ai</v>
      </c>
      <c r="D119" s="7" t="str">
        <f>IFERROR(__xludf.DUMMYFUNCTION("""COMPUTED_VALUE"""),"LISTICLE")</f>
        <v>LISTICLE</v>
      </c>
      <c r="E119" s="7" t="str">
        <f>IFERROR(__xludf.DUMMYFUNCTION("""COMPUTED_VALUE"""),"CORPORATE")</f>
        <v>CORPORATE</v>
      </c>
      <c r="F119" s="7" t="str">
        <f>IFERROR(__xludf.DUMMYFUNCTION("""COMPUTED_VALUE"""),"Listicle")</f>
        <v>Listicle</v>
      </c>
      <c r="G119" s="7" t="b">
        <f>IFERROR(__xludf.DUMMYFUNCTION("""COMPUTED_VALUE"""),FALSE)</f>
        <v>0</v>
      </c>
      <c r="H119" s="7" t="str">
        <f>IFERROR(__xludf.DUMMYFUNCTION("""COMPUTED_VALUE"""),"Team 400, KPMG, Deloitte")</f>
        <v>Team 400, KPMG, Deloitte</v>
      </c>
      <c r="I119" s="7">
        <f>IFERROR(__xludf.DUMMYFUNCTION("""COMPUTED_VALUE"""),13.0)</f>
        <v>13</v>
      </c>
      <c r="J119" s="7">
        <f>IFERROR(__xludf.DUMMYFUNCTION("""COMPUTED_VALUE"""),0.01)</f>
        <v>0.01</v>
      </c>
      <c r="K119" s="7">
        <f>IFERROR(__xludf.DUMMYFUNCTION("""COMPUTED_VALUE"""),0.85)</f>
        <v>0.85</v>
      </c>
      <c r="L119" s="7"/>
    </row>
    <row r="120" ht="15.75" customHeight="1">
      <c r="A120" s="6" t="str">
        <f>IFERROR(__xludf.DUMMYFUNCTION("""COMPUTED_VALUE"""),"https://www.thehero.co/news/top-10-best-advertising-agencies-leading-australia-2025-sydney-melbourne-brisbane")</f>
        <v>https://www.thehero.co/news/top-10-best-advertising-agencies-leading-australia-2025-sydney-melbourne-brisbane</v>
      </c>
      <c r="B120" s="7" t="str">
        <f>IFERROR(__xludf.DUMMYFUNCTION("""COMPUTED_VALUE"""),"HERO Tops Best Creative Advertising Agencies In Australia (2025) for Sydney, Melbourne and Brisbane")</f>
        <v>HERO Tops Best Creative Advertising Agencies In Australia (2025) for Sydney, Melbourne and Brisbane</v>
      </c>
      <c r="C120" s="6" t="str">
        <f>IFERROR(__xludf.DUMMYFUNCTION("""COMPUTED_VALUE"""),"thehero.co")</f>
        <v>thehero.co</v>
      </c>
      <c r="D120" s="7" t="str">
        <f>IFERROR(__xludf.DUMMYFUNCTION("""COMPUTED_VALUE"""),"ARTICLE")</f>
        <v>ARTICLE</v>
      </c>
      <c r="E120" s="7" t="str">
        <f>IFERROR(__xludf.DUMMYFUNCTION("""COMPUTED_VALUE"""),"CORPORATE")</f>
        <v>CORPORATE</v>
      </c>
      <c r="F120" s="7" t="str">
        <f>IFERROR(__xludf.DUMMYFUNCTION("""COMPUTED_VALUE"""),"Article")</f>
        <v>Article</v>
      </c>
      <c r="G120" s="7" t="b">
        <f>IFERROR(__xludf.DUMMYFUNCTION("""COMPUTED_VALUE"""),FALSE)</f>
        <v>0</v>
      </c>
      <c r="H120" s="7" t="str">
        <f>IFERROR(__xludf.DUMMYFUNCTION("""COMPUTED_VALUE"""),"HERO")</f>
        <v>HERO</v>
      </c>
      <c r="I120" s="7">
        <f>IFERROR(__xludf.DUMMYFUNCTION("""COMPUTED_VALUE"""),13.0)</f>
        <v>13</v>
      </c>
      <c r="J120" s="7">
        <f>IFERROR(__xludf.DUMMYFUNCTION("""COMPUTED_VALUE"""),0.01)</f>
        <v>0.01</v>
      </c>
      <c r="K120" s="7">
        <f>IFERROR(__xludf.DUMMYFUNCTION("""COMPUTED_VALUE"""),1.23)</f>
        <v>1.23</v>
      </c>
      <c r="L120" s="7"/>
    </row>
    <row r="121" ht="15.75" customHeight="1">
      <c r="A121" s="6" t="str">
        <f>IFERROR(__xludf.DUMMYFUNCTION("""COMPUTED_VALUE"""),"https://www.topseobrands.com/au/best-display-advertising-firms-in-australia")</f>
        <v>https://www.topseobrands.com/au/best-display-advertising-firms-in-australia</v>
      </c>
      <c r="B121" s="7" t="str">
        <f>IFERROR(__xludf.DUMMYFUNCTION("""COMPUTED_VALUE"""),"Best Display Advertising Firms in Australia | Top SEO Brands")</f>
        <v>Best Display Advertising Firms in Australia | Top SEO Brands</v>
      </c>
      <c r="C121" s="6" t="str">
        <f>IFERROR(__xludf.DUMMYFUNCTION("""COMPUTED_VALUE"""),"topseobrands.com")</f>
        <v>topseobrands.com</v>
      </c>
      <c r="D121" s="7" t="str">
        <f>IFERROR(__xludf.DUMMYFUNCTION("""COMPUTED_VALUE"""),"LISTICLE")</f>
        <v>LISTICLE</v>
      </c>
      <c r="E121" s="7" t="str">
        <f>IFERROR(__xludf.DUMMYFUNCTION("""COMPUTED_VALUE"""),"REFERENCE")</f>
        <v>REFERENCE</v>
      </c>
      <c r="F121" s="7" t="str">
        <f>IFERROR(__xludf.DUMMYFUNCTION("""COMPUTED_VALUE"""),"Listicle")</f>
        <v>Listicle</v>
      </c>
      <c r="G121" s="7" t="b">
        <f>IFERROR(__xludf.DUMMYFUNCTION("""COMPUTED_VALUE"""),FALSE)</f>
        <v>0</v>
      </c>
      <c r="H121" s="7" t="str">
        <f>IFERROR(__xludf.DUMMYFUNCTION("""COMPUTED_VALUE"""),"Intesols, Impressive")</f>
        <v>Intesols, Impressive</v>
      </c>
      <c r="I121" s="7">
        <f>IFERROR(__xludf.DUMMYFUNCTION("""COMPUTED_VALUE"""),13.0)</f>
        <v>13</v>
      </c>
      <c r="J121" s="7">
        <f>IFERROR(__xludf.DUMMYFUNCTION("""COMPUTED_VALUE"""),0.01)</f>
        <v>0.01</v>
      </c>
      <c r="K121" s="7">
        <f>IFERROR(__xludf.DUMMYFUNCTION("""COMPUTED_VALUE"""),0.23)</f>
        <v>0.23</v>
      </c>
      <c r="L121" s="7"/>
    </row>
    <row r="122" ht="15.75" customHeight="1">
      <c r="A122" s="6" t="str">
        <f>IFERROR(__xludf.DUMMYFUNCTION("""COMPUTED_VALUE"""),"https://agencies.semrush.com/list/display-advertising/sydney/")</f>
        <v>https://agencies.semrush.com/list/display-advertising/sydney/</v>
      </c>
      <c r="B122" s="7" t="str">
        <f>IFERROR(__xludf.DUMMYFUNCTION("""COMPUTED_VALUE"""),"Best Display Ads Agencies in Sydney 2026 | Semrush")</f>
        <v>Best Display Ads Agencies in Sydney 2026 | Semrush</v>
      </c>
      <c r="C122" s="6" t="str">
        <f>IFERROR(__xludf.DUMMYFUNCTION("""COMPUTED_VALUE"""),"semrush.com")</f>
        <v>semrush.com</v>
      </c>
      <c r="D122" s="7" t="str">
        <f>IFERROR(__xludf.DUMMYFUNCTION("""COMPUTED_VALUE"""),"CATEGORY_PAGE")</f>
        <v>CATEGORY_PAGE</v>
      </c>
      <c r="E122" s="7" t="str">
        <f>IFERROR(__xludf.DUMMYFUNCTION("""COMPUTED_VALUE"""),"CORPORATE")</f>
        <v>CORPORATE</v>
      </c>
      <c r="F122" s="7" t="str">
        <f>IFERROR(__xludf.DUMMYFUNCTION("""COMPUTED_VALUE"""),"Category Page")</f>
        <v>Category Page</v>
      </c>
      <c r="G122" s="7" t="b">
        <f>IFERROR(__xludf.DUMMYFUNCTION("""COMPUTED_VALUE"""),FALSE)</f>
        <v>0</v>
      </c>
      <c r="H122" s="7" t="str">
        <f>IFERROR(__xludf.DUMMYFUNCTION("""COMPUTED_VALUE"""),"Soup Agency, Online Marketing Gurus, Omnicom Media Group, Click Click Media, Bench Media, Rocket Agency, First Page, Clearwater Agency, Measured, Earned Media, Impressive")</f>
        <v>Soup Agency, Online Marketing Gurus, Omnicom Media Group, Click Click Media, Bench Media, Rocket Agency, First Page, Clearwater Agency, Measured, Earned Media, Impressive</v>
      </c>
      <c r="I122" s="7">
        <f>IFERROR(__xludf.DUMMYFUNCTION("""COMPUTED_VALUE"""),12.0)</f>
        <v>12</v>
      </c>
      <c r="J122" s="7">
        <f>IFERROR(__xludf.DUMMYFUNCTION("""COMPUTED_VALUE"""),0.01)</f>
        <v>0.01</v>
      </c>
      <c r="K122" s="7">
        <f>IFERROR(__xludf.DUMMYFUNCTION("""COMPUTED_VALUE"""),0.5)</f>
        <v>0.5</v>
      </c>
      <c r="L122" s="7"/>
    </row>
    <row r="123" ht="15.75" customHeight="1">
      <c r="A123" s="6" t="str">
        <f>IFERROR(__xludf.DUMMYFUNCTION("""COMPUTED_VALUE"""),"https://agencies.semrush.com/list/programmatic-advertising/australia/")</f>
        <v>https://agencies.semrush.com/list/programmatic-advertising/australia/</v>
      </c>
      <c r="B123" s="7" t="str">
        <f>IFERROR(__xludf.DUMMYFUNCTION("""COMPUTED_VALUE"""),"Best Programmatic Advertising Agencies in Australia 2026 | Semrush")</f>
        <v>Best Programmatic Advertising Agencies in Australia 2026 | Semrush</v>
      </c>
      <c r="C123" s="6" t="str">
        <f>IFERROR(__xludf.DUMMYFUNCTION("""COMPUTED_VALUE"""),"semrush.com")</f>
        <v>semrush.com</v>
      </c>
      <c r="D123" s="7" t="str">
        <f>IFERROR(__xludf.DUMMYFUNCTION("""COMPUTED_VALUE"""),"CATEGORY_PAGE")</f>
        <v>CATEGORY_PAGE</v>
      </c>
      <c r="E123" s="7" t="str">
        <f>IFERROR(__xludf.DUMMYFUNCTION("""COMPUTED_VALUE"""),"CORPORATE")</f>
        <v>CORPORATE</v>
      </c>
      <c r="F123" s="7" t="str">
        <f>IFERROR(__xludf.DUMMYFUNCTION("""COMPUTED_VALUE"""),"Category Page")</f>
        <v>Category Page</v>
      </c>
      <c r="G123" s="7" t="b">
        <f>IFERROR(__xludf.DUMMYFUNCTION("""COMPUTED_VALUE"""),FALSE)</f>
        <v>0</v>
      </c>
      <c r="H123" s="7"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123" s="7">
        <f>IFERROR(__xludf.DUMMYFUNCTION("""COMPUTED_VALUE"""),12.0)</f>
        <v>12</v>
      </c>
      <c r="J123" s="7">
        <f>IFERROR(__xludf.DUMMYFUNCTION("""COMPUTED_VALUE"""),0.01)</f>
        <v>0.01</v>
      </c>
      <c r="K123" s="7">
        <f>IFERROR(__xludf.DUMMYFUNCTION("""COMPUTED_VALUE"""),0.5)</f>
        <v>0.5</v>
      </c>
      <c r="L123" s="7"/>
    </row>
    <row r="124" ht="15.75" customHeight="1">
      <c r="A124" s="6" t="str">
        <f>IFERROR(__xludf.DUMMYFUNCTION("""COMPUTED_VALUE"""),"https://auratechinsights.medium.com/top-10-ai-development-and-consulting-companies-in-australia-7093eee60fbe")</f>
        <v>https://auratechinsights.medium.com/top-10-ai-development-and-consulting-companies-in-australia-7093eee60fbe</v>
      </c>
      <c r="B124" s="7" t="str">
        <f>IFERROR(__xludf.DUMMYFUNCTION("""COMPUTED_VALUE"""),"Top 10 AI Development and Consulting Companies in Australia | by Aura Tech Insights | Medium")</f>
        <v>Top 10 AI Development and Consulting Companies in Australia | by Aura Tech Insights | Medium</v>
      </c>
      <c r="C124" s="6" t="str">
        <f>IFERROR(__xludf.DUMMYFUNCTION("""COMPUTED_VALUE"""),"medium.com")</f>
        <v>medium.com</v>
      </c>
      <c r="D124" s="7" t="str">
        <f>IFERROR(__xludf.DUMMYFUNCTION("""COMPUTED_VALUE"""),"LISTICLE")</f>
        <v>LISTICLE</v>
      </c>
      <c r="E124" s="7" t="str">
        <f>IFERROR(__xludf.DUMMYFUNCTION("""COMPUTED_VALUE"""),"UGC")</f>
        <v>UGC</v>
      </c>
      <c r="F124" s="7" t="str">
        <f>IFERROR(__xludf.DUMMYFUNCTION("""COMPUTED_VALUE"""),"Listicle")</f>
        <v>Listicle</v>
      </c>
      <c r="G124" s="7" t="b">
        <f>IFERROR(__xludf.DUMMYFUNCTION("""COMPUTED_VALUE"""),FALSE)</f>
        <v>0</v>
      </c>
      <c r="H124" s="7" t="str">
        <f>IFERROR(__xludf.DUMMYFUNCTION("""COMPUTED_VALUE"""),"Momentum")</f>
        <v>Momentum</v>
      </c>
      <c r="I124" s="7">
        <f>IFERROR(__xludf.DUMMYFUNCTION("""COMPUTED_VALUE"""),12.0)</f>
        <v>12</v>
      </c>
      <c r="J124" s="7">
        <f>IFERROR(__xludf.DUMMYFUNCTION("""COMPUTED_VALUE"""),0.01)</f>
        <v>0.01</v>
      </c>
      <c r="K124" s="7">
        <f>IFERROR(__xludf.DUMMYFUNCTION("""COMPUTED_VALUE"""),0.08)</f>
        <v>0.08</v>
      </c>
      <c r="L124" s="7"/>
    </row>
    <row r="125" ht="15.75" customHeight="1">
      <c r="A125" s="6" t="str">
        <f>IFERROR(__xludf.DUMMYFUNCTION("""COMPUTED_VALUE"""),"https://www.bbe.io/top-ranked-best-advertising-agency-leaders-australia-2026-sydney-melbourne-brisbane")</f>
        <v>https://www.bbe.io/top-ranked-best-advertising-agency-leaders-australia-2026-sydney-melbourne-brisbane</v>
      </c>
      <c r="B125" s="7" t="str">
        <f>IFERROR(__xludf.DUMMYFUNCTION("""COMPUTED_VALUE"""),"The BBE Best: The Best Creative Leaders of the Top Advertising Agencies in Australia")</f>
        <v>The BBE Best: The Best Creative Leaders of the Top Advertising Agencies in Australia</v>
      </c>
      <c r="C125" s="6" t="str">
        <f>IFERROR(__xludf.DUMMYFUNCTION("""COMPUTED_VALUE"""),"bbe.io")</f>
        <v>bbe.io</v>
      </c>
      <c r="D125" s="7" t="str">
        <f>IFERROR(__xludf.DUMMYFUNCTION("""COMPUTED_VALUE"""),"LISTICLE")</f>
        <v>LISTICLE</v>
      </c>
      <c r="E125" s="7" t="str">
        <f>IFERROR(__xludf.DUMMYFUNCTION("""COMPUTED_VALUE"""),"CORPORATE")</f>
        <v>CORPORATE</v>
      </c>
      <c r="F125" s="7" t="str">
        <f>IFERROR(__xludf.DUMMYFUNCTION("""COMPUTED_VALUE"""),"Listicle")</f>
        <v>Listicle</v>
      </c>
      <c r="G125" s="7" t="b">
        <f>IFERROR(__xludf.DUMMYFUNCTION("""COMPUTED_VALUE"""),FALSE)</f>
        <v>0</v>
      </c>
      <c r="H125" s="7" t="str">
        <f>IFERROR(__xludf.DUMMYFUNCTION("""COMPUTED_VALUE"""),"HERO, VML")</f>
        <v>HERO, VML</v>
      </c>
      <c r="I125" s="7">
        <f>IFERROR(__xludf.DUMMYFUNCTION("""COMPUTED_VALUE"""),12.0)</f>
        <v>12</v>
      </c>
      <c r="J125" s="7">
        <f>IFERROR(__xludf.DUMMYFUNCTION("""COMPUTED_VALUE"""),0.01)</f>
        <v>0.01</v>
      </c>
      <c r="K125" s="7">
        <f>IFERROR(__xludf.DUMMYFUNCTION("""COMPUTED_VALUE"""),1.0)</f>
        <v>1</v>
      </c>
      <c r="L125" s="7"/>
    </row>
    <row r="126" ht="15.75" customHeight="1">
      <c r="A126" s="6" t="str">
        <f>IFERROR(__xludf.DUMMYFUNCTION("""COMPUTED_VALUE"""),"https://www.goodfirms.co/directory/country/top-digital-marketing-companies/au/")</f>
        <v>https://www.goodfirms.co/directory/country/top-digital-marketing-companies/au/</v>
      </c>
      <c r="B126" s="7" t="str">
        <f>IFERROR(__xludf.DUMMYFUNCTION("""COMPUTED_VALUE"""),"Top Digital Marketing Agencies in Australia - 2026 Reviews | Goodfirms")</f>
        <v>Top Digital Marketing Agencies in Australia - 2026 Reviews | Goodfirms</v>
      </c>
      <c r="C126" s="6" t="str">
        <f>IFERROR(__xludf.DUMMYFUNCTION("""COMPUTED_VALUE"""),"goodfirms.co")</f>
        <v>goodfirms.co</v>
      </c>
      <c r="D126" s="7" t="str">
        <f>IFERROR(__xludf.DUMMYFUNCTION("""COMPUTED_VALUE"""),"OTHER")</f>
        <v>OTHER</v>
      </c>
      <c r="E126" s="7" t="str">
        <f>IFERROR(__xludf.DUMMYFUNCTION("""COMPUTED_VALUE"""),"UGC")</f>
        <v>UGC</v>
      </c>
      <c r="F126" s="7" t="str">
        <f>IFERROR(__xludf.DUMMYFUNCTION("""COMPUTED_VALUE"""),"Other")</f>
        <v>Other</v>
      </c>
      <c r="G126" s="7" t="b">
        <f>IFERROR(__xludf.DUMMYFUNCTION("""COMPUTED_VALUE"""),FALSE)</f>
        <v>0</v>
      </c>
      <c r="H126" s="7" t="str">
        <f>IFERROR(__xludf.DUMMYFUNCTION("""COMPUTED_VALUE"""),"Impressive, CUT THRU, eMarket Experts, SIXGUN, Elephant In The Boardroom, Supple Digital, AdVisible, Digital Nomads HQ, Emote Digital")</f>
        <v>Impressive, CUT THRU, eMarket Experts, SIXGUN, Elephant In The Boardroom, Supple Digital, AdVisible, Digital Nomads HQ, Emote Digital</v>
      </c>
      <c r="I126" s="7">
        <f>IFERROR(__xludf.DUMMYFUNCTION("""COMPUTED_VALUE"""),12.0)</f>
        <v>12</v>
      </c>
      <c r="J126" s="7">
        <f>IFERROR(__xludf.DUMMYFUNCTION("""COMPUTED_VALUE"""),0.01)</f>
        <v>0.01</v>
      </c>
      <c r="K126" s="7">
        <f>IFERROR(__xludf.DUMMYFUNCTION("""COMPUTED_VALUE"""),0.0)</f>
        <v>0</v>
      </c>
      <c r="L126" s="7"/>
    </row>
    <row r="127" ht="15.75" customHeight="1">
      <c r="A127" s="6" t="str">
        <f>IFERROR(__xludf.DUMMYFUNCTION("""COMPUTED_VALUE"""),"https://www.greenbook.org/market-research-companies/australia")</f>
        <v>https://www.greenbook.org/market-research-companies/australia</v>
      </c>
      <c r="B127" s="7" t="str">
        <f>IFERROR(__xludf.DUMMYFUNCTION("""COMPUTED_VALUE"""),"Top Marketing Research Firms in Australia — Greenbook")</f>
        <v>Top Marketing Research Firms in Australia — Greenbook</v>
      </c>
      <c r="C127" s="6" t="str">
        <f>IFERROR(__xludf.DUMMYFUNCTION("""COMPUTED_VALUE"""),"greenbook.org")</f>
        <v>greenbook.org</v>
      </c>
      <c r="D127" s="7" t="str">
        <f>IFERROR(__xludf.DUMMYFUNCTION("""COMPUTED_VALUE"""),"CATEGORY_PAGE")</f>
        <v>CATEGORY_PAGE</v>
      </c>
      <c r="E127" s="7" t="str">
        <f>IFERROR(__xludf.DUMMYFUNCTION("""COMPUTED_VALUE"""),"REFERENCE")</f>
        <v>REFERENCE</v>
      </c>
      <c r="F127" s="7" t="str">
        <f>IFERROR(__xludf.DUMMYFUNCTION("""COMPUTED_VALUE"""),"Category Page")</f>
        <v>Category Page</v>
      </c>
      <c r="G127" s="7" t="b">
        <f>IFERROR(__xludf.DUMMYFUNCTION("""COMPUTED_VALUE"""),FALSE)</f>
        <v>0</v>
      </c>
      <c r="H127" s="7" t="str">
        <f>IFERROR(__xludf.DUMMYFUNCTION("""COMPUTED_VALUE"""),"Mindshare, PHD, Accenture Song")</f>
        <v>Mindshare, PHD, Accenture Song</v>
      </c>
      <c r="I127" s="7">
        <f>IFERROR(__xludf.DUMMYFUNCTION("""COMPUTED_VALUE"""),12.0)</f>
        <v>12</v>
      </c>
      <c r="J127" s="7">
        <f>IFERROR(__xludf.DUMMYFUNCTION("""COMPUTED_VALUE"""),0.01)</f>
        <v>0.01</v>
      </c>
      <c r="K127" s="7">
        <f>IFERROR(__xludf.DUMMYFUNCTION("""COMPUTED_VALUE"""),0.42)</f>
        <v>0.42</v>
      </c>
      <c r="L127" s="7"/>
    </row>
    <row r="128" ht="15.75" customHeight="1">
      <c r="A128" s="6" t="str">
        <f>IFERROR(__xludf.DUMMYFUNCTION("""COMPUTED_VALUE"""),"https://www.hashmeta.ai/en/blog/top-10-best-ai-marketing-agencies-in-australia-expert-comparison-guide")</f>
        <v>https://www.hashmeta.ai/en/blog/top-10-best-ai-marketing-agencies-in-australia-expert-comparison-guide</v>
      </c>
      <c r="B128" s="7" t="str">
        <f>IFERROR(__xludf.DUMMYFUNCTION("""COMPUTED_VALUE"""),"Top 10 Best AI Marketing Agencies in Australia: Expert Comparison Guide | Hashmeta AI Marketing Blog")</f>
        <v>Top 10 Best AI Marketing Agencies in Australia: Expert Comparison Guide | Hashmeta AI Marketing Blog</v>
      </c>
      <c r="C128" s="6" t="str">
        <f>IFERROR(__xludf.DUMMYFUNCTION("""COMPUTED_VALUE"""),"hashmeta.ai")</f>
        <v>hashmeta.ai</v>
      </c>
      <c r="D128" s="7" t="str">
        <f>IFERROR(__xludf.DUMMYFUNCTION("""COMPUTED_VALUE"""),"LISTICLE")</f>
        <v>LISTICLE</v>
      </c>
      <c r="E128" s="7" t="str">
        <f>IFERROR(__xludf.DUMMYFUNCTION("""COMPUTED_VALUE"""),"CORPORATE")</f>
        <v>CORPORATE</v>
      </c>
      <c r="F128" s="7" t="str">
        <f>IFERROR(__xludf.DUMMYFUNCTION("""COMPUTED_VALUE"""),"Listicle")</f>
        <v>Listicle</v>
      </c>
      <c r="G128" s="7" t="b">
        <f>IFERROR(__xludf.DUMMYFUNCTION("""COMPUTED_VALUE"""),FALSE)</f>
        <v>0</v>
      </c>
      <c r="H128" s="7" t="str">
        <f>IFERROR(__xludf.DUMMYFUNCTION("""COMPUTED_VALUE"""),"Rocket Agency, Zib Digital, King Kong, Reef Digital Agency, Impressive, Absolutely AI")</f>
        <v>Rocket Agency, Zib Digital, King Kong, Reef Digital Agency, Impressive, Absolutely AI</v>
      </c>
      <c r="I128" s="7">
        <f>IFERROR(__xludf.DUMMYFUNCTION("""COMPUTED_VALUE"""),12.0)</f>
        <v>12</v>
      </c>
      <c r="J128" s="7">
        <f>IFERROR(__xludf.DUMMYFUNCTION("""COMPUTED_VALUE"""),0.01)</f>
        <v>0.01</v>
      </c>
      <c r="K128" s="7">
        <f>IFERROR(__xludf.DUMMYFUNCTION("""COMPUTED_VALUE"""),0.92)</f>
        <v>0.92</v>
      </c>
      <c r="L128" s="7"/>
    </row>
    <row r="129" ht="15.75" customHeight="1">
      <c r="A129" s="6" t="str">
        <f>IFERROR(__xludf.DUMMYFUNCTION("""COMPUTED_VALUE"""),"https://inbeat.agency/blog/top-marketing-measurement-and-analytics-companies")</f>
        <v>https://inbeat.agency/blog/top-marketing-measurement-and-analytics-companies</v>
      </c>
      <c r="B129" s="7" t="str">
        <f>IFERROR(__xludf.DUMMYFUNCTION("""COMPUTED_VALUE"""),"Top 15 Marketing Measurement and Analytics Firms Unlocking ROI Clarity in 2026 - inBeat Agency")</f>
        <v>Top 15 Marketing Measurement and Analytics Firms Unlocking ROI Clarity in 2026 - inBeat Agency</v>
      </c>
      <c r="C129" s="7" t="str">
        <f>IFERROR(__xludf.DUMMYFUNCTION("""COMPUTED_VALUE"""),"inbeat.agency")</f>
        <v>inbeat.agency</v>
      </c>
      <c r="D129" s="7" t="str">
        <f>IFERROR(__xludf.DUMMYFUNCTION("""COMPUTED_VALUE"""),"LISTICLE")</f>
        <v>LISTICLE</v>
      </c>
      <c r="E129" s="7" t="str">
        <f>IFERROR(__xludf.DUMMYFUNCTION("""COMPUTED_VALUE"""),"CORPORATE")</f>
        <v>CORPORATE</v>
      </c>
      <c r="F129" s="7" t="str">
        <f>IFERROR(__xludf.DUMMYFUNCTION("""COMPUTED_VALUE"""),"Listicle")</f>
        <v>Listicle</v>
      </c>
      <c r="G129" s="7" t="b">
        <f>IFERROR(__xludf.DUMMYFUNCTION("""COMPUTED_VALUE"""),FALSE)</f>
        <v>0</v>
      </c>
      <c r="H129" s="7" t="str">
        <f>IFERROR(__xludf.DUMMYFUNCTION("""COMPUTED_VALUE"""),"Measured")</f>
        <v>Measured</v>
      </c>
      <c r="I129" s="7">
        <f>IFERROR(__xludf.DUMMYFUNCTION("""COMPUTED_VALUE"""),12.0)</f>
        <v>12</v>
      </c>
      <c r="J129" s="7">
        <f>IFERROR(__xludf.DUMMYFUNCTION("""COMPUTED_VALUE"""),0.01)</f>
        <v>0.01</v>
      </c>
      <c r="K129" s="7">
        <f>IFERROR(__xludf.DUMMYFUNCTION("""COMPUTED_VALUE"""),1.5)</f>
        <v>1.5</v>
      </c>
      <c r="L129" s="7"/>
    </row>
    <row r="130" ht="15.75" customHeight="1">
      <c r="A130" s="6" t="str">
        <f>IFERROR(__xludf.DUMMYFUNCTION("""COMPUTED_VALUE"""),"https://www.savit.au/top-social-media-marketing-agencies-in-australia-for-2026-whos-building-brands-that-actually-sell/")</f>
        <v>https://www.savit.au/top-social-media-marketing-agencies-in-australia-for-2026-whos-building-brands-that-actually-sell/</v>
      </c>
      <c r="B130" s="7" t="str">
        <f>IFERROR(__xludf.DUMMYFUNCTION("""COMPUTED_VALUE"""),"Top Social Media Marketing Agencies in Australia 2026")</f>
        <v>Top Social Media Marketing Agencies in Australia 2026</v>
      </c>
      <c r="C130" s="6" t="str">
        <f>IFERROR(__xludf.DUMMYFUNCTION("""COMPUTED_VALUE"""),"savit.au")</f>
        <v>savit.au</v>
      </c>
      <c r="D130" s="7" t="str">
        <f>IFERROR(__xludf.DUMMYFUNCTION("""COMPUTED_VALUE"""),"LISTICLE")</f>
        <v>LISTICLE</v>
      </c>
      <c r="E130" s="7" t="str">
        <f>IFERROR(__xludf.DUMMYFUNCTION("""COMPUTED_VALUE"""),"OTHER")</f>
        <v>OTHER</v>
      </c>
      <c r="F130" s="7" t="str">
        <f>IFERROR(__xludf.DUMMYFUNCTION("""COMPUTED_VALUE"""),"Listicle")</f>
        <v>Listicle</v>
      </c>
      <c r="G130" s="7" t="b">
        <f>IFERROR(__xludf.DUMMYFUNCTION("""COMPUTED_VALUE"""),FALSE)</f>
        <v>0</v>
      </c>
      <c r="H130" s="7" t="str">
        <f>IFERROR(__xludf.DUMMYFUNCTION("""COMPUTED_VALUE"""),"We Are Social, Impressive, Soup Agency, Megaphone, Supple Digital")</f>
        <v>We Are Social, Impressive, Soup Agency, Megaphone, Supple Digital</v>
      </c>
      <c r="I130" s="7">
        <f>IFERROR(__xludf.DUMMYFUNCTION("""COMPUTED_VALUE"""),12.0)</f>
        <v>12</v>
      </c>
      <c r="J130" s="7">
        <f>IFERROR(__xludf.DUMMYFUNCTION("""COMPUTED_VALUE"""),0.01)</f>
        <v>0.01</v>
      </c>
      <c r="K130" s="7">
        <f>IFERROR(__xludf.DUMMYFUNCTION("""COMPUTED_VALUE"""),2.17)</f>
        <v>2.17</v>
      </c>
      <c r="L130" s="7"/>
    </row>
    <row r="131" ht="15.75" customHeight="1">
      <c r="A131" s="6" t="str">
        <f>IFERROR(__xludf.DUMMYFUNCTION("""COMPUTED_VALUE"""),"https://segmentstream.com/blog/articles/top-10-incrementality-testing-tools")</f>
        <v>https://segmentstream.com/blog/articles/top-10-incrementality-testing-tools</v>
      </c>
      <c r="B131" s="7" t="str">
        <f>IFERROR(__xludf.DUMMYFUNCTION("""COMPUTED_VALUE"""),"10 Best Incrementality Testing Tools (2026) — SegmentStream")</f>
        <v>10 Best Incrementality Testing Tools (2026) — SegmentStream</v>
      </c>
      <c r="C131" s="6" t="str">
        <f>IFERROR(__xludf.DUMMYFUNCTION("""COMPUTED_VALUE"""),"segmentstream.com")</f>
        <v>segmentstream.com</v>
      </c>
      <c r="D131" s="7" t="str">
        <f>IFERROR(__xludf.DUMMYFUNCTION("""COMPUTED_VALUE"""),"LISTICLE")</f>
        <v>LISTICLE</v>
      </c>
      <c r="E131" s="7" t="str">
        <f>IFERROR(__xludf.DUMMYFUNCTION("""COMPUTED_VALUE"""),"CORPORATE")</f>
        <v>CORPORATE</v>
      </c>
      <c r="F131" s="7" t="str">
        <f>IFERROR(__xludf.DUMMYFUNCTION("""COMPUTED_VALUE"""),"Listicle")</f>
        <v>Listicle</v>
      </c>
      <c r="G131" s="7" t="b">
        <f>IFERROR(__xludf.DUMMYFUNCTION("""COMPUTED_VALUE"""),FALSE)</f>
        <v>0</v>
      </c>
      <c r="H131" s="7" t="str">
        <f>IFERROR(__xludf.DUMMYFUNCTION("""COMPUTED_VALUE"""),"Measured, Haus, Lifesight, Workmagic, LiftLab")</f>
        <v>Measured, Haus, Lifesight, Workmagic, LiftLab</v>
      </c>
      <c r="I131" s="7">
        <f>IFERROR(__xludf.DUMMYFUNCTION("""COMPUTED_VALUE"""),12.0)</f>
        <v>12</v>
      </c>
      <c r="J131" s="7">
        <f>IFERROR(__xludf.DUMMYFUNCTION("""COMPUTED_VALUE"""),0.01)</f>
        <v>0.01</v>
      </c>
      <c r="K131" s="7">
        <f>IFERROR(__xludf.DUMMYFUNCTION("""COMPUTED_VALUE"""),2.0)</f>
        <v>2</v>
      </c>
      <c r="L131" s="7"/>
    </row>
    <row r="132" ht="15.75" customHeight="1">
      <c r="A132" s="6" t="str">
        <f>IFERROR(__xludf.DUMMYFUNCTION("""COMPUTED_VALUE"""),"https://www.semrush.com/agencies/list/analytics-data-science/melbourne/")</f>
        <v>https://www.semrush.com/agencies/list/analytics-data-science/melbourne/</v>
      </c>
      <c r="B132" s="7" t="str">
        <f>IFERROR(__xludf.DUMMYFUNCTION("""COMPUTED_VALUE"""),"Best Data Analytics Services in Melbourne 2026 \| Semrush")</f>
        <v>Best Data Analytics Services in Melbourne 2026 \| Semrush</v>
      </c>
      <c r="C132" s="6" t="str">
        <f>IFERROR(__xludf.DUMMYFUNCTION("""COMPUTED_VALUE"""),"semrush.com")</f>
        <v>semrush.com</v>
      </c>
      <c r="D132" s="7" t="str">
        <f>IFERROR(__xludf.DUMMYFUNCTION("""COMPUTED_VALUE"""),"PROFILE")</f>
        <v>PROFILE</v>
      </c>
      <c r="E132" s="7" t="str">
        <f>IFERROR(__xludf.DUMMYFUNCTION("""COMPUTED_VALUE"""),"CORPORATE")</f>
        <v>CORPORATE</v>
      </c>
      <c r="F132" s="7" t="str">
        <f>IFERROR(__xludf.DUMMYFUNCTION("""COMPUTED_VALUE"""),"Profile")</f>
        <v>Profile</v>
      </c>
      <c r="G132" s="7" t="b">
        <f>IFERROR(__xludf.DUMMYFUNCTION("""COMPUTED_VALUE"""),FALSE)</f>
        <v>0</v>
      </c>
      <c r="H132" s="7"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132" s="7">
        <f>IFERROR(__xludf.DUMMYFUNCTION("""COMPUTED_VALUE"""),12.0)</f>
        <v>12</v>
      </c>
      <c r="J132" s="7">
        <f>IFERROR(__xludf.DUMMYFUNCTION("""COMPUTED_VALUE"""),0.01)</f>
        <v>0.01</v>
      </c>
      <c r="K132" s="7">
        <f>IFERROR(__xludf.DUMMYFUNCTION("""COMPUTED_VALUE"""),0.25)</f>
        <v>0.25</v>
      </c>
      <c r="L132" s="7"/>
    </row>
    <row r="133" ht="15.75" customHeight="1">
      <c r="A133" s="6" t="str">
        <f>IFERROR(__xludf.DUMMYFUNCTION("""COMPUTED_VALUE"""),"https://themanifest.com/au/programmatic/agencies")</f>
        <v>https://themanifest.com/au/programmatic/agencies</v>
      </c>
      <c r="B133" s="7" t="str">
        <f>IFERROR(__xludf.DUMMYFUNCTION("""COMPUTED_VALUE"""),"Top-Rated Programmatic Advertising &amp;amp; RTB Platforms for Retail, Automotive, Travel in Australia, Sydney, Melbourne | Vetted &amp;amp; Reviewed July 2026 | The Manifest")</f>
        <v>Top-Rated Programmatic Advertising &amp;amp; RTB Platforms for Retail, Automotive, Travel in Australia, Sydney, Melbourne | Vetted &amp;amp; Reviewed July 2026 | The Manifest</v>
      </c>
      <c r="C133" s="6" t="str">
        <f>IFERROR(__xludf.DUMMYFUNCTION("""COMPUTED_VALUE"""),"themanifest.com")</f>
        <v>themanifest.com</v>
      </c>
      <c r="D133" s="7" t="str">
        <f>IFERROR(__xludf.DUMMYFUNCTION("""COMPUTED_VALUE"""),"LISTICLE")</f>
        <v>LISTICLE</v>
      </c>
      <c r="E133" s="7" t="str">
        <f>IFERROR(__xludf.DUMMYFUNCTION("""COMPUTED_VALUE"""),"REFERENCE")</f>
        <v>REFERENCE</v>
      </c>
      <c r="F133" s="7" t="str">
        <f>IFERROR(__xludf.DUMMYFUNCTION("""COMPUTED_VALUE"""),"Listicle")</f>
        <v>Listicle</v>
      </c>
      <c r="G133" s="7" t="b">
        <f>IFERROR(__xludf.DUMMYFUNCTION("""COMPUTED_VALUE"""),FALSE)</f>
        <v>0</v>
      </c>
      <c r="H133" s="7" t="str">
        <f>IFERROR(__xludf.DUMMYFUNCTION("""COMPUTED_VALUE"""),"Soup Agency, Bench Media, DNM Digital, In Marketing We Trust")</f>
        <v>Soup Agency, Bench Media, DNM Digital, In Marketing We Trust</v>
      </c>
      <c r="I133" s="7">
        <f>IFERROR(__xludf.DUMMYFUNCTION("""COMPUTED_VALUE"""),12.0)</f>
        <v>12</v>
      </c>
      <c r="J133" s="7">
        <f>IFERROR(__xludf.DUMMYFUNCTION("""COMPUTED_VALUE"""),0.01)</f>
        <v>0.01</v>
      </c>
      <c r="K133" s="7">
        <f>IFERROR(__xludf.DUMMYFUNCTION("""COMPUTED_VALUE"""),0.42)</f>
        <v>0.42</v>
      </c>
      <c r="L133" s="7"/>
    </row>
    <row r="134" ht="15.75" customHeight="1">
      <c r="A134" s="6" t="str">
        <f>IFERROR(__xludf.DUMMYFUNCTION("""COMPUTED_VALUE"""),"https://topgeoagencies.com/")</f>
        <v>https://topgeoagencies.com/</v>
      </c>
      <c r="B134" s="7" t="str">
        <f>IFERROR(__xludf.DUMMYFUNCTION("""COMPUTED_VALUE"""),"The GEO 250 — Best Generative Engine Optimization (GEO) Agencies | TopGEOAgencies.com")</f>
        <v>The GEO 250 — Best Generative Engine Optimization (GEO) Agencies | TopGEOAgencies.com</v>
      </c>
      <c r="C134" s="6" t="str">
        <f>IFERROR(__xludf.DUMMYFUNCTION("""COMPUTED_VALUE"""),"topgeoagencies.com")</f>
        <v>topgeoagencies.com</v>
      </c>
      <c r="D134" s="7" t="str">
        <f>IFERROR(__xludf.DUMMYFUNCTION("""COMPUTED_VALUE"""),"HOMEPAGE")</f>
        <v>HOMEPAGE</v>
      </c>
      <c r="E134" s="7" t="str">
        <f>IFERROR(__xludf.DUMMYFUNCTION("""COMPUTED_VALUE"""),"CORPORATE")</f>
        <v>CORPORATE</v>
      </c>
      <c r="F134" s="7" t="str">
        <f>IFERROR(__xludf.DUMMYFUNCTION("""COMPUTED_VALUE"""),"Homepage")</f>
        <v>Homepage</v>
      </c>
      <c r="G134" s="7" t="b">
        <f>IFERROR(__xludf.DUMMYFUNCTION("""COMPUTED_VALUE"""),FALSE)</f>
        <v>0</v>
      </c>
      <c r="H134" s="7" t="str">
        <f>IFERROR(__xludf.DUMMYFUNCTION("""COMPUTED_VALUE"""),"First Page")</f>
        <v>First Page</v>
      </c>
      <c r="I134" s="7">
        <f>IFERROR(__xludf.DUMMYFUNCTION("""COMPUTED_VALUE"""),12.0)</f>
        <v>12</v>
      </c>
      <c r="J134" s="7">
        <f>IFERROR(__xludf.DUMMYFUNCTION("""COMPUTED_VALUE"""),0.01)</f>
        <v>0.01</v>
      </c>
      <c r="K134" s="7">
        <f>IFERROR(__xludf.DUMMYFUNCTION("""COMPUTED_VALUE"""),0.0)</f>
        <v>0</v>
      </c>
      <c r="L134" s="7"/>
    </row>
    <row r="135" ht="15.75" customHeight="1">
      <c r="A135" s="6" t="str">
        <f>IFERROR(__xludf.DUMMYFUNCTION("""COMPUTED_VALUE"""),"https://www.youtube.com/watch?v=ZaxGzqO8OCk")</f>
        <v>https://www.youtube.com/watch?v=ZaxGzqO8OCk</v>
      </c>
      <c r="B135" s="7" t="str">
        <f>IFERROR(__xludf.DUMMYFUNCTION("""COMPUTED_VALUE"""),"What Are the Best Generative Engine Optimization (GEO) Agencies in Australia?")</f>
        <v>What Are the Best Generative Engine Optimization (GEO) Agencies in Australia?</v>
      </c>
      <c r="C135" s="6" t="str">
        <f>IFERROR(__xludf.DUMMYFUNCTION("""COMPUTED_VALUE"""),"youtube.com")</f>
        <v>youtube.com</v>
      </c>
      <c r="D135" s="7" t="str">
        <f>IFERROR(__xludf.DUMMYFUNCTION("""COMPUTED_VALUE"""),"LISTICLE")</f>
        <v>LISTICLE</v>
      </c>
      <c r="E135" s="7" t="str">
        <f>IFERROR(__xludf.DUMMYFUNCTION("""COMPUTED_VALUE"""),"UGC")</f>
        <v>UGC</v>
      </c>
      <c r="F135" s="7" t="str">
        <f>IFERROR(__xludf.DUMMYFUNCTION("""COMPUTED_VALUE"""),"Listicle")</f>
        <v>Listicle</v>
      </c>
      <c r="G135" s="7" t="b">
        <f>IFERROR(__xludf.DUMMYFUNCTION("""COMPUTED_VALUE"""),FALSE)</f>
        <v>0</v>
      </c>
      <c r="H135" s="7" t="str">
        <f>IFERROR(__xludf.DUMMYFUNCTION("""COMPUTED_VALUE"""),"Brainlabs")</f>
        <v>Brainlabs</v>
      </c>
      <c r="I135" s="7">
        <f>IFERROR(__xludf.DUMMYFUNCTION("""COMPUTED_VALUE"""),12.0)</f>
        <v>12</v>
      </c>
      <c r="J135" s="7">
        <f>IFERROR(__xludf.DUMMYFUNCTION("""COMPUTED_VALUE"""),0.01)</f>
        <v>0.01</v>
      </c>
      <c r="K135" s="7">
        <f>IFERROR(__xludf.DUMMYFUNCTION("""COMPUTED_VALUE"""),0.92)</f>
        <v>0.92</v>
      </c>
      <c r="L135" s="7"/>
    </row>
    <row r="136" ht="15.75" customHeight="1">
      <c r="A136" s="6" t="str">
        <f>IFERROR(__xludf.DUMMYFUNCTION("""COMPUTED_VALUE"""),"https://clutch.co/au/agencies/digital")</f>
        <v>https://clutch.co/au/agencies/digital</v>
      </c>
      <c r="B136" s="7" t="str">
        <f>IFERROR(__xludf.DUMMYFUNCTION("""COMPUTED_VALUE"""),"Top Full-Service Digital Agencies in Australia - Jul 2026 Rankings \| Clutch.co")</f>
        <v>Top Full-Service Digital Agencies in Australia - Jul 2026 Rankings \| Clutch.co</v>
      </c>
      <c r="C136" s="6" t="str">
        <f>IFERROR(__xludf.DUMMYFUNCTION("""COMPUTED_VALUE"""),"clutch.co")</f>
        <v>clutch.co</v>
      </c>
      <c r="D136" s="7" t="str">
        <f>IFERROR(__xludf.DUMMYFUNCTION("""COMPUTED_VALUE"""),"CATEGORY_PAGE")</f>
        <v>CATEGORY_PAGE</v>
      </c>
      <c r="E136" s="7" t="str">
        <f>IFERROR(__xludf.DUMMYFUNCTION("""COMPUTED_VALUE"""),"CORPORATE")</f>
        <v>CORPORATE</v>
      </c>
      <c r="F136" s="7" t="str">
        <f>IFERROR(__xludf.DUMMYFUNCTION("""COMPUTED_VALUE"""),"Category Page")</f>
        <v>Category Page</v>
      </c>
      <c r="G136" s="7" t="b">
        <f>IFERROR(__xludf.DUMMYFUNCTION("""COMPUTED_VALUE"""),FALSE)</f>
        <v>0</v>
      </c>
      <c r="H136" s="7" t="str">
        <f>IFERROR(__xludf.DUMMYFUNCTION("""COMPUTED_VALUE"""),"Digital Nomads HQ, MyWork, Farsiight, Soup Agency, Emote Digital, Intesols, Luminary, Human Digital, Impressive, Salt &amp; Fuessel, Alley Group, Clearwater Agency, DNM Digital, Paradox Marketing")</f>
        <v>Digital Nomads HQ, MyWork, Farsiight, Soup Agency, Emote Digital, Intesols, Luminary, Human Digital, Impressive, Salt &amp; Fuessel, Alley Group, Clearwater Agency, DNM Digital, Paradox Marketing</v>
      </c>
      <c r="I136" s="7">
        <f>IFERROR(__xludf.DUMMYFUNCTION("""COMPUTED_VALUE"""),11.0)</f>
        <v>11</v>
      </c>
      <c r="J136" s="7">
        <f>IFERROR(__xludf.DUMMYFUNCTION("""COMPUTED_VALUE"""),0.01)</f>
        <v>0.01</v>
      </c>
      <c r="K136" s="7">
        <f>IFERROR(__xludf.DUMMYFUNCTION("""COMPUTED_VALUE"""),0.0)</f>
        <v>0</v>
      </c>
      <c r="L136" s="7"/>
    </row>
    <row r="137" ht="15.75" customHeight="1">
      <c r="A137" s="6" t="str">
        <f>IFERROR(__xludf.DUMMYFUNCTION("""COMPUTED_VALUE"""),"https://digitaldigest.au/google-ads-agencies/")</f>
        <v>https://digitaldigest.au/google-ads-agencies/</v>
      </c>
      <c r="B137" s="7" t="str">
        <f>IFERROR(__xludf.DUMMYFUNCTION("""COMPUTED_VALUE"""),"13 Best Google Ads Agencies Australia 2025 | Expert Reviews")</f>
        <v>13 Best Google Ads Agencies Australia 2025 | Expert Reviews</v>
      </c>
      <c r="C137" s="6" t="str">
        <f>IFERROR(__xludf.DUMMYFUNCTION("""COMPUTED_VALUE"""),"digitaldigest.au")</f>
        <v>digitaldigest.au</v>
      </c>
      <c r="D137" s="7" t="str">
        <f>IFERROR(__xludf.DUMMYFUNCTION("""COMPUTED_VALUE"""),"LISTICLE")</f>
        <v>LISTICLE</v>
      </c>
      <c r="E137" s="7" t="str">
        <f>IFERROR(__xludf.DUMMYFUNCTION("""COMPUTED_VALUE"""),"EDITORIAL")</f>
        <v>EDITORIAL</v>
      </c>
      <c r="F137" s="7" t="str">
        <f>IFERROR(__xludf.DUMMYFUNCTION("""COMPUTED_VALUE"""),"Listicle")</f>
        <v>Listicle</v>
      </c>
      <c r="G137" s="7" t="b">
        <f>IFERROR(__xludf.DUMMYFUNCTION("""COMPUTED_VALUE"""),FALSE)</f>
        <v>0</v>
      </c>
      <c r="H137" s="7" t="str">
        <f>IFERROR(__xludf.DUMMYFUNCTION("""COMPUTED_VALUE"""),"Huge, Digital Nomads HQ, Impressive, Online Marketing Gurus, Omnicom Media Group, Megaphone, Farsiight, Paradox Marketing, Human Digital, CUT THRU, Emote Digital, DNM Digital, First Page")</f>
        <v>Huge, Digital Nomads HQ, Impressive, Online Marketing Gurus, Omnicom Media Group, Megaphone, Farsiight, Paradox Marketing, Human Digital, CUT THRU, Emote Digital, DNM Digital, First Page</v>
      </c>
      <c r="I137" s="7">
        <f>IFERROR(__xludf.DUMMYFUNCTION("""COMPUTED_VALUE"""),11.0)</f>
        <v>11</v>
      </c>
      <c r="J137" s="7">
        <f>IFERROR(__xludf.DUMMYFUNCTION("""COMPUTED_VALUE"""),0.01)</f>
        <v>0.01</v>
      </c>
      <c r="K137" s="7">
        <f>IFERROR(__xludf.DUMMYFUNCTION("""COMPUTED_VALUE"""),0.36)</f>
        <v>0.36</v>
      </c>
      <c r="L137" s="7"/>
    </row>
    <row r="138" ht="15.75" customHeight="1">
      <c r="A138" s="6" t="str">
        <f>IFERROR(__xludf.DUMMYFUNCTION("""COMPUTED_VALUE"""),"https://edisonai.au/insights/best-ai-consulting-firms-in-australia")</f>
        <v>https://edisonai.au/insights/best-ai-consulting-firms-in-australia</v>
      </c>
      <c r="B138" s="7" t="str">
        <f>IFERROR(__xludf.DUMMYFUNCTION("""COMPUTED_VALUE"""),"Best AI Consulting Firms in Australia (2026) \| Edison AI")</f>
        <v>Best AI Consulting Firms in Australia (2026) \| Edison AI</v>
      </c>
      <c r="C138" s="6" t="str">
        <f>IFERROR(__xludf.DUMMYFUNCTION("""COMPUTED_VALUE"""),"edisonai.au")</f>
        <v>edisonai.au</v>
      </c>
      <c r="D138" s="7" t="str">
        <f>IFERROR(__xludf.DUMMYFUNCTION("""COMPUTED_VALUE"""),"LISTICLE")</f>
        <v>LISTICLE</v>
      </c>
      <c r="E138" s="7" t="str">
        <f>IFERROR(__xludf.DUMMYFUNCTION("""COMPUTED_VALUE"""),"CORPORATE")</f>
        <v>CORPORATE</v>
      </c>
      <c r="F138" s="7" t="str">
        <f>IFERROR(__xludf.DUMMYFUNCTION("""COMPUTED_VALUE"""),"Listicle")</f>
        <v>Listicle</v>
      </c>
      <c r="G138" s="7" t="b">
        <f>IFERROR(__xludf.DUMMYFUNCTION("""COMPUTED_VALUE"""),FALSE)</f>
        <v>0</v>
      </c>
      <c r="H138" s="7" t="str">
        <f>IFERROR(__xludf.DUMMYFUNCTION("""COMPUTED_VALUE"""),"Edison AI, Deloitte, KPMG, Measured, Impressive")</f>
        <v>Edison AI, Deloitte, KPMG, Measured, Impressive</v>
      </c>
      <c r="I138" s="7">
        <f>IFERROR(__xludf.DUMMYFUNCTION("""COMPUTED_VALUE"""),11.0)</f>
        <v>11</v>
      </c>
      <c r="J138" s="7">
        <f>IFERROR(__xludf.DUMMYFUNCTION("""COMPUTED_VALUE"""),0.01)</f>
        <v>0.01</v>
      </c>
      <c r="K138" s="7">
        <f>IFERROR(__xludf.DUMMYFUNCTION("""COMPUTED_VALUE"""),1.0)</f>
        <v>1</v>
      </c>
      <c r="L138" s="7"/>
    </row>
    <row r="139" ht="15.75" customHeight="1">
      <c r="A139" s="6" t="str">
        <f>IFERROR(__xludf.DUMMYFUNCTION("""COMPUTED_VALUE"""),"https://elioplus.com/asia-pacific/australia/channel-partners/google")</f>
        <v>https://elioplus.com/asia-pacific/australia/channel-partners/google</v>
      </c>
      <c r="B139" s="7" t="str">
        <f>IFERROR(__xludf.DUMMYFUNCTION("""COMPUTED_VALUE"""),"Best Google partners &amp; resellers in Australia \| Elioplus")</f>
        <v>Best Google partners &amp; resellers in Australia \| Elioplus</v>
      </c>
      <c r="C139" s="6" t="str">
        <f>IFERROR(__xludf.DUMMYFUNCTION("""COMPUTED_VALUE"""),"elioplus.com")</f>
        <v>elioplus.com</v>
      </c>
      <c r="D139" s="7" t="str">
        <f>IFERROR(__xludf.DUMMYFUNCTION("""COMPUTED_VALUE"""),"CATEGORY_PAGE")</f>
        <v>CATEGORY_PAGE</v>
      </c>
      <c r="E139" s="7" t="str">
        <f>IFERROR(__xludf.DUMMYFUNCTION("""COMPUTED_VALUE"""),"CORPORATE")</f>
        <v>CORPORATE</v>
      </c>
      <c r="F139" s="7" t="str">
        <f>IFERROR(__xludf.DUMMYFUNCTION("""COMPUTED_VALUE"""),"Category Page")</f>
        <v>Category Page</v>
      </c>
      <c r="G139" s="7" t="b">
        <f>IFERROR(__xludf.DUMMYFUNCTION("""COMPUTED_VALUE"""),FALSE)</f>
        <v>0</v>
      </c>
      <c r="H139" s="7" t="str">
        <f>IFERROR(__xludf.DUMMYFUNCTION("""COMPUTED_VALUE"""),"King Kong, Impressive, eMarket Experts")</f>
        <v>King Kong, Impressive, eMarket Experts</v>
      </c>
      <c r="I139" s="7">
        <f>IFERROR(__xludf.DUMMYFUNCTION("""COMPUTED_VALUE"""),11.0)</f>
        <v>11</v>
      </c>
      <c r="J139" s="7">
        <f>IFERROR(__xludf.DUMMYFUNCTION("""COMPUTED_VALUE"""),0.01)</f>
        <v>0.01</v>
      </c>
      <c r="K139" s="7">
        <f>IFERROR(__xludf.DUMMYFUNCTION("""COMPUTED_VALUE"""),0.0)</f>
        <v>0</v>
      </c>
      <c r="L139" s="7"/>
    </row>
    <row r="140" ht="15.75" customHeight="1">
      <c r="A140" s="6" t="str">
        <f>IFERROR(__xludf.DUMMYFUNCTION("""COMPUTED_VALUE"""),"https://growthmanager.ai/best-geo-agency")</f>
        <v>https://growthmanager.ai/best-geo-agency</v>
      </c>
      <c r="B140" s="7" t="str">
        <f>IFERROR(__xludf.DUMMYFUNCTION("""COMPUTED_VALUE"""),"Best GEO agencies in 2026, reviewed and ranked")</f>
        <v>Best GEO agencies in 2026, reviewed and ranked</v>
      </c>
      <c r="C140" s="6" t="str">
        <f>IFERROR(__xludf.DUMMYFUNCTION("""COMPUTED_VALUE"""),"growthmanager.ai")</f>
        <v>growthmanager.ai</v>
      </c>
      <c r="D140" s="7" t="str">
        <f>IFERROR(__xludf.DUMMYFUNCTION("""COMPUTED_VALUE"""),"LISTICLE")</f>
        <v>LISTICLE</v>
      </c>
      <c r="E140" s="7" t="str">
        <f>IFERROR(__xludf.DUMMYFUNCTION("""COMPUTED_VALUE"""),"CORPORATE")</f>
        <v>CORPORATE</v>
      </c>
      <c r="F140" s="7" t="str">
        <f>IFERROR(__xludf.DUMMYFUNCTION("""COMPUTED_VALUE"""),"Listicle")</f>
        <v>Listicle</v>
      </c>
      <c r="G140" s="7" t="b">
        <f>IFERROR(__xludf.DUMMYFUNCTION("""COMPUTED_VALUE"""),FALSE)</f>
        <v>0</v>
      </c>
      <c r="H140" s="7" t="str">
        <f>IFERROR(__xludf.DUMMYFUNCTION("""COMPUTED_VALUE"""),"Momentum")</f>
        <v>Momentum</v>
      </c>
      <c r="I140" s="7">
        <f>IFERROR(__xludf.DUMMYFUNCTION("""COMPUTED_VALUE"""),11.0)</f>
        <v>11</v>
      </c>
      <c r="J140" s="7">
        <f>IFERROR(__xludf.DUMMYFUNCTION("""COMPUTED_VALUE"""),0.01)</f>
        <v>0.01</v>
      </c>
      <c r="K140" s="7">
        <f>IFERROR(__xludf.DUMMYFUNCTION("""COMPUTED_VALUE"""),0.73)</f>
        <v>0.73</v>
      </c>
      <c r="L140" s="7"/>
    </row>
    <row r="141" ht="15.75" customHeight="1">
      <c r="A141" s="6" t="str">
        <f>IFERROR(__xludf.DUMMYFUNCTION("""COMPUTED_VALUE"""),"https://www.mayple.com/resources/social-media-marketing/social-media-agencies-australia")</f>
        <v>https://www.mayple.com/resources/social-media-marketing/social-media-agencies-australia</v>
      </c>
      <c r="B141" s="7" t="str">
        <f>IFERROR(__xludf.DUMMYFUNCTION("""COMPUTED_VALUE"""),"Top 7 Social Media Agencies in Australia")</f>
        <v>Top 7 Social Media Agencies in Australia</v>
      </c>
      <c r="C141" s="6" t="str">
        <f>IFERROR(__xludf.DUMMYFUNCTION("""COMPUTED_VALUE"""),"mayple.com")</f>
        <v>mayple.com</v>
      </c>
      <c r="D141" s="7" t="str">
        <f>IFERROR(__xludf.DUMMYFUNCTION("""COMPUTED_VALUE"""),"LISTICLE")</f>
        <v>LISTICLE</v>
      </c>
      <c r="E141" s="7" t="str">
        <f>IFERROR(__xludf.DUMMYFUNCTION("""COMPUTED_VALUE"""),"CORPORATE")</f>
        <v>CORPORATE</v>
      </c>
      <c r="F141" s="7" t="str">
        <f>IFERROR(__xludf.DUMMYFUNCTION("""COMPUTED_VALUE"""),"Listicle")</f>
        <v>Listicle</v>
      </c>
      <c r="G141" s="7" t="b">
        <f>IFERROR(__xludf.DUMMYFUNCTION("""COMPUTED_VALUE"""),FALSE)</f>
        <v>0</v>
      </c>
      <c r="H141" s="7" t="str">
        <f>IFERROR(__xludf.DUMMYFUNCTION("""COMPUTED_VALUE"""),"Impressive")</f>
        <v>Impressive</v>
      </c>
      <c r="I141" s="7">
        <f>IFERROR(__xludf.DUMMYFUNCTION("""COMPUTED_VALUE"""),11.0)</f>
        <v>11</v>
      </c>
      <c r="J141" s="7">
        <f>IFERROR(__xludf.DUMMYFUNCTION("""COMPUTED_VALUE"""),0.01)</f>
        <v>0.01</v>
      </c>
      <c r="K141" s="7">
        <f>IFERROR(__xludf.DUMMYFUNCTION("""COMPUTED_VALUE"""),0.45)</f>
        <v>0.45</v>
      </c>
      <c r="L141" s="7"/>
    </row>
    <row r="142" ht="15.75" customHeight="1">
      <c r="A142" s="6" t="str">
        <f>IFERROR(__xludf.DUMMYFUNCTION("""COMPUTED_VALUE"""),"https://www.semrush.com/agencies/list/display-advertising/australia/")</f>
        <v>https://www.semrush.com/agencies/list/display-advertising/australia/</v>
      </c>
      <c r="B142" s="7" t="str">
        <f>IFERROR(__xludf.DUMMYFUNCTION("""COMPUTED_VALUE"""),"Best Display Ads Agencies in Australia 2026 \| Semrush")</f>
        <v>Best Display Ads Agencies in Australia 2026 \| Semrush</v>
      </c>
      <c r="C142" s="6" t="str">
        <f>IFERROR(__xludf.DUMMYFUNCTION("""COMPUTED_VALUE"""),"semrush.com")</f>
        <v>semrush.com</v>
      </c>
      <c r="D142" s="7" t="str">
        <f>IFERROR(__xludf.DUMMYFUNCTION("""COMPUTED_VALUE"""),"PROFILE")</f>
        <v>PROFILE</v>
      </c>
      <c r="E142" s="7" t="str">
        <f>IFERROR(__xludf.DUMMYFUNCTION("""COMPUTED_VALUE"""),"CORPORATE")</f>
        <v>CORPORATE</v>
      </c>
      <c r="F142" s="7" t="str">
        <f>IFERROR(__xludf.DUMMYFUNCTION("""COMPUTED_VALUE"""),"Profile")</f>
        <v>Profile</v>
      </c>
      <c r="G142" s="7" t="b">
        <f>IFERROR(__xludf.DUMMYFUNCTION("""COMPUTED_VALUE"""),FALSE)</f>
        <v>0</v>
      </c>
      <c r="H142" s="7"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142" s="7">
        <f>IFERROR(__xludf.DUMMYFUNCTION("""COMPUTED_VALUE"""),11.0)</f>
        <v>11</v>
      </c>
      <c r="J142" s="7">
        <f>IFERROR(__xludf.DUMMYFUNCTION("""COMPUTED_VALUE"""),0.01)</f>
        <v>0.01</v>
      </c>
      <c r="K142" s="7">
        <f>IFERROR(__xludf.DUMMYFUNCTION("""COMPUTED_VALUE"""),0.18)</f>
        <v>0.18</v>
      </c>
      <c r="L142" s="7"/>
    </row>
    <row r="143" ht="15.75" customHeight="1">
      <c r="A143" s="6" t="str">
        <f>IFERROR(__xludf.DUMMYFUNCTION("""COMPUTED_VALUE"""),"https://techbehemoths.com/companies/google-marketing-platform/australia")</f>
        <v>https://techbehemoths.com/companies/google-marketing-platform/australia</v>
      </c>
      <c r="B143" s="7" t="str">
        <f>IFERROR(__xludf.DUMMYFUNCTION("""COMPUTED_VALUE"""),"Top 20+ Google Marketing Platform Companies in Australia (2026) - TechBehemoths")</f>
        <v>Top 20+ Google Marketing Platform Companies in Australia (2026) - TechBehemoths</v>
      </c>
      <c r="C143" s="6" t="str">
        <f>IFERROR(__xludf.DUMMYFUNCTION("""COMPUTED_VALUE"""),"techbehemoths.com")</f>
        <v>techbehemoths.com</v>
      </c>
      <c r="D143" s="7" t="str">
        <f>IFERROR(__xludf.DUMMYFUNCTION("""COMPUTED_VALUE"""),"PROFILE")</f>
        <v>PROFILE</v>
      </c>
      <c r="E143" s="7" t="str">
        <f>IFERROR(__xludf.DUMMYFUNCTION("""COMPUTED_VALUE"""),"REFERENCE")</f>
        <v>REFERENCE</v>
      </c>
      <c r="F143" s="7" t="str">
        <f>IFERROR(__xludf.DUMMYFUNCTION("""COMPUTED_VALUE"""),"Profile")</f>
        <v>Profile</v>
      </c>
      <c r="G143" s="7" t="b">
        <f>IFERROR(__xludf.DUMMYFUNCTION("""COMPUTED_VALUE"""),FALSE)</f>
        <v>0</v>
      </c>
      <c r="H143" s="7" t="str">
        <f>IFERROR(__xludf.DUMMYFUNCTION("""COMPUTED_VALUE"""),"SIXGUN")</f>
        <v>SIXGUN</v>
      </c>
      <c r="I143" s="7">
        <f>IFERROR(__xludf.DUMMYFUNCTION("""COMPUTED_VALUE"""),11.0)</f>
        <v>11</v>
      </c>
      <c r="J143" s="7">
        <f>IFERROR(__xludf.DUMMYFUNCTION("""COMPUTED_VALUE"""),0.01)</f>
        <v>0.01</v>
      </c>
      <c r="K143" s="7">
        <f>IFERROR(__xludf.DUMMYFUNCTION("""COMPUTED_VALUE"""),0.0)</f>
        <v>0</v>
      </c>
      <c r="L143" s="7"/>
    </row>
    <row r="144" ht="15.75" customHeight="1">
      <c r="A144" s="6" t="str">
        <f>IFERROR(__xludf.DUMMYFUNCTION("""COMPUTED_VALUE"""),"https://thedigitalelevator.com/blog/best-generative-engine-optimization-geo-agencies/")</f>
        <v>https://thedigitalelevator.com/blog/best-generative-engine-optimization-geo-agencies/</v>
      </c>
      <c r="B144" s="7" t="str">
        <f>IFERROR(__xludf.DUMMYFUNCTION("""COMPUTED_VALUE"""),"The 12 Best Generative Engine Optimization (GEO) Agencies of 2026 | Digital Elevator")</f>
        <v>The 12 Best Generative Engine Optimization (GEO) Agencies of 2026 | Digital Elevator</v>
      </c>
      <c r="C144" s="6" t="str">
        <f>IFERROR(__xludf.DUMMYFUNCTION("""COMPUTED_VALUE"""),"thedigitalelevator.com")</f>
        <v>thedigitalelevator.com</v>
      </c>
      <c r="D144" s="7" t="str">
        <f>IFERROR(__xludf.DUMMYFUNCTION("""COMPUTED_VALUE"""),"LISTICLE")</f>
        <v>LISTICLE</v>
      </c>
      <c r="E144" s="7" t="str">
        <f>IFERROR(__xludf.DUMMYFUNCTION("""COMPUTED_VALUE"""),"CORPORATE")</f>
        <v>CORPORATE</v>
      </c>
      <c r="F144" s="7" t="str">
        <f>IFERROR(__xludf.DUMMYFUNCTION("""COMPUTED_VALUE"""),"Listicle")</f>
        <v>Listicle</v>
      </c>
      <c r="G144" s="7" t="b">
        <f>IFERROR(__xludf.DUMMYFUNCTION("""COMPUTED_VALUE"""),FALSE)</f>
        <v>0</v>
      </c>
      <c r="H144" s="7" t="str">
        <f>IFERROR(__xludf.DUMMYFUNCTION("""COMPUTED_VALUE"""),"Intero Digital")</f>
        <v>Intero Digital</v>
      </c>
      <c r="I144" s="7">
        <f>IFERROR(__xludf.DUMMYFUNCTION("""COMPUTED_VALUE"""),11.0)</f>
        <v>11</v>
      </c>
      <c r="J144" s="7">
        <f>IFERROR(__xludf.DUMMYFUNCTION("""COMPUTED_VALUE"""),0.01)</f>
        <v>0.01</v>
      </c>
      <c r="K144" s="7">
        <f>IFERROR(__xludf.DUMMYFUNCTION("""COMPUTED_VALUE"""),0.0)</f>
        <v>0</v>
      </c>
      <c r="L144" s="7"/>
    </row>
    <row r="145" ht="15.75" customHeight="1">
      <c r="A145" s="6" t="str">
        <f>IFERROR(__xludf.DUMMYFUNCTION("""COMPUTED_VALUE"""),"https://aeoagencyservices.com/Blog-Page/best-aeo-agency-in-australia-top-answer-engine-optimization-companies")</f>
        <v>https://aeoagencyservices.com/Blog-Page/best-aeo-agency-in-australia-top-answer-engine-optimization-companies</v>
      </c>
      <c r="B145" s="7" t="str">
        <f>IFERROR(__xludf.DUMMYFUNCTION("""COMPUTED_VALUE"""),"Best AEO Agency in Australia: 14 Top Answer Engine Optimization Companies - Web Of Picasso")</f>
        <v>Best AEO Agency in Australia: 14 Top Answer Engine Optimization Companies - Web Of Picasso</v>
      </c>
      <c r="C145" s="6" t="str">
        <f>IFERROR(__xludf.DUMMYFUNCTION("""COMPUTED_VALUE"""),"aeoagencyservices.com")</f>
        <v>aeoagencyservices.com</v>
      </c>
      <c r="D145" s="7" t="str">
        <f>IFERROR(__xludf.DUMMYFUNCTION("""COMPUTED_VALUE"""),"LISTICLE")</f>
        <v>LISTICLE</v>
      </c>
      <c r="E145" s="7" t="str">
        <f>IFERROR(__xludf.DUMMYFUNCTION("""COMPUTED_VALUE"""),"CORPORATE")</f>
        <v>CORPORATE</v>
      </c>
      <c r="F145" s="7" t="str">
        <f>IFERROR(__xludf.DUMMYFUNCTION("""COMPUTED_VALUE"""),"Listicle")</f>
        <v>Listicle</v>
      </c>
      <c r="G145" s="7" t="b">
        <f>IFERROR(__xludf.DUMMYFUNCTION("""COMPUTED_VALUE"""),FALSE)</f>
        <v>0</v>
      </c>
      <c r="H145" s="7" t="str">
        <f>IFERROR(__xludf.DUMMYFUNCTION("""COMPUTED_VALUE"""),"Digital Nomads HQ, First Page, First Page Australia, StudioHawk, Prosperity Media, Safari Digital, Supple Digital, Online Marketing Gurus, Earned Media, Impressive, Omnicom Media Group, Momentum")</f>
        <v>Digital Nomads HQ, First Page, First Page Australia, StudioHawk, Prosperity Media, Safari Digital, Supple Digital, Online Marketing Gurus, Earned Media, Impressive, Omnicom Media Group, Momentum</v>
      </c>
      <c r="I145" s="7">
        <f>IFERROR(__xludf.DUMMYFUNCTION("""COMPUTED_VALUE"""),10.0)</f>
        <v>10</v>
      </c>
      <c r="J145" s="7">
        <f>IFERROR(__xludf.DUMMYFUNCTION("""COMPUTED_VALUE"""),0.01)</f>
        <v>0.01</v>
      </c>
      <c r="K145" s="7">
        <f>IFERROR(__xludf.DUMMYFUNCTION("""COMPUTED_VALUE"""),0.2)</f>
        <v>0.2</v>
      </c>
      <c r="L145" s="7"/>
    </row>
    <row r="146" ht="15.75" customHeight="1">
      <c r="A146" s="6" t="str">
        <f>IFERROR(__xludf.DUMMYFUNCTION("""COMPUTED_VALUE"""),"https://agencies.semrush.com/list/display-advertising/australia/small-business/")</f>
        <v>https://agencies.semrush.com/list/display-advertising/australia/small-business/</v>
      </c>
      <c r="B146" s="7" t="str">
        <f>IFERROR(__xludf.DUMMYFUNCTION("""COMPUTED_VALUE"""),"Best Display Ads Agencies for Small Business in Australia 2026 | Semrush")</f>
        <v>Best Display Ads Agencies for Small Business in Australia 2026 | Semrush</v>
      </c>
      <c r="C146" s="6" t="str">
        <f>IFERROR(__xludf.DUMMYFUNCTION("""COMPUTED_VALUE"""),"semrush.com")</f>
        <v>semrush.com</v>
      </c>
      <c r="D146" s="7" t="str">
        <f>IFERROR(__xludf.DUMMYFUNCTION("""COMPUTED_VALUE"""),"OTHER")</f>
        <v>OTHER</v>
      </c>
      <c r="E146" s="7" t="str">
        <f>IFERROR(__xludf.DUMMYFUNCTION("""COMPUTED_VALUE"""),"CORPORATE")</f>
        <v>CORPORATE</v>
      </c>
      <c r="F146" s="7" t="str">
        <f>IFERROR(__xludf.DUMMYFUNCTION("""COMPUTED_VALUE"""),"Other")</f>
        <v>Other</v>
      </c>
      <c r="G146" s="7" t="b">
        <f>IFERROR(__xludf.DUMMYFUNCTION("""COMPUTED_VALUE"""),FALSE)</f>
        <v>0</v>
      </c>
      <c r="H146" s="7" t="str">
        <f>IFERROR(__xludf.DUMMYFUNCTION("""COMPUTED_VALUE"""),"Soup Agency, First Page, Clearwater Agency, Measured, Earned Media, Impressive, Online Marketing Gurus, Omnicom Media Group, Click Click Media, First Page Australia, 80/20 Digital")</f>
        <v>Soup Agency, First Page, Clearwater Agency, Measured, Earned Media, Impressive, Online Marketing Gurus, Omnicom Media Group, Click Click Media, First Page Australia, 80/20 Digital</v>
      </c>
      <c r="I146" s="7">
        <f>IFERROR(__xludf.DUMMYFUNCTION("""COMPUTED_VALUE"""),10.0)</f>
        <v>10</v>
      </c>
      <c r="J146" s="7">
        <f>IFERROR(__xludf.DUMMYFUNCTION("""COMPUTED_VALUE"""),0.01)</f>
        <v>0.01</v>
      </c>
      <c r="K146" s="7">
        <f>IFERROR(__xludf.DUMMYFUNCTION("""COMPUTED_VALUE"""),0.3)</f>
        <v>0.3</v>
      </c>
      <c r="L146" s="7"/>
    </row>
    <row r="147" ht="15.75" customHeight="1">
      <c r="A147" s="6" t="str">
        <f>IFERROR(__xludf.DUMMYFUNCTION("""COMPUTED_VALUE"""),"https://agencies.semrush.com/list/display-advertising/perth/")</f>
        <v>https://agencies.semrush.com/list/display-advertising/perth/</v>
      </c>
      <c r="B147" s="7" t="str">
        <f>IFERROR(__xludf.DUMMYFUNCTION("""COMPUTED_VALUE"""),"Best Display Ads Agencies in Perth 2026 | Semrush")</f>
        <v>Best Display Ads Agencies in Perth 2026 | Semrush</v>
      </c>
      <c r="C147" s="6" t="str">
        <f>IFERROR(__xludf.DUMMYFUNCTION("""COMPUTED_VALUE"""),"semrush.com")</f>
        <v>semrush.com</v>
      </c>
      <c r="D147" s="7" t="str">
        <f>IFERROR(__xludf.DUMMYFUNCTION("""COMPUTED_VALUE"""),"OTHER")</f>
        <v>OTHER</v>
      </c>
      <c r="E147" s="7" t="str">
        <f>IFERROR(__xludf.DUMMYFUNCTION("""COMPUTED_VALUE"""),"CORPORATE")</f>
        <v>CORPORATE</v>
      </c>
      <c r="F147" s="7" t="str">
        <f>IFERROR(__xludf.DUMMYFUNCTION("""COMPUTED_VALUE"""),"Other")</f>
        <v>Other</v>
      </c>
      <c r="G147" s="7" t="b">
        <f>IFERROR(__xludf.DUMMYFUNCTION("""COMPUTED_VALUE"""),FALSE)</f>
        <v>0</v>
      </c>
      <c r="H147" s="7"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147" s="7">
        <f>IFERROR(__xludf.DUMMYFUNCTION("""COMPUTED_VALUE"""),10.0)</f>
        <v>10</v>
      </c>
      <c r="J147" s="7">
        <f>IFERROR(__xludf.DUMMYFUNCTION("""COMPUTED_VALUE"""),0.01)</f>
        <v>0.01</v>
      </c>
      <c r="K147" s="7">
        <f>IFERROR(__xludf.DUMMYFUNCTION("""COMPUTED_VALUE"""),0.8)</f>
        <v>0.8</v>
      </c>
      <c r="L147" s="7"/>
    </row>
    <row r="148" ht="15.75" customHeight="1">
      <c r="A148" s="6" t="str">
        <f>IFERROR(__xludf.DUMMYFUNCTION("""COMPUTED_VALUE"""),"https://avinashvagh.com/blog/best-geo-agencies-australia")</f>
        <v>https://avinashvagh.com/blog/best-geo-agencies-australia</v>
      </c>
      <c r="B148" s="7" t="str">
        <f>IFERROR(__xludf.DUMMYFUNCTION("""COMPUTED_VALUE"""),"Best GEO Agency Australia: 6 SaaS Options for 2026")</f>
        <v>Best GEO Agency Australia: 6 SaaS Options for 2026</v>
      </c>
      <c r="C148" s="6" t="str">
        <f>IFERROR(__xludf.DUMMYFUNCTION("""COMPUTED_VALUE"""),"avinashvagh.com")</f>
        <v>avinashvagh.com</v>
      </c>
      <c r="D148" s="7" t="str">
        <f>IFERROR(__xludf.DUMMYFUNCTION("""COMPUTED_VALUE"""),"PROFILE")</f>
        <v>PROFILE</v>
      </c>
      <c r="E148" s="7" t="str">
        <f>IFERROR(__xludf.DUMMYFUNCTION("""COMPUTED_VALUE"""),"CORPORATE")</f>
        <v>CORPORATE</v>
      </c>
      <c r="F148" s="7" t="str">
        <f>IFERROR(__xludf.DUMMYFUNCTION("""COMPUTED_VALUE"""),"Profile")</f>
        <v>Profile</v>
      </c>
      <c r="G148" s="7" t="b">
        <f>IFERROR(__xludf.DUMMYFUNCTION("""COMPUTED_VALUE"""),FALSE)</f>
        <v>0</v>
      </c>
      <c r="H148" s="7" t="str">
        <f>IFERROR(__xludf.DUMMYFUNCTION("""COMPUTED_VALUE"""),"Talons Marketing, Prosperity Media, In Marketing We Trust, Elephant In The Boardroom")</f>
        <v>Talons Marketing, Prosperity Media, In Marketing We Trust, Elephant In The Boardroom</v>
      </c>
      <c r="I148" s="7">
        <f>IFERROR(__xludf.DUMMYFUNCTION("""COMPUTED_VALUE"""),10.0)</f>
        <v>10</v>
      </c>
      <c r="J148" s="7">
        <f>IFERROR(__xludf.DUMMYFUNCTION("""COMPUTED_VALUE"""),0.01)</f>
        <v>0.01</v>
      </c>
      <c r="K148" s="7">
        <f>IFERROR(__xludf.DUMMYFUNCTION("""COMPUTED_VALUE"""),0.2)</f>
        <v>0.2</v>
      </c>
      <c r="L148" s="7"/>
    </row>
    <row r="149" ht="15.75" customHeight="1">
      <c r="A149" s="6" t="str">
        <f>IFERROR(__xludf.DUMMYFUNCTION("""COMPUTED_VALUE"""),"https://blog.applabx.com/top-10-best-geo-agencies-in-australia-in-2026/")</f>
        <v>https://blog.applabx.com/top-10-best-geo-agencies-in-australia-in-2026/</v>
      </c>
      <c r="B149" s="7" t="str">
        <f>IFERROR(__xludf.DUMMYFUNCTION("""COMPUTED_VALUE"""),"Top 10 Best GEO Agencies in Australia in 2026")</f>
        <v>Top 10 Best GEO Agencies in Australia in 2026</v>
      </c>
      <c r="C149" s="6" t="str">
        <f>IFERROR(__xludf.DUMMYFUNCTION("""COMPUTED_VALUE"""),"applabx.com")</f>
        <v>applabx.com</v>
      </c>
      <c r="D149" s="7" t="str">
        <f>IFERROR(__xludf.DUMMYFUNCTION("""COMPUTED_VALUE"""),"HOW_TO_GUIDE")</f>
        <v>HOW_TO_GUIDE</v>
      </c>
      <c r="E149" s="7" t="str">
        <f>IFERROR(__xludf.DUMMYFUNCTION("""COMPUTED_VALUE"""),"UGC")</f>
        <v>UGC</v>
      </c>
      <c r="F149" s="7" t="str">
        <f>IFERROR(__xludf.DUMMYFUNCTION("""COMPUTED_VALUE"""),"How-To Guide")</f>
        <v>How-To Guide</v>
      </c>
      <c r="G149" s="7" t="b">
        <f>IFERROR(__xludf.DUMMYFUNCTION("""COMPUTED_VALUE"""),FALSE)</f>
        <v>0</v>
      </c>
      <c r="H149" s="7" t="str">
        <f>IFERROR(__xludf.DUMMYFUNCTION("""COMPUTED_VALUE"""),"StudioHawk, Online Marketing Gurus, Intesols, Supple Digital, Digital Nomads HQ, Emote Digital, Omnicom Media Group, First Page, Measured, HERO")</f>
        <v>StudioHawk, Online Marketing Gurus, Intesols, Supple Digital, Digital Nomads HQ, Emote Digital, Omnicom Media Group, First Page, Measured, HERO</v>
      </c>
      <c r="I149" s="7">
        <f>IFERROR(__xludf.DUMMYFUNCTION("""COMPUTED_VALUE"""),10.0)</f>
        <v>10</v>
      </c>
      <c r="J149" s="7">
        <f>IFERROR(__xludf.DUMMYFUNCTION("""COMPUTED_VALUE"""),0.01)</f>
        <v>0.01</v>
      </c>
      <c r="K149" s="7">
        <f>IFERROR(__xludf.DUMMYFUNCTION("""COMPUTED_VALUE"""),0.0)</f>
        <v>0</v>
      </c>
      <c r="L149" s="7"/>
    </row>
    <row r="150" ht="15.75" customHeight="1">
      <c r="A150" s="6" t="str">
        <f>IFERROR(__xludf.DUMMYFUNCTION("""COMPUTED_VALUE"""),"https://www.bushnote.com/articles/best-10-aeo-agencies-in-australia-to-promote-b2b-companies-in-2026")</f>
        <v>https://www.bushnote.com/articles/best-10-aeo-agencies-in-australia-to-promote-b2b-companies-in-2026</v>
      </c>
      <c r="B150" s="7" t="str">
        <f>IFERROR(__xludf.DUMMYFUNCTION("""COMPUTED_VALUE"""),"Best 10 AEO Agencies in Australia for B2B Companies (2026)")</f>
        <v>Best 10 AEO Agencies in Australia for B2B Companies (2026)</v>
      </c>
      <c r="C150" s="6" t="str">
        <f>IFERROR(__xludf.DUMMYFUNCTION("""COMPUTED_VALUE"""),"bushnote.com")</f>
        <v>bushnote.com</v>
      </c>
      <c r="D150" s="7" t="str">
        <f>IFERROR(__xludf.DUMMYFUNCTION("""COMPUTED_VALUE"""),"LISTICLE")</f>
        <v>LISTICLE</v>
      </c>
      <c r="E150" s="7" t="str">
        <f>IFERROR(__xludf.DUMMYFUNCTION("""COMPUTED_VALUE"""),"COMPETITOR")</f>
        <v>COMPETITOR</v>
      </c>
      <c r="F150" s="7" t="str">
        <f>IFERROR(__xludf.DUMMYFUNCTION("""COMPUTED_VALUE"""),"Listicle")</f>
        <v>Listicle</v>
      </c>
      <c r="G150" s="7" t="b">
        <f>IFERROR(__xludf.DUMMYFUNCTION("""COMPUTED_VALUE"""),FALSE)</f>
        <v>0</v>
      </c>
      <c r="H150" s="7" t="str">
        <f>IFERROR(__xludf.DUMMYFUNCTION("""COMPUTED_VALUE"""),"Luminary, Bushnote, Prosperity Media, Online Marketing Gurus")</f>
        <v>Luminary, Bushnote, Prosperity Media, Online Marketing Gurus</v>
      </c>
      <c r="I150" s="7">
        <f>IFERROR(__xludf.DUMMYFUNCTION("""COMPUTED_VALUE"""),10.0)</f>
        <v>10</v>
      </c>
      <c r="J150" s="7">
        <f>IFERROR(__xludf.DUMMYFUNCTION("""COMPUTED_VALUE"""),0.01)</f>
        <v>0.01</v>
      </c>
      <c r="K150" s="7">
        <f>IFERROR(__xludf.DUMMYFUNCTION("""COMPUTED_VALUE"""),0.2)</f>
        <v>0.2</v>
      </c>
      <c r="L150" s="7"/>
    </row>
    <row r="151" ht="15.75" customHeight="1">
      <c r="A151" s="6" t="str">
        <f>IFERROR(__xludf.DUMMYFUNCTION("""COMPUTED_VALUE"""),"https://clutch.co/au/agencies/programmatic")</f>
        <v>https://clutch.co/au/agencies/programmatic</v>
      </c>
      <c r="B151" s="7" t="str">
        <f>IFERROR(__xludf.DUMMYFUNCTION("""COMPUTED_VALUE"""),"Top Programmatic Advertising Companies in Australia - Jul 2026 Rankings | Clutch.co")</f>
        <v>Top Programmatic Advertising Companies in Australia - Jul 2026 Rankings | Clutch.co</v>
      </c>
      <c r="C151" s="6" t="str">
        <f>IFERROR(__xludf.DUMMYFUNCTION("""COMPUTED_VALUE"""),"clutch.co")</f>
        <v>clutch.co</v>
      </c>
      <c r="D151" s="7" t="str">
        <f>IFERROR(__xludf.DUMMYFUNCTION("""COMPUTED_VALUE"""),"PROFILE")</f>
        <v>PROFILE</v>
      </c>
      <c r="E151" s="7" t="str">
        <f>IFERROR(__xludf.DUMMYFUNCTION("""COMPUTED_VALUE"""),"CORPORATE")</f>
        <v>CORPORATE</v>
      </c>
      <c r="F151" s="7" t="str">
        <f>IFERROR(__xludf.DUMMYFUNCTION("""COMPUTED_VALUE"""),"Profile")</f>
        <v>Profile</v>
      </c>
      <c r="G151" s="7" t="b">
        <f>IFERROR(__xludf.DUMMYFUNCTION("""COMPUTED_VALUE"""),FALSE)</f>
        <v>0</v>
      </c>
      <c r="H151" s="7" t="str">
        <f>IFERROR(__xludf.DUMMYFUNCTION("""COMPUTED_VALUE"""),"Soup Agency, Impressive, DNM Digital, In Marketing We Trust, Bench Media")</f>
        <v>Soup Agency, Impressive, DNM Digital, In Marketing We Trust, Bench Media</v>
      </c>
      <c r="I151" s="7">
        <f>IFERROR(__xludf.DUMMYFUNCTION("""COMPUTED_VALUE"""),10.0)</f>
        <v>10</v>
      </c>
      <c r="J151" s="7">
        <f>IFERROR(__xludf.DUMMYFUNCTION("""COMPUTED_VALUE"""),0.01)</f>
        <v>0.01</v>
      </c>
      <c r="K151" s="7">
        <f>IFERROR(__xludf.DUMMYFUNCTION("""COMPUTED_VALUE"""),2.3)</f>
        <v>2.3</v>
      </c>
      <c r="L151" s="7"/>
    </row>
    <row r="152" ht="15.75" customHeight="1">
      <c r="A152" s="6" t="str">
        <f>IFERROR(__xludf.DUMMYFUNCTION("""COMPUTED_VALUE"""),"https://www.cometly.com/post/marketing-attribution-tools-for-agencies")</f>
        <v>https://www.cometly.com/post/marketing-attribution-tools-for-agencies</v>
      </c>
      <c r="B152" s="7" t="str">
        <f>IFERROR(__xludf.DUMMYFUNCTION("""COMPUTED_VALUE"""),"Best Marketing Attribution Tools For Agencies 2026")</f>
        <v>Best Marketing Attribution Tools For Agencies 2026</v>
      </c>
      <c r="C152" s="6" t="str">
        <f>IFERROR(__xludf.DUMMYFUNCTION("""COMPUTED_VALUE"""),"cometly.com")</f>
        <v>cometly.com</v>
      </c>
      <c r="D152" s="7" t="str">
        <f>IFERROR(__xludf.DUMMYFUNCTION("""COMPUTED_VALUE"""),"LISTICLE")</f>
        <v>LISTICLE</v>
      </c>
      <c r="E152" s="7" t="str">
        <f>IFERROR(__xludf.DUMMYFUNCTION("""COMPUTED_VALUE"""),"CORPORATE")</f>
        <v>CORPORATE</v>
      </c>
      <c r="F152" s="7" t="str">
        <f>IFERROR(__xludf.DUMMYFUNCTION("""COMPUTED_VALUE"""),"Listicle")</f>
        <v>Listicle</v>
      </c>
      <c r="G152" s="7" t="b">
        <f>IFERROR(__xludf.DUMMYFUNCTION("""COMPUTED_VALUE"""),FALSE)</f>
        <v>0</v>
      </c>
      <c r="H152" s="7"/>
      <c r="I152" s="7">
        <f>IFERROR(__xludf.DUMMYFUNCTION("""COMPUTED_VALUE"""),10.0)</f>
        <v>10</v>
      </c>
      <c r="J152" s="7">
        <f>IFERROR(__xludf.DUMMYFUNCTION("""COMPUTED_VALUE"""),0.01)</f>
        <v>0.01</v>
      </c>
      <c r="K152" s="7">
        <f>IFERROR(__xludf.DUMMYFUNCTION("""COMPUTED_VALUE"""),0.1)</f>
        <v>0.1</v>
      </c>
      <c r="L152" s="7"/>
    </row>
    <row r="153" ht="15.75" customHeight="1">
      <c r="A153" s="6" t="str">
        <f>IFERROR(__xludf.DUMMYFUNCTION("""COMPUTED_VALUE"""),"https://www.designrush.com/agency/social-media-marketing/au")</f>
        <v>https://www.designrush.com/agency/social-media-marketing/au</v>
      </c>
      <c r="B153" s="7" t="str">
        <f>IFERROR(__xludf.DUMMYFUNCTION("""COMPUTED_VALUE"""),"Top Social Media Marketing Agencies in Australia | 2026")</f>
        <v>Top Social Media Marketing Agencies in Australia | 2026</v>
      </c>
      <c r="C153" s="6" t="str">
        <f>IFERROR(__xludf.DUMMYFUNCTION("""COMPUTED_VALUE"""),"designrush.com")</f>
        <v>designrush.com</v>
      </c>
      <c r="D153" s="7" t="str">
        <f>IFERROR(__xludf.DUMMYFUNCTION("""COMPUTED_VALUE"""),"LISTICLE")</f>
        <v>LISTICLE</v>
      </c>
      <c r="E153" s="7" t="str">
        <f>IFERROR(__xludf.DUMMYFUNCTION("""COMPUTED_VALUE"""),"CORPORATE")</f>
        <v>CORPORATE</v>
      </c>
      <c r="F153" s="7" t="str">
        <f>IFERROR(__xludf.DUMMYFUNCTION("""COMPUTED_VALUE"""),"Listicle")</f>
        <v>Listicle</v>
      </c>
      <c r="G153" s="7" t="b">
        <f>IFERROR(__xludf.DUMMYFUNCTION("""COMPUTED_VALUE"""),FALSE)</f>
        <v>0</v>
      </c>
      <c r="H153" s="7" t="str">
        <f>IFERROR(__xludf.DUMMYFUNCTION("""COMPUTED_VALUE"""),"Supple Digital, eMarket Experts, Online Marketing Gurus, SIXGUN, Digital Nomads HQ, Impressive, Deloitte, HERO")</f>
        <v>Supple Digital, eMarket Experts, Online Marketing Gurus, SIXGUN, Digital Nomads HQ, Impressive, Deloitte, HERO</v>
      </c>
      <c r="I153" s="7">
        <f>IFERROR(__xludf.DUMMYFUNCTION("""COMPUTED_VALUE"""),10.0)</f>
        <v>10</v>
      </c>
      <c r="J153" s="7">
        <f>IFERROR(__xludf.DUMMYFUNCTION("""COMPUTED_VALUE"""),0.01)</f>
        <v>0.01</v>
      </c>
      <c r="K153" s="7">
        <f>IFERROR(__xludf.DUMMYFUNCTION("""COMPUTED_VALUE"""),0.1)</f>
        <v>0.1</v>
      </c>
      <c r="L153" s="7"/>
    </row>
    <row r="154" ht="15.75" customHeight="1">
      <c r="A154" s="6" t="str">
        <f>IFERROR(__xludf.DUMMYFUNCTION("""COMPUTED_VALUE"""),"https://digitalnomadshq.com.au/blog/google-ads-companies/")</f>
        <v>https://digitalnomadshq.com.au/blog/google-ads-companies/</v>
      </c>
      <c r="B154" s="7" t="str">
        <f>IFERROR(__xludf.DUMMYFUNCTION("""COMPUTED_VALUE"""),"Top 10 Google Ads Companies in Australia [2026 Updated]")</f>
        <v>Top 10 Google Ads Companies in Australia [2026 Updated]</v>
      </c>
      <c r="C154" s="6" t="str">
        <f>IFERROR(__xludf.DUMMYFUNCTION("""COMPUTED_VALUE"""),"digitalnomadshq.com.au")</f>
        <v>digitalnomadshq.com.au</v>
      </c>
      <c r="D154" s="7" t="str">
        <f>IFERROR(__xludf.DUMMYFUNCTION("""COMPUTED_VALUE"""),"LISTICLE")</f>
        <v>LISTICLE</v>
      </c>
      <c r="E154" s="7" t="str">
        <f>IFERROR(__xludf.DUMMYFUNCTION("""COMPUTED_VALUE"""),"COMPETITOR")</f>
        <v>COMPETITOR</v>
      </c>
      <c r="F154" s="7" t="str">
        <f>IFERROR(__xludf.DUMMYFUNCTION("""COMPUTED_VALUE"""),"Listicle")</f>
        <v>Listicle</v>
      </c>
      <c r="G154" s="7" t="b">
        <f>IFERROR(__xludf.DUMMYFUNCTION("""COMPUTED_VALUE"""),FALSE)</f>
        <v>0</v>
      </c>
      <c r="H154" s="7" t="str">
        <f>IFERROR(__xludf.DUMMYFUNCTION("""COMPUTED_VALUE"""),"Digital Nomads HQ, Clearwater Agency, Online Marketing Gurus, eMarket Experts, Megaphone, SearchMax, Supple Digital, Earned Media, Omnicom Media Group")</f>
        <v>Digital Nomads HQ, Clearwater Agency, Online Marketing Gurus, eMarket Experts, Megaphone, SearchMax, Supple Digital, Earned Media, Omnicom Media Group</v>
      </c>
      <c r="I154" s="7">
        <f>IFERROR(__xludf.DUMMYFUNCTION("""COMPUTED_VALUE"""),10.0)</f>
        <v>10</v>
      </c>
      <c r="J154" s="7">
        <f>IFERROR(__xludf.DUMMYFUNCTION("""COMPUTED_VALUE"""),0.01)</f>
        <v>0.01</v>
      </c>
      <c r="K154" s="7">
        <f>IFERROR(__xludf.DUMMYFUNCTION("""COMPUTED_VALUE"""),0.5)</f>
        <v>0.5</v>
      </c>
      <c r="L154" s="7"/>
    </row>
    <row r="155" ht="15.75" customHeight="1">
      <c r="A155" s="6" t="str">
        <f>IFERROR(__xludf.DUMMYFUNCTION("""COMPUTED_VALUE"""),"https://fastlanerecruit.com/blog/top-15-advertising-agencies-in-australia/#:~:text=A%20global%20leader%20in%20creative%20communications%2C%20Leo,insight%2C%20helping%20companies%20forge%20deep%20audience%20connections.")</f>
        <v>https://fastlanerecruit.com/blog/top-15-advertising-agencies-in-australia/#:~:text=A%20global%20leader%20in%20creative%20communications%2C%20Leo,insight%2C%20helping%20companies%20forge%20deep%20audience%20connections.</v>
      </c>
      <c r="B155" s="7" t="str">
        <f>IFERROR(__xludf.DUMMYFUNCTION("""COMPUTED_VALUE"""),"Top 15 Advertising Agencies in Australia")</f>
        <v>Top 15 Advertising Agencies in Australia</v>
      </c>
      <c r="C155" s="6" t="str">
        <f>IFERROR(__xludf.DUMMYFUNCTION("""COMPUTED_VALUE"""),"fastlanerecruit.com")</f>
        <v>fastlanerecruit.com</v>
      </c>
      <c r="D155" s="7" t="str">
        <f>IFERROR(__xludf.DUMMYFUNCTION("""COMPUTED_VALUE"""),"OTHER")</f>
        <v>OTHER</v>
      </c>
      <c r="E155" s="7" t="str">
        <f>IFERROR(__xludf.DUMMYFUNCTION("""COMPUTED_VALUE"""),"CORPORATE")</f>
        <v>CORPORATE</v>
      </c>
      <c r="F155" s="7" t="str">
        <f>IFERROR(__xludf.DUMMYFUNCTION("""COMPUTED_VALUE"""),"Other")</f>
        <v>Other</v>
      </c>
      <c r="G155" s="7" t="b">
        <f>IFERROR(__xludf.DUMMYFUNCTION("""COMPUTED_VALUE"""),FALSE)</f>
        <v>0</v>
      </c>
      <c r="H155" s="7" t="str">
        <f>IFERROR(__xludf.DUMMYFUNCTION("""COMPUTED_VALUE"""),"Clemenger BBDO, Supple Digital, Online Marketing Gurus, Ogilvy Australia, WPP, Omnicom Media Group, Edge Marketing, Soup Agency, First Page, First Page Australia, KPMG")</f>
        <v>Clemenger BBDO, Supple Digital, Online Marketing Gurus, Ogilvy Australia, WPP, Omnicom Media Group, Edge Marketing, Soup Agency, First Page, First Page Australia, KPMG</v>
      </c>
      <c r="I155" s="7">
        <f>IFERROR(__xludf.DUMMYFUNCTION("""COMPUTED_VALUE"""),10.0)</f>
        <v>10</v>
      </c>
      <c r="J155" s="7">
        <f>IFERROR(__xludf.DUMMYFUNCTION("""COMPUTED_VALUE"""),0.01)</f>
        <v>0.01</v>
      </c>
      <c r="K155" s="7">
        <f>IFERROR(__xludf.DUMMYFUNCTION("""COMPUTED_VALUE"""),1.9)</f>
        <v>1.9</v>
      </c>
      <c r="L155" s="7"/>
    </row>
    <row r="156" ht="15.75" customHeight="1">
      <c r="A156" s="6" t="str">
        <f>IFERROR(__xludf.DUMMYFUNCTION("""COMPUTED_VALUE"""),"https://www.loudface.co/blog/best-aeo-agencies-2026")</f>
        <v>https://www.loudface.co/blog/best-aeo-agencies-2026</v>
      </c>
      <c r="B156" s="7" t="str">
        <f>IFERROR(__xludf.DUMMYFUNCTION("""COMPUTED_VALUE"""),"Best AEO &amp;amp; AI Search Agencies in 2026 (Ranked) | LoudFace")</f>
        <v>Best AEO &amp;amp; AI Search Agencies in 2026 (Ranked) | LoudFace</v>
      </c>
      <c r="C156" s="6" t="str">
        <f>IFERROR(__xludf.DUMMYFUNCTION("""COMPUTED_VALUE"""),"loudface.co")</f>
        <v>loudface.co</v>
      </c>
      <c r="D156" s="7" t="str">
        <f>IFERROR(__xludf.DUMMYFUNCTION("""COMPUTED_VALUE"""),"LISTICLE")</f>
        <v>LISTICLE</v>
      </c>
      <c r="E156" s="7" t="str">
        <f>IFERROR(__xludf.DUMMYFUNCTION("""COMPUTED_VALUE"""),"CORPORATE")</f>
        <v>CORPORATE</v>
      </c>
      <c r="F156" s="7" t="str">
        <f>IFERROR(__xludf.DUMMYFUNCTION("""COMPUTED_VALUE"""),"Listicle")</f>
        <v>Listicle</v>
      </c>
      <c r="G156" s="7" t="b">
        <f>IFERROR(__xludf.DUMMYFUNCTION("""COMPUTED_VALUE"""),FALSE)</f>
        <v>0</v>
      </c>
      <c r="H156" s="7" t="str">
        <f>IFERROR(__xludf.DUMMYFUNCTION("""COMPUTED_VALUE"""),"First Page, Measured, Earned Media")</f>
        <v>First Page, Measured, Earned Media</v>
      </c>
      <c r="I156" s="7">
        <f>IFERROR(__xludf.DUMMYFUNCTION("""COMPUTED_VALUE"""),10.0)</f>
        <v>10</v>
      </c>
      <c r="J156" s="7">
        <f>IFERROR(__xludf.DUMMYFUNCTION("""COMPUTED_VALUE"""),0.01)</f>
        <v>0.01</v>
      </c>
      <c r="K156" s="7">
        <f>IFERROR(__xludf.DUMMYFUNCTION("""COMPUTED_VALUE"""),0.4)</f>
        <v>0.4</v>
      </c>
      <c r="L156" s="7"/>
    </row>
    <row r="157" ht="15.75" customHeight="1">
      <c r="A157" s="6" t="str">
        <f>IFERROR(__xludf.DUMMYFUNCTION("""COMPUTED_VALUE"""),"https://agencies.semrush.com/list/ai-optimization/australia/mid-business/")</f>
        <v>https://agencies.semrush.com/list/ai-optimization/australia/mid-business/</v>
      </c>
      <c r="B157" s="7" t="str">
        <f>IFERROR(__xludf.DUMMYFUNCTION("""COMPUTED_VALUE"""),"Best AI Search Optimization Agencies for Mid Business in Australia 2026 | Semrush")</f>
        <v>Best AI Search Optimization Agencies for Mid Business in Australia 2026 | Semrush</v>
      </c>
      <c r="C157" s="6" t="str">
        <f>IFERROR(__xludf.DUMMYFUNCTION("""COMPUTED_VALUE"""),"semrush.com")</f>
        <v>semrush.com</v>
      </c>
      <c r="D157" s="7" t="str">
        <f>IFERROR(__xludf.DUMMYFUNCTION("""COMPUTED_VALUE"""),"CATEGORY_PAGE")</f>
        <v>CATEGORY_PAGE</v>
      </c>
      <c r="E157" s="7" t="str">
        <f>IFERROR(__xludf.DUMMYFUNCTION("""COMPUTED_VALUE"""),"CORPORATE")</f>
        <v>CORPORATE</v>
      </c>
      <c r="F157" s="7" t="str">
        <f>IFERROR(__xludf.DUMMYFUNCTION("""COMPUTED_VALUE"""),"Category Page")</f>
        <v>Category Page</v>
      </c>
      <c r="G157" s="7" t="b">
        <f>IFERROR(__xludf.DUMMYFUNCTION("""COMPUTED_VALUE"""),FALSE)</f>
        <v>0</v>
      </c>
      <c r="H157" s="7"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157" s="7">
        <f>IFERROR(__xludf.DUMMYFUNCTION("""COMPUTED_VALUE"""),9.0)</f>
        <v>9</v>
      </c>
      <c r="J157" s="7">
        <f>IFERROR(__xludf.DUMMYFUNCTION("""COMPUTED_VALUE"""),0.01)</f>
        <v>0.01</v>
      </c>
      <c r="K157" s="7">
        <f>IFERROR(__xludf.DUMMYFUNCTION("""COMPUTED_VALUE"""),0.11)</f>
        <v>0.11</v>
      </c>
      <c r="L157" s="7"/>
    </row>
    <row r="158" ht="15.75" customHeight="1">
      <c r="A158" s="6" t="str">
        <f>IFERROR(__xludf.DUMMYFUNCTION("""COMPUTED_VALUE"""),"https://agrtech.com.au/ai/top-10-best-geo-optimization-agencies-in-the-world/")</f>
        <v>https://agrtech.com.au/ai/top-10-best-geo-optimization-agencies-in-the-world/</v>
      </c>
      <c r="B158" s="7" t="str">
        <f>IFERROR(__xludf.DUMMYFUNCTION("""COMPUTED_VALUE"""),"Top GEO Optimization Agencies in the World 2026")</f>
        <v>Top GEO Optimization Agencies in the World 2026</v>
      </c>
      <c r="C158" s="6" t="str">
        <f>IFERROR(__xludf.DUMMYFUNCTION("""COMPUTED_VALUE"""),"agrtech.com.au")</f>
        <v>agrtech.com.au</v>
      </c>
      <c r="D158" s="7" t="str">
        <f>IFERROR(__xludf.DUMMYFUNCTION("""COMPUTED_VALUE"""),"LISTICLE")</f>
        <v>LISTICLE</v>
      </c>
      <c r="E158" s="7" t="str">
        <f>IFERROR(__xludf.DUMMYFUNCTION("""COMPUTED_VALUE"""),"CORPORATE")</f>
        <v>CORPORATE</v>
      </c>
      <c r="F158" s="7" t="str">
        <f>IFERROR(__xludf.DUMMYFUNCTION("""COMPUTED_VALUE"""),"Listicle")</f>
        <v>Listicle</v>
      </c>
      <c r="G158" s="7" t="b">
        <f>IFERROR(__xludf.DUMMYFUNCTION("""COMPUTED_VALUE"""),FALSE)</f>
        <v>0</v>
      </c>
      <c r="H158" s="7" t="str">
        <f>IFERROR(__xludf.DUMMYFUNCTION("""COMPUTED_VALUE"""),"Intero Digital, First Page, Earned Media")</f>
        <v>Intero Digital, First Page, Earned Media</v>
      </c>
      <c r="I158" s="7">
        <f>IFERROR(__xludf.DUMMYFUNCTION("""COMPUTED_VALUE"""),9.0)</f>
        <v>9</v>
      </c>
      <c r="J158" s="7">
        <f>IFERROR(__xludf.DUMMYFUNCTION("""COMPUTED_VALUE"""),0.01)</f>
        <v>0.01</v>
      </c>
      <c r="K158" s="7">
        <f>IFERROR(__xludf.DUMMYFUNCTION("""COMPUTED_VALUE"""),0.0)</f>
        <v>0</v>
      </c>
      <c r="L158" s="7"/>
    </row>
    <row r="159" ht="15.75" customHeight="1">
      <c r="A159" s="6" t="str">
        <f>IFERROR(__xludf.DUMMYFUNCTION("""COMPUTED_VALUE"""),"https://www.bushletter.com/best-aeo-agencies-australia-2026-ai-engine-test/")</f>
        <v>https://www.bushletter.com/best-aeo-agencies-australia-2026-ai-engine-test/</v>
      </c>
      <c r="B159" s="7" t="str">
        <f>IFERROR(__xludf.DUMMYFUNCTION("""COMPUTED_VALUE"""),"Best AEO agencies in Australia for 2026: we asked four AI engines who they cite")</f>
        <v>Best AEO agencies in Australia for 2026: we asked four AI engines who they cite</v>
      </c>
      <c r="C159" s="6" t="str">
        <f>IFERROR(__xludf.DUMMYFUNCTION("""COMPUTED_VALUE"""),"bushletter.com")</f>
        <v>bushletter.com</v>
      </c>
      <c r="D159" s="7" t="str">
        <f>IFERROR(__xludf.DUMMYFUNCTION("""COMPUTED_VALUE"""),"LISTICLE")</f>
        <v>LISTICLE</v>
      </c>
      <c r="E159" s="7" t="str">
        <f>IFERROR(__xludf.DUMMYFUNCTION("""COMPUTED_VALUE"""),"EDITORIAL")</f>
        <v>EDITORIAL</v>
      </c>
      <c r="F159" s="7" t="str">
        <f>IFERROR(__xludf.DUMMYFUNCTION("""COMPUTED_VALUE"""),"Listicle")</f>
        <v>Listicle</v>
      </c>
      <c r="G159" s="7" t="b">
        <f>IFERROR(__xludf.DUMMYFUNCTION("""COMPUTED_VALUE"""),FALSE)</f>
        <v>0</v>
      </c>
      <c r="H159" s="7" t="str">
        <f>IFERROR(__xludf.DUMMYFUNCTION("""COMPUTED_VALUE"""),"Bushnote, Reload Media, StudioHawk, Prosperity Media, Webprofits, Impressive")</f>
        <v>Bushnote, Reload Media, StudioHawk, Prosperity Media, Webprofits, Impressive</v>
      </c>
      <c r="I159" s="7">
        <f>IFERROR(__xludf.DUMMYFUNCTION("""COMPUTED_VALUE"""),9.0)</f>
        <v>9</v>
      </c>
      <c r="J159" s="7">
        <f>IFERROR(__xludf.DUMMYFUNCTION("""COMPUTED_VALUE"""),0.01)</f>
        <v>0.01</v>
      </c>
      <c r="K159" s="7">
        <f>IFERROR(__xludf.DUMMYFUNCTION("""COMPUTED_VALUE"""),4.0)</f>
        <v>4</v>
      </c>
      <c r="L159" s="7"/>
    </row>
    <row r="160" ht="15.75" customHeight="1">
      <c r="A160" s="6" t="str">
        <f>IFERROR(__xludf.DUMMYFUNCTION("""COMPUTED_VALUE"""),"https://www.bushletter.com/the-10-best-aeo-agencies-for-australian-financial-services-firms-in-2026/")</f>
        <v>https://www.bushletter.com/the-10-best-aeo-agencies-for-australian-financial-services-firms-in-2026/</v>
      </c>
      <c r="B160" s="7" t="str">
        <f>IFERROR(__xludf.DUMMYFUNCTION("""COMPUTED_VALUE"""),"Best AEO agencies for Australian financial services 2026")</f>
        <v>Best AEO agencies for Australian financial services 2026</v>
      </c>
      <c r="C160" s="6" t="str">
        <f>IFERROR(__xludf.DUMMYFUNCTION("""COMPUTED_VALUE"""),"bushletter.com")</f>
        <v>bushletter.com</v>
      </c>
      <c r="D160" s="7" t="str">
        <f>IFERROR(__xludf.DUMMYFUNCTION("""COMPUTED_VALUE"""),"LISTICLE")</f>
        <v>LISTICLE</v>
      </c>
      <c r="E160" s="7" t="str">
        <f>IFERROR(__xludf.DUMMYFUNCTION("""COMPUTED_VALUE"""),"EDITORIAL")</f>
        <v>EDITORIAL</v>
      </c>
      <c r="F160" s="7" t="str">
        <f>IFERROR(__xludf.DUMMYFUNCTION("""COMPUTED_VALUE"""),"Listicle")</f>
        <v>Listicle</v>
      </c>
      <c r="G160" s="7" t="b">
        <f>IFERROR(__xludf.DUMMYFUNCTION("""COMPUTED_VALUE"""),FALSE)</f>
        <v>0</v>
      </c>
      <c r="H160" s="7" t="str">
        <f>IFERROR(__xludf.DUMMYFUNCTION("""COMPUTED_VALUE"""),"Bushnote, Luminary, Webprofits, Impressive, Online Marketing Gurus, Omnicom Media Group")</f>
        <v>Bushnote, Luminary, Webprofits, Impressive, Online Marketing Gurus, Omnicom Media Group</v>
      </c>
      <c r="I160" s="7">
        <f>IFERROR(__xludf.DUMMYFUNCTION("""COMPUTED_VALUE"""),9.0)</f>
        <v>9</v>
      </c>
      <c r="J160" s="7">
        <f>IFERROR(__xludf.DUMMYFUNCTION("""COMPUTED_VALUE"""),0.01)</f>
        <v>0.01</v>
      </c>
      <c r="K160" s="7">
        <f>IFERROR(__xludf.DUMMYFUNCTION("""COMPUTED_VALUE"""),1.44)</f>
        <v>1.44</v>
      </c>
      <c r="L160" s="7"/>
    </row>
    <row r="161" ht="15.75" customHeight="1">
      <c r="A161" s="6" t="str">
        <f>IFERROR(__xludf.DUMMYFUNCTION("""COMPUTED_VALUE"""),"https://www.bushnote.com/articles/top-ai-marketing-agencies-australia-2025")</f>
        <v>https://www.bushnote.com/articles/top-ai-marketing-agencies-australia-2025</v>
      </c>
      <c r="B161" s="7" t="str">
        <f>IFERROR(__xludf.DUMMYFUNCTION("""COMPUTED_VALUE"""),"Top AI Marketing Agencies Australia 2025: Strategic Shift")</f>
        <v>Top AI Marketing Agencies Australia 2025: Strategic Shift</v>
      </c>
      <c r="C161" s="6" t="str">
        <f>IFERROR(__xludf.DUMMYFUNCTION("""COMPUTED_VALUE"""),"bushnote.com")</f>
        <v>bushnote.com</v>
      </c>
      <c r="D161" s="7" t="str">
        <f>IFERROR(__xludf.DUMMYFUNCTION("""COMPUTED_VALUE"""),"LISTICLE")</f>
        <v>LISTICLE</v>
      </c>
      <c r="E161" s="7" t="str">
        <f>IFERROR(__xludf.DUMMYFUNCTION("""COMPUTED_VALUE"""),"COMPETITOR")</f>
        <v>COMPETITOR</v>
      </c>
      <c r="F161" s="7" t="str">
        <f>IFERROR(__xludf.DUMMYFUNCTION("""COMPUTED_VALUE"""),"Listicle")</f>
        <v>Listicle</v>
      </c>
      <c r="G161" s="7" t="b">
        <f>IFERROR(__xludf.DUMMYFUNCTION("""COMPUTED_VALUE"""),FALSE)</f>
        <v>0</v>
      </c>
      <c r="H161" s="7" t="str">
        <f>IFERROR(__xludf.DUMMYFUNCTION("""COMPUTED_VALUE"""),"Bushnote")</f>
        <v>Bushnote</v>
      </c>
      <c r="I161" s="7">
        <f>IFERROR(__xludf.DUMMYFUNCTION("""COMPUTED_VALUE"""),9.0)</f>
        <v>9</v>
      </c>
      <c r="J161" s="7">
        <f>IFERROR(__xludf.DUMMYFUNCTION("""COMPUTED_VALUE"""),0.01)</f>
        <v>0.01</v>
      </c>
      <c r="K161" s="7">
        <f>IFERROR(__xludf.DUMMYFUNCTION("""COMPUTED_VALUE"""),0.0)</f>
        <v>0</v>
      </c>
      <c r="L161" s="7"/>
    </row>
    <row r="162" ht="15.75" customHeight="1">
      <c r="A162" s="6" t="str">
        <f>IFERROR(__xludf.DUMMYFUNCTION("""COMPUTED_VALUE"""),"https://www.designrush.com/agency/digital-marketing/au")</f>
        <v>https://www.designrush.com/agency/digital-marketing/au</v>
      </c>
      <c r="B162" s="7" t="str">
        <f>IFERROR(__xludf.DUMMYFUNCTION("""COMPUTED_VALUE"""),"Top Digital Marketing Agencies in Australia | 2026")</f>
        <v>Top Digital Marketing Agencies in Australia | 2026</v>
      </c>
      <c r="C162" s="6" t="str">
        <f>IFERROR(__xludf.DUMMYFUNCTION("""COMPUTED_VALUE"""),"designrush.com")</f>
        <v>designrush.com</v>
      </c>
      <c r="D162" s="7" t="str">
        <f>IFERROR(__xludf.DUMMYFUNCTION("""COMPUTED_VALUE"""),"LISTICLE")</f>
        <v>LISTICLE</v>
      </c>
      <c r="E162" s="7" t="str">
        <f>IFERROR(__xludf.DUMMYFUNCTION("""COMPUTED_VALUE"""),"CORPORATE")</f>
        <v>CORPORATE</v>
      </c>
      <c r="F162" s="7" t="str">
        <f>IFERROR(__xludf.DUMMYFUNCTION("""COMPUTED_VALUE"""),"Listicle")</f>
        <v>Listicle</v>
      </c>
      <c r="G162" s="7" t="b">
        <f>IFERROR(__xludf.DUMMYFUNCTION("""COMPUTED_VALUE"""),FALSE)</f>
        <v>0</v>
      </c>
      <c r="H162" s="7" t="str">
        <f>IFERROR(__xludf.DUMMYFUNCTION("""COMPUTED_VALUE"""),"First Page, First Page Australia, Impressive, Deloitte, Supple Digital, eMarket Experts, Online Marketing Gurus, SIXGUN, Digital Nomads HQ, 23 Digital")</f>
        <v>First Page, First Page Australia, Impressive, Deloitte, Supple Digital, eMarket Experts, Online Marketing Gurus, SIXGUN, Digital Nomads HQ, 23 Digital</v>
      </c>
      <c r="I162" s="7">
        <f>IFERROR(__xludf.DUMMYFUNCTION("""COMPUTED_VALUE"""),9.0)</f>
        <v>9</v>
      </c>
      <c r="J162" s="7">
        <f>IFERROR(__xludf.DUMMYFUNCTION("""COMPUTED_VALUE"""),0.01)</f>
        <v>0.01</v>
      </c>
      <c r="K162" s="7">
        <f>IFERROR(__xludf.DUMMYFUNCTION("""COMPUTED_VALUE"""),0.44)</f>
        <v>0.44</v>
      </c>
      <c r="L162" s="7"/>
    </row>
    <row r="163" ht="15.75" customHeight="1">
      <c r="A163" s="6" t="str">
        <f>IFERROR(__xludf.DUMMYFUNCTION("""COMPUTED_VALUE"""),"https://digitaldigest.au/ai-seo-agencies/")</f>
        <v>https://digitaldigest.au/ai-seo-agencies/</v>
      </c>
      <c r="B163" s="7" t="str">
        <f>IFERROR(__xludf.DUMMYFUNCTION("""COMPUTED_VALUE"""),"9 Best AI SEO Agencies in Australia (2026)")</f>
        <v>9 Best AI SEO Agencies in Australia (2026)</v>
      </c>
      <c r="C163" s="6" t="str">
        <f>IFERROR(__xludf.DUMMYFUNCTION("""COMPUTED_VALUE"""),"digitaldigest.au")</f>
        <v>digitaldigest.au</v>
      </c>
      <c r="D163" s="7" t="str">
        <f>IFERROR(__xludf.DUMMYFUNCTION("""COMPUTED_VALUE"""),"LISTICLE")</f>
        <v>LISTICLE</v>
      </c>
      <c r="E163" s="7" t="str">
        <f>IFERROR(__xludf.DUMMYFUNCTION("""COMPUTED_VALUE"""),"EDITORIAL")</f>
        <v>EDITORIAL</v>
      </c>
      <c r="F163" s="7" t="str">
        <f>IFERROR(__xludf.DUMMYFUNCTION("""COMPUTED_VALUE"""),"Listicle")</f>
        <v>Listicle</v>
      </c>
      <c r="G163" s="7" t="b">
        <f>IFERROR(__xludf.DUMMYFUNCTION("""COMPUTED_VALUE"""),FALSE)</f>
        <v>0</v>
      </c>
      <c r="H163" s="7" t="str">
        <f>IFERROR(__xludf.DUMMYFUNCTION("""COMPUTED_VALUE"""),"Digital Nomads HQ, Prosperity Media, StudioHawk, Impressive, Luminary, Intesols")</f>
        <v>Digital Nomads HQ, Prosperity Media, StudioHawk, Impressive, Luminary, Intesols</v>
      </c>
      <c r="I163" s="7">
        <f>IFERROR(__xludf.DUMMYFUNCTION("""COMPUTED_VALUE"""),9.0)</f>
        <v>9</v>
      </c>
      <c r="J163" s="7">
        <f>IFERROR(__xludf.DUMMYFUNCTION("""COMPUTED_VALUE"""),0.01)</f>
        <v>0.01</v>
      </c>
      <c r="K163" s="7">
        <f>IFERROR(__xludf.DUMMYFUNCTION("""COMPUTED_VALUE"""),2.78)</f>
        <v>2.78</v>
      </c>
      <c r="L163" s="7"/>
    </row>
    <row r="164" ht="15.75" customHeight="1">
      <c r="A164" s="6" t="str">
        <f>IFERROR(__xludf.DUMMYFUNCTION("""COMPUTED_VALUE"""),"https://digitaldigest.au/best-social-media-agencies/")</f>
        <v>https://digitaldigest.au/best-social-media-agencies/</v>
      </c>
      <c r="B164" s="7" t="str">
        <f>IFERROR(__xludf.DUMMYFUNCTION("""COMPUTED_VALUE"""),"15 Best Social Media Agencies in 2025 (With Reviews)")</f>
        <v>15 Best Social Media Agencies in 2025 (With Reviews)</v>
      </c>
      <c r="C164" s="6" t="str">
        <f>IFERROR(__xludf.DUMMYFUNCTION("""COMPUTED_VALUE"""),"digitaldigest.au")</f>
        <v>digitaldigest.au</v>
      </c>
      <c r="D164" s="7" t="str">
        <f>IFERROR(__xludf.DUMMYFUNCTION("""COMPUTED_VALUE"""),"LISTICLE")</f>
        <v>LISTICLE</v>
      </c>
      <c r="E164" s="7" t="str">
        <f>IFERROR(__xludf.DUMMYFUNCTION("""COMPUTED_VALUE"""),"EDITORIAL")</f>
        <v>EDITORIAL</v>
      </c>
      <c r="F164" s="7" t="str">
        <f>IFERROR(__xludf.DUMMYFUNCTION("""COMPUTED_VALUE"""),"Listicle")</f>
        <v>Listicle</v>
      </c>
      <c r="G164" s="7" t="b">
        <f>IFERROR(__xludf.DUMMYFUNCTION("""COMPUTED_VALUE"""),FALSE)</f>
        <v>0</v>
      </c>
      <c r="H164" s="7" t="str">
        <f>IFERROR(__xludf.DUMMYFUNCTION("""COMPUTED_VALUE"""),"Impressive, Online Marketing Gurus, Omnicom Media Group, Deloitte, Soup Agency, Farsiight, Megaphone, Paradox Marketing, Emote Digital, Human Digital, DNM Digital, Rocket Agency, Clearwater Agency, Earned Media")</f>
        <v>Impressive, Online Marketing Gurus, Omnicom Media Group, Deloitte, Soup Agency, Farsiight, Megaphone, Paradox Marketing, Emote Digital, Human Digital, DNM Digital, Rocket Agency, Clearwater Agency, Earned Media</v>
      </c>
      <c r="I164" s="7">
        <f>IFERROR(__xludf.DUMMYFUNCTION("""COMPUTED_VALUE"""),9.0)</f>
        <v>9</v>
      </c>
      <c r="J164" s="7">
        <f>IFERROR(__xludf.DUMMYFUNCTION("""COMPUTED_VALUE"""),0.01)</f>
        <v>0.01</v>
      </c>
      <c r="K164" s="7">
        <f>IFERROR(__xludf.DUMMYFUNCTION("""COMPUTED_VALUE"""),0.11)</f>
        <v>0.11</v>
      </c>
      <c r="L164" s="7"/>
    </row>
    <row r="165" ht="15.75" customHeight="1">
      <c r="A165" s="6" t="str">
        <f>IFERROR(__xludf.DUMMYFUNCTION("""COMPUTED_VALUE"""),"https://www.exaltgrowth.com/generative-engine-optimization/top-australian-saas-geo-agencies")</f>
        <v>https://www.exaltgrowth.com/generative-engine-optimization/top-australian-saas-geo-agencies</v>
      </c>
      <c r="B165" s="7" t="str">
        <f>IFERROR(__xludf.DUMMYFUNCTION("""COMPUTED_VALUE"""),"Top 10 Australian SaaS GEO Agencies in 2026")</f>
        <v>Top 10 Australian SaaS GEO Agencies in 2026</v>
      </c>
      <c r="C165" s="6" t="str">
        <f>IFERROR(__xludf.DUMMYFUNCTION("""COMPUTED_VALUE"""),"exaltgrowth.com")</f>
        <v>exaltgrowth.com</v>
      </c>
      <c r="D165" s="7" t="str">
        <f>IFERROR(__xludf.DUMMYFUNCTION("""COMPUTED_VALUE"""),"LISTICLE")</f>
        <v>LISTICLE</v>
      </c>
      <c r="E165" s="7" t="str">
        <f>IFERROR(__xludf.DUMMYFUNCTION("""COMPUTED_VALUE"""),"CORPORATE")</f>
        <v>CORPORATE</v>
      </c>
      <c r="F165" s="7" t="str">
        <f>IFERROR(__xludf.DUMMYFUNCTION("""COMPUTED_VALUE"""),"Listicle")</f>
        <v>Listicle</v>
      </c>
      <c r="G165" s="7" t="b">
        <f>IFERROR(__xludf.DUMMYFUNCTION("""COMPUTED_VALUE"""),FALSE)</f>
        <v>0</v>
      </c>
      <c r="H165" s="7" t="str">
        <f>IFERROR(__xludf.DUMMYFUNCTION("""COMPUTED_VALUE"""),"Prosperity Media, First Page, Impressive, StudioHawk, Luminary, Predicta Digital, Earned Media")</f>
        <v>Prosperity Media, First Page, Impressive, StudioHawk, Luminary, Predicta Digital, Earned Media</v>
      </c>
      <c r="I165" s="7">
        <f>IFERROR(__xludf.DUMMYFUNCTION("""COMPUTED_VALUE"""),9.0)</f>
        <v>9</v>
      </c>
      <c r="J165" s="7">
        <f>IFERROR(__xludf.DUMMYFUNCTION("""COMPUTED_VALUE"""),0.01)</f>
        <v>0.01</v>
      </c>
      <c r="K165" s="7">
        <f>IFERROR(__xludf.DUMMYFUNCTION("""COMPUTED_VALUE"""),0.78)</f>
        <v>0.78</v>
      </c>
      <c r="L165" s="7"/>
    </row>
    <row r="166" ht="15.75" customHeight="1">
      <c r="A166" s="6" t="str">
        <f>IFERROR(__xludf.DUMMYFUNCTION("""COMPUTED_VALUE"""),"https://www.hashtag.net.au/news/technology/146815-top-agencies-using-ai-to-improve-search-visibility-for-australian-brands")</f>
        <v>https://www.hashtag.net.au/news/technology/146815-top-agencies-using-ai-to-improve-search-visibility-for-australian-brands</v>
      </c>
      <c r="B166" s="7" t="str">
        <f>IFERROR(__xludf.DUMMYFUNCTION("""COMPUTED_VALUE"""),"Top Agencies Using AI to Improve Search Visibility for Australian Brands")</f>
        <v>Top Agencies Using AI to Improve Search Visibility for Australian Brands</v>
      </c>
      <c r="C166" s="6" t="str">
        <f>IFERROR(__xludf.DUMMYFUNCTION("""COMPUTED_VALUE"""),"hashtag.net.au")</f>
        <v>hashtag.net.au</v>
      </c>
      <c r="D166" s="7" t="str">
        <f>IFERROR(__xludf.DUMMYFUNCTION("""COMPUTED_VALUE"""),"LISTICLE")</f>
        <v>LISTICLE</v>
      </c>
      <c r="E166" s="7" t="str">
        <f>IFERROR(__xludf.DUMMYFUNCTION("""COMPUTED_VALUE"""),"CORPORATE")</f>
        <v>CORPORATE</v>
      </c>
      <c r="F166" s="7" t="str">
        <f>IFERROR(__xludf.DUMMYFUNCTION("""COMPUTED_VALUE"""),"Listicle")</f>
        <v>Listicle</v>
      </c>
      <c r="G166" s="7" t="b">
        <f>IFERROR(__xludf.DUMMYFUNCTION("""COMPUTED_VALUE"""),FALSE)</f>
        <v>0</v>
      </c>
      <c r="H166" s="7" t="str">
        <f>IFERROR(__xludf.DUMMYFUNCTION("""COMPUTED_VALUE"""),"NP Digital Australia, Impressive, Safari Digital, Clearwater Agency, King Kong, Emote Digital, Soup Agency, Prosperity Media, Measured")</f>
        <v>NP Digital Australia, Impressive, Safari Digital, Clearwater Agency, King Kong, Emote Digital, Soup Agency, Prosperity Media, Measured</v>
      </c>
      <c r="I166" s="7">
        <f>IFERROR(__xludf.DUMMYFUNCTION("""COMPUTED_VALUE"""),9.0)</f>
        <v>9</v>
      </c>
      <c r="J166" s="7">
        <f>IFERROR(__xludf.DUMMYFUNCTION("""COMPUTED_VALUE"""),0.01)</f>
        <v>0.01</v>
      </c>
      <c r="K166" s="7">
        <f>IFERROR(__xludf.DUMMYFUNCTION("""COMPUTED_VALUE"""),1.22)</f>
        <v>1.22</v>
      </c>
      <c r="L166" s="7"/>
    </row>
    <row r="167" ht="15.75" customHeight="1">
      <c r="A167" s="6" t="str">
        <f>IFERROR(__xludf.DUMMYFUNCTION("""COMPUTED_VALUE"""),"https://itprofiles.com/services/ppc/australia")</f>
        <v>https://itprofiles.com/services/ppc/australia</v>
      </c>
      <c r="B167" s="7" t="str">
        <f>IFERROR(__xludf.DUMMYFUNCTION("""COMPUTED_VALUE"""),"Official Jul 2026 Rankings: Top PPC Companies in Australia | ITProfiles")</f>
        <v>Official Jul 2026 Rankings: Top PPC Companies in Australia | ITProfiles</v>
      </c>
      <c r="C167" s="6" t="str">
        <f>IFERROR(__xludf.DUMMYFUNCTION("""COMPUTED_VALUE"""),"itprofiles.com")</f>
        <v>itprofiles.com</v>
      </c>
      <c r="D167" s="7" t="str">
        <f>IFERROR(__xludf.DUMMYFUNCTION("""COMPUTED_VALUE"""),"LISTICLE")</f>
        <v>LISTICLE</v>
      </c>
      <c r="E167" s="7" t="str">
        <f>IFERROR(__xludf.DUMMYFUNCTION("""COMPUTED_VALUE"""),"REFERENCE")</f>
        <v>REFERENCE</v>
      </c>
      <c r="F167" s="7" t="str">
        <f>IFERROR(__xludf.DUMMYFUNCTION("""COMPUTED_VALUE"""),"Listicle")</f>
        <v>Listicle</v>
      </c>
      <c r="G167" s="7" t="b">
        <f>IFERROR(__xludf.DUMMYFUNCTION("""COMPUTED_VALUE"""),FALSE)</f>
        <v>0</v>
      </c>
      <c r="H167" s="7" t="str">
        <f>IFERROR(__xludf.DUMMYFUNCTION("""COMPUTED_VALUE"""),"Soup Agency, Digital Nomads HQ, Farsiight, Clearwater Agency, eMarket Experts, DNM Digital, Marketix Digital, SIXGUN, Insil, Sparro, Reform Digital, Edge Marketing")</f>
        <v>Soup Agency, Digital Nomads HQ, Farsiight, Clearwater Agency, eMarket Experts, DNM Digital, Marketix Digital, SIXGUN, Insil, Sparro, Reform Digital, Edge Marketing</v>
      </c>
      <c r="I167" s="7">
        <f>IFERROR(__xludf.DUMMYFUNCTION("""COMPUTED_VALUE"""),9.0)</f>
        <v>9</v>
      </c>
      <c r="J167" s="7">
        <f>IFERROR(__xludf.DUMMYFUNCTION("""COMPUTED_VALUE"""),0.01)</f>
        <v>0.01</v>
      </c>
      <c r="K167" s="7">
        <f>IFERROR(__xludf.DUMMYFUNCTION("""COMPUTED_VALUE"""),0.0)</f>
        <v>0</v>
      </c>
      <c r="L167" s="7"/>
    </row>
    <row r="168" ht="15.75" customHeight="1">
      <c r="A168" s="6" t="str">
        <f>IFERROR(__xludf.DUMMYFUNCTION("""COMPUTED_VALUE"""),"https://mightyhive.com/mightyhive-named-top-aunz-google-marketing-platform-partner-second-year-row")</f>
        <v>https://mightyhive.com/mightyhive-named-top-aunz-google-marketing-platform-partner-second-year-row</v>
      </c>
      <c r="B168" s="7" t="str">
        <f>IFERROR(__xludf.DUMMYFUNCTION("""COMPUTED_VALUE"""),"MightyHive Named Top AUNZ Google Marketing Platform Partner Second Year in a Row | MightyHive")</f>
        <v>MightyHive Named Top AUNZ Google Marketing Platform Partner Second Year in a Row | MightyHive</v>
      </c>
      <c r="C168" s="6" t="str">
        <f>IFERROR(__xludf.DUMMYFUNCTION("""COMPUTED_VALUE"""),"mightyhive.com")</f>
        <v>mightyhive.com</v>
      </c>
      <c r="D168" s="7" t="str">
        <f>IFERROR(__xludf.DUMMYFUNCTION("""COMPUTED_VALUE"""),"ARTICLE")</f>
        <v>ARTICLE</v>
      </c>
      <c r="E168" s="7" t="str">
        <f>IFERROR(__xludf.DUMMYFUNCTION("""COMPUTED_VALUE"""),"CORPORATE")</f>
        <v>CORPORATE</v>
      </c>
      <c r="F168" s="7" t="str">
        <f>IFERROR(__xludf.DUMMYFUNCTION("""COMPUTED_VALUE"""),"Article")</f>
        <v>Article</v>
      </c>
      <c r="G168" s="7" t="b">
        <f>IFERROR(__xludf.DUMMYFUNCTION("""COMPUTED_VALUE"""),FALSE)</f>
        <v>0</v>
      </c>
      <c r="H168" s="7"/>
      <c r="I168" s="7">
        <f>IFERROR(__xludf.DUMMYFUNCTION("""COMPUTED_VALUE"""),9.0)</f>
        <v>9</v>
      </c>
      <c r="J168" s="7">
        <f>IFERROR(__xludf.DUMMYFUNCTION("""COMPUTED_VALUE"""),0.01)</f>
        <v>0.01</v>
      </c>
      <c r="K168" s="7">
        <f>IFERROR(__xludf.DUMMYFUNCTION("""COMPUTED_VALUE"""),1.67)</f>
        <v>1.67</v>
      </c>
      <c r="L168" s="7"/>
    </row>
    <row r="169" ht="15.75" customHeight="1">
      <c r="A169" s="6" t="str">
        <f>IFERROR(__xludf.DUMMYFUNCTION("""COMPUTED_VALUE"""),"https://www.position.digital/blog/top-geo-agencies/")</f>
        <v>https://www.position.digital/blog/top-geo-agencies/</v>
      </c>
      <c r="B169" s="7" t="str">
        <f>IFERROR(__xludf.DUMMYFUNCTION("""COMPUTED_VALUE"""),"Top 13 Generative Engine Optimization (GEO) Agencies in 2026")</f>
        <v>Top 13 Generative Engine Optimization (GEO) Agencies in 2026</v>
      </c>
      <c r="C169" s="7" t="str">
        <f>IFERROR(__xludf.DUMMYFUNCTION("""COMPUTED_VALUE"""),"position.digital")</f>
        <v>position.digital</v>
      </c>
      <c r="D169" s="7" t="str">
        <f>IFERROR(__xludf.DUMMYFUNCTION("""COMPUTED_VALUE"""),"LISTICLE")</f>
        <v>LISTICLE</v>
      </c>
      <c r="E169" s="7" t="str">
        <f>IFERROR(__xludf.DUMMYFUNCTION("""COMPUTED_VALUE"""),"CORPORATE")</f>
        <v>CORPORATE</v>
      </c>
      <c r="F169" s="7" t="str">
        <f>IFERROR(__xludf.DUMMYFUNCTION("""COMPUTED_VALUE"""),"Listicle")</f>
        <v>Listicle</v>
      </c>
      <c r="G169" s="7" t="b">
        <f>IFERROR(__xludf.DUMMYFUNCTION("""COMPUTED_VALUE"""),FALSE)</f>
        <v>0</v>
      </c>
      <c r="H169" s="7" t="str">
        <f>IFERROR(__xludf.DUMMYFUNCTION("""COMPUTED_VALUE"""),"Huge, First Page, Earned Media")</f>
        <v>Huge, First Page, Earned Media</v>
      </c>
      <c r="I169" s="7">
        <f>IFERROR(__xludf.DUMMYFUNCTION("""COMPUTED_VALUE"""),9.0)</f>
        <v>9</v>
      </c>
      <c r="J169" s="7">
        <f>IFERROR(__xludf.DUMMYFUNCTION("""COMPUTED_VALUE"""),0.01)</f>
        <v>0.01</v>
      </c>
      <c r="K169" s="7">
        <f>IFERROR(__xludf.DUMMYFUNCTION("""COMPUTED_VALUE"""),0.0)</f>
        <v>0</v>
      </c>
      <c r="L169" s="7"/>
    </row>
    <row r="170" ht="15.75" customHeight="1">
      <c r="A170" s="6" t="str">
        <f>IFERROR(__xludf.DUMMYFUNCTION("""COMPUTED_VALUE"""),"https://www.sortlist.com/s/performance-marketing/sydney-au")</f>
        <v>https://www.sortlist.com/s/performance-marketing/sydney-au</v>
      </c>
      <c r="B170" s="7" t="str">
        <f>IFERROR(__xludf.DUMMYFUNCTION("""COMPUTED_VALUE"""),"The 10 Best Performance Marketing Agencies in Sydney - 2026 Reviews")</f>
        <v>The 10 Best Performance Marketing Agencies in Sydney - 2026 Reviews</v>
      </c>
      <c r="C170" s="6" t="str">
        <f>IFERROR(__xludf.DUMMYFUNCTION("""COMPUTED_VALUE"""),"sortlist.com")</f>
        <v>sortlist.com</v>
      </c>
      <c r="D170" s="7" t="str">
        <f>IFERROR(__xludf.DUMMYFUNCTION("""COMPUTED_VALUE"""),"CATEGORY_PAGE")</f>
        <v>CATEGORY_PAGE</v>
      </c>
      <c r="E170" s="7" t="str">
        <f>IFERROR(__xludf.DUMMYFUNCTION("""COMPUTED_VALUE"""),"CORPORATE")</f>
        <v>CORPORATE</v>
      </c>
      <c r="F170" s="7" t="str">
        <f>IFERROR(__xludf.DUMMYFUNCTION("""COMPUTED_VALUE"""),"Category Page")</f>
        <v>Category Page</v>
      </c>
      <c r="G170" s="7" t="b">
        <f>IFERROR(__xludf.DUMMYFUNCTION("""COMPUTED_VALUE"""),FALSE)</f>
        <v>0</v>
      </c>
      <c r="H170" s="7" t="str">
        <f>IFERROR(__xludf.DUMMYFUNCTION("""COMPUTED_VALUE"""),"Impressive, Supple Digital, Measured, Earned Media, Clearwater Agency, SIXGUN, Momentum, Soup Agency, HERO, Digital Nomads HQ, Sparro, AdVisible")</f>
        <v>Impressive, Supple Digital, Measured, Earned Media, Clearwater Agency, SIXGUN, Momentum, Soup Agency, HERO, Digital Nomads HQ, Sparro, AdVisible</v>
      </c>
      <c r="I170" s="7">
        <f>IFERROR(__xludf.DUMMYFUNCTION("""COMPUTED_VALUE"""),9.0)</f>
        <v>9</v>
      </c>
      <c r="J170" s="7">
        <f>IFERROR(__xludf.DUMMYFUNCTION("""COMPUTED_VALUE"""),0.01)</f>
        <v>0.01</v>
      </c>
      <c r="K170" s="7">
        <f>IFERROR(__xludf.DUMMYFUNCTION("""COMPUTED_VALUE"""),0.11)</f>
        <v>0.11</v>
      </c>
      <c r="L170" s="7"/>
    </row>
    <row r="171" ht="15.75" customHeight="1">
      <c r="A171" s="6" t="str">
        <f>IFERROR(__xludf.DUMMYFUNCTION("""COMPUTED_VALUE"""),"https://soupagency.com.au/blog/top-digital-marketing-agencies/#:~:text=Soup%20is%20a%20strong%20fit%20for%20businesses,connecting%20those%20channels%20across%20the%20customer%20journey.")</f>
        <v>https://soupagency.com.au/blog/top-digital-marketing-agencies/#:~:text=Soup%20is%20a%20strong%20fit%20for%20businesses,connecting%20those%20channels%20across%20the%20customer%20journey.</v>
      </c>
      <c r="B171" s="7" t="str">
        <f>IFERROR(__xludf.DUMMYFUNCTION("""COMPUTED_VALUE"""),"Top Digital Marketing Agencies in Australia: Options Worth Considering - SOUP Agency")</f>
        <v>Top Digital Marketing Agencies in Australia: Options Worth Considering - SOUP Agency</v>
      </c>
      <c r="C171" s="6" t="str">
        <f>IFERROR(__xludf.DUMMYFUNCTION("""COMPUTED_VALUE"""),"soupagency.com.au")</f>
        <v>soupagency.com.au</v>
      </c>
      <c r="D171" s="7" t="str">
        <f>IFERROR(__xludf.DUMMYFUNCTION("""COMPUTED_VALUE"""),"LISTICLE")</f>
        <v>LISTICLE</v>
      </c>
      <c r="E171" s="7" t="str">
        <f>IFERROR(__xludf.DUMMYFUNCTION("""COMPUTED_VALUE"""),"COMPETITOR")</f>
        <v>COMPETITOR</v>
      </c>
      <c r="F171" s="7" t="str">
        <f>IFERROR(__xludf.DUMMYFUNCTION("""COMPUTED_VALUE"""),"Listicle")</f>
        <v>Listicle</v>
      </c>
      <c r="G171" s="7" t="b">
        <f>IFERROR(__xludf.DUMMYFUNCTION("""COMPUTED_VALUE"""),FALSE)</f>
        <v>0</v>
      </c>
      <c r="H171" s="7" t="str">
        <f>IFERROR(__xludf.DUMMYFUNCTION("""COMPUTED_VALUE"""),"Soup Agency, Measured, Momentum")</f>
        <v>Soup Agency, Measured, Momentum</v>
      </c>
      <c r="I171" s="7">
        <f>IFERROR(__xludf.DUMMYFUNCTION("""COMPUTED_VALUE"""),9.0)</f>
        <v>9</v>
      </c>
      <c r="J171" s="7">
        <f>IFERROR(__xludf.DUMMYFUNCTION("""COMPUTED_VALUE"""),0.01)</f>
        <v>0.01</v>
      </c>
      <c r="K171" s="7">
        <f>IFERROR(__xludf.DUMMYFUNCTION("""COMPUTED_VALUE"""),1.22)</f>
        <v>1.22</v>
      </c>
      <c r="L171" s="7"/>
    </row>
    <row r="172" ht="15.75" customHeight="1">
      <c r="A172" s="6" t="str">
        <f>IFERROR(__xludf.DUMMYFUNCTION("""COMPUTED_VALUE"""),"https://theredrepublic.com/top-10-best-advertising-agencies-leading-australia-2025/")</f>
        <v>https://theredrepublic.com/top-10-best-advertising-agencies-leading-australia-2025/</v>
      </c>
      <c r="B172" s="7" t="str">
        <f>IFERROR(__xludf.DUMMYFUNCTION("""COMPUTED_VALUE"""),"Our Top 5: The Best Creative Advertising Agencies Leading Australia in 2025 | The Red Republic")</f>
        <v>Our Top 5: The Best Creative Advertising Agencies Leading Australia in 2025 | The Red Republic</v>
      </c>
      <c r="C172" s="6" t="str">
        <f>IFERROR(__xludf.DUMMYFUNCTION("""COMPUTED_VALUE"""),"theredrepublic.com")</f>
        <v>theredrepublic.com</v>
      </c>
      <c r="D172" s="7" t="str">
        <f>IFERROR(__xludf.DUMMYFUNCTION("""COMPUTED_VALUE"""),"LISTICLE")</f>
        <v>LISTICLE</v>
      </c>
      <c r="E172" s="7" t="str">
        <f>IFERROR(__xludf.DUMMYFUNCTION("""COMPUTED_VALUE"""),"COMPETITOR")</f>
        <v>COMPETITOR</v>
      </c>
      <c r="F172" s="7" t="str">
        <f>IFERROR(__xludf.DUMMYFUNCTION("""COMPUTED_VALUE"""),"Listicle")</f>
        <v>Listicle</v>
      </c>
      <c r="G172" s="7" t="b">
        <f>IFERROR(__xludf.DUMMYFUNCTION("""COMPUTED_VALUE"""),FALSE)</f>
        <v>0</v>
      </c>
      <c r="H172" s="7" t="str">
        <f>IFERROR(__xludf.DUMMYFUNCTION("""COMPUTED_VALUE"""),"The Red Republic, HERO")</f>
        <v>The Red Republic, HERO</v>
      </c>
      <c r="I172" s="7">
        <f>IFERROR(__xludf.DUMMYFUNCTION("""COMPUTED_VALUE"""),9.0)</f>
        <v>9</v>
      </c>
      <c r="J172" s="7">
        <f>IFERROR(__xludf.DUMMYFUNCTION("""COMPUTED_VALUE"""),0.01)</f>
        <v>0.01</v>
      </c>
      <c r="K172" s="7">
        <f>IFERROR(__xludf.DUMMYFUNCTION("""COMPUTED_VALUE"""),0.11)</f>
        <v>0.11</v>
      </c>
      <c r="L172" s="7"/>
    </row>
    <row r="173" ht="15.75" customHeight="1">
      <c r="A173" s="6" t="str">
        <f>IFERROR(__xludf.DUMMYFUNCTION("""COMPUTED_VALUE"""),"https://www.upliftgtm.com/blog/best-aeo-agencies")</f>
        <v>https://www.upliftgtm.com/blog/best-aeo-agencies</v>
      </c>
      <c r="B173" s="7" t="str">
        <f>IFERROR(__xludf.DUMMYFUNCTION("""COMPUTED_VALUE"""),"Best AEO Agencies 2026: Top 12 Answer Engine Optimization Firms")</f>
        <v>Best AEO Agencies 2026: Top 12 Answer Engine Optimization Firms</v>
      </c>
      <c r="C173" s="6" t="str">
        <f>IFERROR(__xludf.DUMMYFUNCTION("""COMPUTED_VALUE"""),"upliftgtm.com")</f>
        <v>upliftgtm.com</v>
      </c>
      <c r="D173" s="7" t="str">
        <f>IFERROR(__xludf.DUMMYFUNCTION("""COMPUTED_VALUE"""),"LISTICLE")</f>
        <v>LISTICLE</v>
      </c>
      <c r="E173" s="7" t="str">
        <f>IFERROR(__xludf.DUMMYFUNCTION("""COMPUTED_VALUE"""),"CORPORATE")</f>
        <v>CORPORATE</v>
      </c>
      <c r="F173" s="7" t="str">
        <f>IFERROR(__xludf.DUMMYFUNCTION("""COMPUTED_VALUE"""),"Listicle")</f>
        <v>Listicle</v>
      </c>
      <c r="G173" s="7" t="b">
        <f>IFERROR(__xludf.DUMMYFUNCTION("""COMPUTED_VALUE"""),FALSE)</f>
        <v>0</v>
      </c>
      <c r="H173" s="7" t="str">
        <f>IFERROR(__xludf.DUMMYFUNCTION("""COMPUTED_VALUE"""),"Measured")</f>
        <v>Measured</v>
      </c>
      <c r="I173" s="7">
        <f>IFERROR(__xludf.DUMMYFUNCTION("""COMPUTED_VALUE"""),9.0)</f>
        <v>9</v>
      </c>
      <c r="J173" s="7">
        <f>IFERROR(__xludf.DUMMYFUNCTION("""COMPUTED_VALUE"""),0.01)</f>
        <v>0.01</v>
      </c>
      <c r="K173" s="7">
        <f>IFERROR(__xludf.DUMMYFUNCTION("""COMPUTED_VALUE"""),0.0)</f>
        <v>0</v>
      </c>
      <c r="L173" s="7"/>
    </row>
    <row r="174" ht="15.75" customHeight="1">
      <c r="A174" s="6" t="str">
        <f>IFERROR(__xludf.DUMMYFUNCTION("""COMPUTED_VALUE"""),"https://uprisedigital.com.au/blog/best-google-ads-agencies-sydney/")</f>
        <v>https://uprisedigital.com.au/blog/best-google-ads-agencies-sydney/</v>
      </c>
      <c r="B174" s="7" t="str">
        <f>IFERROR(__xludf.DUMMYFUNCTION("""COMPUTED_VALUE"""),"8 Best Google Ads Agencies in Sydney (2026) - Uprise Digital")</f>
        <v>8 Best Google Ads Agencies in Sydney (2026) - Uprise Digital</v>
      </c>
      <c r="C174" s="6" t="str">
        <f>IFERROR(__xludf.DUMMYFUNCTION("""COMPUTED_VALUE"""),"uprisedigital.com.au")</f>
        <v>uprisedigital.com.au</v>
      </c>
      <c r="D174" s="7" t="str">
        <f>IFERROR(__xludf.DUMMYFUNCTION("""COMPUTED_VALUE"""),"LISTICLE")</f>
        <v>LISTICLE</v>
      </c>
      <c r="E174" s="7" t="str">
        <f>IFERROR(__xludf.DUMMYFUNCTION("""COMPUTED_VALUE"""),"COMPETITOR")</f>
        <v>COMPETITOR</v>
      </c>
      <c r="F174" s="7" t="str">
        <f>IFERROR(__xludf.DUMMYFUNCTION("""COMPUTED_VALUE"""),"Listicle")</f>
        <v>Listicle</v>
      </c>
      <c r="G174" s="7" t="b">
        <f>IFERROR(__xludf.DUMMYFUNCTION("""COMPUTED_VALUE"""),FALSE)</f>
        <v>0</v>
      </c>
      <c r="H174" s="7" t="str">
        <f>IFERROR(__xludf.DUMMYFUNCTION("""COMPUTED_VALUE"""),"Uprise Digital, Rocket Agency, AdVisible, Online Marketing Gurus, Gorilla 360, Omnicom Media Group")</f>
        <v>Uprise Digital, Rocket Agency, AdVisible, Online Marketing Gurus, Gorilla 360, Omnicom Media Group</v>
      </c>
      <c r="I174" s="7">
        <f>IFERROR(__xludf.DUMMYFUNCTION("""COMPUTED_VALUE"""),9.0)</f>
        <v>9</v>
      </c>
      <c r="J174" s="7">
        <f>IFERROR(__xludf.DUMMYFUNCTION("""COMPUTED_VALUE"""),0.01)</f>
        <v>0.01</v>
      </c>
      <c r="K174" s="7">
        <f>IFERROR(__xludf.DUMMYFUNCTION("""COMPUTED_VALUE"""),1.33)</f>
        <v>1.33</v>
      </c>
      <c r="L174" s="7"/>
    </row>
    <row r="175" ht="15.75" customHeight="1">
      <c r="A175" s="6" t="str">
        <f>IFERROR(__xludf.DUMMYFUNCTION("""COMPUTED_VALUE"""),"https://agencies.semrush.com/list/analytics-data-science/australia/small-business/")</f>
        <v>https://agencies.semrush.com/list/analytics-data-science/australia/small-business/</v>
      </c>
      <c r="B175" s="7" t="str">
        <f>IFERROR(__xludf.DUMMYFUNCTION("""COMPUTED_VALUE"""),"Best Data Analytics Services for Small Business in Australia 2026 | Semrush")</f>
        <v>Best Data Analytics Services for Small Business in Australia 2026 | Semrush</v>
      </c>
      <c r="C175" s="6" t="str">
        <f>IFERROR(__xludf.DUMMYFUNCTION("""COMPUTED_VALUE"""),"semrush.com")</f>
        <v>semrush.com</v>
      </c>
      <c r="D175" s="7" t="str">
        <f>IFERROR(__xludf.DUMMYFUNCTION("""COMPUTED_VALUE"""),"PROFILE")</f>
        <v>PROFILE</v>
      </c>
      <c r="E175" s="7" t="str">
        <f>IFERROR(__xludf.DUMMYFUNCTION("""COMPUTED_VALUE"""),"CORPORATE")</f>
        <v>CORPORATE</v>
      </c>
      <c r="F175" s="7" t="str">
        <f>IFERROR(__xludf.DUMMYFUNCTION("""COMPUTED_VALUE"""),"Profile")</f>
        <v>Profile</v>
      </c>
      <c r="G175" s="7" t="b">
        <f>IFERROR(__xludf.DUMMYFUNCTION("""COMPUTED_VALUE"""),FALSE)</f>
        <v>0</v>
      </c>
      <c r="H175" s="7" t="str">
        <f>IFERROR(__xludf.DUMMYFUNCTION("""COMPUTED_VALUE"""),"Soup Agency, First Page, Clearwater Agency, Measured, Earned Media, Impressive, Online Marketing Gurus, Omnicom Media Group, Click Click Media, 80/20 Digital, Huge, Megantic")</f>
        <v>Soup Agency, First Page, Clearwater Agency, Measured, Earned Media, Impressive, Online Marketing Gurus, Omnicom Media Group, Click Click Media, 80/20 Digital, Huge, Megantic</v>
      </c>
      <c r="I175" s="7">
        <f>IFERROR(__xludf.DUMMYFUNCTION("""COMPUTED_VALUE"""),8.0)</f>
        <v>8</v>
      </c>
      <c r="J175" s="7">
        <f>IFERROR(__xludf.DUMMYFUNCTION("""COMPUTED_VALUE"""),0.01)</f>
        <v>0.01</v>
      </c>
      <c r="K175" s="7">
        <f>IFERROR(__xludf.DUMMYFUNCTION("""COMPUTED_VALUE"""),0.38)</f>
        <v>0.38</v>
      </c>
      <c r="L175" s="7"/>
    </row>
    <row r="176" ht="15.75" customHeight="1">
      <c r="A176" s="6" t="str">
        <f>IFERROR(__xludf.DUMMYFUNCTION("""COMPUTED_VALUE"""),"https://www.bushnote.com/articles/best-digital-marketing-agency-for-ai-search-australia")</f>
        <v>https://www.bushnote.com/articles/best-digital-marketing-agency-for-ai-search-australia</v>
      </c>
      <c r="B176" s="7" t="str">
        <f>IFERROR(__xludf.DUMMYFUNCTION("""COMPUTED_VALUE"""),"Best Digital Marketing Agencies for AI Search in Australia")</f>
        <v>Best Digital Marketing Agencies for AI Search in Australia</v>
      </c>
      <c r="C176" s="6" t="str">
        <f>IFERROR(__xludf.DUMMYFUNCTION("""COMPUTED_VALUE"""),"bushnote.com")</f>
        <v>bushnote.com</v>
      </c>
      <c r="D176" s="7" t="str">
        <f>IFERROR(__xludf.DUMMYFUNCTION("""COMPUTED_VALUE"""),"LISTICLE")</f>
        <v>LISTICLE</v>
      </c>
      <c r="E176" s="7" t="str">
        <f>IFERROR(__xludf.DUMMYFUNCTION("""COMPUTED_VALUE"""),"COMPETITOR")</f>
        <v>COMPETITOR</v>
      </c>
      <c r="F176" s="7" t="str">
        <f>IFERROR(__xludf.DUMMYFUNCTION("""COMPUTED_VALUE"""),"Listicle")</f>
        <v>Listicle</v>
      </c>
      <c r="G176" s="7" t="b">
        <f>IFERROR(__xludf.DUMMYFUNCTION("""COMPUTED_VALUE"""),FALSE)</f>
        <v>0</v>
      </c>
      <c r="H176" s="7" t="str">
        <f>IFERROR(__xludf.DUMMYFUNCTION("""COMPUTED_VALUE"""),"Bushnote, Sparro, Resolution Digital, Reload Media")</f>
        <v>Bushnote, Sparro, Resolution Digital, Reload Media</v>
      </c>
      <c r="I176" s="7">
        <f>IFERROR(__xludf.DUMMYFUNCTION("""COMPUTED_VALUE"""),8.0)</f>
        <v>8</v>
      </c>
      <c r="J176" s="7">
        <f>IFERROR(__xludf.DUMMYFUNCTION("""COMPUTED_VALUE"""),0.01)</f>
        <v>0.01</v>
      </c>
      <c r="K176" s="7">
        <f>IFERROR(__xludf.DUMMYFUNCTION("""COMPUTED_VALUE"""),1.13)</f>
        <v>1.13</v>
      </c>
      <c r="L176" s="7"/>
    </row>
    <row r="177" ht="15.75" customHeight="1">
      <c r="A177" s="6" t="str">
        <f>IFERROR(__xludf.DUMMYFUNCTION("""COMPUTED_VALUE"""),"https://clicksgeek.com/marketing-attribution-tracking-services/")</f>
        <v>https://clicksgeek.com/marketing-attribution-tracking-services/</v>
      </c>
      <c r="B177" s="7" t="str">
        <f>IFERROR(__xludf.DUMMYFUNCTION("""COMPUTED_VALUE"""),"9 Best Marketing Attribution Tracking Services 2026")</f>
        <v>9 Best Marketing Attribution Tracking Services 2026</v>
      </c>
      <c r="C177" s="6" t="str">
        <f>IFERROR(__xludf.DUMMYFUNCTION("""COMPUTED_VALUE"""),"clicksgeek.com")</f>
        <v>clicksgeek.com</v>
      </c>
      <c r="D177" s="7" t="str">
        <f>IFERROR(__xludf.DUMMYFUNCTION("""COMPUTED_VALUE"""),"LISTICLE")</f>
        <v>LISTICLE</v>
      </c>
      <c r="E177" s="7" t="str">
        <f>IFERROR(__xludf.DUMMYFUNCTION("""COMPUTED_VALUE"""),"CORPORATE")</f>
        <v>CORPORATE</v>
      </c>
      <c r="F177" s="7" t="str">
        <f>IFERROR(__xludf.DUMMYFUNCTION("""COMPUTED_VALUE"""),"Listicle")</f>
        <v>Listicle</v>
      </c>
      <c r="G177" s="7" t="b">
        <f>IFERROR(__xludf.DUMMYFUNCTION("""COMPUTED_VALUE"""),FALSE)</f>
        <v>0</v>
      </c>
      <c r="H177" s="7" t="str">
        <f>IFERROR(__xludf.DUMMYFUNCTION("""COMPUTED_VALUE"""),"Measured")</f>
        <v>Measured</v>
      </c>
      <c r="I177" s="7">
        <f>IFERROR(__xludf.DUMMYFUNCTION("""COMPUTED_VALUE"""),8.0)</f>
        <v>8</v>
      </c>
      <c r="J177" s="7">
        <f>IFERROR(__xludf.DUMMYFUNCTION("""COMPUTED_VALUE"""),0.01)</f>
        <v>0.01</v>
      </c>
      <c r="K177" s="7">
        <f>IFERROR(__xludf.DUMMYFUNCTION("""COMPUTED_VALUE"""),0.0)</f>
        <v>0</v>
      </c>
      <c r="L177" s="7"/>
    </row>
    <row r="178" ht="15.75" customHeight="1">
      <c r="A178" s="6" t="str">
        <f>IFERROR(__xludf.DUMMYFUNCTION("""COMPUTED_VALUE"""),"https://directiveconsulting.com/blog/best-geo-agencies/")</f>
        <v>https://directiveconsulting.com/blog/best-geo-agencies/</v>
      </c>
      <c r="B178" s="7" t="str">
        <f>IFERROR(__xludf.DUMMYFUNCTION("""COMPUTED_VALUE"""),"25 Best GEO Agencies For B2B - Directive")</f>
        <v>25 Best GEO Agencies For B2B - Directive</v>
      </c>
      <c r="C178" s="6" t="str">
        <f>IFERROR(__xludf.DUMMYFUNCTION("""COMPUTED_VALUE"""),"directiveconsulting.com")</f>
        <v>directiveconsulting.com</v>
      </c>
      <c r="D178" s="7" t="str">
        <f>IFERROR(__xludf.DUMMYFUNCTION("""COMPUTED_VALUE"""),"LISTICLE")</f>
        <v>LISTICLE</v>
      </c>
      <c r="E178" s="7" t="str">
        <f>IFERROR(__xludf.DUMMYFUNCTION("""COMPUTED_VALUE"""),"CORPORATE")</f>
        <v>CORPORATE</v>
      </c>
      <c r="F178" s="7" t="str">
        <f>IFERROR(__xludf.DUMMYFUNCTION("""COMPUTED_VALUE"""),"Listicle")</f>
        <v>Listicle</v>
      </c>
      <c r="G178" s="7" t="b">
        <f>IFERROR(__xludf.DUMMYFUNCTION("""COMPUTED_VALUE"""),FALSE)</f>
        <v>0</v>
      </c>
      <c r="H178" s="7" t="str">
        <f>IFERROR(__xludf.DUMMYFUNCTION("""COMPUTED_VALUE"""),"Earned Media, Intero Digital, First Page, Deloitte")</f>
        <v>Earned Media, Intero Digital, First Page, Deloitte</v>
      </c>
      <c r="I178" s="7">
        <f>IFERROR(__xludf.DUMMYFUNCTION("""COMPUTED_VALUE"""),8.0)</f>
        <v>8</v>
      </c>
      <c r="J178" s="7">
        <f>IFERROR(__xludf.DUMMYFUNCTION("""COMPUTED_VALUE"""),0.01)</f>
        <v>0.01</v>
      </c>
      <c r="K178" s="7">
        <f>IFERROR(__xludf.DUMMYFUNCTION("""COMPUTED_VALUE"""),0.0)</f>
        <v>0</v>
      </c>
      <c r="L178" s="7"/>
    </row>
    <row r="179" ht="15.75" customHeight="1">
      <c r="A179" s="6" t="str">
        <f>IFERROR(__xludf.DUMMYFUNCTION("""COMPUTED_VALUE"""),"https://govanator.com/best-performance-marketing-services-in-australia/")</f>
        <v>https://govanator.com/best-performance-marketing-services-in-australia/</v>
      </c>
      <c r="B179" s="7" t="str">
        <f>IFERROR(__xludf.DUMMYFUNCTION("""COMPUTED_VALUE"""),"Best Performance Marketing Services in Australia")</f>
        <v>Best Performance Marketing Services in Australia</v>
      </c>
      <c r="C179" s="6" t="str">
        <f>IFERROR(__xludf.DUMMYFUNCTION("""COMPUTED_VALUE"""),"govanator.com")</f>
        <v>govanator.com</v>
      </c>
      <c r="D179" s="7" t="str">
        <f>IFERROR(__xludf.DUMMYFUNCTION("""COMPUTED_VALUE"""),"LISTICLE")</f>
        <v>LISTICLE</v>
      </c>
      <c r="E179" s="7" t="str">
        <f>IFERROR(__xludf.DUMMYFUNCTION("""COMPUTED_VALUE"""),"OTHER")</f>
        <v>OTHER</v>
      </c>
      <c r="F179" s="7" t="str">
        <f>IFERROR(__xludf.DUMMYFUNCTION("""COMPUTED_VALUE"""),"Listicle")</f>
        <v>Listicle</v>
      </c>
      <c r="G179" s="7" t="b">
        <f>IFERROR(__xludf.DUMMYFUNCTION("""COMPUTED_VALUE"""),FALSE)</f>
        <v>0</v>
      </c>
      <c r="H179" s="7" t="str">
        <f>IFERROR(__xludf.DUMMYFUNCTION("""COMPUTED_VALUE"""),"Digital Nomads HQ, Clearwater Agency, Online Marketing Gurus, eMarket Experts, Megaphone, SearchMax, Supple Digital, Reload Media, Webprofits, Alpha Digital, Rocket Agency, Impressive, Zib Digital")</f>
        <v>Digital Nomads HQ, Clearwater Agency, Online Marketing Gurus, eMarket Experts, Megaphone, SearchMax, Supple Digital, Reload Media, Webprofits, Alpha Digital, Rocket Agency, Impressive, Zib Digital</v>
      </c>
      <c r="I179" s="7">
        <f>IFERROR(__xludf.DUMMYFUNCTION("""COMPUTED_VALUE"""),8.0)</f>
        <v>8</v>
      </c>
      <c r="J179" s="7">
        <f>IFERROR(__xludf.DUMMYFUNCTION("""COMPUTED_VALUE"""),0.01)</f>
        <v>0.01</v>
      </c>
      <c r="K179" s="7">
        <f>IFERROR(__xludf.DUMMYFUNCTION("""COMPUTED_VALUE"""),0.25)</f>
        <v>0.25</v>
      </c>
      <c r="L179" s="7"/>
    </row>
    <row r="180" ht="15.75" customHeight="1">
      <c r="A180" s="6" t="str">
        <f>IFERROR(__xludf.DUMMYFUNCTION("""COMPUTED_VALUE"""),"https://www.gtm8020.com/blog/best-aeo-agencies")</f>
        <v>https://www.gtm8020.com/blog/best-aeo-agencies</v>
      </c>
      <c r="B180" s="7" t="str">
        <f>IFERROR(__xludf.DUMMYFUNCTION("""COMPUTED_VALUE"""),"Best AEO Agencies - 2026 — GTM 8020")</f>
        <v>Best AEO Agencies - 2026 — GTM 8020</v>
      </c>
      <c r="C180" s="6" t="str">
        <f>IFERROR(__xludf.DUMMYFUNCTION("""COMPUTED_VALUE"""),"gtm8020.com")</f>
        <v>gtm8020.com</v>
      </c>
      <c r="D180" s="7" t="str">
        <f>IFERROR(__xludf.DUMMYFUNCTION("""COMPUTED_VALUE"""),"LISTICLE")</f>
        <v>LISTICLE</v>
      </c>
      <c r="E180" s="7" t="str">
        <f>IFERROR(__xludf.DUMMYFUNCTION("""COMPUTED_VALUE"""),"OTHER")</f>
        <v>OTHER</v>
      </c>
      <c r="F180" s="7" t="str">
        <f>IFERROR(__xludf.DUMMYFUNCTION("""COMPUTED_VALUE"""),"Listicle")</f>
        <v>Listicle</v>
      </c>
      <c r="G180" s="7" t="b">
        <f>IFERROR(__xludf.DUMMYFUNCTION("""COMPUTED_VALUE"""),FALSE)</f>
        <v>0</v>
      </c>
      <c r="H180" s="7" t="str">
        <f>IFERROR(__xludf.DUMMYFUNCTION("""COMPUTED_VALUE"""),"Momentum")</f>
        <v>Momentum</v>
      </c>
      <c r="I180" s="7">
        <f>IFERROR(__xludf.DUMMYFUNCTION("""COMPUTED_VALUE"""),8.0)</f>
        <v>8</v>
      </c>
      <c r="J180" s="7">
        <f>IFERROR(__xludf.DUMMYFUNCTION("""COMPUTED_VALUE"""),0.01)</f>
        <v>0.01</v>
      </c>
      <c r="K180" s="7">
        <f>IFERROR(__xludf.DUMMYFUNCTION("""COMPUTED_VALUE"""),0.0)</f>
        <v>0</v>
      </c>
      <c r="L180" s="7"/>
    </row>
    <row r="181" ht="15.75" customHeight="1">
      <c r="A181" s="6" t="str">
        <f>IFERROR(__xludf.DUMMYFUNCTION("""COMPUTED_VALUE"""),"https://www.linkedin.com/pulse/top-data-analytics-services-australia-vanator-assist-dcjvf?trk=public_post")</f>
        <v>https://www.linkedin.com/pulse/top-data-analytics-services-australia-vanator-assist-dcjvf?trk=public_post</v>
      </c>
      <c r="B181" s="7" t="str">
        <f>IFERROR(__xludf.DUMMYFUNCTION("""COMPUTED_VALUE"""),"Top Data Analytics Services in Australia")</f>
        <v>Top Data Analytics Services in Australia</v>
      </c>
      <c r="C181" s="6" t="str">
        <f>IFERROR(__xludf.DUMMYFUNCTION("""COMPUTED_VALUE"""),"linkedin.com")</f>
        <v>linkedin.com</v>
      </c>
      <c r="D181" s="7" t="str">
        <f>IFERROR(__xludf.DUMMYFUNCTION("""COMPUTED_VALUE"""),"LISTICLE")</f>
        <v>LISTICLE</v>
      </c>
      <c r="E181" s="7" t="str">
        <f>IFERROR(__xludf.DUMMYFUNCTION("""COMPUTED_VALUE"""),"UGC")</f>
        <v>UGC</v>
      </c>
      <c r="F181" s="7" t="str">
        <f>IFERROR(__xludf.DUMMYFUNCTION("""COMPUTED_VALUE"""),"Listicle")</f>
        <v>Listicle</v>
      </c>
      <c r="G181" s="7" t="b">
        <f>IFERROR(__xludf.DUMMYFUNCTION("""COMPUTED_VALUE"""),FALSE)</f>
        <v>0</v>
      </c>
      <c r="H181" s="7"/>
      <c r="I181" s="7">
        <f>IFERROR(__xludf.DUMMYFUNCTION("""COMPUTED_VALUE"""),8.0)</f>
        <v>8</v>
      </c>
      <c r="J181" s="7">
        <f>IFERROR(__xludf.DUMMYFUNCTION("""COMPUTED_VALUE"""),0.01)</f>
        <v>0.01</v>
      </c>
      <c r="K181" s="7">
        <f>IFERROR(__xludf.DUMMYFUNCTION("""COMPUTED_VALUE"""),0.0)</f>
        <v>0</v>
      </c>
      <c r="L181" s="7"/>
    </row>
    <row r="182" ht="15.75" customHeight="1">
      <c r="A182" s="6" t="str">
        <f>IFERROR(__xludf.DUMMYFUNCTION("""COMPUTED_VALUE"""),"https://omnieclipse.ai/blog/best-aeo-agencies-australia-2026")</f>
        <v>https://omnieclipse.ai/blog/best-aeo-agencies-australia-2026</v>
      </c>
      <c r="B182" s="7" t="str">
        <f>IFERROR(__xludf.DUMMYFUNCTION("""COMPUTED_VALUE"""),"Best AEO Agencies in Australia for 2026 | Omni Eclipse")</f>
        <v>Best AEO Agencies in Australia for 2026 | Omni Eclipse</v>
      </c>
      <c r="C182" s="6" t="str">
        <f>IFERROR(__xludf.DUMMYFUNCTION("""COMPUTED_VALUE"""),"omnieclipse.ai")</f>
        <v>omnieclipse.ai</v>
      </c>
      <c r="D182" s="7" t="str">
        <f>IFERROR(__xludf.DUMMYFUNCTION("""COMPUTED_VALUE"""),"LISTICLE")</f>
        <v>LISTICLE</v>
      </c>
      <c r="E182" s="7" t="str">
        <f>IFERROR(__xludf.DUMMYFUNCTION("""COMPUTED_VALUE"""),"CORPORATE")</f>
        <v>CORPORATE</v>
      </c>
      <c r="F182" s="7" t="str">
        <f>IFERROR(__xludf.DUMMYFUNCTION("""COMPUTED_VALUE"""),"Listicle")</f>
        <v>Listicle</v>
      </c>
      <c r="G182" s="7" t="b">
        <f>IFERROR(__xludf.DUMMYFUNCTION("""COMPUTED_VALUE"""),FALSE)</f>
        <v>0</v>
      </c>
      <c r="H182" s="7" t="str">
        <f>IFERROR(__xludf.DUMMYFUNCTION("""COMPUTED_VALUE"""),"Omni Eclipse, Talons Marketing, Luminary, Intesols, Brainlabs, Bushnote")</f>
        <v>Omni Eclipse, Talons Marketing, Luminary, Intesols, Brainlabs, Bushnote</v>
      </c>
      <c r="I182" s="7">
        <f>IFERROR(__xludf.DUMMYFUNCTION("""COMPUTED_VALUE"""),8.0)</f>
        <v>8</v>
      </c>
      <c r="J182" s="7">
        <f>IFERROR(__xludf.DUMMYFUNCTION("""COMPUTED_VALUE"""),0.01)</f>
        <v>0.01</v>
      </c>
      <c r="K182" s="7">
        <f>IFERROR(__xludf.DUMMYFUNCTION("""COMPUTED_VALUE"""),0.0)</f>
        <v>0</v>
      </c>
      <c r="L182" s="7"/>
    </row>
    <row r="183" ht="15.75" customHeight="1">
      <c r="A183" s="6" t="str">
        <f>IFERROR(__xludf.DUMMYFUNCTION("""COMPUTED_VALUE"""),"https://rokitupmedia.com.au/top-10-affordable-media-agencies-in-australia-for-small-businesses/")</f>
        <v>https://rokitupmedia.com.au/top-10-affordable-media-agencies-in-australia-for-small-businesses/</v>
      </c>
      <c r="B183" s="7" t="str">
        <f>IFERROR(__xludf.DUMMYFUNCTION("""COMPUTED_VALUE"""),"Top 10 Affordable Media Agencies in Australia for Small Businesses - Rokitup Media")</f>
        <v>Top 10 Affordable Media Agencies in Australia for Small Businesses - Rokitup Media</v>
      </c>
      <c r="C183" s="6" t="str">
        <f>IFERROR(__xludf.DUMMYFUNCTION("""COMPUTED_VALUE"""),"rokitupmedia.com.au")</f>
        <v>rokitupmedia.com.au</v>
      </c>
      <c r="D183" s="7" t="str">
        <f>IFERROR(__xludf.DUMMYFUNCTION("""COMPUTED_VALUE"""),"LISTICLE")</f>
        <v>LISTICLE</v>
      </c>
      <c r="E183" s="7" t="str">
        <f>IFERROR(__xludf.DUMMYFUNCTION("""COMPUTED_VALUE"""),"CORPORATE")</f>
        <v>CORPORATE</v>
      </c>
      <c r="F183" s="7" t="str">
        <f>IFERROR(__xludf.DUMMYFUNCTION("""COMPUTED_VALUE"""),"Listicle")</f>
        <v>Listicle</v>
      </c>
      <c r="G183" s="7" t="b">
        <f>IFERROR(__xludf.DUMMYFUNCTION("""COMPUTED_VALUE"""),FALSE)</f>
        <v>0</v>
      </c>
      <c r="H183" s="7" t="str">
        <f>IFERROR(__xludf.DUMMYFUNCTION("""COMPUTED_VALUE"""),"Zib Digital, Emote Digital, Rocket Agency, King Kong")</f>
        <v>Zib Digital, Emote Digital, Rocket Agency, King Kong</v>
      </c>
      <c r="I183" s="7">
        <f>IFERROR(__xludf.DUMMYFUNCTION("""COMPUTED_VALUE"""),8.0)</f>
        <v>8</v>
      </c>
      <c r="J183" s="7">
        <f>IFERROR(__xludf.DUMMYFUNCTION("""COMPUTED_VALUE"""),0.01)</f>
        <v>0.01</v>
      </c>
      <c r="K183" s="7">
        <f>IFERROR(__xludf.DUMMYFUNCTION("""COMPUTED_VALUE"""),0.63)</f>
        <v>0.63</v>
      </c>
      <c r="L183" s="7"/>
    </row>
    <row r="184" ht="15.75" customHeight="1">
      <c r="A184" s="6" t="str">
        <f>IFERROR(__xludf.DUMMYFUNCTION("""COMPUTED_VALUE"""),"https://www.silverbackstrategies.com/lists/best-geo-agencies-generative-engine-optimization-in-2026-ranked-reviewed/")</f>
        <v>https://www.silverbackstrategies.com/lists/best-geo-agencies-generative-engine-optimization-in-2026-ranked-reviewed/</v>
      </c>
      <c r="B184" s="7" t="str">
        <f>IFERROR(__xludf.DUMMYFUNCTION("""COMPUTED_VALUE"""),"Best GEO Agencies (Generative Engine Optimization) in 2026 (Ranked &amp;amp; Reviewed) | Silverback Strategies")</f>
        <v>Best GEO Agencies (Generative Engine Optimization) in 2026 (Ranked &amp;amp; Reviewed) | Silverback Strategies</v>
      </c>
      <c r="C184" s="6" t="str">
        <f>IFERROR(__xludf.DUMMYFUNCTION("""COMPUTED_VALUE"""),"silverbackstrategies.com")</f>
        <v>silverbackstrategies.com</v>
      </c>
      <c r="D184" s="7" t="str">
        <f>IFERROR(__xludf.DUMMYFUNCTION("""COMPUTED_VALUE"""),"LISTICLE")</f>
        <v>LISTICLE</v>
      </c>
      <c r="E184" s="7" t="str">
        <f>IFERROR(__xludf.DUMMYFUNCTION("""COMPUTED_VALUE"""),"CORPORATE")</f>
        <v>CORPORATE</v>
      </c>
      <c r="F184" s="7" t="str">
        <f>IFERROR(__xludf.DUMMYFUNCTION("""COMPUTED_VALUE"""),"Listicle")</f>
        <v>Listicle</v>
      </c>
      <c r="G184" s="7" t="b">
        <f>IFERROR(__xludf.DUMMYFUNCTION("""COMPUTED_VALUE"""),FALSE)</f>
        <v>0</v>
      </c>
      <c r="H184" s="7" t="str">
        <f>IFERROR(__xludf.DUMMYFUNCTION("""COMPUTED_VALUE"""),"Measured")</f>
        <v>Measured</v>
      </c>
      <c r="I184" s="7">
        <f>IFERROR(__xludf.DUMMYFUNCTION("""COMPUTED_VALUE"""),8.0)</f>
        <v>8</v>
      </c>
      <c r="J184" s="7">
        <f>IFERROR(__xludf.DUMMYFUNCTION("""COMPUTED_VALUE"""),0.01)</f>
        <v>0.01</v>
      </c>
      <c r="K184" s="7">
        <f>IFERROR(__xludf.DUMMYFUNCTION("""COMPUTED_VALUE"""),0.0)</f>
        <v>0</v>
      </c>
      <c r="L184" s="7"/>
    </row>
    <row r="185" ht="15.75" customHeight="1">
      <c r="A185" s="6" t="str">
        <f>IFERROR(__xludf.DUMMYFUNCTION("""COMPUTED_VALUE"""),"https://www.smartinc.com/news/top-10-best-ad-agency-in-australia-leading-sydney-melbourne-brisbane#:~:text=2.%20Blue%2DChip%20Client%20Portfolios%20and%20Commercial%20Impact.,simple%20aesthetics%20to%20solve%20complex%20business%20problems.")</f>
        <v>https://www.smartinc.com/news/top-10-best-ad-agency-in-australia-leading-sydney-melbourne-brisbane#:~:text=2.%20Blue%2DChip%20Client%20Portfolios%20and%20Commercial%20Impact.,simple%20aesthetics%20to%20solve%20complex%20business%20problems.</v>
      </c>
      <c r="B185" s="7" t="str">
        <f>IFERROR(__xludf.DUMMYFUNCTION("""COMPUTED_VALUE"""),"HERO Tops Best Creative Ad Agency Hot List for Australia, Across Sydney, Melbourne and Brisbane — SMART")</f>
        <v>HERO Tops Best Creative Ad Agency Hot List for Australia, Across Sydney, Melbourne and Brisbane — SMART</v>
      </c>
      <c r="C185" s="6" t="str">
        <f>IFERROR(__xludf.DUMMYFUNCTION("""COMPUTED_VALUE"""),"smartinc.com")</f>
        <v>smartinc.com</v>
      </c>
      <c r="D185" s="7" t="str">
        <f>IFERROR(__xludf.DUMMYFUNCTION("""COMPUTED_VALUE"""),"OTHER")</f>
        <v>OTHER</v>
      </c>
      <c r="E185" s="7" t="str">
        <f>IFERROR(__xludf.DUMMYFUNCTION("""COMPUTED_VALUE"""),"CORPORATE")</f>
        <v>CORPORATE</v>
      </c>
      <c r="F185" s="7" t="str">
        <f>IFERROR(__xludf.DUMMYFUNCTION("""COMPUTED_VALUE"""),"Other")</f>
        <v>Other</v>
      </c>
      <c r="G185" s="7" t="b">
        <f>IFERROR(__xludf.DUMMYFUNCTION("""COMPUTED_VALUE"""),FALSE)</f>
        <v>0</v>
      </c>
      <c r="H185" s="7" t="str">
        <f>IFERROR(__xludf.DUMMYFUNCTION("""COMPUTED_VALUE"""),"HERO, Momentum")</f>
        <v>HERO, Momentum</v>
      </c>
      <c r="I185" s="7">
        <f>IFERROR(__xludf.DUMMYFUNCTION("""COMPUTED_VALUE"""),8.0)</f>
        <v>8</v>
      </c>
      <c r="J185" s="7">
        <f>IFERROR(__xludf.DUMMYFUNCTION("""COMPUTED_VALUE"""),0.01)</f>
        <v>0.01</v>
      </c>
      <c r="K185" s="7">
        <f>IFERROR(__xludf.DUMMYFUNCTION("""COMPUTED_VALUE"""),1.5)</f>
        <v>1.5</v>
      </c>
      <c r="L185" s="7"/>
    </row>
    <row r="186" ht="15.75" customHeight="1">
      <c r="A186" s="6" t="str">
        <f>IFERROR(__xludf.DUMMYFUNCTION("""COMPUTED_VALUE"""),"https://www.sortlist.com/s/programmatic-advertising/australia-au")</f>
        <v>https://www.sortlist.com/s/programmatic-advertising/australia-au</v>
      </c>
      <c r="B186" s="7" t="str">
        <f>IFERROR(__xludf.DUMMYFUNCTION("""COMPUTED_VALUE"""),"The 10 Best Programmatic Advertising Companies in Australia - 2026 Reviews")</f>
        <v>The 10 Best Programmatic Advertising Companies in Australia - 2026 Reviews</v>
      </c>
      <c r="C186" s="6" t="str">
        <f>IFERROR(__xludf.DUMMYFUNCTION("""COMPUTED_VALUE"""),"sortlist.com")</f>
        <v>sortlist.com</v>
      </c>
      <c r="D186" s="7" t="str">
        <f>IFERROR(__xludf.DUMMYFUNCTION("""COMPUTED_VALUE"""),"CATEGORY_PAGE")</f>
        <v>CATEGORY_PAGE</v>
      </c>
      <c r="E186" s="7" t="str">
        <f>IFERROR(__xludf.DUMMYFUNCTION("""COMPUTED_VALUE"""),"CORPORATE")</f>
        <v>CORPORATE</v>
      </c>
      <c r="F186" s="7" t="str">
        <f>IFERROR(__xludf.DUMMYFUNCTION("""COMPUTED_VALUE"""),"Category Page")</f>
        <v>Category Page</v>
      </c>
      <c r="G186" s="7" t="b">
        <f>IFERROR(__xludf.DUMMYFUNCTION("""COMPUTED_VALUE"""),FALSE)</f>
        <v>0</v>
      </c>
      <c r="H186" s="7" t="str">
        <f>IFERROR(__xludf.DUMMYFUNCTION("""COMPUTED_VALUE"""),"Measured, Earned Media, Clearwater Agency, Impressive, Supple Digital, SIXGUN, Digital Nomads HQ, Soup Agency, HERO")</f>
        <v>Measured, Earned Media, Clearwater Agency, Impressive, Supple Digital, SIXGUN, Digital Nomads HQ, Soup Agency, HERO</v>
      </c>
      <c r="I186" s="7">
        <f>IFERROR(__xludf.DUMMYFUNCTION("""COMPUTED_VALUE"""),8.0)</f>
        <v>8</v>
      </c>
      <c r="J186" s="7">
        <f>IFERROR(__xludf.DUMMYFUNCTION("""COMPUTED_VALUE"""),0.01)</f>
        <v>0.01</v>
      </c>
      <c r="K186" s="7">
        <f>IFERROR(__xludf.DUMMYFUNCTION("""COMPUTED_VALUE"""),0.13)</f>
        <v>0.13</v>
      </c>
      <c r="L186" s="7"/>
    </row>
    <row r="187" ht="15.75" customHeight="1">
      <c r="A187" s="6" t="str">
        <f>IFERROR(__xludf.DUMMYFUNCTION("""COMPUTED_VALUE"""),"https://www.sortlist.com/social-media/australia-au")</f>
        <v>https://www.sortlist.com/social-media/australia-au</v>
      </c>
      <c r="B187" s="7" t="str">
        <f>IFERROR(__xludf.DUMMYFUNCTION("""COMPUTED_VALUE"""),"The 10 Best Social Media Agencies in Australia - 2026 Reviews")</f>
        <v>The 10 Best Social Media Agencies in Australia - 2026 Reviews</v>
      </c>
      <c r="C187" s="6" t="str">
        <f>IFERROR(__xludf.DUMMYFUNCTION("""COMPUTED_VALUE"""),"sortlist.com")</f>
        <v>sortlist.com</v>
      </c>
      <c r="D187" s="7" t="str">
        <f>IFERROR(__xludf.DUMMYFUNCTION("""COMPUTED_VALUE"""),"CATEGORY_PAGE")</f>
        <v>CATEGORY_PAGE</v>
      </c>
      <c r="E187" s="7" t="str">
        <f>IFERROR(__xludf.DUMMYFUNCTION("""COMPUTED_VALUE"""),"CORPORATE")</f>
        <v>CORPORATE</v>
      </c>
      <c r="F187" s="7" t="str">
        <f>IFERROR(__xludf.DUMMYFUNCTION("""COMPUTED_VALUE"""),"Category Page")</f>
        <v>Category Page</v>
      </c>
      <c r="G187" s="7" t="b">
        <f>IFERROR(__xludf.DUMMYFUNCTION("""COMPUTED_VALUE"""),FALSE)</f>
        <v>0</v>
      </c>
      <c r="H187" s="7" t="str">
        <f>IFERROR(__xludf.DUMMYFUNCTION("""COMPUTED_VALUE"""),"Measured, Earned Media, Clearwater Agency, Impressive, Supple Digital, Soup Agency, HERO, Digital Nomads HQ, SIXGUN")</f>
        <v>Measured, Earned Media, Clearwater Agency, Impressive, Supple Digital, Soup Agency, HERO, Digital Nomads HQ, SIXGUN</v>
      </c>
      <c r="I187" s="7">
        <f>IFERROR(__xludf.DUMMYFUNCTION("""COMPUTED_VALUE"""),8.0)</f>
        <v>8</v>
      </c>
      <c r="J187" s="7">
        <f>IFERROR(__xludf.DUMMYFUNCTION("""COMPUTED_VALUE"""),0.01)</f>
        <v>0.01</v>
      </c>
      <c r="K187" s="7">
        <f>IFERROR(__xludf.DUMMYFUNCTION("""COMPUTED_VALUE"""),1.0)</f>
        <v>1</v>
      </c>
      <c r="L187" s="7"/>
    </row>
    <row r="188" ht="15.75" customHeight="1">
      <c r="A188" s="6" t="str">
        <f>IFERROR(__xludf.DUMMYFUNCTION("""COMPUTED_VALUE"""),"https://www.10seos.com/au/display-advertising-companies-in-australia?page=2")</f>
        <v>https://www.10seos.com/au/display-advertising-companies-in-australia?page=2</v>
      </c>
      <c r="B188" s="7" t="str">
        <f>IFERROR(__xludf.DUMMYFUNCTION("""COMPUTED_VALUE"""),"Top 10 Display Advertising Companies For Best Services-Australia | July 2026")</f>
        <v>Top 10 Display Advertising Companies For Best Services-Australia | July 2026</v>
      </c>
      <c r="C188" s="6" t="str">
        <f>IFERROR(__xludf.DUMMYFUNCTION("""COMPUTED_VALUE"""),"10seos.com")</f>
        <v>10seos.com</v>
      </c>
      <c r="D188" s="7" t="str">
        <f>IFERROR(__xludf.DUMMYFUNCTION("""COMPUTED_VALUE"""),"OTHER")</f>
        <v>OTHER</v>
      </c>
      <c r="E188" s="7" t="str">
        <f>IFERROR(__xludf.DUMMYFUNCTION("""COMPUTED_VALUE"""),"REFERENCE")</f>
        <v>REFERENCE</v>
      </c>
      <c r="F188" s="7" t="str">
        <f>IFERROR(__xludf.DUMMYFUNCTION("""COMPUTED_VALUE"""),"Other")</f>
        <v>Other</v>
      </c>
      <c r="G188" s="7" t="b">
        <f>IFERROR(__xludf.DUMMYFUNCTION("""COMPUTED_VALUE"""),FALSE)</f>
        <v>0</v>
      </c>
      <c r="H188" s="7"/>
      <c r="I188" s="7">
        <f>IFERROR(__xludf.DUMMYFUNCTION("""COMPUTED_VALUE"""),7.0)</f>
        <v>7</v>
      </c>
      <c r="J188" s="7">
        <f>IFERROR(__xludf.DUMMYFUNCTION("""COMPUTED_VALUE"""),0.01)</f>
        <v>0.01</v>
      </c>
      <c r="K188" s="7">
        <f>IFERROR(__xludf.DUMMYFUNCTION("""COMPUTED_VALUE"""),0.0)</f>
        <v>0</v>
      </c>
      <c r="L188" s="7"/>
    </row>
    <row r="189" ht="15.75" customHeight="1">
      <c r="A189" s="6" t="str">
        <f>IFERROR(__xludf.DUMMYFUNCTION("""COMPUTED_VALUE"""),"https://agencies.semrush.com/list/ai-optimization/australia/")</f>
        <v>https://agencies.semrush.com/list/ai-optimization/australia/</v>
      </c>
      <c r="B189" s="7" t="str">
        <f>IFERROR(__xludf.DUMMYFUNCTION("""COMPUTED_VALUE"""),"Best AI Search Optimization Agencies in Australia 2026 | Semrush")</f>
        <v>Best AI Search Optimization Agencies in Australia 2026 | Semrush</v>
      </c>
      <c r="C189" s="6" t="str">
        <f>IFERROR(__xludf.DUMMYFUNCTION("""COMPUTED_VALUE"""),"semrush.com")</f>
        <v>semrush.com</v>
      </c>
      <c r="D189" s="7" t="str">
        <f>IFERROR(__xludf.DUMMYFUNCTION("""COMPUTED_VALUE"""),"PROFILE")</f>
        <v>PROFILE</v>
      </c>
      <c r="E189" s="7" t="str">
        <f>IFERROR(__xludf.DUMMYFUNCTION("""COMPUTED_VALUE"""),"CORPORATE")</f>
        <v>CORPORATE</v>
      </c>
      <c r="F189" s="7" t="str">
        <f>IFERROR(__xludf.DUMMYFUNCTION("""COMPUTED_VALUE"""),"Profile")</f>
        <v>Profile</v>
      </c>
      <c r="G189" s="7" t="b">
        <f>IFERROR(__xludf.DUMMYFUNCTION("""COMPUTED_VALUE"""),FALSE)</f>
        <v>0</v>
      </c>
      <c r="H189" s="7"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189" s="7">
        <f>IFERROR(__xludf.DUMMYFUNCTION("""COMPUTED_VALUE"""),7.0)</f>
        <v>7</v>
      </c>
      <c r="J189" s="7">
        <f>IFERROR(__xludf.DUMMYFUNCTION("""COMPUTED_VALUE"""),0.01)</f>
        <v>0.01</v>
      </c>
      <c r="K189" s="7">
        <f>IFERROR(__xludf.DUMMYFUNCTION("""COMPUTED_VALUE"""),2.43)</f>
        <v>2.43</v>
      </c>
      <c r="L189" s="7"/>
    </row>
    <row r="190" ht="15.75" customHeight="1">
      <c r="A190" s="6" t="str">
        <f>IFERROR(__xludf.DUMMYFUNCTION("""COMPUTED_VALUE"""),"https://agencies.semrush.com/list/display-advertising/arts-entertainment/australia/")</f>
        <v>https://agencies.semrush.com/list/display-advertising/arts-entertainment/australia/</v>
      </c>
      <c r="B190" s="7" t="str">
        <f>IFERROR(__xludf.DUMMYFUNCTION("""COMPUTED_VALUE"""),"Best Media &amp;amp; Entertainment Display Ads Agencies in Australia 2026 | Semrush")</f>
        <v>Best Media &amp;amp; Entertainment Display Ads Agencies in Australia 2026 | Semrush</v>
      </c>
      <c r="C190" s="6" t="str">
        <f>IFERROR(__xludf.DUMMYFUNCTION("""COMPUTED_VALUE"""),"semrush.com")</f>
        <v>semrush.com</v>
      </c>
      <c r="D190" s="7" t="str">
        <f>IFERROR(__xludf.DUMMYFUNCTION("""COMPUTED_VALUE"""),"CATEGORY_PAGE")</f>
        <v>CATEGORY_PAGE</v>
      </c>
      <c r="E190" s="7" t="str">
        <f>IFERROR(__xludf.DUMMYFUNCTION("""COMPUTED_VALUE"""),"CORPORATE")</f>
        <v>CORPORATE</v>
      </c>
      <c r="F190" s="7" t="str">
        <f>IFERROR(__xludf.DUMMYFUNCTION("""COMPUTED_VALUE"""),"Category Page")</f>
        <v>Category Page</v>
      </c>
      <c r="G190" s="7" t="b">
        <f>IFERROR(__xludf.DUMMYFUNCTION("""COMPUTED_VALUE"""),FALSE)</f>
        <v>0</v>
      </c>
      <c r="H190" s="7" t="str">
        <f>IFERROR(__xludf.DUMMYFUNCTION("""COMPUTED_VALUE"""),"Soup Agency, First Page, Online Marketing Gurus, Omnicom Media Group, 80/20 Digital, Measured")</f>
        <v>Soup Agency, First Page, Online Marketing Gurus, Omnicom Media Group, 80/20 Digital, Measured</v>
      </c>
      <c r="I190" s="7">
        <f>IFERROR(__xludf.DUMMYFUNCTION("""COMPUTED_VALUE"""),7.0)</f>
        <v>7</v>
      </c>
      <c r="J190" s="7">
        <f>IFERROR(__xludf.DUMMYFUNCTION("""COMPUTED_VALUE"""),0.01)</f>
        <v>0.01</v>
      </c>
      <c r="K190" s="7">
        <f>IFERROR(__xludf.DUMMYFUNCTION("""COMPUTED_VALUE"""),0.0)</f>
        <v>0</v>
      </c>
      <c r="L190" s="7"/>
    </row>
    <row r="191" ht="15.75" customHeight="1">
      <c r="A191" s="6" t="str">
        <f>IFERROR(__xludf.DUMMYFUNCTION("""COMPUTED_VALUE"""),"https://www.bbe.io/top-10-best-advertising-agency-leaders-australia-2025-sydney-melbourne-brisbane")</f>
        <v>https://www.bbe.io/top-10-best-advertising-agency-leaders-australia-2025-sydney-melbourne-brisbane</v>
      </c>
      <c r="B191" s="7" t="str">
        <f>IFERROR(__xludf.DUMMYFUNCTION("""COMPUTED_VALUE"""),"The BBE Best: The Best Creative Leaders of the Top Advertising Agencies in Australia")</f>
        <v>The BBE Best: The Best Creative Leaders of the Top Advertising Agencies in Australia</v>
      </c>
      <c r="C191" s="6" t="str">
        <f>IFERROR(__xludf.DUMMYFUNCTION("""COMPUTED_VALUE"""),"bbe.io")</f>
        <v>bbe.io</v>
      </c>
      <c r="D191" s="7" t="str">
        <f>IFERROR(__xludf.DUMMYFUNCTION("""COMPUTED_VALUE"""),"LISTICLE")</f>
        <v>LISTICLE</v>
      </c>
      <c r="E191" s="7" t="str">
        <f>IFERROR(__xludf.DUMMYFUNCTION("""COMPUTED_VALUE"""),"CORPORATE")</f>
        <v>CORPORATE</v>
      </c>
      <c r="F191" s="7" t="str">
        <f>IFERROR(__xludf.DUMMYFUNCTION("""COMPUTED_VALUE"""),"Listicle")</f>
        <v>Listicle</v>
      </c>
      <c r="G191" s="7" t="b">
        <f>IFERROR(__xludf.DUMMYFUNCTION("""COMPUTED_VALUE"""),FALSE)</f>
        <v>0</v>
      </c>
      <c r="H191" s="7" t="str">
        <f>IFERROR(__xludf.DUMMYFUNCTION("""COMPUTED_VALUE"""),"HERO, VML")</f>
        <v>HERO, VML</v>
      </c>
      <c r="I191" s="7">
        <f>IFERROR(__xludf.DUMMYFUNCTION("""COMPUTED_VALUE"""),7.0)</f>
        <v>7</v>
      </c>
      <c r="J191" s="7">
        <f>IFERROR(__xludf.DUMMYFUNCTION("""COMPUTED_VALUE"""),0.01)</f>
        <v>0.01</v>
      </c>
      <c r="K191" s="7">
        <f>IFERROR(__xludf.DUMMYFUNCTION("""COMPUTED_VALUE"""),0.0)</f>
        <v>0</v>
      </c>
      <c r="L191" s="7"/>
    </row>
    <row r="192" ht="15.75" customHeight="1">
      <c r="A192" s="6" t="str">
        <f>IFERROR(__xludf.DUMMYFUNCTION("""COMPUTED_VALUE"""),"https://www.bushnote.com/articles/best-10-aeo-agencies-in-australia-to-promote-b2b-saas-companies-in-2026")</f>
        <v>https://www.bushnote.com/articles/best-10-aeo-agencies-in-australia-to-promote-b2b-saas-companies-in-2026</v>
      </c>
      <c r="B192" s="7" t="str">
        <f>IFERROR(__xludf.DUMMYFUNCTION("""COMPUTED_VALUE"""),"Best 10 AEO Agencies in Australia for B2B SaaS in 2026")</f>
        <v>Best 10 AEO Agencies in Australia for B2B SaaS in 2026</v>
      </c>
      <c r="C192" s="6" t="str">
        <f>IFERROR(__xludf.DUMMYFUNCTION("""COMPUTED_VALUE"""),"bushnote.com")</f>
        <v>bushnote.com</v>
      </c>
      <c r="D192" s="7" t="str">
        <f>IFERROR(__xludf.DUMMYFUNCTION("""COMPUTED_VALUE"""),"LISTICLE")</f>
        <v>LISTICLE</v>
      </c>
      <c r="E192" s="7" t="str">
        <f>IFERROR(__xludf.DUMMYFUNCTION("""COMPUTED_VALUE"""),"COMPETITOR")</f>
        <v>COMPETITOR</v>
      </c>
      <c r="F192" s="7" t="str">
        <f>IFERROR(__xludf.DUMMYFUNCTION("""COMPUTED_VALUE"""),"Listicle")</f>
        <v>Listicle</v>
      </c>
      <c r="G192" s="7" t="b">
        <f>IFERROR(__xludf.DUMMYFUNCTION("""COMPUTED_VALUE"""),FALSE)</f>
        <v>0</v>
      </c>
      <c r="H192" s="7" t="str">
        <f>IFERROR(__xludf.DUMMYFUNCTION("""COMPUTED_VALUE"""),"Bushnote, Webprofits, StudioHawk, Prosperity Media, Impressive, Luminary, Salt &amp; Fuessel")</f>
        <v>Bushnote, Webprofits, StudioHawk, Prosperity Media, Impressive, Luminary, Salt &amp; Fuessel</v>
      </c>
      <c r="I192" s="7">
        <f>IFERROR(__xludf.DUMMYFUNCTION("""COMPUTED_VALUE"""),7.0)</f>
        <v>7</v>
      </c>
      <c r="J192" s="7">
        <f>IFERROR(__xludf.DUMMYFUNCTION("""COMPUTED_VALUE"""),0.01)</f>
        <v>0.01</v>
      </c>
      <c r="K192" s="7">
        <f>IFERROR(__xludf.DUMMYFUNCTION("""COMPUTED_VALUE"""),0.29)</f>
        <v>0.29</v>
      </c>
      <c r="L192" s="7"/>
    </row>
    <row r="193" ht="15.75" customHeight="1">
      <c r="A193" s="6" t="str">
        <f>IFERROR(__xludf.DUMMYFUNCTION("""COMPUTED_VALUE"""),"https://clutch.co/agencies/performance-marketing")</f>
        <v>https://clutch.co/agencies/performance-marketing</v>
      </c>
      <c r="B193" s="7" t="str">
        <f>IFERROR(__xludf.DUMMYFUNCTION("""COMPUTED_VALUE"""),"Top Performance Marketing Agencies - Jul 2026 Rankings | Clutch.co")</f>
        <v>Top Performance Marketing Agencies - Jul 2026 Rankings | Clutch.co</v>
      </c>
      <c r="C193" s="6" t="str">
        <f>IFERROR(__xludf.DUMMYFUNCTION("""COMPUTED_VALUE"""),"clutch.co")</f>
        <v>clutch.co</v>
      </c>
      <c r="D193" s="7" t="str">
        <f>IFERROR(__xludf.DUMMYFUNCTION("""COMPUTED_VALUE"""),"CATEGORY_PAGE")</f>
        <v>CATEGORY_PAGE</v>
      </c>
      <c r="E193" s="7" t="str">
        <f>IFERROR(__xludf.DUMMYFUNCTION("""COMPUTED_VALUE"""),"CORPORATE")</f>
        <v>CORPORATE</v>
      </c>
      <c r="F193" s="7" t="str">
        <f>IFERROR(__xludf.DUMMYFUNCTION("""COMPUTED_VALUE"""),"Category Page")</f>
        <v>Category Page</v>
      </c>
      <c r="G193" s="7" t="b">
        <f>IFERROR(__xludf.DUMMYFUNCTION("""COMPUTED_VALUE"""),FALSE)</f>
        <v>0</v>
      </c>
      <c r="H193" s="7" t="str">
        <f>IFERROR(__xludf.DUMMYFUNCTION("""COMPUTED_VALUE"""),"Impressive, Momentum, Edge Marketing")</f>
        <v>Impressive, Momentum, Edge Marketing</v>
      </c>
      <c r="I193" s="7">
        <f>IFERROR(__xludf.DUMMYFUNCTION("""COMPUTED_VALUE"""),7.0)</f>
        <v>7</v>
      </c>
      <c r="J193" s="7">
        <f>IFERROR(__xludf.DUMMYFUNCTION("""COMPUTED_VALUE"""),0.01)</f>
        <v>0.01</v>
      </c>
      <c r="K193" s="7">
        <f>IFERROR(__xludf.DUMMYFUNCTION("""COMPUTED_VALUE"""),0.0)</f>
        <v>0</v>
      </c>
      <c r="L193" s="7"/>
    </row>
    <row r="194" ht="15.75" customHeight="1">
      <c r="A194" s="6" t="str">
        <f>IFERROR(__xludf.DUMMYFUNCTION("""COMPUTED_VALUE"""),"https://digitalagencynetwork.com/agencies/sydney/ai-marketing/")</f>
        <v>https://digitalagencynetwork.com/agencies/sydney/ai-marketing/</v>
      </c>
      <c r="B194" s="7" t="str">
        <f>IFERROR(__xludf.DUMMYFUNCTION("""COMPUTED_VALUE"""),"Top AI Marketing Agencies in Sydney (2026)")</f>
        <v>Top AI Marketing Agencies in Sydney (2026)</v>
      </c>
      <c r="C194" s="6" t="str">
        <f>IFERROR(__xludf.DUMMYFUNCTION("""COMPUTED_VALUE"""),"digitalagencynetwork.com")</f>
        <v>digitalagencynetwork.com</v>
      </c>
      <c r="D194" s="7" t="str">
        <f>IFERROR(__xludf.DUMMYFUNCTION("""COMPUTED_VALUE"""),"PROFILE")</f>
        <v>PROFILE</v>
      </c>
      <c r="E194" s="7" t="str">
        <f>IFERROR(__xludf.DUMMYFUNCTION("""COMPUTED_VALUE"""),"REFERENCE")</f>
        <v>REFERENCE</v>
      </c>
      <c r="F194" s="7" t="str">
        <f>IFERROR(__xludf.DUMMYFUNCTION("""COMPUTED_VALUE"""),"Profile")</f>
        <v>Profile</v>
      </c>
      <c r="G194" s="7" t="b">
        <f>IFERROR(__xludf.DUMMYFUNCTION("""COMPUTED_VALUE"""),FALSE)</f>
        <v>0</v>
      </c>
      <c r="H194" s="7" t="str">
        <f>IFERROR(__xludf.DUMMYFUNCTION("""COMPUTED_VALUE"""),"Luminary, In Marketing We Trust, Soup Agency")</f>
        <v>Luminary, In Marketing We Trust, Soup Agency</v>
      </c>
      <c r="I194" s="7">
        <f>IFERROR(__xludf.DUMMYFUNCTION("""COMPUTED_VALUE"""),7.0)</f>
        <v>7</v>
      </c>
      <c r="J194" s="7">
        <f>IFERROR(__xludf.DUMMYFUNCTION("""COMPUTED_VALUE"""),0.01)</f>
        <v>0.01</v>
      </c>
      <c r="K194" s="7">
        <f>IFERROR(__xludf.DUMMYFUNCTION("""COMPUTED_VALUE"""),0.86)</f>
        <v>0.86</v>
      </c>
      <c r="L194" s="7"/>
    </row>
    <row r="195" ht="15.75" customHeight="1">
      <c r="A195" s="6" t="str">
        <f>IFERROR(__xludf.DUMMYFUNCTION("""COMPUTED_VALUE"""),"https://influencermarketinghub.com/social-media-marketing-agencies-australia/")</f>
        <v>https://influencermarketinghub.com/social-media-marketing-agencies-australia/</v>
      </c>
      <c r="B195" s="7" t="str">
        <f>IFERROR(__xludf.DUMMYFUNCTION("""COMPUTED_VALUE"""),"Top 13 Social Media Marketing Agencies in Australia")</f>
        <v>Top 13 Social Media Marketing Agencies in Australia</v>
      </c>
      <c r="C195" s="6" t="str">
        <f>IFERROR(__xludf.DUMMYFUNCTION("""COMPUTED_VALUE"""),"influencermarketinghub.com")</f>
        <v>influencermarketinghub.com</v>
      </c>
      <c r="D195" s="7" t="str">
        <f>IFERROR(__xludf.DUMMYFUNCTION("""COMPUTED_VALUE"""),"LISTICLE")</f>
        <v>LISTICLE</v>
      </c>
      <c r="E195" s="7" t="str">
        <f>IFERROR(__xludf.DUMMYFUNCTION("""COMPUTED_VALUE"""),"REFERENCE")</f>
        <v>REFERENCE</v>
      </c>
      <c r="F195" s="7" t="str">
        <f>IFERROR(__xludf.DUMMYFUNCTION("""COMPUTED_VALUE"""),"Listicle")</f>
        <v>Listicle</v>
      </c>
      <c r="G195" s="7" t="b">
        <f>IFERROR(__xludf.DUMMYFUNCTION("""COMPUTED_VALUE"""),FALSE)</f>
        <v>0</v>
      </c>
      <c r="H195" s="7" t="str">
        <f>IFERROR(__xludf.DUMMYFUNCTION("""COMPUTED_VALUE"""),"Megaphone, Farsiight, Emote Digital, Sparro")</f>
        <v>Megaphone, Farsiight, Emote Digital, Sparro</v>
      </c>
      <c r="I195" s="7">
        <f>IFERROR(__xludf.DUMMYFUNCTION("""COMPUTED_VALUE"""),7.0)</f>
        <v>7</v>
      </c>
      <c r="J195" s="7">
        <f>IFERROR(__xludf.DUMMYFUNCTION("""COMPUTED_VALUE"""),0.01)</f>
        <v>0.01</v>
      </c>
      <c r="K195" s="7">
        <f>IFERROR(__xludf.DUMMYFUNCTION("""COMPUTED_VALUE"""),2.14)</f>
        <v>2.14</v>
      </c>
      <c r="L195" s="7"/>
    </row>
    <row r="196" ht="15.75" customHeight="1">
      <c r="A196" s="6" t="str">
        <f>IFERROR(__xludf.DUMMYFUNCTION("""COMPUTED_VALUE"""),"https://www.latentview.com/glossary/incrementality-testing/")</f>
        <v>https://www.latentview.com/glossary/incrementality-testing/</v>
      </c>
      <c r="B196" s="7" t="str">
        <f>IFERROR(__xludf.DUMMYFUNCTION("""COMPUTED_VALUE"""),"What Is Incrementality Testing? Purpose, Best Practices &amp;amp; Frameworks")</f>
        <v>What Is Incrementality Testing? Purpose, Best Practices &amp;amp; Frameworks</v>
      </c>
      <c r="C196" s="6" t="str">
        <f>IFERROR(__xludf.DUMMYFUNCTION("""COMPUTED_VALUE"""),"latentview.com")</f>
        <v>latentview.com</v>
      </c>
      <c r="D196" s="7" t="str">
        <f>IFERROR(__xludf.DUMMYFUNCTION("""COMPUTED_VALUE"""),"HOW_TO_GUIDE")</f>
        <v>HOW_TO_GUIDE</v>
      </c>
      <c r="E196" s="7" t="str">
        <f>IFERROR(__xludf.DUMMYFUNCTION("""COMPUTED_VALUE"""),"CORPORATE")</f>
        <v>CORPORATE</v>
      </c>
      <c r="F196" s="7" t="str">
        <f>IFERROR(__xludf.DUMMYFUNCTION("""COMPUTED_VALUE"""),"How-To Guide")</f>
        <v>How-To Guide</v>
      </c>
      <c r="G196" s="7" t="b">
        <f>IFERROR(__xludf.DUMMYFUNCTION("""COMPUTED_VALUE"""),FALSE)</f>
        <v>0</v>
      </c>
      <c r="H196" s="7" t="str">
        <f>IFERROR(__xludf.DUMMYFUNCTION("""COMPUTED_VALUE"""),"Measured, Haus")</f>
        <v>Measured, Haus</v>
      </c>
      <c r="I196" s="7">
        <f>IFERROR(__xludf.DUMMYFUNCTION("""COMPUTED_VALUE"""),7.0)</f>
        <v>7</v>
      </c>
      <c r="J196" s="7">
        <f>IFERROR(__xludf.DUMMYFUNCTION("""COMPUTED_VALUE"""),0.01)</f>
        <v>0.01</v>
      </c>
      <c r="K196" s="7">
        <f>IFERROR(__xludf.DUMMYFUNCTION("""COMPUTED_VALUE"""),1.43)</f>
        <v>1.43</v>
      </c>
      <c r="L196" s="7"/>
    </row>
    <row r="197" ht="15.75" customHeight="1">
      <c r="A197" s="6" t="str">
        <f>IFERROR(__xludf.DUMMYFUNCTION("""COMPUTED_VALUE"""),"https://www.mayple.com/resources/googleadvertising/google-ads-agencies-australia")</f>
        <v>https://www.mayple.com/resources/googleadvertising/google-ads-agencies-australia</v>
      </c>
      <c r="B197" s="7" t="str">
        <f>IFERROR(__xludf.DUMMYFUNCTION("""COMPUTED_VALUE"""),"5 Best Google Ads Agencies in Australia for Local...")</f>
        <v>5 Best Google Ads Agencies in Australia for Local...</v>
      </c>
      <c r="C197" s="6" t="str">
        <f>IFERROR(__xludf.DUMMYFUNCTION("""COMPUTED_VALUE"""),"mayple.com")</f>
        <v>mayple.com</v>
      </c>
      <c r="D197" s="7" t="str">
        <f>IFERROR(__xludf.DUMMYFUNCTION("""COMPUTED_VALUE"""),"LISTICLE")</f>
        <v>LISTICLE</v>
      </c>
      <c r="E197" s="7" t="str">
        <f>IFERROR(__xludf.DUMMYFUNCTION("""COMPUTED_VALUE"""),"CORPORATE")</f>
        <v>CORPORATE</v>
      </c>
      <c r="F197" s="7" t="str">
        <f>IFERROR(__xludf.DUMMYFUNCTION("""COMPUTED_VALUE"""),"Listicle")</f>
        <v>Listicle</v>
      </c>
      <c r="G197" s="7" t="b">
        <f>IFERROR(__xludf.DUMMYFUNCTION("""COMPUTED_VALUE"""),FALSE)</f>
        <v>0</v>
      </c>
      <c r="H197" s="7" t="str">
        <f>IFERROR(__xludf.DUMMYFUNCTION("""COMPUTED_VALUE"""),"Impressive")</f>
        <v>Impressive</v>
      </c>
      <c r="I197" s="7">
        <f>IFERROR(__xludf.DUMMYFUNCTION("""COMPUTED_VALUE"""),7.0)</f>
        <v>7</v>
      </c>
      <c r="J197" s="7">
        <f>IFERROR(__xludf.DUMMYFUNCTION("""COMPUTED_VALUE"""),0.01)</f>
        <v>0.01</v>
      </c>
      <c r="K197" s="7">
        <f>IFERROR(__xludf.DUMMYFUNCTION("""COMPUTED_VALUE"""),0.29)</f>
        <v>0.29</v>
      </c>
      <c r="L197" s="7"/>
    </row>
    <row r="198" ht="15.75" customHeight="1">
      <c r="A198" s="6" t="str">
        <f>IFERROR(__xludf.DUMMYFUNCTION("""COMPUTED_VALUE"""),"https://onelittleweb.com/top-agencies/top-performance-marketing-agencies/")</f>
        <v>https://onelittleweb.com/top-agencies/top-performance-marketing-agencies/</v>
      </c>
      <c r="B198" s="7" t="str">
        <f>IFERROR(__xludf.DUMMYFUNCTION("""COMPUTED_VALUE"""),"Top Performance Marketing Agencies 2026 – Ranked &amp;amp; Reviewed")</f>
        <v>Top Performance Marketing Agencies 2026 – Ranked &amp;amp; Reviewed</v>
      </c>
      <c r="C198" s="6" t="str">
        <f>IFERROR(__xludf.DUMMYFUNCTION("""COMPUTED_VALUE"""),"onelittleweb.com")</f>
        <v>onelittleweb.com</v>
      </c>
      <c r="D198" s="7" t="str">
        <f>IFERROR(__xludf.DUMMYFUNCTION("""COMPUTED_VALUE"""),"LISTICLE")</f>
        <v>LISTICLE</v>
      </c>
      <c r="E198" s="7" t="str">
        <f>IFERROR(__xludf.DUMMYFUNCTION("""COMPUTED_VALUE"""),"CORPORATE")</f>
        <v>CORPORATE</v>
      </c>
      <c r="F198" s="7" t="str">
        <f>IFERROR(__xludf.DUMMYFUNCTION("""COMPUTED_VALUE"""),"Listicle")</f>
        <v>Listicle</v>
      </c>
      <c r="G198" s="7" t="b">
        <f>IFERROR(__xludf.DUMMYFUNCTION("""COMPUTED_VALUE"""),FALSE)</f>
        <v>0</v>
      </c>
      <c r="H198" s="7" t="str">
        <f>IFERROR(__xludf.DUMMYFUNCTION("""COMPUTED_VALUE"""),"Supple Digital")</f>
        <v>Supple Digital</v>
      </c>
      <c r="I198" s="7">
        <f>IFERROR(__xludf.DUMMYFUNCTION("""COMPUTED_VALUE"""),7.0)</f>
        <v>7</v>
      </c>
      <c r="J198" s="7">
        <f>IFERROR(__xludf.DUMMYFUNCTION("""COMPUTED_VALUE"""),0.01)</f>
        <v>0.01</v>
      </c>
      <c r="K198" s="7">
        <f>IFERROR(__xludf.DUMMYFUNCTION("""COMPUTED_VALUE"""),0.0)</f>
        <v>0</v>
      </c>
      <c r="L198" s="7"/>
    </row>
    <row r="199" ht="15.75" customHeight="1">
      <c r="A199" s="6" t="str">
        <f>IFERROR(__xludf.DUMMYFUNCTION("""COMPUTED_VALUE"""),"https://www.sortlist.com/digital-marketing/australia-au")</f>
        <v>https://www.sortlist.com/digital-marketing/australia-au</v>
      </c>
      <c r="B199" s="7" t="str">
        <f>IFERROR(__xludf.DUMMYFUNCTION("""COMPUTED_VALUE"""),"The 10 Best Digital Marketing Agencies in Australia - 2026 Reviews")</f>
        <v>The 10 Best Digital Marketing Agencies in Australia - 2026 Reviews</v>
      </c>
      <c r="C199" s="6" t="str">
        <f>IFERROR(__xludf.DUMMYFUNCTION("""COMPUTED_VALUE"""),"sortlist.com")</f>
        <v>sortlist.com</v>
      </c>
      <c r="D199" s="7" t="str">
        <f>IFERROR(__xludf.DUMMYFUNCTION("""COMPUTED_VALUE"""),"CATEGORY_PAGE")</f>
        <v>CATEGORY_PAGE</v>
      </c>
      <c r="E199" s="7" t="str">
        <f>IFERROR(__xludf.DUMMYFUNCTION("""COMPUTED_VALUE"""),"CORPORATE")</f>
        <v>CORPORATE</v>
      </c>
      <c r="F199" s="7" t="str">
        <f>IFERROR(__xludf.DUMMYFUNCTION("""COMPUTED_VALUE"""),"Category Page")</f>
        <v>Category Page</v>
      </c>
      <c r="G199" s="7" t="b">
        <f>IFERROR(__xludf.DUMMYFUNCTION("""COMPUTED_VALUE"""),FALSE)</f>
        <v>0</v>
      </c>
      <c r="H199" s="7" t="str">
        <f>IFERROR(__xludf.DUMMYFUNCTION("""COMPUTED_VALUE"""),"Measured, Earned Media, Clearwater Agency, Impressive, Supple Digital, Digital Nomads HQ, Soup Agency, HERO, Momentum")</f>
        <v>Measured, Earned Media, Clearwater Agency, Impressive, Supple Digital, Digital Nomads HQ, Soup Agency, HERO, Momentum</v>
      </c>
      <c r="I199" s="7">
        <f>IFERROR(__xludf.DUMMYFUNCTION("""COMPUTED_VALUE"""),7.0)</f>
        <v>7</v>
      </c>
      <c r="J199" s="7">
        <f>IFERROR(__xludf.DUMMYFUNCTION("""COMPUTED_VALUE"""),0.01)</f>
        <v>0.01</v>
      </c>
      <c r="K199" s="7">
        <f>IFERROR(__xludf.DUMMYFUNCTION("""COMPUTED_VALUE"""),0.0)</f>
        <v>0</v>
      </c>
      <c r="L199" s="7"/>
    </row>
    <row r="200" ht="15.75" customHeight="1">
      <c r="A200" s="6" t="str">
        <f>IFERROR(__xludf.DUMMYFUNCTION("""COMPUTED_VALUE"""),"https://www.sortlist.com/l/australia-au")</f>
        <v>https://www.sortlist.com/l/australia-au</v>
      </c>
      <c r="B200" s="7" t="str">
        <f>IFERROR(__xludf.DUMMYFUNCTION("""COMPUTED_VALUE"""),"The 10 Best Marketing Agencies in Australia - 2026 Reviews")</f>
        <v>The 10 Best Marketing Agencies in Australia - 2026 Reviews</v>
      </c>
      <c r="C200" s="6" t="str">
        <f>IFERROR(__xludf.DUMMYFUNCTION("""COMPUTED_VALUE"""),"sortlist.com")</f>
        <v>sortlist.com</v>
      </c>
      <c r="D200" s="7" t="str">
        <f>IFERROR(__xludf.DUMMYFUNCTION("""COMPUTED_VALUE"""),"PROFILE")</f>
        <v>PROFILE</v>
      </c>
      <c r="E200" s="7" t="str">
        <f>IFERROR(__xludf.DUMMYFUNCTION("""COMPUTED_VALUE"""),"CORPORATE")</f>
        <v>CORPORATE</v>
      </c>
      <c r="F200" s="7" t="str">
        <f>IFERROR(__xludf.DUMMYFUNCTION("""COMPUTED_VALUE"""),"Profile")</f>
        <v>Profile</v>
      </c>
      <c r="G200" s="7" t="b">
        <f>IFERROR(__xludf.DUMMYFUNCTION("""COMPUTED_VALUE"""),FALSE)</f>
        <v>0</v>
      </c>
      <c r="H200" s="7" t="str">
        <f>IFERROR(__xludf.DUMMYFUNCTION("""COMPUTED_VALUE"""),"Measured, Earned Media, Clearwater Agency, Digital Nomads HQ, Soup Agency, HERO, Impressive, Supple Digital")</f>
        <v>Measured, Earned Media, Clearwater Agency, Digital Nomads HQ, Soup Agency, HERO, Impressive, Supple Digital</v>
      </c>
      <c r="I200" s="7">
        <f>IFERROR(__xludf.DUMMYFUNCTION("""COMPUTED_VALUE"""),7.0)</f>
        <v>7</v>
      </c>
      <c r="J200" s="7">
        <f>IFERROR(__xludf.DUMMYFUNCTION("""COMPUTED_VALUE"""),0.01)</f>
        <v>0.01</v>
      </c>
      <c r="K200" s="7">
        <f>IFERROR(__xludf.DUMMYFUNCTION("""COMPUTED_VALUE"""),0.86)</f>
        <v>0.86</v>
      </c>
      <c r="L200" s="7"/>
    </row>
    <row r="201" ht="15.75" customHeight="1">
      <c r="A201" s="6" t="str">
        <f>IFERROR(__xludf.DUMMYFUNCTION("""COMPUTED_VALUE"""),"https://talonsmarketing.com.au/10-best-chatgpt-optimisation-agencies-australia/")</f>
        <v>https://talonsmarketing.com.au/10-best-chatgpt-optimisation-agencies-australia/</v>
      </c>
      <c r="B201" s="7" t="str">
        <f>IFERROR(__xludf.DUMMYFUNCTION("""COMPUTED_VALUE"""),"10 Best ChatGPT Optimisation Agencies in Australia (2026) - Talons Marketing")</f>
        <v>10 Best ChatGPT Optimisation Agencies in Australia (2026) - Talons Marketing</v>
      </c>
      <c r="C201" s="6" t="str">
        <f>IFERROR(__xludf.DUMMYFUNCTION("""COMPUTED_VALUE"""),"talonsmarketing.com.au")</f>
        <v>talonsmarketing.com.au</v>
      </c>
      <c r="D201" s="7" t="str">
        <f>IFERROR(__xludf.DUMMYFUNCTION("""COMPUTED_VALUE"""),"LISTICLE")</f>
        <v>LISTICLE</v>
      </c>
      <c r="E201" s="7" t="str">
        <f>IFERROR(__xludf.DUMMYFUNCTION("""COMPUTED_VALUE"""),"COMPETITOR")</f>
        <v>COMPETITOR</v>
      </c>
      <c r="F201" s="7" t="str">
        <f>IFERROR(__xludf.DUMMYFUNCTION("""COMPUTED_VALUE"""),"Listicle")</f>
        <v>Listicle</v>
      </c>
      <c r="G201" s="7" t="b">
        <f>IFERROR(__xludf.DUMMYFUNCTION("""COMPUTED_VALUE"""),FALSE)</f>
        <v>0</v>
      </c>
      <c r="H201" s="7" t="str">
        <f>IFERROR(__xludf.DUMMYFUNCTION("""COMPUTED_VALUE"""),"Talons Marketing, StudioHawk, Intesols, Online Marketing Gurus, Alley Group, Huge, Measured")</f>
        <v>Talons Marketing, StudioHawk, Intesols, Online Marketing Gurus, Alley Group, Huge, Measured</v>
      </c>
      <c r="I201" s="7">
        <f>IFERROR(__xludf.DUMMYFUNCTION("""COMPUTED_VALUE"""),7.0)</f>
        <v>7</v>
      </c>
      <c r="J201" s="7">
        <f>IFERROR(__xludf.DUMMYFUNCTION("""COMPUTED_VALUE"""),0.01)</f>
        <v>0.01</v>
      </c>
      <c r="K201" s="7">
        <f>IFERROR(__xludf.DUMMYFUNCTION("""COMPUTED_VALUE"""),1.14)</f>
        <v>1.14</v>
      </c>
      <c r="L201" s="7"/>
    </row>
    <row r="202" ht="15.75" customHeight="1">
      <c r="A202" s="6" t="str">
        <f>IFERROR(__xludf.DUMMYFUNCTION("""COMPUTED_VALUE"""),"https://www.thehero.co/news")</f>
        <v>https://www.thehero.co/news</v>
      </c>
      <c r="B202" s="7" t="str">
        <f>IFERROR(__xludf.DUMMYFUNCTION("""COMPUTED_VALUE"""),"The Best of Australia’s Top-Ranked Creative Advertising &amp;amp; Marketing Performance Agency | HERO News")</f>
        <v>The Best of Australia’s Top-Ranked Creative Advertising &amp;amp; Marketing Performance Agency | HERO News</v>
      </c>
      <c r="C202" s="6" t="str">
        <f>IFERROR(__xludf.DUMMYFUNCTION("""COMPUTED_VALUE"""),"thehero.co")</f>
        <v>thehero.co</v>
      </c>
      <c r="D202" s="7" t="str">
        <f>IFERROR(__xludf.DUMMYFUNCTION("""COMPUTED_VALUE"""),"CATEGORY_PAGE")</f>
        <v>CATEGORY_PAGE</v>
      </c>
      <c r="E202" s="7" t="str">
        <f>IFERROR(__xludf.DUMMYFUNCTION("""COMPUTED_VALUE"""),"CORPORATE")</f>
        <v>CORPORATE</v>
      </c>
      <c r="F202" s="7" t="str">
        <f>IFERROR(__xludf.DUMMYFUNCTION("""COMPUTED_VALUE"""),"Category Page")</f>
        <v>Category Page</v>
      </c>
      <c r="G202" s="7" t="b">
        <f>IFERROR(__xludf.DUMMYFUNCTION("""COMPUTED_VALUE"""),FALSE)</f>
        <v>0</v>
      </c>
      <c r="H202" s="7" t="str">
        <f>IFERROR(__xludf.DUMMYFUNCTION("""COMPUTED_VALUE"""),"HERO")</f>
        <v>HERO</v>
      </c>
      <c r="I202" s="7">
        <f>IFERROR(__xludf.DUMMYFUNCTION("""COMPUTED_VALUE"""),7.0)</f>
        <v>7</v>
      </c>
      <c r="J202" s="7">
        <f>IFERROR(__xludf.DUMMYFUNCTION("""COMPUTED_VALUE"""),0.01)</f>
        <v>0.01</v>
      </c>
      <c r="K202" s="7">
        <f>IFERROR(__xludf.DUMMYFUNCTION("""COMPUTED_VALUE"""),0.71)</f>
        <v>0.71</v>
      </c>
      <c r="L202" s="7"/>
    </row>
    <row r="203" ht="15.75" customHeight="1">
      <c r="A203" s="6" t="str">
        <f>IFERROR(__xludf.DUMMYFUNCTION("""COMPUTED_VALUE"""),"https://themanifest.com/au/media-buying/agencies")</f>
        <v>https://themanifest.com/au/media-buying/agencies</v>
      </c>
      <c r="B203" s="7" t="str">
        <f>IFERROR(__xludf.DUMMYFUNCTION("""COMPUTED_VALUE"""),"The Best Media Planning and Buying Companies in Australia - Jul 2026 | The Manifest")</f>
        <v>The Best Media Planning and Buying Companies in Australia - Jul 2026 | The Manifest</v>
      </c>
      <c r="C203" s="6" t="str">
        <f>IFERROR(__xludf.DUMMYFUNCTION("""COMPUTED_VALUE"""),"themanifest.com")</f>
        <v>themanifest.com</v>
      </c>
      <c r="D203" s="7" t="str">
        <f>IFERROR(__xludf.DUMMYFUNCTION("""COMPUTED_VALUE"""),"LISTICLE")</f>
        <v>LISTICLE</v>
      </c>
      <c r="E203" s="7" t="str">
        <f>IFERROR(__xludf.DUMMYFUNCTION("""COMPUTED_VALUE"""),"REFERENCE")</f>
        <v>REFERENCE</v>
      </c>
      <c r="F203" s="7" t="str">
        <f>IFERROR(__xludf.DUMMYFUNCTION("""COMPUTED_VALUE"""),"Listicle")</f>
        <v>Listicle</v>
      </c>
      <c r="G203" s="7" t="b">
        <f>IFERROR(__xludf.DUMMYFUNCTION("""COMPUTED_VALUE"""),FALSE)</f>
        <v>0</v>
      </c>
      <c r="H203" s="7" t="str">
        <f>IFERROR(__xludf.DUMMYFUNCTION("""COMPUTED_VALUE"""),"Soup Agency, Bench Media, DNM Digital, MK Media")</f>
        <v>Soup Agency, Bench Media, DNM Digital, MK Media</v>
      </c>
      <c r="I203" s="7">
        <f>IFERROR(__xludf.DUMMYFUNCTION("""COMPUTED_VALUE"""),7.0)</f>
        <v>7</v>
      </c>
      <c r="J203" s="7">
        <f>IFERROR(__xludf.DUMMYFUNCTION("""COMPUTED_VALUE"""),0.01)</f>
        <v>0.01</v>
      </c>
      <c r="K203" s="7">
        <f>IFERROR(__xludf.DUMMYFUNCTION("""COMPUTED_VALUE"""),0.0)</f>
        <v>0</v>
      </c>
      <c r="L203" s="7"/>
    </row>
    <row r="204" ht="15.75" customHeight="1">
      <c r="A204" s="6" t="str">
        <f>IFERROR(__xludf.DUMMYFUNCTION("""COMPUTED_VALUE"""),"https://virtualadagency.com.au/best-digital-marketing-companies/")</f>
        <v>https://virtualadagency.com.au/best-digital-marketing-companies/</v>
      </c>
      <c r="B204" s="7" t="str">
        <f>IFERROR(__xludf.DUMMYFUNCTION("""COMPUTED_VALUE"""),"Finding the 7 Best Digital Marketing Companies in Australia for 2026")</f>
        <v>Finding the 7 Best Digital Marketing Companies in Australia for 2026</v>
      </c>
      <c r="C204" s="6" t="str">
        <f>IFERROR(__xludf.DUMMYFUNCTION("""COMPUTED_VALUE"""),"virtualadagency.com.au")</f>
        <v>virtualadagency.com.au</v>
      </c>
      <c r="D204" s="7" t="str">
        <f>IFERROR(__xludf.DUMMYFUNCTION("""COMPUTED_VALUE"""),"LISTICLE")</f>
        <v>LISTICLE</v>
      </c>
      <c r="E204" s="7" t="str">
        <f>IFERROR(__xludf.DUMMYFUNCTION("""COMPUTED_VALUE"""),"CORPORATE")</f>
        <v>CORPORATE</v>
      </c>
      <c r="F204" s="7" t="str">
        <f>IFERROR(__xludf.DUMMYFUNCTION("""COMPUTED_VALUE"""),"Listicle")</f>
        <v>Listicle</v>
      </c>
      <c r="G204" s="7" t="b">
        <f>IFERROR(__xludf.DUMMYFUNCTION("""COMPUTED_VALUE"""),FALSE)</f>
        <v>0</v>
      </c>
      <c r="H204" s="7" t="str">
        <f>IFERROR(__xludf.DUMMYFUNCTION("""COMPUTED_VALUE"""),"Online Marketing Gurus, Omnicom Media Group, Sparro, Brainlabs, Reload Media, Impressive, Rocket Agency, King Kong")</f>
        <v>Online Marketing Gurus, Omnicom Media Group, Sparro, Brainlabs, Reload Media, Impressive, Rocket Agency, King Kong</v>
      </c>
      <c r="I204" s="7">
        <f>IFERROR(__xludf.DUMMYFUNCTION("""COMPUTED_VALUE"""),7.0)</f>
        <v>7</v>
      </c>
      <c r="J204" s="7">
        <f>IFERROR(__xludf.DUMMYFUNCTION("""COMPUTED_VALUE"""),0.01)</f>
        <v>0.01</v>
      </c>
      <c r="K204" s="7">
        <f>IFERROR(__xludf.DUMMYFUNCTION("""COMPUTED_VALUE"""),0.86)</f>
        <v>0.86</v>
      </c>
      <c r="L204" s="7"/>
    </row>
    <row r="205" ht="15.75" customHeight="1">
      <c r="A205" s="6" t="str">
        <f>IFERROR(__xludf.DUMMYFUNCTION("""COMPUTED_VALUE"""),"https://www.50pros.com/hire/advertising/attribution-and-measurement")</f>
        <v>https://www.50pros.com/hire/advertising/attribution-and-measurement</v>
      </c>
      <c r="B205" s="7" t="str">
        <f>IFERROR(__xludf.DUMMYFUNCTION("""COMPUTED_VALUE"""),"Top Attribution &amp; Measurement Agencies to Hire in June 2026")</f>
        <v>Top Attribution &amp; Measurement Agencies to Hire in June 2026</v>
      </c>
      <c r="C205" s="6" t="str">
        <f>IFERROR(__xludf.DUMMYFUNCTION("""COMPUTED_VALUE"""),"50pros.com")</f>
        <v>50pros.com</v>
      </c>
      <c r="D205" s="7" t="str">
        <f>IFERROR(__xludf.DUMMYFUNCTION("""COMPUTED_VALUE"""),"CATEGORY_PAGE")</f>
        <v>CATEGORY_PAGE</v>
      </c>
      <c r="E205" s="7" t="str">
        <f>IFERROR(__xludf.DUMMYFUNCTION("""COMPUTED_VALUE"""),"REFERENCE")</f>
        <v>REFERENCE</v>
      </c>
      <c r="F205" s="7" t="str">
        <f>IFERROR(__xludf.DUMMYFUNCTION("""COMPUTED_VALUE"""),"Category Page")</f>
        <v>Category Page</v>
      </c>
      <c r="G205" s="7" t="b">
        <f>IFERROR(__xludf.DUMMYFUNCTION("""COMPUTED_VALUE"""),FALSE)</f>
        <v>0</v>
      </c>
      <c r="H205" s="7" t="str">
        <f>IFERROR(__xludf.DUMMYFUNCTION("""COMPUTED_VALUE"""),"Huge")</f>
        <v>Huge</v>
      </c>
      <c r="I205" s="7">
        <f>IFERROR(__xludf.DUMMYFUNCTION("""COMPUTED_VALUE"""),6.0)</f>
        <v>6</v>
      </c>
      <c r="J205" s="7">
        <f>IFERROR(__xludf.DUMMYFUNCTION("""COMPUTED_VALUE"""),0.01)</f>
        <v>0.01</v>
      </c>
      <c r="K205" s="7">
        <f>IFERROR(__xludf.DUMMYFUNCTION("""COMPUTED_VALUE"""),0.17)</f>
        <v>0.17</v>
      </c>
      <c r="L205" s="7"/>
    </row>
    <row r="206" ht="15.75" customHeight="1">
      <c r="A206" s="6" t="str">
        <f>IFERROR(__xludf.DUMMYFUNCTION("""COMPUTED_VALUE"""),"https://avinashvagh.com/blog/best-aeo-agencies-australia")</f>
        <v>https://avinashvagh.com/blog/best-aeo-agencies-australia</v>
      </c>
      <c r="B206" s="7" t="str">
        <f>IFERROR(__xludf.DUMMYFUNCTION("""COMPUTED_VALUE"""),"Best AEO Agencies in Australia for SaaS Founders 2026")</f>
        <v>Best AEO Agencies in Australia for SaaS Founders 2026</v>
      </c>
      <c r="C206" s="6" t="str">
        <f>IFERROR(__xludf.DUMMYFUNCTION("""COMPUTED_VALUE"""),"avinashvagh.com")</f>
        <v>avinashvagh.com</v>
      </c>
      <c r="D206" s="7" t="str">
        <f>IFERROR(__xludf.DUMMYFUNCTION("""COMPUTED_VALUE"""),"PROFILE")</f>
        <v>PROFILE</v>
      </c>
      <c r="E206" s="7" t="str">
        <f>IFERROR(__xludf.DUMMYFUNCTION("""COMPUTED_VALUE"""),"CORPORATE")</f>
        <v>CORPORATE</v>
      </c>
      <c r="F206" s="7" t="str">
        <f>IFERROR(__xludf.DUMMYFUNCTION("""COMPUTED_VALUE"""),"Profile")</f>
        <v>Profile</v>
      </c>
      <c r="G206" s="7" t="b">
        <f>IFERROR(__xludf.DUMMYFUNCTION("""COMPUTED_VALUE"""),FALSE)</f>
        <v>0</v>
      </c>
      <c r="H206" s="7" t="str">
        <f>IFERROR(__xludf.DUMMYFUNCTION("""COMPUTED_VALUE"""),"Measured, Digital Nomads HQ")</f>
        <v>Measured, Digital Nomads HQ</v>
      </c>
      <c r="I206" s="7">
        <f>IFERROR(__xludf.DUMMYFUNCTION("""COMPUTED_VALUE"""),6.0)</f>
        <v>6</v>
      </c>
      <c r="J206" s="7">
        <f>IFERROR(__xludf.DUMMYFUNCTION("""COMPUTED_VALUE"""),0.01)</f>
        <v>0.01</v>
      </c>
      <c r="K206" s="7">
        <f>IFERROR(__xludf.DUMMYFUNCTION("""COMPUTED_VALUE"""),0.17)</f>
        <v>0.17</v>
      </c>
      <c r="L206" s="7"/>
    </row>
    <row r="207" ht="15.75" customHeight="1">
      <c r="A207" s="6" t="str">
        <f>IFERROR(__xludf.DUMMYFUNCTION("""COMPUTED_VALUE"""),"https://clickclickbangbang.com.au/social-media-marketing-firms/")</f>
        <v>https://clickclickbangbang.com.au/social-media-marketing-firms/</v>
      </c>
      <c r="B207" s="7" t="str">
        <f>IFERROR(__xludf.DUMMYFUNCTION("""COMPUTED_VALUE"""),"Top 7 Social Media Marketing Firms for 2026")</f>
        <v>Top 7 Social Media Marketing Firms for 2026</v>
      </c>
      <c r="C207" s="6" t="str">
        <f>IFERROR(__xludf.DUMMYFUNCTION("""COMPUTED_VALUE"""),"clickclickbangbang.com.au")</f>
        <v>clickclickbangbang.com.au</v>
      </c>
      <c r="D207" s="7" t="str">
        <f>IFERROR(__xludf.DUMMYFUNCTION("""COMPUTED_VALUE"""),"LISTICLE")</f>
        <v>LISTICLE</v>
      </c>
      <c r="E207" s="7" t="str">
        <f>IFERROR(__xludf.DUMMYFUNCTION("""COMPUTED_VALUE"""),"CORPORATE")</f>
        <v>CORPORATE</v>
      </c>
      <c r="F207" s="7" t="str">
        <f>IFERROR(__xludf.DUMMYFUNCTION("""COMPUTED_VALUE"""),"Listicle")</f>
        <v>Listicle</v>
      </c>
      <c r="G207" s="7" t="b">
        <f>IFERROR(__xludf.DUMMYFUNCTION("""COMPUTED_VALUE"""),FALSE)</f>
        <v>0</v>
      </c>
      <c r="H207" s="7" t="str">
        <f>IFERROR(__xludf.DUMMYFUNCTION("""COMPUTED_VALUE"""),"Momentum, Megaphone, Reload Media, Sparro, Brainlabs")</f>
        <v>Momentum, Megaphone, Reload Media, Sparro, Brainlabs</v>
      </c>
      <c r="I207" s="7">
        <f>IFERROR(__xludf.DUMMYFUNCTION("""COMPUTED_VALUE"""),6.0)</f>
        <v>6</v>
      </c>
      <c r="J207" s="7">
        <f>IFERROR(__xludf.DUMMYFUNCTION("""COMPUTED_VALUE"""),0.01)</f>
        <v>0.01</v>
      </c>
      <c r="K207" s="7">
        <f>IFERROR(__xludf.DUMMYFUNCTION("""COMPUTED_VALUE"""),0.5)</f>
        <v>0.5</v>
      </c>
      <c r="L207" s="7"/>
    </row>
    <row r="208" ht="15.75" customHeight="1">
      <c r="A208" s="6" t="str">
        <f>IFERROR(__xludf.DUMMYFUNCTION("""COMPUTED_VALUE"""),"https://clutch.co/au/consulting/ai/sydney")</f>
        <v>https://clutch.co/au/consulting/ai/sydney</v>
      </c>
      <c r="B208" s="7" t="str">
        <f>IFERROR(__xludf.DUMMYFUNCTION("""COMPUTED_VALUE"""),"Top AI Consultants in Sydney - Jul 2026 Rankings \| Clutch.co")</f>
        <v>Top AI Consultants in Sydney - Jul 2026 Rankings \| Clutch.co</v>
      </c>
      <c r="C208" s="6" t="str">
        <f>IFERROR(__xludf.DUMMYFUNCTION("""COMPUTED_VALUE"""),"clutch.co")</f>
        <v>clutch.co</v>
      </c>
      <c r="D208" s="7" t="str">
        <f>IFERROR(__xludf.DUMMYFUNCTION("""COMPUTED_VALUE"""),"CATEGORY_PAGE")</f>
        <v>CATEGORY_PAGE</v>
      </c>
      <c r="E208" s="7" t="str">
        <f>IFERROR(__xludf.DUMMYFUNCTION("""COMPUTED_VALUE"""),"CORPORATE")</f>
        <v>CORPORATE</v>
      </c>
      <c r="F208" s="7" t="str">
        <f>IFERROR(__xludf.DUMMYFUNCTION("""COMPUTED_VALUE"""),"Category Page")</f>
        <v>Category Page</v>
      </c>
      <c r="G208" s="7" t="b">
        <f>IFERROR(__xludf.DUMMYFUNCTION("""COMPUTED_VALUE"""),FALSE)</f>
        <v>0</v>
      </c>
      <c r="H208" s="7" t="str">
        <f>IFERROR(__xludf.DUMMYFUNCTION("""COMPUTED_VALUE"""),"Luminary, In Marketing We Trust, Impressive, Huge, Team 400")</f>
        <v>Luminary, In Marketing We Trust, Impressive, Huge, Team 400</v>
      </c>
      <c r="I208" s="7">
        <f>IFERROR(__xludf.DUMMYFUNCTION("""COMPUTED_VALUE"""),6.0)</f>
        <v>6</v>
      </c>
      <c r="J208" s="7">
        <f>IFERROR(__xludf.DUMMYFUNCTION("""COMPUTED_VALUE"""),0.01)</f>
        <v>0.01</v>
      </c>
      <c r="K208" s="7">
        <f>IFERROR(__xludf.DUMMYFUNCTION("""COMPUTED_VALUE"""),0.17)</f>
        <v>0.17</v>
      </c>
      <c r="L208" s="7"/>
    </row>
    <row r="209" ht="15.75" customHeight="1">
      <c r="A209" s="6" t="str">
        <f>IFERROR(__xludf.DUMMYFUNCTION("""COMPUTED_VALUE"""),"https://conquerradigital.com.au/top-10-digital-marketing-agencies-in-australia/")</f>
        <v>https://conquerradigital.com.au/top-10-digital-marketing-agencies-in-australia/</v>
      </c>
      <c r="B209" s="7" t="str">
        <f>IFERROR(__xludf.DUMMYFUNCTION("""COMPUTED_VALUE"""),"Top 10 Digital Marketing Agencies In Australia | Conquerra Digital")</f>
        <v>Top 10 Digital Marketing Agencies In Australia | Conquerra Digital</v>
      </c>
      <c r="C209" s="6" t="str">
        <f>IFERROR(__xludf.DUMMYFUNCTION("""COMPUTED_VALUE"""),"conquerradigital.com.au")</f>
        <v>conquerradigital.com.au</v>
      </c>
      <c r="D209" s="7" t="str">
        <f>IFERROR(__xludf.DUMMYFUNCTION("""COMPUTED_VALUE"""),"LISTICLE")</f>
        <v>LISTICLE</v>
      </c>
      <c r="E209" s="7" t="str">
        <f>IFERROR(__xludf.DUMMYFUNCTION("""COMPUTED_VALUE"""),"CORPORATE")</f>
        <v>CORPORATE</v>
      </c>
      <c r="F209" s="7" t="str">
        <f>IFERROR(__xludf.DUMMYFUNCTION("""COMPUTED_VALUE"""),"Listicle")</f>
        <v>Listicle</v>
      </c>
      <c r="G209" s="7" t="b">
        <f>IFERROR(__xludf.DUMMYFUNCTION("""COMPUTED_VALUE"""),FALSE)</f>
        <v>0</v>
      </c>
      <c r="H209" s="7" t="str">
        <f>IFERROR(__xludf.DUMMYFUNCTION("""COMPUTED_VALUE"""),"King Kong, Online Marketing Gurus, Clearwater Agency, Sparro, First Page, Alpha Digital, Webprofits, Bushnote, Omnicom Media Group, Momentum")</f>
        <v>King Kong, Online Marketing Gurus, Clearwater Agency, Sparro, First Page, Alpha Digital, Webprofits, Bushnote, Omnicom Media Group, Momentum</v>
      </c>
      <c r="I209" s="7">
        <f>IFERROR(__xludf.DUMMYFUNCTION("""COMPUTED_VALUE"""),6.0)</f>
        <v>6</v>
      </c>
      <c r="J209" s="7">
        <f>IFERROR(__xludf.DUMMYFUNCTION("""COMPUTED_VALUE"""),0.01)</f>
        <v>0.01</v>
      </c>
      <c r="K209" s="7">
        <f>IFERROR(__xludf.DUMMYFUNCTION("""COMPUTED_VALUE"""),0.33)</f>
        <v>0.33</v>
      </c>
      <c r="L209" s="7"/>
    </row>
    <row r="210" ht="15.75" customHeight="1">
      <c r="A210" s="6" t="str">
        <f>IFERROR(__xludf.DUMMYFUNCTION("""COMPUTED_VALUE"""),"https://corporatedesignsolutions.com.au/top-10-generative-engine-optimisation-agencies-western-australia/")</f>
        <v>https://corporatedesignsolutions.com.au/top-10-generative-engine-optimisation-agencies-western-australia/</v>
      </c>
      <c r="B210" s="7" t="str">
        <f>IFERROR(__xludf.DUMMYFUNCTION("""COMPUTED_VALUE"""),"Our Top 10 AI GEO (Generative Engine Optimisation) Agencies in Western Australia 2025 Rankings – corporatedesignsolutions.com.au")</f>
        <v>Our Top 10 AI GEO (Generative Engine Optimisation) Agencies in Western Australia 2025 Rankings – corporatedesignsolutions.com.au</v>
      </c>
      <c r="C210" s="6" t="str">
        <f>IFERROR(__xludf.DUMMYFUNCTION("""COMPUTED_VALUE"""),"corporatedesignsolutions.com.au")</f>
        <v>corporatedesignsolutions.com.au</v>
      </c>
      <c r="D210" s="7" t="str">
        <f>IFERROR(__xludf.DUMMYFUNCTION("""COMPUTED_VALUE"""),"LISTICLE")</f>
        <v>LISTICLE</v>
      </c>
      <c r="E210" s="7" t="str">
        <f>IFERROR(__xludf.DUMMYFUNCTION("""COMPUTED_VALUE"""),"CORPORATE")</f>
        <v>CORPORATE</v>
      </c>
      <c r="F210" s="7" t="str">
        <f>IFERROR(__xludf.DUMMYFUNCTION("""COMPUTED_VALUE"""),"Listicle")</f>
        <v>Listicle</v>
      </c>
      <c r="G210" s="7" t="b">
        <f>IFERROR(__xludf.DUMMYFUNCTION("""COMPUTED_VALUE"""),FALSE)</f>
        <v>0</v>
      </c>
      <c r="H210" s="7" t="str">
        <f>IFERROR(__xludf.DUMMYFUNCTION("""COMPUTED_VALUE"""),"StudioHawk")</f>
        <v>StudioHawk</v>
      </c>
      <c r="I210" s="7">
        <f>IFERROR(__xludf.DUMMYFUNCTION("""COMPUTED_VALUE"""),6.0)</f>
        <v>6</v>
      </c>
      <c r="J210" s="7">
        <f>IFERROR(__xludf.DUMMYFUNCTION("""COMPUTED_VALUE"""),0.01)</f>
        <v>0.01</v>
      </c>
      <c r="K210" s="7">
        <f>IFERROR(__xludf.DUMMYFUNCTION("""COMPUTED_VALUE"""),0.33)</f>
        <v>0.33</v>
      </c>
      <c r="L210" s="7"/>
    </row>
    <row r="211" ht="15.75" customHeight="1">
      <c r="A211" s="6" t="str">
        <f>IFERROR(__xludf.DUMMYFUNCTION("""COMPUTED_VALUE"""),"https://fastlanerecruit.com/blog/top-20-digital-marketing-companies-in-australia/")</f>
        <v>https://fastlanerecruit.com/blog/top-20-digital-marketing-companies-in-australia/</v>
      </c>
      <c r="B211" s="7" t="str">
        <f>IFERROR(__xludf.DUMMYFUNCTION("""COMPUTED_VALUE"""),"Top Digital Marketing Agencies Australia 2026")</f>
        <v>Top Digital Marketing Agencies Australia 2026</v>
      </c>
      <c r="C211" s="6" t="str">
        <f>IFERROR(__xludf.DUMMYFUNCTION("""COMPUTED_VALUE"""),"fastlanerecruit.com")</f>
        <v>fastlanerecruit.com</v>
      </c>
      <c r="D211" s="7" t="str">
        <f>IFERROR(__xludf.DUMMYFUNCTION("""COMPUTED_VALUE"""),"LISTICLE")</f>
        <v>LISTICLE</v>
      </c>
      <c r="E211" s="7" t="str">
        <f>IFERROR(__xludf.DUMMYFUNCTION("""COMPUTED_VALUE"""),"CORPORATE")</f>
        <v>CORPORATE</v>
      </c>
      <c r="F211" s="7" t="str">
        <f>IFERROR(__xludf.DUMMYFUNCTION("""COMPUTED_VALUE"""),"Listicle")</f>
        <v>Listicle</v>
      </c>
      <c r="G211" s="7" t="b">
        <f>IFERROR(__xludf.DUMMYFUNCTION("""COMPUTED_VALUE"""),FALSE)</f>
        <v>0</v>
      </c>
      <c r="H211" s="7" t="str">
        <f>IFERROR(__xludf.DUMMYFUNCTION("""COMPUTED_VALUE"""),"Clearwater Agency, Soup Agency, Luminary, Farsiight, Digital Nomads HQ, SIXGUN, Human Digital, Intesols, 80/20 Digital, Salt &amp; Fuessel, Emote Digital, StudioHawk, King Kong, Megaphone, KPMG")</f>
        <v>Clearwater Agency, Soup Agency, Luminary, Farsiight, Digital Nomads HQ, SIXGUN, Human Digital, Intesols, 80/20 Digital, Salt &amp; Fuessel, Emote Digital, StudioHawk, King Kong, Megaphone, KPMG</v>
      </c>
      <c r="I211" s="7">
        <f>IFERROR(__xludf.DUMMYFUNCTION("""COMPUTED_VALUE"""),6.0)</f>
        <v>6</v>
      </c>
      <c r="J211" s="7">
        <f>IFERROR(__xludf.DUMMYFUNCTION("""COMPUTED_VALUE"""),0.01)</f>
        <v>0.01</v>
      </c>
      <c r="K211" s="7">
        <f>IFERROR(__xludf.DUMMYFUNCTION("""COMPUTED_VALUE"""),1.33)</f>
        <v>1.33</v>
      </c>
      <c r="L211" s="7"/>
    </row>
    <row r="212" ht="15.75" customHeight="1">
      <c r="A212" s="6" t="str">
        <f>IFERROR(__xludf.DUMMYFUNCTION("""COMPUTED_VALUE"""),"https://www.gartner.com/reviews/market/incrementality-measurement-platforms")</f>
        <v>https://www.gartner.com/reviews/market/incrementality-measurement-platforms</v>
      </c>
      <c r="B212" s="7" t="str">
        <f>IFERROR(__xludf.DUMMYFUNCTION("""COMPUTED_VALUE"""),"Best Incrementality Measurement Platforms Reviews 2026 \| Gartner Peer Insights")</f>
        <v>Best Incrementality Measurement Platforms Reviews 2026 \| Gartner Peer Insights</v>
      </c>
      <c r="C212" s="6" t="str">
        <f>IFERROR(__xludf.DUMMYFUNCTION("""COMPUTED_VALUE"""),"gartner.com")</f>
        <v>gartner.com</v>
      </c>
      <c r="D212" s="7" t="str">
        <f>IFERROR(__xludf.DUMMYFUNCTION("""COMPUTED_VALUE"""),"CATEGORY_PAGE")</f>
        <v>CATEGORY_PAGE</v>
      </c>
      <c r="E212" s="7" t="str">
        <f>IFERROR(__xludf.DUMMYFUNCTION("""COMPUTED_VALUE"""),"CORPORATE")</f>
        <v>CORPORATE</v>
      </c>
      <c r="F212" s="7" t="str">
        <f>IFERROR(__xludf.DUMMYFUNCTION("""COMPUTED_VALUE"""),"Category Page")</f>
        <v>Category Page</v>
      </c>
      <c r="G212" s="7" t="b">
        <f>IFERROR(__xludf.DUMMYFUNCTION("""COMPUTED_VALUE"""),FALSE)</f>
        <v>0</v>
      </c>
      <c r="H212" s="7" t="str">
        <f>IFERROR(__xludf.DUMMYFUNCTION("""COMPUTED_VALUE"""),"Haus, Measured, Lifesight, Workmagic")</f>
        <v>Haus, Measured, Lifesight, Workmagic</v>
      </c>
      <c r="I212" s="7">
        <f>IFERROR(__xludf.DUMMYFUNCTION("""COMPUTED_VALUE"""),6.0)</f>
        <v>6</v>
      </c>
      <c r="J212" s="7">
        <f>IFERROR(__xludf.DUMMYFUNCTION("""COMPUTED_VALUE"""),0.01)</f>
        <v>0.01</v>
      </c>
      <c r="K212" s="7">
        <f>IFERROR(__xludf.DUMMYFUNCTION("""COMPUTED_VALUE"""),0.83)</f>
        <v>0.83</v>
      </c>
      <c r="L212" s="7"/>
    </row>
    <row r="213" ht="15.75" customHeight="1">
      <c r="A213" s="6" t="str">
        <f>IFERROR(__xludf.DUMMYFUNCTION("""COMPUTED_VALUE"""),"https://hikemytraffic.com/ai-digital-marketing-agencies-in-australia/")</f>
        <v>https://hikemytraffic.com/ai-digital-marketing-agencies-in-australia/</v>
      </c>
      <c r="B213" s="7" t="str">
        <f>IFERROR(__xludf.DUMMYFUNCTION("""COMPUTED_VALUE"""),"Top 7 AI Digital Marketing Agencies in Australia")</f>
        <v>Top 7 AI Digital Marketing Agencies in Australia</v>
      </c>
      <c r="C213" s="6" t="str">
        <f>IFERROR(__xludf.DUMMYFUNCTION("""COMPUTED_VALUE"""),"hikemytraffic.com")</f>
        <v>hikemytraffic.com</v>
      </c>
      <c r="D213" s="7" t="str">
        <f>IFERROR(__xludf.DUMMYFUNCTION("""COMPUTED_VALUE"""),"LISTICLE")</f>
        <v>LISTICLE</v>
      </c>
      <c r="E213" s="7" t="str">
        <f>IFERROR(__xludf.DUMMYFUNCTION("""COMPUTED_VALUE"""),"CORPORATE")</f>
        <v>CORPORATE</v>
      </c>
      <c r="F213" s="7" t="str">
        <f>IFERROR(__xludf.DUMMYFUNCTION("""COMPUTED_VALUE"""),"Listicle")</f>
        <v>Listicle</v>
      </c>
      <c r="G213" s="7" t="b">
        <f>IFERROR(__xludf.DUMMYFUNCTION("""COMPUTED_VALUE"""),FALSE)</f>
        <v>0</v>
      </c>
      <c r="H213" s="7" t="str">
        <f>IFERROR(__xludf.DUMMYFUNCTION("""COMPUTED_VALUE"""),"Alley Group, Bench Media")</f>
        <v>Alley Group, Bench Media</v>
      </c>
      <c r="I213" s="7">
        <f>IFERROR(__xludf.DUMMYFUNCTION("""COMPUTED_VALUE"""),6.0)</f>
        <v>6</v>
      </c>
      <c r="J213" s="7">
        <f>IFERROR(__xludf.DUMMYFUNCTION("""COMPUTED_VALUE"""),0.01)</f>
        <v>0.01</v>
      </c>
      <c r="K213" s="7">
        <f>IFERROR(__xludf.DUMMYFUNCTION("""COMPUTED_VALUE"""),0.0)</f>
        <v>0</v>
      </c>
      <c r="L213" s="7"/>
    </row>
    <row r="214" ht="15.75" customHeight="1">
      <c r="A214" s="6" t="str">
        <f>IFERROR(__xludf.DUMMYFUNCTION("""COMPUTED_VALUE"""),"https://hustlemarketers.com/best-google-ads-agency-australia/")</f>
        <v>https://hustlemarketers.com/best-google-ads-agency-australia/</v>
      </c>
      <c r="B214" s="7" t="str">
        <f>IFERROR(__xludf.DUMMYFUNCTION("""COMPUTED_VALUE"""),"Best Google Ads Agency in Australia 2026: 12 Picks")</f>
        <v>Best Google Ads Agency in Australia 2026: 12 Picks</v>
      </c>
      <c r="C214" s="6" t="str">
        <f>IFERROR(__xludf.DUMMYFUNCTION("""COMPUTED_VALUE"""),"hustlemarketers.com")</f>
        <v>hustlemarketers.com</v>
      </c>
      <c r="D214" s="7" t="str">
        <f>IFERROR(__xludf.DUMMYFUNCTION("""COMPUTED_VALUE"""),"LISTICLE")</f>
        <v>LISTICLE</v>
      </c>
      <c r="E214" s="7" t="str">
        <f>IFERROR(__xludf.DUMMYFUNCTION("""COMPUTED_VALUE"""),"CORPORATE")</f>
        <v>CORPORATE</v>
      </c>
      <c r="F214" s="7" t="str">
        <f>IFERROR(__xludf.DUMMYFUNCTION("""COMPUTED_VALUE"""),"Listicle")</f>
        <v>Listicle</v>
      </c>
      <c r="G214" s="7" t="b">
        <f>IFERROR(__xludf.DUMMYFUNCTION("""COMPUTED_VALUE"""),FALSE)</f>
        <v>0</v>
      </c>
      <c r="H214" s="7" t="str">
        <f>IFERROR(__xludf.DUMMYFUNCTION("""COMPUTED_VALUE"""),"Online Marketing Gurus, Rocket Agency, Megaphone, Clearwater Agency, Omnicom Media Group, Digital Nomads HQ, Farsiight, Alpha Digital")</f>
        <v>Online Marketing Gurus, Rocket Agency, Megaphone, Clearwater Agency, Omnicom Media Group, Digital Nomads HQ, Farsiight, Alpha Digital</v>
      </c>
      <c r="I214" s="7">
        <f>IFERROR(__xludf.DUMMYFUNCTION("""COMPUTED_VALUE"""),6.0)</f>
        <v>6</v>
      </c>
      <c r="J214" s="7">
        <f>IFERROR(__xludf.DUMMYFUNCTION("""COMPUTED_VALUE"""),0.01)</f>
        <v>0.01</v>
      </c>
      <c r="K214" s="7">
        <f>IFERROR(__xludf.DUMMYFUNCTION("""COMPUTED_VALUE"""),0.17)</f>
        <v>0.17</v>
      </c>
      <c r="L214" s="7"/>
    </row>
    <row r="215" ht="15.75" customHeight="1">
      <c r="A215" s="6" t="str">
        <f>IFERROR(__xludf.DUMMYFUNCTION("""COMPUTED_VALUE"""),"https://lengreo.com/australia-perth-aeo-geo-llmo-companies/")</f>
        <v>https://lengreo.com/australia-perth-aeo-geo-llmo-companies/</v>
      </c>
      <c r="B215" s="7" t="str">
        <f>IFERROR(__xludf.DUMMYFUNCTION("""COMPUTED_VALUE"""),"Top 6 AEO, GEO and LLMO Companies in Perth, Australia (2026)")</f>
        <v>Top 6 AEO, GEO and LLMO Companies in Perth, Australia (2026)</v>
      </c>
      <c r="C215" s="6" t="str">
        <f>IFERROR(__xludf.DUMMYFUNCTION("""COMPUTED_VALUE"""),"lengreo.com")</f>
        <v>lengreo.com</v>
      </c>
      <c r="D215" s="7" t="str">
        <f>IFERROR(__xludf.DUMMYFUNCTION("""COMPUTED_VALUE"""),"LISTICLE")</f>
        <v>LISTICLE</v>
      </c>
      <c r="E215" s="7" t="str">
        <f>IFERROR(__xludf.DUMMYFUNCTION("""COMPUTED_VALUE"""),"CORPORATE")</f>
        <v>CORPORATE</v>
      </c>
      <c r="F215" s="7" t="str">
        <f>IFERROR(__xludf.DUMMYFUNCTION("""COMPUTED_VALUE"""),"Listicle")</f>
        <v>Listicle</v>
      </c>
      <c r="G215" s="7" t="b">
        <f>IFERROR(__xludf.DUMMYFUNCTION("""COMPUTED_VALUE"""),FALSE)</f>
        <v>0</v>
      </c>
      <c r="H215" s="7"/>
      <c r="I215" s="7">
        <f>IFERROR(__xludf.DUMMYFUNCTION("""COMPUTED_VALUE"""),6.0)</f>
        <v>6</v>
      </c>
      <c r="J215" s="7">
        <f>IFERROR(__xludf.DUMMYFUNCTION("""COMPUTED_VALUE"""),0.01)</f>
        <v>0.01</v>
      </c>
      <c r="K215" s="7">
        <f>IFERROR(__xludf.DUMMYFUNCTION("""COMPUTED_VALUE"""),1.0)</f>
        <v>1</v>
      </c>
      <c r="L215" s="7"/>
    </row>
    <row r="216" ht="15.75" customHeight="1">
      <c r="A216" s="6" t="str">
        <f>IFERROR(__xludf.DUMMYFUNCTION("""COMPUTED_VALUE"""),"https://www.linkedin.com/pulse/digital-marketing-agencies-australia-abhinav-puri-oeg4f")</f>
        <v>https://www.linkedin.com/pulse/digital-marketing-agencies-australia-abhinav-puri-oeg4f</v>
      </c>
      <c r="B216" s="7" t="str">
        <f>IFERROR(__xludf.DUMMYFUNCTION("""COMPUTED_VALUE"""),"Top 12 Digital Marketing Agencies in Australia 2025")</f>
        <v>Top 12 Digital Marketing Agencies in Australia 2025</v>
      </c>
      <c r="C216" s="6" t="str">
        <f>IFERROR(__xludf.DUMMYFUNCTION("""COMPUTED_VALUE"""),"linkedin.com")</f>
        <v>linkedin.com</v>
      </c>
      <c r="D216" s="7" t="str">
        <f>IFERROR(__xludf.DUMMYFUNCTION("""COMPUTED_VALUE"""),"LISTICLE")</f>
        <v>LISTICLE</v>
      </c>
      <c r="E216" s="7" t="str">
        <f>IFERROR(__xludf.DUMMYFUNCTION("""COMPUTED_VALUE"""),"UGC")</f>
        <v>UGC</v>
      </c>
      <c r="F216" s="7" t="str">
        <f>IFERROR(__xludf.DUMMYFUNCTION("""COMPUTED_VALUE"""),"Listicle")</f>
        <v>Listicle</v>
      </c>
      <c r="G216" s="7" t="b">
        <f>IFERROR(__xludf.DUMMYFUNCTION("""COMPUTED_VALUE"""),FALSE)</f>
        <v>0</v>
      </c>
      <c r="H216" s="7" t="str">
        <f>IFERROR(__xludf.DUMMYFUNCTION("""COMPUTED_VALUE"""),"Digital Nomads HQ, Impressive, Sparro, King Kong, Megaphone, Emote Digital")</f>
        <v>Digital Nomads HQ, Impressive, Sparro, King Kong, Megaphone, Emote Digital</v>
      </c>
      <c r="I216" s="7">
        <f>IFERROR(__xludf.DUMMYFUNCTION("""COMPUTED_VALUE"""),6.0)</f>
        <v>6</v>
      </c>
      <c r="J216" s="7">
        <f>IFERROR(__xludf.DUMMYFUNCTION("""COMPUTED_VALUE"""),0.01)</f>
        <v>0.01</v>
      </c>
      <c r="K216" s="7">
        <f>IFERROR(__xludf.DUMMYFUNCTION("""COMPUTED_VALUE"""),0.17)</f>
        <v>0.17</v>
      </c>
      <c r="L216" s="7"/>
    </row>
    <row r="217" ht="15.75" customHeight="1">
      <c r="A217" s="6" t="str">
        <f>IFERROR(__xludf.DUMMYFUNCTION("""COMPUTED_VALUE"""),"https://www.loudface.co/blog/best-aeo-agencies-b2b-saas-2026")</f>
        <v>https://www.loudface.co/blog/best-aeo-agencies-b2b-saas-2026</v>
      </c>
      <c r="B217" s="7" t="str">
        <f>IFERROR(__xludf.DUMMYFUNCTION("""COMPUTED_VALUE"""),"Best AEO &amp;amp; GEO Agencies for B2B SaaS in 2026 | LoudFace")</f>
        <v>Best AEO &amp;amp; GEO Agencies for B2B SaaS in 2026 | LoudFace</v>
      </c>
      <c r="C217" s="6" t="str">
        <f>IFERROR(__xludf.DUMMYFUNCTION("""COMPUTED_VALUE"""),"loudface.co")</f>
        <v>loudface.co</v>
      </c>
      <c r="D217" s="7" t="str">
        <f>IFERROR(__xludf.DUMMYFUNCTION("""COMPUTED_VALUE"""),"LISTICLE")</f>
        <v>LISTICLE</v>
      </c>
      <c r="E217" s="7" t="str">
        <f>IFERROR(__xludf.DUMMYFUNCTION("""COMPUTED_VALUE"""),"CORPORATE")</f>
        <v>CORPORATE</v>
      </c>
      <c r="F217" s="7" t="str">
        <f>IFERROR(__xludf.DUMMYFUNCTION("""COMPUTED_VALUE"""),"Listicle")</f>
        <v>Listicle</v>
      </c>
      <c r="G217" s="7" t="b">
        <f>IFERROR(__xludf.DUMMYFUNCTION("""COMPUTED_VALUE"""),FALSE)</f>
        <v>0</v>
      </c>
      <c r="H217" s="7" t="str">
        <f>IFERROR(__xludf.DUMMYFUNCTION("""COMPUTED_VALUE"""),"Earned Media, First Page")</f>
        <v>Earned Media, First Page</v>
      </c>
      <c r="I217" s="7">
        <f>IFERROR(__xludf.DUMMYFUNCTION("""COMPUTED_VALUE"""),6.0)</f>
        <v>6</v>
      </c>
      <c r="J217" s="7">
        <f>IFERROR(__xludf.DUMMYFUNCTION("""COMPUTED_VALUE"""),0.01)</f>
        <v>0.01</v>
      </c>
      <c r="K217" s="7">
        <f>IFERROR(__xludf.DUMMYFUNCTION("""COMPUTED_VALUE"""),0.0)</f>
        <v>0</v>
      </c>
      <c r="L217" s="7"/>
    </row>
    <row r="218" ht="15.75" customHeight="1">
      <c r="A218" s="6" t="str">
        <f>IFERROR(__xludf.DUMMYFUNCTION("""COMPUTED_VALUE"""),"https://magnetoitsolutions.com/au/answer-engine-optimization")</f>
        <v>https://magnetoitsolutions.com/au/answer-engine-optimization</v>
      </c>
      <c r="B218" s="7" t="str">
        <f>IFERROR(__xludf.DUMMYFUNCTION("""COMPUTED_VALUE"""),"Australia's Top Answer Engine Optimisation Company | MIS")</f>
        <v>Australia's Top Answer Engine Optimisation Company | MIS</v>
      </c>
      <c r="C218" s="6" t="str">
        <f>IFERROR(__xludf.DUMMYFUNCTION("""COMPUTED_VALUE"""),"magnetoitsolutions.com")</f>
        <v>magnetoitsolutions.com</v>
      </c>
      <c r="D218" s="7" t="str">
        <f>IFERROR(__xludf.DUMMYFUNCTION("""COMPUTED_VALUE"""),"PRODUCT_PAGE")</f>
        <v>PRODUCT_PAGE</v>
      </c>
      <c r="E218" s="7" t="str">
        <f>IFERROR(__xludf.DUMMYFUNCTION("""COMPUTED_VALUE"""),"CORPORATE")</f>
        <v>CORPORATE</v>
      </c>
      <c r="F218" s="7" t="str">
        <f>IFERROR(__xludf.DUMMYFUNCTION("""COMPUTED_VALUE"""),"Product Page")</f>
        <v>Product Page</v>
      </c>
      <c r="G218" s="7" t="b">
        <f>IFERROR(__xludf.DUMMYFUNCTION("""COMPUTED_VALUE"""),FALSE)</f>
        <v>0</v>
      </c>
      <c r="H218" s="7"/>
      <c r="I218" s="7">
        <f>IFERROR(__xludf.DUMMYFUNCTION("""COMPUTED_VALUE"""),6.0)</f>
        <v>6</v>
      </c>
      <c r="J218" s="7">
        <f>IFERROR(__xludf.DUMMYFUNCTION("""COMPUTED_VALUE"""),0.01)</f>
        <v>0.01</v>
      </c>
      <c r="K218" s="7">
        <f>IFERROR(__xludf.DUMMYFUNCTION("""COMPUTED_VALUE"""),0.5)</f>
        <v>0.5</v>
      </c>
      <c r="L218" s="7"/>
    </row>
    <row r="219" ht="15.75" customHeight="1">
      <c r="A219" s="6" t="str">
        <f>IFERROR(__xludf.DUMMYFUNCTION("""COMPUTED_VALUE"""),"https://www.measured.com/faq/best-incrementality-testing-companies-software-for-marketing-2025/")</f>
        <v>https://www.measured.com/faq/best-incrementality-testing-companies-software-for-marketing-2025/</v>
      </c>
      <c r="B219" s="7" t="str">
        <f>IFERROR(__xludf.DUMMYFUNCTION("""COMPUTED_VALUE"""),"Best Incrementality Testing Companies &amp; Software for Marketing (2026)")</f>
        <v>Best Incrementality Testing Companies &amp; Software for Marketing (2026)</v>
      </c>
      <c r="C219" s="6" t="str">
        <f>IFERROR(__xludf.DUMMYFUNCTION("""COMPUTED_VALUE"""),"measured.com")</f>
        <v>measured.com</v>
      </c>
      <c r="D219" s="7" t="str">
        <f>IFERROR(__xludf.DUMMYFUNCTION("""COMPUTED_VALUE"""),"LISTICLE")</f>
        <v>LISTICLE</v>
      </c>
      <c r="E219" s="7" t="str">
        <f>IFERROR(__xludf.DUMMYFUNCTION("""COMPUTED_VALUE"""),"COMPETITOR")</f>
        <v>COMPETITOR</v>
      </c>
      <c r="F219" s="7" t="str">
        <f>IFERROR(__xludf.DUMMYFUNCTION("""COMPUTED_VALUE"""),"Listicle")</f>
        <v>Listicle</v>
      </c>
      <c r="G219" s="7" t="b">
        <f>IFERROR(__xludf.DUMMYFUNCTION("""COMPUTED_VALUE"""),FALSE)</f>
        <v>0</v>
      </c>
      <c r="H219" s="7" t="str">
        <f>IFERROR(__xludf.DUMMYFUNCTION("""COMPUTED_VALUE"""),"Measured, Haus, Analytic Partners")</f>
        <v>Measured, Haus, Analytic Partners</v>
      </c>
      <c r="I219" s="7">
        <f>IFERROR(__xludf.DUMMYFUNCTION("""COMPUTED_VALUE"""),6.0)</f>
        <v>6</v>
      </c>
      <c r="J219" s="7">
        <f>IFERROR(__xludf.DUMMYFUNCTION("""COMPUTED_VALUE"""),0.01)</f>
        <v>0.01</v>
      </c>
      <c r="K219" s="7">
        <f>IFERROR(__xludf.DUMMYFUNCTION("""COMPUTED_VALUE"""),0.67)</f>
        <v>0.67</v>
      </c>
      <c r="L219" s="7"/>
    </row>
    <row r="220" ht="15.75" customHeight="1">
      <c r="A220" s="6" t="str">
        <f>IFERROR(__xludf.DUMMYFUNCTION("""COMPUTED_VALUE"""),"https://www.shoutdigital.com.au/blog/best-geo-agency-in-melbourne-for-e-commerce-a-direct-comparison-2026/")</f>
        <v>https://www.shoutdigital.com.au/blog/best-geo-agency-in-melbourne-for-e-commerce-a-direct-comparison-2026/</v>
      </c>
      <c r="B220" s="7" t="str">
        <f>IFERROR(__xludf.DUMMYFUNCTION("""COMPUTED_VALUE"""),"Best GEO Agency Melbourne for E-Commerce (2026): Honest Comparison")</f>
        <v>Best GEO Agency Melbourne for E-Commerce (2026): Honest Comparison</v>
      </c>
      <c r="C220" s="6" t="str">
        <f>IFERROR(__xludf.DUMMYFUNCTION("""COMPUTED_VALUE"""),"shoutdigital.com.au")</f>
        <v>shoutdigital.com.au</v>
      </c>
      <c r="D220" s="7" t="str">
        <f>IFERROR(__xludf.DUMMYFUNCTION("""COMPUTED_VALUE"""),"COMPARISON")</f>
        <v>COMPARISON</v>
      </c>
      <c r="E220" s="7" t="str">
        <f>IFERROR(__xludf.DUMMYFUNCTION("""COMPUTED_VALUE"""),"CORPORATE")</f>
        <v>CORPORATE</v>
      </c>
      <c r="F220" s="7" t="str">
        <f>IFERROR(__xludf.DUMMYFUNCTION("""COMPUTED_VALUE"""),"Comparison")</f>
        <v>Comparison</v>
      </c>
      <c r="G220" s="7" t="b">
        <f>IFERROR(__xludf.DUMMYFUNCTION("""COMPUTED_VALUE"""),FALSE)</f>
        <v>0</v>
      </c>
      <c r="H220" s="7" t="str">
        <f>IFERROR(__xludf.DUMMYFUNCTION("""COMPUTED_VALUE"""),"Impressive, Gorilla 360, Salt &amp; Fuessel, UR Digital")</f>
        <v>Impressive, Gorilla 360, Salt &amp; Fuessel, UR Digital</v>
      </c>
      <c r="I220" s="7">
        <f>IFERROR(__xludf.DUMMYFUNCTION("""COMPUTED_VALUE"""),6.0)</f>
        <v>6</v>
      </c>
      <c r="J220" s="7">
        <f>IFERROR(__xludf.DUMMYFUNCTION("""COMPUTED_VALUE"""),0.01)</f>
        <v>0.01</v>
      </c>
      <c r="K220" s="7">
        <f>IFERROR(__xludf.DUMMYFUNCTION("""COMPUTED_VALUE"""),1.33)</f>
        <v>1.33</v>
      </c>
      <c r="L220" s="7"/>
    </row>
    <row r="221" ht="15.75" customHeight="1">
      <c r="A221" s="6" t="str">
        <f>IFERROR(__xludf.DUMMYFUNCTION("""COMPUTED_VALUE"""),"https://sourceforge.net/software/marketing-attribution/australia/")</f>
        <v>https://sourceforge.net/software/marketing-attribution/australia/</v>
      </c>
      <c r="B221" s="7" t="str">
        <f>IFERROR(__xludf.DUMMYFUNCTION("""COMPUTED_VALUE"""),"Best Marketing Attribution Software in Australia of 2026 - Reviews &amp;amp; Comparison")</f>
        <v>Best Marketing Attribution Software in Australia of 2026 - Reviews &amp;amp; Comparison</v>
      </c>
      <c r="C221" s="6" t="str">
        <f>IFERROR(__xludf.DUMMYFUNCTION("""COMPUTED_VALUE"""),"sourceforge.net")</f>
        <v>sourceforge.net</v>
      </c>
      <c r="D221" s="7" t="str">
        <f>IFERROR(__xludf.DUMMYFUNCTION("""COMPUTED_VALUE"""),"OTHER")</f>
        <v>OTHER</v>
      </c>
      <c r="E221" s="7" t="str">
        <f>IFERROR(__xludf.DUMMYFUNCTION("""COMPUTED_VALUE"""),"OTHER")</f>
        <v>OTHER</v>
      </c>
      <c r="F221" s="7" t="str">
        <f>IFERROR(__xludf.DUMMYFUNCTION("""COMPUTED_VALUE"""),"Other")</f>
        <v>Other</v>
      </c>
      <c r="G221" s="7" t="b">
        <f>IFERROR(__xludf.DUMMYFUNCTION("""COMPUTED_VALUE"""),FALSE)</f>
        <v>0</v>
      </c>
      <c r="H221" s="7" t="str">
        <f>IFERROR(__xludf.DUMMYFUNCTION("""COMPUTED_VALUE"""),"Measured")</f>
        <v>Measured</v>
      </c>
      <c r="I221" s="7">
        <f>IFERROR(__xludf.DUMMYFUNCTION("""COMPUTED_VALUE"""),6.0)</f>
        <v>6</v>
      </c>
      <c r="J221" s="7">
        <f>IFERROR(__xludf.DUMMYFUNCTION("""COMPUTED_VALUE"""),0.01)</f>
        <v>0.01</v>
      </c>
      <c r="K221" s="7">
        <f>IFERROR(__xludf.DUMMYFUNCTION("""COMPUTED_VALUE"""),0.0)</f>
        <v>0</v>
      </c>
      <c r="L221" s="7"/>
    </row>
    <row r="222" ht="15.75" customHeight="1">
      <c r="A222" s="6" t="str">
        <f>IFERROR(__xludf.DUMMYFUNCTION("""COMPUTED_VALUE"""),"https://syntermedia.ai/blog/best-attribution-software-marketing-teams")</f>
        <v>https://syntermedia.ai/blog/best-attribution-software-marketing-teams</v>
      </c>
      <c r="B222" s="7" t="str">
        <f>IFERROR(__xludf.DUMMYFUNCTION("""COMPUTED_VALUE"""),"10 Best Attribution Software for Marketing Teams (2026 Compared) | Synter")</f>
        <v>10 Best Attribution Software for Marketing Teams (2026 Compared) | Synter</v>
      </c>
      <c r="C222" s="6" t="str">
        <f>IFERROR(__xludf.DUMMYFUNCTION("""COMPUTED_VALUE"""),"syntermedia.ai")</f>
        <v>syntermedia.ai</v>
      </c>
      <c r="D222" s="7" t="str">
        <f>IFERROR(__xludf.DUMMYFUNCTION("""COMPUTED_VALUE"""),"LISTICLE")</f>
        <v>LISTICLE</v>
      </c>
      <c r="E222" s="7" t="str">
        <f>IFERROR(__xludf.DUMMYFUNCTION("""COMPUTED_VALUE"""),"CORPORATE")</f>
        <v>CORPORATE</v>
      </c>
      <c r="F222" s="7" t="str">
        <f>IFERROR(__xludf.DUMMYFUNCTION("""COMPUTED_VALUE"""),"Listicle")</f>
        <v>Listicle</v>
      </c>
      <c r="G222" s="7" t="b">
        <f>IFERROR(__xludf.DUMMYFUNCTION("""COMPUTED_VALUE"""),FALSE)</f>
        <v>0</v>
      </c>
      <c r="H222" s="7"/>
      <c r="I222" s="7">
        <f>IFERROR(__xludf.DUMMYFUNCTION("""COMPUTED_VALUE"""),6.0)</f>
        <v>6</v>
      </c>
      <c r="J222" s="7">
        <f>IFERROR(__xludf.DUMMYFUNCTION("""COMPUTED_VALUE"""),0.01)</f>
        <v>0.01</v>
      </c>
      <c r="K222" s="7">
        <f>IFERROR(__xludf.DUMMYFUNCTION("""COMPUTED_VALUE"""),0.0)</f>
        <v>0</v>
      </c>
      <c r="L222" s="7"/>
    </row>
    <row r="223" ht="15.75" customHeight="1">
      <c r="A223" s="6" t="str">
        <f>IFERROR(__xludf.DUMMYFUNCTION("""COMPUTED_VALUE"""),"https://www.thehero.co/news/australias-top-creative-agency-named-in-business-best-performers#:~:text=The%20report%20found%20food%20manufacturing%20was%20the,PR%20and%20CX%2C%20according%20to%20the%20report.")</f>
        <v>https://www.thehero.co/news/australias-top-creative-agency-named-in-business-best-performers#:~:text=The%20report%20found%20food%20manufacturing%20was%20the,PR%20and%20CX%2C%20according%20to%20the%20report.</v>
      </c>
      <c r="B223" s="7" t="str">
        <f>IFERROR(__xludf.DUMMYFUNCTION("""COMPUTED_VALUE"""),"Australia's Top Creative Agency Named By TrinityP3 and B&amp;amp;T In New Business Rankings Best Performers")</f>
        <v>Australia's Top Creative Agency Named By TrinityP3 and B&amp;amp;T In New Business Rankings Best Performers</v>
      </c>
      <c r="C223" s="6" t="str">
        <f>IFERROR(__xludf.DUMMYFUNCTION("""COMPUTED_VALUE"""),"thehero.co")</f>
        <v>thehero.co</v>
      </c>
      <c r="D223" s="7" t="str">
        <f>IFERROR(__xludf.DUMMYFUNCTION("""COMPUTED_VALUE"""),"OTHER")</f>
        <v>OTHER</v>
      </c>
      <c r="E223" s="7" t="str">
        <f>IFERROR(__xludf.DUMMYFUNCTION("""COMPUTED_VALUE"""),"CORPORATE")</f>
        <v>CORPORATE</v>
      </c>
      <c r="F223" s="7" t="str">
        <f>IFERROR(__xludf.DUMMYFUNCTION("""COMPUTED_VALUE"""),"Other")</f>
        <v>Other</v>
      </c>
      <c r="G223" s="7" t="b">
        <f>IFERROR(__xludf.DUMMYFUNCTION("""COMPUTED_VALUE"""),FALSE)</f>
        <v>0</v>
      </c>
      <c r="H223" s="7" t="str">
        <f>IFERROR(__xludf.DUMMYFUNCTION("""COMPUTED_VALUE"""),"HERO")</f>
        <v>HERO</v>
      </c>
      <c r="I223" s="7">
        <f>IFERROR(__xludf.DUMMYFUNCTION("""COMPUTED_VALUE"""),6.0)</f>
        <v>6</v>
      </c>
      <c r="J223" s="7">
        <f>IFERROR(__xludf.DUMMYFUNCTION("""COMPUTED_VALUE"""),0.01)</f>
        <v>0.01</v>
      </c>
      <c r="K223" s="7">
        <f>IFERROR(__xludf.DUMMYFUNCTION("""COMPUTED_VALUE"""),1.17)</f>
        <v>1.17</v>
      </c>
      <c r="L223" s="7"/>
    </row>
    <row r="224" ht="15.75" customHeight="1">
      <c r="A224" s="6" t="str">
        <f>IFERROR(__xludf.DUMMYFUNCTION("""COMPUTED_VALUE"""),"https://titanblue.com.au/companies-for-social-media-marketing/?srsltid=AfmBOoq21wO8ZjboQuZ1D2V8SlPXLR8gDWQUvPiH1eQa9htbHDXUXWx_")</f>
        <v>https://titanblue.com.au/companies-for-social-media-marketing/?srsltid=AfmBOoq21wO8ZjboQuZ1D2V8SlPXLR8gDWQUvPiH1eQa9htbHDXUXWx_</v>
      </c>
      <c r="B224" s="7" t="str">
        <f>IFERROR(__xludf.DUMMYFUNCTION("""COMPUTED_VALUE"""),"Top 8 companies for social media marketing in Australia")</f>
        <v>Top 8 companies for social media marketing in Australia</v>
      </c>
      <c r="C224" s="6" t="str">
        <f>IFERROR(__xludf.DUMMYFUNCTION("""COMPUTED_VALUE"""),"titanblue.com.au")</f>
        <v>titanblue.com.au</v>
      </c>
      <c r="D224" s="7" t="str">
        <f>IFERROR(__xludf.DUMMYFUNCTION("""COMPUTED_VALUE"""),"OTHER")</f>
        <v>OTHER</v>
      </c>
      <c r="E224" s="7" t="str">
        <f>IFERROR(__xludf.DUMMYFUNCTION("""COMPUTED_VALUE"""),"CORPORATE")</f>
        <v>CORPORATE</v>
      </c>
      <c r="F224" s="7" t="str">
        <f>IFERROR(__xludf.DUMMYFUNCTION("""COMPUTED_VALUE"""),"Other")</f>
        <v>Other</v>
      </c>
      <c r="G224" s="7" t="b">
        <f>IFERROR(__xludf.DUMMYFUNCTION("""COMPUTED_VALUE"""),FALSE)</f>
        <v>0</v>
      </c>
      <c r="H224" s="7" t="str">
        <f>IFERROR(__xludf.DUMMYFUNCTION("""COMPUTED_VALUE"""),"Impressive, Megaphone, King Kong")</f>
        <v>Impressive, Megaphone, King Kong</v>
      </c>
      <c r="I224" s="7">
        <f>IFERROR(__xludf.DUMMYFUNCTION("""COMPUTED_VALUE"""),6.0)</f>
        <v>6</v>
      </c>
      <c r="J224" s="7">
        <f>IFERROR(__xludf.DUMMYFUNCTION("""COMPUTED_VALUE"""),0.01)</f>
        <v>0.01</v>
      </c>
      <c r="K224" s="7">
        <f>IFERROR(__xludf.DUMMYFUNCTION("""COMPUTED_VALUE"""),0.83)</f>
        <v>0.83</v>
      </c>
      <c r="L224" s="7"/>
    </row>
    <row r="225" ht="15.75" customHeight="1">
      <c r="A225" s="6" t="str">
        <f>IFERROR(__xludf.DUMMYFUNCTION("""COMPUTED_VALUE"""),"https://agencies.semrush.com/list/display-advertising/western-australia/")</f>
        <v>https://agencies.semrush.com/list/display-advertising/western-australia/</v>
      </c>
      <c r="B225" s="7" t="str">
        <f>IFERROR(__xludf.DUMMYFUNCTION("""COMPUTED_VALUE"""),"Best Display Ads Agencies in Western Australia 2026 | Semrush")</f>
        <v>Best Display Ads Agencies in Western Australia 2026 | Semrush</v>
      </c>
      <c r="C225" s="6" t="str">
        <f>IFERROR(__xludf.DUMMYFUNCTION("""COMPUTED_VALUE"""),"semrush.com")</f>
        <v>semrush.com</v>
      </c>
      <c r="D225" s="7" t="str">
        <f>IFERROR(__xludf.DUMMYFUNCTION("""COMPUTED_VALUE"""),"OTHER")</f>
        <v>OTHER</v>
      </c>
      <c r="E225" s="7" t="str">
        <f>IFERROR(__xludf.DUMMYFUNCTION("""COMPUTED_VALUE"""),"CORPORATE")</f>
        <v>CORPORATE</v>
      </c>
      <c r="F225" s="7" t="str">
        <f>IFERROR(__xludf.DUMMYFUNCTION("""COMPUTED_VALUE"""),"Other")</f>
        <v>Other</v>
      </c>
      <c r="G225" s="7" t="b">
        <f>IFERROR(__xludf.DUMMYFUNCTION("""COMPUTED_VALUE"""),FALSE)</f>
        <v>0</v>
      </c>
      <c r="H225" s="7"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225" s="7">
        <f>IFERROR(__xludf.DUMMYFUNCTION("""COMPUTED_VALUE"""),5.0)</f>
        <v>5</v>
      </c>
      <c r="J225" s="7">
        <f>IFERROR(__xludf.DUMMYFUNCTION("""COMPUTED_VALUE"""),0.01)</f>
        <v>0.01</v>
      </c>
      <c r="K225" s="7">
        <f>IFERROR(__xludf.DUMMYFUNCTION("""COMPUTED_VALUE"""),0.6)</f>
        <v>0.6</v>
      </c>
      <c r="L225" s="7"/>
    </row>
    <row r="226" ht="15.75" customHeight="1">
      <c r="A226" s="6" t="str">
        <f>IFERROR(__xludf.DUMMYFUNCTION("""COMPUTED_VALUE"""),"https://blurn.com/au/digital-marketing-services/direct-display-advertising-services/")</f>
        <v>https://blurn.com/au/digital-marketing-services/direct-display-advertising-services/</v>
      </c>
      <c r="B226" s="7" t="str">
        <f>IFERROR(__xludf.DUMMYFUNCTION("""COMPUTED_VALUE"""),"Rated Best Direct Display Advertising in Australia | Blurn, Sydney")</f>
        <v>Rated Best Direct Display Advertising in Australia | Blurn, Sydney</v>
      </c>
      <c r="C226" s="6" t="str">
        <f>IFERROR(__xludf.DUMMYFUNCTION("""COMPUTED_VALUE"""),"blurn.com")</f>
        <v>blurn.com</v>
      </c>
      <c r="D226" s="7" t="str">
        <f>IFERROR(__xludf.DUMMYFUNCTION("""COMPUTED_VALUE"""),"PRODUCT_PAGE")</f>
        <v>PRODUCT_PAGE</v>
      </c>
      <c r="E226" s="7" t="str">
        <f>IFERROR(__xludf.DUMMYFUNCTION("""COMPUTED_VALUE"""),"CORPORATE")</f>
        <v>CORPORATE</v>
      </c>
      <c r="F226" s="7" t="str">
        <f>IFERROR(__xludf.DUMMYFUNCTION("""COMPUTED_VALUE"""),"Product Page")</f>
        <v>Product Page</v>
      </c>
      <c r="G226" s="7" t="b">
        <f>IFERROR(__xludf.DUMMYFUNCTION("""COMPUTED_VALUE"""),FALSE)</f>
        <v>0</v>
      </c>
      <c r="H226" s="7"/>
      <c r="I226" s="7">
        <f>IFERROR(__xludf.DUMMYFUNCTION("""COMPUTED_VALUE"""),5.0)</f>
        <v>5</v>
      </c>
      <c r="J226" s="7">
        <f>IFERROR(__xludf.DUMMYFUNCTION("""COMPUTED_VALUE"""),0.01)</f>
        <v>0.01</v>
      </c>
      <c r="K226" s="7">
        <f>IFERROR(__xludf.DUMMYFUNCTION("""COMPUTED_VALUE"""),1.4)</f>
        <v>1.4</v>
      </c>
      <c r="L226" s="7"/>
    </row>
    <row r="227" ht="15.75" customHeight="1">
      <c r="A227" s="6" t="str">
        <f>IFERROR(__xludf.DUMMYFUNCTION("""COMPUTED_VALUE"""),"https://www.bushletter.com/the-10-best-aeo-agencies-for-australian-law-firms-in-2026/")</f>
        <v>https://www.bushletter.com/the-10-best-aeo-agencies-for-australian-law-firms-in-2026/</v>
      </c>
      <c r="B227" s="7" t="str">
        <f>IFERROR(__xludf.DUMMYFUNCTION("""COMPUTED_VALUE"""),"Best AEO agencies for Australian law firms 2026")</f>
        <v>Best AEO agencies for Australian law firms 2026</v>
      </c>
      <c r="C227" s="6" t="str">
        <f>IFERROR(__xludf.DUMMYFUNCTION("""COMPUTED_VALUE"""),"bushletter.com")</f>
        <v>bushletter.com</v>
      </c>
      <c r="D227" s="7" t="str">
        <f>IFERROR(__xludf.DUMMYFUNCTION("""COMPUTED_VALUE"""),"LISTICLE")</f>
        <v>LISTICLE</v>
      </c>
      <c r="E227" s="7" t="str">
        <f>IFERROR(__xludf.DUMMYFUNCTION("""COMPUTED_VALUE"""),"EDITORIAL")</f>
        <v>EDITORIAL</v>
      </c>
      <c r="F227" s="7" t="str">
        <f>IFERROR(__xludf.DUMMYFUNCTION("""COMPUTED_VALUE"""),"Listicle")</f>
        <v>Listicle</v>
      </c>
      <c r="G227" s="7" t="b">
        <f>IFERROR(__xludf.DUMMYFUNCTION("""COMPUTED_VALUE"""),FALSE)</f>
        <v>0</v>
      </c>
      <c r="H227" s="7" t="str">
        <f>IFERROR(__xludf.DUMMYFUNCTION("""COMPUTED_VALUE"""),"Bushnote, Uprise Digital, Webprofits")</f>
        <v>Bushnote, Uprise Digital, Webprofits</v>
      </c>
      <c r="I227" s="7">
        <f>IFERROR(__xludf.DUMMYFUNCTION("""COMPUTED_VALUE"""),5.0)</f>
        <v>5</v>
      </c>
      <c r="J227" s="7">
        <f>IFERROR(__xludf.DUMMYFUNCTION("""COMPUTED_VALUE"""),0.01)</f>
        <v>0.01</v>
      </c>
      <c r="K227" s="7">
        <f>IFERROR(__xludf.DUMMYFUNCTION("""COMPUTED_VALUE"""),0.2)</f>
        <v>0.2</v>
      </c>
      <c r="L227" s="7"/>
    </row>
    <row r="228" ht="15.75" customHeight="1">
      <c r="A228" s="6" t="str">
        <f>IFERROR(__xludf.DUMMYFUNCTION("""COMPUTED_VALUE"""),"https://capedigital.com.au/post/top-10-digital-marketing-agency-in-australia")</f>
        <v>https://capedigital.com.au/post/top-10-digital-marketing-agency-in-australia</v>
      </c>
      <c r="B228" s="7" t="str">
        <f>IFERROR(__xludf.DUMMYFUNCTION("""COMPUTED_VALUE"""),"Cape Digital | Top 10 Digital Marketing Agencies in Australia")</f>
        <v>Cape Digital | Top 10 Digital Marketing Agencies in Australia</v>
      </c>
      <c r="C228" s="6" t="str">
        <f>IFERROR(__xludf.DUMMYFUNCTION("""COMPUTED_VALUE"""),"capedigital.com.au")</f>
        <v>capedigital.com.au</v>
      </c>
      <c r="D228" s="7" t="str">
        <f>IFERROR(__xludf.DUMMYFUNCTION("""COMPUTED_VALUE"""),"LISTICLE")</f>
        <v>LISTICLE</v>
      </c>
      <c r="E228" s="7" t="str">
        <f>IFERROR(__xludf.DUMMYFUNCTION("""COMPUTED_VALUE"""),"CORPORATE")</f>
        <v>CORPORATE</v>
      </c>
      <c r="F228" s="7" t="str">
        <f>IFERROR(__xludf.DUMMYFUNCTION("""COMPUTED_VALUE"""),"Listicle")</f>
        <v>Listicle</v>
      </c>
      <c r="G228" s="7" t="b">
        <f>IFERROR(__xludf.DUMMYFUNCTION("""COMPUTED_VALUE"""),FALSE)</f>
        <v>0</v>
      </c>
      <c r="H228" s="7" t="str">
        <f>IFERROR(__xludf.DUMMYFUNCTION("""COMPUTED_VALUE"""),"Rocket Agency, Impressive, King Kong, Digital Movement")</f>
        <v>Rocket Agency, Impressive, King Kong, Digital Movement</v>
      </c>
      <c r="I228" s="7">
        <f>IFERROR(__xludf.DUMMYFUNCTION("""COMPUTED_VALUE"""),5.0)</f>
        <v>5</v>
      </c>
      <c r="J228" s="7">
        <f>IFERROR(__xludf.DUMMYFUNCTION("""COMPUTED_VALUE"""),0.01)</f>
        <v>0.01</v>
      </c>
      <c r="K228" s="7">
        <f>IFERROR(__xludf.DUMMYFUNCTION("""COMPUTED_VALUE"""),0.0)</f>
        <v>0</v>
      </c>
      <c r="L228" s="7"/>
    </row>
    <row r="229" ht="15.75" customHeight="1">
      <c r="A229" s="6" t="str">
        <f>IFERROR(__xludf.DUMMYFUNCTION("""COMPUTED_VALUE"""),"https://clutch.co/au/agencies/conversion-optimization")</f>
        <v>https://clutch.co/au/agencies/conversion-optimization</v>
      </c>
      <c r="B229" s="7" t="str">
        <f>IFERROR(__xludf.DUMMYFUNCTION("""COMPUTED_VALUE"""),"Top Conversion Rate Optimization Services in Australia - Jul 2026 Rankings \| Clutch.co")</f>
        <v>Top Conversion Rate Optimization Services in Australia - Jul 2026 Rankings \| Clutch.co</v>
      </c>
      <c r="C229" s="6" t="str">
        <f>IFERROR(__xludf.DUMMYFUNCTION("""COMPUTED_VALUE"""),"clutch.co")</f>
        <v>clutch.co</v>
      </c>
      <c r="D229" s="7" t="str">
        <f>IFERROR(__xludf.DUMMYFUNCTION("""COMPUTED_VALUE"""),"CATEGORY_PAGE")</f>
        <v>CATEGORY_PAGE</v>
      </c>
      <c r="E229" s="7" t="str">
        <f>IFERROR(__xludf.DUMMYFUNCTION("""COMPUTED_VALUE"""),"CORPORATE")</f>
        <v>CORPORATE</v>
      </c>
      <c r="F229" s="7" t="str">
        <f>IFERROR(__xludf.DUMMYFUNCTION("""COMPUTED_VALUE"""),"Category Page")</f>
        <v>Category Page</v>
      </c>
      <c r="G229" s="7" t="b">
        <f>IFERROR(__xludf.DUMMYFUNCTION("""COMPUTED_VALUE"""),FALSE)</f>
        <v>0</v>
      </c>
      <c r="H229" s="7" t="str">
        <f>IFERROR(__xludf.DUMMYFUNCTION("""COMPUTED_VALUE"""),"Human Digital, CUT THRU, Impressive, Huge, Reform Digital, ROI Growth Agency, RAW Studio, Digitxl")</f>
        <v>Human Digital, CUT THRU, Impressive, Huge, Reform Digital, ROI Growth Agency, RAW Studio, Digitxl</v>
      </c>
      <c r="I229" s="7">
        <f>IFERROR(__xludf.DUMMYFUNCTION("""COMPUTED_VALUE"""),5.0)</f>
        <v>5</v>
      </c>
      <c r="J229" s="7">
        <f>IFERROR(__xludf.DUMMYFUNCTION("""COMPUTED_VALUE"""),0.01)</f>
        <v>0.01</v>
      </c>
      <c r="K229" s="7">
        <f>IFERROR(__xludf.DUMMYFUNCTION("""COMPUTED_VALUE"""),0.2)</f>
        <v>0.2</v>
      </c>
      <c r="L229" s="7"/>
    </row>
    <row r="230" ht="15.75" customHeight="1">
      <c r="A230" s="6" t="str">
        <f>IFERROR(__xludf.DUMMYFUNCTION("""COMPUTED_VALUE"""),"https://clutch.co/au/agencies/creative/sydney")</f>
        <v>https://clutch.co/au/agencies/creative/sydney</v>
      </c>
      <c r="B230" s="7" t="str">
        <f>IFERROR(__xludf.DUMMYFUNCTION("""COMPUTED_VALUE"""),"Top Creative Agencies in Sydney - Jul 2026 Rankings \| Clutch.co")</f>
        <v>Top Creative Agencies in Sydney - Jul 2026 Rankings \| Clutch.co</v>
      </c>
      <c r="C230" s="6" t="str">
        <f>IFERROR(__xludf.DUMMYFUNCTION("""COMPUTED_VALUE"""),"clutch.co")</f>
        <v>clutch.co</v>
      </c>
      <c r="D230" s="7" t="str">
        <f>IFERROR(__xludf.DUMMYFUNCTION("""COMPUTED_VALUE"""),"CATEGORY_PAGE")</f>
        <v>CATEGORY_PAGE</v>
      </c>
      <c r="E230" s="7" t="str">
        <f>IFERROR(__xludf.DUMMYFUNCTION("""COMPUTED_VALUE"""),"CORPORATE")</f>
        <v>CORPORATE</v>
      </c>
      <c r="F230" s="7" t="str">
        <f>IFERROR(__xludf.DUMMYFUNCTION("""COMPUTED_VALUE"""),"Category Page")</f>
        <v>Category Page</v>
      </c>
      <c r="G230" s="7" t="b">
        <f>IFERROR(__xludf.DUMMYFUNCTION("""COMPUTED_VALUE"""),FALSE)</f>
        <v>0</v>
      </c>
      <c r="H230" s="7" t="str">
        <f>IFERROR(__xludf.DUMMYFUNCTION("""COMPUTED_VALUE"""),"Chello, Human Digital, Impressive, Huge, Dentsu, BMF")</f>
        <v>Chello, Human Digital, Impressive, Huge, Dentsu, BMF</v>
      </c>
      <c r="I230" s="7">
        <f>IFERROR(__xludf.DUMMYFUNCTION("""COMPUTED_VALUE"""),5.0)</f>
        <v>5</v>
      </c>
      <c r="J230" s="7">
        <f>IFERROR(__xludf.DUMMYFUNCTION("""COMPUTED_VALUE"""),0.01)</f>
        <v>0.01</v>
      </c>
      <c r="K230" s="7">
        <f>IFERROR(__xludf.DUMMYFUNCTION("""COMPUTED_VALUE"""),0.0)</f>
        <v>0</v>
      </c>
      <c r="L230" s="7"/>
    </row>
    <row r="231" ht="15.75" customHeight="1">
      <c r="A231" s="6" t="str">
        <f>IFERROR(__xludf.DUMMYFUNCTION("""COMPUTED_VALUE"""),"https://clutch.co/au/agencies/ppc/display?page=2")</f>
        <v>https://clutch.co/au/agencies/ppc/display?page=2</v>
      </c>
      <c r="B231" s="7" t="str">
        <f>IFERROR(__xludf.DUMMYFUNCTION("""COMPUTED_VALUE"""),"Page 2 - Top Display Advertising Services in Australia - Jul 2026 Rankings | Clutch.co")</f>
        <v>Page 2 - Top Display Advertising Services in Australia - Jul 2026 Rankings | Clutch.co</v>
      </c>
      <c r="C231" s="6" t="str">
        <f>IFERROR(__xludf.DUMMYFUNCTION("""COMPUTED_VALUE"""),"clutch.co")</f>
        <v>clutch.co</v>
      </c>
      <c r="D231" s="7" t="str">
        <f>IFERROR(__xludf.DUMMYFUNCTION("""COMPUTED_VALUE"""),"OTHER")</f>
        <v>OTHER</v>
      </c>
      <c r="E231" s="7" t="str">
        <f>IFERROR(__xludf.DUMMYFUNCTION("""COMPUTED_VALUE"""),"CORPORATE")</f>
        <v>CORPORATE</v>
      </c>
      <c r="F231" s="7" t="str">
        <f>IFERROR(__xludf.DUMMYFUNCTION("""COMPUTED_VALUE"""),"Other")</f>
        <v>Other</v>
      </c>
      <c r="G231" s="7" t="b">
        <f>IFERROR(__xludf.DUMMYFUNCTION("""COMPUTED_VALUE"""),FALSE)</f>
        <v>0</v>
      </c>
      <c r="H231" s="7" t="str">
        <f>IFERROR(__xludf.DUMMYFUNCTION("""COMPUTED_VALUE"""),"First Page, Impressive, Paradox Marketing, Intesols, Soup Agency, Salt &amp; Fuessel, Click Click Media")</f>
        <v>First Page, Impressive, Paradox Marketing, Intesols, Soup Agency, Salt &amp; Fuessel, Click Click Media</v>
      </c>
      <c r="I231" s="7">
        <f>IFERROR(__xludf.DUMMYFUNCTION("""COMPUTED_VALUE"""),5.0)</f>
        <v>5</v>
      </c>
      <c r="J231" s="7">
        <f>IFERROR(__xludf.DUMMYFUNCTION("""COMPUTED_VALUE"""),0.01)</f>
        <v>0.01</v>
      </c>
      <c r="K231" s="7">
        <f>IFERROR(__xludf.DUMMYFUNCTION("""COMPUTED_VALUE"""),0.0)</f>
        <v>0</v>
      </c>
      <c r="L231" s="7"/>
    </row>
    <row r="232" ht="15.75" customHeight="1">
      <c r="A232" s="6" t="str">
        <f>IFERROR(__xludf.DUMMYFUNCTION("""COMPUTED_VALUE"""),"https://clutch.co/au/it-services/analytics")</f>
        <v>https://clutch.co/au/it-services/analytics</v>
      </c>
      <c r="B232" s="7" t="str">
        <f>IFERROR(__xludf.DUMMYFUNCTION("""COMPUTED_VALUE"""),"Top Big Data Analytics Companies in Australia - Jul 2026 Rankings | Clutch.co")</f>
        <v>Top Big Data Analytics Companies in Australia - Jul 2026 Rankings | Clutch.co</v>
      </c>
      <c r="C232" s="6" t="str">
        <f>IFERROR(__xludf.DUMMYFUNCTION("""COMPUTED_VALUE"""),"clutch.co")</f>
        <v>clutch.co</v>
      </c>
      <c r="D232" s="7" t="str">
        <f>IFERROR(__xludf.DUMMYFUNCTION("""COMPUTED_VALUE"""),"CATEGORY_PAGE")</f>
        <v>CATEGORY_PAGE</v>
      </c>
      <c r="E232" s="7" t="str">
        <f>IFERROR(__xludf.DUMMYFUNCTION("""COMPUTED_VALUE"""),"CORPORATE")</f>
        <v>CORPORATE</v>
      </c>
      <c r="F232" s="7" t="str">
        <f>IFERROR(__xludf.DUMMYFUNCTION("""COMPUTED_VALUE"""),"Category Page")</f>
        <v>Category Page</v>
      </c>
      <c r="G232" s="7" t="b">
        <f>IFERROR(__xludf.DUMMYFUNCTION("""COMPUTED_VALUE"""),FALSE)</f>
        <v>0</v>
      </c>
      <c r="H232" s="7" t="str">
        <f>IFERROR(__xludf.DUMMYFUNCTION("""COMPUTED_VALUE"""),"Impressive, Huge")</f>
        <v>Impressive, Huge</v>
      </c>
      <c r="I232" s="7">
        <f>IFERROR(__xludf.DUMMYFUNCTION("""COMPUTED_VALUE"""),5.0)</f>
        <v>5</v>
      </c>
      <c r="J232" s="7">
        <f>IFERROR(__xludf.DUMMYFUNCTION("""COMPUTED_VALUE"""),0.01)</f>
        <v>0.01</v>
      </c>
      <c r="K232" s="7">
        <f>IFERROR(__xludf.DUMMYFUNCTION("""COMPUTED_VALUE"""),1.2)</f>
        <v>1.2</v>
      </c>
      <c r="L232" s="7"/>
    </row>
    <row r="233" ht="15.75" customHeight="1">
      <c r="A233" s="6" t="str">
        <f>IFERROR(__xludf.DUMMYFUNCTION("""COMPUTED_VALUE"""),"https://www.designrush.com/agency/paid-media-pay-per-click/au?page=6")</f>
        <v>https://www.designrush.com/agency/paid-media-pay-per-click/au?page=6</v>
      </c>
      <c r="B233" s="7" t="str">
        <f>IFERROR(__xludf.DUMMYFUNCTION("""COMPUTED_VALUE"""),"Top PPC Services in Australia - Page 6")</f>
        <v>Top PPC Services in Australia - Page 6</v>
      </c>
      <c r="C233" s="6" t="str">
        <f>IFERROR(__xludf.DUMMYFUNCTION("""COMPUTED_VALUE"""),"designrush.com")</f>
        <v>designrush.com</v>
      </c>
      <c r="D233" s="7" t="str">
        <f>IFERROR(__xludf.DUMMYFUNCTION("""COMPUTED_VALUE"""),"PRODUCT_PAGE")</f>
        <v>PRODUCT_PAGE</v>
      </c>
      <c r="E233" s="7" t="str">
        <f>IFERROR(__xludf.DUMMYFUNCTION("""COMPUTED_VALUE"""),"CORPORATE")</f>
        <v>CORPORATE</v>
      </c>
      <c r="F233" s="7" t="str">
        <f>IFERROR(__xludf.DUMMYFUNCTION("""COMPUTED_VALUE"""),"Product Page")</f>
        <v>Product Page</v>
      </c>
      <c r="G233" s="7" t="b">
        <f>IFERROR(__xludf.DUMMYFUNCTION("""COMPUTED_VALUE"""),FALSE)</f>
        <v>0</v>
      </c>
      <c r="H233" s="7" t="str">
        <f>IFERROR(__xludf.DUMMYFUNCTION("""COMPUTED_VALUE"""),"Reload Media, Impressive, Zib Digital, AdVisible")</f>
        <v>Reload Media, Impressive, Zib Digital, AdVisible</v>
      </c>
      <c r="I233" s="7">
        <f>IFERROR(__xludf.DUMMYFUNCTION("""COMPUTED_VALUE"""),5.0)</f>
        <v>5</v>
      </c>
      <c r="J233" s="7">
        <f>IFERROR(__xludf.DUMMYFUNCTION("""COMPUTED_VALUE"""),0.01)</f>
        <v>0.01</v>
      </c>
      <c r="K233" s="7">
        <f>IFERROR(__xludf.DUMMYFUNCTION("""COMPUTED_VALUE"""),2.2)</f>
        <v>2.2</v>
      </c>
      <c r="L233" s="7"/>
    </row>
    <row r="234" ht="15.75" customHeight="1">
      <c r="A234" s="6" t="str">
        <f>IFERROR(__xludf.DUMMYFUNCTION("""COMPUTED_VALUE"""),"https://www.exaltgrowth.com/generative-engine-optimization/top-sydney-saas-geo-agencies")</f>
        <v>https://www.exaltgrowth.com/generative-engine-optimization/top-sydney-saas-geo-agencies</v>
      </c>
      <c r="B234" s="7" t="str">
        <f>IFERROR(__xludf.DUMMYFUNCTION("""COMPUTED_VALUE"""),"Top 8 Sydney SaaS GEO Agencies in 2026")</f>
        <v>Top 8 Sydney SaaS GEO Agencies in 2026</v>
      </c>
      <c r="C234" s="6" t="str">
        <f>IFERROR(__xludf.DUMMYFUNCTION("""COMPUTED_VALUE"""),"exaltgrowth.com")</f>
        <v>exaltgrowth.com</v>
      </c>
      <c r="D234" s="7" t="str">
        <f>IFERROR(__xludf.DUMMYFUNCTION("""COMPUTED_VALUE"""),"LISTICLE")</f>
        <v>LISTICLE</v>
      </c>
      <c r="E234" s="7" t="str">
        <f>IFERROR(__xludf.DUMMYFUNCTION("""COMPUTED_VALUE"""),"CORPORATE")</f>
        <v>CORPORATE</v>
      </c>
      <c r="F234" s="7" t="str">
        <f>IFERROR(__xludf.DUMMYFUNCTION("""COMPUTED_VALUE"""),"Listicle")</f>
        <v>Listicle</v>
      </c>
      <c r="G234" s="7" t="b">
        <f>IFERROR(__xludf.DUMMYFUNCTION("""COMPUTED_VALUE"""),FALSE)</f>
        <v>0</v>
      </c>
      <c r="H234" s="7" t="str">
        <f>IFERROR(__xludf.DUMMYFUNCTION("""COMPUTED_VALUE"""),"Prosperity Media, Impressive, Soup Agency, PK SEO, Earned Media, Marketix Digital")</f>
        <v>Prosperity Media, Impressive, Soup Agency, PK SEO, Earned Media, Marketix Digital</v>
      </c>
      <c r="I234" s="7">
        <f>IFERROR(__xludf.DUMMYFUNCTION("""COMPUTED_VALUE"""),5.0)</f>
        <v>5</v>
      </c>
      <c r="J234" s="7">
        <f>IFERROR(__xludf.DUMMYFUNCTION("""COMPUTED_VALUE"""),0.01)</f>
        <v>0.01</v>
      </c>
      <c r="K234" s="7">
        <f>IFERROR(__xludf.DUMMYFUNCTION("""COMPUTED_VALUE"""),1.6)</f>
        <v>1.6</v>
      </c>
      <c r="L234" s="7"/>
    </row>
    <row r="235" ht="15.75" customHeight="1">
      <c r="A235" s="6" t="str">
        <f>IFERROR(__xludf.DUMMYFUNCTION("""COMPUTED_VALUE"""),"https://frankdigital.agency/google-ads/google-display-advertising-companies/")</f>
        <v>https://frankdigital.agency/google-ads/google-display-advertising-companies/</v>
      </c>
      <c r="B235" s="7" t="str">
        <f>IFERROR(__xludf.DUMMYFUNCTION("""COMPUTED_VALUE"""),"7 Top Google Display Advertising Companies in Australia for 2025")</f>
        <v>7 Top Google Display Advertising Companies in Australia for 2025</v>
      </c>
      <c r="C235" s="7" t="str">
        <f>IFERROR(__xludf.DUMMYFUNCTION("""COMPUTED_VALUE"""),"frankdigital.agency")</f>
        <v>frankdigital.agency</v>
      </c>
      <c r="D235" s="7" t="str">
        <f>IFERROR(__xludf.DUMMYFUNCTION("""COMPUTED_VALUE"""),"LISTICLE")</f>
        <v>LISTICLE</v>
      </c>
      <c r="E235" s="7" t="str">
        <f>IFERROR(__xludf.DUMMYFUNCTION("""COMPUTED_VALUE"""),"CORPORATE")</f>
        <v>CORPORATE</v>
      </c>
      <c r="F235" s="7" t="str">
        <f>IFERROR(__xludf.DUMMYFUNCTION("""COMPUTED_VALUE"""),"Listicle")</f>
        <v>Listicle</v>
      </c>
      <c r="G235" s="7" t="b">
        <f>IFERROR(__xludf.DUMMYFUNCTION("""COMPUTED_VALUE"""),FALSE)</f>
        <v>0</v>
      </c>
      <c r="H235" s="7" t="str">
        <f>IFERROR(__xludf.DUMMYFUNCTION("""COMPUTED_VALUE"""),"Rocket Agency, SearchMax")</f>
        <v>Rocket Agency, SearchMax</v>
      </c>
      <c r="I235" s="7">
        <f>IFERROR(__xludf.DUMMYFUNCTION("""COMPUTED_VALUE"""),5.0)</f>
        <v>5</v>
      </c>
      <c r="J235" s="7">
        <f>IFERROR(__xludf.DUMMYFUNCTION("""COMPUTED_VALUE"""),0.01)</f>
        <v>0.01</v>
      </c>
      <c r="K235" s="7">
        <f>IFERROR(__xludf.DUMMYFUNCTION("""COMPUTED_VALUE"""),0.0)</f>
        <v>0</v>
      </c>
      <c r="L235" s="7"/>
    </row>
    <row r="236" ht="15.75" customHeight="1">
      <c r="A236" s="6" t="str">
        <f>IFERROR(__xludf.DUMMYFUNCTION("""COMPUTED_VALUE"""),"https://www.hashmeta.ai/en/blog/top-10-ai-agencies-in-australia-expert-guide-to-choosing-your-ai-marketing-partner")</f>
        <v>https://www.hashmeta.ai/en/blog/top-10-ai-agencies-in-australia-expert-guide-to-choosing-your-ai-marketing-partner</v>
      </c>
      <c r="B236" s="7" t="str">
        <f>IFERROR(__xludf.DUMMYFUNCTION("""COMPUTED_VALUE"""),"Top 10 AI Agencies in Australia: Expert Guide to Choosing Your AI Marketing Partner | Hashmeta AI Marketing Blog")</f>
        <v>Top 10 AI Agencies in Australia: Expert Guide to Choosing Your AI Marketing Partner | Hashmeta AI Marketing Blog</v>
      </c>
      <c r="C236" s="6" t="str">
        <f>IFERROR(__xludf.DUMMYFUNCTION("""COMPUTED_VALUE"""),"hashmeta.ai")</f>
        <v>hashmeta.ai</v>
      </c>
      <c r="D236" s="7" t="str">
        <f>IFERROR(__xludf.DUMMYFUNCTION("""COMPUTED_VALUE"""),"LISTICLE")</f>
        <v>LISTICLE</v>
      </c>
      <c r="E236" s="7" t="str">
        <f>IFERROR(__xludf.DUMMYFUNCTION("""COMPUTED_VALUE"""),"CORPORATE")</f>
        <v>CORPORATE</v>
      </c>
      <c r="F236" s="7" t="str">
        <f>IFERROR(__xludf.DUMMYFUNCTION("""COMPUTED_VALUE"""),"Listicle")</f>
        <v>Listicle</v>
      </c>
      <c r="G236" s="7" t="b">
        <f>IFERROR(__xludf.DUMMYFUNCTION("""COMPUTED_VALUE"""),FALSE)</f>
        <v>0</v>
      </c>
      <c r="H236" s="7" t="str">
        <f>IFERROR(__xludf.DUMMYFUNCTION("""COMPUTED_VALUE"""),"Emote Digital, Impressive")</f>
        <v>Emote Digital, Impressive</v>
      </c>
      <c r="I236" s="7">
        <f>IFERROR(__xludf.DUMMYFUNCTION("""COMPUTED_VALUE"""),5.0)</f>
        <v>5</v>
      </c>
      <c r="J236" s="7">
        <f>IFERROR(__xludf.DUMMYFUNCTION("""COMPUTED_VALUE"""),0.01)</f>
        <v>0.01</v>
      </c>
      <c r="K236" s="7">
        <f>IFERROR(__xludf.DUMMYFUNCTION("""COMPUTED_VALUE"""),0.4)</f>
        <v>0.4</v>
      </c>
      <c r="L236" s="7"/>
    </row>
    <row r="237" ht="15.75" customHeight="1">
      <c r="A237" s="6" t="str">
        <f>IFERROR(__xludf.DUMMYFUNCTION("""COMPUTED_VALUE"""),"https://www.haus.io/blog/choosing-the-best-incrementality-testing-tool")</f>
        <v>https://www.haus.io/blog/choosing-the-best-incrementality-testing-tool</v>
      </c>
      <c r="B237" s="7" t="str">
        <f>IFERROR(__xludf.DUMMYFUNCTION("""COMPUTED_VALUE"""),"Incrementality Testing: How to Choose the Best Tool")</f>
        <v>Incrementality Testing: How to Choose the Best Tool</v>
      </c>
      <c r="C237" s="6" t="str">
        <f>IFERROR(__xludf.DUMMYFUNCTION("""COMPUTED_VALUE"""),"haus.io")</f>
        <v>haus.io</v>
      </c>
      <c r="D237" s="7" t="str">
        <f>IFERROR(__xludf.DUMMYFUNCTION("""COMPUTED_VALUE"""),"LISTICLE")</f>
        <v>LISTICLE</v>
      </c>
      <c r="E237" s="7" t="str">
        <f>IFERROR(__xludf.DUMMYFUNCTION("""COMPUTED_VALUE"""),"COMPETITOR")</f>
        <v>COMPETITOR</v>
      </c>
      <c r="F237" s="7" t="str">
        <f>IFERROR(__xludf.DUMMYFUNCTION("""COMPUTED_VALUE"""),"Listicle")</f>
        <v>Listicle</v>
      </c>
      <c r="G237" s="7" t="b">
        <f>IFERROR(__xludf.DUMMYFUNCTION("""COMPUTED_VALUE"""),FALSE)</f>
        <v>0</v>
      </c>
      <c r="H237" s="7" t="str">
        <f>IFERROR(__xludf.DUMMYFUNCTION("""COMPUTED_VALUE"""),"Haus, PHD")</f>
        <v>Haus, PHD</v>
      </c>
      <c r="I237" s="7">
        <f>IFERROR(__xludf.DUMMYFUNCTION("""COMPUTED_VALUE"""),5.0)</f>
        <v>5</v>
      </c>
      <c r="J237" s="7">
        <f>IFERROR(__xludf.DUMMYFUNCTION("""COMPUTED_VALUE"""),0.01)</f>
        <v>0.01</v>
      </c>
      <c r="K237" s="7">
        <f>IFERROR(__xludf.DUMMYFUNCTION("""COMPUTED_VALUE"""),1.2)</f>
        <v>1.2</v>
      </c>
      <c r="L237" s="7"/>
    </row>
    <row r="238" ht="15.75" customHeight="1">
      <c r="A238" s="6" t="str">
        <f>IFERROR(__xludf.DUMMYFUNCTION("""COMPUTED_VALUE"""),"https://homerdigitalmarketing.com/pay-per-click-agency/")</f>
        <v>https://homerdigitalmarketing.com/pay-per-click-agency/</v>
      </c>
      <c r="B238" s="7" t="str">
        <f>IFERROR(__xludf.DUMMYFUNCTION("""COMPUTED_VALUE"""),"Top 12 Pay Per Click Agency Options in Australia for 2024 - Homer Digital Marketing")</f>
        <v>Top 12 Pay Per Click Agency Options in Australia for 2024 - Homer Digital Marketing</v>
      </c>
      <c r="C238" s="6" t="str">
        <f>IFERROR(__xludf.DUMMYFUNCTION("""COMPUTED_VALUE"""),"homerdigitalmarketing.com")</f>
        <v>homerdigitalmarketing.com</v>
      </c>
      <c r="D238" s="7" t="str">
        <f>IFERROR(__xludf.DUMMYFUNCTION("""COMPUTED_VALUE"""),"LISTICLE")</f>
        <v>LISTICLE</v>
      </c>
      <c r="E238" s="7" t="str">
        <f>IFERROR(__xludf.DUMMYFUNCTION("""COMPUTED_VALUE"""),"CORPORATE")</f>
        <v>CORPORATE</v>
      </c>
      <c r="F238" s="7" t="str">
        <f>IFERROR(__xludf.DUMMYFUNCTION("""COMPUTED_VALUE"""),"Listicle")</f>
        <v>Listicle</v>
      </c>
      <c r="G238" s="7" t="b">
        <f>IFERROR(__xludf.DUMMYFUNCTION("""COMPUTED_VALUE"""),FALSE)</f>
        <v>0</v>
      </c>
      <c r="H238" s="7" t="str">
        <f>IFERROR(__xludf.DUMMYFUNCTION("""COMPUTED_VALUE"""),"WebSavvy, Sparro, Brainlabs, Reload Media, Alpha Digital, Bonfire, Rocket Agency, Impressive, Clearwater Agency, Click Click Media")</f>
        <v>WebSavvy, Sparro, Brainlabs, Reload Media, Alpha Digital, Bonfire, Rocket Agency, Impressive, Clearwater Agency, Click Click Media</v>
      </c>
      <c r="I238" s="7">
        <f>IFERROR(__xludf.DUMMYFUNCTION("""COMPUTED_VALUE"""),5.0)</f>
        <v>5</v>
      </c>
      <c r="J238" s="7">
        <f>IFERROR(__xludf.DUMMYFUNCTION("""COMPUTED_VALUE"""),0.01)</f>
        <v>0.01</v>
      </c>
      <c r="K238" s="7">
        <f>IFERROR(__xludf.DUMMYFUNCTION("""COMPUTED_VALUE"""),0.6)</f>
        <v>0.6</v>
      </c>
      <c r="L238" s="7"/>
    </row>
    <row r="239" ht="15.75" customHeight="1">
      <c r="A239" s="6" t="str">
        <f>IFERROR(__xludf.DUMMYFUNCTION("""COMPUTED_VALUE"""),"https://inbeat.agency/blog/top-digital-marketing-agencies-sydney")</f>
        <v>https://inbeat.agency/blog/top-digital-marketing-agencies-sydney</v>
      </c>
      <c r="B239" s="7" t="str">
        <f>IFERROR(__xludf.DUMMYFUNCTION("""COMPUTED_VALUE"""),"Best 30+ Digital Marketing Agencies in Sydney – Reviewed in June 2025 - inBeat Agency")</f>
        <v>Best 30+ Digital Marketing Agencies in Sydney – Reviewed in June 2025 - inBeat Agency</v>
      </c>
      <c r="C239" s="7" t="str">
        <f>IFERROR(__xludf.DUMMYFUNCTION("""COMPUTED_VALUE"""),"inbeat.agency")</f>
        <v>inbeat.agency</v>
      </c>
      <c r="D239" s="7" t="str">
        <f>IFERROR(__xludf.DUMMYFUNCTION("""COMPUTED_VALUE"""),"LISTICLE")</f>
        <v>LISTICLE</v>
      </c>
      <c r="E239" s="7" t="str">
        <f>IFERROR(__xludf.DUMMYFUNCTION("""COMPUTED_VALUE"""),"CORPORATE")</f>
        <v>CORPORATE</v>
      </c>
      <c r="F239" s="7" t="str">
        <f>IFERROR(__xludf.DUMMYFUNCTION("""COMPUTED_VALUE"""),"Listicle")</f>
        <v>Listicle</v>
      </c>
      <c r="G239" s="7" t="b">
        <f>IFERROR(__xludf.DUMMYFUNCTION("""COMPUTED_VALUE"""),FALSE)</f>
        <v>0</v>
      </c>
      <c r="H239" s="7" t="str">
        <f>IFERROR(__xludf.DUMMYFUNCTION("""COMPUTED_VALUE"""),"Rocket Agency, AdVisible, Impressive, Soup Agency, Bench Media, 23 Digital, Zib Digital, Gorilla 360, Resolution Digital, Supple Digital, Alpha Digital, Bonfire, Reef Digital Agency")</f>
        <v>Rocket Agency, AdVisible, Impressive, Soup Agency, Bench Media, 23 Digital, Zib Digital, Gorilla 360, Resolution Digital, Supple Digital, Alpha Digital, Bonfire, Reef Digital Agency</v>
      </c>
      <c r="I239" s="7">
        <f>IFERROR(__xludf.DUMMYFUNCTION("""COMPUTED_VALUE"""),5.0)</f>
        <v>5</v>
      </c>
      <c r="J239" s="7">
        <f>IFERROR(__xludf.DUMMYFUNCTION("""COMPUTED_VALUE"""),0.01)</f>
        <v>0.01</v>
      </c>
      <c r="K239" s="7">
        <f>IFERROR(__xludf.DUMMYFUNCTION("""COMPUTED_VALUE"""),0.0)</f>
        <v>0</v>
      </c>
      <c r="L239" s="7"/>
    </row>
    <row r="240" ht="15.75" customHeight="1">
      <c r="A240" s="6" t="str">
        <f>IFERROR(__xludf.DUMMYFUNCTION("""COMPUTED_VALUE"""),"https://inbeat.agency/blog/top-marketing-analytics-agencies")</f>
        <v>https://inbeat.agency/blog/top-marketing-analytics-agencies</v>
      </c>
      <c r="B240" s="7" t="str">
        <f>IFERROR(__xludf.DUMMYFUNCTION("""COMPUTED_VALUE"""),"Top 15 Marketing Analytics Agencies Defining 2026 - inBeat Agency")</f>
        <v>Top 15 Marketing Analytics Agencies Defining 2026 - inBeat Agency</v>
      </c>
      <c r="C240" s="7" t="str">
        <f>IFERROR(__xludf.DUMMYFUNCTION("""COMPUTED_VALUE"""),"inbeat.agency")</f>
        <v>inbeat.agency</v>
      </c>
      <c r="D240" s="7" t="str">
        <f>IFERROR(__xludf.DUMMYFUNCTION("""COMPUTED_VALUE"""),"LISTICLE")</f>
        <v>LISTICLE</v>
      </c>
      <c r="E240" s="7" t="str">
        <f>IFERROR(__xludf.DUMMYFUNCTION("""COMPUTED_VALUE"""),"CORPORATE")</f>
        <v>CORPORATE</v>
      </c>
      <c r="F240" s="7" t="str">
        <f>IFERROR(__xludf.DUMMYFUNCTION("""COMPUTED_VALUE"""),"Listicle")</f>
        <v>Listicle</v>
      </c>
      <c r="G240" s="7" t="b">
        <f>IFERROR(__xludf.DUMMYFUNCTION("""COMPUTED_VALUE"""),FALSE)</f>
        <v>0</v>
      </c>
      <c r="H240" s="7" t="str">
        <f>IFERROR(__xludf.DUMMYFUNCTION("""COMPUTED_VALUE"""),"PHD, Momentum")</f>
        <v>PHD, Momentum</v>
      </c>
      <c r="I240" s="7">
        <f>IFERROR(__xludf.DUMMYFUNCTION("""COMPUTED_VALUE"""),5.0)</f>
        <v>5</v>
      </c>
      <c r="J240" s="7">
        <f>IFERROR(__xludf.DUMMYFUNCTION("""COMPUTED_VALUE"""),0.01)</f>
        <v>0.01</v>
      </c>
      <c r="K240" s="7">
        <f>IFERROR(__xludf.DUMMYFUNCTION("""COMPUTED_VALUE"""),0.0)</f>
        <v>0</v>
      </c>
      <c r="L240" s="7"/>
    </row>
    <row r="241" ht="15.75" customHeight="1">
      <c r="A241" s="6" t="str">
        <f>IFERROR(__xludf.DUMMYFUNCTION("""COMPUTED_VALUE"""),"https://www.linkedin.com/pulse/top-ai-seo-agencies-australia-watch-year-shivanshi-rai-dpy2c")</f>
        <v>https://www.linkedin.com/pulse/top-ai-seo-agencies-australia-watch-year-shivanshi-rai-dpy2c</v>
      </c>
      <c r="B241" s="7" t="str">
        <f>IFERROR(__xludf.DUMMYFUNCTION("""COMPUTED_VALUE"""),"Top AI SEO Agencies in Australia to Watch This Year")</f>
        <v>Top AI SEO Agencies in Australia to Watch This Year</v>
      </c>
      <c r="C241" s="6" t="str">
        <f>IFERROR(__xludf.DUMMYFUNCTION("""COMPUTED_VALUE"""),"linkedin.com")</f>
        <v>linkedin.com</v>
      </c>
      <c r="D241" s="7" t="str">
        <f>IFERROR(__xludf.DUMMYFUNCTION("""COMPUTED_VALUE"""),"LISTICLE")</f>
        <v>LISTICLE</v>
      </c>
      <c r="E241" s="7" t="str">
        <f>IFERROR(__xludf.DUMMYFUNCTION("""COMPUTED_VALUE"""),"UGC")</f>
        <v>UGC</v>
      </c>
      <c r="F241" s="7" t="str">
        <f>IFERROR(__xludf.DUMMYFUNCTION("""COMPUTED_VALUE"""),"Listicle")</f>
        <v>Listicle</v>
      </c>
      <c r="G241" s="7" t="b">
        <f>IFERROR(__xludf.DUMMYFUNCTION("""COMPUTED_VALUE"""),FALSE)</f>
        <v>0</v>
      </c>
      <c r="H241" s="7" t="str">
        <f>IFERROR(__xludf.DUMMYFUNCTION("""COMPUTED_VALUE"""),"Supple Digital, Digital Nomads HQ, StudioHawk, First Page, First Page Australia, Online Marketing Gurus, Clearwater Agency, Megaphone")</f>
        <v>Supple Digital, Digital Nomads HQ, StudioHawk, First Page, First Page Australia, Online Marketing Gurus, Clearwater Agency, Megaphone</v>
      </c>
      <c r="I241" s="7">
        <f>IFERROR(__xludf.DUMMYFUNCTION("""COMPUTED_VALUE"""),5.0)</f>
        <v>5</v>
      </c>
      <c r="J241" s="7">
        <f>IFERROR(__xludf.DUMMYFUNCTION("""COMPUTED_VALUE"""),0.01)</f>
        <v>0.01</v>
      </c>
      <c r="K241" s="7">
        <f>IFERROR(__xludf.DUMMYFUNCTION("""COMPUTED_VALUE"""),1.0)</f>
        <v>1</v>
      </c>
      <c r="L241" s="7"/>
    </row>
    <row r="242" ht="15.75" customHeight="1">
      <c r="A242" s="6" t="str">
        <f>IFERROR(__xludf.DUMMYFUNCTION("""COMPUTED_VALUE"""),"https://liondigital.com.au/lion-digital-a-premier-google-partner-placed-in-the-top-3-of-agencies/")</f>
        <v>https://liondigital.com.au/lion-digital-a-premier-google-partner-placed-in-the-top-3-of-agencies/</v>
      </c>
      <c r="B242" s="7" t="str">
        <f>IFERROR(__xludf.DUMMYFUNCTION("""COMPUTED_VALUE"""),"Premier Google Partner - Top 3% of agencies | LION Digital")</f>
        <v>Premier Google Partner - Top 3% of agencies | LION Digital</v>
      </c>
      <c r="C242" s="6" t="str">
        <f>IFERROR(__xludf.DUMMYFUNCTION("""COMPUTED_VALUE"""),"liondigital.com.au")</f>
        <v>liondigital.com.au</v>
      </c>
      <c r="D242" s="7" t="str">
        <f>IFERROR(__xludf.DUMMYFUNCTION("""COMPUTED_VALUE"""),"ARTICLE")</f>
        <v>ARTICLE</v>
      </c>
      <c r="E242" s="7" t="str">
        <f>IFERROR(__xludf.DUMMYFUNCTION("""COMPUTED_VALUE"""),"CORPORATE")</f>
        <v>CORPORATE</v>
      </c>
      <c r="F242" s="7" t="str">
        <f>IFERROR(__xludf.DUMMYFUNCTION("""COMPUTED_VALUE"""),"Article")</f>
        <v>Article</v>
      </c>
      <c r="G242" s="7" t="b">
        <f>IFERROR(__xludf.DUMMYFUNCTION("""COMPUTED_VALUE"""),FALSE)</f>
        <v>0</v>
      </c>
      <c r="H242" s="7" t="str">
        <f>IFERROR(__xludf.DUMMYFUNCTION("""COMPUTED_VALUE"""),"Impressive")</f>
        <v>Impressive</v>
      </c>
      <c r="I242" s="7">
        <f>IFERROR(__xludf.DUMMYFUNCTION("""COMPUTED_VALUE"""),5.0)</f>
        <v>5</v>
      </c>
      <c r="J242" s="7">
        <f>IFERROR(__xludf.DUMMYFUNCTION("""COMPUTED_VALUE"""),0.01)</f>
        <v>0.01</v>
      </c>
      <c r="K242" s="7">
        <f>IFERROR(__xludf.DUMMYFUNCTION("""COMPUTED_VALUE"""),1.4)</f>
        <v>1.4</v>
      </c>
      <c r="L242" s="7"/>
    </row>
    <row r="243" ht="15.75" customHeight="1">
      <c r="A243" s="6" t="str">
        <f>IFERROR(__xludf.DUMMYFUNCTION("""COMPUTED_VALUE"""),"https://omegaadvertising.com.au/top-5-digital-marketing-agencies-in-australia-for-ai-seo/")</f>
        <v>https://omegaadvertising.com.au/top-5-digital-marketing-agencies-in-australia-for-ai-seo/</v>
      </c>
      <c r="B243" s="7" t="str">
        <f>IFERROR(__xludf.DUMMYFUNCTION("""COMPUTED_VALUE"""),"Top 5 Digital Marketing Agencies in Australia for AI SEO – Omega Advertising")</f>
        <v>Top 5 Digital Marketing Agencies in Australia for AI SEO – Omega Advertising</v>
      </c>
      <c r="C243" s="6" t="str">
        <f>IFERROR(__xludf.DUMMYFUNCTION("""COMPUTED_VALUE"""),"omegaadvertising.com.au")</f>
        <v>omegaadvertising.com.au</v>
      </c>
      <c r="D243" s="7" t="str">
        <f>IFERROR(__xludf.DUMMYFUNCTION("""COMPUTED_VALUE"""),"LISTICLE")</f>
        <v>LISTICLE</v>
      </c>
      <c r="E243" s="7" t="str">
        <f>IFERROR(__xludf.DUMMYFUNCTION("""COMPUTED_VALUE"""),"CORPORATE")</f>
        <v>CORPORATE</v>
      </c>
      <c r="F243" s="7" t="str">
        <f>IFERROR(__xludf.DUMMYFUNCTION("""COMPUTED_VALUE"""),"Listicle")</f>
        <v>Listicle</v>
      </c>
      <c r="G243" s="7" t="b">
        <f>IFERROR(__xludf.DUMMYFUNCTION("""COMPUTED_VALUE"""),FALSE)</f>
        <v>0</v>
      </c>
      <c r="H243" s="7"/>
      <c r="I243" s="7">
        <f>IFERROR(__xludf.DUMMYFUNCTION("""COMPUTED_VALUE"""),5.0)</f>
        <v>5</v>
      </c>
      <c r="J243" s="7">
        <f>IFERROR(__xludf.DUMMYFUNCTION("""COMPUTED_VALUE"""),0.01)</f>
        <v>0.01</v>
      </c>
      <c r="K243" s="7">
        <f>IFERROR(__xludf.DUMMYFUNCTION("""COMPUTED_VALUE"""),0.0)</f>
        <v>0</v>
      </c>
      <c r="L243" s="7"/>
    </row>
    <row r="244" ht="15.75" customHeight="1">
      <c r="A244" s="6" t="str">
        <f>IFERROR(__xludf.DUMMYFUNCTION("""COMPUTED_VALUE"""),"https://prosperitymedia.com.au/the-6-best-seo-agencies-in-sydney-2026/#:~:text=Recognisable%20clients%3A%20PepsiCo%2C%20St.%20George%20Bank%2C%20IAG%2C,at%20the%202018%20SEMrush%20Search%20Marketing%20Awards.")</f>
        <v>https://prosperitymedia.com.au/the-6-best-seo-agencies-in-sydney-2026/#:~:text=Recognisable%20clients%3A%20PepsiCo%2C%20St.%20George%20Bank%2C%20IAG%2C,at%20the%202018%20SEMrush%20Search%20Marketing%20Awards.</v>
      </c>
      <c r="B244" s="7" t="str">
        <f>IFERROR(__xludf.DUMMYFUNCTION("""COMPUTED_VALUE"""),"The 6 Best SEO Agencies in Sydney 2026 - Prosperity Media")</f>
        <v>The 6 Best SEO Agencies in Sydney 2026 - Prosperity Media</v>
      </c>
      <c r="C244" s="6" t="str">
        <f>IFERROR(__xludf.DUMMYFUNCTION("""COMPUTED_VALUE"""),"prosperitymedia.com.au")</f>
        <v>prosperitymedia.com.au</v>
      </c>
      <c r="D244" s="7" t="str">
        <f>IFERROR(__xludf.DUMMYFUNCTION("""COMPUTED_VALUE"""),"LISTICLE")</f>
        <v>LISTICLE</v>
      </c>
      <c r="E244" s="7" t="str">
        <f>IFERROR(__xludf.DUMMYFUNCTION("""COMPUTED_VALUE"""),"COMPETITOR")</f>
        <v>COMPETITOR</v>
      </c>
      <c r="F244" s="7" t="str">
        <f>IFERROR(__xludf.DUMMYFUNCTION("""COMPUTED_VALUE"""),"Listicle")</f>
        <v>Listicle</v>
      </c>
      <c r="G244" s="7" t="b">
        <f>IFERROR(__xludf.DUMMYFUNCTION("""COMPUTED_VALUE"""),FALSE)</f>
        <v>0</v>
      </c>
      <c r="H244" s="7" t="str">
        <f>IFERROR(__xludf.DUMMYFUNCTION("""COMPUTED_VALUE"""),"Prosperity Media, Jaywing, Undivided, Measured")</f>
        <v>Prosperity Media, Jaywing, Undivided, Measured</v>
      </c>
      <c r="I244" s="7">
        <f>IFERROR(__xludf.DUMMYFUNCTION("""COMPUTED_VALUE"""),5.0)</f>
        <v>5</v>
      </c>
      <c r="J244" s="7">
        <f>IFERROR(__xludf.DUMMYFUNCTION("""COMPUTED_VALUE"""),0.01)</f>
        <v>0.01</v>
      </c>
      <c r="K244" s="7">
        <f>IFERROR(__xludf.DUMMYFUNCTION("""COMPUTED_VALUE"""),1.2)</f>
        <v>1.2</v>
      </c>
      <c r="L244" s="7"/>
    </row>
    <row r="245" ht="15.75" customHeight="1">
      <c r="A245" s="6" t="str">
        <f>IFERROR(__xludf.DUMMYFUNCTION("""COMPUTED_VALUE"""),"https://raw.studio/blog/top-branding-agencies-in-australia-in-2026/#:~:text=FutureBrand%20takes%20a%20highly%20strategic,Key%20strengths%3A")</f>
        <v>https://raw.studio/blog/top-branding-agencies-in-australia-in-2026/#:~:text=FutureBrand%20takes%20a%20highly%20strategic,Key%20strengths%3A</v>
      </c>
      <c r="B245" s="7" t="str">
        <f>IFERROR(__xludf.DUMMYFUNCTION("""COMPUTED_VALUE"""),"Top Branding Agencies in Australia in 2026 | Raw.Studio")</f>
        <v>Top Branding Agencies in Australia in 2026 | Raw.Studio</v>
      </c>
      <c r="C245" s="7" t="str">
        <f>IFERROR(__xludf.DUMMYFUNCTION("""COMPUTED_VALUE"""),"raw.studio")</f>
        <v>raw.studio</v>
      </c>
      <c r="D245" s="7" t="str">
        <f>IFERROR(__xludf.DUMMYFUNCTION("""COMPUTED_VALUE"""),"LISTICLE")</f>
        <v>LISTICLE</v>
      </c>
      <c r="E245" s="7" t="str">
        <f>IFERROR(__xludf.DUMMYFUNCTION("""COMPUTED_VALUE"""),"CORPORATE")</f>
        <v>CORPORATE</v>
      </c>
      <c r="F245" s="7" t="str">
        <f>IFERROR(__xludf.DUMMYFUNCTION("""COMPUTED_VALUE"""),"Listicle")</f>
        <v>Listicle</v>
      </c>
      <c r="G245" s="7" t="b">
        <f>IFERROR(__xludf.DUMMYFUNCTION("""COMPUTED_VALUE"""),FALSE)</f>
        <v>0</v>
      </c>
      <c r="H245" s="7" t="str">
        <f>IFERROR(__xludf.DUMMYFUNCTION("""COMPUTED_VALUE"""),"RAW Studio, CUT THRU")</f>
        <v>RAW Studio, CUT THRU</v>
      </c>
      <c r="I245" s="7">
        <f>IFERROR(__xludf.DUMMYFUNCTION("""COMPUTED_VALUE"""),5.0)</f>
        <v>5</v>
      </c>
      <c r="J245" s="7">
        <f>IFERROR(__xludf.DUMMYFUNCTION("""COMPUTED_VALUE"""),0.01)</f>
        <v>0.01</v>
      </c>
      <c r="K245" s="7">
        <f>IFERROR(__xludf.DUMMYFUNCTION("""COMPUTED_VALUE"""),1.2)</f>
        <v>1.2</v>
      </c>
      <c r="L245" s="7"/>
    </row>
    <row r="246" ht="15.75" customHeight="1">
      <c r="A246" s="6" t="str">
        <f>IFERROR(__xludf.DUMMYFUNCTION("""COMPUTED_VALUE"""),"https://www.reddit.com/r/ecommerce/comments/1qusfa4/looking_for_best_incrementality_testing_tools/")</f>
        <v>https://www.reddit.com/r/ecommerce/comments/1qusfa4/looking_for_best_incrementality_testing_tools/</v>
      </c>
      <c r="B246" s="7" t="str">
        <f>IFERROR(__xludf.DUMMYFUNCTION("""COMPUTED_VALUE"""),"Looking for best incrementality testing tools (advice/recommendation)")</f>
        <v>Looking for best incrementality testing tools (advice/recommendation)</v>
      </c>
      <c r="C246" s="6" t="str">
        <f>IFERROR(__xludf.DUMMYFUNCTION("""COMPUTED_VALUE"""),"reddit.com")</f>
        <v>reddit.com</v>
      </c>
      <c r="D246" s="7" t="str">
        <f>IFERROR(__xludf.DUMMYFUNCTION("""COMPUTED_VALUE"""),"DISCUSSION")</f>
        <v>DISCUSSION</v>
      </c>
      <c r="E246" s="7" t="str">
        <f>IFERROR(__xludf.DUMMYFUNCTION("""COMPUTED_VALUE"""),"UGC")</f>
        <v>UGC</v>
      </c>
      <c r="F246" s="7" t="str">
        <f>IFERROR(__xludf.DUMMYFUNCTION("""COMPUTED_VALUE"""),"Discussion")</f>
        <v>Discussion</v>
      </c>
      <c r="G246" s="7" t="b">
        <f>IFERROR(__xludf.DUMMYFUNCTION("""COMPUTED_VALUE"""),FALSE)</f>
        <v>0</v>
      </c>
      <c r="H246" s="7" t="str">
        <f>IFERROR(__xludf.DUMMYFUNCTION("""COMPUTED_VALUE"""),"Haus, Lifesight, Measured")</f>
        <v>Haus, Lifesight, Measured</v>
      </c>
      <c r="I246" s="7">
        <f>IFERROR(__xludf.DUMMYFUNCTION("""COMPUTED_VALUE"""),5.0)</f>
        <v>5</v>
      </c>
      <c r="J246" s="7">
        <f>IFERROR(__xludf.DUMMYFUNCTION("""COMPUTED_VALUE"""),0.01)</f>
        <v>0.01</v>
      </c>
      <c r="K246" s="7">
        <f>IFERROR(__xludf.DUMMYFUNCTION("""COMPUTED_VALUE"""),1.0)</f>
        <v>1</v>
      </c>
      <c r="L246" s="7"/>
    </row>
    <row r="247" ht="15.75" customHeight="1">
      <c r="A247" s="6" t="str">
        <f>IFERROR(__xludf.DUMMYFUNCTION("""COMPUTED_VALUE"""),"https://www.redpandas.com.au/all/best-paid-media-agencies-in-australia-an-unbiased-review/")</f>
        <v>https://www.redpandas.com.au/all/best-paid-media-agencies-in-australia-an-unbiased-review/</v>
      </c>
      <c r="B247" s="7" t="str">
        <f>IFERROR(__xludf.DUMMYFUNCTION("""COMPUTED_VALUE"""),"Best Paid Media Agencies in Australia: An Unbiased Review&amp;nbsp; | RedPandas Digital")</f>
        <v>Best Paid Media Agencies in Australia: An Unbiased Review&amp;nbsp; | RedPandas Digital</v>
      </c>
      <c r="C247" s="6" t="str">
        <f>IFERROR(__xludf.DUMMYFUNCTION("""COMPUTED_VALUE"""),"redpandas.com.au")</f>
        <v>redpandas.com.au</v>
      </c>
      <c r="D247" s="7" t="str">
        <f>IFERROR(__xludf.DUMMYFUNCTION("""COMPUTED_VALUE"""),"LISTICLE")</f>
        <v>LISTICLE</v>
      </c>
      <c r="E247" s="7" t="str">
        <f>IFERROR(__xludf.DUMMYFUNCTION("""COMPUTED_VALUE"""),"OTHER")</f>
        <v>OTHER</v>
      </c>
      <c r="F247" s="7" t="str">
        <f>IFERROR(__xludf.DUMMYFUNCTION("""COMPUTED_VALUE"""),"Listicle")</f>
        <v>Listicle</v>
      </c>
      <c r="G247" s="7" t="b">
        <f>IFERROR(__xludf.DUMMYFUNCTION("""COMPUTED_VALUE"""),FALSE)</f>
        <v>0</v>
      </c>
      <c r="H247" s="7" t="str">
        <f>IFERROR(__xludf.DUMMYFUNCTION("""COMPUTED_VALUE"""),"Megaphone")</f>
        <v>Megaphone</v>
      </c>
      <c r="I247" s="7">
        <f>IFERROR(__xludf.DUMMYFUNCTION("""COMPUTED_VALUE"""),5.0)</f>
        <v>5</v>
      </c>
      <c r="J247" s="7">
        <f>IFERROR(__xludf.DUMMYFUNCTION("""COMPUTED_VALUE"""),0.01)</f>
        <v>0.01</v>
      </c>
      <c r="K247" s="7">
        <f>IFERROR(__xludf.DUMMYFUNCTION("""COMPUTED_VALUE"""),1.4)</f>
        <v>1.4</v>
      </c>
      <c r="L247" s="7"/>
    </row>
    <row r="248" ht="15.75" customHeight="1">
      <c r="A248" s="6" t="str">
        <f>IFERROR(__xludf.DUMMYFUNCTION("""COMPUTED_VALUE"""),"https://www.savit.au/the-best-ppc-agencies-in-australia-2026-where-to-spend-your-google-ads-budget/")</f>
        <v>https://www.savit.au/the-best-ppc-agencies-in-australia-2026-where-to-spend-your-google-ads-budget/</v>
      </c>
      <c r="B248" s="7" t="str">
        <f>IFERROR(__xludf.DUMMYFUNCTION("""COMPUTED_VALUE"""),"Top PPC Agencies in Australia for 2026")</f>
        <v>Top PPC Agencies in Australia for 2026</v>
      </c>
      <c r="C248" s="6" t="str">
        <f>IFERROR(__xludf.DUMMYFUNCTION("""COMPUTED_VALUE"""),"savit.au")</f>
        <v>savit.au</v>
      </c>
      <c r="D248" s="7" t="str">
        <f>IFERROR(__xludf.DUMMYFUNCTION("""COMPUTED_VALUE"""),"LISTICLE")</f>
        <v>LISTICLE</v>
      </c>
      <c r="E248" s="7" t="str">
        <f>IFERROR(__xludf.DUMMYFUNCTION("""COMPUTED_VALUE"""),"OTHER")</f>
        <v>OTHER</v>
      </c>
      <c r="F248" s="7" t="str">
        <f>IFERROR(__xludf.DUMMYFUNCTION("""COMPUTED_VALUE"""),"Listicle")</f>
        <v>Listicle</v>
      </c>
      <c r="G248" s="7" t="b">
        <f>IFERROR(__xludf.DUMMYFUNCTION("""COMPUTED_VALUE"""),FALSE)</f>
        <v>0</v>
      </c>
      <c r="H248" s="7" t="str">
        <f>IFERROR(__xludf.DUMMYFUNCTION("""COMPUTED_VALUE"""),"Online Marketing Gurus, Omnicom Media Group, First Page, First Page Australia, Impressive, Supple Digital, StudioHawk")</f>
        <v>Online Marketing Gurus, Omnicom Media Group, First Page, First Page Australia, Impressive, Supple Digital, StudioHawk</v>
      </c>
      <c r="I248" s="7">
        <f>IFERROR(__xludf.DUMMYFUNCTION("""COMPUTED_VALUE"""),5.0)</f>
        <v>5</v>
      </c>
      <c r="J248" s="7">
        <f>IFERROR(__xludf.DUMMYFUNCTION("""COMPUTED_VALUE"""),0.01)</f>
        <v>0.01</v>
      </c>
      <c r="K248" s="7">
        <f>IFERROR(__xludf.DUMMYFUNCTION("""COMPUTED_VALUE"""),0.2)</f>
        <v>0.2</v>
      </c>
      <c r="L248" s="7"/>
    </row>
    <row r="249" ht="15.75" customHeight="1">
      <c r="A249" s="6" t="str">
        <f>IFERROR(__xludf.DUMMYFUNCTION("""COMPUTED_VALUE"""),"https://www.searchmax.com.au/searchmax-among-the-top-3-of-google-partners-in-the-country/")</f>
        <v>https://www.searchmax.com.au/searchmax-among-the-top-3-of-google-partners-in-the-country/</v>
      </c>
      <c r="B249" s="7" t="str">
        <f>IFERROR(__xludf.DUMMYFUNCTION("""COMPUTED_VALUE"""),"Google Premier Partner - Top 3% of Google Agencies in Australia")</f>
        <v>Google Premier Partner - Top 3% of Google Agencies in Australia</v>
      </c>
      <c r="C249" s="6" t="str">
        <f>IFERROR(__xludf.DUMMYFUNCTION("""COMPUTED_VALUE"""),"searchmax.com.au")</f>
        <v>searchmax.com.au</v>
      </c>
      <c r="D249" s="7" t="str">
        <f>IFERROR(__xludf.DUMMYFUNCTION("""COMPUTED_VALUE"""),"ARTICLE")</f>
        <v>ARTICLE</v>
      </c>
      <c r="E249" s="7" t="str">
        <f>IFERROR(__xludf.DUMMYFUNCTION("""COMPUTED_VALUE"""),"COMPETITOR")</f>
        <v>COMPETITOR</v>
      </c>
      <c r="F249" s="7" t="str">
        <f>IFERROR(__xludf.DUMMYFUNCTION("""COMPUTED_VALUE"""),"Article")</f>
        <v>Article</v>
      </c>
      <c r="G249" s="7" t="b">
        <f>IFERROR(__xludf.DUMMYFUNCTION("""COMPUTED_VALUE"""),FALSE)</f>
        <v>0</v>
      </c>
      <c r="H249" s="7" t="str">
        <f>IFERROR(__xludf.DUMMYFUNCTION("""COMPUTED_VALUE"""),"SearchMax")</f>
        <v>SearchMax</v>
      </c>
      <c r="I249" s="7">
        <f>IFERROR(__xludf.DUMMYFUNCTION("""COMPUTED_VALUE"""),5.0)</f>
        <v>5</v>
      </c>
      <c r="J249" s="7">
        <f>IFERROR(__xludf.DUMMYFUNCTION("""COMPUTED_VALUE"""),0.01)</f>
        <v>0.01</v>
      </c>
      <c r="K249" s="7">
        <f>IFERROR(__xludf.DUMMYFUNCTION("""COMPUTED_VALUE"""),0.6)</f>
        <v>0.6</v>
      </c>
      <c r="L249" s="7"/>
    </row>
    <row r="250" ht="15.75" customHeight="1">
      <c r="A250" s="6" t="str">
        <f>IFERROR(__xludf.DUMMYFUNCTION("""COMPUTED_VALUE"""),"https://segmentstream.com/blog/articles/best-attribution-tools")</f>
        <v>https://segmentstream.com/blog/articles/best-attribution-tools</v>
      </c>
      <c r="B250" s="7" t="str">
        <f>IFERROR(__xludf.DUMMYFUNCTION("""COMPUTED_VALUE"""),"10 Best Marketing Attribution Tools &amp;amp; Platforms (2026) — SegmentStream")</f>
        <v>10 Best Marketing Attribution Tools &amp;amp; Platforms (2026) — SegmentStream</v>
      </c>
      <c r="C250" s="6" t="str">
        <f>IFERROR(__xludf.DUMMYFUNCTION("""COMPUTED_VALUE"""),"segmentstream.com")</f>
        <v>segmentstream.com</v>
      </c>
      <c r="D250" s="7" t="str">
        <f>IFERROR(__xludf.DUMMYFUNCTION("""COMPUTED_VALUE"""),"LISTICLE")</f>
        <v>LISTICLE</v>
      </c>
      <c r="E250" s="7" t="str">
        <f>IFERROR(__xludf.DUMMYFUNCTION("""COMPUTED_VALUE"""),"CORPORATE")</f>
        <v>CORPORATE</v>
      </c>
      <c r="F250" s="7" t="str">
        <f>IFERROR(__xludf.DUMMYFUNCTION("""COMPUTED_VALUE"""),"Listicle")</f>
        <v>Listicle</v>
      </c>
      <c r="G250" s="7" t="b">
        <f>IFERROR(__xludf.DUMMYFUNCTION("""COMPUTED_VALUE"""),FALSE)</f>
        <v>0</v>
      </c>
      <c r="H250" s="7" t="str">
        <f>IFERROR(__xludf.DUMMYFUNCTION("""COMPUTED_VALUE"""),"Measured, Impressive")</f>
        <v>Measured, Impressive</v>
      </c>
      <c r="I250" s="7">
        <f>IFERROR(__xludf.DUMMYFUNCTION("""COMPUTED_VALUE"""),5.0)</f>
        <v>5</v>
      </c>
      <c r="J250" s="7">
        <f>IFERROR(__xludf.DUMMYFUNCTION("""COMPUTED_VALUE"""),0.01)</f>
        <v>0.01</v>
      </c>
      <c r="K250" s="7">
        <f>IFERROR(__xludf.DUMMYFUNCTION("""COMPUTED_VALUE"""),0.2)</f>
        <v>0.2</v>
      </c>
      <c r="L250" s="7"/>
    </row>
    <row r="251" ht="15.75" customHeight="1">
      <c r="A251" s="6" t="str">
        <f>IFERROR(__xludf.DUMMYFUNCTION("""COMPUTED_VALUE"""),"https://www.sortlist.com/s/paid-media/melbourne-au")</f>
        <v>https://www.sortlist.com/s/paid-media/melbourne-au</v>
      </c>
      <c r="B251" s="7" t="str">
        <f>IFERROR(__xludf.DUMMYFUNCTION("""COMPUTED_VALUE"""),"The 10 Best Paid Media Agencies in Melbourne - 2026 Reviews")</f>
        <v>The 10 Best Paid Media Agencies in Melbourne - 2026 Reviews</v>
      </c>
      <c r="C251" s="6" t="str">
        <f>IFERROR(__xludf.DUMMYFUNCTION("""COMPUTED_VALUE"""),"sortlist.com")</f>
        <v>sortlist.com</v>
      </c>
      <c r="D251" s="7" t="str">
        <f>IFERROR(__xludf.DUMMYFUNCTION("""COMPUTED_VALUE"""),"CATEGORY_PAGE")</f>
        <v>CATEGORY_PAGE</v>
      </c>
      <c r="E251" s="7" t="str">
        <f>IFERROR(__xludf.DUMMYFUNCTION("""COMPUTED_VALUE"""),"CORPORATE")</f>
        <v>CORPORATE</v>
      </c>
      <c r="F251" s="7" t="str">
        <f>IFERROR(__xludf.DUMMYFUNCTION("""COMPUTED_VALUE"""),"Category Page")</f>
        <v>Category Page</v>
      </c>
      <c r="G251" s="7" t="b">
        <f>IFERROR(__xludf.DUMMYFUNCTION("""COMPUTED_VALUE"""),FALSE)</f>
        <v>0</v>
      </c>
      <c r="H251" s="7" t="str">
        <f>IFERROR(__xludf.DUMMYFUNCTION("""COMPUTED_VALUE"""),"Measured, Earned Media, Clearwater Agency, Impressive, SIXGUN, Supple Digital, Momentum, Adcore Elite")</f>
        <v>Measured, Earned Media, Clearwater Agency, Impressive, SIXGUN, Supple Digital, Momentum, Adcore Elite</v>
      </c>
      <c r="I251" s="7">
        <f>IFERROR(__xludf.DUMMYFUNCTION("""COMPUTED_VALUE"""),5.0)</f>
        <v>5</v>
      </c>
      <c r="J251" s="7">
        <f>IFERROR(__xludf.DUMMYFUNCTION("""COMPUTED_VALUE"""),0.01)</f>
        <v>0.01</v>
      </c>
      <c r="K251" s="7">
        <f>IFERROR(__xludf.DUMMYFUNCTION("""COMPUTED_VALUE"""),0.0)</f>
        <v>0</v>
      </c>
      <c r="L251" s="7"/>
    </row>
    <row r="252" ht="15.75" customHeight="1">
      <c r="A252" s="6" t="str">
        <f>IFERROR(__xludf.DUMMYFUNCTION("""COMPUTED_VALUE"""),"https://www.techguide.com.au/news/computers-news/the-best-ai-optimisation-agencies-in-australia/")</f>
        <v>https://www.techguide.com.au/news/computers-news/the-best-ai-optimisation-agencies-in-australia/</v>
      </c>
      <c r="B252" s="7" t="str">
        <f>IFERROR(__xludf.DUMMYFUNCTION("""COMPUTED_VALUE"""),"The Best AI Optimisation Agencies in Australia - Tech Guide")</f>
        <v>The Best AI Optimisation Agencies in Australia - Tech Guide</v>
      </c>
      <c r="C252" s="6" t="str">
        <f>IFERROR(__xludf.DUMMYFUNCTION("""COMPUTED_VALUE"""),"techguide.com.au")</f>
        <v>techguide.com.au</v>
      </c>
      <c r="D252" s="7" t="str">
        <f>IFERROR(__xludf.DUMMYFUNCTION("""COMPUTED_VALUE"""),"CATEGORY_PAGE")</f>
        <v>CATEGORY_PAGE</v>
      </c>
      <c r="E252" s="7" t="str">
        <f>IFERROR(__xludf.DUMMYFUNCTION("""COMPUTED_VALUE"""),"EDITORIAL")</f>
        <v>EDITORIAL</v>
      </c>
      <c r="F252" s="7" t="str">
        <f>IFERROR(__xludf.DUMMYFUNCTION("""COMPUTED_VALUE"""),"Category Page")</f>
        <v>Category Page</v>
      </c>
      <c r="G252" s="7" t="b">
        <f>IFERROR(__xludf.DUMMYFUNCTION("""COMPUTED_VALUE"""),FALSE)</f>
        <v>0</v>
      </c>
      <c r="H252" s="7" t="str">
        <f>IFERROR(__xludf.DUMMYFUNCTION("""COMPUTED_VALUE"""),"NP Digital Australia, Prosperity Media, Reef Digital Agency, Farsiight, Alpha Digital, SIXGUN, Zib Digital, Online Marketing Gurus")</f>
        <v>NP Digital Australia, Prosperity Media, Reef Digital Agency, Farsiight, Alpha Digital, SIXGUN, Zib Digital, Online Marketing Gurus</v>
      </c>
      <c r="I252" s="7">
        <f>IFERROR(__xludf.DUMMYFUNCTION("""COMPUTED_VALUE"""),5.0)</f>
        <v>5</v>
      </c>
      <c r="J252" s="7">
        <f>IFERROR(__xludf.DUMMYFUNCTION("""COMPUTED_VALUE"""),0.01)</f>
        <v>0.01</v>
      </c>
      <c r="K252" s="7">
        <f>IFERROR(__xludf.DUMMYFUNCTION("""COMPUTED_VALUE"""),0.4)</f>
        <v>0.4</v>
      </c>
      <c r="L252" s="7"/>
    </row>
    <row r="253" ht="15.75" customHeight="1">
      <c r="A253" s="6" t="str">
        <f>IFERROR(__xludf.DUMMYFUNCTION("""COMPUTED_VALUE"""),"https://www.theardor.com.au/google-ads-agencies-in-australia/")</f>
        <v>https://www.theardor.com.au/google-ads-agencies-in-australia/</v>
      </c>
      <c r="B253" s="7" t="str">
        <f>IFERROR(__xludf.DUMMYFUNCTION("""COMPUTED_VALUE"""),"11 Best Google Ads (Adwords) Agencies in Australia (2026)")</f>
        <v>11 Best Google Ads (Adwords) Agencies in Australia (2026)</v>
      </c>
      <c r="C253" s="6" t="str">
        <f>IFERROR(__xludf.DUMMYFUNCTION("""COMPUTED_VALUE"""),"theardor.com.au")</f>
        <v>theardor.com.au</v>
      </c>
      <c r="D253" s="7" t="str">
        <f>IFERROR(__xludf.DUMMYFUNCTION("""COMPUTED_VALUE"""),"LISTICLE")</f>
        <v>LISTICLE</v>
      </c>
      <c r="E253" s="7" t="str">
        <f>IFERROR(__xludf.DUMMYFUNCTION("""COMPUTED_VALUE"""),"CORPORATE")</f>
        <v>CORPORATE</v>
      </c>
      <c r="F253" s="7" t="str">
        <f>IFERROR(__xludf.DUMMYFUNCTION("""COMPUTED_VALUE"""),"Listicle")</f>
        <v>Listicle</v>
      </c>
      <c r="G253" s="7" t="b">
        <f>IFERROR(__xludf.DUMMYFUNCTION("""COMPUTED_VALUE"""),FALSE)</f>
        <v>0</v>
      </c>
      <c r="H253" s="7" t="str">
        <f>IFERROR(__xludf.DUMMYFUNCTION("""COMPUTED_VALUE"""),"Digital Nomads HQ, Clearwater Agency, Online Marketing Gurus, eMarket Experts, Megaphone, Supple Digital, SearchMax, Omnicom Media Group")</f>
        <v>Digital Nomads HQ, Clearwater Agency, Online Marketing Gurus, eMarket Experts, Megaphone, Supple Digital, SearchMax, Omnicom Media Group</v>
      </c>
      <c r="I253" s="7">
        <f>IFERROR(__xludf.DUMMYFUNCTION("""COMPUTED_VALUE"""),5.0)</f>
        <v>5</v>
      </c>
      <c r="J253" s="7">
        <f>IFERROR(__xludf.DUMMYFUNCTION("""COMPUTED_VALUE"""),0.01)</f>
        <v>0.01</v>
      </c>
      <c r="K253" s="7">
        <f>IFERROR(__xludf.DUMMYFUNCTION("""COMPUTED_VALUE"""),1.8)</f>
        <v>1.8</v>
      </c>
      <c r="L253" s="7"/>
    </row>
    <row r="254" ht="15.75" customHeight="1">
      <c r="A254" s="6" t="str">
        <f>IFERROR(__xludf.DUMMYFUNCTION("""COMPUTED_VALUE"""),"https://townsquare.agency/news/ts-once-again-ranked-one-of-australias-best-creative-agencies/")</f>
        <v>https://townsquare.agency/news/ts-once-again-ranked-one-of-australias-best-creative-agencies/</v>
      </c>
      <c r="B254" s="7" t="str">
        <f>IFERROR(__xludf.DUMMYFUNCTION("""COMPUTED_VALUE"""),"TS once again ranked one of Australia’s best creative agencies - Town Square")</f>
        <v>TS once again ranked one of Australia’s best creative agencies - Town Square</v>
      </c>
      <c r="C254" s="7" t="str">
        <f>IFERROR(__xludf.DUMMYFUNCTION("""COMPUTED_VALUE"""),"townsquare.agency")</f>
        <v>townsquare.agency</v>
      </c>
      <c r="D254" s="7" t="str">
        <f>IFERROR(__xludf.DUMMYFUNCTION("""COMPUTED_VALUE"""),"ARTICLE")</f>
        <v>ARTICLE</v>
      </c>
      <c r="E254" s="7" t="str">
        <f>IFERROR(__xludf.DUMMYFUNCTION("""COMPUTED_VALUE"""),"CORPORATE")</f>
        <v>CORPORATE</v>
      </c>
      <c r="F254" s="7" t="str">
        <f>IFERROR(__xludf.DUMMYFUNCTION("""COMPUTED_VALUE"""),"Article")</f>
        <v>Article</v>
      </c>
      <c r="G254" s="7" t="b">
        <f>IFERROR(__xludf.DUMMYFUNCTION("""COMPUTED_VALUE"""),FALSE)</f>
        <v>0</v>
      </c>
      <c r="H254" s="7"/>
      <c r="I254" s="7">
        <f>IFERROR(__xludf.DUMMYFUNCTION("""COMPUTED_VALUE"""),5.0)</f>
        <v>5</v>
      </c>
      <c r="J254" s="7">
        <f>IFERROR(__xludf.DUMMYFUNCTION("""COMPUTED_VALUE"""),0.01)</f>
        <v>0.01</v>
      </c>
      <c r="K254" s="7">
        <f>IFERROR(__xludf.DUMMYFUNCTION("""COMPUTED_VALUE"""),0.0)</f>
        <v>0</v>
      </c>
      <c r="L254" s="7"/>
    </row>
    <row r="255" ht="15.75" customHeight="1">
      <c r="A255" s="6" t="str">
        <f>IFERROR(__xludf.DUMMYFUNCTION("""COMPUTED_VALUE"""),"https://vulbmedia.com/top-creative-agencies-in-sydney/")</f>
        <v>https://vulbmedia.com/top-creative-agencies-in-sydney/</v>
      </c>
      <c r="B255" s="7" t="str">
        <f>IFERROR(__xludf.DUMMYFUNCTION("""COMPUTED_VALUE"""),"Top Creative Agencies in Sydney (2025) | Vulb Media Insights – Vulb Media")</f>
        <v>Top Creative Agencies in Sydney (2025) | Vulb Media Insights – Vulb Media</v>
      </c>
      <c r="C255" s="6" t="str">
        <f>IFERROR(__xludf.DUMMYFUNCTION("""COMPUTED_VALUE"""),"vulbmedia.com")</f>
        <v>vulbmedia.com</v>
      </c>
      <c r="D255" s="7" t="str">
        <f>IFERROR(__xludf.DUMMYFUNCTION("""COMPUTED_VALUE"""),"LISTICLE")</f>
        <v>LISTICLE</v>
      </c>
      <c r="E255" s="7" t="str">
        <f>IFERROR(__xludf.DUMMYFUNCTION("""COMPUTED_VALUE"""),"CORPORATE")</f>
        <v>CORPORATE</v>
      </c>
      <c r="F255" s="7" t="str">
        <f>IFERROR(__xludf.DUMMYFUNCTION("""COMPUTED_VALUE"""),"Listicle")</f>
        <v>Listicle</v>
      </c>
      <c r="G255" s="7" t="b">
        <f>IFERROR(__xludf.DUMMYFUNCTION("""COMPUTED_VALUE"""),FALSE)</f>
        <v>0</v>
      </c>
      <c r="H255" s="7" t="str">
        <f>IFERROR(__xludf.DUMMYFUNCTION("""COMPUTED_VALUE"""),"HERO")</f>
        <v>HERO</v>
      </c>
      <c r="I255" s="7">
        <f>IFERROR(__xludf.DUMMYFUNCTION("""COMPUTED_VALUE"""),5.0)</f>
        <v>5</v>
      </c>
      <c r="J255" s="7">
        <f>IFERROR(__xludf.DUMMYFUNCTION("""COMPUTED_VALUE"""),0.01)</f>
        <v>0.01</v>
      </c>
      <c r="K255" s="7">
        <f>IFERROR(__xludf.DUMMYFUNCTION("""COMPUTED_VALUE"""),0.0)</f>
        <v>0</v>
      </c>
      <c r="L255" s="7"/>
    </row>
    <row r="256" ht="15.75" customHeight="1">
      <c r="A256" s="6" t="str">
        <f>IFERROR(__xludf.DUMMYFUNCTION("""COMPUTED_VALUE"""),"https://agencies.semrush.com/list/display-advertising/ecommerce/australia/")</f>
        <v>https://agencies.semrush.com/list/display-advertising/ecommerce/australia/</v>
      </c>
      <c r="B256" s="7" t="str">
        <f>IFERROR(__xludf.DUMMYFUNCTION("""COMPUTED_VALUE"""),"Best Ecommerce Display Ads Agencies in Australia 2026 | Semrush")</f>
        <v>Best Ecommerce Display Ads Agencies in Australia 2026 | Semrush</v>
      </c>
      <c r="C256" s="6" t="str">
        <f>IFERROR(__xludf.DUMMYFUNCTION("""COMPUTED_VALUE"""),"semrush.com")</f>
        <v>semrush.com</v>
      </c>
      <c r="D256" s="7" t="str">
        <f>IFERROR(__xludf.DUMMYFUNCTION("""COMPUTED_VALUE"""),"OTHER")</f>
        <v>OTHER</v>
      </c>
      <c r="E256" s="7" t="str">
        <f>IFERROR(__xludf.DUMMYFUNCTION("""COMPUTED_VALUE"""),"CORPORATE")</f>
        <v>CORPORATE</v>
      </c>
      <c r="F256" s="7" t="str">
        <f>IFERROR(__xludf.DUMMYFUNCTION("""COMPUTED_VALUE"""),"Other")</f>
        <v>Other</v>
      </c>
      <c r="G256" s="7" t="b">
        <f>IFERROR(__xludf.DUMMYFUNCTION("""COMPUTED_VALUE"""),FALSE)</f>
        <v>0</v>
      </c>
      <c r="H256" s="7"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256" s="7">
        <f>IFERROR(__xludf.DUMMYFUNCTION("""COMPUTED_VALUE"""),4.0)</f>
        <v>4</v>
      </c>
      <c r="J256" s="7">
        <f>IFERROR(__xludf.DUMMYFUNCTION("""COMPUTED_VALUE"""),0.0)</f>
        <v>0</v>
      </c>
      <c r="K256" s="7">
        <f>IFERROR(__xludf.DUMMYFUNCTION("""COMPUTED_VALUE"""),0.0)</f>
        <v>0</v>
      </c>
      <c r="L256" s="7"/>
    </row>
    <row r="257" ht="15.75" customHeight="1">
      <c r="A257" s="6" t="str">
        <f>IFERROR(__xludf.DUMMYFUNCTION("""COMPUTED_VALUE"""),"https://agencies.semrush.com/list/ppc/australia/")</f>
        <v>https://agencies.semrush.com/list/ppc/australia/</v>
      </c>
      <c r="B257" s="7" t="str">
        <f>IFERROR(__xludf.DUMMYFUNCTION("""COMPUTED_VALUE"""),"Best PPC Agencies in Australia 2026 | Semrush")</f>
        <v>Best PPC Agencies in Australia 2026 | Semrush</v>
      </c>
      <c r="C257" s="6" t="str">
        <f>IFERROR(__xludf.DUMMYFUNCTION("""COMPUTED_VALUE"""),"semrush.com")</f>
        <v>semrush.com</v>
      </c>
      <c r="D257" s="7" t="str">
        <f>IFERROR(__xludf.DUMMYFUNCTION("""COMPUTED_VALUE"""),"CATEGORY_PAGE")</f>
        <v>CATEGORY_PAGE</v>
      </c>
      <c r="E257" s="7" t="str">
        <f>IFERROR(__xludf.DUMMYFUNCTION("""COMPUTED_VALUE"""),"CORPORATE")</f>
        <v>CORPORATE</v>
      </c>
      <c r="F257" s="7" t="str">
        <f>IFERROR(__xludf.DUMMYFUNCTION("""COMPUTED_VALUE"""),"Category Page")</f>
        <v>Category Page</v>
      </c>
      <c r="G257" s="7" t="b">
        <f>IFERROR(__xludf.DUMMYFUNCTION("""COMPUTED_VALUE"""),FALSE)</f>
        <v>0</v>
      </c>
      <c r="H257" s="7"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257" s="7">
        <f>IFERROR(__xludf.DUMMYFUNCTION("""COMPUTED_VALUE"""),4.0)</f>
        <v>4</v>
      </c>
      <c r="J257" s="7">
        <f>IFERROR(__xludf.DUMMYFUNCTION("""COMPUTED_VALUE"""),0.0)</f>
        <v>0</v>
      </c>
      <c r="K257" s="7">
        <f>IFERROR(__xludf.DUMMYFUNCTION("""COMPUTED_VALUE"""),0.0)</f>
        <v>0</v>
      </c>
      <c r="L257" s="7"/>
    </row>
    <row r="258" ht="15.75" customHeight="1">
      <c r="A258" s="6" t="str">
        <f>IFERROR(__xludf.DUMMYFUNCTION("""COMPUTED_VALUE"""),"https://apacsearchawards.com/2025/07/07/top-20-award-winning-apac-marketing-agencies/")</f>
        <v>https://apacsearchawards.com/2025/07/07/top-20-award-winning-apac-marketing-agencies/</v>
      </c>
      <c r="B258" s="7" t="str">
        <f>IFERROR(__xludf.DUMMYFUNCTION("""COMPUTED_VALUE"""),"Top 20 Award Winning Agencies (and two others to note) | APAC Search Awards")</f>
        <v>Top 20 Award Winning Agencies (and two others to note) | APAC Search Awards</v>
      </c>
      <c r="C258" s="6" t="str">
        <f>IFERROR(__xludf.DUMMYFUNCTION("""COMPUTED_VALUE"""),"apacsearchawards.com")</f>
        <v>apacsearchawards.com</v>
      </c>
      <c r="D258" s="7" t="str">
        <f>IFERROR(__xludf.DUMMYFUNCTION("""COMPUTED_VALUE"""),"LISTICLE")</f>
        <v>LISTICLE</v>
      </c>
      <c r="E258" s="7" t="str">
        <f>IFERROR(__xludf.DUMMYFUNCTION("""COMPUTED_VALUE"""),"INSTITUTIONAL")</f>
        <v>INSTITUTIONAL</v>
      </c>
      <c r="F258" s="7" t="str">
        <f>IFERROR(__xludf.DUMMYFUNCTION("""COMPUTED_VALUE"""),"Listicle")</f>
        <v>Listicle</v>
      </c>
      <c r="G258" s="7" t="b">
        <f>IFERROR(__xludf.DUMMYFUNCTION("""COMPUTED_VALUE"""),FALSE)</f>
        <v>0</v>
      </c>
      <c r="H258" s="7" t="str">
        <f>IFERROR(__xludf.DUMMYFUNCTION("""COMPUTED_VALUE"""),"Megantic, Prosperity Media, Rocket Agency, StudioHawk, Impressive, Adcore Elite, Clearwater Agency, Jaywing, SIXGUN, AdVisible")</f>
        <v>Megantic, Prosperity Media, Rocket Agency, StudioHawk, Impressive, Adcore Elite, Clearwater Agency, Jaywing, SIXGUN, AdVisible</v>
      </c>
      <c r="I258" s="7">
        <f>IFERROR(__xludf.DUMMYFUNCTION("""COMPUTED_VALUE"""),4.0)</f>
        <v>4</v>
      </c>
      <c r="J258" s="7">
        <f>IFERROR(__xludf.DUMMYFUNCTION("""COMPUTED_VALUE"""),0.0)</f>
        <v>0</v>
      </c>
      <c r="K258" s="7">
        <f>IFERROR(__xludf.DUMMYFUNCTION("""COMPUTED_VALUE"""),1.25)</f>
        <v>1.25</v>
      </c>
      <c r="L258" s="7"/>
    </row>
    <row r="259" ht="15.75" customHeight="1">
      <c r="A259" s="6" t="str">
        <f>IFERROR(__xludf.DUMMYFUNCTION("""COMPUTED_VALUE"""),"https://builtinmelbourne.com/articles/digital-marketing-companies-melbourne")</f>
        <v>https://builtinmelbourne.com/articles/digital-marketing-companies-melbourne</v>
      </c>
      <c r="B259" s="7" t="str">
        <f>IFERROR(__xludf.DUMMYFUNCTION("""COMPUTED_VALUE"""),"20 Top Digital Marketing Companies in Melbourne | Built In Melbourne")</f>
        <v>20 Top Digital Marketing Companies in Melbourne | Built In Melbourne</v>
      </c>
      <c r="C259" s="6" t="str">
        <f>IFERROR(__xludf.DUMMYFUNCTION("""COMPUTED_VALUE"""),"builtinmelbourne.com")</f>
        <v>builtinmelbourne.com</v>
      </c>
      <c r="D259" s="7" t="str">
        <f>IFERROR(__xludf.DUMMYFUNCTION("""COMPUTED_VALUE"""),"LISTICLE")</f>
        <v>LISTICLE</v>
      </c>
      <c r="E259" s="7" t="str">
        <f>IFERROR(__xludf.DUMMYFUNCTION("""COMPUTED_VALUE"""),"UGC")</f>
        <v>UGC</v>
      </c>
      <c r="F259" s="7" t="str">
        <f>IFERROR(__xludf.DUMMYFUNCTION("""COMPUTED_VALUE"""),"Listicle")</f>
        <v>Listicle</v>
      </c>
      <c r="G259" s="7" t="b">
        <f>IFERROR(__xludf.DUMMYFUNCTION("""COMPUTED_VALUE"""),FALSE)</f>
        <v>0</v>
      </c>
      <c r="H259" s="7" t="str">
        <f>IFERROR(__xludf.DUMMYFUNCTION("""COMPUTED_VALUE"""),"Emote Digital, Megaphone, Salt &amp; Fuessel, Ogilvy Australia, King Kong, Dentsu")</f>
        <v>Emote Digital, Megaphone, Salt &amp; Fuessel, Ogilvy Australia, King Kong, Dentsu</v>
      </c>
      <c r="I259" s="7">
        <f>IFERROR(__xludf.DUMMYFUNCTION("""COMPUTED_VALUE"""),4.0)</f>
        <v>4</v>
      </c>
      <c r="J259" s="7">
        <f>IFERROR(__xludf.DUMMYFUNCTION("""COMPUTED_VALUE"""),0.0)</f>
        <v>0</v>
      </c>
      <c r="K259" s="7">
        <f>IFERROR(__xludf.DUMMYFUNCTION("""COMPUTED_VALUE"""),0.75)</f>
        <v>0.75</v>
      </c>
      <c r="L259" s="7"/>
    </row>
    <row r="260" ht="15.75" customHeight="1">
      <c r="A260" s="6" t="str">
        <f>IFERROR(__xludf.DUMMYFUNCTION("""COMPUTED_VALUE"""),"https://www.bushnote.com/articles/best-digital-marketing-agencies-australia-2025")</f>
        <v>https://www.bushnote.com/articles/best-digital-marketing-agencies-australia-2025</v>
      </c>
      <c r="B260" s="7" t="str">
        <f>IFERROR(__xludf.DUMMYFUNCTION("""COMPUTED_VALUE"""),"Australia's Top 15 Digital Marketing Agencies 2025")</f>
        <v>Australia's Top 15 Digital Marketing Agencies 2025</v>
      </c>
      <c r="C260" s="6" t="str">
        <f>IFERROR(__xludf.DUMMYFUNCTION("""COMPUTED_VALUE"""),"bushnote.com")</f>
        <v>bushnote.com</v>
      </c>
      <c r="D260" s="7" t="str">
        <f>IFERROR(__xludf.DUMMYFUNCTION("""COMPUTED_VALUE"""),"LISTICLE")</f>
        <v>LISTICLE</v>
      </c>
      <c r="E260" s="7" t="str">
        <f>IFERROR(__xludf.DUMMYFUNCTION("""COMPUTED_VALUE"""),"COMPETITOR")</f>
        <v>COMPETITOR</v>
      </c>
      <c r="F260" s="7" t="str">
        <f>IFERROR(__xludf.DUMMYFUNCTION("""COMPUTED_VALUE"""),"Listicle")</f>
        <v>Listicle</v>
      </c>
      <c r="G260" s="7" t="b">
        <f>IFERROR(__xludf.DUMMYFUNCTION("""COMPUTED_VALUE"""),FALSE)</f>
        <v>0</v>
      </c>
      <c r="H260" s="7" t="str">
        <f>IFERROR(__xludf.DUMMYFUNCTION("""COMPUTED_VALUE"""),"Bushnote, Thinkerbell, Measured, The Monkeys, Accenture Song, Sparro, Webprofits, King Kong, Alpha Digital, Emote Digital, Deloitte Digital, Deloitte")</f>
        <v>Bushnote, Thinkerbell, Measured, The Monkeys, Accenture Song, Sparro, Webprofits, King Kong, Alpha Digital, Emote Digital, Deloitte Digital, Deloitte</v>
      </c>
      <c r="I260" s="7">
        <f>IFERROR(__xludf.DUMMYFUNCTION("""COMPUTED_VALUE"""),4.0)</f>
        <v>4</v>
      </c>
      <c r="J260" s="7">
        <f>IFERROR(__xludf.DUMMYFUNCTION("""COMPUTED_VALUE"""),0.0)</f>
        <v>0</v>
      </c>
      <c r="K260" s="7">
        <f>IFERROR(__xludf.DUMMYFUNCTION("""COMPUTED_VALUE"""),4.25)</f>
        <v>4.25</v>
      </c>
      <c r="L260" s="7"/>
    </row>
    <row r="261" ht="15.75" customHeight="1">
      <c r="A261" s="6" t="str">
        <f>IFERROR(__xludf.DUMMYFUNCTION("""COMPUTED_VALUE"""),"https://www.bushnote.com/articles/leading-media-buying-agencies-australia")</f>
        <v>https://www.bushnote.com/articles/leading-media-buying-agencies-australia</v>
      </c>
      <c r="B261" s="7" t="str">
        <f>IFERROR(__xludf.DUMMYFUNCTION("""COMPUTED_VALUE"""),"Australia's Top 10 Media Buying Agencies: 2024 Guide")</f>
        <v>Australia's Top 10 Media Buying Agencies: 2024 Guide</v>
      </c>
      <c r="C261" s="6" t="str">
        <f>IFERROR(__xludf.DUMMYFUNCTION("""COMPUTED_VALUE"""),"bushnote.com")</f>
        <v>bushnote.com</v>
      </c>
      <c r="D261" s="7" t="str">
        <f>IFERROR(__xludf.DUMMYFUNCTION("""COMPUTED_VALUE"""),"LISTICLE")</f>
        <v>LISTICLE</v>
      </c>
      <c r="E261" s="7" t="str">
        <f>IFERROR(__xludf.DUMMYFUNCTION("""COMPUTED_VALUE"""),"COMPETITOR")</f>
        <v>COMPETITOR</v>
      </c>
      <c r="F261" s="7" t="str">
        <f>IFERROR(__xludf.DUMMYFUNCTION("""COMPUTED_VALUE"""),"Listicle")</f>
        <v>Listicle</v>
      </c>
      <c r="G261" s="7" t="b">
        <f>IFERROR(__xludf.DUMMYFUNCTION("""COMPUTED_VALUE"""),FALSE)</f>
        <v>0</v>
      </c>
      <c r="H261" s="7" t="str">
        <f>IFERROR(__xludf.DUMMYFUNCTION("""COMPUTED_VALUE"""),"Bushnote, Deloitte, OMD, PHD, EssenceMediacom, GroupM, Publicis Groupe")</f>
        <v>Bushnote, Deloitte, OMD, PHD, EssenceMediacom, GroupM, Publicis Groupe</v>
      </c>
      <c r="I261" s="7">
        <f>IFERROR(__xludf.DUMMYFUNCTION("""COMPUTED_VALUE"""),4.0)</f>
        <v>4</v>
      </c>
      <c r="J261" s="7">
        <f>IFERROR(__xludf.DUMMYFUNCTION("""COMPUTED_VALUE"""),0.0)</f>
        <v>0</v>
      </c>
      <c r="K261" s="7">
        <f>IFERROR(__xludf.DUMMYFUNCTION("""COMPUTED_VALUE"""),0.5)</f>
        <v>0.5</v>
      </c>
      <c r="L261" s="7"/>
    </row>
    <row r="262" ht="15.75" customHeight="1">
      <c r="A262" s="6" t="str">
        <f>IFERROR(__xludf.DUMMYFUNCTION("""COMPUTED_VALUE"""),"https://businessinfopro.com/blogs/information-technology-blog/top-ai-development-consulting-firms-in-australia/")</f>
        <v>https://businessinfopro.com/blogs/information-technology-blog/top-ai-development-consulting-firms-in-australia/</v>
      </c>
      <c r="B262" s="7" t="str">
        <f>IFERROR(__xludf.DUMMYFUNCTION("""COMPUTED_VALUE"""),"Top 10 AI Development and Consulting Companies in Australia")</f>
        <v>Top 10 AI Development and Consulting Companies in Australia</v>
      </c>
      <c r="C262" s="6" t="str">
        <f>IFERROR(__xludf.DUMMYFUNCTION("""COMPUTED_VALUE"""),"businessinfopro.com")</f>
        <v>businessinfopro.com</v>
      </c>
      <c r="D262" s="7" t="str">
        <f>IFERROR(__xludf.DUMMYFUNCTION("""COMPUTED_VALUE"""),"OTHER")</f>
        <v>OTHER</v>
      </c>
      <c r="E262" s="7" t="str">
        <f>IFERROR(__xludf.DUMMYFUNCTION("""COMPUTED_VALUE"""),"REFERENCE")</f>
        <v>REFERENCE</v>
      </c>
      <c r="F262" s="7" t="str">
        <f>IFERROR(__xludf.DUMMYFUNCTION("""COMPUTED_VALUE"""),"Other")</f>
        <v>Other</v>
      </c>
      <c r="G262" s="7" t="b">
        <f>IFERROR(__xludf.DUMMYFUNCTION("""COMPUTED_VALUE"""),FALSE)</f>
        <v>0</v>
      </c>
      <c r="H262" s="7"/>
      <c r="I262" s="7">
        <f>IFERROR(__xludf.DUMMYFUNCTION("""COMPUTED_VALUE"""),4.0)</f>
        <v>4</v>
      </c>
      <c r="J262" s="7">
        <f>IFERROR(__xludf.DUMMYFUNCTION("""COMPUTED_VALUE"""),0.0)</f>
        <v>0</v>
      </c>
      <c r="K262" s="7">
        <f>IFERROR(__xludf.DUMMYFUNCTION("""COMPUTED_VALUE"""),1.25)</f>
        <v>1.25</v>
      </c>
      <c r="L262" s="7"/>
    </row>
    <row r="263" ht="15.75" customHeight="1">
      <c r="A263" s="6" t="str">
        <f>IFERROR(__xludf.DUMMYFUNCTION("""COMPUTED_VALUE"""),"https://clutch.co/au/agencies/business-services-industry")</f>
        <v>https://clutch.co/au/agencies/business-services-industry</v>
      </c>
      <c r="B263" s="7" t="str">
        <f>IFERROR(__xludf.DUMMYFUNCTION("""COMPUTED_VALUE"""),"Top Advertising Agencies for B2B in Australia - Jul 2026 Rankings | Clutch.co")</f>
        <v>Top Advertising Agencies for B2B in Australia - Jul 2026 Rankings | Clutch.co</v>
      </c>
      <c r="C263" s="6" t="str">
        <f>IFERROR(__xludf.DUMMYFUNCTION("""COMPUTED_VALUE"""),"clutch.co")</f>
        <v>clutch.co</v>
      </c>
      <c r="D263" s="7" t="str">
        <f>IFERROR(__xludf.DUMMYFUNCTION("""COMPUTED_VALUE"""),"CATEGORY_PAGE")</f>
        <v>CATEGORY_PAGE</v>
      </c>
      <c r="E263" s="7" t="str">
        <f>IFERROR(__xludf.DUMMYFUNCTION("""COMPUTED_VALUE"""),"CORPORATE")</f>
        <v>CORPORATE</v>
      </c>
      <c r="F263" s="7" t="str">
        <f>IFERROR(__xludf.DUMMYFUNCTION("""COMPUTED_VALUE"""),"Category Page")</f>
        <v>Category Page</v>
      </c>
      <c r="G263" s="7" t="b">
        <f>IFERROR(__xludf.DUMMYFUNCTION("""COMPUTED_VALUE"""),FALSE)</f>
        <v>0</v>
      </c>
      <c r="H263" s="7" t="str">
        <f>IFERROR(__xludf.DUMMYFUNCTION("""COMPUTED_VALUE"""),"Version2, Impressive, Chello, Human Digital, Soup Agency, Farsiight, DNM Digital, Ninja Promo, Insil, First Page")</f>
        <v>Version2, Impressive, Chello, Human Digital, Soup Agency, Farsiight, DNM Digital, Ninja Promo, Insil, First Page</v>
      </c>
      <c r="I263" s="7">
        <f>IFERROR(__xludf.DUMMYFUNCTION("""COMPUTED_VALUE"""),4.0)</f>
        <v>4</v>
      </c>
      <c r="J263" s="7">
        <f>IFERROR(__xludf.DUMMYFUNCTION("""COMPUTED_VALUE"""),0.0)</f>
        <v>0</v>
      </c>
      <c r="K263" s="7">
        <f>IFERROR(__xludf.DUMMYFUNCTION("""COMPUTED_VALUE"""),0.0)</f>
        <v>0</v>
      </c>
      <c r="L263" s="7"/>
    </row>
    <row r="264" ht="15.75" customHeight="1">
      <c r="A264" s="6" t="str">
        <f>IFERROR(__xludf.DUMMYFUNCTION("""COMPUTED_VALUE"""),"https://clutch.co/au/agencies/melbourne")</f>
        <v>https://clutch.co/au/agencies/melbourne</v>
      </c>
      <c r="B264" s="7" t="str">
        <f>IFERROR(__xludf.DUMMYFUNCTION("""COMPUTED_VALUE"""),"Top Advertising Agencies in Melbourne, Australia - Jul 2026 Rankings \| Clutch.co")</f>
        <v>Top Advertising Agencies in Melbourne, Australia - Jul 2026 Rankings \| Clutch.co</v>
      </c>
      <c r="C264" s="6" t="str">
        <f>IFERROR(__xludf.DUMMYFUNCTION("""COMPUTED_VALUE"""),"clutch.co")</f>
        <v>clutch.co</v>
      </c>
      <c r="D264" s="7" t="str">
        <f>IFERROR(__xludf.DUMMYFUNCTION("""COMPUTED_VALUE"""),"CATEGORY_PAGE")</f>
        <v>CATEGORY_PAGE</v>
      </c>
      <c r="E264" s="7" t="str">
        <f>IFERROR(__xludf.DUMMYFUNCTION("""COMPUTED_VALUE"""),"CORPORATE")</f>
        <v>CORPORATE</v>
      </c>
      <c r="F264" s="7" t="str">
        <f>IFERROR(__xludf.DUMMYFUNCTION("""COMPUTED_VALUE"""),"Category Page")</f>
        <v>Category Page</v>
      </c>
      <c r="G264" s="7" t="b">
        <f>IFERROR(__xludf.DUMMYFUNCTION("""COMPUTED_VALUE"""),FALSE)</f>
        <v>0</v>
      </c>
      <c r="H264" s="7" t="str">
        <f>IFERROR(__xludf.DUMMYFUNCTION("""COMPUTED_VALUE"""),"Version2, Impressive, Ninja Promo, WebSavvy")</f>
        <v>Version2, Impressive, Ninja Promo, WebSavvy</v>
      </c>
      <c r="I264" s="7">
        <f>IFERROR(__xludf.DUMMYFUNCTION("""COMPUTED_VALUE"""),4.0)</f>
        <v>4</v>
      </c>
      <c r="J264" s="7">
        <f>IFERROR(__xludf.DUMMYFUNCTION("""COMPUTED_VALUE"""),0.0)</f>
        <v>0</v>
      </c>
      <c r="K264" s="7">
        <f>IFERROR(__xludf.DUMMYFUNCTION("""COMPUTED_VALUE"""),0.0)</f>
        <v>0</v>
      </c>
      <c r="L264" s="7"/>
    </row>
    <row r="265" ht="15.75" customHeight="1">
      <c r="A265" s="6" t="str">
        <f>IFERROR(__xludf.DUMMYFUNCTION("""COMPUTED_VALUE"""),"https://clutch.co/au/agencies/ppc%3Fpage%3D2")</f>
        <v>https://clutch.co/au/agencies/ppc%3Fpage%3D2</v>
      </c>
      <c r="B265" s="7" t="str">
        <f>IFERROR(__xludf.DUMMYFUNCTION("""COMPUTED_VALUE"""),"Top PPC Agencies in Australia - Jul 2026 Rankings | Clutch.co")</f>
        <v>Top PPC Agencies in Australia - Jul 2026 Rankings | Clutch.co</v>
      </c>
      <c r="C265" s="6" t="str">
        <f>IFERROR(__xludf.DUMMYFUNCTION("""COMPUTED_VALUE"""),"clutch.co")</f>
        <v>clutch.co</v>
      </c>
      <c r="D265" s="7" t="str">
        <f>IFERROR(__xludf.DUMMYFUNCTION("""COMPUTED_VALUE"""),"CATEGORY_PAGE")</f>
        <v>CATEGORY_PAGE</v>
      </c>
      <c r="E265" s="7" t="str">
        <f>IFERROR(__xludf.DUMMYFUNCTION("""COMPUTED_VALUE"""),"CORPORATE")</f>
        <v>CORPORATE</v>
      </c>
      <c r="F265" s="7" t="str">
        <f>IFERROR(__xludf.DUMMYFUNCTION("""COMPUTED_VALUE"""),"Category Page")</f>
        <v>Category Page</v>
      </c>
      <c r="G265" s="7" t="b">
        <f>IFERROR(__xludf.DUMMYFUNCTION("""COMPUTED_VALUE"""),FALSE)</f>
        <v>0</v>
      </c>
      <c r="H265" s="7" t="str">
        <f>IFERROR(__xludf.DUMMYFUNCTION("""COMPUTED_VALUE"""),"Soup Agency, Digital Nomads HQ, SIXGUN, Farsiight, Human Digital, Impressive, Intesols, MyWork, Salt &amp; Fuessel, Emote Digital, 80/20 Digital, Supple Digital, First Page, Alley Group, EvenDigit, Rocket Agency, Clearwater Agency, DNM Digital, Edge Marketing"&amp;", Megaphone, Paradox Marketing, Online Marketing Gurus, Omnicom Media Group, Marketix Digital")</f>
        <v>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v>
      </c>
      <c r="I265" s="7">
        <f>IFERROR(__xludf.DUMMYFUNCTION("""COMPUTED_VALUE"""),4.0)</f>
        <v>4</v>
      </c>
      <c r="J265" s="7">
        <f>IFERROR(__xludf.DUMMYFUNCTION("""COMPUTED_VALUE"""),0.0)</f>
        <v>0</v>
      </c>
      <c r="K265" s="7">
        <f>IFERROR(__xludf.DUMMYFUNCTION("""COMPUTED_VALUE"""),0.0)</f>
        <v>0</v>
      </c>
      <c r="L265" s="7"/>
    </row>
    <row r="266" ht="15.75" customHeight="1">
      <c r="A266" s="6" t="str">
        <f>IFERROR(__xludf.DUMMYFUNCTION("""COMPUTED_VALUE"""),"https://clutch.co/au/agencies/ppc/sydney")</f>
        <v>https://clutch.co/au/agencies/ppc/sydney</v>
      </c>
      <c r="B266" s="7" t="str">
        <f>IFERROR(__xludf.DUMMYFUNCTION("""COMPUTED_VALUE"""),"Top PPC Agencies in Sydney - Jul 2026 Rankings \| Clutch.co")</f>
        <v>Top PPC Agencies in Sydney - Jul 2026 Rankings \| Clutch.co</v>
      </c>
      <c r="C266" s="6" t="str">
        <f>IFERROR(__xludf.DUMMYFUNCTION("""COMPUTED_VALUE"""),"clutch.co")</f>
        <v>clutch.co</v>
      </c>
      <c r="D266" s="7" t="str">
        <f>IFERROR(__xludf.DUMMYFUNCTION("""COMPUTED_VALUE"""),"CATEGORY_PAGE")</f>
        <v>CATEGORY_PAGE</v>
      </c>
      <c r="E266" s="7" t="str">
        <f>IFERROR(__xludf.DUMMYFUNCTION("""COMPUTED_VALUE"""),"CORPORATE")</f>
        <v>CORPORATE</v>
      </c>
      <c r="F266" s="7" t="str">
        <f>IFERROR(__xludf.DUMMYFUNCTION("""COMPUTED_VALUE"""),"Category Page")</f>
        <v>Category Page</v>
      </c>
      <c r="G266" s="7" t="b">
        <f>IFERROR(__xludf.DUMMYFUNCTION("""COMPUTED_VALUE"""),FALSE)</f>
        <v>0</v>
      </c>
      <c r="H266" s="7" t="str">
        <f>IFERROR(__xludf.DUMMYFUNCTION("""COMPUTED_VALUE"""),"Human Digital, Soup Agency, Supple Digital, Alley Group, Digital Nomads HQ, Rocket Agency, Impressive, Huge, DNM Digital, Megaphone, Online Marketing Gurus, Marketix Digital, First Page, Sparro, Insil, AdVisible")</f>
        <v>Human Digital, Soup Agency, Supple Digital, Alley Group, Digital Nomads HQ, Rocket Agency, Impressive, Huge, DNM Digital, Megaphone, Online Marketing Gurus, Marketix Digital, First Page, Sparro, Insil, AdVisible</v>
      </c>
      <c r="I266" s="7">
        <f>IFERROR(__xludf.DUMMYFUNCTION("""COMPUTED_VALUE"""),4.0)</f>
        <v>4</v>
      </c>
      <c r="J266" s="7">
        <f>IFERROR(__xludf.DUMMYFUNCTION("""COMPUTED_VALUE"""),0.0)</f>
        <v>0</v>
      </c>
      <c r="K266" s="7">
        <f>IFERROR(__xludf.DUMMYFUNCTION("""COMPUTED_VALUE"""),0.5)</f>
        <v>0.5</v>
      </c>
      <c r="L266" s="7"/>
    </row>
    <row r="267" ht="15.75" customHeight="1">
      <c r="A267" s="6" t="str">
        <f>IFERROR(__xludf.DUMMYFUNCTION("""COMPUTED_VALUE"""),"https://conquerradigital.com.au/top-10-programmatic-ads-agencies-in-brisbane/")</f>
        <v>https://conquerradigital.com.au/top-10-programmatic-ads-agencies-in-brisbane/</v>
      </c>
      <c r="B267" s="7" t="str">
        <f>IFERROR(__xludf.DUMMYFUNCTION("""COMPUTED_VALUE"""),"Top 10 Programmatic Ads Agencies In Brisbane | Conquerra Digital")</f>
        <v>Top 10 Programmatic Ads Agencies In Brisbane | Conquerra Digital</v>
      </c>
      <c r="C267" s="6" t="str">
        <f>IFERROR(__xludf.DUMMYFUNCTION("""COMPUTED_VALUE"""),"conquerradigital.com.au")</f>
        <v>conquerradigital.com.au</v>
      </c>
      <c r="D267" s="7" t="str">
        <f>IFERROR(__xludf.DUMMYFUNCTION("""COMPUTED_VALUE"""),"LISTICLE")</f>
        <v>LISTICLE</v>
      </c>
      <c r="E267" s="7" t="str">
        <f>IFERROR(__xludf.DUMMYFUNCTION("""COMPUTED_VALUE"""),"CORPORATE")</f>
        <v>CORPORATE</v>
      </c>
      <c r="F267" s="7" t="str">
        <f>IFERROR(__xludf.DUMMYFUNCTION("""COMPUTED_VALUE"""),"Listicle")</f>
        <v>Listicle</v>
      </c>
      <c r="G267" s="7" t="b">
        <f>IFERROR(__xludf.DUMMYFUNCTION("""COMPUTED_VALUE"""),FALSE)</f>
        <v>0</v>
      </c>
      <c r="H267" s="7" t="str">
        <f>IFERROR(__xludf.DUMMYFUNCTION("""COMPUTED_VALUE"""),"Soup Agency, Alpha Digital, Digital Nomads HQ, Momentum")</f>
        <v>Soup Agency, Alpha Digital, Digital Nomads HQ, Momentum</v>
      </c>
      <c r="I267" s="7">
        <f>IFERROR(__xludf.DUMMYFUNCTION("""COMPUTED_VALUE"""),4.0)</f>
        <v>4</v>
      </c>
      <c r="J267" s="7">
        <f>IFERROR(__xludf.DUMMYFUNCTION("""COMPUTED_VALUE"""),0.0)</f>
        <v>0</v>
      </c>
      <c r="K267" s="7">
        <f>IFERROR(__xludf.DUMMYFUNCTION("""COMPUTED_VALUE"""),1.0)</f>
        <v>1</v>
      </c>
      <c r="L267" s="7"/>
    </row>
    <row r="268" ht="15.75" customHeight="1">
      <c r="A268" s="6" t="str">
        <f>IFERROR(__xludf.DUMMYFUNCTION("""COMPUTED_VALUE"""),"https://dejanmarketing.com/best-ai-seo-agencies/#:~:text=If%20you%20want%20AI%2Daware%20SEO%20that%20feels,technical%20SEO%2C%20product%20management%2C%20and%20applied%20AI.")</f>
        <v>https://dejanmarketing.com/best-ai-seo-agencies/#:~:text=If%20you%20want%20AI%2Daware%20SEO%20that%20feels,technical%20SEO%2C%20product%20management%2C%20and%20applied%20AI.</v>
      </c>
      <c r="B268" s="7" t="str">
        <f>IFERROR(__xludf.DUMMYFUNCTION("""COMPUTED_VALUE"""),"Best AI SEO agencies to watch out for in 2026")</f>
        <v>Best AI SEO agencies to watch out for in 2026</v>
      </c>
      <c r="C268" s="6" t="str">
        <f>IFERROR(__xludf.DUMMYFUNCTION("""COMPUTED_VALUE"""),"dejanmarketing.com")</f>
        <v>dejanmarketing.com</v>
      </c>
      <c r="D268" s="7" t="str">
        <f>IFERROR(__xludf.DUMMYFUNCTION("""COMPUTED_VALUE"""),"OTHER")</f>
        <v>OTHER</v>
      </c>
      <c r="E268" s="7" t="str">
        <f>IFERROR(__xludf.DUMMYFUNCTION("""COMPUTED_VALUE"""),"CORPORATE")</f>
        <v>CORPORATE</v>
      </c>
      <c r="F268" s="7" t="str">
        <f>IFERROR(__xludf.DUMMYFUNCTION("""COMPUTED_VALUE"""),"Other")</f>
        <v>Other</v>
      </c>
      <c r="G268" s="7" t="b">
        <f>IFERROR(__xludf.DUMMYFUNCTION("""COMPUTED_VALUE"""),FALSE)</f>
        <v>0</v>
      </c>
      <c r="H268" s="7" t="str">
        <f>IFERROR(__xludf.DUMMYFUNCTION("""COMPUTED_VALUE"""),"Huge, PHD")</f>
        <v>Huge, PHD</v>
      </c>
      <c r="I268" s="7">
        <f>IFERROR(__xludf.DUMMYFUNCTION("""COMPUTED_VALUE"""),4.0)</f>
        <v>4</v>
      </c>
      <c r="J268" s="7">
        <f>IFERROR(__xludf.DUMMYFUNCTION("""COMPUTED_VALUE"""),0.0)</f>
        <v>0</v>
      </c>
      <c r="K268" s="7">
        <f>IFERROR(__xludf.DUMMYFUNCTION("""COMPUTED_VALUE"""),1.5)</f>
        <v>1.5</v>
      </c>
      <c r="L268" s="7"/>
    </row>
    <row r="269" ht="15.75" customHeight="1">
      <c r="A269" s="6" t="str">
        <f>IFERROR(__xludf.DUMMYFUNCTION("""COMPUTED_VALUE"""),"https://www.digitalreference.co/insights/marketing-professionals/best-digital-marketing-agencies-companies-in-australia")</f>
        <v>https://www.digitalreference.co/insights/marketing-professionals/best-digital-marketing-agencies-companies-in-australia</v>
      </c>
      <c r="B269" s="7" t="str">
        <f>IFERROR(__xludf.DUMMYFUNCTION("""COMPUTED_VALUE"""),"Best Digital Marketing Agencies &amp;amp; Digital Marketing Firms in Australia")</f>
        <v>Best Digital Marketing Agencies &amp;amp; Digital Marketing Firms in Australia</v>
      </c>
      <c r="C269" s="6" t="str">
        <f>IFERROR(__xludf.DUMMYFUNCTION("""COMPUTED_VALUE"""),"digitalreference.co")</f>
        <v>digitalreference.co</v>
      </c>
      <c r="D269" s="7" t="str">
        <f>IFERROR(__xludf.DUMMYFUNCTION("""COMPUTED_VALUE"""),"LISTICLE")</f>
        <v>LISTICLE</v>
      </c>
      <c r="E269" s="7" t="str">
        <f>IFERROR(__xludf.DUMMYFUNCTION("""COMPUTED_VALUE"""),"UGC")</f>
        <v>UGC</v>
      </c>
      <c r="F269" s="7" t="str">
        <f>IFERROR(__xludf.DUMMYFUNCTION("""COMPUTED_VALUE"""),"Listicle")</f>
        <v>Listicle</v>
      </c>
      <c r="G269" s="7" t="b">
        <f>IFERROR(__xludf.DUMMYFUNCTION("""COMPUTED_VALUE"""),FALSE)</f>
        <v>0</v>
      </c>
      <c r="H269" s="7" t="str">
        <f>IFERROR(__xludf.DUMMYFUNCTION("""COMPUTED_VALUE"""),"Digital Movement, Momentum, Digital Nomads HQ, Online Marketing Gurus, Omnicom Media Group")</f>
        <v>Digital Movement, Momentum, Digital Nomads HQ, Online Marketing Gurus, Omnicom Media Group</v>
      </c>
      <c r="I269" s="7">
        <f>IFERROR(__xludf.DUMMYFUNCTION("""COMPUTED_VALUE"""),4.0)</f>
        <v>4</v>
      </c>
      <c r="J269" s="7">
        <f>IFERROR(__xludf.DUMMYFUNCTION("""COMPUTED_VALUE"""),0.0)</f>
        <v>0</v>
      </c>
      <c r="K269" s="7">
        <f>IFERROR(__xludf.DUMMYFUNCTION("""COMPUTED_VALUE"""),0.0)</f>
        <v>0</v>
      </c>
      <c r="L269" s="7"/>
    </row>
    <row r="270" ht="15.75" customHeight="1">
      <c r="A270" s="6" t="str">
        <f>IFERROR(__xludf.DUMMYFUNCTION("""COMPUTED_VALUE"""),"https://edisonai.au/insights/best-ai-consultants-for-small-business-australia")</f>
        <v>https://edisonai.au/insights/best-ai-consultants-for-small-business-australia</v>
      </c>
      <c r="B270" s="7" t="str">
        <f>IFERROR(__xludf.DUMMYFUNCTION("""COMPUTED_VALUE"""),"Best AI Consultants for Small Business Australia (2026) \| Edison AI")</f>
        <v>Best AI Consultants for Small Business Australia (2026) \| Edison AI</v>
      </c>
      <c r="C270" s="6" t="str">
        <f>IFERROR(__xludf.DUMMYFUNCTION("""COMPUTED_VALUE"""),"edisonai.au")</f>
        <v>edisonai.au</v>
      </c>
      <c r="D270" s="7" t="str">
        <f>IFERROR(__xludf.DUMMYFUNCTION("""COMPUTED_VALUE"""),"LISTICLE")</f>
        <v>LISTICLE</v>
      </c>
      <c r="E270" s="7" t="str">
        <f>IFERROR(__xludf.DUMMYFUNCTION("""COMPUTED_VALUE"""),"CORPORATE")</f>
        <v>CORPORATE</v>
      </c>
      <c r="F270" s="7" t="str">
        <f>IFERROR(__xludf.DUMMYFUNCTION("""COMPUTED_VALUE"""),"Listicle")</f>
        <v>Listicle</v>
      </c>
      <c r="G270" s="7" t="b">
        <f>IFERROR(__xludf.DUMMYFUNCTION("""COMPUTED_VALUE"""),FALSE)</f>
        <v>0</v>
      </c>
      <c r="H270" s="7" t="str">
        <f>IFERROR(__xludf.DUMMYFUNCTION("""COMPUTED_VALUE"""),"Edison AI, Mantel Group, Momentum, Measured")</f>
        <v>Edison AI, Mantel Group, Momentum, Measured</v>
      </c>
      <c r="I270" s="7">
        <f>IFERROR(__xludf.DUMMYFUNCTION("""COMPUTED_VALUE"""),4.0)</f>
        <v>4</v>
      </c>
      <c r="J270" s="7">
        <f>IFERROR(__xludf.DUMMYFUNCTION("""COMPUTED_VALUE"""),0.0)</f>
        <v>0</v>
      </c>
      <c r="K270" s="7">
        <f>IFERROR(__xludf.DUMMYFUNCTION("""COMPUTED_VALUE"""),0.75)</f>
        <v>0.75</v>
      </c>
      <c r="L270" s="7"/>
    </row>
    <row r="271" ht="15.75" customHeight="1">
      <c r="A271" s="6" t="str">
        <f>IFERROR(__xludf.DUMMYFUNCTION("""COMPUTED_VALUE"""),"https://ensun.io/search/ai-marketing/australia")</f>
        <v>https://ensun.io/search/ai-marketing/australia</v>
      </c>
      <c r="B271" s="7" t="str">
        <f>IFERROR(__xludf.DUMMYFUNCTION("""COMPUTED_VALUE"""),"Top 100 AI Marketing Companies in Australia (2026) \| ensun")</f>
        <v>Top 100 AI Marketing Companies in Australia (2026) \| ensun</v>
      </c>
      <c r="C271" s="6" t="str">
        <f>IFERROR(__xludf.DUMMYFUNCTION("""COMPUTED_VALUE"""),"ensun.io")</f>
        <v>ensun.io</v>
      </c>
      <c r="D271" s="7" t="str">
        <f>IFERROR(__xludf.DUMMYFUNCTION("""COMPUTED_VALUE"""),"CATEGORY_PAGE")</f>
        <v>CATEGORY_PAGE</v>
      </c>
      <c r="E271" s="7" t="str">
        <f>IFERROR(__xludf.DUMMYFUNCTION("""COMPUTED_VALUE"""),"OTHER")</f>
        <v>OTHER</v>
      </c>
      <c r="F271" s="7" t="str">
        <f>IFERROR(__xludf.DUMMYFUNCTION("""COMPUTED_VALUE"""),"Category Page")</f>
        <v>Category Page</v>
      </c>
      <c r="G271" s="7" t="b">
        <f>IFERROR(__xludf.DUMMYFUNCTION("""COMPUTED_VALUE"""),FALSE)</f>
        <v>0</v>
      </c>
      <c r="H271" s="7"/>
      <c r="I271" s="7">
        <f>IFERROR(__xludf.DUMMYFUNCTION("""COMPUTED_VALUE"""),4.0)</f>
        <v>4</v>
      </c>
      <c r="J271" s="7">
        <f>IFERROR(__xludf.DUMMYFUNCTION("""COMPUTED_VALUE"""),0.0)</f>
        <v>0</v>
      </c>
      <c r="K271" s="7">
        <f>IFERROR(__xludf.DUMMYFUNCTION("""COMPUTED_VALUE"""),0.0)</f>
        <v>0</v>
      </c>
      <c r="L271" s="7"/>
    </row>
    <row r="272" ht="15.75" customHeight="1">
      <c r="A272" s="6" t="str">
        <f>IFERROR(__xludf.DUMMYFUNCTION("""COMPUTED_VALUE"""),"https://www.goodfirms.co/directory/city/top-digital-marketing-companies/media-planning-buying/melbourne")</f>
        <v>https://www.goodfirms.co/directory/city/top-digital-marketing-companies/media-planning-buying/melbourne</v>
      </c>
      <c r="B272" s="7" t="str">
        <f>IFERROR(__xludf.DUMMYFUNCTION("""COMPUTED_VALUE"""),"Top Media Buying Agencies in Melbourne - 2026 Reviews | Goodfirms")</f>
        <v>Top Media Buying Agencies in Melbourne - 2026 Reviews | Goodfirms</v>
      </c>
      <c r="C272" s="6" t="str">
        <f>IFERROR(__xludf.DUMMYFUNCTION("""COMPUTED_VALUE"""),"goodfirms.co")</f>
        <v>goodfirms.co</v>
      </c>
      <c r="D272" s="7" t="str">
        <f>IFERROR(__xludf.DUMMYFUNCTION("""COMPUTED_VALUE"""),"OTHER")</f>
        <v>OTHER</v>
      </c>
      <c r="E272" s="7" t="str">
        <f>IFERROR(__xludf.DUMMYFUNCTION("""COMPUTED_VALUE"""),"UGC")</f>
        <v>UGC</v>
      </c>
      <c r="F272" s="7" t="str">
        <f>IFERROR(__xludf.DUMMYFUNCTION("""COMPUTED_VALUE"""),"Other")</f>
        <v>Other</v>
      </c>
      <c r="G272" s="7" t="b">
        <f>IFERROR(__xludf.DUMMYFUNCTION("""COMPUTED_VALUE"""),FALSE)</f>
        <v>0</v>
      </c>
      <c r="H272" s="7" t="str">
        <f>IFERROR(__xludf.DUMMYFUNCTION("""COMPUTED_VALUE"""),"Emote Digital, eMarket Experts, SIXGUN, Impressive")</f>
        <v>Emote Digital, eMarket Experts, SIXGUN, Impressive</v>
      </c>
      <c r="I272" s="7">
        <f>IFERROR(__xludf.DUMMYFUNCTION("""COMPUTED_VALUE"""),4.0)</f>
        <v>4</v>
      </c>
      <c r="J272" s="7">
        <f>IFERROR(__xludf.DUMMYFUNCTION("""COMPUTED_VALUE"""),0.0)</f>
        <v>0</v>
      </c>
      <c r="K272" s="7">
        <f>IFERROR(__xludf.DUMMYFUNCTION("""COMPUTED_VALUE"""),0.0)</f>
        <v>0</v>
      </c>
      <c r="L272" s="7"/>
    </row>
    <row r="273" ht="15.75" customHeight="1">
      <c r="A273" s="6" t="str">
        <f>IFERROR(__xludf.DUMMYFUNCTION("""COMPUTED_VALUE"""),"https://www.goodfirms.co/directory/country/top-digital-marketing-companies/media-planning-buying/australia")</f>
        <v>https://www.goodfirms.co/directory/country/top-digital-marketing-companies/media-planning-buying/australia</v>
      </c>
      <c r="B273" s="7" t="str">
        <f>IFERROR(__xludf.DUMMYFUNCTION("""COMPUTED_VALUE"""),"Top Media Buying Agencies in Australia - 2026 Reviews | Goodfirms")</f>
        <v>Top Media Buying Agencies in Australia - 2026 Reviews | Goodfirms</v>
      </c>
      <c r="C273" s="6" t="str">
        <f>IFERROR(__xludf.DUMMYFUNCTION("""COMPUTED_VALUE"""),"goodfirms.co")</f>
        <v>goodfirms.co</v>
      </c>
      <c r="D273" s="7" t="str">
        <f>IFERROR(__xludf.DUMMYFUNCTION("""COMPUTED_VALUE"""),"PROFILE")</f>
        <v>PROFILE</v>
      </c>
      <c r="E273" s="7" t="str">
        <f>IFERROR(__xludf.DUMMYFUNCTION("""COMPUTED_VALUE"""),"UGC")</f>
        <v>UGC</v>
      </c>
      <c r="F273" s="7" t="str">
        <f>IFERROR(__xludf.DUMMYFUNCTION("""COMPUTED_VALUE"""),"Profile")</f>
        <v>Profile</v>
      </c>
      <c r="G273" s="7" t="b">
        <f>IFERROR(__xludf.DUMMYFUNCTION("""COMPUTED_VALUE"""),FALSE)</f>
        <v>0</v>
      </c>
      <c r="H273" s="7" t="str">
        <f>IFERROR(__xludf.DUMMYFUNCTION("""COMPUTED_VALUE"""),"Emote Digital, Bench Media, Reload Media, Soup Agency, Impressive, eMarket Experts, CUT THRU")</f>
        <v>Emote Digital, Bench Media, Reload Media, Soup Agency, Impressive, eMarket Experts, CUT THRU</v>
      </c>
      <c r="I273" s="7">
        <f>IFERROR(__xludf.DUMMYFUNCTION("""COMPUTED_VALUE"""),4.0)</f>
        <v>4</v>
      </c>
      <c r="J273" s="7">
        <f>IFERROR(__xludf.DUMMYFUNCTION("""COMPUTED_VALUE"""),0.0)</f>
        <v>0</v>
      </c>
      <c r="K273" s="7">
        <f>IFERROR(__xludf.DUMMYFUNCTION("""COMPUTED_VALUE"""),0.0)</f>
        <v>0</v>
      </c>
      <c r="L273" s="7"/>
    </row>
    <row r="274" ht="15.75" customHeight="1">
      <c r="A274" s="6" t="str">
        <f>IFERROR(__xludf.DUMMYFUNCTION("""COMPUTED_VALUE"""),"https://leadsnow.ai/best-high-ticket-marketing-agencies-australia/")</f>
        <v>https://leadsnow.ai/best-high-ticket-marketing-agencies-australia/</v>
      </c>
      <c r="B274" s="7" t="str">
        <f>IFERROR(__xludf.DUMMYFUNCTION("""COMPUTED_VALUE"""),"Best High-Ticket Marketing Agencies in Australia (2026) - Leads Now AI")</f>
        <v>Best High-Ticket Marketing Agencies in Australia (2026) - Leads Now AI</v>
      </c>
      <c r="C274" s="6" t="str">
        <f>IFERROR(__xludf.DUMMYFUNCTION("""COMPUTED_VALUE"""),"leadsnow.ai")</f>
        <v>leadsnow.ai</v>
      </c>
      <c r="D274" s="7" t="str">
        <f>IFERROR(__xludf.DUMMYFUNCTION("""COMPUTED_VALUE"""),"LISTICLE")</f>
        <v>LISTICLE</v>
      </c>
      <c r="E274" s="7" t="str">
        <f>IFERROR(__xludf.DUMMYFUNCTION("""COMPUTED_VALUE"""),"COMPETITOR")</f>
        <v>COMPETITOR</v>
      </c>
      <c r="F274" s="7" t="str">
        <f>IFERROR(__xludf.DUMMYFUNCTION("""COMPUTED_VALUE"""),"Listicle")</f>
        <v>Listicle</v>
      </c>
      <c r="G274" s="7" t="b">
        <f>IFERROR(__xludf.DUMMYFUNCTION("""COMPUTED_VALUE"""),FALSE)</f>
        <v>0</v>
      </c>
      <c r="H274" s="7" t="str">
        <f>IFERROR(__xludf.DUMMYFUNCTION("""COMPUTED_VALUE"""),"LeadsNow.ai, King Kong, Megaphone, Omnicom Media Group, Online Marketing Gurus, Webprofits, Sparro, Brainlabs, Rocket Agency")</f>
        <v>LeadsNow.ai, King Kong, Megaphone, Omnicom Media Group, Online Marketing Gurus, Webprofits, Sparro, Brainlabs, Rocket Agency</v>
      </c>
      <c r="I274" s="7">
        <f>IFERROR(__xludf.DUMMYFUNCTION("""COMPUTED_VALUE"""),4.0)</f>
        <v>4</v>
      </c>
      <c r="J274" s="7">
        <f>IFERROR(__xludf.DUMMYFUNCTION("""COMPUTED_VALUE"""),0.0)</f>
        <v>0</v>
      </c>
      <c r="K274" s="7">
        <f>IFERROR(__xludf.DUMMYFUNCTION("""COMPUTED_VALUE"""),1.25)</f>
        <v>1.25</v>
      </c>
      <c r="L274" s="7"/>
    </row>
    <row r="275" ht="15.75" customHeight="1">
      <c r="A275" s="6" t="str">
        <f>IFERROR(__xludf.DUMMYFUNCTION("""COMPUTED_VALUE"""),"https://leadsrx.com/resource/35-marketing-attribution-software-companies/")</f>
        <v>https://leadsrx.com/resource/35-marketing-attribution-software-companies/</v>
      </c>
      <c r="B275" s="7" t="str">
        <f>IFERROR(__xludf.DUMMYFUNCTION("""COMPUTED_VALUE"""),"35 Best Marketing Attribution Software For You to Consider")</f>
        <v>35 Best Marketing Attribution Software For You to Consider</v>
      </c>
      <c r="C275" s="6" t="str">
        <f>IFERROR(__xludf.DUMMYFUNCTION("""COMPUTED_VALUE"""),"leadsrx.com")</f>
        <v>leadsrx.com</v>
      </c>
      <c r="D275" s="7" t="str">
        <f>IFERROR(__xludf.DUMMYFUNCTION("""COMPUTED_VALUE"""),"LISTICLE")</f>
        <v>LISTICLE</v>
      </c>
      <c r="E275" s="7" t="str">
        <f>IFERROR(__xludf.DUMMYFUNCTION("""COMPUTED_VALUE"""),"UGC")</f>
        <v>UGC</v>
      </c>
      <c r="F275" s="7" t="str">
        <f>IFERROR(__xludf.DUMMYFUNCTION("""COMPUTED_VALUE"""),"Listicle")</f>
        <v>Listicle</v>
      </c>
      <c r="G275" s="7" t="b">
        <f>IFERROR(__xludf.DUMMYFUNCTION("""COMPUTED_VALUE"""),FALSE)</f>
        <v>0</v>
      </c>
      <c r="H275" s="7" t="str">
        <f>IFERROR(__xludf.DUMMYFUNCTION("""COMPUTED_VALUE"""),"Measured, Huge")</f>
        <v>Measured, Huge</v>
      </c>
      <c r="I275" s="7">
        <f>IFERROR(__xludf.DUMMYFUNCTION("""COMPUTED_VALUE"""),4.0)</f>
        <v>4</v>
      </c>
      <c r="J275" s="7">
        <f>IFERROR(__xludf.DUMMYFUNCTION("""COMPUTED_VALUE"""),0.0)</f>
        <v>0</v>
      </c>
      <c r="K275" s="7">
        <f>IFERROR(__xludf.DUMMYFUNCTION("""COMPUTED_VALUE"""),0.25)</f>
        <v>0.25</v>
      </c>
      <c r="L275" s="7"/>
    </row>
    <row r="276" ht="15.75" customHeight="1">
      <c r="A276" s="6" t="str">
        <f>IFERROR(__xludf.DUMMYFUNCTION("""COMPUTED_VALUE"""),"https://lengreo.com/australia-brisbane-aeo-geo-llmo-companies/")</f>
        <v>https://lengreo.com/australia-brisbane-aeo-geo-llmo-companies/</v>
      </c>
      <c r="B276" s="7" t="str">
        <f>IFERROR(__xludf.DUMMYFUNCTION("""COMPUTED_VALUE"""),"6 Best AEO, GEO &amp;amp; LLMO Companies in Brisbane, Australia (2026)")</f>
        <v>6 Best AEO, GEO &amp;amp; LLMO Companies in Brisbane, Australia (2026)</v>
      </c>
      <c r="C276" s="6" t="str">
        <f>IFERROR(__xludf.DUMMYFUNCTION("""COMPUTED_VALUE"""),"lengreo.com")</f>
        <v>lengreo.com</v>
      </c>
      <c r="D276" s="7" t="str">
        <f>IFERROR(__xludf.DUMMYFUNCTION("""COMPUTED_VALUE"""),"LISTICLE")</f>
        <v>LISTICLE</v>
      </c>
      <c r="E276" s="7" t="str">
        <f>IFERROR(__xludf.DUMMYFUNCTION("""COMPUTED_VALUE"""),"CORPORATE")</f>
        <v>CORPORATE</v>
      </c>
      <c r="F276" s="7" t="str">
        <f>IFERROR(__xludf.DUMMYFUNCTION("""COMPUTED_VALUE"""),"Listicle")</f>
        <v>Listicle</v>
      </c>
      <c r="G276" s="7" t="b">
        <f>IFERROR(__xludf.DUMMYFUNCTION("""COMPUTED_VALUE"""),FALSE)</f>
        <v>0</v>
      </c>
      <c r="H276" s="7" t="str">
        <f>IFERROR(__xludf.DUMMYFUNCTION("""COMPUTED_VALUE"""),"Supple Digital, StudioHawk")</f>
        <v>Supple Digital, StudioHawk</v>
      </c>
      <c r="I276" s="7">
        <f>IFERROR(__xludf.DUMMYFUNCTION("""COMPUTED_VALUE"""),4.0)</f>
        <v>4</v>
      </c>
      <c r="J276" s="7">
        <f>IFERROR(__xludf.DUMMYFUNCTION("""COMPUTED_VALUE"""),0.0)</f>
        <v>0</v>
      </c>
      <c r="K276" s="7">
        <f>IFERROR(__xludf.DUMMYFUNCTION("""COMPUTED_VALUE"""),1.5)</f>
        <v>1.5</v>
      </c>
      <c r="L276" s="7"/>
    </row>
    <row r="277" ht="15.75" customHeight="1">
      <c r="A277" s="6" t="str">
        <f>IFERROR(__xludf.DUMMYFUNCTION("""COMPUTED_VALUE"""),"https://nogood.io/blog/performance-marketing-agencies/")</f>
        <v>https://nogood.io/blog/performance-marketing-agencies/</v>
      </c>
      <c r="B277" s="7" t="str">
        <f>IFERROR(__xludf.DUMMYFUNCTION("""COMPUTED_VALUE"""),"Top Performance Marketing Agencies in 2026 | NoGood")</f>
        <v>Top Performance Marketing Agencies in 2026 | NoGood</v>
      </c>
      <c r="C277" s="6" t="str">
        <f>IFERROR(__xludf.DUMMYFUNCTION("""COMPUTED_VALUE"""),"nogood.io")</f>
        <v>nogood.io</v>
      </c>
      <c r="D277" s="7" t="str">
        <f>IFERROR(__xludf.DUMMYFUNCTION("""COMPUTED_VALUE"""),"LISTICLE")</f>
        <v>LISTICLE</v>
      </c>
      <c r="E277" s="7" t="str">
        <f>IFERROR(__xludf.DUMMYFUNCTION("""COMPUTED_VALUE"""),"CORPORATE")</f>
        <v>CORPORATE</v>
      </c>
      <c r="F277" s="7" t="str">
        <f>IFERROR(__xludf.DUMMYFUNCTION("""COMPUTED_VALUE"""),"Listicle")</f>
        <v>Listicle</v>
      </c>
      <c r="G277" s="7" t="b">
        <f>IFERROR(__xludf.DUMMYFUNCTION("""COMPUTED_VALUE"""),FALSE)</f>
        <v>0</v>
      </c>
      <c r="H277" s="7" t="str">
        <f>IFERROR(__xludf.DUMMYFUNCTION("""COMPUTED_VALUE"""),"Power Digital, Intero Digital, Measured, Earned Media, Huge")</f>
        <v>Power Digital, Intero Digital, Measured, Earned Media, Huge</v>
      </c>
      <c r="I277" s="7">
        <f>IFERROR(__xludf.DUMMYFUNCTION("""COMPUTED_VALUE"""),4.0)</f>
        <v>4</v>
      </c>
      <c r="J277" s="7">
        <f>IFERROR(__xludf.DUMMYFUNCTION("""COMPUTED_VALUE"""),0.0)</f>
        <v>0</v>
      </c>
      <c r="K277" s="7">
        <f>IFERROR(__xludf.DUMMYFUNCTION("""COMPUTED_VALUE"""),0.0)</f>
        <v>0</v>
      </c>
      <c r="L277" s="7"/>
    </row>
    <row r="278" ht="15.75" customHeight="1">
      <c r="A278" s="6" t="str">
        <f>IFERROR(__xludf.DUMMYFUNCTION("""COMPUTED_VALUE"""),"https://orm-tech.com/blog/best-marketing-attribution-software/")</f>
        <v>https://orm-tech.com/blog/best-marketing-attribution-software/</v>
      </c>
      <c r="B278" s="7" t="str">
        <f>IFERROR(__xludf.DUMMYFUNCTION("""COMPUTED_VALUE"""),"9 Best Marketing Attribution Software for B2B (2026) | ORM")</f>
        <v>9 Best Marketing Attribution Software for B2B (2026) | ORM</v>
      </c>
      <c r="C278" s="6" t="str">
        <f>IFERROR(__xludf.DUMMYFUNCTION("""COMPUTED_VALUE"""),"orm-tech.com")</f>
        <v>orm-tech.com</v>
      </c>
      <c r="D278" s="7" t="str">
        <f>IFERROR(__xludf.DUMMYFUNCTION("""COMPUTED_VALUE"""),"LISTICLE")</f>
        <v>LISTICLE</v>
      </c>
      <c r="E278" s="7" t="str">
        <f>IFERROR(__xludf.DUMMYFUNCTION("""COMPUTED_VALUE"""),"CORPORATE")</f>
        <v>CORPORATE</v>
      </c>
      <c r="F278" s="7" t="str">
        <f>IFERROR(__xludf.DUMMYFUNCTION("""COMPUTED_VALUE"""),"Listicle")</f>
        <v>Listicle</v>
      </c>
      <c r="G278" s="7" t="b">
        <f>IFERROR(__xludf.DUMMYFUNCTION("""COMPUTED_VALUE"""),FALSE)</f>
        <v>0</v>
      </c>
      <c r="H278" s="7"/>
      <c r="I278" s="7">
        <f>IFERROR(__xludf.DUMMYFUNCTION("""COMPUTED_VALUE"""),4.0)</f>
        <v>4</v>
      </c>
      <c r="J278" s="7">
        <f>IFERROR(__xludf.DUMMYFUNCTION("""COMPUTED_VALUE"""),0.0)</f>
        <v>0</v>
      </c>
      <c r="K278" s="7">
        <f>IFERROR(__xludf.DUMMYFUNCTION("""COMPUTED_VALUE"""),0.5)</f>
        <v>0.5</v>
      </c>
      <c r="L278" s="7"/>
    </row>
    <row r="279" ht="15.75" customHeight="1">
      <c r="A279" s="6" t="str">
        <f>IFERROR(__xludf.DUMMYFUNCTION("""COMPUTED_VALUE"""),"https://www.sortlist.com/s/display-advertising/brisbane-qld-au")</f>
        <v>https://www.sortlist.com/s/display-advertising/brisbane-qld-au</v>
      </c>
      <c r="B279" s="7" t="str">
        <f>IFERROR(__xludf.DUMMYFUNCTION("""COMPUTED_VALUE"""),"The 10 Best Display Advertising Agencies in Brisbane - 2026 Reviews")</f>
        <v>The 10 Best Display Advertising Agencies in Brisbane - 2026 Reviews</v>
      </c>
      <c r="C279" s="6" t="str">
        <f>IFERROR(__xludf.DUMMYFUNCTION("""COMPUTED_VALUE"""),"sortlist.com")</f>
        <v>sortlist.com</v>
      </c>
      <c r="D279" s="7" t="str">
        <f>IFERROR(__xludf.DUMMYFUNCTION("""COMPUTED_VALUE"""),"PROFILE")</f>
        <v>PROFILE</v>
      </c>
      <c r="E279" s="7" t="str">
        <f>IFERROR(__xludf.DUMMYFUNCTION("""COMPUTED_VALUE"""),"CORPORATE")</f>
        <v>CORPORATE</v>
      </c>
      <c r="F279" s="7" t="str">
        <f>IFERROR(__xludf.DUMMYFUNCTION("""COMPUTED_VALUE"""),"Profile")</f>
        <v>Profile</v>
      </c>
      <c r="G279" s="7" t="b">
        <f>IFERROR(__xludf.DUMMYFUNCTION("""COMPUTED_VALUE"""),FALSE)</f>
        <v>0</v>
      </c>
      <c r="H279" s="7" t="str">
        <f>IFERROR(__xludf.DUMMYFUNCTION("""COMPUTED_VALUE"""),"Measured, Earned Media, Clearwater Agency, SIXGUN, Soup Agency, HERO, Impressive, Supple Digital, Ninja Promo, Digital Nomads HQ, Momentum, Alpha Digital")</f>
        <v>Measured, Earned Media, Clearwater Agency, SIXGUN, Soup Agency, HERO, Impressive, Supple Digital, Ninja Promo, Digital Nomads HQ, Momentum, Alpha Digital</v>
      </c>
      <c r="I279" s="7">
        <f>IFERROR(__xludf.DUMMYFUNCTION("""COMPUTED_VALUE"""),4.0)</f>
        <v>4</v>
      </c>
      <c r="J279" s="7">
        <f>IFERROR(__xludf.DUMMYFUNCTION("""COMPUTED_VALUE"""),0.0)</f>
        <v>0</v>
      </c>
      <c r="K279" s="7">
        <f>IFERROR(__xludf.DUMMYFUNCTION("""COMPUTED_VALUE"""),0.0)</f>
        <v>0</v>
      </c>
      <c r="L279" s="7"/>
    </row>
    <row r="280" ht="15.75" customHeight="1">
      <c r="A280" s="6" t="str">
        <f>IFERROR(__xludf.DUMMYFUNCTION("""COMPUTED_VALUE"""),"https://tdsaustralia.com.au/top-50-brand-design-agencies-australia/")</f>
        <v>https://tdsaustralia.com.au/top-50-brand-design-agencies-australia/</v>
      </c>
      <c r="B280" s="7" t="str">
        <f>IFERROR(__xludf.DUMMYFUNCTION("""COMPUTED_VALUE"""),"Top 50 Branding Agencies in Australia (April 2026) | Ranked by Experts | TDS Australia")</f>
        <v>Top 50 Branding Agencies in Australia (April 2026) | Ranked by Experts | TDS Australia</v>
      </c>
      <c r="C280" s="6" t="str">
        <f>IFERROR(__xludf.DUMMYFUNCTION("""COMPUTED_VALUE"""),"tdsaustralia.com.au")</f>
        <v>tdsaustralia.com.au</v>
      </c>
      <c r="D280" s="7" t="str">
        <f>IFERROR(__xludf.DUMMYFUNCTION("""COMPUTED_VALUE"""),"LISTICLE")</f>
        <v>LISTICLE</v>
      </c>
      <c r="E280" s="7" t="str">
        <f>IFERROR(__xludf.DUMMYFUNCTION("""COMPUTED_VALUE"""),"CORPORATE")</f>
        <v>CORPORATE</v>
      </c>
      <c r="F280" s="7" t="str">
        <f>IFERROR(__xludf.DUMMYFUNCTION("""COMPUTED_VALUE"""),"Listicle")</f>
        <v>Listicle</v>
      </c>
      <c r="G280" s="7" t="b">
        <f>IFERROR(__xludf.DUMMYFUNCTION("""COMPUTED_VALUE"""),FALSE)</f>
        <v>0</v>
      </c>
      <c r="H280" s="7" t="str">
        <f>IFERROR(__xludf.DUMMYFUNCTION("""COMPUTED_VALUE"""),"Hulsbosch, CUT THRU, Chello, RAW Studio, Digital Nomads HQ, Soup Agency, WPP")</f>
        <v>Hulsbosch, CUT THRU, Chello, RAW Studio, Digital Nomads HQ, Soup Agency, WPP</v>
      </c>
      <c r="I280" s="7">
        <f>IFERROR(__xludf.DUMMYFUNCTION("""COMPUTED_VALUE"""),4.0)</f>
        <v>4</v>
      </c>
      <c r="J280" s="7">
        <f>IFERROR(__xludf.DUMMYFUNCTION("""COMPUTED_VALUE"""),0.0)</f>
        <v>0</v>
      </c>
      <c r="K280" s="7">
        <f>IFERROR(__xludf.DUMMYFUNCTION("""COMPUTED_VALUE"""),2.0)</f>
        <v>2</v>
      </c>
      <c r="L280" s="7"/>
    </row>
    <row r="281" ht="15.75" customHeight="1">
      <c r="A281" s="6" t="str">
        <f>IFERROR(__xludf.DUMMYFUNCTION("""COMPUTED_VALUE"""),"https://theredrepublic.com/australias-top-10-best-ad-agencies-leading-creative-and-advertising/")</f>
        <v>https://theredrepublic.com/australias-top-10-best-ad-agencies-leading-creative-and-advertising/</v>
      </c>
      <c r="B281" s="7" t="str">
        <f>IFERROR(__xludf.DUMMYFUNCTION("""COMPUTED_VALUE"""),"Australia's Top 5 Best Ad Agencies for Creative and Advertising | The Red Republic")</f>
        <v>Australia's Top 5 Best Ad Agencies for Creative and Advertising | The Red Republic</v>
      </c>
      <c r="C281" s="6" t="str">
        <f>IFERROR(__xludf.DUMMYFUNCTION("""COMPUTED_VALUE"""),"theredrepublic.com")</f>
        <v>theredrepublic.com</v>
      </c>
      <c r="D281" s="7" t="str">
        <f>IFERROR(__xludf.DUMMYFUNCTION("""COMPUTED_VALUE"""),"LISTICLE")</f>
        <v>LISTICLE</v>
      </c>
      <c r="E281" s="7" t="str">
        <f>IFERROR(__xludf.DUMMYFUNCTION("""COMPUTED_VALUE"""),"COMPETITOR")</f>
        <v>COMPETITOR</v>
      </c>
      <c r="F281" s="7" t="str">
        <f>IFERROR(__xludf.DUMMYFUNCTION("""COMPUTED_VALUE"""),"Listicle")</f>
        <v>Listicle</v>
      </c>
      <c r="G281" s="7" t="b">
        <f>IFERROR(__xludf.DUMMYFUNCTION("""COMPUTED_VALUE"""),FALSE)</f>
        <v>0</v>
      </c>
      <c r="H281" s="7" t="str">
        <f>IFERROR(__xludf.DUMMYFUNCTION("""COMPUTED_VALUE"""),"The Red Republic, HERO")</f>
        <v>The Red Republic, HERO</v>
      </c>
      <c r="I281" s="7">
        <f>IFERROR(__xludf.DUMMYFUNCTION("""COMPUTED_VALUE"""),4.0)</f>
        <v>4</v>
      </c>
      <c r="J281" s="7">
        <f>IFERROR(__xludf.DUMMYFUNCTION("""COMPUTED_VALUE"""),0.0)</f>
        <v>0</v>
      </c>
      <c r="K281" s="7">
        <f>IFERROR(__xludf.DUMMYFUNCTION("""COMPUTED_VALUE"""),2.0)</f>
        <v>2</v>
      </c>
      <c r="L281" s="7"/>
    </row>
    <row r="282" ht="15.75" customHeight="1">
      <c r="A282" s="6" t="str">
        <f>IFERROR(__xludf.DUMMYFUNCTION("""COMPUTED_VALUE"""),"https://uprisedigital.com.au/blog/best-solar-marketing-agencies-in-australia/")</f>
        <v>https://uprisedigital.com.au/blog/best-solar-marketing-agencies-in-australia/</v>
      </c>
      <c r="B282" s="7" t="str">
        <f>IFERROR(__xludf.DUMMYFUNCTION("""COMPUTED_VALUE"""),"The 10 Best Solar Marketing Agencies in Australia (2026) - Uprise Digital")</f>
        <v>The 10 Best Solar Marketing Agencies in Australia (2026) - Uprise Digital</v>
      </c>
      <c r="C282" s="6" t="str">
        <f>IFERROR(__xludf.DUMMYFUNCTION("""COMPUTED_VALUE"""),"uprisedigital.com.au")</f>
        <v>uprisedigital.com.au</v>
      </c>
      <c r="D282" s="7" t="str">
        <f>IFERROR(__xludf.DUMMYFUNCTION("""COMPUTED_VALUE"""),"LISTICLE")</f>
        <v>LISTICLE</v>
      </c>
      <c r="E282" s="7" t="str">
        <f>IFERROR(__xludf.DUMMYFUNCTION("""COMPUTED_VALUE"""),"COMPETITOR")</f>
        <v>COMPETITOR</v>
      </c>
      <c r="F282" s="7" t="str">
        <f>IFERROR(__xludf.DUMMYFUNCTION("""COMPUTED_VALUE"""),"Listicle")</f>
        <v>Listicle</v>
      </c>
      <c r="G282" s="7" t="b">
        <f>IFERROR(__xludf.DUMMYFUNCTION("""COMPUTED_VALUE"""),FALSE)</f>
        <v>0</v>
      </c>
      <c r="H282" s="7" t="str">
        <f>IFERROR(__xludf.DUMMYFUNCTION("""COMPUTED_VALUE"""),"Uprise Digital, Megaphone, Online Marketing Gurus, Omnicom Media Group, Digital Nomads HQ, StudioHawk, Sparro, King Kong")</f>
        <v>Uprise Digital, Megaphone, Online Marketing Gurus, Omnicom Media Group, Digital Nomads HQ, StudioHawk, Sparro, King Kong</v>
      </c>
      <c r="I282" s="7">
        <f>IFERROR(__xludf.DUMMYFUNCTION("""COMPUTED_VALUE"""),4.0)</f>
        <v>4</v>
      </c>
      <c r="J282" s="7">
        <f>IFERROR(__xludf.DUMMYFUNCTION("""COMPUTED_VALUE"""),0.0)</f>
        <v>0</v>
      </c>
      <c r="K282" s="7">
        <f>IFERROR(__xludf.DUMMYFUNCTION("""COMPUTED_VALUE"""),1.0)</f>
        <v>1</v>
      </c>
      <c r="L282" s="7"/>
    </row>
    <row r="283" ht="15.75" customHeight="1">
      <c r="A283" s="6" t="str">
        <f>IFERROR(__xludf.DUMMYFUNCTION("""COMPUTED_VALUE"""),"https://worldmetrics.org/service/melbourne-marketing/")</f>
        <v>https://worldmetrics.org/service/melbourne-marketing/</v>
      </c>
      <c r="B283" s="7" t="str">
        <f>IFERROR(__xludf.DUMMYFUNCTION("""COMPUTED_VALUE"""),"Top 10 Best Melbourne Marketing Services | Ranked for 2026")</f>
        <v>Top 10 Best Melbourne Marketing Services | Ranked for 2026</v>
      </c>
      <c r="C283" s="6" t="str">
        <f>IFERROR(__xludf.DUMMYFUNCTION("""COMPUTED_VALUE"""),"worldmetrics.org")</f>
        <v>worldmetrics.org</v>
      </c>
      <c r="D283" s="7" t="str">
        <f>IFERROR(__xludf.DUMMYFUNCTION("""COMPUTED_VALUE"""),"LISTICLE")</f>
        <v>LISTICLE</v>
      </c>
      <c r="E283" s="7" t="str">
        <f>IFERROR(__xludf.DUMMYFUNCTION("""COMPUTED_VALUE"""),"REFERENCE")</f>
        <v>REFERENCE</v>
      </c>
      <c r="F283" s="7" t="str">
        <f>IFERROR(__xludf.DUMMYFUNCTION("""COMPUTED_VALUE"""),"Listicle")</f>
        <v>Listicle</v>
      </c>
      <c r="G283" s="7" t="b">
        <f>IFERROR(__xludf.DUMMYFUNCTION("""COMPUTED_VALUE"""),FALSE)</f>
        <v>0</v>
      </c>
      <c r="H283" s="7" t="str">
        <f>IFERROR(__xludf.DUMMYFUNCTION("""COMPUTED_VALUE"""),"Webprofits, WPP, Deloitte Digital, Deloitte, KPMG")</f>
        <v>Webprofits, WPP, Deloitte Digital, Deloitte, KPMG</v>
      </c>
      <c r="I283" s="7">
        <f>IFERROR(__xludf.DUMMYFUNCTION("""COMPUTED_VALUE"""),4.0)</f>
        <v>4</v>
      </c>
      <c r="J283" s="7">
        <f>IFERROR(__xludf.DUMMYFUNCTION("""COMPUTED_VALUE"""),0.0)</f>
        <v>0</v>
      </c>
      <c r="K283" s="7">
        <f>IFERROR(__xludf.DUMMYFUNCTION("""COMPUTED_VALUE"""),1.25)</f>
        <v>1.25</v>
      </c>
      <c r="L283" s="7"/>
    </row>
    <row r="284" ht="15.75" customHeight="1">
      <c r="A284" s="6" t="str">
        <f>IFERROR(__xludf.DUMMYFUNCTION("""COMPUTED_VALUE"""),"https://zyppy.com/companies/c/marketing-attribution/")</f>
        <v>https://zyppy.com/companies/c/marketing-attribution/</v>
      </c>
      <c r="B284" s="7" t="str">
        <f>IFERROR(__xludf.DUMMYFUNCTION("""COMPUTED_VALUE"""),"Top Marketing Attribution Companies - July 2026")</f>
        <v>Top Marketing Attribution Companies - July 2026</v>
      </c>
      <c r="C284" s="6" t="str">
        <f>IFERROR(__xludf.DUMMYFUNCTION("""COMPUTED_VALUE"""),"zyppy.com")</f>
        <v>zyppy.com</v>
      </c>
      <c r="D284" s="7" t="str">
        <f>IFERROR(__xludf.DUMMYFUNCTION("""COMPUTED_VALUE"""),"LISTICLE")</f>
        <v>LISTICLE</v>
      </c>
      <c r="E284" s="7" t="str">
        <f>IFERROR(__xludf.DUMMYFUNCTION("""COMPUTED_VALUE"""),"CORPORATE")</f>
        <v>CORPORATE</v>
      </c>
      <c r="F284" s="7" t="str">
        <f>IFERROR(__xludf.DUMMYFUNCTION("""COMPUTED_VALUE"""),"Listicle")</f>
        <v>Listicle</v>
      </c>
      <c r="G284" s="7" t="b">
        <f>IFERROR(__xludf.DUMMYFUNCTION("""COMPUTED_VALUE"""),FALSE)</f>
        <v>0</v>
      </c>
      <c r="H284" s="7"/>
      <c r="I284" s="7">
        <f>IFERROR(__xludf.DUMMYFUNCTION("""COMPUTED_VALUE"""),4.0)</f>
        <v>4</v>
      </c>
      <c r="J284" s="7">
        <f>IFERROR(__xludf.DUMMYFUNCTION("""COMPUTED_VALUE"""),0.0)</f>
        <v>0</v>
      </c>
      <c r="K284" s="7">
        <f>IFERROR(__xludf.DUMMYFUNCTION("""COMPUTED_VALUE"""),0.0)</f>
        <v>0</v>
      </c>
      <c r="L284" s="7"/>
    </row>
    <row r="285" ht="15.75" customHeight="1">
      <c r="A285" s="6" t="str">
        <f>IFERROR(__xludf.DUMMYFUNCTION("""COMPUTED_VALUE"""),"https://www.50pros.com/hire/digital-marketing/marketing-attribution")</f>
        <v>https://www.50pros.com/hire/digital-marketing/marketing-attribution</v>
      </c>
      <c r="B285" s="7" t="str">
        <f>IFERROR(__xludf.DUMMYFUNCTION("""COMPUTED_VALUE"""),"Top Marketing Attribution Agencies to Hire in June 2026")</f>
        <v>Top Marketing Attribution Agencies to Hire in June 2026</v>
      </c>
      <c r="C285" s="6" t="str">
        <f>IFERROR(__xludf.DUMMYFUNCTION("""COMPUTED_VALUE"""),"50pros.com")</f>
        <v>50pros.com</v>
      </c>
      <c r="D285" s="7" t="str">
        <f>IFERROR(__xludf.DUMMYFUNCTION("""COMPUTED_VALUE"""),"CATEGORY_PAGE")</f>
        <v>CATEGORY_PAGE</v>
      </c>
      <c r="E285" s="7" t="str">
        <f>IFERROR(__xludf.DUMMYFUNCTION("""COMPUTED_VALUE"""),"REFERENCE")</f>
        <v>REFERENCE</v>
      </c>
      <c r="F285" s="7" t="str">
        <f>IFERROR(__xludf.DUMMYFUNCTION("""COMPUTED_VALUE"""),"Category Page")</f>
        <v>Category Page</v>
      </c>
      <c r="G285" s="7" t="b">
        <f>IFERROR(__xludf.DUMMYFUNCTION("""COMPUTED_VALUE"""),FALSE)</f>
        <v>0</v>
      </c>
      <c r="H285" s="7" t="str">
        <f>IFERROR(__xludf.DUMMYFUNCTION("""COMPUTED_VALUE"""),"Huge")</f>
        <v>Huge</v>
      </c>
      <c r="I285" s="7">
        <f>IFERROR(__xludf.DUMMYFUNCTION("""COMPUTED_VALUE"""),3.0)</f>
        <v>3</v>
      </c>
      <c r="J285" s="7">
        <f>IFERROR(__xludf.DUMMYFUNCTION("""COMPUTED_VALUE"""),0.0)</f>
        <v>0</v>
      </c>
      <c r="K285" s="7">
        <f>IFERROR(__xludf.DUMMYFUNCTION("""COMPUTED_VALUE"""),0.33)</f>
        <v>0.33</v>
      </c>
      <c r="L285" s="7"/>
    </row>
    <row r="286" ht="15.75" customHeight="1">
      <c r="A286" s="6" t="str">
        <f>IFERROR(__xludf.DUMMYFUNCTION("""COMPUTED_VALUE"""),"https://agencies.semrush.com/list/analytics-data-science/information-technology/australia/")</f>
        <v>https://agencies.semrush.com/list/analytics-data-science/information-technology/australia/</v>
      </c>
      <c r="B286" s="7" t="str">
        <f>IFERROR(__xludf.DUMMYFUNCTION("""COMPUTED_VALUE"""),"Best IT Data Analytics Services in Australia 2026 | Semrush")</f>
        <v>Best IT Data Analytics Services in Australia 2026 | Semrush</v>
      </c>
      <c r="C286" s="6" t="str">
        <f>IFERROR(__xludf.DUMMYFUNCTION("""COMPUTED_VALUE"""),"semrush.com")</f>
        <v>semrush.com</v>
      </c>
      <c r="D286" s="7" t="str">
        <f>IFERROR(__xludf.DUMMYFUNCTION("""COMPUTED_VALUE"""),"OTHER")</f>
        <v>OTHER</v>
      </c>
      <c r="E286" s="7" t="str">
        <f>IFERROR(__xludf.DUMMYFUNCTION("""COMPUTED_VALUE"""),"CORPORATE")</f>
        <v>CORPORATE</v>
      </c>
      <c r="F286" s="7" t="str">
        <f>IFERROR(__xludf.DUMMYFUNCTION("""COMPUTED_VALUE"""),"Other")</f>
        <v>Other</v>
      </c>
      <c r="G286" s="7" t="b">
        <f>IFERROR(__xludf.DUMMYFUNCTION("""COMPUTED_VALUE"""),FALSE)</f>
        <v>0</v>
      </c>
      <c r="H286" s="7" t="str">
        <f>IFERROR(__xludf.DUMMYFUNCTION("""COMPUTED_VALUE"""),"Soup Agency, First Page, Online Marketing Gurus, Omnicom Media Group, 80/20 Digital, Earned Media")</f>
        <v>Soup Agency, First Page, Online Marketing Gurus, Omnicom Media Group, 80/20 Digital, Earned Media</v>
      </c>
      <c r="I286" s="7">
        <f>IFERROR(__xludf.DUMMYFUNCTION("""COMPUTED_VALUE"""),3.0)</f>
        <v>3</v>
      </c>
      <c r="J286" s="7">
        <f>IFERROR(__xludf.DUMMYFUNCTION("""COMPUTED_VALUE"""),0.0)</f>
        <v>0</v>
      </c>
      <c r="K286" s="7">
        <f>IFERROR(__xludf.DUMMYFUNCTION("""COMPUTED_VALUE"""),0.0)</f>
        <v>0</v>
      </c>
      <c r="L286" s="7"/>
    </row>
    <row r="287" ht="15.75" customHeight="1">
      <c r="A287" s="6" t="str">
        <f>IFERROR(__xludf.DUMMYFUNCTION("""COMPUTED_VALUE"""),"https://agencies.semrush.com/list/display-advertising/australia/enterprise-business/")</f>
        <v>https://agencies.semrush.com/list/display-advertising/australia/enterprise-business/</v>
      </c>
      <c r="B287" s="7" t="str">
        <f>IFERROR(__xludf.DUMMYFUNCTION("""COMPUTED_VALUE"""),"Best Display Ads Agencies for Enterprise Business in Australia 2026 | Semrush")</f>
        <v>Best Display Ads Agencies for Enterprise Business in Australia 2026 | Semrush</v>
      </c>
      <c r="C287" s="6" t="str">
        <f>IFERROR(__xludf.DUMMYFUNCTION("""COMPUTED_VALUE"""),"semrush.com")</f>
        <v>semrush.com</v>
      </c>
      <c r="D287" s="7" t="str">
        <f>IFERROR(__xludf.DUMMYFUNCTION("""COMPUTED_VALUE"""),"CATEGORY_PAGE")</f>
        <v>CATEGORY_PAGE</v>
      </c>
      <c r="E287" s="7" t="str">
        <f>IFERROR(__xludf.DUMMYFUNCTION("""COMPUTED_VALUE"""),"CORPORATE")</f>
        <v>CORPORATE</v>
      </c>
      <c r="F287" s="7" t="str">
        <f>IFERROR(__xludf.DUMMYFUNCTION("""COMPUTED_VALUE"""),"Category Page")</f>
        <v>Category Page</v>
      </c>
      <c r="G287" s="7" t="b">
        <f>IFERROR(__xludf.DUMMYFUNCTION("""COMPUTED_VALUE"""),FALSE)</f>
        <v>0</v>
      </c>
      <c r="H287" s="7"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287" s="7">
        <f>IFERROR(__xludf.DUMMYFUNCTION("""COMPUTED_VALUE"""),3.0)</f>
        <v>3</v>
      </c>
      <c r="J287" s="7">
        <f>IFERROR(__xludf.DUMMYFUNCTION("""COMPUTED_VALUE"""),0.0)</f>
        <v>0</v>
      </c>
      <c r="K287" s="7">
        <f>IFERROR(__xludf.DUMMYFUNCTION("""COMPUTED_VALUE"""),1.0)</f>
        <v>1</v>
      </c>
      <c r="L287" s="7"/>
    </row>
    <row r="288" ht="15.75" customHeight="1">
      <c r="A288" s="6" t="str">
        <f>IFERROR(__xludf.DUMMYFUNCTION("""COMPUTED_VALUE"""),"https://agencies.semrush.com/list/display-advertising/melbourne/")</f>
        <v>https://agencies.semrush.com/list/display-advertising/melbourne/</v>
      </c>
      <c r="B288" s="7" t="str">
        <f>IFERROR(__xludf.DUMMYFUNCTION("""COMPUTED_VALUE"""),"Best Display Ads Agencies in Melbourne 2026 | Semrush")</f>
        <v>Best Display Ads Agencies in Melbourne 2026 | Semrush</v>
      </c>
      <c r="C288" s="6" t="str">
        <f>IFERROR(__xludf.DUMMYFUNCTION("""COMPUTED_VALUE"""),"semrush.com")</f>
        <v>semrush.com</v>
      </c>
      <c r="D288" s="7" t="str">
        <f>IFERROR(__xludf.DUMMYFUNCTION("""COMPUTED_VALUE"""),"OTHER")</f>
        <v>OTHER</v>
      </c>
      <c r="E288" s="7" t="str">
        <f>IFERROR(__xludf.DUMMYFUNCTION("""COMPUTED_VALUE"""),"CORPORATE")</f>
        <v>CORPORATE</v>
      </c>
      <c r="F288" s="7" t="str">
        <f>IFERROR(__xludf.DUMMYFUNCTION("""COMPUTED_VALUE"""),"Other")</f>
        <v>Other</v>
      </c>
      <c r="G288" s="7" t="b">
        <f>IFERROR(__xludf.DUMMYFUNCTION("""COMPUTED_VALUE"""),FALSE)</f>
        <v>0</v>
      </c>
      <c r="H288" s="7"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288" s="7">
        <f>IFERROR(__xludf.DUMMYFUNCTION("""COMPUTED_VALUE"""),3.0)</f>
        <v>3</v>
      </c>
      <c r="J288" s="7">
        <f>IFERROR(__xludf.DUMMYFUNCTION("""COMPUTED_VALUE"""),0.0)</f>
        <v>0</v>
      </c>
      <c r="K288" s="7">
        <f>IFERROR(__xludf.DUMMYFUNCTION("""COMPUTED_VALUE"""),1.0)</f>
        <v>1</v>
      </c>
      <c r="L288" s="7"/>
    </row>
    <row r="289" ht="15.75" customHeight="1">
      <c r="A289" s="6" t="str">
        <f>IFERROR(__xludf.DUMMYFUNCTION("""COMPUTED_VALUE"""),"https://agencies.semrush.com/list/ppc/arts-entertainment/australia/")</f>
        <v>https://agencies.semrush.com/list/ppc/arts-entertainment/australia/</v>
      </c>
      <c r="B289" s="7" t="str">
        <f>IFERROR(__xludf.DUMMYFUNCTION("""COMPUTED_VALUE"""),"Best Media &amp;amp; Entertainment PPC Agencies in Australia 2026 | Semrush")</f>
        <v>Best Media &amp;amp; Entertainment PPC Agencies in Australia 2026 | Semrush</v>
      </c>
      <c r="C289" s="6" t="str">
        <f>IFERROR(__xludf.DUMMYFUNCTION("""COMPUTED_VALUE"""),"semrush.com")</f>
        <v>semrush.com</v>
      </c>
      <c r="D289" s="7" t="str">
        <f>IFERROR(__xludf.DUMMYFUNCTION("""COMPUTED_VALUE"""),"CATEGORY_PAGE")</f>
        <v>CATEGORY_PAGE</v>
      </c>
      <c r="E289" s="7" t="str">
        <f>IFERROR(__xludf.DUMMYFUNCTION("""COMPUTED_VALUE"""),"CORPORATE")</f>
        <v>CORPORATE</v>
      </c>
      <c r="F289" s="7" t="str">
        <f>IFERROR(__xludf.DUMMYFUNCTION("""COMPUTED_VALUE"""),"Category Page")</f>
        <v>Category Page</v>
      </c>
      <c r="G289" s="7" t="b">
        <f>IFERROR(__xludf.DUMMYFUNCTION("""COMPUTED_VALUE"""),FALSE)</f>
        <v>0</v>
      </c>
      <c r="H289" s="7" t="str">
        <f>IFERROR(__xludf.DUMMYFUNCTION("""COMPUTED_VALUE"""),"Supple Digital, Soup Agency, First Page, Online Marketing Gurus, Omnicom Media Group, 80/20 Digital, Measured")</f>
        <v>Supple Digital, Soup Agency, First Page, Online Marketing Gurus, Omnicom Media Group, 80/20 Digital, Measured</v>
      </c>
      <c r="I289" s="7">
        <f>IFERROR(__xludf.DUMMYFUNCTION("""COMPUTED_VALUE"""),3.0)</f>
        <v>3</v>
      </c>
      <c r="J289" s="7">
        <f>IFERROR(__xludf.DUMMYFUNCTION("""COMPUTED_VALUE"""),0.0)</f>
        <v>0</v>
      </c>
      <c r="K289" s="7">
        <f>IFERROR(__xludf.DUMMYFUNCTION("""COMPUTED_VALUE"""),0.0)</f>
        <v>0</v>
      </c>
      <c r="L289" s="7"/>
    </row>
    <row r="290" ht="15.75" customHeight="1">
      <c r="A290" s="6" t="str">
        <f>IFERROR(__xludf.DUMMYFUNCTION("""COMPUTED_VALUE"""),"https://aivy.com.au/resources/best-ai-marketing-tools-australia/")</f>
        <v>https://aivy.com.au/resources/best-ai-marketing-tools-australia/</v>
      </c>
      <c r="B290" s="7" t="str">
        <f>IFERROR(__xludf.DUMMYFUNCTION("""COMPUTED_VALUE"""),"Best AI Tools for Marketing in Australia (2026 Guide)")</f>
        <v>Best AI Tools for Marketing in Australia (2026 Guide)</v>
      </c>
      <c r="C290" s="6" t="str">
        <f>IFERROR(__xludf.DUMMYFUNCTION("""COMPUTED_VALUE"""),"aivy.com.au")</f>
        <v>aivy.com.au</v>
      </c>
      <c r="D290" s="7" t="str">
        <f>IFERROR(__xludf.DUMMYFUNCTION("""COMPUTED_VALUE"""),"LISTICLE")</f>
        <v>LISTICLE</v>
      </c>
      <c r="E290" s="7" t="str">
        <f>IFERROR(__xludf.DUMMYFUNCTION("""COMPUTED_VALUE"""),"CORPORATE")</f>
        <v>CORPORATE</v>
      </c>
      <c r="F290" s="7" t="str">
        <f>IFERROR(__xludf.DUMMYFUNCTION("""COMPUTED_VALUE"""),"Listicle")</f>
        <v>Listicle</v>
      </c>
      <c r="G290" s="7" t="b">
        <f>IFERROR(__xludf.DUMMYFUNCTION("""COMPUTED_VALUE"""),FALSE)</f>
        <v>0</v>
      </c>
      <c r="H290" s="7"/>
      <c r="I290" s="7">
        <f>IFERROR(__xludf.DUMMYFUNCTION("""COMPUTED_VALUE"""),3.0)</f>
        <v>3</v>
      </c>
      <c r="J290" s="7">
        <f>IFERROR(__xludf.DUMMYFUNCTION("""COMPUTED_VALUE"""),0.0)</f>
        <v>0</v>
      </c>
      <c r="K290" s="7">
        <f>IFERROR(__xludf.DUMMYFUNCTION("""COMPUTED_VALUE"""),0.0)</f>
        <v>0</v>
      </c>
      <c r="L290" s="7"/>
    </row>
    <row r="291" ht="15.75" customHeight="1">
      <c r="A291" s="6" t="str">
        <f>IFERROR(__xludf.DUMMYFUNCTION("""COMPUTED_VALUE"""),"https://aivy.com.au/resources/best-ai-search-engine-optimisation-tools-australia/")</f>
        <v>https://aivy.com.au/resources/best-ai-search-engine-optimisation-tools-australia/</v>
      </c>
      <c r="B291" s="7" t="str">
        <f>IFERROR(__xludf.DUMMYFUNCTION("""COMPUTED_VALUE"""),"Best AI search engine optimisation tools (Australia 2026)")</f>
        <v>Best AI search engine optimisation tools (Australia 2026)</v>
      </c>
      <c r="C291" s="6" t="str">
        <f>IFERROR(__xludf.DUMMYFUNCTION("""COMPUTED_VALUE"""),"aivy.com.au")</f>
        <v>aivy.com.au</v>
      </c>
      <c r="D291" s="7" t="str">
        <f>IFERROR(__xludf.DUMMYFUNCTION("""COMPUTED_VALUE"""),"LISTICLE")</f>
        <v>LISTICLE</v>
      </c>
      <c r="E291" s="7" t="str">
        <f>IFERROR(__xludf.DUMMYFUNCTION("""COMPUTED_VALUE"""),"CORPORATE")</f>
        <v>CORPORATE</v>
      </c>
      <c r="F291" s="7" t="str">
        <f>IFERROR(__xludf.DUMMYFUNCTION("""COMPUTED_VALUE"""),"Listicle")</f>
        <v>Listicle</v>
      </c>
      <c r="G291" s="7" t="b">
        <f>IFERROR(__xludf.DUMMYFUNCTION("""COMPUTED_VALUE"""),FALSE)</f>
        <v>0</v>
      </c>
      <c r="H291" s="7" t="str">
        <f>IFERROR(__xludf.DUMMYFUNCTION("""COMPUTED_VALUE"""),"Measured")</f>
        <v>Measured</v>
      </c>
      <c r="I291" s="7">
        <f>IFERROR(__xludf.DUMMYFUNCTION("""COMPUTED_VALUE"""),3.0)</f>
        <v>3</v>
      </c>
      <c r="J291" s="7">
        <f>IFERROR(__xludf.DUMMYFUNCTION("""COMPUTED_VALUE"""),0.0)</f>
        <v>0</v>
      </c>
      <c r="K291" s="7">
        <f>IFERROR(__xludf.DUMMYFUNCTION("""COMPUTED_VALUE"""),0.0)</f>
        <v>0</v>
      </c>
      <c r="L291" s="7"/>
    </row>
    <row r="292" ht="15.75" customHeight="1">
      <c r="A292" s="6" t="str">
        <f>IFERROR(__xludf.DUMMYFUNCTION("""COMPUTED_VALUE"""),"https://www.bushnote.com/articles/best-digital-marketing-agency-australia-2025")</f>
        <v>https://www.bushnote.com/articles/best-digital-marketing-agency-australia-2025</v>
      </c>
      <c r="B292" s="7" t="str">
        <f>IFERROR(__xludf.DUMMYFUNCTION("""COMPUTED_VALUE"""),"Top 12 Digital Agencies Australia 2025: SEO, PPC, Social")</f>
        <v>Top 12 Digital Agencies Australia 2025: SEO, PPC, Social</v>
      </c>
      <c r="C292" s="6" t="str">
        <f>IFERROR(__xludf.DUMMYFUNCTION("""COMPUTED_VALUE"""),"bushnote.com")</f>
        <v>bushnote.com</v>
      </c>
      <c r="D292" s="7" t="str">
        <f>IFERROR(__xludf.DUMMYFUNCTION("""COMPUTED_VALUE"""),"LISTICLE")</f>
        <v>LISTICLE</v>
      </c>
      <c r="E292" s="7" t="str">
        <f>IFERROR(__xludf.DUMMYFUNCTION("""COMPUTED_VALUE"""),"COMPETITOR")</f>
        <v>COMPETITOR</v>
      </c>
      <c r="F292" s="7" t="str">
        <f>IFERROR(__xludf.DUMMYFUNCTION("""COMPUTED_VALUE"""),"Listicle")</f>
        <v>Listicle</v>
      </c>
      <c r="G292" s="7" t="b">
        <f>IFERROR(__xludf.DUMMYFUNCTION("""COMPUTED_VALUE"""),FALSE)</f>
        <v>0</v>
      </c>
      <c r="H292" s="7" t="str">
        <f>IFERROR(__xludf.DUMMYFUNCTION("""COMPUTED_VALUE"""),"Bushnote, Online Marketing Gurus, Omnicom Media Group, Sparro, Reload Media, King Kong, Alpha Digital, Rocket Agency, Impressive, Webprofits")</f>
        <v>Bushnote, Online Marketing Gurus, Omnicom Media Group, Sparro, Reload Media, King Kong, Alpha Digital, Rocket Agency, Impressive, Webprofits</v>
      </c>
      <c r="I292" s="7">
        <f>IFERROR(__xludf.DUMMYFUNCTION("""COMPUTED_VALUE"""),3.0)</f>
        <v>3</v>
      </c>
      <c r="J292" s="7">
        <f>IFERROR(__xludf.DUMMYFUNCTION("""COMPUTED_VALUE"""),0.0)</f>
        <v>0</v>
      </c>
      <c r="K292" s="7">
        <f>IFERROR(__xludf.DUMMYFUNCTION("""COMPUTED_VALUE"""),0.67)</f>
        <v>0.67</v>
      </c>
      <c r="L292" s="7"/>
    </row>
    <row r="293" ht="15.75" customHeight="1">
      <c r="A293" s="6" t="str">
        <f>IFERROR(__xludf.DUMMYFUNCTION("""COMPUTED_VALUE"""),"https://clickclickbangbang.com.au/best-facebook-ads-agency/")</f>
        <v>https://clickclickbangbang.com.au/best-facebook-ads-agency/</v>
      </c>
      <c r="B293" s="7" t="str">
        <f>IFERROR(__xludf.DUMMYFUNCTION("""COMPUTED_VALUE"""),"7 Best Facebook Ads Agency Picks for Australian Businesses in 2026")</f>
        <v>7 Best Facebook Ads Agency Picks for Australian Businesses in 2026</v>
      </c>
      <c r="C293" s="6" t="str">
        <f>IFERROR(__xludf.DUMMYFUNCTION("""COMPUTED_VALUE"""),"clickclickbangbang.com.au")</f>
        <v>clickclickbangbang.com.au</v>
      </c>
      <c r="D293" s="7" t="str">
        <f>IFERROR(__xludf.DUMMYFUNCTION("""COMPUTED_VALUE"""),"LISTICLE")</f>
        <v>LISTICLE</v>
      </c>
      <c r="E293" s="7" t="str">
        <f>IFERROR(__xludf.DUMMYFUNCTION("""COMPUTED_VALUE"""),"CORPORATE")</f>
        <v>CORPORATE</v>
      </c>
      <c r="F293" s="7" t="str">
        <f>IFERROR(__xludf.DUMMYFUNCTION("""COMPUTED_VALUE"""),"Listicle")</f>
        <v>Listicle</v>
      </c>
      <c r="G293" s="7" t="b">
        <f>IFERROR(__xludf.DUMMYFUNCTION("""COMPUTED_VALUE"""),FALSE)</f>
        <v>0</v>
      </c>
      <c r="H293" s="7" t="str">
        <f>IFERROR(__xludf.DUMMYFUNCTION("""COMPUTED_VALUE"""),"Megaphone, Online Marketing Gurus, Deloitte, Omnicom Media Group, Rocket Agency, Reload Media, King Kong")</f>
        <v>Megaphone, Online Marketing Gurus, Deloitte, Omnicom Media Group, Rocket Agency, Reload Media, King Kong</v>
      </c>
      <c r="I293" s="7">
        <f>IFERROR(__xludf.DUMMYFUNCTION("""COMPUTED_VALUE"""),3.0)</f>
        <v>3</v>
      </c>
      <c r="J293" s="7">
        <f>IFERROR(__xludf.DUMMYFUNCTION("""COMPUTED_VALUE"""),0.0)</f>
        <v>0</v>
      </c>
      <c r="K293" s="7">
        <f>IFERROR(__xludf.DUMMYFUNCTION("""COMPUTED_VALUE"""),1.0)</f>
        <v>1</v>
      </c>
      <c r="L293" s="7"/>
    </row>
    <row r="294" ht="15.75" customHeight="1">
      <c r="A294" s="6" t="str">
        <f>IFERROR(__xludf.DUMMYFUNCTION("""COMPUTED_VALUE"""),"https://clickclickbangbang.com.au/ppc-management-companies/")</f>
        <v>https://clickclickbangbang.com.au/ppc-management-companies/</v>
      </c>
      <c r="B294" s="7" t="str">
        <f>IFERROR(__xludf.DUMMYFUNCTION("""COMPUTED_VALUE"""),"Top 12 PPC Management Companies in Australia for 2025")</f>
        <v>Top 12 PPC Management Companies in Australia for 2025</v>
      </c>
      <c r="C294" s="6" t="str">
        <f>IFERROR(__xludf.DUMMYFUNCTION("""COMPUTED_VALUE"""),"clickclickbangbang.com.au")</f>
        <v>clickclickbangbang.com.au</v>
      </c>
      <c r="D294" s="7" t="str">
        <f>IFERROR(__xludf.DUMMYFUNCTION("""COMPUTED_VALUE"""),"LISTICLE")</f>
        <v>LISTICLE</v>
      </c>
      <c r="E294" s="7" t="str">
        <f>IFERROR(__xludf.DUMMYFUNCTION("""COMPUTED_VALUE"""),"CORPORATE")</f>
        <v>CORPORATE</v>
      </c>
      <c r="F294" s="7" t="str">
        <f>IFERROR(__xludf.DUMMYFUNCTION("""COMPUTED_VALUE"""),"Listicle")</f>
        <v>Listicle</v>
      </c>
      <c r="G294" s="7" t="b">
        <f>IFERROR(__xludf.DUMMYFUNCTION("""COMPUTED_VALUE"""),FALSE)</f>
        <v>0</v>
      </c>
      <c r="H294" s="7" t="str">
        <f>IFERROR(__xludf.DUMMYFUNCTION("""COMPUTED_VALUE"""),"Sparro, Brainlabs, WebSavvy, Reload Media, Online Marketing Gurus, Omnicom Media Group, Impressive, Rocket Agency")</f>
        <v>Sparro, Brainlabs, WebSavvy, Reload Media, Online Marketing Gurus, Omnicom Media Group, Impressive, Rocket Agency</v>
      </c>
      <c r="I294" s="7">
        <f>IFERROR(__xludf.DUMMYFUNCTION("""COMPUTED_VALUE"""),3.0)</f>
        <v>3</v>
      </c>
      <c r="J294" s="7">
        <f>IFERROR(__xludf.DUMMYFUNCTION("""COMPUTED_VALUE"""),0.0)</f>
        <v>0</v>
      </c>
      <c r="K294" s="7">
        <f>IFERROR(__xludf.DUMMYFUNCTION("""COMPUTED_VALUE"""),0.33)</f>
        <v>0.33</v>
      </c>
      <c r="L294" s="7"/>
    </row>
    <row r="295" ht="15.75" customHeight="1">
      <c r="A295" s="6" t="str">
        <f>IFERROR(__xludf.DUMMYFUNCTION("""COMPUTED_VALUE"""),"https://clutch.co/au/agencies/social-media-marketing/tik-tok")</f>
        <v>https://clutch.co/au/agencies/social-media-marketing/tik-tok</v>
      </c>
      <c r="B295" s="7" t="str">
        <f>IFERROR(__xludf.DUMMYFUNCTION("""COMPUTED_VALUE"""),"Top TikTok Advertising Agencies in Australia - Jul 2026 Rankings | Clutch.co")</f>
        <v>Top TikTok Advertising Agencies in Australia - Jul 2026 Rankings | Clutch.co</v>
      </c>
      <c r="C295" s="6" t="str">
        <f>IFERROR(__xludf.DUMMYFUNCTION("""COMPUTED_VALUE"""),"clutch.co")</f>
        <v>clutch.co</v>
      </c>
      <c r="D295" s="7" t="str">
        <f>IFERROR(__xludf.DUMMYFUNCTION("""COMPUTED_VALUE"""),"CATEGORY_PAGE")</f>
        <v>CATEGORY_PAGE</v>
      </c>
      <c r="E295" s="7" t="str">
        <f>IFERROR(__xludf.DUMMYFUNCTION("""COMPUTED_VALUE"""),"CORPORATE")</f>
        <v>CORPORATE</v>
      </c>
      <c r="F295" s="7" t="str">
        <f>IFERROR(__xludf.DUMMYFUNCTION("""COMPUTED_VALUE"""),"Category Page")</f>
        <v>Category Page</v>
      </c>
      <c r="G295" s="7" t="b">
        <f>IFERROR(__xludf.DUMMYFUNCTION("""COMPUTED_VALUE"""),FALSE)</f>
        <v>0</v>
      </c>
      <c r="H295" s="7" t="str">
        <f>IFERROR(__xludf.DUMMYFUNCTION("""COMPUTED_VALUE"""),"Impressive, Digital Nomads HQ, Soup Agency, Emote Digital, Salt &amp; Fuessel, Edge Marketing, Megaphone, Paradox Marketing, Momentum, Bench Media, Reform Digital, Eight Clients")</f>
        <v>Impressive, Digital Nomads HQ, Soup Agency, Emote Digital, Salt &amp; Fuessel, Edge Marketing, Megaphone, Paradox Marketing, Momentum, Bench Media, Reform Digital, Eight Clients</v>
      </c>
      <c r="I295" s="7">
        <f>IFERROR(__xludf.DUMMYFUNCTION("""COMPUTED_VALUE"""),3.0)</f>
        <v>3</v>
      </c>
      <c r="J295" s="7">
        <f>IFERROR(__xludf.DUMMYFUNCTION("""COMPUTED_VALUE"""),0.0)</f>
        <v>0</v>
      </c>
      <c r="K295" s="7">
        <f>IFERROR(__xludf.DUMMYFUNCTION("""COMPUTED_VALUE"""),3.33)</f>
        <v>3.33</v>
      </c>
      <c r="L295" s="7"/>
    </row>
    <row r="296" ht="15.75" customHeight="1">
      <c r="A296" s="6" t="str">
        <f>IFERROR(__xludf.DUMMYFUNCTION("""COMPUTED_VALUE"""),"https://www.designrush.com/agency/digital-agencies/au")</f>
        <v>https://www.designrush.com/agency/digital-agencies/au</v>
      </c>
      <c r="B296" s="7" t="str">
        <f>IFERROR(__xludf.DUMMYFUNCTION("""COMPUTED_VALUE"""),"Top Digital Agencies in Australia | 2026")</f>
        <v>Top Digital Agencies in Australia | 2026</v>
      </c>
      <c r="C296" s="6" t="str">
        <f>IFERROR(__xludf.DUMMYFUNCTION("""COMPUTED_VALUE"""),"designrush.com")</f>
        <v>designrush.com</v>
      </c>
      <c r="D296" s="7" t="str">
        <f>IFERROR(__xludf.DUMMYFUNCTION("""COMPUTED_VALUE"""),"LISTICLE")</f>
        <v>LISTICLE</v>
      </c>
      <c r="E296" s="7" t="str">
        <f>IFERROR(__xludf.DUMMYFUNCTION("""COMPUTED_VALUE"""),"CORPORATE")</f>
        <v>CORPORATE</v>
      </c>
      <c r="F296" s="7" t="str">
        <f>IFERROR(__xludf.DUMMYFUNCTION("""COMPUTED_VALUE"""),"Listicle")</f>
        <v>Listicle</v>
      </c>
      <c r="G296" s="7" t="b">
        <f>IFERROR(__xludf.DUMMYFUNCTION("""COMPUTED_VALUE"""),FALSE)</f>
        <v>0</v>
      </c>
      <c r="H296" s="7" t="str">
        <f>IFERROR(__xludf.DUMMYFUNCTION("""COMPUTED_VALUE"""),"Impressive, Digital Nomads HQ, 80/20 Digital, Luminary, Edge Marketing")</f>
        <v>Impressive, Digital Nomads HQ, 80/20 Digital, Luminary, Edge Marketing</v>
      </c>
      <c r="I296" s="7">
        <f>IFERROR(__xludf.DUMMYFUNCTION("""COMPUTED_VALUE"""),3.0)</f>
        <v>3</v>
      </c>
      <c r="J296" s="7">
        <f>IFERROR(__xludf.DUMMYFUNCTION("""COMPUTED_VALUE"""),0.0)</f>
        <v>0</v>
      </c>
      <c r="K296" s="7">
        <f>IFERROR(__xludf.DUMMYFUNCTION("""COMPUTED_VALUE"""),0.0)</f>
        <v>0</v>
      </c>
      <c r="L296" s="7"/>
    </row>
    <row r="297" ht="15.75" customHeight="1">
      <c r="A297" s="6" t="str">
        <f>IFERROR(__xludf.DUMMYFUNCTION("""COMPUTED_VALUE"""),"https://www.designrush.com/agency/paid-media-pay-per-click/au/melbourne")</f>
        <v>https://www.designrush.com/agency/paid-media-pay-per-click/au/melbourne</v>
      </c>
      <c r="B297" s="7" t="str">
        <f>IFERROR(__xludf.DUMMYFUNCTION("""COMPUTED_VALUE"""),"Top PPC Agencies in Melbourne | 2026")</f>
        <v>Top PPC Agencies in Melbourne | 2026</v>
      </c>
      <c r="C297" s="6" t="str">
        <f>IFERROR(__xludf.DUMMYFUNCTION("""COMPUTED_VALUE"""),"designrush.com")</f>
        <v>designrush.com</v>
      </c>
      <c r="D297" s="7" t="str">
        <f>IFERROR(__xludf.DUMMYFUNCTION("""COMPUTED_VALUE"""),"LISTICLE")</f>
        <v>LISTICLE</v>
      </c>
      <c r="E297" s="7" t="str">
        <f>IFERROR(__xludf.DUMMYFUNCTION("""COMPUTED_VALUE"""),"CORPORATE")</f>
        <v>CORPORATE</v>
      </c>
      <c r="F297" s="7" t="str">
        <f>IFERROR(__xludf.DUMMYFUNCTION("""COMPUTED_VALUE"""),"Listicle")</f>
        <v>Listicle</v>
      </c>
      <c r="G297" s="7" t="b">
        <f>IFERROR(__xludf.DUMMYFUNCTION("""COMPUTED_VALUE"""),FALSE)</f>
        <v>0</v>
      </c>
      <c r="H297" s="7" t="str">
        <f>IFERROR(__xludf.DUMMYFUNCTION("""COMPUTED_VALUE"""),"eMarket Experts, First Page, Supple Digital, Online Marketing Gurus, SIXGUN, Predicta Digital, First Page Australia, Impressive")</f>
        <v>eMarket Experts, First Page, Supple Digital, Online Marketing Gurus, SIXGUN, Predicta Digital, First Page Australia, Impressive</v>
      </c>
      <c r="I297" s="7">
        <f>IFERROR(__xludf.DUMMYFUNCTION("""COMPUTED_VALUE"""),3.0)</f>
        <v>3</v>
      </c>
      <c r="J297" s="7">
        <f>IFERROR(__xludf.DUMMYFUNCTION("""COMPUTED_VALUE"""),0.0)</f>
        <v>0</v>
      </c>
      <c r="K297" s="7">
        <f>IFERROR(__xludf.DUMMYFUNCTION("""COMPUTED_VALUE"""),0.0)</f>
        <v>0</v>
      </c>
      <c r="L297" s="7"/>
    </row>
    <row r="298" ht="15.75" customHeight="1">
      <c r="A298" s="6" t="str">
        <f>IFERROR(__xludf.DUMMYFUNCTION("""COMPUTED_VALUE"""),"https://digitalagencynetwork.com/agencies/australia/industry/it-technology/")</f>
        <v>https://digitalagencynetwork.com/agencies/australia/industry/it-technology/</v>
      </c>
      <c r="B298" s="7" t="str">
        <f>IFERROR(__xludf.DUMMYFUNCTION("""COMPUTED_VALUE"""),"Top Technology Marketing Agencies in Australia (2026)")</f>
        <v>Top Technology Marketing Agencies in Australia (2026)</v>
      </c>
      <c r="C298" s="6" t="str">
        <f>IFERROR(__xludf.DUMMYFUNCTION("""COMPUTED_VALUE"""),"digitalagencynetwork.com")</f>
        <v>digitalagencynetwork.com</v>
      </c>
      <c r="D298" s="7" t="str">
        <f>IFERROR(__xludf.DUMMYFUNCTION("""COMPUTED_VALUE"""),"HOW_TO_GUIDE")</f>
        <v>HOW_TO_GUIDE</v>
      </c>
      <c r="E298" s="7" t="str">
        <f>IFERROR(__xludf.DUMMYFUNCTION("""COMPUTED_VALUE"""),"REFERENCE")</f>
        <v>REFERENCE</v>
      </c>
      <c r="F298" s="7" t="str">
        <f>IFERROR(__xludf.DUMMYFUNCTION("""COMPUTED_VALUE"""),"How-To Guide")</f>
        <v>How-To Guide</v>
      </c>
      <c r="G298" s="7" t="b">
        <f>IFERROR(__xludf.DUMMYFUNCTION("""COMPUTED_VALUE"""),FALSE)</f>
        <v>0</v>
      </c>
      <c r="H298" s="7" t="str">
        <f>IFERROR(__xludf.DUMMYFUNCTION("""COMPUTED_VALUE"""),"Clearwater Agency, Digital Nomads HQ, Emote Digital, Impressive")</f>
        <v>Clearwater Agency, Digital Nomads HQ, Emote Digital, Impressive</v>
      </c>
      <c r="I298" s="7">
        <f>IFERROR(__xludf.DUMMYFUNCTION("""COMPUTED_VALUE"""),3.0)</f>
        <v>3</v>
      </c>
      <c r="J298" s="7">
        <f>IFERROR(__xludf.DUMMYFUNCTION("""COMPUTED_VALUE"""),0.0)</f>
        <v>0</v>
      </c>
      <c r="K298" s="7">
        <f>IFERROR(__xludf.DUMMYFUNCTION("""COMPUTED_VALUE"""),0.0)</f>
        <v>0</v>
      </c>
      <c r="L298" s="7"/>
    </row>
    <row r="299" ht="15.75" customHeight="1">
      <c r="A299" s="6" t="str">
        <f>IFERROR(__xludf.DUMMYFUNCTION("""COMPUTED_VALUE"""),"https://edisonai.au/insights/top-ai-agencies-in-australia")</f>
        <v>https://edisonai.au/insights/top-ai-agencies-in-australia</v>
      </c>
      <c r="B299" s="7" t="str">
        <f>IFERROR(__xludf.DUMMYFUNCTION("""COMPUTED_VALUE"""),"Top AI Agencies in Australia (2026 Guide) \| Edison AI")</f>
        <v>Top AI Agencies in Australia (2026 Guide) \| Edison AI</v>
      </c>
      <c r="C299" s="6" t="str">
        <f>IFERROR(__xludf.DUMMYFUNCTION("""COMPUTED_VALUE"""),"edisonai.au")</f>
        <v>edisonai.au</v>
      </c>
      <c r="D299" s="7" t="str">
        <f>IFERROR(__xludf.DUMMYFUNCTION("""COMPUTED_VALUE"""),"LISTICLE")</f>
        <v>LISTICLE</v>
      </c>
      <c r="E299" s="7" t="str">
        <f>IFERROR(__xludf.DUMMYFUNCTION("""COMPUTED_VALUE"""),"CORPORATE")</f>
        <v>CORPORATE</v>
      </c>
      <c r="F299" s="7" t="str">
        <f>IFERROR(__xludf.DUMMYFUNCTION("""COMPUTED_VALUE"""),"Listicle")</f>
        <v>Listicle</v>
      </c>
      <c r="G299" s="7" t="b">
        <f>IFERROR(__xludf.DUMMYFUNCTION("""COMPUTED_VALUE"""),FALSE)</f>
        <v>0</v>
      </c>
      <c r="H299" s="7" t="str">
        <f>IFERROR(__xludf.DUMMYFUNCTION("""COMPUTED_VALUE"""),"Edison AI, Impressive, Measured")</f>
        <v>Edison AI, Impressive, Measured</v>
      </c>
      <c r="I299" s="7">
        <f>IFERROR(__xludf.DUMMYFUNCTION("""COMPUTED_VALUE"""),3.0)</f>
        <v>3</v>
      </c>
      <c r="J299" s="7">
        <f>IFERROR(__xludf.DUMMYFUNCTION("""COMPUTED_VALUE"""),0.0)</f>
        <v>0</v>
      </c>
      <c r="K299" s="7">
        <f>IFERROR(__xludf.DUMMYFUNCTION("""COMPUTED_VALUE"""),0.0)</f>
        <v>0</v>
      </c>
      <c r="L299" s="7"/>
    </row>
    <row r="300" ht="15.75" customHeight="1">
      <c r="A300" s="6" t="str">
        <f>IFERROR(__xludf.DUMMYFUNCTION("""COMPUTED_VALUE"""),"https://ensun.io/search/geospatial-gis/australia")</f>
        <v>https://ensun.io/search/geospatial-gis/australia</v>
      </c>
      <c r="B300" s="7" t="str">
        <f>IFERROR(__xludf.DUMMYFUNCTION("""COMPUTED_VALUE"""),"Top 100 Geospatial (Gis) Companies in Australia (2026) \| ensun")</f>
        <v>Top 100 Geospatial (Gis) Companies in Australia (2026) \| ensun</v>
      </c>
      <c r="C300" s="6" t="str">
        <f>IFERROR(__xludf.DUMMYFUNCTION("""COMPUTED_VALUE"""),"ensun.io")</f>
        <v>ensun.io</v>
      </c>
      <c r="D300" s="7" t="str">
        <f>IFERROR(__xludf.DUMMYFUNCTION("""COMPUTED_VALUE"""),"OTHER")</f>
        <v>OTHER</v>
      </c>
      <c r="E300" s="7" t="str">
        <f>IFERROR(__xludf.DUMMYFUNCTION("""COMPUTED_VALUE"""),"OTHER")</f>
        <v>OTHER</v>
      </c>
      <c r="F300" s="7" t="str">
        <f>IFERROR(__xludf.DUMMYFUNCTION("""COMPUTED_VALUE"""),"Other")</f>
        <v>Other</v>
      </c>
      <c r="G300" s="7" t="b">
        <f>IFERROR(__xludf.DUMMYFUNCTION("""COMPUTED_VALUE"""),FALSE)</f>
        <v>0</v>
      </c>
      <c r="H300" s="7"/>
      <c r="I300" s="7">
        <f>IFERROR(__xludf.DUMMYFUNCTION("""COMPUTED_VALUE"""),3.0)</f>
        <v>3</v>
      </c>
      <c r="J300" s="7">
        <f>IFERROR(__xludf.DUMMYFUNCTION("""COMPUTED_VALUE"""),0.0)</f>
        <v>0</v>
      </c>
      <c r="K300" s="7">
        <f>IFERROR(__xludf.DUMMYFUNCTION("""COMPUTED_VALUE"""),0.67)</f>
        <v>0.67</v>
      </c>
      <c r="L300" s="7"/>
    </row>
    <row r="301" ht="15.75" customHeight="1">
      <c r="A301" s="6" t="str">
        <f>IFERROR(__xludf.DUMMYFUNCTION("""COMPUTED_VALUE"""),"https://enterprisemonkey.com.au/top-10-ai-consulting-firms-melbourne-2026-complete-guide/")</f>
        <v>https://enterprisemonkey.com.au/top-10-ai-consulting-firms-melbourne-2026-complete-guide/</v>
      </c>
      <c r="B301" s="7" t="str">
        <f>IFERROR(__xludf.DUMMYFUNCTION("""COMPUTED_VALUE"""),"Top 10 AI Consulting Firms in Melbourne (2026): The Complete Guide | Web, App &amp;amp; Software Development Company in Melbourne &amp;amp; Geelong.")</f>
        <v>Top 10 AI Consulting Firms in Melbourne (2026): The Complete Guide | Web, App &amp;amp; Software Development Company in Melbourne &amp;amp; Geelong.</v>
      </c>
      <c r="C301" s="6" t="str">
        <f>IFERROR(__xludf.DUMMYFUNCTION("""COMPUTED_VALUE"""),"enterprisemonkey.com.au")</f>
        <v>enterprisemonkey.com.au</v>
      </c>
      <c r="D301" s="7" t="str">
        <f>IFERROR(__xludf.DUMMYFUNCTION("""COMPUTED_VALUE"""),"LISTICLE")</f>
        <v>LISTICLE</v>
      </c>
      <c r="E301" s="7" t="str">
        <f>IFERROR(__xludf.DUMMYFUNCTION("""COMPUTED_VALUE"""),"CORPORATE")</f>
        <v>CORPORATE</v>
      </c>
      <c r="F301" s="7" t="str">
        <f>IFERROR(__xludf.DUMMYFUNCTION("""COMPUTED_VALUE"""),"Listicle")</f>
        <v>Listicle</v>
      </c>
      <c r="G301" s="7" t="b">
        <f>IFERROR(__xludf.DUMMYFUNCTION("""COMPUTED_VALUE"""),FALSE)</f>
        <v>0</v>
      </c>
      <c r="H301" s="7" t="str">
        <f>IFERROR(__xludf.DUMMYFUNCTION("""COMPUTED_VALUE"""),"Deloitte, Team 400, Impressive, Measured")</f>
        <v>Deloitte, Team 400, Impressive, Measured</v>
      </c>
      <c r="I301" s="7">
        <f>IFERROR(__xludf.DUMMYFUNCTION("""COMPUTED_VALUE"""),3.0)</f>
        <v>3</v>
      </c>
      <c r="J301" s="7">
        <f>IFERROR(__xludf.DUMMYFUNCTION("""COMPUTED_VALUE"""),0.0)</f>
        <v>0</v>
      </c>
      <c r="K301" s="7">
        <f>IFERROR(__xludf.DUMMYFUNCTION("""COMPUTED_VALUE"""),1.67)</f>
        <v>1.67</v>
      </c>
      <c r="L301" s="7"/>
    </row>
    <row r="302" ht="15.75" customHeight="1">
      <c r="A302" s="6" t="str">
        <f>IFERROR(__xludf.DUMMYFUNCTION("""COMPUTED_VALUE"""),"https://gaper.io/best-aeo-agencies")</f>
        <v>https://gaper.io/best-aeo-agencies</v>
      </c>
      <c r="B302" s="7" t="str">
        <f>IFERROR(__xludf.DUMMYFUNCTION("""COMPUTED_VALUE"""),"Best AEO Agencies in 2026: Answer Engine Optimization Shortlist · Gaper")</f>
        <v>Best AEO Agencies in 2026: Answer Engine Optimization Shortlist · Gaper</v>
      </c>
      <c r="C302" s="6" t="str">
        <f>IFERROR(__xludf.DUMMYFUNCTION("""COMPUTED_VALUE"""),"gaper.io")</f>
        <v>gaper.io</v>
      </c>
      <c r="D302" s="7" t="str">
        <f>IFERROR(__xludf.DUMMYFUNCTION("""COMPUTED_VALUE"""),"LISTICLE")</f>
        <v>LISTICLE</v>
      </c>
      <c r="E302" s="7" t="str">
        <f>IFERROR(__xludf.DUMMYFUNCTION("""COMPUTED_VALUE"""),"CORPORATE")</f>
        <v>CORPORATE</v>
      </c>
      <c r="F302" s="7" t="str">
        <f>IFERROR(__xludf.DUMMYFUNCTION("""COMPUTED_VALUE"""),"Listicle")</f>
        <v>Listicle</v>
      </c>
      <c r="G302" s="7" t="b">
        <f>IFERROR(__xludf.DUMMYFUNCTION("""COMPUTED_VALUE"""),FALSE)</f>
        <v>0</v>
      </c>
      <c r="H302" s="7"/>
      <c r="I302" s="7">
        <f>IFERROR(__xludf.DUMMYFUNCTION("""COMPUTED_VALUE"""),3.0)</f>
        <v>3</v>
      </c>
      <c r="J302" s="7">
        <f>IFERROR(__xludf.DUMMYFUNCTION("""COMPUTED_VALUE"""),0.0)</f>
        <v>0</v>
      </c>
      <c r="K302" s="7">
        <f>IFERROR(__xludf.DUMMYFUNCTION("""COMPUTED_VALUE"""),0.0)</f>
        <v>0</v>
      </c>
      <c r="L302" s="7"/>
    </row>
    <row r="303" ht="15.75" customHeight="1">
      <c r="A303" s="6" t="str">
        <f>IFERROR(__xludf.DUMMYFUNCTION("""COMPUTED_VALUE"""),"https://www.goodfirms.co/advertising-companies/sydney")</f>
        <v>https://www.goodfirms.co/advertising-companies/sydney</v>
      </c>
      <c r="B303" s="7" t="str">
        <f>IFERROR(__xludf.DUMMYFUNCTION("""COMPUTED_VALUE"""),"Best Advertising Agencies in Sydney - 2026 Reviews | Goodfirms")</f>
        <v>Best Advertising Agencies in Sydney - 2026 Reviews | Goodfirms</v>
      </c>
      <c r="C303" s="6" t="str">
        <f>IFERROR(__xludf.DUMMYFUNCTION("""COMPUTED_VALUE"""),"goodfirms.co")</f>
        <v>goodfirms.co</v>
      </c>
      <c r="D303" s="7" t="str">
        <f>IFERROR(__xludf.DUMMYFUNCTION("""COMPUTED_VALUE"""),"CATEGORY_PAGE")</f>
        <v>CATEGORY_PAGE</v>
      </c>
      <c r="E303" s="7" t="str">
        <f>IFERROR(__xludf.DUMMYFUNCTION("""COMPUTED_VALUE"""),"UGC")</f>
        <v>UGC</v>
      </c>
      <c r="F303" s="7" t="str">
        <f>IFERROR(__xludf.DUMMYFUNCTION("""COMPUTED_VALUE"""),"Category Page")</f>
        <v>Category Page</v>
      </c>
      <c r="G303" s="7" t="b">
        <f>IFERROR(__xludf.DUMMYFUNCTION("""COMPUTED_VALUE"""),FALSE)</f>
        <v>0</v>
      </c>
      <c r="H303" s="7" t="str">
        <f>IFERROR(__xludf.DUMMYFUNCTION("""COMPUTED_VALUE"""),"CUT THRU, BMF, Bench Media, Chello, Edge Marketing")</f>
        <v>CUT THRU, BMF, Bench Media, Chello, Edge Marketing</v>
      </c>
      <c r="I303" s="7">
        <f>IFERROR(__xludf.DUMMYFUNCTION("""COMPUTED_VALUE"""),3.0)</f>
        <v>3</v>
      </c>
      <c r="J303" s="7">
        <f>IFERROR(__xludf.DUMMYFUNCTION("""COMPUTED_VALUE"""),0.0)</f>
        <v>0</v>
      </c>
      <c r="K303" s="7">
        <f>IFERROR(__xludf.DUMMYFUNCTION("""COMPUTED_VALUE"""),0.0)</f>
        <v>0</v>
      </c>
      <c r="L303" s="7"/>
    </row>
    <row r="304" ht="15.75" customHeight="1">
      <c r="A304" s="6" t="str">
        <f>IFERROR(__xludf.DUMMYFUNCTION("""COMPUTED_VALUE"""),"https://www.goodfirms.co/directory/country/top-digital-marketing-companies/au?sort_by=matrix")</f>
        <v>https://www.goodfirms.co/directory/country/top-digital-marketing-companies/au?sort_by=matrix</v>
      </c>
      <c r="B304" s="7" t="str">
        <f>IFERROR(__xludf.DUMMYFUNCTION("""COMPUTED_VALUE"""),"Top Digital Marketing Agencies in Australia - 2026 Reviews | Goodfirms")</f>
        <v>Top Digital Marketing Agencies in Australia - 2026 Reviews | Goodfirms</v>
      </c>
      <c r="C304" s="6" t="str">
        <f>IFERROR(__xludf.DUMMYFUNCTION("""COMPUTED_VALUE"""),"goodfirms.co")</f>
        <v>goodfirms.co</v>
      </c>
      <c r="D304" s="7" t="str">
        <f>IFERROR(__xludf.DUMMYFUNCTION("""COMPUTED_VALUE"""),"OTHER")</f>
        <v>OTHER</v>
      </c>
      <c r="E304" s="7" t="str">
        <f>IFERROR(__xludf.DUMMYFUNCTION("""COMPUTED_VALUE"""),"UGC")</f>
        <v>UGC</v>
      </c>
      <c r="F304" s="7" t="str">
        <f>IFERROR(__xludf.DUMMYFUNCTION("""COMPUTED_VALUE"""),"Other")</f>
        <v>Other</v>
      </c>
      <c r="G304" s="7" t="b">
        <f>IFERROR(__xludf.DUMMYFUNCTION("""COMPUTED_VALUE"""),FALSE)</f>
        <v>0</v>
      </c>
      <c r="H304" s="7" t="str">
        <f>IFERROR(__xludf.DUMMYFUNCTION("""COMPUTED_VALUE"""),"eMarket Experts, Impressive, AdVisible, SIXGUN, Supple Digital, Digital Nomads HQ, CUT THRU, Intesols, Emote Digital")</f>
        <v>eMarket Experts, Impressive, AdVisible, SIXGUN, Supple Digital, Digital Nomads HQ, CUT THRU, Intesols, Emote Digital</v>
      </c>
      <c r="I304" s="7">
        <f>IFERROR(__xludf.DUMMYFUNCTION("""COMPUTED_VALUE"""),3.0)</f>
        <v>3</v>
      </c>
      <c r="J304" s="7">
        <f>IFERROR(__xludf.DUMMYFUNCTION("""COMPUTED_VALUE"""),0.0)</f>
        <v>0</v>
      </c>
      <c r="K304" s="7">
        <f>IFERROR(__xludf.DUMMYFUNCTION("""COMPUTED_VALUE"""),0.0)</f>
        <v>0</v>
      </c>
      <c r="L304" s="7"/>
    </row>
    <row r="305" ht="15.75" customHeight="1">
      <c r="A305" s="6" t="str">
        <f>IFERROR(__xludf.DUMMYFUNCTION("""COMPUTED_VALUE"""),"https://www.hashmeta.ai/zh/blog/top-10-ai-agencies-in-australia-expert-guide-to-choosing-your-ai-marketing-partner")</f>
        <v>https://www.hashmeta.ai/zh/blog/top-10-ai-agencies-in-australia-expert-guide-to-choosing-your-ai-marketing-partner</v>
      </c>
      <c r="B305" s="7" t="str">
        <f>IFERROR(__xludf.DUMMYFUNCTION("""COMPUTED_VALUE"""),"Top 10 AI Agencies in Australia: Expert Guide to Choosing Your AI Marketing Partner | Hashmeta AI Marketing Blog")</f>
        <v>Top 10 AI Agencies in Australia: Expert Guide to Choosing Your AI Marketing Partner | Hashmeta AI Marketing Blog</v>
      </c>
      <c r="C305" s="6" t="str">
        <f>IFERROR(__xludf.DUMMYFUNCTION("""COMPUTED_VALUE"""),"hashmeta.ai")</f>
        <v>hashmeta.ai</v>
      </c>
      <c r="D305" s="7" t="str">
        <f>IFERROR(__xludf.DUMMYFUNCTION("""COMPUTED_VALUE"""),"LISTICLE")</f>
        <v>LISTICLE</v>
      </c>
      <c r="E305" s="7" t="str">
        <f>IFERROR(__xludf.DUMMYFUNCTION("""COMPUTED_VALUE"""),"CORPORATE")</f>
        <v>CORPORATE</v>
      </c>
      <c r="F305" s="7" t="str">
        <f>IFERROR(__xludf.DUMMYFUNCTION("""COMPUTED_VALUE"""),"Listicle")</f>
        <v>Listicle</v>
      </c>
      <c r="G305" s="7" t="b">
        <f>IFERROR(__xludf.DUMMYFUNCTION("""COMPUTED_VALUE"""),FALSE)</f>
        <v>0</v>
      </c>
      <c r="H305" s="7" t="str">
        <f>IFERROR(__xludf.DUMMYFUNCTION("""COMPUTED_VALUE"""),"Emote Digital, Impressive")</f>
        <v>Emote Digital, Impressive</v>
      </c>
      <c r="I305" s="7">
        <f>IFERROR(__xludf.DUMMYFUNCTION("""COMPUTED_VALUE"""),3.0)</f>
        <v>3</v>
      </c>
      <c r="J305" s="7">
        <f>IFERROR(__xludf.DUMMYFUNCTION("""COMPUTED_VALUE"""),0.0)</f>
        <v>0</v>
      </c>
      <c r="K305" s="7">
        <f>IFERROR(__xludf.DUMMYFUNCTION("""COMPUTED_VALUE"""),0.0)</f>
        <v>0</v>
      </c>
      <c r="L305" s="7"/>
    </row>
    <row r="306" ht="15.75" customHeight="1">
      <c r="A306" s="6" t="str">
        <f>IFERROR(__xludf.DUMMYFUNCTION("""COMPUTED_VALUE"""),"https://www.havstrategy.com/best-performance-marketing-agency-in-australia/")</f>
        <v>https://www.havstrategy.com/best-performance-marketing-agency-in-australia/</v>
      </c>
      <c r="B306" s="7" t="str">
        <f>IFERROR(__xludf.DUMMYFUNCTION("""COMPUTED_VALUE"""),"Best Performance Marketing Agency in Australia")</f>
        <v>Best Performance Marketing Agency in Australia</v>
      </c>
      <c r="C306" s="6" t="str">
        <f>IFERROR(__xludf.DUMMYFUNCTION("""COMPUTED_VALUE"""),"havstrategy.com")</f>
        <v>havstrategy.com</v>
      </c>
      <c r="D306" s="7" t="str">
        <f>IFERROR(__xludf.DUMMYFUNCTION("""COMPUTED_VALUE"""),"PRODUCT_PAGE")</f>
        <v>PRODUCT_PAGE</v>
      </c>
      <c r="E306" s="7" t="str">
        <f>IFERROR(__xludf.DUMMYFUNCTION("""COMPUTED_VALUE"""),"CORPORATE")</f>
        <v>CORPORATE</v>
      </c>
      <c r="F306" s="7" t="str">
        <f>IFERROR(__xludf.DUMMYFUNCTION("""COMPUTED_VALUE"""),"Product Page")</f>
        <v>Product Page</v>
      </c>
      <c r="G306" s="7" t="b">
        <f>IFERROR(__xludf.DUMMYFUNCTION("""COMPUTED_VALUE"""),FALSE)</f>
        <v>0</v>
      </c>
      <c r="H306" s="7" t="str">
        <f>IFERROR(__xludf.DUMMYFUNCTION("""COMPUTED_VALUE"""),"Impressive")</f>
        <v>Impressive</v>
      </c>
      <c r="I306" s="7">
        <f>IFERROR(__xludf.DUMMYFUNCTION("""COMPUTED_VALUE"""),3.0)</f>
        <v>3</v>
      </c>
      <c r="J306" s="7">
        <f>IFERROR(__xludf.DUMMYFUNCTION("""COMPUTED_VALUE"""),0.0)</f>
        <v>0</v>
      </c>
      <c r="K306" s="7">
        <f>IFERROR(__xludf.DUMMYFUNCTION("""COMPUTED_VALUE"""),0.0)</f>
        <v>0</v>
      </c>
      <c r="L306" s="7"/>
    </row>
    <row r="307" ht="15.75" customHeight="1">
      <c r="A307" s="6" t="str">
        <f>IFERROR(__xludf.DUMMYFUNCTION("""COMPUTED_VALUE"""),"https://inbeat.agency/blog/top-ppc-agencies-sydney")</f>
        <v>https://inbeat.agency/blog/top-ppc-agencies-sydney</v>
      </c>
      <c r="B307" s="7" t="str">
        <f>IFERROR(__xludf.DUMMYFUNCTION("""COMPUTED_VALUE"""),"Top 31 PPC Agencies in Sydney (Tried and Tested in January 2025) - inBeat Agency")</f>
        <v>Top 31 PPC Agencies in Sydney (Tried and Tested in January 2025) - inBeat Agency</v>
      </c>
      <c r="C307" s="7" t="str">
        <f>IFERROR(__xludf.DUMMYFUNCTION("""COMPUTED_VALUE"""),"inbeat.agency")</f>
        <v>inbeat.agency</v>
      </c>
      <c r="D307" s="7" t="str">
        <f>IFERROR(__xludf.DUMMYFUNCTION("""COMPUTED_VALUE"""),"LISTICLE")</f>
        <v>LISTICLE</v>
      </c>
      <c r="E307" s="7" t="str">
        <f>IFERROR(__xludf.DUMMYFUNCTION("""COMPUTED_VALUE"""),"CORPORATE")</f>
        <v>CORPORATE</v>
      </c>
      <c r="F307" s="7" t="str">
        <f>IFERROR(__xludf.DUMMYFUNCTION("""COMPUTED_VALUE"""),"Listicle")</f>
        <v>Listicle</v>
      </c>
      <c r="G307" s="7" t="b">
        <f>IFERROR(__xludf.DUMMYFUNCTION("""COMPUTED_VALUE"""),FALSE)</f>
        <v>0</v>
      </c>
      <c r="H307" s="7" t="str">
        <f>IFERROR(__xludf.DUMMYFUNCTION("""COMPUTED_VALUE"""),"Marketix Digital, Metric Labs, Online Marketing Gurus, Rocket Agency, King Kong, 23 Digital, Jaywing")</f>
        <v>Marketix Digital, Metric Labs, Online Marketing Gurus, Rocket Agency, King Kong, 23 Digital, Jaywing</v>
      </c>
      <c r="I307" s="7">
        <f>IFERROR(__xludf.DUMMYFUNCTION("""COMPUTED_VALUE"""),3.0)</f>
        <v>3</v>
      </c>
      <c r="J307" s="7">
        <f>IFERROR(__xludf.DUMMYFUNCTION("""COMPUTED_VALUE"""),0.0)</f>
        <v>0</v>
      </c>
      <c r="K307" s="7">
        <f>IFERROR(__xludf.DUMMYFUNCTION("""COMPUTED_VALUE"""),0.0)</f>
        <v>0</v>
      </c>
      <c r="L307" s="7"/>
    </row>
    <row r="308" ht="15.75" customHeight="1">
      <c r="A308" s="6" t="str">
        <f>IFERROR(__xludf.DUMMYFUNCTION("""COMPUTED_VALUE"""),"https://itprofiles.com/services/media-planning-and-buying/australia")</f>
        <v>https://itprofiles.com/services/media-planning-and-buying/australia</v>
      </c>
      <c r="B308" s="7" t="str">
        <f>IFERROR(__xludf.DUMMYFUNCTION("""COMPUTED_VALUE"""),"56 Best Media Planning and Buying Companies in Australia - Jul 2026 Rankings | ITProfiles")</f>
        <v>56 Best Media Planning and Buying Companies in Australia - Jul 2026 Rankings | ITProfiles</v>
      </c>
      <c r="C308" s="6" t="str">
        <f>IFERROR(__xludf.DUMMYFUNCTION("""COMPUTED_VALUE"""),"itprofiles.com")</f>
        <v>itprofiles.com</v>
      </c>
      <c r="D308" s="7" t="str">
        <f>IFERROR(__xludf.DUMMYFUNCTION("""COMPUTED_VALUE"""),"OTHER")</f>
        <v>OTHER</v>
      </c>
      <c r="E308" s="7" t="str">
        <f>IFERROR(__xludf.DUMMYFUNCTION("""COMPUTED_VALUE"""),"REFERENCE")</f>
        <v>REFERENCE</v>
      </c>
      <c r="F308" s="7" t="str">
        <f>IFERROR(__xludf.DUMMYFUNCTION("""COMPUTED_VALUE"""),"Other")</f>
        <v>Other</v>
      </c>
      <c r="G308" s="7" t="b">
        <f>IFERROR(__xludf.DUMMYFUNCTION("""COMPUTED_VALUE"""),FALSE)</f>
        <v>0</v>
      </c>
      <c r="H308" s="7" t="str">
        <f>IFERROR(__xludf.DUMMYFUNCTION("""COMPUTED_VALUE"""),"Bench Media, Momentum, GroupM, OMD")</f>
        <v>Bench Media, Momentum, GroupM, OMD</v>
      </c>
      <c r="I308" s="7">
        <f>IFERROR(__xludf.DUMMYFUNCTION("""COMPUTED_VALUE"""),3.0)</f>
        <v>3</v>
      </c>
      <c r="J308" s="7">
        <f>IFERROR(__xludf.DUMMYFUNCTION("""COMPUTED_VALUE"""),0.0)</f>
        <v>0</v>
      </c>
      <c r="K308" s="7">
        <f>IFERROR(__xludf.DUMMYFUNCTION("""COMPUTED_VALUE"""),0.0)</f>
        <v>0</v>
      </c>
      <c r="L308" s="7"/>
    </row>
    <row r="309" ht="15.75" customHeight="1">
      <c r="A309" s="6" t="str">
        <f>IFERROR(__xludf.DUMMYFUNCTION("""COMPUTED_VALUE"""),"https://www.miniloop.ai/blog/best-geo-agencies")</f>
        <v>https://www.miniloop.ai/blog/best-geo-agencies</v>
      </c>
      <c r="B309" s="7" t="str">
        <f>IFERROR(__xludf.DUMMYFUNCTION("""COMPUTED_VALUE"""),"Best GEO Agencies 2026: Generative Engine Optimization Companies")</f>
        <v>Best GEO Agencies 2026: Generative Engine Optimization Companies</v>
      </c>
      <c r="C309" s="6" t="str">
        <f>IFERROR(__xludf.DUMMYFUNCTION("""COMPUTED_VALUE"""),"miniloop.ai")</f>
        <v>miniloop.ai</v>
      </c>
      <c r="D309" s="7" t="str">
        <f>IFERROR(__xludf.DUMMYFUNCTION("""COMPUTED_VALUE"""),"LISTICLE")</f>
        <v>LISTICLE</v>
      </c>
      <c r="E309" s="7" t="str">
        <f>IFERROR(__xludf.DUMMYFUNCTION("""COMPUTED_VALUE"""),"CORPORATE")</f>
        <v>CORPORATE</v>
      </c>
      <c r="F309" s="7" t="str">
        <f>IFERROR(__xludf.DUMMYFUNCTION("""COMPUTED_VALUE"""),"Listicle")</f>
        <v>Listicle</v>
      </c>
      <c r="G309" s="7" t="b">
        <f>IFERROR(__xludf.DUMMYFUNCTION("""COMPUTED_VALUE"""),FALSE)</f>
        <v>0</v>
      </c>
      <c r="H309" s="7" t="str">
        <f>IFERROR(__xludf.DUMMYFUNCTION("""COMPUTED_VALUE"""),"Impressive, Intero Digital")</f>
        <v>Impressive, Intero Digital</v>
      </c>
      <c r="I309" s="7">
        <f>IFERROR(__xludf.DUMMYFUNCTION("""COMPUTED_VALUE"""),3.0)</f>
        <v>3</v>
      </c>
      <c r="J309" s="7">
        <f>IFERROR(__xludf.DUMMYFUNCTION("""COMPUTED_VALUE"""),0.0)</f>
        <v>0</v>
      </c>
      <c r="K309" s="7">
        <f>IFERROR(__xludf.DUMMYFUNCTION("""COMPUTED_VALUE"""),0.0)</f>
        <v>0</v>
      </c>
      <c r="L309" s="7"/>
    </row>
    <row r="310" ht="15.75" customHeight="1">
      <c r="A310" s="6" t="str">
        <f>IFERROR(__xludf.DUMMYFUNCTION("""COMPUTED_VALUE"""),"https://nettyawards.com/a-look-at-australias-top-digital-agencies-in-2025/")</f>
        <v>https://nettyawards.com/a-look-at-australias-top-digital-agencies-in-2025/</v>
      </c>
      <c r="B310" s="7" t="str">
        <f>IFERROR(__xludf.DUMMYFUNCTION("""COMPUTED_VALUE"""),"A Look at Australia’s Top Digital Agencies in 2025 - Netty Awards")</f>
        <v>A Look at Australia’s Top Digital Agencies in 2025 - Netty Awards</v>
      </c>
      <c r="C310" s="6" t="str">
        <f>IFERROR(__xludf.DUMMYFUNCTION("""COMPUTED_VALUE"""),"nettyawards.com")</f>
        <v>nettyawards.com</v>
      </c>
      <c r="D310" s="7" t="str">
        <f>IFERROR(__xludf.DUMMYFUNCTION("""COMPUTED_VALUE"""),"LISTICLE")</f>
        <v>LISTICLE</v>
      </c>
      <c r="E310" s="7" t="str">
        <f>IFERROR(__xludf.DUMMYFUNCTION("""COMPUTED_VALUE"""),"CORPORATE")</f>
        <v>CORPORATE</v>
      </c>
      <c r="F310" s="7" t="str">
        <f>IFERROR(__xludf.DUMMYFUNCTION("""COMPUTED_VALUE"""),"Listicle")</f>
        <v>Listicle</v>
      </c>
      <c r="G310" s="7" t="b">
        <f>IFERROR(__xludf.DUMMYFUNCTION("""COMPUTED_VALUE"""),FALSE)</f>
        <v>0</v>
      </c>
      <c r="H310" s="7" t="str">
        <f>IFERROR(__xludf.DUMMYFUNCTION("""COMPUTED_VALUE"""),"Megaphone, Measured")</f>
        <v>Megaphone, Measured</v>
      </c>
      <c r="I310" s="7">
        <f>IFERROR(__xludf.DUMMYFUNCTION("""COMPUTED_VALUE"""),3.0)</f>
        <v>3</v>
      </c>
      <c r="J310" s="7">
        <f>IFERROR(__xludf.DUMMYFUNCTION("""COMPUTED_VALUE"""),0.0)</f>
        <v>0</v>
      </c>
      <c r="K310" s="7">
        <f>IFERROR(__xludf.DUMMYFUNCTION("""COMPUTED_VALUE"""),1.67)</f>
        <v>1.67</v>
      </c>
      <c r="L310" s="7"/>
    </row>
    <row r="311" ht="15.75" customHeight="1">
      <c r="A311" s="6" t="str">
        <f>IFERROR(__xludf.DUMMYFUNCTION("""COMPUTED_VALUE"""),"https://www.ocmsolution.com/digital-agencies-in-sydney/")</f>
        <v>https://www.ocmsolution.com/digital-agencies-in-sydney/</v>
      </c>
      <c r="B311" s="7" t="str">
        <f>IFERROR(__xludf.DUMMYFUNCTION("""COMPUTED_VALUE"""),"Top 10 Best Digital Agencies &amp;amp; Marketing Companies in Sydney, Australia – OCM Solution – Best Change Management Solution, Content, Services")</f>
        <v>Top 10 Best Digital Agencies &amp;amp; Marketing Companies in Sydney, Australia – OCM Solution – Best Change Management Solution, Content, Services</v>
      </c>
      <c r="C311" s="6" t="str">
        <f>IFERROR(__xludf.DUMMYFUNCTION("""COMPUTED_VALUE"""),"ocmsolution.com")</f>
        <v>ocmsolution.com</v>
      </c>
      <c r="D311" s="7" t="str">
        <f>IFERROR(__xludf.DUMMYFUNCTION("""COMPUTED_VALUE"""),"LISTICLE")</f>
        <v>LISTICLE</v>
      </c>
      <c r="E311" s="7" t="str">
        <f>IFERROR(__xludf.DUMMYFUNCTION("""COMPUTED_VALUE"""),"CORPORATE")</f>
        <v>CORPORATE</v>
      </c>
      <c r="F311" s="7" t="str">
        <f>IFERROR(__xludf.DUMMYFUNCTION("""COMPUTED_VALUE"""),"Listicle")</f>
        <v>Listicle</v>
      </c>
      <c r="G311" s="7" t="b">
        <f>IFERROR(__xludf.DUMMYFUNCTION("""COMPUTED_VALUE"""),FALSE)</f>
        <v>0</v>
      </c>
      <c r="H311" s="7" t="str">
        <f>IFERROR(__xludf.DUMMYFUNCTION("""COMPUTED_VALUE"""),"AdVisible, Sparro, We Are Social, Rocket Agency, Impressive")</f>
        <v>AdVisible, Sparro, We Are Social, Rocket Agency, Impressive</v>
      </c>
      <c r="I311" s="7">
        <f>IFERROR(__xludf.DUMMYFUNCTION("""COMPUTED_VALUE"""),3.0)</f>
        <v>3</v>
      </c>
      <c r="J311" s="7">
        <f>IFERROR(__xludf.DUMMYFUNCTION("""COMPUTED_VALUE"""),0.0)</f>
        <v>0</v>
      </c>
      <c r="K311" s="7">
        <f>IFERROR(__xludf.DUMMYFUNCTION("""COMPUTED_VALUE"""),1.0)</f>
        <v>1</v>
      </c>
      <c r="L311" s="7"/>
    </row>
    <row r="312" ht="15.75" customHeight="1">
      <c r="A312" s="6" t="str">
        <f>IFERROR(__xludf.DUMMYFUNCTION("""COMPUTED_VALUE"""),"https://outgrow.co/blog/advertising-agencies-australia")</f>
        <v>https://outgrow.co/blog/advertising-agencies-australia</v>
      </c>
      <c r="B312" s="7" t="str">
        <f>IFERROR(__xludf.DUMMYFUNCTION("""COMPUTED_VALUE"""),"Top 14 Advertising Agencies in Australia You Must Know")</f>
        <v>Top 14 Advertising Agencies in Australia You Must Know</v>
      </c>
      <c r="C312" s="6" t="str">
        <f>IFERROR(__xludf.DUMMYFUNCTION("""COMPUTED_VALUE"""),"outgrow.co")</f>
        <v>outgrow.co</v>
      </c>
      <c r="D312" s="7" t="str">
        <f>IFERROR(__xludf.DUMMYFUNCTION("""COMPUTED_VALUE"""),"LISTICLE")</f>
        <v>LISTICLE</v>
      </c>
      <c r="E312" s="7" t="str">
        <f>IFERROR(__xludf.DUMMYFUNCTION("""COMPUTED_VALUE"""),"CORPORATE")</f>
        <v>CORPORATE</v>
      </c>
      <c r="F312" s="7" t="str">
        <f>IFERROR(__xludf.DUMMYFUNCTION("""COMPUTED_VALUE"""),"Listicle")</f>
        <v>Listicle</v>
      </c>
      <c r="G312" s="7" t="b">
        <f>IFERROR(__xludf.DUMMYFUNCTION("""COMPUTED_VALUE"""),FALSE)</f>
        <v>0</v>
      </c>
      <c r="H312" s="7" t="str">
        <f>IFERROR(__xludf.DUMMYFUNCTION("""COMPUTED_VALUE"""),"Saatchi &amp; Saatchi, Dentsu, Ogilvy Australia, DDB Australia, Intesols")</f>
        <v>Saatchi &amp; Saatchi, Dentsu, Ogilvy Australia, DDB Australia, Intesols</v>
      </c>
      <c r="I312" s="7">
        <f>IFERROR(__xludf.DUMMYFUNCTION("""COMPUTED_VALUE"""),3.0)</f>
        <v>3</v>
      </c>
      <c r="J312" s="7">
        <f>IFERROR(__xludf.DUMMYFUNCTION("""COMPUTED_VALUE"""),0.0)</f>
        <v>0</v>
      </c>
      <c r="K312" s="7">
        <f>IFERROR(__xludf.DUMMYFUNCTION("""COMPUTED_VALUE"""),1.0)</f>
        <v>1</v>
      </c>
      <c r="L312" s="7"/>
    </row>
    <row r="313" ht="15.75" customHeight="1">
      <c r="A313" s="6" t="str">
        <f>IFERROR(__xludf.DUMMYFUNCTION("""COMPUTED_VALUE"""),"https://prwire.com.au/pr/127124/rankingco-rises-into-australia-s-top-3-of-google-partners-as-a-2026-premier-partner")</f>
        <v>https://prwire.com.au/pr/127124/rankingco-rises-into-australia-s-top-3-of-google-partners-as-a-2026-premier-partner</v>
      </c>
      <c r="B313" s="7" t="str">
        <f>IFERROR(__xludf.DUMMYFUNCTION("""COMPUTED_VALUE"""),"RankingCo rises into Australia’s top 3% of Google Partners as a 2026 Premier Partner")</f>
        <v>RankingCo rises into Australia’s top 3% of Google Partners as a 2026 Premier Partner</v>
      </c>
      <c r="C313" s="6" t="str">
        <f>IFERROR(__xludf.DUMMYFUNCTION("""COMPUTED_VALUE"""),"prwire.com.au")</f>
        <v>prwire.com.au</v>
      </c>
      <c r="D313" s="7" t="str">
        <f>IFERROR(__xludf.DUMMYFUNCTION("""COMPUTED_VALUE"""),"ARTICLE")</f>
        <v>ARTICLE</v>
      </c>
      <c r="E313" s="7" t="str">
        <f>IFERROR(__xludf.DUMMYFUNCTION("""COMPUTED_VALUE"""),"INSTITUTIONAL")</f>
        <v>INSTITUTIONAL</v>
      </c>
      <c r="F313" s="7" t="str">
        <f>IFERROR(__xludf.DUMMYFUNCTION("""COMPUTED_VALUE"""),"Article")</f>
        <v>Article</v>
      </c>
      <c r="G313" s="7" t="b">
        <f>IFERROR(__xludf.DUMMYFUNCTION("""COMPUTED_VALUE"""),FALSE)</f>
        <v>0</v>
      </c>
      <c r="H313" s="7" t="str">
        <f>IFERROR(__xludf.DUMMYFUNCTION("""COMPUTED_VALUE"""),"RankingCo")</f>
        <v>RankingCo</v>
      </c>
      <c r="I313" s="7">
        <f>IFERROR(__xludf.DUMMYFUNCTION("""COMPUTED_VALUE"""),3.0)</f>
        <v>3</v>
      </c>
      <c r="J313" s="7">
        <f>IFERROR(__xludf.DUMMYFUNCTION("""COMPUTED_VALUE"""),0.0)</f>
        <v>0</v>
      </c>
      <c r="K313" s="7">
        <f>IFERROR(__xludf.DUMMYFUNCTION("""COMPUTED_VALUE"""),0.0)</f>
        <v>0</v>
      </c>
      <c r="L313" s="7"/>
    </row>
    <row r="314" ht="15.75" customHeight="1">
      <c r="A314" s="6" t="str">
        <f>IFERROR(__xludf.DUMMYFUNCTION("""COMPUTED_VALUE"""),"https://pwd.com.au/blog/best-digital-marketing-company-perth/")</f>
        <v>https://pwd.com.au/blog/best-digital-marketing-company-perth/</v>
      </c>
      <c r="B314" s="7" t="str">
        <f>IFERROR(__xludf.DUMMYFUNCTION("""COMPUTED_VALUE"""),"Best Digital Marketing Company in Perth 2026 \| PWD")</f>
        <v>Best Digital Marketing Company in Perth 2026 \| PWD</v>
      </c>
      <c r="C314" s="6" t="str">
        <f>IFERROR(__xludf.DUMMYFUNCTION("""COMPUTED_VALUE"""),"pwd.com.au")</f>
        <v>pwd.com.au</v>
      </c>
      <c r="D314" s="7" t="str">
        <f>IFERROR(__xludf.DUMMYFUNCTION("""COMPUTED_VALUE"""),"OTHER")</f>
        <v>OTHER</v>
      </c>
      <c r="E314" s="7" t="str">
        <f>IFERROR(__xludf.DUMMYFUNCTION("""COMPUTED_VALUE"""),"CORPORATE")</f>
        <v>CORPORATE</v>
      </c>
      <c r="F314" s="7" t="str">
        <f>IFERROR(__xludf.DUMMYFUNCTION("""COMPUTED_VALUE"""),"Other")</f>
        <v>Other</v>
      </c>
      <c r="G314" s="7" t="b">
        <f>IFERROR(__xludf.DUMMYFUNCTION("""COMPUTED_VALUE"""),FALSE)</f>
        <v>0</v>
      </c>
      <c r="H314" s="7" t="str">
        <f>IFERROR(__xludf.DUMMYFUNCTION("""COMPUTED_VALUE"""),"HERO, Clemenger BBDO, OMD, Bonfire")</f>
        <v>HERO, Clemenger BBDO, OMD, Bonfire</v>
      </c>
      <c r="I314" s="7">
        <f>IFERROR(__xludf.DUMMYFUNCTION("""COMPUTED_VALUE"""),3.0)</f>
        <v>3</v>
      </c>
      <c r="J314" s="7">
        <f>IFERROR(__xludf.DUMMYFUNCTION("""COMPUTED_VALUE"""),0.0)</f>
        <v>0</v>
      </c>
      <c r="K314" s="7">
        <f>IFERROR(__xludf.DUMMYFUNCTION("""COMPUTED_VALUE"""),0.33)</f>
        <v>0.33</v>
      </c>
      <c r="L314" s="7"/>
    </row>
    <row r="315" ht="15.75" customHeight="1">
      <c r="A315" s="6" t="str">
        <f>IFERROR(__xludf.DUMMYFUNCTION("""COMPUTED_VALUE"""),"https://seocompare.co.uk/ai-search-agencies-australia/")</f>
        <v>https://seocompare.co.uk/ai-search-agencies-australia/</v>
      </c>
      <c r="B315" s="7" t="str">
        <f>IFERROR(__xludf.DUMMYFUNCTION("""COMPUTED_VALUE"""),"4 Best AI Search Agencies Australia - 2026 Guide | SEOCompare")</f>
        <v>4 Best AI Search Agencies Australia - 2026 Guide | SEOCompare</v>
      </c>
      <c r="C315" s="6" t="str">
        <f>IFERROR(__xludf.DUMMYFUNCTION("""COMPUTED_VALUE"""),"seocompare.co.uk")</f>
        <v>seocompare.co.uk</v>
      </c>
      <c r="D315" s="7" t="str">
        <f>IFERROR(__xludf.DUMMYFUNCTION("""COMPUTED_VALUE"""),"LISTICLE")</f>
        <v>LISTICLE</v>
      </c>
      <c r="E315" s="7" t="str">
        <f>IFERROR(__xludf.DUMMYFUNCTION("""COMPUTED_VALUE"""),"EDITORIAL")</f>
        <v>EDITORIAL</v>
      </c>
      <c r="F315" s="7" t="str">
        <f>IFERROR(__xludf.DUMMYFUNCTION("""COMPUTED_VALUE"""),"Listicle")</f>
        <v>Listicle</v>
      </c>
      <c r="G315" s="7" t="b">
        <f>IFERROR(__xludf.DUMMYFUNCTION("""COMPUTED_VALUE"""),FALSE)</f>
        <v>0</v>
      </c>
      <c r="H315" s="7" t="str">
        <f>IFERROR(__xludf.DUMMYFUNCTION("""COMPUTED_VALUE"""),"First Page")</f>
        <v>First Page</v>
      </c>
      <c r="I315" s="7">
        <f>IFERROR(__xludf.DUMMYFUNCTION("""COMPUTED_VALUE"""),3.0)</f>
        <v>3</v>
      </c>
      <c r="J315" s="7">
        <f>IFERROR(__xludf.DUMMYFUNCTION("""COMPUTED_VALUE"""),0.0)</f>
        <v>0</v>
      </c>
      <c r="K315" s="7">
        <f>IFERROR(__xludf.DUMMYFUNCTION("""COMPUTED_VALUE"""),0.0)</f>
        <v>0</v>
      </c>
      <c r="L315" s="7"/>
    </row>
    <row r="316" ht="15.75" customHeight="1">
      <c r="A316" s="6" t="str">
        <f>IFERROR(__xludf.DUMMYFUNCTION("""COMPUTED_VALUE"""),"https://www.smartosc.com/ai-consulting-services-in-australia/")</f>
        <v>https://www.smartosc.com/ai-consulting-services-in-australia/</v>
      </c>
      <c r="B316" s="7" t="str">
        <f>IFERROR(__xludf.DUMMYFUNCTION("""COMPUTED_VALUE"""),"Top-Rated AI Consulting Services Used by Australian Businesses - SmartOSC")</f>
        <v>Top-Rated AI Consulting Services Used by Australian Businesses - SmartOSC</v>
      </c>
      <c r="C316" s="6" t="str">
        <f>IFERROR(__xludf.DUMMYFUNCTION("""COMPUTED_VALUE"""),"smartosc.com")</f>
        <v>smartosc.com</v>
      </c>
      <c r="D316" s="7" t="str">
        <f>IFERROR(__xludf.DUMMYFUNCTION("""COMPUTED_VALUE"""),"LISTICLE")</f>
        <v>LISTICLE</v>
      </c>
      <c r="E316" s="7" t="str">
        <f>IFERROR(__xludf.DUMMYFUNCTION("""COMPUTED_VALUE"""),"COMPETITOR")</f>
        <v>COMPETITOR</v>
      </c>
      <c r="F316" s="7" t="str">
        <f>IFERROR(__xludf.DUMMYFUNCTION("""COMPUTED_VALUE"""),"Listicle")</f>
        <v>Listicle</v>
      </c>
      <c r="G316" s="7" t="b">
        <f>IFERROR(__xludf.DUMMYFUNCTION("""COMPUTED_VALUE"""),FALSE)</f>
        <v>0</v>
      </c>
      <c r="H316" s="7" t="str">
        <f>IFERROR(__xludf.DUMMYFUNCTION("""COMPUTED_VALUE"""),"SmartOSC, Deloitte")</f>
        <v>SmartOSC, Deloitte</v>
      </c>
      <c r="I316" s="7">
        <f>IFERROR(__xludf.DUMMYFUNCTION("""COMPUTED_VALUE"""),3.0)</f>
        <v>3</v>
      </c>
      <c r="J316" s="7">
        <f>IFERROR(__xludf.DUMMYFUNCTION("""COMPUTED_VALUE"""),0.0)</f>
        <v>0</v>
      </c>
      <c r="K316" s="7">
        <f>IFERROR(__xludf.DUMMYFUNCTION("""COMPUTED_VALUE"""),0.67)</f>
        <v>0.67</v>
      </c>
      <c r="L316" s="7"/>
    </row>
    <row r="317" ht="15.75" customHeight="1">
      <c r="A317" s="6" t="str">
        <f>IFERROR(__xludf.DUMMYFUNCTION("""COMPUTED_VALUE"""),"https://www.sortlist.com/s/data-driven-marketing/australia-au")</f>
        <v>https://www.sortlist.com/s/data-driven-marketing/australia-au</v>
      </c>
      <c r="B317" s="7" t="str">
        <f>IFERROR(__xludf.DUMMYFUNCTION("""COMPUTED_VALUE"""),"The 10 Best Data Driven Marketing Agencies in Australia - 2026 Reviews")</f>
        <v>The 10 Best Data Driven Marketing Agencies in Australia - 2026 Reviews</v>
      </c>
      <c r="C317" s="6" t="str">
        <f>IFERROR(__xludf.DUMMYFUNCTION("""COMPUTED_VALUE"""),"sortlist.com")</f>
        <v>sortlist.com</v>
      </c>
      <c r="D317" s="7" t="str">
        <f>IFERROR(__xludf.DUMMYFUNCTION("""COMPUTED_VALUE"""),"CATEGORY_PAGE")</f>
        <v>CATEGORY_PAGE</v>
      </c>
      <c r="E317" s="7" t="str">
        <f>IFERROR(__xludf.DUMMYFUNCTION("""COMPUTED_VALUE"""),"CORPORATE")</f>
        <v>CORPORATE</v>
      </c>
      <c r="F317" s="7" t="str">
        <f>IFERROR(__xludf.DUMMYFUNCTION("""COMPUTED_VALUE"""),"Category Page")</f>
        <v>Category Page</v>
      </c>
      <c r="G317" s="7" t="b">
        <f>IFERROR(__xludf.DUMMYFUNCTION("""COMPUTED_VALUE"""),FALSE)</f>
        <v>0</v>
      </c>
      <c r="H317" s="7" t="str">
        <f>IFERROR(__xludf.DUMMYFUNCTION("""COMPUTED_VALUE"""),"Measured, Earned Media, Clearwater Agency, SIXGUN, Soup Agency, HERO, Ninja Promo")</f>
        <v>Measured, Earned Media, Clearwater Agency, SIXGUN, Soup Agency, HERO, Ninja Promo</v>
      </c>
      <c r="I317" s="7">
        <f>IFERROR(__xludf.DUMMYFUNCTION("""COMPUTED_VALUE"""),3.0)</f>
        <v>3</v>
      </c>
      <c r="J317" s="7">
        <f>IFERROR(__xludf.DUMMYFUNCTION("""COMPUTED_VALUE"""),0.0)</f>
        <v>0</v>
      </c>
      <c r="K317" s="7">
        <f>IFERROR(__xludf.DUMMYFUNCTION("""COMPUTED_VALUE"""),0.0)</f>
        <v>0</v>
      </c>
      <c r="L317" s="7"/>
    </row>
    <row r="318" ht="15.75" customHeight="1">
      <c r="A318" s="6" t="str">
        <f>IFERROR(__xludf.DUMMYFUNCTION("""COMPUTED_VALUE"""),"https://www.sortlist.com/s/paid-media/new-south-wales-nsw-au")</f>
        <v>https://www.sortlist.com/s/paid-media/new-south-wales-nsw-au</v>
      </c>
      <c r="B318" s="7" t="str">
        <f>IFERROR(__xludf.DUMMYFUNCTION("""COMPUTED_VALUE"""),"The 10 Best Paid Media Agencies in New South Wales - 2026 Reviews")</f>
        <v>The 10 Best Paid Media Agencies in New South Wales - 2026 Reviews</v>
      </c>
      <c r="C318" s="6" t="str">
        <f>IFERROR(__xludf.DUMMYFUNCTION("""COMPUTED_VALUE"""),"sortlist.com")</f>
        <v>sortlist.com</v>
      </c>
      <c r="D318" s="7" t="str">
        <f>IFERROR(__xludf.DUMMYFUNCTION("""COMPUTED_VALUE"""),"CATEGORY_PAGE")</f>
        <v>CATEGORY_PAGE</v>
      </c>
      <c r="E318" s="7" t="str">
        <f>IFERROR(__xludf.DUMMYFUNCTION("""COMPUTED_VALUE"""),"CORPORATE")</f>
        <v>CORPORATE</v>
      </c>
      <c r="F318" s="7" t="str">
        <f>IFERROR(__xludf.DUMMYFUNCTION("""COMPUTED_VALUE"""),"Category Page")</f>
        <v>Category Page</v>
      </c>
      <c r="G318" s="7" t="b">
        <f>IFERROR(__xludf.DUMMYFUNCTION("""COMPUTED_VALUE"""),FALSE)</f>
        <v>0</v>
      </c>
      <c r="H318" s="7" t="str">
        <f>IFERROR(__xludf.DUMMYFUNCTION("""COMPUTED_VALUE"""),"Impressive, Supple Digital, CUT THRU, Measured, Earned Media, Clearwater Agency, SIXGUN, Ninja Promo")</f>
        <v>Impressive, Supple Digital, CUT THRU, Measured, Earned Media, Clearwater Agency, SIXGUN, Ninja Promo</v>
      </c>
      <c r="I318" s="7">
        <f>IFERROR(__xludf.DUMMYFUNCTION("""COMPUTED_VALUE"""),3.0)</f>
        <v>3</v>
      </c>
      <c r="J318" s="7">
        <f>IFERROR(__xludf.DUMMYFUNCTION("""COMPUTED_VALUE"""),0.0)</f>
        <v>0</v>
      </c>
      <c r="K318" s="7">
        <f>IFERROR(__xludf.DUMMYFUNCTION("""COMPUTED_VALUE"""),0.0)</f>
        <v>0</v>
      </c>
      <c r="L318" s="7"/>
    </row>
    <row r="319" ht="15.75" customHeight="1">
      <c r="A319" s="6" t="str">
        <f>IFERROR(__xludf.DUMMYFUNCTION("""COMPUTED_VALUE"""),"https://techbullion.com/top-australian-geo-agencies-helping-brands-appear-in-ai-generated-answers/")</f>
        <v>https://techbullion.com/top-australian-geo-agencies-helping-brands-appear-in-ai-generated-answers/</v>
      </c>
      <c r="B319" s="7" t="str">
        <f>IFERROR(__xludf.DUMMYFUNCTION("""COMPUTED_VALUE"""),"Top Australian GEO Agencies Helping Brands Appear in AI-Generated Answers - TechBullion")</f>
        <v>Top Australian GEO Agencies Helping Brands Appear in AI-Generated Answers - TechBullion</v>
      </c>
      <c r="C319" s="6" t="str">
        <f>IFERROR(__xludf.DUMMYFUNCTION("""COMPUTED_VALUE"""),"techbullion.com")</f>
        <v>techbullion.com</v>
      </c>
      <c r="D319" s="7" t="str">
        <f>IFERROR(__xludf.DUMMYFUNCTION("""COMPUTED_VALUE"""),"LISTICLE")</f>
        <v>LISTICLE</v>
      </c>
      <c r="E319" s="7" t="str">
        <f>IFERROR(__xludf.DUMMYFUNCTION("""COMPUTED_VALUE"""),"EDITORIAL")</f>
        <v>EDITORIAL</v>
      </c>
      <c r="F319" s="7" t="str">
        <f>IFERROR(__xludf.DUMMYFUNCTION("""COMPUTED_VALUE"""),"Listicle")</f>
        <v>Listicle</v>
      </c>
      <c r="G319" s="7" t="b">
        <f>IFERROR(__xludf.DUMMYFUNCTION("""COMPUTED_VALUE"""),FALSE)</f>
        <v>0</v>
      </c>
      <c r="H319" s="7" t="str">
        <f>IFERROR(__xludf.DUMMYFUNCTION("""COMPUTED_VALUE"""),"NP Digital Australia, Soup Agency, Reef Digital Agency, First Page, First Page Australia, King Kong, Megantic, StudioHawk, Clearwater Agency")</f>
        <v>NP Digital Australia, Soup Agency, Reef Digital Agency, First Page, First Page Australia, King Kong, Megantic, StudioHawk, Clearwater Agency</v>
      </c>
      <c r="I319" s="7">
        <f>IFERROR(__xludf.DUMMYFUNCTION("""COMPUTED_VALUE"""),3.0)</f>
        <v>3</v>
      </c>
      <c r="J319" s="7">
        <f>IFERROR(__xludf.DUMMYFUNCTION("""COMPUTED_VALUE"""),0.0)</f>
        <v>0</v>
      </c>
      <c r="K319" s="7">
        <f>IFERROR(__xludf.DUMMYFUNCTION("""COMPUTED_VALUE"""),0.0)</f>
        <v>0</v>
      </c>
      <c r="L319" s="7"/>
    </row>
    <row r="320" ht="15.75" customHeight="1">
      <c r="A320" s="6" t="str">
        <f>IFERROR(__xludf.DUMMYFUNCTION("""COMPUTED_VALUE"""),"https://www.thehero.co/news/australias-best-marketing-advertising-firm-2026-top-100")</f>
        <v>https://www.thehero.co/news/australias-best-marketing-advertising-firm-2026-top-100</v>
      </c>
      <c r="B320" s="7" t="str">
        <f>IFERROR(__xludf.DUMMYFUNCTION("""COMPUTED_VALUE"""),"Australia's Top Creative Agency in 2026 Global 100 Best Marketing and Advertising Awards Is HERO")</f>
        <v>Australia's Top Creative Agency in 2026 Global 100 Best Marketing and Advertising Awards Is HERO</v>
      </c>
      <c r="C320" s="6" t="str">
        <f>IFERROR(__xludf.DUMMYFUNCTION("""COMPUTED_VALUE"""),"thehero.co")</f>
        <v>thehero.co</v>
      </c>
      <c r="D320" s="7" t="str">
        <f>IFERROR(__xludf.DUMMYFUNCTION("""COMPUTED_VALUE"""),"PROFILE")</f>
        <v>PROFILE</v>
      </c>
      <c r="E320" s="7" t="str">
        <f>IFERROR(__xludf.DUMMYFUNCTION("""COMPUTED_VALUE"""),"CORPORATE")</f>
        <v>CORPORATE</v>
      </c>
      <c r="F320" s="7" t="str">
        <f>IFERROR(__xludf.DUMMYFUNCTION("""COMPUTED_VALUE"""),"Profile")</f>
        <v>Profile</v>
      </c>
      <c r="G320" s="7" t="b">
        <f>IFERROR(__xludf.DUMMYFUNCTION("""COMPUTED_VALUE"""),FALSE)</f>
        <v>0</v>
      </c>
      <c r="H320" s="7" t="str">
        <f>IFERROR(__xludf.DUMMYFUNCTION("""COMPUTED_VALUE"""),"HERO")</f>
        <v>HERO</v>
      </c>
      <c r="I320" s="7">
        <f>IFERROR(__xludf.DUMMYFUNCTION("""COMPUTED_VALUE"""),3.0)</f>
        <v>3</v>
      </c>
      <c r="J320" s="7">
        <f>IFERROR(__xludf.DUMMYFUNCTION("""COMPUTED_VALUE"""),0.0)</f>
        <v>0</v>
      </c>
      <c r="K320" s="7">
        <f>IFERROR(__xludf.DUMMYFUNCTION("""COMPUTED_VALUE"""),0.0)</f>
        <v>0</v>
      </c>
      <c r="L320" s="7"/>
    </row>
    <row r="321" ht="15.75" customHeight="1">
      <c r="A321" s="6" t="str">
        <f>IFERROR(__xludf.DUMMYFUNCTION("""COMPUTED_VALUE"""),"https://themanifest.com/au/digital-marketing/agencies")</f>
        <v>https://themanifest.com/au/digital-marketing/agencies</v>
      </c>
      <c r="B321" s="7" t="str">
        <f>IFERROR(__xludf.DUMMYFUNCTION("""COMPUTED_VALUE"""),"The Best Digital Marketing Companies in Australia - Jul 2026 | The Manifest")</f>
        <v>The Best Digital Marketing Companies in Australia - Jul 2026 | The Manifest</v>
      </c>
      <c r="C321" s="6" t="str">
        <f>IFERROR(__xludf.DUMMYFUNCTION("""COMPUTED_VALUE"""),"themanifest.com")</f>
        <v>themanifest.com</v>
      </c>
      <c r="D321" s="7" t="str">
        <f>IFERROR(__xludf.DUMMYFUNCTION("""COMPUTED_VALUE"""),"CATEGORY_PAGE")</f>
        <v>CATEGORY_PAGE</v>
      </c>
      <c r="E321" s="7" t="str">
        <f>IFERROR(__xludf.DUMMYFUNCTION("""COMPUTED_VALUE"""),"REFERENCE")</f>
        <v>REFERENCE</v>
      </c>
      <c r="F321" s="7" t="str">
        <f>IFERROR(__xludf.DUMMYFUNCTION("""COMPUTED_VALUE"""),"Category Page")</f>
        <v>Category Page</v>
      </c>
      <c r="G321" s="7" t="b">
        <f>IFERROR(__xludf.DUMMYFUNCTION("""COMPUTED_VALUE"""),FALSE)</f>
        <v>0</v>
      </c>
      <c r="H321" s="7" t="str">
        <f>IFERROR(__xludf.DUMMYFUNCTION("""COMPUTED_VALUE"""),"Digital Nomads HQ, SIXGUN, Megaphone, Paradox Marketing, Marketix Digital, eMarket Experts, Intesols, Soup Agency, Earned Media, Online Marketing Gurus, Rocket Agency, Human Digital, Emote Digital, Farsiight, 80/20 Digital, MyWork, Clearwater Agency, Supp"&amp;"le Digital, StudioHawk, EvenDigit, Alley Group")</f>
        <v>Digital Nomads HQ, SIXGUN, Megaphone, Paradox Marketing, Marketix Digital, eMarket Experts, Intesols, Soup Agency, Earned Media, Online Marketing Gurus, Rocket Agency, Human Digital, Emote Digital, Farsiight, 80/20 Digital, MyWork, Clearwater Agency, Supple Digital, StudioHawk, EvenDigit, Alley Group</v>
      </c>
      <c r="I321" s="7">
        <f>IFERROR(__xludf.DUMMYFUNCTION("""COMPUTED_VALUE"""),3.0)</f>
        <v>3</v>
      </c>
      <c r="J321" s="7">
        <f>IFERROR(__xludf.DUMMYFUNCTION("""COMPUTED_VALUE"""),0.0)</f>
        <v>0</v>
      </c>
      <c r="K321" s="7">
        <f>IFERROR(__xludf.DUMMYFUNCTION("""COMPUTED_VALUE"""),0.0)</f>
        <v>0</v>
      </c>
      <c r="L321" s="7"/>
    </row>
    <row r="322" ht="15.75" customHeight="1">
      <c r="A322" s="6" t="str">
        <f>IFERROR(__xludf.DUMMYFUNCTION("""COMPUTED_VALUE"""),"https://themanifest.com/au/digital-marketing/agencies?page=1")</f>
        <v>https://themanifest.com/au/digital-marketing/agencies?page=1</v>
      </c>
      <c r="B322" s="7" t="str">
        <f>IFERROR(__xludf.DUMMYFUNCTION("""COMPUTED_VALUE"""),"The Best Digital Marketing Companies in Australia - Jul 2026 | The Manifest")</f>
        <v>The Best Digital Marketing Companies in Australia - Jul 2026 | The Manifest</v>
      </c>
      <c r="C322" s="6" t="str">
        <f>IFERROR(__xludf.DUMMYFUNCTION("""COMPUTED_VALUE"""),"themanifest.com")</f>
        <v>themanifest.com</v>
      </c>
      <c r="D322" s="7" t="str">
        <f>IFERROR(__xludf.DUMMYFUNCTION("""COMPUTED_VALUE"""),"LISTICLE")</f>
        <v>LISTICLE</v>
      </c>
      <c r="E322" s="7" t="str">
        <f>IFERROR(__xludf.DUMMYFUNCTION("""COMPUTED_VALUE"""),"REFERENCE")</f>
        <v>REFERENCE</v>
      </c>
      <c r="F322" s="7" t="str">
        <f>IFERROR(__xludf.DUMMYFUNCTION("""COMPUTED_VALUE"""),"Listicle")</f>
        <v>Listicle</v>
      </c>
      <c r="G322" s="7" t="b">
        <f>IFERROR(__xludf.DUMMYFUNCTION("""COMPUTED_VALUE"""),FALSE)</f>
        <v>0</v>
      </c>
      <c r="H322" s="7" t="str">
        <f>IFERROR(__xludf.DUMMYFUNCTION("""COMPUTED_VALUE"""),"Salt &amp; Fuessel, Impressive, Insil, Luminary, Sparro, Reform Digital, Digital Nomads HQ, EvenDigit, Alley Group, SIXGUN, MyWork")</f>
        <v>Salt &amp; Fuessel, Impressive, Insil, Luminary, Sparro, Reform Digital, Digital Nomads HQ, EvenDigit, Alley Group, SIXGUN, MyWork</v>
      </c>
      <c r="I322" s="7">
        <f>IFERROR(__xludf.DUMMYFUNCTION("""COMPUTED_VALUE"""),3.0)</f>
        <v>3</v>
      </c>
      <c r="J322" s="7">
        <f>IFERROR(__xludf.DUMMYFUNCTION("""COMPUTED_VALUE"""),0.0)</f>
        <v>0</v>
      </c>
      <c r="K322" s="7">
        <f>IFERROR(__xludf.DUMMYFUNCTION("""COMPUTED_VALUE"""),0.0)</f>
        <v>0</v>
      </c>
      <c r="L322" s="7"/>
    </row>
    <row r="323" ht="15.75" customHeight="1">
      <c r="A323" s="6" t="str">
        <f>IFERROR(__xludf.DUMMYFUNCTION("""COMPUTED_VALUE"""),"https://upcity.com/au/creative")</f>
        <v>https://upcity.com/au/creative</v>
      </c>
      <c r="B323" s="7" t="str">
        <f>IFERROR(__xludf.DUMMYFUNCTION("""COMPUTED_VALUE"""),"Top 30 Creative Agencies in Australia - May 2025 Reviews")</f>
        <v>Top 30 Creative Agencies in Australia - May 2025 Reviews</v>
      </c>
      <c r="C323" s="6" t="str">
        <f>IFERROR(__xludf.DUMMYFUNCTION("""COMPUTED_VALUE"""),"upcity.com")</f>
        <v>upcity.com</v>
      </c>
      <c r="D323" s="7" t="str">
        <f>IFERROR(__xludf.DUMMYFUNCTION("""COMPUTED_VALUE"""),"CATEGORY_PAGE")</f>
        <v>CATEGORY_PAGE</v>
      </c>
      <c r="E323" s="7" t="str">
        <f>IFERROR(__xludf.DUMMYFUNCTION("""COMPUTED_VALUE"""),"CORPORATE")</f>
        <v>CORPORATE</v>
      </c>
      <c r="F323" s="7" t="str">
        <f>IFERROR(__xludf.DUMMYFUNCTION("""COMPUTED_VALUE"""),"Category Page")</f>
        <v>Category Page</v>
      </c>
      <c r="G323" s="7" t="b">
        <f>IFERROR(__xludf.DUMMYFUNCTION("""COMPUTED_VALUE"""),FALSE)</f>
        <v>0</v>
      </c>
      <c r="H323" s="7" t="str">
        <f>IFERROR(__xludf.DUMMYFUNCTION("""COMPUTED_VALUE"""),"Omnicom Media Group, Dentsu")</f>
        <v>Omnicom Media Group, Dentsu</v>
      </c>
      <c r="I323" s="7">
        <f>IFERROR(__xludf.DUMMYFUNCTION("""COMPUTED_VALUE"""),3.0)</f>
        <v>3</v>
      </c>
      <c r="J323" s="7">
        <f>IFERROR(__xludf.DUMMYFUNCTION("""COMPUTED_VALUE"""),0.0)</f>
        <v>0</v>
      </c>
      <c r="K323" s="7">
        <f>IFERROR(__xludf.DUMMYFUNCTION("""COMPUTED_VALUE"""),0.0)</f>
        <v>0</v>
      </c>
      <c r="L323" s="7"/>
    </row>
    <row r="324" ht="15.75" customHeight="1">
      <c r="A324" s="6" t="str">
        <f>IFERROR(__xludf.DUMMYFUNCTION("""COMPUTED_VALUE"""),"https://www.usercall.co/post/top-20-market-research-companies-in-australia-2025#:~:text=10.%20Bastion%20Insights%20%E2%80%93%20Cremorne.%20They%20combine,FMCG%2C%20this%20niche%20firm%20provides%20unmatched%20expertise.")</f>
        <v>https://www.usercall.co/post/top-20-market-research-companies-in-australia-2025#:~:text=10.%20Bastion%20Insights%20%E2%80%93%20Cremorne.%20They%20combine,FMCG%2C%20this%20niche%20firm%20provides%20unmatched%20expertise.</v>
      </c>
      <c r="B324" s="7" t="str">
        <f>IFERROR(__xludf.DUMMYFUNCTION("""COMPUTED_VALUE"""),"Top 20 Market Research Companies in Australia (Who to Hire in 2026)")</f>
        <v>Top 20 Market Research Companies in Australia (Who to Hire in 2026)</v>
      </c>
      <c r="C324" s="6" t="str">
        <f>IFERROR(__xludf.DUMMYFUNCTION("""COMPUTED_VALUE"""),"usercall.co")</f>
        <v>usercall.co</v>
      </c>
      <c r="D324" s="7" t="str">
        <f>IFERROR(__xludf.DUMMYFUNCTION("""COMPUTED_VALUE"""),"LISTICLE")</f>
        <v>LISTICLE</v>
      </c>
      <c r="E324" s="7" t="str">
        <f>IFERROR(__xludf.DUMMYFUNCTION("""COMPUTED_VALUE"""),"CORPORATE")</f>
        <v>CORPORATE</v>
      </c>
      <c r="F324" s="7" t="str">
        <f>IFERROR(__xludf.DUMMYFUNCTION("""COMPUTED_VALUE"""),"Listicle")</f>
        <v>Listicle</v>
      </c>
      <c r="G324" s="7" t="b">
        <f>IFERROR(__xludf.DUMMYFUNCTION("""COMPUTED_VALUE"""),FALSE)</f>
        <v>0</v>
      </c>
      <c r="H324" s="7" t="str">
        <f>IFERROR(__xludf.DUMMYFUNCTION("""COMPUTED_VALUE"""),"weDiscover")</f>
        <v>weDiscover</v>
      </c>
      <c r="I324" s="7">
        <f>IFERROR(__xludf.DUMMYFUNCTION("""COMPUTED_VALUE"""),3.0)</f>
        <v>3</v>
      </c>
      <c r="J324" s="7">
        <f>IFERROR(__xludf.DUMMYFUNCTION("""COMPUTED_VALUE"""),0.0)</f>
        <v>0</v>
      </c>
      <c r="K324" s="7">
        <f>IFERROR(__xludf.DUMMYFUNCTION("""COMPUTED_VALUE"""),1.33)</f>
        <v>1.33</v>
      </c>
      <c r="L324" s="7"/>
    </row>
    <row r="325" ht="15.75" customHeight="1">
      <c r="A325" s="6" t="str">
        <f>IFERROR(__xludf.DUMMYFUNCTION("""COMPUTED_VALUE"""),"https://webprofits.com.au/about.html")</f>
        <v>https://webprofits.com.au/about.html</v>
      </c>
      <c r="B325" s="7" t="str">
        <f>IFERROR(__xludf.DUMMYFUNCTION("""COMPUTED_VALUE"""),"About | The Best Performance Marketers in Australia | Webprofits")</f>
        <v>About | The Best Performance Marketers in Australia | Webprofits</v>
      </c>
      <c r="C325" s="6" t="str">
        <f>IFERROR(__xludf.DUMMYFUNCTION("""COMPUTED_VALUE"""),"webprofits.com.au")</f>
        <v>webprofits.com.au</v>
      </c>
      <c r="D325" s="7" t="str">
        <f>IFERROR(__xludf.DUMMYFUNCTION("""COMPUTED_VALUE"""),"PROFILE")</f>
        <v>PROFILE</v>
      </c>
      <c r="E325" s="7" t="str">
        <f>IFERROR(__xludf.DUMMYFUNCTION("""COMPUTED_VALUE"""),"COMPETITOR")</f>
        <v>COMPETITOR</v>
      </c>
      <c r="F325" s="7" t="str">
        <f>IFERROR(__xludf.DUMMYFUNCTION("""COMPUTED_VALUE"""),"Profile")</f>
        <v>Profile</v>
      </c>
      <c r="G325" s="7" t="b">
        <f>IFERROR(__xludf.DUMMYFUNCTION("""COMPUTED_VALUE"""),FALSE)</f>
        <v>0</v>
      </c>
      <c r="H325" s="7" t="str">
        <f>IFERROR(__xludf.DUMMYFUNCTION("""COMPUTED_VALUE"""),"Webprofits")</f>
        <v>Webprofits</v>
      </c>
      <c r="I325" s="7">
        <f>IFERROR(__xludf.DUMMYFUNCTION("""COMPUTED_VALUE"""),3.0)</f>
        <v>3</v>
      </c>
      <c r="J325" s="7">
        <f>IFERROR(__xludf.DUMMYFUNCTION("""COMPUTED_VALUE"""),0.0)</f>
        <v>0</v>
      </c>
      <c r="K325" s="7">
        <f>IFERROR(__xludf.DUMMYFUNCTION("""COMPUTED_VALUE"""),0.0)</f>
        <v>0</v>
      </c>
      <c r="L325" s="7"/>
    </row>
    <row r="326" ht="15.75" customHeight="1">
      <c r="A326" s="6" t="str">
        <f>IFERROR(__xludf.DUMMYFUNCTION("""COMPUTED_VALUE"""),"https://zipdo.co/service/attribution/")</f>
        <v>https://zipdo.co/service/attribution/</v>
      </c>
      <c r="B326" s="7" t="str">
        <f>IFERROR(__xludf.DUMMYFUNCTION("""COMPUTED_VALUE"""),"Top 10 Best Attribution Services (2026 Expert Review)")</f>
        <v>Top 10 Best Attribution Services (2026 Expert Review)</v>
      </c>
      <c r="C326" s="6" t="str">
        <f>IFERROR(__xludf.DUMMYFUNCTION("""COMPUTED_VALUE"""),"zipdo.co")</f>
        <v>zipdo.co</v>
      </c>
      <c r="D326" s="7" t="str">
        <f>IFERROR(__xludf.DUMMYFUNCTION("""COMPUTED_VALUE"""),"LISTICLE")</f>
        <v>LISTICLE</v>
      </c>
      <c r="E326" s="7" t="str">
        <f>IFERROR(__xludf.DUMMYFUNCTION("""COMPUTED_VALUE"""),"REFERENCE")</f>
        <v>REFERENCE</v>
      </c>
      <c r="F326" s="7" t="str">
        <f>IFERROR(__xludf.DUMMYFUNCTION("""COMPUTED_VALUE"""),"Listicle")</f>
        <v>Listicle</v>
      </c>
      <c r="G326" s="7" t="b">
        <f>IFERROR(__xludf.DUMMYFUNCTION("""COMPUTED_VALUE"""),FALSE)</f>
        <v>0</v>
      </c>
      <c r="H326" s="7" t="str">
        <f>IFERROR(__xludf.DUMMYFUNCTION("""COMPUTED_VALUE"""),"Deloitte, WPP, Publicis Media, Publicis Groupe")</f>
        <v>Deloitte, WPP, Publicis Media, Publicis Groupe</v>
      </c>
      <c r="I326" s="7">
        <f>IFERROR(__xludf.DUMMYFUNCTION("""COMPUTED_VALUE"""),3.0)</f>
        <v>3</v>
      </c>
      <c r="J326" s="7">
        <f>IFERROR(__xludf.DUMMYFUNCTION("""COMPUTED_VALUE"""),0.0)</f>
        <v>0</v>
      </c>
      <c r="K326" s="7">
        <f>IFERROR(__xludf.DUMMYFUNCTION("""COMPUTED_VALUE"""),0.0)</f>
        <v>0</v>
      </c>
      <c r="L326" s="7"/>
    </row>
    <row r="327" ht="15.75" customHeight="1">
      <c r="A327" s="6" t="str">
        <f>IFERROR(__xludf.DUMMYFUNCTION("""COMPUTED_VALUE"""),"https://aeroleads.com/list/top-geospatial-companies-in-australia")</f>
        <v>https://aeroleads.com/list/top-geospatial-companies-in-australia</v>
      </c>
      <c r="B327" s="7" t="str">
        <f>IFERROR(__xludf.DUMMYFUNCTION("""COMPUTED_VALUE"""),"Top 39 Geospatial Companies in Australia - Emails &amp; Contacts")</f>
        <v>Top 39 Geospatial Companies in Australia - Emails &amp; Contacts</v>
      </c>
      <c r="C327" s="6" t="str">
        <f>IFERROR(__xludf.DUMMYFUNCTION("""COMPUTED_VALUE"""),"aeroleads.com")</f>
        <v>aeroleads.com</v>
      </c>
      <c r="D327" s="7" t="str">
        <f>IFERROR(__xludf.DUMMYFUNCTION("""COMPUTED_VALUE"""),"OTHER")</f>
        <v>OTHER</v>
      </c>
      <c r="E327" s="7" t="str">
        <f>IFERROR(__xludf.DUMMYFUNCTION("""COMPUTED_VALUE"""),"CORPORATE")</f>
        <v>CORPORATE</v>
      </c>
      <c r="F327" s="7" t="str">
        <f>IFERROR(__xludf.DUMMYFUNCTION("""COMPUTED_VALUE"""),"Other")</f>
        <v>Other</v>
      </c>
      <c r="G327" s="7" t="b">
        <f>IFERROR(__xludf.DUMMYFUNCTION("""COMPUTED_VALUE"""),FALSE)</f>
        <v>0</v>
      </c>
      <c r="H327" s="7"/>
      <c r="I327" s="7">
        <f>IFERROR(__xludf.DUMMYFUNCTION("""COMPUTED_VALUE"""),2.0)</f>
        <v>2</v>
      </c>
      <c r="J327" s="7">
        <f>IFERROR(__xludf.DUMMYFUNCTION("""COMPUTED_VALUE"""),0.0)</f>
        <v>0</v>
      </c>
      <c r="K327" s="7">
        <f>IFERROR(__xludf.DUMMYFUNCTION("""COMPUTED_VALUE"""),0.5)</f>
        <v>0.5</v>
      </c>
      <c r="L327" s="7"/>
    </row>
    <row r="328" ht="15.75" customHeight="1">
      <c r="A328" s="6" t="str">
        <f>IFERROR(__xludf.DUMMYFUNCTION("""COMPUTED_VALUE"""),"https://agencies.semrush.com/list/advertising/melbourne/")</f>
        <v>https://agencies.semrush.com/list/advertising/melbourne/</v>
      </c>
      <c r="B328" s="7" t="str">
        <f>IFERROR(__xludf.DUMMYFUNCTION("""COMPUTED_VALUE"""),"Best Advertising Agencies in Melbourne 2026 | Semrush")</f>
        <v>Best Advertising Agencies in Melbourne 2026 | Semrush</v>
      </c>
      <c r="C328" s="6" t="str">
        <f>IFERROR(__xludf.DUMMYFUNCTION("""COMPUTED_VALUE"""),"semrush.com")</f>
        <v>semrush.com</v>
      </c>
      <c r="D328" s="7" t="str">
        <f>IFERROR(__xludf.DUMMYFUNCTION("""COMPUTED_VALUE"""),"CATEGORY_PAGE")</f>
        <v>CATEGORY_PAGE</v>
      </c>
      <c r="E328" s="7" t="str">
        <f>IFERROR(__xludf.DUMMYFUNCTION("""COMPUTED_VALUE"""),"CORPORATE")</f>
        <v>CORPORATE</v>
      </c>
      <c r="F328" s="7" t="str">
        <f>IFERROR(__xludf.DUMMYFUNCTION("""COMPUTED_VALUE"""),"Category Page")</f>
        <v>Category Page</v>
      </c>
      <c r="G328" s="7" t="b">
        <f>IFERROR(__xludf.DUMMYFUNCTION("""COMPUTED_VALUE"""),FALSE)</f>
        <v>0</v>
      </c>
      <c r="H328" s="7" t="str">
        <f>IFERROR(__xludf.DUMMYFUNCTION("""COMPUTED_VALUE"""),"Supple Digital, Soup Agency, First Page, Clearwater Agency, Measured, Earned Media, Impressive, Online Marketing Gurus, Omnicom Media Group, First Page Australia, 80/20 Digital, Salt &amp; Fuessel, Megaphone")</f>
        <v>Supple Digital, Soup Agency, First Page, Clearwater Agency, Measured, Earned Media, Impressive, Online Marketing Gurus, Omnicom Media Group, First Page Australia, 80/20 Digital, Salt &amp; Fuessel, Megaphone</v>
      </c>
      <c r="I328" s="7">
        <f>IFERROR(__xludf.DUMMYFUNCTION("""COMPUTED_VALUE"""),2.0)</f>
        <v>2</v>
      </c>
      <c r="J328" s="7">
        <f>IFERROR(__xludf.DUMMYFUNCTION("""COMPUTED_VALUE"""),0.0)</f>
        <v>0</v>
      </c>
      <c r="K328" s="7">
        <f>IFERROR(__xludf.DUMMYFUNCTION("""COMPUTED_VALUE"""),1.0)</f>
        <v>1</v>
      </c>
      <c r="L328" s="7"/>
    </row>
    <row r="329" ht="15.75" customHeight="1">
      <c r="A329" s="6" t="str">
        <f>IFERROR(__xludf.DUMMYFUNCTION("""COMPUTED_VALUE"""),"https://agencies.semrush.com/list/analytics-data-science/melbourne/")</f>
        <v>https://agencies.semrush.com/list/analytics-data-science/melbourne/</v>
      </c>
      <c r="B329" s="7" t="str">
        <f>IFERROR(__xludf.DUMMYFUNCTION("""COMPUTED_VALUE"""),"Best Data Analytics Services in Melbourne 2026 | Semrush")</f>
        <v>Best Data Analytics Services in Melbourne 2026 | Semrush</v>
      </c>
      <c r="C329" s="6" t="str">
        <f>IFERROR(__xludf.DUMMYFUNCTION("""COMPUTED_VALUE"""),"semrush.com")</f>
        <v>semrush.com</v>
      </c>
      <c r="D329" s="7" t="str">
        <f>IFERROR(__xludf.DUMMYFUNCTION("""COMPUTED_VALUE"""),"CATEGORY_PAGE")</f>
        <v>CATEGORY_PAGE</v>
      </c>
      <c r="E329" s="7" t="str">
        <f>IFERROR(__xludf.DUMMYFUNCTION("""COMPUTED_VALUE"""),"CORPORATE")</f>
        <v>CORPORATE</v>
      </c>
      <c r="F329" s="7" t="str">
        <f>IFERROR(__xludf.DUMMYFUNCTION("""COMPUTED_VALUE"""),"Category Page")</f>
        <v>Category Page</v>
      </c>
      <c r="G329" s="7" t="b">
        <f>IFERROR(__xludf.DUMMYFUNCTION("""COMPUTED_VALUE"""),FALSE)</f>
        <v>0</v>
      </c>
      <c r="H329" s="7"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329" s="7">
        <f>IFERROR(__xludf.DUMMYFUNCTION("""COMPUTED_VALUE"""),2.0)</f>
        <v>2</v>
      </c>
      <c r="J329" s="7">
        <f>IFERROR(__xludf.DUMMYFUNCTION("""COMPUTED_VALUE"""),0.0)</f>
        <v>0</v>
      </c>
      <c r="K329" s="7">
        <f>IFERROR(__xludf.DUMMYFUNCTION("""COMPUTED_VALUE"""),0.0)</f>
        <v>0</v>
      </c>
      <c r="L329" s="7"/>
    </row>
    <row r="330" ht="15.75" customHeight="1">
      <c r="A330" s="6" t="str">
        <f>IFERROR(__xludf.DUMMYFUNCTION("""COMPUTED_VALUE"""),"https://agencies.semrush.com/list/analytics-data-science/melbourne/enterprise-business/")</f>
        <v>https://agencies.semrush.com/list/analytics-data-science/melbourne/enterprise-business/</v>
      </c>
      <c r="B330" s="7" t="str">
        <f>IFERROR(__xludf.DUMMYFUNCTION("""COMPUTED_VALUE"""),"Best Data Analytics Services for Enterprise Business in Melbourne 2026 | Semrush")</f>
        <v>Best Data Analytics Services for Enterprise Business in Melbourne 2026 | Semrush</v>
      </c>
      <c r="C330" s="6" t="str">
        <f>IFERROR(__xludf.DUMMYFUNCTION("""COMPUTED_VALUE"""),"semrush.com")</f>
        <v>semrush.com</v>
      </c>
      <c r="D330" s="7" t="str">
        <f>IFERROR(__xludf.DUMMYFUNCTION("""COMPUTED_VALUE"""),"OTHER")</f>
        <v>OTHER</v>
      </c>
      <c r="E330" s="7" t="str">
        <f>IFERROR(__xludf.DUMMYFUNCTION("""COMPUTED_VALUE"""),"CORPORATE")</f>
        <v>CORPORATE</v>
      </c>
      <c r="F330" s="7" t="str">
        <f>IFERROR(__xludf.DUMMYFUNCTION("""COMPUTED_VALUE"""),"Other")</f>
        <v>Other</v>
      </c>
      <c r="G330" s="7" t="b">
        <f>IFERROR(__xludf.DUMMYFUNCTION("""COMPUTED_VALUE"""),FALSE)</f>
        <v>0</v>
      </c>
      <c r="H330" s="7" t="str">
        <f>IFERROR(__xludf.DUMMYFUNCTION("""COMPUTED_VALUE"""),"Soup Agency, First Page, Clearwater Agency, Measured, Earned Media, Impressive, Online Marketing Gurus, Omnicom Media Group, Bonfire, Megantic, Click Click Media, Huge")</f>
        <v>Soup Agency, First Page, Clearwater Agency, Measured, Earned Media, Impressive, Online Marketing Gurus, Omnicom Media Group, Bonfire, Megantic, Click Click Media, Huge</v>
      </c>
      <c r="I330" s="7">
        <f>IFERROR(__xludf.DUMMYFUNCTION("""COMPUTED_VALUE"""),2.0)</f>
        <v>2</v>
      </c>
      <c r="J330" s="7">
        <f>IFERROR(__xludf.DUMMYFUNCTION("""COMPUTED_VALUE"""),0.0)</f>
        <v>0</v>
      </c>
      <c r="K330" s="7">
        <f>IFERROR(__xludf.DUMMYFUNCTION("""COMPUTED_VALUE"""),0.0)</f>
        <v>0</v>
      </c>
      <c r="L330" s="7"/>
    </row>
    <row r="331" ht="15.75" customHeight="1">
      <c r="A331" s="6" t="str">
        <f>IFERROR(__xludf.DUMMYFUNCTION("""COMPUTED_VALUE"""),"https://agencies.semrush.com/list/display-advertising/melbourne/small-business/")</f>
        <v>https://agencies.semrush.com/list/display-advertising/melbourne/small-business/</v>
      </c>
      <c r="B331" s="7" t="str">
        <f>IFERROR(__xludf.DUMMYFUNCTION("""COMPUTED_VALUE"""),"Best Display Ads Agencies for Small Business in Melbourne 2026 | Semrush")</f>
        <v>Best Display Ads Agencies for Small Business in Melbourne 2026 | Semrush</v>
      </c>
      <c r="C331" s="6" t="str">
        <f>IFERROR(__xludf.DUMMYFUNCTION("""COMPUTED_VALUE"""),"semrush.com")</f>
        <v>semrush.com</v>
      </c>
      <c r="D331" s="7" t="str">
        <f>IFERROR(__xludf.DUMMYFUNCTION("""COMPUTED_VALUE"""),"CATEGORY_PAGE")</f>
        <v>CATEGORY_PAGE</v>
      </c>
      <c r="E331" s="7" t="str">
        <f>IFERROR(__xludf.DUMMYFUNCTION("""COMPUTED_VALUE"""),"CORPORATE")</f>
        <v>CORPORATE</v>
      </c>
      <c r="F331" s="7" t="str">
        <f>IFERROR(__xludf.DUMMYFUNCTION("""COMPUTED_VALUE"""),"Category Page")</f>
        <v>Category Page</v>
      </c>
      <c r="G331" s="7" t="b">
        <f>IFERROR(__xludf.DUMMYFUNCTION("""COMPUTED_VALUE"""),FALSE)</f>
        <v>0</v>
      </c>
      <c r="H331" s="7" t="str">
        <f>IFERROR(__xludf.DUMMYFUNCTION("""COMPUTED_VALUE"""),"Soup Agency, First Page, Clearwater Agency, Measured, Earned Media, Impressive, Online Marketing Gurus, Omnicom Media Group, First Page Australia, 80/20 Digital, Megaphone, Salt &amp; Fuessel")</f>
        <v>Soup Agency, First Page, Clearwater Agency, Measured, Earned Media, Impressive, Online Marketing Gurus, Omnicom Media Group, First Page Australia, 80/20 Digital, Megaphone, Salt &amp; Fuessel</v>
      </c>
      <c r="I331" s="7">
        <f>IFERROR(__xludf.DUMMYFUNCTION("""COMPUTED_VALUE"""),2.0)</f>
        <v>2</v>
      </c>
      <c r="J331" s="7">
        <f>IFERROR(__xludf.DUMMYFUNCTION("""COMPUTED_VALUE"""),0.0)</f>
        <v>0</v>
      </c>
      <c r="K331" s="7">
        <f>IFERROR(__xludf.DUMMYFUNCTION("""COMPUTED_VALUE"""),1.0)</f>
        <v>1</v>
      </c>
      <c r="L331" s="7"/>
    </row>
    <row r="332" ht="15.75" customHeight="1">
      <c r="A332" s="6" t="str">
        <f>IFERROR(__xludf.DUMMYFUNCTION("""COMPUTED_VALUE"""),"https://agencies.semrush.com/list/facebook-advertising/australia/")</f>
        <v>https://agencies.semrush.com/list/facebook-advertising/australia/</v>
      </c>
      <c r="B332" s="7" t="str">
        <f>IFERROR(__xludf.DUMMYFUNCTION("""COMPUTED_VALUE"""),"Best Facebook Advertising Agencies in Australia 2026 | Semrush")</f>
        <v>Best Facebook Advertising Agencies in Australia 2026 | Semrush</v>
      </c>
      <c r="C332" s="6" t="str">
        <f>IFERROR(__xludf.DUMMYFUNCTION("""COMPUTED_VALUE"""),"semrush.com")</f>
        <v>semrush.com</v>
      </c>
      <c r="D332" s="7" t="str">
        <f>IFERROR(__xludf.DUMMYFUNCTION("""COMPUTED_VALUE"""),"CATEGORY_PAGE")</f>
        <v>CATEGORY_PAGE</v>
      </c>
      <c r="E332" s="7" t="str">
        <f>IFERROR(__xludf.DUMMYFUNCTION("""COMPUTED_VALUE"""),"CORPORATE")</f>
        <v>CORPORATE</v>
      </c>
      <c r="F332" s="7" t="str">
        <f>IFERROR(__xludf.DUMMYFUNCTION("""COMPUTED_VALUE"""),"Category Page")</f>
        <v>Category Page</v>
      </c>
      <c r="G332" s="7" t="b">
        <f>IFERROR(__xludf.DUMMYFUNCTION("""COMPUTED_VALUE"""),FALSE)</f>
        <v>0</v>
      </c>
      <c r="H332" s="7"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332" s="7">
        <f>IFERROR(__xludf.DUMMYFUNCTION("""COMPUTED_VALUE"""),2.0)</f>
        <v>2</v>
      </c>
      <c r="J332" s="7">
        <f>IFERROR(__xludf.DUMMYFUNCTION("""COMPUTED_VALUE"""),0.0)</f>
        <v>0</v>
      </c>
      <c r="K332" s="7">
        <f>IFERROR(__xludf.DUMMYFUNCTION("""COMPUTED_VALUE"""),0.0)</f>
        <v>0</v>
      </c>
      <c r="L332" s="7"/>
    </row>
    <row r="333" ht="15.75" customHeight="1">
      <c r="A333" s="6" t="str">
        <f>IFERROR(__xludf.DUMMYFUNCTION("""COMPUTED_VALUE"""),"https://agencies.semrush.com/list/machine-learning-and-ai/sydney/")</f>
        <v>https://agencies.semrush.com/list/machine-learning-and-ai/sydney/</v>
      </c>
      <c r="B333" s="7" t="str">
        <f>IFERROR(__xludf.DUMMYFUNCTION("""COMPUTED_VALUE"""),"Best Machine Learning and AI Services in Sydney 2026 | Semrush")</f>
        <v>Best Machine Learning and AI Services in Sydney 2026 | Semrush</v>
      </c>
      <c r="C333" s="6" t="str">
        <f>IFERROR(__xludf.DUMMYFUNCTION("""COMPUTED_VALUE"""),"semrush.com")</f>
        <v>semrush.com</v>
      </c>
      <c r="D333" s="7" t="str">
        <f>IFERROR(__xludf.DUMMYFUNCTION("""COMPUTED_VALUE"""),"CATEGORY_PAGE")</f>
        <v>CATEGORY_PAGE</v>
      </c>
      <c r="E333" s="7" t="str">
        <f>IFERROR(__xludf.DUMMYFUNCTION("""COMPUTED_VALUE"""),"CORPORATE")</f>
        <v>CORPORATE</v>
      </c>
      <c r="F333" s="7" t="str">
        <f>IFERROR(__xludf.DUMMYFUNCTION("""COMPUTED_VALUE"""),"Category Page")</f>
        <v>Category Page</v>
      </c>
      <c r="G333" s="7" t="b">
        <f>IFERROR(__xludf.DUMMYFUNCTION("""COMPUTED_VALUE"""),FALSE)</f>
        <v>0</v>
      </c>
      <c r="H333" s="7" t="str">
        <f>IFERROR(__xludf.DUMMYFUNCTION("""COMPUTED_VALUE"""),"Soup Agency, Online Marketing Gurus, Omnicom Media Group, Earned Media, First Page, Clearwater Agency, Measured, Impressive, 80/20 Digital")</f>
        <v>Soup Agency, Online Marketing Gurus, Omnicom Media Group, Earned Media, First Page, Clearwater Agency, Measured, Impressive, 80/20 Digital</v>
      </c>
      <c r="I333" s="7">
        <f>IFERROR(__xludf.DUMMYFUNCTION("""COMPUTED_VALUE"""),2.0)</f>
        <v>2</v>
      </c>
      <c r="J333" s="7">
        <f>IFERROR(__xludf.DUMMYFUNCTION("""COMPUTED_VALUE"""),0.0)</f>
        <v>0</v>
      </c>
      <c r="K333" s="7">
        <f>IFERROR(__xludf.DUMMYFUNCTION("""COMPUTED_VALUE"""),2.0)</f>
        <v>2</v>
      </c>
      <c r="L333" s="7"/>
    </row>
    <row r="334" ht="15.75" customHeight="1">
      <c r="A334" s="6" t="str">
        <f>IFERROR(__xludf.DUMMYFUNCTION("""COMPUTED_VALUE"""),"https://agencies.semrush.com/list/smm/sydney/")</f>
        <v>https://agencies.semrush.com/list/smm/sydney/</v>
      </c>
      <c r="B334" s="7" t="str">
        <f>IFERROR(__xludf.DUMMYFUNCTION("""COMPUTED_VALUE"""),"Best Social Media Marketing Agencies in Sydney 2026 | Semrush")</f>
        <v>Best Social Media Marketing Agencies in Sydney 2026 | Semrush</v>
      </c>
      <c r="C334" s="6" t="str">
        <f>IFERROR(__xludf.DUMMYFUNCTION("""COMPUTED_VALUE"""),"semrush.com")</f>
        <v>semrush.com</v>
      </c>
      <c r="D334" s="7" t="str">
        <f>IFERROR(__xludf.DUMMYFUNCTION("""COMPUTED_VALUE"""),"PROFILE")</f>
        <v>PROFILE</v>
      </c>
      <c r="E334" s="7" t="str">
        <f>IFERROR(__xludf.DUMMYFUNCTION("""COMPUTED_VALUE"""),"CORPORATE")</f>
        <v>CORPORATE</v>
      </c>
      <c r="F334" s="7" t="str">
        <f>IFERROR(__xludf.DUMMYFUNCTION("""COMPUTED_VALUE"""),"Profile")</f>
        <v>Profile</v>
      </c>
      <c r="G334" s="7" t="b">
        <f>IFERROR(__xludf.DUMMYFUNCTION("""COMPUTED_VALUE"""),FALSE)</f>
        <v>0</v>
      </c>
      <c r="H334" s="7" t="str">
        <f>IFERROR(__xludf.DUMMYFUNCTION("""COMPUTED_VALUE"""),"DNM Digital, Soup Agency, Online Marketing Gurus, Omnicom Media Group, Human Digital, Digital Nomads HQ, Click Click Media, Bench Media, Earned Media, Rocket Agency, First Page, Clearwater Agency, Measured")</f>
        <v>DNM Digital, Soup Agency, Online Marketing Gurus, Omnicom Media Group, Human Digital, Digital Nomads HQ, Click Click Media, Bench Media, Earned Media, Rocket Agency, First Page, Clearwater Agency, Measured</v>
      </c>
      <c r="I334" s="7">
        <f>IFERROR(__xludf.DUMMYFUNCTION("""COMPUTED_VALUE"""),2.0)</f>
        <v>2</v>
      </c>
      <c r="J334" s="7">
        <f>IFERROR(__xludf.DUMMYFUNCTION("""COMPUTED_VALUE"""),0.0)</f>
        <v>0</v>
      </c>
      <c r="K334" s="7">
        <f>IFERROR(__xludf.DUMMYFUNCTION("""COMPUTED_VALUE"""),0.0)</f>
        <v>0</v>
      </c>
      <c r="L334" s="7"/>
    </row>
    <row r="335" ht="15.75" customHeight="1">
      <c r="A335" s="6" t="str">
        <f>IFERROR(__xludf.DUMMYFUNCTION("""COMPUTED_VALUE"""),"https://agencylist.com/services/measurement-and-coverage-reports/au/")</f>
        <v>https://agencylist.com/services/measurement-and-coverage-reports/au/</v>
      </c>
      <c r="B335" s="7" t="str">
        <f>IFERROR(__xludf.DUMMYFUNCTION("""COMPUTED_VALUE"""),"Top Measurement and Coverage Reports Agencies in Australia")</f>
        <v>Top Measurement and Coverage Reports Agencies in Australia</v>
      </c>
      <c r="C335" s="6" t="str">
        <f>IFERROR(__xludf.DUMMYFUNCTION("""COMPUTED_VALUE"""),"agencylist.com")</f>
        <v>agencylist.com</v>
      </c>
      <c r="D335" s="7" t="str">
        <f>IFERROR(__xludf.DUMMYFUNCTION("""COMPUTED_VALUE"""),"PROFILE")</f>
        <v>PROFILE</v>
      </c>
      <c r="E335" s="7" t="str">
        <f>IFERROR(__xludf.DUMMYFUNCTION("""COMPUTED_VALUE"""),"REFERENCE")</f>
        <v>REFERENCE</v>
      </c>
      <c r="F335" s="7" t="str">
        <f>IFERROR(__xludf.DUMMYFUNCTION("""COMPUTED_VALUE"""),"Profile")</f>
        <v>Profile</v>
      </c>
      <c r="G335" s="7" t="b">
        <f>IFERROR(__xludf.DUMMYFUNCTION("""COMPUTED_VALUE"""),FALSE)</f>
        <v>0</v>
      </c>
      <c r="H335" s="7"/>
      <c r="I335" s="7">
        <f>IFERROR(__xludf.DUMMYFUNCTION("""COMPUTED_VALUE"""),2.0)</f>
        <v>2</v>
      </c>
      <c r="J335" s="7">
        <f>IFERROR(__xludf.DUMMYFUNCTION("""COMPUTED_VALUE"""),0.0)</f>
        <v>0</v>
      </c>
      <c r="K335" s="7">
        <f>IFERROR(__xludf.DUMMYFUNCTION("""COMPUTED_VALUE"""),0.0)</f>
        <v>0</v>
      </c>
      <c r="L335" s="7"/>
    </row>
    <row r="336" ht="15.75" customHeight="1">
      <c r="A336" s="6" t="str">
        <f>IFERROR(__xludf.DUMMYFUNCTION("""COMPUTED_VALUE"""),"https://analyzify.com/hub/digital-marketing-agencies-in-au")</f>
        <v>https://analyzify.com/hub/digital-marketing-agencies-in-au</v>
      </c>
      <c r="B336" s="7" t="str">
        <f>IFERROR(__xludf.DUMMYFUNCTION("""COMPUTED_VALUE"""),"Top 12 Digital Marketing Agencies In Australia | Analyzify")</f>
        <v>Top 12 Digital Marketing Agencies In Australia | Analyzify</v>
      </c>
      <c r="C336" s="6" t="str">
        <f>IFERROR(__xludf.DUMMYFUNCTION("""COMPUTED_VALUE"""),"analyzify.com")</f>
        <v>analyzify.com</v>
      </c>
      <c r="D336" s="7" t="str">
        <f>IFERROR(__xludf.DUMMYFUNCTION("""COMPUTED_VALUE"""),"LISTICLE")</f>
        <v>LISTICLE</v>
      </c>
      <c r="E336" s="7" t="str">
        <f>IFERROR(__xludf.DUMMYFUNCTION("""COMPUTED_VALUE"""),"CORPORATE")</f>
        <v>CORPORATE</v>
      </c>
      <c r="F336" s="7" t="str">
        <f>IFERROR(__xludf.DUMMYFUNCTION("""COMPUTED_VALUE"""),"Listicle")</f>
        <v>Listicle</v>
      </c>
      <c r="G336" s="7" t="b">
        <f>IFERROR(__xludf.DUMMYFUNCTION("""COMPUTED_VALUE"""),FALSE)</f>
        <v>0</v>
      </c>
      <c r="H336" s="7" t="str">
        <f>IFERROR(__xludf.DUMMYFUNCTION("""COMPUTED_VALUE"""),"Digital Nomads HQ, Megaphone, Insil, AdVisible, Reef Digital Agency")</f>
        <v>Digital Nomads HQ, Megaphone, Insil, AdVisible, Reef Digital Agency</v>
      </c>
      <c r="I336" s="7">
        <f>IFERROR(__xludf.DUMMYFUNCTION("""COMPUTED_VALUE"""),2.0)</f>
        <v>2</v>
      </c>
      <c r="J336" s="7">
        <f>IFERROR(__xludf.DUMMYFUNCTION("""COMPUTED_VALUE"""),0.0)</f>
        <v>0</v>
      </c>
      <c r="K336" s="7">
        <f>IFERROR(__xludf.DUMMYFUNCTION("""COMPUTED_VALUE"""),0.5)</f>
        <v>0.5</v>
      </c>
      <c r="L336" s="7"/>
    </row>
    <row r="337" ht="15.75" customHeight="1">
      <c r="A337" s="6" t="str">
        <f>IFERROR(__xludf.DUMMYFUNCTION("""COMPUTED_VALUE"""),"https://anirup.com/top-10-google-ads-agency-australia/")</f>
        <v>https://anirup.com/top-10-google-ads-agency-australia/</v>
      </c>
      <c r="B337" s="7" t="str">
        <f>IFERROR(__xludf.DUMMYFUNCTION("""COMPUTED_VALUE"""),"Top 10 Google Ads Agency In Australia 2026 | Melbourne &amp;amp; Sydney")</f>
        <v>Top 10 Google Ads Agency In Australia 2026 | Melbourne &amp;amp; Sydney</v>
      </c>
      <c r="C337" s="6" t="str">
        <f>IFERROR(__xludf.DUMMYFUNCTION("""COMPUTED_VALUE"""),"anirup.com")</f>
        <v>anirup.com</v>
      </c>
      <c r="D337" s="7" t="str">
        <f>IFERROR(__xludf.DUMMYFUNCTION("""COMPUTED_VALUE"""),"LISTICLE")</f>
        <v>LISTICLE</v>
      </c>
      <c r="E337" s="7" t="str">
        <f>IFERROR(__xludf.DUMMYFUNCTION("""COMPUTED_VALUE"""),"CORPORATE")</f>
        <v>CORPORATE</v>
      </c>
      <c r="F337" s="7" t="str">
        <f>IFERROR(__xludf.DUMMYFUNCTION("""COMPUTED_VALUE"""),"Listicle")</f>
        <v>Listicle</v>
      </c>
      <c r="G337" s="7" t="b">
        <f>IFERROR(__xludf.DUMMYFUNCTION("""COMPUTED_VALUE"""),FALSE)</f>
        <v>0</v>
      </c>
      <c r="H337" s="7" t="str">
        <f>IFERROR(__xludf.DUMMYFUNCTION("""COMPUTED_VALUE"""),"Digital Nomads HQ, Clearwater Agency, Megaphone, Online Marketing Gurus, Omnicom Media Group, eMarket Experts, Supple Digital")</f>
        <v>Digital Nomads HQ, Clearwater Agency, Megaphone, Online Marketing Gurus, Omnicom Media Group, eMarket Experts, Supple Digital</v>
      </c>
      <c r="I337" s="7">
        <f>IFERROR(__xludf.DUMMYFUNCTION("""COMPUTED_VALUE"""),2.0)</f>
        <v>2</v>
      </c>
      <c r="J337" s="7">
        <f>IFERROR(__xludf.DUMMYFUNCTION("""COMPUTED_VALUE"""),0.0)</f>
        <v>0</v>
      </c>
      <c r="K337" s="7">
        <f>IFERROR(__xludf.DUMMYFUNCTION("""COMPUTED_VALUE"""),0.0)</f>
        <v>0</v>
      </c>
      <c r="L337" s="7"/>
    </row>
    <row r="338" ht="15.75" customHeight="1">
      <c r="A338" s="6" t="str">
        <f>IFERROR(__xludf.DUMMYFUNCTION("""COMPUTED_VALUE"""),"https://avenuegroupaus.com.au/top-seo-companies-in-australia/#:~:text=Megantic.%20One%20of%20the%20few%20e%2Dcommerce%2Doriented%20SEO,E%2Dcommerce%20SEO%20is%20a%20very%20specific%20field.")</f>
        <v>https://avenuegroupaus.com.au/top-seo-companies-in-australia/#:~:text=Megantic.%20One%20of%20the%20few%20e%2Dcommerce%2Doriented%20SEO,E%2Dcommerce%20SEO%20is%20a%20very%20specific%20field.</v>
      </c>
      <c r="B338" s="7" t="str">
        <f>IFERROR(__xludf.DUMMYFUNCTION("""COMPUTED_VALUE"""),"Top 10 SEO Companies in Australia to Consider in 2026")</f>
        <v>Top 10 SEO Companies in Australia to Consider in 2026</v>
      </c>
      <c r="C338" s="6" t="str">
        <f>IFERROR(__xludf.DUMMYFUNCTION("""COMPUTED_VALUE"""),"avenuegroupaus.com.au")</f>
        <v>avenuegroupaus.com.au</v>
      </c>
      <c r="D338" s="7" t="str">
        <f>IFERROR(__xludf.DUMMYFUNCTION("""COMPUTED_VALUE"""),"LISTICLE")</f>
        <v>LISTICLE</v>
      </c>
      <c r="E338" s="7" t="str">
        <f>IFERROR(__xludf.DUMMYFUNCTION("""COMPUTED_VALUE"""),"CORPORATE")</f>
        <v>CORPORATE</v>
      </c>
      <c r="F338" s="7" t="str">
        <f>IFERROR(__xludf.DUMMYFUNCTION("""COMPUTED_VALUE"""),"Listicle")</f>
        <v>Listicle</v>
      </c>
      <c r="G338" s="7" t="b">
        <f>IFERROR(__xludf.DUMMYFUNCTION("""COMPUTED_VALUE"""),FALSE)</f>
        <v>0</v>
      </c>
      <c r="H338" s="7" t="str">
        <f>IFERROR(__xludf.DUMMYFUNCTION("""COMPUTED_VALUE"""),"First Page, Prosperity Media, SIXGUN, Megantic")</f>
        <v>First Page, Prosperity Media, SIXGUN, Megantic</v>
      </c>
      <c r="I338" s="7">
        <f>IFERROR(__xludf.DUMMYFUNCTION("""COMPUTED_VALUE"""),2.0)</f>
        <v>2</v>
      </c>
      <c r="J338" s="7">
        <f>IFERROR(__xludf.DUMMYFUNCTION("""COMPUTED_VALUE"""),0.0)</f>
        <v>0</v>
      </c>
      <c r="K338" s="7">
        <f>IFERROR(__xludf.DUMMYFUNCTION("""COMPUTED_VALUE"""),1.5)</f>
        <v>1.5</v>
      </c>
      <c r="L338" s="7"/>
    </row>
    <row r="339" ht="15.75" customHeight="1">
      <c r="A339" s="6" t="str">
        <f>IFERROR(__xludf.DUMMYFUNCTION("""COMPUTED_VALUE"""),"https://avidtrak.com/resource/best-market-attribution-software")</f>
        <v>https://avidtrak.com/resource/best-market-attribution-software</v>
      </c>
      <c r="B339" s="7" t="str">
        <f>IFERROR(__xludf.DUMMYFUNCTION("""COMPUTED_VALUE"""),"9 Best Marketing Attribution Software for Agencies")</f>
        <v>9 Best Marketing Attribution Software for Agencies</v>
      </c>
      <c r="C339" s="6" t="str">
        <f>IFERROR(__xludf.DUMMYFUNCTION("""COMPUTED_VALUE"""),"avidtrak.com")</f>
        <v>avidtrak.com</v>
      </c>
      <c r="D339" s="7" t="str">
        <f>IFERROR(__xludf.DUMMYFUNCTION("""COMPUTED_VALUE"""),"LISTICLE")</f>
        <v>LISTICLE</v>
      </c>
      <c r="E339" s="7" t="str">
        <f>IFERROR(__xludf.DUMMYFUNCTION("""COMPUTED_VALUE"""),"CORPORATE")</f>
        <v>CORPORATE</v>
      </c>
      <c r="F339" s="7" t="str">
        <f>IFERROR(__xludf.DUMMYFUNCTION("""COMPUTED_VALUE"""),"Listicle")</f>
        <v>Listicle</v>
      </c>
      <c r="G339" s="7" t="b">
        <f>IFERROR(__xludf.DUMMYFUNCTION("""COMPUTED_VALUE"""),FALSE)</f>
        <v>0</v>
      </c>
      <c r="H339" s="7"/>
      <c r="I339" s="7">
        <f>IFERROR(__xludf.DUMMYFUNCTION("""COMPUTED_VALUE"""),2.0)</f>
        <v>2</v>
      </c>
      <c r="J339" s="7">
        <f>IFERROR(__xludf.DUMMYFUNCTION("""COMPUTED_VALUE"""),0.0)</f>
        <v>0</v>
      </c>
      <c r="K339" s="7">
        <f>IFERROR(__xludf.DUMMYFUNCTION("""COMPUTED_VALUE"""),0.0)</f>
        <v>0</v>
      </c>
      <c r="L339" s="7"/>
    </row>
    <row r="340" ht="15.75" customHeight="1">
      <c r="A340" s="6" t="str">
        <f>IFERROR(__xludf.DUMMYFUNCTION("""COMPUTED_VALUE"""),"https://bestforexapp.com/best-ai-marketing-agency-australia-2026-2/")</f>
        <v>https://bestforexapp.com/best-ai-marketing-agency-australia-2026-2/</v>
      </c>
      <c r="B340" s="7" t="str">
        <f>IFERROR(__xludf.DUMMYFUNCTION("""COMPUTED_VALUE"""),"Who Runs Australia’s AI Marketing Scene in 2026? - Best Forex App")</f>
        <v>Who Runs Australia’s AI Marketing Scene in 2026? - Best Forex App</v>
      </c>
      <c r="C340" s="6" t="str">
        <f>IFERROR(__xludf.DUMMYFUNCTION("""COMPUTED_VALUE"""),"bestforexapp.com")</f>
        <v>bestforexapp.com</v>
      </c>
      <c r="D340" s="7" t="str">
        <f>IFERROR(__xludf.DUMMYFUNCTION("""COMPUTED_VALUE"""),"LISTICLE")</f>
        <v>LISTICLE</v>
      </c>
      <c r="E340" s="7" t="str">
        <f>IFERROR(__xludf.DUMMYFUNCTION("""COMPUTED_VALUE"""),"EDITORIAL")</f>
        <v>EDITORIAL</v>
      </c>
      <c r="F340" s="7" t="str">
        <f>IFERROR(__xludf.DUMMYFUNCTION("""COMPUTED_VALUE"""),"Listicle")</f>
        <v>Listicle</v>
      </c>
      <c r="G340" s="7" t="b">
        <f>IFERROR(__xludf.DUMMYFUNCTION("""COMPUTED_VALUE"""),FALSE)</f>
        <v>0</v>
      </c>
      <c r="H340" s="7"/>
      <c r="I340" s="7">
        <f>IFERROR(__xludf.DUMMYFUNCTION("""COMPUTED_VALUE"""),2.0)</f>
        <v>2</v>
      </c>
      <c r="J340" s="7">
        <f>IFERROR(__xludf.DUMMYFUNCTION("""COMPUTED_VALUE"""),0.0)</f>
        <v>0</v>
      </c>
      <c r="K340" s="7">
        <f>IFERROR(__xludf.DUMMYFUNCTION("""COMPUTED_VALUE"""),0.0)</f>
        <v>0</v>
      </c>
      <c r="L340" s="7"/>
    </row>
    <row r="341" ht="15.75" customHeight="1">
      <c r="A341" s="6" t="str">
        <f>IFERROR(__xludf.DUMMYFUNCTION("""COMPUTED_VALUE"""),"https://www.bluethings.co/blog/top-seo-agencies-australia#:~:text=Mid%2Dmarket%20and%20enterprise%20businesses%20operating%20in%20competitive,ThreatX%2C%20and%20Tiddle.%20Key%20services.%20SEO%20management.")</f>
        <v>https://www.bluethings.co/blog/top-seo-agencies-australia#:~:text=Mid%2Dmarket%20and%20enterprise%20businesses%20operating%20in%20competitive,ThreatX%2C%20and%20Tiddle.%20Key%20services.%20SEO%20management.</v>
      </c>
      <c r="B341" s="7" t="str">
        <f>IFERROR(__xludf.DUMMYFUNCTION("""COMPUTED_VALUE"""),"Top 20 SEO Agencies in Australia for 2026 and Beyond")</f>
        <v>Top 20 SEO Agencies in Australia for 2026 and Beyond</v>
      </c>
      <c r="C341" s="6" t="str">
        <f>IFERROR(__xludf.DUMMYFUNCTION("""COMPUTED_VALUE"""),"bluethings.co")</f>
        <v>bluethings.co</v>
      </c>
      <c r="D341" s="7" t="str">
        <f>IFERROR(__xludf.DUMMYFUNCTION("""COMPUTED_VALUE"""),"OTHER")</f>
        <v>OTHER</v>
      </c>
      <c r="E341" s="7" t="str">
        <f>IFERROR(__xludf.DUMMYFUNCTION("""COMPUTED_VALUE"""),"CORPORATE")</f>
        <v>CORPORATE</v>
      </c>
      <c r="F341" s="7" t="str">
        <f>IFERROR(__xludf.DUMMYFUNCTION("""COMPUTED_VALUE"""),"Other")</f>
        <v>Other</v>
      </c>
      <c r="G341" s="7" t="b">
        <f>IFERROR(__xludf.DUMMYFUNCTION("""COMPUTED_VALUE"""),FALSE)</f>
        <v>0</v>
      </c>
      <c r="H341" s="7" t="str">
        <f>IFERROR(__xludf.DUMMYFUNCTION("""COMPUTED_VALUE"""),"eMarket Experts, First Page, First Page Australia, Safari Digital, AdVisible, Impressive, KPMG, Online Marketing Gurus, Omnicom Media Group, Marketix Digital, Earned Media, Supple Digital, Gorilla 360, Clearwater Agency, SIXGUN")</f>
        <v>eMarket Experts, First Page, First Page Australia, Safari Digital, AdVisible, Impressive, KPMG, Online Marketing Gurus, Omnicom Media Group, Marketix Digital, Earned Media, Supple Digital, Gorilla 360, Clearwater Agency, SIXGUN</v>
      </c>
      <c r="I341" s="7">
        <f>IFERROR(__xludf.DUMMYFUNCTION("""COMPUTED_VALUE"""),2.0)</f>
        <v>2</v>
      </c>
      <c r="J341" s="7">
        <f>IFERROR(__xludf.DUMMYFUNCTION("""COMPUTED_VALUE"""),0.0)</f>
        <v>0</v>
      </c>
      <c r="K341" s="7">
        <f>IFERROR(__xludf.DUMMYFUNCTION("""COMPUTED_VALUE"""),2.5)</f>
        <v>2.5</v>
      </c>
      <c r="L341" s="7"/>
    </row>
    <row r="342" ht="15.75" customHeight="1">
      <c r="A342" s="6" t="str">
        <f>IFERROR(__xludf.DUMMYFUNCTION("""COMPUTED_VALUE"""),"https://bondipages.com/best-marketing-in-australia/")</f>
        <v>https://bondipages.com/best-marketing-in-australia/</v>
      </c>
      <c r="B342" s="7" t="str">
        <f>IFERROR(__xludf.DUMMYFUNCTION("""COMPUTED_VALUE"""),"Best Marketing in Australia: 7 Agencies That Actually Deliver (2026)")</f>
        <v>Best Marketing in Australia: 7 Agencies That Actually Deliver (2026)</v>
      </c>
      <c r="C342" s="6" t="str">
        <f>IFERROR(__xludf.DUMMYFUNCTION("""COMPUTED_VALUE"""),"bondipages.com")</f>
        <v>bondipages.com</v>
      </c>
      <c r="D342" s="7" t="str">
        <f>IFERROR(__xludf.DUMMYFUNCTION("""COMPUTED_VALUE"""),"LISTICLE")</f>
        <v>LISTICLE</v>
      </c>
      <c r="E342" s="7" t="str">
        <f>IFERROR(__xludf.DUMMYFUNCTION("""COMPUTED_VALUE"""),"REFERENCE")</f>
        <v>REFERENCE</v>
      </c>
      <c r="F342" s="7" t="str">
        <f>IFERROR(__xludf.DUMMYFUNCTION("""COMPUTED_VALUE"""),"Listicle")</f>
        <v>Listicle</v>
      </c>
      <c r="G342" s="7" t="b">
        <f>IFERROR(__xludf.DUMMYFUNCTION("""COMPUTED_VALUE"""),FALSE)</f>
        <v>0</v>
      </c>
      <c r="H342" s="7" t="str">
        <f>IFERROR(__xludf.DUMMYFUNCTION("""COMPUTED_VALUE"""),"Digital Nomads HQ, Sparro, Megaphone, First Page, Momentum")</f>
        <v>Digital Nomads HQ, Sparro, Megaphone, First Page, Momentum</v>
      </c>
      <c r="I342" s="7">
        <f>IFERROR(__xludf.DUMMYFUNCTION("""COMPUTED_VALUE"""),2.0)</f>
        <v>2</v>
      </c>
      <c r="J342" s="7">
        <f>IFERROR(__xludf.DUMMYFUNCTION("""COMPUTED_VALUE"""),0.0)</f>
        <v>0</v>
      </c>
      <c r="K342" s="7">
        <f>IFERROR(__xludf.DUMMYFUNCTION("""COMPUTED_VALUE"""),0.0)</f>
        <v>0</v>
      </c>
      <c r="L342" s="7"/>
    </row>
    <row r="343" ht="15.75" customHeight="1">
      <c r="A343" s="6" t="str">
        <f>IFERROR(__xludf.DUMMYFUNCTION("""COMPUTED_VALUE"""),"https://builtinsydney.au/articles/digital-marketing-companies-sydney")</f>
        <v>https://builtinsydney.au/articles/digital-marketing-companies-sydney</v>
      </c>
      <c r="B343" s="7" t="str">
        <f>IFERROR(__xludf.DUMMYFUNCTION("""COMPUTED_VALUE"""),"20 Top Digital Marketing Companies in Sydney | Built In Sydney")</f>
        <v>20 Top Digital Marketing Companies in Sydney | Built In Sydney</v>
      </c>
      <c r="C343" s="6" t="str">
        <f>IFERROR(__xludf.DUMMYFUNCTION("""COMPUTED_VALUE"""),"builtinsydney.au")</f>
        <v>builtinsydney.au</v>
      </c>
      <c r="D343" s="7" t="str">
        <f>IFERROR(__xludf.DUMMYFUNCTION("""COMPUTED_VALUE"""),"LISTICLE")</f>
        <v>LISTICLE</v>
      </c>
      <c r="E343" s="7" t="str">
        <f>IFERROR(__xludf.DUMMYFUNCTION("""COMPUTED_VALUE"""),"EDITORIAL")</f>
        <v>EDITORIAL</v>
      </c>
      <c r="F343" s="7" t="str">
        <f>IFERROR(__xludf.DUMMYFUNCTION("""COMPUTED_VALUE"""),"Listicle")</f>
        <v>Listicle</v>
      </c>
      <c r="G343" s="7" t="b">
        <f>IFERROR(__xludf.DUMMYFUNCTION("""COMPUTED_VALUE"""),FALSE)</f>
        <v>0</v>
      </c>
      <c r="H343" s="7" t="str">
        <f>IFERROR(__xludf.DUMMYFUNCTION("""COMPUTED_VALUE"""),"AdVisible, Soup Agency, Human Digital, Webprofits")</f>
        <v>AdVisible, Soup Agency, Human Digital, Webprofits</v>
      </c>
      <c r="I343" s="7">
        <f>IFERROR(__xludf.DUMMYFUNCTION("""COMPUTED_VALUE"""),2.0)</f>
        <v>2</v>
      </c>
      <c r="J343" s="7">
        <f>IFERROR(__xludf.DUMMYFUNCTION("""COMPUTED_VALUE"""),0.0)</f>
        <v>0</v>
      </c>
      <c r="K343" s="7">
        <f>IFERROR(__xludf.DUMMYFUNCTION("""COMPUTED_VALUE"""),0.0)</f>
        <v>0</v>
      </c>
      <c r="L343" s="7"/>
    </row>
    <row r="344" ht="15.75" customHeight="1">
      <c r="A344" s="6" t="str">
        <f>IFERROR(__xludf.DUMMYFUNCTION("""COMPUTED_VALUE"""),"https://clutch.co/au/agencies/creative/melbourne")</f>
        <v>https://clutch.co/au/agencies/creative/melbourne</v>
      </c>
      <c r="B344" s="7" t="str">
        <f>IFERROR(__xludf.DUMMYFUNCTION("""COMPUTED_VALUE"""),"Top Creative Agencies in Melbourne - Jul 2026 Rankings | Clutch.co")</f>
        <v>Top Creative Agencies in Melbourne - Jul 2026 Rankings | Clutch.co</v>
      </c>
      <c r="C344" s="6" t="str">
        <f>IFERROR(__xludf.DUMMYFUNCTION("""COMPUTED_VALUE"""),"clutch.co")</f>
        <v>clutch.co</v>
      </c>
      <c r="D344" s="7" t="str">
        <f>IFERROR(__xludf.DUMMYFUNCTION("""COMPUTED_VALUE"""),"CATEGORY_PAGE")</f>
        <v>CATEGORY_PAGE</v>
      </c>
      <c r="E344" s="7" t="str">
        <f>IFERROR(__xludf.DUMMYFUNCTION("""COMPUTED_VALUE"""),"CORPORATE")</f>
        <v>CORPORATE</v>
      </c>
      <c r="F344" s="7" t="str">
        <f>IFERROR(__xludf.DUMMYFUNCTION("""COMPUTED_VALUE"""),"Category Page")</f>
        <v>Category Page</v>
      </c>
      <c r="G344" s="7" t="b">
        <f>IFERROR(__xludf.DUMMYFUNCTION("""COMPUTED_VALUE"""),FALSE)</f>
        <v>0</v>
      </c>
      <c r="H344" s="7" t="str">
        <f>IFERROR(__xludf.DUMMYFUNCTION("""COMPUTED_VALUE"""),"Impressive")</f>
        <v>Impressive</v>
      </c>
      <c r="I344" s="7">
        <f>IFERROR(__xludf.DUMMYFUNCTION("""COMPUTED_VALUE"""),2.0)</f>
        <v>2</v>
      </c>
      <c r="J344" s="7">
        <f>IFERROR(__xludf.DUMMYFUNCTION("""COMPUTED_VALUE"""),0.0)</f>
        <v>0</v>
      </c>
      <c r="K344" s="7">
        <f>IFERROR(__xludf.DUMMYFUNCTION("""COMPUTED_VALUE"""),0.0)</f>
        <v>0</v>
      </c>
      <c r="L344" s="7"/>
    </row>
    <row r="345" ht="15.75" customHeight="1">
      <c r="A345" s="6" t="str">
        <f>IFERROR(__xludf.DUMMYFUNCTION("""COMPUTED_VALUE"""),"https://clutch.co/au/agencies/market-research")</f>
        <v>https://clutch.co/au/agencies/market-research</v>
      </c>
      <c r="B345" s="7" t="str">
        <f>IFERROR(__xludf.DUMMYFUNCTION("""COMPUTED_VALUE"""),"Top Market Research Companies in Australia - Jul 2026 Rankings | Clutch.co")</f>
        <v>Top Market Research Companies in Australia - Jul 2026 Rankings | Clutch.co</v>
      </c>
      <c r="C345" s="6" t="str">
        <f>IFERROR(__xludf.DUMMYFUNCTION("""COMPUTED_VALUE"""),"clutch.co")</f>
        <v>clutch.co</v>
      </c>
      <c r="D345" s="7" t="str">
        <f>IFERROR(__xludf.DUMMYFUNCTION("""COMPUTED_VALUE"""),"CATEGORY_PAGE")</f>
        <v>CATEGORY_PAGE</v>
      </c>
      <c r="E345" s="7" t="str">
        <f>IFERROR(__xludf.DUMMYFUNCTION("""COMPUTED_VALUE"""),"CORPORATE")</f>
        <v>CORPORATE</v>
      </c>
      <c r="F345" s="7" t="str">
        <f>IFERROR(__xludf.DUMMYFUNCTION("""COMPUTED_VALUE"""),"Category Page")</f>
        <v>Category Page</v>
      </c>
      <c r="G345" s="7" t="b">
        <f>IFERROR(__xludf.DUMMYFUNCTION("""COMPUTED_VALUE"""),FALSE)</f>
        <v>0</v>
      </c>
      <c r="H345" s="7" t="str">
        <f>IFERROR(__xludf.DUMMYFUNCTION("""COMPUTED_VALUE"""),"Impressive, Huge, weDiscover")</f>
        <v>Impressive, Huge, weDiscover</v>
      </c>
      <c r="I345" s="7">
        <f>IFERROR(__xludf.DUMMYFUNCTION("""COMPUTED_VALUE"""),2.0)</f>
        <v>2</v>
      </c>
      <c r="J345" s="7">
        <f>IFERROR(__xludf.DUMMYFUNCTION("""COMPUTED_VALUE"""),0.0)</f>
        <v>0</v>
      </c>
      <c r="K345" s="7">
        <f>IFERROR(__xludf.DUMMYFUNCTION("""COMPUTED_VALUE"""),0.0)</f>
        <v>0</v>
      </c>
      <c r="L345" s="7"/>
    </row>
    <row r="346" ht="15.75" customHeight="1">
      <c r="A346" s="6" t="str">
        <f>IFERROR(__xludf.DUMMYFUNCTION("""COMPUTED_VALUE"""),"https://clutch.co/au/agencies/social-media-marketing/facebook?page=9")</f>
        <v>https://clutch.co/au/agencies/social-media-marketing/facebook?page=9</v>
      </c>
      <c r="B346" s="7" t="str">
        <f>IFERROR(__xludf.DUMMYFUNCTION("""COMPUTED_VALUE"""),"Page 9 - Top Facebook Advertising Agencies in Australia - Jul 2026 Rankings | Clutch.co")</f>
        <v>Page 9 - Top Facebook Advertising Agencies in Australia - Jul 2026 Rankings | Clutch.co</v>
      </c>
      <c r="C346" s="6" t="str">
        <f>IFERROR(__xludf.DUMMYFUNCTION("""COMPUTED_VALUE"""),"clutch.co")</f>
        <v>clutch.co</v>
      </c>
      <c r="D346" s="7" t="str">
        <f>IFERROR(__xludf.DUMMYFUNCTION("""COMPUTED_VALUE"""),"CATEGORY_PAGE")</f>
        <v>CATEGORY_PAGE</v>
      </c>
      <c r="E346" s="7" t="str">
        <f>IFERROR(__xludf.DUMMYFUNCTION("""COMPUTED_VALUE"""),"CORPORATE")</f>
        <v>CORPORATE</v>
      </c>
      <c r="F346" s="7" t="str">
        <f>IFERROR(__xludf.DUMMYFUNCTION("""COMPUTED_VALUE"""),"Category Page")</f>
        <v>Category Page</v>
      </c>
      <c r="G346" s="7" t="b">
        <f>IFERROR(__xludf.DUMMYFUNCTION("""COMPUTED_VALUE"""),FALSE)</f>
        <v>0</v>
      </c>
      <c r="H346" s="7" t="str">
        <f>IFERROR(__xludf.DUMMYFUNCTION("""COMPUTED_VALUE"""),"Impressive, Digital Nomads HQ, SIXGUN, Megaphone, Intesols, Farsiight, Soup Agency, Online Marketing Gurus, Paradox Marketing, Emote Digital, Rocket Agency, Human Digital, Bench Media, Insil, Clearwater Agency, Salt &amp; Fuessel")</f>
        <v>Impressive, Digital Nomads HQ, SIXGUN, Megaphone, Intesols, Farsiight, Soup Agency, Online Marketing Gurus, Paradox Marketing, Emote Digital, Rocket Agency, Human Digital, Bench Media, Insil, Clearwater Agency, Salt &amp; Fuessel</v>
      </c>
      <c r="I346" s="7">
        <f>IFERROR(__xludf.DUMMYFUNCTION("""COMPUTED_VALUE"""),2.0)</f>
        <v>2</v>
      </c>
      <c r="J346" s="7">
        <f>IFERROR(__xludf.DUMMYFUNCTION("""COMPUTED_VALUE"""),0.0)</f>
        <v>0</v>
      </c>
      <c r="K346" s="7">
        <f>IFERROR(__xludf.DUMMYFUNCTION("""COMPUTED_VALUE"""),0.0)</f>
        <v>0</v>
      </c>
      <c r="L346" s="7"/>
    </row>
    <row r="347" ht="15.75" customHeight="1">
      <c r="A347" s="6" t="str">
        <f>IFERROR(__xludf.DUMMYFUNCTION("""COMPUTED_VALUE"""),"https://clutch.co/au/seo-firms")</f>
        <v>https://clutch.co/au/seo-firms</v>
      </c>
      <c r="B347" s="7" t="str">
        <f>IFERROR(__xludf.DUMMYFUNCTION("""COMPUTED_VALUE"""),"Top SEO Companies in Australia - Jul 2026 Rankings | Clutch.co")</f>
        <v>Top SEO Companies in Australia - Jul 2026 Rankings | Clutch.co</v>
      </c>
      <c r="C347" s="6" t="str">
        <f>IFERROR(__xludf.DUMMYFUNCTION("""COMPUTED_VALUE"""),"clutch.co")</f>
        <v>clutch.co</v>
      </c>
      <c r="D347" s="7" t="str">
        <f>IFERROR(__xludf.DUMMYFUNCTION("""COMPUTED_VALUE"""),"CATEGORY_PAGE")</f>
        <v>CATEGORY_PAGE</v>
      </c>
      <c r="E347" s="7" t="str">
        <f>IFERROR(__xludf.DUMMYFUNCTION("""COMPUTED_VALUE"""),"CORPORATE")</f>
        <v>CORPORATE</v>
      </c>
      <c r="F347" s="7" t="str">
        <f>IFERROR(__xludf.DUMMYFUNCTION("""COMPUTED_VALUE"""),"Category Page")</f>
        <v>Category Page</v>
      </c>
      <c r="G347" s="7" t="b">
        <f>IFERROR(__xludf.DUMMYFUNCTION("""COMPUTED_VALUE"""),FALSE)</f>
        <v>0</v>
      </c>
      <c r="H347" s="7" t="str">
        <f>IFERROR(__xludf.DUMMYFUNCTION("""COMPUTED_VALUE"""),"SIXGUN, Clearwater Agency, First Page, Salt &amp; Fuessel, Digital Nomads HQ, Supple Digital, Impressive, StudioHawk, Intesols, Soup Agency, Luminary, Emote Digital, MyWork, 80/20 Digital, Alley Group, EvenDigit, Earned Media, Rocket Agency, DNM Digital, Firs"&amp;"t Page Australia, Edge Marketing, In Marketing We Trust, eMarket Experts")</f>
        <v>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v>
      </c>
      <c r="I347" s="7">
        <f>IFERROR(__xludf.DUMMYFUNCTION("""COMPUTED_VALUE"""),2.0)</f>
        <v>2</v>
      </c>
      <c r="J347" s="7">
        <f>IFERROR(__xludf.DUMMYFUNCTION("""COMPUTED_VALUE"""),0.0)</f>
        <v>0</v>
      </c>
      <c r="K347" s="7">
        <f>IFERROR(__xludf.DUMMYFUNCTION("""COMPUTED_VALUE"""),1.0)</f>
        <v>1</v>
      </c>
      <c r="L347" s="7"/>
    </row>
    <row r="348" ht="15.75" customHeight="1">
      <c r="A348" s="6" t="str">
        <f>IFERROR(__xludf.DUMMYFUNCTION("""COMPUTED_VALUE"""),"https://conquerradigital.com.au/top-10-programmatic-ads-agencies-in-melbourne/")</f>
        <v>https://conquerradigital.com.au/top-10-programmatic-ads-agencies-in-melbourne/</v>
      </c>
      <c r="B348" s="7" t="str">
        <f>IFERROR(__xludf.DUMMYFUNCTION("""COMPUTED_VALUE"""),"Top 10 Programmatic Ads Agencies In Melbourne | Conquerra Digital")</f>
        <v>Top 10 Programmatic Ads Agencies In Melbourne | Conquerra Digital</v>
      </c>
      <c r="C348" s="6" t="str">
        <f>IFERROR(__xludf.DUMMYFUNCTION("""COMPUTED_VALUE"""),"conquerradigital.com.au")</f>
        <v>conquerradigital.com.au</v>
      </c>
      <c r="D348" s="7" t="str">
        <f>IFERROR(__xludf.DUMMYFUNCTION("""COMPUTED_VALUE"""),"LISTICLE")</f>
        <v>LISTICLE</v>
      </c>
      <c r="E348" s="7" t="str">
        <f>IFERROR(__xludf.DUMMYFUNCTION("""COMPUTED_VALUE"""),"CORPORATE")</f>
        <v>CORPORATE</v>
      </c>
      <c r="F348" s="7" t="str">
        <f>IFERROR(__xludf.DUMMYFUNCTION("""COMPUTED_VALUE"""),"Listicle")</f>
        <v>Listicle</v>
      </c>
      <c r="G348" s="7" t="b">
        <f>IFERROR(__xludf.DUMMYFUNCTION("""COMPUTED_VALUE"""),FALSE)</f>
        <v>0</v>
      </c>
      <c r="H348" s="7" t="str">
        <f>IFERROR(__xludf.DUMMYFUNCTION("""COMPUTED_VALUE"""),"Megaphone, Rocket Agency, Soup Agency, Bench Media, WebSavvy, Resolution Digital, Momentum")</f>
        <v>Megaphone, Rocket Agency, Soup Agency, Bench Media, WebSavvy, Resolution Digital, Momentum</v>
      </c>
      <c r="I348" s="7">
        <f>IFERROR(__xludf.DUMMYFUNCTION("""COMPUTED_VALUE"""),2.0)</f>
        <v>2</v>
      </c>
      <c r="J348" s="7">
        <f>IFERROR(__xludf.DUMMYFUNCTION("""COMPUTED_VALUE"""),0.0)</f>
        <v>0</v>
      </c>
      <c r="K348" s="7">
        <f>IFERROR(__xludf.DUMMYFUNCTION("""COMPUTED_VALUE"""),1.0)</f>
        <v>1</v>
      </c>
      <c r="L348" s="7"/>
    </row>
    <row r="349" ht="15.75" customHeight="1">
      <c r="A349" s="6" t="str">
        <f>IFERROR(__xludf.DUMMYFUNCTION("""COMPUTED_VALUE"""),"https://www.designrush.com/agency/ad-agencies/au/melbourne")</f>
        <v>https://www.designrush.com/agency/ad-agencies/au/melbourne</v>
      </c>
      <c r="B349" s="7" t="str">
        <f>IFERROR(__xludf.DUMMYFUNCTION("""COMPUTED_VALUE"""),"Top Advertising Agencies in Melbourne | 2026")</f>
        <v>Top Advertising Agencies in Melbourne | 2026</v>
      </c>
      <c r="C349" s="6" t="str">
        <f>IFERROR(__xludf.DUMMYFUNCTION("""COMPUTED_VALUE"""),"designrush.com")</f>
        <v>designrush.com</v>
      </c>
      <c r="D349" s="7" t="str">
        <f>IFERROR(__xludf.DUMMYFUNCTION("""COMPUTED_VALUE"""),"CATEGORY_PAGE")</f>
        <v>CATEGORY_PAGE</v>
      </c>
      <c r="E349" s="7" t="str">
        <f>IFERROR(__xludf.DUMMYFUNCTION("""COMPUTED_VALUE"""),"CORPORATE")</f>
        <v>CORPORATE</v>
      </c>
      <c r="F349" s="7" t="str">
        <f>IFERROR(__xludf.DUMMYFUNCTION("""COMPUTED_VALUE"""),"Category Page")</f>
        <v>Category Page</v>
      </c>
      <c r="G349" s="7" t="b">
        <f>IFERROR(__xludf.DUMMYFUNCTION("""COMPUTED_VALUE"""),FALSE)</f>
        <v>0</v>
      </c>
      <c r="H349" s="7" t="str">
        <f>IFERROR(__xludf.DUMMYFUNCTION("""COMPUTED_VALUE"""),"Elephant In The Boardroom, Omnicom Media Group, First Page, First Page Australia, The Monkeys")</f>
        <v>Elephant In The Boardroom, Omnicom Media Group, First Page, First Page Australia, The Monkeys</v>
      </c>
      <c r="I349" s="7">
        <f>IFERROR(__xludf.DUMMYFUNCTION("""COMPUTED_VALUE"""),2.0)</f>
        <v>2</v>
      </c>
      <c r="J349" s="7">
        <f>IFERROR(__xludf.DUMMYFUNCTION("""COMPUTED_VALUE"""),0.0)</f>
        <v>0</v>
      </c>
      <c r="K349" s="7">
        <f>IFERROR(__xludf.DUMMYFUNCTION("""COMPUTED_VALUE"""),0.0)</f>
        <v>0</v>
      </c>
      <c r="L349" s="7"/>
    </row>
    <row r="350" ht="15.75" customHeight="1">
      <c r="A350" s="6" t="str">
        <f>IFERROR(__xludf.DUMMYFUNCTION("""COMPUTED_VALUE"""),"https://www.designrush.com/agency/digital-marketing/analytics")</f>
        <v>https://www.designrush.com/agency/digital-marketing/analytics</v>
      </c>
      <c r="B350" s="7" t="str">
        <f>IFERROR(__xludf.DUMMYFUNCTION("""COMPUTED_VALUE"""),"Top Marketing Analytics Agencies in 2026")</f>
        <v>Top Marketing Analytics Agencies in 2026</v>
      </c>
      <c r="C350" s="6" t="str">
        <f>IFERROR(__xludf.DUMMYFUNCTION("""COMPUTED_VALUE"""),"designrush.com")</f>
        <v>designrush.com</v>
      </c>
      <c r="D350" s="7" t="str">
        <f>IFERROR(__xludf.DUMMYFUNCTION("""COMPUTED_VALUE"""),"CATEGORY_PAGE")</f>
        <v>CATEGORY_PAGE</v>
      </c>
      <c r="E350" s="7" t="str">
        <f>IFERROR(__xludf.DUMMYFUNCTION("""COMPUTED_VALUE"""),"CORPORATE")</f>
        <v>CORPORATE</v>
      </c>
      <c r="F350" s="7" t="str">
        <f>IFERROR(__xludf.DUMMYFUNCTION("""COMPUTED_VALUE"""),"Category Page")</f>
        <v>Category Page</v>
      </c>
      <c r="G350" s="7" t="b">
        <f>IFERROR(__xludf.DUMMYFUNCTION("""COMPUTED_VALUE"""),FALSE)</f>
        <v>0</v>
      </c>
      <c r="H350" s="7" t="str">
        <f>IFERROR(__xludf.DUMMYFUNCTION("""COMPUTED_VALUE"""),"Huge, Supple Digital, Deloitte, Intero Digital")</f>
        <v>Huge, Supple Digital, Deloitte, Intero Digital</v>
      </c>
      <c r="I350" s="7">
        <f>IFERROR(__xludf.DUMMYFUNCTION("""COMPUTED_VALUE"""),2.0)</f>
        <v>2</v>
      </c>
      <c r="J350" s="7">
        <f>IFERROR(__xludf.DUMMYFUNCTION("""COMPUTED_VALUE"""),0.0)</f>
        <v>0</v>
      </c>
      <c r="K350" s="7">
        <f>IFERROR(__xludf.DUMMYFUNCTION("""COMPUTED_VALUE"""),0.0)</f>
        <v>0</v>
      </c>
      <c r="L350" s="7"/>
    </row>
    <row r="351" ht="15.75" customHeight="1">
      <c r="A351" s="6" t="str">
        <f>IFERROR(__xludf.DUMMYFUNCTION("""COMPUTED_VALUE"""),"https://www.designrush.com/agency/paid-media-pay-per-click/au/sydney")</f>
        <v>https://www.designrush.com/agency/paid-media-pay-per-click/au/sydney</v>
      </c>
      <c r="B351" s="7" t="str">
        <f>IFERROR(__xludf.DUMMYFUNCTION("""COMPUTED_VALUE"""),"Top PPC Agencies in Sydney | 2026")</f>
        <v>Top PPC Agencies in Sydney | 2026</v>
      </c>
      <c r="C351" s="6" t="str">
        <f>IFERROR(__xludf.DUMMYFUNCTION("""COMPUTED_VALUE"""),"designrush.com")</f>
        <v>designrush.com</v>
      </c>
      <c r="D351" s="7" t="str">
        <f>IFERROR(__xludf.DUMMYFUNCTION("""COMPUTED_VALUE"""),"CATEGORY_PAGE")</f>
        <v>CATEGORY_PAGE</v>
      </c>
      <c r="E351" s="7" t="str">
        <f>IFERROR(__xludf.DUMMYFUNCTION("""COMPUTED_VALUE"""),"CORPORATE")</f>
        <v>CORPORATE</v>
      </c>
      <c r="F351" s="7" t="str">
        <f>IFERROR(__xludf.DUMMYFUNCTION("""COMPUTED_VALUE"""),"Category Page")</f>
        <v>Category Page</v>
      </c>
      <c r="G351" s="7" t="b">
        <f>IFERROR(__xludf.DUMMYFUNCTION("""COMPUTED_VALUE"""),FALSE)</f>
        <v>0</v>
      </c>
      <c r="H351" s="7" t="str">
        <f>IFERROR(__xludf.DUMMYFUNCTION("""COMPUTED_VALUE"""),"Impressive, Supple Digital, Online Marketing Gurus, Soup Agency, Clearwater Agency, Human Digital")</f>
        <v>Impressive, Supple Digital, Online Marketing Gurus, Soup Agency, Clearwater Agency, Human Digital</v>
      </c>
      <c r="I351" s="7">
        <f>IFERROR(__xludf.DUMMYFUNCTION("""COMPUTED_VALUE"""),2.0)</f>
        <v>2</v>
      </c>
      <c r="J351" s="7">
        <f>IFERROR(__xludf.DUMMYFUNCTION("""COMPUTED_VALUE"""),0.0)</f>
        <v>0</v>
      </c>
      <c r="K351" s="7">
        <f>IFERROR(__xludf.DUMMYFUNCTION("""COMPUTED_VALUE"""),0.0)</f>
        <v>0</v>
      </c>
      <c r="L351" s="7"/>
    </row>
    <row r="352" ht="15.75" customHeight="1">
      <c r="A352" s="6" t="str">
        <f>IFERROR(__xludf.DUMMYFUNCTION("""COMPUTED_VALUE"""),"https://digitalagencynetwork.com/agencies/melbourne/geo/")</f>
        <v>https://digitalagencynetwork.com/agencies/melbourne/geo/</v>
      </c>
      <c r="B352" s="7" t="str">
        <f>IFERROR(__xludf.DUMMYFUNCTION("""COMPUTED_VALUE"""),"Top GEO Agencies in Melbourne for Generative Engine Optimization (2026)")</f>
        <v>Top GEO Agencies in Melbourne for Generative Engine Optimization (2026)</v>
      </c>
      <c r="C352" s="6" t="str">
        <f>IFERROR(__xludf.DUMMYFUNCTION("""COMPUTED_VALUE"""),"digitalagencynetwork.com")</f>
        <v>digitalagencynetwork.com</v>
      </c>
      <c r="D352" s="7" t="str">
        <f>IFERROR(__xludf.DUMMYFUNCTION("""COMPUTED_VALUE"""),"PROFILE")</f>
        <v>PROFILE</v>
      </c>
      <c r="E352" s="7" t="str">
        <f>IFERROR(__xludf.DUMMYFUNCTION("""COMPUTED_VALUE"""),"REFERENCE")</f>
        <v>REFERENCE</v>
      </c>
      <c r="F352" s="7" t="str">
        <f>IFERROR(__xludf.DUMMYFUNCTION("""COMPUTED_VALUE"""),"Profile")</f>
        <v>Profile</v>
      </c>
      <c r="G352" s="7" t="b">
        <f>IFERROR(__xludf.DUMMYFUNCTION("""COMPUTED_VALUE"""),FALSE)</f>
        <v>0</v>
      </c>
      <c r="H352" s="7" t="str">
        <f>IFERROR(__xludf.DUMMYFUNCTION("""COMPUTED_VALUE"""),"Emote Digital, Luminary, Clearwater Agency, Digital Nomads HQ")</f>
        <v>Emote Digital, Luminary, Clearwater Agency, Digital Nomads HQ</v>
      </c>
      <c r="I352" s="7">
        <f>IFERROR(__xludf.DUMMYFUNCTION("""COMPUTED_VALUE"""),2.0)</f>
        <v>2</v>
      </c>
      <c r="J352" s="7">
        <f>IFERROR(__xludf.DUMMYFUNCTION("""COMPUTED_VALUE"""),0.0)</f>
        <v>0</v>
      </c>
      <c r="K352" s="7">
        <f>IFERROR(__xludf.DUMMYFUNCTION("""COMPUTED_VALUE"""),2.0)</f>
        <v>2</v>
      </c>
      <c r="L352" s="7"/>
    </row>
    <row r="353" ht="15.75" customHeight="1">
      <c r="A353" s="6" t="str">
        <f>IFERROR(__xludf.DUMMYFUNCTION("""COMPUTED_VALUE"""),"https://digitalnomadshq.com.au/blog/best-seo-agencies/")</f>
        <v>https://digitalnomadshq.com.au/blog/best-seo-agencies/</v>
      </c>
      <c r="B353" s="7" t="str">
        <f>IFERROR(__xludf.DUMMYFUNCTION("""COMPUTED_VALUE"""),"Best SEO Agencies in Australia [Updated 2026]")</f>
        <v>Best SEO Agencies in Australia [Updated 2026]</v>
      </c>
      <c r="C353" s="6" t="str">
        <f>IFERROR(__xludf.DUMMYFUNCTION("""COMPUTED_VALUE"""),"digitalnomadshq.com.au")</f>
        <v>digitalnomadshq.com.au</v>
      </c>
      <c r="D353" s="7" t="str">
        <f>IFERROR(__xludf.DUMMYFUNCTION("""COMPUTED_VALUE"""),"LISTICLE")</f>
        <v>LISTICLE</v>
      </c>
      <c r="E353" s="7" t="str">
        <f>IFERROR(__xludf.DUMMYFUNCTION("""COMPUTED_VALUE"""),"COMPETITOR")</f>
        <v>COMPETITOR</v>
      </c>
      <c r="F353" s="7" t="str">
        <f>IFERROR(__xludf.DUMMYFUNCTION("""COMPUTED_VALUE"""),"Listicle")</f>
        <v>Listicle</v>
      </c>
      <c r="G353" s="7" t="b">
        <f>IFERROR(__xludf.DUMMYFUNCTION("""COMPUTED_VALUE"""),FALSE)</f>
        <v>0</v>
      </c>
      <c r="H353" s="7" t="str">
        <f>IFERROR(__xludf.DUMMYFUNCTION("""COMPUTED_VALUE"""),"Digital Nomads HQ, StudioHawk, Online Marketing Gurus, Gorilla 360, Supple Digital, Safari Digital, Clearwater Agency, Impressive, Omnicom Media Group")</f>
        <v>Digital Nomads HQ, StudioHawk, Online Marketing Gurus, Gorilla 360, Supple Digital, Safari Digital, Clearwater Agency, Impressive, Omnicom Media Group</v>
      </c>
      <c r="I353" s="7">
        <f>IFERROR(__xludf.DUMMYFUNCTION("""COMPUTED_VALUE"""),2.0)</f>
        <v>2</v>
      </c>
      <c r="J353" s="7">
        <f>IFERROR(__xludf.DUMMYFUNCTION("""COMPUTED_VALUE"""),0.0)</f>
        <v>0</v>
      </c>
      <c r="K353" s="7">
        <f>IFERROR(__xludf.DUMMYFUNCTION("""COMPUTED_VALUE"""),0.5)</f>
        <v>0.5</v>
      </c>
      <c r="L353" s="7"/>
    </row>
    <row r="354" ht="15.75" customHeight="1">
      <c r="A354" s="6" t="str">
        <f>IFERROR(__xludf.DUMMYFUNCTION("""COMPUTED_VALUE"""),"https://digitalnomadshq.com.au/blog/search-engine-marketing-agencies/")</f>
        <v>https://digitalnomadshq.com.au/blog/search-engine-marketing-agencies/</v>
      </c>
      <c r="B354" s="7" t="str">
        <f>IFERROR(__xludf.DUMMYFUNCTION("""COMPUTED_VALUE"""),"Top 10 Search Engine Marketing Agencies in Australia 2026")</f>
        <v>Top 10 Search Engine Marketing Agencies in Australia 2026</v>
      </c>
      <c r="C354" s="6" t="str">
        <f>IFERROR(__xludf.DUMMYFUNCTION("""COMPUTED_VALUE"""),"digitalnomadshq.com.au")</f>
        <v>digitalnomadshq.com.au</v>
      </c>
      <c r="D354" s="7" t="str">
        <f>IFERROR(__xludf.DUMMYFUNCTION("""COMPUTED_VALUE"""),"LISTICLE")</f>
        <v>LISTICLE</v>
      </c>
      <c r="E354" s="7" t="str">
        <f>IFERROR(__xludf.DUMMYFUNCTION("""COMPUTED_VALUE"""),"COMPETITOR")</f>
        <v>COMPETITOR</v>
      </c>
      <c r="F354" s="7" t="str">
        <f>IFERROR(__xludf.DUMMYFUNCTION("""COMPUTED_VALUE"""),"Listicle")</f>
        <v>Listicle</v>
      </c>
      <c r="G354" s="7" t="b">
        <f>IFERROR(__xludf.DUMMYFUNCTION("""COMPUTED_VALUE"""),FALSE)</f>
        <v>0</v>
      </c>
      <c r="H354" s="7" t="str">
        <f>IFERROR(__xludf.DUMMYFUNCTION("""COMPUTED_VALUE"""),"Digital Nomads HQ, Online Marketing Gurus, Supple Digital, eMarket Experts, Rocket Agency, Omnicom Media Group")</f>
        <v>Digital Nomads HQ, Online Marketing Gurus, Supple Digital, eMarket Experts, Rocket Agency, Omnicom Media Group</v>
      </c>
      <c r="I354" s="7">
        <f>IFERROR(__xludf.DUMMYFUNCTION("""COMPUTED_VALUE"""),2.0)</f>
        <v>2</v>
      </c>
      <c r="J354" s="7">
        <f>IFERROR(__xludf.DUMMYFUNCTION("""COMPUTED_VALUE"""),0.0)</f>
        <v>0</v>
      </c>
      <c r="K354" s="7">
        <f>IFERROR(__xludf.DUMMYFUNCTION("""COMPUTED_VALUE"""),1.0)</f>
        <v>1</v>
      </c>
      <c r="L354" s="7"/>
    </row>
    <row r="355" ht="15.75" customHeight="1">
      <c r="A355" s="6" t="str">
        <f>IFERROR(__xludf.DUMMYFUNCTION("""COMPUTED_VALUE"""),"https://ecosystem.hubspot.com/marketplace/solutions/paid-advertising/australia")</f>
        <v>https://ecosystem.hubspot.com/marketplace/solutions/paid-advertising/australia</v>
      </c>
      <c r="B355" s="7" t="str">
        <f>IFERROR(__xludf.DUMMYFUNCTION("""COMPUTED_VALUE"""),"The 228 Best Paid Advertising Agencies or Service Providers in Australia \| HubSpot")</f>
        <v>The 228 Best Paid Advertising Agencies or Service Providers in Australia \| HubSpot</v>
      </c>
      <c r="C355" s="6" t="str">
        <f>IFERROR(__xludf.DUMMYFUNCTION("""COMPUTED_VALUE"""),"hubspot.com")</f>
        <v>hubspot.com</v>
      </c>
      <c r="D355" s="7" t="str">
        <f>IFERROR(__xludf.DUMMYFUNCTION("""COMPUTED_VALUE"""),"CATEGORY_PAGE")</f>
        <v>CATEGORY_PAGE</v>
      </c>
      <c r="E355" s="7" t="str">
        <f>IFERROR(__xludf.DUMMYFUNCTION("""COMPUTED_VALUE"""),"CORPORATE")</f>
        <v>CORPORATE</v>
      </c>
      <c r="F355" s="7" t="str">
        <f>IFERROR(__xludf.DUMMYFUNCTION("""COMPUTED_VALUE"""),"Category Page")</f>
        <v>Category Page</v>
      </c>
      <c r="G355" s="7" t="b">
        <f>IFERROR(__xludf.DUMMYFUNCTION("""COMPUTED_VALUE"""),FALSE)</f>
        <v>0</v>
      </c>
      <c r="H355" s="7"/>
      <c r="I355" s="7">
        <f>IFERROR(__xludf.DUMMYFUNCTION("""COMPUTED_VALUE"""),2.0)</f>
        <v>2</v>
      </c>
      <c r="J355" s="7">
        <f>IFERROR(__xludf.DUMMYFUNCTION("""COMPUTED_VALUE"""),0.0)</f>
        <v>0</v>
      </c>
      <c r="K355" s="7">
        <f>IFERROR(__xludf.DUMMYFUNCTION("""COMPUTED_VALUE"""),0.0)</f>
        <v>0</v>
      </c>
      <c r="L355" s="7"/>
    </row>
    <row r="356" ht="15.75" customHeight="1">
      <c r="A356" s="6" t="str">
        <f>IFERROR(__xludf.DUMMYFUNCTION("""COMPUTED_VALUE"""),"https://www.elsner.com.au/top-10-seo-agencies-australia-2026/")</f>
        <v>https://www.elsner.com.au/top-10-seo-agencies-australia-2026/</v>
      </c>
      <c r="B356" s="7" t="str">
        <f>IFERROR(__xludf.DUMMYFUNCTION("""COMPUTED_VALUE"""),"Top 10 SEO Agencies in Australia 2026 | Results &amp;amp; Expertise")</f>
        <v>Top 10 SEO Agencies in Australia 2026 | Results &amp;amp; Expertise</v>
      </c>
      <c r="C356" s="6" t="str">
        <f>IFERROR(__xludf.DUMMYFUNCTION("""COMPUTED_VALUE"""),"elsner.com.au")</f>
        <v>elsner.com.au</v>
      </c>
      <c r="D356" s="7" t="str">
        <f>IFERROR(__xludf.DUMMYFUNCTION("""COMPUTED_VALUE"""),"LISTICLE")</f>
        <v>LISTICLE</v>
      </c>
      <c r="E356" s="7" t="str">
        <f>IFERROR(__xludf.DUMMYFUNCTION("""COMPUTED_VALUE"""),"CORPORATE")</f>
        <v>CORPORATE</v>
      </c>
      <c r="F356" s="7" t="str">
        <f>IFERROR(__xludf.DUMMYFUNCTION("""COMPUTED_VALUE"""),"Listicle")</f>
        <v>Listicle</v>
      </c>
      <c r="G356" s="7" t="b">
        <f>IFERROR(__xludf.DUMMYFUNCTION("""COMPUTED_VALUE"""),FALSE)</f>
        <v>0</v>
      </c>
      <c r="H356" s="7" t="str">
        <f>IFERROR(__xludf.DUMMYFUNCTION("""COMPUTED_VALUE"""),"StudioHawk, Prosperity Media, Clearwater Agency, Reef Digital Agency")</f>
        <v>StudioHawk, Prosperity Media, Clearwater Agency, Reef Digital Agency</v>
      </c>
      <c r="I356" s="7">
        <f>IFERROR(__xludf.DUMMYFUNCTION("""COMPUTED_VALUE"""),2.0)</f>
        <v>2</v>
      </c>
      <c r="J356" s="7">
        <f>IFERROR(__xludf.DUMMYFUNCTION("""COMPUTED_VALUE"""),0.0)</f>
        <v>0</v>
      </c>
      <c r="K356" s="7">
        <f>IFERROR(__xludf.DUMMYFUNCTION("""COMPUTED_VALUE"""),2.0)</f>
        <v>2</v>
      </c>
      <c r="L356" s="7"/>
    </row>
    <row r="357" ht="15.75" customHeight="1">
      <c r="A357" s="6" t="str">
        <f>IFERROR(__xludf.DUMMYFUNCTION("""COMPUTED_VALUE"""),"https://ensun.io/search/display-advertising/australia")</f>
        <v>https://ensun.io/search/display-advertising/australia</v>
      </c>
      <c r="B357" s="7" t="str">
        <f>IFERROR(__xludf.DUMMYFUNCTION("""COMPUTED_VALUE"""),"Top 100 Display Advertising Companies in Australia (2026) \| ensun")</f>
        <v>Top 100 Display Advertising Companies in Australia (2026) \| ensun</v>
      </c>
      <c r="C357" s="6" t="str">
        <f>IFERROR(__xludf.DUMMYFUNCTION("""COMPUTED_VALUE"""),"ensun.io")</f>
        <v>ensun.io</v>
      </c>
      <c r="D357" s="7" t="str">
        <f>IFERROR(__xludf.DUMMYFUNCTION("""COMPUTED_VALUE"""),"OTHER")</f>
        <v>OTHER</v>
      </c>
      <c r="E357" s="7" t="str">
        <f>IFERROR(__xludf.DUMMYFUNCTION("""COMPUTED_VALUE"""),"OTHER")</f>
        <v>OTHER</v>
      </c>
      <c r="F357" s="7" t="str">
        <f>IFERROR(__xludf.DUMMYFUNCTION("""COMPUTED_VALUE"""),"Other")</f>
        <v>Other</v>
      </c>
      <c r="G357" s="7" t="b">
        <f>IFERROR(__xludf.DUMMYFUNCTION("""COMPUTED_VALUE"""),FALSE)</f>
        <v>0</v>
      </c>
      <c r="H357" s="7"/>
      <c r="I357" s="7">
        <f>IFERROR(__xludf.DUMMYFUNCTION("""COMPUTED_VALUE"""),2.0)</f>
        <v>2</v>
      </c>
      <c r="J357" s="7">
        <f>IFERROR(__xludf.DUMMYFUNCTION("""COMPUTED_VALUE"""),0.0)</f>
        <v>0</v>
      </c>
      <c r="K357" s="7">
        <f>IFERROR(__xludf.DUMMYFUNCTION("""COMPUTED_VALUE"""),0.0)</f>
        <v>0</v>
      </c>
      <c r="L357" s="7"/>
    </row>
    <row r="358" ht="15.75" customHeight="1">
      <c r="A358" s="6" t="str">
        <f>IFERROR(__xludf.DUMMYFUNCTION("""COMPUTED_VALUE"""),"https://ensun.io/search/geospatial-data/australia")</f>
        <v>https://ensun.io/search/geospatial-data/australia</v>
      </c>
      <c r="B358" s="7" t="str">
        <f>IFERROR(__xludf.DUMMYFUNCTION("""COMPUTED_VALUE"""),"Top 100 Geospatial Data Companies in Australia (2026) \| ensun")</f>
        <v>Top 100 Geospatial Data Companies in Australia (2026) \| ensun</v>
      </c>
      <c r="C358" s="6" t="str">
        <f>IFERROR(__xludf.DUMMYFUNCTION("""COMPUTED_VALUE"""),"ensun.io")</f>
        <v>ensun.io</v>
      </c>
      <c r="D358" s="7" t="str">
        <f>IFERROR(__xludf.DUMMYFUNCTION("""COMPUTED_VALUE"""),"OTHER")</f>
        <v>OTHER</v>
      </c>
      <c r="E358" s="7" t="str">
        <f>IFERROR(__xludf.DUMMYFUNCTION("""COMPUTED_VALUE"""),"OTHER")</f>
        <v>OTHER</v>
      </c>
      <c r="F358" s="7" t="str">
        <f>IFERROR(__xludf.DUMMYFUNCTION("""COMPUTED_VALUE"""),"Other")</f>
        <v>Other</v>
      </c>
      <c r="G358" s="7" t="b">
        <f>IFERROR(__xludf.DUMMYFUNCTION("""COMPUTED_VALUE"""),FALSE)</f>
        <v>0</v>
      </c>
      <c r="H358" s="7"/>
      <c r="I358" s="7">
        <f>IFERROR(__xludf.DUMMYFUNCTION("""COMPUTED_VALUE"""),2.0)</f>
        <v>2</v>
      </c>
      <c r="J358" s="7">
        <f>IFERROR(__xludf.DUMMYFUNCTION("""COMPUTED_VALUE"""),0.0)</f>
        <v>0</v>
      </c>
      <c r="K358" s="7">
        <f>IFERROR(__xludf.DUMMYFUNCTION("""COMPUTED_VALUE"""),2.0)</f>
        <v>2</v>
      </c>
      <c r="L358" s="7"/>
    </row>
    <row r="359" ht="15.75" customHeight="1">
      <c r="A359" s="6" t="str">
        <f>IFERROR(__xludf.DUMMYFUNCTION("""COMPUTED_VALUE"""),"https://firstpagesage.com/seo-blog/the-top-generative-engine-optimization-geo-agencies/")</f>
        <v>https://firstpagesage.com/seo-blog/the-top-generative-engine-optimization-geo-agencies/</v>
      </c>
      <c r="B359" s="7" t="str">
        <f>IFERROR(__xludf.DUMMYFUNCTION("""COMPUTED_VALUE"""),"The Top Generative Engine Optimization (GEO) Agencies of 2026 – First Page Sage")</f>
        <v>The Top Generative Engine Optimization (GEO) Agencies of 2026 – First Page Sage</v>
      </c>
      <c r="C359" s="6" t="str">
        <f>IFERROR(__xludf.DUMMYFUNCTION("""COMPUTED_VALUE"""),"firstpagesage.com")</f>
        <v>firstpagesage.com</v>
      </c>
      <c r="D359" s="7" t="str">
        <f>IFERROR(__xludf.DUMMYFUNCTION("""COMPUTED_VALUE"""),"LISTICLE")</f>
        <v>LISTICLE</v>
      </c>
      <c r="E359" s="7" t="str">
        <f>IFERROR(__xludf.DUMMYFUNCTION("""COMPUTED_VALUE"""),"COMPETITOR")</f>
        <v>COMPETITOR</v>
      </c>
      <c r="F359" s="7" t="str">
        <f>IFERROR(__xludf.DUMMYFUNCTION("""COMPUTED_VALUE"""),"Listicle")</f>
        <v>Listicle</v>
      </c>
      <c r="G359" s="7" t="b">
        <f>IFERROR(__xludf.DUMMYFUNCTION("""COMPUTED_VALUE"""),FALSE)</f>
        <v>0</v>
      </c>
      <c r="H359" s="7" t="str">
        <f>IFERROR(__xludf.DUMMYFUNCTION("""COMPUTED_VALUE"""),"First Page, Impressive")</f>
        <v>First Page, Impressive</v>
      </c>
      <c r="I359" s="7">
        <f>IFERROR(__xludf.DUMMYFUNCTION("""COMPUTED_VALUE"""),2.0)</f>
        <v>2</v>
      </c>
      <c r="J359" s="7">
        <f>IFERROR(__xludf.DUMMYFUNCTION("""COMPUTED_VALUE"""),0.0)</f>
        <v>0</v>
      </c>
      <c r="K359" s="7">
        <f>IFERROR(__xludf.DUMMYFUNCTION("""COMPUTED_VALUE"""),0.0)</f>
        <v>0</v>
      </c>
      <c r="L359" s="7"/>
    </row>
    <row r="360" ht="15.75" customHeight="1">
      <c r="A360" s="6" t="str">
        <f>IFERROR(__xludf.DUMMYFUNCTION("""COMPUTED_VALUE"""),"https://flypix.ai/geospatial-companies-in-australia/")</f>
        <v>https://flypix.ai/geospatial-companies-in-australia/</v>
      </c>
      <c r="B360" s="7" t="str">
        <f>IFERROR(__xludf.DUMMYFUNCTION("""COMPUTED_VALUE"""),"10 Best Geospatial Companies in Australia (2026)")</f>
        <v>10 Best Geospatial Companies in Australia (2026)</v>
      </c>
      <c r="C360" s="6" t="str">
        <f>IFERROR(__xludf.DUMMYFUNCTION("""COMPUTED_VALUE"""),"flypix.ai")</f>
        <v>flypix.ai</v>
      </c>
      <c r="D360" s="7" t="str">
        <f>IFERROR(__xludf.DUMMYFUNCTION("""COMPUTED_VALUE"""),"LISTICLE")</f>
        <v>LISTICLE</v>
      </c>
      <c r="E360" s="7" t="str">
        <f>IFERROR(__xludf.DUMMYFUNCTION("""COMPUTED_VALUE"""),"CORPORATE")</f>
        <v>CORPORATE</v>
      </c>
      <c r="F360" s="7" t="str">
        <f>IFERROR(__xludf.DUMMYFUNCTION("""COMPUTED_VALUE"""),"Listicle")</f>
        <v>Listicle</v>
      </c>
      <c r="G360" s="7" t="b">
        <f>IFERROR(__xludf.DUMMYFUNCTION("""COMPUTED_VALUE"""),FALSE)</f>
        <v>0</v>
      </c>
      <c r="H360" s="7"/>
      <c r="I360" s="7">
        <f>IFERROR(__xludf.DUMMYFUNCTION("""COMPUTED_VALUE"""),2.0)</f>
        <v>2</v>
      </c>
      <c r="J360" s="7">
        <f>IFERROR(__xludf.DUMMYFUNCTION("""COMPUTED_VALUE"""),0.0)</f>
        <v>0</v>
      </c>
      <c r="K360" s="7">
        <f>IFERROR(__xludf.DUMMYFUNCTION("""COMPUTED_VALUE"""),2.0)</f>
        <v>2</v>
      </c>
      <c r="L360" s="7"/>
    </row>
    <row r="361" ht="15.75" customHeight="1">
      <c r="A361" s="6" t="str">
        <f>IFERROR(__xludf.DUMMYFUNCTION("""COMPUTED_VALUE"""),"https://gdaybroadcast.com.au/marketing-agencies-in-melbourne/")</f>
        <v>https://gdaybroadcast.com.au/marketing-agencies-in-melbourne/</v>
      </c>
      <c r="B361" s="7" t="str">
        <f>IFERROR(__xludf.DUMMYFUNCTION("""COMPUTED_VALUE"""),"Top 10 Marketing Agencies in Melbourne - G'Day Broadcast")</f>
        <v>Top 10 Marketing Agencies in Melbourne - G'Day Broadcast</v>
      </c>
      <c r="C361" s="6" t="str">
        <f>IFERROR(__xludf.DUMMYFUNCTION("""COMPUTED_VALUE"""),"gdaybroadcast.com.au")</f>
        <v>gdaybroadcast.com.au</v>
      </c>
      <c r="D361" s="7" t="str">
        <f>IFERROR(__xludf.DUMMYFUNCTION("""COMPUTED_VALUE"""),"LISTICLE")</f>
        <v>LISTICLE</v>
      </c>
      <c r="E361" s="7" t="str">
        <f>IFERROR(__xludf.DUMMYFUNCTION("""COMPUTED_VALUE"""),"CORPORATE")</f>
        <v>CORPORATE</v>
      </c>
      <c r="F361" s="7" t="str">
        <f>IFERROR(__xludf.DUMMYFUNCTION("""COMPUTED_VALUE"""),"Listicle")</f>
        <v>Listicle</v>
      </c>
      <c r="G361" s="7" t="b">
        <f>IFERROR(__xludf.DUMMYFUNCTION("""COMPUTED_VALUE"""),FALSE)</f>
        <v>0</v>
      </c>
      <c r="H361" s="7" t="str">
        <f>IFERROR(__xludf.DUMMYFUNCTION("""COMPUTED_VALUE"""),"Clearwater Agency, Impressive, Emote Digital, Megaphone, Luminary, Online Marketing Gurus, Elephant In The Boardroom")</f>
        <v>Clearwater Agency, Impressive, Emote Digital, Megaphone, Luminary, Online Marketing Gurus, Elephant In The Boardroom</v>
      </c>
      <c r="I361" s="7">
        <f>IFERROR(__xludf.DUMMYFUNCTION("""COMPUTED_VALUE"""),2.0)</f>
        <v>2</v>
      </c>
      <c r="J361" s="7">
        <f>IFERROR(__xludf.DUMMYFUNCTION("""COMPUTED_VALUE"""),0.0)</f>
        <v>0</v>
      </c>
      <c r="K361" s="7">
        <f>IFERROR(__xludf.DUMMYFUNCTION("""COMPUTED_VALUE"""),0.5)</f>
        <v>0.5</v>
      </c>
      <c r="L361" s="7"/>
    </row>
    <row r="362" ht="15.75" customHeight="1">
      <c r="A362" s="6" t="str">
        <f>IFERROR(__xludf.DUMMYFUNCTION("""COMPUTED_VALUE"""),"https://www.goodfirms.co/directory/country/top-digital-marketing-companies/advertising-ppc/australia")</f>
        <v>https://www.goodfirms.co/directory/country/top-digital-marketing-companies/advertising-ppc/australia</v>
      </c>
      <c r="B362" s="7" t="str">
        <f>IFERROR(__xludf.DUMMYFUNCTION("""COMPUTED_VALUE"""),"Top PPC Agencies in Australia - 2026 Reviews | Goodfirms")</f>
        <v>Top PPC Agencies in Australia - 2026 Reviews | Goodfirms</v>
      </c>
      <c r="C362" s="6" t="str">
        <f>IFERROR(__xludf.DUMMYFUNCTION("""COMPUTED_VALUE"""),"goodfirms.co")</f>
        <v>goodfirms.co</v>
      </c>
      <c r="D362" s="7" t="str">
        <f>IFERROR(__xludf.DUMMYFUNCTION("""COMPUTED_VALUE"""),"CATEGORY_PAGE")</f>
        <v>CATEGORY_PAGE</v>
      </c>
      <c r="E362" s="7" t="str">
        <f>IFERROR(__xludf.DUMMYFUNCTION("""COMPUTED_VALUE"""),"UGC")</f>
        <v>UGC</v>
      </c>
      <c r="F362" s="7" t="str">
        <f>IFERROR(__xludf.DUMMYFUNCTION("""COMPUTED_VALUE"""),"Category Page")</f>
        <v>Category Page</v>
      </c>
      <c r="G362" s="7" t="b">
        <f>IFERROR(__xludf.DUMMYFUNCTION("""COMPUTED_VALUE"""),FALSE)</f>
        <v>0</v>
      </c>
      <c r="H362" s="7" t="str">
        <f>IFERROR(__xludf.DUMMYFUNCTION("""COMPUTED_VALUE"""),"Impressive, SIXGUN, eMarket Experts, Elephant In The Boardroom, Digital Nomads HQ, CUT THRU, Emote Digital")</f>
        <v>Impressive, SIXGUN, eMarket Experts, Elephant In The Boardroom, Digital Nomads HQ, CUT THRU, Emote Digital</v>
      </c>
      <c r="I362" s="7">
        <f>IFERROR(__xludf.DUMMYFUNCTION("""COMPUTED_VALUE"""),2.0)</f>
        <v>2</v>
      </c>
      <c r="J362" s="7">
        <f>IFERROR(__xludf.DUMMYFUNCTION("""COMPUTED_VALUE"""),0.0)</f>
        <v>0</v>
      </c>
      <c r="K362" s="7">
        <f>IFERROR(__xludf.DUMMYFUNCTION("""COMPUTED_VALUE"""),0.0)</f>
        <v>0</v>
      </c>
      <c r="L362" s="7"/>
    </row>
    <row r="363" ht="15.75" customHeight="1">
      <c r="A363" s="6" t="str">
        <f>IFERROR(__xludf.DUMMYFUNCTION("""COMPUTED_VALUE"""),"https://www.goodfirms.co/directory/country/top-digital-marketing-companies/au?sort_by=rating")</f>
        <v>https://www.goodfirms.co/directory/country/top-digital-marketing-companies/au?sort_by=rating</v>
      </c>
      <c r="B363" s="7" t="str">
        <f>IFERROR(__xludf.DUMMYFUNCTION("""COMPUTED_VALUE"""),"Top Digital Marketing Agencies in Australia - 2026 Reviews | Goodfirms")</f>
        <v>Top Digital Marketing Agencies in Australia - 2026 Reviews | Goodfirms</v>
      </c>
      <c r="C363" s="6" t="str">
        <f>IFERROR(__xludf.DUMMYFUNCTION("""COMPUTED_VALUE"""),"goodfirms.co")</f>
        <v>goodfirms.co</v>
      </c>
      <c r="D363" s="7" t="str">
        <f>IFERROR(__xludf.DUMMYFUNCTION("""COMPUTED_VALUE"""),"OTHER")</f>
        <v>OTHER</v>
      </c>
      <c r="E363" s="7" t="str">
        <f>IFERROR(__xludf.DUMMYFUNCTION("""COMPUTED_VALUE"""),"UGC")</f>
        <v>UGC</v>
      </c>
      <c r="F363" s="7" t="str">
        <f>IFERROR(__xludf.DUMMYFUNCTION("""COMPUTED_VALUE"""),"Other")</f>
        <v>Other</v>
      </c>
      <c r="G363" s="7" t="b">
        <f>IFERROR(__xludf.DUMMYFUNCTION("""COMPUTED_VALUE"""),FALSE)</f>
        <v>0</v>
      </c>
      <c r="H363" s="7" t="str">
        <f>IFERROR(__xludf.DUMMYFUNCTION("""COMPUTED_VALUE"""),"CUT THRU, Impressive, Elephant In The Boardroom, eMarket Experts, SIXGUN, Supple Digital, AdVisible, Intesols, Emote Digital")</f>
        <v>CUT THRU, Impressive, Elephant In The Boardroom, eMarket Experts, SIXGUN, Supple Digital, AdVisible, Intesols, Emote Digital</v>
      </c>
      <c r="I363" s="7">
        <f>IFERROR(__xludf.DUMMYFUNCTION("""COMPUTED_VALUE"""),2.0)</f>
        <v>2</v>
      </c>
      <c r="J363" s="7">
        <f>IFERROR(__xludf.DUMMYFUNCTION("""COMPUTED_VALUE"""),0.0)</f>
        <v>0</v>
      </c>
      <c r="K363" s="7">
        <f>IFERROR(__xludf.DUMMYFUNCTION("""COMPUTED_VALUE"""),0.0)</f>
        <v>0</v>
      </c>
      <c r="L363" s="7"/>
    </row>
    <row r="364" ht="15.75" customHeight="1">
      <c r="A364" s="6" t="str">
        <f>IFERROR(__xludf.DUMMYFUNCTION("""COMPUTED_VALUE"""),"https://www.growthspreeofficial.com/blogs/best-b2b-saas-agencies-cross-channel-attribution-2026")</f>
        <v>https://www.growthspreeofficial.com/blogs/best-b2b-saas-agencies-cross-channel-attribution-2026</v>
      </c>
      <c r="B364" s="7" t="str">
        <f>IFERROR(__xludf.DUMMYFUNCTION("""COMPUTED_VALUE"""),"The Best B2B SaaS Cross-Channel Attribution Agencies (2026)")</f>
        <v>The Best B2B SaaS Cross-Channel Attribution Agencies (2026)</v>
      </c>
      <c r="C364" s="6" t="str">
        <f>IFERROR(__xludf.DUMMYFUNCTION("""COMPUTED_VALUE"""),"growthspreeofficial.com")</f>
        <v>growthspreeofficial.com</v>
      </c>
      <c r="D364" s="7" t="str">
        <f>IFERROR(__xludf.DUMMYFUNCTION("""COMPUTED_VALUE"""),"LISTICLE")</f>
        <v>LISTICLE</v>
      </c>
      <c r="E364" s="7" t="str">
        <f>IFERROR(__xludf.DUMMYFUNCTION("""COMPUTED_VALUE"""),"CORPORATE")</f>
        <v>CORPORATE</v>
      </c>
      <c r="F364" s="7" t="str">
        <f>IFERROR(__xludf.DUMMYFUNCTION("""COMPUTED_VALUE"""),"Listicle")</f>
        <v>Listicle</v>
      </c>
      <c r="G364" s="7" t="b">
        <f>IFERROR(__xludf.DUMMYFUNCTION("""COMPUTED_VALUE"""),FALSE)</f>
        <v>0</v>
      </c>
      <c r="H364" s="7" t="str">
        <f>IFERROR(__xludf.DUMMYFUNCTION("""COMPUTED_VALUE"""),"First Page")</f>
        <v>First Page</v>
      </c>
      <c r="I364" s="7">
        <f>IFERROR(__xludf.DUMMYFUNCTION("""COMPUTED_VALUE"""),2.0)</f>
        <v>2</v>
      </c>
      <c r="J364" s="7">
        <f>IFERROR(__xludf.DUMMYFUNCTION("""COMPUTED_VALUE"""),0.0)</f>
        <v>0</v>
      </c>
      <c r="K364" s="7">
        <f>IFERROR(__xludf.DUMMYFUNCTION("""COMPUTED_VALUE"""),0.0)</f>
        <v>0</v>
      </c>
      <c r="L364" s="7"/>
    </row>
    <row r="365" ht="15.75" customHeight="1">
      <c r="A365" s="6" t="str">
        <f>IFERROR(__xludf.DUMMYFUNCTION("""COMPUTED_VALUE"""),"https://www.intelegain.com/top-10-ai-development-and-consulting-companies-in-australia/")</f>
        <v>https://www.intelegain.com/top-10-ai-development-and-consulting-companies-in-australia/</v>
      </c>
      <c r="B365" s="7" t="str">
        <f>IFERROR(__xludf.DUMMYFUNCTION("""COMPUTED_VALUE"""),"Top 10 AI Development and Consulting Companies in Australia")</f>
        <v>Top 10 AI Development and Consulting Companies in Australia</v>
      </c>
      <c r="C365" s="6" t="str">
        <f>IFERROR(__xludf.DUMMYFUNCTION("""COMPUTED_VALUE"""),"intelegain.com")</f>
        <v>intelegain.com</v>
      </c>
      <c r="D365" s="7" t="str">
        <f>IFERROR(__xludf.DUMMYFUNCTION("""COMPUTED_VALUE"""),"LISTICLE")</f>
        <v>LISTICLE</v>
      </c>
      <c r="E365" s="7" t="str">
        <f>IFERROR(__xludf.DUMMYFUNCTION("""COMPUTED_VALUE"""),"CORPORATE")</f>
        <v>CORPORATE</v>
      </c>
      <c r="F365" s="7" t="str">
        <f>IFERROR(__xludf.DUMMYFUNCTION("""COMPUTED_VALUE"""),"Listicle")</f>
        <v>Listicle</v>
      </c>
      <c r="G365" s="7" t="b">
        <f>IFERROR(__xludf.DUMMYFUNCTION("""COMPUTED_VALUE"""),FALSE)</f>
        <v>0</v>
      </c>
      <c r="H365" s="7" t="str">
        <f>IFERROR(__xludf.DUMMYFUNCTION("""COMPUTED_VALUE"""),"Huge, Momentum")</f>
        <v>Huge, Momentum</v>
      </c>
      <c r="I365" s="7">
        <f>IFERROR(__xludf.DUMMYFUNCTION("""COMPUTED_VALUE"""),2.0)</f>
        <v>2</v>
      </c>
      <c r="J365" s="7">
        <f>IFERROR(__xludf.DUMMYFUNCTION("""COMPUTED_VALUE"""),0.0)</f>
        <v>0</v>
      </c>
      <c r="K365" s="7">
        <f>IFERROR(__xludf.DUMMYFUNCTION("""COMPUTED_VALUE"""),0.0)</f>
        <v>0</v>
      </c>
      <c r="L365" s="7"/>
    </row>
    <row r="366" ht="15.75" customHeight="1">
      <c r="A366" s="6" t="str">
        <f>IFERROR(__xludf.DUMMYFUNCTION("""COMPUTED_VALUE"""),"https://itprofiles.com/services/ppc/sydney")</f>
        <v>https://itprofiles.com/services/ppc/sydney</v>
      </c>
      <c r="B366" s="7" t="str">
        <f>IFERROR(__xludf.DUMMYFUNCTION("""COMPUTED_VALUE"""),"The Definitive List: Best PPC Companies in Sydney in Jul 2026 | ITProfiles")</f>
        <v>The Definitive List: Best PPC Companies in Sydney in Jul 2026 | ITProfiles</v>
      </c>
      <c r="C366" s="6" t="str">
        <f>IFERROR(__xludf.DUMMYFUNCTION("""COMPUTED_VALUE"""),"itprofiles.com")</f>
        <v>itprofiles.com</v>
      </c>
      <c r="D366" s="7" t="str">
        <f>IFERROR(__xludf.DUMMYFUNCTION("""COMPUTED_VALUE"""),"OTHER")</f>
        <v>OTHER</v>
      </c>
      <c r="E366" s="7" t="str">
        <f>IFERROR(__xludf.DUMMYFUNCTION("""COMPUTED_VALUE"""),"REFERENCE")</f>
        <v>REFERENCE</v>
      </c>
      <c r="F366" s="7" t="str">
        <f>IFERROR(__xludf.DUMMYFUNCTION("""COMPUTED_VALUE"""),"Other")</f>
        <v>Other</v>
      </c>
      <c r="G366" s="7" t="b">
        <f>IFERROR(__xludf.DUMMYFUNCTION("""COMPUTED_VALUE"""),FALSE)</f>
        <v>0</v>
      </c>
      <c r="H366" s="7" t="str">
        <f>IFERROR(__xludf.DUMMYFUNCTION("""COMPUTED_VALUE"""),"AdVisible, Sparro")</f>
        <v>AdVisible, Sparro</v>
      </c>
      <c r="I366" s="7">
        <f>IFERROR(__xludf.DUMMYFUNCTION("""COMPUTED_VALUE"""),2.0)</f>
        <v>2</v>
      </c>
      <c r="J366" s="7">
        <f>IFERROR(__xludf.DUMMYFUNCTION("""COMPUTED_VALUE"""),0.0)</f>
        <v>0</v>
      </c>
      <c r="K366" s="7">
        <f>IFERROR(__xludf.DUMMYFUNCTION("""COMPUTED_VALUE"""),0.5)</f>
        <v>0.5</v>
      </c>
      <c r="L366" s="7"/>
    </row>
    <row r="367" ht="15.75" customHeight="1">
      <c r="A367" s="6" t="str">
        <f>IFERROR(__xludf.DUMMYFUNCTION("""COMPUTED_VALUE"""),"https://leadsnow.ai/best-pay-per-result-marketing-agencies-australia-2026/")</f>
        <v>https://leadsnow.ai/best-pay-per-result-marketing-agencies-australia-2026/</v>
      </c>
      <c r="B367" s="7" t="str">
        <f>IFERROR(__xludf.DUMMYFUNCTION("""COMPUTED_VALUE"""),"Best Pay-Per-Result Marketing Agencies in Australia (2026) | LeadsNow AI")</f>
        <v>Best Pay-Per-Result Marketing Agencies in Australia (2026) | LeadsNow AI</v>
      </c>
      <c r="C367" s="6" t="str">
        <f>IFERROR(__xludf.DUMMYFUNCTION("""COMPUTED_VALUE"""),"leadsnow.ai")</f>
        <v>leadsnow.ai</v>
      </c>
      <c r="D367" s="7" t="str">
        <f>IFERROR(__xludf.DUMMYFUNCTION("""COMPUTED_VALUE"""),"LISTICLE")</f>
        <v>LISTICLE</v>
      </c>
      <c r="E367" s="7" t="str">
        <f>IFERROR(__xludf.DUMMYFUNCTION("""COMPUTED_VALUE"""),"COMPETITOR")</f>
        <v>COMPETITOR</v>
      </c>
      <c r="F367" s="7" t="str">
        <f>IFERROR(__xludf.DUMMYFUNCTION("""COMPUTED_VALUE"""),"Listicle")</f>
        <v>Listicle</v>
      </c>
      <c r="G367" s="7" t="b">
        <f>IFERROR(__xludf.DUMMYFUNCTION("""COMPUTED_VALUE"""),FALSE)</f>
        <v>0</v>
      </c>
      <c r="H367" s="6" t="str">
        <f>IFERROR(__xludf.DUMMYFUNCTION("""COMPUTED_VALUE"""),"LeadsNow.ai")</f>
        <v>LeadsNow.ai</v>
      </c>
      <c r="I367" s="7">
        <f>IFERROR(__xludf.DUMMYFUNCTION("""COMPUTED_VALUE"""),2.0)</f>
        <v>2</v>
      </c>
      <c r="J367" s="7">
        <f>IFERROR(__xludf.DUMMYFUNCTION("""COMPUTED_VALUE"""),0.0)</f>
        <v>0</v>
      </c>
      <c r="K367" s="7">
        <f>IFERROR(__xludf.DUMMYFUNCTION("""COMPUTED_VALUE"""),1.0)</f>
        <v>1</v>
      </c>
      <c r="L367" s="7"/>
    </row>
    <row r="368" ht="15.75" customHeight="1">
      <c r="A368" s="6" t="str">
        <f>IFERROR(__xludf.DUMMYFUNCTION("""COMPUTED_VALUE"""),"https://www.linkedin.com/pulse/best-performance-marketing-services-australia-vanator-assist-jhjyc")</f>
        <v>https://www.linkedin.com/pulse/best-performance-marketing-services-australia-vanator-assist-jhjyc</v>
      </c>
      <c r="B368" s="7" t="str">
        <f>IFERROR(__xludf.DUMMYFUNCTION("""COMPUTED_VALUE"""),"Best Performance Marketing Services in Australia")</f>
        <v>Best Performance Marketing Services in Australia</v>
      </c>
      <c r="C368" s="6" t="str">
        <f>IFERROR(__xludf.DUMMYFUNCTION("""COMPUTED_VALUE"""),"linkedin.com")</f>
        <v>linkedin.com</v>
      </c>
      <c r="D368" s="7" t="str">
        <f>IFERROR(__xludf.DUMMYFUNCTION("""COMPUTED_VALUE"""),"LISTICLE")</f>
        <v>LISTICLE</v>
      </c>
      <c r="E368" s="7" t="str">
        <f>IFERROR(__xludf.DUMMYFUNCTION("""COMPUTED_VALUE"""),"UGC")</f>
        <v>UGC</v>
      </c>
      <c r="F368" s="7" t="str">
        <f>IFERROR(__xludf.DUMMYFUNCTION("""COMPUTED_VALUE"""),"Listicle")</f>
        <v>Listicle</v>
      </c>
      <c r="G368" s="7" t="b">
        <f>IFERROR(__xludf.DUMMYFUNCTION("""COMPUTED_VALUE"""),FALSE)</f>
        <v>0</v>
      </c>
      <c r="H368" s="7" t="str">
        <f>IFERROR(__xludf.DUMMYFUNCTION("""COMPUTED_VALUE"""),"Digital Nomads HQ, Clearwater Agency, Online Marketing Gurus")</f>
        <v>Digital Nomads HQ, Clearwater Agency, Online Marketing Gurus</v>
      </c>
      <c r="I368" s="7">
        <f>IFERROR(__xludf.DUMMYFUNCTION("""COMPUTED_VALUE"""),2.0)</f>
        <v>2</v>
      </c>
      <c r="J368" s="7">
        <f>IFERROR(__xludf.DUMMYFUNCTION("""COMPUTED_VALUE"""),0.0)</f>
        <v>0</v>
      </c>
      <c r="K368" s="7">
        <f>IFERROR(__xludf.DUMMYFUNCTION("""COMPUTED_VALUE"""),1.0)</f>
        <v>1</v>
      </c>
      <c r="L368" s="7"/>
    </row>
    <row r="369" ht="15.75" customHeight="1">
      <c r="A369" s="6" t="str">
        <f>IFERROR(__xludf.DUMMYFUNCTION("""COMPUTED_VALUE"""),"https://madebyevoke.com/blog/top-branding-agencies-melbourne")</f>
        <v>https://madebyevoke.com/blog/top-branding-agencies-melbourne</v>
      </c>
      <c r="B369" s="7" t="str">
        <f>IFERROR(__xludf.DUMMYFUNCTION("""COMPUTED_VALUE"""),"Top 10 Branding Agencies in Melbourne, Australia (2026) — Ranked | Evoke Studio")</f>
        <v>Top 10 Branding Agencies in Melbourne, Australia (2026) — Ranked | Evoke Studio</v>
      </c>
      <c r="C369" s="6" t="str">
        <f>IFERROR(__xludf.DUMMYFUNCTION("""COMPUTED_VALUE"""),"madebyevoke.com")</f>
        <v>madebyevoke.com</v>
      </c>
      <c r="D369" s="7" t="str">
        <f>IFERROR(__xludf.DUMMYFUNCTION("""COMPUTED_VALUE"""),"LISTICLE")</f>
        <v>LISTICLE</v>
      </c>
      <c r="E369" s="7" t="str">
        <f>IFERROR(__xludf.DUMMYFUNCTION("""COMPUTED_VALUE"""),"CORPORATE")</f>
        <v>CORPORATE</v>
      </c>
      <c r="F369" s="7" t="str">
        <f>IFERROR(__xludf.DUMMYFUNCTION("""COMPUTED_VALUE"""),"Listicle")</f>
        <v>Listicle</v>
      </c>
      <c r="G369" s="7" t="b">
        <f>IFERROR(__xludf.DUMMYFUNCTION("""COMPUTED_VALUE"""),FALSE)</f>
        <v>0</v>
      </c>
      <c r="H369" s="7" t="str">
        <f>IFERROR(__xludf.DUMMYFUNCTION("""COMPUTED_VALUE"""),"Clemenger BBDO, Ogilvy Australia, DDB Australia")</f>
        <v>Clemenger BBDO, Ogilvy Australia, DDB Australia</v>
      </c>
      <c r="I369" s="7">
        <f>IFERROR(__xludf.DUMMYFUNCTION("""COMPUTED_VALUE"""),2.0)</f>
        <v>2</v>
      </c>
      <c r="J369" s="7">
        <f>IFERROR(__xludf.DUMMYFUNCTION("""COMPUTED_VALUE"""),0.0)</f>
        <v>0</v>
      </c>
      <c r="K369" s="7">
        <f>IFERROR(__xludf.DUMMYFUNCTION("""COMPUTED_VALUE"""),2.5)</f>
        <v>2.5</v>
      </c>
      <c r="L369" s="7"/>
    </row>
    <row r="370" ht="15.75" customHeight="1">
      <c r="A370" s="6"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370" s="7" t="str">
        <f>IFERROR(__xludf.DUMMYFUNCTION("""COMPUTED_VALUE"""),"15 Best Answer Engine Optimization Agencies: AEO Insights Company Rankings for 2026")</f>
        <v>15 Best Answer Engine Optimization Agencies: AEO Insights Company Rankings for 2026</v>
      </c>
      <c r="C370" s="6" t="str">
        <f>IFERROR(__xludf.DUMMYFUNCTION("""COMPUTED_VALUE"""),"modernmarketingpartners.com")</f>
        <v>modernmarketingpartners.com</v>
      </c>
      <c r="D370" s="7" t="str">
        <f>IFERROR(__xludf.DUMMYFUNCTION("""COMPUTED_VALUE"""),"LISTICLE")</f>
        <v>LISTICLE</v>
      </c>
      <c r="E370" s="7" t="str">
        <f>IFERROR(__xludf.DUMMYFUNCTION("""COMPUTED_VALUE"""),"CORPORATE")</f>
        <v>CORPORATE</v>
      </c>
      <c r="F370" s="7" t="str">
        <f>IFERROR(__xludf.DUMMYFUNCTION("""COMPUTED_VALUE"""),"Listicle")</f>
        <v>Listicle</v>
      </c>
      <c r="G370" s="7" t="b">
        <f>IFERROR(__xludf.DUMMYFUNCTION("""COMPUTED_VALUE"""),FALSE)</f>
        <v>0</v>
      </c>
      <c r="H370" s="7" t="str">
        <f>IFERROR(__xludf.DUMMYFUNCTION("""COMPUTED_VALUE"""),"First Page, Earned Media")</f>
        <v>First Page, Earned Media</v>
      </c>
      <c r="I370" s="7">
        <f>IFERROR(__xludf.DUMMYFUNCTION("""COMPUTED_VALUE"""),2.0)</f>
        <v>2</v>
      </c>
      <c r="J370" s="7">
        <f>IFERROR(__xludf.DUMMYFUNCTION("""COMPUTED_VALUE"""),0.0)</f>
        <v>0</v>
      </c>
      <c r="K370" s="7">
        <f>IFERROR(__xludf.DUMMYFUNCTION("""COMPUTED_VALUE"""),0.0)</f>
        <v>0</v>
      </c>
      <c r="L370" s="7"/>
    </row>
    <row r="371" ht="15.75" customHeight="1">
      <c r="A371" s="6" t="str">
        <f>IFERROR(__xludf.DUMMYFUNCTION("""COMPUTED_VALUE"""),"https://printvideoweb.com.au/blog/30-best-digital-marketing-agencies-in-australia/")</f>
        <v>https://printvideoweb.com.au/blog/30-best-digital-marketing-agencies-in-australia/</v>
      </c>
      <c r="B371" s="7" t="str">
        <f>IFERROR(__xludf.DUMMYFUNCTION("""COMPUTED_VALUE"""),"Top 30 Digital Marketing Agencies in Australia for 2025")</f>
        <v>Top 30 Digital Marketing Agencies in Australia for 2025</v>
      </c>
      <c r="C371" s="6" t="str">
        <f>IFERROR(__xludf.DUMMYFUNCTION("""COMPUTED_VALUE"""),"printvideoweb.com.au")</f>
        <v>printvideoweb.com.au</v>
      </c>
      <c r="D371" s="7" t="str">
        <f>IFERROR(__xludf.DUMMYFUNCTION("""COMPUTED_VALUE"""),"LISTICLE")</f>
        <v>LISTICLE</v>
      </c>
      <c r="E371" s="7" t="str">
        <f>IFERROR(__xludf.DUMMYFUNCTION("""COMPUTED_VALUE"""),"CORPORATE")</f>
        <v>CORPORATE</v>
      </c>
      <c r="F371" s="7" t="str">
        <f>IFERROR(__xludf.DUMMYFUNCTION("""COMPUTED_VALUE"""),"Listicle")</f>
        <v>Listicle</v>
      </c>
      <c r="G371" s="7" t="b">
        <f>IFERROR(__xludf.DUMMYFUNCTION("""COMPUTED_VALUE"""),FALSE)</f>
        <v>0</v>
      </c>
      <c r="H371" s="7"/>
      <c r="I371" s="7">
        <f>IFERROR(__xludf.DUMMYFUNCTION("""COMPUTED_VALUE"""),2.0)</f>
        <v>2</v>
      </c>
      <c r="J371" s="7">
        <f>IFERROR(__xludf.DUMMYFUNCTION("""COMPUTED_VALUE"""),0.0)</f>
        <v>0</v>
      </c>
      <c r="K371" s="7">
        <f>IFERROR(__xludf.DUMMYFUNCTION("""COMPUTED_VALUE"""),0.0)</f>
        <v>0</v>
      </c>
      <c r="L371" s="7"/>
    </row>
    <row r="372" ht="15.75" customHeight="1">
      <c r="A372" s="6" t="str">
        <f>IFERROR(__xludf.DUMMYFUNCTION("""COMPUTED_VALUE"""),"https://www.reddit.com/r/aeo/comments/1twcbr2/best_aeo_agency_guide_what_to_look_for_in_an/")</f>
        <v>https://www.reddit.com/r/aeo/comments/1twcbr2/best_aeo_agency_guide_what_to_look_for_in_an/</v>
      </c>
      <c r="B372" s="7" t="str">
        <f>IFERROR(__xludf.DUMMYFUNCTION("""COMPUTED_VALUE"""),"Best AEO Agency Guide What to Look for in an Answer Engine Partner?")</f>
        <v>Best AEO Agency Guide What to Look for in an Answer Engine Partner?</v>
      </c>
      <c r="C372" s="6" t="str">
        <f>IFERROR(__xludf.DUMMYFUNCTION("""COMPUTED_VALUE"""),"reddit.com")</f>
        <v>reddit.com</v>
      </c>
      <c r="D372" s="7" t="str">
        <f>IFERROR(__xludf.DUMMYFUNCTION("""COMPUTED_VALUE"""),"DISCUSSION")</f>
        <v>DISCUSSION</v>
      </c>
      <c r="E372" s="7" t="str">
        <f>IFERROR(__xludf.DUMMYFUNCTION("""COMPUTED_VALUE"""),"UGC")</f>
        <v>UGC</v>
      </c>
      <c r="F372" s="7" t="str">
        <f>IFERROR(__xludf.DUMMYFUNCTION("""COMPUTED_VALUE"""),"Discussion")</f>
        <v>Discussion</v>
      </c>
      <c r="G372" s="7" t="b">
        <f>IFERROR(__xludf.DUMMYFUNCTION("""COMPUTED_VALUE"""),FALSE)</f>
        <v>0</v>
      </c>
      <c r="H372" s="7" t="str">
        <f>IFERROR(__xludf.DUMMYFUNCTION("""COMPUTED_VALUE"""),"Huge")</f>
        <v>Huge</v>
      </c>
      <c r="I372" s="7">
        <f>IFERROR(__xludf.DUMMYFUNCTION("""COMPUTED_VALUE"""),2.0)</f>
        <v>2</v>
      </c>
      <c r="J372" s="7">
        <f>IFERROR(__xludf.DUMMYFUNCTION("""COMPUTED_VALUE"""),0.0)</f>
        <v>0</v>
      </c>
      <c r="K372" s="7">
        <f>IFERROR(__xludf.DUMMYFUNCTION("""COMPUTED_VALUE"""),2.0)</f>
        <v>2</v>
      </c>
      <c r="L372" s="7"/>
    </row>
    <row r="373" ht="15.75" customHeight="1">
      <c r="A373" s="6" t="str">
        <f>IFERROR(__xludf.DUMMYFUNCTION("""COMPUTED_VALUE"""),"https://www.rightfirms.co/directory/geo-services/country/australia")</f>
        <v>https://www.rightfirms.co/directory/geo-services/country/australia</v>
      </c>
      <c r="B373" s="7" t="str">
        <f>IFERROR(__xludf.DUMMYFUNCTION("""COMPUTED_VALUE"""),"Top GEO Services Companies in Australia | RightFirms")</f>
        <v>Top GEO Services Companies in Australia | RightFirms</v>
      </c>
      <c r="C373" s="6" t="str">
        <f>IFERROR(__xludf.DUMMYFUNCTION("""COMPUTED_VALUE"""),"rightfirms.co")</f>
        <v>rightfirms.co</v>
      </c>
      <c r="D373" s="7" t="str">
        <f>IFERROR(__xludf.DUMMYFUNCTION("""COMPUTED_VALUE"""),"OTHER")</f>
        <v>OTHER</v>
      </c>
      <c r="E373" s="7" t="str">
        <f>IFERROR(__xludf.DUMMYFUNCTION("""COMPUTED_VALUE"""),"REFERENCE")</f>
        <v>REFERENCE</v>
      </c>
      <c r="F373" s="7" t="str">
        <f>IFERROR(__xludf.DUMMYFUNCTION("""COMPUTED_VALUE"""),"Other")</f>
        <v>Other</v>
      </c>
      <c r="G373" s="7" t="b">
        <f>IFERROR(__xludf.DUMMYFUNCTION("""COMPUTED_VALUE"""),FALSE)</f>
        <v>0</v>
      </c>
      <c r="H373" s="7"/>
      <c r="I373" s="7">
        <f>IFERROR(__xludf.DUMMYFUNCTION("""COMPUTED_VALUE"""),2.0)</f>
        <v>2</v>
      </c>
      <c r="J373" s="7">
        <f>IFERROR(__xludf.DUMMYFUNCTION("""COMPUTED_VALUE"""),0.0)</f>
        <v>0</v>
      </c>
      <c r="K373" s="7">
        <f>IFERROR(__xludf.DUMMYFUNCTION("""COMPUTED_VALUE"""),0.0)</f>
        <v>0</v>
      </c>
      <c r="L373" s="7"/>
    </row>
    <row r="374" ht="15.75" customHeight="1">
      <c r="A374" s="6" t="str">
        <f>IFERROR(__xludf.DUMMYFUNCTION("""COMPUTED_VALUE"""),"https://roi.com.au/know-how/ai-seo-geo-answer-engine-optimisation/what-are-the-best-geo-tools-for-australian-businesses")</f>
        <v>https://roi.com.au/know-how/ai-seo-geo-answer-engine-optimisation/what-are-the-best-geo-tools-for-australian-businesses</v>
      </c>
      <c r="B374" s="7" t="str">
        <f>IFERROR(__xludf.DUMMYFUNCTION("""COMPUTED_VALUE"""),"What are the best GEO tools for Australian businesses? | AI Marketing Agency Australia | roi.com.au")</f>
        <v>What are the best GEO tools for Australian businesses? | AI Marketing Agency Australia | roi.com.au</v>
      </c>
      <c r="C374" s="6" t="str">
        <f>IFERROR(__xludf.DUMMYFUNCTION("""COMPUTED_VALUE"""),"roi.com.au")</f>
        <v>roi.com.au</v>
      </c>
      <c r="D374" s="7" t="str">
        <f>IFERROR(__xludf.DUMMYFUNCTION("""COMPUTED_VALUE"""),"PRODUCT_PAGE")</f>
        <v>PRODUCT_PAGE</v>
      </c>
      <c r="E374" s="7" t="str">
        <f>IFERROR(__xludf.DUMMYFUNCTION("""COMPUTED_VALUE"""),"CORPORATE")</f>
        <v>CORPORATE</v>
      </c>
      <c r="F374" s="7" t="str">
        <f>IFERROR(__xludf.DUMMYFUNCTION("""COMPUTED_VALUE"""),"Product Page")</f>
        <v>Product Page</v>
      </c>
      <c r="G374" s="7" t="b">
        <f>IFERROR(__xludf.DUMMYFUNCTION("""COMPUTED_VALUE"""),FALSE)</f>
        <v>0</v>
      </c>
      <c r="H374" s="7" t="str">
        <f>IFERROR(__xludf.DUMMYFUNCTION("""COMPUTED_VALUE"""),"ROI Growth Agency")</f>
        <v>ROI Growth Agency</v>
      </c>
      <c r="I374" s="7">
        <f>IFERROR(__xludf.DUMMYFUNCTION("""COMPUTED_VALUE"""),2.0)</f>
        <v>2</v>
      </c>
      <c r="J374" s="7">
        <f>IFERROR(__xludf.DUMMYFUNCTION("""COMPUTED_VALUE"""),0.0)</f>
        <v>0</v>
      </c>
      <c r="K374" s="7">
        <f>IFERROR(__xludf.DUMMYFUNCTION("""COMPUTED_VALUE"""),1.0)</f>
        <v>1</v>
      </c>
      <c r="L374" s="7"/>
    </row>
    <row r="375" ht="15.75" customHeight="1">
      <c r="A375" s="6" t="str">
        <f>IFERROR(__xludf.DUMMYFUNCTION("""COMPUTED_VALUE"""),"https://sandlabs.com.au/blog/top-ai-consulting-companies-australia")</f>
        <v>https://sandlabs.com.au/blog/top-ai-consulting-companies-australia</v>
      </c>
      <c r="B375" s="7" t="str">
        <f>IFERROR(__xludf.DUMMYFUNCTION("""COMPUTED_VALUE"""),"Top 10 AI Consulting Companies in Australia (2026) - Sandlabs")</f>
        <v>Top 10 AI Consulting Companies in Australia (2026) - Sandlabs</v>
      </c>
      <c r="C375" s="6" t="str">
        <f>IFERROR(__xludf.DUMMYFUNCTION("""COMPUTED_VALUE"""),"sandlabs.com.au")</f>
        <v>sandlabs.com.au</v>
      </c>
      <c r="D375" s="7" t="str">
        <f>IFERROR(__xludf.DUMMYFUNCTION("""COMPUTED_VALUE"""),"LISTICLE")</f>
        <v>LISTICLE</v>
      </c>
      <c r="E375" s="7" t="str">
        <f>IFERROR(__xludf.DUMMYFUNCTION("""COMPUTED_VALUE"""),"CORPORATE")</f>
        <v>CORPORATE</v>
      </c>
      <c r="F375" s="7" t="str">
        <f>IFERROR(__xludf.DUMMYFUNCTION("""COMPUTED_VALUE"""),"Listicle")</f>
        <v>Listicle</v>
      </c>
      <c r="G375" s="7" t="b">
        <f>IFERROR(__xludf.DUMMYFUNCTION("""COMPUTED_VALUE"""),FALSE)</f>
        <v>0</v>
      </c>
      <c r="H375" s="7" t="str">
        <f>IFERROR(__xludf.DUMMYFUNCTION("""COMPUTED_VALUE"""),"Mantel Group")</f>
        <v>Mantel Group</v>
      </c>
      <c r="I375" s="7">
        <f>IFERROR(__xludf.DUMMYFUNCTION("""COMPUTED_VALUE"""),2.0)</f>
        <v>2</v>
      </c>
      <c r="J375" s="7">
        <f>IFERROR(__xludf.DUMMYFUNCTION("""COMPUTED_VALUE"""),0.0)</f>
        <v>0</v>
      </c>
      <c r="K375" s="7">
        <f>IFERROR(__xludf.DUMMYFUNCTION("""COMPUTED_VALUE"""),0.5)</f>
        <v>0.5</v>
      </c>
      <c r="L375" s="7"/>
    </row>
    <row r="376" ht="15.75" customHeight="1">
      <c r="A376" s="6" t="str">
        <f>IFERROR(__xludf.DUMMYFUNCTION("""COMPUTED_VALUE"""),"https://segmentstream.com/blog/articles/measured-com-alternatives")</f>
        <v>https://segmentstream.com/blog/articles/measured-com-alternatives</v>
      </c>
      <c r="B376" s="7" t="str">
        <f>IFERROR(__xludf.DUMMYFUNCTION("""COMPUTED_VALUE"""),"9 Best Measured Alternatives &amp;amp; Competitors for Incrementality Testing in 2026 — SegmentStream")</f>
        <v>9 Best Measured Alternatives &amp;amp; Competitors for Incrementality Testing in 2026 — SegmentStream</v>
      </c>
      <c r="C376" s="6" t="str">
        <f>IFERROR(__xludf.DUMMYFUNCTION("""COMPUTED_VALUE"""),"segmentstream.com")</f>
        <v>segmentstream.com</v>
      </c>
      <c r="D376" s="7" t="str">
        <f>IFERROR(__xludf.DUMMYFUNCTION("""COMPUTED_VALUE"""),"ALTERNATIVE")</f>
        <v>ALTERNATIVE</v>
      </c>
      <c r="E376" s="7" t="str">
        <f>IFERROR(__xludf.DUMMYFUNCTION("""COMPUTED_VALUE"""),"CORPORATE")</f>
        <v>CORPORATE</v>
      </c>
      <c r="F376" s="7" t="str">
        <f>IFERROR(__xludf.DUMMYFUNCTION("""COMPUTED_VALUE"""),"Alternative")</f>
        <v>Alternative</v>
      </c>
      <c r="G376" s="7" t="b">
        <f>IFERROR(__xludf.DUMMYFUNCTION("""COMPUTED_VALUE"""),FALSE)</f>
        <v>0</v>
      </c>
      <c r="H376" s="7" t="str">
        <f>IFERROR(__xludf.DUMMYFUNCTION("""COMPUTED_VALUE"""),"Measured, Haus, Lifesight, Workmagic, LiftLab, Momentum")</f>
        <v>Measured, Haus, Lifesight, Workmagic, LiftLab, Momentum</v>
      </c>
      <c r="I376" s="7">
        <f>IFERROR(__xludf.DUMMYFUNCTION("""COMPUTED_VALUE"""),2.0)</f>
        <v>2</v>
      </c>
      <c r="J376" s="7">
        <f>IFERROR(__xludf.DUMMYFUNCTION("""COMPUTED_VALUE"""),0.0)</f>
        <v>0</v>
      </c>
      <c r="K376" s="7">
        <f>IFERROR(__xludf.DUMMYFUNCTION("""COMPUTED_VALUE"""),0.5)</f>
        <v>0.5</v>
      </c>
      <c r="L376" s="7"/>
    </row>
    <row r="377" ht="15.75" customHeight="1">
      <c r="A377" s="6" t="str">
        <f>IFERROR(__xludf.DUMMYFUNCTION("""COMPUTED_VALUE"""),"https://www.semrush.com/agencies/list/analytics-data-science/australia/")</f>
        <v>https://www.semrush.com/agencies/list/analytics-data-science/australia/</v>
      </c>
      <c r="B377" s="7" t="str">
        <f>IFERROR(__xludf.DUMMYFUNCTION("""COMPUTED_VALUE"""),"Best Data Analytics Services in Australia 2026 \| Semrush")</f>
        <v>Best Data Analytics Services in Australia 2026 \| Semrush</v>
      </c>
      <c r="C377" s="6" t="str">
        <f>IFERROR(__xludf.DUMMYFUNCTION("""COMPUTED_VALUE"""),"semrush.com")</f>
        <v>semrush.com</v>
      </c>
      <c r="D377" s="7" t="str">
        <f>IFERROR(__xludf.DUMMYFUNCTION("""COMPUTED_VALUE"""),"PROFILE")</f>
        <v>PROFILE</v>
      </c>
      <c r="E377" s="7" t="str">
        <f>IFERROR(__xludf.DUMMYFUNCTION("""COMPUTED_VALUE"""),"CORPORATE")</f>
        <v>CORPORATE</v>
      </c>
      <c r="F377" s="7" t="str">
        <f>IFERROR(__xludf.DUMMYFUNCTION("""COMPUTED_VALUE"""),"Profile")</f>
        <v>Profile</v>
      </c>
      <c r="G377" s="7" t="b">
        <f>IFERROR(__xludf.DUMMYFUNCTION("""COMPUTED_VALUE"""),FALSE)</f>
        <v>0</v>
      </c>
      <c r="H377" s="7"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377" s="7">
        <f>IFERROR(__xludf.DUMMYFUNCTION("""COMPUTED_VALUE"""),2.0)</f>
        <v>2</v>
      </c>
      <c r="J377" s="7">
        <f>IFERROR(__xludf.DUMMYFUNCTION("""COMPUTED_VALUE"""),0.0)</f>
        <v>0</v>
      </c>
      <c r="K377" s="7">
        <f>IFERROR(__xludf.DUMMYFUNCTION("""COMPUTED_VALUE"""),1.0)</f>
        <v>1</v>
      </c>
      <c r="L377" s="7"/>
    </row>
    <row r="378" ht="15.75" customHeight="1">
      <c r="A378" s="6" t="str">
        <f>IFERROR(__xludf.DUMMYFUNCTION("""COMPUTED_VALUE"""),"https://www.seoworks.com/lists/best-aeo-answer-engine-optimisation-agencies/")</f>
        <v>https://www.seoworks.com/lists/best-aeo-answer-engine-optimisation-agencies/</v>
      </c>
      <c r="B378" s="7" t="str">
        <f>IFERROR(__xludf.DUMMYFUNCTION("""COMPUTED_VALUE"""),"20 Best Answer Engine Optimisation (AEO) Agencies (2026) | The SEO Works")</f>
        <v>20 Best Answer Engine Optimisation (AEO) Agencies (2026) | The SEO Works</v>
      </c>
      <c r="C378" s="6" t="str">
        <f>IFERROR(__xludf.DUMMYFUNCTION("""COMPUTED_VALUE"""),"seoworks.com")</f>
        <v>seoworks.com</v>
      </c>
      <c r="D378" s="7" t="str">
        <f>IFERROR(__xludf.DUMMYFUNCTION("""COMPUTED_VALUE"""),"LISTICLE")</f>
        <v>LISTICLE</v>
      </c>
      <c r="E378" s="7" t="str">
        <f>IFERROR(__xludf.DUMMYFUNCTION("""COMPUTED_VALUE"""),"CORPORATE")</f>
        <v>CORPORATE</v>
      </c>
      <c r="F378" s="7" t="str">
        <f>IFERROR(__xludf.DUMMYFUNCTION("""COMPUTED_VALUE"""),"Listicle")</f>
        <v>Listicle</v>
      </c>
      <c r="G378" s="7" t="b">
        <f>IFERROR(__xludf.DUMMYFUNCTION("""COMPUTED_VALUE"""),FALSE)</f>
        <v>0</v>
      </c>
      <c r="H378" s="7" t="str">
        <f>IFERROR(__xludf.DUMMYFUNCTION("""COMPUTED_VALUE"""),"Measured, Brainlabs")</f>
        <v>Measured, Brainlabs</v>
      </c>
      <c r="I378" s="7">
        <f>IFERROR(__xludf.DUMMYFUNCTION("""COMPUTED_VALUE"""),2.0)</f>
        <v>2</v>
      </c>
      <c r="J378" s="7">
        <f>IFERROR(__xludf.DUMMYFUNCTION("""COMPUTED_VALUE"""),0.0)</f>
        <v>0</v>
      </c>
      <c r="K378" s="7">
        <f>IFERROR(__xludf.DUMMYFUNCTION("""COMPUTED_VALUE"""),0.0)</f>
        <v>0</v>
      </c>
      <c r="L378" s="7"/>
    </row>
    <row r="379" ht="15.75" customHeight="1">
      <c r="A379" s="6" t="str">
        <f>IFERROR(__xludf.DUMMYFUNCTION("""COMPUTED_VALUE"""),"https://socialchameleon.com/top-25-digital-marketing-agencies-in-australia/")</f>
        <v>https://socialchameleon.com/top-25-digital-marketing-agencies-in-australia/</v>
      </c>
      <c r="B379" s="7" t="str">
        <f>IFERROR(__xludf.DUMMYFUNCTION("""COMPUTED_VALUE"""),"25 Best Digital Marketing Agencies Australia 2025 | Social Chameleon")</f>
        <v>25 Best Digital Marketing Agencies Australia 2025 | Social Chameleon</v>
      </c>
      <c r="C379" s="6" t="str">
        <f>IFERROR(__xludf.DUMMYFUNCTION("""COMPUTED_VALUE"""),"socialchameleon.com")</f>
        <v>socialchameleon.com</v>
      </c>
      <c r="D379" s="7" t="str">
        <f>IFERROR(__xludf.DUMMYFUNCTION("""COMPUTED_VALUE"""),"LISTICLE")</f>
        <v>LISTICLE</v>
      </c>
      <c r="E379" s="7" t="str">
        <f>IFERROR(__xludf.DUMMYFUNCTION("""COMPUTED_VALUE"""),"CORPORATE")</f>
        <v>CORPORATE</v>
      </c>
      <c r="F379" s="7" t="str">
        <f>IFERROR(__xludf.DUMMYFUNCTION("""COMPUTED_VALUE"""),"Listicle")</f>
        <v>Listicle</v>
      </c>
      <c r="G379" s="7" t="b">
        <f>IFERROR(__xludf.DUMMYFUNCTION("""COMPUTED_VALUE"""),FALSE)</f>
        <v>0</v>
      </c>
      <c r="H379" s="7" t="str">
        <f>IFERROR(__xludf.DUMMYFUNCTION("""COMPUTED_VALUE"""),"Huge, Salt &amp; Fuessel, Megaphone, Digital Movement, Alpha Digital")</f>
        <v>Huge, Salt &amp; Fuessel, Megaphone, Digital Movement, Alpha Digital</v>
      </c>
      <c r="I379" s="7">
        <f>IFERROR(__xludf.DUMMYFUNCTION("""COMPUTED_VALUE"""),2.0)</f>
        <v>2</v>
      </c>
      <c r="J379" s="7">
        <f>IFERROR(__xludf.DUMMYFUNCTION("""COMPUTED_VALUE"""),0.0)</f>
        <v>0</v>
      </c>
      <c r="K379" s="7">
        <f>IFERROR(__xludf.DUMMYFUNCTION("""COMPUTED_VALUE"""),1.5)</f>
        <v>1.5</v>
      </c>
      <c r="L379" s="7"/>
    </row>
    <row r="380" ht="15.75" customHeight="1">
      <c r="A380" s="6" t="str">
        <f>IFERROR(__xludf.DUMMYFUNCTION("""COMPUTED_VALUE"""),"https://www.sortlist.com/s/artificial-intelligence/sydney-au")</f>
        <v>https://www.sortlist.com/s/artificial-intelligence/sydney-au</v>
      </c>
      <c r="B380" s="7" t="str">
        <f>IFERROR(__xludf.DUMMYFUNCTION("""COMPUTED_VALUE"""),"The 10 Best Artificial Intelligence Agencies in Sydney - 2026 Reviews")</f>
        <v>The 10 Best Artificial Intelligence Agencies in Sydney - 2026 Reviews</v>
      </c>
      <c r="C380" s="6" t="str">
        <f>IFERROR(__xludf.DUMMYFUNCTION("""COMPUTED_VALUE"""),"sortlist.com")</f>
        <v>sortlist.com</v>
      </c>
      <c r="D380" s="7" t="str">
        <f>IFERROR(__xludf.DUMMYFUNCTION("""COMPUTED_VALUE"""),"CATEGORY_PAGE")</f>
        <v>CATEGORY_PAGE</v>
      </c>
      <c r="E380" s="7" t="str">
        <f>IFERROR(__xludf.DUMMYFUNCTION("""COMPUTED_VALUE"""),"CORPORATE")</f>
        <v>CORPORATE</v>
      </c>
      <c r="F380" s="7" t="str">
        <f>IFERROR(__xludf.DUMMYFUNCTION("""COMPUTED_VALUE"""),"Category Page")</f>
        <v>Category Page</v>
      </c>
      <c r="G380" s="7" t="b">
        <f>IFERROR(__xludf.DUMMYFUNCTION("""COMPUTED_VALUE"""),FALSE)</f>
        <v>0</v>
      </c>
      <c r="H380" s="7" t="str">
        <f>IFERROR(__xludf.DUMMYFUNCTION("""COMPUTED_VALUE"""),"Team 400")</f>
        <v>Team 400</v>
      </c>
      <c r="I380" s="7">
        <f>IFERROR(__xludf.DUMMYFUNCTION("""COMPUTED_VALUE"""),2.0)</f>
        <v>2</v>
      </c>
      <c r="J380" s="7">
        <f>IFERROR(__xludf.DUMMYFUNCTION("""COMPUTED_VALUE"""),0.0)</f>
        <v>0</v>
      </c>
      <c r="K380" s="7">
        <f>IFERROR(__xludf.DUMMYFUNCTION("""COMPUTED_VALUE"""),0.0)</f>
        <v>0</v>
      </c>
      <c r="L380" s="7"/>
    </row>
    <row r="381" ht="15.75" customHeight="1">
      <c r="A381" s="6" t="str">
        <f>IFERROR(__xludf.DUMMYFUNCTION("""COMPUTED_VALUE"""),"https://www.sortlist.com/s/performance-marketing/queensland-qld-au")</f>
        <v>https://www.sortlist.com/s/performance-marketing/queensland-qld-au</v>
      </c>
      <c r="B381" s="7" t="str">
        <f>IFERROR(__xludf.DUMMYFUNCTION("""COMPUTED_VALUE"""),"The 10 Best Performance Marketing Agencies in Queensland - 2026 Reviews")</f>
        <v>The 10 Best Performance Marketing Agencies in Queensland - 2026 Reviews</v>
      </c>
      <c r="C381" s="6" t="str">
        <f>IFERROR(__xludf.DUMMYFUNCTION("""COMPUTED_VALUE"""),"sortlist.com")</f>
        <v>sortlist.com</v>
      </c>
      <c r="D381" s="7" t="str">
        <f>IFERROR(__xludf.DUMMYFUNCTION("""COMPUTED_VALUE"""),"PROFILE")</f>
        <v>PROFILE</v>
      </c>
      <c r="E381" s="7" t="str">
        <f>IFERROR(__xludf.DUMMYFUNCTION("""COMPUTED_VALUE"""),"CORPORATE")</f>
        <v>CORPORATE</v>
      </c>
      <c r="F381" s="7" t="str">
        <f>IFERROR(__xludf.DUMMYFUNCTION("""COMPUTED_VALUE"""),"Profile")</f>
        <v>Profile</v>
      </c>
      <c r="G381" s="7" t="b">
        <f>IFERROR(__xludf.DUMMYFUNCTION("""COMPUTED_VALUE"""),FALSE)</f>
        <v>0</v>
      </c>
      <c r="H381" s="7" t="str">
        <f>IFERROR(__xludf.DUMMYFUNCTION("""COMPUTED_VALUE"""),"Digital Nomads HQ, Soup Agency, HERO, Measured, Earned Media, Clearwater Agency, SIXGUN, Impressive, Supple Digital, Momentum, Alpha Digital, 23 Digital")</f>
        <v>Digital Nomads HQ, Soup Agency, HERO, Measured, Earned Media, Clearwater Agency, SIXGUN, Impressive, Supple Digital, Momentum, Alpha Digital, 23 Digital</v>
      </c>
      <c r="I381" s="7">
        <f>IFERROR(__xludf.DUMMYFUNCTION("""COMPUTED_VALUE"""),2.0)</f>
        <v>2</v>
      </c>
      <c r="J381" s="7">
        <f>IFERROR(__xludf.DUMMYFUNCTION("""COMPUTED_VALUE"""),0.0)</f>
        <v>0</v>
      </c>
      <c r="K381" s="7">
        <f>IFERROR(__xludf.DUMMYFUNCTION("""COMPUTED_VALUE"""),0.0)</f>
        <v>0</v>
      </c>
      <c r="L381" s="7"/>
    </row>
    <row r="382" ht="15.75" customHeight="1">
      <c r="A382" s="6" t="str">
        <f>IFERROR(__xludf.DUMMYFUNCTION("""COMPUTED_VALUE"""),"https://www.sortlist.com/s/sm-analytics/australia-au")</f>
        <v>https://www.sortlist.com/s/sm-analytics/australia-au</v>
      </c>
      <c r="B382" s="7" t="str">
        <f>IFERROR(__xludf.DUMMYFUNCTION("""COMPUTED_VALUE"""),"The 10 Best SM Analytics Consultants in Australia - 2026 Reviews")</f>
        <v>The 10 Best SM Analytics Consultants in Australia - 2026 Reviews</v>
      </c>
      <c r="C382" s="6" t="str">
        <f>IFERROR(__xludf.DUMMYFUNCTION("""COMPUTED_VALUE"""),"sortlist.com")</f>
        <v>sortlist.com</v>
      </c>
      <c r="D382" s="7" t="str">
        <f>IFERROR(__xludf.DUMMYFUNCTION("""COMPUTED_VALUE"""),"CATEGORY_PAGE")</f>
        <v>CATEGORY_PAGE</v>
      </c>
      <c r="E382" s="7" t="str">
        <f>IFERROR(__xludf.DUMMYFUNCTION("""COMPUTED_VALUE"""),"CORPORATE")</f>
        <v>CORPORATE</v>
      </c>
      <c r="F382" s="7" t="str">
        <f>IFERROR(__xludf.DUMMYFUNCTION("""COMPUTED_VALUE"""),"Category Page")</f>
        <v>Category Page</v>
      </c>
      <c r="G382" s="7" t="b">
        <f>IFERROR(__xludf.DUMMYFUNCTION("""COMPUTED_VALUE"""),FALSE)</f>
        <v>0</v>
      </c>
      <c r="H382" s="7" t="str">
        <f>IFERROR(__xludf.DUMMYFUNCTION("""COMPUTED_VALUE"""),"Measured, Earned Media, Clearwater Agency, SIXGUN, Impressive, Digital Nomads HQ")</f>
        <v>Measured, Earned Media, Clearwater Agency, SIXGUN, Impressive, Digital Nomads HQ</v>
      </c>
      <c r="I382" s="7">
        <f>IFERROR(__xludf.DUMMYFUNCTION("""COMPUTED_VALUE"""),2.0)</f>
        <v>2</v>
      </c>
      <c r="J382" s="7">
        <f>IFERROR(__xludf.DUMMYFUNCTION("""COMPUTED_VALUE"""),0.0)</f>
        <v>0</v>
      </c>
      <c r="K382" s="7">
        <f>IFERROR(__xludf.DUMMYFUNCTION("""COMPUTED_VALUE"""),0.0)</f>
        <v>0</v>
      </c>
      <c r="L382" s="7"/>
    </row>
    <row r="383" ht="15.75" customHeight="1">
      <c r="A383" s="6" t="str">
        <f>IFERROR(__xludf.DUMMYFUNCTION("""COMPUTED_VALUE"""),"https://www.sortlist.com/web-analytics/melbourne-au")</f>
        <v>https://www.sortlist.com/web-analytics/melbourne-au</v>
      </c>
      <c r="B383" s="7" t="str">
        <f>IFERROR(__xludf.DUMMYFUNCTION("""COMPUTED_VALUE"""),"The 10 Best Web Analytics Agencies in Melbourne - 2026 Reviews")</f>
        <v>The 10 Best Web Analytics Agencies in Melbourne - 2026 Reviews</v>
      </c>
      <c r="C383" s="6" t="str">
        <f>IFERROR(__xludf.DUMMYFUNCTION("""COMPUTED_VALUE"""),"sortlist.com")</f>
        <v>sortlist.com</v>
      </c>
      <c r="D383" s="7" t="str">
        <f>IFERROR(__xludf.DUMMYFUNCTION("""COMPUTED_VALUE"""),"OTHER")</f>
        <v>OTHER</v>
      </c>
      <c r="E383" s="7" t="str">
        <f>IFERROR(__xludf.DUMMYFUNCTION("""COMPUTED_VALUE"""),"CORPORATE")</f>
        <v>CORPORATE</v>
      </c>
      <c r="F383" s="7" t="str">
        <f>IFERROR(__xludf.DUMMYFUNCTION("""COMPUTED_VALUE"""),"Other")</f>
        <v>Other</v>
      </c>
      <c r="G383" s="7" t="b">
        <f>IFERROR(__xludf.DUMMYFUNCTION("""COMPUTED_VALUE"""),FALSE)</f>
        <v>0</v>
      </c>
      <c r="H383" s="7" t="str">
        <f>IFERROR(__xludf.DUMMYFUNCTION("""COMPUTED_VALUE"""),"Impressive, SIXGUN, 23 Digital")</f>
        <v>Impressive, SIXGUN, 23 Digital</v>
      </c>
      <c r="I383" s="7">
        <f>IFERROR(__xludf.DUMMYFUNCTION("""COMPUTED_VALUE"""),2.0)</f>
        <v>2</v>
      </c>
      <c r="J383" s="7">
        <f>IFERROR(__xludf.DUMMYFUNCTION("""COMPUTED_VALUE"""),0.0)</f>
        <v>0</v>
      </c>
      <c r="K383" s="7">
        <f>IFERROR(__xludf.DUMMYFUNCTION("""COMPUTED_VALUE"""),0.0)</f>
        <v>0</v>
      </c>
      <c r="L383" s="7"/>
    </row>
    <row r="384" ht="15.75" customHeight="1">
      <c r="A384" s="6" t="str">
        <f>IFERROR(__xludf.DUMMYFUNCTION("""COMPUTED_VALUE"""),"https://www.techyflavors.com/2026/07/top-ai-driven-seo-agencies-in-australia.html")</f>
        <v>https://www.techyflavors.com/2026/07/top-ai-driven-seo-agencies-in-australia.html</v>
      </c>
      <c r="B384" s="7" t="str">
        <f>IFERROR(__xludf.DUMMYFUNCTION("""COMPUTED_VALUE"""),"Top AI-Driven SEO Agencies in Australia for Enterprise Companies")</f>
        <v>Top AI-Driven SEO Agencies in Australia for Enterprise Companies</v>
      </c>
      <c r="C384" s="6" t="str">
        <f>IFERROR(__xludf.DUMMYFUNCTION("""COMPUTED_VALUE"""),"techyflavors.com")</f>
        <v>techyflavors.com</v>
      </c>
      <c r="D384" s="7" t="str">
        <f>IFERROR(__xludf.DUMMYFUNCTION("""COMPUTED_VALUE"""),"LISTICLE")</f>
        <v>LISTICLE</v>
      </c>
      <c r="E384" s="7" t="str">
        <f>IFERROR(__xludf.DUMMYFUNCTION("""COMPUTED_VALUE"""),"EDITORIAL")</f>
        <v>EDITORIAL</v>
      </c>
      <c r="F384" s="7" t="str">
        <f>IFERROR(__xludf.DUMMYFUNCTION("""COMPUTED_VALUE"""),"Listicle")</f>
        <v>Listicle</v>
      </c>
      <c r="G384" s="7" t="b">
        <f>IFERROR(__xludf.DUMMYFUNCTION("""COMPUTED_VALUE"""),FALSE)</f>
        <v>0</v>
      </c>
      <c r="H384" s="7" t="str">
        <f>IFERROR(__xludf.DUMMYFUNCTION("""COMPUTED_VALUE"""),"NP Digital Australia, Zib Digital, Prosperity Media, 80/20 Digital, Safari Digital, Measured")</f>
        <v>NP Digital Australia, Zib Digital, Prosperity Media, 80/20 Digital, Safari Digital, Measured</v>
      </c>
      <c r="I384" s="7">
        <f>IFERROR(__xludf.DUMMYFUNCTION("""COMPUTED_VALUE"""),2.0)</f>
        <v>2</v>
      </c>
      <c r="J384" s="7">
        <f>IFERROR(__xludf.DUMMYFUNCTION("""COMPUTED_VALUE"""),0.0)</f>
        <v>0</v>
      </c>
      <c r="K384" s="7">
        <f>IFERROR(__xludf.DUMMYFUNCTION("""COMPUTED_VALUE"""),0.0)</f>
        <v>0</v>
      </c>
      <c r="L384" s="7"/>
    </row>
    <row r="385" ht="15.75" customHeight="1">
      <c r="A385" s="6" t="str">
        <f>IFERROR(__xludf.DUMMYFUNCTION("""COMPUTED_VALUE"""),"https://thatware.co/top-10-seo-companies-in-australia/")</f>
        <v>https://thatware.co/top-10-seo-companies-in-australia/</v>
      </c>
      <c r="B385" s="7" t="str">
        <f>IFERROR(__xludf.DUMMYFUNCTION("""COMPUTED_VALUE"""),"Top SEO Companies in Australia | 10 Best Australia SEO Firms")</f>
        <v>Top SEO Companies in Australia | 10 Best Australia SEO Firms</v>
      </c>
      <c r="C385" s="6" t="str">
        <f>IFERROR(__xludf.DUMMYFUNCTION("""COMPUTED_VALUE"""),"thatware.co")</f>
        <v>thatware.co</v>
      </c>
      <c r="D385" s="7" t="str">
        <f>IFERROR(__xludf.DUMMYFUNCTION("""COMPUTED_VALUE"""),"LISTICLE")</f>
        <v>LISTICLE</v>
      </c>
      <c r="E385" s="7" t="str">
        <f>IFERROR(__xludf.DUMMYFUNCTION("""COMPUTED_VALUE"""),"CORPORATE")</f>
        <v>CORPORATE</v>
      </c>
      <c r="F385" s="7" t="str">
        <f>IFERROR(__xludf.DUMMYFUNCTION("""COMPUTED_VALUE"""),"Listicle")</f>
        <v>Listicle</v>
      </c>
      <c r="G385" s="7" t="b">
        <f>IFERROR(__xludf.DUMMYFUNCTION("""COMPUTED_VALUE"""),FALSE)</f>
        <v>0</v>
      </c>
      <c r="H385" s="7" t="str">
        <f>IFERROR(__xludf.DUMMYFUNCTION("""COMPUTED_VALUE"""),"Ninja Promo, Supple Digital, Safari Digital, Digital Nomads HQ, Clearwater Agency, Gorilla 360, Measured, Zib Digital")</f>
        <v>Ninja Promo, Supple Digital, Safari Digital, Digital Nomads HQ, Clearwater Agency, Gorilla 360, Measured, Zib Digital</v>
      </c>
      <c r="I385" s="7">
        <f>IFERROR(__xludf.DUMMYFUNCTION("""COMPUTED_VALUE"""),2.0)</f>
        <v>2</v>
      </c>
      <c r="J385" s="7">
        <f>IFERROR(__xludf.DUMMYFUNCTION("""COMPUTED_VALUE"""),0.0)</f>
        <v>0</v>
      </c>
      <c r="K385" s="7">
        <f>IFERROR(__xludf.DUMMYFUNCTION("""COMPUTED_VALUE"""),1.5)</f>
        <v>1.5</v>
      </c>
      <c r="L385" s="7"/>
    </row>
    <row r="386" ht="15.75" customHeight="1">
      <c r="A386" s="6" t="str">
        <f>IFERROR(__xludf.DUMMYFUNCTION("""COMPUTED_VALUE"""),"https://www.thehero.co/about")</f>
        <v>https://www.thehero.co/about</v>
      </c>
      <c r="B386" s="7" t="str">
        <f>IFERROR(__xludf.DUMMYFUNCTION("""COMPUTED_VALUE"""),"ABOUT | Leading Creative &amp;amp; Brand Partner for Australia’s Best Brands and Marketing Performance HERO")</f>
        <v>ABOUT | Leading Creative &amp;amp; Brand Partner for Australia’s Best Brands and Marketing Performance HERO</v>
      </c>
      <c r="C386" s="6" t="str">
        <f>IFERROR(__xludf.DUMMYFUNCTION("""COMPUTED_VALUE"""),"thehero.co")</f>
        <v>thehero.co</v>
      </c>
      <c r="D386" s="7" t="str">
        <f>IFERROR(__xludf.DUMMYFUNCTION("""COMPUTED_VALUE"""),"PROFILE")</f>
        <v>PROFILE</v>
      </c>
      <c r="E386" s="7" t="str">
        <f>IFERROR(__xludf.DUMMYFUNCTION("""COMPUTED_VALUE"""),"CORPORATE")</f>
        <v>CORPORATE</v>
      </c>
      <c r="F386" s="7" t="str">
        <f>IFERROR(__xludf.DUMMYFUNCTION("""COMPUTED_VALUE"""),"Profile")</f>
        <v>Profile</v>
      </c>
      <c r="G386" s="7" t="b">
        <f>IFERROR(__xludf.DUMMYFUNCTION("""COMPUTED_VALUE"""),FALSE)</f>
        <v>0</v>
      </c>
      <c r="H386" s="7" t="str">
        <f>IFERROR(__xludf.DUMMYFUNCTION("""COMPUTED_VALUE"""),"HERO, Momentum, PHD")</f>
        <v>HERO, Momentum, PHD</v>
      </c>
      <c r="I386" s="7">
        <f>IFERROR(__xludf.DUMMYFUNCTION("""COMPUTED_VALUE"""),2.0)</f>
        <v>2</v>
      </c>
      <c r="J386" s="7">
        <f>IFERROR(__xludf.DUMMYFUNCTION("""COMPUTED_VALUE"""),0.0)</f>
        <v>0</v>
      </c>
      <c r="K386" s="7">
        <f>IFERROR(__xludf.DUMMYFUNCTION("""COMPUTED_VALUE"""),0.0)</f>
        <v>0</v>
      </c>
      <c r="L386" s="7"/>
    </row>
    <row r="387" ht="15.75" customHeight="1">
      <c r="A387" s="6" t="str">
        <f>IFERROR(__xludf.DUMMYFUNCTION("""COMPUTED_VALUE"""),"https://themanifest.com/au/social-media/tiktok/agencies")</f>
        <v>https://themanifest.com/au/social-media/tiktok/agencies</v>
      </c>
      <c r="B387" s="7" t="str">
        <f>IFERROR(__xludf.DUMMYFUNCTION("""COMPUTED_VALUE"""),"The Best TikTok Advertising Companies in Australia - Jul 2026 | The Manifest")</f>
        <v>The Best TikTok Advertising Companies in Australia - Jul 2026 | The Manifest</v>
      </c>
      <c r="C387" s="6" t="str">
        <f>IFERROR(__xludf.DUMMYFUNCTION("""COMPUTED_VALUE"""),"themanifest.com")</f>
        <v>themanifest.com</v>
      </c>
      <c r="D387" s="7" t="str">
        <f>IFERROR(__xludf.DUMMYFUNCTION("""COMPUTED_VALUE"""),"LISTICLE")</f>
        <v>LISTICLE</v>
      </c>
      <c r="E387" s="7" t="str">
        <f>IFERROR(__xludf.DUMMYFUNCTION("""COMPUTED_VALUE"""),"REFERENCE")</f>
        <v>REFERENCE</v>
      </c>
      <c r="F387" s="7" t="str">
        <f>IFERROR(__xludf.DUMMYFUNCTION("""COMPUTED_VALUE"""),"Listicle")</f>
        <v>Listicle</v>
      </c>
      <c r="G387" s="7" t="b">
        <f>IFERROR(__xludf.DUMMYFUNCTION("""COMPUTED_VALUE"""),FALSE)</f>
        <v>0</v>
      </c>
      <c r="H387" s="7" t="str">
        <f>IFERROR(__xludf.DUMMYFUNCTION("""COMPUTED_VALUE"""),"Digital Nomads HQ, Megaphone, Soup Agency, Paradox Marketing, Emote Digital, Bench Media, Salt &amp; Fuessel, Reform Digital")</f>
        <v>Digital Nomads HQ, Megaphone, Soup Agency, Paradox Marketing, Emote Digital, Bench Media, Salt &amp; Fuessel, Reform Digital</v>
      </c>
      <c r="I387" s="7">
        <f>IFERROR(__xludf.DUMMYFUNCTION("""COMPUTED_VALUE"""),2.0)</f>
        <v>2</v>
      </c>
      <c r="J387" s="7">
        <f>IFERROR(__xludf.DUMMYFUNCTION("""COMPUTED_VALUE"""),0.0)</f>
        <v>0</v>
      </c>
      <c r="K387" s="7">
        <f>IFERROR(__xludf.DUMMYFUNCTION("""COMPUTED_VALUE"""),0.0)</f>
        <v>0</v>
      </c>
      <c r="L387" s="7"/>
    </row>
    <row r="388" ht="15.75" customHeight="1">
      <c r="A388" s="6" t="str">
        <f>IFERROR(__xludf.DUMMYFUNCTION("""COMPUTED_VALUE"""),"https://www.upliftgtm.com/blog/best-geo-agencies")</f>
        <v>https://www.upliftgtm.com/blog/best-geo-agencies</v>
      </c>
      <c r="B388" s="7" t="str">
        <f>IFERROR(__xludf.DUMMYFUNCTION("""COMPUTED_VALUE"""),"Best GEO Agencies 2026: Top 12 Generative Engine Optimization Firms")</f>
        <v>Best GEO Agencies 2026: Top 12 Generative Engine Optimization Firms</v>
      </c>
      <c r="C388" s="6" t="str">
        <f>IFERROR(__xludf.DUMMYFUNCTION("""COMPUTED_VALUE"""),"upliftgtm.com")</f>
        <v>upliftgtm.com</v>
      </c>
      <c r="D388" s="7" t="str">
        <f>IFERROR(__xludf.DUMMYFUNCTION("""COMPUTED_VALUE"""),"LISTICLE")</f>
        <v>LISTICLE</v>
      </c>
      <c r="E388" s="7" t="str">
        <f>IFERROR(__xludf.DUMMYFUNCTION("""COMPUTED_VALUE"""),"CORPORATE")</f>
        <v>CORPORATE</v>
      </c>
      <c r="F388" s="7" t="str">
        <f>IFERROR(__xludf.DUMMYFUNCTION("""COMPUTED_VALUE"""),"Listicle")</f>
        <v>Listicle</v>
      </c>
      <c r="G388" s="7" t="b">
        <f>IFERROR(__xludf.DUMMYFUNCTION("""COMPUTED_VALUE"""),FALSE)</f>
        <v>0</v>
      </c>
      <c r="H388" s="7"/>
      <c r="I388" s="7">
        <f>IFERROR(__xludf.DUMMYFUNCTION("""COMPUTED_VALUE"""),2.0)</f>
        <v>2</v>
      </c>
      <c r="J388" s="7">
        <f>IFERROR(__xludf.DUMMYFUNCTION("""COMPUTED_VALUE"""),0.0)</f>
        <v>0</v>
      </c>
      <c r="K388" s="7">
        <f>IFERROR(__xludf.DUMMYFUNCTION("""COMPUTED_VALUE"""),0.0)</f>
        <v>0</v>
      </c>
      <c r="L388" s="7"/>
    </row>
    <row r="389" ht="15.75" customHeight="1">
      <c r="A389" s="6" t="str">
        <f>IFERROR(__xludf.DUMMYFUNCTION("""COMPUTED_VALUE"""),"https://xpon.ai/resources/best-ai-marketing-tools-for-2025/")</f>
        <v>https://xpon.ai/resources/best-ai-marketing-tools-for-2025/</v>
      </c>
      <c r="B389" s="7" t="str">
        <f>IFERROR(__xludf.DUMMYFUNCTION("""COMPUTED_VALUE"""),"Best AI Marketing Tools 2026: Australia &amp;amp; NZ Guide | XPON")</f>
        <v>Best AI Marketing Tools 2026: Australia &amp;amp; NZ Guide | XPON</v>
      </c>
      <c r="C389" s="6" t="str">
        <f>IFERROR(__xludf.DUMMYFUNCTION("""COMPUTED_VALUE"""),"xpon.ai")</f>
        <v>xpon.ai</v>
      </c>
      <c r="D389" s="7" t="str">
        <f>IFERROR(__xludf.DUMMYFUNCTION("""COMPUTED_VALUE"""),"LISTICLE")</f>
        <v>LISTICLE</v>
      </c>
      <c r="E389" s="7" t="str">
        <f>IFERROR(__xludf.DUMMYFUNCTION("""COMPUTED_VALUE"""),"COMPETITOR")</f>
        <v>COMPETITOR</v>
      </c>
      <c r="F389" s="7" t="str">
        <f>IFERROR(__xludf.DUMMYFUNCTION("""COMPUTED_VALUE"""),"Listicle")</f>
        <v>Listicle</v>
      </c>
      <c r="G389" s="7" t="b">
        <f>IFERROR(__xludf.DUMMYFUNCTION("""COMPUTED_VALUE"""),FALSE)</f>
        <v>0</v>
      </c>
      <c r="H389" s="7" t="str">
        <f>IFERROR(__xludf.DUMMYFUNCTION("""COMPUTED_VALUE"""),"XPON")</f>
        <v>XPON</v>
      </c>
      <c r="I389" s="7">
        <f>IFERROR(__xludf.DUMMYFUNCTION("""COMPUTED_VALUE"""),2.0)</f>
        <v>2</v>
      </c>
      <c r="J389" s="7">
        <f>IFERROR(__xludf.DUMMYFUNCTION("""COMPUTED_VALUE"""),0.0)</f>
        <v>0</v>
      </c>
      <c r="K389" s="7">
        <f>IFERROR(__xludf.DUMMYFUNCTION("""COMPUTED_VALUE"""),0.5)</f>
        <v>0.5</v>
      </c>
      <c r="L389" s="7"/>
    </row>
    <row r="390" ht="15.75" customHeight="1">
      <c r="A390" s="6" t="str">
        <f>IFERROR(__xludf.DUMMYFUNCTION("""COMPUTED_VALUE"""),"https://www.youfinddigital.com/blog/best-geo-agency-for-ai-search.html")</f>
        <v>https://www.youfinddigital.com/blog/best-geo-agency-for-ai-search.html</v>
      </c>
      <c r="B390" s="7" t="str">
        <f>IFERROR(__xludf.DUMMYFUNCTION("""COMPUTED_VALUE"""),"15 Best GEO Agencies in 2026 | Top Generative Engine Optimization Firms")</f>
        <v>15 Best GEO Agencies in 2026 | Top Generative Engine Optimization Firms</v>
      </c>
      <c r="C390" s="6" t="str">
        <f>IFERROR(__xludf.DUMMYFUNCTION("""COMPUTED_VALUE"""),"youfinddigital.com")</f>
        <v>youfinddigital.com</v>
      </c>
      <c r="D390" s="7" t="str">
        <f>IFERROR(__xludf.DUMMYFUNCTION("""COMPUTED_VALUE"""),"LISTICLE")</f>
        <v>LISTICLE</v>
      </c>
      <c r="E390" s="7" t="str">
        <f>IFERROR(__xludf.DUMMYFUNCTION("""COMPUTED_VALUE"""),"CORPORATE")</f>
        <v>CORPORATE</v>
      </c>
      <c r="F390" s="7" t="str">
        <f>IFERROR(__xludf.DUMMYFUNCTION("""COMPUTED_VALUE"""),"Listicle")</f>
        <v>Listicle</v>
      </c>
      <c r="G390" s="7" t="b">
        <f>IFERROR(__xludf.DUMMYFUNCTION("""COMPUTED_VALUE"""),FALSE)</f>
        <v>0</v>
      </c>
      <c r="H390" s="7" t="str">
        <f>IFERROR(__xludf.DUMMYFUNCTION("""COMPUTED_VALUE"""),"Intero Digital, First Page")</f>
        <v>Intero Digital, First Page</v>
      </c>
      <c r="I390" s="7">
        <f>IFERROR(__xludf.DUMMYFUNCTION("""COMPUTED_VALUE"""),2.0)</f>
        <v>2</v>
      </c>
      <c r="J390" s="7">
        <f>IFERROR(__xludf.DUMMYFUNCTION("""COMPUTED_VALUE"""),0.0)</f>
        <v>0</v>
      </c>
      <c r="K390" s="7">
        <f>IFERROR(__xludf.DUMMYFUNCTION("""COMPUTED_VALUE"""),0.0)</f>
        <v>0</v>
      </c>
      <c r="L390" s="7"/>
    </row>
    <row r="391" ht="15.75" customHeight="1">
      <c r="A391" s="6" t="str">
        <f>IFERROR(__xludf.DUMMYFUNCTION("""COMPUTED_VALUE"""),"https://www.youtube.com/watch?v=3y6n2-qGxnE")</f>
        <v>https://www.youtube.com/watch?v=3y6n2-qGxnE</v>
      </c>
      <c r="B391" s="7" t="str">
        <f>IFERROR(__xludf.DUMMYFUNCTION("""COMPUTED_VALUE"""),"12 Best AI Digital Marketing Services in Australia | Solve Traffic &amp; Sales Problems in 2026")</f>
        <v>12 Best AI Digital Marketing Services in Australia | Solve Traffic &amp; Sales Problems in 2026</v>
      </c>
      <c r="C391" s="6" t="str">
        <f>IFERROR(__xludf.DUMMYFUNCTION("""COMPUTED_VALUE"""),"youtube.com")</f>
        <v>youtube.com</v>
      </c>
      <c r="D391" s="7" t="str">
        <f>IFERROR(__xludf.DUMMYFUNCTION("""COMPUTED_VALUE"""),"LISTICLE")</f>
        <v>LISTICLE</v>
      </c>
      <c r="E391" s="7" t="str">
        <f>IFERROR(__xludf.DUMMYFUNCTION("""COMPUTED_VALUE"""),"UGC")</f>
        <v>UGC</v>
      </c>
      <c r="F391" s="7" t="str">
        <f>IFERROR(__xludf.DUMMYFUNCTION("""COMPUTED_VALUE"""),"Listicle")</f>
        <v>Listicle</v>
      </c>
      <c r="G391" s="7" t="b">
        <f>IFERROR(__xludf.DUMMYFUNCTION("""COMPUTED_VALUE"""),FALSE)</f>
        <v>0</v>
      </c>
      <c r="H391" s="7" t="str">
        <f>IFERROR(__xludf.DUMMYFUNCTION("""COMPUTED_VALUE"""),"OMD, Rocket Agency, Digital Movement, First Page, Emote Digital")</f>
        <v>OMD, Rocket Agency, Digital Movement, First Page, Emote Digital</v>
      </c>
      <c r="I391" s="7">
        <f>IFERROR(__xludf.DUMMYFUNCTION("""COMPUTED_VALUE"""),2.0)</f>
        <v>2</v>
      </c>
      <c r="J391" s="7">
        <f>IFERROR(__xludf.DUMMYFUNCTION("""COMPUTED_VALUE"""),0.0)</f>
        <v>0</v>
      </c>
      <c r="K391" s="7">
        <f>IFERROR(__xludf.DUMMYFUNCTION("""COMPUTED_VALUE"""),2.0)</f>
        <v>2</v>
      </c>
      <c r="L391" s="7"/>
    </row>
    <row r="392" ht="15.75" customHeight="1">
      <c r="A392" s="6" t="str">
        <f>IFERROR(__xludf.DUMMYFUNCTION("""COMPUTED_VALUE"""),"https://www.youtube.com/watch?v=Mggba8bAXVU")</f>
        <v>https://www.youtube.com/watch?v=Mggba8bAXVU</v>
      </c>
      <c r="B392" s="7" t="str">
        <f>IFERROR(__xludf.DUMMYFUNCTION("""COMPUTED_VALUE"""),"How Australia's Top SEO Agency Is Ranking Clients in ChatGPT | James Norquay")</f>
        <v>How Australia's Top SEO Agency Is Ranking Clients in ChatGPT | James Norquay</v>
      </c>
      <c r="C392" s="6" t="str">
        <f>IFERROR(__xludf.DUMMYFUNCTION("""COMPUTED_VALUE"""),"youtube.com")</f>
        <v>youtube.com</v>
      </c>
      <c r="D392" s="7" t="str">
        <f>IFERROR(__xludf.DUMMYFUNCTION("""COMPUTED_VALUE"""),"ARTICLE")</f>
        <v>ARTICLE</v>
      </c>
      <c r="E392" s="7" t="str">
        <f>IFERROR(__xludf.DUMMYFUNCTION("""COMPUTED_VALUE"""),"UGC")</f>
        <v>UGC</v>
      </c>
      <c r="F392" s="7" t="str">
        <f>IFERROR(__xludf.DUMMYFUNCTION("""COMPUTED_VALUE"""),"Article")</f>
        <v>Article</v>
      </c>
      <c r="G392" s="7" t="b">
        <f>IFERROR(__xludf.DUMMYFUNCTION("""COMPUTED_VALUE"""),FALSE)</f>
        <v>0</v>
      </c>
      <c r="H392" s="7" t="str">
        <f>IFERROR(__xludf.DUMMYFUNCTION("""COMPUTED_VALUE"""),"Prosperity Media, Huge, HERO")</f>
        <v>Prosperity Media, Huge, HERO</v>
      </c>
      <c r="I392" s="7">
        <f>IFERROR(__xludf.DUMMYFUNCTION("""COMPUTED_VALUE"""),2.0)</f>
        <v>2</v>
      </c>
      <c r="J392" s="7">
        <f>IFERROR(__xludf.DUMMYFUNCTION("""COMPUTED_VALUE"""),0.0)</f>
        <v>0</v>
      </c>
      <c r="K392" s="7">
        <f>IFERROR(__xludf.DUMMYFUNCTION("""COMPUTED_VALUE"""),1.5)</f>
        <v>1.5</v>
      </c>
      <c r="L392" s="7"/>
    </row>
    <row r="393" ht="15.75" customHeight="1">
      <c r="A393" s="6" t="str">
        <f>IFERROR(__xludf.DUMMYFUNCTION("""COMPUTED_VALUE"""),"https://zipdo.co/service/marketing-attribution/")</f>
        <v>https://zipdo.co/service/marketing-attribution/</v>
      </c>
      <c r="B393" s="7" t="str">
        <f>IFERROR(__xludf.DUMMYFUNCTION("""COMPUTED_VALUE"""),"Top 10 Best Marketing Attribution Services | Top Picks 2026")</f>
        <v>Top 10 Best Marketing Attribution Services | Top Picks 2026</v>
      </c>
      <c r="C393" s="6" t="str">
        <f>IFERROR(__xludf.DUMMYFUNCTION("""COMPUTED_VALUE"""),"zipdo.co")</f>
        <v>zipdo.co</v>
      </c>
      <c r="D393" s="7" t="str">
        <f>IFERROR(__xludf.DUMMYFUNCTION("""COMPUTED_VALUE"""),"LISTICLE")</f>
        <v>LISTICLE</v>
      </c>
      <c r="E393" s="7" t="str">
        <f>IFERROR(__xludf.DUMMYFUNCTION("""COMPUTED_VALUE"""),"REFERENCE")</f>
        <v>REFERENCE</v>
      </c>
      <c r="F393" s="7" t="str">
        <f>IFERROR(__xludf.DUMMYFUNCTION("""COMPUTED_VALUE"""),"Listicle")</f>
        <v>Listicle</v>
      </c>
      <c r="G393" s="7" t="b">
        <f>IFERROR(__xludf.DUMMYFUNCTION("""COMPUTED_VALUE"""),FALSE)</f>
        <v>0</v>
      </c>
      <c r="H393" s="7" t="str">
        <f>IFERROR(__xludf.DUMMYFUNCTION("""COMPUTED_VALUE"""),"Deloitte")</f>
        <v>Deloitte</v>
      </c>
      <c r="I393" s="7">
        <f>IFERROR(__xludf.DUMMYFUNCTION("""COMPUTED_VALUE"""),2.0)</f>
        <v>2</v>
      </c>
      <c r="J393" s="7">
        <f>IFERROR(__xludf.DUMMYFUNCTION("""COMPUTED_VALUE"""),0.0)</f>
        <v>0</v>
      </c>
      <c r="K393" s="7">
        <f>IFERROR(__xludf.DUMMYFUNCTION("""COMPUTED_VALUE"""),0.0)</f>
        <v>0</v>
      </c>
      <c r="L393" s="7"/>
    </row>
    <row r="394" ht="15.75" customHeight="1">
      <c r="A394" s="6" t="str">
        <f>IFERROR(__xludf.DUMMYFUNCTION("""COMPUTED_VALUE"""),"https://www.10seos.com/au/display-advertising-companies-in-australia?page=16")</f>
        <v>https://www.10seos.com/au/display-advertising-companies-in-australia?page=16</v>
      </c>
      <c r="B394" s="7" t="str">
        <f>IFERROR(__xludf.DUMMYFUNCTION("""COMPUTED_VALUE"""),"Top 10 Display Advertising Companies For Best Services-Australia | July 2026")</f>
        <v>Top 10 Display Advertising Companies For Best Services-Australia | July 2026</v>
      </c>
      <c r="C394" s="6" t="str">
        <f>IFERROR(__xludf.DUMMYFUNCTION("""COMPUTED_VALUE"""),"10seos.com")</f>
        <v>10seos.com</v>
      </c>
      <c r="D394" s="7" t="str">
        <f>IFERROR(__xludf.DUMMYFUNCTION("""COMPUTED_VALUE"""),"OTHER")</f>
        <v>OTHER</v>
      </c>
      <c r="E394" s="7" t="str">
        <f>IFERROR(__xludf.DUMMYFUNCTION("""COMPUTED_VALUE"""),"REFERENCE")</f>
        <v>REFERENCE</v>
      </c>
      <c r="F394" s="7" t="str">
        <f>IFERROR(__xludf.DUMMYFUNCTION("""COMPUTED_VALUE"""),"Other")</f>
        <v>Other</v>
      </c>
      <c r="G394" s="7" t="b">
        <f>IFERROR(__xludf.DUMMYFUNCTION("""COMPUTED_VALUE"""),FALSE)</f>
        <v>0</v>
      </c>
      <c r="H394" s="7"/>
      <c r="I394" s="7">
        <f>IFERROR(__xludf.DUMMYFUNCTION("""COMPUTED_VALUE"""),1.0)</f>
        <v>1</v>
      </c>
      <c r="J394" s="7">
        <f>IFERROR(__xludf.DUMMYFUNCTION("""COMPUTED_VALUE"""),0.0)</f>
        <v>0</v>
      </c>
      <c r="K394" s="7">
        <f>IFERROR(__xludf.DUMMYFUNCTION("""COMPUTED_VALUE"""),0.0)</f>
        <v>0</v>
      </c>
      <c r="L394" s="7"/>
    </row>
    <row r="395" ht="15.75" customHeight="1">
      <c r="A395" s="6" t="str">
        <f>IFERROR(__xludf.DUMMYFUNCTION("""COMPUTED_VALUE"""),"https://www.10seos.com/au/display-advertising-companies-in-melbourne-australia")</f>
        <v>https://www.10seos.com/au/display-advertising-companies-in-melbourne-australia</v>
      </c>
      <c r="B395" s="7" t="str">
        <f>IFERROR(__xludf.DUMMYFUNCTION("""COMPUTED_VALUE"""),"Top 10 Display Advertising Companies For Best Services-Melbourne-Australia | July 2026")</f>
        <v>Top 10 Display Advertising Companies For Best Services-Melbourne-Australia | July 2026</v>
      </c>
      <c r="C395" s="6" t="str">
        <f>IFERROR(__xludf.DUMMYFUNCTION("""COMPUTED_VALUE"""),"10seos.com")</f>
        <v>10seos.com</v>
      </c>
      <c r="D395" s="7" t="str">
        <f>IFERROR(__xludf.DUMMYFUNCTION("""COMPUTED_VALUE"""),"OTHER")</f>
        <v>OTHER</v>
      </c>
      <c r="E395" s="7" t="str">
        <f>IFERROR(__xludf.DUMMYFUNCTION("""COMPUTED_VALUE"""),"REFERENCE")</f>
        <v>REFERENCE</v>
      </c>
      <c r="F395" s="7" t="str">
        <f>IFERROR(__xludf.DUMMYFUNCTION("""COMPUTED_VALUE"""),"Other")</f>
        <v>Other</v>
      </c>
      <c r="G395" s="7" t="b">
        <f>IFERROR(__xludf.DUMMYFUNCTION("""COMPUTED_VALUE"""),FALSE)</f>
        <v>0</v>
      </c>
      <c r="H395" s="7" t="str">
        <f>IFERROR(__xludf.DUMMYFUNCTION("""COMPUTED_VALUE"""),"eMarket Experts, Intesols")</f>
        <v>eMarket Experts, Intesols</v>
      </c>
      <c r="I395" s="7">
        <f>IFERROR(__xludf.DUMMYFUNCTION("""COMPUTED_VALUE"""),1.0)</f>
        <v>1</v>
      </c>
      <c r="J395" s="7">
        <f>IFERROR(__xludf.DUMMYFUNCTION("""COMPUTED_VALUE"""),0.0)</f>
        <v>0</v>
      </c>
      <c r="K395" s="7">
        <f>IFERROR(__xludf.DUMMYFUNCTION("""COMPUTED_VALUE"""),0.0)</f>
        <v>0</v>
      </c>
      <c r="L395" s="7"/>
    </row>
    <row r="396" ht="15.75" customHeight="1">
      <c r="A396" s="6" t="str">
        <f>IFERROR(__xludf.DUMMYFUNCTION("""COMPUTED_VALUE"""),"https://6sense.com/blog/best-account-based-marketing-platforms/")</f>
        <v>https://6sense.com/blog/best-account-based-marketing-platforms/</v>
      </c>
      <c r="B396" s="7" t="str">
        <f>IFERROR(__xludf.DUMMYFUNCTION("""COMPUTED_VALUE"""),"Best Account Based Marketing Platforms | 6sense")</f>
        <v>Best Account Based Marketing Platforms | 6sense</v>
      </c>
      <c r="C396" s="6" t="str">
        <f>IFERROR(__xludf.DUMMYFUNCTION("""COMPUTED_VALUE"""),"6sense.com")</f>
        <v>6sense.com</v>
      </c>
      <c r="D396" s="7" t="str">
        <f>IFERROR(__xludf.DUMMYFUNCTION("""COMPUTED_VALUE"""),"LISTICLE")</f>
        <v>LISTICLE</v>
      </c>
      <c r="E396" s="7" t="str">
        <f>IFERROR(__xludf.DUMMYFUNCTION("""COMPUTED_VALUE"""),"CORPORATE")</f>
        <v>CORPORATE</v>
      </c>
      <c r="F396" s="7" t="str">
        <f>IFERROR(__xludf.DUMMYFUNCTION("""COMPUTED_VALUE"""),"Listicle")</f>
        <v>Listicle</v>
      </c>
      <c r="G396" s="7" t="b">
        <f>IFERROR(__xludf.DUMMYFUNCTION("""COMPUTED_VALUE"""),FALSE)</f>
        <v>0</v>
      </c>
      <c r="H396" s="7"/>
      <c r="I396" s="7">
        <f>IFERROR(__xludf.DUMMYFUNCTION("""COMPUTED_VALUE"""),1.0)</f>
        <v>1</v>
      </c>
      <c r="J396" s="7">
        <f>IFERROR(__xludf.DUMMYFUNCTION("""COMPUTED_VALUE"""),0.0)</f>
        <v>0</v>
      </c>
      <c r="K396" s="7">
        <f>IFERROR(__xludf.DUMMYFUNCTION("""COMPUTED_VALUE"""),1.0)</f>
        <v>1</v>
      </c>
      <c r="L396" s="7"/>
    </row>
    <row r="397" ht="15.75" customHeight="1">
      <c r="A397" s="6" t="str">
        <f>IFERROR(__xludf.DUMMYFUNCTION("""COMPUTED_VALUE"""),"https://aamax.co/blog/top-10-best-digital-marketing-companies-in-australia")</f>
        <v>https://aamax.co/blog/top-10-best-digital-marketing-companies-in-australia</v>
      </c>
      <c r="B397" s="7" t="str">
        <f>IFERROR(__xludf.DUMMYFUNCTION("""COMPUTED_VALUE"""),"Top 10 Best Digital Marketing Companies in Australia")</f>
        <v>Top 10 Best Digital Marketing Companies in Australia</v>
      </c>
      <c r="C397" s="6" t="str">
        <f>IFERROR(__xludf.DUMMYFUNCTION("""COMPUTED_VALUE"""),"aamax.co")</f>
        <v>aamax.co</v>
      </c>
      <c r="D397" s="7" t="str">
        <f>IFERROR(__xludf.DUMMYFUNCTION("""COMPUTED_VALUE"""),"LISTICLE")</f>
        <v>LISTICLE</v>
      </c>
      <c r="E397" s="7" t="str">
        <f>IFERROR(__xludf.DUMMYFUNCTION("""COMPUTED_VALUE"""),"CORPORATE")</f>
        <v>CORPORATE</v>
      </c>
      <c r="F397" s="7" t="str">
        <f>IFERROR(__xludf.DUMMYFUNCTION("""COMPUTED_VALUE"""),"Listicle")</f>
        <v>Listicle</v>
      </c>
      <c r="G397" s="7" t="b">
        <f>IFERROR(__xludf.DUMMYFUNCTION("""COMPUTED_VALUE"""),FALSE)</f>
        <v>0</v>
      </c>
      <c r="H397" s="7" t="str">
        <f>IFERROR(__xludf.DUMMYFUNCTION("""COMPUTED_VALUE"""),"WPP, Dentsu, Resolution Digital, Sparro, StudioHawk, Webprofits, Online Marketing Gurus")</f>
        <v>WPP, Dentsu, Resolution Digital, Sparro, StudioHawk, Webprofits, Online Marketing Gurus</v>
      </c>
      <c r="I397" s="7">
        <f>IFERROR(__xludf.DUMMYFUNCTION("""COMPUTED_VALUE"""),1.0)</f>
        <v>1</v>
      </c>
      <c r="J397" s="7">
        <f>IFERROR(__xludf.DUMMYFUNCTION("""COMPUTED_VALUE"""),0.0)</f>
        <v>0</v>
      </c>
      <c r="K397" s="7">
        <f>IFERROR(__xludf.DUMMYFUNCTION("""COMPUTED_VALUE"""),1.0)</f>
        <v>1</v>
      </c>
      <c r="L397" s="7"/>
    </row>
    <row r="398" ht="15.75" customHeight="1">
      <c r="A398" s="6" t="str">
        <f>IFERROR(__xludf.DUMMYFUNCTION("""COMPUTED_VALUE"""),"https://www.abbacustechnologies.com/top-ecommerce-development-firms-in-sydney/")</f>
        <v>https://www.abbacustechnologies.com/top-ecommerce-development-firms-in-sydney/</v>
      </c>
      <c r="B398" s="7" t="str">
        <f>IFERROR(__xludf.DUMMYFUNCTION("""COMPUTED_VALUE"""),"Top Ecommerce Development Firms in Sydney")</f>
        <v>Top Ecommerce Development Firms in Sydney</v>
      </c>
      <c r="C398" s="6" t="str">
        <f>IFERROR(__xludf.DUMMYFUNCTION("""COMPUTED_VALUE"""),"abbacustechnologies.com")</f>
        <v>abbacustechnologies.com</v>
      </c>
      <c r="D398" s="7" t="str">
        <f>IFERROR(__xludf.DUMMYFUNCTION("""COMPUTED_VALUE"""),"PRODUCT_PAGE")</f>
        <v>PRODUCT_PAGE</v>
      </c>
      <c r="E398" s="7" t="str">
        <f>IFERROR(__xludf.DUMMYFUNCTION("""COMPUTED_VALUE"""),"CORPORATE")</f>
        <v>CORPORATE</v>
      </c>
      <c r="F398" s="7" t="str">
        <f>IFERROR(__xludf.DUMMYFUNCTION("""COMPUTED_VALUE"""),"Product Page")</f>
        <v>Product Page</v>
      </c>
      <c r="G398" s="7" t="b">
        <f>IFERROR(__xludf.DUMMYFUNCTION("""COMPUTED_VALUE"""),FALSE)</f>
        <v>0</v>
      </c>
      <c r="H398" s="7" t="str">
        <f>IFERROR(__xludf.DUMMYFUNCTION("""COMPUTED_VALUE"""),"Human Digital, Digital Nomads HQ, Luminary")</f>
        <v>Human Digital, Digital Nomads HQ, Luminary</v>
      </c>
      <c r="I398" s="7">
        <f>IFERROR(__xludf.DUMMYFUNCTION("""COMPUTED_VALUE"""),1.0)</f>
        <v>1</v>
      </c>
      <c r="J398" s="7">
        <f>IFERROR(__xludf.DUMMYFUNCTION("""COMPUTED_VALUE"""),0.0)</f>
        <v>0</v>
      </c>
      <c r="K398" s="7">
        <f>IFERROR(__xludf.DUMMYFUNCTION("""COMPUTED_VALUE"""),1.0)</f>
        <v>1</v>
      </c>
      <c r="L398" s="7"/>
    </row>
    <row r="399" ht="15.75" customHeight="1">
      <c r="A399" s="6" t="str">
        <f>IFERROR(__xludf.DUMMYFUNCTION("""COMPUTED_VALUE"""),"https://www.adcore.com/blog/5-best-digital-marketing-agencies-in-melbourne/")</f>
        <v>https://www.adcore.com/blog/5-best-digital-marketing-agencies-in-melbourne/</v>
      </c>
      <c r="B399" s="7" t="str">
        <f>IFERROR(__xludf.DUMMYFUNCTION("""COMPUTED_VALUE"""),"5 Best Digital Marketing Agencies in Melbourne [2026] | Adcore Blog")</f>
        <v>5 Best Digital Marketing Agencies in Melbourne [2026] | Adcore Blog</v>
      </c>
      <c r="C399" s="6" t="str">
        <f>IFERROR(__xludf.DUMMYFUNCTION("""COMPUTED_VALUE"""),"adcore.com")</f>
        <v>adcore.com</v>
      </c>
      <c r="D399" s="7" t="str">
        <f>IFERROR(__xludf.DUMMYFUNCTION("""COMPUTED_VALUE"""),"LISTICLE")</f>
        <v>LISTICLE</v>
      </c>
      <c r="E399" s="7" t="str">
        <f>IFERROR(__xludf.DUMMYFUNCTION("""COMPUTED_VALUE"""),"COMPETITOR")</f>
        <v>COMPETITOR</v>
      </c>
      <c r="F399" s="7" t="str">
        <f>IFERROR(__xludf.DUMMYFUNCTION("""COMPUTED_VALUE"""),"Listicle")</f>
        <v>Listicle</v>
      </c>
      <c r="G399" s="7" t="b">
        <f>IFERROR(__xludf.DUMMYFUNCTION("""COMPUTED_VALUE"""),FALSE)</f>
        <v>0</v>
      </c>
      <c r="H399" s="7" t="str">
        <f>IFERROR(__xludf.DUMMYFUNCTION("""COMPUTED_VALUE"""),"Adcore Elite, Online Marketing Gurus, Clearwater Agency, Digital Movement")</f>
        <v>Adcore Elite, Online Marketing Gurus, Clearwater Agency, Digital Movement</v>
      </c>
      <c r="I399" s="7">
        <f>IFERROR(__xludf.DUMMYFUNCTION("""COMPUTED_VALUE"""),1.0)</f>
        <v>1</v>
      </c>
      <c r="J399" s="7">
        <f>IFERROR(__xludf.DUMMYFUNCTION("""COMPUTED_VALUE"""),0.0)</f>
        <v>0</v>
      </c>
      <c r="K399" s="7">
        <f>IFERROR(__xludf.DUMMYFUNCTION("""COMPUTED_VALUE"""),1.0)</f>
        <v>1</v>
      </c>
      <c r="L399" s="7"/>
    </row>
    <row r="400" ht="15.75" customHeight="1">
      <c r="A400" s="6" t="str">
        <f>IFERROR(__xludf.DUMMYFUNCTION("""COMPUTED_VALUE"""),"https://agencies.semrush.com/list/advertising/australia/mid-business/")</f>
        <v>https://agencies.semrush.com/list/advertising/australia/mid-business/</v>
      </c>
      <c r="B400" s="7" t="str">
        <f>IFERROR(__xludf.DUMMYFUNCTION("""COMPUTED_VALUE"""),"Best Advertising Agencies for Mid Business in Australia 2026 | Semrush")</f>
        <v>Best Advertising Agencies for Mid Business in Australia 2026 | Semrush</v>
      </c>
      <c r="C400" s="6" t="str">
        <f>IFERROR(__xludf.DUMMYFUNCTION("""COMPUTED_VALUE"""),"semrush.com")</f>
        <v>semrush.com</v>
      </c>
      <c r="D400" s="7" t="str">
        <f>IFERROR(__xludf.DUMMYFUNCTION("""COMPUTED_VALUE"""),"CATEGORY_PAGE")</f>
        <v>CATEGORY_PAGE</v>
      </c>
      <c r="E400" s="7" t="str">
        <f>IFERROR(__xludf.DUMMYFUNCTION("""COMPUTED_VALUE"""),"CORPORATE")</f>
        <v>CORPORATE</v>
      </c>
      <c r="F400" s="7" t="str">
        <f>IFERROR(__xludf.DUMMYFUNCTION("""COMPUTED_VALUE"""),"Category Page")</f>
        <v>Category Page</v>
      </c>
      <c r="G400" s="7" t="b">
        <f>IFERROR(__xludf.DUMMYFUNCTION("""COMPUTED_VALUE"""),FALSE)</f>
        <v>0</v>
      </c>
      <c r="H400" s="7" t="str">
        <f>IFERROR(__xludf.DUMMYFUNCTION("""COMPUTED_VALUE"""),"Edge Marketing, DNM Digital, Supple Digital, Soup Agency, Momentum, First Page, Clearwater Agency, Measured, Earned Media, Impressive, Online Marketing Gurus, Omnicom Media Group, Click Click Media, First Page Australia")</f>
        <v>Edge Marketing, DNM Digital, Supple Digital, Soup Agency, Momentum, First Page, Clearwater Agency, Measured, Earned Media, Impressive, Online Marketing Gurus, Omnicom Media Group, Click Click Media, First Page Australia</v>
      </c>
      <c r="I400" s="7">
        <f>IFERROR(__xludf.DUMMYFUNCTION("""COMPUTED_VALUE"""),1.0)</f>
        <v>1</v>
      </c>
      <c r="J400" s="7">
        <f>IFERROR(__xludf.DUMMYFUNCTION("""COMPUTED_VALUE"""),0.0)</f>
        <v>0</v>
      </c>
      <c r="K400" s="7">
        <f>IFERROR(__xludf.DUMMYFUNCTION("""COMPUTED_VALUE"""),1.0)</f>
        <v>1</v>
      </c>
      <c r="L400" s="7"/>
    </row>
    <row r="401" ht="15.75" customHeight="1">
      <c r="A401" s="6" t="str">
        <f>IFERROR(__xludf.DUMMYFUNCTION("""COMPUTED_VALUE"""),"https://agencies.semrush.com/list/ai-optimization/australia/enterprise-business/")</f>
        <v>https://agencies.semrush.com/list/ai-optimization/australia/enterprise-business/</v>
      </c>
      <c r="B401" s="7" t="str">
        <f>IFERROR(__xludf.DUMMYFUNCTION("""COMPUTED_VALUE"""),"Best AI Search Optimization Agencies for Enterprise Business in Australia 2026 | Semrush")</f>
        <v>Best AI Search Optimization Agencies for Enterprise Business in Australia 2026 | Semrush</v>
      </c>
      <c r="C401" s="6" t="str">
        <f>IFERROR(__xludf.DUMMYFUNCTION("""COMPUTED_VALUE"""),"semrush.com")</f>
        <v>semrush.com</v>
      </c>
      <c r="D401" s="7" t="str">
        <f>IFERROR(__xludf.DUMMYFUNCTION("""COMPUTED_VALUE"""),"CATEGORY_PAGE")</f>
        <v>CATEGORY_PAGE</v>
      </c>
      <c r="E401" s="7" t="str">
        <f>IFERROR(__xludf.DUMMYFUNCTION("""COMPUTED_VALUE"""),"CORPORATE")</f>
        <v>CORPORATE</v>
      </c>
      <c r="F401" s="7" t="str">
        <f>IFERROR(__xludf.DUMMYFUNCTION("""COMPUTED_VALUE"""),"Category Page")</f>
        <v>Category Page</v>
      </c>
      <c r="G401" s="7" t="b">
        <f>IFERROR(__xludf.DUMMYFUNCTION("""COMPUTED_VALUE"""),FALSE)</f>
        <v>0</v>
      </c>
      <c r="H401" s="7" t="str">
        <f>IFERROR(__xludf.DUMMYFUNCTION("""COMPUTED_VALUE"""),"DNM Digital, First Page, Clearwater Agency, Measured, Earned Media, Online Marketing Gurus, Omnicom Media Group, Huge")</f>
        <v>DNM Digital, First Page, Clearwater Agency, Measured, Earned Media, Online Marketing Gurus, Omnicom Media Group, Huge</v>
      </c>
      <c r="I401" s="7">
        <f>IFERROR(__xludf.DUMMYFUNCTION("""COMPUTED_VALUE"""),1.0)</f>
        <v>1</v>
      </c>
      <c r="J401" s="7">
        <f>IFERROR(__xludf.DUMMYFUNCTION("""COMPUTED_VALUE"""),0.0)</f>
        <v>0</v>
      </c>
      <c r="K401" s="7">
        <f>IFERROR(__xludf.DUMMYFUNCTION("""COMPUTED_VALUE"""),0.0)</f>
        <v>0</v>
      </c>
      <c r="L401" s="7"/>
    </row>
    <row r="402" ht="15.75" customHeight="1">
      <c r="A402" s="6" t="str">
        <f>IFERROR(__xludf.DUMMYFUNCTION("""COMPUTED_VALUE"""),"https://agencies.semrush.com/list/ai-optimization/melbourne/")</f>
        <v>https://agencies.semrush.com/list/ai-optimization/melbourne/</v>
      </c>
      <c r="B402" s="7" t="str">
        <f>IFERROR(__xludf.DUMMYFUNCTION("""COMPUTED_VALUE"""),"Best AI Search Optimization Agencies in Melbourne 2026 | Semrush")</f>
        <v>Best AI Search Optimization Agencies in Melbourne 2026 | Semrush</v>
      </c>
      <c r="C402" s="6" t="str">
        <f>IFERROR(__xludf.DUMMYFUNCTION("""COMPUTED_VALUE"""),"semrush.com")</f>
        <v>semrush.com</v>
      </c>
      <c r="D402" s="7" t="str">
        <f>IFERROR(__xludf.DUMMYFUNCTION("""COMPUTED_VALUE"""),"CATEGORY_PAGE")</f>
        <v>CATEGORY_PAGE</v>
      </c>
      <c r="E402" s="7" t="str">
        <f>IFERROR(__xludf.DUMMYFUNCTION("""COMPUTED_VALUE"""),"CORPORATE")</f>
        <v>CORPORATE</v>
      </c>
      <c r="F402" s="7" t="str">
        <f>IFERROR(__xludf.DUMMYFUNCTION("""COMPUTED_VALUE"""),"Category Page")</f>
        <v>Category Page</v>
      </c>
      <c r="G402" s="7" t="b">
        <f>IFERROR(__xludf.DUMMYFUNCTION("""COMPUTED_VALUE"""),FALSE)</f>
        <v>0</v>
      </c>
      <c r="H402" s="7" t="str">
        <f>IFERROR(__xludf.DUMMYFUNCTION("""COMPUTED_VALUE"""),"First Page, Clearwater Agency, Measured, Earned Media, Online Marketing Gurus, Omnicom Media Group, Edge Marketing, DNM Digital")</f>
        <v>First Page, Clearwater Agency, Measured, Earned Media, Online Marketing Gurus, Omnicom Media Group, Edge Marketing, DNM Digital</v>
      </c>
      <c r="I402" s="7">
        <f>IFERROR(__xludf.DUMMYFUNCTION("""COMPUTED_VALUE"""),1.0)</f>
        <v>1</v>
      </c>
      <c r="J402" s="7">
        <f>IFERROR(__xludf.DUMMYFUNCTION("""COMPUTED_VALUE"""),0.0)</f>
        <v>0</v>
      </c>
      <c r="K402" s="7">
        <f>IFERROR(__xludf.DUMMYFUNCTION("""COMPUTED_VALUE"""),0.0)</f>
        <v>0</v>
      </c>
      <c r="L402" s="7"/>
    </row>
    <row r="403" ht="15.75" customHeight="1">
      <c r="A403" s="6" t="str">
        <f>IFERROR(__xludf.DUMMYFUNCTION("""COMPUTED_VALUE"""),"https://agencies.semrush.com/list/analytics-data-science/arts-entertainment/australia/")</f>
        <v>https://agencies.semrush.com/list/analytics-data-science/arts-entertainment/australia/</v>
      </c>
      <c r="B403" s="7" t="str">
        <f>IFERROR(__xludf.DUMMYFUNCTION("""COMPUTED_VALUE"""),"Best Media &amp;amp; Entertainment Data Analytics Services in Australia 2026 | Semrush")</f>
        <v>Best Media &amp;amp; Entertainment Data Analytics Services in Australia 2026 | Semrush</v>
      </c>
      <c r="C403" s="6" t="str">
        <f>IFERROR(__xludf.DUMMYFUNCTION("""COMPUTED_VALUE"""),"semrush.com")</f>
        <v>semrush.com</v>
      </c>
      <c r="D403" s="7" t="str">
        <f>IFERROR(__xludf.DUMMYFUNCTION("""COMPUTED_VALUE"""),"OTHER")</f>
        <v>OTHER</v>
      </c>
      <c r="E403" s="7" t="str">
        <f>IFERROR(__xludf.DUMMYFUNCTION("""COMPUTED_VALUE"""),"CORPORATE")</f>
        <v>CORPORATE</v>
      </c>
      <c r="F403" s="7" t="str">
        <f>IFERROR(__xludf.DUMMYFUNCTION("""COMPUTED_VALUE"""),"Other")</f>
        <v>Other</v>
      </c>
      <c r="G403" s="7" t="b">
        <f>IFERROR(__xludf.DUMMYFUNCTION("""COMPUTED_VALUE"""),FALSE)</f>
        <v>0</v>
      </c>
      <c r="H403" s="7" t="str">
        <f>IFERROR(__xludf.DUMMYFUNCTION("""COMPUTED_VALUE"""),"Soup Agency, First Page, Online Marketing Gurus, Omnicom Media Group, 80/20 Digital, Earned Media")</f>
        <v>Soup Agency, First Page, Online Marketing Gurus, Omnicom Media Group, 80/20 Digital, Earned Media</v>
      </c>
      <c r="I403" s="7">
        <f>IFERROR(__xludf.DUMMYFUNCTION("""COMPUTED_VALUE"""),1.0)</f>
        <v>1</v>
      </c>
      <c r="J403" s="7">
        <f>IFERROR(__xludf.DUMMYFUNCTION("""COMPUTED_VALUE"""),0.0)</f>
        <v>0</v>
      </c>
      <c r="K403" s="7">
        <f>IFERROR(__xludf.DUMMYFUNCTION("""COMPUTED_VALUE"""),0.0)</f>
        <v>0</v>
      </c>
      <c r="L403" s="7"/>
    </row>
    <row r="404" ht="15.75" customHeight="1">
      <c r="A404" s="6" t="str">
        <f>IFERROR(__xludf.DUMMYFUNCTION("""COMPUTED_VALUE"""),"https://agencies.semrush.com/list/analytics-data-science/sydney/")</f>
        <v>https://agencies.semrush.com/list/analytics-data-science/sydney/</v>
      </c>
      <c r="B404" s="7" t="str">
        <f>IFERROR(__xludf.DUMMYFUNCTION("""COMPUTED_VALUE"""),"Best Data Analytics Services in Sydney 2026 | Semrush")</f>
        <v>Best Data Analytics Services in Sydney 2026 | Semrush</v>
      </c>
      <c r="C404" s="6" t="str">
        <f>IFERROR(__xludf.DUMMYFUNCTION("""COMPUTED_VALUE"""),"semrush.com")</f>
        <v>semrush.com</v>
      </c>
      <c r="D404" s="7" t="str">
        <f>IFERROR(__xludf.DUMMYFUNCTION("""COMPUTED_VALUE"""),"CATEGORY_PAGE")</f>
        <v>CATEGORY_PAGE</v>
      </c>
      <c r="E404" s="7" t="str">
        <f>IFERROR(__xludf.DUMMYFUNCTION("""COMPUTED_VALUE"""),"CORPORATE")</f>
        <v>CORPORATE</v>
      </c>
      <c r="F404" s="7" t="str">
        <f>IFERROR(__xludf.DUMMYFUNCTION("""COMPUTED_VALUE"""),"Category Page")</f>
        <v>Category Page</v>
      </c>
      <c r="G404" s="7" t="b">
        <f>IFERROR(__xludf.DUMMYFUNCTION("""COMPUTED_VALUE"""),FALSE)</f>
        <v>0</v>
      </c>
      <c r="H404" s="7" t="str">
        <f>IFERROR(__xludf.DUMMYFUNCTION("""COMPUTED_VALUE"""),"Soup Agency, Online Marketing Gurus, Omnicom Media Group, Click Click Media, Earned Media, Clearwater Agency, Huge, First Page, Measured, Impressive, 80/20 Digital")</f>
        <v>Soup Agency, Online Marketing Gurus, Omnicom Media Group, Click Click Media, Earned Media, Clearwater Agency, Huge, First Page, Measured, Impressive, 80/20 Digital</v>
      </c>
      <c r="I404" s="7">
        <f>IFERROR(__xludf.DUMMYFUNCTION("""COMPUTED_VALUE"""),1.0)</f>
        <v>1</v>
      </c>
      <c r="J404" s="7">
        <f>IFERROR(__xludf.DUMMYFUNCTION("""COMPUTED_VALUE"""),0.0)</f>
        <v>0</v>
      </c>
      <c r="K404" s="7">
        <f>IFERROR(__xludf.DUMMYFUNCTION("""COMPUTED_VALUE"""),0.0)</f>
        <v>0</v>
      </c>
      <c r="L404" s="7"/>
    </row>
    <row r="405" ht="15.75" customHeight="1">
      <c r="A405" s="6" t="str">
        <f>IFERROR(__xludf.DUMMYFUNCTION("""COMPUTED_VALUE"""),"https://agencies.semrush.com/list/display-advertising/business-professional-services/australia/")</f>
        <v>https://agencies.semrush.com/list/display-advertising/business-professional-services/australia/</v>
      </c>
      <c r="B405" s="7" t="str">
        <f>IFERROR(__xludf.DUMMYFUNCTION("""COMPUTED_VALUE"""),"Best B2B Services Display Ads Agencies in Australia 2026 | Semrush")</f>
        <v>Best B2B Services Display Ads Agencies in Australia 2026 | Semrush</v>
      </c>
      <c r="C405" s="6" t="str">
        <f>IFERROR(__xludf.DUMMYFUNCTION("""COMPUTED_VALUE"""),"semrush.com")</f>
        <v>semrush.com</v>
      </c>
      <c r="D405" s="7" t="str">
        <f>IFERROR(__xludf.DUMMYFUNCTION("""COMPUTED_VALUE"""),"CATEGORY_PAGE")</f>
        <v>CATEGORY_PAGE</v>
      </c>
      <c r="E405" s="7" t="str">
        <f>IFERROR(__xludf.DUMMYFUNCTION("""COMPUTED_VALUE"""),"CORPORATE")</f>
        <v>CORPORATE</v>
      </c>
      <c r="F405" s="7" t="str">
        <f>IFERROR(__xludf.DUMMYFUNCTION("""COMPUTED_VALUE"""),"Category Page")</f>
        <v>Category Page</v>
      </c>
      <c r="G405" s="7" t="b">
        <f>IFERROR(__xludf.DUMMYFUNCTION("""COMPUTED_VALUE"""),FALSE)</f>
        <v>0</v>
      </c>
      <c r="H405" s="7" t="str">
        <f>IFERROR(__xludf.DUMMYFUNCTION("""COMPUTED_VALUE"""),"Soup Agency, First Page, Clearwater Agency, Measured, Earned Media, Impressive, Online Marketing Gurus, Omnicom Media Group, First Page Australia, 80/20 Digital, Megaphone, Bonfire")</f>
        <v>Soup Agency, First Page, Clearwater Agency, Measured, Earned Media, Impressive, Online Marketing Gurus, Omnicom Media Group, First Page Australia, 80/20 Digital, Megaphone, Bonfire</v>
      </c>
      <c r="I405" s="7">
        <f>IFERROR(__xludf.DUMMYFUNCTION("""COMPUTED_VALUE"""),1.0)</f>
        <v>1</v>
      </c>
      <c r="J405" s="7">
        <f>IFERROR(__xludf.DUMMYFUNCTION("""COMPUTED_VALUE"""),0.0)</f>
        <v>0</v>
      </c>
      <c r="K405" s="7">
        <f>IFERROR(__xludf.DUMMYFUNCTION("""COMPUTED_VALUE"""),0.0)</f>
        <v>0</v>
      </c>
      <c r="L405" s="7"/>
    </row>
    <row r="406" ht="15.75" customHeight="1">
      <c r="A406" s="6" t="str">
        <f>IFERROR(__xludf.DUMMYFUNCTION("""COMPUTED_VALUE"""),"https://agencies.semrush.com/list/display-advertising/canberra/")</f>
        <v>https://agencies.semrush.com/list/display-advertising/canberra/</v>
      </c>
      <c r="B406" s="7" t="str">
        <f>IFERROR(__xludf.DUMMYFUNCTION("""COMPUTED_VALUE"""),"Best Display Ads Agencies in Canberra 2026 | Semrush")</f>
        <v>Best Display Ads Agencies in Canberra 2026 | Semrush</v>
      </c>
      <c r="C406" s="6" t="str">
        <f>IFERROR(__xludf.DUMMYFUNCTION("""COMPUTED_VALUE"""),"semrush.com")</f>
        <v>semrush.com</v>
      </c>
      <c r="D406" s="7" t="str">
        <f>IFERROR(__xludf.DUMMYFUNCTION("""COMPUTED_VALUE"""),"OTHER")</f>
        <v>OTHER</v>
      </c>
      <c r="E406" s="7" t="str">
        <f>IFERROR(__xludf.DUMMYFUNCTION("""COMPUTED_VALUE"""),"CORPORATE")</f>
        <v>CORPORATE</v>
      </c>
      <c r="F406" s="7" t="str">
        <f>IFERROR(__xludf.DUMMYFUNCTION("""COMPUTED_VALUE"""),"Other")</f>
        <v>Other</v>
      </c>
      <c r="G406" s="7" t="b">
        <f>IFERROR(__xludf.DUMMYFUNCTION("""COMPUTED_VALUE"""),FALSE)</f>
        <v>0</v>
      </c>
      <c r="H406" s="7" t="str">
        <f>IFERROR(__xludf.DUMMYFUNCTION("""COMPUTED_VALUE"""),"Soup Agency, First Page, Clearwater Agency, Measured, Earned Media, Impressive, Online Marketing Gurus, Omnicom Media Group, Click Click Media, First Page Australia")</f>
        <v>Soup Agency, First Page, Clearwater Agency, Measured, Earned Media, Impressive, Online Marketing Gurus, Omnicom Media Group, Click Click Media, First Page Australia</v>
      </c>
      <c r="I406" s="7">
        <f>IFERROR(__xludf.DUMMYFUNCTION("""COMPUTED_VALUE"""),1.0)</f>
        <v>1</v>
      </c>
      <c r="J406" s="7">
        <f>IFERROR(__xludf.DUMMYFUNCTION("""COMPUTED_VALUE"""),0.0)</f>
        <v>0</v>
      </c>
      <c r="K406" s="7">
        <f>IFERROR(__xludf.DUMMYFUNCTION("""COMPUTED_VALUE"""),0.0)</f>
        <v>0</v>
      </c>
      <c r="L406" s="7"/>
    </row>
    <row r="407" ht="15.75" customHeight="1">
      <c r="A407" s="6" t="str">
        <f>IFERROR(__xludf.DUMMYFUNCTION("""COMPUTED_VALUE"""),"https://agencies.semrush.com/list/enterprise-business/australia/")</f>
        <v>https://agencies.semrush.com/list/enterprise-business/australia/</v>
      </c>
      <c r="B407" s="7" t="str">
        <f>IFERROR(__xludf.DUMMYFUNCTION("""COMPUTED_VALUE"""),"Best Digital Marketing Agencies for Enterprise Business in Australia 2026 | Semrush")</f>
        <v>Best Digital Marketing Agencies for Enterprise Business in Australia 2026 | Semrush</v>
      </c>
      <c r="C407" s="6" t="str">
        <f>IFERROR(__xludf.DUMMYFUNCTION("""COMPUTED_VALUE"""),"semrush.com")</f>
        <v>semrush.com</v>
      </c>
      <c r="D407" s="7" t="str">
        <f>IFERROR(__xludf.DUMMYFUNCTION("""COMPUTED_VALUE"""),"CATEGORY_PAGE")</f>
        <v>CATEGORY_PAGE</v>
      </c>
      <c r="E407" s="7" t="str">
        <f>IFERROR(__xludf.DUMMYFUNCTION("""COMPUTED_VALUE"""),"CORPORATE")</f>
        <v>CORPORATE</v>
      </c>
      <c r="F407" s="7" t="str">
        <f>IFERROR(__xludf.DUMMYFUNCTION("""COMPUTED_VALUE"""),"Category Page")</f>
        <v>Category Page</v>
      </c>
      <c r="G407" s="7" t="b">
        <f>IFERROR(__xludf.DUMMYFUNCTION("""COMPUTED_VALUE"""),FALSE)</f>
        <v>0</v>
      </c>
      <c r="H407" s="7" t="str">
        <f>IFERROR(__xludf.DUMMYFUNCTION("""COMPUTED_VALUE"""),"Supple Digital, DNM Digital, Soup Agency, First Page, Clearwater Agency, Measured, Earned Media, Impressive, Online Marketing Gurus, Omnicom Media Group, Human Digital, Click Click Media, StudioHawk, First Page Australia")</f>
        <v>Supple Digital, DNM Digital, Soup Agency, First Page, Clearwater Agency, Measured, Earned Media, Impressive, Online Marketing Gurus, Omnicom Media Group, Human Digital, Click Click Media, StudioHawk, First Page Australia</v>
      </c>
      <c r="I407" s="7">
        <f>IFERROR(__xludf.DUMMYFUNCTION("""COMPUTED_VALUE"""),1.0)</f>
        <v>1</v>
      </c>
      <c r="J407" s="7">
        <f>IFERROR(__xludf.DUMMYFUNCTION("""COMPUTED_VALUE"""),0.0)</f>
        <v>0</v>
      </c>
      <c r="K407" s="7">
        <f>IFERROR(__xludf.DUMMYFUNCTION("""COMPUTED_VALUE"""),0.0)</f>
        <v>0</v>
      </c>
      <c r="L407" s="7"/>
    </row>
    <row r="408" ht="15.75" customHeight="1">
      <c r="A408" s="6" t="str">
        <f>IFERROR(__xludf.DUMMYFUNCTION("""COMPUTED_VALUE"""),"https://agencies.semrush.com/list/market-analysis/australia/")</f>
        <v>https://agencies.semrush.com/list/market-analysis/australia/</v>
      </c>
      <c r="B408" s="7" t="str">
        <f>IFERROR(__xludf.DUMMYFUNCTION("""COMPUTED_VALUE"""),"Best Market Research Companies in Australia 2026 | Semrush")</f>
        <v>Best Market Research Companies in Australia 2026 | Semrush</v>
      </c>
      <c r="C408" s="6" t="str">
        <f>IFERROR(__xludf.DUMMYFUNCTION("""COMPUTED_VALUE"""),"semrush.com")</f>
        <v>semrush.com</v>
      </c>
      <c r="D408" s="7" t="str">
        <f>IFERROR(__xludf.DUMMYFUNCTION("""COMPUTED_VALUE"""),"CATEGORY_PAGE")</f>
        <v>CATEGORY_PAGE</v>
      </c>
      <c r="E408" s="7" t="str">
        <f>IFERROR(__xludf.DUMMYFUNCTION("""COMPUTED_VALUE"""),"CORPORATE")</f>
        <v>CORPORATE</v>
      </c>
      <c r="F408" s="7" t="str">
        <f>IFERROR(__xludf.DUMMYFUNCTION("""COMPUTED_VALUE"""),"Category Page")</f>
        <v>Category Page</v>
      </c>
      <c r="G408" s="7" t="b">
        <f>IFERROR(__xludf.DUMMYFUNCTION("""COMPUTED_VALUE"""),FALSE)</f>
        <v>0</v>
      </c>
      <c r="H408" s="7" t="str">
        <f>IFERROR(__xludf.DUMMYFUNCTION("""COMPUTED_VALUE"""),"Soup Agency, First Page, Clearwater Agency, Measured, Earned Media, Impressive, Online Marketing Gurus, Omnicom Media Group, Human Digital, Click Click Media, 80/20 Digital, Salt &amp; Fuessel, Megaphone")</f>
        <v>Soup Agency, First Page, Clearwater Agency, Measured, Earned Media, Impressive, Online Marketing Gurus, Omnicom Media Group, Human Digital, Click Click Media, 80/20 Digital, Salt &amp; Fuessel, Megaphone</v>
      </c>
      <c r="I408" s="7">
        <f>IFERROR(__xludf.DUMMYFUNCTION("""COMPUTED_VALUE"""),1.0)</f>
        <v>1</v>
      </c>
      <c r="J408" s="7">
        <f>IFERROR(__xludf.DUMMYFUNCTION("""COMPUTED_VALUE"""),0.0)</f>
        <v>0</v>
      </c>
      <c r="K408" s="7">
        <f>IFERROR(__xludf.DUMMYFUNCTION("""COMPUTED_VALUE"""),1.0)</f>
        <v>1</v>
      </c>
      <c r="L408" s="7"/>
    </row>
    <row r="409" ht="15.75" customHeight="1">
      <c r="A409" s="6" t="str">
        <f>IFERROR(__xludf.DUMMYFUNCTION("""COMPUTED_VALUE"""),"https://agencies.semrush.com/list/ppc/brisbane/")</f>
        <v>https://agencies.semrush.com/list/ppc/brisbane/</v>
      </c>
      <c r="B409" s="7" t="str">
        <f>IFERROR(__xludf.DUMMYFUNCTION("""COMPUTED_VALUE"""),"Best PPC Agencies in Brisbane 2026 | Semrush")</f>
        <v>Best PPC Agencies in Brisbane 2026 | Semrush</v>
      </c>
      <c r="C409" s="6" t="str">
        <f>IFERROR(__xludf.DUMMYFUNCTION("""COMPUTED_VALUE"""),"semrush.com")</f>
        <v>semrush.com</v>
      </c>
      <c r="D409" s="7" t="str">
        <f>IFERROR(__xludf.DUMMYFUNCTION("""COMPUTED_VALUE"""),"CATEGORY_PAGE")</f>
        <v>CATEGORY_PAGE</v>
      </c>
      <c r="E409" s="7" t="str">
        <f>IFERROR(__xludf.DUMMYFUNCTION("""COMPUTED_VALUE"""),"CORPORATE")</f>
        <v>CORPORATE</v>
      </c>
      <c r="F409" s="7" t="str">
        <f>IFERROR(__xludf.DUMMYFUNCTION("""COMPUTED_VALUE"""),"Category Page")</f>
        <v>Category Page</v>
      </c>
      <c r="G409" s="7" t="b">
        <f>IFERROR(__xludf.DUMMYFUNCTION("""COMPUTED_VALUE"""),FALSE)</f>
        <v>0</v>
      </c>
      <c r="H409" s="7" t="str">
        <f>IFERROR(__xludf.DUMMYFUNCTION("""COMPUTED_VALUE"""),"Edge Marketing, Supple Digital, Soup Agency, Momentum, DNM Digital, First Page, Clearwater Agency, Measured, Earned Media, Impressive")</f>
        <v>Edge Marketing, Supple Digital, Soup Agency, Momentum, DNM Digital, First Page, Clearwater Agency, Measured, Earned Media, Impressive</v>
      </c>
      <c r="I409" s="7">
        <f>IFERROR(__xludf.DUMMYFUNCTION("""COMPUTED_VALUE"""),1.0)</f>
        <v>1</v>
      </c>
      <c r="J409" s="7">
        <f>IFERROR(__xludf.DUMMYFUNCTION("""COMPUTED_VALUE"""),0.0)</f>
        <v>0</v>
      </c>
      <c r="K409" s="7">
        <f>IFERROR(__xludf.DUMMYFUNCTION("""COMPUTED_VALUE"""),0.0)</f>
        <v>0</v>
      </c>
      <c r="L409" s="7"/>
    </row>
    <row r="410" ht="15.75" customHeight="1">
      <c r="A410" s="6" t="str">
        <f>IFERROR(__xludf.DUMMYFUNCTION("""COMPUTED_VALUE"""),"https://agencies.semrush.com/list/ppc/melbourne/")</f>
        <v>https://agencies.semrush.com/list/ppc/melbourne/</v>
      </c>
      <c r="B410" s="7" t="str">
        <f>IFERROR(__xludf.DUMMYFUNCTION("""COMPUTED_VALUE"""),"Best PPC Agencies in Melbourne 2026 | Semrush")</f>
        <v>Best PPC Agencies in Melbourne 2026 | Semrush</v>
      </c>
      <c r="C410" s="6" t="str">
        <f>IFERROR(__xludf.DUMMYFUNCTION("""COMPUTED_VALUE"""),"semrush.com")</f>
        <v>semrush.com</v>
      </c>
      <c r="D410" s="7" t="str">
        <f>IFERROR(__xludf.DUMMYFUNCTION("""COMPUTED_VALUE"""),"CATEGORY_PAGE")</f>
        <v>CATEGORY_PAGE</v>
      </c>
      <c r="E410" s="7" t="str">
        <f>IFERROR(__xludf.DUMMYFUNCTION("""COMPUTED_VALUE"""),"CORPORATE")</f>
        <v>CORPORATE</v>
      </c>
      <c r="F410" s="7" t="str">
        <f>IFERROR(__xludf.DUMMYFUNCTION("""COMPUTED_VALUE"""),"Category Page")</f>
        <v>Category Page</v>
      </c>
      <c r="G410" s="7" t="b">
        <f>IFERROR(__xludf.DUMMYFUNCTION("""COMPUTED_VALUE"""),FALSE)</f>
        <v>0</v>
      </c>
      <c r="H410" s="7" t="str">
        <f>IFERROR(__xludf.DUMMYFUNCTION("""COMPUTED_VALUE"""),"Supple Digital, Soup Agency, First Page, Clearwater Agency, Measured, Earned Media, Impressive, Online Marketing Gurus, Omnicom Media Group, First Page Australia, 80/20 Digital, Salt &amp; Fuessel, Megaphone, Bonfire")</f>
        <v>Supple Digital, Soup Agency, First Page, Clearwater Agency, Measured, Earned Media, Impressive, Online Marketing Gurus, Omnicom Media Group, First Page Australia, 80/20 Digital, Salt &amp; Fuessel, Megaphone, Bonfire</v>
      </c>
      <c r="I410" s="7">
        <f>IFERROR(__xludf.DUMMYFUNCTION("""COMPUTED_VALUE"""),1.0)</f>
        <v>1</v>
      </c>
      <c r="J410" s="7">
        <f>IFERROR(__xludf.DUMMYFUNCTION("""COMPUTED_VALUE"""),0.0)</f>
        <v>0</v>
      </c>
      <c r="K410" s="7">
        <f>IFERROR(__xludf.DUMMYFUNCTION("""COMPUTED_VALUE"""),0.0)</f>
        <v>0</v>
      </c>
      <c r="L410" s="7"/>
    </row>
    <row r="411" ht="15.75" customHeight="1">
      <c r="A411" s="6" t="str">
        <f>IFERROR(__xludf.DUMMYFUNCTION("""COMPUTED_VALUE"""),"https://agencies.semrush.com/list/programmatic-advertising/australia/mid-business/")</f>
        <v>https://agencies.semrush.com/list/programmatic-advertising/australia/mid-business/</v>
      </c>
      <c r="B411" s="7" t="str">
        <f>IFERROR(__xludf.DUMMYFUNCTION("""COMPUTED_VALUE"""),"Best Programmatic Advertising Agencies for Mid Business in Australia 2026 | Semrush")</f>
        <v>Best Programmatic Advertising Agencies for Mid Business in Australia 2026 | Semrush</v>
      </c>
      <c r="C411" s="6" t="str">
        <f>IFERROR(__xludf.DUMMYFUNCTION("""COMPUTED_VALUE"""),"semrush.com")</f>
        <v>semrush.com</v>
      </c>
      <c r="D411" s="7" t="str">
        <f>IFERROR(__xludf.DUMMYFUNCTION("""COMPUTED_VALUE"""),"CATEGORY_PAGE")</f>
        <v>CATEGORY_PAGE</v>
      </c>
      <c r="E411" s="7" t="str">
        <f>IFERROR(__xludf.DUMMYFUNCTION("""COMPUTED_VALUE"""),"CORPORATE")</f>
        <v>CORPORATE</v>
      </c>
      <c r="F411" s="7" t="str">
        <f>IFERROR(__xludf.DUMMYFUNCTION("""COMPUTED_VALUE"""),"Category Page")</f>
        <v>Category Page</v>
      </c>
      <c r="G411" s="7" t="b">
        <f>IFERROR(__xludf.DUMMYFUNCTION("""COMPUTED_VALUE"""),FALSE)</f>
        <v>0</v>
      </c>
      <c r="H411" s="7"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411" s="7">
        <f>IFERROR(__xludf.DUMMYFUNCTION("""COMPUTED_VALUE"""),1.0)</f>
        <v>1</v>
      </c>
      <c r="J411" s="7">
        <f>IFERROR(__xludf.DUMMYFUNCTION("""COMPUTED_VALUE"""),0.0)</f>
        <v>0</v>
      </c>
      <c r="K411" s="7">
        <f>IFERROR(__xludf.DUMMYFUNCTION("""COMPUTED_VALUE"""),1.0)</f>
        <v>1</v>
      </c>
      <c r="L411" s="7"/>
    </row>
    <row r="412" ht="15.75" customHeight="1">
      <c r="A412" s="6" t="str">
        <f>IFERROR(__xludf.DUMMYFUNCTION("""COMPUTED_VALUE"""),"https://agencies.semrush.com/list/programmatic-advertising/australia/small-business/")</f>
        <v>https://agencies.semrush.com/list/programmatic-advertising/australia/small-business/</v>
      </c>
      <c r="B412" s="7" t="str">
        <f>IFERROR(__xludf.DUMMYFUNCTION("""COMPUTED_VALUE"""),"Best Programmatic Advertising Agencies for Small Business in Australia 2026 | Semrush")</f>
        <v>Best Programmatic Advertising Agencies for Small Business in Australia 2026 | Semrush</v>
      </c>
      <c r="C412" s="6" t="str">
        <f>IFERROR(__xludf.DUMMYFUNCTION("""COMPUTED_VALUE"""),"semrush.com")</f>
        <v>semrush.com</v>
      </c>
      <c r="D412" s="7" t="str">
        <f>IFERROR(__xludf.DUMMYFUNCTION("""COMPUTED_VALUE"""),"CATEGORY_PAGE")</f>
        <v>CATEGORY_PAGE</v>
      </c>
      <c r="E412" s="7" t="str">
        <f>IFERROR(__xludf.DUMMYFUNCTION("""COMPUTED_VALUE"""),"CORPORATE")</f>
        <v>CORPORATE</v>
      </c>
      <c r="F412" s="7" t="str">
        <f>IFERROR(__xludf.DUMMYFUNCTION("""COMPUTED_VALUE"""),"Category Page")</f>
        <v>Category Page</v>
      </c>
      <c r="G412" s="7" t="b">
        <f>IFERROR(__xludf.DUMMYFUNCTION("""COMPUTED_VALUE"""),FALSE)</f>
        <v>0</v>
      </c>
      <c r="H412" s="7" t="str">
        <f>IFERROR(__xludf.DUMMYFUNCTION("""COMPUTED_VALUE"""),"DNM Digital, Soup Agency, First Page, Impressive, Online Marketing Gurus, Omnicom Media Group, Click Click Media, 80/20 Digital, Salt &amp; Fuessel, Rocket Agency")</f>
        <v>DNM Digital, Soup Agency, First Page, Impressive, Online Marketing Gurus, Omnicom Media Group, Click Click Media, 80/20 Digital, Salt &amp; Fuessel, Rocket Agency</v>
      </c>
      <c r="I412" s="7">
        <f>IFERROR(__xludf.DUMMYFUNCTION("""COMPUTED_VALUE"""),1.0)</f>
        <v>1</v>
      </c>
      <c r="J412" s="7">
        <f>IFERROR(__xludf.DUMMYFUNCTION("""COMPUTED_VALUE"""),0.0)</f>
        <v>0</v>
      </c>
      <c r="K412" s="7">
        <f>IFERROR(__xludf.DUMMYFUNCTION("""COMPUTED_VALUE"""),0.0)</f>
        <v>0</v>
      </c>
      <c r="L412" s="7"/>
    </row>
    <row r="413" ht="15.75" customHeight="1">
      <c r="A413" s="6" t="str">
        <f>IFERROR(__xludf.DUMMYFUNCTION("""COMPUTED_VALUE"""),"https://agencies.semrush.com/list/programmatic-advertising/ecommerce/australia/")</f>
        <v>https://agencies.semrush.com/list/programmatic-advertising/ecommerce/australia/</v>
      </c>
      <c r="B413" s="7" t="str">
        <f>IFERROR(__xludf.DUMMYFUNCTION("""COMPUTED_VALUE"""),"Best Ecommerce Programmatic Advertising Agencies in Australia 2026 | Semrush")</f>
        <v>Best Ecommerce Programmatic Advertising Agencies in Australia 2026 | Semrush</v>
      </c>
      <c r="C413" s="6" t="str">
        <f>IFERROR(__xludf.DUMMYFUNCTION("""COMPUTED_VALUE"""),"semrush.com")</f>
        <v>semrush.com</v>
      </c>
      <c r="D413" s="7" t="str">
        <f>IFERROR(__xludf.DUMMYFUNCTION("""COMPUTED_VALUE"""),"CATEGORY_PAGE")</f>
        <v>CATEGORY_PAGE</v>
      </c>
      <c r="E413" s="7" t="str">
        <f>IFERROR(__xludf.DUMMYFUNCTION("""COMPUTED_VALUE"""),"CORPORATE")</f>
        <v>CORPORATE</v>
      </c>
      <c r="F413" s="7" t="str">
        <f>IFERROR(__xludf.DUMMYFUNCTION("""COMPUTED_VALUE"""),"Category Page")</f>
        <v>Category Page</v>
      </c>
      <c r="G413" s="7" t="b">
        <f>IFERROR(__xludf.DUMMYFUNCTION("""COMPUTED_VALUE"""),FALSE)</f>
        <v>0</v>
      </c>
      <c r="H413" s="7" t="str">
        <f>IFERROR(__xludf.DUMMYFUNCTION("""COMPUTED_VALUE"""),"DNM Digital, Soup Agency, First Page, Impressive, Online Marketing Gurus, Omnicom Media Group, 80/20 Digital, Salt &amp; Fuessel, Bonfire, Rocket Agency, Measured")</f>
        <v>DNM Digital, Soup Agency, First Page, Impressive, Online Marketing Gurus, Omnicom Media Group, 80/20 Digital, Salt &amp; Fuessel, Bonfire, Rocket Agency, Measured</v>
      </c>
      <c r="I413" s="7">
        <f>IFERROR(__xludf.DUMMYFUNCTION("""COMPUTED_VALUE"""),1.0)</f>
        <v>1</v>
      </c>
      <c r="J413" s="7">
        <f>IFERROR(__xludf.DUMMYFUNCTION("""COMPUTED_VALUE"""),0.0)</f>
        <v>0</v>
      </c>
      <c r="K413" s="7">
        <f>IFERROR(__xludf.DUMMYFUNCTION("""COMPUTED_VALUE"""),0.0)</f>
        <v>0</v>
      </c>
      <c r="L413" s="7"/>
    </row>
    <row r="414" ht="15.75" customHeight="1">
      <c r="A414" s="6" t="str">
        <f>IFERROR(__xludf.DUMMYFUNCTION("""COMPUTED_VALUE"""),"https://agencies.semrush.com/list/programmatic-advertising/sydney/")</f>
        <v>https://agencies.semrush.com/list/programmatic-advertising/sydney/</v>
      </c>
      <c r="B414" s="7" t="str">
        <f>IFERROR(__xludf.DUMMYFUNCTION("""COMPUTED_VALUE"""),"Best Programmatic Advertising Agencies in Sydney 2026 | Semrush")</f>
        <v>Best Programmatic Advertising Agencies in Sydney 2026 | Semrush</v>
      </c>
      <c r="C414" s="6" t="str">
        <f>IFERROR(__xludf.DUMMYFUNCTION("""COMPUTED_VALUE"""),"semrush.com")</f>
        <v>semrush.com</v>
      </c>
      <c r="D414" s="7" t="str">
        <f>IFERROR(__xludf.DUMMYFUNCTION("""COMPUTED_VALUE"""),"OTHER")</f>
        <v>OTHER</v>
      </c>
      <c r="E414" s="7" t="str">
        <f>IFERROR(__xludf.DUMMYFUNCTION("""COMPUTED_VALUE"""),"CORPORATE")</f>
        <v>CORPORATE</v>
      </c>
      <c r="F414" s="7" t="str">
        <f>IFERROR(__xludf.DUMMYFUNCTION("""COMPUTED_VALUE"""),"Other")</f>
        <v>Other</v>
      </c>
      <c r="G414" s="7" t="b">
        <f>IFERROR(__xludf.DUMMYFUNCTION("""COMPUTED_VALUE"""),FALSE)</f>
        <v>0</v>
      </c>
      <c r="H414" s="7" t="str">
        <f>IFERROR(__xludf.DUMMYFUNCTION("""COMPUTED_VALUE"""),"DNM Digital, Soup Agency, Online Marketing Gurus, Omnicom Media Group, Click Click Media, Bench Media, Rocket Agency, First Page, Impressive, Measured")</f>
        <v>DNM Digital, Soup Agency, Online Marketing Gurus, Omnicom Media Group, Click Click Media, Bench Media, Rocket Agency, First Page, Impressive, Measured</v>
      </c>
      <c r="I414" s="7">
        <f>IFERROR(__xludf.DUMMYFUNCTION("""COMPUTED_VALUE"""),1.0)</f>
        <v>1</v>
      </c>
      <c r="J414" s="7">
        <f>IFERROR(__xludf.DUMMYFUNCTION("""COMPUTED_VALUE"""),0.0)</f>
        <v>0</v>
      </c>
      <c r="K414" s="7">
        <f>IFERROR(__xludf.DUMMYFUNCTION("""COMPUTED_VALUE"""),0.0)</f>
        <v>0</v>
      </c>
      <c r="L414" s="7"/>
    </row>
    <row r="415" ht="15.75" customHeight="1">
      <c r="A415" s="6" t="str">
        <f>IFERROR(__xludf.DUMMYFUNCTION("""COMPUTED_VALUE"""),"https://agencies.semrush.com/list/search-engine-marketing/australia/")</f>
        <v>https://agencies.semrush.com/list/search-engine-marketing/australia/</v>
      </c>
      <c r="B415" s="7" t="str">
        <f>IFERROR(__xludf.DUMMYFUNCTION("""COMPUTED_VALUE"""),"Best Search Engine Marketing Companies in Australia 2026 | Semrush")</f>
        <v>Best Search Engine Marketing Companies in Australia 2026 | Semrush</v>
      </c>
      <c r="C415" s="6" t="str">
        <f>IFERROR(__xludf.DUMMYFUNCTION("""COMPUTED_VALUE"""),"semrush.com")</f>
        <v>semrush.com</v>
      </c>
      <c r="D415" s="7" t="str">
        <f>IFERROR(__xludf.DUMMYFUNCTION("""COMPUTED_VALUE"""),"CATEGORY_PAGE")</f>
        <v>CATEGORY_PAGE</v>
      </c>
      <c r="E415" s="7" t="str">
        <f>IFERROR(__xludf.DUMMYFUNCTION("""COMPUTED_VALUE"""),"CORPORATE")</f>
        <v>CORPORATE</v>
      </c>
      <c r="F415" s="7" t="str">
        <f>IFERROR(__xludf.DUMMYFUNCTION("""COMPUTED_VALUE"""),"Category Page")</f>
        <v>Category Page</v>
      </c>
      <c r="G415" s="7" t="b">
        <f>IFERROR(__xludf.DUMMYFUNCTION("""COMPUTED_VALUE"""),FALSE)</f>
        <v>0</v>
      </c>
      <c r="H415" s="7" t="str">
        <f>IFERROR(__xludf.DUMMYFUNCTION("""COMPUTED_VALUE"""),"Edge Marketing, Momentum, Supple Digital, DNM Digital, Soup Agency, First Page, Clearwater Agency, Measured, Earned Media, Impressive, Online Marketing Gurus, Omnicom Media Group, Click Click Media, StudioHawk, Bench Media")</f>
        <v>Edge Marketing, Momentum, Supple Digital, DNM Digital, Soup Agency, First Page, Clearwater Agency, Measured, Earned Media, Impressive, Online Marketing Gurus, Omnicom Media Group, Click Click Media, StudioHawk, Bench Media</v>
      </c>
      <c r="I415" s="7">
        <f>IFERROR(__xludf.DUMMYFUNCTION("""COMPUTED_VALUE"""),1.0)</f>
        <v>1</v>
      </c>
      <c r="J415" s="7">
        <f>IFERROR(__xludf.DUMMYFUNCTION("""COMPUTED_VALUE"""),0.0)</f>
        <v>0</v>
      </c>
      <c r="K415" s="7">
        <f>IFERROR(__xludf.DUMMYFUNCTION("""COMPUTED_VALUE"""),0.0)</f>
        <v>0</v>
      </c>
      <c r="L415" s="7"/>
    </row>
    <row r="416" ht="15.75" customHeight="1">
      <c r="A416" s="6" t="str">
        <f>IFERROR(__xludf.DUMMYFUNCTION("""COMPUTED_VALUE"""),"https://agencies.semrush.com/list/smm/australia/small-business/")</f>
        <v>https://agencies.semrush.com/list/smm/australia/small-business/</v>
      </c>
      <c r="B416" s="7" t="str">
        <f>IFERROR(__xludf.DUMMYFUNCTION("""COMPUTED_VALUE"""),"Best Social Media Marketing Agencies for Small Business in Australia 2026 | Semrush")</f>
        <v>Best Social Media Marketing Agencies for Small Business in Australia 2026 | Semrush</v>
      </c>
      <c r="C416" s="6" t="str">
        <f>IFERROR(__xludf.DUMMYFUNCTION("""COMPUTED_VALUE"""),"semrush.com")</f>
        <v>semrush.com</v>
      </c>
      <c r="D416" s="7" t="str">
        <f>IFERROR(__xludf.DUMMYFUNCTION("""COMPUTED_VALUE"""),"CATEGORY_PAGE")</f>
        <v>CATEGORY_PAGE</v>
      </c>
      <c r="E416" s="7" t="str">
        <f>IFERROR(__xludf.DUMMYFUNCTION("""COMPUTED_VALUE"""),"CORPORATE")</f>
        <v>CORPORATE</v>
      </c>
      <c r="F416" s="7" t="str">
        <f>IFERROR(__xludf.DUMMYFUNCTION("""COMPUTED_VALUE"""),"Category Page")</f>
        <v>Category Page</v>
      </c>
      <c r="G416" s="7" t="b">
        <f>IFERROR(__xludf.DUMMYFUNCTION("""COMPUTED_VALUE"""),FALSE)</f>
        <v>0</v>
      </c>
      <c r="H416" s="7" t="str">
        <f>IFERROR(__xludf.DUMMYFUNCTION("""COMPUTED_VALUE"""),"Digital Nomads HQ, DNM Digital, Soup Agency, First Page, Clearwater Agency, Measured, Earned Media, Impressive, Online Marketing Gurus, Omnicom Media Group, Click Click Media, 80/20 Digital")</f>
        <v>Digital Nomads HQ, DNM Digital, Soup Agency, First Page, Clearwater Agency, Measured, Earned Media, Impressive, Online Marketing Gurus, Omnicom Media Group, Click Click Media, 80/20 Digital</v>
      </c>
      <c r="I416" s="7">
        <f>IFERROR(__xludf.DUMMYFUNCTION("""COMPUTED_VALUE"""),1.0)</f>
        <v>1</v>
      </c>
      <c r="J416" s="7">
        <f>IFERROR(__xludf.DUMMYFUNCTION("""COMPUTED_VALUE"""),0.0)</f>
        <v>0</v>
      </c>
      <c r="K416" s="7">
        <f>IFERROR(__xludf.DUMMYFUNCTION("""COMPUTED_VALUE"""),0.0)</f>
        <v>0</v>
      </c>
      <c r="L416" s="7"/>
    </row>
    <row r="417" ht="15.75" customHeight="1">
      <c r="A417" s="6" t="str">
        <f>IFERROR(__xludf.DUMMYFUNCTION("""COMPUTED_VALUE"""),"https://aiims.group/services/best-seo-agency-australia/")</f>
        <v>https://aiims.group/services/best-seo-agency-australia/</v>
      </c>
      <c r="B417" s="7" t="str">
        <f>IFERROR(__xludf.DUMMYFUNCTION("""COMPUTED_VALUE"""),"Best SEO Agency Australia | Award-Winning Digital Marketing Agency | AIIMS Group")</f>
        <v>Best SEO Agency Australia | Award-Winning Digital Marketing Agency | AIIMS Group</v>
      </c>
      <c r="C417" s="7" t="str">
        <f>IFERROR(__xludf.DUMMYFUNCTION("""COMPUTED_VALUE"""),"aiims.group")</f>
        <v>aiims.group</v>
      </c>
      <c r="D417" s="7" t="str">
        <f>IFERROR(__xludf.DUMMYFUNCTION("""COMPUTED_VALUE"""),"PROFILE")</f>
        <v>PROFILE</v>
      </c>
      <c r="E417" s="7" t="str">
        <f>IFERROR(__xludf.DUMMYFUNCTION("""COMPUTED_VALUE"""),"CORPORATE")</f>
        <v>CORPORATE</v>
      </c>
      <c r="F417" s="7" t="str">
        <f>IFERROR(__xludf.DUMMYFUNCTION("""COMPUTED_VALUE"""),"Profile")</f>
        <v>Profile</v>
      </c>
      <c r="G417" s="7" t="b">
        <f>IFERROR(__xludf.DUMMYFUNCTION("""COMPUTED_VALUE"""),FALSE)</f>
        <v>0</v>
      </c>
      <c r="H417" s="7" t="str">
        <f>IFERROR(__xludf.DUMMYFUNCTION("""COMPUTED_VALUE"""),"Huge, AdVisible")</f>
        <v>Huge, AdVisible</v>
      </c>
      <c r="I417" s="7">
        <f>IFERROR(__xludf.DUMMYFUNCTION("""COMPUTED_VALUE"""),1.0)</f>
        <v>1</v>
      </c>
      <c r="J417" s="7">
        <f>IFERROR(__xludf.DUMMYFUNCTION("""COMPUTED_VALUE"""),0.0)</f>
        <v>0</v>
      </c>
      <c r="K417" s="7">
        <f>IFERROR(__xludf.DUMMYFUNCTION("""COMPUTED_VALUE"""),0.0)</f>
        <v>0</v>
      </c>
      <c r="L417" s="7"/>
    </row>
    <row r="418" ht="15.75" customHeight="1">
      <c r="A418" s="6" t="str">
        <f>IFERROR(__xludf.DUMMYFUNCTION("""COMPUTED_VALUE"""),"https://www.alphaapexgroup.com/blog/top-ai-consulting-firms")</f>
        <v>https://www.alphaapexgroup.com/blog/top-ai-consulting-firms</v>
      </c>
      <c r="B418" s="7"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418" s="6" t="str">
        <f>IFERROR(__xludf.DUMMYFUNCTION("""COMPUTED_VALUE"""),"alphaapexgroup.com")</f>
        <v>alphaapexgroup.com</v>
      </c>
      <c r="D418" s="7" t="str">
        <f>IFERROR(__xludf.DUMMYFUNCTION("""COMPUTED_VALUE"""),"LISTICLE")</f>
        <v>LISTICLE</v>
      </c>
      <c r="E418" s="7" t="str">
        <f>IFERROR(__xludf.DUMMYFUNCTION("""COMPUTED_VALUE"""),"CORPORATE")</f>
        <v>CORPORATE</v>
      </c>
      <c r="F418" s="7" t="str">
        <f>IFERROR(__xludf.DUMMYFUNCTION("""COMPUTED_VALUE"""),"Listicle")</f>
        <v>Listicle</v>
      </c>
      <c r="G418" s="7" t="b">
        <f>IFERROR(__xludf.DUMMYFUNCTION("""COMPUTED_VALUE"""),FALSE)</f>
        <v>0</v>
      </c>
      <c r="H418" s="7" t="str">
        <f>IFERROR(__xludf.DUMMYFUNCTION("""COMPUTED_VALUE"""),"Deloitte, Impressive")</f>
        <v>Deloitte, Impressive</v>
      </c>
      <c r="I418" s="7">
        <f>IFERROR(__xludf.DUMMYFUNCTION("""COMPUTED_VALUE"""),1.0)</f>
        <v>1</v>
      </c>
      <c r="J418" s="7">
        <f>IFERROR(__xludf.DUMMYFUNCTION("""COMPUTED_VALUE"""),0.0)</f>
        <v>0</v>
      </c>
      <c r="K418" s="7">
        <f>IFERROR(__xludf.DUMMYFUNCTION("""COMPUTED_VALUE"""),1.0)</f>
        <v>1</v>
      </c>
      <c r="L418" s="7"/>
    </row>
    <row r="419" ht="15.75" customHeight="1">
      <c r="A419" s="6" t="str">
        <f>IFERROR(__xludf.DUMMYFUNCTION("""COMPUTED_VALUE"""),"https://arc.dev/employer-blog/social-media-agencies/")</f>
        <v>https://arc.dev/employer-blog/social-media-agencies/</v>
      </c>
      <c r="B419" s="7" t="str">
        <f>IFERROR(__xludf.DUMMYFUNCTION("""COMPUTED_VALUE"""),"Top 22 Social Media Agencies for Tech Companies in 2025")</f>
        <v>Top 22 Social Media Agencies for Tech Companies in 2025</v>
      </c>
      <c r="C419" s="7" t="str">
        <f>IFERROR(__xludf.DUMMYFUNCTION("""COMPUTED_VALUE"""),"arc.dev")</f>
        <v>arc.dev</v>
      </c>
      <c r="D419" s="7" t="str">
        <f>IFERROR(__xludf.DUMMYFUNCTION("""COMPUTED_VALUE"""),"LISTICLE")</f>
        <v>LISTICLE</v>
      </c>
      <c r="E419" s="7" t="str">
        <f>IFERROR(__xludf.DUMMYFUNCTION("""COMPUTED_VALUE"""),"CORPORATE")</f>
        <v>CORPORATE</v>
      </c>
      <c r="F419" s="7" t="str">
        <f>IFERROR(__xludf.DUMMYFUNCTION("""COMPUTED_VALUE"""),"Listicle")</f>
        <v>Listicle</v>
      </c>
      <c r="G419" s="7" t="b">
        <f>IFERROR(__xludf.DUMMYFUNCTION("""COMPUTED_VALUE"""),FALSE)</f>
        <v>0</v>
      </c>
      <c r="H419" s="7" t="str">
        <f>IFERROR(__xludf.DUMMYFUNCTION("""COMPUTED_VALUE"""),"Momentum, KPMG, Online Marketing Gurus, Omnicom Media Group, Power Digital, Impressive, Soup Agency")</f>
        <v>Momentum, KPMG, Online Marketing Gurus, Omnicom Media Group, Power Digital, Impressive, Soup Agency</v>
      </c>
      <c r="I419" s="7">
        <f>IFERROR(__xludf.DUMMYFUNCTION("""COMPUTED_VALUE"""),1.0)</f>
        <v>1</v>
      </c>
      <c r="J419" s="7">
        <f>IFERROR(__xludf.DUMMYFUNCTION("""COMPUTED_VALUE"""),0.0)</f>
        <v>0</v>
      </c>
      <c r="K419" s="7">
        <f>IFERROR(__xludf.DUMMYFUNCTION("""COMPUTED_VALUE"""),0.0)</f>
        <v>0</v>
      </c>
      <c r="L419" s="7"/>
    </row>
    <row r="420" ht="15.75" customHeight="1">
      <c r="A420" s="6" t="str">
        <f>IFERROR(__xludf.DUMMYFUNCTION("""COMPUTED_VALUE"""),"https://bestanswerengineoptimizationservices.com/")</f>
        <v>https://bestanswerengineoptimizationservices.com/</v>
      </c>
      <c r="B420" s="7" t="str">
        <f>IFERROR(__xludf.DUMMYFUNCTION("""COMPUTED_VALUE"""),"Best Answer Engine Optimization Services - Best Answer Engine Optimization Services")</f>
        <v>Best Answer Engine Optimization Services - Best Answer Engine Optimization Services</v>
      </c>
      <c r="C420" s="6" t="str">
        <f>IFERROR(__xludf.DUMMYFUNCTION("""COMPUTED_VALUE"""),"bestanswerengineoptimizationservices.com")</f>
        <v>bestanswerengineoptimizationservices.com</v>
      </c>
      <c r="D420" s="7" t="str">
        <f>IFERROR(__xludf.DUMMYFUNCTION("""COMPUTED_VALUE"""),"HOMEPAGE")</f>
        <v>HOMEPAGE</v>
      </c>
      <c r="E420" s="7" t="str">
        <f>IFERROR(__xludf.DUMMYFUNCTION("""COMPUTED_VALUE"""),"CORPORATE")</f>
        <v>CORPORATE</v>
      </c>
      <c r="F420" s="7" t="str">
        <f>IFERROR(__xludf.DUMMYFUNCTION("""COMPUTED_VALUE"""),"Homepage")</f>
        <v>Homepage</v>
      </c>
      <c r="G420" s="7" t="b">
        <f>IFERROR(__xludf.DUMMYFUNCTION("""COMPUTED_VALUE"""),FALSE)</f>
        <v>0</v>
      </c>
      <c r="H420" s="7"/>
      <c r="I420" s="7">
        <f>IFERROR(__xludf.DUMMYFUNCTION("""COMPUTED_VALUE"""),1.0)</f>
        <v>1</v>
      </c>
      <c r="J420" s="7">
        <f>IFERROR(__xludf.DUMMYFUNCTION("""COMPUTED_VALUE"""),0.0)</f>
        <v>0</v>
      </c>
      <c r="K420" s="7">
        <f>IFERROR(__xludf.DUMMYFUNCTION("""COMPUTED_VALUE"""),0.0)</f>
        <v>0</v>
      </c>
      <c r="L420" s="7"/>
    </row>
    <row r="421" ht="15.75" customHeight="1">
      <c r="A421" s="6" t="str">
        <f>IFERROR(__xludf.DUMMYFUNCTION("""COMPUTED_VALUE"""),"https://bestgeoagency.com.au/guides/8-best-geo-agencies-for-b2b-and-expert-led-companies/")</f>
        <v>https://bestgeoagency.com.au/guides/8-best-geo-agencies-for-b2b-and-expert-led-companies/</v>
      </c>
      <c r="B421" s="7" t="str">
        <f>IFERROR(__xludf.DUMMYFUNCTION("""COMPUTED_VALUE"""),"8 Best GEO Agencies for B2B and Expert-Led Companies | Best GEO Agency")</f>
        <v>8 Best GEO Agencies for B2B and Expert-Led Companies | Best GEO Agency</v>
      </c>
      <c r="C421" s="6" t="str">
        <f>IFERROR(__xludf.DUMMYFUNCTION("""COMPUTED_VALUE"""),"bestgeoagency.com.au")</f>
        <v>bestgeoagency.com.au</v>
      </c>
      <c r="D421" s="7" t="str">
        <f>IFERROR(__xludf.DUMMYFUNCTION("""COMPUTED_VALUE"""),"LISTICLE")</f>
        <v>LISTICLE</v>
      </c>
      <c r="E421" s="7" t="str">
        <f>IFERROR(__xludf.DUMMYFUNCTION("""COMPUTED_VALUE"""),"CORPORATE")</f>
        <v>CORPORATE</v>
      </c>
      <c r="F421" s="7" t="str">
        <f>IFERROR(__xludf.DUMMYFUNCTION("""COMPUTED_VALUE"""),"Listicle")</f>
        <v>Listicle</v>
      </c>
      <c r="G421" s="7" t="b">
        <f>IFERROR(__xludf.DUMMYFUNCTION("""COMPUTED_VALUE"""),FALSE)</f>
        <v>0</v>
      </c>
      <c r="H421" s="7" t="str">
        <f>IFERROR(__xludf.DUMMYFUNCTION("""COMPUTED_VALUE"""),"Prosperity Media, Online Marketing Gurus, StudioHawk, Reload Media, King Kong, Luminary, Momentum")</f>
        <v>Prosperity Media, Online Marketing Gurus, StudioHawk, Reload Media, King Kong, Luminary, Momentum</v>
      </c>
      <c r="I421" s="7">
        <f>IFERROR(__xludf.DUMMYFUNCTION("""COMPUTED_VALUE"""),1.0)</f>
        <v>1</v>
      </c>
      <c r="J421" s="7">
        <f>IFERROR(__xludf.DUMMYFUNCTION("""COMPUTED_VALUE"""),0.0)</f>
        <v>0</v>
      </c>
      <c r="K421" s="7">
        <f>IFERROR(__xludf.DUMMYFUNCTION("""COMPUTED_VALUE"""),0.0)</f>
        <v>0</v>
      </c>
      <c r="L421" s="7"/>
    </row>
    <row r="422" ht="15.75" customHeight="1">
      <c r="A422" s="6" t="str">
        <f>IFERROR(__xludf.DUMMYFUNCTION("""COMPUTED_VALUE"""),"https://www.bushletter.com/best-digital-marketing-media-buying-agencies-australia-2026/")</f>
        <v>https://www.bushletter.com/best-digital-marketing-media-buying-agencies-australia-2026/</v>
      </c>
      <c r="B422" s="7" t="str">
        <f>IFERROR(__xludf.DUMMYFUNCTION("""COMPUTED_VALUE"""),"Best Digital Marketing &amp;amp; Media Buying Agencies 2026")</f>
        <v>Best Digital Marketing &amp;amp; Media Buying Agencies 2026</v>
      </c>
      <c r="C422" s="6" t="str">
        <f>IFERROR(__xludf.DUMMYFUNCTION("""COMPUTED_VALUE"""),"bushletter.com")</f>
        <v>bushletter.com</v>
      </c>
      <c r="D422" s="7" t="str">
        <f>IFERROR(__xludf.DUMMYFUNCTION("""COMPUTED_VALUE"""),"LISTICLE")</f>
        <v>LISTICLE</v>
      </c>
      <c r="E422" s="7" t="str">
        <f>IFERROR(__xludf.DUMMYFUNCTION("""COMPUTED_VALUE"""),"EDITORIAL")</f>
        <v>EDITORIAL</v>
      </c>
      <c r="F422" s="7" t="str">
        <f>IFERROR(__xludf.DUMMYFUNCTION("""COMPUTED_VALUE"""),"Listicle")</f>
        <v>Listicle</v>
      </c>
      <c r="G422" s="7" t="b">
        <f>IFERROR(__xludf.DUMMYFUNCTION("""COMPUTED_VALUE"""),FALSE)</f>
        <v>0</v>
      </c>
      <c r="H422" s="7" t="str">
        <f>IFERROR(__xludf.DUMMYFUNCTION("""COMPUTED_VALUE"""),"Bushnote, Sparro, Measured, King Kong, Resolution Digital, Webprofits")</f>
        <v>Bushnote, Sparro, Measured, King Kong, Resolution Digital, Webprofits</v>
      </c>
      <c r="I422" s="7">
        <f>IFERROR(__xludf.DUMMYFUNCTION("""COMPUTED_VALUE"""),1.0)</f>
        <v>1</v>
      </c>
      <c r="J422" s="7">
        <f>IFERROR(__xludf.DUMMYFUNCTION("""COMPUTED_VALUE"""),0.0)</f>
        <v>0</v>
      </c>
      <c r="K422" s="7">
        <f>IFERROR(__xludf.DUMMYFUNCTION("""COMPUTED_VALUE"""),2.0)</f>
        <v>2</v>
      </c>
      <c r="L422" s="7"/>
    </row>
    <row r="423" ht="15.75" customHeight="1">
      <c r="A423" s="6" t="str">
        <f>IFERROR(__xludf.DUMMYFUNCTION("""COMPUTED_VALUE"""),"https://www.bushnote.com/articles/top-ai-search-agencies-sydney-generative-engine-optimisation")</f>
        <v>https://www.bushnote.com/articles/top-ai-search-agencies-sydney-generative-engine-optimisation</v>
      </c>
      <c r="B423" s="7" t="str">
        <f>IFERROR(__xludf.DUMMYFUNCTION("""COMPUTED_VALUE"""),"Sydney's Top 5 AI Search Agencies: Future of Marketing")</f>
        <v>Sydney's Top 5 AI Search Agencies: Future of Marketing</v>
      </c>
      <c r="C423" s="6" t="str">
        <f>IFERROR(__xludf.DUMMYFUNCTION("""COMPUTED_VALUE"""),"bushnote.com")</f>
        <v>bushnote.com</v>
      </c>
      <c r="D423" s="7" t="str">
        <f>IFERROR(__xludf.DUMMYFUNCTION("""COMPUTED_VALUE"""),"LISTICLE")</f>
        <v>LISTICLE</v>
      </c>
      <c r="E423" s="7" t="str">
        <f>IFERROR(__xludf.DUMMYFUNCTION("""COMPUTED_VALUE"""),"COMPETITOR")</f>
        <v>COMPETITOR</v>
      </c>
      <c r="F423" s="7" t="str">
        <f>IFERROR(__xludf.DUMMYFUNCTION("""COMPUTED_VALUE"""),"Listicle")</f>
        <v>Listicle</v>
      </c>
      <c r="G423" s="7" t="b">
        <f>IFERROR(__xludf.DUMMYFUNCTION("""COMPUTED_VALUE"""),FALSE)</f>
        <v>0</v>
      </c>
      <c r="H423" s="7" t="str">
        <f>IFERROR(__xludf.DUMMYFUNCTION("""COMPUTED_VALUE"""),"Bushnote, Luminary")</f>
        <v>Bushnote, Luminary</v>
      </c>
      <c r="I423" s="7">
        <f>IFERROR(__xludf.DUMMYFUNCTION("""COMPUTED_VALUE"""),1.0)</f>
        <v>1</v>
      </c>
      <c r="J423" s="7">
        <f>IFERROR(__xludf.DUMMYFUNCTION("""COMPUTED_VALUE"""),0.0)</f>
        <v>0</v>
      </c>
      <c r="K423" s="7">
        <f>IFERROR(__xludf.DUMMYFUNCTION("""COMPUTED_VALUE"""),0.0)</f>
        <v>0</v>
      </c>
      <c r="L423" s="7"/>
    </row>
    <row r="424" ht="15.75" customHeight="1">
      <c r="A424" s="6" t="str">
        <f>IFERROR(__xludf.DUMMYFUNCTION("""COMPUTED_VALUE"""),"https://www.bushnote.com/articles/top-ai-search-optimisation-agencies-australia-2026")</f>
        <v>https://www.bushnote.com/articles/top-ai-search-optimisation-agencies-australia-2026</v>
      </c>
      <c r="B424" s="7" t="str">
        <f>IFERROR(__xludf.DUMMYFUNCTION("""COMPUTED_VALUE"""),"Top 10 AI Search Optimisation Agencies in Australia 2026")</f>
        <v>Top 10 AI Search Optimisation Agencies in Australia 2026</v>
      </c>
      <c r="C424" s="6" t="str">
        <f>IFERROR(__xludf.DUMMYFUNCTION("""COMPUTED_VALUE"""),"bushnote.com")</f>
        <v>bushnote.com</v>
      </c>
      <c r="D424" s="7" t="str">
        <f>IFERROR(__xludf.DUMMYFUNCTION("""COMPUTED_VALUE"""),"LISTICLE")</f>
        <v>LISTICLE</v>
      </c>
      <c r="E424" s="7" t="str">
        <f>IFERROR(__xludf.DUMMYFUNCTION("""COMPUTED_VALUE"""),"COMPETITOR")</f>
        <v>COMPETITOR</v>
      </c>
      <c r="F424" s="7" t="str">
        <f>IFERROR(__xludf.DUMMYFUNCTION("""COMPUTED_VALUE"""),"Listicle")</f>
        <v>Listicle</v>
      </c>
      <c r="G424" s="7" t="b">
        <f>IFERROR(__xludf.DUMMYFUNCTION("""COMPUTED_VALUE"""),FALSE)</f>
        <v>0</v>
      </c>
      <c r="H424" s="7" t="str">
        <f>IFERROR(__xludf.DUMMYFUNCTION("""COMPUTED_VALUE"""),"Bushnote, StudioHawk, Prosperity Media, Digital Nomads HQ, Online Marketing Gurus, First Page, Measured, Impressive, Rocket Agency, Gorilla 360, Salt &amp; Fuessel")</f>
        <v>Bushnote, StudioHawk, Prosperity Media, Digital Nomads HQ, Online Marketing Gurus, First Page, Measured, Impressive, Rocket Agency, Gorilla 360, Salt &amp; Fuessel</v>
      </c>
      <c r="I424" s="7">
        <f>IFERROR(__xludf.DUMMYFUNCTION("""COMPUTED_VALUE"""),1.0)</f>
        <v>1</v>
      </c>
      <c r="J424" s="7">
        <f>IFERROR(__xludf.DUMMYFUNCTION("""COMPUTED_VALUE"""),0.0)</f>
        <v>0</v>
      </c>
      <c r="K424" s="7">
        <f>IFERROR(__xludf.DUMMYFUNCTION("""COMPUTED_VALUE"""),0.0)</f>
        <v>0</v>
      </c>
      <c r="L424" s="7"/>
    </row>
    <row r="425" ht="15.75" customHeight="1">
      <c r="A425" s="6" t="str">
        <f>IFERROR(__xludf.DUMMYFUNCTION("""COMPUTED_VALUE"""),"https://business.adobe.com/au/blog/basics/marketing-attribution")</f>
        <v>https://business.adobe.com/au/blog/basics/marketing-attribution</v>
      </c>
      <c r="B425" s="7" t="str">
        <f>IFERROR(__xludf.DUMMYFUNCTION("""COMPUTED_VALUE"""),"Marketing attribution — models and best practices")</f>
        <v>Marketing attribution — models and best practices</v>
      </c>
      <c r="C425" s="6" t="str">
        <f>IFERROR(__xludf.DUMMYFUNCTION("""COMPUTED_VALUE"""),"adobe.com")</f>
        <v>adobe.com</v>
      </c>
      <c r="D425" s="7" t="str">
        <f>IFERROR(__xludf.DUMMYFUNCTION("""COMPUTED_VALUE"""),"ARTICLE")</f>
        <v>ARTICLE</v>
      </c>
      <c r="E425" s="7" t="str">
        <f>IFERROR(__xludf.DUMMYFUNCTION("""COMPUTED_VALUE"""),"CORPORATE")</f>
        <v>CORPORATE</v>
      </c>
      <c r="F425" s="7" t="str">
        <f>IFERROR(__xludf.DUMMYFUNCTION("""COMPUTED_VALUE"""),"Article")</f>
        <v>Article</v>
      </c>
      <c r="G425" s="7" t="b">
        <f>IFERROR(__xludf.DUMMYFUNCTION("""COMPUTED_VALUE"""),FALSE)</f>
        <v>0</v>
      </c>
      <c r="H425" s="7"/>
      <c r="I425" s="7">
        <f>IFERROR(__xludf.DUMMYFUNCTION("""COMPUTED_VALUE"""),1.0)</f>
        <v>1</v>
      </c>
      <c r="J425" s="7">
        <f>IFERROR(__xludf.DUMMYFUNCTION("""COMPUTED_VALUE"""),0.0)</f>
        <v>0</v>
      </c>
      <c r="K425" s="7">
        <f>IFERROR(__xludf.DUMMYFUNCTION("""COMPUTED_VALUE"""),1.0)</f>
        <v>1</v>
      </c>
      <c r="L425" s="7"/>
    </row>
    <row r="426" ht="15.75" customHeight="1">
      <c r="A426" s="6" t="str">
        <f>IFERROR(__xludf.DUMMYFUNCTION("""COMPUTED_VALUE"""),"https://www.businessage.com/post/6-best-ai-native-seo-agencies-in-melbourne-that-optimise-for-geo-and-aeo#:~:text=%23%20The%206%20best%20AI%20SEO%20agencies,AI%2Dassisted%2C%20delivery%2Dfocused%20%7C%20Enterprise%20technical%20SEO%20depth")</f>
        <v>https://www.businessage.com/post/6-best-ai-native-seo-agencies-in-melbourne-that-optimise-for-geo-and-aeo#:~:text=%23%20The%206%20best%20AI%20SEO%20agencies,AI%2Dassisted%2C%20delivery%2Dfocused%20%7C%20Enterprise%20technical%20SEO%20depth</v>
      </c>
      <c r="B426" s="7" t="str">
        <f>IFERROR(__xludf.DUMMYFUNCTION("""COMPUTED_VALUE"""),"6 Best AI-Native SEO Agencies in Melbourne That Optimise for GEO and AEO")</f>
        <v>6 Best AI-Native SEO Agencies in Melbourne That Optimise for GEO and AEO</v>
      </c>
      <c r="C426" s="6" t="str">
        <f>IFERROR(__xludf.DUMMYFUNCTION("""COMPUTED_VALUE"""),"businessage.com")</f>
        <v>businessage.com</v>
      </c>
      <c r="D426" s="7" t="str">
        <f>IFERROR(__xludf.DUMMYFUNCTION("""COMPUTED_VALUE"""),"OTHER")</f>
        <v>OTHER</v>
      </c>
      <c r="E426" s="7" t="str">
        <f>IFERROR(__xludf.DUMMYFUNCTION("""COMPUTED_VALUE"""),"EDITORIAL")</f>
        <v>EDITORIAL</v>
      </c>
      <c r="F426" s="7" t="str">
        <f>IFERROR(__xludf.DUMMYFUNCTION("""COMPUTED_VALUE"""),"Other")</f>
        <v>Other</v>
      </c>
      <c r="G426" s="7" t="b">
        <f>IFERROR(__xludf.DUMMYFUNCTION("""COMPUTED_VALUE"""),FALSE)</f>
        <v>0</v>
      </c>
      <c r="H426" s="7" t="str">
        <f>IFERROR(__xludf.DUMMYFUNCTION("""COMPUTED_VALUE"""),"Intesols, Clearwater Agency")</f>
        <v>Intesols, Clearwater Agency</v>
      </c>
      <c r="I426" s="7">
        <f>IFERROR(__xludf.DUMMYFUNCTION("""COMPUTED_VALUE"""),1.0)</f>
        <v>1</v>
      </c>
      <c r="J426" s="7">
        <f>IFERROR(__xludf.DUMMYFUNCTION("""COMPUTED_VALUE"""),0.0)</f>
        <v>0</v>
      </c>
      <c r="K426" s="7">
        <f>IFERROR(__xludf.DUMMYFUNCTION("""COMPUTED_VALUE"""),3.0)</f>
        <v>3</v>
      </c>
      <c r="L426" s="7"/>
    </row>
    <row r="427" ht="15.75" customHeight="1">
      <c r="A427" s="6" t="str">
        <f>IFERROR(__xludf.DUMMYFUNCTION("""COMPUTED_VALUE"""),"https://calypsodesigns.com.au/top-10-google-ads-management-agencies-in-australia-a-2026/")</f>
        <v>https://calypsodesigns.com.au/top-10-google-ads-management-agencies-in-australia-a-2026/</v>
      </c>
      <c r="B427" s="7" t="str">
        <f>IFERROR(__xludf.DUMMYFUNCTION("""COMPUTED_VALUE"""),"Top 10 Google Ads Management Agencies in Australia: A 2026 Complete Guide – Calypso Designs")</f>
        <v>Top 10 Google Ads Management Agencies in Australia: A 2026 Complete Guide – Calypso Designs</v>
      </c>
      <c r="C427" s="6" t="str">
        <f>IFERROR(__xludf.DUMMYFUNCTION("""COMPUTED_VALUE"""),"calypsodesigns.com.au")</f>
        <v>calypsodesigns.com.au</v>
      </c>
      <c r="D427" s="7" t="str">
        <f>IFERROR(__xludf.DUMMYFUNCTION("""COMPUTED_VALUE"""),"LISTICLE")</f>
        <v>LISTICLE</v>
      </c>
      <c r="E427" s="7" t="str">
        <f>IFERROR(__xludf.DUMMYFUNCTION("""COMPUTED_VALUE"""),"CORPORATE")</f>
        <v>CORPORATE</v>
      </c>
      <c r="F427" s="7" t="str">
        <f>IFERROR(__xludf.DUMMYFUNCTION("""COMPUTED_VALUE"""),"Listicle")</f>
        <v>Listicle</v>
      </c>
      <c r="G427" s="7" t="b">
        <f>IFERROR(__xludf.DUMMYFUNCTION("""COMPUTED_VALUE"""),FALSE)</f>
        <v>0</v>
      </c>
      <c r="H427" s="7" t="str">
        <f>IFERROR(__xludf.DUMMYFUNCTION("""COMPUTED_VALUE"""),"Impressive")</f>
        <v>Impressive</v>
      </c>
      <c r="I427" s="7">
        <f>IFERROR(__xludf.DUMMYFUNCTION("""COMPUTED_VALUE"""),1.0)</f>
        <v>1</v>
      </c>
      <c r="J427" s="7">
        <f>IFERROR(__xludf.DUMMYFUNCTION("""COMPUTED_VALUE"""),0.0)</f>
        <v>0</v>
      </c>
      <c r="K427" s="7">
        <f>IFERROR(__xludf.DUMMYFUNCTION("""COMPUTED_VALUE"""),0.0)</f>
        <v>0</v>
      </c>
      <c r="L427" s="7"/>
    </row>
    <row r="428" ht="15.75" customHeight="1">
      <c r="A428" s="6" t="str">
        <f>IFERROR(__xludf.DUMMYFUNCTION("""COMPUTED_VALUE"""),"https://campaignbrief.com/bestads-rankings-which-are-the-top-australian-ad-agencies-and-clients-of-the-decade/")</f>
        <v>https://campaignbrief.com/bestads-rankings-which-are-the-top-australian-ad-agencies-and-clients-of-the-decade/</v>
      </c>
      <c r="B428" s="7" t="str">
        <f>IFERROR(__xludf.DUMMYFUNCTION("""COMPUTED_VALUE"""),"Bestads Rankings: Which are the Top Australian ad agencies and clients of the decade? – Campaign Brief")</f>
        <v>Bestads Rankings: Which are the Top Australian ad agencies and clients of the decade? – Campaign Brief</v>
      </c>
      <c r="C428" s="6" t="str">
        <f>IFERROR(__xludf.DUMMYFUNCTION("""COMPUTED_VALUE"""),"campaignbrief.com")</f>
        <v>campaignbrief.com</v>
      </c>
      <c r="D428" s="7" t="str">
        <f>IFERROR(__xludf.DUMMYFUNCTION("""COMPUTED_VALUE"""),"LISTICLE")</f>
        <v>LISTICLE</v>
      </c>
      <c r="E428" s="7" t="str">
        <f>IFERROR(__xludf.DUMMYFUNCTION("""COMPUTED_VALUE"""),"EDITORIAL")</f>
        <v>EDITORIAL</v>
      </c>
      <c r="F428" s="7" t="str">
        <f>IFERROR(__xludf.DUMMYFUNCTION("""COMPUTED_VALUE"""),"Listicle")</f>
        <v>Listicle</v>
      </c>
      <c r="G428" s="7" t="b">
        <f>IFERROR(__xludf.DUMMYFUNCTION("""COMPUTED_VALUE"""),FALSE)</f>
        <v>0</v>
      </c>
      <c r="H428" s="7" t="str">
        <f>IFERROR(__xludf.DUMMYFUNCTION("""COMPUTED_VALUE"""),"Clemenger BBDO, The Monkeys, BMF")</f>
        <v>Clemenger BBDO, The Monkeys, BMF</v>
      </c>
      <c r="I428" s="7">
        <f>IFERROR(__xludf.DUMMYFUNCTION("""COMPUTED_VALUE"""),1.0)</f>
        <v>1</v>
      </c>
      <c r="J428" s="7">
        <f>IFERROR(__xludf.DUMMYFUNCTION("""COMPUTED_VALUE"""),0.0)</f>
        <v>0</v>
      </c>
      <c r="K428" s="7">
        <f>IFERROR(__xludf.DUMMYFUNCTION("""COMPUTED_VALUE"""),0.0)</f>
        <v>0</v>
      </c>
      <c r="L428" s="7"/>
    </row>
    <row r="429" ht="15.75" customHeight="1">
      <c r="A429" s="6" t="str">
        <f>IFERROR(__xludf.DUMMYFUNCTION("""COMPUTED_VALUE"""),"https://campaignbrief.com/in-marketing-we-trust-joins-top-1-of-google-agency-partners-in-australia/")</f>
        <v>https://campaignbrief.com/in-marketing-we-trust-joins-top-1-of-google-agency-partners-in-australia/</v>
      </c>
      <c r="B429" s="7" t="str">
        <f>IFERROR(__xludf.DUMMYFUNCTION("""COMPUTED_VALUE"""),"In Marketing We Trust joins Top 1% of Google Agency Partners in Australia – Campaign Brief")</f>
        <v>In Marketing We Trust joins Top 1% of Google Agency Partners in Australia – Campaign Brief</v>
      </c>
      <c r="C429" s="6" t="str">
        <f>IFERROR(__xludf.DUMMYFUNCTION("""COMPUTED_VALUE"""),"campaignbrief.com")</f>
        <v>campaignbrief.com</v>
      </c>
      <c r="D429" s="7" t="str">
        <f>IFERROR(__xludf.DUMMYFUNCTION("""COMPUTED_VALUE"""),"ARTICLE")</f>
        <v>ARTICLE</v>
      </c>
      <c r="E429" s="7" t="str">
        <f>IFERROR(__xludf.DUMMYFUNCTION("""COMPUTED_VALUE"""),"EDITORIAL")</f>
        <v>EDITORIAL</v>
      </c>
      <c r="F429" s="7" t="str">
        <f>IFERROR(__xludf.DUMMYFUNCTION("""COMPUTED_VALUE"""),"Article")</f>
        <v>Article</v>
      </c>
      <c r="G429" s="7" t="b">
        <f>IFERROR(__xludf.DUMMYFUNCTION("""COMPUTED_VALUE"""),FALSE)</f>
        <v>0</v>
      </c>
      <c r="H429" s="7" t="str">
        <f>IFERROR(__xludf.DUMMYFUNCTION("""COMPUTED_VALUE"""),"In Marketing We Trust")</f>
        <v>In Marketing We Trust</v>
      </c>
      <c r="I429" s="7">
        <f>IFERROR(__xludf.DUMMYFUNCTION("""COMPUTED_VALUE"""),1.0)</f>
        <v>1</v>
      </c>
      <c r="J429" s="7">
        <f>IFERROR(__xludf.DUMMYFUNCTION("""COMPUTED_VALUE"""),0.0)</f>
        <v>0</v>
      </c>
      <c r="K429" s="7">
        <f>IFERROR(__xludf.DUMMYFUNCTION("""COMPUTED_VALUE"""),3.0)</f>
        <v>3</v>
      </c>
      <c r="L429" s="7"/>
    </row>
    <row r="430" ht="15.75" customHeight="1">
      <c r="A430" s="6" t="str">
        <f>IFERROR(__xludf.DUMMYFUNCTION("""COMPUTED_VALUE"""),"https://cantydigital.com.au/top-10-australian-amazon-marketing-agencies/")</f>
        <v>https://cantydigital.com.au/top-10-australian-amazon-marketing-agencies/</v>
      </c>
      <c r="B430" s="7" t="str">
        <f>IFERROR(__xludf.DUMMYFUNCTION("""COMPUTED_VALUE"""),"Top 10 Australian Amazon Marketing Agencies | Canty Digital")</f>
        <v>Top 10 Australian Amazon Marketing Agencies | Canty Digital</v>
      </c>
      <c r="C430" s="6" t="str">
        <f>IFERROR(__xludf.DUMMYFUNCTION("""COMPUTED_VALUE"""),"cantydigital.com.au")</f>
        <v>cantydigital.com.au</v>
      </c>
      <c r="D430" s="7" t="str">
        <f>IFERROR(__xludf.DUMMYFUNCTION("""COMPUTED_VALUE"""),"LISTICLE")</f>
        <v>LISTICLE</v>
      </c>
      <c r="E430" s="7" t="str">
        <f>IFERROR(__xludf.DUMMYFUNCTION("""COMPUTED_VALUE"""),"CORPORATE")</f>
        <v>CORPORATE</v>
      </c>
      <c r="F430" s="7" t="str">
        <f>IFERROR(__xludf.DUMMYFUNCTION("""COMPUTED_VALUE"""),"Listicle")</f>
        <v>Listicle</v>
      </c>
      <c r="G430" s="7" t="b">
        <f>IFERROR(__xludf.DUMMYFUNCTION("""COMPUTED_VALUE"""),FALSE)</f>
        <v>0</v>
      </c>
      <c r="H430" s="7" t="str">
        <f>IFERROR(__xludf.DUMMYFUNCTION("""COMPUTED_VALUE"""),"Megaphone, Clearwater Agency, Soup Agency, Digital Nomads HQ")</f>
        <v>Megaphone, Clearwater Agency, Soup Agency, Digital Nomads HQ</v>
      </c>
      <c r="I430" s="7">
        <f>IFERROR(__xludf.DUMMYFUNCTION("""COMPUTED_VALUE"""),1.0)</f>
        <v>1</v>
      </c>
      <c r="J430" s="7">
        <f>IFERROR(__xludf.DUMMYFUNCTION("""COMPUTED_VALUE"""),0.0)</f>
        <v>0</v>
      </c>
      <c r="K430" s="7">
        <f>IFERROR(__xludf.DUMMYFUNCTION("""COMPUTED_VALUE"""),1.0)</f>
        <v>1</v>
      </c>
      <c r="L430" s="7"/>
    </row>
    <row r="431" ht="15.75" customHeight="1">
      <c r="A431" s="6" t="str">
        <f>IFERROR(__xludf.DUMMYFUNCTION("""COMPUTED_VALUE"""),"https://clickclickbangbang.com.au/best-google-ads-manager/")</f>
        <v>https://clickclickbangbang.com.au/best-google-ads-manager/</v>
      </c>
      <c r="B431" s="7" t="str">
        <f>IFERROR(__xludf.DUMMYFUNCTION("""COMPUTED_VALUE"""),"7 Best Google Ads Managers in Australia for 2026")</f>
        <v>7 Best Google Ads Managers in Australia for 2026</v>
      </c>
      <c r="C431" s="6" t="str">
        <f>IFERROR(__xludf.DUMMYFUNCTION("""COMPUTED_VALUE"""),"clickclickbangbang.com.au")</f>
        <v>clickclickbangbang.com.au</v>
      </c>
      <c r="D431" s="7" t="str">
        <f>IFERROR(__xludf.DUMMYFUNCTION("""COMPUTED_VALUE"""),"LISTICLE")</f>
        <v>LISTICLE</v>
      </c>
      <c r="E431" s="7" t="str">
        <f>IFERROR(__xludf.DUMMYFUNCTION("""COMPUTED_VALUE"""),"CORPORATE")</f>
        <v>CORPORATE</v>
      </c>
      <c r="F431" s="7" t="str">
        <f>IFERROR(__xludf.DUMMYFUNCTION("""COMPUTED_VALUE"""),"Listicle")</f>
        <v>Listicle</v>
      </c>
      <c r="G431" s="7" t="b">
        <f>IFERROR(__xludf.DUMMYFUNCTION("""COMPUTED_VALUE"""),FALSE)</f>
        <v>0</v>
      </c>
      <c r="H431" s="7" t="str">
        <f>IFERROR(__xludf.DUMMYFUNCTION("""COMPUTED_VALUE"""),"Sparro, Brainlabs, WebSavvy, Rocket Agency, Reload Media, Online Marketing Gurus, Omnicom Media Group, Megaphone")</f>
        <v>Sparro, Brainlabs, WebSavvy, Rocket Agency, Reload Media, Online Marketing Gurus, Omnicom Media Group, Megaphone</v>
      </c>
      <c r="I431" s="7">
        <f>IFERROR(__xludf.DUMMYFUNCTION("""COMPUTED_VALUE"""),1.0)</f>
        <v>1</v>
      </c>
      <c r="J431" s="7">
        <f>IFERROR(__xludf.DUMMYFUNCTION("""COMPUTED_VALUE"""),0.0)</f>
        <v>0</v>
      </c>
      <c r="K431" s="7">
        <f>IFERROR(__xludf.DUMMYFUNCTION("""COMPUTED_VALUE"""),1.0)</f>
        <v>1</v>
      </c>
      <c r="L431" s="7"/>
    </row>
    <row r="432" ht="15.75" customHeight="1">
      <c r="A432" s="6" t="str">
        <f>IFERROR(__xludf.DUMMYFUNCTION("""COMPUTED_VALUE"""),"https://clutch.co/agencies/ppc/display")</f>
        <v>https://clutch.co/agencies/ppc/display</v>
      </c>
      <c r="B432" s="7" t="str">
        <f>IFERROR(__xludf.DUMMYFUNCTION("""COMPUTED_VALUE"""),"Top Display Advertising Agencies - Jul 2026 Rankings | Clutch.co")</f>
        <v>Top Display Advertising Agencies - Jul 2026 Rankings | Clutch.co</v>
      </c>
      <c r="C432" s="6" t="str">
        <f>IFERROR(__xludf.DUMMYFUNCTION("""COMPUTED_VALUE"""),"clutch.co")</f>
        <v>clutch.co</v>
      </c>
      <c r="D432" s="7" t="str">
        <f>IFERROR(__xludf.DUMMYFUNCTION("""COMPUTED_VALUE"""),"CATEGORY_PAGE")</f>
        <v>CATEGORY_PAGE</v>
      </c>
      <c r="E432" s="7" t="str">
        <f>IFERROR(__xludf.DUMMYFUNCTION("""COMPUTED_VALUE"""),"CORPORATE")</f>
        <v>CORPORATE</v>
      </c>
      <c r="F432" s="7" t="str">
        <f>IFERROR(__xludf.DUMMYFUNCTION("""COMPUTED_VALUE"""),"Category Page")</f>
        <v>Category Page</v>
      </c>
      <c r="G432" s="7" t="b">
        <f>IFERROR(__xludf.DUMMYFUNCTION("""COMPUTED_VALUE"""),FALSE)</f>
        <v>0</v>
      </c>
      <c r="H432" s="7" t="str">
        <f>IFERROR(__xludf.DUMMYFUNCTION("""COMPUTED_VALUE"""),"EvenDigit, Ninja Promo, Impressive, Intesols, Soup Agency, Salt &amp; Fuessel")</f>
        <v>EvenDigit, Ninja Promo, Impressive, Intesols, Soup Agency, Salt &amp; Fuessel</v>
      </c>
      <c r="I432" s="7">
        <f>IFERROR(__xludf.DUMMYFUNCTION("""COMPUTED_VALUE"""),1.0)</f>
        <v>1</v>
      </c>
      <c r="J432" s="7">
        <f>IFERROR(__xludf.DUMMYFUNCTION("""COMPUTED_VALUE"""),0.0)</f>
        <v>0</v>
      </c>
      <c r="K432" s="7">
        <f>IFERROR(__xludf.DUMMYFUNCTION("""COMPUTED_VALUE"""),0.0)</f>
        <v>0</v>
      </c>
      <c r="L432" s="7"/>
    </row>
    <row r="433" ht="15.75" customHeight="1">
      <c r="A433" s="6" t="str">
        <f>IFERROR(__xludf.DUMMYFUNCTION("""COMPUTED_VALUE"""),"https://clutch.co/au/agencies/branding")</f>
        <v>https://clutch.co/au/agencies/branding</v>
      </c>
      <c r="B433" s="7" t="str">
        <f>IFERROR(__xludf.DUMMYFUNCTION("""COMPUTED_VALUE"""),"Top Branding Agencies in Australia - Jul 2026 Rankings \| Clutch.co")</f>
        <v>Top Branding Agencies in Australia - Jul 2026 Rankings \| Clutch.co</v>
      </c>
      <c r="C433" s="6" t="str">
        <f>IFERROR(__xludf.DUMMYFUNCTION("""COMPUTED_VALUE"""),"clutch.co")</f>
        <v>clutch.co</v>
      </c>
      <c r="D433" s="7" t="str">
        <f>IFERROR(__xludf.DUMMYFUNCTION("""COMPUTED_VALUE"""),"CATEGORY_PAGE")</f>
        <v>CATEGORY_PAGE</v>
      </c>
      <c r="E433" s="7" t="str">
        <f>IFERROR(__xludf.DUMMYFUNCTION("""COMPUTED_VALUE"""),"CORPORATE")</f>
        <v>CORPORATE</v>
      </c>
      <c r="F433" s="7" t="str">
        <f>IFERROR(__xludf.DUMMYFUNCTION("""COMPUTED_VALUE"""),"Category Page")</f>
        <v>Category Page</v>
      </c>
      <c r="G433" s="7" t="b">
        <f>IFERROR(__xludf.DUMMYFUNCTION("""COMPUTED_VALUE"""),FALSE)</f>
        <v>0</v>
      </c>
      <c r="H433" s="7" t="str">
        <f>IFERROR(__xludf.DUMMYFUNCTION("""COMPUTED_VALUE"""),"Chello, CUT THRU, 80/20 Digital, Alley Group, Impressive, Rocket Agency")</f>
        <v>Chello, CUT THRU, 80/20 Digital, Alley Group, Impressive, Rocket Agency</v>
      </c>
      <c r="I433" s="7">
        <f>IFERROR(__xludf.DUMMYFUNCTION("""COMPUTED_VALUE"""),1.0)</f>
        <v>1</v>
      </c>
      <c r="J433" s="7">
        <f>IFERROR(__xludf.DUMMYFUNCTION("""COMPUTED_VALUE"""),0.0)</f>
        <v>0</v>
      </c>
      <c r="K433" s="7">
        <f>IFERROR(__xludf.DUMMYFUNCTION("""COMPUTED_VALUE"""),0.0)</f>
        <v>0</v>
      </c>
      <c r="L433" s="7"/>
    </row>
    <row r="434" ht="15.75" customHeight="1">
      <c r="A434" s="6" t="str">
        <f>IFERROR(__xludf.DUMMYFUNCTION("""COMPUTED_VALUE"""),"https://clutch.co/au/agencies/media-buying/sydney")</f>
        <v>https://clutch.co/au/agencies/media-buying/sydney</v>
      </c>
      <c r="B434" s="7" t="str">
        <f>IFERROR(__xludf.DUMMYFUNCTION("""COMPUTED_VALUE"""),"Top Media Buying Agencies in Sydney - Jul 2026 Rankings | Clutch.co")</f>
        <v>Top Media Buying Agencies in Sydney - Jul 2026 Rankings | Clutch.co</v>
      </c>
      <c r="C434" s="6" t="str">
        <f>IFERROR(__xludf.DUMMYFUNCTION("""COMPUTED_VALUE"""),"clutch.co")</f>
        <v>clutch.co</v>
      </c>
      <c r="D434" s="7" t="str">
        <f>IFERROR(__xludf.DUMMYFUNCTION("""COMPUTED_VALUE"""),"CATEGORY_PAGE")</f>
        <v>CATEGORY_PAGE</v>
      </c>
      <c r="E434" s="7" t="str">
        <f>IFERROR(__xludf.DUMMYFUNCTION("""COMPUTED_VALUE"""),"CORPORATE")</f>
        <v>CORPORATE</v>
      </c>
      <c r="F434" s="7" t="str">
        <f>IFERROR(__xludf.DUMMYFUNCTION("""COMPUTED_VALUE"""),"Category Page")</f>
        <v>Category Page</v>
      </c>
      <c r="G434" s="7" t="b">
        <f>IFERROR(__xludf.DUMMYFUNCTION("""COMPUTED_VALUE"""),FALSE)</f>
        <v>0</v>
      </c>
      <c r="H434" s="7" t="str">
        <f>IFERROR(__xludf.DUMMYFUNCTION("""COMPUTED_VALUE"""),"Impressive, Momentum, Soup Agency, DNM Digital, Bench Media")</f>
        <v>Impressive, Momentum, Soup Agency, DNM Digital, Bench Media</v>
      </c>
      <c r="I434" s="7">
        <f>IFERROR(__xludf.DUMMYFUNCTION("""COMPUTED_VALUE"""),1.0)</f>
        <v>1</v>
      </c>
      <c r="J434" s="7">
        <f>IFERROR(__xludf.DUMMYFUNCTION("""COMPUTED_VALUE"""),0.0)</f>
        <v>0</v>
      </c>
      <c r="K434" s="7">
        <f>IFERROR(__xludf.DUMMYFUNCTION("""COMPUTED_VALUE"""),1.0)</f>
        <v>1</v>
      </c>
      <c r="L434" s="7"/>
    </row>
    <row r="435" ht="15.75" customHeight="1">
      <c r="A435" s="6" t="str">
        <f>IFERROR(__xludf.DUMMYFUNCTION("""COMPUTED_VALUE"""),"https://clutch.co/au/agencies/media-buying?page=2")</f>
        <v>https://clutch.co/au/agencies/media-buying?page=2</v>
      </c>
      <c r="B435" s="7" t="str">
        <f>IFERROR(__xludf.DUMMYFUNCTION("""COMPUTED_VALUE"""),"Page 2 - Top Media Buying Agencies in Australia - Jul 2026 Rankings \| Clutch.co")</f>
        <v>Page 2 - Top Media Buying Agencies in Australia - Jul 2026 Rankings \| Clutch.co</v>
      </c>
      <c r="C435" s="6" t="str">
        <f>IFERROR(__xludf.DUMMYFUNCTION("""COMPUTED_VALUE"""),"clutch.co")</f>
        <v>clutch.co</v>
      </c>
      <c r="D435" s="7" t="str">
        <f>IFERROR(__xludf.DUMMYFUNCTION("""COMPUTED_VALUE"""),"PROFILE")</f>
        <v>PROFILE</v>
      </c>
      <c r="E435" s="7" t="str">
        <f>IFERROR(__xludf.DUMMYFUNCTION("""COMPUTED_VALUE"""),"CORPORATE")</f>
        <v>CORPORATE</v>
      </c>
      <c r="F435" s="7" t="str">
        <f>IFERROR(__xludf.DUMMYFUNCTION("""COMPUTED_VALUE"""),"Profile")</f>
        <v>Profile</v>
      </c>
      <c r="G435" s="7" t="b">
        <f>IFERROR(__xludf.DUMMYFUNCTION("""COMPUTED_VALUE"""),FALSE)</f>
        <v>0</v>
      </c>
      <c r="H435" s="7" t="str">
        <f>IFERROR(__xludf.DUMMYFUNCTION("""COMPUTED_VALUE"""),"Soup Agency, DNM Digital, Bench Media, Impressive, MK Media")</f>
        <v>Soup Agency, DNM Digital, Bench Media, Impressive, MK Media</v>
      </c>
      <c r="I435" s="7">
        <f>IFERROR(__xludf.DUMMYFUNCTION("""COMPUTED_VALUE"""),1.0)</f>
        <v>1</v>
      </c>
      <c r="J435" s="7">
        <f>IFERROR(__xludf.DUMMYFUNCTION("""COMPUTED_VALUE"""),0.0)</f>
        <v>0</v>
      </c>
      <c r="K435" s="7">
        <f>IFERROR(__xludf.DUMMYFUNCTION("""COMPUTED_VALUE"""),0.0)</f>
        <v>0</v>
      </c>
      <c r="L435" s="7"/>
    </row>
    <row r="436" ht="15.75" customHeight="1">
      <c r="A436" s="6" t="str">
        <f>IFERROR(__xludf.DUMMYFUNCTION("""COMPUTED_VALUE"""),"https://clutch.co/au/agencies/ppc/brisbane")</f>
        <v>https://clutch.co/au/agencies/ppc/brisbane</v>
      </c>
      <c r="B436" s="7" t="str">
        <f>IFERROR(__xludf.DUMMYFUNCTION("""COMPUTED_VALUE"""),"Top PPC Agencies in Brisbane - Jul 2026 Rankings | Clutch.co")</f>
        <v>Top PPC Agencies in Brisbane - Jul 2026 Rankings | Clutch.co</v>
      </c>
      <c r="C436" s="6" t="str">
        <f>IFERROR(__xludf.DUMMYFUNCTION("""COMPUTED_VALUE"""),"clutch.co")</f>
        <v>clutch.co</v>
      </c>
      <c r="D436" s="7" t="str">
        <f>IFERROR(__xludf.DUMMYFUNCTION("""COMPUTED_VALUE"""),"CATEGORY_PAGE")</f>
        <v>CATEGORY_PAGE</v>
      </c>
      <c r="E436" s="7" t="str">
        <f>IFERROR(__xludf.DUMMYFUNCTION("""COMPUTED_VALUE"""),"CORPORATE")</f>
        <v>CORPORATE</v>
      </c>
      <c r="F436" s="7" t="str">
        <f>IFERROR(__xludf.DUMMYFUNCTION("""COMPUTED_VALUE"""),"Category Page")</f>
        <v>Category Page</v>
      </c>
      <c r="G436" s="7" t="b">
        <f>IFERROR(__xludf.DUMMYFUNCTION("""COMPUTED_VALUE"""),FALSE)</f>
        <v>0</v>
      </c>
      <c r="H436" s="7" t="str">
        <f>IFERROR(__xludf.DUMMYFUNCTION("""COMPUTED_VALUE"""),"Soup Agency, Farsiight, Impressive, MyWork, Supple Digital, Digital Nomads HQ, Edge Marketing, Megaphone, Alpha Digital, Growth Digital")</f>
        <v>Soup Agency, Farsiight, Impressive, MyWork, Supple Digital, Digital Nomads HQ, Edge Marketing, Megaphone, Alpha Digital, Growth Digital</v>
      </c>
      <c r="I436" s="7">
        <f>IFERROR(__xludf.DUMMYFUNCTION("""COMPUTED_VALUE"""),1.0)</f>
        <v>1</v>
      </c>
      <c r="J436" s="7">
        <f>IFERROR(__xludf.DUMMYFUNCTION("""COMPUTED_VALUE"""),0.0)</f>
        <v>0</v>
      </c>
      <c r="K436" s="7">
        <f>IFERROR(__xludf.DUMMYFUNCTION("""COMPUTED_VALUE"""),1.0)</f>
        <v>1</v>
      </c>
      <c r="L436" s="7"/>
    </row>
    <row r="437" ht="15.75" customHeight="1">
      <c r="A437" s="6" t="str">
        <f>IFERROR(__xludf.DUMMYFUNCTION("""COMPUTED_VALUE"""),"https://clutch.co/au/agencies/ppc/google-adwords/sydney")</f>
        <v>https://clutch.co/au/agencies/ppc/google-adwords/sydney</v>
      </c>
      <c r="B437" s="7" t="str">
        <f>IFERROR(__xludf.DUMMYFUNCTION("""COMPUTED_VALUE"""),"Top Adwords PPC Agencies in Sydney - Jul 2026 Rankings \| Clutch.co")</f>
        <v>Top Adwords PPC Agencies in Sydney - Jul 2026 Rankings \| Clutch.co</v>
      </c>
      <c r="C437" s="6" t="str">
        <f>IFERROR(__xludf.DUMMYFUNCTION("""COMPUTED_VALUE"""),"clutch.co")</f>
        <v>clutch.co</v>
      </c>
      <c r="D437" s="7" t="str">
        <f>IFERROR(__xludf.DUMMYFUNCTION("""COMPUTED_VALUE"""),"CATEGORY_PAGE")</f>
        <v>CATEGORY_PAGE</v>
      </c>
      <c r="E437" s="7" t="str">
        <f>IFERROR(__xludf.DUMMYFUNCTION("""COMPUTED_VALUE"""),"CORPORATE")</f>
        <v>CORPORATE</v>
      </c>
      <c r="F437" s="7" t="str">
        <f>IFERROR(__xludf.DUMMYFUNCTION("""COMPUTED_VALUE"""),"Category Page")</f>
        <v>Category Page</v>
      </c>
      <c r="G437" s="7" t="b">
        <f>IFERROR(__xludf.DUMMYFUNCTION("""COMPUTED_VALUE"""),FALSE)</f>
        <v>0</v>
      </c>
      <c r="H437" s="7" t="str">
        <f>IFERROR(__xludf.DUMMYFUNCTION("""COMPUTED_VALUE"""),"Human Digital, Soup Agency, Supple Digital, Digital Nomads HQ, Rocket Agency, DNM Digital, Impressive, Megaphone, Online Marketing Gurus, Marketix Digital, Insil, Sparro, AdVisible, Click Click Media")</f>
        <v>Human Digital, Soup Agency, Supple Digital, Digital Nomads HQ, Rocket Agency, DNM Digital, Impressive, Megaphone, Online Marketing Gurus, Marketix Digital, Insil, Sparro, AdVisible, Click Click Media</v>
      </c>
      <c r="I437" s="7">
        <f>IFERROR(__xludf.DUMMYFUNCTION("""COMPUTED_VALUE"""),1.0)</f>
        <v>1</v>
      </c>
      <c r="J437" s="7">
        <f>IFERROR(__xludf.DUMMYFUNCTION("""COMPUTED_VALUE"""),0.0)</f>
        <v>0</v>
      </c>
      <c r="K437" s="7">
        <f>IFERROR(__xludf.DUMMYFUNCTION("""COMPUTED_VALUE"""),0.0)</f>
        <v>0</v>
      </c>
      <c r="L437" s="7"/>
    </row>
    <row r="438" ht="15.75" customHeight="1">
      <c r="A438" s="6" t="str">
        <f>IFERROR(__xludf.DUMMYFUNCTION("""COMPUTED_VALUE"""),"https://clutch.co/au/agencies/ppc/melbourne")</f>
        <v>https://clutch.co/au/agencies/ppc/melbourne</v>
      </c>
      <c r="B438" s="7" t="str">
        <f>IFERROR(__xludf.DUMMYFUNCTION("""COMPUTED_VALUE"""),"Top PPC Agencies in Melbourne - Jul 2026 Rankings \| Clutch.co")</f>
        <v>Top PPC Agencies in Melbourne - Jul 2026 Rankings \| Clutch.co</v>
      </c>
      <c r="C438" s="6" t="str">
        <f>IFERROR(__xludf.DUMMYFUNCTION("""COMPUTED_VALUE"""),"clutch.co")</f>
        <v>clutch.co</v>
      </c>
      <c r="D438" s="7" t="str">
        <f>IFERROR(__xludf.DUMMYFUNCTION("""COMPUTED_VALUE"""),"CATEGORY_PAGE")</f>
        <v>CATEGORY_PAGE</v>
      </c>
      <c r="E438" s="7" t="str">
        <f>IFERROR(__xludf.DUMMYFUNCTION("""COMPUTED_VALUE"""),"CORPORATE")</f>
        <v>CORPORATE</v>
      </c>
      <c r="F438" s="7" t="str">
        <f>IFERROR(__xludf.DUMMYFUNCTION("""COMPUTED_VALUE"""),"Category Page")</f>
        <v>Category Page</v>
      </c>
      <c r="G438" s="7" t="b">
        <f>IFERROR(__xludf.DUMMYFUNCTION("""COMPUTED_VALUE"""),FALSE)</f>
        <v>0</v>
      </c>
      <c r="H438" s="7" t="str">
        <f>IFERROR(__xludf.DUMMYFUNCTION("""COMPUTED_VALUE"""),"EvenDigit, SIXGUN, Intesols, Impressive, Emote Digital, 80/20 Digital, Supple Digital, Alley Group, Soup Agency, Salt &amp; Fuessel, Digital Nomads HQ, Clearwater Agency, Megaphone, Reform Digital")</f>
        <v>EvenDigit, SIXGUN, Intesols, Impressive, Emote Digital, 80/20 Digital, Supple Digital, Alley Group, Soup Agency, Salt &amp; Fuessel, Digital Nomads HQ, Clearwater Agency, Megaphone, Reform Digital</v>
      </c>
      <c r="I438" s="7">
        <f>IFERROR(__xludf.DUMMYFUNCTION("""COMPUTED_VALUE"""),1.0)</f>
        <v>1</v>
      </c>
      <c r="J438" s="7">
        <f>IFERROR(__xludf.DUMMYFUNCTION("""COMPUTED_VALUE"""),0.0)</f>
        <v>0</v>
      </c>
      <c r="K438" s="7">
        <f>IFERROR(__xludf.DUMMYFUNCTION("""COMPUTED_VALUE"""),0.0)</f>
        <v>0</v>
      </c>
      <c r="L438" s="7"/>
    </row>
    <row r="439" ht="15.75" customHeight="1">
      <c r="A439" s="6" t="str">
        <f>IFERROR(__xludf.DUMMYFUNCTION("""COMPUTED_VALUE"""),"https://clutch.co/au/agencies/ppc?page=2")</f>
        <v>https://clutch.co/au/agencies/ppc?page=2</v>
      </c>
      <c r="B439" s="7" t="str">
        <f>IFERROR(__xludf.DUMMYFUNCTION("""COMPUTED_VALUE"""),"Page 2 - Top PPC Agencies in Australia - Jul 2026 Rankings | Clutch.co")</f>
        <v>Page 2 - Top PPC Agencies in Australia - Jul 2026 Rankings | Clutch.co</v>
      </c>
      <c r="C439" s="6" t="str">
        <f>IFERROR(__xludf.DUMMYFUNCTION("""COMPUTED_VALUE"""),"clutch.co")</f>
        <v>clutch.co</v>
      </c>
      <c r="D439" s="7" t="str">
        <f>IFERROR(__xludf.DUMMYFUNCTION("""COMPUTED_VALUE"""),"CATEGORY_PAGE")</f>
        <v>CATEGORY_PAGE</v>
      </c>
      <c r="E439" s="7" t="str">
        <f>IFERROR(__xludf.DUMMYFUNCTION("""COMPUTED_VALUE"""),"CORPORATE")</f>
        <v>CORPORATE</v>
      </c>
      <c r="F439" s="7" t="str">
        <f>IFERROR(__xludf.DUMMYFUNCTION("""COMPUTED_VALUE"""),"Category Page")</f>
        <v>Category Page</v>
      </c>
      <c r="G439" s="7" t="b">
        <f>IFERROR(__xludf.DUMMYFUNCTION("""COMPUTED_VALUE"""),FALSE)</f>
        <v>0</v>
      </c>
      <c r="H439" s="7" t="str">
        <f>IFERROR(__xludf.DUMMYFUNCTION("""COMPUTED_VALUE"""),"Soup Agency, Impressive, Insil, Reform Digital, AdVisible, Megaphone, Digital Nomads HQ, Farsiight, SIXGUN, Human Digital, Paradox Marketing, Rocket Agency, Online Marketing Gurus, Intesols, MyWork, Emote Digital, Clearwater Agency, Salt &amp; Fuessel, 80/20 "&amp;"Digital, Marketix Digital")</f>
        <v>Soup Agency, Impressive, Insil, Reform Digital, AdVisible, Megaphone, Digital Nomads HQ, Farsiight, SIXGUN, Human Digital, Paradox Marketing, Rocket Agency, Online Marketing Gurus, Intesols, MyWork, Emote Digital, Clearwater Agency, Salt &amp; Fuessel, 80/20 Digital, Marketix Digital</v>
      </c>
      <c r="I439" s="7">
        <f>IFERROR(__xludf.DUMMYFUNCTION("""COMPUTED_VALUE"""),1.0)</f>
        <v>1</v>
      </c>
      <c r="J439" s="7">
        <f>IFERROR(__xludf.DUMMYFUNCTION("""COMPUTED_VALUE"""),0.0)</f>
        <v>0</v>
      </c>
      <c r="K439" s="7">
        <f>IFERROR(__xludf.DUMMYFUNCTION("""COMPUTED_VALUE"""),0.0)</f>
        <v>0</v>
      </c>
      <c r="L439" s="7"/>
    </row>
    <row r="440" ht="15.75" customHeight="1">
      <c r="A440" s="6" t="str">
        <f>IFERROR(__xludf.DUMMYFUNCTION("""COMPUTED_VALUE"""),"https://clutch.co/au/agencies/programmatic/sydney")</f>
        <v>https://clutch.co/au/agencies/programmatic/sydney</v>
      </c>
      <c r="B440" s="7" t="str">
        <f>IFERROR(__xludf.DUMMYFUNCTION("""COMPUTED_VALUE"""),"Top Programmatic Advertising Agencies in Sydney - Jul 2026 Rankings | Clutch.co")</f>
        <v>Top Programmatic Advertising Agencies in Sydney - Jul 2026 Rankings | Clutch.co</v>
      </c>
      <c r="C440" s="6" t="str">
        <f>IFERROR(__xludf.DUMMYFUNCTION("""COMPUTED_VALUE"""),"clutch.co")</f>
        <v>clutch.co</v>
      </c>
      <c r="D440" s="7" t="str">
        <f>IFERROR(__xludf.DUMMYFUNCTION("""COMPUTED_VALUE"""),"CATEGORY_PAGE")</f>
        <v>CATEGORY_PAGE</v>
      </c>
      <c r="E440" s="7" t="str">
        <f>IFERROR(__xludf.DUMMYFUNCTION("""COMPUTED_VALUE"""),"CORPORATE")</f>
        <v>CORPORATE</v>
      </c>
      <c r="F440" s="7" t="str">
        <f>IFERROR(__xludf.DUMMYFUNCTION("""COMPUTED_VALUE"""),"Category Page")</f>
        <v>Category Page</v>
      </c>
      <c r="G440" s="7" t="b">
        <f>IFERROR(__xludf.DUMMYFUNCTION("""COMPUTED_VALUE"""),FALSE)</f>
        <v>0</v>
      </c>
      <c r="H440" s="7" t="str">
        <f>IFERROR(__xludf.DUMMYFUNCTION("""COMPUTED_VALUE"""),"Soup Agency, DNM Digital, In Marketing We Trust, Bench Media, Impressive")</f>
        <v>Soup Agency, DNM Digital, In Marketing We Trust, Bench Media, Impressive</v>
      </c>
      <c r="I440" s="7">
        <f>IFERROR(__xludf.DUMMYFUNCTION("""COMPUTED_VALUE"""),1.0)</f>
        <v>1</v>
      </c>
      <c r="J440" s="7">
        <f>IFERROR(__xludf.DUMMYFUNCTION("""COMPUTED_VALUE"""),0.0)</f>
        <v>0</v>
      </c>
      <c r="K440" s="7">
        <f>IFERROR(__xludf.DUMMYFUNCTION("""COMPUTED_VALUE"""),0.0)</f>
        <v>0</v>
      </c>
      <c r="L440" s="7"/>
    </row>
    <row r="441" ht="15.75" customHeight="1">
      <c r="A441" s="6" t="str">
        <f>IFERROR(__xludf.DUMMYFUNCTION("""COMPUTED_VALUE"""),"https://clutch.co/au/agencies/seo/technical")</f>
        <v>https://clutch.co/au/agencies/seo/technical</v>
      </c>
      <c r="B441" s="7" t="str">
        <f>IFERROR(__xludf.DUMMYFUNCTION("""COMPUTED_VALUE"""),"Top Technical SEO Agencies in Australia - Jul 2026 Rankings | Clutch.co")</f>
        <v>Top Technical SEO Agencies in Australia - Jul 2026 Rankings | Clutch.co</v>
      </c>
      <c r="C441" s="6" t="str">
        <f>IFERROR(__xludf.DUMMYFUNCTION("""COMPUTED_VALUE"""),"clutch.co")</f>
        <v>clutch.co</v>
      </c>
      <c r="D441" s="7" t="str">
        <f>IFERROR(__xludf.DUMMYFUNCTION("""COMPUTED_VALUE"""),"CATEGORY_PAGE")</f>
        <v>CATEGORY_PAGE</v>
      </c>
      <c r="E441" s="7" t="str">
        <f>IFERROR(__xludf.DUMMYFUNCTION("""COMPUTED_VALUE"""),"CORPORATE")</f>
        <v>CORPORATE</v>
      </c>
      <c r="F441" s="7" t="str">
        <f>IFERROR(__xludf.DUMMYFUNCTION("""COMPUTED_VALUE"""),"Category Page")</f>
        <v>Category Page</v>
      </c>
      <c r="G441" s="7" t="b">
        <f>IFERROR(__xludf.DUMMYFUNCTION("""COMPUTED_VALUE"""),FALSE)</f>
        <v>0</v>
      </c>
      <c r="H441" s="7" t="str">
        <f>IFERROR(__xludf.DUMMYFUNCTION("""COMPUTED_VALUE"""),"Intesols, Impressive, StudioHawk, Soup Agency, Luminary, Emote Digital, Salt &amp; Fuessel, EvenDigit, First Page, DNM Digital, Edge Marketing, In Marketing We Trust, eMarket Experts, Marketix Digital, Megaphone, Paradox Marketing, Prosperity Media")</f>
        <v>Intesols, Impressive, StudioHawk, Soup Agency, Luminary, Emote Digital, Salt &amp; Fuessel, EvenDigit, First Page, DNM Digital, Edge Marketing, In Marketing We Trust, eMarket Experts, Marketix Digital, Megaphone, Paradox Marketing, Prosperity Media</v>
      </c>
      <c r="I441" s="7">
        <f>IFERROR(__xludf.DUMMYFUNCTION("""COMPUTED_VALUE"""),1.0)</f>
        <v>1</v>
      </c>
      <c r="J441" s="7">
        <f>IFERROR(__xludf.DUMMYFUNCTION("""COMPUTED_VALUE"""),0.0)</f>
        <v>0</v>
      </c>
      <c r="K441" s="7">
        <f>IFERROR(__xludf.DUMMYFUNCTION("""COMPUTED_VALUE"""),0.0)</f>
        <v>0</v>
      </c>
      <c r="L441" s="7"/>
    </row>
    <row r="442" ht="15.75" customHeight="1">
      <c r="A442" s="6" t="str">
        <f>IFERROR(__xludf.DUMMYFUNCTION("""COMPUTED_VALUE"""),"https://clutch.co/au/agencies/social-media-marketing/facebook/sydney")</f>
        <v>https://clutch.co/au/agencies/social-media-marketing/facebook/sydney</v>
      </c>
      <c r="B442" s="7" t="str">
        <f>IFERROR(__xludf.DUMMYFUNCTION("""COMPUTED_VALUE"""),"Top Facebook Advertising Agencies in Sydney - Jul 2026 Rankings \| Clutch.co")</f>
        <v>Top Facebook Advertising Agencies in Sydney - Jul 2026 Rankings \| Clutch.co</v>
      </c>
      <c r="C442" s="6" t="str">
        <f>IFERROR(__xludf.DUMMYFUNCTION("""COMPUTED_VALUE"""),"clutch.co")</f>
        <v>clutch.co</v>
      </c>
      <c r="D442" s="7" t="str">
        <f>IFERROR(__xludf.DUMMYFUNCTION("""COMPUTED_VALUE"""),"CATEGORY_PAGE")</f>
        <v>CATEGORY_PAGE</v>
      </c>
      <c r="E442" s="7" t="str">
        <f>IFERROR(__xludf.DUMMYFUNCTION("""COMPUTED_VALUE"""),"CORPORATE")</f>
        <v>CORPORATE</v>
      </c>
      <c r="F442" s="7" t="str">
        <f>IFERROR(__xludf.DUMMYFUNCTION("""COMPUTED_VALUE"""),"Category Page")</f>
        <v>Category Page</v>
      </c>
      <c r="G442" s="7" t="b">
        <f>IFERROR(__xludf.DUMMYFUNCTION("""COMPUTED_VALUE"""),FALSE)</f>
        <v>0</v>
      </c>
      <c r="H442" s="7" t="str">
        <f>IFERROR(__xludf.DUMMYFUNCTION("""COMPUTED_VALUE"""),"Soup Agency, Human Digital, Digital Nomads HQ, Rocket Agency, DNM Digital, Impressive, Megaphone, Online Marketing Gurus, Omnicom Media Group, Bench Media, Insil, Huge, AdVisible")</f>
        <v>Soup Agency, Human Digital, Digital Nomads HQ, Rocket Agency, DNM Digital, Impressive, Megaphone, Online Marketing Gurus, Omnicom Media Group, Bench Media, Insil, Huge, AdVisible</v>
      </c>
      <c r="I442" s="7">
        <f>IFERROR(__xludf.DUMMYFUNCTION("""COMPUTED_VALUE"""),1.0)</f>
        <v>1</v>
      </c>
      <c r="J442" s="7">
        <f>IFERROR(__xludf.DUMMYFUNCTION("""COMPUTED_VALUE"""),0.0)</f>
        <v>0</v>
      </c>
      <c r="K442" s="7">
        <f>IFERROR(__xludf.DUMMYFUNCTION("""COMPUTED_VALUE"""),0.0)</f>
        <v>0</v>
      </c>
      <c r="L442" s="7"/>
    </row>
    <row r="443" ht="15.75" customHeight="1">
      <c r="A443" s="6" t="str">
        <f>IFERROR(__xludf.DUMMYFUNCTION("""COMPUTED_VALUE"""),"https://clutch.co/au/agencies/social-media-marketing/facebook?page=6")</f>
        <v>https://clutch.co/au/agencies/social-media-marketing/facebook?page=6</v>
      </c>
      <c r="B443" s="7" t="str">
        <f>IFERROR(__xludf.DUMMYFUNCTION("""COMPUTED_VALUE"""),"Page 6 - Top Facebook Advertising Agencies in Australia - Jul 2026 Rankings \| Clutch.co")</f>
        <v>Page 6 - Top Facebook Advertising Agencies in Australia - Jul 2026 Rankings \| Clutch.co</v>
      </c>
      <c r="C443" s="6" t="str">
        <f>IFERROR(__xludf.DUMMYFUNCTION("""COMPUTED_VALUE"""),"clutch.co")</f>
        <v>clutch.co</v>
      </c>
      <c r="D443" s="7" t="str">
        <f>IFERROR(__xludf.DUMMYFUNCTION("""COMPUTED_VALUE"""),"CATEGORY_PAGE")</f>
        <v>CATEGORY_PAGE</v>
      </c>
      <c r="E443" s="7" t="str">
        <f>IFERROR(__xludf.DUMMYFUNCTION("""COMPUTED_VALUE"""),"CORPORATE")</f>
        <v>CORPORATE</v>
      </c>
      <c r="F443" s="7" t="str">
        <f>IFERROR(__xludf.DUMMYFUNCTION("""COMPUTED_VALUE"""),"Category Page")</f>
        <v>Category Page</v>
      </c>
      <c r="G443" s="7" t="b">
        <f>IFERROR(__xludf.DUMMYFUNCTION("""COMPUTED_VALUE"""),FALSE)</f>
        <v>0</v>
      </c>
      <c r="H443" s="7" t="str">
        <f>IFERROR(__xludf.DUMMYFUNCTION("""COMPUTED_VALUE"""),"Digital Nomads HQ, SIXGUN, Intesols, Farsiight, Soup Agency, Emote Digital, Impressive, Human Digital, Megaphone, Online Marketing Gurus, Paradox Marketing, Rocket Agency, Bench Media, Insil, Clearwater Agency, Salt &amp; Fuessel")</f>
        <v>Digital Nomads HQ, SIXGUN, Intesols, Farsiight, Soup Agency, Emote Digital, Impressive, Human Digital, Megaphone, Online Marketing Gurus, Paradox Marketing, Rocket Agency, Bench Media, Insil, Clearwater Agency, Salt &amp; Fuessel</v>
      </c>
      <c r="I443" s="7">
        <f>IFERROR(__xludf.DUMMYFUNCTION("""COMPUTED_VALUE"""),1.0)</f>
        <v>1</v>
      </c>
      <c r="J443" s="7">
        <f>IFERROR(__xludf.DUMMYFUNCTION("""COMPUTED_VALUE"""),0.0)</f>
        <v>0</v>
      </c>
      <c r="K443" s="7">
        <f>IFERROR(__xludf.DUMMYFUNCTION("""COMPUTED_VALUE"""),0.0)</f>
        <v>0</v>
      </c>
      <c r="L443" s="7"/>
    </row>
    <row r="444" ht="15.75" customHeight="1">
      <c r="A444" s="6" t="str">
        <f>IFERROR(__xludf.DUMMYFUNCTION("""COMPUTED_VALUE"""),"https://clutch.co/au/agencies/social-media-marketing/tik-tok/melbourne")</f>
        <v>https://clutch.co/au/agencies/social-media-marketing/tik-tok/melbourne</v>
      </c>
      <c r="B444" s="7" t="str">
        <f>IFERROR(__xludf.DUMMYFUNCTION("""COMPUTED_VALUE"""),"Top TikTok Advertising Agencies in Melbourne - Jul 2026 Rankings | Clutch.co")</f>
        <v>Top TikTok Advertising Agencies in Melbourne - Jul 2026 Rankings | Clutch.co</v>
      </c>
      <c r="C444" s="6" t="str">
        <f>IFERROR(__xludf.DUMMYFUNCTION("""COMPUTED_VALUE"""),"clutch.co")</f>
        <v>clutch.co</v>
      </c>
      <c r="D444" s="7" t="str">
        <f>IFERROR(__xludf.DUMMYFUNCTION("""COMPUTED_VALUE"""),"OTHER")</f>
        <v>OTHER</v>
      </c>
      <c r="E444" s="7" t="str">
        <f>IFERROR(__xludf.DUMMYFUNCTION("""COMPUTED_VALUE"""),"CORPORATE")</f>
        <v>CORPORATE</v>
      </c>
      <c r="F444" s="7" t="str">
        <f>IFERROR(__xludf.DUMMYFUNCTION("""COMPUTED_VALUE"""),"Other")</f>
        <v>Other</v>
      </c>
      <c r="G444" s="7" t="b">
        <f>IFERROR(__xludf.DUMMYFUNCTION("""COMPUTED_VALUE"""),FALSE)</f>
        <v>0</v>
      </c>
      <c r="H444" s="7" t="str">
        <f>IFERROR(__xludf.DUMMYFUNCTION("""COMPUTED_VALUE"""),"Impressive, Emote Digital, Salt &amp; Fuessel, Digital Nomads HQ, Megaphone, Reform Digital, Eight Clients")</f>
        <v>Impressive, Emote Digital, Salt &amp; Fuessel, Digital Nomads HQ, Megaphone, Reform Digital, Eight Clients</v>
      </c>
      <c r="I444" s="7">
        <f>IFERROR(__xludf.DUMMYFUNCTION("""COMPUTED_VALUE"""),1.0)</f>
        <v>1</v>
      </c>
      <c r="J444" s="7">
        <f>IFERROR(__xludf.DUMMYFUNCTION("""COMPUTED_VALUE"""),0.0)</f>
        <v>0</v>
      </c>
      <c r="K444" s="7">
        <f>IFERROR(__xludf.DUMMYFUNCTION("""COMPUTED_VALUE"""),0.0)</f>
        <v>0</v>
      </c>
      <c r="L444" s="7"/>
    </row>
    <row r="445" ht="15.75" customHeight="1">
      <c r="A445" s="6" t="str">
        <f>IFERROR(__xludf.DUMMYFUNCTION("""COMPUTED_VALUE"""),"https://clutch.co/au/agencies/social-media-marketing/tik-tok/sydney")</f>
        <v>https://clutch.co/au/agencies/social-media-marketing/tik-tok/sydney</v>
      </c>
      <c r="B445" s="7" t="str">
        <f>IFERROR(__xludf.DUMMYFUNCTION("""COMPUTED_VALUE"""),"Top TikTok Advertising Agencies in Sydney - Jul 2026 Rankings | Clutch.co")</f>
        <v>Top TikTok Advertising Agencies in Sydney - Jul 2026 Rankings | Clutch.co</v>
      </c>
      <c r="C445" s="6" t="str">
        <f>IFERROR(__xludf.DUMMYFUNCTION("""COMPUTED_VALUE"""),"clutch.co")</f>
        <v>clutch.co</v>
      </c>
      <c r="D445" s="7" t="str">
        <f>IFERROR(__xludf.DUMMYFUNCTION("""COMPUTED_VALUE"""),"CATEGORY_PAGE")</f>
        <v>CATEGORY_PAGE</v>
      </c>
      <c r="E445" s="7" t="str">
        <f>IFERROR(__xludf.DUMMYFUNCTION("""COMPUTED_VALUE"""),"CORPORATE")</f>
        <v>CORPORATE</v>
      </c>
      <c r="F445" s="7" t="str">
        <f>IFERROR(__xludf.DUMMYFUNCTION("""COMPUTED_VALUE"""),"Category Page")</f>
        <v>Category Page</v>
      </c>
      <c r="G445" s="7" t="b">
        <f>IFERROR(__xludf.DUMMYFUNCTION("""COMPUTED_VALUE"""),FALSE)</f>
        <v>0</v>
      </c>
      <c r="H445" s="7" t="str">
        <f>IFERROR(__xludf.DUMMYFUNCTION("""COMPUTED_VALUE"""),"Soup Agency, Impressive, Digital Nomads HQ, Megaphone, Bench Media, Eight Clients")</f>
        <v>Soup Agency, Impressive, Digital Nomads HQ, Megaphone, Bench Media, Eight Clients</v>
      </c>
      <c r="I445" s="7">
        <f>IFERROR(__xludf.DUMMYFUNCTION("""COMPUTED_VALUE"""),1.0)</f>
        <v>1</v>
      </c>
      <c r="J445" s="7">
        <f>IFERROR(__xludf.DUMMYFUNCTION("""COMPUTED_VALUE"""),0.0)</f>
        <v>0</v>
      </c>
      <c r="K445" s="7">
        <f>IFERROR(__xludf.DUMMYFUNCTION("""COMPUTED_VALUE"""),3.0)</f>
        <v>3</v>
      </c>
      <c r="L445" s="7"/>
    </row>
    <row r="446" ht="15.75" customHeight="1">
      <c r="A446" s="6" t="str">
        <f>IFERROR(__xludf.DUMMYFUNCTION("""COMPUTED_VALUE"""),"https://clutch.co/au/agencies/social-media-marketing/tik-tok?page=2")</f>
        <v>https://clutch.co/au/agencies/social-media-marketing/tik-tok?page=2</v>
      </c>
      <c r="B446" s="7" t="str">
        <f>IFERROR(__xludf.DUMMYFUNCTION("""COMPUTED_VALUE"""),"Page 2 - Top TikTok Advertising Agencies in Australia - Jul 2026 Rankings | Clutch.co")</f>
        <v>Page 2 - Top TikTok Advertising Agencies in Australia - Jul 2026 Rankings | Clutch.co</v>
      </c>
      <c r="C446" s="6" t="str">
        <f>IFERROR(__xludf.DUMMYFUNCTION("""COMPUTED_VALUE"""),"clutch.co")</f>
        <v>clutch.co</v>
      </c>
      <c r="D446" s="7" t="str">
        <f>IFERROR(__xludf.DUMMYFUNCTION("""COMPUTED_VALUE"""),"CATEGORY_PAGE")</f>
        <v>CATEGORY_PAGE</v>
      </c>
      <c r="E446" s="7" t="str">
        <f>IFERROR(__xludf.DUMMYFUNCTION("""COMPUTED_VALUE"""),"CORPORATE")</f>
        <v>CORPORATE</v>
      </c>
      <c r="F446" s="7" t="str">
        <f>IFERROR(__xludf.DUMMYFUNCTION("""COMPUTED_VALUE"""),"Category Page")</f>
        <v>Category Page</v>
      </c>
      <c r="G446" s="7" t="b">
        <f>IFERROR(__xludf.DUMMYFUNCTION("""COMPUTED_VALUE"""),FALSE)</f>
        <v>0</v>
      </c>
      <c r="H446" s="7" t="str">
        <f>IFERROR(__xludf.DUMMYFUNCTION("""COMPUTED_VALUE"""),"Impressive, Digital Nomads HQ, Megaphone, Soup Agency, Paradox Marketing, Emote Digital, Bench Media, Salt &amp; Fuessel, Reform Digital")</f>
        <v>Impressive, Digital Nomads HQ, Megaphone, Soup Agency, Paradox Marketing, Emote Digital, Bench Media, Salt &amp; Fuessel, Reform Digital</v>
      </c>
      <c r="I446" s="7">
        <f>IFERROR(__xludf.DUMMYFUNCTION("""COMPUTED_VALUE"""),1.0)</f>
        <v>1</v>
      </c>
      <c r="J446" s="7">
        <f>IFERROR(__xludf.DUMMYFUNCTION("""COMPUTED_VALUE"""),0.0)</f>
        <v>0</v>
      </c>
      <c r="K446" s="7">
        <f>IFERROR(__xludf.DUMMYFUNCTION("""COMPUTED_VALUE"""),0.0)</f>
        <v>0</v>
      </c>
      <c r="L446" s="7"/>
    </row>
    <row r="447" ht="15.75" customHeight="1">
      <c r="A447" s="6" t="str">
        <f>IFERROR(__xludf.DUMMYFUNCTION("""COMPUTED_VALUE"""),"https://clutch.co/au/agencies?page=7")</f>
        <v>https://clutch.co/au/agencies?page=7</v>
      </c>
      <c r="B447" s="7" t="str">
        <f>IFERROR(__xludf.DUMMYFUNCTION("""COMPUTED_VALUE"""),"Page 7 - Top Advertising Agencies in Australia - Jul 2026 Rankings | Clutch.co")</f>
        <v>Page 7 - Top Advertising Agencies in Australia - Jul 2026 Rankings | Clutch.co</v>
      </c>
      <c r="C447" s="6" t="str">
        <f>IFERROR(__xludf.DUMMYFUNCTION("""COMPUTED_VALUE"""),"clutch.co")</f>
        <v>clutch.co</v>
      </c>
      <c r="D447" s="7" t="str">
        <f>IFERROR(__xludf.DUMMYFUNCTION("""COMPUTED_VALUE"""),"CATEGORY_PAGE")</f>
        <v>CATEGORY_PAGE</v>
      </c>
      <c r="E447" s="7" t="str">
        <f>IFERROR(__xludf.DUMMYFUNCTION("""COMPUTED_VALUE"""),"CORPORATE")</f>
        <v>CORPORATE</v>
      </c>
      <c r="F447" s="7" t="str">
        <f>IFERROR(__xludf.DUMMYFUNCTION("""COMPUTED_VALUE"""),"Category Page")</f>
        <v>Category Page</v>
      </c>
      <c r="G447" s="7" t="b">
        <f>IFERROR(__xludf.DUMMYFUNCTION("""COMPUTED_VALUE"""),FALSE)</f>
        <v>0</v>
      </c>
      <c r="H447" s="7" t="str">
        <f>IFERROR(__xludf.DUMMYFUNCTION("""COMPUTED_VALUE"""),"Version2, Impressive, weDiscover, Ninja Promo, Loud Days, Chello, Human Digital, Soup Agency, Bench Media, Farsiight, Insil, DNM Digital")</f>
        <v>Version2, Impressive, weDiscover, Ninja Promo, Loud Days, Chello, Human Digital, Soup Agency, Bench Media, Farsiight, Insil, DNM Digital</v>
      </c>
      <c r="I447" s="7">
        <f>IFERROR(__xludf.DUMMYFUNCTION("""COMPUTED_VALUE"""),1.0)</f>
        <v>1</v>
      </c>
      <c r="J447" s="7">
        <f>IFERROR(__xludf.DUMMYFUNCTION("""COMPUTED_VALUE"""),0.0)</f>
        <v>0</v>
      </c>
      <c r="K447" s="7">
        <f>IFERROR(__xludf.DUMMYFUNCTION("""COMPUTED_VALUE"""),0.0)</f>
        <v>0</v>
      </c>
      <c r="L447" s="7"/>
    </row>
    <row r="448" ht="15.75" customHeight="1">
      <c r="A448" s="6" t="str">
        <f>IFERROR(__xludf.DUMMYFUNCTION("""COMPUTED_VALUE"""),"https://www.cometly.com/post/multi-touch-attribution-platform")</f>
        <v>https://www.cometly.com/post/multi-touch-attribution-platform</v>
      </c>
      <c r="B448" s="7" t="str">
        <f>IFERROR(__xludf.DUMMYFUNCTION("""COMPUTED_VALUE"""),"9 Best Multi Touch Attribution Platforms 2026 Guide")</f>
        <v>9 Best Multi Touch Attribution Platforms 2026 Guide</v>
      </c>
      <c r="C448" s="6" t="str">
        <f>IFERROR(__xludf.DUMMYFUNCTION("""COMPUTED_VALUE"""),"cometly.com")</f>
        <v>cometly.com</v>
      </c>
      <c r="D448" s="7" t="str">
        <f>IFERROR(__xludf.DUMMYFUNCTION("""COMPUTED_VALUE"""),"LISTICLE")</f>
        <v>LISTICLE</v>
      </c>
      <c r="E448" s="7" t="str">
        <f>IFERROR(__xludf.DUMMYFUNCTION("""COMPUTED_VALUE"""),"CORPORATE")</f>
        <v>CORPORATE</v>
      </c>
      <c r="F448" s="7" t="str">
        <f>IFERROR(__xludf.DUMMYFUNCTION("""COMPUTED_VALUE"""),"Listicle")</f>
        <v>Listicle</v>
      </c>
      <c r="G448" s="7" t="b">
        <f>IFERROR(__xludf.DUMMYFUNCTION("""COMPUTED_VALUE"""),FALSE)</f>
        <v>0</v>
      </c>
      <c r="H448" s="7" t="str">
        <f>IFERROR(__xludf.DUMMYFUNCTION("""COMPUTED_VALUE"""),"Measured")</f>
        <v>Measured</v>
      </c>
      <c r="I448" s="7">
        <f>IFERROR(__xludf.DUMMYFUNCTION("""COMPUTED_VALUE"""),1.0)</f>
        <v>1</v>
      </c>
      <c r="J448" s="7">
        <f>IFERROR(__xludf.DUMMYFUNCTION("""COMPUTED_VALUE"""),0.0)</f>
        <v>0</v>
      </c>
      <c r="K448" s="7">
        <f>IFERROR(__xludf.DUMMYFUNCTION("""COMPUTED_VALUE"""),1.0)</f>
        <v>1</v>
      </c>
      <c r="L448" s="7"/>
    </row>
    <row r="449" ht="15.75" customHeight="1">
      <c r="A449" s="6" t="str">
        <f>IFERROR(__xludf.DUMMYFUNCTION("""COMPUTED_VALUE"""),"https://conquerradigital.com.au/top-9-programmatic-ads-agencies-in-adelaide/")</f>
        <v>https://conquerradigital.com.au/top-9-programmatic-ads-agencies-in-adelaide/</v>
      </c>
      <c r="B449" s="7" t="str">
        <f>IFERROR(__xludf.DUMMYFUNCTION("""COMPUTED_VALUE"""),"Top 9 Programmatic Ads Agencies In Adelaide | Conquerra Digital")</f>
        <v>Top 9 Programmatic Ads Agencies In Adelaide | Conquerra Digital</v>
      </c>
      <c r="C449" s="6" t="str">
        <f>IFERROR(__xludf.DUMMYFUNCTION("""COMPUTED_VALUE"""),"conquerradigital.com.au")</f>
        <v>conquerradigital.com.au</v>
      </c>
      <c r="D449" s="7" t="str">
        <f>IFERROR(__xludf.DUMMYFUNCTION("""COMPUTED_VALUE"""),"LISTICLE")</f>
        <v>LISTICLE</v>
      </c>
      <c r="E449" s="7" t="str">
        <f>IFERROR(__xludf.DUMMYFUNCTION("""COMPUTED_VALUE"""),"CORPORATE")</f>
        <v>CORPORATE</v>
      </c>
      <c r="F449" s="7" t="str">
        <f>IFERROR(__xludf.DUMMYFUNCTION("""COMPUTED_VALUE"""),"Listicle")</f>
        <v>Listicle</v>
      </c>
      <c r="G449" s="7" t="b">
        <f>IFERROR(__xludf.DUMMYFUNCTION("""COMPUTED_VALUE"""),FALSE)</f>
        <v>0</v>
      </c>
      <c r="H449" s="7" t="str">
        <f>IFERROR(__xludf.DUMMYFUNCTION("""COMPUTED_VALUE"""),"OMD, Momentum")</f>
        <v>OMD, Momentum</v>
      </c>
      <c r="I449" s="7">
        <f>IFERROR(__xludf.DUMMYFUNCTION("""COMPUTED_VALUE"""),1.0)</f>
        <v>1</v>
      </c>
      <c r="J449" s="7">
        <f>IFERROR(__xludf.DUMMYFUNCTION("""COMPUTED_VALUE"""),0.0)</f>
        <v>0</v>
      </c>
      <c r="K449" s="7">
        <f>IFERROR(__xludf.DUMMYFUNCTION("""COMPUTED_VALUE"""),0.0)</f>
        <v>0</v>
      </c>
      <c r="L449" s="7"/>
    </row>
    <row r="450" ht="15.75" customHeight="1">
      <c r="A450" s="6" t="str">
        <f>IFERROR(__xludf.DUMMYFUNCTION("""COMPUTED_VALUE"""),"https://www.dailybulletin.com.au/news/technology/96125-best-australian-agencies-for-content-that-ranks-in-ai")</f>
        <v>https://www.dailybulletin.com.au/news/technology/96125-best-australian-agencies-for-content-that-ranks-in-ai</v>
      </c>
      <c r="B450" s="7" t="str">
        <f>IFERROR(__xludf.DUMMYFUNCTION("""COMPUTED_VALUE"""),"Best Australian Agencies for Content that Ranks in AI")</f>
        <v>Best Australian Agencies for Content that Ranks in AI</v>
      </c>
      <c r="C450" s="6" t="str">
        <f>IFERROR(__xludf.DUMMYFUNCTION("""COMPUTED_VALUE"""),"dailybulletin.com.au")</f>
        <v>dailybulletin.com.au</v>
      </c>
      <c r="D450" s="7" t="str">
        <f>IFERROR(__xludf.DUMMYFUNCTION("""COMPUTED_VALUE"""),"OTHER")</f>
        <v>OTHER</v>
      </c>
      <c r="E450" s="7" t="str">
        <f>IFERROR(__xludf.DUMMYFUNCTION("""COMPUTED_VALUE"""),"EDITORIAL")</f>
        <v>EDITORIAL</v>
      </c>
      <c r="F450" s="7" t="str">
        <f>IFERROR(__xludf.DUMMYFUNCTION("""COMPUTED_VALUE"""),"Other")</f>
        <v>Other</v>
      </c>
      <c r="G450" s="7" t="b">
        <f>IFERROR(__xludf.DUMMYFUNCTION("""COMPUTED_VALUE"""),FALSE)</f>
        <v>0</v>
      </c>
      <c r="H450" s="7" t="str">
        <f>IFERROR(__xludf.DUMMYFUNCTION("""COMPUTED_VALUE"""),"NP Digital Australia, Prosperity Media, Impressive, Rocket Agency, Clearwater Agency, Webprofits, Emote Digital, Soup Agency, Safari Digital, Measured")</f>
        <v>NP Digital Australia, Prosperity Media, Impressive, Rocket Agency, Clearwater Agency, Webprofits, Emote Digital, Soup Agency, Safari Digital, Measured</v>
      </c>
      <c r="I450" s="7">
        <f>IFERROR(__xludf.DUMMYFUNCTION("""COMPUTED_VALUE"""),1.0)</f>
        <v>1</v>
      </c>
      <c r="J450" s="7">
        <f>IFERROR(__xludf.DUMMYFUNCTION("""COMPUTED_VALUE"""),0.0)</f>
        <v>0</v>
      </c>
      <c r="K450" s="7">
        <f>IFERROR(__xludf.DUMMYFUNCTION("""COMPUTED_VALUE"""),0.0)</f>
        <v>0</v>
      </c>
      <c r="L450" s="7"/>
    </row>
    <row r="451" ht="15.75" customHeight="1">
      <c r="A451" s="6" t="str">
        <f>IFERROR(__xludf.DUMMYFUNCTION("""COMPUTED_VALUE"""),"https://www.darkroomagency.com/observatory/the-12-top-rated-paid-media-agencies-this-year")</f>
        <v>https://www.darkroomagency.com/observatory/the-12-top-rated-paid-media-agencies-this-year</v>
      </c>
      <c r="B451" s="7" t="str">
        <f>IFERROR(__xludf.DUMMYFUNCTION("""COMPUTED_VALUE"""),"Top-Rated Paid Media Agencies for Scalable Growth")</f>
        <v>Top-Rated Paid Media Agencies for Scalable Growth</v>
      </c>
      <c r="C451" s="6" t="str">
        <f>IFERROR(__xludf.DUMMYFUNCTION("""COMPUTED_VALUE"""),"darkroomagency.com")</f>
        <v>darkroomagency.com</v>
      </c>
      <c r="D451" s="7" t="str">
        <f>IFERROR(__xludf.DUMMYFUNCTION("""COMPUTED_VALUE"""),"LISTICLE")</f>
        <v>LISTICLE</v>
      </c>
      <c r="E451" s="7" t="str">
        <f>IFERROR(__xludf.DUMMYFUNCTION("""COMPUTED_VALUE"""),"CORPORATE")</f>
        <v>CORPORATE</v>
      </c>
      <c r="F451" s="7" t="str">
        <f>IFERROR(__xludf.DUMMYFUNCTION("""COMPUTED_VALUE"""),"Listicle")</f>
        <v>Listicle</v>
      </c>
      <c r="G451" s="7" t="b">
        <f>IFERROR(__xludf.DUMMYFUNCTION("""COMPUTED_VALUE"""),FALSE)</f>
        <v>0</v>
      </c>
      <c r="H451" s="7" t="str">
        <f>IFERROR(__xludf.DUMMYFUNCTION("""COMPUTED_VALUE"""),"Tinuiti, Power Digital, Impressive")</f>
        <v>Tinuiti, Power Digital, Impressive</v>
      </c>
      <c r="I451" s="7">
        <f>IFERROR(__xludf.DUMMYFUNCTION("""COMPUTED_VALUE"""),1.0)</f>
        <v>1</v>
      </c>
      <c r="J451" s="7">
        <f>IFERROR(__xludf.DUMMYFUNCTION("""COMPUTED_VALUE"""),0.0)</f>
        <v>0</v>
      </c>
      <c r="K451" s="7">
        <f>IFERROR(__xludf.DUMMYFUNCTION("""COMPUTED_VALUE"""),1.0)</f>
        <v>1</v>
      </c>
      <c r="L451" s="7"/>
    </row>
    <row r="452" ht="15.75" customHeight="1">
      <c r="A452" s="6" t="str">
        <f>IFERROR(__xludf.DUMMYFUNCTION("""COMPUTED_VALUE"""),"https://designmagazine.com.au/best-australian-design-studios/")</f>
        <v>https://designmagazine.com.au/best-australian-design-studios/</v>
      </c>
      <c r="B452" s="7" t="str">
        <f>IFERROR(__xludf.DUMMYFUNCTION("""COMPUTED_VALUE"""),"Best Australian Design Studios 2026: An Editorial Roundup")</f>
        <v>Best Australian Design Studios 2026: An Editorial Roundup</v>
      </c>
      <c r="C452" s="6" t="str">
        <f>IFERROR(__xludf.DUMMYFUNCTION("""COMPUTED_VALUE"""),"designmagazine.com.au")</f>
        <v>designmagazine.com.au</v>
      </c>
      <c r="D452" s="7" t="str">
        <f>IFERROR(__xludf.DUMMYFUNCTION("""COMPUTED_VALUE"""),"LISTICLE")</f>
        <v>LISTICLE</v>
      </c>
      <c r="E452" s="7" t="str">
        <f>IFERROR(__xludf.DUMMYFUNCTION("""COMPUTED_VALUE"""),"EDITORIAL")</f>
        <v>EDITORIAL</v>
      </c>
      <c r="F452" s="7" t="str">
        <f>IFERROR(__xludf.DUMMYFUNCTION("""COMPUTED_VALUE"""),"Listicle")</f>
        <v>Listicle</v>
      </c>
      <c r="G452" s="7" t="b">
        <f>IFERROR(__xludf.DUMMYFUNCTION("""COMPUTED_VALUE"""),FALSE)</f>
        <v>0</v>
      </c>
      <c r="H452" s="7" t="str">
        <f>IFERROR(__xludf.DUMMYFUNCTION("""COMPUTED_VALUE"""),"Hulsbosch, CUT THRU")</f>
        <v>Hulsbosch, CUT THRU</v>
      </c>
      <c r="I452" s="7">
        <f>IFERROR(__xludf.DUMMYFUNCTION("""COMPUTED_VALUE"""),1.0)</f>
        <v>1</v>
      </c>
      <c r="J452" s="7">
        <f>IFERROR(__xludf.DUMMYFUNCTION("""COMPUTED_VALUE"""),0.0)</f>
        <v>0</v>
      </c>
      <c r="K452" s="7">
        <f>IFERROR(__xludf.DUMMYFUNCTION("""COMPUTED_VALUE"""),0.0)</f>
        <v>0</v>
      </c>
      <c r="L452" s="7"/>
    </row>
    <row r="453" ht="15.75" customHeight="1">
      <c r="A453" s="6" t="str">
        <f>IFERROR(__xludf.DUMMYFUNCTION("""COMPUTED_VALUE"""),"https://www.designrush.com/agency/conversion-optimization/au")</f>
        <v>https://www.designrush.com/agency/conversion-optimization/au</v>
      </c>
      <c r="B453" s="7" t="str">
        <f>IFERROR(__xludf.DUMMYFUNCTION("""COMPUTED_VALUE"""),"Top Conversion Rate Optimization Services in Australia | 2026")</f>
        <v>Top Conversion Rate Optimization Services in Australia | 2026</v>
      </c>
      <c r="C453" s="6" t="str">
        <f>IFERROR(__xludf.DUMMYFUNCTION("""COMPUTED_VALUE"""),"designrush.com")</f>
        <v>designrush.com</v>
      </c>
      <c r="D453" s="7" t="str">
        <f>IFERROR(__xludf.DUMMYFUNCTION("""COMPUTED_VALUE"""),"LISTICLE")</f>
        <v>LISTICLE</v>
      </c>
      <c r="E453" s="7" t="str">
        <f>IFERROR(__xludf.DUMMYFUNCTION("""COMPUTED_VALUE"""),"CORPORATE")</f>
        <v>CORPORATE</v>
      </c>
      <c r="F453" s="7" t="str">
        <f>IFERROR(__xludf.DUMMYFUNCTION("""COMPUTED_VALUE"""),"Listicle")</f>
        <v>Listicle</v>
      </c>
      <c r="G453" s="7" t="b">
        <f>IFERROR(__xludf.DUMMYFUNCTION("""COMPUTED_VALUE"""),FALSE)</f>
        <v>0</v>
      </c>
      <c r="H453" s="7" t="str">
        <f>IFERROR(__xludf.DUMMYFUNCTION("""COMPUTED_VALUE"""),"Impressive, Deloitte, eMarket Experts, SIXGUN, In Marketing We Trust, Luminary, Soup Agency, Growth Digital, Digitxl")</f>
        <v>Impressive, Deloitte, eMarket Experts, SIXGUN, In Marketing We Trust, Luminary, Soup Agency, Growth Digital, Digitxl</v>
      </c>
      <c r="I453" s="7">
        <f>IFERROR(__xludf.DUMMYFUNCTION("""COMPUTED_VALUE"""),1.0)</f>
        <v>1</v>
      </c>
      <c r="J453" s="7">
        <f>IFERROR(__xludf.DUMMYFUNCTION("""COMPUTED_VALUE"""),0.0)</f>
        <v>0</v>
      </c>
      <c r="K453" s="7">
        <f>IFERROR(__xludf.DUMMYFUNCTION("""COMPUTED_VALUE"""),1.0)</f>
        <v>1</v>
      </c>
      <c r="L453" s="7"/>
    </row>
    <row r="454" ht="15.75" customHeight="1">
      <c r="A454" s="6" t="str">
        <f>IFERROR(__xludf.DUMMYFUNCTION("""COMPUTED_VALUE"""),"https://www.designrush.com/agency/paid-media-pay-per-click/au")</f>
        <v>https://www.designrush.com/agency/paid-media-pay-per-click/au</v>
      </c>
      <c r="B454" s="7" t="str">
        <f>IFERROR(__xludf.DUMMYFUNCTION("""COMPUTED_VALUE"""),"Top PPC Services in Australia | 2026")</f>
        <v>Top PPC Services in Australia | 2026</v>
      </c>
      <c r="C454" s="6" t="str">
        <f>IFERROR(__xludf.DUMMYFUNCTION("""COMPUTED_VALUE"""),"designrush.com")</f>
        <v>designrush.com</v>
      </c>
      <c r="D454" s="7" t="str">
        <f>IFERROR(__xludf.DUMMYFUNCTION("""COMPUTED_VALUE"""),"HOW_TO_GUIDE")</f>
        <v>HOW_TO_GUIDE</v>
      </c>
      <c r="E454" s="7" t="str">
        <f>IFERROR(__xludf.DUMMYFUNCTION("""COMPUTED_VALUE"""),"CORPORATE")</f>
        <v>CORPORATE</v>
      </c>
      <c r="F454" s="7" t="str">
        <f>IFERROR(__xludf.DUMMYFUNCTION("""COMPUTED_VALUE"""),"How-To Guide")</f>
        <v>How-To Guide</v>
      </c>
      <c r="G454" s="7" t="b">
        <f>IFERROR(__xludf.DUMMYFUNCTION("""COMPUTED_VALUE"""),FALSE)</f>
        <v>0</v>
      </c>
      <c r="H454" s="7" t="str">
        <f>IFERROR(__xludf.DUMMYFUNCTION("""COMPUTED_VALUE"""),"Impressive, Supple Digital, eMarket Experts, Online Marketing Gurus, SIXGUN, Digital Nomads HQ, Soup Agency, 80/20 Digital")</f>
        <v>Impressive, Supple Digital, eMarket Experts, Online Marketing Gurus, SIXGUN, Digital Nomads HQ, Soup Agency, 80/20 Digital</v>
      </c>
      <c r="I454" s="7">
        <f>IFERROR(__xludf.DUMMYFUNCTION("""COMPUTED_VALUE"""),1.0)</f>
        <v>1</v>
      </c>
      <c r="J454" s="7">
        <f>IFERROR(__xludf.DUMMYFUNCTION("""COMPUTED_VALUE"""),0.0)</f>
        <v>0</v>
      </c>
      <c r="K454" s="7">
        <f>IFERROR(__xludf.DUMMYFUNCTION("""COMPUTED_VALUE"""),0.0)</f>
        <v>0</v>
      </c>
      <c r="L454" s="7"/>
    </row>
    <row r="455" ht="15.75" customHeight="1">
      <c r="A455" s="6" t="str">
        <f>IFERROR(__xludf.DUMMYFUNCTION("""COMPUTED_VALUE"""),"https://www.designrush.com/agency/paid-media-pay-per-click/google-adwords/au")</f>
        <v>https://www.designrush.com/agency/paid-media-pay-per-click/google-adwords/au</v>
      </c>
      <c r="B455" s="7" t="str">
        <f>IFERROR(__xludf.DUMMYFUNCTION("""COMPUTED_VALUE"""),"Top Google Ads Agencies in Australia | 2026")</f>
        <v>Top Google Ads Agencies in Australia | 2026</v>
      </c>
      <c r="C455" s="6" t="str">
        <f>IFERROR(__xludf.DUMMYFUNCTION("""COMPUTED_VALUE"""),"designrush.com")</f>
        <v>designrush.com</v>
      </c>
      <c r="D455" s="7" t="str">
        <f>IFERROR(__xludf.DUMMYFUNCTION("""COMPUTED_VALUE"""),"CATEGORY_PAGE")</f>
        <v>CATEGORY_PAGE</v>
      </c>
      <c r="E455" s="7" t="str">
        <f>IFERROR(__xludf.DUMMYFUNCTION("""COMPUTED_VALUE"""),"CORPORATE")</f>
        <v>CORPORATE</v>
      </c>
      <c r="F455" s="7" t="str">
        <f>IFERROR(__xludf.DUMMYFUNCTION("""COMPUTED_VALUE"""),"Category Page")</f>
        <v>Category Page</v>
      </c>
      <c r="G455" s="7" t="b">
        <f>IFERROR(__xludf.DUMMYFUNCTION("""COMPUTED_VALUE"""),FALSE)</f>
        <v>0</v>
      </c>
      <c r="H455" s="7" t="str">
        <f>IFERROR(__xludf.DUMMYFUNCTION("""COMPUTED_VALUE"""),"Impressive, Supple Digital, eMarket Experts, Online Marketing Gurus, SIXGUN, Digital Nomads HQ")</f>
        <v>Impressive, Supple Digital, eMarket Experts, Online Marketing Gurus, SIXGUN, Digital Nomads HQ</v>
      </c>
      <c r="I455" s="7">
        <f>IFERROR(__xludf.DUMMYFUNCTION("""COMPUTED_VALUE"""),1.0)</f>
        <v>1</v>
      </c>
      <c r="J455" s="7">
        <f>IFERROR(__xludf.DUMMYFUNCTION("""COMPUTED_VALUE"""),0.0)</f>
        <v>0</v>
      </c>
      <c r="K455" s="7">
        <f>IFERROR(__xludf.DUMMYFUNCTION("""COMPUTED_VALUE"""),1.0)</f>
        <v>1</v>
      </c>
      <c r="L455" s="7"/>
    </row>
    <row r="456" ht="15.75" customHeight="1">
      <c r="A456" s="6" t="str">
        <f>IFERROR(__xludf.DUMMYFUNCTION("""COMPUTED_VALUE"""),"https://www.designrush.com/agency/search-engine-optimization/au")</f>
        <v>https://www.designrush.com/agency/search-engine-optimization/au</v>
      </c>
      <c r="B456" s="7" t="str">
        <f>IFERROR(__xludf.DUMMYFUNCTION("""COMPUTED_VALUE"""),"Top SEO Agencies in Australia | 2026")</f>
        <v>Top SEO Agencies in Australia | 2026</v>
      </c>
      <c r="C456" s="6" t="str">
        <f>IFERROR(__xludf.DUMMYFUNCTION("""COMPUTED_VALUE"""),"designrush.com")</f>
        <v>designrush.com</v>
      </c>
      <c r="D456" s="7" t="str">
        <f>IFERROR(__xludf.DUMMYFUNCTION("""COMPUTED_VALUE"""),"CATEGORY_PAGE")</f>
        <v>CATEGORY_PAGE</v>
      </c>
      <c r="E456" s="7" t="str">
        <f>IFERROR(__xludf.DUMMYFUNCTION("""COMPUTED_VALUE"""),"CORPORATE")</f>
        <v>CORPORATE</v>
      </c>
      <c r="F456" s="7" t="str">
        <f>IFERROR(__xludf.DUMMYFUNCTION("""COMPUTED_VALUE"""),"Category Page")</f>
        <v>Category Page</v>
      </c>
      <c r="G456" s="7" t="b">
        <f>IFERROR(__xludf.DUMMYFUNCTION("""COMPUTED_VALUE"""),FALSE)</f>
        <v>0</v>
      </c>
      <c r="H456" s="7" t="str">
        <f>IFERROR(__xludf.DUMMYFUNCTION("""COMPUTED_VALUE"""),"Impressive, First Page, First Page Australia, Supple Digital, eMarket Experts, Online Marketing Gurus, SIXGUN, UR Digital, Digital Nomads HQ, Saatchi &amp; Saatchi")</f>
        <v>Impressive, First Page, First Page Australia, Supple Digital, eMarket Experts, Online Marketing Gurus, SIXGUN, UR Digital, Digital Nomads HQ, Saatchi &amp; Saatchi</v>
      </c>
      <c r="I456" s="7">
        <f>IFERROR(__xludf.DUMMYFUNCTION("""COMPUTED_VALUE"""),1.0)</f>
        <v>1</v>
      </c>
      <c r="J456" s="7">
        <f>IFERROR(__xludf.DUMMYFUNCTION("""COMPUTED_VALUE"""),0.0)</f>
        <v>0</v>
      </c>
      <c r="K456" s="7">
        <f>IFERROR(__xludf.DUMMYFUNCTION("""COMPUTED_VALUE"""),0.0)</f>
        <v>0</v>
      </c>
      <c r="L456" s="7"/>
    </row>
    <row r="457" ht="15.75" customHeight="1">
      <c r="A457" s="6" t="str">
        <f>IFERROR(__xludf.DUMMYFUNCTION("""COMPUTED_VALUE"""),"https://digitalagencynetwork.com/agencies/australia/creative/page/4/")</f>
        <v>https://digitalagencynetwork.com/agencies/australia/creative/page/4/</v>
      </c>
      <c r="B457" s="7" t="str">
        <f>IFERROR(__xludf.DUMMYFUNCTION("""COMPUTED_VALUE"""),"Best Creative Agencies in Australia")</f>
        <v>Best Creative Agencies in Australia</v>
      </c>
      <c r="C457" s="6" t="str">
        <f>IFERROR(__xludf.DUMMYFUNCTION("""COMPUTED_VALUE"""),"digitalagencynetwork.com")</f>
        <v>digitalagencynetwork.com</v>
      </c>
      <c r="D457" s="7" t="str">
        <f>IFERROR(__xludf.DUMMYFUNCTION("""COMPUTED_VALUE"""),"CATEGORY_PAGE")</f>
        <v>CATEGORY_PAGE</v>
      </c>
      <c r="E457" s="7" t="str">
        <f>IFERROR(__xludf.DUMMYFUNCTION("""COMPUTED_VALUE"""),"REFERENCE")</f>
        <v>REFERENCE</v>
      </c>
      <c r="F457" s="7" t="str">
        <f>IFERROR(__xludf.DUMMYFUNCTION("""COMPUTED_VALUE"""),"Category Page")</f>
        <v>Category Page</v>
      </c>
      <c r="G457" s="7" t="b">
        <f>IFERROR(__xludf.DUMMYFUNCTION("""COMPUTED_VALUE"""),FALSE)</f>
        <v>0</v>
      </c>
      <c r="H457" s="7" t="str">
        <f>IFERROR(__xludf.DUMMYFUNCTION("""COMPUTED_VALUE"""),"weDiscover")</f>
        <v>weDiscover</v>
      </c>
      <c r="I457" s="7">
        <f>IFERROR(__xludf.DUMMYFUNCTION("""COMPUTED_VALUE"""),1.0)</f>
        <v>1</v>
      </c>
      <c r="J457" s="7">
        <f>IFERROR(__xludf.DUMMYFUNCTION("""COMPUTED_VALUE"""),0.0)</f>
        <v>0</v>
      </c>
      <c r="K457" s="7">
        <f>IFERROR(__xludf.DUMMYFUNCTION("""COMPUTED_VALUE"""),0.0)</f>
        <v>0</v>
      </c>
      <c r="L457" s="7"/>
    </row>
    <row r="458" ht="15.75" customHeight="1">
      <c r="A458" s="6" t="str">
        <f>IFERROR(__xludf.DUMMYFUNCTION("""COMPUTED_VALUE"""),"https://digitalagencynetwork.com/agencies/sydney/")</f>
        <v>https://digitalagencynetwork.com/agencies/sydney/</v>
      </c>
      <c r="B458" s="7" t="str">
        <f>IFERROR(__xludf.DUMMYFUNCTION("""COMPUTED_VALUE"""),"Best Digital Marketing Agencies in Sydney (2026)")</f>
        <v>Best Digital Marketing Agencies in Sydney (2026)</v>
      </c>
      <c r="C458" s="6" t="str">
        <f>IFERROR(__xludf.DUMMYFUNCTION("""COMPUTED_VALUE"""),"digitalagencynetwork.com")</f>
        <v>digitalagencynetwork.com</v>
      </c>
      <c r="D458" s="7" t="str">
        <f>IFERROR(__xludf.DUMMYFUNCTION("""COMPUTED_VALUE"""),"CATEGORY_PAGE")</f>
        <v>CATEGORY_PAGE</v>
      </c>
      <c r="E458" s="7" t="str">
        <f>IFERROR(__xludf.DUMMYFUNCTION("""COMPUTED_VALUE"""),"REFERENCE")</f>
        <v>REFERENCE</v>
      </c>
      <c r="F458" s="7" t="str">
        <f>IFERROR(__xludf.DUMMYFUNCTION("""COMPUTED_VALUE"""),"Category Page")</f>
        <v>Category Page</v>
      </c>
      <c r="G458" s="7" t="b">
        <f>IFERROR(__xludf.DUMMYFUNCTION("""COMPUTED_VALUE"""),FALSE)</f>
        <v>0</v>
      </c>
      <c r="H458" s="7" t="str">
        <f>IFERROR(__xludf.DUMMYFUNCTION("""COMPUTED_VALUE"""),"Luminary, Supple Digital, Jaywing, In Marketing We Trust, Digital Nomads HQ, Soup Agency, Emote Digital, Human Digital, Online Marketing Gurus, Insil, Zib Digital, Bench Media, AdVisible")</f>
        <v>Luminary, Supple Digital, Jaywing, In Marketing We Trust, Digital Nomads HQ, Soup Agency, Emote Digital, Human Digital, Online Marketing Gurus, Insil, Zib Digital, Bench Media, AdVisible</v>
      </c>
      <c r="I458" s="7">
        <f>IFERROR(__xludf.DUMMYFUNCTION("""COMPUTED_VALUE"""),1.0)</f>
        <v>1</v>
      </c>
      <c r="J458" s="7">
        <f>IFERROR(__xludf.DUMMYFUNCTION("""COMPUTED_VALUE"""),0.0)</f>
        <v>0</v>
      </c>
      <c r="K458" s="7">
        <f>IFERROR(__xludf.DUMMYFUNCTION("""COMPUTED_VALUE"""),1.0)</f>
        <v>1</v>
      </c>
      <c r="L458" s="7"/>
    </row>
    <row r="459" ht="15.75" customHeight="1">
      <c r="A459" s="6" t="str">
        <f>IFERROR(__xludf.DUMMYFUNCTION("""COMPUTED_VALUE"""),"https://digitaldigest.au/social-media-marketing-companies/")</f>
        <v>https://digitaldigest.au/social-media-marketing-companies/</v>
      </c>
      <c r="B459" s="7" t="str">
        <f>IFERROR(__xludf.DUMMYFUNCTION("""COMPUTED_VALUE"""),"15 Best Social Media Marketing Companies in Australia 2025")</f>
        <v>15 Best Social Media Marketing Companies in Australia 2025</v>
      </c>
      <c r="C459" s="6" t="str">
        <f>IFERROR(__xludf.DUMMYFUNCTION("""COMPUTED_VALUE"""),"digitaldigest.au")</f>
        <v>digitaldigest.au</v>
      </c>
      <c r="D459" s="7" t="str">
        <f>IFERROR(__xludf.DUMMYFUNCTION("""COMPUTED_VALUE"""),"LISTICLE")</f>
        <v>LISTICLE</v>
      </c>
      <c r="E459" s="7" t="str">
        <f>IFERROR(__xludf.DUMMYFUNCTION("""COMPUTED_VALUE"""),"EDITORIAL")</f>
        <v>EDITORIAL</v>
      </c>
      <c r="F459" s="7" t="str">
        <f>IFERROR(__xludf.DUMMYFUNCTION("""COMPUTED_VALUE"""),"Listicle")</f>
        <v>Listicle</v>
      </c>
      <c r="G459" s="7" t="b">
        <f>IFERROR(__xludf.DUMMYFUNCTION("""COMPUTED_VALUE"""),FALSE)</f>
        <v>0</v>
      </c>
      <c r="H459" s="7" t="str">
        <f>IFERROR(__xludf.DUMMYFUNCTION("""COMPUTED_VALUE"""),"Digital Nomads HQ, Online Marketing Gurus, Omnicom Media Group, Impressive, Soup Agency, Megaphone, Farsiight, Paradox Marketing, Emote Digital, Rocket Agency, Clearwater Agency")</f>
        <v>Digital Nomads HQ, Online Marketing Gurus, Omnicom Media Group, Impressive, Soup Agency, Megaphone, Farsiight, Paradox Marketing, Emote Digital, Rocket Agency, Clearwater Agency</v>
      </c>
      <c r="I459" s="7">
        <f>IFERROR(__xludf.DUMMYFUNCTION("""COMPUTED_VALUE"""),1.0)</f>
        <v>1</v>
      </c>
      <c r="J459" s="7">
        <f>IFERROR(__xludf.DUMMYFUNCTION("""COMPUTED_VALUE"""),0.0)</f>
        <v>0</v>
      </c>
      <c r="K459" s="7">
        <f>IFERROR(__xludf.DUMMYFUNCTION("""COMPUTED_VALUE"""),0.0)</f>
        <v>0</v>
      </c>
      <c r="L459" s="7"/>
    </row>
    <row r="460" ht="15.75" customHeight="1">
      <c r="A460" s="6" t="str">
        <f>IFERROR(__xludf.DUMMYFUNCTION("""COMPUTED_VALUE"""),"https://digitalmarketingsupermarket.com/blog/best-ai-marketing-agencies/")</f>
        <v>https://digitalmarketingsupermarket.com/blog/best-ai-marketing-agencies/</v>
      </c>
      <c r="B460" s="7"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460" s="6" t="str">
        <f>IFERROR(__xludf.DUMMYFUNCTION("""COMPUTED_VALUE"""),"digitalmarketingsupermarket.com")</f>
        <v>digitalmarketingsupermarket.com</v>
      </c>
      <c r="D460" s="7" t="str">
        <f>IFERROR(__xludf.DUMMYFUNCTION("""COMPUTED_VALUE"""),"LISTICLE")</f>
        <v>LISTICLE</v>
      </c>
      <c r="E460" s="7" t="str">
        <f>IFERROR(__xludf.DUMMYFUNCTION("""COMPUTED_VALUE"""),"REFERENCE")</f>
        <v>REFERENCE</v>
      </c>
      <c r="F460" s="7" t="str">
        <f>IFERROR(__xludf.DUMMYFUNCTION("""COMPUTED_VALUE"""),"Listicle")</f>
        <v>Listicle</v>
      </c>
      <c r="G460" s="7" t="b">
        <f>IFERROR(__xludf.DUMMYFUNCTION("""COMPUTED_VALUE"""),FALSE)</f>
        <v>0</v>
      </c>
      <c r="H460" s="7" t="str">
        <f>IFERROR(__xludf.DUMMYFUNCTION("""COMPUTED_VALUE"""),"Impressive, Ninja Promo")</f>
        <v>Impressive, Ninja Promo</v>
      </c>
      <c r="I460" s="7">
        <f>IFERROR(__xludf.DUMMYFUNCTION("""COMPUTED_VALUE"""),1.0)</f>
        <v>1</v>
      </c>
      <c r="J460" s="7">
        <f>IFERROR(__xludf.DUMMYFUNCTION("""COMPUTED_VALUE"""),0.0)</f>
        <v>0</v>
      </c>
      <c r="K460" s="7">
        <f>IFERROR(__xludf.DUMMYFUNCTION("""COMPUTED_VALUE"""),0.0)</f>
        <v>0</v>
      </c>
      <c r="L460" s="7"/>
    </row>
    <row r="461" ht="15.75" customHeight="1">
      <c r="A461" s="6" t="str">
        <f>IFERROR(__xludf.DUMMYFUNCTION("""COMPUTED_VALUE"""),"https://digitalmarketingsupermarket.com/blog/best-ai-marketing-agencies-2026/")</f>
        <v>https://digitalmarketingsupermarket.com/blog/best-ai-marketing-agencies-2026/</v>
      </c>
      <c r="B461" s="7" t="str">
        <f>IFERROR(__xludf.DUMMYFUNCTION("""COMPUTED_VALUE"""),"Best AI Marketing Agencies: The Definitive 2026 Guide to Finding Your Perfect Partner - Digital Marketing Supermarket")</f>
        <v>Best AI Marketing Agencies: The Definitive 2026 Guide to Finding Your Perfect Partner - Digital Marketing Supermarket</v>
      </c>
      <c r="C461" s="6" t="str">
        <f>IFERROR(__xludf.DUMMYFUNCTION("""COMPUTED_VALUE"""),"digitalmarketingsupermarket.com")</f>
        <v>digitalmarketingsupermarket.com</v>
      </c>
      <c r="D461" s="7" t="str">
        <f>IFERROR(__xludf.DUMMYFUNCTION("""COMPUTED_VALUE"""),"LISTICLE")</f>
        <v>LISTICLE</v>
      </c>
      <c r="E461" s="7" t="str">
        <f>IFERROR(__xludf.DUMMYFUNCTION("""COMPUTED_VALUE"""),"REFERENCE")</f>
        <v>REFERENCE</v>
      </c>
      <c r="F461" s="7" t="str">
        <f>IFERROR(__xludf.DUMMYFUNCTION("""COMPUTED_VALUE"""),"Listicle")</f>
        <v>Listicle</v>
      </c>
      <c r="G461" s="7" t="b">
        <f>IFERROR(__xludf.DUMMYFUNCTION("""COMPUTED_VALUE"""),FALSE)</f>
        <v>0</v>
      </c>
      <c r="H461" s="7" t="str">
        <f>IFERROR(__xludf.DUMMYFUNCTION("""COMPUTED_VALUE"""),"Impressive, Ninja Promo")</f>
        <v>Impressive, Ninja Promo</v>
      </c>
      <c r="I461" s="7">
        <f>IFERROR(__xludf.DUMMYFUNCTION("""COMPUTED_VALUE"""),1.0)</f>
        <v>1</v>
      </c>
      <c r="J461" s="7">
        <f>IFERROR(__xludf.DUMMYFUNCTION("""COMPUTED_VALUE"""),0.0)</f>
        <v>0</v>
      </c>
      <c r="K461" s="7">
        <f>IFERROR(__xludf.DUMMYFUNCTION("""COMPUTED_VALUE"""),0.0)</f>
        <v>0</v>
      </c>
      <c r="L461" s="7"/>
    </row>
    <row r="462" ht="15.75" customHeight="1">
      <c r="A462" s="6" t="str">
        <f>IFERROR(__xludf.DUMMYFUNCTION("""COMPUTED_VALUE"""),"https://digitalnomadshq.com.au/blog/best-graphic-design-companies/")</f>
        <v>https://digitalnomadshq.com.au/blog/best-graphic-design-companies/</v>
      </c>
      <c r="B462" s="7" t="str">
        <f>IFERROR(__xludf.DUMMYFUNCTION("""COMPUTED_VALUE"""),"15 Best Graphic Design Companies in Australia (2026)")</f>
        <v>15 Best Graphic Design Companies in Australia (2026)</v>
      </c>
      <c r="C462" s="6" t="str">
        <f>IFERROR(__xludf.DUMMYFUNCTION("""COMPUTED_VALUE"""),"digitalnomadshq.com.au")</f>
        <v>digitalnomadshq.com.au</v>
      </c>
      <c r="D462" s="7" t="str">
        <f>IFERROR(__xludf.DUMMYFUNCTION("""COMPUTED_VALUE"""),"LISTICLE")</f>
        <v>LISTICLE</v>
      </c>
      <c r="E462" s="7" t="str">
        <f>IFERROR(__xludf.DUMMYFUNCTION("""COMPUTED_VALUE"""),"COMPETITOR")</f>
        <v>COMPETITOR</v>
      </c>
      <c r="F462" s="7" t="str">
        <f>IFERROR(__xludf.DUMMYFUNCTION("""COMPUTED_VALUE"""),"Listicle")</f>
        <v>Listicle</v>
      </c>
      <c r="G462" s="7" t="b">
        <f>IFERROR(__xludf.DUMMYFUNCTION("""COMPUTED_VALUE"""),FALSE)</f>
        <v>0</v>
      </c>
      <c r="H462" s="7" t="str">
        <f>IFERROR(__xludf.DUMMYFUNCTION("""COMPUTED_VALUE"""),"Digital Nomads HQ, CUT THRU, Soup Agency, Farsiight, Clearwater Agency")</f>
        <v>Digital Nomads HQ, CUT THRU, Soup Agency, Farsiight, Clearwater Agency</v>
      </c>
      <c r="I462" s="7">
        <f>IFERROR(__xludf.DUMMYFUNCTION("""COMPUTED_VALUE"""),1.0)</f>
        <v>1</v>
      </c>
      <c r="J462" s="7">
        <f>IFERROR(__xludf.DUMMYFUNCTION("""COMPUTED_VALUE"""),0.0)</f>
        <v>0</v>
      </c>
      <c r="K462" s="7">
        <f>IFERROR(__xludf.DUMMYFUNCTION("""COMPUTED_VALUE"""),1.0)</f>
        <v>1</v>
      </c>
      <c r="L462" s="7"/>
    </row>
    <row r="463" ht="15.75" customHeight="1">
      <c r="A463" s="6" t="str">
        <f>IFERROR(__xludf.DUMMYFUNCTION("""COMPUTED_VALUE"""),"https://digitalnomadshq.com.au/blog/best-ppc-agency/")</f>
        <v>https://digitalnomadshq.com.au/blog/best-ppc-agency/</v>
      </c>
      <c r="B463" s="7" t="str">
        <f>IFERROR(__xludf.DUMMYFUNCTION("""COMPUTED_VALUE"""),"Best PPC Agencies in Australia (Updated 2026)")</f>
        <v>Best PPC Agencies in Australia (Updated 2026)</v>
      </c>
      <c r="C463" s="6" t="str">
        <f>IFERROR(__xludf.DUMMYFUNCTION("""COMPUTED_VALUE"""),"digitalnomadshq.com.au")</f>
        <v>digitalnomadshq.com.au</v>
      </c>
      <c r="D463" s="7" t="str">
        <f>IFERROR(__xludf.DUMMYFUNCTION("""COMPUTED_VALUE"""),"LISTICLE")</f>
        <v>LISTICLE</v>
      </c>
      <c r="E463" s="7" t="str">
        <f>IFERROR(__xludf.DUMMYFUNCTION("""COMPUTED_VALUE"""),"COMPETITOR")</f>
        <v>COMPETITOR</v>
      </c>
      <c r="F463" s="7" t="str">
        <f>IFERROR(__xludf.DUMMYFUNCTION("""COMPUTED_VALUE"""),"Listicle")</f>
        <v>Listicle</v>
      </c>
      <c r="G463" s="7" t="b">
        <f>IFERROR(__xludf.DUMMYFUNCTION("""COMPUTED_VALUE"""),FALSE)</f>
        <v>0</v>
      </c>
      <c r="H463" s="7" t="str">
        <f>IFERROR(__xludf.DUMMYFUNCTION("""COMPUTED_VALUE"""),"Digital Nomads HQ, Megaphone, Soup Agency, Farsiight, Gorilla 360, Impressive, Huge")</f>
        <v>Digital Nomads HQ, Megaphone, Soup Agency, Farsiight, Gorilla 360, Impressive, Huge</v>
      </c>
      <c r="I463" s="7">
        <f>IFERROR(__xludf.DUMMYFUNCTION("""COMPUTED_VALUE"""),1.0)</f>
        <v>1</v>
      </c>
      <c r="J463" s="7">
        <f>IFERROR(__xludf.DUMMYFUNCTION("""COMPUTED_VALUE"""),0.0)</f>
        <v>0</v>
      </c>
      <c r="K463" s="7">
        <f>IFERROR(__xludf.DUMMYFUNCTION("""COMPUTED_VALUE"""),1.0)</f>
        <v>1</v>
      </c>
      <c r="L463" s="7"/>
    </row>
    <row r="464" ht="15.75" customHeight="1">
      <c r="A464" s="6" t="str">
        <f>IFERROR(__xludf.DUMMYFUNCTION("""COMPUTED_VALUE"""),"https://digitalnomadshq.com.au/blog/pr-firms/")</f>
        <v>https://digitalnomadshq.com.au/blog/pr-firms/</v>
      </c>
      <c r="B464" s="7" t="str">
        <f>IFERROR(__xludf.DUMMYFUNCTION("""COMPUTED_VALUE"""),"14 Best PR Firms in Australia - Find Your PR Agency...")</f>
        <v>14 Best PR Firms in Australia - Find Your PR Agency...</v>
      </c>
      <c r="C464" s="6" t="str">
        <f>IFERROR(__xludf.DUMMYFUNCTION("""COMPUTED_VALUE"""),"digitalnomadshq.com.au")</f>
        <v>digitalnomadshq.com.au</v>
      </c>
      <c r="D464" s="7" t="str">
        <f>IFERROR(__xludf.DUMMYFUNCTION("""COMPUTED_VALUE"""),"LISTICLE")</f>
        <v>LISTICLE</v>
      </c>
      <c r="E464" s="7" t="str">
        <f>IFERROR(__xludf.DUMMYFUNCTION("""COMPUTED_VALUE"""),"COMPETITOR")</f>
        <v>COMPETITOR</v>
      </c>
      <c r="F464" s="7" t="str">
        <f>IFERROR(__xludf.DUMMYFUNCTION("""COMPUTED_VALUE"""),"Listicle")</f>
        <v>Listicle</v>
      </c>
      <c r="G464" s="7" t="b">
        <f>IFERROR(__xludf.DUMMYFUNCTION("""COMPUTED_VALUE"""),FALSE)</f>
        <v>0</v>
      </c>
      <c r="H464" s="7" t="str">
        <f>IFERROR(__xludf.DUMMYFUNCTION("""COMPUTED_VALUE"""),"Digital Nomads HQ, WPP, Impressive")</f>
        <v>Digital Nomads HQ, WPP, Impressive</v>
      </c>
      <c r="I464" s="7">
        <f>IFERROR(__xludf.DUMMYFUNCTION("""COMPUTED_VALUE"""),1.0)</f>
        <v>1</v>
      </c>
      <c r="J464" s="7">
        <f>IFERROR(__xludf.DUMMYFUNCTION("""COMPUTED_VALUE"""),0.0)</f>
        <v>0</v>
      </c>
      <c r="K464" s="7">
        <f>IFERROR(__xludf.DUMMYFUNCTION("""COMPUTED_VALUE"""),0.0)</f>
        <v>0</v>
      </c>
      <c r="L464" s="7"/>
    </row>
    <row r="465" ht="15.75" customHeight="1">
      <c r="A465" s="6" t="str">
        <f>IFERROR(__xludf.DUMMYFUNCTION("""COMPUTED_VALUE"""),"https://digitalnomadshq.com.au/blog/social-media-companies/")</f>
        <v>https://digitalnomadshq.com.au/blog/social-media-companies/</v>
      </c>
      <c r="B465" s="7" t="str">
        <f>IFERROR(__xludf.DUMMYFUNCTION("""COMPUTED_VALUE"""),"Top Social Media Marketing Companies in Australia in 2026")</f>
        <v>Top Social Media Marketing Companies in Australia in 2026</v>
      </c>
      <c r="C465" s="6" t="str">
        <f>IFERROR(__xludf.DUMMYFUNCTION("""COMPUTED_VALUE"""),"digitalnomadshq.com.au")</f>
        <v>digitalnomadshq.com.au</v>
      </c>
      <c r="D465" s="7" t="str">
        <f>IFERROR(__xludf.DUMMYFUNCTION("""COMPUTED_VALUE"""),"LISTICLE")</f>
        <v>LISTICLE</v>
      </c>
      <c r="E465" s="7" t="str">
        <f>IFERROR(__xludf.DUMMYFUNCTION("""COMPUTED_VALUE"""),"COMPETITOR")</f>
        <v>COMPETITOR</v>
      </c>
      <c r="F465" s="7" t="str">
        <f>IFERROR(__xludf.DUMMYFUNCTION("""COMPUTED_VALUE"""),"Listicle")</f>
        <v>Listicle</v>
      </c>
      <c r="G465" s="7" t="b">
        <f>IFERROR(__xludf.DUMMYFUNCTION("""COMPUTED_VALUE"""),FALSE)</f>
        <v>0</v>
      </c>
      <c r="H465" s="7" t="str">
        <f>IFERROR(__xludf.DUMMYFUNCTION("""COMPUTED_VALUE"""),"Digital Nomads HQ, Online Marketing Gurus, Clearwater Agency, Paradox Marketing, Megaphone, Bench Media, Omnicom Media Group, Earned Media")</f>
        <v>Digital Nomads HQ, Online Marketing Gurus, Clearwater Agency, Paradox Marketing, Megaphone, Bench Media, Omnicom Media Group, Earned Media</v>
      </c>
      <c r="I465" s="7">
        <f>IFERROR(__xludf.DUMMYFUNCTION("""COMPUTED_VALUE"""),1.0)</f>
        <v>1</v>
      </c>
      <c r="J465" s="7">
        <f>IFERROR(__xludf.DUMMYFUNCTION("""COMPUTED_VALUE"""),0.0)</f>
        <v>0</v>
      </c>
      <c r="K465" s="7">
        <f>IFERROR(__xludf.DUMMYFUNCTION("""COMPUTED_VALUE"""),1.0)</f>
        <v>1</v>
      </c>
      <c r="L465" s="7"/>
    </row>
    <row r="466" ht="15.75" customHeight="1">
      <c r="A466" s="6" t="str">
        <f>IFERROR(__xludf.DUMMYFUNCTION("""COMPUTED_VALUE"""),"https://edisonai.au/insights/top-ai-implementation-agencies-australia")</f>
        <v>https://edisonai.au/insights/top-ai-implementation-agencies-australia</v>
      </c>
      <c r="B466" s="7" t="str">
        <f>IFERROR(__xludf.DUMMYFUNCTION("""COMPUTED_VALUE"""),"Top 7 AI Implementation Agencies in Australia (2026) \| Edison AI")</f>
        <v>Top 7 AI Implementation Agencies in Australia (2026) \| Edison AI</v>
      </c>
      <c r="C466" s="6" t="str">
        <f>IFERROR(__xludf.DUMMYFUNCTION("""COMPUTED_VALUE"""),"edisonai.au")</f>
        <v>edisonai.au</v>
      </c>
      <c r="D466" s="7" t="str">
        <f>IFERROR(__xludf.DUMMYFUNCTION("""COMPUTED_VALUE"""),"LISTICLE")</f>
        <v>LISTICLE</v>
      </c>
      <c r="E466" s="7" t="str">
        <f>IFERROR(__xludf.DUMMYFUNCTION("""COMPUTED_VALUE"""),"CORPORATE")</f>
        <v>CORPORATE</v>
      </c>
      <c r="F466" s="7" t="str">
        <f>IFERROR(__xludf.DUMMYFUNCTION("""COMPUTED_VALUE"""),"Listicle")</f>
        <v>Listicle</v>
      </c>
      <c r="G466" s="7" t="b">
        <f>IFERROR(__xludf.DUMMYFUNCTION("""COMPUTED_VALUE"""),FALSE)</f>
        <v>0</v>
      </c>
      <c r="H466" s="7" t="str">
        <f>IFERROR(__xludf.DUMMYFUNCTION("""COMPUTED_VALUE"""),"Edison AI, Mantel Group, Momentum, Measured")</f>
        <v>Edison AI, Mantel Group, Momentum, Measured</v>
      </c>
      <c r="I466" s="7">
        <f>IFERROR(__xludf.DUMMYFUNCTION("""COMPUTED_VALUE"""),1.0)</f>
        <v>1</v>
      </c>
      <c r="J466" s="7">
        <f>IFERROR(__xludf.DUMMYFUNCTION("""COMPUTED_VALUE"""),0.0)</f>
        <v>0</v>
      </c>
      <c r="K466" s="7">
        <f>IFERROR(__xludf.DUMMYFUNCTION("""COMPUTED_VALUE"""),1.0)</f>
        <v>1</v>
      </c>
      <c r="L466" s="7"/>
    </row>
    <row r="467" ht="15.75" customHeight="1">
      <c r="A467" s="6" t="str">
        <f>IFERROR(__xludf.DUMMYFUNCTION("""COMPUTED_VALUE"""),"https://elioplus.com/asia-pacific/australia/victoria/melbourne/channel-partners/google")</f>
        <v>https://elioplus.com/asia-pacific/australia/victoria/melbourne/channel-partners/google</v>
      </c>
      <c r="B467" s="7" t="str">
        <f>IFERROR(__xludf.DUMMYFUNCTION("""COMPUTED_VALUE"""),"Best Google partners &amp; resellers in Melbourne \| Elioplus")</f>
        <v>Best Google partners &amp; resellers in Melbourne \| Elioplus</v>
      </c>
      <c r="C467" s="6" t="str">
        <f>IFERROR(__xludf.DUMMYFUNCTION("""COMPUTED_VALUE"""),"elioplus.com")</f>
        <v>elioplus.com</v>
      </c>
      <c r="D467" s="7" t="str">
        <f>IFERROR(__xludf.DUMMYFUNCTION("""COMPUTED_VALUE"""),"CATEGORY_PAGE")</f>
        <v>CATEGORY_PAGE</v>
      </c>
      <c r="E467" s="7" t="str">
        <f>IFERROR(__xludf.DUMMYFUNCTION("""COMPUTED_VALUE"""),"CORPORATE")</f>
        <v>CORPORATE</v>
      </c>
      <c r="F467" s="7" t="str">
        <f>IFERROR(__xludf.DUMMYFUNCTION("""COMPUTED_VALUE"""),"Category Page")</f>
        <v>Category Page</v>
      </c>
      <c r="G467" s="7" t="b">
        <f>IFERROR(__xludf.DUMMYFUNCTION("""COMPUTED_VALUE"""),FALSE)</f>
        <v>0</v>
      </c>
      <c r="H467" s="7" t="str">
        <f>IFERROR(__xludf.DUMMYFUNCTION("""COMPUTED_VALUE"""),"King Kong, Impressive, eMarket Experts")</f>
        <v>King Kong, Impressive, eMarket Experts</v>
      </c>
      <c r="I467" s="7">
        <f>IFERROR(__xludf.DUMMYFUNCTION("""COMPUTED_VALUE"""),1.0)</f>
        <v>1</v>
      </c>
      <c r="J467" s="7">
        <f>IFERROR(__xludf.DUMMYFUNCTION("""COMPUTED_VALUE"""),0.0)</f>
        <v>0</v>
      </c>
      <c r="K467" s="7">
        <f>IFERROR(__xludf.DUMMYFUNCTION("""COMPUTED_VALUE"""),0.0)</f>
        <v>0</v>
      </c>
      <c r="L467" s="7"/>
    </row>
    <row r="468" ht="15.75" customHeight="1">
      <c r="A468" s="6" t="str">
        <f>IFERROR(__xludf.DUMMYFUNCTION("""COMPUTED_VALUE"""),"https://firstpagesage.com/seo-blog/the-top-answer-engine-optimization-aeo-companies/")</f>
        <v>https://firstpagesage.com/seo-blog/the-top-answer-engine-optimization-aeo-companies/</v>
      </c>
      <c r="B468" s="7" t="str">
        <f>IFERROR(__xludf.DUMMYFUNCTION("""COMPUTED_VALUE"""),"The Top Answer Engine Optimization (AEO) Companies of 2026 – First Page Sage")</f>
        <v>The Top Answer Engine Optimization (AEO) Companies of 2026 – First Page Sage</v>
      </c>
      <c r="C468" s="6" t="str">
        <f>IFERROR(__xludf.DUMMYFUNCTION("""COMPUTED_VALUE"""),"firstpagesage.com")</f>
        <v>firstpagesage.com</v>
      </c>
      <c r="D468" s="7" t="str">
        <f>IFERROR(__xludf.DUMMYFUNCTION("""COMPUTED_VALUE"""),"LISTICLE")</f>
        <v>LISTICLE</v>
      </c>
      <c r="E468" s="7" t="str">
        <f>IFERROR(__xludf.DUMMYFUNCTION("""COMPUTED_VALUE"""),"COMPETITOR")</f>
        <v>COMPETITOR</v>
      </c>
      <c r="F468" s="7" t="str">
        <f>IFERROR(__xludf.DUMMYFUNCTION("""COMPUTED_VALUE"""),"Listicle")</f>
        <v>Listicle</v>
      </c>
      <c r="G468" s="7" t="b">
        <f>IFERROR(__xludf.DUMMYFUNCTION("""COMPUTED_VALUE"""),FALSE)</f>
        <v>0</v>
      </c>
      <c r="H468" s="7" t="str">
        <f>IFERROR(__xludf.DUMMYFUNCTION("""COMPUTED_VALUE"""),"First Page, Earned Media")</f>
        <v>First Page, Earned Media</v>
      </c>
      <c r="I468" s="7">
        <f>IFERROR(__xludf.DUMMYFUNCTION("""COMPUTED_VALUE"""),1.0)</f>
        <v>1</v>
      </c>
      <c r="J468" s="7">
        <f>IFERROR(__xludf.DUMMYFUNCTION("""COMPUTED_VALUE"""),0.0)</f>
        <v>0</v>
      </c>
      <c r="K468" s="7">
        <f>IFERROR(__xludf.DUMMYFUNCTION("""COMPUTED_VALUE"""),0.0)</f>
        <v>0</v>
      </c>
      <c r="L468" s="7"/>
    </row>
    <row r="469" ht="15.75" customHeight="1">
      <c r="A469" s="6" t="str">
        <f>IFERROR(__xludf.DUMMYFUNCTION("""COMPUTED_VALUE"""),"https://fixnhour.com/companies/social-media-marketing-agencies/australia")</f>
        <v>https://fixnhour.com/companies/social-media-marketing-agencies/australia</v>
      </c>
      <c r="B469" s="7" t="str">
        <f>IFERROR(__xludf.DUMMYFUNCTION("""COMPUTED_VALUE"""),"Top Social Media Marketing Agencies in Australia | Best SMM Services 2026 | July 2026 Rankings")</f>
        <v>Top Social Media Marketing Agencies in Australia | Best SMM Services 2026 | July 2026 Rankings</v>
      </c>
      <c r="C469" s="6" t="str">
        <f>IFERROR(__xludf.DUMMYFUNCTION("""COMPUTED_VALUE"""),"fixnhour.com")</f>
        <v>fixnhour.com</v>
      </c>
      <c r="D469" s="7" t="str">
        <f>IFERROR(__xludf.DUMMYFUNCTION("""COMPUTED_VALUE"""),"OTHER")</f>
        <v>OTHER</v>
      </c>
      <c r="E469" s="7" t="str">
        <f>IFERROR(__xludf.DUMMYFUNCTION("""COMPUTED_VALUE"""),"CORPORATE")</f>
        <v>CORPORATE</v>
      </c>
      <c r="F469" s="7" t="str">
        <f>IFERROR(__xludf.DUMMYFUNCTION("""COMPUTED_VALUE"""),"Other")</f>
        <v>Other</v>
      </c>
      <c r="G469" s="7" t="b">
        <f>IFERROR(__xludf.DUMMYFUNCTION("""COMPUTED_VALUE"""),FALSE)</f>
        <v>0</v>
      </c>
      <c r="H469" s="7"/>
      <c r="I469" s="7">
        <f>IFERROR(__xludf.DUMMYFUNCTION("""COMPUTED_VALUE"""),1.0)</f>
        <v>1</v>
      </c>
      <c r="J469" s="7">
        <f>IFERROR(__xludf.DUMMYFUNCTION("""COMPUTED_VALUE"""),0.0)</f>
        <v>0</v>
      </c>
      <c r="K469" s="7">
        <f>IFERROR(__xludf.DUMMYFUNCTION("""COMPUTED_VALUE"""),0.0)</f>
        <v>0</v>
      </c>
      <c r="L469" s="7"/>
    </row>
    <row r="470" ht="15.75" customHeight="1">
      <c r="A470" s="6" t="str">
        <f>IFERROR(__xludf.DUMMYFUNCTION("""COMPUTED_VALUE"""),"https://www.formulate.com.au/articles/top-seven-seo-agencies-in-melbourne/")</f>
        <v>https://www.formulate.com.au/articles/top-seven-seo-agencies-in-melbourne/</v>
      </c>
      <c r="B470" s="7" t="str">
        <f>IFERROR(__xludf.DUMMYFUNCTION("""COMPUTED_VALUE"""),"Top Seven SEO Agencies in Melbourne &amp;#8211; Formulate Design Blog")</f>
        <v>Top Seven SEO Agencies in Melbourne &amp;#8211; Formulate Design Blog</v>
      </c>
      <c r="C470" s="6" t="str">
        <f>IFERROR(__xludf.DUMMYFUNCTION("""COMPUTED_VALUE"""),"formulate.com.au")</f>
        <v>formulate.com.au</v>
      </c>
      <c r="D470" s="7" t="str">
        <f>IFERROR(__xludf.DUMMYFUNCTION("""COMPUTED_VALUE"""),"LISTICLE")</f>
        <v>LISTICLE</v>
      </c>
      <c r="E470" s="7" t="str">
        <f>IFERROR(__xludf.DUMMYFUNCTION("""COMPUTED_VALUE"""),"EDITORIAL")</f>
        <v>EDITORIAL</v>
      </c>
      <c r="F470" s="7" t="str">
        <f>IFERROR(__xludf.DUMMYFUNCTION("""COMPUTED_VALUE"""),"Listicle")</f>
        <v>Listicle</v>
      </c>
      <c r="G470" s="7" t="b">
        <f>IFERROR(__xludf.DUMMYFUNCTION("""COMPUTED_VALUE"""),FALSE)</f>
        <v>0</v>
      </c>
      <c r="H470" s="7" t="str">
        <f>IFERROR(__xludf.DUMMYFUNCTION("""COMPUTED_VALUE"""),"Alley Group, Prosperity Media, Luminary, First Page")</f>
        <v>Alley Group, Prosperity Media, Luminary, First Page</v>
      </c>
      <c r="I470" s="7">
        <f>IFERROR(__xludf.DUMMYFUNCTION("""COMPUTED_VALUE"""),1.0)</f>
        <v>1</v>
      </c>
      <c r="J470" s="7">
        <f>IFERROR(__xludf.DUMMYFUNCTION("""COMPUTED_VALUE"""),0.0)</f>
        <v>0</v>
      </c>
      <c r="K470" s="7">
        <f>IFERROR(__xludf.DUMMYFUNCTION("""COMPUTED_VALUE"""),1.0)</f>
        <v>1</v>
      </c>
      <c r="L470" s="7"/>
    </row>
    <row r="471" ht="15.75" customHeight="1">
      <c r="A471" s="6" t="str">
        <f>IFERROR(__xludf.DUMMYFUNCTION("""COMPUTED_VALUE"""),"https://geooptimisation.com.au/best-geo-agencies-australia-2026/")</f>
        <v>https://geooptimisation.com.au/best-geo-agencies-australia-2026/</v>
      </c>
      <c r="B471" s="7" t="str">
        <f>IFERROR(__xludf.DUMMYFUNCTION("""COMPUTED_VALUE"""),"Best GEO Agencies in Australia 2026: An Honest Comparison | GEO Optimisation Australia")</f>
        <v>Best GEO Agencies in Australia 2026: An Honest Comparison | GEO Optimisation Australia</v>
      </c>
      <c r="C471" s="6" t="str">
        <f>IFERROR(__xludf.DUMMYFUNCTION("""COMPUTED_VALUE"""),"geooptimisation.com.au")</f>
        <v>geooptimisation.com.au</v>
      </c>
      <c r="D471" s="7" t="str">
        <f>IFERROR(__xludf.DUMMYFUNCTION("""COMPUTED_VALUE"""),"OTHER")</f>
        <v>OTHER</v>
      </c>
      <c r="E471" s="7" t="str">
        <f>IFERROR(__xludf.DUMMYFUNCTION("""COMPUTED_VALUE"""),"EDITORIAL")</f>
        <v>EDITORIAL</v>
      </c>
      <c r="F471" s="7" t="str">
        <f>IFERROR(__xludf.DUMMYFUNCTION("""COMPUTED_VALUE"""),"Other")</f>
        <v>Other</v>
      </c>
      <c r="G471" s="7" t="b">
        <f>IFERROR(__xludf.DUMMYFUNCTION("""COMPUTED_VALUE"""),FALSE)</f>
        <v>0</v>
      </c>
      <c r="H471" s="7" t="str">
        <f>IFERROR(__xludf.DUMMYFUNCTION("""COMPUTED_VALUE"""),"Luminary, Prosperity Media, Rocket Agency, First Page")</f>
        <v>Luminary, Prosperity Media, Rocket Agency, First Page</v>
      </c>
      <c r="I471" s="7">
        <f>IFERROR(__xludf.DUMMYFUNCTION("""COMPUTED_VALUE"""),1.0)</f>
        <v>1</v>
      </c>
      <c r="J471" s="7">
        <f>IFERROR(__xludf.DUMMYFUNCTION("""COMPUTED_VALUE"""),0.0)</f>
        <v>0</v>
      </c>
      <c r="K471" s="7">
        <f>IFERROR(__xludf.DUMMYFUNCTION("""COMPUTED_VALUE"""),0.0)</f>
        <v>0</v>
      </c>
      <c r="L471" s="7"/>
    </row>
    <row r="472" ht="15.75" customHeight="1">
      <c r="A472" s="6" t="str">
        <f>IFERROR(__xludf.DUMMYFUNCTION("""COMPUTED_VALUE"""),"https://www.goodfirms.co/advertising-companies/creative/melbourne")</f>
        <v>https://www.goodfirms.co/advertising-companies/creative/melbourne</v>
      </c>
      <c r="B472" s="7" t="str">
        <f>IFERROR(__xludf.DUMMYFUNCTION("""COMPUTED_VALUE"""),"Top Creative Agencies in Melbourne - 2026 Reviews | Goodfirms")</f>
        <v>Top Creative Agencies in Melbourne - 2026 Reviews | Goodfirms</v>
      </c>
      <c r="C472" s="6" t="str">
        <f>IFERROR(__xludf.DUMMYFUNCTION("""COMPUTED_VALUE"""),"goodfirms.co")</f>
        <v>goodfirms.co</v>
      </c>
      <c r="D472" s="7" t="str">
        <f>IFERROR(__xludf.DUMMYFUNCTION("""COMPUTED_VALUE"""),"CATEGORY_PAGE")</f>
        <v>CATEGORY_PAGE</v>
      </c>
      <c r="E472" s="7" t="str">
        <f>IFERROR(__xludf.DUMMYFUNCTION("""COMPUTED_VALUE"""),"UGC")</f>
        <v>UGC</v>
      </c>
      <c r="F472" s="7" t="str">
        <f>IFERROR(__xludf.DUMMYFUNCTION("""COMPUTED_VALUE"""),"Category Page")</f>
        <v>Category Page</v>
      </c>
      <c r="G472" s="7" t="b">
        <f>IFERROR(__xludf.DUMMYFUNCTION("""COMPUTED_VALUE"""),FALSE)</f>
        <v>0</v>
      </c>
      <c r="H472" s="7" t="str">
        <f>IFERROR(__xludf.DUMMYFUNCTION("""COMPUTED_VALUE"""),"Uprise Digital, Omnicom Media Group, Digital Movement")</f>
        <v>Uprise Digital, Omnicom Media Group, Digital Movement</v>
      </c>
      <c r="I472" s="7">
        <f>IFERROR(__xludf.DUMMYFUNCTION("""COMPUTED_VALUE"""),1.0)</f>
        <v>1</v>
      </c>
      <c r="J472" s="7">
        <f>IFERROR(__xludf.DUMMYFUNCTION("""COMPUTED_VALUE"""),0.0)</f>
        <v>0</v>
      </c>
      <c r="K472" s="7">
        <f>IFERROR(__xludf.DUMMYFUNCTION("""COMPUTED_VALUE"""),0.0)</f>
        <v>0</v>
      </c>
      <c r="L472" s="7"/>
    </row>
    <row r="473" ht="15.75" customHeight="1">
      <c r="A473" s="6" t="str">
        <f>IFERROR(__xludf.DUMMYFUNCTION("""COMPUTED_VALUE"""),"https://www.goodfirms.co/artificial-intelligence/ai-consulting")</f>
        <v>https://www.goodfirms.co/artificial-intelligence/ai-consulting</v>
      </c>
      <c r="B473" s="7" t="str">
        <f>IFERROR(__xludf.DUMMYFUNCTION("""COMPUTED_VALUE"""),"Top 10+ AI Consulting Companies - 2026 Reviews | Goodfirms")</f>
        <v>Top 10+ AI Consulting Companies - 2026 Reviews | Goodfirms</v>
      </c>
      <c r="C473" s="6" t="str">
        <f>IFERROR(__xludf.DUMMYFUNCTION("""COMPUTED_VALUE"""),"goodfirms.co")</f>
        <v>goodfirms.co</v>
      </c>
      <c r="D473" s="7" t="str">
        <f>IFERROR(__xludf.DUMMYFUNCTION("""COMPUTED_VALUE"""),"PROFILE")</f>
        <v>PROFILE</v>
      </c>
      <c r="E473" s="7" t="str">
        <f>IFERROR(__xludf.DUMMYFUNCTION("""COMPUTED_VALUE"""),"UGC")</f>
        <v>UGC</v>
      </c>
      <c r="F473" s="7" t="str">
        <f>IFERROR(__xludf.DUMMYFUNCTION("""COMPUTED_VALUE"""),"Profile")</f>
        <v>Profile</v>
      </c>
      <c r="G473" s="7" t="b">
        <f>IFERROR(__xludf.DUMMYFUNCTION("""COMPUTED_VALUE"""),FALSE)</f>
        <v>0</v>
      </c>
      <c r="H473" s="7" t="str">
        <f>IFERROR(__xludf.DUMMYFUNCTION("""COMPUTED_VALUE"""),"Impressive, Team 400")</f>
        <v>Impressive, Team 400</v>
      </c>
      <c r="I473" s="7">
        <f>IFERROR(__xludf.DUMMYFUNCTION("""COMPUTED_VALUE"""),1.0)</f>
        <v>1</v>
      </c>
      <c r="J473" s="7">
        <f>IFERROR(__xludf.DUMMYFUNCTION("""COMPUTED_VALUE"""),0.0)</f>
        <v>0</v>
      </c>
      <c r="K473" s="7">
        <f>IFERROR(__xludf.DUMMYFUNCTION("""COMPUTED_VALUE"""),0.0)</f>
        <v>0</v>
      </c>
      <c r="L473" s="7"/>
    </row>
    <row r="474" ht="15.75" customHeight="1">
      <c r="A474" s="6" t="str">
        <f>IFERROR(__xludf.DUMMYFUNCTION("""COMPUTED_VALUE"""),"https://www.goodfirms.co/artificial-intelligence/sydney")</f>
        <v>https://www.goodfirms.co/artificial-intelligence/sydney</v>
      </c>
      <c r="B474" s="7" t="str">
        <f>IFERROR(__xludf.DUMMYFUNCTION("""COMPUTED_VALUE"""),"Top Artificial Intelligence Companies in Sydney - 2026 Reviews | Goodfirms")</f>
        <v>Top Artificial Intelligence Companies in Sydney - 2026 Reviews | Goodfirms</v>
      </c>
      <c r="C474" s="6" t="str">
        <f>IFERROR(__xludf.DUMMYFUNCTION("""COMPUTED_VALUE"""),"goodfirms.co")</f>
        <v>goodfirms.co</v>
      </c>
      <c r="D474" s="7" t="str">
        <f>IFERROR(__xludf.DUMMYFUNCTION("""COMPUTED_VALUE"""),"CATEGORY_PAGE")</f>
        <v>CATEGORY_PAGE</v>
      </c>
      <c r="E474" s="7" t="str">
        <f>IFERROR(__xludf.DUMMYFUNCTION("""COMPUTED_VALUE"""),"UGC")</f>
        <v>UGC</v>
      </c>
      <c r="F474" s="7" t="str">
        <f>IFERROR(__xludf.DUMMYFUNCTION("""COMPUTED_VALUE"""),"Category Page")</f>
        <v>Category Page</v>
      </c>
      <c r="G474" s="7" t="b">
        <f>IFERROR(__xludf.DUMMYFUNCTION("""COMPUTED_VALUE"""),FALSE)</f>
        <v>0</v>
      </c>
      <c r="H474" s="7" t="str">
        <f>IFERROR(__xludf.DUMMYFUNCTION("""COMPUTED_VALUE"""),"Team 400, Impressive, Get AI Ready")</f>
        <v>Team 400, Impressive, Get AI Ready</v>
      </c>
      <c r="I474" s="7">
        <f>IFERROR(__xludf.DUMMYFUNCTION("""COMPUTED_VALUE"""),1.0)</f>
        <v>1</v>
      </c>
      <c r="J474" s="7">
        <f>IFERROR(__xludf.DUMMYFUNCTION("""COMPUTED_VALUE"""),0.0)</f>
        <v>0</v>
      </c>
      <c r="K474" s="7">
        <f>IFERROR(__xludf.DUMMYFUNCTION("""COMPUTED_VALUE"""),0.0)</f>
        <v>0</v>
      </c>
      <c r="L474" s="7"/>
    </row>
    <row r="475" ht="15.75" customHeight="1">
      <c r="A475" s="6" t="str">
        <f>IFERROR(__xludf.DUMMYFUNCTION("""COMPUTED_VALUE"""),"https://www.goodfirms.co/directory/city/top-digital-marketing-companies/advertising-ppc/brisbane")</f>
        <v>https://www.goodfirms.co/directory/city/top-digital-marketing-companies/advertising-ppc/brisbane</v>
      </c>
      <c r="B475" s="7" t="str">
        <f>IFERROR(__xludf.DUMMYFUNCTION("""COMPUTED_VALUE"""),"Top PPC Agencies in Brisbane - 2026 Reviews | Goodfirms")</f>
        <v>Top PPC Agencies in Brisbane - 2026 Reviews | Goodfirms</v>
      </c>
      <c r="C475" s="6" t="str">
        <f>IFERROR(__xludf.DUMMYFUNCTION("""COMPUTED_VALUE"""),"goodfirms.co")</f>
        <v>goodfirms.co</v>
      </c>
      <c r="D475" s="7" t="str">
        <f>IFERROR(__xludf.DUMMYFUNCTION("""COMPUTED_VALUE"""),"CATEGORY_PAGE")</f>
        <v>CATEGORY_PAGE</v>
      </c>
      <c r="E475" s="7" t="str">
        <f>IFERROR(__xludf.DUMMYFUNCTION("""COMPUTED_VALUE"""),"UGC")</f>
        <v>UGC</v>
      </c>
      <c r="F475" s="7" t="str">
        <f>IFERROR(__xludf.DUMMYFUNCTION("""COMPUTED_VALUE"""),"Category Page")</f>
        <v>Category Page</v>
      </c>
      <c r="G475" s="7" t="b">
        <f>IFERROR(__xludf.DUMMYFUNCTION("""COMPUTED_VALUE"""),FALSE)</f>
        <v>0</v>
      </c>
      <c r="H475" s="7" t="str">
        <f>IFERROR(__xludf.DUMMYFUNCTION("""COMPUTED_VALUE"""),"Farsiight, First Page")</f>
        <v>Farsiight, First Page</v>
      </c>
      <c r="I475" s="7">
        <f>IFERROR(__xludf.DUMMYFUNCTION("""COMPUTED_VALUE"""),1.0)</f>
        <v>1</v>
      </c>
      <c r="J475" s="7">
        <f>IFERROR(__xludf.DUMMYFUNCTION("""COMPUTED_VALUE"""),0.0)</f>
        <v>0</v>
      </c>
      <c r="K475" s="7">
        <f>IFERROR(__xludf.DUMMYFUNCTION("""COMPUTED_VALUE"""),0.0)</f>
        <v>0</v>
      </c>
      <c r="L475" s="7"/>
    </row>
    <row r="476" ht="15.75" customHeight="1">
      <c r="A476" s="6" t="str">
        <f>IFERROR(__xludf.DUMMYFUNCTION("""COMPUTED_VALUE"""),"https://www.goodfirms.co/directory/city/top-digital-marketing-companies/media-planning-buying/sydney")</f>
        <v>https://www.goodfirms.co/directory/city/top-digital-marketing-companies/media-planning-buying/sydney</v>
      </c>
      <c r="B476" s="7" t="str">
        <f>IFERROR(__xludf.DUMMYFUNCTION("""COMPUTED_VALUE"""),"Top Media Buying Agencies in Sydney - 2026 Reviews | Goodfirms")</f>
        <v>Top Media Buying Agencies in Sydney - 2026 Reviews | Goodfirms</v>
      </c>
      <c r="C476" s="6" t="str">
        <f>IFERROR(__xludf.DUMMYFUNCTION("""COMPUTED_VALUE"""),"goodfirms.co")</f>
        <v>goodfirms.co</v>
      </c>
      <c r="D476" s="7" t="str">
        <f>IFERROR(__xludf.DUMMYFUNCTION("""COMPUTED_VALUE"""),"CATEGORY_PAGE")</f>
        <v>CATEGORY_PAGE</v>
      </c>
      <c r="E476" s="7" t="str">
        <f>IFERROR(__xludf.DUMMYFUNCTION("""COMPUTED_VALUE"""),"UGC")</f>
        <v>UGC</v>
      </c>
      <c r="F476" s="7" t="str">
        <f>IFERROR(__xludf.DUMMYFUNCTION("""COMPUTED_VALUE"""),"Category Page")</f>
        <v>Category Page</v>
      </c>
      <c r="G476" s="7" t="b">
        <f>IFERROR(__xludf.DUMMYFUNCTION("""COMPUTED_VALUE"""),FALSE)</f>
        <v>0</v>
      </c>
      <c r="H476" s="7" t="str">
        <f>IFERROR(__xludf.DUMMYFUNCTION("""COMPUTED_VALUE"""),"Bench Media, Soup Agency, AdVisible, Impressive, CUT THRU")</f>
        <v>Bench Media, Soup Agency, AdVisible, Impressive, CUT THRU</v>
      </c>
      <c r="I476" s="7">
        <f>IFERROR(__xludf.DUMMYFUNCTION("""COMPUTED_VALUE"""),1.0)</f>
        <v>1</v>
      </c>
      <c r="J476" s="7">
        <f>IFERROR(__xludf.DUMMYFUNCTION("""COMPUTED_VALUE"""),0.0)</f>
        <v>0</v>
      </c>
      <c r="K476" s="7">
        <f>IFERROR(__xludf.DUMMYFUNCTION("""COMPUTED_VALUE"""),0.0)</f>
        <v>0</v>
      </c>
      <c r="L476" s="7"/>
    </row>
    <row r="477" ht="15.75" customHeight="1">
      <c r="A477" s="6" t="str">
        <f>IFERROR(__xludf.DUMMYFUNCTION("""COMPUTED_VALUE"""),"https://www.growth-hackers.net/best-analytics-marketing-agencies/")</f>
        <v>https://www.growth-hackers.net/best-analytics-marketing-agencies/</v>
      </c>
      <c r="B477" s="7" t="str">
        <f>IFERROR(__xludf.DUMMYFUNCTION("""COMPUTED_VALUE"""),"Top 11 Analytics Marketing Agencies in 2026 | Hire the Best Analytics Marketing Agency | Growth Hackers")</f>
        <v>Top 11 Analytics Marketing Agencies in 2026 | Hire the Best Analytics Marketing Agency | Growth Hackers</v>
      </c>
      <c r="C477" s="6" t="str">
        <f>IFERROR(__xludf.DUMMYFUNCTION("""COMPUTED_VALUE"""),"growth-hackers.net")</f>
        <v>growth-hackers.net</v>
      </c>
      <c r="D477" s="7" t="str">
        <f>IFERROR(__xludf.DUMMYFUNCTION("""COMPUTED_VALUE"""),"LISTICLE")</f>
        <v>LISTICLE</v>
      </c>
      <c r="E477" s="7" t="str">
        <f>IFERROR(__xludf.DUMMYFUNCTION("""COMPUTED_VALUE"""),"CORPORATE")</f>
        <v>CORPORATE</v>
      </c>
      <c r="F477" s="7" t="str">
        <f>IFERROR(__xludf.DUMMYFUNCTION("""COMPUTED_VALUE"""),"Listicle")</f>
        <v>Listicle</v>
      </c>
      <c r="G477" s="7" t="b">
        <f>IFERROR(__xludf.DUMMYFUNCTION("""COMPUTED_VALUE"""),FALSE)</f>
        <v>0</v>
      </c>
      <c r="H477" s="7" t="str">
        <f>IFERROR(__xludf.DUMMYFUNCTION("""COMPUTED_VALUE"""),"Loves Data")</f>
        <v>Loves Data</v>
      </c>
      <c r="I477" s="7">
        <f>IFERROR(__xludf.DUMMYFUNCTION("""COMPUTED_VALUE"""),1.0)</f>
        <v>1</v>
      </c>
      <c r="J477" s="7">
        <f>IFERROR(__xludf.DUMMYFUNCTION("""COMPUTED_VALUE"""),0.0)</f>
        <v>0</v>
      </c>
      <c r="K477" s="7">
        <f>IFERROR(__xludf.DUMMYFUNCTION("""COMPUTED_VALUE"""),0.0)</f>
        <v>0</v>
      </c>
      <c r="L477" s="7"/>
    </row>
    <row r="478" ht="15.75" customHeight="1">
      <c r="A478" s="6" t="str">
        <f>IFERROR(__xludf.DUMMYFUNCTION("""COMPUTED_VALUE"""),"https://hikemytraffic.com/ai-digital-marketing-companies-in-australia/")</f>
        <v>https://hikemytraffic.com/ai-digital-marketing-companies-in-australia/</v>
      </c>
      <c r="B478" s="7" t="str">
        <f>IFERROR(__xludf.DUMMYFUNCTION("""COMPUTED_VALUE"""),"Top 10 AI Digital Marketing Companies in Australia 2026")</f>
        <v>Top 10 AI Digital Marketing Companies in Australia 2026</v>
      </c>
      <c r="C478" s="6" t="str">
        <f>IFERROR(__xludf.DUMMYFUNCTION("""COMPUTED_VALUE"""),"hikemytraffic.com")</f>
        <v>hikemytraffic.com</v>
      </c>
      <c r="D478" s="7" t="str">
        <f>IFERROR(__xludf.DUMMYFUNCTION("""COMPUTED_VALUE"""),"LISTICLE")</f>
        <v>LISTICLE</v>
      </c>
      <c r="E478" s="7" t="str">
        <f>IFERROR(__xludf.DUMMYFUNCTION("""COMPUTED_VALUE"""),"CORPORATE")</f>
        <v>CORPORATE</v>
      </c>
      <c r="F478" s="7" t="str">
        <f>IFERROR(__xludf.DUMMYFUNCTION("""COMPUTED_VALUE"""),"Listicle")</f>
        <v>Listicle</v>
      </c>
      <c r="G478" s="7" t="b">
        <f>IFERROR(__xludf.DUMMYFUNCTION("""COMPUTED_VALUE"""),FALSE)</f>
        <v>0</v>
      </c>
      <c r="H478" s="7"/>
      <c r="I478" s="7">
        <f>IFERROR(__xludf.DUMMYFUNCTION("""COMPUTED_VALUE"""),1.0)</f>
        <v>1</v>
      </c>
      <c r="J478" s="7">
        <f>IFERROR(__xludf.DUMMYFUNCTION("""COMPUTED_VALUE"""),0.0)</f>
        <v>0</v>
      </c>
      <c r="K478" s="7">
        <f>IFERROR(__xludf.DUMMYFUNCTION("""COMPUTED_VALUE"""),1.0)</f>
        <v>1</v>
      </c>
      <c r="L478" s="7"/>
    </row>
    <row r="479" ht="15.75" customHeight="1">
      <c r="A479" s="6" t="str">
        <f>IFERROR(__xludf.DUMMYFUNCTION("""COMPUTED_VALUE"""),"https://www.hirewithnear.com/blog/graphic-designer-recruitment-agencies")</f>
        <v>https://www.hirewithnear.com/blog/graphic-designer-recruitment-agencies</v>
      </c>
      <c r="B479" s="7" t="str">
        <f>IFERROR(__xludf.DUMMYFUNCTION("""COMPUTED_VALUE"""),"Graphic Design Recruitment Agency: 10 Top Picks for 2026")</f>
        <v>Graphic Design Recruitment Agency: 10 Top Picks for 2026</v>
      </c>
      <c r="C479" s="6" t="str">
        <f>IFERROR(__xludf.DUMMYFUNCTION("""COMPUTED_VALUE"""),"hirewithnear.com")</f>
        <v>hirewithnear.com</v>
      </c>
      <c r="D479" s="7" t="str">
        <f>IFERROR(__xludf.DUMMYFUNCTION("""COMPUTED_VALUE"""),"LISTICLE")</f>
        <v>LISTICLE</v>
      </c>
      <c r="E479" s="7" t="str">
        <f>IFERROR(__xludf.DUMMYFUNCTION("""COMPUTED_VALUE"""),"CORPORATE")</f>
        <v>CORPORATE</v>
      </c>
      <c r="F479" s="7" t="str">
        <f>IFERROR(__xludf.DUMMYFUNCTION("""COMPUTED_VALUE"""),"Listicle")</f>
        <v>Listicle</v>
      </c>
      <c r="G479" s="7" t="b">
        <f>IFERROR(__xludf.DUMMYFUNCTION("""COMPUTED_VALUE"""),FALSE)</f>
        <v>0</v>
      </c>
      <c r="H479" s="7"/>
      <c r="I479" s="7">
        <f>IFERROR(__xludf.DUMMYFUNCTION("""COMPUTED_VALUE"""),1.0)</f>
        <v>1</v>
      </c>
      <c r="J479" s="7">
        <f>IFERROR(__xludf.DUMMYFUNCTION("""COMPUTED_VALUE"""),0.0)</f>
        <v>0</v>
      </c>
      <c r="K479" s="7">
        <f>IFERROR(__xludf.DUMMYFUNCTION("""COMPUTED_VALUE"""),1.0)</f>
        <v>1</v>
      </c>
      <c r="L479" s="7"/>
    </row>
    <row r="480" ht="15.75" customHeight="1">
      <c r="A480" s="6" t="str">
        <f>IFERROR(__xludf.DUMMYFUNCTION("""COMPUTED_VALUE"""),"https://homerdigitalmarketing.com/instagram-ads-agency/")</f>
        <v>https://homerdigitalmarketing.com/instagram-ads-agency/</v>
      </c>
      <c r="B480" s="7" t="str">
        <f>IFERROR(__xludf.DUMMYFUNCTION("""COMPUTED_VALUE"""),"12 Best Instagram Ads Agencies in Australia (2026 Guide)")</f>
        <v>12 Best Instagram Ads Agencies in Australia (2026 Guide)</v>
      </c>
      <c r="C480" s="6" t="str">
        <f>IFERROR(__xludf.DUMMYFUNCTION("""COMPUTED_VALUE"""),"homerdigitalmarketing.com")</f>
        <v>homerdigitalmarketing.com</v>
      </c>
      <c r="D480" s="7" t="str">
        <f>IFERROR(__xludf.DUMMYFUNCTION("""COMPUTED_VALUE"""),"LISTICLE")</f>
        <v>LISTICLE</v>
      </c>
      <c r="E480" s="7" t="str">
        <f>IFERROR(__xludf.DUMMYFUNCTION("""COMPUTED_VALUE"""),"CORPORATE")</f>
        <v>CORPORATE</v>
      </c>
      <c r="F480" s="7" t="str">
        <f>IFERROR(__xludf.DUMMYFUNCTION("""COMPUTED_VALUE"""),"Listicle")</f>
        <v>Listicle</v>
      </c>
      <c r="G480" s="7" t="b">
        <f>IFERROR(__xludf.DUMMYFUNCTION("""COMPUTED_VALUE"""),FALSE)</f>
        <v>0</v>
      </c>
      <c r="H480" s="7" t="str">
        <f>IFERROR(__xludf.DUMMYFUNCTION("""COMPUTED_VALUE"""),"Megaphone, Impressive, Online Marketing Gurus, Omnicom Media Group, Rocket Agency, Alpha Digital, Clearwater Agency, WebSavvy, Sparro, Brainlabs, Metric Labs, Click Click Media")</f>
        <v>Megaphone, Impressive, Online Marketing Gurus, Omnicom Media Group, Rocket Agency, Alpha Digital, Clearwater Agency, WebSavvy, Sparro, Brainlabs, Metric Labs, Click Click Media</v>
      </c>
      <c r="I480" s="7">
        <f>IFERROR(__xludf.DUMMYFUNCTION("""COMPUTED_VALUE"""),1.0)</f>
        <v>1</v>
      </c>
      <c r="J480" s="7">
        <f>IFERROR(__xludf.DUMMYFUNCTION("""COMPUTED_VALUE"""),0.0)</f>
        <v>0</v>
      </c>
      <c r="K480" s="7">
        <f>IFERROR(__xludf.DUMMYFUNCTION("""COMPUTED_VALUE"""),0.0)</f>
        <v>0</v>
      </c>
      <c r="L480" s="7"/>
    </row>
    <row r="481" ht="15.75" customHeight="1">
      <c r="A481" s="6" t="str">
        <f>IFERROR(__xludf.DUMMYFUNCTION("""COMPUTED_VALUE"""),"https://homerdigitalmarketing.com/lead-gen-agency/")</f>
        <v>https://homerdigitalmarketing.com/lead-gen-agency/</v>
      </c>
      <c r="B481" s="7" t="str">
        <f>IFERROR(__xludf.DUMMYFUNCTION("""COMPUTED_VALUE"""),"6 Best Lead Gen Agencies in Australia for Service Businesses (2026 Guide)")</f>
        <v>6 Best Lead Gen Agencies in Australia for Service Businesses (2026 Guide)</v>
      </c>
      <c r="C481" s="6" t="str">
        <f>IFERROR(__xludf.DUMMYFUNCTION("""COMPUTED_VALUE"""),"homerdigitalmarketing.com")</f>
        <v>homerdigitalmarketing.com</v>
      </c>
      <c r="D481" s="7" t="str">
        <f>IFERROR(__xludf.DUMMYFUNCTION("""COMPUTED_VALUE"""),"LISTICLE")</f>
        <v>LISTICLE</v>
      </c>
      <c r="E481" s="7" t="str">
        <f>IFERROR(__xludf.DUMMYFUNCTION("""COMPUTED_VALUE"""),"CORPORATE")</f>
        <v>CORPORATE</v>
      </c>
      <c r="F481" s="7" t="str">
        <f>IFERROR(__xludf.DUMMYFUNCTION("""COMPUTED_VALUE"""),"Listicle")</f>
        <v>Listicle</v>
      </c>
      <c r="G481" s="7" t="b">
        <f>IFERROR(__xludf.DUMMYFUNCTION("""COMPUTED_VALUE"""),FALSE)</f>
        <v>0</v>
      </c>
      <c r="H481" s="7" t="str">
        <f>IFERROR(__xludf.DUMMYFUNCTION("""COMPUTED_VALUE"""),"King Kong")</f>
        <v>King Kong</v>
      </c>
      <c r="I481" s="7">
        <f>IFERROR(__xludf.DUMMYFUNCTION("""COMPUTED_VALUE"""),1.0)</f>
        <v>1</v>
      </c>
      <c r="J481" s="7">
        <f>IFERROR(__xludf.DUMMYFUNCTION("""COMPUTED_VALUE"""),0.0)</f>
        <v>0</v>
      </c>
      <c r="K481" s="7">
        <f>IFERROR(__xludf.DUMMYFUNCTION("""COMPUTED_VALUE"""),1.0)</f>
        <v>1</v>
      </c>
      <c r="L481" s="7"/>
    </row>
    <row r="482" ht="15.75" customHeight="1">
      <c r="A482" s="6" t="str">
        <f>IFERROR(__xludf.DUMMYFUNCTION("""COMPUTED_VALUE"""),"https://www.i4s.au/best-ppc-agency-in-2025/")</f>
        <v>https://www.i4s.au/best-ppc-agency-in-2025/</v>
      </c>
      <c r="B482" s="7" t="str">
        <f>IFERROR(__xludf.DUMMYFUNCTION("""COMPUTED_VALUE"""),"Best PPC Agency in 2025| I4S")</f>
        <v>Best PPC Agency in 2025| I4S</v>
      </c>
      <c r="C482" s="6" t="str">
        <f>IFERROR(__xludf.DUMMYFUNCTION("""COMPUTED_VALUE"""),"i4s.au")</f>
        <v>i4s.au</v>
      </c>
      <c r="D482" s="7" t="str">
        <f>IFERROR(__xludf.DUMMYFUNCTION("""COMPUTED_VALUE"""),"LISTICLE")</f>
        <v>LISTICLE</v>
      </c>
      <c r="E482" s="7" t="str">
        <f>IFERROR(__xludf.DUMMYFUNCTION("""COMPUTED_VALUE"""),"CORPORATE")</f>
        <v>CORPORATE</v>
      </c>
      <c r="F482" s="7" t="str">
        <f>IFERROR(__xludf.DUMMYFUNCTION("""COMPUTED_VALUE"""),"Listicle")</f>
        <v>Listicle</v>
      </c>
      <c r="G482" s="7" t="b">
        <f>IFERROR(__xludf.DUMMYFUNCTION("""COMPUTED_VALUE"""),FALSE)</f>
        <v>0</v>
      </c>
      <c r="H482" s="7" t="str">
        <f>IFERROR(__xludf.DUMMYFUNCTION("""COMPUTED_VALUE"""),"Impressive, WebSavvy, Online Marketing Gurus, Omnicom Media Group, Reload Media")</f>
        <v>Impressive, WebSavvy, Online Marketing Gurus, Omnicom Media Group, Reload Media</v>
      </c>
      <c r="I482" s="7">
        <f>IFERROR(__xludf.DUMMYFUNCTION("""COMPUTED_VALUE"""),1.0)</f>
        <v>1</v>
      </c>
      <c r="J482" s="7">
        <f>IFERROR(__xludf.DUMMYFUNCTION("""COMPUTED_VALUE"""),0.0)</f>
        <v>0</v>
      </c>
      <c r="K482" s="7">
        <f>IFERROR(__xludf.DUMMYFUNCTION("""COMPUTED_VALUE"""),0.0)</f>
        <v>0</v>
      </c>
      <c r="L482" s="7"/>
    </row>
    <row r="483" ht="15.75" customHeight="1">
      <c r="A483" s="6" t="str">
        <f>IFERROR(__xludf.DUMMYFUNCTION("""COMPUTED_VALUE"""),"https://ichelonconsulting.com/aeo-agency-australia")</f>
        <v>https://ichelonconsulting.com/aeo-agency-australia</v>
      </c>
      <c r="B483" s="7" t="str">
        <f>IFERROR(__xludf.DUMMYFUNCTION("""COMPUTED_VALUE"""),"Best AEO Agency in Australia · Healthcare-Only · ICG")</f>
        <v>Best AEO Agency in Australia · Healthcare-Only · ICG</v>
      </c>
      <c r="C483" s="6" t="str">
        <f>IFERROR(__xludf.DUMMYFUNCTION("""COMPUTED_VALUE"""),"ichelonconsulting.com")</f>
        <v>ichelonconsulting.com</v>
      </c>
      <c r="D483" s="7" t="str">
        <f>IFERROR(__xludf.DUMMYFUNCTION("""COMPUTED_VALUE"""),"OTHER")</f>
        <v>OTHER</v>
      </c>
      <c r="E483" s="7" t="str">
        <f>IFERROR(__xludf.DUMMYFUNCTION("""COMPUTED_VALUE"""),"CORPORATE")</f>
        <v>CORPORATE</v>
      </c>
      <c r="F483" s="7" t="str">
        <f>IFERROR(__xludf.DUMMYFUNCTION("""COMPUTED_VALUE"""),"Other")</f>
        <v>Other</v>
      </c>
      <c r="G483" s="7" t="b">
        <f>IFERROR(__xludf.DUMMYFUNCTION("""COMPUTED_VALUE"""),FALSE)</f>
        <v>0</v>
      </c>
      <c r="H483" s="7" t="str">
        <f>IFERROR(__xludf.DUMMYFUNCTION("""COMPUTED_VALUE"""),"Measured")</f>
        <v>Measured</v>
      </c>
      <c r="I483" s="7">
        <f>IFERROR(__xludf.DUMMYFUNCTION("""COMPUTED_VALUE"""),1.0)</f>
        <v>1</v>
      </c>
      <c r="J483" s="7">
        <f>IFERROR(__xludf.DUMMYFUNCTION("""COMPUTED_VALUE"""),0.0)</f>
        <v>0</v>
      </c>
      <c r="K483" s="7">
        <f>IFERROR(__xludf.DUMMYFUNCTION("""COMPUTED_VALUE"""),1.0)</f>
        <v>1</v>
      </c>
      <c r="L483" s="7"/>
    </row>
    <row r="484" ht="15.75" customHeight="1">
      <c r="A484" s="6" t="str">
        <f>IFERROR(__xludf.DUMMYFUNCTION("""COMPUTED_VALUE"""),"https://improvado.io/blog/multi-touch-attribution-solutions")</f>
        <v>https://improvado.io/blog/multi-touch-attribution-solutions</v>
      </c>
      <c r="B484" s="7" t="str">
        <f>IFERROR(__xludf.DUMMYFUNCTION("""COMPUTED_VALUE"""),"12 Best Multi-Touch Attribution Solutions (2026)")</f>
        <v>12 Best Multi-Touch Attribution Solutions (2026)</v>
      </c>
      <c r="C484" s="6" t="str">
        <f>IFERROR(__xludf.DUMMYFUNCTION("""COMPUTED_VALUE"""),"improvado.io")</f>
        <v>improvado.io</v>
      </c>
      <c r="D484" s="7" t="str">
        <f>IFERROR(__xludf.DUMMYFUNCTION("""COMPUTED_VALUE"""),"COMPARISON")</f>
        <v>COMPARISON</v>
      </c>
      <c r="E484" s="7" t="str">
        <f>IFERROR(__xludf.DUMMYFUNCTION("""COMPUTED_VALUE"""),"CORPORATE")</f>
        <v>CORPORATE</v>
      </c>
      <c r="F484" s="7" t="str">
        <f>IFERROR(__xludf.DUMMYFUNCTION("""COMPUTED_VALUE"""),"Comparison")</f>
        <v>Comparison</v>
      </c>
      <c r="G484" s="7" t="b">
        <f>IFERROR(__xludf.DUMMYFUNCTION("""COMPUTED_VALUE"""),FALSE)</f>
        <v>0</v>
      </c>
      <c r="H484" s="7"/>
      <c r="I484" s="7">
        <f>IFERROR(__xludf.DUMMYFUNCTION("""COMPUTED_VALUE"""),1.0)</f>
        <v>1</v>
      </c>
      <c r="J484" s="7">
        <f>IFERROR(__xludf.DUMMYFUNCTION("""COMPUTED_VALUE"""),0.0)</f>
        <v>0</v>
      </c>
      <c r="K484" s="7">
        <f>IFERROR(__xludf.DUMMYFUNCTION("""COMPUTED_VALUE"""),1.0)</f>
        <v>1</v>
      </c>
      <c r="L484" s="7"/>
    </row>
    <row r="485" ht="15.75" customHeight="1">
      <c r="A485" s="6" t="str">
        <f>IFERROR(__xludf.DUMMYFUNCTION("""COMPUTED_VALUE"""),"https://www.influencer-hero.com/agencies/best-influencer-marketing-agencies-australia")</f>
        <v>https://www.influencer-hero.com/agencies/best-influencer-marketing-agencies-australia</v>
      </c>
      <c r="B485" s="7" t="str">
        <f>IFERROR(__xludf.DUMMYFUNCTION("""COMPUTED_VALUE"""),"Best Influencer Marketing Agencies in Australia")</f>
        <v>Best Influencer Marketing Agencies in Australia</v>
      </c>
      <c r="C485" s="6" t="str">
        <f>IFERROR(__xludf.DUMMYFUNCTION("""COMPUTED_VALUE"""),"influencer-hero.com")</f>
        <v>influencer-hero.com</v>
      </c>
      <c r="D485" s="7" t="str">
        <f>IFERROR(__xludf.DUMMYFUNCTION("""COMPUTED_VALUE"""),"LISTICLE")</f>
        <v>LISTICLE</v>
      </c>
      <c r="E485" s="7" t="str">
        <f>IFERROR(__xludf.DUMMYFUNCTION("""COMPUTED_VALUE"""),"CORPORATE")</f>
        <v>CORPORATE</v>
      </c>
      <c r="F485" s="7" t="str">
        <f>IFERROR(__xludf.DUMMYFUNCTION("""COMPUTED_VALUE"""),"Listicle")</f>
        <v>Listicle</v>
      </c>
      <c r="G485" s="7" t="b">
        <f>IFERROR(__xludf.DUMMYFUNCTION("""COMPUTED_VALUE"""),FALSE)</f>
        <v>0</v>
      </c>
      <c r="H485" s="7" t="str">
        <f>IFERROR(__xludf.DUMMYFUNCTION("""COMPUTED_VALUE"""),"HERO, Emote Digital, Earned Media")</f>
        <v>HERO, Emote Digital, Earned Media</v>
      </c>
      <c r="I485" s="7">
        <f>IFERROR(__xludf.DUMMYFUNCTION("""COMPUTED_VALUE"""),1.0)</f>
        <v>1</v>
      </c>
      <c r="J485" s="7">
        <f>IFERROR(__xludf.DUMMYFUNCTION("""COMPUTED_VALUE"""),0.0)</f>
        <v>0</v>
      </c>
      <c r="K485" s="7">
        <f>IFERROR(__xludf.DUMMYFUNCTION("""COMPUTED_VALUE"""),1.0)</f>
        <v>1</v>
      </c>
      <c r="L485" s="7"/>
    </row>
    <row r="486" ht="15.75" customHeight="1">
      <c r="A486" s="6" t="str">
        <f>IFERROR(__xludf.DUMMYFUNCTION("""COMPUTED_VALUE"""),"https://influencermarketinghub.com/digital-marketing-agency-australia/")</f>
        <v>https://influencermarketinghub.com/digital-marketing-agency-australia/</v>
      </c>
      <c r="B486" s="7" t="str">
        <f>IFERROR(__xludf.DUMMYFUNCTION("""COMPUTED_VALUE"""),"Top 13 Digital Marketing Agencies in Australia")</f>
        <v>Top 13 Digital Marketing Agencies in Australia</v>
      </c>
      <c r="C486" s="6" t="str">
        <f>IFERROR(__xludf.DUMMYFUNCTION("""COMPUTED_VALUE"""),"influencermarketinghub.com")</f>
        <v>influencermarketinghub.com</v>
      </c>
      <c r="D486" s="7" t="str">
        <f>IFERROR(__xludf.DUMMYFUNCTION("""COMPUTED_VALUE"""),"LISTICLE")</f>
        <v>LISTICLE</v>
      </c>
      <c r="E486" s="7" t="str">
        <f>IFERROR(__xludf.DUMMYFUNCTION("""COMPUTED_VALUE"""),"REFERENCE")</f>
        <v>REFERENCE</v>
      </c>
      <c r="F486" s="7" t="str">
        <f>IFERROR(__xludf.DUMMYFUNCTION("""COMPUTED_VALUE"""),"Listicle")</f>
        <v>Listicle</v>
      </c>
      <c r="G486" s="7" t="b">
        <f>IFERROR(__xludf.DUMMYFUNCTION("""COMPUTED_VALUE"""),FALSE)</f>
        <v>0</v>
      </c>
      <c r="H486" s="7" t="str">
        <f>IFERROR(__xludf.DUMMYFUNCTION("""COMPUTED_VALUE"""),"Reef Digital Agency, Edge Marketing, AdVisible, Clearwater Agency, Insil")</f>
        <v>Reef Digital Agency, Edge Marketing, AdVisible, Clearwater Agency, Insil</v>
      </c>
      <c r="I486" s="7">
        <f>IFERROR(__xludf.DUMMYFUNCTION("""COMPUTED_VALUE"""),1.0)</f>
        <v>1</v>
      </c>
      <c r="J486" s="7">
        <f>IFERROR(__xludf.DUMMYFUNCTION("""COMPUTED_VALUE"""),0.0)</f>
        <v>0</v>
      </c>
      <c r="K486" s="7">
        <f>IFERROR(__xludf.DUMMYFUNCTION("""COMPUTED_VALUE"""),1.0)</f>
        <v>1</v>
      </c>
      <c r="L486" s="7"/>
    </row>
    <row r="487" ht="15.75" customHeight="1">
      <c r="A487" s="6" t="str">
        <f>IFERROR(__xludf.DUMMYFUNCTION("""COMPUTED_VALUE"""),"https://intelligentresourcing.co/blogs/top-gtm-engineering-agencies-australia")</f>
        <v>https://intelligentresourcing.co/blogs/top-gtm-engineering-agencies-australia</v>
      </c>
      <c r="B487" s="7" t="str">
        <f>IFERROR(__xludf.DUMMYFUNCTION("""COMPUTED_VALUE"""),"Top GTM Engineering Agencies in Australia 2026")</f>
        <v>Top GTM Engineering Agencies in Australia 2026</v>
      </c>
      <c r="C487" s="6" t="str">
        <f>IFERROR(__xludf.DUMMYFUNCTION("""COMPUTED_VALUE"""),"intelligentresourcing.co")</f>
        <v>intelligentresourcing.co</v>
      </c>
      <c r="D487" s="7" t="str">
        <f>IFERROR(__xludf.DUMMYFUNCTION("""COMPUTED_VALUE"""),"LISTICLE")</f>
        <v>LISTICLE</v>
      </c>
      <c r="E487" s="7" t="str">
        <f>IFERROR(__xludf.DUMMYFUNCTION("""COMPUTED_VALUE"""),"CORPORATE")</f>
        <v>CORPORATE</v>
      </c>
      <c r="F487" s="7" t="str">
        <f>IFERROR(__xludf.DUMMYFUNCTION("""COMPUTED_VALUE"""),"Listicle")</f>
        <v>Listicle</v>
      </c>
      <c r="G487" s="7" t="b">
        <f>IFERROR(__xludf.DUMMYFUNCTION("""COMPUTED_VALUE"""),FALSE)</f>
        <v>0</v>
      </c>
      <c r="H487" s="7" t="str">
        <f>IFERROR(__xludf.DUMMYFUNCTION("""COMPUTED_VALUE"""),"Intelligent Resourcing, Measured")</f>
        <v>Intelligent Resourcing, Measured</v>
      </c>
      <c r="I487" s="7">
        <f>IFERROR(__xludf.DUMMYFUNCTION("""COMPUTED_VALUE"""),1.0)</f>
        <v>1</v>
      </c>
      <c r="J487" s="7">
        <f>IFERROR(__xludf.DUMMYFUNCTION("""COMPUTED_VALUE"""),0.0)</f>
        <v>0</v>
      </c>
      <c r="K487" s="7">
        <f>IFERROR(__xludf.DUMMYFUNCTION("""COMPUTED_VALUE"""),0.0)</f>
        <v>0</v>
      </c>
      <c r="L487" s="7"/>
    </row>
    <row r="488" ht="15.75" customHeight="1">
      <c r="A488" s="6" t="str">
        <f>IFERROR(__xludf.DUMMYFUNCTION("""COMPUTED_VALUE"""),"https://www.interteammarketing.com/blog/best-b2b-ppc-agencies")</f>
        <v>https://www.interteammarketing.com/blog/best-b2b-ppc-agencies</v>
      </c>
      <c r="B488" s="7" t="str">
        <f>IFERROR(__xludf.DUMMYFUNCTION("""COMPUTED_VALUE"""),"10 Best B2B PPC Agencies for High-Growth Companies [2026]")</f>
        <v>10 Best B2B PPC Agencies for High-Growth Companies [2026]</v>
      </c>
      <c r="C488" s="6" t="str">
        <f>IFERROR(__xludf.DUMMYFUNCTION("""COMPUTED_VALUE"""),"interteammarketing.com")</f>
        <v>interteammarketing.com</v>
      </c>
      <c r="D488" s="7" t="str">
        <f>IFERROR(__xludf.DUMMYFUNCTION("""COMPUTED_VALUE"""),"LISTICLE")</f>
        <v>LISTICLE</v>
      </c>
      <c r="E488" s="7" t="str">
        <f>IFERROR(__xludf.DUMMYFUNCTION("""COMPUTED_VALUE"""),"CORPORATE")</f>
        <v>CORPORATE</v>
      </c>
      <c r="F488" s="7" t="str">
        <f>IFERROR(__xludf.DUMMYFUNCTION("""COMPUTED_VALUE"""),"Listicle")</f>
        <v>Listicle</v>
      </c>
      <c r="G488" s="7" t="b">
        <f>IFERROR(__xludf.DUMMYFUNCTION("""COMPUTED_VALUE"""),FALSE)</f>
        <v>0</v>
      </c>
      <c r="H488" s="7" t="str">
        <f>IFERROR(__xludf.DUMMYFUNCTION("""COMPUTED_VALUE"""),"Ninja Promo")</f>
        <v>Ninja Promo</v>
      </c>
      <c r="I488" s="7">
        <f>IFERROR(__xludf.DUMMYFUNCTION("""COMPUTED_VALUE"""),1.0)</f>
        <v>1</v>
      </c>
      <c r="J488" s="7">
        <f>IFERROR(__xludf.DUMMYFUNCTION("""COMPUTED_VALUE"""),0.0)</f>
        <v>0</v>
      </c>
      <c r="K488" s="7">
        <f>IFERROR(__xludf.DUMMYFUNCTION("""COMPUTED_VALUE"""),1.0)</f>
        <v>1</v>
      </c>
      <c r="L488" s="7"/>
    </row>
    <row r="489" ht="15.75" customHeight="1">
      <c r="A489" s="6" t="str">
        <f>IFERROR(__xludf.DUMMYFUNCTION("""COMPUTED_VALUE"""),"https://invademarketing.com/top-rated-digital-marketing-agencies-australia/")</f>
        <v>https://invademarketing.com/top-rated-digital-marketing-agencies-australia/</v>
      </c>
      <c r="B489" s="7" t="str">
        <f>IFERROR(__xludf.DUMMYFUNCTION("""COMPUTED_VALUE"""),"Top-Rated Digital Marketing Agencies Australia | Grow Online")</f>
        <v>Top-Rated Digital Marketing Agencies Australia | Grow Online</v>
      </c>
      <c r="C489" s="6" t="str">
        <f>IFERROR(__xludf.DUMMYFUNCTION("""COMPUTED_VALUE"""),"invademarketing.com")</f>
        <v>invademarketing.com</v>
      </c>
      <c r="D489" s="7" t="str">
        <f>IFERROR(__xludf.DUMMYFUNCTION("""COMPUTED_VALUE"""),"LISTICLE")</f>
        <v>LISTICLE</v>
      </c>
      <c r="E489" s="7" t="str">
        <f>IFERROR(__xludf.DUMMYFUNCTION("""COMPUTED_VALUE"""),"CORPORATE")</f>
        <v>CORPORATE</v>
      </c>
      <c r="F489" s="7" t="str">
        <f>IFERROR(__xludf.DUMMYFUNCTION("""COMPUTED_VALUE"""),"Listicle")</f>
        <v>Listicle</v>
      </c>
      <c r="G489" s="7" t="b">
        <f>IFERROR(__xludf.DUMMYFUNCTION("""COMPUTED_VALUE"""),FALSE)</f>
        <v>0</v>
      </c>
      <c r="H489" s="7"/>
      <c r="I489" s="7">
        <f>IFERROR(__xludf.DUMMYFUNCTION("""COMPUTED_VALUE"""),1.0)</f>
        <v>1</v>
      </c>
      <c r="J489" s="7">
        <f>IFERROR(__xludf.DUMMYFUNCTION("""COMPUTED_VALUE"""),0.0)</f>
        <v>0</v>
      </c>
      <c r="K489" s="7">
        <f>IFERROR(__xludf.DUMMYFUNCTION("""COMPUTED_VALUE"""),1.0)</f>
        <v>1</v>
      </c>
      <c r="L489" s="7"/>
    </row>
    <row r="490" ht="15.75" customHeight="1">
      <c r="A490" s="6" t="str">
        <f>IFERROR(__xludf.DUMMYFUNCTION("""COMPUTED_VALUE"""),"https://kamexa.ai/top-5-ai-agencies-in-queensland-2025-kamexa-leads-brisbane-gold-coast/")</f>
        <v>https://kamexa.ai/top-5-ai-agencies-in-queensland-2025-kamexa-leads-brisbane-gold-coast/</v>
      </c>
      <c r="B490" s="7" t="str">
        <f>IFERROR(__xludf.DUMMYFUNCTION("""COMPUTED_VALUE"""),"Top 5 AI Agencies in Queensland 2025: Kamexa Leads Brisbane &amp;amp; Gold Coast - Kamexa AI")</f>
        <v>Top 5 AI Agencies in Queensland 2025: Kamexa Leads Brisbane &amp;amp; Gold Coast - Kamexa AI</v>
      </c>
      <c r="C490" s="6" t="str">
        <f>IFERROR(__xludf.DUMMYFUNCTION("""COMPUTED_VALUE"""),"kamexa.ai")</f>
        <v>kamexa.ai</v>
      </c>
      <c r="D490" s="7" t="str">
        <f>IFERROR(__xludf.DUMMYFUNCTION("""COMPUTED_VALUE"""),"LISTICLE")</f>
        <v>LISTICLE</v>
      </c>
      <c r="E490" s="7" t="str">
        <f>IFERROR(__xludf.DUMMYFUNCTION("""COMPUTED_VALUE"""),"CORPORATE")</f>
        <v>CORPORATE</v>
      </c>
      <c r="F490" s="7" t="str">
        <f>IFERROR(__xludf.DUMMYFUNCTION("""COMPUTED_VALUE"""),"Listicle")</f>
        <v>Listicle</v>
      </c>
      <c r="G490" s="7" t="b">
        <f>IFERROR(__xludf.DUMMYFUNCTION("""COMPUTED_VALUE"""),FALSE)</f>
        <v>0</v>
      </c>
      <c r="H490" s="7" t="str">
        <f>IFERROR(__xludf.DUMMYFUNCTION("""COMPUTED_VALUE"""),"Momentum")</f>
        <v>Momentum</v>
      </c>
      <c r="I490" s="7">
        <f>IFERROR(__xludf.DUMMYFUNCTION("""COMPUTED_VALUE"""),1.0)</f>
        <v>1</v>
      </c>
      <c r="J490" s="7">
        <f>IFERROR(__xludf.DUMMYFUNCTION("""COMPUTED_VALUE"""),0.0)</f>
        <v>0</v>
      </c>
      <c r="K490" s="7">
        <f>IFERROR(__xludf.DUMMYFUNCTION("""COMPUTED_VALUE"""),0.0)</f>
        <v>0</v>
      </c>
      <c r="L490" s="7"/>
    </row>
    <row r="491" ht="15.75" customHeight="1">
      <c r="A491" s="6" t="str">
        <f>IFERROR(__xludf.DUMMYFUNCTION("""COMPUTED_VALUE"""),"https://kersai.com/best-ai-companies-in-australia-for-business-transformation/")</f>
        <v>https://kersai.com/best-ai-companies-in-australia-for-business-transformation/</v>
      </c>
      <c r="B491" s="7" t="str">
        <f>IFERROR(__xludf.DUMMYFUNCTION("""COMPUTED_VALUE"""),"Best AI Companies in Australia for Business Transformation | KERSAI")</f>
        <v>Best AI Companies in Australia for Business Transformation | KERSAI</v>
      </c>
      <c r="C491" s="6" t="str">
        <f>IFERROR(__xludf.DUMMYFUNCTION("""COMPUTED_VALUE"""),"kersai.com")</f>
        <v>kersai.com</v>
      </c>
      <c r="D491" s="7" t="str">
        <f>IFERROR(__xludf.DUMMYFUNCTION("""COMPUTED_VALUE"""),"LISTICLE")</f>
        <v>LISTICLE</v>
      </c>
      <c r="E491" s="7" t="str">
        <f>IFERROR(__xludf.DUMMYFUNCTION("""COMPUTED_VALUE"""),"CORPORATE")</f>
        <v>CORPORATE</v>
      </c>
      <c r="F491" s="7" t="str">
        <f>IFERROR(__xludf.DUMMYFUNCTION("""COMPUTED_VALUE"""),"Listicle")</f>
        <v>Listicle</v>
      </c>
      <c r="G491" s="7" t="b">
        <f>IFERROR(__xludf.DUMMYFUNCTION("""COMPUTED_VALUE"""),FALSE)</f>
        <v>0</v>
      </c>
      <c r="H491" s="7" t="str">
        <f>IFERROR(__xludf.DUMMYFUNCTION("""COMPUTED_VALUE"""),"Impressive")</f>
        <v>Impressive</v>
      </c>
      <c r="I491" s="7">
        <f>IFERROR(__xludf.DUMMYFUNCTION("""COMPUTED_VALUE"""),1.0)</f>
        <v>1</v>
      </c>
      <c r="J491" s="7">
        <f>IFERROR(__xludf.DUMMYFUNCTION("""COMPUTED_VALUE"""),0.0)</f>
        <v>0</v>
      </c>
      <c r="K491" s="7">
        <f>IFERROR(__xludf.DUMMYFUNCTION("""COMPUTED_VALUE"""),0.0)</f>
        <v>0</v>
      </c>
      <c r="L491" s="7"/>
    </row>
    <row r="492" ht="15.75" customHeight="1">
      <c r="A492" s="6" t="str">
        <f>IFERROR(__xludf.DUMMYFUNCTION("""COMPUTED_VALUE"""),"https://lengreo.com/australia-adelaide-aeo-geo-llmo-companies/")</f>
        <v>https://lengreo.com/australia-adelaide-aeo-geo-llmo-companies/</v>
      </c>
      <c r="B492" s="7" t="str">
        <f>IFERROR(__xludf.DUMMYFUNCTION("""COMPUTED_VALUE"""),"Top 5 AEO, LLMO and GEO Companies in Adelaide, Australia (2026)")</f>
        <v>Top 5 AEO, LLMO and GEO Companies in Adelaide, Australia (2026)</v>
      </c>
      <c r="C492" s="6" t="str">
        <f>IFERROR(__xludf.DUMMYFUNCTION("""COMPUTED_VALUE"""),"lengreo.com")</f>
        <v>lengreo.com</v>
      </c>
      <c r="D492" s="7" t="str">
        <f>IFERROR(__xludf.DUMMYFUNCTION("""COMPUTED_VALUE"""),"PROFILE")</f>
        <v>PROFILE</v>
      </c>
      <c r="E492" s="7" t="str">
        <f>IFERROR(__xludf.DUMMYFUNCTION("""COMPUTED_VALUE"""),"CORPORATE")</f>
        <v>CORPORATE</v>
      </c>
      <c r="F492" s="7" t="str">
        <f>IFERROR(__xludf.DUMMYFUNCTION("""COMPUTED_VALUE"""),"Profile")</f>
        <v>Profile</v>
      </c>
      <c r="G492" s="7" t="b">
        <f>IFERROR(__xludf.DUMMYFUNCTION("""COMPUTED_VALUE"""),FALSE)</f>
        <v>0</v>
      </c>
      <c r="H492" s="7"/>
      <c r="I492" s="7">
        <f>IFERROR(__xludf.DUMMYFUNCTION("""COMPUTED_VALUE"""),1.0)</f>
        <v>1</v>
      </c>
      <c r="J492" s="7">
        <f>IFERROR(__xludf.DUMMYFUNCTION("""COMPUTED_VALUE"""),0.0)</f>
        <v>0</v>
      </c>
      <c r="K492" s="7">
        <f>IFERROR(__xludf.DUMMYFUNCTION("""COMPUTED_VALUE"""),1.0)</f>
        <v>1</v>
      </c>
      <c r="L492" s="7"/>
    </row>
    <row r="493" ht="15.75" customHeight="1">
      <c r="A493" s="6" t="str">
        <f>IFERROR(__xludf.DUMMYFUNCTION("""COMPUTED_VALUE"""),"https://lengreo.com/australia-melbourne-aeo-geo-llmo-companies/")</f>
        <v>https://lengreo.com/australia-melbourne-aeo-geo-llmo-companies/</v>
      </c>
      <c r="B493" s="7" t="str">
        <f>IFERROR(__xludf.DUMMYFUNCTION("""COMPUTED_VALUE"""),"Top 7 AEO, GEO &amp;amp; LLMO Companies in Melbourne, Australia (2026)")</f>
        <v>Top 7 AEO, GEO &amp;amp; LLMO Companies in Melbourne, Australia (2026)</v>
      </c>
      <c r="C493" s="6" t="str">
        <f>IFERROR(__xludf.DUMMYFUNCTION("""COMPUTED_VALUE"""),"lengreo.com")</f>
        <v>lengreo.com</v>
      </c>
      <c r="D493" s="7" t="str">
        <f>IFERROR(__xludf.DUMMYFUNCTION("""COMPUTED_VALUE"""),"PROFILE")</f>
        <v>PROFILE</v>
      </c>
      <c r="E493" s="7" t="str">
        <f>IFERROR(__xludf.DUMMYFUNCTION("""COMPUTED_VALUE"""),"CORPORATE")</f>
        <v>CORPORATE</v>
      </c>
      <c r="F493" s="7" t="str">
        <f>IFERROR(__xludf.DUMMYFUNCTION("""COMPUTED_VALUE"""),"Profile")</f>
        <v>Profile</v>
      </c>
      <c r="G493" s="7" t="b">
        <f>IFERROR(__xludf.DUMMYFUNCTION("""COMPUTED_VALUE"""),FALSE)</f>
        <v>0</v>
      </c>
      <c r="H493" s="7" t="str">
        <f>IFERROR(__xludf.DUMMYFUNCTION("""COMPUTED_VALUE"""),"Predicta Digital, Luminary, Salt &amp; Fuessel")</f>
        <v>Predicta Digital, Luminary, Salt &amp; Fuessel</v>
      </c>
      <c r="I493" s="7">
        <f>IFERROR(__xludf.DUMMYFUNCTION("""COMPUTED_VALUE"""),1.0)</f>
        <v>1</v>
      </c>
      <c r="J493" s="7">
        <f>IFERROR(__xludf.DUMMYFUNCTION("""COMPUTED_VALUE"""),0.0)</f>
        <v>0</v>
      </c>
      <c r="K493" s="7">
        <f>IFERROR(__xludf.DUMMYFUNCTION("""COMPUTED_VALUE"""),1.0)</f>
        <v>1</v>
      </c>
      <c r="L493" s="7"/>
    </row>
    <row r="494" ht="15.75" customHeight="1">
      <c r="A494" s="6" t="str">
        <f>IFERROR(__xludf.DUMMYFUNCTION("""COMPUTED_VALUE"""),"https://www.lightningventures.com.au/ai-agency/sydney/#:~:text=Top%20AI%20Agency%20in%20Sydney.%20Lightning%20Ventures,build%20for%20Sydney%20businesses%20%2D%20AI%20Integration.")</f>
        <v>https://www.lightningventures.com.au/ai-agency/sydney/#:~:text=Top%20AI%20Agency%20in%20Sydney.%20Lightning%20Ventures,build%20for%20Sydney%20businesses%20%2D%20AI%20Integration.</v>
      </c>
      <c r="B494" s="7" t="str">
        <f>IFERROR(__xludf.DUMMYFUNCTION("""COMPUTED_VALUE"""),"Top AI Agency in Sydney | Lightning Ventures")</f>
        <v>Top AI Agency in Sydney | Lightning Ventures</v>
      </c>
      <c r="C494" s="6" t="str">
        <f>IFERROR(__xludf.DUMMYFUNCTION("""COMPUTED_VALUE"""),"lightningventures.com.au")</f>
        <v>lightningventures.com.au</v>
      </c>
      <c r="D494" s="7" t="str">
        <f>IFERROR(__xludf.DUMMYFUNCTION("""COMPUTED_VALUE"""),"PRODUCT_PAGE")</f>
        <v>PRODUCT_PAGE</v>
      </c>
      <c r="E494" s="7" t="str">
        <f>IFERROR(__xludf.DUMMYFUNCTION("""COMPUTED_VALUE"""),"CORPORATE")</f>
        <v>CORPORATE</v>
      </c>
      <c r="F494" s="7" t="str">
        <f>IFERROR(__xludf.DUMMYFUNCTION("""COMPUTED_VALUE"""),"Product Page")</f>
        <v>Product Page</v>
      </c>
      <c r="G494" s="7" t="b">
        <f>IFERROR(__xludf.DUMMYFUNCTION("""COMPUTED_VALUE"""),FALSE)</f>
        <v>0</v>
      </c>
      <c r="H494" s="7"/>
      <c r="I494" s="7">
        <f>IFERROR(__xludf.DUMMYFUNCTION("""COMPUTED_VALUE"""),1.0)</f>
        <v>1</v>
      </c>
      <c r="J494" s="7">
        <f>IFERROR(__xludf.DUMMYFUNCTION("""COMPUTED_VALUE"""),0.0)</f>
        <v>0</v>
      </c>
      <c r="K494" s="7">
        <f>IFERROR(__xludf.DUMMYFUNCTION("""COMPUTED_VALUE"""),1.0)</f>
        <v>1</v>
      </c>
      <c r="L494" s="7"/>
    </row>
    <row r="495" ht="15.75" customHeight="1">
      <c r="A495" s="6" t="str">
        <f>IFERROR(__xludf.DUMMYFUNCTION("""COMPUTED_VALUE"""),"https://www.marketingattributionsoftware.com/")</f>
        <v>https://www.marketingattributionsoftware.com/</v>
      </c>
      <c r="B495" s="7" t="str">
        <f>IFERROR(__xludf.DUMMYFUNCTION("""COMPUTED_VALUE"""),"Best Marketing Attribution Software 2026 — Full Comparison of 18 Tools")</f>
        <v>Best Marketing Attribution Software 2026 — Full Comparison of 18 Tools</v>
      </c>
      <c r="C495" s="6" t="str">
        <f>IFERROR(__xludf.DUMMYFUNCTION("""COMPUTED_VALUE"""),"marketingattributionsoftware.com")</f>
        <v>marketingattributionsoftware.com</v>
      </c>
      <c r="D495" s="7" t="str">
        <f>IFERROR(__xludf.DUMMYFUNCTION("""COMPUTED_VALUE"""),"HOMEPAGE")</f>
        <v>HOMEPAGE</v>
      </c>
      <c r="E495" s="7" t="str">
        <f>IFERROR(__xludf.DUMMYFUNCTION("""COMPUTED_VALUE"""),"EDITORIAL")</f>
        <v>EDITORIAL</v>
      </c>
      <c r="F495" s="7" t="str">
        <f>IFERROR(__xludf.DUMMYFUNCTION("""COMPUTED_VALUE"""),"Homepage")</f>
        <v>Homepage</v>
      </c>
      <c r="G495" s="7" t="b">
        <f>IFERROR(__xludf.DUMMYFUNCTION("""COMPUTED_VALUE"""),FALSE)</f>
        <v>0</v>
      </c>
      <c r="H495" s="7" t="str">
        <f>IFERROR(__xludf.DUMMYFUNCTION("""COMPUTED_VALUE"""),"Huge")</f>
        <v>Huge</v>
      </c>
      <c r="I495" s="7">
        <f>IFERROR(__xludf.DUMMYFUNCTION("""COMPUTED_VALUE"""),1.0)</f>
        <v>1</v>
      </c>
      <c r="J495" s="7">
        <f>IFERROR(__xludf.DUMMYFUNCTION("""COMPUTED_VALUE"""),0.0)</f>
        <v>0</v>
      </c>
      <c r="K495" s="7">
        <f>IFERROR(__xludf.DUMMYFUNCTION("""COMPUTED_VALUE"""),0.0)</f>
        <v>0</v>
      </c>
      <c r="L495" s="7"/>
    </row>
    <row r="496" ht="15.75" customHeight="1">
      <c r="A496" s="6" t="str">
        <f>IFERROR(__xludf.DUMMYFUNCTION("""COMPUTED_VALUE"""),"https://marketingcosmos.com/agencies/data-analytics/sydney")</f>
        <v>https://marketingcosmos.com/agencies/data-analytics/sydney</v>
      </c>
      <c r="B496" s="7" t="str">
        <f>IFERROR(__xludf.DUMMYFUNCTION("""COMPUTED_VALUE"""),"TOP Data Analytics Companies in Sydney - Marketing Cosmos")</f>
        <v>TOP Data Analytics Companies in Sydney - Marketing Cosmos</v>
      </c>
      <c r="C496" s="6" t="str">
        <f>IFERROR(__xludf.DUMMYFUNCTION("""COMPUTED_VALUE"""),"marketingcosmos.com")</f>
        <v>marketingcosmos.com</v>
      </c>
      <c r="D496" s="7" t="str">
        <f>IFERROR(__xludf.DUMMYFUNCTION("""COMPUTED_VALUE"""),"CATEGORY_PAGE")</f>
        <v>CATEGORY_PAGE</v>
      </c>
      <c r="E496" s="7" t="str">
        <f>IFERROR(__xludf.DUMMYFUNCTION("""COMPUTED_VALUE"""),"CORPORATE")</f>
        <v>CORPORATE</v>
      </c>
      <c r="F496" s="7" t="str">
        <f>IFERROR(__xludf.DUMMYFUNCTION("""COMPUTED_VALUE"""),"Category Page")</f>
        <v>Category Page</v>
      </c>
      <c r="G496" s="7" t="b">
        <f>IFERROR(__xludf.DUMMYFUNCTION("""COMPUTED_VALUE"""),FALSE)</f>
        <v>0</v>
      </c>
      <c r="H496" s="7" t="str">
        <f>IFERROR(__xludf.DUMMYFUNCTION("""COMPUTED_VALUE"""),"Bonfire, Metric Labs")</f>
        <v>Bonfire, Metric Labs</v>
      </c>
      <c r="I496" s="7">
        <f>IFERROR(__xludf.DUMMYFUNCTION("""COMPUTED_VALUE"""),1.0)</f>
        <v>1</v>
      </c>
      <c r="J496" s="7">
        <f>IFERROR(__xludf.DUMMYFUNCTION("""COMPUTED_VALUE"""),0.0)</f>
        <v>0</v>
      </c>
      <c r="K496" s="7">
        <f>IFERROR(__xludf.DUMMYFUNCTION("""COMPUTED_VALUE"""),0.0)</f>
        <v>0</v>
      </c>
      <c r="L496" s="7"/>
    </row>
    <row r="497" ht="15.75" customHeight="1">
      <c r="A497" s="6" t="str">
        <f>IFERROR(__xludf.DUMMYFUNCTION("""COMPUTED_VALUE"""),"https://marketingcosmos.com/agencies/display-ads/perth")</f>
        <v>https://marketingcosmos.com/agencies/display-ads/perth</v>
      </c>
      <c r="B497" s="7" t="str">
        <f>IFERROR(__xludf.DUMMYFUNCTION("""COMPUTED_VALUE"""),"TOP Display Ads Companies in Perth - Marketing Cosmos")</f>
        <v>TOP Display Ads Companies in Perth - Marketing Cosmos</v>
      </c>
      <c r="C497" s="6" t="str">
        <f>IFERROR(__xludf.DUMMYFUNCTION("""COMPUTED_VALUE"""),"marketingcosmos.com")</f>
        <v>marketingcosmos.com</v>
      </c>
      <c r="D497" s="7" t="str">
        <f>IFERROR(__xludf.DUMMYFUNCTION("""COMPUTED_VALUE"""),"CATEGORY_PAGE")</f>
        <v>CATEGORY_PAGE</v>
      </c>
      <c r="E497" s="7" t="str">
        <f>IFERROR(__xludf.DUMMYFUNCTION("""COMPUTED_VALUE"""),"CORPORATE")</f>
        <v>CORPORATE</v>
      </c>
      <c r="F497" s="7" t="str">
        <f>IFERROR(__xludf.DUMMYFUNCTION("""COMPUTED_VALUE"""),"Category Page")</f>
        <v>Category Page</v>
      </c>
      <c r="G497" s="7" t="b">
        <f>IFERROR(__xludf.DUMMYFUNCTION("""COMPUTED_VALUE"""),FALSE)</f>
        <v>0</v>
      </c>
      <c r="H497" s="7" t="str">
        <f>IFERROR(__xludf.DUMMYFUNCTION("""COMPUTED_VALUE"""),"Bonfire")</f>
        <v>Bonfire</v>
      </c>
      <c r="I497" s="7">
        <f>IFERROR(__xludf.DUMMYFUNCTION("""COMPUTED_VALUE"""),1.0)</f>
        <v>1</v>
      </c>
      <c r="J497" s="7">
        <f>IFERROR(__xludf.DUMMYFUNCTION("""COMPUTED_VALUE"""),0.0)</f>
        <v>0</v>
      </c>
      <c r="K497" s="7">
        <f>IFERROR(__xludf.DUMMYFUNCTION("""COMPUTED_VALUE"""),0.0)</f>
        <v>0</v>
      </c>
      <c r="L497" s="7"/>
    </row>
    <row r="498" ht="15.75" customHeight="1">
      <c r="A498" s="6" t="str">
        <f>IFERROR(__xludf.DUMMYFUNCTION("""COMPUTED_VALUE"""),"https://www.mayple.com/resources/paid-advertising/ppc-agencies-australia")</f>
        <v>https://www.mayple.com/resources/paid-advertising/ppc-agencies-australia</v>
      </c>
      <c r="B498" s="7" t="str">
        <f>IFERROR(__xludf.DUMMYFUNCTION("""COMPUTED_VALUE"""),"Top 6 PPC Agencies in Australia to Hire in 2026")</f>
        <v>Top 6 PPC Agencies in Australia to Hire in 2026</v>
      </c>
      <c r="C498" s="6" t="str">
        <f>IFERROR(__xludf.DUMMYFUNCTION("""COMPUTED_VALUE"""),"mayple.com")</f>
        <v>mayple.com</v>
      </c>
      <c r="D498" s="7" t="str">
        <f>IFERROR(__xludf.DUMMYFUNCTION("""COMPUTED_VALUE"""),"LISTICLE")</f>
        <v>LISTICLE</v>
      </c>
      <c r="E498" s="7" t="str">
        <f>IFERROR(__xludf.DUMMYFUNCTION("""COMPUTED_VALUE"""),"CORPORATE")</f>
        <v>CORPORATE</v>
      </c>
      <c r="F498" s="7" t="str">
        <f>IFERROR(__xludf.DUMMYFUNCTION("""COMPUTED_VALUE"""),"Listicle")</f>
        <v>Listicle</v>
      </c>
      <c r="G498" s="7" t="b">
        <f>IFERROR(__xludf.DUMMYFUNCTION("""COMPUTED_VALUE"""),FALSE)</f>
        <v>0</v>
      </c>
      <c r="H498" s="7" t="str">
        <f>IFERROR(__xludf.DUMMYFUNCTION("""COMPUTED_VALUE"""),"Impressive")</f>
        <v>Impressive</v>
      </c>
      <c r="I498" s="7">
        <f>IFERROR(__xludf.DUMMYFUNCTION("""COMPUTED_VALUE"""),1.0)</f>
        <v>1</v>
      </c>
      <c r="J498" s="7">
        <f>IFERROR(__xludf.DUMMYFUNCTION("""COMPUTED_VALUE"""),0.0)</f>
        <v>0</v>
      </c>
      <c r="K498" s="7">
        <f>IFERROR(__xludf.DUMMYFUNCTION("""COMPUTED_VALUE"""),1.0)</f>
        <v>1</v>
      </c>
      <c r="L498" s="7"/>
    </row>
    <row r="499" ht="15.75" customHeight="1">
      <c r="A499" s="6" t="str">
        <f>IFERROR(__xludf.DUMMYFUNCTION("""COMPUTED_VALUE"""),"https://mediaplusdigital.co/au/best-social-media-marketing-agencies-in-australia/")</f>
        <v>https://mediaplusdigital.co/au/best-social-media-marketing-agencies-in-australia/</v>
      </c>
      <c r="B499" s="7" t="str">
        <f>IFERROR(__xludf.DUMMYFUNCTION("""COMPUTED_VALUE"""),"10 Best Social Media Marketing Agencies in Australia (2026 Guide) - MPD Australia")</f>
        <v>10 Best Social Media Marketing Agencies in Australia (2026 Guide) - MPD Australia</v>
      </c>
      <c r="C499" s="6" t="str">
        <f>IFERROR(__xludf.DUMMYFUNCTION("""COMPUTED_VALUE"""),"mediaplusdigital.co")</f>
        <v>mediaplusdigital.co</v>
      </c>
      <c r="D499" s="7" t="str">
        <f>IFERROR(__xludf.DUMMYFUNCTION("""COMPUTED_VALUE"""),"LISTICLE")</f>
        <v>LISTICLE</v>
      </c>
      <c r="E499" s="7" t="str">
        <f>IFERROR(__xludf.DUMMYFUNCTION("""COMPUTED_VALUE"""),"CORPORATE")</f>
        <v>CORPORATE</v>
      </c>
      <c r="F499" s="7" t="str">
        <f>IFERROR(__xludf.DUMMYFUNCTION("""COMPUTED_VALUE"""),"Listicle")</f>
        <v>Listicle</v>
      </c>
      <c r="G499" s="7" t="b">
        <f>IFERROR(__xludf.DUMMYFUNCTION("""COMPUTED_VALUE"""),FALSE)</f>
        <v>0</v>
      </c>
      <c r="H499" s="7" t="str">
        <f>IFERROR(__xludf.DUMMYFUNCTION("""COMPUTED_VALUE"""),"King Kong, Reload Media")</f>
        <v>King Kong, Reload Media</v>
      </c>
      <c r="I499" s="7">
        <f>IFERROR(__xludf.DUMMYFUNCTION("""COMPUTED_VALUE"""),1.0)</f>
        <v>1</v>
      </c>
      <c r="J499" s="7">
        <f>IFERROR(__xludf.DUMMYFUNCTION("""COMPUTED_VALUE"""),0.0)</f>
        <v>0</v>
      </c>
      <c r="K499" s="7">
        <f>IFERROR(__xludf.DUMMYFUNCTION("""COMPUTED_VALUE"""),0.0)</f>
        <v>0</v>
      </c>
      <c r="L499" s="7"/>
    </row>
    <row r="500" ht="15.75" customHeight="1">
      <c r="A500" s="6" t="str">
        <f>IFERROR(__xludf.DUMMYFUNCTION("""COMPUTED_VALUE"""),"https://mediaplusdigital.co/au/digital-marketing-agencies-in-australia/")</f>
        <v>https://mediaplusdigital.co/au/digital-marketing-agencies-in-australia/</v>
      </c>
      <c r="B500" s="7" t="str">
        <f>IFERROR(__xludf.DUMMYFUNCTION("""COMPUTED_VALUE"""),"Top 10 Digital Marketing Agencies in Australia (2026 Guide) - MPD Australia")</f>
        <v>Top 10 Digital Marketing Agencies in Australia (2026 Guide) - MPD Australia</v>
      </c>
      <c r="C500" s="6" t="str">
        <f>IFERROR(__xludf.DUMMYFUNCTION("""COMPUTED_VALUE"""),"mediaplusdigital.co")</f>
        <v>mediaplusdigital.co</v>
      </c>
      <c r="D500" s="7" t="str">
        <f>IFERROR(__xludf.DUMMYFUNCTION("""COMPUTED_VALUE"""),"LISTICLE")</f>
        <v>LISTICLE</v>
      </c>
      <c r="E500" s="7" t="str">
        <f>IFERROR(__xludf.DUMMYFUNCTION("""COMPUTED_VALUE"""),"CORPORATE")</f>
        <v>CORPORATE</v>
      </c>
      <c r="F500" s="7" t="str">
        <f>IFERROR(__xludf.DUMMYFUNCTION("""COMPUTED_VALUE"""),"Listicle")</f>
        <v>Listicle</v>
      </c>
      <c r="G500" s="7" t="b">
        <f>IFERROR(__xludf.DUMMYFUNCTION("""COMPUTED_VALUE"""),FALSE)</f>
        <v>0</v>
      </c>
      <c r="H500" s="7" t="str">
        <f>IFERROR(__xludf.DUMMYFUNCTION("""COMPUTED_VALUE"""),"Online Marketing Gurus, Supple Digital, First Page, First Page Australia, Megaphone, Clearwater Agency, Impressive, Digital Nomads HQ")</f>
        <v>Online Marketing Gurus, Supple Digital, First Page, First Page Australia, Megaphone, Clearwater Agency, Impressive, Digital Nomads HQ</v>
      </c>
      <c r="I500" s="7">
        <f>IFERROR(__xludf.DUMMYFUNCTION("""COMPUTED_VALUE"""),1.0)</f>
        <v>1</v>
      </c>
      <c r="J500" s="7">
        <f>IFERROR(__xludf.DUMMYFUNCTION("""COMPUTED_VALUE"""),0.0)</f>
        <v>0</v>
      </c>
      <c r="K500" s="7">
        <f>IFERROR(__xludf.DUMMYFUNCTION("""COMPUTED_VALUE"""),0.0)</f>
        <v>0</v>
      </c>
      <c r="L500" s="7"/>
    </row>
    <row r="501" ht="15.75" customHeight="1">
      <c r="A501" s="6" t="str">
        <f>IFERROR(__xludf.DUMMYFUNCTION("""COMPUTED_VALUE"""),"https://megaphone.com.au/27-best-apps-for-marketing/")</f>
        <v>https://megaphone.com.au/27-best-apps-for-marketing/</v>
      </c>
      <c r="B501" s="7" t="str">
        <f>IFERROR(__xludf.DUMMYFUNCTION("""COMPUTED_VALUE"""),"The 27 Best Apps for Marketing Your Business in 2022")</f>
        <v>The 27 Best Apps for Marketing Your Business in 2022</v>
      </c>
      <c r="C501" s="6" t="str">
        <f>IFERROR(__xludf.DUMMYFUNCTION("""COMPUTED_VALUE"""),"megaphone.com.au")</f>
        <v>megaphone.com.au</v>
      </c>
      <c r="D501" s="7" t="str">
        <f>IFERROR(__xludf.DUMMYFUNCTION("""COMPUTED_VALUE"""),"LISTICLE")</f>
        <v>LISTICLE</v>
      </c>
      <c r="E501" s="7" t="str">
        <f>IFERROR(__xludf.DUMMYFUNCTION("""COMPUTED_VALUE"""),"COMPETITOR")</f>
        <v>COMPETITOR</v>
      </c>
      <c r="F501" s="7" t="str">
        <f>IFERROR(__xludf.DUMMYFUNCTION("""COMPUTED_VALUE"""),"Listicle")</f>
        <v>Listicle</v>
      </c>
      <c r="G501" s="7" t="b">
        <f>IFERROR(__xludf.DUMMYFUNCTION("""COMPUTED_VALUE"""),FALSE)</f>
        <v>0</v>
      </c>
      <c r="H501" s="7" t="str">
        <f>IFERROR(__xludf.DUMMYFUNCTION("""COMPUTED_VALUE"""),"Megaphone, Huge")</f>
        <v>Megaphone, Huge</v>
      </c>
      <c r="I501" s="7">
        <f>IFERROR(__xludf.DUMMYFUNCTION("""COMPUTED_VALUE"""),1.0)</f>
        <v>1</v>
      </c>
      <c r="J501" s="7">
        <f>IFERROR(__xludf.DUMMYFUNCTION("""COMPUTED_VALUE"""),0.0)</f>
        <v>0</v>
      </c>
      <c r="K501" s="7">
        <f>IFERROR(__xludf.DUMMYFUNCTION("""COMPUTED_VALUE"""),1.0)</f>
        <v>1</v>
      </c>
      <c r="L501" s="7"/>
    </row>
    <row r="502" ht="15.75" customHeight="1">
      <c r="A502" s="6" t="str">
        <f>IFERROR(__xludf.DUMMYFUNCTION("""COMPUTED_VALUE"""),"https://mentionfirst.ai/what-are-the-best-ai-seo-companies-in-australia-and-how-to-choose-one/")</f>
        <v>https://mentionfirst.ai/what-are-the-best-ai-seo-companies-in-australia-and-how-to-choose-one/</v>
      </c>
      <c r="B502" s="7" t="str">
        <f>IFERROR(__xludf.DUMMYFUNCTION("""COMPUTED_VALUE"""),"What are the best AI SEO companies in Australia and how to choose one? - Mention First AI")</f>
        <v>What are the best AI SEO companies in Australia and how to choose one? - Mention First AI</v>
      </c>
      <c r="C502" s="6" t="str">
        <f>IFERROR(__xludf.DUMMYFUNCTION("""COMPUTED_VALUE"""),"mentionfirst.ai")</f>
        <v>mentionfirst.ai</v>
      </c>
      <c r="D502" s="7" t="str">
        <f>IFERROR(__xludf.DUMMYFUNCTION("""COMPUTED_VALUE"""),"LISTICLE")</f>
        <v>LISTICLE</v>
      </c>
      <c r="E502" s="7" t="str">
        <f>IFERROR(__xludf.DUMMYFUNCTION("""COMPUTED_VALUE"""),"CORPORATE")</f>
        <v>CORPORATE</v>
      </c>
      <c r="F502" s="7" t="str">
        <f>IFERROR(__xludf.DUMMYFUNCTION("""COMPUTED_VALUE"""),"Listicle")</f>
        <v>Listicle</v>
      </c>
      <c r="G502" s="7" t="b">
        <f>IFERROR(__xludf.DUMMYFUNCTION("""COMPUTED_VALUE"""),FALSE)</f>
        <v>0</v>
      </c>
      <c r="H502" s="7" t="str">
        <f>IFERROR(__xludf.DUMMYFUNCTION("""COMPUTED_VALUE"""),"PK SEO, StudioHawk, Supple Digital")</f>
        <v>PK SEO, StudioHawk, Supple Digital</v>
      </c>
      <c r="I502" s="7">
        <f>IFERROR(__xludf.DUMMYFUNCTION("""COMPUTED_VALUE"""),1.0)</f>
        <v>1</v>
      </c>
      <c r="J502" s="7">
        <f>IFERROR(__xludf.DUMMYFUNCTION("""COMPUTED_VALUE"""),0.0)</f>
        <v>0</v>
      </c>
      <c r="K502" s="7">
        <f>IFERROR(__xludf.DUMMYFUNCTION("""COMPUTED_VALUE"""),6.0)</f>
        <v>6</v>
      </c>
      <c r="L502" s="7"/>
    </row>
    <row r="503" ht="15.75" customHeight="1">
      <c r="A503" s="6" t="str">
        <f>IFERROR(__xludf.DUMMYFUNCTION("""COMPUTED_VALUE"""),"https://www.mida.so/cro-agency/country/australia#:~:text=Their%20focus%20on%20thorough%20upfront,Perth%2C%20Australia")</f>
        <v>https://www.mida.so/cro-agency/country/australia#:~:text=Their%20focus%20on%20thorough%20upfront,Perth%2C%20Australia</v>
      </c>
      <c r="B503" s="7" t="str">
        <f>IFERROR(__xludf.DUMMYFUNCTION("""COMPUTED_VALUE"""),"Top 8 CRO Agencies in Australia (2026) | Mida")</f>
        <v>Top 8 CRO Agencies in Australia (2026) | Mida</v>
      </c>
      <c r="C503" s="6" t="str">
        <f>IFERROR(__xludf.DUMMYFUNCTION("""COMPUTED_VALUE"""),"mida.so")</f>
        <v>mida.so</v>
      </c>
      <c r="D503" s="7" t="str">
        <f>IFERROR(__xludf.DUMMYFUNCTION("""COMPUTED_VALUE"""),"LISTICLE")</f>
        <v>LISTICLE</v>
      </c>
      <c r="E503" s="7" t="str">
        <f>IFERROR(__xludf.DUMMYFUNCTION("""COMPUTED_VALUE"""),"CORPORATE")</f>
        <v>CORPORATE</v>
      </c>
      <c r="F503" s="7" t="str">
        <f>IFERROR(__xludf.DUMMYFUNCTION("""COMPUTED_VALUE"""),"Listicle")</f>
        <v>Listicle</v>
      </c>
      <c r="G503" s="7" t="b">
        <f>IFERROR(__xludf.DUMMYFUNCTION("""COMPUTED_VALUE"""),FALSE)</f>
        <v>0</v>
      </c>
      <c r="H503" s="7"/>
      <c r="I503" s="7">
        <f>IFERROR(__xludf.DUMMYFUNCTION("""COMPUTED_VALUE"""),1.0)</f>
        <v>1</v>
      </c>
      <c r="J503" s="7">
        <f>IFERROR(__xludf.DUMMYFUNCTION("""COMPUTED_VALUE"""),0.0)</f>
        <v>0</v>
      </c>
      <c r="K503" s="7">
        <f>IFERROR(__xludf.DUMMYFUNCTION("""COMPUTED_VALUE"""),1.0)</f>
        <v>1</v>
      </c>
      <c r="L503" s="7"/>
    </row>
    <row r="504" ht="15.75" customHeight="1">
      <c r="A504" s="6" t="str">
        <f>IFERROR(__xludf.DUMMYFUNCTION("""COMPUTED_VALUE"""),"https://www.munro.agency/insights/top-marketing-companies-in-the-world/")</f>
        <v>https://www.munro.agency/insights/top-marketing-companies-in-the-world/</v>
      </c>
      <c r="B504" s="7" t="str">
        <f>IFERROR(__xludf.DUMMYFUNCTION("""COMPUTED_VALUE"""),"Top 50 Marketing Companies in the World Ranked by Revenue - The Munro Agency")</f>
        <v>Top 50 Marketing Companies in the World Ranked by Revenue - The Munro Agency</v>
      </c>
      <c r="C504" s="7" t="str">
        <f>IFERROR(__xludf.DUMMYFUNCTION("""COMPUTED_VALUE"""),"munro.agency")</f>
        <v>munro.agency</v>
      </c>
      <c r="D504" s="7" t="str">
        <f>IFERROR(__xludf.DUMMYFUNCTION("""COMPUTED_VALUE"""),"LISTICLE")</f>
        <v>LISTICLE</v>
      </c>
      <c r="E504" s="7" t="str">
        <f>IFERROR(__xludf.DUMMYFUNCTION("""COMPUTED_VALUE"""),"CORPORATE")</f>
        <v>CORPORATE</v>
      </c>
      <c r="F504" s="7" t="str">
        <f>IFERROR(__xludf.DUMMYFUNCTION("""COMPUTED_VALUE"""),"Listicle")</f>
        <v>Listicle</v>
      </c>
      <c r="G504" s="7" t="b">
        <f>IFERROR(__xludf.DUMMYFUNCTION("""COMPUTED_VALUE"""),FALSE)</f>
        <v>0</v>
      </c>
      <c r="H504" s="7" t="str">
        <f>IFERROR(__xludf.DUMMYFUNCTION("""COMPUTED_VALUE"""),"Croud, Saatchi &amp; Saatchi, VML, Mindshare, WPP, Earned Media, Dentsu, Publicis Groupe, Accenture Song, Deloitte Digital, Deloitte, KPMG")</f>
        <v>Croud, Saatchi &amp; Saatchi, VML, Mindshare, WPP, Earned Media, Dentsu, Publicis Groupe, Accenture Song, Deloitte Digital, Deloitte, KPMG</v>
      </c>
      <c r="I504" s="7">
        <f>IFERROR(__xludf.DUMMYFUNCTION("""COMPUTED_VALUE"""),1.0)</f>
        <v>1</v>
      </c>
      <c r="J504" s="7">
        <f>IFERROR(__xludf.DUMMYFUNCTION("""COMPUTED_VALUE"""),0.0)</f>
        <v>0</v>
      </c>
      <c r="K504" s="7">
        <f>IFERROR(__xludf.DUMMYFUNCTION("""COMPUTED_VALUE"""),1.0)</f>
        <v>1</v>
      </c>
      <c r="L504" s="7"/>
    </row>
    <row r="505" ht="15.75" customHeight="1">
      <c r="A505" s="6" t="str">
        <f>IFERROR(__xludf.DUMMYFUNCTION("""COMPUTED_VALUE"""),"https://noirandblanco.com/best-digital-marketing-agencies-in-melbourne/")</f>
        <v>https://noirandblanco.com/best-digital-marketing-agencies-in-melbourne/</v>
      </c>
      <c r="B505" s="7" t="str">
        <f>IFERROR(__xludf.DUMMYFUNCTION("""COMPUTED_VALUE"""),"11 Best Digital Marketing Agencies in Melbourne")</f>
        <v>11 Best Digital Marketing Agencies in Melbourne</v>
      </c>
      <c r="C505" s="6" t="str">
        <f>IFERROR(__xludf.DUMMYFUNCTION("""COMPUTED_VALUE"""),"noirandblanco.com")</f>
        <v>noirandblanco.com</v>
      </c>
      <c r="D505" s="7" t="str">
        <f>IFERROR(__xludf.DUMMYFUNCTION("""COMPUTED_VALUE"""),"LISTICLE")</f>
        <v>LISTICLE</v>
      </c>
      <c r="E505" s="7" t="str">
        <f>IFERROR(__xludf.DUMMYFUNCTION("""COMPUTED_VALUE"""),"CORPORATE")</f>
        <v>CORPORATE</v>
      </c>
      <c r="F505" s="7" t="str">
        <f>IFERROR(__xludf.DUMMYFUNCTION("""COMPUTED_VALUE"""),"Listicle")</f>
        <v>Listicle</v>
      </c>
      <c r="G505" s="7" t="b">
        <f>IFERROR(__xludf.DUMMYFUNCTION("""COMPUTED_VALUE"""),FALSE)</f>
        <v>0</v>
      </c>
      <c r="H505" s="7" t="str">
        <f>IFERROR(__xludf.DUMMYFUNCTION("""COMPUTED_VALUE"""),"Supple Digital, Alley Group, 80/20 Digital, Earned Media, First Page, Soup Agency")</f>
        <v>Supple Digital, Alley Group, 80/20 Digital, Earned Media, First Page, Soup Agency</v>
      </c>
      <c r="I505" s="7">
        <f>IFERROR(__xludf.DUMMYFUNCTION("""COMPUTED_VALUE"""),1.0)</f>
        <v>1</v>
      </c>
      <c r="J505" s="7">
        <f>IFERROR(__xludf.DUMMYFUNCTION("""COMPUTED_VALUE"""),0.0)</f>
        <v>0</v>
      </c>
      <c r="K505" s="7">
        <f>IFERROR(__xludf.DUMMYFUNCTION("""COMPUTED_VALUE"""),1.0)</f>
        <v>1</v>
      </c>
      <c r="L505" s="7"/>
    </row>
    <row r="506" ht="15.75" customHeight="1">
      <c r="A506" s="6" t="str">
        <f>IFERROR(__xludf.DUMMYFUNCTION("""COMPUTED_VALUE"""),"https://www.nutshell.com/blog/top-geo-agencies")</f>
        <v>https://www.nutshell.com/blog/top-geo-agencies</v>
      </c>
      <c r="B506" s="7" t="str">
        <f>IFERROR(__xludf.DUMMYFUNCTION("""COMPUTED_VALUE"""),"The 10 Top GEO Agencies of 2026 (Reviewed)")</f>
        <v>The 10 Top GEO Agencies of 2026 (Reviewed)</v>
      </c>
      <c r="C506" s="6" t="str">
        <f>IFERROR(__xludf.DUMMYFUNCTION("""COMPUTED_VALUE"""),"nutshell.com")</f>
        <v>nutshell.com</v>
      </c>
      <c r="D506" s="7" t="str">
        <f>IFERROR(__xludf.DUMMYFUNCTION("""COMPUTED_VALUE"""),"LISTICLE")</f>
        <v>LISTICLE</v>
      </c>
      <c r="E506" s="7" t="str">
        <f>IFERROR(__xludf.DUMMYFUNCTION("""COMPUTED_VALUE"""),"CORPORATE")</f>
        <v>CORPORATE</v>
      </c>
      <c r="F506" s="7" t="str">
        <f>IFERROR(__xludf.DUMMYFUNCTION("""COMPUTED_VALUE"""),"Listicle")</f>
        <v>Listicle</v>
      </c>
      <c r="G506" s="7" t="b">
        <f>IFERROR(__xludf.DUMMYFUNCTION("""COMPUTED_VALUE"""),FALSE)</f>
        <v>0</v>
      </c>
      <c r="H506" s="7" t="str">
        <f>IFERROR(__xludf.DUMMYFUNCTION("""COMPUTED_VALUE"""),"First Page")</f>
        <v>First Page</v>
      </c>
      <c r="I506" s="7">
        <f>IFERROR(__xludf.DUMMYFUNCTION("""COMPUTED_VALUE"""),1.0)</f>
        <v>1</v>
      </c>
      <c r="J506" s="7">
        <f>IFERROR(__xludf.DUMMYFUNCTION("""COMPUTED_VALUE"""),0.0)</f>
        <v>0</v>
      </c>
      <c r="K506" s="7">
        <f>IFERROR(__xludf.DUMMYFUNCTION("""COMPUTED_VALUE"""),0.0)</f>
        <v>0</v>
      </c>
      <c r="L506" s="7"/>
    </row>
    <row r="507" ht="15.75" customHeight="1">
      <c r="A507" s="6" t="str">
        <f>IFERROR(__xludf.DUMMYFUNCTION("""COMPUTED_VALUE"""),"https://www.optimising.com.au/blog/5-best-seo-agencies-in-sydney")</f>
        <v>https://www.optimising.com.au/blog/5-best-seo-agencies-in-sydney</v>
      </c>
      <c r="B507" s="7" t="str">
        <f>IFERROR(__xludf.DUMMYFUNCTION("""COMPUTED_VALUE"""),"The 5 Best SEO Agencies in Sydney | Optimising")</f>
        <v>The 5 Best SEO Agencies in Sydney | Optimising</v>
      </c>
      <c r="C507" s="6" t="str">
        <f>IFERROR(__xludf.DUMMYFUNCTION("""COMPUTED_VALUE"""),"optimising.com.au")</f>
        <v>optimising.com.au</v>
      </c>
      <c r="D507" s="7" t="str">
        <f>IFERROR(__xludf.DUMMYFUNCTION("""COMPUTED_VALUE"""),"LISTICLE")</f>
        <v>LISTICLE</v>
      </c>
      <c r="E507" s="7" t="str">
        <f>IFERROR(__xludf.DUMMYFUNCTION("""COMPUTED_VALUE"""),"CORPORATE")</f>
        <v>CORPORATE</v>
      </c>
      <c r="F507" s="7" t="str">
        <f>IFERROR(__xludf.DUMMYFUNCTION("""COMPUTED_VALUE"""),"Listicle")</f>
        <v>Listicle</v>
      </c>
      <c r="G507" s="7" t="b">
        <f>IFERROR(__xludf.DUMMYFUNCTION("""COMPUTED_VALUE"""),FALSE)</f>
        <v>0</v>
      </c>
      <c r="H507" s="7" t="str">
        <f>IFERROR(__xludf.DUMMYFUNCTION("""COMPUTED_VALUE"""),"Prosperity Media, Jaywing")</f>
        <v>Prosperity Media, Jaywing</v>
      </c>
      <c r="I507" s="7">
        <f>IFERROR(__xludf.DUMMYFUNCTION("""COMPUTED_VALUE"""),1.0)</f>
        <v>1</v>
      </c>
      <c r="J507" s="7">
        <f>IFERROR(__xludf.DUMMYFUNCTION("""COMPUTED_VALUE"""),0.0)</f>
        <v>0</v>
      </c>
      <c r="K507" s="7">
        <f>IFERROR(__xludf.DUMMYFUNCTION("""COMPUTED_VALUE"""),1.0)</f>
        <v>1</v>
      </c>
      <c r="L507" s="7"/>
    </row>
    <row r="508" ht="15.75" customHeight="1">
      <c r="A508" s="6" t="str">
        <f>IFERROR(__xludf.DUMMYFUNCTION("""COMPUTED_VALUE"""),"https://peertopeermarketing.co/performance-agencies/")</f>
        <v>https://peertopeermarketing.co/performance-agencies/</v>
      </c>
      <c r="B508" s="7" t="str">
        <f>IFERROR(__xludf.DUMMYFUNCTION("""COMPUTED_VALUE"""),"18 Best Performance Marketing Agencies to Boost Your ROI [2026]")</f>
        <v>18 Best Performance Marketing Agencies to Boost Your ROI [2026]</v>
      </c>
      <c r="C508" s="6" t="str">
        <f>IFERROR(__xludf.DUMMYFUNCTION("""COMPUTED_VALUE"""),"peertopeermarketing.co")</f>
        <v>peertopeermarketing.co</v>
      </c>
      <c r="D508" s="7" t="str">
        <f>IFERROR(__xludf.DUMMYFUNCTION("""COMPUTED_VALUE"""),"LISTICLE")</f>
        <v>LISTICLE</v>
      </c>
      <c r="E508" s="7" t="str">
        <f>IFERROR(__xludf.DUMMYFUNCTION("""COMPUTED_VALUE"""),"EDITORIAL")</f>
        <v>EDITORIAL</v>
      </c>
      <c r="F508" s="7" t="str">
        <f>IFERROR(__xludf.DUMMYFUNCTION("""COMPUTED_VALUE"""),"Listicle")</f>
        <v>Listicle</v>
      </c>
      <c r="G508" s="7" t="b">
        <f>IFERROR(__xludf.DUMMYFUNCTION("""COMPUTED_VALUE"""),FALSE)</f>
        <v>0</v>
      </c>
      <c r="H508" s="7" t="str">
        <f>IFERROR(__xludf.DUMMYFUNCTION("""COMPUTED_VALUE"""),"Huge, Dentsu, GroupM, WPP")</f>
        <v>Huge, Dentsu, GroupM, WPP</v>
      </c>
      <c r="I508" s="7">
        <f>IFERROR(__xludf.DUMMYFUNCTION("""COMPUTED_VALUE"""),1.0)</f>
        <v>1</v>
      </c>
      <c r="J508" s="7">
        <f>IFERROR(__xludf.DUMMYFUNCTION("""COMPUTED_VALUE"""),0.0)</f>
        <v>0</v>
      </c>
      <c r="K508" s="7">
        <f>IFERROR(__xludf.DUMMYFUNCTION("""COMPUTED_VALUE"""),0.0)</f>
        <v>0</v>
      </c>
      <c r="L508" s="7"/>
    </row>
    <row r="509" ht="15.75" customHeight="1">
      <c r="A509" s="6" t="str">
        <f>IFERROR(__xludf.DUMMYFUNCTION("""COMPUTED_VALUE"""),"https://pimms.io/blog/top-10-marketing-attribution-tools-you-need-in-2025")</f>
        <v>https://pimms.io/blog/top-10-marketing-attribution-tools-you-need-in-2025</v>
      </c>
      <c r="B509" s="7" t="str">
        <f>IFERROR(__xludf.DUMMYFUNCTION("""COMPUTED_VALUE"""),"Best Marketing Attribution Tools 2025: ROI Tracking &amp;amp; Analytics")</f>
        <v>Best Marketing Attribution Tools 2025: ROI Tracking &amp;amp; Analytics</v>
      </c>
      <c r="C509" s="6" t="str">
        <f>IFERROR(__xludf.DUMMYFUNCTION("""COMPUTED_VALUE"""),"pimms.io")</f>
        <v>pimms.io</v>
      </c>
      <c r="D509" s="7" t="str">
        <f>IFERROR(__xludf.DUMMYFUNCTION("""COMPUTED_VALUE"""),"LISTICLE")</f>
        <v>LISTICLE</v>
      </c>
      <c r="E509" s="7" t="str">
        <f>IFERROR(__xludf.DUMMYFUNCTION("""COMPUTED_VALUE"""),"CORPORATE")</f>
        <v>CORPORATE</v>
      </c>
      <c r="F509" s="7" t="str">
        <f>IFERROR(__xludf.DUMMYFUNCTION("""COMPUTED_VALUE"""),"Listicle")</f>
        <v>Listicle</v>
      </c>
      <c r="G509" s="7" t="b">
        <f>IFERROR(__xludf.DUMMYFUNCTION("""COMPUTED_VALUE"""),FALSE)</f>
        <v>0</v>
      </c>
      <c r="H509" s="7" t="str">
        <f>IFERROR(__xludf.DUMMYFUNCTION("""COMPUTED_VALUE"""),"Impressive")</f>
        <v>Impressive</v>
      </c>
      <c r="I509" s="7">
        <f>IFERROR(__xludf.DUMMYFUNCTION("""COMPUTED_VALUE"""),1.0)</f>
        <v>1</v>
      </c>
      <c r="J509" s="7">
        <f>IFERROR(__xludf.DUMMYFUNCTION("""COMPUTED_VALUE"""),0.0)</f>
        <v>0</v>
      </c>
      <c r="K509" s="7">
        <f>IFERROR(__xludf.DUMMYFUNCTION("""COMPUTED_VALUE"""),0.0)</f>
        <v>0</v>
      </c>
      <c r="L509" s="7"/>
    </row>
    <row r="510" ht="15.75" customHeight="1">
      <c r="A510" s="6" t="str">
        <f>IFERROR(__xludf.DUMMYFUNCTION("""COMPUTED_VALUE"""),"https://www.reddit.com/r/AIConsultingAustralia/comments/1r3gb5b/who_are_the_top_ai_consulting_companies_in/")</f>
        <v>https://www.reddit.com/r/AIConsultingAustralia/comments/1r3gb5b/who_are_the_top_ai_consulting_companies_in/</v>
      </c>
      <c r="B510" s="7" t="str">
        <f>IFERROR(__xludf.DUMMYFUNCTION("""COMPUTED_VALUE"""),"Who are the top AI Consulting Companies in Australia?")</f>
        <v>Who are the top AI Consulting Companies in Australia?</v>
      </c>
      <c r="C510" s="6" t="str">
        <f>IFERROR(__xludf.DUMMYFUNCTION("""COMPUTED_VALUE"""),"reddit.com")</f>
        <v>reddit.com</v>
      </c>
      <c r="D510" s="7" t="str">
        <f>IFERROR(__xludf.DUMMYFUNCTION("""COMPUTED_VALUE"""),"DISCUSSION")</f>
        <v>DISCUSSION</v>
      </c>
      <c r="E510" s="7" t="str">
        <f>IFERROR(__xludf.DUMMYFUNCTION("""COMPUTED_VALUE"""),"UGC")</f>
        <v>UGC</v>
      </c>
      <c r="F510" s="7" t="str">
        <f>IFERROR(__xludf.DUMMYFUNCTION("""COMPUTED_VALUE"""),"Discussion")</f>
        <v>Discussion</v>
      </c>
      <c r="G510" s="7" t="b">
        <f>IFERROR(__xludf.DUMMYFUNCTION("""COMPUTED_VALUE"""),FALSE)</f>
        <v>0</v>
      </c>
      <c r="H510" s="7" t="str">
        <f>IFERROR(__xludf.DUMMYFUNCTION("""COMPUTED_VALUE"""),"Team 400, Get AI Ready, Impressive")</f>
        <v>Team 400, Get AI Ready, Impressive</v>
      </c>
      <c r="I510" s="7">
        <f>IFERROR(__xludf.DUMMYFUNCTION("""COMPUTED_VALUE"""),1.0)</f>
        <v>1</v>
      </c>
      <c r="J510" s="7">
        <f>IFERROR(__xludf.DUMMYFUNCTION("""COMPUTED_VALUE"""),0.0)</f>
        <v>0</v>
      </c>
      <c r="K510" s="7">
        <f>IFERROR(__xludf.DUMMYFUNCTION("""COMPUTED_VALUE"""),0.0)</f>
        <v>0</v>
      </c>
      <c r="L510" s="7"/>
    </row>
    <row r="511" ht="15.75" customHeight="1">
      <c r="A511" s="6" t="str">
        <f>IFERROR(__xludf.DUMMYFUNCTION("""COMPUTED_VALUE"""),"https://www.reddit.com/r/AskMarketing/comments/1r6neq7/i_run_one_of_australias_top_20_digital_agencies/")</f>
        <v>https://www.reddit.com/r/AskMarketing/comments/1r6neq7/i_run_one_of_australias_top_20_digital_agencies/</v>
      </c>
      <c r="B511" s="7" t="str">
        <f>IFERROR(__xludf.DUMMYFUNCTION("""COMPUTED_VALUE"""),"I run one of Australia's top 20 digital agencies, and I think the model is broken for SMB's")</f>
        <v>I run one of Australia's top 20 digital agencies, and I think the model is broken for SMB's</v>
      </c>
      <c r="C511" s="6" t="str">
        <f>IFERROR(__xludf.DUMMYFUNCTION("""COMPUTED_VALUE"""),"reddit.com")</f>
        <v>reddit.com</v>
      </c>
      <c r="D511" s="7" t="str">
        <f>IFERROR(__xludf.DUMMYFUNCTION("""COMPUTED_VALUE"""),"DISCUSSION")</f>
        <v>DISCUSSION</v>
      </c>
      <c r="E511" s="7" t="str">
        <f>IFERROR(__xludf.DUMMYFUNCTION("""COMPUTED_VALUE"""),"UGC")</f>
        <v>UGC</v>
      </c>
      <c r="F511" s="7" t="str">
        <f>IFERROR(__xludf.DUMMYFUNCTION("""COMPUTED_VALUE"""),"Discussion")</f>
        <v>Discussion</v>
      </c>
      <c r="G511" s="7" t="b">
        <f>IFERROR(__xludf.DUMMYFUNCTION("""COMPUTED_VALUE"""),FALSE)</f>
        <v>0</v>
      </c>
      <c r="H511" s="7" t="str">
        <f>IFERROR(__xludf.DUMMYFUNCTION("""COMPUTED_VALUE"""),"Huge")</f>
        <v>Huge</v>
      </c>
      <c r="I511" s="7">
        <f>IFERROR(__xludf.DUMMYFUNCTION("""COMPUTED_VALUE"""),1.0)</f>
        <v>1</v>
      </c>
      <c r="J511" s="7">
        <f>IFERROR(__xludf.DUMMYFUNCTION("""COMPUTED_VALUE"""),0.0)</f>
        <v>0</v>
      </c>
      <c r="K511" s="7">
        <f>IFERROR(__xludf.DUMMYFUNCTION("""COMPUTED_VALUE"""),0.0)</f>
        <v>0</v>
      </c>
      <c r="L511" s="7"/>
    </row>
    <row r="512" ht="15.75" customHeight="1">
      <c r="A512" s="6" t="str">
        <f>IFERROR(__xludf.DUMMYFUNCTION("""COMPUTED_VALUE"""),"https://www.reddit.com/r/BestInAustralia/comments/1pun446/7_best_seo_agencies_in_melbourne_2026_guide/")</f>
        <v>https://www.reddit.com/r/BestInAustralia/comments/1pun446/7_best_seo_agencies_in_melbourne_2026_guide/</v>
      </c>
      <c r="B512" s="7" t="str">
        <f>IFERROR(__xludf.DUMMYFUNCTION("""COMPUTED_VALUE"""),"7 Best SEO Agencies in Melbourne (2026 Guide)")</f>
        <v>7 Best SEO Agencies in Melbourne (2026 Guide)</v>
      </c>
      <c r="C512" s="6" t="str">
        <f>IFERROR(__xludf.DUMMYFUNCTION("""COMPUTED_VALUE"""),"reddit.com")</f>
        <v>reddit.com</v>
      </c>
      <c r="D512" s="7" t="str">
        <f>IFERROR(__xludf.DUMMYFUNCTION("""COMPUTED_VALUE"""),"DISCUSSION")</f>
        <v>DISCUSSION</v>
      </c>
      <c r="E512" s="7" t="str">
        <f>IFERROR(__xludf.DUMMYFUNCTION("""COMPUTED_VALUE"""),"UGC")</f>
        <v>UGC</v>
      </c>
      <c r="F512" s="7" t="str">
        <f>IFERROR(__xludf.DUMMYFUNCTION("""COMPUTED_VALUE"""),"Discussion")</f>
        <v>Discussion</v>
      </c>
      <c r="G512" s="7" t="b">
        <f>IFERROR(__xludf.DUMMYFUNCTION("""COMPUTED_VALUE"""),FALSE)</f>
        <v>0</v>
      </c>
      <c r="H512" s="7" t="str">
        <f>IFERROR(__xludf.DUMMYFUNCTION("""COMPUTED_VALUE"""),"Impressive, Talons Marketing, StudioHawk, SIXGUN, Supple Digital, Measured, Online Marketing Gurus, Omnicom Media Group")</f>
        <v>Impressive, Talons Marketing, StudioHawk, SIXGUN, Supple Digital, Measured, Online Marketing Gurus, Omnicom Media Group</v>
      </c>
      <c r="I512" s="7">
        <f>IFERROR(__xludf.DUMMYFUNCTION("""COMPUTED_VALUE"""),1.0)</f>
        <v>1</v>
      </c>
      <c r="J512" s="7">
        <f>IFERROR(__xludf.DUMMYFUNCTION("""COMPUTED_VALUE"""),0.0)</f>
        <v>0</v>
      </c>
      <c r="K512" s="7">
        <f>IFERROR(__xludf.DUMMYFUNCTION("""COMPUTED_VALUE"""),2.0)</f>
        <v>2</v>
      </c>
      <c r="L512" s="7"/>
    </row>
    <row r="513" ht="15.75" customHeight="1">
      <c r="A513" s="6" t="str">
        <f>IFERROR(__xludf.DUMMYFUNCTION("""COMPUTED_VALUE"""),"https://www.reddit.com/r/BestInAustralia/comments/1s8fbyv/best_seo_company_in_melbourne_april_2026/")</f>
        <v>https://www.reddit.com/r/BestInAustralia/comments/1s8fbyv/best_seo_company_in_melbourne_april_2026/</v>
      </c>
      <c r="B513" s="7" t="str">
        <f>IFERROR(__xludf.DUMMYFUNCTION("""COMPUTED_VALUE"""),"Best SEO Company In Melbourne April 2026")</f>
        <v>Best SEO Company In Melbourne April 2026</v>
      </c>
      <c r="C513" s="6" t="str">
        <f>IFERROR(__xludf.DUMMYFUNCTION("""COMPUTED_VALUE"""),"reddit.com")</f>
        <v>reddit.com</v>
      </c>
      <c r="D513" s="7" t="str">
        <f>IFERROR(__xludf.DUMMYFUNCTION("""COMPUTED_VALUE"""),"DISCUSSION")</f>
        <v>DISCUSSION</v>
      </c>
      <c r="E513" s="7" t="str">
        <f>IFERROR(__xludf.DUMMYFUNCTION("""COMPUTED_VALUE"""),"UGC")</f>
        <v>UGC</v>
      </c>
      <c r="F513" s="7" t="str">
        <f>IFERROR(__xludf.DUMMYFUNCTION("""COMPUTED_VALUE"""),"Discussion")</f>
        <v>Discussion</v>
      </c>
      <c r="G513" s="7" t="b">
        <f>IFERROR(__xludf.DUMMYFUNCTION("""COMPUTED_VALUE"""),FALSE)</f>
        <v>0</v>
      </c>
      <c r="H513" s="7" t="str">
        <f>IFERROR(__xludf.DUMMYFUNCTION("""COMPUTED_VALUE"""),"StudioHawk, Supple Digital, Bonfire, Clearwater Agency, SIXGUN, Earned Media, Measured, Talons Marketing")</f>
        <v>StudioHawk, Supple Digital, Bonfire, Clearwater Agency, SIXGUN, Earned Media, Measured, Talons Marketing</v>
      </c>
      <c r="I513" s="7">
        <f>IFERROR(__xludf.DUMMYFUNCTION("""COMPUTED_VALUE"""),1.0)</f>
        <v>1</v>
      </c>
      <c r="J513" s="7">
        <f>IFERROR(__xludf.DUMMYFUNCTION("""COMPUTED_VALUE"""),0.0)</f>
        <v>0</v>
      </c>
      <c r="K513" s="7">
        <f>IFERROR(__xludf.DUMMYFUNCTION("""COMPUTED_VALUE"""),1.0)</f>
        <v>1</v>
      </c>
      <c r="L513" s="7"/>
    </row>
    <row r="514" ht="15.75" customHeight="1">
      <c r="A514" s="6" t="str">
        <f>IFERROR(__xludf.DUMMYFUNCTION("""COMPUTED_VALUE"""),"https://www.reddit.com/r/BestInAustralia/comments/1tghlmb/5_best_seo_agencies_in_southbank_2026/")</f>
        <v>https://www.reddit.com/r/BestInAustralia/comments/1tghlmb/5_best_seo_agencies_in_southbank_2026/</v>
      </c>
      <c r="B514" s="7" t="str">
        <f>IFERROR(__xludf.DUMMYFUNCTION("""COMPUTED_VALUE"""),"5 Best SEO Agencies in Southbank 2026")</f>
        <v>5 Best SEO Agencies in Southbank 2026</v>
      </c>
      <c r="C514" s="6" t="str">
        <f>IFERROR(__xludf.DUMMYFUNCTION("""COMPUTED_VALUE"""),"reddit.com")</f>
        <v>reddit.com</v>
      </c>
      <c r="D514" s="7" t="str">
        <f>IFERROR(__xludf.DUMMYFUNCTION("""COMPUTED_VALUE"""),"DISCUSSION")</f>
        <v>DISCUSSION</v>
      </c>
      <c r="E514" s="7" t="str">
        <f>IFERROR(__xludf.DUMMYFUNCTION("""COMPUTED_VALUE"""),"UGC")</f>
        <v>UGC</v>
      </c>
      <c r="F514" s="7" t="str">
        <f>IFERROR(__xludf.DUMMYFUNCTION("""COMPUTED_VALUE"""),"Discussion")</f>
        <v>Discussion</v>
      </c>
      <c r="G514" s="7" t="b">
        <f>IFERROR(__xludf.DUMMYFUNCTION("""COMPUTED_VALUE"""),FALSE)</f>
        <v>0</v>
      </c>
      <c r="H514" s="7" t="str">
        <f>IFERROR(__xludf.DUMMYFUNCTION("""COMPUTED_VALUE"""),"Talons Marketing, StudioHawk, Clearwater Agency, Online Marketing Gurus, Impressive")</f>
        <v>Talons Marketing, StudioHawk, Clearwater Agency, Online Marketing Gurus, Impressive</v>
      </c>
      <c r="I514" s="7">
        <f>IFERROR(__xludf.DUMMYFUNCTION("""COMPUTED_VALUE"""),1.0)</f>
        <v>1</v>
      </c>
      <c r="J514" s="7">
        <f>IFERROR(__xludf.DUMMYFUNCTION("""COMPUTED_VALUE"""),0.0)</f>
        <v>0</v>
      </c>
      <c r="K514" s="7">
        <f>IFERROR(__xludf.DUMMYFUNCTION("""COMPUTED_VALUE"""),1.0)</f>
        <v>1</v>
      </c>
      <c r="L514" s="7"/>
    </row>
    <row r="515" ht="15.75" customHeight="1">
      <c r="A515" s="6" t="str">
        <f>IFERROR(__xludf.DUMMYFUNCTION("""COMPUTED_VALUE"""),"https://riseuplabs.com/top-web-design-agencies-in-australia/")</f>
        <v>https://riseuplabs.com/top-web-design-agencies-in-australia/</v>
      </c>
      <c r="B515" s="7" t="str">
        <f>IFERROR(__xludf.DUMMYFUNCTION("""COMPUTED_VALUE"""),"Top Web Design Agencies in Australia (2026): Best Companies, Reviews, &amp;amp; Expert Guide - Riseup Labs")</f>
        <v>Top Web Design Agencies in Australia (2026): Best Companies, Reviews, &amp;amp; Expert Guide - Riseup Labs</v>
      </c>
      <c r="C515" s="6" t="str">
        <f>IFERROR(__xludf.DUMMYFUNCTION("""COMPUTED_VALUE"""),"riseuplabs.com")</f>
        <v>riseuplabs.com</v>
      </c>
      <c r="D515" s="7" t="str">
        <f>IFERROR(__xludf.DUMMYFUNCTION("""COMPUTED_VALUE"""),"LISTICLE")</f>
        <v>LISTICLE</v>
      </c>
      <c r="E515" s="7" t="str">
        <f>IFERROR(__xludf.DUMMYFUNCTION("""COMPUTED_VALUE"""),"CORPORATE")</f>
        <v>CORPORATE</v>
      </c>
      <c r="F515" s="7" t="str">
        <f>IFERROR(__xludf.DUMMYFUNCTION("""COMPUTED_VALUE"""),"Listicle")</f>
        <v>Listicle</v>
      </c>
      <c r="G515" s="7" t="b">
        <f>IFERROR(__xludf.DUMMYFUNCTION("""COMPUTED_VALUE"""),FALSE)</f>
        <v>0</v>
      </c>
      <c r="H515" s="7" t="str">
        <f>IFERROR(__xludf.DUMMYFUNCTION("""COMPUTED_VALUE"""),"Emote Digital, Digital Nomads HQ, Sparro")</f>
        <v>Emote Digital, Digital Nomads HQ, Sparro</v>
      </c>
      <c r="I515" s="7">
        <f>IFERROR(__xludf.DUMMYFUNCTION("""COMPUTED_VALUE"""),1.0)</f>
        <v>1</v>
      </c>
      <c r="J515" s="7">
        <f>IFERROR(__xludf.DUMMYFUNCTION("""COMPUTED_VALUE"""),0.0)</f>
        <v>0</v>
      </c>
      <c r="K515" s="7">
        <f>IFERROR(__xludf.DUMMYFUNCTION("""COMPUTED_VALUE"""),1.0)</f>
        <v>1</v>
      </c>
      <c r="L515" s="7"/>
    </row>
    <row r="516" ht="15.75" customHeight="1">
      <c r="A516" s="6" t="str">
        <f>IFERROR(__xludf.DUMMYFUNCTION("""COMPUTED_VALUE"""),"https://roi.com.au/know-how/challenges/roi-profitability/what-analytics-platforms-work-best")</f>
        <v>https://roi.com.au/know-how/challenges/roi-profitability/what-analytics-platforms-work-best</v>
      </c>
      <c r="B516" s="7" t="str">
        <f>IFERROR(__xludf.DUMMYFUNCTION("""COMPUTED_VALUE"""),"What analytics platforms work best | AI Marketing Agency Australia | roi.com.au")</f>
        <v>What analytics platforms work best | AI Marketing Agency Australia | roi.com.au</v>
      </c>
      <c r="C516" s="6" t="str">
        <f>IFERROR(__xludf.DUMMYFUNCTION("""COMPUTED_VALUE"""),"roi.com.au")</f>
        <v>roi.com.au</v>
      </c>
      <c r="D516" s="7" t="str">
        <f>IFERROR(__xludf.DUMMYFUNCTION("""COMPUTED_VALUE"""),"LISTICLE")</f>
        <v>LISTICLE</v>
      </c>
      <c r="E516" s="7" t="str">
        <f>IFERROR(__xludf.DUMMYFUNCTION("""COMPUTED_VALUE"""),"CORPORATE")</f>
        <v>CORPORATE</v>
      </c>
      <c r="F516" s="7" t="str">
        <f>IFERROR(__xludf.DUMMYFUNCTION("""COMPUTED_VALUE"""),"Listicle")</f>
        <v>Listicle</v>
      </c>
      <c r="G516" s="7" t="b">
        <f>IFERROR(__xludf.DUMMYFUNCTION("""COMPUTED_VALUE"""),FALSE)</f>
        <v>0</v>
      </c>
      <c r="H516" s="7" t="str">
        <f>IFERROR(__xludf.DUMMYFUNCTION("""COMPUTED_VALUE"""),"ROI Growth Agency")</f>
        <v>ROI Growth Agency</v>
      </c>
      <c r="I516" s="7">
        <f>IFERROR(__xludf.DUMMYFUNCTION("""COMPUTED_VALUE"""),1.0)</f>
        <v>1</v>
      </c>
      <c r="J516" s="7">
        <f>IFERROR(__xludf.DUMMYFUNCTION("""COMPUTED_VALUE"""),0.0)</f>
        <v>0</v>
      </c>
      <c r="K516" s="7">
        <f>IFERROR(__xludf.DUMMYFUNCTION("""COMPUTED_VALUE"""),0.0)</f>
        <v>0</v>
      </c>
      <c r="L516" s="7"/>
    </row>
    <row r="517" ht="15.75" customHeight="1">
      <c r="A517" s="6" t="str">
        <f>IFERROR(__xludf.DUMMYFUNCTION("""COMPUTED_VALUE"""),"https://www.rzlt.io/blog/best-ai-marketing-agencies-in-2026-the-definitive-guide-by-specialty")</f>
        <v>https://www.rzlt.io/blog/best-ai-marketing-agencies-in-2026-the-definitive-guide-by-specialty</v>
      </c>
      <c r="B517" s="7" t="str">
        <f>IFERROR(__xludf.DUMMYFUNCTION("""COMPUTED_VALUE"""),"Best AI Marketing Agencies in 2026: The Definitive Guide")</f>
        <v>Best AI Marketing Agencies in 2026: The Definitive Guide</v>
      </c>
      <c r="C517" s="6" t="str">
        <f>IFERROR(__xludf.DUMMYFUNCTION("""COMPUTED_VALUE"""),"rzlt.io")</f>
        <v>rzlt.io</v>
      </c>
      <c r="D517" s="7" t="str">
        <f>IFERROR(__xludf.DUMMYFUNCTION("""COMPUTED_VALUE"""),"LISTICLE")</f>
        <v>LISTICLE</v>
      </c>
      <c r="E517" s="7" t="str">
        <f>IFERROR(__xludf.DUMMYFUNCTION("""COMPUTED_VALUE"""),"CORPORATE")</f>
        <v>CORPORATE</v>
      </c>
      <c r="F517" s="7" t="str">
        <f>IFERROR(__xludf.DUMMYFUNCTION("""COMPUTED_VALUE"""),"Listicle")</f>
        <v>Listicle</v>
      </c>
      <c r="G517" s="7" t="b">
        <f>IFERROR(__xludf.DUMMYFUNCTION("""COMPUTED_VALUE"""),FALSE)</f>
        <v>0</v>
      </c>
      <c r="H517" s="7"/>
      <c r="I517" s="7">
        <f>IFERROR(__xludf.DUMMYFUNCTION("""COMPUTED_VALUE"""),1.0)</f>
        <v>1</v>
      </c>
      <c r="J517" s="7">
        <f>IFERROR(__xludf.DUMMYFUNCTION("""COMPUTED_VALUE"""),0.0)</f>
        <v>0</v>
      </c>
      <c r="K517" s="7">
        <f>IFERROR(__xludf.DUMMYFUNCTION("""COMPUTED_VALUE"""),1.0)</f>
        <v>1</v>
      </c>
      <c r="L517" s="7"/>
    </row>
    <row r="518" ht="15.75" customHeight="1">
      <c r="A518" s="6" t="str">
        <f>IFERROR(__xludf.DUMMYFUNCTION("""COMPUTED_VALUE"""),"https://www.salesforce.com/au/marketing/ai/best-ai-marketing-tools/")</f>
        <v>https://www.salesforce.com/au/marketing/ai/best-ai-marketing-tools/</v>
      </c>
      <c r="B518" s="7" t="str">
        <f>IFERROR(__xludf.DUMMYFUNCTION("""COMPUTED_VALUE"""),"20 Best AI Marketing Tools in 2026 \| Salesforce AU")</f>
        <v>20 Best AI Marketing Tools in 2026 \| Salesforce AU</v>
      </c>
      <c r="C518" s="6" t="str">
        <f>IFERROR(__xludf.DUMMYFUNCTION("""COMPUTED_VALUE"""),"salesforce.com")</f>
        <v>salesforce.com</v>
      </c>
      <c r="D518" s="7" t="str">
        <f>IFERROR(__xludf.DUMMYFUNCTION("""COMPUTED_VALUE"""),"LISTICLE")</f>
        <v>LISTICLE</v>
      </c>
      <c r="E518" s="7" t="str">
        <f>IFERROR(__xludf.DUMMYFUNCTION("""COMPUTED_VALUE"""),"CORPORATE")</f>
        <v>CORPORATE</v>
      </c>
      <c r="F518" s="7" t="str">
        <f>IFERROR(__xludf.DUMMYFUNCTION("""COMPUTED_VALUE"""),"Listicle")</f>
        <v>Listicle</v>
      </c>
      <c r="G518" s="7" t="b">
        <f>IFERROR(__xludf.DUMMYFUNCTION("""COMPUTED_VALUE"""),FALSE)</f>
        <v>0</v>
      </c>
      <c r="H518" s="7"/>
      <c r="I518" s="7">
        <f>IFERROR(__xludf.DUMMYFUNCTION("""COMPUTED_VALUE"""),1.0)</f>
        <v>1</v>
      </c>
      <c r="J518" s="7">
        <f>IFERROR(__xludf.DUMMYFUNCTION("""COMPUTED_VALUE"""),0.0)</f>
        <v>0</v>
      </c>
      <c r="K518" s="7">
        <f>IFERROR(__xludf.DUMMYFUNCTION("""COMPUTED_VALUE"""),1.0)</f>
        <v>1</v>
      </c>
      <c r="L518" s="7"/>
    </row>
    <row r="519" ht="15.75" customHeight="1">
      <c r="A519" s="6" t="str">
        <f>IFERROR(__xludf.DUMMYFUNCTION("""COMPUTED_VALUE"""),"https://scopicstudios.com/blog/best-incrementality-testing-tools-2026/")</f>
        <v>https://scopicstudios.com/blog/best-incrementality-testing-tools-2026/</v>
      </c>
      <c r="B519" s="7" t="str">
        <f>IFERROR(__xludf.DUMMYFUNCTION("""COMPUTED_VALUE"""),"8 Best Incrementality Testing Tools for Measurement")</f>
        <v>8 Best Incrementality Testing Tools for Measurement</v>
      </c>
      <c r="C519" s="6" t="str">
        <f>IFERROR(__xludf.DUMMYFUNCTION("""COMPUTED_VALUE"""),"scopicstudios.com")</f>
        <v>scopicstudios.com</v>
      </c>
      <c r="D519" s="7" t="str">
        <f>IFERROR(__xludf.DUMMYFUNCTION("""COMPUTED_VALUE"""),"CATEGORY_PAGE")</f>
        <v>CATEGORY_PAGE</v>
      </c>
      <c r="E519" s="7" t="str">
        <f>IFERROR(__xludf.DUMMYFUNCTION("""COMPUTED_VALUE"""),"CORPORATE")</f>
        <v>CORPORATE</v>
      </c>
      <c r="F519" s="7" t="str">
        <f>IFERROR(__xludf.DUMMYFUNCTION("""COMPUTED_VALUE"""),"Category Page")</f>
        <v>Category Page</v>
      </c>
      <c r="G519" s="7" t="b">
        <f>IFERROR(__xludf.DUMMYFUNCTION("""COMPUTED_VALUE"""),FALSE)</f>
        <v>0</v>
      </c>
      <c r="H519" s="7"/>
      <c r="I519" s="7">
        <f>IFERROR(__xludf.DUMMYFUNCTION("""COMPUTED_VALUE"""),1.0)</f>
        <v>1</v>
      </c>
      <c r="J519" s="7">
        <f>IFERROR(__xludf.DUMMYFUNCTION("""COMPUTED_VALUE"""),0.0)</f>
        <v>0</v>
      </c>
      <c r="K519" s="7">
        <f>IFERROR(__xludf.DUMMYFUNCTION("""COMPUTED_VALUE"""),0.0)</f>
        <v>0</v>
      </c>
      <c r="L519" s="7"/>
    </row>
    <row r="520" ht="15.75" customHeight="1">
      <c r="A520" s="6" t="str">
        <f>IFERROR(__xludf.DUMMYFUNCTION("""COMPUTED_VALUE"""),"https://shokeproductions.com/Post/top-marketing-agencies-in-australia-for-tech-and-ai")</f>
        <v>https://shokeproductions.com/Post/top-marketing-agencies-in-australia-for-tech-and-ai</v>
      </c>
      <c r="B520" s="7" t="str">
        <f>IFERROR(__xludf.DUMMYFUNCTION("""COMPUTED_VALUE"""),"Top Marketing Agencies in Australia for Tech and AI by Shoke Productions")</f>
        <v>Top Marketing Agencies in Australia for Tech and AI by Shoke Productions</v>
      </c>
      <c r="C520" s="6" t="str">
        <f>IFERROR(__xludf.DUMMYFUNCTION("""COMPUTED_VALUE"""),"shokeproductions.com")</f>
        <v>shokeproductions.com</v>
      </c>
      <c r="D520" s="7" t="str">
        <f>IFERROR(__xludf.DUMMYFUNCTION("""COMPUTED_VALUE"""),"OTHER")</f>
        <v>OTHER</v>
      </c>
      <c r="E520" s="7" t="str">
        <f>IFERROR(__xludf.DUMMYFUNCTION("""COMPUTED_VALUE"""),"CORPORATE")</f>
        <v>CORPORATE</v>
      </c>
      <c r="F520" s="7" t="str">
        <f>IFERROR(__xludf.DUMMYFUNCTION("""COMPUTED_VALUE"""),"Other")</f>
        <v>Other</v>
      </c>
      <c r="G520" s="7" t="b">
        <f>IFERROR(__xludf.DUMMYFUNCTION("""COMPUTED_VALUE"""),FALSE)</f>
        <v>0</v>
      </c>
      <c r="H520" s="7"/>
      <c r="I520" s="7">
        <f>IFERROR(__xludf.DUMMYFUNCTION("""COMPUTED_VALUE"""),1.0)</f>
        <v>1</v>
      </c>
      <c r="J520" s="7">
        <f>IFERROR(__xludf.DUMMYFUNCTION("""COMPUTED_VALUE"""),0.0)</f>
        <v>0</v>
      </c>
      <c r="K520" s="7">
        <f>IFERROR(__xludf.DUMMYFUNCTION("""COMPUTED_VALUE"""),0.0)</f>
        <v>0</v>
      </c>
      <c r="L520" s="7"/>
    </row>
    <row r="521" ht="15.75" customHeight="1">
      <c r="A521" s="6" t="str">
        <f>IFERROR(__xludf.DUMMYFUNCTION("""COMPUTED_VALUE"""),"https://shuffledigital.com.au/best-seo-agencies-in-australia/")</f>
        <v>https://shuffledigital.com.au/best-seo-agencies-in-australia/</v>
      </c>
      <c r="B521" s="7" t="str">
        <f>IFERROR(__xludf.DUMMYFUNCTION("""COMPUTED_VALUE"""),"Best SEO Agencies in Australia by Shuffle [Updated 2026]")</f>
        <v>Best SEO Agencies in Australia by Shuffle [Updated 2026]</v>
      </c>
      <c r="C521" s="6" t="str">
        <f>IFERROR(__xludf.DUMMYFUNCTION("""COMPUTED_VALUE"""),"shuffledigital.com.au")</f>
        <v>shuffledigital.com.au</v>
      </c>
      <c r="D521" s="7" t="str">
        <f>IFERROR(__xludf.DUMMYFUNCTION("""COMPUTED_VALUE"""),"LISTICLE")</f>
        <v>LISTICLE</v>
      </c>
      <c r="E521" s="7" t="str">
        <f>IFERROR(__xludf.DUMMYFUNCTION("""COMPUTED_VALUE"""),"CORPORATE")</f>
        <v>CORPORATE</v>
      </c>
      <c r="F521" s="7" t="str">
        <f>IFERROR(__xludf.DUMMYFUNCTION("""COMPUTED_VALUE"""),"Listicle")</f>
        <v>Listicle</v>
      </c>
      <c r="G521" s="7" t="b">
        <f>IFERROR(__xludf.DUMMYFUNCTION("""COMPUTED_VALUE"""),FALSE)</f>
        <v>0</v>
      </c>
      <c r="H521" s="7" t="str">
        <f>IFERROR(__xludf.DUMMYFUNCTION("""COMPUTED_VALUE"""),"Prosperity Media, Alley Group, StudioHawk")</f>
        <v>Prosperity Media, Alley Group, StudioHawk</v>
      </c>
      <c r="I521" s="7">
        <f>IFERROR(__xludf.DUMMYFUNCTION("""COMPUTED_VALUE"""),1.0)</f>
        <v>1</v>
      </c>
      <c r="J521" s="7">
        <f>IFERROR(__xludf.DUMMYFUNCTION("""COMPUTED_VALUE"""),0.0)</f>
        <v>0</v>
      </c>
      <c r="K521" s="7">
        <f>IFERROR(__xludf.DUMMYFUNCTION("""COMPUTED_VALUE"""),1.0)</f>
        <v>1</v>
      </c>
      <c r="L521" s="7"/>
    </row>
    <row r="522" ht="15.75" customHeight="1">
      <c r="A522" s="6" t="str">
        <f>IFERROR(__xludf.DUMMYFUNCTION("""COMPUTED_VALUE"""),"https://www.singlegrain.com/artificial-intelligence/top-14-ai-marketing-agencies-in-2025/")</f>
        <v>https://www.singlegrain.com/artificial-intelligence/top-14-ai-marketing-agencies-in-2025/</v>
      </c>
      <c r="B522" s="7" t="str">
        <f>IFERROR(__xludf.DUMMYFUNCTION("""COMPUTED_VALUE"""),"Top 14 AI Marketing Agencies in 2025: Expert Analysis &amp;amp; Rankings")</f>
        <v>Top 14 AI Marketing Agencies in 2025: Expert Analysis &amp;amp; Rankings</v>
      </c>
      <c r="C522" s="6" t="str">
        <f>IFERROR(__xludf.DUMMYFUNCTION("""COMPUTED_VALUE"""),"singlegrain.com")</f>
        <v>singlegrain.com</v>
      </c>
      <c r="D522" s="7" t="str">
        <f>IFERROR(__xludf.DUMMYFUNCTION("""COMPUTED_VALUE"""),"LISTICLE")</f>
        <v>LISTICLE</v>
      </c>
      <c r="E522" s="7" t="str">
        <f>IFERROR(__xludf.DUMMYFUNCTION("""COMPUTED_VALUE"""),"CORPORATE")</f>
        <v>CORPORATE</v>
      </c>
      <c r="F522" s="7" t="str">
        <f>IFERROR(__xludf.DUMMYFUNCTION("""COMPUTED_VALUE"""),"Listicle")</f>
        <v>Listicle</v>
      </c>
      <c r="G522" s="7" t="b">
        <f>IFERROR(__xludf.DUMMYFUNCTION("""COMPUTED_VALUE"""),FALSE)</f>
        <v>0</v>
      </c>
      <c r="H522" s="7" t="str">
        <f>IFERROR(__xludf.DUMMYFUNCTION("""COMPUTED_VALUE"""),"VML, Impressive")</f>
        <v>VML, Impressive</v>
      </c>
      <c r="I522" s="7">
        <f>IFERROR(__xludf.DUMMYFUNCTION("""COMPUTED_VALUE"""),1.0)</f>
        <v>1</v>
      </c>
      <c r="J522" s="7">
        <f>IFERROR(__xludf.DUMMYFUNCTION("""COMPUTED_VALUE"""),0.0)</f>
        <v>0</v>
      </c>
      <c r="K522" s="7">
        <f>IFERROR(__xludf.DUMMYFUNCTION("""COMPUTED_VALUE"""),0.0)</f>
        <v>0</v>
      </c>
      <c r="L522" s="7"/>
    </row>
    <row r="523" ht="15.75" customHeight="1">
      <c r="A523" s="6" t="str">
        <f>IFERROR(__xludf.DUMMYFUNCTION("""COMPUTED_VALUE"""),"https://www.smartinc.com/")</f>
        <v>https://www.smartinc.com/</v>
      </c>
      <c r="B523" s="7" t="str">
        <f>IFERROR(__xludf.DUMMYFUNCTION("""COMPUTED_VALUE"""),"SMART | A Smarter Strategic and Creative Agency | Sydney, Melbourne, Brisbane | Top Ad Talent For Best Advertising Results")</f>
        <v>SMART | A Smarter Strategic and Creative Agency | Sydney, Melbourne, Brisbane | Top Ad Talent For Best Advertising Results</v>
      </c>
      <c r="C523" s="6" t="str">
        <f>IFERROR(__xludf.DUMMYFUNCTION("""COMPUTED_VALUE"""),"smartinc.com")</f>
        <v>smartinc.com</v>
      </c>
      <c r="D523" s="7" t="str">
        <f>IFERROR(__xludf.DUMMYFUNCTION("""COMPUTED_VALUE"""),"HOMEPAGE")</f>
        <v>HOMEPAGE</v>
      </c>
      <c r="E523" s="7" t="str">
        <f>IFERROR(__xludf.DUMMYFUNCTION("""COMPUTED_VALUE"""),"CORPORATE")</f>
        <v>CORPORATE</v>
      </c>
      <c r="F523" s="7" t="str">
        <f>IFERROR(__xludf.DUMMYFUNCTION("""COMPUTED_VALUE"""),"Homepage")</f>
        <v>Homepage</v>
      </c>
      <c r="G523" s="7" t="b">
        <f>IFERROR(__xludf.DUMMYFUNCTION("""COMPUTED_VALUE"""),FALSE)</f>
        <v>0</v>
      </c>
      <c r="H523" s="7"/>
      <c r="I523" s="7">
        <f>IFERROR(__xludf.DUMMYFUNCTION("""COMPUTED_VALUE"""),1.0)</f>
        <v>1</v>
      </c>
      <c r="J523" s="7">
        <f>IFERROR(__xludf.DUMMYFUNCTION("""COMPUTED_VALUE"""),0.0)</f>
        <v>0</v>
      </c>
      <c r="K523" s="7">
        <f>IFERROR(__xludf.DUMMYFUNCTION("""COMPUTED_VALUE"""),0.0)</f>
        <v>0</v>
      </c>
      <c r="L523" s="7"/>
    </row>
    <row r="524" ht="15.75" customHeight="1">
      <c r="A524" s="6" t="str">
        <f>IFERROR(__xludf.DUMMYFUNCTION("""COMPUTED_VALUE"""),"https://socialchameleon.com/top-30-marketing-agencies-australia-2/")</f>
        <v>https://socialchameleon.com/top-30-marketing-agencies-australia-2/</v>
      </c>
      <c r="B524" s="7" t="str">
        <f>IFERROR(__xludf.DUMMYFUNCTION("""COMPUTED_VALUE"""),"Top 30 Marketing Agencies in Australia | Social Chameleon Marketing")</f>
        <v>Top 30 Marketing Agencies in Australia | Social Chameleon Marketing</v>
      </c>
      <c r="C524" s="6" t="str">
        <f>IFERROR(__xludf.DUMMYFUNCTION("""COMPUTED_VALUE"""),"socialchameleon.com")</f>
        <v>socialchameleon.com</v>
      </c>
      <c r="D524" s="7" t="str">
        <f>IFERROR(__xludf.DUMMYFUNCTION("""COMPUTED_VALUE"""),"LISTICLE")</f>
        <v>LISTICLE</v>
      </c>
      <c r="E524" s="7" t="str">
        <f>IFERROR(__xludf.DUMMYFUNCTION("""COMPUTED_VALUE"""),"CORPORATE")</f>
        <v>CORPORATE</v>
      </c>
      <c r="F524" s="7" t="str">
        <f>IFERROR(__xludf.DUMMYFUNCTION("""COMPUTED_VALUE"""),"Listicle")</f>
        <v>Listicle</v>
      </c>
      <c r="G524" s="7" t="b">
        <f>IFERROR(__xludf.DUMMYFUNCTION("""COMPUTED_VALUE"""),FALSE)</f>
        <v>0</v>
      </c>
      <c r="H524" s="7" t="str">
        <f>IFERROR(__xludf.DUMMYFUNCTION("""COMPUTED_VALUE"""),"Impressive, Online Marketing Gurus, Farsiight, Digital Nomads HQ, Saatchi &amp; Saatchi, Luminary, Emote Digital, Rocket Agency, Paradox Marketing, Huge")</f>
        <v>Impressive, Online Marketing Gurus, Farsiight, Digital Nomads HQ, Saatchi &amp; Saatchi, Luminary, Emote Digital, Rocket Agency, Paradox Marketing, Huge</v>
      </c>
      <c r="I524" s="7">
        <f>IFERROR(__xludf.DUMMYFUNCTION("""COMPUTED_VALUE"""),1.0)</f>
        <v>1</v>
      </c>
      <c r="J524" s="7">
        <f>IFERROR(__xludf.DUMMYFUNCTION("""COMPUTED_VALUE"""),0.0)</f>
        <v>0</v>
      </c>
      <c r="K524" s="7">
        <f>IFERROR(__xludf.DUMMYFUNCTION("""COMPUTED_VALUE"""),1.0)</f>
        <v>1</v>
      </c>
      <c r="L524" s="7"/>
    </row>
    <row r="525" ht="15.75" customHeight="1">
      <c r="A525" s="6" t="str">
        <f>IFERROR(__xludf.DUMMYFUNCTION("""COMPUTED_VALUE"""),"https://www.sortlist.com/digital-marketing/australia-au?custom=advertising%2Caustralia-au")</f>
        <v>https://www.sortlist.com/digital-marketing/australia-au?custom=advertising%2Caustralia-au</v>
      </c>
      <c r="B525" s="7" t="str">
        <f>IFERROR(__xludf.DUMMYFUNCTION("""COMPUTED_VALUE"""),"The 10 Best Digital Marketing Agencies in Australia - 2026 Reviews")</f>
        <v>The 10 Best Digital Marketing Agencies in Australia - 2026 Reviews</v>
      </c>
      <c r="C525" s="6" t="str">
        <f>IFERROR(__xludf.DUMMYFUNCTION("""COMPUTED_VALUE"""),"sortlist.com")</f>
        <v>sortlist.com</v>
      </c>
      <c r="D525" s="7" t="str">
        <f>IFERROR(__xludf.DUMMYFUNCTION("""COMPUTED_VALUE"""),"CATEGORY_PAGE")</f>
        <v>CATEGORY_PAGE</v>
      </c>
      <c r="E525" s="7" t="str">
        <f>IFERROR(__xludf.DUMMYFUNCTION("""COMPUTED_VALUE"""),"CORPORATE")</f>
        <v>CORPORATE</v>
      </c>
      <c r="F525" s="7" t="str">
        <f>IFERROR(__xludf.DUMMYFUNCTION("""COMPUTED_VALUE"""),"Category Page")</f>
        <v>Category Page</v>
      </c>
      <c r="G525" s="7" t="b">
        <f>IFERROR(__xludf.DUMMYFUNCTION("""COMPUTED_VALUE"""),FALSE)</f>
        <v>0</v>
      </c>
      <c r="H525" s="7" t="str">
        <f>IFERROR(__xludf.DUMMYFUNCTION("""COMPUTED_VALUE"""),"Measured, Earned Media, Clearwater Agency, Impressive, Supple Digital, Digital Nomads HQ, Soup Agency, HERO, Momentum")</f>
        <v>Measured, Earned Media, Clearwater Agency, Impressive, Supple Digital, Digital Nomads HQ, Soup Agency, HERO, Momentum</v>
      </c>
      <c r="I525" s="7">
        <f>IFERROR(__xludf.DUMMYFUNCTION("""COMPUTED_VALUE"""),1.0)</f>
        <v>1</v>
      </c>
      <c r="J525" s="7">
        <f>IFERROR(__xludf.DUMMYFUNCTION("""COMPUTED_VALUE"""),0.0)</f>
        <v>0</v>
      </c>
      <c r="K525" s="7">
        <f>IFERROR(__xludf.DUMMYFUNCTION("""COMPUTED_VALUE"""),0.0)</f>
        <v>0</v>
      </c>
      <c r="L525" s="7"/>
    </row>
    <row r="526" ht="15.75" customHeight="1">
      <c r="A526" s="6" t="str">
        <f>IFERROR(__xludf.DUMMYFUNCTION("""COMPUTED_VALUE"""),"https://www.sortlist.com/marketing-communication")</f>
        <v>https://www.sortlist.com/marketing-communication</v>
      </c>
      <c r="B526" s="7" t="str">
        <f>IFERROR(__xludf.DUMMYFUNCTION("""COMPUTED_VALUE"""),"The 100 Best Marketing Communication Agencies - 2026 Reviews")</f>
        <v>The 100 Best Marketing Communication Agencies - 2026 Reviews</v>
      </c>
      <c r="C526" s="6" t="str">
        <f>IFERROR(__xludf.DUMMYFUNCTION("""COMPUTED_VALUE"""),"sortlist.com")</f>
        <v>sortlist.com</v>
      </c>
      <c r="D526" s="7" t="str">
        <f>IFERROR(__xludf.DUMMYFUNCTION("""COMPUTED_VALUE"""),"CATEGORY_PAGE")</f>
        <v>CATEGORY_PAGE</v>
      </c>
      <c r="E526" s="7" t="str">
        <f>IFERROR(__xludf.DUMMYFUNCTION("""COMPUTED_VALUE"""),"CORPORATE")</f>
        <v>CORPORATE</v>
      </c>
      <c r="F526" s="7" t="str">
        <f>IFERROR(__xludf.DUMMYFUNCTION("""COMPUTED_VALUE"""),"Category Page")</f>
        <v>Category Page</v>
      </c>
      <c r="G526" s="7" t="b">
        <f>IFERROR(__xludf.DUMMYFUNCTION("""COMPUTED_VALUE"""),FALSE)</f>
        <v>0</v>
      </c>
      <c r="H526" s="7"/>
      <c r="I526" s="7">
        <f>IFERROR(__xludf.DUMMYFUNCTION("""COMPUTED_VALUE"""),1.0)</f>
        <v>1</v>
      </c>
      <c r="J526" s="7">
        <f>IFERROR(__xludf.DUMMYFUNCTION("""COMPUTED_VALUE"""),0.0)</f>
        <v>0</v>
      </c>
      <c r="K526" s="7">
        <f>IFERROR(__xludf.DUMMYFUNCTION("""COMPUTED_VALUE"""),1.0)</f>
        <v>1</v>
      </c>
      <c r="L526" s="7"/>
    </row>
    <row r="527" ht="15.75" customHeight="1">
      <c r="A527" s="6" t="str">
        <f>IFERROR(__xludf.DUMMYFUNCTION("""COMPUTED_VALUE"""),"https://www.sortlist.com/s/display-advertising/new-south-wales-nsw-au")</f>
        <v>https://www.sortlist.com/s/display-advertising/new-south-wales-nsw-au</v>
      </c>
      <c r="B527" s="7" t="str">
        <f>IFERROR(__xludf.DUMMYFUNCTION("""COMPUTED_VALUE"""),"The 10 Best Display Advertising Agencies in New South Wales - 2026 Reviews")</f>
        <v>The 10 Best Display Advertising Agencies in New South Wales - 2026 Reviews</v>
      </c>
      <c r="C527" s="6" t="str">
        <f>IFERROR(__xludf.DUMMYFUNCTION("""COMPUTED_VALUE"""),"sortlist.com")</f>
        <v>sortlist.com</v>
      </c>
      <c r="D527" s="7" t="str">
        <f>IFERROR(__xludf.DUMMYFUNCTION("""COMPUTED_VALUE"""),"CATEGORY_PAGE")</f>
        <v>CATEGORY_PAGE</v>
      </c>
      <c r="E527" s="7" t="str">
        <f>IFERROR(__xludf.DUMMYFUNCTION("""COMPUTED_VALUE"""),"CORPORATE")</f>
        <v>CORPORATE</v>
      </c>
      <c r="F527" s="7" t="str">
        <f>IFERROR(__xludf.DUMMYFUNCTION("""COMPUTED_VALUE"""),"Category Page")</f>
        <v>Category Page</v>
      </c>
      <c r="G527" s="7" t="b">
        <f>IFERROR(__xludf.DUMMYFUNCTION("""COMPUTED_VALUE"""),FALSE)</f>
        <v>0</v>
      </c>
      <c r="H527" s="7" t="str">
        <f>IFERROR(__xludf.DUMMYFUNCTION("""COMPUTED_VALUE"""),"Impressive, Supple Digital, CUT THRU, Measured, Earned Media, Clearwater Agency, SIXGUN, Ninja Promo, Momentum, Soup Agency, HERO, Digital Nomads HQ")</f>
        <v>Impressive, Supple Digital, CUT THRU, Measured, Earned Media, Clearwater Agency, SIXGUN, Ninja Promo, Momentum, Soup Agency, HERO, Digital Nomads HQ</v>
      </c>
      <c r="I527" s="7">
        <f>IFERROR(__xludf.DUMMYFUNCTION("""COMPUTED_VALUE"""),1.0)</f>
        <v>1</v>
      </c>
      <c r="J527" s="7">
        <f>IFERROR(__xludf.DUMMYFUNCTION("""COMPUTED_VALUE"""),0.0)</f>
        <v>0</v>
      </c>
      <c r="K527" s="7">
        <f>IFERROR(__xludf.DUMMYFUNCTION("""COMPUTED_VALUE"""),0.0)</f>
        <v>0</v>
      </c>
      <c r="L527" s="7"/>
    </row>
    <row r="528" ht="15.75" customHeight="1">
      <c r="A528" s="6" t="str">
        <f>IFERROR(__xludf.DUMMYFUNCTION("""COMPUTED_VALUE"""),"https://www.sortlist.com/s/display-advertising/sydney-au")</f>
        <v>https://www.sortlist.com/s/display-advertising/sydney-au</v>
      </c>
      <c r="B528" s="7" t="str">
        <f>IFERROR(__xludf.DUMMYFUNCTION("""COMPUTED_VALUE"""),"The 10 Best Display Advertising Agencies in Sydney - 2026 Reviews")</f>
        <v>The 10 Best Display Advertising Agencies in Sydney - 2026 Reviews</v>
      </c>
      <c r="C528" s="6" t="str">
        <f>IFERROR(__xludf.DUMMYFUNCTION("""COMPUTED_VALUE"""),"sortlist.com")</f>
        <v>sortlist.com</v>
      </c>
      <c r="D528" s="7" t="str">
        <f>IFERROR(__xludf.DUMMYFUNCTION("""COMPUTED_VALUE"""),"CATEGORY_PAGE")</f>
        <v>CATEGORY_PAGE</v>
      </c>
      <c r="E528" s="7" t="str">
        <f>IFERROR(__xludf.DUMMYFUNCTION("""COMPUTED_VALUE"""),"CORPORATE")</f>
        <v>CORPORATE</v>
      </c>
      <c r="F528" s="7" t="str">
        <f>IFERROR(__xludf.DUMMYFUNCTION("""COMPUTED_VALUE"""),"Category Page")</f>
        <v>Category Page</v>
      </c>
      <c r="G528" s="7" t="b">
        <f>IFERROR(__xludf.DUMMYFUNCTION("""COMPUTED_VALUE"""),FALSE)</f>
        <v>0</v>
      </c>
      <c r="H528" s="7" t="str">
        <f>IFERROR(__xludf.DUMMYFUNCTION("""COMPUTED_VALUE"""),"Impressive, Supple Digital, Measured, Earned Media, Clearwater Agency, SIXGUN, Ninja Promo, Momentum, Soup Agency, HERO, Digital Nomads HQ, AdVisible, Alpha Digital")</f>
        <v>Impressive, Supple Digital, Measured, Earned Media, Clearwater Agency, SIXGUN, Ninja Promo, Momentum, Soup Agency, HERO, Digital Nomads HQ, AdVisible, Alpha Digital</v>
      </c>
      <c r="I528" s="7">
        <f>IFERROR(__xludf.DUMMYFUNCTION("""COMPUTED_VALUE"""),1.0)</f>
        <v>1</v>
      </c>
      <c r="J528" s="7">
        <f>IFERROR(__xludf.DUMMYFUNCTION("""COMPUTED_VALUE"""),0.0)</f>
        <v>0</v>
      </c>
      <c r="K528" s="7">
        <f>IFERROR(__xludf.DUMMYFUNCTION("""COMPUTED_VALUE"""),0.0)</f>
        <v>0</v>
      </c>
      <c r="L528" s="7"/>
    </row>
    <row r="529" ht="15.75" customHeight="1">
      <c r="A529" s="6" t="str">
        <f>IFERROR(__xludf.DUMMYFUNCTION("""COMPUTED_VALUE"""),"https://www.sortlist.com/s/display-advertising/western-australia-wa-au")</f>
        <v>https://www.sortlist.com/s/display-advertising/western-australia-wa-au</v>
      </c>
      <c r="B529" s="7" t="str">
        <f>IFERROR(__xludf.DUMMYFUNCTION("""COMPUTED_VALUE"""),"The 10 Best Display Advertising Agencies in Australia - 2026 Reviews")</f>
        <v>The 10 Best Display Advertising Agencies in Australia - 2026 Reviews</v>
      </c>
      <c r="C529" s="6" t="str">
        <f>IFERROR(__xludf.DUMMYFUNCTION("""COMPUTED_VALUE"""),"sortlist.com")</f>
        <v>sortlist.com</v>
      </c>
      <c r="D529" s="7" t="str">
        <f>IFERROR(__xludf.DUMMYFUNCTION("""COMPUTED_VALUE"""),"CATEGORY_PAGE")</f>
        <v>CATEGORY_PAGE</v>
      </c>
      <c r="E529" s="7" t="str">
        <f>IFERROR(__xludf.DUMMYFUNCTION("""COMPUTED_VALUE"""),"CORPORATE")</f>
        <v>CORPORATE</v>
      </c>
      <c r="F529" s="7" t="str">
        <f>IFERROR(__xludf.DUMMYFUNCTION("""COMPUTED_VALUE"""),"Category Page")</f>
        <v>Category Page</v>
      </c>
      <c r="G529" s="7" t="b">
        <f>IFERROR(__xludf.DUMMYFUNCTION("""COMPUTED_VALUE"""),FALSE)</f>
        <v>0</v>
      </c>
      <c r="H529" s="7" t="str">
        <f>IFERROR(__xludf.DUMMYFUNCTION("""COMPUTED_VALUE"""),"Clearwater Agency, Measured, Earned Media, Supple Digital, Impressive, SIXGUN, Soup Agency, HERO, Digital Nomads HQ, Momentum, CUT THRU")</f>
        <v>Clearwater Agency, Measured, Earned Media, Supple Digital, Impressive, SIXGUN, Soup Agency, HERO, Digital Nomads HQ, Momentum, CUT THRU</v>
      </c>
      <c r="I529" s="7">
        <f>IFERROR(__xludf.DUMMYFUNCTION("""COMPUTED_VALUE"""),1.0)</f>
        <v>1</v>
      </c>
      <c r="J529" s="7">
        <f>IFERROR(__xludf.DUMMYFUNCTION("""COMPUTED_VALUE"""),0.0)</f>
        <v>0</v>
      </c>
      <c r="K529" s="7">
        <f>IFERROR(__xludf.DUMMYFUNCTION("""COMPUTED_VALUE"""),0.0)</f>
        <v>0</v>
      </c>
      <c r="L529" s="7"/>
    </row>
    <row r="530" ht="15.75" customHeight="1">
      <c r="A530" s="6" t="str">
        <f>IFERROR(__xludf.DUMMYFUNCTION("""COMPUTED_VALUE"""),"https://www.sortlist.com/s/linkedin-advertising/australia-au")</f>
        <v>https://www.sortlist.com/s/linkedin-advertising/australia-au</v>
      </c>
      <c r="B530" s="7" t="str">
        <f>IFERROR(__xludf.DUMMYFUNCTION("""COMPUTED_VALUE"""),"The 10 Best LinkedIn Ads Agencies in Australia - 2026 Reviews")</f>
        <v>The 10 Best LinkedIn Ads Agencies in Australia - 2026 Reviews</v>
      </c>
      <c r="C530" s="6" t="str">
        <f>IFERROR(__xludf.DUMMYFUNCTION("""COMPUTED_VALUE"""),"sortlist.com")</f>
        <v>sortlist.com</v>
      </c>
      <c r="D530" s="7" t="str">
        <f>IFERROR(__xludf.DUMMYFUNCTION("""COMPUTED_VALUE"""),"CATEGORY_PAGE")</f>
        <v>CATEGORY_PAGE</v>
      </c>
      <c r="E530" s="7" t="str">
        <f>IFERROR(__xludf.DUMMYFUNCTION("""COMPUTED_VALUE"""),"CORPORATE")</f>
        <v>CORPORATE</v>
      </c>
      <c r="F530" s="7" t="str">
        <f>IFERROR(__xludf.DUMMYFUNCTION("""COMPUTED_VALUE"""),"Category Page")</f>
        <v>Category Page</v>
      </c>
      <c r="G530" s="7" t="b">
        <f>IFERROR(__xludf.DUMMYFUNCTION("""COMPUTED_VALUE"""),FALSE)</f>
        <v>0</v>
      </c>
      <c r="H530" s="7" t="str">
        <f>IFERROR(__xludf.DUMMYFUNCTION("""COMPUTED_VALUE"""),"SIXGUN, Impressive, Ninja Promo, AdVisible, 23 Digital")</f>
        <v>SIXGUN, Impressive, Ninja Promo, AdVisible, 23 Digital</v>
      </c>
      <c r="I530" s="7">
        <f>IFERROR(__xludf.DUMMYFUNCTION("""COMPUTED_VALUE"""),1.0)</f>
        <v>1</v>
      </c>
      <c r="J530" s="7">
        <f>IFERROR(__xludf.DUMMYFUNCTION("""COMPUTED_VALUE"""),0.0)</f>
        <v>0</v>
      </c>
      <c r="K530" s="7">
        <f>IFERROR(__xludf.DUMMYFUNCTION("""COMPUTED_VALUE"""),0.0)</f>
        <v>0</v>
      </c>
      <c r="L530" s="7"/>
    </row>
    <row r="531" ht="15.75" customHeight="1">
      <c r="A531" s="6" t="str">
        <f>IFERROR(__xludf.DUMMYFUNCTION("""COMPUTED_VALUE"""),"https://www.sortlist.com/s/paid-media/victoria-vic-au")</f>
        <v>https://www.sortlist.com/s/paid-media/victoria-vic-au</v>
      </c>
      <c r="B531" s="7" t="str">
        <f>IFERROR(__xludf.DUMMYFUNCTION("""COMPUTED_VALUE"""),"The 10 Best Paid Media Agencies in Victoria - 2026 Reviews")</f>
        <v>The 10 Best Paid Media Agencies in Victoria - 2026 Reviews</v>
      </c>
      <c r="C531" s="6" t="str">
        <f>IFERROR(__xludf.DUMMYFUNCTION("""COMPUTED_VALUE"""),"sortlist.com")</f>
        <v>sortlist.com</v>
      </c>
      <c r="D531" s="7" t="str">
        <f>IFERROR(__xludf.DUMMYFUNCTION("""COMPUTED_VALUE"""),"PROFILE")</f>
        <v>PROFILE</v>
      </c>
      <c r="E531" s="7" t="str">
        <f>IFERROR(__xludf.DUMMYFUNCTION("""COMPUTED_VALUE"""),"CORPORATE")</f>
        <v>CORPORATE</v>
      </c>
      <c r="F531" s="7" t="str">
        <f>IFERROR(__xludf.DUMMYFUNCTION("""COMPUTED_VALUE"""),"Profile")</f>
        <v>Profile</v>
      </c>
      <c r="G531" s="7" t="b">
        <f>IFERROR(__xludf.DUMMYFUNCTION("""COMPUTED_VALUE"""),FALSE)</f>
        <v>0</v>
      </c>
      <c r="H531" s="7" t="str">
        <f>IFERROR(__xludf.DUMMYFUNCTION("""COMPUTED_VALUE"""),"Measured, Earned Media, Clearwater Agency, Impressive, SIXGUN, Supple Digital, Momentum, 80/20 Digital")</f>
        <v>Measured, Earned Media, Clearwater Agency, Impressive, SIXGUN, Supple Digital, Momentum, 80/20 Digital</v>
      </c>
      <c r="I531" s="7">
        <f>IFERROR(__xludf.DUMMYFUNCTION("""COMPUTED_VALUE"""),1.0)</f>
        <v>1</v>
      </c>
      <c r="J531" s="7">
        <f>IFERROR(__xludf.DUMMYFUNCTION("""COMPUTED_VALUE"""),0.0)</f>
        <v>0</v>
      </c>
      <c r="K531" s="7">
        <f>IFERROR(__xludf.DUMMYFUNCTION("""COMPUTED_VALUE"""),0.0)</f>
        <v>0</v>
      </c>
      <c r="L531" s="7"/>
    </row>
    <row r="532" ht="15.75" customHeight="1">
      <c r="A532" s="6" t="str">
        <f>IFERROR(__xludf.DUMMYFUNCTION("""COMPUTED_VALUE"""),"https://www.sortlist.com/s/performance-marketing/victoria-vic-au")</f>
        <v>https://www.sortlist.com/s/performance-marketing/victoria-vic-au</v>
      </c>
      <c r="B532" s="7" t="str">
        <f>IFERROR(__xludf.DUMMYFUNCTION("""COMPUTED_VALUE"""),"The 10 Best Performance Marketing Agencies in Victoria - 2026 Reviews")</f>
        <v>The 10 Best Performance Marketing Agencies in Victoria - 2026 Reviews</v>
      </c>
      <c r="C532" s="6" t="str">
        <f>IFERROR(__xludf.DUMMYFUNCTION("""COMPUTED_VALUE"""),"sortlist.com")</f>
        <v>sortlist.com</v>
      </c>
      <c r="D532" s="7" t="str">
        <f>IFERROR(__xludf.DUMMYFUNCTION("""COMPUTED_VALUE"""),"PROFILE")</f>
        <v>PROFILE</v>
      </c>
      <c r="E532" s="7" t="str">
        <f>IFERROR(__xludf.DUMMYFUNCTION("""COMPUTED_VALUE"""),"CORPORATE")</f>
        <v>CORPORATE</v>
      </c>
      <c r="F532" s="7" t="str">
        <f>IFERROR(__xludf.DUMMYFUNCTION("""COMPUTED_VALUE"""),"Profile")</f>
        <v>Profile</v>
      </c>
      <c r="G532" s="7" t="b">
        <f>IFERROR(__xludf.DUMMYFUNCTION("""COMPUTED_VALUE"""),FALSE)</f>
        <v>0</v>
      </c>
      <c r="H532" s="7" t="str">
        <f>IFERROR(__xludf.DUMMYFUNCTION("""COMPUTED_VALUE"""),"Measured, Earned Media, Clearwater Agency, SIXGUN, Impressive, Supple Digital, Momentum, 80/20 Digital, Adcore Elite")</f>
        <v>Measured, Earned Media, Clearwater Agency, SIXGUN, Impressive, Supple Digital, Momentum, 80/20 Digital, Adcore Elite</v>
      </c>
      <c r="I532" s="7">
        <f>IFERROR(__xludf.DUMMYFUNCTION("""COMPUTED_VALUE"""),1.0)</f>
        <v>1</v>
      </c>
      <c r="J532" s="7">
        <f>IFERROR(__xludf.DUMMYFUNCTION("""COMPUTED_VALUE"""),0.0)</f>
        <v>0</v>
      </c>
      <c r="K532" s="7">
        <f>IFERROR(__xludf.DUMMYFUNCTION("""COMPUTED_VALUE"""),0.0)</f>
        <v>0</v>
      </c>
      <c r="L532" s="7"/>
    </row>
    <row r="533" ht="15.75" customHeight="1">
      <c r="A533" s="6" t="str">
        <f>IFERROR(__xludf.DUMMYFUNCTION("""COMPUTED_VALUE"""),"https://www.sortlist.com/s/performance-marketing/western-australia-wa-au")</f>
        <v>https://www.sortlist.com/s/performance-marketing/western-australia-wa-au</v>
      </c>
      <c r="B533" s="7" t="str">
        <f>IFERROR(__xludf.DUMMYFUNCTION("""COMPUTED_VALUE"""),"The 10 Best Performance Marketing Agencies in Western Australia - 2026 Reviews")</f>
        <v>The 10 Best Performance Marketing Agencies in Western Australia - 2026 Reviews</v>
      </c>
      <c r="C533" s="6" t="str">
        <f>IFERROR(__xludf.DUMMYFUNCTION("""COMPUTED_VALUE"""),"sortlist.com")</f>
        <v>sortlist.com</v>
      </c>
      <c r="D533" s="7" t="str">
        <f>IFERROR(__xludf.DUMMYFUNCTION("""COMPUTED_VALUE"""),"CATEGORY_PAGE")</f>
        <v>CATEGORY_PAGE</v>
      </c>
      <c r="E533" s="7" t="str">
        <f>IFERROR(__xludf.DUMMYFUNCTION("""COMPUTED_VALUE"""),"CORPORATE")</f>
        <v>CORPORATE</v>
      </c>
      <c r="F533" s="7" t="str">
        <f>IFERROR(__xludf.DUMMYFUNCTION("""COMPUTED_VALUE"""),"Category Page")</f>
        <v>Category Page</v>
      </c>
      <c r="G533" s="7" t="b">
        <f>IFERROR(__xludf.DUMMYFUNCTION("""COMPUTED_VALUE"""),FALSE)</f>
        <v>0</v>
      </c>
      <c r="H533" s="7" t="str">
        <f>IFERROR(__xludf.DUMMYFUNCTION("""COMPUTED_VALUE"""),"Measured, Earned Media, Clearwater Agency, SIXGUN, Impressive, Supple Digital, Momentum, Digital Nomads HQ, Soup Agency, HERO, Alpha Digital, 23 Digital")</f>
        <v>Measured, Earned Media, Clearwater Agency, SIXGUN, Impressive, Supple Digital, Momentum, Digital Nomads HQ, Soup Agency, HERO, Alpha Digital, 23 Digital</v>
      </c>
      <c r="I533" s="7">
        <f>IFERROR(__xludf.DUMMYFUNCTION("""COMPUTED_VALUE"""),1.0)</f>
        <v>1</v>
      </c>
      <c r="J533" s="7">
        <f>IFERROR(__xludf.DUMMYFUNCTION("""COMPUTED_VALUE"""),0.0)</f>
        <v>0</v>
      </c>
      <c r="K533" s="7">
        <f>IFERROR(__xludf.DUMMYFUNCTION("""COMPUTED_VALUE"""),0.0)</f>
        <v>0</v>
      </c>
      <c r="L533" s="7"/>
    </row>
    <row r="534" ht="15.75" customHeight="1">
      <c r="A534" s="6" t="str">
        <f>IFERROR(__xludf.DUMMYFUNCTION("""COMPUTED_VALUE"""),"https://www.sortlist.com/s/programmatic-advertising/sydney-au")</f>
        <v>https://www.sortlist.com/s/programmatic-advertising/sydney-au</v>
      </c>
      <c r="B534" s="7" t="str">
        <f>IFERROR(__xludf.DUMMYFUNCTION("""COMPUTED_VALUE"""),"The 10 Best Programmatic Advertising Companies in Sydney - 2026 Reviews")</f>
        <v>The 10 Best Programmatic Advertising Companies in Sydney - 2026 Reviews</v>
      </c>
      <c r="C534" s="6" t="str">
        <f>IFERROR(__xludf.DUMMYFUNCTION("""COMPUTED_VALUE"""),"sortlist.com")</f>
        <v>sortlist.com</v>
      </c>
      <c r="D534" s="7" t="str">
        <f>IFERROR(__xludf.DUMMYFUNCTION("""COMPUTED_VALUE"""),"CATEGORY_PAGE")</f>
        <v>CATEGORY_PAGE</v>
      </c>
      <c r="E534" s="7" t="str">
        <f>IFERROR(__xludf.DUMMYFUNCTION("""COMPUTED_VALUE"""),"CORPORATE")</f>
        <v>CORPORATE</v>
      </c>
      <c r="F534" s="7" t="str">
        <f>IFERROR(__xludf.DUMMYFUNCTION("""COMPUTED_VALUE"""),"Category Page")</f>
        <v>Category Page</v>
      </c>
      <c r="G534" s="7" t="b">
        <f>IFERROR(__xludf.DUMMYFUNCTION("""COMPUTED_VALUE"""),FALSE)</f>
        <v>0</v>
      </c>
      <c r="H534" s="7" t="str">
        <f>IFERROR(__xludf.DUMMYFUNCTION("""COMPUTED_VALUE"""),"Impressive, Supple Digital, Measured, Earned Media, Clearwater Agency, SIXGUN, Soup Agency, HERO, Digital Nomads HQ")</f>
        <v>Impressive, Supple Digital, Measured, Earned Media, Clearwater Agency, SIXGUN, Soup Agency, HERO, Digital Nomads HQ</v>
      </c>
      <c r="I534" s="7">
        <f>IFERROR(__xludf.DUMMYFUNCTION("""COMPUTED_VALUE"""),1.0)</f>
        <v>1</v>
      </c>
      <c r="J534" s="7">
        <f>IFERROR(__xludf.DUMMYFUNCTION("""COMPUTED_VALUE"""),0.0)</f>
        <v>0</v>
      </c>
      <c r="K534" s="7">
        <f>IFERROR(__xludf.DUMMYFUNCTION("""COMPUTED_VALUE"""),0.0)</f>
        <v>0</v>
      </c>
      <c r="L534" s="7"/>
    </row>
    <row r="535" ht="15.75" customHeight="1">
      <c r="A535" s="6" t="str">
        <f>IFERROR(__xludf.DUMMYFUNCTION("""COMPUTED_VALUE"""),"https://www.sortlist.com/s/tiktok-advertising/australia-au")</f>
        <v>https://www.sortlist.com/s/tiktok-advertising/australia-au</v>
      </c>
      <c r="B535" s="7" t="str">
        <f>IFERROR(__xludf.DUMMYFUNCTION("""COMPUTED_VALUE"""),"The 10 Best TikTok Advertising Agencies in Australia - 2026 Reviews")</f>
        <v>The 10 Best TikTok Advertising Agencies in Australia - 2026 Reviews</v>
      </c>
      <c r="C535" s="6" t="str">
        <f>IFERROR(__xludf.DUMMYFUNCTION("""COMPUTED_VALUE"""),"sortlist.com")</f>
        <v>sortlist.com</v>
      </c>
      <c r="D535" s="7" t="str">
        <f>IFERROR(__xludf.DUMMYFUNCTION("""COMPUTED_VALUE"""),"CATEGORY_PAGE")</f>
        <v>CATEGORY_PAGE</v>
      </c>
      <c r="E535" s="7" t="str">
        <f>IFERROR(__xludf.DUMMYFUNCTION("""COMPUTED_VALUE"""),"CORPORATE")</f>
        <v>CORPORATE</v>
      </c>
      <c r="F535" s="7" t="str">
        <f>IFERROR(__xludf.DUMMYFUNCTION("""COMPUTED_VALUE"""),"Category Page")</f>
        <v>Category Page</v>
      </c>
      <c r="G535" s="7" t="b">
        <f>IFERROR(__xludf.DUMMYFUNCTION("""COMPUTED_VALUE"""),FALSE)</f>
        <v>0</v>
      </c>
      <c r="H535" s="7" t="str">
        <f>IFERROR(__xludf.DUMMYFUNCTION("""COMPUTED_VALUE"""),"Soup Agency, HERO, Adcore Elite, 23 Digital")</f>
        <v>Soup Agency, HERO, Adcore Elite, 23 Digital</v>
      </c>
      <c r="I535" s="7">
        <f>IFERROR(__xludf.DUMMYFUNCTION("""COMPUTED_VALUE"""),1.0)</f>
        <v>1</v>
      </c>
      <c r="J535" s="7">
        <f>IFERROR(__xludf.DUMMYFUNCTION("""COMPUTED_VALUE"""),0.0)</f>
        <v>0</v>
      </c>
      <c r="K535" s="7">
        <f>IFERROR(__xludf.DUMMYFUNCTION("""COMPUTED_VALUE"""),0.0)</f>
        <v>0</v>
      </c>
      <c r="L535" s="7"/>
    </row>
    <row r="536" ht="15.75" customHeight="1">
      <c r="A536" s="6" t="str">
        <f>IFERROR(__xludf.DUMMYFUNCTION("""COMPUTED_VALUE"""),"https://www.sortlist.com/web-analytics/australia-au")</f>
        <v>https://www.sortlist.com/web-analytics/australia-au</v>
      </c>
      <c r="B536" s="7" t="str">
        <f>IFERROR(__xludf.DUMMYFUNCTION("""COMPUTED_VALUE"""),"The 10 Best Web Analytics Agencies in Australia - 2026 Reviews")</f>
        <v>The 10 Best Web Analytics Agencies in Australia - 2026 Reviews</v>
      </c>
      <c r="C536" s="6" t="str">
        <f>IFERROR(__xludf.DUMMYFUNCTION("""COMPUTED_VALUE"""),"sortlist.com")</f>
        <v>sortlist.com</v>
      </c>
      <c r="D536" s="7" t="str">
        <f>IFERROR(__xludf.DUMMYFUNCTION("""COMPUTED_VALUE"""),"PROFILE")</f>
        <v>PROFILE</v>
      </c>
      <c r="E536" s="7" t="str">
        <f>IFERROR(__xludf.DUMMYFUNCTION("""COMPUTED_VALUE"""),"CORPORATE")</f>
        <v>CORPORATE</v>
      </c>
      <c r="F536" s="7" t="str">
        <f>IFERROR(__xludf.DUMMYFUNCTION("""COMPUTED_VALUE"""),"Profile")</f>
        <v>Profile</v>
      </c>
      <c r="G536" s="7" t="b">
        <f>IFERROR(__xludf.DUMMYFUNCTION("""COMPUTED_VALUE"""),FALSE)</f>
        <v>0</v>
      </c>
      <c r="H536" s="7" t="str">
        <f>IFERROR(__xludf.DUMMYFUNCTION("""COMPUTED_VALUE"""),"Impressive, SIXGUN")</f>
        <v>Impressive, SIXGUN</v>
      </c>
      <c r="I536" s="7">
        <f>IFERROR(__xludf.DUMMYFUNCTION("""COMPUTED_VALUE"""),1.0)</f>
        <v>1</v>
      </c>
      <c r="J536" s="7">
        <f>IFERROR(__xludf.DUMMYFUNCTION("""COMPUTED_VALUE"""),0.0)</f>
        <v>0</v>
      </c>
      <c r="K536" s="7">
        <f>IFERROR(__xludf.DUMMYFUNCTION("""COMPUTED_VALUE"""),0.0)</f>
        <v>0</v>
      </c>
      <c r="L536" s="7"/>
    </row>
    <row r="537" ht="15.75" customHeight="1">
      <c r="A537" s="6" t="str">
        <f>IFERROR(__xludf.DUMMYFUNCTION("""COMPUTED_VALUE"""),"https://sotatek.com.au/blogs/ai-solutions-in-australia/")</f>
        <v>https://sotatek.com.au/blogs/ai-solutions-in-australia/</v>
      </c>
      <c r="B537" s="7" t="str">
        <f>IFERROR(__xludf.DUMMYFUNCTION("""COMPUTED_VALUE"""),"Top 5 Best Providers for AI Solutions in Australia")</f>
        <v>Top 5 Best Providers for AI Solutions in Australia</v>
      </c>
      <c r="C537" s="6" t="str">
        <f>IFERROR(__xludf.DUMMYFUNCTION("""COMPUTED_VALUE"""),"sotatek.com.au")</f>
        <v>sotatek.com.au</v>
      </c>
      <c r="D537" s="7" t="str">
        <f>IFERROR(__xludf.DUMMYFUNCTION("""COMPUTED_VALUE"""),"ARTICLE")</f>
        <v>ARTICLE</v>
      </c>
      <c r="E537" s="7" t="str">
        <f>IFERROR(__xludf.DUMMYFUNCTION("""COMPUTED_VALUE"""),"CORPORATE")</f>
        <v>CORPORATE</v>
      </c>
      <c r="F537" s="7" t="str">
        <f>IFERROR(__xludf.DUMMYFUNCTION("""COMPUTED_VALUE"""),"Article")</f>
        <v>Article</v>
      </c>
      <c r="G537" s="7" t="b">
        <f>IFERROR(__xludf.DUMMYFUNCTION("""COMPUTED_VALUE"""),FALSE)</f>
        <v>0</v>
      </c>
      <c r="H537" s="7" t="str">
        <f>IFERROR(__xludf.DUMMYFUNCTION("""COMPUTED_VALUE"""),"Momentum")</f>
        <v>Momentum</v>
      </c>
      <c r="I537" s="7">
        <f>IFERROR(__xludf.DUMMYFUNCTION("""COMPUTED_VALUE"""),1.0)</f>
        <v>1</v>
      </c>
      <c r="J537" s="7">
        <f>IFERROR(__xludf.DUMMYFUNCTION("""COMPUTED_VALUE"""),0.0)</f>
        <v>0</v>
      </c>
      <c r="K537" s="7">
        <f>IFERROR(__xludf.DUMMYFUNCTION("""COMPUTED_VALUE"""),0.0)</f>
        <v>0</v>
      </c>
      <c r="L537" s="7"/>
    </row>
    <row r="538" ht="15.75" customHeight="1">
      <c r="A538" s="6" t="str">
        <f>IFERROR(__xludf.DUMMYFUNCTION("""COMPUTED_VALUE"""),"https://soupagency.com.au/blog/10-best-ppc-agencies-sydney/")</f>
        <v>https://soupagency.com.au/blog/10-best-ppc-agencies-sydney/</v>
      </c>
      <c r="B538" s="7" t="str">
        <f>IFERROR(__xludf.DUMMYFUNCTION("""COMPUTED_VALUE"""),"Best PPC Agencies in Sydney \| Top 10 Reviewed - SOUP Agency")</f>
        <v>Best PPC Agencies in Sydney \| Top 10 Reviewed - SOUP Agency</v>
      </c>
      <c r="C538" s="6" t="str">
        <f>IFERROR(__xludf.DUMMYFUNCTION("""COMPUTED_VALUE"""),"soupagency.com.au")</f>
        <v>soupagency.com.au</v>
      </c>
      <c r="D538" s="7" t="str">
        <f>IFERROR(__xludf.DUMMYFUNCTION("""COMPUTED_VALUE"""),"LISTICLE")</f>
        <v>LISTICLE</v>
      </c>
      <c r="E538" s="7" t="str">
        <f>IFERROR(__xludf.DUMMYFUNCTION("""COMPUTED_VALUE"""),"COMPETITOR")</f>
        <v>COMPETITOR</v>
      </c>
      <c r="F538" s="7" t="str">
        <f>IFERROR(__xludf.DUMMYFUNCTION("""COMPUTED_VALUE"""),"Listicle")</f>
        <v>Listicle</v>
      </c>
      <c r="G538" s="7" t="b">
        <f>IFERROR(__xludf.DUMMYFUNCTION("""COMPUTED_VALUE"""),FALSE)</f>
        <v>0</v>
      </c>
      <c r="H538" s="7" t="str">
        <f>IFERROR(__xludf.DUMMYFUNCTION("""COMPUTED_VALUE"""),"Soup Agency, Publicis Groupe, Dentsu, Mindshare, WPP, VML, PHD")</f>
        <v>Soup Agency, Publicis Groupe, Dentsu, Mindshare, WPP, VML, PHD</v>
      </c>
      <c r="I538" s="7">
        <f>IFERROR(__xludf.DUMMYFUNCTION("""COMPUTED_VALUE"""),1.0)</f>
        <v>1</v>
      </c>
      <c r="J538" s="7">
        <f>IFERROR(__xludf.DUMMYFUNCTION("""COMPUTED_VALUE"""),0.0)</f>
        <v>0</v>
      </c>
      <c r="K538" s="7">
        <f>IFERROR(__xludf.DUMMYFUNCTION("""COMPUTED_VALUE"""),0.0)</f>
        <v>0</v>
      </c>
      <c r="L538" s="7"/>
    </row>
    <row r="539" ht="15.75" customHeight="1">
      <c r="A539" s="6" t="str">
        <f>IFERROR(__xludf.DUMMYFUNCTION("""COMPUTED_VALUE"""),"https://stackdigital.com.au/top-5-ai-seo-agencies-in-australia-2025-rankings/")</f>
        <v>https://stackdigital.com.au/top-5-ai-seo-agencies-in-australia-2025-rankings/</v>
      </c>
      <c r="B539" s="7" t="str">
        <f>IFERROR(__xludf.DUMMYFUNCTION("""COMPUTED_VALUE"""),"Top 7 AI SEO Agencies in Australia (2025 Rankings) – Modern Digital Marketing Agency")</f>
        <v>Top 7 AI SEO Agencies in Australia (2025 Rankings) – Modern Digital Marketing Agency</v>
      </c>
      <c r="C539" s="6" t="str">
        <f>IFERROR(__xludf.DUMMYFUNCTION("""COMPUTED_VALUE"""),"stackdigital.com.au")</f>
        <v>stackdigital.com.au</v>
      </c>
      <c r="D539" s="7" t="str">
        <f>IFERROR(__xludf.DUMMYFUNCTION("""COMPUTED_VALUE"""),"LISTICLE")</f>
        <v>LISTICLE</v>
      </c>
      <c r="E539" s="7" t="str">
        <f>IFERROR(__xludf.DUMMYFUNCTION("""COMPUTED_VALUE"""),"CORPORATE")</f>
        <v>CORPORATE</v>
      </c>
      <c r="F539" s="7" t="str">
        <f>IFERROR(__xludf.DUMMYFUNCTION("""COMPUTED_VALUE"""),"Listicle")</f>
        <v>Listicle</v>
      </c>
      <c r="G539" s="7" t="b">
        <f>IFERROR(__xludf.DUMMYFUNCTION("""COMPUTED_VALUE"""),FALSE)</f>
        <v>0</v>
      </c>
      <c r="H539" s="7"/>
      <c r="I539" s="7">
        <f>IFERROR(__xludf.DUMMYFUNCTION("""COMPUTED_VALUE"""),1.0)</f>
        <v>1</v>
      </c>
      <c r="J539" s="7">
        <f>IFERROR(__xludf.DUMMYFUNCTION("""COMPUTED_VALUE"""),0.0)</f>
        <v>0</v>
      </c>
      <c r="K539" s="7">
        <f>IFERROR(__xludf.DUMMYFUNCTION("""COMPUTED_VALUE"""),1.0)</f>
        <v>1</v>
      </c>
      <c r="L539" s="7"/>
    </row>
    <row r="540" ht="15.75" customHeight="1">
      <c r="A540" s="6" t="str">
        <f>IFERROR(__xludf.DUMMYFUNCTION("""COMPUTED_VALUE"""),"https://stratabeat.com/best-geo-agency/")</f>
        <v>https://stratabeat.com/best-geo-agency/</v>
      </c>
      <c r="B540" s="7" t="str">
        <f>IFERROR(__xludf.DUMMYFUNCTION("""COMPUTED_VALUE"""),"The 10 Best GEO Agencies in 2026 | Stratabeat")</f>
        <v>The 10 Best GEO Agencies in 2026 | Stratabeat</v>
      </c>
      <c r="C540" s="6" t="str">
        <f>IFERROR(__xludf.DUMMYFUNCTION("""COMPUTED_VALUE"""),"stratabeat.com")</f>
        <v>stratabeat.com</v>
      </c>
      <c r="D540" s="7" t="str">
        <f>IFERROR(__xludf.DUMMYFUNCTION("""COMPUTED_VALUE"""),"LISTICLE")</f>
        <v>LISTICLE</v>
      </c>
      <c r="E540" s="7" t="str">
        <f>IFERROR(__xludf.DUMMYFUNCTION("""COMPUTED_VALUE"""),"CORPORATE")</f>
        <v>CORPORATE</v>
      </c>
      <c r="F540" s="7" t="str">
        <f>IFERROR(__xludf.DUMMYFUNCTION("""COMPUTED_VALUE"""),"Listicle")</f>
        <v>Listicle</v>
      </c>
      <c r="G540" s="7" t="b">
        <f>IFERROR(__xludf.DUMMYFUNCTION("""COMPUTED_VALUE"""),FALSE)</f>
        <v>0</v>
      </c>
      <c r="H540" s="7" t="str">
        <f>IFERROR(__xludf.DUMMYFUNCTION("""COMPUTED_VALUE"""),"First Page, Impressive, Earned Media")</f>
        <v>First Page, Impressive, Earned Media</v>
      </c>
      <c r="I540" s="7">
        <f>IFERROR(__xludf.DUMMYFUNCTION("""COMPUTED_VALUE"""),1.0)</f>
        <v>1</v>
      </c>
      <c r="J540" s="7">
        <f>IFERROR(__xludf.DUMMYFUNCTION("""COMPUTED_VALUE"""),0.0)</f>
        <v>0</v>
      </c>
      <c r="K540" s="7">
        <f>IFERROR(__xludf.DUMMYFUNCTION("""COMPUTED_VALUE"""),0.0)</f>
        <v>0</v>
      </c>
      <c r="L540" s="7"/>
    </row>
    <row r="541" ht="15.75" customHeight="1">
      <c r="A541" s="6" t="str">
        <f>IFERROR(__xludf.DUMMYFUNCTION("""COMPUTED_VALUE"""),"https://www.strategyeye.com/top-13-performance-marketing-agencies/")</f>
        <v>https://www.strategyeye.com/top-13-performance-marketing-agencies/</v>
      </c>
      <c r="B541" s="7" t="str">
        <f>IFERROR(__xludf.DUMMYFUNCTION("""COMPUTED_VALUE"""),"Top 13 Performance Marketing Agencies - StrategyEye")</f>
        <v>Top 13 Performance Marketing Agencies - StrategyEye</v>
      </c>
      <c r="C541" s="6" t="str">
        <f>IFERROR(__xludf.DUMMYFUNCTION("""COMPUTED_VALUE"""),"strategyeye.com")</f>
        <v>strategyeye.com</v>
      </c>
      <c r="D541" s="7" t="str">
        <f>IFERROR(__xludf.DUMMYFUNCTION("""COMPUTED_VALUE"""),"LISTICLE")</f>
        <v>LISTICLE</v>
      </c>
      <c r="E541" s="7" t="str">
        <f>IFERROR(__xludf.DUMMYFUNCTION("""COMPUTED_VALUE"""),"EDITORIAL")</f>
        <v>EDITORIAL</v>
      </c>
      <c r="F541" s="7" t="str">
        <f>IFERROR(__xludf.DUMMYFUNCTION("""COMPUTED_VALUE"""),"Listicle")</f>
        <v>Listicle</v>
      </c>
      <c r="G541" s="7" t="b">
        <f>IFERROR(__xludf.DUMMYFUNCTION("""COMPUTED_VALUE"""),FALSE)</f>
        <v>0</v>
      </c>
      <c r="H541" s="7" t="str">
        <f>IFERROR(__xludf.DUMMYFUNCTION("""COMPUTED_VALUE"""),"Tinuiti, Brainlabs, PMG")</f>
        <v>Tinuiti, Brainlabs, PMG</v>
      </c>
      <c r="I541" s="7">
        <f>IFERROR(__xludf.DUMMYFUNCTION("""COMPUTED_VALUE"""),1.0)</f>
        <v>1</v>
      </c>
      <c r="J541" s="7">
        <f>IFERROR(__xludf.DUMMYFUNCTION("""COMPUTED_VALUE"""),0.0)</f>
        <v>0</v>
      </c>
      <c r="K541" s="7">
        <f>IFERROR(__xludf.DUMMYFUNCTION("""COMPUTED_VALUE"""),0.0)</f>
        <v>0</v>
      </c>
      <c r="L541" s="7"/>
    </row>
    <row r="542" ht="15.75" customHeight="1">
      <c r="A542" s="6" t="str">
        <f>IFERROR(__xludf.DUMMYFUNCTION("""COMPUTED_VALUE"""),"https://techtalkradio.com.au/top-australian-ppc-agencies-pricing-results-and-quality/")</f>
        <v>https://techtalkradio.com.au/top-australian-ppc-agencies-pricing-results-and-quality/</v>
      </c>
      <c r="B542" s="7" t="str">
        <f>IFERROR(__xludf.DUMMYFUNCTION("""COMPUTED_VALUE"""),"Top Australian PPC Agencies: Pricing, Results and Quality – Tech Talk Radio")</f>
        <v>Top Australian PPC Agencies: Pricing, Results and Quality – Tech Talk Radio</v>
      </c>
      <c r="C542" s="6" t="str">
        <f>IFERROR(__xludf.DUMMYFUNCTION("""COMPUTED_VALUE"""),"techtalkradio.com.au")</f>
        <v>techtalkradio.com.au</v>
      </c>
      <c r="D542" s="7" t="str">
        <f>IFERROR(__xludf.DUMMYFUNCTION("""COMPUTED_VALUE"""),"LISTICLE")</f>
        <v>LISTICLE</v>
      </c>
      <c r="E542" s="7" t="str">
        <f>IFERROR(__xludf.DUMMYFUNCTION("""COMPUTED_VALUE"""),"EDITORIAL")</f>
        <v>EDITORIAL</v>
      </c>
      <c r="F542" s="7" t="str">
        <f>IFERROR(__xludf.DUMMYFUNCTION("""COMPUTED_VALUE"""),"Listicle")</f>
        <v>Listicle</v>
      </c>
      <c r="G542" s="7" t="b">
        <f>IFERROR(__xludf.DUMMYFUNCTION("""COMPUTED_VALUE"""),FALSE)</f>
        <v>0</v>
      </c>
      <c r="H542" s="7" t="str">
        <f>IFERROR(__xludf.DUMMYFUNCTION("""COMPUTED_VALUE"""),"Impressive")</f>
        <v>Impressive</v>
      </c>
      <c r="I542" s="7">
        <f>IFERROR(__xludf.DUMMYFUNCTION("""COMPUTED_VALUE"""),1.0)</f>
        <v>1</v>
      </c>
      <c r="J542" s="7">
        <f>IFERROR(__xludf.DUMMYFUNCTION("""COMPUTED_VALUE"""),0.0)</f>
        <v>0</v>
      </c>
      <c r="K542" s="7">
        <f>IFERROR(__xludf.DUMMYFUNCTION("""COMPUTED_VALUE"""),1.0)</f>
        <v>1</v>
      </c>
      <c r="L542" s="7"/>
    </row>
    <row r="543" ht="15.75" customHeight="1">
      <c r="A543" s="6" t="str">
        <f>IFERROR(__xludf.DUMMYFUNCTION("""COMPUTED_VALUE"""),"https://www.theardor.com.au/best-seo-companies-in-australia/")</f>
        <v>https://www.theardor.com.au/best-seo-companies-in-australia/</v>
      </c>
      <c r="B543" s="7" t="str">
        <f>IFERROR(__xludf.DUMMYFUNCTION("""COMPUTED_VALUE"""),"15 Best SEO Companies in Australia (2026 Ranked &amp;amp; Reviewed)")</f>
        <v>15 Best SEO Companies in Australia (2026 Ranked &amp;amp; Reviewed)</v>
      </c>
      <c r="C543" s="6" t="str">
        <f>IFERROR(__xludf.DUMMYFUNCTION("""COMPUTED_VALUE"""),"theardor.com.au")</f>
        <v>theardor.com.au</v>
      </c>
      <c r="D543" s="7" t="str">
        <f>IFERROR(__xludf.DUMMYFUNCTION("""COMPUTED_VALUE"""),"LISTICLE")</f>
        <v>LISTICLE</v>
      </c>
      <c r="E543" s="7" t="str">
        <f>IFERROR(__xludf.DUMMYFUNCTION("""COMPUTED_VALUE"""),"CORPORATE")</f>
        <v>CORPORATE</v>
      </c>
      <c r="F543" s="7" t="str">
        <f>IFERROR(__xludf.DUMMYFUNCTION("""COMPUTED_VALUE"""),"Listicle")</f>
        <v>Listicle</v>
      </c>
      <c r="G543" s="7" t="b">
        <f>IFERROR(__xludf.DUMMYFUNCTION("""COMPUTED_VALUE"""),FALSE)</f>
        <v>0</v>
      </c>
      <c r="H543" s="7" t="str">
        <f>IFERROR(__xludf.DUMMYFUNCTION("""COMPUTED_VALUE"""),"Ninja Promo, First Page, Digital Nomads HQ, Clearwater Agency, StudioHawk, SIXGUN, Online Marketing Gurus, Gorilla 360, Supple Digital, Omnicom Media Group")</f>
        <v>Ninja Promo, First Page, Digital Nomads HQ, Clearwater Agency, StudioHawk, SIXGUN, Online Marketing Gurus, Gorilla 360, Supple Digital, Omnicom Media Group</v>
      </c>
      <c r="I543" s="7">
        <f>IFERROR(__xludf.DUMMYFUNCTION("""COMPUTED_VALUE"""),1.0)</f>
        <v>1</v>
      </c>
      <c r="J543" s="7">
        <f>IFERROR(__xludf.DUMMYFUNCTION("""COMPUTED_VALUE"""),0.0)</f>
        <v>0</v>
      </c>
      <c r="K543" s="7">
        <f>IFERROR(__xludf.DUMMYFUNCTION("""COMPUTED_VALUE"""),1.0)</f>
        <v>1</v>
      </c>
      <c r="L543" s="7"/>
    </row>
    <row r="544" ht="15.75" customHeight="1">
      <c r="A544" s="6" t="str">
        <f>IFERROR(__xludf.DUMMYFUNCTION("""COMPUTED_VALUE"""),"https://www.theardor.com.au/top-pr-agencies/")</f>
        <v>https://www.theardor.com.au/top-pr-agencies/</v>
      </c>
      <c r="B544" s="7" t="str">
        <f>IFERROR(__xludf.DUMMYFUNCTION("""COMPUTED_VALUE"""),"16 Top PR Agencies Australia | Trusted Public Relations Firm")</f>
        <v>16 Top PR Agencies Australia | Trusted Public Relations Firm</v>
      </c>
      <c r="C544" s="6" t="str">
        <f>IFERROR(__xludf.DUMMYFUNCTION("""COMPUTED_VALUE"""),"theardor.com.au")</f>
        <v>theardor.com.au</v>
      </c>
      <c r="D544" s="7" t="str">
        <f>IFERROR(__xludf.DUMMYFUNCTION("""COMPUTED_VALUE"""),"LISTICLE")</f>
        <v>LISTICLE</v>
      </c>
      <c r="E544" s="7" t="str">
        <f>IFERROR(__xludf.DUMMYFUNCTION("""COMPUTED_VALUE"""),"CORPORATE")</f>
        <v>CORPORATE</v>
      </c>
      <c r="F544" s="7" t="str">
        <f>IFERROR(__xludf.DUMMYFUNCTION("""COMPUTED_VALUE"""),"Listicle")</f>
        <v>Listicle</v>
      </c>
      <c r="G544" s="7" t="b">
        <f>IFERROR(__xludf.DUMMYFUNCTION("""COMPUTED_VALUE"""),FALSE)</f>
        <v>0</v>
      </c>
      <c r="H544" s="7" t="str">
        <f>IFERROR(__xludf.DUMMYFUNCTION("""COMPUTED_VALUE"""),"Earned Media, Impressive, Momentum")</f>
        <v>Earned Media, Impressive, Momentum</v>
      </c>
      <c r="I544" s="7">
        <f>IFERROR(__xludf.DUMMYFUNCTION("""COMPUTED_VALUE"""),1.0)</f>
        <v>1</v>
      </c>
      <c r="J544" s="7">
        <f>IFERROR(__xludf.DUMMYFUNCTION("""COMPUTED_VALUE"""),0.0)</f>
        <v>0</v>
      </c>
      <c r="K544" s="7">
        <f>IFERROR(__xludf.DUMMYFUNCTION("""COMPUTED_VALUE"""),1.0)</f>
        <v>1</v>
      </c>
      <c r="L544" s="7"/>
    </row>
    <row r="545" ht="15.75" customHeight="1">
      <c r="A545" s="6" t="str">
        <f>IFERROR(__xludf.DUMMYFUNCTION("""COMPUTED_VALUE"""),"https://www.thehero.co/news/advertising-marketings-best-agencies-top-sydney-2026-mumbrella-awards-list")</f>
        <v>https://www.thehero.co/news/advertising-marketings-best-agencies-top-sydney-2026-mumbrella-awards-list</v>
      </c>
      <c r="B545" s="7" t="str">
        <f>IFERROR(__xludf.DUMMYFUNCTION("""COMPUTED_VALUE"""),"Advertising &amp;amp; Marketing’s Best Agencies In Sydney Top 2026 Mumbrella Awards List")</f>
        <v>Advertising &amp;amp; Marketing’s Best Agencies In Sydney Top 2026 Mumbrella Awards List</v>
      </c>
      <c r="C545" s="6" t="str">
        <f>IFERROR(__xludf.DUMMYFUNCTION("""COMPUTED_VALUE"""),"thehero.co")</f>
        <v>thehero.co</v>
      </c>
      <c r="D545" s="7" t="str">
        <f>IFERROR(__xludf.DUMMYFUNCTION("""COMPUTED_VALUE"""),"PROFILE")</f>
        <v>PROFILE</v>
      </c>
      <c r="E545" s="7" t="str">
        <f>IFERROR(__xludf.DUMMYFUNCTION("""COMPUTED_VALUE"""),"CORPORATE")</f>
        <v>CORPORATE</v>
      </c>
      <c r="F545" s="7" t="str">
        <f>IFERROR(__xludf.DUMMYFUNCTION("""COMPUTED_VALUE"""),"Profile")</f>
        <v>Profile</v>
      </c>
      <c r="G545" s="7" t="b">
        <f>IFERROR(__xludf.DUMMYFUNCTION("""COMPUTED_VALUE"""),FALSE)</f>
        <v>0</v>
      </c>
      <c r="H545" s="7" t="str">
        <f>IFERROR(__xludf.DUMMYFUNCTION("""COMPUTED_VALUE"""),"HERO")</f>
        <v>HERO</v>
      </c>
      <c r="I545" s="7">
        <f>IFERROR(__xludf.DUMMYFUNCTION("""COMPUTED_VALUE"""),1.0)</f>
        <v>1</v>
      </c>
      <c r="J545" s="7">
        <f>IFERROR(__xludf.DUMMYFUNCTION("""COMPUTED_VALUE"""),0.0)</f>
        <v>0</v>
      </c>
      <c r="K545" s="7">
        <f>IFERROR(__xludf.DUMMYFUNCTION("""COMPUTED_VALUE"""),0.0)</f>
        <v>0</v>
      </c>
      <c r="L545" s="7"/>
    </row>
    <row r="546" ht="15.75" customHeight="1">
      <c r="A546" s="6" t="str">
        <f>IFERROR(__xludf.DUMMYFUNCTION("""COMPUTED_VALUE"""),"https://www.thehero.co/news/sydneys-top-ad-agencies-and-the-best-sydney-creative-agency-for-2026")</f>
        <v>https://www.thehero.co/news/sydneys-top-ad-agencies-and-the-best-sydney-creative-agency-for-2026</v>
      </c>
      <c r="B546" s="7" t="str">
        <f>IFERROR(__xludf.DUMMYFUNCTION("""COMPUTED_VALUE"""),"Sydney's Top Ad Agencies and The Best Sydney Creative Agency for 2026")</f>
        <v>Sydney's Top Ad Agencies and The Best Sydney Creative Agency for 2026</v>
      </c>
      <c r="C546" s="6" t="str">
        <f>IFERROR(__xludf.DUMMYFUNCTION("""COMPUTED_VALUE"""),"thehero.co")</f>
        <v>thehero.co</v>
      </c>
      <c r="D546" s="7" t="str">
        <f>IFERROR(__xludf.DUMMYFUNCTION("""COMPUTED_VALUE"""),"ARTICLE")</f>
        <v>ARTICLE</v>
      </c>
      <c r="E546" s="7" t="str">
        <f>IFERROR(__xludf.DUMMYFUNCTION("""COMPUTED_VALUE"""),"CORPORATE")</f>
        <v>CORPORATE</v>
      </c>
      <c r="F546" s="7" t="str">
        <f>IFERROR(__xludf.DUMMYFUNCTION("""COMPUTED_VALUE"""),"Article")</f>
        <v>Article</v>
      </c>
      <c r="G546" s="7" t="b">
        <f>IFERROR(__xludf.DUMMYFUNCTION("""COMPUTED_VALUE"""),FALSE)</f>
        <v>0</v>
      </c>
      <c r="H546" s="7" t="str">
        <f>IFERROR(__xludf.DUMMYFUNCTION("""COMPUTED_VALUE"""),"HERO")</f>
        <v>HERO</v>
      </c>
      <c r="I546" s="7">
        <f>IFERROR(__xludf.DUMMYFUNCTION("""COMPUTED_VALUE"""),1.0)</f>
        <v>1</v>
      </c>
      <c r="J546" s="7">
        <f>IFERROR(__xludf.DUMMYFUNCTION("""COMPUTED_VALUE"""),0.0)</f>
        <v>0</v>
      </c>
      <c r="K546" s="7">
        <f>IFERROR(__xludf.DUMMYFUNCTION("""COMPUTED_VALUE"""),0.0)</f>
        <v>0</v>
      </c>
      <c r="L546" s="7"/>
    </row>
    <row r="547" ht="15.75" customHeight="1">
      <c r="A547" s="6" t="str">
        <f>IFERROR(__xludf.DUMMYFUNCTION("""COMPUTED_VALUE"""),"https://www.thehero.co/news/top-10-best-ad-agency-in-sydney-leading-australia-at-wina-2026")</f>
        <v>https://www.thehero.co/news/top-10-best-ad-agency-in-sydney-leading-australia-at-wina-2026</v>
      </c>
      <c r="B547" s="7" t="str">
        <f>IFERROR(__xludf.DUMMYFUNCTION("""COMPUTED_VALUE"""),"HERO Wins Best Sydney Creative Ad Agency at Global WINA Awards for Top Result in Australian History")</f>
        <v>HERO Wins Best Sydney Creative Ad Agency at Global WINA Awards for Top Result in Australian History</v>
      </c>
      <c r="C547" s="6" t="str">
        <f>IFERROR(__xludf.DUMMYFUNCTION("""COMPUTED_VALUE"""),"thehero.co")</f>
        <v>thehero.co</v>
      </c>
      <c r="D547" s="7" t="str">
        <f>IFERROR(__xludf.DUMMYFUNCTION("""COMPUTED_VALUE"""),"ARTICLE")</f>
        <v>ARTICLE</v>
      </c>
      <c r="E547" s="7" t="str">
        <f>IFERROR(__xludf.DUMMYFUNCTION("""COMPUTED_VALUE"""),"CORPORATE")</f>
        <v>CORPORATE</v>
      </c>
      <c r="F547" s="7" t="str">
        <f>IFERROR(__xludf.DUMMYFUNCTION("""COMPUTED_VALUE"""),"Article")</f>
        <v>Article</v>
      </c>
      <c r="G547" s="7" t="b">
        <f>IFERROR(__xludf.DUMMYFUNCTION("""COMPUTED_VALUE"""),FALSE)</f>
        <v>0</v>
      </c>
      <c r="H547" s="7" t="str">
        <f>IFERROR(__xludf.DUMMYFUNCTION("""COMPUTED_VALUE"""),"HERO, Huge, Measured, Momentum")</f>
        <v>HERO, Huge, Measured, Momentum</v>
      </c>
      <c r="I547" s="7">
        <f>IFERROR(__xludf.DUMMYFUNCTION("""COMPUTED_VALUE"""),1.0)</f>
        <v>1</v>
      </c>
      <c r="J547" s="7">
        <f>IFERROR(__xludf.DUMMYFUNCTION("""COMPUTED_VALUE"""),0.0)</f>
        <v>0</v>
      </c>
      <c r="K547" s="7">
        <f>IFERROR(__xludf.DUMMYFUNCTION("""COMPUTED_VALUE"""),2.0)</f>
        <v>2</v>
      </c>
      <c r="L547" s="7"/>
    </row>
    <row r="548" ht="15.75" customHeight="1">
      <c r="A548" s="6" t="str">
        <f>IFERROR(__xludf.DUMMYFUNCTION("""COMPUTED_VALUE"""),"https://www.thehero.co/services-creative-performance-ai")</f>
        <v>https://www.thehero.co/services-creative-performance-ai</v>
      </c>
      <c r="B548" s="7" t="str">
        <f>IFERROR(__xludf.DUMMYFUNCTION("""COMPUTED_VALUE"""),"Australia's Best Creative, Performance &amp;amp; Top AI Innovation Agency | HERO")</f>
        <v>Australia's Best Creative, Performance &amp;amp; Top AI Innovation Agency | HERO</v>
      </c>
      <c r="C548" s="6" t="str">
        <f>IFERROR(__xludf.DUMMYFUNCTION("""COMPUTED_VALUE"""),"thehero.co")</f>
        <v>thehero.co</v>
      </c>
      <c r="D548" s="7" t="str">
        <f>IFERROR(__xludf.DUMMYFUNCTION("""COMPUTED_VALUE"""),"PROFILE")</f>
        <v>PROFILE</v>
      </c>
      <c r="E548" s="7" t="str">
        <f>IFERROR(__xludf.DUMMYFUNCTION("""COMPUTED_VALUE"""),"CORPORATE")</f>
        <v>CORPORATE</v>
      </c>
      <c r="F548" s="7" t="str">
        <f>IFERROR(__xludf.DUMMYFUNCTION("""COMPUTED_VALUE"""),"Profile")</f>
        <v>Profile</v>
      </c>
      <c r="G548" s="7" t="b">
        <f>IFERROR(__xludf.DUMMYFUNCTION("""COMPUTED_VALUE"""),FALSE)</f>
        <v>0</v>
      </c>
      <c r="H548" s="7" t="str">
        <f>IFERROR(__xludf.DUMMYFUNCTION("""COMPUTED_VALUE"""),"HERO, Earned Media")</f>
        <v>HERO, Earned Media</v>
      </c>
      <c r="I548" s="7">
        <f>IFERROR(__xludf.DUMMYFUNCTION("""COMPUTED_VALUE"""),1.0)</f>
        <v>1</v>
      </c>
      <c r="J548" s="7">
        <f>IFERROR(__xludf.DUMMYFUNCTION("""COMPUTED_VALUE"""),0.0)</f>
        <v>0</v>
      </c>
      <c r="K548" s="7">
        <f>IFERROR(__xludf.DUMMYFUNCTION("""COMPUTED_VALUE"""),0.0)</f>
        <v>0</v>
      </c>
      <c r="L548" s="7"/>
    </row>
    <row r="549" ht="15.75" customHeight="1">
      <c r="A549" s="6" t="str">
        <f>IFERROR(__xludf.DUMMYFUNCTION("""COMPUTED_VALUE"""),"https://www.thehypesociety.com.au/#:~:text=Australia's%20Best%20Performance%20Creative%20Agency,Our%20strategies%20incorporate%20the")</f>
        <v>https://www.thehypesociety.com.au/#:~:text=Australia's%20Best%20Performance%20Creative%20Agency,Our%20strategies%20incorporate%20the</v>
      </c>
      <c r="B549" s="7" t="str">
        <f>IFERROR(__xludf.DUMMYFUNCTION("""COMPUTED_VALUE"""),"Top Creative Agency in Melbourne 2026 | TheHypeSociety")</f>
        <v>Top Creative Agency in Melbourne 2026 | TheHypeSociety</v>
      </c>
      <c r="C549" s="6" t="str">
        <f>IFERROR(__xludf.DUMMYFUNCTION("""COMPUTED_VALUE"""),"thehypesociety.com.au")</f>
        <v>thehypesociety.com.au</v>
      </c>
      <c r="D549" s="7" t="str">
        <f>IFERROR(__xludf.DUMMYFUNCTION("""COMPUTED_VALUE"""),"HOMEPAGE")</f>
        <v>HOMEPAGE</v>
      </c>
      <c r="E549" s="7" t="str">
        <f>IFERROR(__xludf.DUMMYFUNCTION("""COMPUTED_VALUE"""),"CORPORATE")</f>
        <v>CORPORATE</v>
      </c>
      <c r="F549" s="7" t="str">
        <f>IFERROR(__xludf.DUMMYFUNCTION("""COMPUTED_VALUE"""),"Homepage")</f>
        <v>Homepage</v>
      </c>
      <c r="G549" s="7" t="b">
        <f>IFERROR(__xludf.DUMMYFUNCTION("""COMPUTED_VALUE"""),FALSE)</f>
        <v>0</v>
      </c>
      <c r="H549" s="7"/>
      <c r="I549" s="7">
        <f>IFERROR(__xludf.DUMMYFUNCTION("""COMPUTED_VALUE"""),1.0)</f>
        <v>1</v>
      </c>
      <c r="J549" s="7">
        <f>IFERROR(__xludf.DUMMYFUNCTION("""COMPUTED_VALUE"""),0.0)</f>
        <v>0</v>
      </c>
      <c r="K549" s="7">
        <f>IFERROR(__xludf.DUMMYFUNCTION("""COMPUTED_VALUE"""),1.0)</f>
        <v>1</v>
      </c>
      <c r="L549" s="7"/>
    </row>
    <row r="550" ht="15.75" customHeight="1">
      <c r="A550" s="6" t="str">
        <f>IFERROR(__xludf.DUMMYFUNCTION("""COMPUTED_VALUE"""),"https://themanifest.com/au/programmatic/agencies/sydney")</f>
        <v>https://themanifest.com/au/programmatic/agencies/sydney</v>
      </c>
      <c r="B550" s="7" t="str">
        <f>IFERROR(__xludf.DUMMYFUNCTION("""COMPUTED_VALUE"""),"The Best Programmatic Advertising Companies in Sydney - Jul 2026 | The Manifest")</f>
        <v>The Best Programmatic Advertising Companies in Sydney - Jul 2026 | The Manifest</v>
      </c>
      <c r="C550" s="6" t="str">
        <f>IFERROR(__xludf.DUMMYFUNCTION("""COMPUTED_VALUE"""),"themanifest.com")</f>
        <v>themanifest.com</v>
      </c>
      <c r="D550" s="7" t="str">
        <f>IFERROR(__xludf.DUMMYFUNCTION("""COMPUTED_VALUE"""),"LISTICLE")</f>
        <v>LISTICLE</v>
      </c>
      <c r="E550" s="7" t="str">
        <f>IFERROR(__xludf.DUMMYFUNCTION("""COMPUTED_VALUE"""),"REFERENCE")</f>
        <v>REFERENCE</v>
      </c>
      <c r="F550" s="7" t="str">
        <f>IFERROR(__xludf.DUMMYFUNCTION("""COMPUTED_VALUE"""),"Listicle")</f>
        <v>Listicle</v>
      </c>
      <c r="G550" s="7" t="b">
        <f>IFERROR(__xludf.DUMMYFUNCTION("""COMPUTED_VALUE"""),FALSE)</f>
        <v>0</v>
      </c>
      <c r="H550" s="7" t="str">
        <f>IFERROR(__xludf.DUMMYFUNCTION("""COMPUTED_VALUE"""),"Soup Agency, Bench Media, DNM Digital, In Marketing We Trust")</f>
        <v>Soup Agency, Bench Media, DNM Digital, In Marketing We Trust</v>
      </c>
      <c r="I550" s="7">
        <f>IFERROR(__xludf.DUMMYFUNCTION("""COMPUTED_VALUE"""),1.0)</f>
        <v>1</v>
      </c>
      <c r="J550" s="7">
        <f>IFERROR(__xludf.DUMMYFUNCTION("""COMPUTED_VALUE"""),0.0)</f>
        <v>0</v>
      </c>
      <c r="K550" s="7">
        <f>IFERROR(__xludf.DUMMYFUNCTION("""COMPUTED_VALUE"""),0.0)</f>
        <v>0</v>
      </c>
      <c r="L550" s="7"/>
    </row>
    <row r="551" ht="15.75" customHeight="1">
      <c r="A551" s="6" t="str">
        <f>IFERROR(__xludf.DUMMYFUNCTION("""COMPUTED_VALUE"""),"https://themanifest.com/au/social-media/linkedin/agencies")</f>
        <v>https://themanifest.com/au/social-media/linkedin/agencies</v>
      </c>
      <c r="B551" s="7" t="str">
        <f>IFERROR(__xludf.DUMMYFUNCTION("""COMPUTED_VALUE"""),"The Best LinkedIn Advertising Companies in Australia - Jul 2026 | The Manifest")</f>
        <v>The Best LinkedIn Advertising Companies in Australia - Jul 2026 | The Manifest</v>
      </c>
      <c r="C551" s="6" t="str">
        <f>IFERROR(__xludf.DUMMYFUNCTION("""COMPUTED_VALUE"""),"themanifest.com")</f>
        <v>themanifest.com</v>
      </c>
      <c r="D551" s="7" t="str">
        <f>IFERROR(__xludf.DUMMYFUNCTION("""COMPUTED_VALUE"""),"LISTICLE")</f>
        <v>LISTICLE</v>
      </c>
      <c r="E551" s="7" t="str">
        <f>IFERROR(__xludf.DUMMYFUNCTION("""COMPUTED_VALUE"""),"REFERENCE")</f>
        <v>REFERENCE</v>
      </c>
      <c r="F551" s="7" t="str">
        <f>IFERROR(__xludf.DUMMYFUNCTION("""COMPUTED_VALUE"""),"Listicle")</f>
        <v>Listicle</v>
      </c>
      <c r="G551" s="7" t="b">
        <f>IFERROR(__xludf.DUMMYFUNCTION("""COMPUTED_VALUE"""),FALSE)</f>
        <v>0</v>
      </c>
      <c r="H551" s="7" t="str">
        <f>IFERROR(__xludf.DUMMYFUNCTION("""COMPUTED_VALUE"""),"Human Digital, Digital Nomads HQ, Farsiight, SIXGUN, Megaphone, Soup Agency, Paradox Marketing, Emote Digital, Rocket Agency, Intesols, Bench Media, Clearwater Agency, Impressive, Insil, Salt &amp; Fuessel, EvenDigit")</f>
        <v>Human Digital, Digital Nomads HQ, Farsiight, SIXGUN, Megaphone, Soup Agency, Paradox Marketing, Emote Digital, Rocket Agency, Intesols, Bench Media, Clearwater Agency, Impressive, Insil, Salt &amp; Fuessel, EvenDigit</v>
      </c>
      <c r="I551" s="7">
        <f>IFERROR(__xludf.DUMMYFUNCTION("""COMPUTED_VALUE"""),1.0)</f>
        <v>1</v>
      </c>
      <c r="J551" s="7">
        <f>IFERROR(__xludf.DUMMYFUNCTION("""COMPUTED_VALUE"""),0.0)</f>
        <v>0</v>
      </c>
      <c r="K551" s="7">
        <f>IFERROR(__xludf.DUMMYFUNCTION("""COMPUTED_VALUE"""),0.0)</f>
        <v>0</v>
      </c>
      <c r="L551" s="7"/>
    </row>
    <row r="552" ht="15.75" customHeight="1">
      <c r="A552" s="6" t="str">
        <f>IFERROR(__xludf.DUMMYFUNCTION("""COMPUTED_VALUE"""),"https://themanifest.com/au/social-media/tiktok/agencies/sydney")</f>
        <v>https://themanifest.com/au/social-media/tiktok/agencies/sydney</v>
      </c>
      <c r="B552" s="7" t="str">
        <f>IFERROR(__xludf.DUMMYFUNCTION("""COMPUTED_VALUE"""),"The Best TikTok Advertising Companies in Sydney - Jul 2026 | The Manifest")</f>
        <v>The Best TikTok Advertising Companies in Sydney - Jul 2026 | The Manifest</v>
      </c>
      <c r="C552" s="6" t="str">
        <f>IFERROR(__xludf.DUMMYFUNCTION("""COMPUTED_VALUE"""),"themanifest.com")</f>
        <v>themanifest.com</v>
      </c>
      <c r="D552" s="7" t="str">
        <f>IFERROR(__xludf.DUMMYFUNCTION("""COMPUTED_VALUE"""),"OTHER")</f>
        <v>OTHER</v>
      </c>
      <c r="E552" s="7" t="str">
        <f>IFERROR(__xludf.DUMMYFUNCTION("""COMPUTED_VALUE"""),"REFERENCE")</f>
        <v>REFERENCE</v>
      </c>
      <c r="F552" s="7" t="str">
        <f>IFERROR(__xludf.DUMMYFUNCTION("""COMPUTED_VALUE"""),"Other")</f>
        <v>Other</v>
      </c>
      <c r="G552" s="7" t="b">
        <f>IFERROR(__xludf.DUMMYFUNCTION("""COMPUTED_VALUE"""),FALSE)</f>
        <v>0</v>
      </c>
      <c r="H552" s="7" t="str">
        <f>IFERROR(__xludf.DUMMYFUNCTION("""COMPUTED_VALUE"""),"Megaphone, Soup Agency, Bench Media, Eight Clients, Digital Nomads HQ")</f>
        <v>Megaphone, Soup Agency, Bench Media, Eight Clients, Digital Nomads HQ</v>
      </c>
      <c r="I552" s="7">
        <f>IFERROR(__xludf.DUMMYFUNCTION("""COMPUTED_VALUE"""),1.0)</f>
        <v>1</v>
      </c>
      <c r="J552" s="7">
        <f>IFERROR(__xludf.DUMMYFUNCTION("""COMPUTED_VALUE"""),0.0)</f>
        <v>0</v>
      </c>
      <c r="K552" s="7">
        <f>IFERROR(__xludf.DUMMYFUNCTION("""COMPUTED_VALUE"""),2.0)</f>
        <v>2</v>
      </c>
      <c r="L552" s="7"/>
    </row>
    <row r="553" ht="15.75" customHeight="1">
      <c r="A553" s="6" t="str">
        <f>IFERROR(__xludf.DUMMYFUNCTION("""COMPUTED_VALUE"""),"https://thetimes.com.au/news/articles/51019-the-best-ai-automation-agencies-in-australia-in-2026#:~:text=The%20leading%20AI%20automation%20agencies,IT%20team%20to%20run%20it.")</f>
        <v>https://thetimes.com.au/news/articles/51019-the-best-ai-automation-agencies-in-australia-in-2026#:~:text=The%20leading%20AI%20automation%20agencies,IT%20team%20to%20run%20it.</v>
      </c>
      <c r="B553" s="7" t="str">
        <f>IFERROR(__xludf.DUMMYFUNCTION("""COMPUTED_VALUE"""),"The best AI automation agencies in Australia in 2026")</f>
        <v>The best AI automation agencies in Australia in 2026</v>
      </c>
      <c r="C553" s="6" t="str">
        <f>IFERROR(__xludf.DUMMYFUNCTION("""COMPUTED_VALUE"""),"thetimes.com.au")</f>
        <v>thetimes.com.au</v>
      </c>
      <c r="D553" s="7" t="str">
        <f>IFERROR(__xludf.DUMMYFUNCTION("""COMPUTED_VALUE"""),"LISTICLE")</f>
        <v>LISTICLE</v>
      </c>
      <c r="E553" s="7" t="str">
        <f>IFERROR(__xludf.DUMMYFUNCTION("""COMPUTED_VALUE"""),"EDITORIAL")</f>
        <v>EDITORIAL</v>
      </c>
      <c r="F553" s="7" t="str">
        <f>IFERROR(__xludf.DUMMYFUNCTION("""COMPUTED_VALUE"""),"Listicle")</f>
        <v>Listicle</v>
      </c>
      <c r="G553" s="7" t="b">
        <f>IFERROR(__xludf.DUMMYFUNCTION("""COMPUTED_VALUE"""),FALSE)</f>
        <v>0</v>
      </c>
      <c r="H553" s="7" t="str">
        <f>IFERROR(__xludf.DUMMYFUNCTION("""COMPUTED_VALUE"""),"Deloitte")</f>
        <v>Deloitte</v>
      </c>
      <c r="I553" s="7">
        <f>IFERROR(__xludf.DUMMYFUNCTION("""COMPUTED_VALUE"""),1.0)</f>
        <v>1</v>
      </c>
      <c r="J553" s="7">
        <f>IFERROR(__xludf.DUMMYFUNCTION("""COMPUTED_VALUE"""),0.0)</f>
        <v>0</v>
      </c>
      <c r="K553" s="7">
        <f>IFERROR(__xludf.DUMMYFUNCTION("""COMPUTED_VALUE"""),1.0)</f>
        <v>1</v>
      </c>
      <c r="L553" s="7"/>
    </row>
    <row r="554" ht="15.75" customHeight="1">
      <c r="A554" s="6" t="str">
        <f>IFERROR(__xludf.DUMMYFUNCTION("""COMPUTED_VALUE"""),"https://titanblue.com.au/social-media-marketing-companies/")</f>
        <v>https://titanblue.com.au/social-media-marketing-companies/</v>
      </c>
      <c r="B554" s="7" t="str">
        <f>IFERROR(__xludf.DUMMYFUNCTION("""COMPUTED_VALUE"""),"Top 8 companies for social media marketing in Australia")</f>
        <v>Top 8 companies for social media marketing in Australia</v>
      </c>
      <c r="C554" s="6" t="str">
        <f>IFERROR(__xludf.DUMMYFUNCTION("""COMPUTED_VALUE"""),"titanblue.com.au")</f>
        <v>titanblue.com.au</v>
      </c>
      <c r="D554" s="7" t="str">
        <f>IFERROR(__xludf.DUMMYFUNCTION("""COMPUTED_VALUE"""),"LISTICLE")</f>
        <v>LISTICLE</v>
      </c>
      <c r="E554" s="7" t="str">
        <f>IFERROR(__xludf.DUMMYFUNCTION("""COMPUTED_VALUE"""),"CORPORATE")</f>
        <v>CORPORATE</v>
      </c>
      <c r="F554" s="7" t="str">
        <f>IFERROR(__xludf.DUMMYFUNCTION("""COMPUTED_VALUE"""),"Listicle")</f>
        <v>Listicle</v>
      </c>
      <c r="G554" s="7" t="b">
        <f>IFERROR(__xludf.DUMMYFUNCTION("""COMPUTED_VALUE"""),FALSE)</f>
        <v>0</v>
      </c>
      <c r="H554" s="7" t="str">
        <f>IFERROR(__xludf.DUMMYFUNCTION("""COMPUTED_VALUE"""),"Impressive, Megaphone, King Kong")</f>
        <v>Impressive, Megaphone, King Kong</v>
      </c>
      <c r="I554" s="7">
        <f>IFERROR(__xludf.DUMMYFUNCTION("""COMPUTED_VALUE"""),1.0)</f>
        <v>1</v>
      </c>
      <c r="J554" s="7">
        <f>IFERROR(__xludf.DUMMYFUNCTION("""COMPUTED_VALUE"""),0.0)</f>
        <v>0</v>
      </c>
      <c r="K554" s="7">
        <f>IFERROR(__xludf.DUMMYFUNCTION("""COMPUTED_VALUE"""),0.0)</f>
        <v>0</v>
      </c>
      <c r="L554" s="7"/>
    </row>
    <row r="555" ht="15.75" customHeight="1">
      <c r="A555" s="6" t="str">
        <f>IFERROR(__xludf.DUMMYFUNCTION("""COMPUTED_VALUE"""),"https://www.tripledart.com/ai-seo/best-generative-engine-optimization-agencies")</f>
        <v>https://www.tripledart.com/ai-seo/best-generative-engine-optimization-agencies</v>
      </c>
      <c r="B555" s="7" t="str">
        <f>IFERROR(__xludf.DUMMYFUNCTION("""COMPUTED_VALUE"""),"17 Best GEO Agencies in 2026")</f>
        <v>17 Best GEO Agencies in 2026</v>
      </c>
      <c r="C555" s="6" t="str">
        <f>IFERROR(__xludf.DUMMYFUNCTION("""COMPUTED_VALUE"""),"tripledart.com")</f>
        <v>tripledart.com</v>
      </c>
      <c r="D555" s="7" t="str">
        <f>IFERROR(__xludf.DUMMYFUNCTION("""COMPUTED_VALUE"""),"LISTICLE")</f>
        <v>LISTICLE</v>
      </c>
      <c r="E555" s="7" t="str">
        <f>IFERROR(__xludf.DUMMYFUNCTION("""COMPUTED_VALUE"""),"OTHER")</f>
        <v>OTHER</v>
      </c>
      <c r="F555" s="7" t="str">
        <f>IFERROR(__xludf.DUMMYFUNCTION("""COMPUTED_VALUE"""),"Listicle")</f>
        <v>Listicle</v>
      </c>
      <c r="G555" s="7" t="b">
        <f>IFERROR(__xludf.DUMMYFUNCTION("""COMPUTED_VALUE"""),FALSE)</f>
        <v>0</v>
      </c>
      <c r="H555" s="7" t="str">
        <f>IFERROR(__xludf.DUMMYFUNCTION("""COMPUTED_VALUE"""),"First Page")</f>
        <v>First Page</v>
      </c>
      <c r="I555" s="7">
        <f>IFERROR(__xludf.DUMMYFUNCTION("""COMPUTED_VALUE"""),1.0)</f>
        <v>1</v>
      </c>
      <c r="J555" s="7">
        <f>IFERROR(__xludf.DUMMYFUNCTION("""COMPUTED_VALUE"""),0.0)</f>
        <v>0</v>
      </c>
      <c r="K555" s="7">
        <f>IFERROR(__xludf.DUMMYFUNCTION("""COMPUTED_VALUE"""),0.0)</f>
        <v>0</v>
      </c>
      <c r="L555" s="7"/>
    </row>
    <row r="556" ht="15.75" customHeight="1">
      <c r="A556" s="6" t="str">
        <f>IFERROR(__xludf.DUMMYFUNCTION("""COMPUTED_VALUE"""),"https://uprisedigital.com.au/blog/google-ads-agencies-in-brisbane/")</f>
        <v>https://uprisedigital.com.au/blog/google-ads-agencies-in-brisbane/</v>
      </c>
      <c r="B556" s="7" t="str">
        <f>IFERROR(__xludf.DUMMYFUNCTION("""COMPUTED_VALUE"""),"10 Best Google Ads Agencies in Brisbane (2026) - Uprise Digital")</f>
        <v>10 Best Google Ads Agencies in Brisbane (2026) - Uprise Digital</v>
      </c>
      <c r="C556" s="6" t="str">
        <f>IFERROR(__xludf.DUMMYFUNCTION("""COMPUTED_VALUE"""),"uprisedigital.com.au")</f>
        <v>uprisedigital.com.au</v>
      </c>
      <c r="D556" s="7" t="str">
        <f>IFERROR(__xludf.DUMMYFUNCTION("""COMPUTED_VALUE"""),"LISTICLE")</f>
        <v>LISTICLE</v>
      </c>
      <c r="E556" s="7" t="str">
        <f>IFERROR(__xludf.DUMMYFUNCTION("""COMPUTED_VALUE"""),"COMPETITOR")</f>
        <v>COMPETITOR</v>
      </c>
      <c r="F556" s="7" t="str">
        <f>IFERROR(__xludf.DUMMYFUNCTION("""COMPUTED_VALUE"""),"Listicle")</f>
        <v>Listicle</v>
      </c>
      <c r="G556" s="7" t="b">
        <f>IFERROR(__xludf.DUMMYFUNCTION("""COMPUTED_VALUE"""),FALSE)</f>
        <v>0</v>
      </c>
      <c r="H556" s="7" t="str">
        <f>IFERROR(__xludf.DUMMYFUNCTION("""COMPUTED_VALUE"""),"Uprise Digital, Farsiight, Alpha Digital, Gorilla 360, Online Marketing Gurus, Omnicom Media Group")</f>
        <v>Uprise Digital, Farsiight, Alpha Digital, Gorilla 360, Online Marketing Gurus, Omnicom Media Group</v>
      </c>
      <c r="I556" s="7">
        <f>IFERROR(__xludf.DUMMYFUNCTION("""COMPUTED_VALUE"""),1.0)</f>
        <v>1</v>
      </c>
      <c r="J556" s="7">
        <f>IFERROR(__xludf.DUMMYFUNCTION("""COMPUTED_VALUE"""),0.0)</f>
        <v>0</v>
      </c>
      <c r="K556" s="7">
        <f>IFERROR(__xludf.DUMMYFUNCTION("""COMPUTED_VALUE"""),0.0)</f>
        <v>0</v>
      </c>
      <c r="L556" s="7"/>
    </row>
    <row r="557" ht="15.75" customHeight="1">
      <c r="A557" s="6" t="str">
        <f>IFERROR(__xludf.DUMMYFUNCTION("""COMPUTED_VALUE"""),"https://vegavid.com/blog/top-ai-agent-development-companies-in-australia")</f>
        <v>https://vegavid.com/blog/top-ai-agent-development-companies-in-australia</v>
      </c>
      <c r="B557" s="7" t="str">
        <f>IFERROR(__xludf.DUMMYFUNCTION("""COMPUTED_VALUE"""),"Top 10 AI Agent Development Companies in Australia To Hire in 2026 | Vegavid")</f>
        <v>Top 10 AI Agent Development Companies in Australia To Hire in 2026 | Vegavid</v>
      </c>
      <c r="C557" s="6" t="str">
        <f>IFERROR(__xludf.DUMMYFUNCTION("""COMPUTED_VALUE"""),"vegavid.com")</f>
        <v>vegavid.com</v>
      </c>
      <c r="D557" s="7" t="str">
        <f>IFERROR(__xludf.DUMMYFUNCTION("""COMPUTED_VALUE"""),"LISTICLE")</f>
        <v>LISTICLE</v>
      </c>
      <c r="E557" s="7" t="str">
        <f>IFERROR(__xludf.DUMMYFUNCTION("""COMPUTED_VALUE"""),"CORPORATE")</f>
        <v>CORPORATE</v>
      </c>
      <c r="F557" s="7" t="str">
        <f>IFERROR(__xludf.DUMMYFUNCTION("""COMPUTED_VALUE"""),"Listicle")</f>
        <v>Listicle</v>
      </c>
      <c r="G557" s="7" t="b">
        <f>IFERROR(__xludf.DUMMYFUNCTION("""COMPUTED_VALUE"""),FALSE)</f>
        <v>0</v>
      </c>
      <c r="H557" s="7"/>
      <c r="I557" s="7">
        <f>IFERROR(__xludf.DUMMYFUNCTION("""COMPUTED_VALUE"""),1.0)</f>
        <v>1</v>
      </c>
      <c r="J557" s="7">
        <f>IFERROR(__xludf.DUMMYFUNCTION("""COMPUTED_VALUE"""),0.0)</f>
        <v>0</v>
      </c>
      <c r="K557" s="7">
        <f>IFERROR(__xludf.DUMMYFUNCTION("""COMPUTED_VALUE"""),1.0)</f>
        <v>1</v>
      </c>
      <c r="L557" s="7"/>
    </row>
    <row r="558" ht="15.75" customHeight="1">
      <c r="A558" s="6" t="str">
        <f>IFERROR(__xludf.DUMMYFUNCTION("""COMPUTED_VALUE"""),"https://virtualadagency.com.au/companies-for-social-media-marketing/#:~:text=Virtual%20Ad%20Agency%20(VAA)%20distinguishes%20itself%20as,top%2Dof%2Dfunnel%20creative%20campaigns%20with%20bottom%2Dfunnel%20business%20outcomes.")</f>
        <v>https://virtualadagency.com.au/companies-for-social-media-marketing/#:~:text=Virtual%20Ad%20Agency%20(VAA)%20distinguishes%20itself%20as,top%2Dof%2Dfunnel%20creative%20campaigns%20with%20bottom%2Dfunnel%20business%20outcomes.</v>
      </c>
      <c r="B558" s="7" t="str">
        <f>IFERROR(__xludf.DUMMYFUNCTION("""COMPUTED_VALUE"""),"Top 12 Companies for Social Media Marketing in Australia (2026 Guide)")</f>
        <v>Top 12 Companies for Social Media Marketing in Australia (2026 Guide)</v>
      </c>
      <c r="C558" s="6" t="str">
        <f>IFERROR(__xludf.DUMMYFUNCTION("""COMPUTED_VALUE"""),"virtualadagency.com.au")</f>
        <v>virtualadagency.com.au</v>
      </c>
      <c r="D558" s="7" t="str">
        <f>IFERROR(__xludf.DUMMYFUNCTION("""COMPUTED_VALUE"""),"OTHER")</f>
        <v>OTHER</v>
      </c>
      <c r="E558" s="7" t="str">
        <f>IFERROR(__xludf.DUMMYFUNCTION("""COMPUTED_VALUE"""),"CORPORATE")</f>
        <v>CORPORATE</v>
      </c>
      <c r="F558" s="7" t="str">
        <f>IFERROR(__xludf.DUMMYFUNCTION("""COMPUTED_VALUE"""),"Other")</f>
        <v>Other</v>
      </c>
      <c r="G558" s="7" t="b">
        <f>IFERROR(__xludf.DUMMYFUNCTION("""COMPUTED_VALUE"""),FALSE)</f>
        <v>0</v>
      </c>
      <c r="H558" s="7"/>
      <c r="I558" s="7">
        <f>IFERROR(__xludf.DUMMYFUNCTION("""COMPUTED_VALUE"""),1.0)</f>
        <v>1</v>
      </c>
      <c r="J558" s="7">
        <f>IFERROR(__xludf.DUMMYFUNCTION("""COMPUTED_VALUE"""),0.0)</f>
        <v>0</v>
      </c>
      <c r="K558" s="7">
        <f>IFERROR(__xludf.DUMMYFUNCTION("""COMPUTED_VALUE"""),1.0)</f>
        <v>1</v>
      </c>
      <c r="L558" s="7"/>
    </row>
    <row r="559" ht="15.75" customHeight="1">
      <c r="A559" s="6" t="str">
        <f>IFERROR(__xludf.DUMMYFUNCTION("""COMPUTED_VALUE"""),"https://www.webtonic.io/blog/best-performance-marketing-agencies-2026")</f>
        <v>https://www.webtonic.io/blog/best-performance-marketing-agencies-2026</v>
      </c>
      <c r="B559" s="7" t="str">
        <f>IFERROR(__xludf.DUMMYFUNCTION("""COMPUTED_VALUE"""),"28 Best Performance Marketing Agencies for 2026")</f>
        <v>28 Best Performance Marketing Agencies for 2026</v>
      </c>
      <c r="C559" s="6" t="str">
        <f>IFERROR(__xludf.DUMMYFUNCTION("""COMPUTED_VALUE"""),"webtonic.io")</f>
        <v>webtonic.io</v>
      </c>
      <c r="D559" s="7" t="str">
        <f>IFERROR(__xludf.DUMMYFUNCTION("""COMPUTED_VALUE"""),"LISTICLE")</f>
        <v>LISTICLE</v>
      </c>
      <c r="E559" s="7" t="str">
        <f>IFERROR(__xludf.DUMMYFUNCTION("""COMPUTED_VALUE"""),"CORPORATE")</f>
        <v>CORPORATE</v>
      </c>
      <c r="F559" s="7" t="str">
        <f>IFERROR(__xludf.DUMMYFUNCTION("""COMPUTED_VALUE"""),"Listicle")</f>
        <v>Listicle</v>
      </c>
      <c r="G559" s="7" t="b">
        <f>IFERROR(__xludf.DUMMYFUNCTION("""COMPUTED_VALUE"""),FALSE)</f>
        <v>0</v>
      </c>
      <c r="H559" s="7" t="str">
        <f>IFERROR(__xludf.DUMMYFUNCTION("""COMPUTED_VALUE"""),"Tinuiti, Brainlabs, Croud, Power Digital")</f>
        <v>Tinuiti, Brainlabs, Croud, Power Digital</v>
      </c>
      <c r="I559" s="7">
        <f>IFERROR(__xludf.DUMMYFUNCTION("""COMPUTED_VALUE"""),1.0)</f>
        <v>1</v>
      </c>
      <c r="J559" s="7">
        <f>IFERROR(__xludf.DUMMYFUNCTION("""COMPUTED_VALUE"""),0.0)</f>
        <v>0</v>
      </c>
      <c r="K559" s="7">
        <f>IFERROR(__xludf.DUMMYFUNCTION("""COMPUTED_VALUE"""),0.0)</f>
        <v>0</v>
      </c>
      <c r="L559" s="7"/>
    </row>
    <row r="560" ht="15.75" customHeight="1">
      <c r="A560" s="6" t="str">
        <f>IFERROR(__xludf.DUMMYFUNCTION("""COMPUTED_VALUE"""),"https://www.webtonic.io/blog/top-paid-media-agencies")</f>
        <v>https://www.webtonic.io/blog/top-paid-media-agencies</v>
      </c>
      <c r="B560" s="7" t="str">
        <f>IFERROR(__xludf.DUMMYFUNCTION("""COMPUTED_VALUE"""),"The 51 Top Paid Media Agencies as of 2026")</f>
        <v>The 51 Top Paid Media Agencies as of 2026</v>
      </c>
      <c r="C560" s="6" t="str">
        <f>IFERROR(__xludf.DUMMYFUNCTION("""COMPUTED_VALUE"""),"webtonic.io")</f>
        <v>webtonic.io</v>
      </c>
      <c r="D560" s="7" t="str">
        <f>IFERROR(__xludf.DUMMYFUNCTION("""COMPUTED_VALUE"""),"LISTICLE")</f>
        <v>LISTICLE</v>
      </c>
      <c r="E560" s="7" t="str">
        <f>IFERROR(__xludf.DUMMYFUNCTION("""COMPUTED_VALUE"""),"CORPORATE")</f>
        <v>CORPORATE</v>
      </c>
      <c r="F560" s="7" t="str">
        <f>IFERROR(__xludf.DUMMYFUNCTION("""COMPUTED_VALUE"""),"Listicle")</f>
        <v>Listicle</v>
      </c>
      <c r="G560" s="7" t="b">
        <f>IFERROR(__xludf.DUMMYFUNCTION("""COMPUTED_VALUE"""),TRUE)</f>
        <v>1</v>
      </c>
      <c r="H560" s="7" t="str">
        <f>IFERROR(__xludf.DUMMYFUNCTION("""COMPUTED_VALUE"""),"Tinuiti, Dentsu, Brainlabs, GroupM, Power Digital, PMG, Incubeta, Reload Media")</f>
        <v>Tinuiti, Dentsu, Brainlabs, GroupM, Power Digital, PMG, Incubeta, Reload Media</v>
      </c>
      <c r="I560" s="7">
        <f>IFERROR(__xludf.DUMMYFUNCTION("""COMPUTED_VALUE"""),1.0)</f>
        <v>1</v>
      </c>
      <c r="J560" s="7">
        <f>IFERROR(__xludf.DUMMYFUNCTION("""COMPUTED_VALUE"""),0.0)</f>
        <v>0</v>
      </c>
      <c r="K560" s="7">
        <f>IFERROR(__xludf.DUMMYFUNCTION("""COMPUTED_VALUE"""),0.0)</f>
        <v>0</v>
      </c>
      <c r="L560" s="7"/>
    </row>
    <row r="561" ht="15.75" customHeight="1">
      <c r="A561" s="6" t="str">
        <f>IFERROR(__xludf.DUMMYFUNCTION("""COMPUTED_VALUE"""),"https://wmegroup.com.au/blog/best-seo-agencies-australia/")</f>
        <v>https://wmegroup.com.au/blog/best-seo-agencies-australia/</v>
      </c>
      <c r="B561" s="7" t="str">
        <f>IFERROR(__xludf.DUMMYFUNCTION("""COMPUTED_VALUE"""),"The Best SEO Agencies in Australia (2026) - WME")</f>
        <v>The Best SEO Agencies in Australia (2026) - WME</v>
      </c>
      <c r="C561" s="6" t="str">
        <f>IFERROR(__xludf.DUMMYFUNCTION("""COMPUTED_VALUE"""),"wmegroup.com.au")</f>
        <v>wmegroup.com.au</v>
      </c>
      <c r="D561" s="7" t="str">
        <f>IFERROR(__xludf.DUMMYFUNCTION("""COMPUTED_VALUE"""),"LISTICLE")</f>
        <v>LISTICLE</v>
      </c>
      <c r="E561" s="7" t="str">
        <f>IFERROR(__xludf.DUMMYFUNCTION("""COMPUTED_VALUE"""),"CORPORATE")</f>
        <v>CORPORATE</v>
      </c>
      <c r="F561" s="7" t="str">
        <f>IFERROR(__xludf.DUMMYFUNCTION("""COMPUTED_VALUE"""),"Listicle")</f>
        <v>Listicle</v>
      </c>
      <c r="G561" s="7" t="b">
        <f>IFERROR(__xludf.DUMMYFUNCTION("""COMPUTED_VALUE"""),FALSE)</f>
        <v>0</v>
      </c>
      <c r="H561" s="7" t="str">
        <f>IFERROR(__xludf.DUMMYFUNCTION("""COMPUTED_VALUE"""),"StudioHawk, Deloitte, Online Marketing Gurus, Omnicom Media Group, Prosperity Media, Earned Media, Safari Digital, Digital Nomads HQ, SIXGUN, Supple Digital, King Kong, Huge, First Page, First Page Australia")</f>
        <v>StudioHawk, Deloitte, Online Marketing Gurus, Omnicom Media Group, Prosperity Media, Earned Media, Safari Digital, Digital Nomads HQ, SIXGUN, Supple Digital, King Kong, Huge, First Page, First Page Australia</v>
      </c>
      <c r="I561" s="7">
        <f>IFERROR(__xludf.DUMMYFUNCTION("""COMPUTED_VALUE"""),1.0)</f>
        <v>1</v>
      </c>
      <c r="J561" s="7">
        <f>IFERROR(__xludf.DUMMYFUNCTION("""COMPUTED_VALUE"""),0.0)</f>
        <v>0</v>
      </c>
      <c r="K561" s="7">
        <f>IFERROR(__xludf.DUMMYFUNCTION("""COMPUTED_VALUE"""),1.0)</f>
        <v>1</v>
      </c>
      <c r="L561" s="7"/>
    </row>
    <row r="562" ht="15.75" customHeight="1">
      <c r="A562" s="6" t="str">
        <f>IFERROR(__xludf.DUMMYFUNCTION("""COMPUTED_VALUE"""),"https://www.wmtips.com/technologies/marketing-attribution/")</f>
        <v>https://www.wmtips.com/technologies/marketing-attribution/</v>
      </c>
      <c r="B562" s="7" t="str">
        <f>IFERROR(__xludf.DUMMYFUNCTION("""COMPUTED_VALUE"""),"Top 25+ Marketing Attribution Platforms by Market Share (2026)")</f>
        <v>Top 25+ Marketing Attribution Platforms by Market Share (2026)</v>
      </c>
      <c r="C562" s="6" t="str">
        <f>IFERROR(__xludf.DUMMYFUNCTION("""COMPUTED_VALUE"""),"wmtips.com")</f>
        <v>wmtips.com</v>
      </c>
      <c r="D562" s="7" t="str">
        <f>IFERROR(__xludf.DUMMYFUNCTION("""COMPUTED_VALUE"""),"CATEGORY_PAGE")</f>
        <v>CATEGORY_PAGE</v>
      </c>
      <c r="E562" s="7" t="str">
        <f>IFERROR(__xludf.DUMMYFUNCTION("""COMPUTED_VALUE"""),"REFERENCE")</f>
        <v>REFERENCE</v>
      </c>
      <c r="F562" s="7" t="str">
        <f>IFERROR(__xludf.DUMMYFUNCTION("""COMPUTED_VALUE"""),"Category Page")</f>
        <v>Category Page</v>
      </c>
      <c r="G562" s="7" t="b">
        <f>IFERROR(__xludf.DUMMYFUNCTION("""COMPUTED_VALUE"""),FALSE)</f>
        <v>0</v>
      </c>
      <c r="H562" s="7"/>
      <c r="I562" s="7">
        <f>IFERROR(__xludf.DUMMYFUNCTION("""COMPUTED_VALUE"""),1.0)</f>
        <v>1</v>
      </c>
      <c r="J562" s="7">
        <f>IFERROR(__xludf.DUMMYFUNCTION("""COMPUTED_VALUE"""),0.0)</f>
        <v>0</v>
      </c>
      <c r="K562" s="7">
        <f>IFERROR(__xludf.DUMMYFUNCTION("""COMPUTED_VALUE"""),0.0)</f>
        <v>0</v>
      </c>
      <c r="L562" s="7"/>
    </row>
    <row r="563" ht="15.75" customHeight="1">
      <c r="A563" s="6" t="str">
        <f>IFERROR(__xludf.DUMMYFUNCTION("""COMPUTED_VALUE"""),"https://www.wpp.com/en/news/2025/03/wpp-claims-top-honours-on-the-warc-creative-100")</f>
        <v>https://www.wpp.com/en/news/2025/03/wpp-claims-top-honours-on-the-warc-creative-100</v>
      </c>
      <c r="B563" s="7" t="str">
        <f>IFERROR(__xludf.DUMMYFUNCTION("""COMPUTED_VALUE"""),"WPP claims top honours on the WARC Creative 100 for third consecutive year | WPP")</f>
        <v>WPP claims top honours on the WARC Creative 100 for third consecutive year | WPP</v>
      </c>
      <c r="C563" s="6" t="str">
        <f>IFERROR(__xludf.DUMMYFUNCTION("""COMPUTED_VALUE"""),"wpp.com")</f>
        <v>wpp.com</v>
      </c>
      <c r="D563" s="7" t="str">
        <f>IFERROR(__xludf.DUMMYFUNCTION("""COMPUTED_VALUE"""),"ARTICLE")</f>
        <v>ARTICLE</v>
      </c>
      <c r="E563" s="7" t="str">
        <f>IFERROR(__xludf.DUMMYFUNCTION("""COMPUTED_VALUE"""),"COMPETITOR")</f>
        <v>COMPETITOR</v>
      </c>
      <c r="F563" s="7" t="str">
        <f>IFERROR(__xludf.DUMMYFUNCTION("""COMPUTED_VALUE"""),"Article")</f>
        <v>Article</v>
      </c>
      <c r="G563" s="7" t="b">
        <f>IFERROR(__xludf.DUMMYFUNCTION("""COMPUTED_VALUE"""),FALSE)</f>
        <v>0</v>
      </c>
      <c r="H563" s="7" t="str">
        <f>IFERROR(__xludf.DUMMYFUNCTION("""COMPUTED_VALUE"""),"WPP, VML")</f>
        <v>WPP, VML</v>
      </c>
      <c r="I563" s="7">
        <f>IFERROR(__xludf.DUMMYFUNCTION("""COMPUTED_VALUE"""),1.0)</f>
        <v>1</v>
      </c>
      <c r="J563" s="7">
        <f>IFERROR(__xludf.DUMMYFUNCTION("""COMPUTED_VALUE"""),0.0)</f>
        <v>0</v>
      </c>
      <c r="K563" s="7">
        <f>IFERROR(__xludf.DUMMYFUNCTION("""COMPUTED_VALUE"""),0.0)</f>
        <v>0</v>
      </c>
      <c r="L563" s="7"/>
    </row>
    <row r="564" ht="15.75" customHeight="1">
      <c r="A564" s="6" t="str">
        <f>IFERROR(__xludf.DUMMYFUNCTION("""COMPUTED_VALUE"""),"https://www.wpp.com/en/news/2026/03/wpp-claims-top-spot-on-warc-creative-100-for-fourth-consecutive-year")</f>
        <v>https://www.wpp.com/en/news/2026/03/wpp-claims-top-spot-on-warc-creative-100-for-fourth-consecutive-year</v>
      </c>
      <c r="B564" s="7" t="str">
        <f>IFERROR(__xludf.DUMMYFUNCTION("""COMPUTED_VALUE"""),"WPP claims top spot on WARC Creative 100 for fourth consecutive year | WPP")</f>
        <v>WPP claims top spot on WARC Creative 100 for fourth consecutive year | WPP</v>
      </c>
      <c r="C564" s="6" t="str">
        <f>IFERROR(__xludf.DUMMYFUNCTION("""COMPUTED_VALUE"""),"wpp.com")</f>
        <v>wpp.com</v>
      </c>
      <c r="D564" s="7" t="str">
        <f>IFERROR(__xludf.DUMMYFUNCTION("""COMPUTED_VALUE"""),"PROFILE")</f>
        <v>PROFILE</v>
      </c>
      <c r="E564" s="7" t="str">
        <f>IFERROR(__xludf.DUMMYFUNCTION("""COMPUTED_VALUE"""),"COMPETITOR")</f>
        <v>COMPETITOR</v>
      </c>
      <c r="F564" s="7" t="str">
        <f>IFERROR(__xludf.DUMMYFUNCTION("""COMPUTED_VALUE"""),"Profile")</f>
        <v>Profile</v>
      </c>
      <c r="G564" s="7" t="b">
        <f>IFERROR(__xludf.DUMMYFUNCTION("""COMPUTED_VALUE"""),FALSE)</f>
        <v>0</v>
      </c>
      <c r="H564" s="7" t="str">
        <f>IFERROR(__xludf.DUMMYFUNCTION("""COMPUTED_VALUE"""),"WPP, VML")</f>
        <v>WPP, VML</v>
      </c>
      <c r="I564" s="7">
        <f>IFERROR(__xludf.DUMMYFUNCTION("""COMPUTED_VALUE"""),1.0)</f>
        <v>1</v>
      </c>
      <c r="J564" s="7">
        <f>IFERROR(__xludf.DUMMYFUNCTION("""COMPUTED_VALUE"""),0.0)</f>
        <v>0</v>
      </c>
      <c r="K564" s="7">
        <f>IFERROR(__xludf.DUMMYFUNCTION("""COMPUTED_VALUE"""),0.0)</f>
        <v>0</v>
      </c>
      <c r="L564" s="7"/>
    </row>
    <row r="565" ht="15.75" customHeight="1">
      <c r="A565" s="6" t="str">
        <f>IFERROR(__xludf.DUMMYFUNCTION("""COMPUTED_VALUE"""),"https://www.wpp.com/en/news/wpp-agencies-triumph-at-cannes-lions-2026-with-ogilvy-and-vml-claiming-the-top-two-creative-network-honours")</f>
        <v>https://www.wpp.com/en/news/wpp-agencies-triumph-at-cannes-lions-2026-with-ogilvy-and-vml-claiming-the-top-two-creative-network-honours</v>
      </c>
      <c r="B565" s="7" t="str">
        <f>IFERROR(__xludf.DUMMYFUNCTION("""COMPUTED_VALUE"""),"WPP agencies triumph at Cannes Lions 2026, with Ogilvy and VML claiming the top two creative network honours | WPP")</f>
        <v>WPP agencies triumph at Cannes Lions 2026, with Ogilvy and VML claiming the top two creative network honours | WPP</v>
      </c>
      <c r="C565" s="6" t="str">
        <f>IFERROR(__xludf.DUMMYFUNCTION("""COMPUTED_VALUE"""),"wpp.com")</f>
        <v>wpp.com</v>
      </c>
      <c r="D565" s="7" t="str">
        <f>IFERROR(__xludf.DUMMYFUNCTION("""COMPUTED_VALUE"""),"ARTICLE")</f>
        <v>ARTICLE</v>
      </c>
      <c r="E565" s="7" t="str">
        <f>IFERROR(__xludf.DUMMYFUNCTION("""COMPUTED_VALUE"""),"COMPETITOR")</f>
        <v>COMPETITOR</v>
      </c>
      <c r="F565" s="7" t="str">
        <f>IFERROR(__xludf.DUMMYFUNCTION("""COMPUTED_VALUE"""),"Article")</f>
        <v>Article</v>
      </c>
      <c r="G565" s="7" t="b">
        <f>IFERROR(__xludf.DUMMYFUNCTION("""COMPUTED_VALUE"""),FALSE)</f>
        <v>0</v>
      </c>
      <c r="H565" s="7" t="str">
        <f>IFERROR(__xludf.DUMMYFUNCTION("""COMPUTED_VALUE"""),"WPP, VML, Impressive, EssenceMediacom")</f>
        <v>WPP, VML, Impressive, EssenceMediacom</v>
      </c>
      <c r="I565" s="7">
        <f>IFERROR(__xludf.DUMMYFUNCTION("""COMPUTED_VALUE"""),1.0)</f>
        <v>1</v>
      </c>
      <c r="J565" s="7">
        <f>IFERROR(__xludf.DUMMYFUNCTION("""COMPUTED_VALUE"""),0.0)</f>
        <v>0</v>
      </c>
      <c r="K565" s="7">
        <f>IFERROR(__xludf.DUMMYFUNCTION("""COMPUTED_VALUE"""),0.0)</f>
        <v>0</v>
      </c>
      <c r="L565" s="7"/>
    </row>
    <row r="566" ht="15.75" customHeight="1">
      <c r="A566" s="6" t="str">
        <f>IFERROR(__xludf.DUMMYFUNCTION("""COMPUTED_VALUE"""),"https://www.youtube.com/watch?v=IxHlhnkaTC4&amp;t=408")</f>
        <v>https://www.youtube.com/watch?v=IxHlhnkaTC4&amp;t=408</v>
      </c>
      <c r="B566" s="7" t="str">
        <f>IFERROR(__xludf.DUMMYFUNCTION("""COMPUTED_VALUE"""),"11 Best AI Agents for Marketing for 2026 (Ranked by Best Use Cases)")</f>
        <v>11 Best AI Agents for Marketing for 2026 (Ranked by Best Use Cases)</v>
      </c>
      <c r="C566" s="6" t="str">
        <f>IFERROR(__xludf.DUMMYFUNCTION("""COMPUTED_VALUE"""),"youtube.com")</f>
        <v>youtube.com</v>
      </c>
      <c r="D566" s="7" t="str">
        <f>IFERROR(__xludf.DUMMYFUNCTION("""COMPUTED_VALUE"""),"LISTICLE")</f>
        <v>LISTICLE</v>
      </c>
      <c r="E566" s="7" t="str">
        <f>IFERROR(__xludf.DUMMYFUNCTION("""COMPUTED_VALUE"""),"UGC")</f>
        <v>UGC</v>
      </c>
      <c r="F566" s="7" t="str">
        <f>IFERROR(__xludf.DUMMYFUNCTION("""COMPUTED_VALUE"""),"Listicle")</f>
        <v>Listicle</v>
      </c>
      <c r="G566" s="7" t="b">
        <f>IFERROR(__xludf.DUMMYFUNCTION("""COMPUTED_VALUE"""),FALSE)</f>
        <v>0</v>
      </c>
      <c r="H566" s="7" t="str">
        <f>IFERROR(__xludf.DUMMYFUNCTION("""COMPUTED_VALUE"""),"Momentum, Huge")</f>
        <v>Momentum, Huge</v>
      </c>
      <c r="I566" s="7">
        <f>IFERROR(__xludf.DUMMYFUNCTION("""COMPUTED_VALUE"""),1.0)</f>
        <v>1</v>
      </c>
      <c r="J566" s="7">
        <f>IFERROR(__xludf.DUMMYFUNCTION("""COMPUTED_VALUE"""),0.0)</f>
        <v>0</v>
      </c>
      <c r="K566" s="7">
        <f>IFERROR(__xludf.DUMMYFUNCTION("""COMPUTED_VALUE"""),1.0)</f>
        <v>1</v>
      </c>
      <c r="L566" s="7"/>
    </row>
    <row r="567" ht="15.75" customHeight="1">
      <c r="A567" s="6" t="str">
        <f>IFERROR(__xludf.DUMMYFUNCTION("""COMPUTED_VALUE"""),"https://www.youtube.com/watch?v=OJN95taKMwo")</f>
        <v>https://www.youtube.com/watch?v=OJN95taKMwo</v>
      </c>
      <c r="B567" s="7" t="str">
        <f>IFERROR(__xludf.DUMMYFUNCTION("""COMPUTED_VALUE"""),"Top 7 AI-Powered Digital Marketing Agencies in Australia | Start an AI Marketing Agency")</f>
        <v>Top 7 AI-Powered Digital Marketing Agencies in Australia | Start an AI Marketing Agency</v>
      </c>
      <c r="C567" s="6" t="str">
        <f>IFERROR(__xludf.DUMMYFUNCTION("""COMPUTED_VALUE"""),"youtube.com")</f>
        <v>youtube.com</v>
      </c>
      <c r="D567" s="7" t="str">
        <f>IFERROR(__xludf.DUMMYFUNCTION("""COMPUTED_VALUE"""),"LISTICLE")</f>
        <v>LISTICLE</v>
      </c>
      <c r="E567" s="7" t="str">
        <f>IFERROR(__xludf.DUMMYFUNCTION("""COMPUTED_VALUE"""),"UGC")</f>
        <v>UGC</v>
      </c>
      <c r="F567" s="7" t="str">
        <f>IFERROR(__xludf.DUMMYFUNCTION("""COMPUTED_VALUE"""),"Listicle")</f>
        <v>Listicle</v>
      </c>
      <c r="G567" s="7" t="b">
        <f>IFERROR(__xludf.DUMMYFUNCTION("""COMPUTED_VALUE"""),FALSE)</f>
        <v>0</v>
      </c>
      <c r="H567" s="7" t="str">
        <f>IFERROR(__xludf.DUMMYFUNCTION("""COMPUTED_VALUE"""),"Alley Group, Bench Media")</f>
        <v>Alley Group, Bench Media</v>
      </c>
      <c r="I567" s="7">
        <f>IFERROR(__xludf.DUMMYFUNCTION("""COMPUTED_VALUE"""),1.0)</f>
        <v>1</v>
      </c>
      <c r="J567" s="7">
        <f>IFERROR(__xludf.DUMMYFUNCTION("""COMPUTED_VALUE"""),0.0)</f>
        <v>0</v>
      </c>
      <c r="K567" s="7">
        <f>IFERROR(__xludf.DUMMYFUNCTION("""COMPUTED_VALUE"""),0.0)</f>
        <v>0</v>
      </c>
      <c r="L567" s="7"/>
    </row>
    <row r="568" ht="15.75" customHeight="1">
      <c r="A568" s="6" t="str">
        <f>IFERROR(__xludf.DUMMYFUNCTION("""COMPUTED_VALUE"""),"https://www.youtube.com/watch?v=fdPFLXFJlwo&amp;t=30")</f>
        <v>https://www.youtube.com/watch?v=fdPFLXFJlwo&amp;t=30</v>
      </c>
      <c r="B568" s="7" t="str">
        <f>IFERROR(__xludf.DUMMYFUNCTION("""COMPUTED_VALUE"""),"6 Best Revenue Attribution Agencies for B2B SaaS in 2026")</f>
        <v>6 Best Revenue Attribution Agencies for B2B SaaS in 2026</v>
      </c>
      <c r="C568" s="6" t="str">
        <f>IFERROR(__xludf.DUMMYFUNCTION("""COMPUTED_VALUE"""),"youtube.com")</f>
        <v>youtube.com</v>
      </c>
      <c r="D568" s="7" t="str">
        <f>IFERROR(__xludf.DUMMYFUNCTION("""COMPUTED_VALUE"""),"LISTICLE")</f>
        <v>LISTICLE</v>
      </c>
      <c r="E568" s="7" t="str">
        <f>IFERROR(__xludf.DUMMYFUNCTION("""COMPUTED_VALUE"""),"UGC")</f>
        <v>UGC</v>
      </c>
      <c r="F568" s="7" t="str">
        <f>IFERROR(__xludf.DUMMYFUNCTION("""COMPUTED_VALUE"""),"Listicle")</f>
        <v>Listicle</v>
      </c>
      <c r="G568" s="7" t="b">
        <f>IFERROR(__xludf.DUMMYFUNCTION("""COMPUTED_VALUE"""),FALSE)</f>
        <v>0</v>
      </c>
      <c r="H568" s="7"/>
      <c r="I568" s="7">
        <f>IFERROR(__xludf.DUMMYFUNCTION("""COMPUTED_VALUE"""),1.0)</f>
        <v>1</v>
      </c>
      <c r="J568" s="7">
        <f>IFERROR(__xludf.DUMMYFUNCTION("""COMPUTED_VALUE"""),0.0)</f>
        <v>0</v>
      </c>
      <c r="K568" s="7">
        <f>IFERROR(__xludf.DUMMYFUNCTION("""COMPUTED_VALUE"""),2.0)</f>
        <v>2</v>
      </c>
      <c r="L568" s="7"/>
    </row>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Z$801"/>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location=":~:text=This%20sits%20alongside%20a%20mature%20technical%20SEO,of%20the%20discipline.%20%2D%20Jaywing.%20Best%20for."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location=":~:text=farsiight%20is%20a%20digital%20marketing%20agency%20specializing,return%20on%20ad%20spend%20and%20customer%20acquisition."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location=":~:text=Kamexa%20is%20often%20ranked%20among%20top%20AI,businesses%20that%20want%20deep%20AI%20implementation.%203."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location=":~:text=Their%20team%20takes%20an%20evidence%2Dbased%20approach%2C%20using,%26%20PPC%2C%20CRO%2C%20digital%20strategy%2C%20content%20optimisation."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location=":~:text=HERO%20dominated%20the%20new%20AdNews%20category%20with,2026%20AdNews%20Independent%20Agency%20of%20the%20Year." ref="A56"/>
    <hyperlink r:id="rId109" ref="C56"/>
    <hyperlink r:id="rId110" ref="A57"/>
    <hyperlink r:id="rId111" ref="C57"/>
    <hyperlink r:id="rId112" ref="A58"/>
    <hyperlink r:id="rId113" ref="C58"/>
    <hyperlink r:id="rId114" location=":~:text=Luminary%20is%20one%20of%20the%20most%20established,where%20UX%2C%20accessibility%2C%20and%20governance%20are%20critical." ref="A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location=":~:text=Quick%20answer.%20Australia's%20best%20AI%20consulting%20firm,for%20secure%20Microsoft%20365%20and%20Copilot%20adoption."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C105"/>
    <hyperlink r:id="rId207" ref="A106"/>
    <hyperlink r:id="rId208" ref="C106"/>
    <hyperlink r:id="rId209" ref="A107"/>
    <hyperlink r:id="rId210" ref="C107"/>
    <hyperlink r:id="rId211" ref="A108"/>
    <hyperlink r:id="rId212" ref="C108"/>
    <hyperlink r:id="rId213" ref="A109"/>
    <hyperlink r:id="rId214" ref="C109"/>
    <hyperlink r:id="rId215" ref="A110"/>
    <hyperlink r:id="rId216" ref="C110"/>
    <hyperlink r:id="rId217" ref="A111"/>
    <hyperlink r:id="rId218" ref="C111"/>
    <hyperlink r:id="rId219" ref="A112"/>
    <hyperlink r:id="rId220" ref="C112"/>
    <hyperlink r:id="rId221" ref="A113"/>
    <hyperlink r:id="rId222" ref="C113"/>
    <hyperlink r:id="rId223" ref="A114"/>
    <hyperlink r:id="rId224" ref="A115"/>
    <hyperlink r:id="rId225" ref="C115"/>
    <hyperlink r:id="rId226" ref="A116"/>
    <hyperlink r:id="rId227" ref="C116"/>
    <hyperlink r:id="rId228" ref="A117"/>
    <hyperlink r:id="rId229" ref="C117"/>
    <hyperlink r:id="rId230" ref="A118"/>
    <hyperlink r:id="rId231" ref="C118"/>
    <hyperlink r:id="rId232" ref="A119"/>
    <hyperlink r:id="rId233" ref="C119"/>
    <hyperlink r:id="rId234" ref="A120"/>
    <hyperlink r:id="rId235" ref="C120"/>
    <hyperlink r:id="rId236"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A130"/>
    <hyperlink r:id="rId254" ref="C130"/>
    <hyperlink r:id="rId255" ref="A131"/>
    <hyperlink r:id="rId256" ref="C131"/>
    <hyperlink r:id="rId257" ref="A132"/>
    <hyperlink r:id="rId258" ref="C132"/>
    <hyperlink r:id="rId259" ref="A133"/>
    <hyperlink r:id="rId260" ref="C133"/>
    <hyperlink r:id="rId261" ref="A134"/>
    <hyperlink r:id="rId262" ref="C134"/>
    <hyperlink r:id="rId263" ref="A135"/>
    <hyperlink r:id="rId264" ref="C135"/>
    <hyperlink r:id="rId265" ref="A136"/>
    <hyperlink r:id="rId266" ref="C136"/>
    <hyperlink r:id="rId267" ref="A137"/>
    <hyperlink r:id="rId268" ref="C137"/>
    <hyperlink r:id="rId269" ref="A138"/>
    <hyperlink r:id="rId270" ref="C138"/>
    <hyperlink r:id="rId271" ref="A139"/>
    <hyperlink r:id="rId272" ref="C139"/>
    <hyperlink r:id="rId273" ref="A140"/>
    <hyperlink r:id="rId274" ref="C140"/>
    <hyperlink r:id="rId275" ref="A141"/>
    <hyperlink r:id="rId276" ref="C141"/>
    <hyperlink r:id="rId277" ref="A142"/>
    <hyperlink r:id="rId278" ref="C142"/>
    <hyperlink r:id="rId279" ref="A143"/>
    <hyperlink r:id="rId280" ref="C143"/>
    <hyperlink r:id="rId281" ref="A144"/>
    <hyperlink r:id="rId282" ref="C144"/>
    <hyperlink r:id="rId283" ref="A145"/>
    <hyperlink r:id="rId284" ref="C145"/>
    <hyperlink r:id="rId285" ref="A146"/>
    <hyperlink r:id="rId286" ref="C146"/>
    <hyperlink r:id="rId287" ref="A147"/>
    <hyperlink r:id="rId288" ref="C147"/>
    <hyperlink r:id="rId289" ref="A148"/>
    <hyperlink r:id="rId290" ref="C148"/>
    <hyperlink r:id="rId291" ref="A149"/>
    <hyperlink r:id="rId292" ref="C149"/>
    <hyperlink r:id="rId293" ref="A150"/>
    <hyperlink r:id="rId294" ref="C150"/>
    <hyperlink r:id="rId295" ref="A151"/>
    <hyperlink r:id="rId296" ref="C151"/>
    <hyperlink r:id="rId297" ref="A152"/>
    <hyperlink r:id="rId298" ref="C152"/>
    <hyperlink r:id="rId299" ref="A153"/>
    <hyperlink r:id="rId300" ref="C153"/>
    <hyperlink r:id="rId301" ref="A154"/>
    <hyperlink r:id="rId302" ref="C154"/>
    <hyperlink r:id="rId303" location=":~:text=A%20global%20leader%20in%20creative%20communications%2C%20Leo,insight%2C%20helping%20companies%20forge%20deep%20audience%20connections." ref="A155"/>
    <hyperlink r:id="rId304" ref="C155"/>
    <hyperlink r:id="rId305" ref="A156"/>
    <hyperlink r:id="rId306" ref="C156"/>
    <hyperlink r:id="rId307" ref="A157"/>
    <hyperlink r:id="rId308" ref="C157"/>
    <hyperlink r:id="rId309" ref="A158"/>
    <hyperlink r:id="rId310" ref="C158"/>
    <hyperlink r:id="rId311" ref="A159"/>
    <hyperlink r:id="rId312" ref="C159"/>
    <hyperlink r:id="rId313" ref="A160"/>
    <hyperlink r:id="rId314" ref="C160"/>
    <hyperlink r:id="rId315" ref="A161"/>
    <hyperlink r:id="rId316" ref="C161"/>
    <hyperlink r:id="rId317" ref="A162"/>
    <hyperlink r:id="rId318" ref="C162"/>
    <hyperlink r:id="rId319" ref="A163"/>
    <hyperlink r:id="rId320" ref="C163"/>
    <hyperlink r:id="rId321" ref="A164"/>
    <hyperlink r:id="rId322" ref="C164"/>
    <hyperlink r:id="rId323" ref="A165"/>
    <hyperlink r:id="rId324" ref="C165"/>
    <hyperlink r:id="rId325" ref="A166"/>
    <hyperlink r:id="rId326" ref="C166"/>
    <hyperlink r:id="rId327" ref="A167"/>
    <hyperlink r:id="rId328" ref="C167"/>
    <hyperlink r:id="rId329" ref="A168"/>
    <hyperlink r:id="rId330" ref="C168"/>
    <hyperlink r:id="rId331" ref="A169"/>
    <hyperlink r:id="rId332" ref="A170"/>
    <hyperlink r:id="rId333" ref="C170"/>
    <hyperlink r:id="rId334" location=":~:text=Soup%20is%20a%20strong%20fit%20for%20businesses,connecting%20those%20channels%20across%20the%20customer%20journey." ref="A171"/>
    <hyperlink r:id="rId335" ref="C171"/>
    <hyperlink r:id="rId336" ref="A172"/>
    <hyperlink r:id="rId337" ref="C172"/>
    <hyperlink r:id="rId338" ref="A173"/>
    <hyperlink r:id="rId339" ref="C173"/>
    <hyperlink r:id="rId340" ref="A174"/>
    <hyperlink r:id="rId341" ref="C174"/>
    <hyperlink r:id="rId342" ref="A175"/>
    <hyperlink r:id="rId343" ref="C175"/>
    <hyperlink r:id="rId344" ref="A176"/>
    <hyperlink r:id="rId345" ref="C176"/>
    <hyperlink r:id="rId346" ref="A177"/>
    <hyperlink r:id="rId347" ref="C177"/>
    <hyperlink r:id="rId348" ref="A178"/>
    <hyperlink r:id="rId349" ref="C178"/>
    <hyperlink r:id="rId350" ref="A179"/>
    <hyperlink r:id="rId351" ref="C179"/>
    <hyperlink r:id="rId352" ref="A180"/>
    <hyperlink r:id="rId353" ref="C180"/>
    <hyperlink r:id="rId354" ref="A181"/>
    <hyperlink r:id="rId355" ref="C181"/>
    <hyperlink r:id="rId356" ref="A182"/>
    <hyperlink r:id="rId357" ref="C182"/>
    <hyperlink r:id="rId358" ref="A183"/>
    <hyperlink r:id="rId359" ref="C183"/>
    <hyperlink r:id="rId360" ref="A184"/>
    <hyperlink r:id="rId361" ref="C184"/>
    <hyperlink r:id="rId362" location=":~:text=2.%20Blue%2DChip%20Client%20Portfolios%20and%20Commercial%20Impact.,simple%20aesthetics%20to%20solve%20complex%20business%20problems." ref="A185"/>
    <hyperlink r:id="rId363" ref="C185"/>
    <hyperlink r:id="rId364" ref="A186"/>
    <hyperlink r:id="rId365" ref="C186"/>
    <hyperlink r:id="rId366" ref="A187"/>
    <hyperlink r:id="rId367" ref="C187"/>
    <hyperlink r:id="rId368" ref="A188"/>
    <hyperlink r:id="rId369" ref="C188"/>
    <hyperlink r:id="rId370" ref="A189"/>
    <hyperlink r:id="rId371" ref="C189"/>
    <hyperlink r:id="rId372" ref="A190"/>
    <hyperlink r:id="rId373" ref="C190"/>
    <hyperlink r:id="rId374" ref="A191"/>
    <hyperlink r:id="rId375" ref="C191"/>
    <hyperlink r:id="rId376" ref="A192"/>
    <hyperlink r:id="rId377" ref="C192"/>
    <hyperlink r:id="rId378" ref="A193"/>
    <hyperlink r:id="rId379" ref="C193"/>
    <hyperlink r:id="rId380" ref="A194"/>
    <hyperlink r:id="rId381" ref="C194"/>
    <hyperlink r:id="rId382" ref="A195"/>
    <hyperlink r:id="rId383" ref="C195"/>
    <hyperlink r:id="rId384" ref="A196"/>
    <hyperlink r:id="rId385" ref="C196"/>
    <hyperlink r:id="rId386" ref="A197"/>
    <hyperlink r:id="rId387" ref="C197"/>
    <hyperlink r:id="rId388" ref="A198"/>
    <hyperlink r:id="rId389" ref="C198"/>
    <hyperlink r:id="rId390" ref="A199"/>
    <hyperlink r:id="rId391" ref="C199"/>
    <hyperlink r:id="rId392" ref="A200"/>
    <hyperlink r:id="rId393" ref="C200"/>
    <hyperlink r:id="rId394" ref="A201"/>
    <hyperlink r:id="rId395" ref="C201"/>
    <hyperlink r:id="rId396" ref="A202"/>
    <hyperlink r:id="rId397" ref="C202"/>
    <hyperlink r:id="rId398" ref="A203"/>
    <hyperlink r:id="rId399" ref="C203"/>
    <hyperlink r:id="rId400" ref="A204"/>
    <hyperlink r:id="rId401" ref="C204"/>
    <hyperlink r:id="rId402" ref="A205"/>
    <hyperlink r:id="rId403" ref="C205"/>
    <hyperlink r:id="rId404" ref="A206"/>
    <hyperlink r:id="rId405" ref="C206"/>
    <hyperlink r:id="rId406" ref="A207"/>
    <hyperlink r:id="rId407" ref="C207"/>
    <hyperlink r:id="rId408" ref="A208"/>
    <hyperlink r:id="rId409" ref="C208"/>
    <hyperlink r:id="rId410" ref="A209"/>
    <hyperlink r:id="rId411" ref="C209"/>
    <hyperlink r:id="rId412" ref="A210"/>
    <hyperlink r:id="rId413" ref="C210"/>
    <hyperlink r:id="rId414" ref="A211"/>
    <hyperlink r:id="rId415" ref="C211"/>
    <hyperlink r:id="rId416" ref="A212"/>
    <hyperlink r:id="rId417" ref="C212"/>
    <hyperlink r:id="rId418" ref="A213"/>
    <hyperlink r:id="rId419" ref="C213"/>
    <hyperlink r:id="rId420" ref="A214"/>
    <hyperlink r:id="rId421" ref="C214"/>
    <hyperlink r:id="rId422" ref="A215"/>
    <hyperlink r:id="rId423" ref="C215"/>
    <hyperlink r:id="rId424" ref="A216"/>
    <hyperlink r:id="rId425" ref="C216"/>
    <hyperlink r:id="rId426" ref="A217"/>
    <hyperlink r:id="rId427" ref="C217"/>
    <hyperlink r:id="rId428" ref="A218"/>
    <hyperlink r:id="rId429" ref="C218"/>
    <hyperlink r:id="rId430" ref="A219"/>
    <hyperlink r:id="rId431" ref="C219"/>
    <hyperlink r:id="rId432" ref="A220"/>
    <hyperlink r:id="rId433" ref="C220"/>
    <hyperlink r:id="rId434" ref="A221"/>
    <hyperlink r:id="rId435" ref="C221"/>
    <hyperlink r:id="rId436" ref="A222"/>
    <hyperlink r:id="rId437" ref="C222"/>
    <hyperlink r:id="rId438" location=":~:text=The%20report%20found%20food%20manufacturing%20was%20the,PR%20and%20CX%2C%20according%20to%20the%20report." ref="A223"/>
    <hyperlink r:id="rId439" ref="C223"/>
    <hyperlink r:id="rId440" ref="A224"/>
    <hyperlink r:id="rId441" ref="C224"/>
    <hyperlink r:id="rId442" ref="A225"/>
    <hyperlink r:id="rId443" ref="C225"/>
    <hyperlink r:id="rId444" ref="A226"/>
    <hyperlink r:id="rId445" ref="C226"/>
    <hyperlink r:id="rId446" ref="A227"/>
    <hyperlink r:id="rId447" ref="C227"/>
    <hyperlink r:id="rId448" ref="A228"/>
    <hyperlink r:id="rId449" ref="C228"/>
    <hyperlink r:id="rId450" ref="A229"/>
    <hyperlink r:id="rId451" ref="C229"/>
    <hyperlink r:id="rId452" ref="A230"/>
    <hyperlink r:id="rId453" ref="C230"/>
    <hyperlink r:id="rId454" ref="A231"/>
    <hyperlink r:id="rId455" ref="C231"/>
    <hyperlink r:id="rId456" ref="A232"/>
    <hyperlink r:id="rId457" ref="C232"/>
    <hyperlink r:id="rId458" ref="A233"/>
    <hyperlink r:id="rId459" ref="C233"/>
    <hyperlink r:id="rId460" ref="A234"/>
    <hyperlink r:id="rId461" ref="C234"/>
    <hyperlink r:id="rId462" ref="A235"/>
    <hyperlink r:id="rId463" ref="A236"/>
    <hyperlink r:id="rId464" ref="C236"/>
    <hyperlink r:id="rId465" ref="A237"/>
    <hyperlink r:id="rId466" ref="C237"/>
    <hyperlink r:id="rId467" ref="A238"/>
    <hyperlink r:id="rId468" ref="C238"/>
    <hyperlink r:id="rId469" ref="A239"/>
    <hyperlink r:id="rId470" ref="A240"/>
    <hyperlink r:id="rId471" ref="A241"/>
    <hyperlink r:id="rId472" ref="C241"/>
    <hyperlink r:id="rId473" ref="A242"/>
    <hyperlink r:id="rId474" ref="C242"/>
    <hyperlink r:id="rId475" ref="A243"/>
    <hyperlink r:id="rId476" ref="C243"/>
    <hyperlink r:id="rId477" location=":~:text=Recognisable%20clients%3A%20PepsiCo%2C%20St.%20George%20Bank%2C%20IAG%2C,at%20the%202018%20SEMrush%20Search%20Marketing%20Awards." ref="A244"/>
    <hyperlink r:id="rId478" ref="C244"/>
    <hyperlink r:id="rId479" location=":~:text=FutureBrand%20takes%20a%20highly%20strategic,Key%20strengths%3A" ref="A245"/>
    <hyperlink r:id="rId480" ref="A246"/>
    <hyperlink r:id="rId481" ref="C246"/>
    <hyperlink r:id="rId482" ref="A247"/>
    <hyperlink r:id="rId483" ref="C247"/>
    <hyperlink r:id="rId484" ref="A248"/>
    <hyperlink r:id="rId485" ref="C248"/>
    <hyperlink r:id="rId486" ref="A249"/>
    <hyperlink r:id="rId487" ref="C249"/>
    <hyperlink r:id="rId488" ref="A250"/>
    <hyperlink r:id="rId489" ref="C250"/>
    <hyperlink r:id="rId490" ref="A251"/>
    <hyperlink r:id="rId491" ref="C251"/>
    <hyperlink r:id="rId492" ref="A252"/>
    <hyperlink r:id="rId493" ref="C252"/>
    <hyperlink r:id="rId494" ref="A253"/>
    <hyperlink r:id="rId495" ref="C253"/>
    <hyperlink r:id="rId496" ref="A254"/>
    <hyperlink r:id="rId497" ref="A255"/>
    <hyperlink r:id="rId498" ref="C255"/>
    <hyperlink r:id="rId499" ref="A256"/>
    <hyperlink r:id="rId500" ref="C256"/>
    <hyperlink r:id="rId501" ref="A257"/>
    <hyperlink r:id="rId502" ref="C257"/>
    <hyperlink r:id="rId503" ref="A258"/>
    <hyperlink r:id="rId504" ref="C258"/>
    <hyperlink r:id="rId505" ref="A259"/>
    <hyperlink r:id="rId506" ref="C259"/>
    <hyperlink r:id="rId507" ref="A260"/>
    <hyperlink r:id="rId508" ref="C260"/>
    <hyperlink r:id="rId509" ref="A261"/>
    <hyperlink r:id="rId510" ref="C261"/>
    <hyperlink r:id="rId511" ref="A262"/>
    <hyperlink r:id="rId512" ref="C262"/>
    <hyperlink r:id="rId513" ref="A263"/>
    <hyperlink r:id="rId514" ref="C263"/>
    <hyperlink r:id="rId515" ref="A264"/>
    <hyperlink r:id="rId516" ref="C264"/>
    <hyperlink r:id="rId517" ref="A265"/>
    <hyperlink r:id="rId518" ref="C265"/>
    <hyperlink r:id="rId519" ref="A266"/>
    <hyperlink r:id="rId520" ref="C266"/>
    <hyperlink r:id="rId521" ref="A267"/>
    <hyperlink r:id="rId522" ref="C267"/>
    <hyperlink r:id="rId523" location=":~:text=If%20you%20want%20AI%2Daware%20SEO%20that%20feels,technical%20SEO%2C%20product%20management%2C%20and%20applied%20AI." ref="A268"/>
    <hyperlink r:id="rId524" ref="C268"/>
    <hyperlink r:id="rId525" ref="A269"/>
    <hyperlink r:id="rId526" ref="C269"/>
    <hyperlink r:id="rId527" ref="A270"/>
    <hyperlink r:id="rId528" ref="C270"/>
    <hyperlink r:id="rId529" ref="A271"/>
    <hyperlink r:id="rId530" ref="C271"/>
    <hyperlink r:id="rId531" ref="A272"/>
    <hyperlink r:id="rId532" ref="C272"/>
    <hyperlink r:id="rId533" ref="A273"/>
    <hyperlink r:id="rId534" ref="C273"/>
    <hyperlink r:id="rId535" ref="A274"/>
    <hyperlink r:id="rId536" ref="C274"/>
    <hyperlink r:id="rId537" ref="A275"/>
    <hyperlink r:id="rId538" ref="C275"/>
    <hyperlink r:id="rId539" ref="A276"/>
    <hyperlink r:id="rId540" ref="C276"/>
    <hyperlink r:id="rId541" ref="A277"/>
    <hyperlink r:id="rId542" ref="C277"/>
    <hyperlink r:id="rId543" ref="A278"/>
    <hyperlink r:id="rId544" ref="C278"/>
    <hyperlink r:id="rId545" ref="A279"/>
    <hyperlink r:id="rId546" ref="C279"/>
    <hyperlink r:id="rId547" ref="A280"/>
    <hyperlink r:id="rId548" ref="C280"/>
    <hyperlink r:id="rId549" ref="A281"/>
    <hyperlink r:id="rId550" ref="C281"/>
    <hyperlink r:id="rId551" ref="A282"/>
    <hyperlink r:id="rId552" ref="C282"/>
    <hyperlink r:id="rId553" ref="A283"/>
    <hyperlink r:id="rId554" ref="C283"/>
    <hyperlink r:id="rId555" ref="A284"/>
    <hyperlink r:id="rId556" ref="C284"/>
    <hyperlink r:id="rId557" ref="A285"/>
    <hyperlink r:id="rId558" ref="C285"/>
    <hyperlink r:id="rId559" ref="A286"/>
    <hyperlink r:id="rId560" ref="C286"/>
    <hyperlink r:id="rId561" ref="A287"/>
    <hyperlink r:id="rId562" ref="C287"/>
    <hyperlink r:id="rId563" ref="A288"/>
    <hyperlink r:id="rId564" ref="C288"/>
    <hyperlink r:id="rId565" ref="A289"/>
    <hyperlink r:id="rId566" ref="C289"/>
    <hyperlink r:id="rId567" ref="A290"/>
    <hyperlink r:id="rId568" ref="C290"/>
    <hyperlink r:id="rId569" ref="A291"/>
    <hyperlink r:id="rId570" ref="C291"/>
    <hyperlink r:id="rId571" ref="A292"/>
    <hyperlink r:id="rId572" ref="C292"/>
    <hyperlink r:id="rId573" ref="A293"/>
    <hyperlink r:id="rId574" ref="C293"/>
    <hyperlink r:id="rId575" ref="A294"/>
    <hyperlink r:id="rId576" ref="C294"/>
    <hyperlink r:id="rId577" ref="A295"/>
    <hyperlink r:id="rId578" ref="C295"/>
    <hyperlink r:id="rId579" ref="A296"/>
    <hyperlink r:id="rId580" ref="C296"/>
    <hyperlink r:id="rId581" ref="A297"/>
    <hyperlink r:id="rId582" ref="C297"/>
    <hyperlink r:id="rId583" ref="A298"/>
    <hyperlink r:id="rId584" ref="C298"/>
    <hyperlink r:id="rId585" ref="A299"/>
    <hyperlink r:id="rId586" ref="C299"/>
    <hyperlink r:id="rId587" ref="A300"/>
    <hyperlink r:id="rId588" ref="C300"/>
    <hyperlink r:id="rId589" ref="A301"/>
    <hyperlink r:id="rId590" ref="C301"/>
    <hyperlink r:id="rId591" ref="A302"/>
    <hyperlink r:id="rId592" ref="C302"/>
    <hyperlink r:id="rId593" ref="A303"/>
    <hyperlink r:id="rId594" ref="C303"/>
    <hyperlink r:id="rId595" ref="A304"/>
    <hyperlink r:id="rId596" ref="C304"/>
    <hyperlink r:id="rId597" ref="A305"/>
    <hyperlink r:id="rId598" ref="C305"/>
    <hyperlink r:id="rId599" ref="A306"/>
    <hyperlink r:id="rId600" ref="C306"/>
    <hyperlink r:id="rId601" ref="A307"/>
    <hyperlink r:id="rId602" ref="A308"/>
    <hyperlink r:id="rId603" ref="C308"/>
    <hyperlink r:id="rId604" ref="A309"/>
    <hyperlink r:id="rId605" ref="C309"/>
    <hyperlink r:id="rId606" ref="A310"/>
    <hyperlink r:id="rId607" ref="C310"/>
    <hyperlink r:id="rId608" ref="A311"/>
    <hyperlink r:id="rId609" ref="C311"/>
    <hyperlink r:id="rId610" ref="A312"/>
    <hyperlink r:id="rId611" ref="C312"/>
    <hyperlink r:id="rId612" ref="A313"/>
    <hyperlink r:id="rId613" ref="C313"/>
    <hyperlink r:id="rId614" ref="A314"/>
    <hyperlink r:id="rId615" ref="C314"/>
    <hyperlink r:id="rId616" ref="A315"/>
    <hyperlink r:id="rId617" ref="C315"/>
    <hyperlink r:id="rId618" ref="A316"/>
    <hyperlink r:id="rId619" ref="C316"/>
    <hyperlink r:id="rId620" ref="A317"/>
    <hyperlink r:id="rId621" ref="C317"/>
    <hyperlink r:id="rId622" ref="A318"/>
    <hyperlink r:id="rId623" ref="C318"/>
    <hyperlink r:id="rId624" ref="A319"/>
    <hyperlink r:id="rId625" ref="C319"/>
    <hyperlink r:id="rId626" ref="A320"/>
    <hyperlink r:id="rId627" ref="C320"/>
    <hyperlink r:id="rId628" ref="A321"/>
    <hyperlink r:id="rId629" ref="C321"/>
    <hyperlink r:id="rId630" ref="A322"/>
    <hyperlink r:id="rId631" ref="C322"/>
    <hyperlink r:id="rId632" ref="A323"/>
    <hyperlink r:id="rId633" ref="C323"/>
    <hyperlink r:id="rId634" location=":~:text=10.%20Bastion%20Insights%20%E2%80%93%20Cremorne.%20They%20combine,FMCG%2C%20this%20niche%20firm%20provides%20unmatched%20expertise." ref="A324"/>
    <hyperlink r:id="rId635" ref="C324"/>
    <hyperlink r:id="rId636" ref="A325"/>
    <hyperlink r:id="rId637" ref="C325"/>
    <hyperlink r:id="rId638" ref="A326"/>
    <hyperlink r:id="rId639" ref="C326"/>
    <hyperlink r:id="rId640" ref="A327"/>
    <hyperlink r:id="rId641" ref="C327"/>
    <hyperlink r:id="rId642" ref="A328"/>
    <hyperlink r:id="rId643" ref="C328"/>
    <hyperlink r:id="rId644" ref="A329"/>
    <hyperlink r:id="rId645" ref="C329"/>
    <hyperlink r:id="rId646" ref="A330"/>
    <hyperlink r:id="rId647" ref="C330"/>
    <hyperlink r:id="rId648" ref="A331"/>
    <hyperlink r:id="rId649" ref="C331"/>
    <hyperlink r:id="rId650" ref="A332"/>
    <hyperlink r:id="rId651" ref="C332"/>
    <hyperlink r:id="rId652" ref="A333"/>
    <hyperlink r:id="rId653" ref="C333"/>
    <hyperlink r:id="rId654" ref="A334"/>
    <hyperlink r:id="rId655" ref="C334"/>
    <hyperlink r:id="rId656" ref="A335"/>
    <hyperlink r:id="rId657" ref="C335"/>
    <hyperlink r:id="rId658" ref="A336"/>
    <hyperlink r:id="rId659" ref="C336"/>
    <hyperlink r:id="rId660" ref="A337"/>
    <hyperlink r:id="rId661" ref="C337"/>
    <hyperlink r:id="rId662" location=":~:text=Megantic.%20One%20of%20the%20few%20e%2Dcommerce%2Doriented%20SEO,E%2Dcommerce%20SEO%20is%20a%20very%20specific%20field." ref="A338"/>
    <hyperlink r:id="rId663" ref="C338"/>
    <hyperlink r:id="rId664" ref="A339"/>
    <hyperlink r:id="rId665" ref="C339"/>
    <hyperlink r:id="rId666" ref="A340"/>
    <hyperlink r:id="rId667" ref="C340"/>
    <hyperlink r:id="rId668" location=":~:text=Mid%2Dmarket%20and%20enterprise%20businesses%20operating%20in%20competitive,ThreatX%2C%20and%20Tiddle.%20Key%20services.%20SEO%20management." ref="A341"/>
    <hyperlink r:id="rId669" ref="C341"/>
    <hyperlink r:id="rId670" ref="A342"/>
    <hyperlink r:id="rId671" ref="C342"/>
    <hyperlink r:id="rId672" ref="A343"/>
    <hyperlink r:id="rId673" ref="C343"/>
    <hyperlink r:id="rId674" ref="A344"/>
    <hyperlink r:id="rId675" ref="C344"/>
    <hyperlink r:id="rId676" ref="A345"/>
    <hyperlink r:id="rId677" ref="C345"/>
    <hyperlink r:id="rId678" ref="A346"/>
    <hyperlink r:id="rId679" ref="C346"/>
    <hyperlink r:id="rId680" ref="A347"/>
    <hyperlink r:id="rId681" ref="C347"/>
    <hyperlink r:id="rId682" ref="A348"/>
    <hyperlink r:id="rId683" ref="C348"/>
    <hyperlink r:id="rId684" ref="A349"/>
    <hyperlink r:id="rId685" ref="C349"/>
    <hyperlink r:id="rId686" ref="A350"/>
    <hyperlink r:id="rId687" ref="C350"/>
    <hyperlink r:id="rId688" ref="A351"/>
    <hyperlink r:id="rId689" ref="C351"/>
    <hyperlink r:id="rId690" ref="A352"/>
    <hyperlink r:id="rId691" ref="C352"/>
    <hyperlink r:id="rId692" ref="A353"/>
    <hyperlink r:id="rId693" ref="C353"/>
    <hyperlink r:id="rId694" ref="A354"/>
    <hyperlink r:id="rId695" ref="C354"/>
    <hyperlink r:id="rId696" ref="A355"/>
    <hyperlink r:id="rId697" ref="C355"/>
    <hyperlink r:id="rId698" ref="A356"/>
    <hyperlink r:id="rId699" ref="C356"/>
    <hyperlink r:id="rId700" ref="A357"/>
    <hyperlink r:id="rId701" ref="C357"/>
    <hyperlink r:id="rId702" ref="A358"/>
    <hyperlink r:id="rId703" ref="C358"/>
    <hyperlink r:id="rId704" ref="A359"/>
    <hyperlink r:id="rId705" ref="C359"/>
    <hyperlink r:id="rId706" ref="A360"/>
    <hyperlink r:id="rId707" ref="C360"/>
    <hyperlink r:id="rId708" ref="A361"/>
    <hyperlink r:id="rId709" ref="C361"/>
    <hyperlink r:id="rId710" ref="A362"/>
    <hyperlink r:id="rId711" ref="C362"/>
    <hyperlink r:id="rId712" ref="A363"/>
    <hyperlink r:id="rId713" ref="C363"/>
    <hyperlink r:id="rId714" ref="A364"/>
    <hyperlink r:id="rId715" ref="C364"/>
    <hyperlink r:id="rId716" ref="A365"/>
    <hyperlink r:id="rId717" ref="C365"/>
    <hyperlink r:id="rId718" ref="A366"/>
    <hyperlink r:id="rId719" ref="C366"/>
    <hyperlink r:id="rId720" ref="A367"/>
    <hyperlink r:id="rId721" ref="C367"/>
    <hyperlink r:id="rId722" ref="H367"/>
    <hyperlink r:id="rId723" ref="A368"/>
    <hyperlink r:id="rId724" ref="C368"/>
    <hyperlink r:id="rId725" ref="A369"/>
    <hyperlink r:id="rId726" ref="C369"/>
    <hyperlink r:id="rId727" ref="A370"/>
    <hyperlink r:id="rId728" ref="C370"/>
    <hyperlink r:id="rId729" ref="A371"/>
    <hyperlink r:id="rId730" ref="C371"/>
    <hyperlink r:id="rId731" ref="A372"/>
    <hyperlink r:id="rId732" ref="C372"/>
    <hyperlink r:id="rId733" ref="A373"/>
    <hyperlink r:id="rId734" ref="C373"/>
    <hyperlink r:id="rId735" ref="A374"/>
    <hyperlink r:id="rId736" ref="C374"/>
    <hyperlink r:id="rId737" ref="A375"/>
    <hyperlink r:id="rId738" ref="C375"/>
    <hyperlink r:id="rId739" ref="A376"/>
    <hyperlink r:id="rId740" ref="C376"/>
    <hyperlink r:id="rId741" ref="A377"/>
    <hyperlink r:id="rId742" ref="C377"/>
    <hyperlink r:id="rId743" ref="A378"/>
    <hyperlink r:id="rId744" ref="C378"/>
    <hyperlink r:id="rId745" ref="A379"/>
    <hyperlink r:id="rId746" ref="C379"/>
    <hyperlink r:id="rId747" ref="A380"/>
    <hyperlink r:id="rId748" ref="C380"/>
    <hyperlink r:id="rId749" ref="A381"/>
    <hyperlink r:id="rId750" ref="C381"/>
    <hyperlink r:id="rId751" ref="A382"/>
    <hyperlink r:id="rId752" ref="C382"/>
    <hyperlink r:id="rId753" ref="A383"/>
    <hyperlink r:id="rId754" ref="C383"/>
    <hyperlink r:id="rId755" ref="A384"/>
    <hyperlink r:id="rId756" ref="C384"/>
    <hyperlink r:id="rId757" ref="A385"/>
    <hyperlink r:id="rId758" ref="C385"/>
    <hyperlink r:id="rId759" ref="A386"/>
    <hyperlink r:id="rId760" ref="C386"/>
    <hyperlink r:id="rId761" ref="A387"/>
    <hyperlink r:id="rId762" ref="C387"/>
    <hyperlink r:id="rId763" ref="A388"/>
    <hyperlink r:id="rId764" ref="C388"/>
    <hyperlink r:id="rId765" ref="A389"/>
    <hyperlink r:id="rId766" ref="C389"/>
    <hyperlink r:id="rId767" ref="A390"/>
    <hyperlink r:id="rId768" ref="C390"/>
    <hyperlink r:id="rId769" ref="A391"/>
    <hyperlink r:id="rId770" ref="C391"/>
    <hyperlink r:id="rId771" ref="A392"/>
    <hyperlink r:id="rId772" ref="C392"/>
    <hyperlink r:id="rId773" ref="A393"/>
    <hyperlink r:id="rId774" ref="C393"/>
    <hyperlink r:id="rId775" ref="A394"/>
    <hyperlink r:id="rId776" ref="C394"/>
    <hyperlink r:id="rId777" ref="A395"/>
    <hyperlink r:id="rId778" ref="C395"/>
    <hyperlink r:id="rId779" ref="A396"/>
    <hyperlink r:id="rId780" ref="C396"/>
    <hyperlink r:id="rId781" ref="A397"/>
    <hyperlink r:id="rId782" ref="C397"/>
    <hyperlink r:id="rId783" ref="A398"/>
    <hyperlink r:id="rId784" ref="C398"/>
    <hyperlink r:id="rId785" ref="A399"/>
    <hyperlink r:id="rId786" ref="C399"/>
    <hyperlink r:id="rId787" ref="A400"/>
    <hyperlink r:id="rId788" ref="C400"/>
    <hyperlink r:id="rId789" ref="A401"/>
    <hyperlink r:id="rId790" ref="C401"/>
    <hyperlink r:id="rId791" ref="A402"/>
    <hyperlink r:id="rId792" ref="C402"/>
    <hyperlink r:id="rId793" ref="A403"/>
    <hyperlink r:id="rId794" ref="C403"/>
    <hyperlink r:id="rId795" ref="A404"/>
    <hyperlink r:id="rId796" ref="C404"/>
    <hyperlink r:id="rId797" ref="A405"/>
    <hyperlink r:id="rId798" ref="C405"/>
    <hyperlink r:id="rId799" ref="A406"/>
    <hyperlink r:id="rId800" ref="C406"/>
    <hyperlink r:id="rId801" ref="A407"/>
    <hyperlink r:id="rId802" ref="C407"/>
    <hyperlink r:id="rId803" ref="A408"/>
    <hyperlink r:id="rId804" ref="C408"/>
    <hyperlink r:id="rId805" ref="A409"/>
    <hyperlink r:id="rId806" ref="C409"/>
    <hyperlink r:id="rId807" ref="A410"/>
    <hyperlink r:id="rId808" ref="C410"/>
    <hyperlink r:id="rId809" ref="A411"/>
    <hyperlink r:id="rId810" ref="C411"/>
    <hyperlink r:id="rId811" ref="A412"/>
    <hyperlink r:id="rId812" ref="C412"/>
    <hyperlink r:id="rId813" ref="A413"/>
    <hyperlink r:id="rId814" ref="C413"/>
    <hyperlink r:id="rId815" ref="A414"/>
    <hyperlink r:id="rId816" ref="C414"/>
    <hyperlink r:id="rId817" ref="A415"/>
    <hyperlink r:id="rId818" ref="C415"/>
    <hyperlink r:id="rId819" ref="A416"/>
    <hyperlink r:id="rId820" ref="C416"/>
    <hyperlink r:id="rId821" ref="A417"/>
    <hyperlink r:id="rId822" ref="A418"/>
    <hyperlink r:id="rId823" ref="C418"/>
    <hyperlink r:id="rId824" ref="A419"/>
    <hyperlink r:id="rId825" ref="A420"/>
    <hyperlink r:id="rId826" ref="C420"/>
    <hyperlink r:id="rId827" ref="A421"/>
    <hyperlink r:id="rId828" ref="C421"/>
    <hyperlink r:id="rId829" ref="A422"/>
    <hyperlink r:id="rId830" ref="C422"/>
    <hyperlink r:id="rId831" ref="A423"/>
    <hyperlink r:id="rId832" ref="C423"/>
    <hyperlink r:id="rId833" ref="A424"/>
    <hyperlink r:id="rId834" ref="C424"/>
    <hyperlink r:id="rId835" ref="A425"/>
    <hyperlink r:id="rId836" ref="C425"/>
    <hyperlink r:id="rId837" location=":~:text=%23%20The%206%20best%20AI%20SEO%20agencies,AI%2Dassisted%2C%20delivery%2Dfocused%20%7C%20Enterprise%20technical%20SEO%20depth" ref="A426"/>
    <hyperlink r:id="rId838" ref="C426"/>
    <hyperlink r:id="rId839" ref="A427"/>
    <hyperlink r:id="rId840" ref="C427"/>
    <hyperlink r:id="rId841" ref="A428"/>
    <hyperlink r:id="rId842" ref="C428"/>
    <hyperlink r:id="rId843" ref="A429"/>
    <hyperlink r:id="rId844" ref="C429"/>
    <hyperlink r:id="rId845" ref="A430"/>
    <hyperlink r:id="rId846" ref="C430"/>
    <hyperlink r:id="rId847" ref="A431"/>
    <hyperlink r:id="rId848" ref="C431"/>
    <hyperlink r:id="rId849" ref="A432"/>
    <hyperlink r:id="rId850" ref="C432"/>
    <hyperlink r:id="rId851" ref="A433"/>
    <hyperlink r:id="rId852" ref="C433"/>
    <hyperlink r:id="rId853" ref="A434"/>
    <hyperlink r:id="rId854" ref="C434"/>
    <hyperlink r:id="rId855" ref="A435"/>
    <hyperlink r:id="rId856" ref="C435"/>
    <hyperlink r:id="rId857" ref="A436"/>
    <hyperlink r:id="rId858" ref="C436"/>
    <hyperlink r:id="rId859" ref="A437"/>
    <hyperlink r:id="rId860" ref="C437"/>
    <hyperlink r:id="rId861" ref="A438"/>
    <hyperlink r:id="rId862" ref="C438"/>
    <hyperlink r:id="rId863" ref="A439"/>
    <hyperlink r:id="rId864" ref="C439"/>
    <hyperlink r:id="rId865" ref="A440"/>
    <hyperlink r:id="rId866" ref="C440"/>
    <hyperlink r:id="rId867" ref="A441"/>
    <hyperlink r:id="rId868" ref="C441"/>
    <hyperlink r:id="rId869" ref="A442"/>
    <hyperlink r:id="rId870" ref="C442"/>
    <hyperlink r:id="rId871" ref="A443"/>
    <hyperlink r:id="rId872" ref="C443"/>
    <hyperlink r:id="rId873" ref="A444"/>
    <hyperlink r:id="rId874" ref="C444"/>
    <hyperlink r:id="rId875" ref="A445"/>
    <hyperlink r:id="rId876" ref="C445"/>
    <hyperlink r:id="rId877" ref="A446"/>
    <hyperlink r:id="rId878" ref="C446"/>
    <hyperlink r:id="rId879" ref="A447"/>
    <hyperlink r:id="rId880" ref="C447"/>
    <hyperlink r:id="rId881" ref="A448"/>
    <hyperlink r:id="rId882" ref="C448"/>
    <hyperlink r:id="rId883" ref="A449"/>
    <hyperlink r:id="rId884" ref="C449"/>
    <hyperlink r:id="rId885" ref="A450"/>
    <hyperlink r:id="rId886" ref="C450"/>
    <hyperlink r:id="rId887" ref="A451"/>
    <hyperlink r:id="rId888" ref="C451"/>
    <hyperlink r:id="rId889" ref="A452"/>
    <hyperlink r:id="rId890" ref="C452"/>
    <hyperlink r:id="rId891" ref="A453"/>
    <hyperlink r:id="rId892" ref="C453"/>
    <hyperlink r:id="rId893" ref="A454"/>
    <hyperlink r:id="rId894" ref="C454"/>
    <hyperlink r:id="rId895" ref="A455"/>
    <hyperlink r:id="rId896" ref="C455"/>
    <hyperlink r:id="rId897" ref="A456"/>
    <hyperlink r:id="rId898" ref="C456"/>
    <hyperlink r:id="rId899" ref="A457"/>
    <hyperlink r:id="rId900" ref="C457"/>
    <hyperlink r:id="rId901" ref="A458"/>
    <hyperlink r:id="rId902" ref="C458"/>
    <hyperlink r:id="rId903" ref="A459"/>
    <hyperlink r:id="rId904" ref="C459"/>
    <hyperlink r:id="rId905" ref="A460"/>
    <hyperlink r:id="rId906" ref="C460"/>
    <hyperlink r:id="rId907" ref="A461"/>
    <hyperlink r:id="rId908" ref="C461"/>
    <hyperlink r:id="rId909" ref="A462"/>
    <hyperlink r:id="rId910" ref="C462"/>
    <hyperlink r:id="rId911" ref="A463"/>
    <hyperlink r:id="rId912" ref="C463"/>
    <hyperlink r:id="rId913" ref="A464"/>
    <hyperlink r:id="rId914" ref="C464"/>
    <hyperlink r:id="rId915" ref="A465"/>
    <hyperlink r:id="rId916" ref="C465"/>
    <hyperlink r:id="rId917" ref="A466"/>
    <hyperlink r:id="rId918" ref="C466"/>
    <hyperlink r:id="rId919" ref="A467"/>
    <hyperlink r:id="rId920" ref="C467"/>
    <hyperlink r:id="rId921" ref="A468"/>
    <hyperlink r:id="rId922" ref="C468"/>
    <hyperlink r:id="rId923" ref="A469"/>
    <hyperlink r:id="rId924" ref="C469"/>
    <hyperlink r:id="rId925" ref="A470"/>
    <hyperlink r:id="rId926" ref="C470"/>
    <hyperlink r:id="rId927" ref="A471"/>
    <hyperlink r:id="rId928" ref="C471"/>
    <hyperlink r:id="rId929" ref="A472"/>
    <hyperlink r:id="rId930" ref="C472"/>
    <hyperlink r:id="rId931" ref="A473"/>
    <hyperlink r:id="rId932" ref="C473"/>
    <hyperlink r:id="rId933" ref="A474"/>
    <hyperlink r:id="rId934" ref="C474"/>
    <hyperlink r:id="rId935" ref="A475"/>
    <hyperlink r:id="rId936" ref="C475"/>
    <hyperlink r:id="rId937" ref="A476"/>
    <hyperlink r:id="rId938" ref="C476"/>
    <hyperlink r:id="rId939" ref="A477"/>
    <hyperlink r:id="rId940" ref="C477"/>
    <hyperlink r:id="rId941" ref="A478"/>
    <hyperlink r:id="rId942" ref="C478"/>
    <hyperlink r:id="rId943" ref="A479"/>
    <hyperlink r:id="rId944" ref="C479"/>
    <hyperlink r:id="rId945" ref="A480"/>
    <hyperlink r:id="rId946" ref="C480"/>
    <hyperlink r:id="rId947" ref="A481"/>
    <hyperlink r:id="rId948" ref="C481"/>
    <hyperlink r:id="rId949" ref="A482"/>
    <hyperlink r:id="rId950" ref="C482"/>
    <hyperlink r:id="rId951" ref="A483"/>
    <hyperlink r:id="rId952" ref="C483"/>
    <hyperlink r:id="rId953" ref="A484"/>
    <hyperlink r:id="rId954" ref="C484"/>
    <hyperlink r:id="rId955" ref="A485"/>
    <hyperlink r:id="rId956" ref="C485"/>
    <hyperlink r:id="rId957" ref="A486"/>
    <hyperlink r:id="rId958" ref="C486"/>
    <hyperlink r:id="rId959" ref="A487"/>
    <hyperlink r:id="rId960" ref="C487"/>
    <hyperlink r:id="rId961" ref="A488"/>
    <hyperlink r:id="rId962" ref="C488"/>
    <hyperlink r:id="rId963" ref="A489"/>
    <hyperlink r:id="rId964" ref="C489"/>
    <hyperlink r:id="rId965" ref="A490"/>
    <hyperlink r:id="rId966" ref="C490"/>
    <hyperlink r:id="rId967" ref="A491"/>
    <hyperlink r:id="rId968" ref="C491"/>
    <hyperlink r:id="rId969" ref="A492"/>
    <hyperlink r:id="rId970" ref="C492"/>
    <hyperlink r:id="rId971" ref="A493"/>
    <hyperlink r:id="rId972" ref="C493"/>
    <hyperlink r:id="rId973" location=":~:text=Top%20AI%20Agency%20in%20Sydney.%20Lightning%20Ventures,build%20for%20Sydney%20businesses%20%2D%20AI%20Integration." ref="A494"/>
    <hyperlink r:id="rId974" ref="C494"/>
    <hyperlink r:id="rId975" ref="A495"/>
    <hyperlink r:id="rId976" ref="C495"/>
    <hyperlink r:id="rId977" ref="A496"/>
    <hyperlink r:id="rId978" ref="C496"/>
    <hyperlink r:id="rId979" ref="A497"/>
    <hyperlink r:id="rId980" ref="C497"/>
    <hyperlink r:id="rId981" ref="A498"/>
    <hyperlink r:id="rId982" ref="C498"/>
    <hyperlink r:id="rId983" ref="A499"/>
    <hyperlink r:id="rId984" ref="C499"/>
    <hyperlink r:id="rId985" ref="A500"/>
    <hyperlink r:id="rId986" ref="C500"/>
    <hyperlink r:id="rId987" ref="A501"/>
    <hyperlink r:id="rId988" ref="C501"/>
    <hyperlink r:id="rId989" ref="A502"/>
    <hyperlink r:id="rId990" ref="C502"/>
    <hyperlink r:id="rId991" location=":~:text=Their%20focus%20on%20thorough%20upfront,Perth%2C%20Australia" ref="A503"/>
    <hyperlink r:id="rId992" ref="C503"/>
    <hyperlink r:id="rId993" ref="A504"/>
    <hyperlink r:id="rId994" ref="A505"/>
    <hyperlink r:id="rId995" ref="C505"/>
    <hyperlink r:id="rId996" ref="A506"/>
    <hyperlink r:id="rId997" ref="C506"/>
    <hyperlink r:id="rId998" ref="A507"/>
    <hyperlink r:id="rId999" ref="C507"/>
    <hyperlink r:id="rId1000" ref="A508"/>
    <hyperlink r:id="rId1001" ref="C508"/>
    <hyperlink r:id="rId1002" ref="A509"/>
    <hyperlink r:id="rId1003" ref="C509"/>
    <hyperlink r:id="rId1004" ref="A510"/>
    <hyperlink r:id="rId1005" ref="C510"/>
    <hyperlink r:id="rId1006" ref="A511"/>
    <hyperlink r:id="rId1007" ref="C511"/>
    <hyperlink r:id="rId1008" ref="A512"/>
    <hyperlink r:id="rId1009" ref="C512"/>
    <hyperlink r:id="rId1010" ref="A513"/>
    <hyperlink r:id="rId1011" ref="C513"/>
    <hyperlink r:id="rId1012" ref="A514"/>
    <hyperlink r:id="rId1013" ref="C514"/>
    <hyperlink r:id="rId1014" ref="A515"/>
    <hyperlink r:id="rId1015" ref="C515"/>
    <hyperlink r:id="rId1016" ref="A516"/>
    <hyperlink r:id="rId1017" ref="C516"/>
    <hyperlink r:id="rId1018" ref="A517"/>
    <hyperlink r:id="rId1019" ref="C517"/>
    <hyperlink r:id="rId1020" ref="A518"/>
    <hyperlink r:id="rId1021" ref="C518"/>
    <hyperlink r:id="rId1022" ref="A519"/>
    <hyperlink r:id="rId1023" ref="C519"/>
    <hyperlink r:id="rId1024" ref="A520"/>
    <hyperlink r:id="rId1025" ref="C520"/>
    <hyperlink r:id="rId1026" ref="A521"/>
    <hyperlink r:id="rId1027" ref="C521"/>
    <hyperlink r:id="rId1028" ref="A522"/>
    <hyperlink r:id="rId1029" ref="C522"/>
    <hyperlink r:id="rId1030" ref="A523"/>
    <hyperlink r:id="rId1031" ref="C523"/>
    <hyperlink r:id="rId1032" ref="A524"/>
    <hyperlink r:id="rId1033" ref="C524"/>
    <hyperlink r:id="rId1034" ref="A525"/>
    <hyperlink r:id="rId1035" ref="C525"/>
    <hyperlink r:id="rId1036" ref="A526"/>
    <hyperlink r:id="rId1037" ref="C526"/>
    <hyperlink r:id="rId1038" ref="A527"/>
    <hyperlink r:id="rId1039" ref="C527"/>
    <hyperlink r:id="rId1040" ref="A528"/>
    <hyperlink r:id="rId1041" ref="C528"/>
    <hyperlink r:id="rId1042" ref="A529"/>
    <hyperlink r:id="rId1043" ref="C529"/>
    <hyperlink r:id="rId1044" ref="A530"/>
    <hyperlink r:id="rId1045" ref="C530"/>
    <hyperlink r:id="rId1046" ref="A531"/>
    <hyperlink r:id="rId1047" ref="C531"/>
    <hyperlink r:id="rId1048" ref="A532"/>
    <hyperlink r:id="rId1049" ref="C532"/>
    <hyperlink r:id="rId1050" ref="A533"/>
    <hyperlink r:id="rId1051" ref="C533"/>
    <hyperlink r:id="rId1052" ref="A534"/>
    <hyperlink r:id="rId1053" ref="C534"/>
    <hyperlink r:id="rId1054" ref="A535"/>
    <hyperlink r:id="rId1055" ref="C535"/>
    <hyperlink r:id="rId1056" ref="A536"/>
    <hyperlink r:id="rId1057" ref="C536"/>
    <hyperlink r:id="rId1058" ref="A537"/>
    <hyperlink r:id="rId1059" ref="C537"/>
    <hyperlink r:id="rId1060" ref="A538"/>
    <hyperlink r:id="rId1061" ref="C538"/>
    <hyperlink r:id="rId1062" ref="A539"/>
    <hyperlink r:id="rId1063" ref="C539"/>
    <hyperlink r:id="rId1064" ref="A540"/>
    <hyperlink r:id="rId1065" ref="C540"/>
    <hyperlink r:id="rId1066" ref="A541"/>
    <hyperlink r:id="rId1067" ref="C541"/>
    <hyperlink r:id="rId1068" ref="A542"/>
    <hyperlink r:id="rId1069" ref="C542"/>
    <hyperlink r:id="rId1070" ref="A543"/>
    <hyperlink r:id="rId1071" ref="C543"/>
    <hyperlink r:id="rId1072" ref="A544"/>
    <hyperlink r:id="rId1073" ref="C544"/>
    <hyperlink r:id="rId1074" ref="A545"/>
    <hyperlink r:id="rId1075" ref="C545"/>
    <hyperlink r:id="rId1076" ref="A546"/>
    <hyperlink r:id="rId1077" ref="C546"/>
    <hyperlink r:id="rId1078" ref="A547"/>
    <hyperlink r:id="rId1079" ref="C547"/>
    <hyperlink r:id="rId1080" ref="A548"/>
    <hyperlink r:id="rId1081" ref="C548"/>
    <hyperlink r:id="rId1082" location=":~:text=Australia's%20Best%20Performance%20Creative%20Agency,Our%20strategies%20incorporate%20the" ref="A549"/>
    <hyperlink r:id="rId1083" ref="C549"/>
    <hyperlink r:id="rId1084" ref="A550"/>
    <hyperlink r:id="rId1085" ref="C550"/>
    <hyperlink r:id="rId1086" ref="A551"/>
    <hyperlink r:id="rId1087" ref="C551"/>
    <hyperlink r:id="rId1088" ref="A552"/>
    <hyperlink r:id="rId1089" ref="C552"/>
    <hyperlink r:id="rId1090" location=":~:text=The%20leading%20AI%20automation%20agencies,IT%20team%20to%20run%20it." ref="A553"/>
    <hyperlink r:id="rId1091" ref="C553"/>
    <hyperlink r:id="rId1092" ref="A554"/>
    <hyperlink r:id="rId1093" ref="C554"/>
    <hyperlink r:id="rId1094" ref="A555"/>
    <hyperlink r:id="rId1095" ref="C555"/>
    <hyperlink r:id="rId1096" ref="A556"/>
    <hyperlink r:id="rId1097" ref="C556"/>
    <hyperlink r:id="rId1098" ref="A557"/>
    <hyperlink r:id="rId1099" ref="C557"/>
    <hyperlink r:id="rId1100" location=":~:text=Virtual%20Ad%20Agency%20(VAA)%20distinguishes%20itself%20as,top%2Dof%2Dfunnel%20creative%20campaigns%20with%20bottom%2Dfunnel%20business%20outcomes." ref="A558"/>
    <hyperlink r:id="rId1101" ref="C558"/>
    <hyperlink r:id="rId1102" ref="A559"/>
    <hyperlink r:id="rId1103" ref="C559"/>
    <hyperlink r:id="rId1104" ref="A560"/>
    <hyperlink r:id="rId1105" ref="C560"/>
    <hyperlink r:id="rId1106" ref="A561"/>
    <hyperlink r:id="rId1107" ref="C561"/>
    <hyperlink r:id="rId1108" ref="A562"/>
    <hyperlink r:id="rId1109" ref="C562"/>
    <hyperlink r:id="rId1110" ref="A563"/>
    <hyperlink r:id="rId1111" ref="C563"/>
    <hyperlink r:id="rId1112" ref="A564"/>
    <hyperlink r:id="rId1113" ref="C564"/>
    <hyperlink r:id="rId1114" ref="A565"/>
    <hyperlink r:id="rId1115" ref="C565"/>
    <hyperlink r:id="rId1116" ref="A566"/>
    <hyperlink r:id="rId1117" ref="C566"/>
    <hyperlink r:id="rId1118" ref="A567"/>
    <hyperlink r:id="rId1119" ref="C567"/>
    <hyperlink r:id="rId1120" ref="A568"/>
    <hyperlink r:id="rId1121" ref="C568"/>
  </hyperlinks>
  <drawing r:id="rId11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All'!A2:A1000)),""youtube"")
  ),
  """"
)"),"https://www.youtube.com/watch?v=ZaxGzqO8OCk")</f>
        <v>https://www.youtube.com/watch?v=ZaxGzqO8OCk</v>
      </c>
      <c r="B2" s="7" t="str">
        <f>IFERROR(__xludf.DUMMYFUNCTION("""COMPUTED_VALUE"""),"What Are the Best Generative Engine Optimization (GEO) Agencies in Australia?")</f>
        <v>What Are the Best Generative Engine Optimization (GEO) Agencies in Australia?</v>
      </c>
      <c r="C2" s="6" t="str">
        <f>IFERROR(__xludf.DUMMYFUNCTION("""COMPUTED_VALUE"""),"youtube.com")</f>
        <v>youtube.com</v>
      </c>
      <c r="D2" s="7" t="str">
        <f>IFERROR(__xludf.DUMMYFUNCTION("""COMPUTED_VALUE"""),"LISTICLE")</f>
        <v>LISTICLE</v>
      </c>
      <c r="E2" s="7" t="str">
        <f>IFERROR(__xludf.DUMMYFUNCTION("""COMPUTED_VALUE"""),"UGC")</f>
        <v>UGC</v>
      </c>
      <c r="F2" s="7" t="str">
        <f>IFERROR(__xludf.DUMMYFUNCTION("""COMPUTED_VALUE"""),"Listicle")</f>
        <v>Listicle</v>
      </c>
      <c r="G2" s="7" t="b">
        <f>IFERROR(__xludf.DUMMYFUNCTION("""COMPUTED_VALUE"""),FALSE)</f>
        <v>0</v>
      </c>
      <c r="H2" s="7" t="str">
        <f>IFERROR(__xludf.DUMMYFUNCTION("""COMPUTED_VALUE"""),"Brainlabs")</f>
        <v>Brainlabs</v>
      </c>
      <c r="I2" s="7">
        <f>IFERROR(__xludf.DUMMYFUNCTION("""COMPUTED_VALUE"""),12.0)</f>
        <v>12</v>
      </c>
      <c r="J2" s="7">
        <f>IFERROR(__xludf.DUMMYFUNCTION("""COMPUTED_VALUE"""),0.01)</f>
        <v>0.01</v>
      </c>
      <c r="K2" s="7">
        <f>IFERROR(__xludf.DUMMYFUNCTION("""COMPUTED_VALUE"""),0.92)</f>
        <v>0.92</v>
      </c>
    </row>
    <row r="3" ht="15.75" customHeight="1">
      <c r="A3" s="6" t="str">
        <f>IFERROR(__xludf.DUMMYFUNCTION("""COMPUTED_VALUE"""),"https://www.youtube.com/watch?v=3y6n2-qGxnE")</f>
        <v>https://www.youtube.com/watch?v=3y6n2-qGxnE</v>
      </c>
      <c r="B3" s="7" t="str">
        <f>IFERROR(__xludf.DUMMYFUNCTION("""COMPUTED_VALUE"""),"12 Best AI Digital Marketing Services in Australia | Solve Traffic &amp; Sales Problems in 2026")</f>
        <v>12 Best AI Digital Marketing Services in Australia | Solve Traffic &amp; Sales Problems in 2026</v>
      </c>
      <c r="C3" s="6" t="str">
        <f>IFERROR(__xludf.DUMMYFUNCTION("""COMPUTED_VALUE"""),"youtube.com")</f>
        <v>youtube.com</v>
      </c>
      <c r="D3" s="7" t="str">
        <f>IFERROR(__xludf.DUMMYFUNCTION("""COMPUTED_VALUE"""),"LISTICLE")</f>
        <v>LISTICLE</v>
      </c>
      <c r="E3" s="7" t="str">
        <f>IFERROR(__xludf.DUMMYFUNCTION("""COMPUTED_VALUE"""),"UGC")</f>
        <v>UGC</v>
      </c>
      <c r="F3" s="7" t="str">
        <f>IFERROR(__xludf.DUMMYFUNCTION("""COMPUTED_VALUE"""),"Listicle")</f>
        <v>Listicle</v>
      </c>
      <c r="G3" s="7" t="b">
        <f>IFERROR(__xludf.DUMMYFUNCTION("""COMPUTED_VALUE"""),FALSE)</f>
        <v>0</v>
      </c>
      <c r="H3" s="7" t="str">
        <f>IFERROR(__xludf.DUMMYFUNCTION("""COMPUTED_VALUE"""),"OMD, Rocket Agency, Digital Movement, First Page, Emote Digital")</f>
        <v>OMD, Rocket Agency, Digital Movement, First Page, Emote Digital</v>
      </c>
      <c r="I3" s="7">
        <f>IFERROR(__xludf.DUMMYFUNCTION("""COMPUTED_VALUE"""),2.0)</f>
        <v>2</v>
      </c>
      <c r="J3" s="7">
        <f>IFERROR(__xludf.DUMMYFUNCTION("""COMPUTED_VALUE"""),0.0)</f>
        <v>0</v>
      </c>
      <c r="K3" s="7">
        <f>IFERROR(__xludf.DUMMYFUNCTION("""COMPUTED_VALUE"""),2.0)</f>
        <v>2</v>
      </c>
    </row>
    <row r="4" ht="15.75" customHeight="1">
      <c r="A4" s="6" t="str">
        <f>IFERROR(__xludf.DUMMYFUNCTION("""COMPUTED_VALUE"""),"https://www.youtube.com/watch?v=Mggba8bAXVU")</f>
        <v>https://www.youtube.com/watch?v=Mggba8bAXVU</v>
      </c>
      <c r="B4" s="7" t="str">
        <f>IFERROR(__xludf.DUMMYFUNCTION("""COMPUTED_VALUE"""),"How Australia's Top SEO Agency Is Ranking Clients in ChatGPT | James Norquay")</f>
        <v>How Australia's Top SEO Agency Is Ranking Clients in ChatGPT | James Norquay</v>
      </c>
      <c r="C4" s="6" t="str">
        <f>IFERROR(__xludf.DUMMYFUNCTION("""COMPUTED_VALUE"""),"youtube.com")</f>
        <v>youtube.com</v>
      </c>
      <c r="D4" s="7" t="str">
        <f>IFERROR(__xludf.DUMMYFUNCTION("""COMPUTED_VALUE"""),"ARTICLE")</f>
        <v>ARTICLE</v>
      </c>
      <c r="E4" s="7" t="str">
        <f>IFERROR(__xludf.DUMMYFUNCTION("""COMPUTED_VALUE"""),"UGC")</f>
        <v>UGC</v>
      </c>
      <c r="F4" s="7" t="str">
        <f>IFERROR(__xludf.DUMMYFUNCTION("""COMPUTED_VALUE"""),"Article")</f>
        <v>Article</v>
      </c>
      <c r="G4" s="7" t="b">
        <f>IFERROR(__xludf.DUMMYFUNCTION("""COMPUTED_VALUE"""),FALSE)</f>
        <v>0</v>
      </c>
      <c r="H4" s="7" t="str">
        <f>IFERROR(__xludf.DUMMYFUNCTION("""COMPUTED_VALUE"""),"Prosperity Media, Huge, HERO")</f>
        <v>Prosperity Media, Huge, HERO</v>
      </c>
      <c r="I4" s="7">
        <f>IFERROR(__xludf.DUMMYFUNCTION("""COMPUTED_VALUE"""),2.0)</f>
        <v>2</v>
      </c>
      <c r="J4" s="7">
        <f>IFERROR(__xludf.DUMMYFUNCTION("""COMPUTED_VALUE"""),0.0)</f>
        <v>0</v>
      </c>
      <c r="K4" s="7">
        <f>IFERROR(__xludf.DUMMYFUNCTION("""COMPUTED_VALUE"""),1.5)</f>
        <v>1.5</v>
      </c>
    </row>
    <row r="5" ht="15.75" customHeight="1">
      <c r="A5" s="6" t="str">
        <f>IFERROR(__xludf.DUMMYFUNCTION("""COMPUTED_VALUE"""),"https://www.youtube.com/watch?v=IxHlhnkaTC4&amp;t=408")</f>
        <v>https://www.youtube.com/watch?v=IxHlhnkaTC4&amp;t=408</v>
      </c>
      <c r="B5" s="7" t="str">
        <f>IFERROR(__xludf.DUMMYFUNCTION("""COMPUTED_VALUE"""),"11 Best AI Agents for Marketing for 2026 (Ranked by Best Use Cases)")</f>
        <v>11 Best AI Agents for Marketing for 2026 (Ranked by Best Use Cases)</v>
      </c>
      <c r="C5" s="6" t="str">
        <f>IFERROR(__xludf.DUMMYFUNCTION("""COMPUTED_VALUE"""),"youtube.com")</f>
        <v>youtube.com</v>
      </c>
      <c r="D5" s="7" t="str">
        <f>IFERROR(__xludf.DUMMYFUNCTION("""COMPUTED_VALUE"""),"LISTICLE")</f>
        <v>LISTICLE</v>
      </c>
      <c r="E5" s="7" t="str">
        <f>IFERROR(__xludf.DUMMYFUNCTION("""COMPUTED_VALUE"""),"UGC")</f>
        <v>UGC</v>
      </c>
      <c r="F5" s="7" t="str">
        <f>IFERROR(__xludf.DUMMYFUNCTION("""COMPUTED_VALUE"""),"Listicle")</f>
        <v>Listicle</v>
      </c>
      <c r="G5" s="7" t="b">
        <f>IFERROR(__xludf.DUMMYFUNCTION("""COMPUTED_VALUE"""),FALSE)</f>
        <v>0</v>
      </c>
      <c r="H5" s="7" t="str">
        <f>IFERROR(__xludf.DUMMYFUNCTION("""COMPUTED_VALUE"""),"Momentum, Huge")</f>
        <v>Momentum, Huge</v>
      </c>
      <c r="I5" s="7">
        <f>IFERROR(__xludf.DUMMYFUNCTION("""COMPUTED_VALUE"""),1.0)</f>
        <v>1</v>
      </c>
      <c r="J5" s="7">
        <f>IFERROR(__xludf.DUMMYFUNCTION("""COMPUTED_VALUE"""),0.0)</f>
        <v>0</v>
      </c>
      <c r="K5" s="7">
        <f>IFERROR(__xludf.DUMMYFUNCTION("""COMPUTED_VALUE"""),1.0)</f>
        <v>1</v>
      </c>
    </row>
    <row r="6" ht="15.75" customHeight="1">
      <c r="A6" s="6" t="str">
        <f>IFERROR(__xludf.DUMMYFUNCTION("""COMPUTED_VALUE"""),"https://www.youtube.com/watch?v=Ko4i_WqyPwE&amp;t=263")</f>
        <v>https://www.youtube.com/watch?v=Ko4i_WqyPwE&amp;t=263</v>
      </c>
      <c r="B6" s="7" t="str">
        <f>IFERROR(__xludf.DUMMYFUNCTION("""COMPUTED_VALUE"""),"Digital Marketing in Australia in 2026 - Your Questions Answered | Smarter Marketer Podcast")</f>
        <v>Digital Marketing in Australia in 2026 - Your Questions Answered | Smarter Marketer Podcast</v>
      </c>
      <c r="C6" s="6" t="str">
        <f>IFERROR(__xludf.DUMMYFUNCTION("""COMPUTED_VALUE"""),"youtube.com")</f>
        <v>youtube.com</v>
      </c>
      <c r="D6" s="7" t="str">
        <f>IFERROR(__xludf.DUMMYFUNCTION("""COMPUTED_VALUE"""),"ARTICLE")</f>
        <v>ARTICLE</v>
      </c>
      <c r="E6" s="7" t="str">
        <f>IFERROR(__xludf.DUMMYFUNCTION("""COMPUTED_VALUE"""),"UGC")</f>
        <v>UGC</v>
      </c>
      <c r="F6" s="7" t="str">
        <f>IFERROR(__xludf.DUMMYFUNCTION("""COMPUTED_VALUE"""),"Article")</f>
        <v>Article</v>
      </c>
      <c r="G6" s="7" t="b">
        <f>IFERROR(__xludf.DUMMYFUNCTION("""COMPUTED_VALUE"""),FALSE)</f>
        <v>0</v>
      </c>
      <c r="H6" s="7" t="str">
        <f>IFERROR(__xludf.DUMMYFUNCTION("""COMPUTED_VALUE"""),"Rocket Agency, Huge")</f>
        <v>Rocket Agency, Huge</v>
      </c>
      <c r="I6" s="7">
        <f>IFERROR(__xludf.DUMMYFUNCTION("""COMPUTED_VALUE"""),1.0)</f>
        <v>1</v>
      </c>
      <c r="J6" s="7">
        <f>IFERROR(__xludf.DUMMYFUNCTION("""COMPUTED_VALUE"""),0.0)</f>
        <v>0</v>
      </c>
      <c r="K6" s="7">
        <f>IFERROR(__xludf.DUMMYFUNCTION("""COMPUTED_VALUE"""),1.0)</f>
        <v>1</v>
      </c>
    </row>
    <row r="7" ht="15.75" customHeight="1">
      <c r="A7" s="6" t="str">
        <f>IFERROR(__xludf.DUMMYFUNCTION("""COMPUTED_VALUE"""),"https://www.youtube.com/watch?v=OJN95taKMwo")</f>
        <v>https://www.youtube.com/watch?v=OJN95taKMwo</v>
      </c>
      <c r="B7" s="7" t="str">
        <f>IFERROR(__xludf.DUMMYFUNCTION("""COMPUTED_VALUE"""),"Top 7 AI-Powered Digital Marketing Agencies in Australia | Start an AI Marketing Agency")</f>
        <v>Top 7 AI-Powered Digital Marketing Agencies in Australia | Start an AI Marketing Agency</v>
      </c>
      <c r="C7" s="6" t="str">
        <f>IFERROR(__xludf.DUMMYFUNCTION("""COMPUTED_VALUE"""),"youtube.com")</f>
        <v>youtube.com</v>
      </c>
      <c r="D7" s="7" t="str">
        <f>IFERROR(__xludf.DUMMYFUNCTION("""COMPUTED_VALUE"""),"LISTICLE")</f>
        <v>LISTICLE</v>
      </c>
      <c r="E7" s="7" t="str">
        <f>IFERROR(__xludf.DUMMYFUNCTION("""COMPUTED_VALUE"""),"UGC")</f>
        <v>UGC</v>
      </c>
      <c r="F7" s="7" t="str">
        <f>IFERROR(__xludf.DUMMYFUNCTION("""COMPUTED_VALUE"""),"Listicle")</f>
        <v>Listicle</v>
      </c>
      <c r="G7" s="7" t="b">
        <f>IFERROR(__xludf.DUMMYFUNCTION("""COMPUTED_VALUE"""),FALSE)</f>
        <v>0</v>
      </c>
      <c r="H7" s="7" t="str">
        <f>IFERROR(__xludf.DUMMYFUNCTION("""COMPUTED_VALUE"""),"Alley Group, Bench Media")</f>
        <v>Alley Group, Bench Media</v>
      </c>
      <c r="I7" s="7">
        <f>IFERROR(__xludf.DUMMYFUNCTION("""COMPUTED_VALUE"""),1.0)</f>
        <v>1</v>
      </c>
      <c r="J7" s="7">
        <f>IFERROR(__xludf.DUMMYFUNCTION("""COMPUTED_VALUE"""),0.0)</f>
        <v>0</v>
      </c>
      <c r="K7" s="7">
        <f>IFERROR(__xludf.DUMMYFUNCTION("""COMPUTED_VALUE"""),0.0)</f>
        <v>0</v>
      </c>
    </row>
    <row r="8" ht="15.75" customHeight="1">
      <c r="A8" s="6" t="str">
        <f>IFERROR(__xludf.DUMMYFUNCTION("""COMPUTED_VALUE"""),"https://www.youtube.com/watch?v=XhMbeN7cH34&amp;t=707")</f>
        <v>https://www.youtube.com/watch?v=XhMbeN7cH34&amp;t=707</v>
      </c>
      <c r="B8" s="7" t="str">
        <f>IFERROR(__xludf.DUMMYFUNCTION("""COMPUTED_VALUE"""),"Incrementality Testing: How to Actually Measure Marketing Effectiveness (2026)")</f>
        <v>Incrementality Testing: How to Actually Measure Marketing Effectiveness (2026)</v>
      </c>
      <c r="C8" s="6" t="str">
        <f>IFERROR(__xludf.DUMMYFUNCTION("""COMPUTED_VALUE"""),"youtube.com")</f>
        <v>youtube.com</v>
      </c>
      <c r="D8" s="7" t="str">
        <f>IFERROR(__xludf.DUMMYFUNCTION("""COMPUTED_VALUE"""),"ARTICLE")</f>
        <v>ARTICLE</v>
      </c>
      <c r="E8" s="7" t="str">
        <f>IFERROR(__xludf.DUMMYFUNCTION("""COMPUTED_VALUE"""),"UGC")</f>
        <v>UGC</v>
      </c>
      <c r="F8" s="7" t="str">
        <f>IFERROR(__xludf.DUMMYFUNCTION("""COMPUTED_VALUE"""),"Article")</f>
        <v>Article</v>
      </c>
      <c r="G8" s="7" t="b">
        <f>IFERROR(__xludf.DUMMYFUNCTION("""COMPUTED_VALUE"""),FALSE)</f>
        <v>0</v>
      </c>
      <c r="H8" s="7" t="str">
        <f>IFERROR(__xludf.DUMMYFUNCTION("""COMPUTED_VALUE"""),"PHD")</f>
        <v>PHD</v>
      </c>
      <c r="I8" s="7">
        <f>IFERROR(__xludf.DUMMYFUNCTION("""COMPUTED_VALUE"""),1.0)</f>
        <v>1</v>
      </c>
      <c r="J8" s="7">
        <f>IFERROR(__xludf.DUMMYFUNCTION("""COMPUTED_VALUE"""),0.0)</f>
        <v>0</v>
      </c>
      <c r="K8" s="7">
        <f>IFERROR(__xludf.DUMMYFUNCTION("""COMPUTED_VALUE"""),1.0)</f>
        <v>1</v>
      </c>
    </row>
    <row r="9" ht="15.75" customHeight="1">
      <c r="A9" s="6" t="str">
        <f>IFERROR(__xludf.DUMMYFUNCTION("""COMPUTED_VALUE"""),"https://www.youtube.com/watch?v=fdPFLXFJlwo&amp;t=30")</f>
        <v>https://www.youtube.com/watch?v=fdPFLXFJlwo&amp;t=30</v>
      </c>
      <c r="B9" s="7" t="str">
        <f>IFERROR(__xludf.DUMMYFUNCTION("""COMPUTED_VALUE"""),"6 Best Revenue Attribution Agencies for B2B SaaS in 2026")</f>
        <v>6 Best Revenue Attribution Agencies for B2B SaaS in 2026</v>
      </c>
      <c r="C9" s="6" t="str">
        <f>IFERROR(__xludf.DUMMYFUNCTION("""COMPUTED_VALUE"""),"youtube.com")</f>
        <v>youtube.com</v>
      </c>
      <c r="D9" s="7" t="str">
        <f>IFERROR(__xludf.DUMMYFUNCTION("""COMPUTED_VALUE"""),"LISTICLE")</f>
        <v>LISTICLE</v>
      </c>
      <c r="E9" s="7" t="str">
        <f>IFERROR(__xludf.DUMMYFUNCTION("""COMPUTED_VALUE"""),"UGC")</f>
        <v>UGC</v>
      </c>
      <c r="F9" s="7" t="str">
        <f>IFERROR(__xludf.DUMMYFUNCTION("""COMPUTED_VALUE"""),"Listicle")</f>
        <v>Listicle</v>
      </c>
      <c r="G9" s="7" t="b">
        <f>IFERROR(__xludf.DUMMYFUNCTION("""COMPUTED_VALUE"""),FALSE)</f>
        <v>0</v>
      </c>
      <c r="H9" s="7"/>
      <c r="I9" s="7">
        <f>IFERROR(__xludf.DUMMYFUNCTION("""COMPUTED_VALUE"""),1.0)</f>
        <v>1</v>
      </c>
      <c r="J9" s="7">
        <f>IFERROR(__xludf.DUMMYFUNCTION("""COMPUTED_VALUE"""),0.0)</f>
        <v>0</v>
      </c>
      <c r="K9" s="7">
        <f>IFERROR(__xludf.DUMMYFUNCTION("""COMPUTED_VALUE"""),2.0)</f>
        <v>2</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All'!A2:A1000)),""incubeta.com"")
  ),
  """"
)"),"https://gmp.incubeta.com/")</f>
        <v>https://gmp.incubeta.com/</v>
      </c>
      <c r="B2" s="7" t="str">
        <f>IFERROR(__xludf.DUMMYFUNCTION("""COMPUTED_VALUE"""),"Incubeta | GMP Growth Lab")</f>
        <v>Incubeta | GMP Growth Lab</v>
      </c>
      <c r="C2" s="6" t="str">
        <f>IFERROR(__xludf.DUMMYFUNCTION("""COMPUTED_VALUE"""),"incubeta.com")</f>
        <v>incubeta.com</v>
      </c>
      <c r="D2" s="7" t="str">
        <f>IFERROR(__xludf.DUMMYFUNCTION("""COMPUTED_VALUE"""),"HOMEPAGE")</f>
        <v>HOMEPAGE</v>
      </c>
      <c r="E2" s="7" t="str">
        <f>IFERROR(__xludf.DUMMYFUNCTION("""COMPUTED_VALUE"""),"OWN")</f>
        <v>OWN</v>
      </c>
      <c r="F2" s="7" t="str">
        <f>IFERROR(__xludf.DUMMYFUNCTION("""COMPUTED_VALUE"""),"Homepage")</f>
        <v>Homepage</v>
      </c>
      <c r="G2" s="7" t="b">
        <f>IFERROR(__xludf.DUMMYFUNCTION("""COMPUTED_VALUE"""),TRUE)</f>
        <v>1</v>
      </c>
      <c r="H2" s="7" t="str">
        <f>IFERROR(__xludf.DUMMYFUNCTION("""COMPUTED_VALUE"""),"Incubeta")</f>
        <v>Incubeta</v>
      </c>
      <c r="I2" s="7">
        <f>IFERROR(__xludf.DUMMYFUNCTION("""COMPUTED_VALUE"""),1.0)</f>
        <v>1</v>
      </c>
      <c r="J2" s="7">
        <f>IFERROR(__xludf.DUMMYFUNCTION("""COMPUTED_VALUE"""),0.0)</f>
        <v>0</v>
      </c>
      <c r="K2" s="7">
        <f>IFERROR(__xludf.DUMMYFUNCTION("""COMPUTED_VALUE"""),2.0)</f>
        <v>2</v>
      </c>
    </row>
    <row r="3" ht="15.75" customHeight="1">
      <c r="A3" s="6" t="str">
        <f>IFERROR(__xludf.DUMMYFUNCTION("""COMPUTED_VALUE"""),"https://incubeta.com/news-and-resources/incubeta-joins-googles-international-growth-program/")</f>
        <v>https://incubeta.com/news-and-resources/incubeta-joins-googles-international-growth-program/</v>
      </c>
      <c r="B3" s="7" t="str">
        <f>IFERROR(__xludf.DUMMYFUNCTION("""COMPUTED_VALUE"""),"Incubeta Joins Google’s International Growth Program. | Incubeta")</f>
        <v>Incubeta Joins Google’s International Growth Program. | Incubeta</v>
      </c>
      <c r="C3" s="6" t="str">
        <f>IFERROR(__xludf.DUMMYFUNCTION("""COMPUTED_VALUE"""),"incubeta.com")</f>
        <v>incubeta.com</v>
      </c>
      <c r="D3" s="7" t="str">
        <f>IFERROR(__xludf.DUMMYFUNCTION("""COMPUTED_VALUE"""),"ARTICLE")</f>
        <v>ARTICLE</v>
      </c>
      <c r="E3" s="7" t="str">
        <f>IFERROR(__xludf.DUMMYFUNCTION("""COMPUTED_VALUE"""),"OWN")</f>
        <v>OWN</v>
      </c>
      <c r="F3" s="7" t="str">
        <f>IFERROR(__xludf.DUMMYFUNCTION("""COMPUTED_VALUE"""),"Article")</f>
        <v>Article</v>
      </c>
      <c r="G3" s="7" t="b">
        <f>IFERROR(__xludf.DUMMYFUNCTION("""COMPUTED_VALUE"""),TRUE)</f>
        <v>1</v>
      </c>
      <c r="H3" s="7" t="str">
        <f>IFERROR(__xludf.DUMMYFUNCTION("""COMPUTED_VALUE"""),"Incubeta")</f>
        <v>Incubeta</v>
      </c>
      <c r="I3" s="7">
        <f>IFERROR(__xludf.DUMMYFUNCTION("""COMPUTED_VALUE"""),1.0)</f>
        <v>1</v>
      </c>
      <c r="J3" s="7">
        <f>IFERROR(__xludf.DUMMYFUNCTION("""COMPUTED_VALUE"""),0.0)</f>
        <v>0</v>
      </c>
      <c r="K3" s="7">
        <f>IFERROR(__xludf.DUMMYFUNCTION("""COMPUTED_VALUE"""),0.0)</f>
        <v>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All'!A2:A1000)),""instagram"")
  ),
  """"
)"),"https://www.drakecontent.com.au/services/instagram-ads")</f>
        <v>https://www.drakecontent.com.au/services/instagram-ads</v>
      </c>
      <c r="B2" s="7" t="str">
        <f>IFERROR(__xludf.DUMMYFUNCTION("""COMPUTED_VALUE"""),"Drake Content | Expert Instagram Ads Agency in Australia")</f>
        <v>Drake Content | Expert Instagram Ads Agency in Australia</v>
      </c>
      <c r="C2" s="6" t="str">
        <f>IFERROR(__xludf.DUMMYFUNCTION("""COMPUTED_VALUE"""),"drakecontent.com.au")</f>
        <v>drakecontent.com.au</v>
      </c>
      <c r="D2" s="7" t="str">
        <f>IFERROR(__xludf.DUMMYFUNCTION("""COMPUTED_VALUE"""),"PRODUCT_PAGE")</f>
        <v>PRODUCT_PAGE</v>
      </c>
      <c r="E2" s="7" t="str">
        <f>IFERROR(__xludf.DUMMYFUNCTION("""COMPUTED_VALUE"""),"CORPORATE")</f>
        <v>CORPORATE</v>
      </c>
      <c r="F2" s="7" t="str">
        <f>IFERROR(__xludf.DUMMYFUNCTION("""COMPUTED_VALUE"""),"Product Page")</f>
        <v>Product Page</v>
      </c>
      <c r="G2" s="7" t="b">
        <f>IFERROR(__xludf.DUMMYFUNCTION("""COMPUTED_VALUE"""),FALSE)</f>
        <v>0</v>
      </c>
      <c r="H2" s="7"/>
      <c r="I2" s="7">
        <f>IFERROR(__xludf.DUMMYFUNCTION("""COMPUTED_VALUE"""),1.0)</f>
        <v>1</v>
      </c>
      <c r="J2" s="7">
        <f>IFERROR(__xludf.DUMMYFUNCTION("""COMPUTED_VALUE"""),0.0)</f>
        <v>0</v>
      </c>
      <c r="K2" s="7">
        <f>IFERROR(__xludf.DUMMYFUNCTION("""COMPUTED_VALUE"""),0.0)</f>
        <v>0</v>
      </c>
    </row>
    <row r="3" ht="15.75" customHeight="1">
      <c r="A3" s="6" t="str">
        <f>IFERROR(__xludf.DUMMYFUNCTION("""COMPUTED_VALUE"""),"https://gorilla360.com.au/instagram-advertising/")</f>
        <v>https://gorilla360.com.au/instagram-advertising/</v>
      </c>
      <c r="B3" s="7" t="str">
        <f>IFERROR(__xludf.DUMMYFUNCTION("""COMPUTED_VALUE"""),"Instagram Ads Agency [Get Real Results] Gorilla 360")</f>
        <v>Instagram Ads Agency [Get Real Results] Gorilla 360</v>
      </c>
      <c r="C3" s="6" t="str">
        <f>IFERROR(__xludf.DUMMYFUNCTION("""COMPUTED_VALUE"""),"gorilla360.com.au")</f>
        <v>gorilla360.com.au</v>
      </c>
      <c r="D3" s="7" t="str">
        <f>IFERROR(__xludf.DUMMYFUNCTION("""COMPUTED_VALUE"""),"PROFILE")</f>
        <v>PROFILE</v>
      </c>
      <c r="E3" s="7" t="str">
        <f>IFERROR(__xludf.DUMMYFUNCTION("""COMPUTED_VALUE"""),"COMPETITOR")</f>
        <v>COMPETITOR</v>
      </c>
      <c r="F3" s="7" t="str">
        <f>IFERROR(__xludf.DUMMYFUNCTION("""COMPUTED_VALUE"""),"Profile")</f>
        <v>Profile</v>
      </c>
      <c r="G3" s="7" t="b">
        <f>IFERROR(__xludf.DUMMYFUNCTION("""COMPUTED_VALUE"""),FALSE)</f>
        <v>0</v>
      </c>
      <c r="H3" s="7" t="str">
        <f>IFERROR(__xludf.DUMMYFUNCTION("""COMPUTED_VALUE"""),"Gorilla 360, Impressive")</f>
        <v>Gorilla 360, Impressive</v>
      </c>
      <c r="I3" s="7">
        <f>IFERROR(__xludf.DUMMYFUNCTION("""COMPUTED_VALUE"""),1.0)</f>
        <v>1</v>
      </c>
      <c r="J3" s="7">
        <f>IFERROR(__xludf.DUMMYFUNCTION("""COMPUTED_VALUE"""),0.0)</f>
        <v>0</v>
      </c>
      <c r="K3" s="7">
        <f>IFERROR(__xludf.DUMMYFUNCTION("""COMPUTED_VALUE"""),0.0)</f>
        <v>0</v>
      </c>
    </row>
    <row r="4" ht="15.75" customHeight="1">
      <c r="A4" s="6" t="str">
        <f>IFERROR(__xludf.DUMMYFUNCTION("""COMPUTED_VALUE"""),"https://homerdigitalmarketing.com/instagram-ads-agency/")</f>
        <v>https://homerdigitalmarketing.com/instagram-ads-agency/</v>
      </c>
      <c r="B4" s="7" t="str">
        <f>IFERROR(__xludf.DUMMYFUNCTION("""COMPUTED_VALUE"""),"12 Best Instagram Ads Agencies in Australia (2026 Guide)")</f>
        <v>12 Best Instagram Ads Agencies in Australia (2026 Guide)</v>
      </c>
      <c r="C4" s="6" t="str">
        <f>IFERROR(__xludf.DUMMYFUNCTION("""COMPUTED_VALUE"""),"homerdigitalmarketing.com")</f>
        <v>homerdigitalmarketing.com</v>
      </c>
      <c r="D4" s="7" t="str">
        <f>IFERROR(__xludf.DUMMYFUNCTION("""COMPUTED_VALUE"""),"LISTICLE")</f>
        <v>LISTICLE</v>
      </c>
      <c r="E4" s="7" t="str">
        <f>IFERROR(__xludf.DUMMYFUNCTION("""COMPUTED_VALUE"""),"CORPORATE")</f>
        <v>CORPORATE</v>
      </c>
      <c r="F4" s="7" t="str">
        <f>IFERROR(__xludf.DUMMYFUNCTION("""COMPUTED_VALUE"""),"Listicle")</f>
        <v>Listicle</v>
      </c>
      <c r="G4" s="7" t="b">
        <f>IFERROR(__xludf.DUMMYFUNCTION("""COMPUTED_VALUE"""),FALSE)</f>
        <v>0</v>
      </c>
      <c r="H4" s="7" t="str">
        <f>IFERROR(__xludf.DUMMYFUNCTION("""COMPUTED_VALUE"""),"Megaphone, Impressive, Online Marketing Gurus, Omnicom Media Group, Rocket Agency, Alpha Digital, Clearwater Agency, WebSavvy, Sparro, Brainlabs, Metric Labs, Click Click Media")</f>
        <v>Megaphone, Impressive, Online Marketing Gurus, Omnicom Media Group, Rocket Agency, Alpha Digital, Clearwater Agency, WebSavvy, Sparro, Brainlabs, Metric Labs, Click Click Media</v>
      </c>
      <c r="I4" s="7">
        <f>IFERROR(__xludf.DUMMYFUNCTION("""COMPUTED_VALUE"""),1.0)</f>
        <v>1</v>
      </c>
      <c r="J4" s="7">
        <f>IFERROR(__xludf.DUMMYFUNCTION("""COMPUTED_VALUE"""),0.0)</f>
        <v>0</v>
      </c>
      <c r="K4" s="7">
        <f>IFERROR(__xludf.DUMMYFUNCTION("""COMPUTED_VALUE"""),0.0)</f>
        <v>0</v>
      </c>
    </row>
    <row r="5" ht="15.75" customHeight="1">
      <c r="A5" s="6" t="str">
        <f>IFERROR(__xludf.DUMMYFUNCTION("""COMPUTED_VALUE"""),"https://www.instagram.com/p/DWmua7IDz4F/")</f>
        <v>https://www.instagram.com/p/DWmua7IDz4F/</v>
      </c>
      <c r="B5" s="7" t="str">
        <f>IFERROR(__xludf.DUMMYFUNCTION("""COMPUTED_VALUE"""),"We’re incredibly excited to welcome @absolutely.ai as Master Partner for Something Digital 2026.
Absolutely AI is Australia’s leading AI-first creative agency, working with brands and institutions to push the boundaries of storytelling, campaigns and con"&amp;"tent at scale. From cinematic AI films to hands-on creative workshops with global teams, they bring together emerging technology and creative thinking to explore what’s next.
At Something Digital 2026, you’ll see Absolutely AI in action, leading one of m"&amp;"asterclasses as well as debuting a brand new side event, The Australian AI Film Awards. Details to be announced soon 👀")</f>
        <v>We’re incredibly excited to welcome @absolutely.ai as Master Partner for Something Digital 2026.
Absolutely AI is Australia’s leading AI-first creative agency, working with brands and institutions to push the boundaries of storytelling, campaigns and content at scale. From cinematic AI films to hands-on creative workshops with global teams, they bring together emerging technology and creative thinking to explore what’s next.
At Something Digital 2026, you’ll see Absolutely AI in action, leading one of masterclasses as well as debuting a brand new side event, The Australian AI Film Awards. Details to be announced soon 👀</v>
      </c>
      <c r="C5" s="6" t="str">
        <f>IFERROR(__xludf.DUMMYFUNCTION("""COMPUTED_VALUE"""),"instagram.com")</f>
        <v>instagram.com</v>
      </c>
      <c r="D5" s="7" t="str">
        <f>IFERROR(__xludf.DUMMYFUNCTION("""COMPUTED_VALUE"""),"ARTICLE")</f>
        <v>ARTICLE</v>
      </c>
      <c r="E5" s="7" t="str">
        <f>IFERROR(__xludf.DUMMYFUNCTION("""COMPUTED_VALUE"""),"UGC")</f>
        <v>UGC</v>
      </c>
      <c r="F5" s="7" t="str">
        <f>IFERROR(__xludf.DUMMYFUNCTION("""COMPUTED_VALUE"""),"Article")</f>
        <v>Article</v>
      </c>
      <c r="G5" s="7" t="b">
        <f>IFERROR(__xludf.DUMMYFUNCTION("""COMPUTED_VALUE"""),FALSE)</f>
        <v>0</v>
      </c>
      <c r="H5" s="7" t="str">
        <f>IFERROR(__xludf.DUMMYFUNCTION("""COMPUTED_VALUE"""),"Absolutely AI")</f>
        <v>Absolutely AI</v>
      </c>
      <c r="I5" s="7">
        <f>IFERROR(__xludf.DUMMYFUNCTION("""COMPUTED_VALUE"""),1.0)</f>
        <v>1</v>
      </c>
      <c r="J5" s="7">
        <f>IFERROR(__xludf.DUMMYFUNCTION("""COMPUTED_VALUE"""),0.0)</f>
        <v>0</v>
      </c>
      <c r="K5" s="7">
        <f>IFERROR(__xludf.DUMMYFUNCTION("""COMPUTED_VALUE"""),1.0)</f>
        <v>1</v>
      </c>
    </row>
    <row r="6" ht="15.75" customHeight="1">
      <c r="A6" s="6" t="str">
        <f>IFERROR(__xludf.DUMMYFUNCTION("""COMPUTED_VALUE"""),"https://localiq.com/au/products/social-ads/instagram-ads/")</f>
        <v>https://localiq.com/au/products/social-ads/instagram-ads/</v>
      </c>
      <c r="B6" s="7" t="str">
        <f>IFERROR(__xludf.DUMMYFUNCTION("""COMPUTED_VALUE"""),"Instagram Marketing Agency Australia | Targeted Ads&amp;nbsp;")</f>
        <v>Instagram Marketing Agency Australia | Targeted Ads&amp;nbsp;</v>
      </c>
      <c r="C6" s="6" t="str">
        <f>IFERROR(__xludf.DUMMYFUNCTION("""COMPUTED_VALUE"""),"localiq.com")</f>
        <v>localiq.com</v>
      </c>
      <c r="D6" s="7" t="str">
        <f>IFERROR(__xludf.DUMMYFUNCTION("""COMPUTED_VALUE"""),"PRODUCT_PAGE")</f>
        <v>PRODUCT_PAGE</v>
      </c>
      <c r="E6" s="7" t="str">
        <f>IFERROR(__xludf.DUMMYFUNCTION("""COMPUTED_VALUE"""),"CORPORATE")</f>
        <v>CORPORATE</v>
      </c>
      <c r="F6" s="7" t="str">
        <f>IFERROR(__xludf.DUMMYFUNCTION("""COMPUTED_VALUE"""),"Product Page")</f>
        <v>Product Page</v>
      </c>
      <c r="G6" s="7" t="b">
        <f>IFERROR(__xludf.DUMMYFUNCTION("""COMPUTED_VALUE"""),FALSE)</f>
        <v>0</v>
      </c>
      <c r="H6" s="7"/>
      <c r="I6" s="7">
        <f>IFERROR(__xludf.DUMMYFUNCTION("""COMPUTED_VALUE"""),1.0)</f>
        <v>1</v>
      </c>
      <c r="J6" s="7">
        <f>IFERROR(__xludf.DUMMYFUNCTION("""COMPUTED_VALUE"""),0.0)</f>
        <v>0</v>
      </c>
      <c r="K6" s="7">
        <f>IFERROR(__xludf.DUMMYFUNCTION("""COMPUTED_VALUE"""),0.0)</f>
        <v>0</v>
      </c>
    </row>
    <row r="7" ht="15.75" customHeight="1">
      <c r="A7" s="6" t="str">
        <f>IFERROR(__xludf.DUMMYFUNCTION("""COMPUTED_VALUE"""),"https://odindigital.com.au/services/instagram-advertising")</f>
        <v>https://odindigital.com.au/services/instagram-advertising</v>
      </c>
      <c r="B7" s="7" t="str">
        <f>IFERROR(__xludf.DUMMYFUNCTION("""COMPUTED_VALUE"""),"Digital Marketing Agency Australia | Odin Digital")</f>
        <v>Digital Marketing Agency Australia | Odin Digital</v>
      </c>
      <c r="C7" s="6" t="str">
        <f>IFERROR(__xludf.DUMMYFUNCTION("""COMPUTED_VALUE"""),"odindigital.com.au")</f>
        <v>odindigital.com.au</v>
      </c>
      <c r="D7" s="7" t="str">
        <f>IFERROR(__xludf.DUMMYFUNCTION("""COMPUTED_VALUE"""),"PRODUCT_PAGE")</f>
        <v>PRODUCT_PAGE</v>
      </c>
      <c r="E7" s="7" t="str">
        <f>IFERROR(__xludf.DUMMYFUNCTION("""COMPUTED_VALUE"""),"CORPORATE")</f>
        <v>CORPORATE</v>
      </c>
      <c r="F7" s="7" t="str">
        <f>IFERROR(__xludf.DUMMYFUNCTION("""COMPUTED_VALUE"""),"Product Page")</f>
        <v>Product Page</v>
      </c>
      <c r="G7" s="7" t="b">
        <f>IFERROR(__xludf.DUMMYFUNCTION("""COMPUTED_VALUE"""),FALSE)</f>
        <v>0</v>
      </c>
      <c r="H7" s="7" t="str">
        <f>IFERROR(__xludf.DUMMYFUNCTION("""COMPUTED_VALUE"""),"HERO, First Page")</f>
        <v>HERO, First Page</v>
      </c>
      <c r="I7" s="7">
        <f>IFERROR(__xludf.DUMMYFUNCTION("""COMPUTED_VALUE"""),1.0)</f>
        <v>1</v>
      </c>
      <c r="J7" s="7">
        <f>IFERROR(__xludf.DUMMYFUNCTION("""COMPUTED_VALUE"""),0.0)</f>
        <v>0</v>
      </c>
      <c r="K7" s="7">
        <f>IFERROR(__xludf.DUMMYFUNCTION("""COMPUTED_VALUE"""),0.0)</f>
        <v>0</v>
      </c>
    </row>
    <row r="8" ht="15.75" customHeight="1">
      <c r="A8" s="6" t="str">
        <f>IFERROR(__xludf.DUMMYFUNCTION("""COMPUTED_VALUE"""),"https://reformdigital.com.au/services/social-media-advertising/instagram-ads/")</f>
        <v>https://reformdigital.com.au/services/social-media-advertising/instagram-ads/</v>
      </c>
      <c r="B8" s="7" t="str">
        <f>IFERROR(__xludf.DUMMYFUNCTION("""COMPUTED_VALUE"""),"Instagram Advertising Agency Australia | Reform Digital")</f>
        <v>Instagram Advertising Agency Australia | Reform Digital</v>
      </c>
      <c r="C8" s="6" t="str">
        <f>IFERROR(__xludf.DUMMYFUNCTION("""COMPUTED_VALUE"""),"reformdigital.com.au")</f>
        <v>reformdigital.com.au</v>
      </c>
      <c r="D8" s="7" t="str">
        <f>IFERROR(__xludf.DUMMYFUNCTION("""COMPUTED_VALUE"""),"OTHER")</f>
        <v>OTHER</v>
      </c>
      <c r="E8" s="7" t="str">
        <f>IFERROR(__xludf.DUMMYFUNCTION("""COMPUTED_VALUE"""),"COMPETITOR")</f>
        <v>COMPETITOR</v>
      </c>
      <c r="F8" s="7" t="str">
        <f>IFERROR(__xludf.DUMMYFUNCTION("""COMPUTED_VALUE"""),"Other")</f>
        <v>Other</v>
      </c>
      <c r="G8" s="7" t="b">
        <f>IFERROR(__xludf.DUMMYFUNCTION("""COMPUTED_VALUE"""),FALSE)</f>
        <v>0</v>
      </c>
      <c r="H8" s="7" t="str">
        <f>IFERROR(__xludf.DUMMYFUNCTION("""COMPUTED_VALUE"""),"Reform Digital")</f>
        <v>Reform Digital</v>
      </c>
      <c r="I8" s="7">
        <f>IFERROR(__xludf.DUMMYFUNCTION("""COMPUTED_VALUE"""),1.0)</f>
        <v>1</v>
      </c>
      <c r="J8" s="7">
        <f>IFERROR(__xludf.DUMMYFUNCTION("""COMPUTED_VALUE"""),0.0)</f>
        <v>0</v>
      </c>
      <c r="K8" s="7">
        <f>IFERROR(__xludf.DUMMYFUNCTION("""COMPUTED_VALUE"""),0.0)</f>
        <v>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All'!A2:A1000)),""sortlist"")
  ),
  """"
)"),"https://www.sortlist.com/s/paid-media/australia-au")</f>
        <v>https://www.sortlist.com/s/paid-media/australia-au</v>
      </c>
      <c r="B2" s="7" t="str">
        <f>IFERROR(__xludf.DUMMYFUNCTION("""COMPUTED_VALUE"""),"The 10 Best Paid Media Agencies in Australia - 2026 Reviews")</f>
        <v>The 10 Best Paid Media Agencies in Australia - 2026 Reviews</v>
      </c>
      <c r="C2" s="6" t="str">
        <f>IFERROR(__xludf.DUMMYFUNCTION("""COMPUTED_VALUE"""),"sortlist.com")</f>
        <v>sortlist.com</v>
      </c>
      <c r="D2" s="7" t="str">
        <f>IFERROR(__xludf.DUMMYFUNCTION("""COMPUTED_VALUE"""),"CATEGORY_PAGE")</f>
        <v>CATEGORY_PAGE</v>
      </c>
      <c r="E2" s="7" t="str">
        <f>IFERROR(__xludf.DUMMYFUNCTION("""COMPUTED_VALUE"""),"CORPORATE")</f>
        <v>CORPORATE</v>
      </c>
      <c r="F2" s="7" t="str">
        <f>IFERROR(__xludf.DUMMYFUNCTION("""COMPUTED_VALUE"""),"Category Page")</f>
        <v>Category Page</v>
      </c>
      <c r="G2" s="7" t="b">
        <f>IFERROR(__xludf.DUMMYFUNCTION("""COMPUTED_VALUE"""),FALSE)</f>
        <v>0</v>
      </c>
      <c r="H2" s="7" t="str">
        <f>IFERROR(__xludf.DUMMYFUNCTION("""COMPUTED_VALUE"""),"Measured, Earned Media, Clearwater Agency, Impressive, Supple Digital, SIXGUN, Digital Nomads HQ, Soup Agency, HERO")</f>
        <v>Measured, Earned Media, Clearwater Agency, Impressive, Supple Digital, SIXGUN, Digital Nomads HQ, Soup Agency, HERO</v>
      </c>
      <c r="I2" s="7">
        <f>IFERROR(__xludf.DUMMYFUNCTION("""COMPUTED_VALUE"""),53.0)</f>
        <v>53</v>
      </c>
      <c r="J2" s="7">
        <f>IFERROR(__xludf.DUMMYFUNCTION("""COMPUTED_VALUE"""),0.06)</f>
        <v>0.06</v>
      </c>
      <c r="K2" s="7">
        <f>IFERROR(__xludf.DUMMYFUNCTION("""COMPUTED_VALUE"""),0.58)</f>
        <v>0.58</v>
      </c>
    </row>
    <row r="3" ht="15.75" customHeight="1">
      <c r="A3" s="6" t="str">
        <f>IFERROR(__xludf.DUMMYFUNCTION("""COMPUTED_VALUE"""),"https://www.sortlist.com/s/display-advertising/australia-au")</f>
        <v>https://www.sortlist.com/s/display-advertising/australia-au</v>
      </c>
      <c r="B3" s="7" t="str">
        <f>IFERROR(__xludf.DUMMYFUNCTION("""COMPUTED_VALUE"""),"The 10 Best Display Advertising Agencies in Australia - 2026 Reviews")</f>
        <v>The 10 Best Display Advertising Agencies in Australia - 2026 Reviews</v>
      </c>
      <c r="C3" s="6" t="str">
        <f>IFERROR(__xludf.DUMMYFUNCTION("""COMPUTED_VALUE"""),"sortlist.com")</f>
        <v>sortlist.com</v>
      </c>
      <c r="D3" s="7" t="str">
        <f>IFERROR(__xludf.DUMMYFUNCTION("""COMPUTED_VALUE"""),"PROFILE")</f>
        <v>PROFILE</v>
      </c>
      <c r="E3" s="7" t="str">
        <f>IFERROR(__xludf.DUMMYFUNCTION("""COMPUTED_VALUE"""),"CORPORATE")</f>
        <v>CORPORATE</v>
      </c>
      <c r="F3" s="7" t="str">
        <f>IFERROR(__xludf.DUMMYFUNCTION("""COMPUTED_VALUE"""),"Profile")</f>
        <v>Profile</v>
      </c>
      <c r="G3" s="7" t="b">
        <f>IFERROR(__xludf.DUMMYFUNCTION("""COMPUTED_VALUE"""),FALSE)</f>
        <v>0</v>
      </c>
      <c r="H3" s="7" t="str">
        <f>IFERROR(__xludf.DUMMYFUNCTION("""COMPUTED_VALUE"""),"Measured, Earned Media, Clearwater Agency, Impressive, Supple Digital, SIXGUN, Soup Agency, HERO, Digital Nomads HQ, Momentum, CUT THRU")</f>
        <v>Measured, Earned Media, Clearwater Agency, Impressive, Supple Digital, SIXGUN, Soup Agency, HERO, Digital Nomads HQ, Momentum, CUT THRU</v>
      </c>
      <c r="I3" s="7">
        <f>IFERROR(__xludf.DUMMYFUNCTION("""COMPUTED_VALUE"""),27.0)</f>
        <v>27</v>
      </c>
      <c r="J3" s="7">
        <f>IFERROR(__xludf.DUMMYFUNCTION("""COMPUTED_VALUE"""),0.03)</f>
        <v>0.03</v>
      </c>
      <c r="K3" s="7">
        <f>IFERROR(__xludf.DUMMYFUNCTION("""COMPUTED_VALUE"""),0.56)</f>
        <v>0.56</v>
      </c>
    </row>
    <row r="4" ht="15.75" customHeight="1">
      <c r="A4" s="6" t="str">
        <f>IFERROR(__xludf.DUMMYFUNCTION("""COMPUTED_VALUE"""),"https://www.sortlist.com/s/paid-media/sydney-au")</f>
        <v>https://www.sortlist.com/s/paid-media/sydney-au</v>
      </c>
      <c r="B4" s="7" t="str">
        <f>IFERROR(__xludf.DUMMYFUNCTION("""COMPUTED_VALUE"""),"The 10 Best Paid Media Agencies in Sydney - 2026 Reviews")</f>
        <v>The 10 Best Paid Media Agencies in Sydney - 2026 Reviews</v>
      </c>
      <c r="C4" s="6" t="str">
        <f>IFERROR(__xludf.DUMMYFUNCTION("""COMPUTED_VALUE"""),"sortlist.com")</f>
        <v>sortlist.com</v>
      </c>
      <c r="D4" s="7" t="str">
        <f>IFERROR(__xludf.DUMMYFUNCTION("""COMPUTED_VALUE"""),"CATEGORY_PAGE")</f>
        <v>CATEGORY_PAGE</v>
      </c>
      <c r="E4" s="7" t="str">
        <f>IFERROR(__xludf.DUMMYFUNCTION("""COMPUTED_VALUE"""),"CORPORATE")</f>
        <v>CORPORATE</v>
      </c>
      <c r="F4" s="7" t="str">
        <f>IFERROR(__xludf.DUMMYFUNCTION("""COMPUTED_VALUE"""),"Category Page")</f>
        <v>Category Page</v>
      </c>
      <c r="G4" s="7" t="b">
        <f>IFERROR(__xludf.DUMMYFUNCTION("""COMPUTED_VALUE"""),FALSE)</f>
        <v>0</v>
      </c>
      <c r="H4" s="7" t="str">
        <f>IFERROR(__xludf.DUMMYFUNCTION("""COMPUTED_VALUE"""),"Impressive, Supple Digital, Measured, Earned Media, Clearwater Agency, SIXGUN, Ninja Promo, Momentum, Soup Agency, HERO, Digital Nomads HQ")</f>
        <v>Impressive, Supple Digital, Measured, Earned Media, Clearwater Agency, SIXGUN, Ninja Promo, Momentum, Soup Agency, HERO, Digital Nomads HQ</v>
      </c>
      <c r="I4" s="7">
        <f>IFERROR(__xludf.DUMMYFUNCTION("""COMPUTED_VALUE"""),20.0)</f>
        <v>20</v>
      </c>
      <c r="J4" s="7">
        <f>IFERROR(__xludf.DUMMYFUNCTION("""COMPUTED_VALUE"""),0.02)</f>
        <v>0.02</v>
      </c>
      <c r="K4" s="7">
        <f>IFERROR(__xludf.DUMMYFUNCTION("""COMPUTED_VALUE"""),0.55)</f>
        <v>0.55</v>
      </c>
    </row>
    <row r="5" ht="15.75" customHeight="1">
      <c r="A5" s="6" t="str">
        <f>IFERROR(__xludf.DUMMYFUNCTION("""COMPUTED_VALUE"""),"https://www.sortlist.com/s/performance-marketing/australia-au")</f>
        <v>https://www.sortlist.com/s/performance-marketing/australia-au</v>
      </c>
      <c r="B5" s="7" t="str">
        <f>IFERROR(__xludf.DUMMYFUNCTION("""COMPUTED_VALUE"""),"The 10 Best Performance Marketing Agencies in Australia - 2026 Reviews")</f>
        <v>The 10 Best Performance Marketing Agencies in Australia - 2026 Reviews</v>
      </c>
      <c r="C5" s="6" t="str">
        <f>IFERROR(__xludf.DUMMYFUNCTION("""COMPUTED_VALUE"""),"sortlist.com")</f>
        <v>sortlist.com</v>
      </c>
      <c r="D5" s="7" t="str">
        <f>IFERROR(__xludf.DUMMYFUNCTION("""COMPUTED_VALUE"""),"CATEGORY_PAGE")</f>
        <v>CATEGORY_PAGE</v>
      </c>
      <c r="E5" s="7" t="str">
        <f>IFERROR(__xludf.DUMMYFUNCTION("""COMPUTED_VALUE"""),"CORPORATE")</f>
        <v>CORPORATE</v>
      </c>
      <c r="F5" s="7" t="str">
        <f>IFERROR(__xludf.DUMMYFUNCTION("""COMPUTED_VALUE"""),"Category Page")</f>
        <v>Category Page</v>
      </c>
      <c r="G5" s="7" t="b">
        <f>IFERROR(__xludf.DUMMYFUNCTION("""COMPUTED_VALUE"""),FALSE)</f>
        <v>0</v>
      </c>
      <c r="H5" s="7" t="str">
        <f>IFERROR(__xludf.DUMMYFUNCTION("""COMPUTED_VALUE"""),"Measured, Earned Media, Clearwater Agency, Impressive, Supple Digital, SIXGUN, Digital Nomads HQ, Soup Agency, HERO, Momentum, CUT THRU")</f>
        <v>Measured, Earned Media, Clearwater Agency, Impressive, Supple Digital, SIXGUN, Digital Nomads HQ, Soup Agency, HERO, Momentum, CUT THRU</v>
      </c>
      <c r="I5" s="7">
        <f>IFERROR(__xludf.DUMMYFUNCTION("""COMPUTED_VALUE"""),20.0)</f>
        <v>20</v>
      </c>
      <c r="J5" s="7">
        <f>IFERROR(__xludf.DUMMYFUNCTION("""COMPUTED_VALUE"""),0.02)</f>
        <v>0.02</v>
      </c>
      <c r="K5" s="7">
        <f>IFERROR(__xludf.DUMMYFUNCTION("""COMPUTED_VALUE"""),0.95)</f>
        <v>0.95</v>
      </c>
    </row>
    <row r="6" ht="15.75" customHeight="1">
      <c r="A6" s="6" t="str">
        <f>IFERROR(__xludf.DUMMYFUNCTION("""COMPUTED_VALUE"""),"https://www.sortlist.com/s/creative/australia-au")</f>
        <v>https://www.sortlist.com/s/creative/australia-au</v>
      </c>
      <c r="B6" s="7" t="str">
        <f>IFERROR(__xludf.DUMMYFUNCTION("""COMPUTED_VALUE"""),"The 10 Best Creative Agencies in Australia - 2026 Reviews")</f>
        <v>The 10 Best Creative Agencies in Australia - 2026 Reviews</v>
      </c>
      <c r="C6" s="6" t="str">
        <f>IFERROR(__xludf.DUMMYFUNCTION("""COMPUTED_VALUE"""),"sortlist.com")</f>
        <v>sortlist.com</v>
      </c>
      <c r="D6" s="7" t="str">
        <f>IFERROR(__xludf.DUMMYFUNCTION("""COMPUTED_VALUE"""),"PROFILE")</f>
        <v>PROFILE</v>
      </c>
      <c r="E6" s="7" t="str">
        <f>IFERROR(__xludf.DUMMYFUNCTION("""COMPUTED_VALUE"""),"CORPORATE")</f>
        <v>CORPORATE</v>
      </c>
      <c r="F6" s="7" t="str">
        <f>IFERROR(__xludf.DUMMYFUNCTION("""COMPUTED_VALUE"""),"Profile")</f>
        <v>Profile</v>
      </c>
      <c r="G6" s="7" t="b">
        <f>IFERROR(__xludf.DUMMYFUNCTION("""COMPUTED_VALUE"""),FALSE)</f>
        <v>0</v>
      </c>
      <c r="H6" s="7" t="str">
        <f>IFERROR(__xludf.DUMMYFUNCTION("""COMPUTED_VALUE"""),"Momentum, Impressive, Ninja Promo")</f>
        <v>Momentum, Impressive, Ninja Promo</v>
      </c>
      <c r="I6" s="7">
        <f>IFERROR(__xludf.DUMMYFUNCTION("""COMPUTED_VALUE"""),18.0)</f>
        <v>18</v>
      </c>
      <c r="J6" s="7">
        <f>IFERROR(__xludf.DUMMYFUNCTION("""COMPUTED_VALUE"""),0.02)</f>
        <v>0.02</v>
      </c>
      <c r="K6" s="7">
        <f>IFERROR(__xludf.DUMMYFUNCTION("""COMPUTED_VALUE"""),0.0)</f>
        <v>0</v>
      </c>
    </row>
    <row r="7" ht="15.75" customHeight="1">
      <c r="A7" s="6" t="str">
        <f>IFERROR(__xludf.DUMMYFUNCTION("""COMPUTED_VALUE"""),"https://www.sortlist.com/s/performance-marketing/melbourne-au")</f>
        <v>https://www.sortlist.com/s/performance-marketing/melbourne-au</v>
      </c>
      <c r="B7" s="7" t="str">
        <f>IFERROR(__xludf.DUMMYFUNCTION("""COMPUTED_VALUE"""),"The 10 Best Performance Marketing Agencies in Melbourne - 2026 Reviews")</f>
        <v>The 10 Best Performance Marketing Agencies in Melbourne - 2026 Reviews</v>
      </c>
      <c r="C7" s="6" t="str">
        <f>IFERROR(__xludf.DUMMYFUNCTION("""COMPUTED_VALUE"""),"sortlist.com")</f>
        <v>sortlist.com</v>
      </c>
      <c r="D7" s="7" t="str">
        <f>IFERROR(__xludf.DUMMYFUNCTION("""COMPUTED_VALUE"""),"CATEGORY_PAGE")</f>
        <v>CATEGORY_PAGE</v>
      </c>
      <c r="E7" s="7" t="str">
        <f>IFERROR(__xludf.DUMMYFUNCTION("""COMPUTED_VALUE"""),"CORPORATE")</f>
        <v>CORPORATE</v>
      </c>
      <c r="F7" s="7" t="str">
        <f>IFERROR(__xludf.DUMMYFUNCTION("""COMPUTED_VALUE"""),"Category Page")</f>
        <v>Category Page</v>
      </c>
      <c r="G7" s="7" t="b">
        <f>IFERROR(__xludf.DUMMYFUNCTION("""COMPUTED_VALUE"""),FALSE)</f>
        <v>0</v>
      </c>
      <c r="H7" s="7" t="str">
        <f>IFERROR(__xludf.DUMMYFUNCTION("""COMPUTED_VALUE"""),"Measured, Earned Media, Clearwater Agency, SIXGUN, Impressive, Supple Digital, Momentum, Adcore Elite, 80/20 Digital, Deloitte")</f>
        <v>Measured, Earned Media, Clearwater Agency, SIXGUN, Impressive, Supple Digital, Momentum, Adcore Elite, 80/20 Digital, Deloitte</v>
      </c>
      <c r="I7" s="7">
        <f>IFERROR(__xludf.DUMMYFUNCTION("""COMPUTED_VALUE"""),18.0)</f>
        <v>18</v>
      </c>
      <c r="J7" s="7">
        <f>IFERROR(__xludf.DUMMYFUNCTION("""COMPUTED_VALUE"""),0.02)</f>
        <v>0.02</v>
      </c>
      <c r="K7" s="7">
        <f>IFERROR(__xludf.DUMMYFUNCTION("""COMPUTED_VALUE"""),0.72)</f>
        <v>0.72</v>
      </c>
    </row>
    <row r="8" ht="15.75" customHeight="1">
      <c r="A8" s="6" t="str">
        <f>IFERROR(__xludf.DUMMYFUNCTION("""COMPUTED_VALUE"""),"https://www.sortlist.com/s/marketing-analytics/australia-au")</f>
        <v>https://www.sortlist.com/s/marketing-analytics/australia-au</v>
      </c>
      <c r="B8" s="7" t="str">
        <f>IFERROR(__xludf.DUMMYFUNCTION("""COMPUTED_VALUE"""),"The 10 Best Marketing Analytics Companies in Australia - 2026 Reviews")</f>
        <v>The 10 Best Marketing Analytics Companies in Australia - 2026 Reviews</v>
      </c>
      <c r="C8" s="6" t="str">
        <f>IFERROR(__xludf.DUMMYFUNCTION("""COMPUTED_VALUE"""),"sortlist.com")</f>
        <v>sortlist.com</v>
      </c>
      <c r="D8" s="7" t="str">
        <f>IFERROR(__xludf.DUMMYFUNCTION("""COMPUTED_VALUE"""),"CATEGORY_PAGE")</f>
        <v>CATEGORY_PAGE</v>
      </c>
      <c r="E8" s="7" t="str">
        <f>IFERROR(__xludf.DUMMYFUNCTION("""COMPUTED_VALUE"""),"CORPORATE")</f>
        <v>CORPORATE</v>
      </c>
      <c r="F8" s="7" t="str">
        <f>IFERROR(__xludf.DUMMYFUNCTION("""COMPUTED_VALUE"""),"Category Page")</f>
        <v>Category Page</v>
      </c>
      <c r="G8" s="7" t="b">
        <f>IFERROR(__xludf.DUMMYFUNCTION("""COMPUTED_VALUE"""),FALSE)</f>
        <v>0</v>
      </c>
      <c r="H8" s="7" t="str">
        <f>IFERROR(__xludf.DUMMYFUNCTION("""COMPUTED_VALUE"""),"Digital Nomads HQ, Momentum, Soup Agency, HERO, SIXGUN, Impressive, Intelligent Resourcing, Ninja Promo")</f>
        <v>Digital Nomads HQ, Momentum, Soup Agency, HERO, SIXGUN, Impressive, Intelligent Resourcing, Ninja Promo</v>
      </c>
      <c r="I8" s="7">
        <f>IFERROR(__xludf.DUMMYFUNCTION("""COMPUTED_VALUE"""),17.0)</f>
        <v>17</v>
      </c>
      <c r="J8" s="7">
        <f>IFERROR(__xludf.DUMMYFUNCTION("""COMPUTED_VALUE"""),0.02)</f>
        <v>0.02</v>
      </c>
      <c r="K8" s="7">
        <f>IFERROR(__xludf.DUMMYFUNCTION("""COMPUTED_VALUE"""),0.65)</f>
        <v>0.65</v>
      </c>
    </row>
    <row r="9" ht="15.75" customHeight="1">
      <c r="A9" s="6" t="str">
        <f>IFERROR(__xludf.DUMMYFUNCTION("""COMPUTED_VALUE"""),"https://www.sortlist.com/media-planning/australia-au")</f>
        <v>https://www.sortlist.com/media-planning/australia-au</v>
      </c>
      <c r="B9" s="7" t="str">
        <f>IFERROR(__xludf.DUMMYFUNCTION("""COMPUTED_VALUE"""),"The 10 Best Media Agencies in Australia - 2026 Reviews")</f>
        <v>The 10 Best Media Agencies in Australia - 2026 Reviews</v>
      </c>
      <c r="C9" s="6" t="str">
        <f>IFERROR(__xludf.DUMMYFUNCTION("""COMPUTED_VALUE"""),"sortlist.com")</f>
        <v>sortlist.com</v>
      </c>
      <c r="D9" s="7" t="str">
        <f>IFERROR(__xludf.DUMMYFUNCTION("""COMPUTED_VALUE"""),"CATEGORY_PAGE")</f>
        <v>CATEGORY_PAGE</v>
      </c>
      <c r="E9" s="7" t="str">
        <f>IFERROR(__xludf.DUMMYFUNCTION("""COMPUTED_VALUE"""),"CORPORATE")</f>
        <v>CORPORATE</v>
      </c>
      <c r="F9" s="7" t="str">
        <f>IFERROR(__xludf.DUMMYFUNCTION("""COMPUTED_VALUE"""),"Category Page")</f>
        <v>Category Page</v>
      </c>
      <c r="G9" s="7" t="b">
        <f>IFERROR(__xludf.DUMMYFUNCTION("""COMPUTED_VALUE"""),FALSE)</f>
        <v>0</v>
      </c>
      <c r="H9" s="7" t="str">
        <f>IFERROR(__xludf.DUMMYFUNCTION("""COMPUTED_VALUE"""),"Impressive, CUT THRU, Momentum, Earned Media, SIXGUN")</f>
        <v>Impressive, CUT THRU, Momentum, Earned Media, SIXGUN</v>
      </c>
      <c r="I9" s="7">
        <f>IFERROR(__xludf.DUMMYFUNCTION("""COMPUTED_VALUE"""),13.0)</f>
        <v>13</v>
      </c>
      <c r="J9" s="7">
        <f>IFERROR(__xludf.DUMMYFUNCTION("""COMPUTED_VALUE"""),0.01)</f>
        <v>0.01</v>
      </c>
      <c r="K9" s="7">
        <f>IFERROR(__xludf.DUMMYFUNCTION("""COMPUTED_VALUE"""),0.92)</f>
        <v>0.92</v>
      </c>
    </row>
    <row r="10" ht="15.75" customHeight="1">
      <c r="A10" s="6" t="str">
        <f>IFERROR(__xludf.DUMMYFUNCTION("""COMPUTED_VALUE"""),"https://www.sortlist.com/s/paid-media/australian-capital-territory-act-au")</f>
        <v>https://www.sortlist.com/s/paid-media/australian-capital-territory-act-au</v>
      </c>
      <c r="B10" s="7" t="str">
        <f>IFERROR(__xludf.DUMMYFUNCTION("""COMPUTED_VALUE"""),"The 10 Best Paid Media Agencies in Australian Capital Territory - 2026 Reviews")</f>
        <v>The 10 Best Paid Media Agencies in Australian Capital Territory - 2026 Reviews</v>
      </c>
      <c r="C10" s="6" t="str">
        <f>IFERROR(__xludf.DUMMYFUNCTION("""COMPUTED_VALUE"""),"sortlist.com")</f>
        <v>sortlist.com</v>
      </c>
      <c r="D10" s="7" t="str">
        <f>IFERROR(__xludf.DUMMYFUNCTION("""COMPUTED_VALUE"""),"CATEGORY_PAGE")</f>
        <v>CATEGORY_PAGE</v>
      </c>
      <c r="E10" s="7" t="str">
        <f>IFERROR(__xludf.DUMMYFUNCTION("""COMPUTED_VALUE"""),"CORPORATE")</f>
        <v>CORPORATE</v>
      </c>
      <c r="F10" s="7" t="str">
        <f>IFERROR(__xludf.DUMMYFUNCTION("""COMPUTED_VALUE"""),"Category Page")</f>
        <v>Category Page</v>
      </c>
      <c r="G10" s="7" t="b">
        <f>IFERROR(__xludf.DUMMYFUNCTION("""COMPUTED_VALUE"""),FALSE)</f>
        <v>0</v>
      </c>
      <c r="H10" s="7" t="str">
        <f>IFERROR(__xludf.DUMMYFUNCTION("""COMPUTED_VALUE"""),"Measured, Earned Media, Clearwater Agency, SIXGUN, Impressive, Supple Digital, Ninja Promo, Momentum, Digital Nomads HQ, Soup Agency, HERO, 23 Digital")</f>
        <v>Measured, Earned Media, Clearwater Agency, SIXGUN, Impressive, Supple Digital, Ninja Promo, Momentum, Digital Nomads HQ, Soup Agency, HERO, 23 Digital</v>
      </c>
      <c r="I10" s="7">
        <f>IFERROR(__xludf.DUMMYFUNCTION("""COMPUTED_VALUE"""),13.0)</f>
        <v>13</v>
      </c>
      <c r="J10" s="7">
        <f>IFERROR(__xludf.DUMMYFUNCTION("""COMPUTED_VALUE"""),0.01)</f>
        <v>0.01</v>
      </c>
      <c r="K10" s="7">
        <f>IFERROR(__xludf.DUMMYFUNCTION("""COMPUTED_VALUE"""),0.08)</f>
        <v>0.08</v>
      </c>
    </row>
    <row r="11" ht="15.75" customHeight="1">
      <c r="A11" s="6" t="str">
        <f>IFERROR(__xludf.DUMMYFUNCTION("""COMPUTED_VALUE"""),"https://www.sortlist.com/s/performance-marketing/sydney-au")</f>
        <v>https://www.sortlist.com/s/performance-marketing/sydney-au</v>
      </c>
      <c r="B11" s="7" t="str">
        <f>IFERROR(__xludf.DUMMYFUNCTION("""COMPUTED_VALUE"""),"The 10 Best Performance Marketing Agencies in Sydney - 2026 Reviews")</f>
        <v>The 10 Best Performance Marketing Agencies in Sydney - 2026 Reviews</v>
      </c>
      <c r="C11" s="6" t="str">
        <f>IFERROR(__xludf.DUMMYFUNCTION("""COMPUTED_VALUE"""),"sortlist.com")</f>
        <v>sortlist.com</v>
      </c>
      <c r="D11" s="7" t="str">
        <f>IFERROR(__xludf.DUMMYFUNCTION("""COMPUTED_VALUE"""),"CATEGORY_PAGE")</f>
        <v>CATEGORY_PAGE</v>
      </c>
      <c r="E11" s="7" t="str">
        <f>IFERROR(__xludf.DUMMYFUNCTION("""COMPUTED_VALUE"""),"CORPORATE")</f>
        <v>CORPORATE</v>
      </c>
      <c r="F11" s="7" t="str">
        <f>IFERROR(__xludf.DUMMYFUNCTION("""COMPUTED_VALUE"""),"Category Page")</f>
        <v>Category Page</v>
      </c>
      <c r="G11" s="7" t="b">
        <f>IFERROR(__xludf.DUMMYFUNCTION("""COMPUTED_VALUE"""),FALSE)</f>
        <v>0</v>
      </c>
      <c r="H11" s="7" t="str">
        <f>IFERROR(__xludf.DUMMYFUNCTION("""COMPUTED_VALUE"""),"Impressive, Supple Digital, Measured, Earned Media, Clearwater Agency, SIXGUN, Momentum, Soup Agency, HERO, Digital Nomads HQ, Sparro, AdVisible")</f>
        <v>Impressive, Supple Digital, Measured, Earned Media, Clearwater Agency, SIXGUN, Momentum, Soup Agency, HERO, Digital Nomads HQ, Sparro, AdVisible</v>
      </c>
      <c r="I11" s="7">
        <f>IFERROR(__xludf.DUMMYFUNCTION("""COMPUTED_VALUE"""),9.0)</f>
        <v>9</v>
      </c>
      <c r="J11" s="7">
        <f>IFERROR(__xludf.DUMMYFUNCTION("""COMPUTED_VALUE"""),0.01)</f>
        <v>0.01</v>
      </c>
      <c r="K11" s="7">
        <f>IFERROR(__xludf.DUMMYFUNCTION("""COMPUTED_VALUE"""),0.11)</f>
        <v>0.11</v>
      </c>
    </row>
    <row r="12" ht="15.75" customHeight="1">
      <c r="A12" s="6" t="str">
        <f>IFERROR(__xludf.DUMMYFUNCTION("""COMPUTED_VALUE"""),"https://www.sortlist.com/s/programmatic-advertising/australia-au")</f>
        <v>https://www.sortlist.com/s/programmatic-advertising/australia-au</v>
      </c>
      <c r="B12" s="7" t="str">
        <f>IFERROR(__xludf.DUMMYFUNCTION("""COMPUTED_VALUE"""),"The 10 Best Programmatic Advertising Companies in Australia - 2026 Reviews")</f>
        <v>The 10 Best Programmatic Advertising Companies in Australia - 2026 Reviews</v>
      </c>
      <c r="C12" s="6" t="str">
        <f>IFERROR(__xludf.DUMMYFUNCTION("""COMPUTED_VALUE"""),"sortlist.com")</f>
        <v>sortlist.com</v>
      </c>
      <c r="D12" s="7" t="str">
        <f>IFERROR(__xludf.DUMMYFUNCTION("""COMPUTED_VALUE"""),"CATEGORY_PAGE")</f>
        <v>CATEGORY_PAGE</v>
      </c>
      <c r="E12" s="7" t="str">
        <f>IFERROR(__xludf.DUMMYFUNCTION("""COMPUTED_VALUE"""),"CORPORATE")</f>
        <v>CORPORATE</v>
      </c>
      <c r="F12" s="7" t="str">
        <f>IFERROR(__xludf.DUMMYFUNCTION("""COMPUTED_VALUE"""),"Category Page")</f>
        <v>Category Page</v>
      </c>
      <c r="G12" s="7" t="b">
        <f>IFERROR(__xludf.DUMMYFUNCTION("""COMPUTED_VALUE"""),FALSE)</f>
        <v>0</v>
      </c>
      <c r="H12" s="7" t="str">
        <f>IFERROR(__xludf.DUMMYFUNCTION("""COMPUTED_VALUE"""),"Measured, Earned Media, Clearwater Agency, Impressive, Supple Digital, SIXGUN, Digital Nomads HQ, Soup Agency, HERO")</f>
        <v>Measured, Earned Media, Clearwater Agency, Impressive, Supple Digital, SIXGUN, Digital Nomads HQ, Soup Agency, HERO</v>
      </c>
      <c r="I12" s="7">
        <f>IFERROR(__xludf.DUMMYFUNCTION("""COMPUTED_VALUE"""),8.0)</f>
        <v>8</v>
      </c>
      <c r="J12" s="7">
        <f>IFERROR(__xludf.DUMMYFUNCTION("""COMPUTED_VALUE"""),0.01)</f>
        <v>0.01</v>
      </c>
      <c r="K12" s="7">
        <f>IFERROR(__xludf.DUMMYFUNCTION("""COMPUTED_VALUE"""),0.13)</f>
        <v>0.13</v>
      </c>
    </row>
    <row r="13" ht="15.75" customHeight="1">
      <c r="A13" s="6" t="str">
        <f>IFERROR(__xludf.DUMMYFUNCTION("""COMPUTED_VALUE"""),"https://www.sortlist.com/social-media/australia-au")</f>
        <v>https://www.sortlist.com/social-media/australia-au</v>
      </c>
      <c r="B13" s="7" t="str">
        <f>IFERROR(__xludf.DUMMYFUNCTION("""COMPUTED_VALUE"""),"The 10 Best Social Media Agencies in Australia - 2026 Reviews")</f>
        <v>The 10 Best Social Media Agencies in Australia - 2026 Reviews</v>
      </c>
      <c r="C13" s="6" t="str">
        <f>IFERROR(__xludf.DUMMYFUNCTION("""COMPUTED_VALUE"""),"sortlist.com")</f>
        <v>sortlist.com</v>
      </c>
      <c r="D13" s="7" t="str">
        <f>IFERROR(__xludf.DUMMYFUNCTION("""COMPUTED_VALUE"""),"CATEGORY_PAGE")</f>
        <v>CATEGORY_PAGE</v>
      </c>
      <c r="E13" s="7" t="str">
        <f>IFERROR(__xludf.DUMMYFUNCTION("""COMPUTED_VALUE"""),"CORPORATE")</f>
        <v>CORPORATE</v>
      </c>
      <c r="F13" s="7" t="str">
        <f>IFERROR(__xludf.DUMMYFUNCTION("""COMPUTED_VALUE"""),"Category Page")</f>
        <v>Category Page</v>
      </c>
      <c r="G13" s="7" t="b">
        <f>IFERROR(__xludf.DUMMYFUNCTION("""COMPUTED_VALUE"""),FALSE)</f>
        <v>0</v>
      </c>
      <c r="H13" s="7" t="str">
        <f>IFERROR(__xludf.DUMMYFUNCTION("""COMPUTED_VALUE"""),"Measured, Earned Media, Clearwater Agency, Impressive, Supple Digital, Soup Agency, HERO, Digital Nomads HQ, SIXGUN")</f>
        <v>Measured, Earned Media, Clearwater Agency, Impressive, Supple Digital, Soup Agency, HERO, Digital Nomads HQ, SIXGUN</v>
      </c>
      <c r="I13" s="7">
        <f>IFERROR(__xludf.DUMMYFUNCTION("""COMPUTED_VALUE"""),8.0)</f>
        <v>8</v>
      </c>
      <c r="J13" s="7">
        <f>IFERROR(__xludf.DUMMYFUNCTION("""COMPUTED_VALUE"""),0.01)</f>
        <v>0.01</v>
      </c>
      <c r="K13" s="7">
        <f>IFERROR(__xludf.DUMMYFUNCTION("""COMPUTED_VALUE"""),1.0)</f>
        <v>1</v>
      </c>
    </row>
    <row r="14" ht="15.75" customHeight="1">
      <c r="A14" s="6" t="str">
        <f>IFERROR(__xludf.DUMMYFUNCTION("""COMPUTED_VALUE"""),"https://www.sortlist.com/digital-marketing/australia-au")</f>
        <v>https://www.sortlist.com/digital-marketing/australia-au</v>
      </c>
      <c r="B14" s="7" t="str">
        <f>IFERROR(__xludf.DUMMYFUNCTION("""COMPUTED_VALUE"""),"The 10 Best Digital Marketing Agencies in Australia - 2026 Reviews")</f>
        <v>The 10 Best Digital Marketing Agencies in Australia - 2026 Reviews</v>
      </c>
      <c r="C14" s="6" t="str">
        <f>IFERROR(__xludf.DUMMYFUNCTION("""COMPUTED_VALUE"""),"sortlist.com")</f>
        <v>sortlist.com</v>
      </c>
      <c r="D14" s="7" t="str">
        <f>IFERROR(__xludf.DUMMYFUNCTION("""COMPUTED_VALUE"""),"CATEGORY_PAGE")</f>
        <v>CATEGORY_PAGE</v>
      </c>
      <c r="E14" s="7" t="str">
        <f>IFERROR(__xludf.DUMMYFUNCTION("""COMPUTED_VALUE"""),"CORPORATE")</f>
        <v>CORPORATE</v>
      </c>
      <c r="F14" s="7" t="str">
        <f>IFERROR(__xludf.DUMMYFUNCTION("""COMPUTED_VALUE"""),"Category Page")</f>
        <v>Category Page</v>
      </c>
      <c r="G14" s="7" t="b">
        <f>IFERROR(__xludf.DUMMYFUNCTION("""COMPUTED_VALUE"""),FALSE)</f>
        <v>0</v>
      </c>
      <c r="H14" s="7" t="str">
        <f>IFERROR(__xludf.DUMMYFUNCTION("""COMPUTED_VALUE"""),"Measured, Earned Media, Clearwater Agency, Impressive, Supple Digital, Digital Nomads HQ, Soup Agency, HERO, Momentum")</f>
        <v>Measured, Earned Media, Clearwater Agency, Impressive, Supple Digital, Digital Nomads HQ, Soup Agency, HERO, Momentum</v>
      </c>
      <c r="I14" s="7">
        <f>IFERROR(__xludf.DUMMYFUNCTION("""COMPUTED_VALUE"""),7.0)</f>
        <v>7</v>
      </c>
      <c r="J14" s="7">
        <f>IFERROR(__xludf.DUMMYFUNCTION("""COMPUTED_VALUE"""),0.01)</f>
        <v>0.01</v>
      </c>
      <c r="K14" s="7">
        <f>IFERROR(__xludf.DUMMYFUNCTION("""COMPUTED_VALUE"""),0.0)</f>
        <v>0</v>
      </c>
    </row>
    <row r="15" ht="15.75" customHeight="1">
      <c r="A15" s="6" t="str">
        <f>IFERROR(__xludf.DUMMYFUNCTION("""COMPUTED_VALUE"""),"https://www.sortlist.com/l/australia-au")</f>
        <v>https://www.sortlist.com/l/australia-au</v>
      </c>
      <c r="B15" s="7" t="str">
        <f>IFERROR(__xludf.DUMMYFUNCTION("""COMPUTED_VALUE"""),"The 10 Best Marketing Agencies in Australia - 2026 Reviews")</f>
        <v>The 10 Best Marketing Agencies in Australia - 2026 Reviews</v>
      </c>
      <c r="C15" s="6" t="str">
        <f>IFERROR(__xludf.DUMMYFUNCTION("""COMPUTED_VALUE"""),"sortlist.com")</f>
        <v>sortlist.com</v>
      </c>
      <c r="D15" s="7" t="str">
        <f>IFERROR(__xludf.DUMMYFUNCTION("""COMPUTED_VALUE"""),"PROFILE")</f>
        <v>PROFILE</v>
      </c>
      <c r="E15" s="7" t="str">
        <f>IFERROR(__xludf.DUMMYFUNCTION("""COMPUTED_VALUE"""),"CORPORATE")</f>
        <v>CORPORATE</v>
      </c>
      <c r="F15" s="7" t="str">
        <f>IFERROR(__xludf.DUMMYFUNCTION("""COMPUTED_VALUE"""),"Profile")</f>
        <v>Profile</v>
      </c>
      <c r="G15" s="7" t="b">
        <f>IFERROR(__xludf.DUMMYFUNCTION("""COMPUTED_VALUE"""),FALSE)</f>
        <v>0</v>
      </c>
      <c r="H15" s="7" t="str">
        <f>IFERROR(__xludf.DUMMYFUNCTION("""COMPUTED_VALUE"""),"Measured, Earned Media, Clearwater Agency, Digital Nomads HQ, Soup Agency, HERO, Impressive, Supple Digital")</f>
        <v>Measured, Earned Media, Clearwater Agency, Digital Nomads HQ, Soup Agency, HERO, Impressive, Supple Digital</v>
      </c>
      <c r="I15" s="7">
        <f>IFERROR(__xludf.DUMMYFUNCTION("""COMPUTED_VALUE"""),7.0)</f>
        <v>7</v>
      </c>
      <c r="J15" s="7">
        <f>IFERROR(__xludf.DUMMYFUNCTION("""COMPUTED_VALUE"""),0.01)</f>
        <v>0.01</v>
      </c>
      <c r="K15" s="7">
        <f>IFERROR(__xludf.DUMMYFUNCTION("""COMPUTED_VALUE"""),0.86)</f>
        <v>0.86</v>
      </c>
    </row>
    <row r="16" ht="15.75" customHeight="1">
      <c r="A16" s="6" t="str">
        <f>IFERROR(__xludf.DUMMYFUNCTION("""COMPUTED_VALUE"""),"https://www.sortlist.com/s/paid-media/melbourne-au")</f>
        <v>https://www.sortlist.com/s/paid-media/melbourne-au</v>
      </c>
      <c r="B16" s="7" t="str">
        <f>IFERROR(__xludf.DUMMYFUNCTION("""COMPUTED_VALUE"""),"The 10 Best Paid Media Agencies in Melbourne - 2026 Reviews")</f>
        <v>The 10 Best Paid Media Agencies in Melbourne - 2026 Reviews</v>
      </c>
      <c r="C16" s="6" t="str">
        <f>IFERROR(__xludf.DUMMYFUNCTION("""COMPUTED_VALUE"""),"sortlist.com")</f>
        <v>sortlist.com</v>
      </c>
      <c r="D16" s="7" t="str">
        <f>IFERROR(__xludf.DUMMYFUNCTION("""COMPUTED_VALUE"""),"CATEGORY_PAGE")</f>
        <v>CATEGORY_PAGE</v>
      </c>
      <c r="E16" s="7" t="str">
        <f>IFERROR(__xludf.DUMMYFUNCTION("""COMPUTED_VALUE"""),"CORPORATE")</f>
        <v>CORPORATE</v>
      </c>
      <c r="F16" s="7" t="str">
        <f>IFERROR(__xludf.DUMMYFUNCTION("""COMPUTED_VALUE"""),"Category Page")</f>
        <v>Category Page</v>
      </c>
      <c r="G16" s="7" t="b">
        <f>IFERROR(__xludf.DUMMYFUNCTION("""COMPUTED_VALUE"""),FALSE)</f>
        <v>0</v>
      </c>
      <c r="H16" s="7" t="str">
        <f>IFERROR(__xludf.DUMMYFUNCTION("""COMPUTED_VALUE"""),"Measured, Earned Media, Clearwater Agency, Impressive, SIXGUN, Supple Digital, Momentum, Adcore Elite")</f>
        <v>Measured, Earned Media, Clearwater Agency, Impressive, SIXGUN, Supple Digital, Momentum, Adcore Elite</v>
      </c>
      <c r="I16" s="7">
        <f>IFERROR(__xludf.DUMMYFUNCTION("""COMPUTED_VALUE"""),5.0)</f>
        <v>5</v>
      </c>
      <c r="J16" s="7">
        <f>IFERROR(__xludf.DUMMYFUNCTION("""COMPUTED_VALUE"""),0.01)</f>
        <v>0.01</v>
      </c>
      <c r="K16" s="7">
        <f>IFERROR(__xludf.DUMMYFUNCTION("""COMPUTED_VALUE"""),0.0)</f>
        <v>0</v>
      </c>
    </row>
    <row r="17" ht="15.75" customHeight="1">
      <c r="A17" s="6" t="str">
        <f>IFERROR(__xludf.DUMMYFUNCTION("""COMPUTED_VALUE"""),"https://www.sortlist.com/s/display-advertising/brisbane-qld-au")</f>
        <v>https://www.sortlist.com/s/display-advertising/brisbane-qld-au</v>
      </c>
      <c r="B17" s="7" t="str">
        <f>IFERROR(__xludf.DUMMYFUNCTION("""COMPUTED_VALUE"""),"The 10 Best Display Advertising Agencies in Brisbane - 2026 Reviews")</f>
        <v>The 10 Best Display Advertising Agencies in Brisbane - 2026 Reviews</v>
      </c>
      <c r="C17" s="6" t="str">
        <f>IFERROR(__xludf.DUMMYFUNCTION("""COMPUTED_VALUE"""),"sortlist.com")</f>
        <v>sortlist.com</v>
      </c>
      <c r="D17" s="7" t="str">
        <f>IFERROR(__xludf.DUMMYFUNCTION("""COMPUTED_VALUE"""),"PROFILE")</f>
        <v>PROFILE</v>
      </c>
      <c r="E17" s="7" t="str">
        <f>IFERROR(__xludf.DUMMYFUNCTION("""COMPUTED_VALUE"""),"CORPORATE")</f>
        <v>CORPORATE</v>
      </c>
      <c r="F17" s="7" t="str">
        <f>IFERROR(__xludf.DUMMYFUNCTION("""COMPUTED_VALUE"""),"Profile")</f>
        <v>Profile</v>
      </c>
      <c r="G17" s="7" t="b">
        <f>IFERROR(__xludf.DUMMYFUNCTION("""COMPUTED_VALUE"""),FALSE)</f>
        <v>0</v>
      </c>
      <c r="H17" s="7" t="str">
        <f>IFERROR(__xludf.DUMMYFUNCTION("""COMPUTED_VALUE"""),"Measured, Earned Media, Clearwater Agency, SIXGUN, Soup Agency, HERO, Impressive, Supple Digital, Ninja Promo, Digital Nomads HQ, Momentum, Alpha Digital")</f>
        <v>Measured, Earned Media, Clearwater Agency, SIXGUN, Soup Agency, HERO, Impressive, Supple Digital, Ninja Promo, Digital Nomads HQ, Momentum, Alpha Digital</v>
      </c>
      <c r="I17" s="7">
        <f>IFERROR(__xludf.DUMMYFUNCTION("""COMPUTED_VALUE"""),4.0)</f>
        <v>4</v>
      </c>
      <c r="J17" s="7">
        <f>IFERROR(__xludf.DUMMYFUNCTION("""COMPUTED_VALUE"""),0.0)</f>
        <v>0</v>
      </c>
      <c r="K17" s="7">
        <f>IFERROR(__xludf.DUMMYFUNCTION("""COMPUTED_VALUE"""),0.0)</f>
        <v>0</v>
      </c>
    </row>
    <row r="18" ht="15.75" customHeight="1">
      <c r="A18" s="6" t="str">
        <f>IFERROR(__xludf.DUMMYFUNCTION("""COMPUTED_VALUE"""),"https://www.sortlist.com/s/data-driven-marketing/australia-au")</f>
        <v>https://www.sortlist.com/s/data-driven-marketing/australia-au</v>
      </c>
      <c r="B18" s="7" t="str">
        <f>IFERROR(__xludf.DUMMYFUNCTION("""COMPUTED_VALUE"""),"The 10 Best Data Driven Marketing Agencies in Australia - 2026 Reviews")</f>
        <v>The 10 Best Data Driven Marketing Agencies in Australia - 2026 Reviews</v>
      </c>
      <c r="C18" s="6" t="str">
        <f>IFERROR(__xludf.DUMMYFUNCTION("""COMPUTED_VALUE"""),"sortlist.com")</f>
        <v>sortlist.com</v>
      </c>
      <c r="D18" s="7" t="str">
        <f>IFERROR(__xludf.DUMMYFUNCTION("""COMPUTED_VALUE"""),"CATEGORY_PAGE")</f>
        <v>CATEGORY_PAGE</v>
      </c>
      <c r="E18" s="7" t="str">
        <f>IFERROR(__xludf.DUMMYFUNCTION("""COMPUTED_VALUE"""),"CORPORATE")</f>
        <v>CORPORATE</v>
      </c>
      <c r="F18" s="7" t="str">
        <f>IFERROR(__xludf.DUMMYFUNCTION("""COMPUTED_VALUE"""),"Category Page")</f>
        <v>Category Page</v>
      </c>
      <c r="G18" s="7" t="b">
        <f>IFERROR(__xludf.DUMMYFUNCTION("""COMPUTED_VALUE"""),FALSE)</f>
        <v>0</v>
      </c>
      <c r="H18" s="7" t="str">
        <f>IFERROR(__xludf.DUMMYFUNCTION("""COMPUTED_VALUE"""),"Measured, Earned Media, Clearwater Agency, SIXGUN, Soup Agency, HERO, Ninja Promo")</f>
        <v>Measured, Earned Media, Clearwater Agency, SIXGUN, Soup Agency, HERO, Ninja Promo</v>
      </c>
      <c r="I18" s="7">
        <f>IFERROR(__xludf.DUMMYFUNCTION("""COMPUTED_VALUE"""),3.0)</f>
        <v>3</v>
      </c>
      <c r="J18" s="7">
        <f>IFERROR(__xludf.DUMMYFUNCTION("""COMPUTED_VALUE"""),0.0)</f>
        <v>0</v>
      </c>
      <c r="K18" s="7">
        <f>IFERROR(__xludf.DUMMYFUNCTION("""COMPUTED_VALUE"""),0.0)</f>
        <v>0</v>
      </c>
    </row>
    <row r="19" ht="15.75" customHeight="1">
      <c r="A19" s="6" t="str">
        <f>IFERROR(__xludf.DUMMYFUNCTION("""COMPUTED_VALUE"""),"https://www.sortlist.com/s/paid-media/new-south-wales-nsw-au")</f>
        <v>https://www.sortlist.com/s/paid-media/new-south-wales-nsw-au</v>
      </c>
      <c r="B19" s="7" t="str">
        <f>IFERROR(__xludf.DUMMYFUNCTION("""COMPUTED_VALUE"""),"The 10 Best Paid Media Agencies in New South Wales - 2026 Reviews")</f>
        <v>The 10 Best Paid Media Agencies in New South Wales - 2026 Reviews</v>
      </c>
      <c r="C19" s="6" t="str">
        <f>IFERROR(__xludf.DUMMYFUNCTION("""COMPUTED_VALUE"""),"sortlist.com")</f>
        <v>sortlist.com</v>
      </c>
      <c r="D19" s="7" t="str">
        <f>IFERROR(__xludf.DUMMYFUNCTION("""COMPUTED_VALUE"""),"CATEGORY_PAGE")</f>
        <v>CATEGORY_PAGE</v>
      </c>
      <c r="E19" s="7" t="str">
        <f>IFERROR(__xludf.DUMMYFUNCTION("""COMPUTED_VALUE"""),"CORPORATE")</f>
        <v>CORPORATE</v>
      </c>
      <c r="F19" s="7" t="str">
        <f>IFERROR(__xludf.DUMMYFUNCTION("""COMPUTED_VALUE"""),"Category Page")</f>
        <v>Category Page</v>
      </c>
      <c r="G19" s="7" t="b">
        <f>IFERROR(__xludf.DUMMYFUNCTION("""COMPUTED_VALUE"""),FALSE)</f>
        <v>0</v>
      </c>
      <c r="H19" s="7" t="str">
        <f>IFERROR(__xludf.DUMMYFUNCTION("""COMPUTED_VALUE"""),"Impressive, Supple Digital, CUT THRU, Measured, Earned Media, Clearwater Agency, SIXGUN, Ninja Promo")</f>
        <v>Impressive, Supple Digital, CUT THRU, Measured, Earned Media, Clearwater Agency, SIXGUN, Ninja Promo</v>
      </c>
      <c r="I19" s="7">
        <f>IFERROR(__xludf.DUMMYFUNCTION("""COMPUTED_VALUE"""),3.0)</f>
        <v>3</v>
      </c>
      <c r="J19" s="7">
        <f>IFERROR(__xludf.DUMMYFUNCTION("""COMPUTED_VALUE"""),0.0)</f>
        <v>0</v>
      </c>
      <c r="K19" s="7">
        <f>IFERROR(__xludf.DUMMYFUNCTION("""COMPUTED_VALUE"""),0.0)</f>
        <v>0</v>
      </c>
    </row>
    <row r="20" ht="15.75" customHeight="1">
      <c r="A20" s="6" t="str">
        <f>IFERROR(__xludf.DUMMYFUNCTION("""COMPUTED_VALUE"""),"https://www.sortlist.com/s/artificial-intelligence/sydney-au")</f>
        <v>https://www.sortlist.com/s/artificial-intelligence/sydney-au</v>
      </c>
      <c r="B20" s="7" t="str">
        <f>IFERROR(__xludf.DUMMYFUNCTION("""COMPUTED_VALUE"""),"The 10 Best Artificial Intelligence Agencies in Sydney - 2026 Reviews")</f>
        <v>The 10 Best Artificial Intelligence Agencies in Sydney - 2026 Reviews</v>
      </c>
      <c r="C20" s="6" t="str">
        <f>IFERROR(__xludf.DUMMYFUNCTION("""COMPUTED_VALUE"""),"sortlist.com")</f>
        <v>sortlist.com</v>
      </c>
      <c r="D20" s="7" t="str">
        <f>IFERROR(__xludf.DUMMYFUNCTION("""COMPUTED_VALUE"""),"CATEGORY_PAGE")</f>
        <v>CATEGORY_PAGE</v>
      </c>
      <c r="E20" s="7" t="str">
        <f>IFERROR(__xludf.DUMMYFUNCTION("""COMPUTED_VALUE"""),"CORPORATE")</f>
        <v>CORPORATE</v>
      </c>
      <c r="F20" s="7" t="str">
        <f>IFERROR(__xludf.DUMMYFUNCTION("""COMPUTED_VALUE"""),"Category Page")</f>
        <v>Category Page</v>
      </c>
      <c r="G20" s="7" t="b">
        <f>IFERROR(__xludf.DUMMYFUNCTION("""COMPUTED_VALUE"""),FALSE)</f>
        <v>0</v>
      </c>
      <c r="H20" s="7" t="str">
        <f>IFERROR(__xludf.DUMMYFUNCTION("""COMPUTED_VALUE"""),"Team 400")</f>
        <v>Team 400</v>
      </c>
      <c r="I20" s="7">
        <f>IFERROR(__xludf.DUMMYFUNCTION("""COMPUTED_VALUE"""),2.0)</f>
        <v>2</v>
      </c>
      <c r="J20" s="7">
        <f>IFERROR(__xludf.DUMMYFUNCTION("""COMPUTED_VALUE"""),0.0)</f>
        <v>0</v>
      </c>
      <c r="K20" s="7">
        <f>IFERROR(__xludf.DUMMYFUNCTION("""COMPUTED_VALUE"""),0.0)</f>
        <v>0</v>
      </c>
    </row>
    <row r="21" ht="15.75" customHeight="1">
      <c r="A21" s="6" t="str">
        <f>IFERROR(__xludf.DUMMYFUNCTION("""COMPUTED_VALUE"""),"https://www.sortlist.com/s/performance-marketing/queensland-qld-au")</f>
        <v>https://www.sortlist.com/s/performance-marketing/queensland-qld-au</v>
      </c>
      <c r="B21" s="7" t="str">
        <f>IFERROR(__xludf.DUMMYFUNCTION("""COMPUTED_VALUE"""),"The 10 Best Performance Marketing Agencies in Queensland - 2026 Reviews")</f>
        <v>The 10 Best Performance Marketing Agencies in Queensland - 2026 Reviews</v>
      </c>
      <c r="C21" s="6" t="str">
        <f>IFERROR(__xludf.DUMMYFUNCTION("""COMPUTED_VALUE"""),"sortlist.com")</f>
        <v>sortlist.com</v>
      </c>
      <c r="D21" s="7" t="str">
        <f>IFERROR(__xludf.DUMMYFUNCTION("""COMPUTED_VALUE"""),"PROFILE")</f>
        <v>PROFILE</v>
      </c>
      <c r="E21" s="7" t="str">
        <f>IFERROR(__xludf.DUMMYFUNCTION("""COMPUTED_VALUE"""),"CORPORATE")</f>
        <v>CORPORATE</v>
      </c>
      <c r="F21" s="7" t="str">
        <f>IFERROR(__xludf.DUMMYFUNCTION("""COMPUTED_VALUE"""),"Profile")</f>
        <v>Profile</v>
      </c>
      <c r="G21" s="7" t="b">
        <f>IFERROR(__xludf.DUMMYFUNCTION("""COMPUTED_VALUE"""),FALSE)</f>
        <v>0</v>
      </c>
      <c r="H21" s="7" t="str">
        <f>IFERROR(__xludf.DUMMYFUNCTION("""COMPUTED_VALUE"""),"Digital Nomads HQ, Soup Agency, HERO, Measured, Earned Media, Clearwater Agency, SIXGUN, Impressive, Supple Digital, Momentum, Alpha Digital, 23 Digital")</f>
        <v>Digital Nomads HQ, Soup Agency, HERO, Measured, Earned Media, Clearwater Agency, SIXGUN, Impressive, Supple Digital, Momentum, Alpha Digital, 23 Digital</v>
      </c>
      <c r="I21" s="7">
        <f>IFERROR(__xludf.DUMMYFUNCTION("""COMPUTED_VALUE"""),2.0)</f>
        <v>2</v>
      </c>
      <c r="J21" s="7">
        <f>IFERROR(__xludf.DUMMYFUNCTION("""COMPUTED_VALUE"""),0.0)</f>
        <v>0</v>
      </c>
      <c r="K21" s="7">
        <f>IFERROR(__xludf.DUMMYFUNCTION("""COMPUTED_VALUE"""),0.0)</f>
        <v>0</v>
      </c>
    </row>
    <row r="22" ht="15.75" customHeight="1">
      <c r="A22" s="6" t="str">
        <f>IFERROR(__xludf.DUMMYFUNCTION("""COMPUTED_VALUE"""),"https://www.sortlist.com/s/sm-analytics/australia-au")</f>
        <v>https://www.sortlist.com/s/sm-analytics/australia-au</v>
      </c>
      <c r="B22" s="7" t="str">
        <f>IFERROR(__xludf.DUMMYFUNCTION("""COMPUTED_VALUE"""),"The 10 Best SM Analytics Consultants in Australia - 2026 Reviews")</f>
        <v>The 10 Best SM Analytics Consultants in Australia - 2026 Reviews</v>
      </c>
      <c r="C22" s="6" t="str">
        <f>IFERROR(__xludf.DUMMYFUNCTION("""COMPUTED_VALUE"""),"sortlist.com")</f>
        <v>sortlist.com</v>
      </c>
      <c r="D22" s="7" t="str">
        <f>IFERROR(__xludf.DUMMYFUNCTION("""COMPUTED_VALUE"""),"CATEGORY_PAGE")</f>
        <v>CATEGORY_PAGE</v>
      </c>
      <c r="E22" s="7" t="str">
        <f>IFERROR(__xludf.DUMMYFUNCTION("""COMPUTED_VALUE"""),"CORPORATE")</f>
        <v>CORPORATE</v>
      </c>
      <c r="F22" s="7" t="str">
        <f>IFERROR(__xludf.DUMMYFUNCTION("""COMPUTED_VALUE"""),"Category Page")</f>
        <v>Category Page</v>
      </c>
      <c r="G22" s="7" t="b">
        <f>IFERROR(__xludf.DUMMYFUNCTION("""COMPUTED_VALUE"""),FALSE)</f>
        <v>0</v>
      </c>
      <c r="H22" s="7" t="str">
        <f>IFERROR(__xludf.DUMMYFUNCTION("""COMPUTED_VALUE"""),"Measured, Earned Media, Clearwater Agency, SIXGUN, Impressive, Digital Nomads HQ")</f>
        <v>Measured, Earned Media, Clearwater Agency, SIXGUN, Impressive, Digital Nomads HQ</v>
      </c>
      <c r="I22" s="7">
        <f>IFERROR(__xludf.DUMMYFUNCTION("""COMPUTED_VALUE"""),2.0)</f>
        <v>2</v>
      </c>
      <c r="J22" s="7">
        <f>IFERROR(__xludf.DUMMYFUNCTION("""COMPUTED_VALUE"""),0.0)</f>
        <v>0</v>
      </c>
      <c r="K22" s="7">
        <f>IFERROR(__xludf.DUMMYFUNCTION("""COMPUTED_VALUE"""),0.0)</f>
        <v>0</v>
      </c>
    </row>
    <row r="23" ht="15.75" customHeight="1">
      <c r="A23" s="6" t="str">
        <f>IFERROR(__xludf.DUMMYFUNCTION("""COMPUTED_VALUE"""),"https://www.sortlist.com/web-analytics/melbourne-au")</f>
        <v>https://www.sortlist.com/web-analytics/melbourne-au</v>
      </c>
      <c r="B23" s="7" t="str">
        <f>IFERROR(__xludf.DUMMYFUNCTION("""COMPUTED_VALUE"""),"The 10 Best Web Analytics Agencies in Melbourne - 2026 Reviews")</f>
        <v>The 10 Best Web Analytics Agencies in Melbourne - 2026 Reviews</v>
      </c>
      <c r="C23" s="6" t="str">
        <f>IFERROR(__xludf.DUMMYFUNCTION("""COMPUTED_VALUE"""),"sortlist.com")</f>
        <v>sortlist.com</v>
      </c>
      <c r="D23" s="7" t="str">
        <f>IFERROR(__xludf.DUMMYFUNCTION("""COMPUTED_VALUE"""),"OTHER")</f>
        <v>OTHER</v>
      </c>
      <c r="E23" s="7" t="str">
        <f>IFERROR(__xludf.DUMMYFUNCTION("""COMPUTED_VALUE"""),"CORPORATE")</f>
        <v>CORPORATE</v>
      </c>
      <c r="F23" s="7" t="str">
        <f>IFERROR(__xludf.DUMMYFUNCTION("""COMPUTED_VALUE"""),"Other")</f>
        <v>Other</v>
      </c>
      <c r="G23" s="7" t="b">
        <f>IFERROR(__xludf.DUMMYFUNCTION("""COMPUTED_VALUE"""),FALSE)</f>
        <v>0</v>
      </c>
      <c r="H23" s="7" t="str">
        <f>IFERROR(__xludf.DUMMYFUNCTION("""COMPUTED_VALUE"""),"Impressive, SIXGUN, 23 Digital")</f>
        <v>Impressive, SIXGUN, 23 Digital</v>
      </c>
      <c r="I23" s="7">
        <f>IFERROR(__xludf.DUMMYFUNCTION("""COMPUTED_VALUE"""),2.0)</f>
        <v>2</v>
      </c>
      <c r="J23" s="7">
        <f>IFERROR(__xludf.DUMMYFUNCTION("""COMPUTED_VALUE"""),0.0)</f>
        <v>0</v>
      </c>
      <c r="K23" s="7">
        <f>IFERROR(__xludf.DUMMYFUNCTION("""COMPUTED_VALUE"""),0.0)</f>
        <v>0</v>
      </c>
    </row>
    <row r="24" ht="15.75" customHeight="1">
      <c r="A24" s="6" t="str">
        <f>IFERROR(__xludf.DUMMYFUNCTION("""COMPUTED_VALUE"""),"https://www.sortlist.com/digital-marketing/australia-au?custom=advertising%2Caustralia-au")</f>
        <v>https://www.sortlist.com/digital-marketing/australia-au?custom=advertising%2Caustralia-au</v>
      </c>
      <c r="B24" s="7" t="str">
        <f>IFERROR(__xludf.DUMMYFUNCTION("""COMPUTED_VALUE"""),"The 10 Best Digital Marketing Agencies in Australia - 2026 Reviews")</f>
        <v>The 10 Best Digital Marketing Agencies in Australia - 2026 Reviews</v>
      </c>
      <c r="C24" s="6" t="str">
        <f>IFERROR(__xludf.DUMMYFUNCTION("""COMPUTED_VALUE"""),"sortlist.com")</f>
        <v>sortlist.com</v>
      </c>
      <c r="D24" s="7" t="str">
        <f>IFERROR(__xludf.DUMMYFUNCTION("""COMPUTED_VALUE"""),"CATEGORY_PAGE")</f>
        <v>CATEGORY_PAGE</v>
      </c>
      <c r="E24" s="7" t="str">
        <f>IFERROR(__xludf.DUMMYFUNCTION("""COMPUTED_VALUE"""),"CORPORATE")</f>
        <v>CORPORATE</v>
      </c>
      <c r="F24" s="7" t="str">
        <f>IFERROR(__xludf.DUMMYFUNCTION("""COMPUTED_VALUE"""),"Category Page")</f>
        <v>Category Page</v>
      </c>
      <c r="G24" s="7" t="b">
        <f>IFERROR(__xludf.DUMMYFUNCTION("""COMPUTED_VALUE"""),FALSE)</f>
        <v>0</v>
      </c>
      <c r="H24" s="7" t="str">
        <f>IFERROR(__xludf.DUMMYFUNCTION("""COMPUTED_VALUE"""),"Measured, Earned Media, Clearwater Agency, Impressive, Supple Digital, Digital Nomads HQ, Soup Agency, HERO, Momentum")</f>
        <v>Measured, Earned Media, Clearwater Agency, Impressive, Supple Digital, Digital Nomads HQ, Soup Agency, HERO, Momentum</v>
      </c>
      <c r="I24" s="7">
        <f>IFERROR(__xludf.DUMMYFUNCTION("""COMPUTED_VALUE"""),1.0)</f>
        <v>1</v>
      </c>
      <c r="J24" s="7">
        <f>IFERROR(__xludf.DUMMYFUNCTION("""COMPUTED_VALUE"""),0.0)</f>
        <v>0</v>
      </c>
      <c r="K24" s="7">
        <f>IFERROR(__xludf.DUMMYFUNCTION("""COMPUTED_VALUE"""),0.0)</f>
        <v>0</v>
      </c>
    </row>
    <row r="25" ht="15.75" customHeight="1">
      <c r="A25" s="6" t="str">
        <f>IFERROR(__xludf.DUMMYFUNCTION("""COMPUTED_VALUE"""),"https://www.sortlist.com/marketing-communication")</f>
        <v>https://www.sortlist.com/marketing-communication</v>
      </c>
      <c r="B25" s="7" t="str">
        <f>IFERROR(__xludf.DUMMYFUNCTION("""COMPUTED_VALUE"""),"The 100 Best Marketing Communication Agencies - 2026 Reviews")</f>
        <v>The 100 Best Marketing Communication Agencies - 2026 Reviews</v>
      </c>
      <c r="C25" s="6" t="str">
        <f>IFERROR(__xludf.DUMMYFUNCTION("""COMPUTED_VALUE"""),"sortlist.com")</f>
        <v>sortlist.com</v>
      </c>
      <c r="D25" s="7" t="str">
        <f>IFERROR(__xludf.DUMMYFUNCTION("""COMPUTED_VALUE"""),"CATEGORY_PAGE")</f>
        <v>CATEGORY_PAGE</v>
      </c>
      <c r="E25" s="7" t="str">
        <f>IFERROR(__xludf.DUMMYFUNCTION("""COMPUTED_VALUE"""),"CORPORATE")</f>
        <v>CORPORATE</v>
      </c>
      <c r="F25" s="7" t="str">
        <f>IFERROR(__xludf.DUMMYFUNCTION("""COMPUTED_VALUE"""),"Category Page")</f>
        <v>Category Page</v>
      </c>
      <c r="G25" s="7" t="b">
        <f>IFERROR(__xludf.DUMMYFUNCTION("""COMPUTED_VALUE"""),FALSE)</f>
        <v>0</v>
      </c>
      <c r="H25" s="7"/>
      <c r="I25" s="7">
        <f>IFERROR(__xludf.DUMMYFUNCTION("""COMPUTED_VALUE"""),1.0)</f>
        <v>1</v>
      </c>
      <c r="J25" s="7">
        <f>IFERROR(__xludf.DUMMYFUNCTION("""COMPUTED_VALUE"""),0.0)</f>
        <v>0</v>
      </c>
      <c r="K25" s="7">
        <f>IFERROR(__xludf.DUMMYFUNCTION("""COMPUTED_VALUE"""),1.0)</f>
        <v>1</v>
      </c>
    </row>
    <row r="26" ht="15.75" customHeight="1">
      <c r="A26" s="6" t="str">
        <f>IFERROR(__xludf.DUMMYFUNCTION("""COMPUTED_VALUE"""),"https://www.sortlist.com/s/display-advertising/new-south-wales-nsw-au")</f>
        <v>https://www.sortlist.com/s/display-advertising/new-south-wales-nsw-au</v>
      </c>
      <c r="B26" s="7" t="str">
        <f>IFERROR(__xludf.DUMMYFUNCTION("""COMPUTED_VALUE"""),"The 10 Best Display Advertising Agencies in New South Wales - 2026 Reviews")</f>
        <v>The 10 Best Display Advertising Agencies in New South Wales - 2026 Reviews</v>
      </c>
      <c r="C26" s="6" t="str">
        <f>IFERROR(__xludf.DUMMYFUNCTION("""COMPUTED_VALUE"""),"sortlist.com")</f>
        <v>sortlist.com</v>
      </c>
      <c r="D26" s="7" t="str">
        <f>IFERROR(__xludf.DUMMYFUNCTION("""COMPUTED_VALUE"""),"CATEGORY_PAGE")</f>
        <v>CATEGORY_PAGE</v>
      </c>
      <c r="E26" s="7" t="str">
        <f>IFERROR(__xludf.DUMMYFUNCTION("""COMPUTED_VALUE"""),"CORPORATE")</f>
        <v>CORPORATE</v>
      </c>
      <c r="F26" s="7" t="str">
        <f>IFERROR(__xludf.DUMMYFUNCTION("""COMPUTED_VALUE"""),"Category Page")</f>
        <v>Category Page</v>
      </c>
      <c r="G26" s="7" t="b">
        <f>IFERROR(__xludf.DUMMYFUNCTION("""COMPUTED_VALUE"""),FALSE)</f>
        <v>0</v>
      </c>
      <c r="H26" s="7" t="str">
        <f>IFERROR(__xludf.DUMMYFUNCTION("""COMPUTED_VALUE"""),"Impressive, Supple Digital, CUT THRU, Measured, Earned Media, Clearwater Agency, SIXGUN, Ninja Promo, Momentum, Soup Agency, HERO, Digital Nomads HQ")</f>
        <v>Impressive, Supple Digital, CUT THRU, Measured, Earned Media, Clearwater Agency, SIXGUN, Ninja Promo, Momentum, Soup Agency, HERO, Digital Nomads HQ</v>
      </c>
      <c r="I26" s="7">
        <f>IFERROR(__xludf.DUMMYFUNCTION("""COMPUTED_VALUE"""),1.0)</f>
        <v>1</v>
      </c>
      <c r="J26" s="7">
        <f>IFERROR(__xludf.DUMMYFUNCTION("""COMPUTED_VALUE"""),0.0)</f>
        <v>0</v>
      </c>
      <c r="K26" s="7">
        <f>IFERROR(__xludf.DUMMYFUNCTION("""COMPUTED_VALUE"""),0.0)</f>
        <v>0</v>
      </c>
    </row>
    <row r="27" ht="15.75" customHeight="1">
      <c r="A27" s="6" t="str">
        <f>IFERROR(__xludf.DUMMYFUNCTION("""COMPUTED_VALUE"""),"https://www.sortlist.com/s/display-advertising/sydney-au")</f>
        <v>https://www.sortlist.com/s/display-advertising/sydney-au</v>
      </c>
      <c r="B27" s="7" t="str">
        <f>IFERROR(__xludf.DUMMYFUNCTION("""COMPUTED_VALUE"""),"The 10 Best Display Advertising Agencies in Sydney - 2026 Reviews")</f>
        <v>The 10 Best Display Advertising Agencies in Sydney - 2026 Reviews</v>
      </c>
      <c r="C27" s="6" t="str">
        <f>IFERROR(__xludf.DUMMYFUNCTION("""COMPUTED_VALUE"""),"sortlist.com")</f>
        <v>sortlist.com</v>
      </c>
      <c r="D27" s="7" t="str">
        <f>IFERROR(__xludf.DUMMYFUNCTION("""COMPUTED_VALUE"""),"CATEGORY_PAGE")</f>
        <v>CATEGORY_PAGE</v>
      </c>
      <c r="E27" s="7" t="str">
        <f>IFERROR(__xludf.DUMMYFUNCTION("""COMPUTED_VALUE"""),"CORPORATE")</f>
        <v>CORPORATE</v>
      </c>
      <c r="F27" s="7" t="str">
        <f>IFERROR(__xludf.DUMMYFUNCTION("""COMPUTED_VALUE"""),"Category Page")</f>
        <v>Category Page</v>
      </c>
      <c r="G27" s="7" t="b">
        <f>IFERROR(__xludf.DUMMYFUNCTION("""COMPUTED_VALUE"""),FALSE)</f>
        <v>0</v>
      </c>
      <c r="H27" s="7" t="str">
        <f>IFERROR(__xludf.DUMMYFUNCTION("""COMPUTED_VALUE"""),"Impressive, Supple Digital, Measured, Earned Media, Clearwater Agency, SIXGUN, Ninja Promo, Momentum, Soup Agency, HERO, Digital Nomads HQ, AdVisible, Alpha Digital")</f>
        <v>Impressive, Supple Digital, Measured, Earned Media, Clearwater Agency, SIXGUN, Ninja Promo, Momentum, Soup Agency, HERO, Digital Nomads HQ, AdVisible, Alpha Digital</v>
      </c>
      <c r="I27" s="7">
        <f>IFERROR(__xludf.DUMMYFUNCTION("""COMPUTED_VALUE"""),1.0)</f>
        <v>1</v>
      </c>
      <c r="J27" s="7">
        <f>IFERROR(__xludf.DUMMYFUNCTION("""COMPUTED_VALUE"""),0.0)</f>
        <v>0</v>
      </c>
      <c r="K27" s="7">
        <f>IFERROR(__xludf.DUMMYFUNCTION("""COMPUTED_VALUE"""),0.0)</f>
        <v>0</v>
      </c>
    </row>
    <row r="28" ht="15.75" customHeight="1">
      <c r="A28" s="6" t="str">
        <f>IFERROR(__xludf.DUMMYFUNCTION("""COMPUTED_VALUE"""),"https://www.sortlist.com/s/display-advertising/western-australia-wa-au")</f>
        <v>https://www.sortlist.com/s/display-advertising/western-australia-wa-au</v>
      </c>
      <c r="B28" s="7" t="str">
        <f>IFERROR(__xludf.DUMMYFUNCTION("""COMPUTED_VALUE"""),"The 10 Best Display Advertising Agencies in Australia - 2026 Reviews")</f>
        <v>The 10 Best Display Advertising Agencies in Australia - 2026 Reviews</v>
      </c>
      <c r="C28" s="6" t="str">
        <f>IFERROR(__xludf.DUMMYFUNCTION("""COMPUTED_VALUE"""),"sortlist.com")</f>
        <v>sortlist.com</v>
      </c>
      <c r="D28" s="7" t="str">
        <f>IFERROR(__xludf.DUMMYFUNCTION("""COMPUTED_VALUE"""),"CATEGORY_PAGE")</f>
        <v>CATEGORY_PAGE</v>
      </c>
      <c r="E28" s="7" t="str">
        <f>IFERROR(__xludf.DUMMYFUNCTION("""COMPUTED_VALUE"""),"CORPORATE")</f>
        <v>CORPORATE</v>
      </c>
      <c r="F28" s="7" t="str">
        <f>IFERROR(__xludf.DUMMYFUNCTION("""COMPUTED_VALUE"""),"Category Page")</f>
        <v>Category Page</v>
      </c>
      <c r="G28" s="7" t="b">
        <f>IFERROR(__xludf.DUMMYFUNCTION("""COMPUTED_VALUE"""),FALSE)</f>
        <v>0</v>
      </c>
      <c r="H28" s="7" t="str">
        <f>IFERROR(__xludf.DUMMYFUNCTION("""COMPUTED_VALUE"""),"Clearwater Agency, Measured, Earned Media, Supple Digital, Impressive, SIXGUN, Soup Agency, HERO, Digital Nomads HQ, Momentum, CUT THRU")</f>
        <v>Clearwater Agency, Measured, Earned Media, Supple Digital, Impressive, SIXGUN, Soup Agency, HERO, Digital Nomads HQ, Momentum, CUT THRU</v>
      </c>
      <c r="I28" s="7">
        <f>IFERROR(__xludf.DUMMYFUNCTION("""COMPUTED_VALUE"""),1.0)</f>
        <v>1</v>
      </c>
      <c r="J28" s="7">
        <f>IFERROR(__xludf.DUMMYFUNCTION("""COMPUTED_VALUE"""),0.0)</f>
        <v>0</v>
      </c>
      <c r="K28" s="7">
        <f>IFERROR(__xludf.DUMMYFUNCTION("""COMPUTED_VALUE"""),0.0)</f>
        <v>0</v>
      </c>
    </row>
    <row r="29" ht="15.75" customHeight="1">
      <c r="A29" s="6" t="str">
        <f>IFERROR(__xludf.DUMMYFUNCTION("""COMPUTED_VALUE"""),"https://www.sortlist.com/s/linkedin-advertising/australia-au")</f>
        <v>https://www.sortlist.com/s/linkedin-advertising/australia-au</v>
      </c>
      <c r="B29" s="7" t="str">
        <f>IFERROR(__xludf.DUMMYFUNCTION("""COMPUTED_VALUE"""),"The 10 Best LinkedIn Ads Agencies in Australia - 2026 Reviews")</f>
        <v>The 10 Best LinkedIn Ads Agencies in Australia - 2026 Reviews</v>
      </c>
      <c r="C29" s="6" t="str">
        <f>IFERROR(__xludf.DUMMYFUNCTION("""COMPUTED_VALUE"""),"sortlist.com")</f>
        <v>sortlist.com</v>
      </c>
      <c r="D29" s="7" t="str">
        <f>IFERROR(__xludf.DUMMYFUNCTION("""COMPUTED_VALUE"""),"CATEGORY_PAGE")</f>
        <v>CATEGORY_PAGE</v>
      </c>
      <c r="E29" s="7" t="str">
        <f>IFERROR(__xludf.DUMMYFUNCTION("""COMPUTED_VALUE"""),"CORPORATE")</f>
        <v>CORPORATE</v>
      </c>
      <c r="F29" s="7" t="str">
        <f>IFERROR(__xludf.DUMMYFUNCTION("""COMPUTED_VALUE"""),"Category Page")</f>
        <v>Category Page</v>
      </c>
      <c r="G29" s="7" t="b">
        <f>IFERROR(__xludf.DUMMYFUNCTION("""COMPUTED_VALUE"""),FALSE)</f>
        <v>0</v>
      </c>
      <c r="H29" s="7" t="str">
        <f>IFERROR(__xludf.DUMMYFUNCTION("""COMPUTED_VALUE"""),"SIXGUN, Impressive, Ninja Promo, AdVisible, 23 Digital")</f>
        <v>SIXGUN, Impressive, Ninja Promo, AdVisible, 23 Digital</v>
      </c>
      <c r="I29" s="7">
        <f>IFERROR(__xludf.DUMMYFUNCTION("""COMPUTED_VALUE"""),1.0)</f>
        <v>1</v>
      </c>
      <c r="J29" s="7">
        <f>IFERROR(__xludf.DUMMYFUNCTION("""COMPUTED_VALUE"""),0.0)</f>
        <v>0</v>
      </c>
      <c r="K29" s="7">
        <f>IFERROR(__xludf.DUMMYFUNCTION("""COMPUTED_VALUE"""),0.0)</f>
        <v>0</v>
      </c>
    </row>
    <row r="30" ht="15.75" customHeight="1">
      <c r="A30" s="6" t="str">
        <f>IFERROR(__xludf.DUMMYFUNCTION("""COMPUTED_VALUE"""),"https://www.sortlist.com/s/paid-media/victoria-vic-au")</f>
        <v>https://www.sortlist.com/s/paid-media/victoria-vic-au</v>
      </c>
      <c r="B30" s="7" t="str">
        <f>IFERROR(__xludf.DUMMYFUNCTION("""COMPUTED_VALUE"""),"The 10 Best Paid Media Agencies in Victoria - 2026 Reviews")</f>
        <v>The 10 Best Paid Media Agencies in Victoria - 2026 Reviews</v>
      </c>
      <c r="C30" s="6" t="str">
        <f>IFERROR(__xludf.DUMMYFUNCTION("""COMPUTED_VALUE"""),"sortlist.com")</f>
        <v>sortlist.com</v>
      </c>
      <c r="D30" s="7" t="str">
        <f>IFERROR(__xludf.DUMMYFUNCTION("""COMPUTED_VALUE"""),"PROFILE")</f>
        <v>PROFILE</v>
      </c>
      <c r="E30" s="7" t="str">
        <f>IFERROR(__xludf.DUMMYFUNCTION("""COMPUTED_VALUE"""),"CORPORATE")</f>
        <v>CORPORATE</v>
      </c>
      <c r="F30" s="7" t="str">
        <f>IFERROR(__xludf.DUMMYFUNCTION("""COMPUTED_VALUE"""),"Profile")</f>
        <v>Profile</v>
      </c>
      <c r="G30" s="7" t="b">
        <f>IFERROR(__xludf.DUMMYFUNCTION("""COMPUTED_VALUE"""),FALSE)</f>
        <v>0</v>
      </c>
      <c r="H30" s="7" t="str">
        <f>IFERROR(__xludf.DUMMYFUNCTION("""COMPUTED_VALUE"""),"Measured, Earned Media, Clearwater Agency, Impressive, SIXGUN, Supple Digital, Momentum, 80/20 Digital")</f>
        <v>Measured, Earned Media, Clearwater Agency, Impressive, SIXGUN, Supple Digital, Momentum, 80/20 Digital</v>
      </c>
      <c r="I30" s="7">
        <f>IFERROR(__xludf.DUMMYFUNCTION("""COMPUTED_VALUE"""),1.0)</f>
        <v>1</v>
      </c>
      <c r="J30" s="7">
        <f>IFERROR(__xludf.DUMMYFUNCTION("""COMPUTED_VALUE"""),0.0)</f>
        <v>0</v>
      </c>
      <c r="K30" s="7">
        <f>IFERROR(__xludf.DUMMYFUNCTION("""COMPUTED_VALUE"""),0.0)</f>
        <v>0</v>
      </c>
    </row>
    <row r="31" ht="15.75" customHeight="1">
      <c r="A31" s="6" t="str">
        <f>IFERROR(__xludf.DUMMYFUNCTION("""COMPUTED_VALUE"""),"https://www.sortlist.com/s/performance-marketing/victoria-vic-au")</f>
        <v>https://www.sortlist.com/s/performance-marketing/victoria-vic-au</v>
      </c>
      <c r="B31" s="7" t="str">
        <f>IFERROR(__xludf.DUMMYFUNCTION("""COMPUTED_VALUE"""),"The 10 Best Performance Marketing Agencies in Victoria - 2026 Reviews")</f>
        <v>The 10 Best Performance Marketing Agencies in Victoria - 2026 Reviews</v>
      </c>
      <c r="C31" s="6" t="str">
        <f>IFERROR(__xludf.DUMMYFUNCTION("""COMPUTED_VALUE"""),"sortlist.com")</f>
        <v>sortlist.com</v>
      </c>
      <c r="D31" s="7" t="str">
        <f>IFERROR(__xludf.DUMMYFUNCTION("""COMPUTED_VALUE"""),"PROFILE")</f>
        <v>PROFILE</v>
      </c>
      <c r="E31" s="7" t="str">
        <f>IFERROR(__xludf.DUMMYFUNCTION("""COMPUTED_VALUE"""),"CORPORATE")</f>
        <v>CORPORATE</v>
      </c>
      <c r="F31" s="7" t="str">
        <f>IFERROR(__xludf.DUMMYFUNCTION("""COMPUTED_VALUE"""),"Profile")</f>
        <v>Profile</v>
      </c>
      <c r="G31" s="7" t="b">
        <f>IFERROR(__xludf.DUMMYFUNCTION("""COMPUTED_VALUE"""),FALSE)</f>
        <v>0</v>
      </c>
      <c r="H31" s="7" t="str">
        <f>IFERROR(__xludf.DUMMYFUNCTION("""COMPUTED_VALUE"""),"Measured, Earned Media, Clearwater Agency, SIXGUN, Impressive, Supple Digital, Momentum, 80/20 Digital, Adcore Elite")</f>
        <v>Measured, Earned Media, Clearwater Agency, SIXGUN, Impressive, Supple Digital, Momentum, 80/20 Digital, Adcore Elite</v>
      </c>
      <c r="I31" s="7">
        <f>IFERROR(__xludf.DUMMYFUNCTION("""COMPUTED_VALUE"""),1.0)</f>
        <v>1</v>
      </c>
      <c r="J31" s="7">
        <f>IFERROR(__xludf.DUMMYFUNCTION("""COMPUTED_VALUE"""),0.0)</f>
        <v>0</v>
      </c>
      <c r="K31" s="7">
        <f>IFERROR(__xludf.DUMMYFUNCTION("""COMPUTED_VALUE"""),0.0)</f>
        <v>0</v>
      </c>
    </row>
    <row r="32" ht="15.75" customHeight="1">
      <c r="A32" s="6" t="str">
        <f>IFERROR(__xludf.DUMMYFUNCTION("""COMPUTED_VALUE"""),"https://www.sortlist.com/s/performance-marketing/western-australia-wa-au")</f>
        <v>https://www.sortlist.com/s/performance-marketing/western-australia-wa-au</v>
      </c>
      <c r="B32" s="7" t="str">
        <f>IFERROR(__xludf.DUMMYFUNCTION("""COMPUTED_VALUE"""),"The 10 Best Performance Marketing Agencies in Western Australia - 2026 Reviews")</f>
        <v>The 10 Best Performance Marketing Agencies in Western Australia - 2026 Reviews</v>
      </c>
      <c r="C32" s="6" t="str">
        <f>IFERROR(__xludf.DUMMYFUNCTION("""COMPUTED_VALUE"""),"sortlist.com")</f>
        <v>sortlist.com</v>
      </c>
      <c r="D32" s="7" t="str">
        <f>IFERROR(__xludf.DUMMYFUNCTION("""COMPUTED_VALUE"""),"CATEGORY_PAGE")</f>
        <v>CATEGORY_PAGE</v>
      </c>
      <c r="E32" s="7" t="str">
        <f>IFERROR(__xludf.DUMMYFUNCTION("""COMPUTED_VALUE"""),"CORPORATE")</f>
        <v>CORPORATE</v>
      </c>
      <c r="F32" s="7" t="str">
        <f>IFERROR(__xludf.DUMMYFUNCTION("""COMPUTED_VALUE"""),"Category Page")</f>
        <v>Category Page</v>
      </c>
      <c r="G32" s="7" t="b">
        <f>IFERROR(__xludf.DUMMYFUNCTION("""COMPUTED_VALUE"""),FALSE)</f>
        <v>0</v>
      </c>
      <c r="H32" s="7" t="str">
        <f>IFERROR(__xludf.DUMMYFUNCTION("""COMPUTED_VALUE"""),"Measured, Earned Media, Clearwater Agency, SIXGUN, Impressive, Supple Digital, Momentum, Digital Nomads HQ, Soup Agency, HERO, Alpha Digital, 23 Digital")</f>
        <v>Measured, Earned Media, Clearwater Agency, SIXGUN, Impressive, Supple Digital, Momentum, Digital Nomads HQ, Soup Agency, HERO, Alpha Digital, 23 Digital</v>
      </c>
      <c r="I32" s="7">
        <f>IFERROR(__xludf.DUMMYFUNCTION("""COMPUTED_VALUE"""),1.0)</f>
        <v>1</v>
      </c>
      <c r="J32" s="7">
        <f>IFERROR(__xludf.DUMMYFUNCTION("""COMPUTED_VALUE"""),0.0)</f>
        <v>0</v>
      </c>
      <c r="K32" s="7">
        <f>IFERROR(__xludf.DUMMYFUNCTION("""COMPUTED_VALUE"""),0.0)</f>
        <v>0</v>
      </c>
    </row>
    <row r="33" ht="15.75" customHeight="1">
      <c r="A33" s="6" t="str">
        <f>IFERROR(__xludf.DUMMYFUNCTION("""COMPUTED_VALUE"""),"https://www.sortlist.com/s/programmatic-advertising/sydney-au")</f>
        <v>https://www.sortlist.com/s/programmatic-advertising/sydney-au</v>
      </c>
      <c r="B33" s="7" t="str">
        <f>IFERROR(__xludf.DUMMYFUNCTION("""COMPUTED_VALUE"""),"The 10 Best Programmatic Advertising Companies in Sydney - 2026 Reviews")</f>
        <v>The 10 Best Programmatic Advertising Companies in Sydney - 2026 Reviews</v>
      </c>
      <c r="C33" s="6" t="str">
        <f>IFERROR(__xludf.DUMMYFUNCTION("""COMPUTED_VALUE"""),"sortlist.com")</f>
        <v>sortlist.com</v>
      </c>
      <c r="D33" s="7" t="str">
        <f>IFERROR(__xludf.DUMMYFUNCTION("""COMPUTED_VALUE"""),"CATEGORY_PAGE")</f>
        <v>CATEGORY_PAGE</v>
      </c>
      <c r="E33" s="7" t="str">
        <f>IFERROR(__xludf.DUMMYFUNCTION("""COMPUTED_VALUE"""),"CORPORATE")</f>
        <v>CORPORATE</v>
      </c>
      <c r="F33" s="7" t="str">
        <f>IFERROR(__xludf.DUMMYFUNCTION("""COMPUTED_VALUE"""),"Category Page")</f>
        <v>Category Page</v>
      </c>
      <c r="G33" s="7" t="b">
        <f>IFERROR(__xludf.DUMMYFUNCTION("""COMPUTED_VALUE"""),FALSE)</f>
        <v>0</v>
      </c>
      <c r="H33" s="7" t="str">
        <f>IFERROR(__xludf.DUMMYFUNCTION("""COMPUTED_VALUE"""),"Impressive, Supple Digital, Measured, Earned Media, Clearwater Agency, SIXGUN, Soup Agency, HERO, Digital Nomads HQ")</f>
        <v>Impressive, Supple Digital, Measured, Earned Media, Clearwater Agency, SIXGUN, Soup Agency, HERO, Digital Nomads HQ</v>
      </c>
      <c r="I33" s="7">
        <f>IFERROR(__xludf.DUMMYFUNCTION("""COMPUTED_VALUE"""),1.0)</f>
        <v>1</v>
      </c>
      <c r="J33" s="7">
        <f>IFERROR(__xludf.DUMMYFUNCTION("""COMPUTED_VALUE"""),0.0)</f>
        <v>0</v>
      </c>
      <c r="K33" s="7">
        <f>IFERROR(__xludf.DUMMYFUNCTION("""COMPUTED_VALUE"""),0.0)</f>
        <v>0</v>
      </c>
    </row>
    <row r="34" ht="15.75" customHeight="1">
      <c r="A34" s="6" t="str">
        <f>IFERROR(__xludf.DUMMYFUNCTION("""COMPUTED_VALUE"""),"https://www.sortlist.com/s/tiktok-advertising/australia-au")</f>
        <v>https://www.sortlist.com/s/tiktok-advertising/australia-au</v>
      </c>
      <c r="B34" s="7" t="str">
        <f>IFERROR(__xludf.DUMMYFUNCTION("""COMPUTED_VALUE"""),"The 10 Best TikTok Advertising Agencies in Australia - 2026 Reviews")</f>
        <v>The 10 Best TikTok Advertising Agencies in Australia - 2026 Reviews</v>
      </c>
      <c r="C34" s="6" t="str">
        <f>IFERROR(__xludf.DUMMYFUNCTION("""COMPUTED_VALUE"""),"sortlist.com")</f>
        <v>sortlist.com</v>
      </c>
      <c r="D34" s="7" t="str">
        <f>IFERROR(__xludf.DUMMYFUNCTION("""COMPUTED_VALUE"""),"CATEGORY_PAGE")</f>
        <v>CATEGORY_PAGE</v>
      </c>
      <c r="E34" s="7" t="str">
        <f>IFERROR(__xludf.DUMMYFUNCTION("""COMPUTED_VALUE"""),"CORPORATE")</f>
        <v>CORPORATE</v>
      </c>
      <c r="F34" s="7" t="str">
        <f>IFERROR(__xludf.DUMMYFUNCTION("""COMPUTED_VALUE"""),"Category Page")</f>
        <v>Category Page</v>
      </c>
      <c r="G34" s="7" t="b">
        <f>IFERROR(__xludf.DUMMYFUNCTION("""COMPUTED_VALUE"""),FALSE)</f>
        <v>0</v>
      </c>
      <c r="H34" s="7" t="str">
        <f>IFERROR(__xludf.DUMMYFUNCTION("""COMPUTED_VALUE"""),"Soup Agency, HERO, Adcore Elite, 23 Digital")</f>
        <v>Soup Agency, HERO, Adcore Elite, 23 Digital</v>
      </c>
      <c r="I34" s="7">
        <f>IFERROR(__xludf.DUMMYFUNCTION("""COMPUTED_VALUE"""),1.0)</f>
        <v>1</v>
      </c>
      <c r="J34" s="7">
        <f>IFERROR(__xludf.DUMMYFUNCTION("""COMPUTED_VALUE"""),0.0)</f>
        <v>0</v>
      </c>
      <c r="K34" s="7">
        <f>IFERROR(__xludf.DUMMYFUNCTION("""COMPUTED_VALUE"""),0.0)</f>
        <v>0</v>
      </c>
    </row>
    <row r="35" ht="15.75" customHeight="1">
      <c r="A35" s="6" t="str">
        <f>IFERROR(__xludf.DUMMYFUNCTION("""COMPUTED_VALUE"""),"https://www.sortlist.com/web-analytics/australia-au")</f>
        <v>https://www.sortlist.com/web-analytics/australia-au</v>
      </c>
      <c r="B35" s="7" t="str">
        <f>IFERROR(__xludf.DUMMYFUNCTION("""COMPUTED_VALUE"""),"The 10 Best Web Analytics Agencies in Australia - 2026 Reviews")</f>
        <v>The 10 Best Web Analytics Agencies in Australia - 2026 Reviews</v>
      </c>
      <c r="C35" s="6" t="str">
        <f>IFERROR(__xludf.DUMMYFUNCTION("""COMPUTED_VALUE"""),"sortlist.com")</f>
        <v>sortlist.com</v>
      </c>
      <c r="D35" s="7" t="str">
        <f>IFERROR(__xludf.DUMMYFUNCTION("""COMPUTED_VALUE"""),"PROFILE")</f>
        <v>PROFILE</v>
      </c>
      <c r="E35" s="7" t="str">
        <f>IFERROR(__xludf.DUMMYFUNCTION("""COMPUTED_VALUE"""),"CORPORATE")</f>
        <v>CORPORATE</v>
      </c>
      <c r="F35" s="7" t="str">
        <f>IFERROR(__xludf.DUMMYFUNCTION("""COMPUTED_VALUE"""),"Profile")</f>
        <v>Profile</v>
      </c>
      <c r="G35" s="7" t="b">
        <f>IFERROR(__xludf.DUMMYFUNCTION("""COMPUTED_VALUE"""),FALSE)</f>
        <v>0</v>
      </c>
      <c r="H35" s="7" t="str">
        <f>IFERROR(__xludf.DUMMYFUNCTION("""COMPUTED_VALUE"""),"Impressive, SIXGUN")</f>
        <v>Impressive, SIXGUN</v>
      </c>
      <c r="I35" s="7">
        <f>IFERROR(__xludf.DUMMYFUNCTION("""COMPUTED_VALUE"""),1.0)</f>
        <v>1</v>
      </c>
      <c r="J35" s="7">
        <f>IFERROR(__xludf.DUMMYFUNCTION("""COMPUTED_VALUE"""),0.0)</f>
        <v>0</v>
      </c>
      <c r="K35" s="7">
        <f>IFERROR(__xludf.DUMMYFUNCTION("""COMPUTED_VALUE"""),0.0)</f>
        <v>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s>
  <drawing r:id="rId6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All'!A2:A1000)),""clutch.co"")
  ),
  """"
)"),"https://clutch.co/au/agencies/digital-marketing")</f>
        <v>https://clutch.co/au/agencies/digital-marketing</v>
      </c>
      <c r="B2" s="7" t="str">
        <f>IFERROR(__xludf.DUMMYFUNCTION("""COMPUTED_VALUE"""),"Top Digital Marketing Agencies in Australia - Jul 2026 Rankings \| Clutch.co")</f>
        <v>Top Digital Marketing Agencies in Australia - Jul 2026 Rankings \| Clutch.co</v>
      </c>
      <c r="C2" s="6" t="str">
        <f>IFERROR(__xludf.DUMMYFUNCTION("""COMPUTED_VALUE"""),"clutch.co")</f>
        <v>clutch.co</v>
      </c>
      <c r="D2" s="7" t="str">
        <f>IFERROR(__xludf.DUMMYFUNCTION("""COMPUTED_VALUE"""),"CATEGORY_PAGE")</f>
        <v>CATEGORY_PAGE</v>
      </c>
      <c r="E2" s="7" t="str">
        <f>IFERROR(__xludf.DUMMYFUNCTION("""COMPUTED_VALUE"""),"CORPORATE")</f>
        <v>CORPORATE</v>
      </c>
      <c r="F2" s="7" t="str">
        <f>IFERROR(__xludf.DUMMYFUNCTION("""COMPUTED_VALUE"""),"Category Page")</f>
        <v>Category Page</v>
      </c>
      <c r="G2" s="7" t="b">
        <f>IFERROR(__xludf.DUMMYFUNCTION("""COMPUTED_VALUE"""),FALSE)</f>
        <v>0</v>
      </c>
      <c r="H2" s="7" t="str">
        <f>IFERROR(__xludf.DUMMYFUNCTION("""COMPUTED_VALUE"""),"Clearwater Agency, Soup Agency, Luminary, Farsiight, Digital Nomads HQ, SIXGUN, Impressive, Intesols, 80/20 Digital, MyWork, Ninja Promo, Human Digital, Undivided, Salt &amp; Fuessel, Emote Digital, StudioHawk, Supple Digital, Alley Group, EvenDigit")</f>
        <v>Clearwater Agency, Soup Agency, Luminary, Farsiight, Digital Nomads HQ, SIXGUN, Impressive, Intesols, 80/20 Digital, MyWork, Ninja Promo, Human Digital, Undivided, Salt &amp; Fuessel, Emote Digital, StudioHawk, Supple Digital, Alley Group, EvenDigit</v>
      </c>
      <c r="I2" s="7">
        <f>IFERROR(__xludf.DUMMYFUNCTION("""COMPUTED_VALUE"""),93.0)</f>
        <v>93</v>
      </c>
      <c r="J2" s="7">
        <f>IFERROR(__xludf.DUMMYFUNCTION("""COMPUTED_VALUE"""),0.1)</f>
        <v>0.1</v>
      </c>
      <c r="K2" s="7">
        <f>IFERROR(__xludf.DUMMYFUNCTION("""COMPUTED_VALUE"""),1.11)</f>
        <v>1.11</v>
      </c>
    </row>
    <row r="3" ht="15.75" customHeight="1">
      <c r="A3" s="6" t="str">
        <f>IFERROR(__xludf.DUMMYFUNCTION("""COMPUTED_VALUE"""),"https://clutch.co/au/agencies")</f>
        <v>https://clutch.co/au/agencies</v>
      </c>
      <c r="B3" s="7" t="str">
        <f>IFERROR(__xludf.DUMMYFUNCTION("""COMPUTED_VALUE"""),"Top Advertising Agencies in Australia - Jul 2026 Rankings \| Clutch.co")</f>
        <v>Top Advertising Agencies in Australia - Jul 2026 Rankings \| Clutch.co</v>
      </c>
      <c r="C3" s="6" t="str">
        <f>IFERROR(__xludf.DUMMYFUNCTION("""COMPUTED_VALUE"""),"clutch.co")</f>
        <v>clutch.co</v>
      </c>
      <c r="D3" s="7" t="str">
        <f>IFERROR(__xludf.DUMMYFUNCTION("""COMPUTED_VALUE"""),"CATEGORY_PAGE")</f>
        <v>CATEGORY_PAGE</v>
      </c>
      <c r="E3" s="7" t="str">
        <f>IFERROR(__xludf.DUMMYFUNCTION("""COMPUTED_VALUE"""),"CORPORATE")</f>
        <v>CORPORATE</v>
      </c>
      <c r="F3" s="7" t="str">
        <f>IFERROR(__xludf.DUMMYFUNCTION("""COMPUTED_VALUE"""),"Category Page")</f>
        <v>Category Page</v>
      </c>
      <c r="G3" s="7" t="b">
        <f>IFERROR(__xludf.DUMMYFUNCTION("""COMPUTED_VALUE"""),FALSE)</f>
        <v>0</v>
      </c>
      <c r="H3" s="7" t="str">
        <f>IFERROR(__xludf.DUMMYFUNCTION("""COMPUTED_VALUE"""),"Chello, Human Digital, Soup Agency, Farsiight, DNM Digital, In Marketing We Trust, Version2, Impressive, Ninja Promo, Bench Media, Insil")</f>
        <v>Chello, Human Digital, Soup Agency, Farsiight, DNM Digital, In Marketing We Trust, Version2, Impressive, Ninja Promo, Bench Media, Insil</v>
      </c>
      <c r="I3" s="7">
        <f>IFERROR(__xludf.DUMMYFUNCTION("""COMPUTED_VALUE"""),83.0)</f>
        <v>83</v>
      </c>
      <c r="J3" s="7">
        <f>IFERROR(__xludf.DUMMYFUNCTION("""COMPUTED_VALUE"""),0.09)</f>
        <v>0.09</v>
      </c>
      <c r="K3" s="7">
        <f>IFERROR(__xludf.DUMMYFUNCTION("""COMPUTED_VALUE"""),0.59)</f>
        <v>0.59</v>
      </c>
    </row>
    <row r="4" ht="15.75" customHeight="1">
      <c r="A4" s="6" t="str">
        <f>IFERROR(__xludf.DUMMYFUNCTION("""COMPUTED_VALUE"""),"https://clutch.co/au/agencies/ppc")</f>
        <v>https://clutch.co/au/agencies/ppc</v>
      </c>
      <c r="B4" s="7" t="str">
        <f>IFERROR(__xludf.DUMMYFUNCTION("""COMPUTED_VALUE"""),"Top PPC Agencies in Australia - Jul 2026 Rankings | Clutch.co")</f>
        <v>Top PPC Agencies in Australia - Jul 2026 Rankings | Clutch.co</v>
      </c>
      <c r="C4" s="6" t="str">
        <f>IFERROR(__xludf.DUMMYFUNCTION("""COMPUTED_VALUE"""),"clutch.co")</f>
        <v>clutch.co</v>
      </c>
      <c r="D4" s="7" t="str">
        <f>IFERROR(__xludf.DUMMYFUNCTION("""COMPUTED_VALUE"""),"CATEGORY_PAGE")</f>
        <v>CATEGORY_PAGE</v>
      </c>
      <c r="E4" s="7" t="str">
        <f>IFERROR(__xludf.DUMMYFUNCTION("""COMPUTED_VALUE"""),"CORPORATE")</f>
        <v>CORPORATE</v>
      </c>
      <c r="F4" s="7" t="str">
        <f>IFERROR(__xludf.DUMMYFUNCTION("""COMPUTED_VALUE"""),"Category Page")</f>
        <v>Category Page</v>
      </c>
      <c r="G4" s="7" t="b">
        <f>IFERROR(__xludf.DUMMYFUNCTION("""COMPUTED_VALUE"""),FALSE)</f>
        <v>0</v>
      </c>
      <c r="H4" s="7" t="str">
        <f>IFERROR(__xludf.DUMMYFUNCTION("""COMPUTED_VALUE"""),"Soup Agency, Digital Nomads HQ, SIXGUN, Impressive, First Page, Farsiight, Human Digital, Intesols, MyWork, Salt &amp; Fuessel, Emote Digital, 80/20 Digital, Supple Digital, Alley Group, EvenDigit, Rocket Agency, Clearwater Agency, DNM Digital, Edge Marketing"&amp;", Megaphone, Huge, Paradox Marketing, Online Marketing Gurus, Omnicom Media Group, Marketix Digital")</f>
        <v>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v>
      </c>
      <c r="I4" s="7">
        <f>IFERROR(__xludf.DUMMYFUNCTION("""COMPUTED_VALUE"""),42.0)</f>
        <v>42</v>
      </c>
      <c r="J4" s="7">
        <f>IFERROR(__xludf.DUMMYFUNCTION("""COMPUTED_VALUE"""),0.04)</f>
        <v>0.04</v>
      </c>
      <c r="K4" s="7">
        <f>IFERROR(__xludf.DUMMYFUNCTION("""COMPUTED_VALUE"""),2.81)</f>
        <v>2.81</v>
      </c>
    </row>
    <row r="5" ht="15.75" customHeight="1">
      <c r="A5" s="6" t="str">
        <f>IFERROR(__xludf.DUMMYFUNCTION("""COMPUTED_VALUE"""),"https://clutch.co/au/agencies/social-media-marketing#:~:text=farsiight%20is%20a%20digital%20marketing%20agency%20specializing,return%20on%20ad%20spend%20and%20customer%20acquisition.")</f>
        <v>https://clutch.co/au/agencies/social-media-marketing#:~:text=farsiight%20is%20a%20digital%20marketing%20agency%20specializing,return%20on%20ad%20spend%20and%20customer%20acquisition.</v>
      </c>
      <c r="B5" s="7" t="str">
        <f>IFERROR(__xludf.DUMMYFUNCTION("""COMPUTED_VALUE"""),"Top Social Media Marketing Companies in Australia - Jul 2026 Rankings | Clutch.co")</f>
        <v>Top Social Media Marketing Companies in Australia - Jul 2026 Rankings | Clutch.co</v>
      </c>
      <c r="C5" s="6" t="str">
        <f>IFERROR(__xludf.DUMMYFUNCTION("""COMPUTED_VALUE"""),"clutch.co")</f>
        <v>clutch.co</v>
      </c>
      <c r="D5" s="7" t="str">
        <f>IFERROR(__xludf.DUMMYFUNCTION("""COMPUTED_VALUE"""),"OTHER")</f>
        <v>OTHER</v>
      </c>
      <c r="E5" s="7" t="str">
        <f>IFERROR(__xludf.DUMMYFUNCTION("""COMPUTED_VALUE"""),"CORPORATE")</f>
        <v>CORPORATE</v>
      </c>
      <c r="F5" s="7" t="str">
        <f>IFERROR(__xludf.DUMMYFUNCTION("""COMPUTED_VALUE"""),"Other")</f>
        <v>Other</v>
      </c>
      <c r="G5" s="7" t="b">
        <f>IFERROR(__xludf.DUMMYFUNCTION("""COMPUTED_VALUE"""),FALSE)</f>
        <v>0</v>
      </c>
      <c r="H5" s="7" t="str">
        <f>IFERROR(__xludf.DUMMYFUNCTION("""COMPUTED_VALUE"""),"Soup Agency, Impressive, Digital Nomads HQ, SIXGUN, Farsiight, Human Digital, Emote Digital, Intesols, MyWork, Salt &amp; Fuessel, Alley Group, EvenDigit, Rocket Agency, Clearwater Agency, DNM Digital, Edge Marketing, Megaphone")</f>
        <v>Soup Agency, Impressive, Digital Nomads HQ, SIXGUN, Farsiight, Human Digital, Emote Digital, Intesols, MyWork, Salt &amp; Fuessel, Alley Group, EvenDigit, Rocket Agency, Clearwater Agency, DNM Digital, Edge Marketing, Megaphone</v>
      </c>
      <c r="I5" s="7">
        <f>IFERROR(__xludf.DUMMYFUNCTION("""COMPUTED_VALUE"""),38.0)</f>
        <v>38</v>
      </c>
      <c r="J5" s="7">
        <f>IFERROR(__xludf.DUMMYFUNCTION("""COMPUTED_VALUE"""),0.04)</f>
        <v>0.04</v>
      </c>
      <c r="K5" s="7">
        <f>IFERROR(__xludf.DUMMYFUNCTION("""COMPUTED_VALUE"""),2.66)</f>
        <v>2.66</v>
      </c>
    </row>
    <row r="6" ht="15.75" customHeight="1">
      <c r="A6" s="6" t="str">
        <f>IFERROR(__xludf.DUMMYFUNCTION("""COMPUTED_VALUE"""),"https://clutch.co/au/agencies/creative")</f>
        <v>https://clutch.co/au/agencies/creative</v>
      </c>
      <c r="B6" s="7" t="str">
        <f>IFERROR(__xludf.DUMMYFUNCTION("""COMPUTED_VALUE"""),"Top Creative Agencies in Australia - Jul 2026 Rankings \| Clutch.co")</f>
        <v>Top Creative Agencies in Australia - Jul 2026 Rankings \| Clutch.co</v>
      </c>
      <c r="C6" s="6" t="str">
        <f>IFERROR(__xludf.DUMMYFUNCTION("""COMPUTED_VALUE"""),"clutch.co")</f>
        <v>clutch.co</v>
      </c>
      <c r="D6" s="7" t="str">
        <f>IFERROR(__xludf.DUMMYFUNCTION("""COMPUTED_VALUE"""),"CATEGORY_PAGE")</f>
        <v>CATEGORY_PAGE</v>
      </c>
      <c r="E6" s="7" t="str">
        <f>IFERROR(__xludf.DUMMYFUNCTION("""COMPUTED_VALUE"""),"CORPORATE")</f>
        <v>CORPORATE</v>
      </c>
      <c r="F6" s="7" t="str">
        <f>IFERROR(__xludf.DUMMYFUNCTION("""COMPUTED_VALUE"""),"Category Page")</f>
        <v>Category Page</v>
      </c>
      <c r="G6" s="7" t="b">
        <f>IFERROR(__xludf.DUMMYFUNCTION("""COMPUTED_VALUE"""),FALSE)</f>
        <v>0</v>
      </c>
      <c r="H6" s="7" t="str">
        <f>IFERROR(__xludf.DUMMYFUNCTION("""COMPUTED_VALUE"""),"Chello, Human Digital, Impressive, Measured, Dentsu")</f>
        <v>Chello, Human Digital, Impressive, Measured, Dentsu</v>
      </c>
      <c r="I6" s="7">
        <f>IFERROR(__xludf.DUMMYFUNCTION("""COMPUTED_VALUE"""),33.0)</f>
        <v>33</v>
      </c>
      <c r="J6" s="7">
        <f>IFERROR(__xludf.DUMMYFUNCTION("""COMPUTED_VALUE"""),0.03)</f>
        <v>0.03</v>
      </c>
      <c r="K6" s="7">
        <f>IFERROR(__xludf.DUMMYFUNCTION("""COMPUTED_VALUE"""),1.15)</f>
        <v>1.15</v>
      </c>
    </row>
    <row r="7" ht="15.75" customHeight="1">
      <c r="A7" s="6" t="str">
        <f>IFERROR(__xludf.DUMMYFUNCTION("""COMPUTED_VALUE"""),"https://clutch.co/au/agencies/ppc/display")</f>
        <v>https://clutch.co/au/agencies/ppc/display</v>
      </c>
      <c r="B7" s="7" t="str">
        <f>IFERROR(__xludf.DUMMYFUNCTION("""COMPUTED_VALUE"""),"Top Display Advertising Services in Australia - Jul 2026 Rankings | Clutch.co")</f>
        <v>Top Display Advertising Services in Australia - Jul 2026 Rankings | Clutch.co</v>
      </c>
      <c r="C7" s="6" t="str">
        <f>IFERROR(__xludf.DUMMYFUNCTION("""COMPUTED_VALUE"""),"clutch.co")</f>
        <v>clutch.co</v>
      </c>
      <c r="D7" s="7" t="str">
        <f>IFERROR(__xludf.DUMMYFUNCTION("""COMPUTED_VALUE"""),"PROFILE")</f>
        <v>PROFILE</v>
      </c>
      <c r="E7" s="7" t="str">
        <f>IFERROR(__xludf.DUMMYFUNCTION("""COMPUTED_VALUE"""),"CORPORATE")</f>
        <v>CORPORATE</v>
      </c>
      <c r="F7" s="7" t="str">
        <f>IFERROR(__xludf.DUMMYFUNCTION("""COMPUTED_VALUE"""),"Profile")</f>
        <v>Profile</v>
      </c>
      <c r="G7" s="7" t="b">
        <f>IFERROR(__xludf.DUMMYFUNCTION("""COMPUTED_VALUE"""),FALSE)</f>
        <v>0</v>
      </c>
      <c r="H7" s="7" t="str">
        <f>IFERROR(__xludf.DUMMYFUNCTION("""COMPUTED_VALUE"""),"Intesols, First Page, Soup Agency, Impressive, Salt &amp; Fuessel, EvenDigit, Paradox Marketing, Click Click Media")</f>
        <v>Intesols, First Page, Soup Agency, Impressive, Salt &amp; Fuessel, EvenDigit, Paradox Marketing, Click Click Media</v>
      </c>
      <c r="I7" s="7">
        <f>IFERROR(__xludf.DUMMYFUNCTION("""COMPUTED_VALUE"""),32.0)</f>
        <v>32</v>
      </c>
      <c r="J7" s="7">
        <f>IFERROR(__xludf.DUMMYFUNCTION("""COMPUTED_VALUE"""),0.03)</f>
        <v>0.03</v>
      </c>
      <c r="K7" s="7">
        <f>IFERROR(__xludf.DUMMYFUNCTION("""COMPUTED_VALUE"""),1.09)</f>
        <v>1.09</v>
      </c>
    </row>
    <row r="8" ht="15.75" customHeight="1">
      <c r="A8" s="6" t="str">
        <f>IFERROR(__xludf.DUMMYFUNCTION("""COMPUTED_VALUE"""),"https://clutch.co/au/consulting/ai")</f>
        <v>https://clutch.co/au/consulting/ai</v>
      </c>
      <c r="B8" s="7" t="str">
        <f>IFERROR(__xludf.DUMMYFUNCTION("""COMPUTED_VALUE"""),"Top AI Consultants in Australia - Jul 2026 Rankings \| Clutch.co")</f>
        <v>Top AI Consultants in Australia - Jul 2026 Rankings \| Clutch.co</v>
      </c>
      <c r="C8" s="6" t="str">
        <f>IFERROR(__xludf.DUMMYFUNCTION("""COMPUTED_VALUE"""),"clutch.co")</f>
        <v>clutch.co</v>
      </c>
      <c r="D8" s="7" t="str">
        <f>IFERROR(__xludf.DUMMYFUNCTION("""COMPUTED_VALUE"""),"CATEGORY_PAGE")</f>
        <v>CATEGORY_PAGE</v>
      </c>
      <c r="E8" s="7" t="str">
        <f>IFERROR(__xludf.DUMMYFUNCTION("""COMPUTED_VALUE"""),"CORPORATE")</f>
        <v>CORPORATE</v>
      </c>
      <c r="F8" s="7" t="str">
        <f>IFERROR(__xludf.DUMMYFUNCTION("""COMPUTED_VALUE"""),"Category Page")</f>
        <v>Category Page</v>
      </c>
      <c r="G8" s="7" t="b">
        <f>IFERROR(__xludf.DUMMYFUNCTION("""COMPUTED_VALUE"""),FALSE)</f>
        <v>0</v>
      </c>
      <c r="H8" s="7" t="str">
        <f>IFERROR(__xludf.DUMMYFUNCTION("""COMPUTED_VALUE"""),"Luminary, Impressive, Huge, In Marketing We Trust, Team 400")</f>
        <v>Luminary, Impressive, Huge, In Marketing We Trust, Team 400</v>
      </c>
      <c r="I8" s="7">
        <f>IFERROR(__xludf.DUMMYFUNCTION("""COMPUTED_VALUE"""),25.0)</f>
        <v>25</v>
      </c>
      <c r="J8" s="7">
        <f>IFERROR(__xludf.DUMMYFUNCTION("""COMPUTED_VALUE"""),0.03)</f>
        <v>0.03</v>
      </c>
      <c r="K8" s="7">
        <f>IFERROR(__xludf.DUMMYFUNCTION("""COMPUTED_VALUE"""),0.12)</f>
        <v>0.12</v>
      </c>
    </row>
    <row r="9" ht="15.75" customHeight="1">
      <c r="A9" s="6" t="str">
        <f>IFERROR(__xludf.DUMMYFUNCTION("""COMPUTED_VALUE"""),"https://clutch.co/au/agencies/media-buying")</f>
        <v>https://clutch.co/au/agencies/media-buying</v>
      </c>
      <c r="B9" s="7" t="str">
        <f>IFERROR(__xludf.DUMMYFUNCTION("""COMPUTED_VALUE"""),"Top Media Buying Agencies in Australia - Jul 2026 Rankings \| Clutch.co")</f>
        <v>Top Media Buying Agencies in Australia - Jul 2026 Rankings \| Clutch.co</v>
      </c>
      <c r="C9" s="6" t="str">
        <f>IFERROR(__xludf.DUMMYFUNCTION("""COMPUTED_VALUE"""),"clutch.co")</f>
        <v>clutch.co</v>
      </c>
      <c r="D9" s="7" t="str">
        <f>IFERROR(__xludf.DUMMYFUNCTION("""COMPUTED_VALUE"""),"PROFILE")</f>
        <v>PROFILE</v>
      </c>
      <c r="E9" s="7" t="str">
        <f>IFERROR(__xludf.DUMMYFUNCTION("""COMPUTED_VALUE"""),"CORPORATE")</f>
        <v>CORPORATE</v>
      </c>
      <c r="F9" s="7" t="str">
        <f>IFERROR(__xludf.DUMMYFUNCTION("""COMPUTED_VALUE"""),"Profile")</f>
        <v>Profile</v>
      </c>
      <c r="G9" s="7" t="b">
        <f>IFERROR(__xludf.DUMMYFUNCTION("""COMPUTED_VALUE"""),FALSE)</f>
        <v>0</v>
      </c>
      <c r="H9" s="7" t="str">
        <f>IFERROR(__xludf.DUMMYFUNCTION("""COMPUTED_VALUE"""),"Soup Agency, DNM Digital, Bench Media, Impressive, MK Media")</f>
        <v>Soup Agency, DNM Digital, Bench Media, Impressive, MK Media</v>
      </c>
      <c r="I9" s="7">
        <f>IFERROR(__xludf.DUMMYFUNCTION("""COMPUTED_VALUE"""),23.0)</f>
        <v>23</v>
      </c>
      <c r="J9" s="7">
        <f>IFERROR(__xludf.DUMMYFUNCTION("""COMPUTED_VALUE"""),0.02)</f>
        <v>0.02</v>
      </c>
      <c r="K9" s="7">
        <f>IFERROR(__xludf.DUMMYFUNCTION("""COMPUTED_VALUE"""),0.39)</f>
        <v>0.39</v>
      </c>
    </row>
    <row r="10" ht="15.75" customHeight="1">
      <c r="A10" s="6" t="str">
        <f>IFERROR(__xludf.DUMMYFUNCTION("""COMPUTED_VALUE"""),"https://clutch.co/au/agencies/ppc/advertising-industry")</f>
        <v>https://clutch.co/au/agencies/ppc/advertising-industry</v>
      </c>
      <c r="B10" s="7" t="str">
        <f>IFERROR(__xludf.DUMMYFUNCTION("""COMPUTED_VALUE"""),"Top PPC Agencies for Ad Agencies in Australia - Jul 2026 Rankings | Clutch.co")</f>
        <v>Top PPC Agencies for Ad Agencies in Australia - Jul 2026 Rankings | Clutch.co</v>
      </c>
      <c r="C10" s="6" t="str">
        <f>IFERROR(__xludf.DUMMYFUNCTION("""COMPUTED_VALUE"""),"clutch.co")</f>
        <v>clutch.co</v>
      </c>
      <c r="D10" s="7" t="str">
        <f>IFERROR(__xludf.DUMMYFUNCTION("""COMPUTED_VALUE"""),"CATEGORY_PAGE")</f>
        <v>CATEGORY_PAGE</v>
      </c>
      <c r="E10" s="7" t="str">
        <f>IFERROR(__xludf.DUMMYFUNCTION("""COMPUTED_VALUE"""),"CORPORATE")</f>
        <v>CORPORATE</v>
      </c>
      <c r="F10" s="7" t="str">
        <f>IFERROR(__xludf.DUMMYFUNCTION("""COMPUTED_VALUE"""),"Category Page")</f>
        <v>Category Page</v>
      </c>
      <c r="G10" s="7" t="b">
        <f>IFERROR(__xludf.DUMMYFUNCTION("""COMPUTED_VALUE"""),FALSE)</f>
        <v>0</v>
      </c>
      <c r="H10" s="7" t="str">
        <f>IFERROR(__xludf.DUMMYFUNCTION("""COMPUTED_VALUE"""),"Soup Agency, Impressive, Alley Group, Rocket Agency, DNM Digital, Megaphone, Online Marketing Gurus, Omnicom Media Group")</f>
        <v>Soup Agency, Impressive, Alley Group, Rocket Agency, DNM Digital, Megaphone, Online Marketing Gurus, Omnicom Media Group</v>
      </c>
      <c r="I10" s="7">
        <f>IFERROR(__xludf.DUMMYFUNCTION("""COMPUTED_VALUE"""),21.0)</f>
        <v>21</v>
      </c>
      <c r="J10" s="7">
        <f>IFERROR(__xludf.DUMMYFUNCTION("""COMPUTED_VALUE"""),0.02)</f>
        <v>0.02</v>
      </c>
      <c r="K10" s="7">
        <f>IFERROR(__xludf.DUMMYFUNCTION("""COMPUTED_VALUE"""),0.24)</f>
        <v>0.24</v>
      </c>
    </row>
    <row r="11" ht="15.75" customHeight="1">
      <c r="A11" s="6" t="str">
        <f>IFERROR(__xludf.DUMMYFUNCTION("""COMPUTED_VALUE"""),"https://clutch.co/au/agencies/social-media-marketing/facebook")</f>
        <v>https://clutch.co/au/agencies/social-media-marketing/facebook</v>
      </c>
      <c r="B11" s="7" t="str">
        <f>IFERROR(__xludf.DUMMYFUNCTION("""COMPUTED_VALUE"""),"Top Facebook Advertising Agencies in Australia - Jul 2026 Rankings | Clutch.co")</f>
        <v>Top Facebook Advertising Agencies in Australia - Jul 2026 Rankings | Clutch.co</v>
      </c>
      <c r="C11" s="6" t="str">
        <f>IFERROR(__xludf.DUMMYFUNCTION("""COMPUTED_VALUE"""),"clutch.co")</f>
        <v>clutch.co</v>
      </c>
      <c r="D11" s="7" t="str">
        <f>IFERROR(__xludf.DUMMYFUNCTION("""COMPUTED_VALUE"""),"CATEGORY_PAGE")</f>
        <v>CATEGORY_PAGE</v>
      </c>
      <c r="E11" s="7" t="str">
        <f>IFERROR(__xludf.DUMMYFUNCTION("""COMPUTED_VALUE"""),"CORPORATE")</f>
        <v>CORPORATE</v>
      </c>
      <c r="F11" s="7" t="str">
        <f>IFERROR(__xludf.DUMMYFUNCTION("""COMPUTED_VALUE"""),"Category Page")</f>
        <v>Category Page</v>
      </c>
      <c r="G11" s="7" t="b">
        <f>IFERROR(__xludf.DUMMYFUNCTION("""COMPUTED_VALUE"""),FALSE)</f>
        <v>0</v>
      </c>
      <c r="H11" s="7" t="str">
        <f>IFERROR(__xludf.DUMMYFUNCTION("""COMPUTED_VALUE"""),"Digital Nomads HQ, SIXGUN, Intesols, Impressive, Farsiight, Soup Agency, Emote Digital, Human Digital, Salt &amp; Fuessel, EvenDigit, Rocket Agency, Clearwater Agency, DNM Digital, Edge Marketing, Megaphone, Online Marketing Gurus, Omnicom Media Group, Parado"&amp;"x Marketing, Bench Media, Insil")</f>
        <v>Digital Nomads HQ, SIXGUN, Intesols, Impressive, Farsiight, Soup Agency, Emote Digital, Human Digital, Salt &amp; Fuessel, EvenDigit, Rocket Agency, Clearwater Agency, DNM Digital, Edge Marketing, Megaphone, Online Marketing Gurus, Omnicom Media Group, Paradox Marketing, Bench Media, Insil</v>
      </c>
      <c r="I11" s="7">
        <f>IFERROR(__xludf.DUMMYFUNCTION("""COMPUTED_VALUE"""),18.0)</f>
        <v>18</v>
      </c>
      <c r="J11" s="7">
        <f>IFERROR(__xludf.DUMMYFUNCTION("""COMPUTED_VALUE"""),0.02)</f>
        <v>0.02</v>
      </c>
      <c r="K11" s="7">
        <f>IFERROR(__xludf.DUMMYFUNCTION("""COMPUTED_VALUE"""),0.06)</f>
        <v>0.06</v>
      </c>
    </row>
    <row r="12" ht="15.75" customHeight="1">
      <c r="A12" s="6" t="str">
        <f>IFERROR(__xludf.DUMMYFUNCTION("""COMPUTED_VALUE"""),"https://clutch.co/au/agencies/ppc/google-adwords")</f>
        <v>https://clutch.co/au/agencies/ppc/google-adwords</v>
      </c>
      <c r="B12" s="7" t="str">
        <f>IFERROR(__xludf.DUMMYFUNCTION("""COMPUTED_VALUE"""),"Top Google Ads PPC Agencies in Australia - Jul 2026 Rankings \| Clutch.co")</f>
        <v>Top Google Ads PPC Agencies in Australia - Jul 2026 Rankings \| Clutch.co</v>
      </c>
      <c r="C12" s="6" t="str">
        <f>IFERROR(__xludf.DUMMYFUNCTION("""COMPUTED_VALUE"""),"clutch.co")</f>
        <v>clutch.co</v>
      </c>
      <c r="D12" s="7" t="str">
        <f>IFERROR(__xludf.DUMMYFUNCTION("""COMPUTED_VALUE"""),"CATEGORY_PAGE")</f>
        <v>CATEGORY_PAGE</v>
      </c>
      <c r="E12" s="7" t="str">
        <f>IFERROR(__xludf.DUMMYFUNCTION("""COMPUTED_VALUE"""),"CORPORATE")</f>
        <v>CORPORATE</v>
      </c>
      <c r="F12" s="7" t="str">
        <f>IFERROR(__xludf.DUMMYFUNCTION("""COMPUTED_VALUE"""),"Category Page")</f>
        <v>Category Page</v>
      </c>
      <c r="G12" s="7" t="b">
        <f>IFERROR(__xludf.DUMMYFUNCTION("""COMPUTED_VALUE"""),FALSE)</f>
        <v>0</v>
      </c>
      <c r="H12" s="7" t="str">
        <f>IFERROR(__xludf.DUMMYFUNCTION("""COMPUTED_VALUE"""),"Digital Nomads HQ, SIXGUN, Human Digital, Farsiight, Intesols, MyWork, Soup Agency, 80/20 Digital, Impressive, Salt &amp; Fuessel, Emote Digital, Supple Digital, EvenDigit, Rocket Agency, Clearwater Agency, DNM Digital, Megaphone, Momentum")</f>
        <v>Digital Nomads HQ, SIXGUN, Human Digital, Farsiight, Intesols, MyWork, Soup Agency, 80/20 Digital, Impressive, Salt &amp; Fuessel, Emote Digital, Supple Digital, EvenDigit, Rocket Agency, Clearwater Agency, DNM Digital, Megaphone, Momentum</v>
      </c>
      <c r="I12" s="7">
        <f>IFERROR(__xludf.DUMMYFUNCTION("""COMPUTED_VALUE"""),14.0)</f>
        <v>14</v>
      </c>
      <c r="J12" s="7">
        <f>IFERROR(__xludf.DUMMYFUNCTION("""COMPUTED_VALUE"""),0.01)</f>
        <v>0.01</v>
      </c>
      <c r="K12" s="7">
        <f>IFERROR(__xludf.DUMMYFUNCTION("""COMPUTED_VALUE"""),0.21)</f>
        <v>0.21</v>
      </c>
    </row>
    <row r="13" ht="15.75" customHeight="1">
      <c r="A13" s="6" t="str">
        <f>IFERROR(__xludf.DUMMYFUNCTION("""COMPUTED_VALUE"""),"https://clutch.co/au/consulting/ai/strategy")</f>
        <v>https://clutch.co/au/consulting/ai/strategy</v>
      </c>
      <c r="B13" s="7" t="str">
        <f>IFERROR(__xludf.DUMMYFUNCTION("""COMPUTED_VALUE"""),"Top AI Strategy Companies in Australia - Jul 2026 Rankings \| Clutch.co")</f>
        <v>Top AI Strategy Companies in Australia - Jul 2026 Rankings \| Clutch.co</v>
      </c>
      <c r="C13" s="6" t="str">
        <f>IFERROR(__xludf.DUMMYFUNCTION("""COMPUTED_VALUE"""),"clutch.co")</f>
        <v>clutch.co</v>
      </c>
      <c r="D13" s="7" t="str">
        <f>IFERROR(__xludf.DUMMYFUNCTION("""COMPUTED_VALUE"""),"PROFILE")</f>
        <v>PROFILE</v>
      </c>
      <c r="E13" s="7" t="str">
        <f>IFERROR(__xludf.DUMMYFUNCTION("""COMPUTED_VALUE"""),"CORPORATE")</f>
        <v>CORPORATE</v>
      </c>
      <c r="F13" s="7" t="str">
        <f>IFERROR(__xludf.DUMMYFUNCTION("""COMPUTED_VALUE"""),"Profile")</f>
        <v>Profile</v>
      </c>
      <c r="G13" s="7" t="b">
        <f>IFERROR(__xludf.DUMMYFUNCTION("""COMPUTED_VALUE"""),FALSE)</f>
        <v>0</v>
      </c>
      <c r="H13" s="7" t="str">
        <f>IFERROR(__xludf.DUMMYFUNCTION("""COMPUTED_VALUE"""),"In Marketing We Trust, Impressive, Team 400")</f>
        <v>In Marketing We Trust, Impressive, Team 400</v>
      </c>
      <c r="I13" s="7">
        <f>IFERROR(__xludf.DUMMYFUNCTION("""COMPUTED_VALUE"""),13.0)</f>
        <v>13</v>
      </c>
      <c r="J13" s="7">
        <f>IFERROR(__xludf.DUMMYFUNCTION("""COMPUTED_VALUE"""),0.01)</f>
        <v>0.01</v>
      </c>
      <c r="K13" s="7">
        <f>IFERROR(__xludf.DUMMYFUNCTION("""COMPUTED_VALUE"""),0.77)</f>
        <v>0.77</v>
      </c>
    </row>
    <row r="14" ht="15.75" customHeight="1">
      <c r="A14" s="6" t="str">
        <f>IFERROR(__xludf.DUMMYFUNCTION("""COMPUTED_VALUE"""),"https://clutch.co/au/agencies/digital")</f>
        <v>https://clutch.co/au/agencies/digital</v>
      </c>
      <c r="B14" s="7" t="str">
        <f>IFERROR(__xludf.DUMMYFUNCTION("""COMPUTED_VALUE"""),"Top Full-Service Digital Agencies in Australia - Jul 2026 Rankings \| Clutch.co")</f>
        <v>Top Full-Service Digital Agencies in Australia - Jul 2026 Rankings \| Clutch.co</v>
      </c>
      <c r="C14" s="6" t="str">
        <f>IFERROR(__xludf.DUMMYFUNCTION("""COMPUTED_VALUE"""),"clutch.co")</f>
        <v>clutch.co</v>
      </c>
      <c r="D14" s="7" t="str">
        <f>IFERROR(__xludf.DUMMYFUNCTION("""COMPUTED_VALUE"""),"CATEGORY_PAGE")</f>
        <v>CATEGORY_PAGE</v>
      </c>
      <c r="E14" s="7" t="str">
        <f>IFERROR(__xludf.DUMMYFUNCTION("""COMPUTED_VALUE"""),"CORPORATE")</f>
        <v>CORPORATE</v>
      </c>
      <c r="F14" s="7" t="str">
        <f>IFERROR(__xludf.DUMMYFUNCTION("""COMPUTED_VALUE"""),"Category Page")</f>
        <v>Category Page</v>
      </c>
      <c r="G14" s="7" t="b">
        <f>IFERROR(__xludf.DUMMYFUNCTION("""COMPUTED_VALUE"""),FALSE)</f>
        <v>0</v>
      </c>
      <c r="H14" s="7" t="str">
        <f>IFERROR(__xludf.DUMMYFUNCTION("""COMPUTED_VALUE"""),"Digital Nomads HQ, MyWork, Farsiight, Soup Agency, Emote Digital, Intesols, Luminary, Human Digital, Impressive, Salt &amp; Fuessel, Alley Group, Clearwater Agency, DNM Digital, Paradox Marketing")</f>
        <v>Digital Nomads HQ, MyWork, Farsiight, Soup Agency, Emote Digital, Intesols, Luminary, Human Digital, Impressive, Salt &amp; Fuessel, Alley Group, Clearwater Agency, DNM Digital, Paradox Marketing</v>
      </c>
      <c r="I14" s="7">
        <f>IFERROR(__xludf.DUMMYFUNCTION("""COMPUTED_VALUE"""),11.0)</f>
        <v>11</v>
      </c>
      <c r="J14" s="7">
        <f>IFERROR(__xludf.DUMMYFUNCTION("""COMPUTED_VALUE"""),0.01)</f>
        <v>0.01</v>
      </c>
      <c r="K14" s="7">
        <f>IFERROR(__xludf.DUMMYFUNCTION("""COMPUTED_VALUE"""),0.0)</f>
        <v>0</v>
      </c>
    </row>
    <row r="15" ht="15.75" customHeight="1">
      <c r="A15" s="6" t="str">
        <f>IFERROR(__xludf.DUMMYFUNCTION("""COMPUTED_VALUE"""),"https://clutch.co/au/agencies/programmatic")</f>
        <v>https://clutch.co/au/agencies/programmatic</v>
      </c>
      <c r="B15" s="7" t="str">
        <f>IFERROR(__xludf.DUMMYFUNCTION("""COMPUTED_VALUE"""),"Top Programmatic Advertising Companies in Australia - Jul 2026 Rankings | Clutch.co")</f>
        <v>Top Programmatic Advertising Companies in Australia - Jul 2026 Rankings | Clutch.co</v>
      </c>
      <c r="C15" s="6" t="str">
        <f>IFERROR(__xludf.DUMMYFUNCTION("""COMPUTED_VALUE"""),"clutch.co")</f>
        <v>clutch.co</v>
      </c>
      <c r="D15" s="7" t="str">
        <f>IFERROR(__xludf.DUMMYFUNCTION("""COMPUTED_VALUE"""),"PROFILE")</f>
        <v>PROFILE</v>
      </c>
      <c r="E15" s="7" t="str">
        <f>IFERROR(__xludf.DUMMYFUNCTION("""COMPUTED_VALUE"""),"CORPORATE")</f>
        <v>CORPORATE</v>
      </c>
      <c r="F15" s="7" t="str">
        <f>IFERROR(__xludf.DUMMYFUNCTION("""COMPUTED_VALUE"""),"Profile")</f>
        <v>Profile</v>
      </c>
      <c r="G15" s="7" t="b">
        <f>IFERROR(__xludf.DUMMYFUNCTION("""COMPUTED_VALUE"""),FALSE)</f>
        <v>0</v>
      </c>
      <c r="H15" s="7" t="str">
        <f>IFERROR(__xludf.DUMMYFUNCTION("""COMPUTED_VALUE"""),"Soup Agency, Impressive, DNM Digital, In Marketing We Trust, Bench Media")</f>
        <v>Soup Agency, Impressive, DNM Digital, In Marketing We Trust, Bench Media</v>
      </c>
      <c r="I15" s="7">
        <f>IFERROR(__xludf.DUMMYFUNCTION("""COMPUTED_VALUE"""),10.0)</f>
        <v>10</v>
      </c>
      <c r="J15" s="7">
        <f>IFERROR(__xludf.DUMMYFUNCTION("""COMPUTED_VALUE"""),0.01)</f>
        <v>0.01</v>
      </c>
      <c r="K15" s="7">
        <f>IFERROR(__xludf.DUMMYFUNCTION("""COMPUTED_VALUE"""),2.3)</f>
        <v>2.3</v>
      </c>
    </row>
    <row r="16" ht="15.75" customHeight="1">
      <c r="A16" s="6" t="str">
        <f>IFERROR(__xludf.DUMMYFUNCTION("""COMPUTED_VALUE"""),"https://clutch.co/agencies/performance-marketing")</f>
        <v>https://clutch.co/agencies/performance-marketing</v>
      </c>
      <c r="B16" s="7" t="str">
        <f>IFERROR(__xludf.DUMMYFUNCTION("""COMPUTED_VALUE"""),"Top Performance Marketing Agencies - Jul 2026 Rankings | Clutch.co")</f>
        <v>Top Performance Marketing Agencies - Jul 2026 Rankings | Clutch.co</v>
      </c>
      <c r="C16" s="6" t="str">
        <f>IFERROR(__xludf.DUMMYFUNCTION("""COMPUTED_VALUE"""),"clutch.co")</f>
        <v>clutch.co</v>
      </c>
      <c r="D16" s="7" t="str">
        <f>IFERROR(__xludf.DUMMYFUNCTION("""COMPUTED_VALUE"""),"CATEGORY_PAGE")</f>
        <v>CATEGORY_PAGE</v>
      </c>
      <c r="E16" s="7" t="str">
        <f>IFERROR(__xludf.DUMMYFUNCTION("""COMPUTED_VALUE"""),"CORPORATE")</f>
        <v>CORPORATE</v>
      </c>
      <c r="F16" s="7" t="str">
        <f>IFERROR(__xludf.DUMMYFUNCTION("""COMPUTED_VALUE"""),"Category Page")</f>
        <v>Category Page</v>
      </c>
      <c r="G16" s="7" t="b">
        <f>IFERROR(__xludf.DUMMYFUNCTION("""COMPUTED_VALUE"""),FALSE)</f>
        <v>0</v>
      </c>
      <c r="H16" s="7" t="str">
        <f>IFERROR(__xludf.DUMMYFUNCTION("""COMPUTED_VALUE"""),"Impressive, Momentum, Edge Marketing")</f>
        <v>Impressive, Momentum, Edge Marketing</v>
      </c>
      <c r="I16" s="7">
        <f>IFERROR(__xludf.DUMMYFUNCTION("""COMPUTED_VALUE"""),7.0)</f>
        <v>7</v>
      </c>
      <c r="J16" s="7">
        <f>IFERROR(__xludf.DUMMYFUNCTION("""COMPUTED_VALUE"""),0.01)</f>
        <v>0.01</v>
      </c>
      <c r="K16" s="7">
        <f>IFERROR(__xludf.DUMMYFUNCTION("""COMPUTED_VALUE"""),0.0)</f>
        <v>0</v>
      </c>
    </row>
    <row r="17" ht="15.75" customHeight="1">
      <c r="A17" s="6" t="str">
        <f>IFERROR(__xludf.DUMMYFUNCTION("""COMPUTED_VALUE"""),"https://clutch.co/au/consulting/ai/sydney")</f>
        <v>https://clutch.co/au/consulting/ai/sydney</v>
      </c>
      <c r="B17" s="7" t="str">
        <f>IFERROR(__xludf.DUMMYFUNCTION("""COMPUTED_VALUE"""),"Top AI Consultants in Sydney - Jul 2026 Rankings \| Clutch.co")</f>
        <v>Top AI Consultants in Sydney - Jul 2026 Rankings \| Clutch.co</v>
      </c>
      <c r="C17" s="6" t="str">
        <f>IFERROR(__xludf.DUMMYFUNCTION("""COMPUTED_VALUE"""),"clutch.co")</f>
        <v>clutch.co</v>
      </c>
      <c r="D17" s="7" t="str">
        <f>IFERROR(__xludf.DUMMYFUNCTION("""COMPUTED_VALUE"""),"CATEGORY_PAGE")</f>
        <v>CATEGORY_PAGE</v>
      </c>
      <c r="E17" s="7" t="str">
        <f>IFERROR(__xludf.DUMMYFUNCTION("""COMPUTED_VALUE"""),"CORPORATE")</f>
        <v>CORPORATE</v>
      </c>
      <c r="F17" s="7" t="str">
        <f>IFERROR(__xludf.DUMMYFUNCTION("""COMPUTED_VALUE"""),"Category Page")</f>
        <v>Category Page</v>
      </c>
      <c r="G17" s="7" t="b">
        <f>IFERROR(__xludf.DUMMYFUNCTION("""COMPUTED_VALUE"""),FALSE)</f>
        <v>0</v>
      </c>
      <c r="H17" s="7" t="str">
        <f>IFERROR(__xludf.DUMMYFUNCTION("""COMPUTED_VALUE"""),"Luminary, In Marketing We Trust, Impressive, Huge, Team 400")</f>
        <v>Luminary, In Marketing We Trust, Impressive, Huge, Team 400</v>
      </c>
      <c r="I17" s="7">
        <f>IFERROR(__xludf.DUMMYFUNCTION("""COMPUTED_VALUE"""),6.0)</f>
        <v>6</v>
      </c>
      <c r="J17" s="7">
        <f>IFERROR(__xludf.DUMMYFUNCTION("""COMPUTED_VALUE"""),0.01)</f>
        <v>0.01</v>
      </c>
      <c r="K17" s="7">
        <f>IFERROR(__xludf.DUMMYFUNCTION("""COMPUTED_VALUE"""),0.17)</f>
        <v>0.17</v>
      </c>
    </row>
    <row r="18" ht="15.75" customHeight="1">
      <c r="A18" s="6" t="str">
        <f>IFERROR(__xludf.DUMMYFUNCTION("""COMPUTED_VALUE"""),"https://clutch.co/au/agencies/conversion-optimization")</f>
        <v>https://clutch.co/au/agencies/conversion-optimization</v>
      </c>
      <c r="B18" s="7" t="str">
        <f>IFERROR(__xludf.DUMMYFUNCTION("""COMPUTED_VALUE"""),"Top Conversion Rate Optimization Services in Australia - Jul 2026 Rankings \| Clutch.co")</f>
        <v>Top Conversion Rate Optimization Services in Australia - Jul 2026 Rankings \| Clutch.co</v>
      </c>
      <c r="C18" s="6" t="str">
        <f>IFERROR(__xludf.DUMMYFUNCTION("""COMPUTED_VALUE"""),"clutch.co")</f>
        <v>clutch.co</v>
      </c>
      <c r="D18" s="7" t="str">
        <f>IFERROR(__xludf.DUMMYFUNCTION("""COMPUTED_VALUE"""),"CATEGORY_PAGE")</f>
        <v>CATEGORY_PAGE</v>
      </c>
      <c r="E18" s="7" t="str">
        <f>IFERROR(__xludf.DUMMYFUNCTION("""COMPUTED_VALUE"""),"CORPORATE")</f>
        <v>CORPORATE</v>
      </c>
      <c r="F18" s="7" t="str">
        <f>IFERROR(__xludf.DUMMYFUNCTION("""COMPUTED_VALUE"""),"Category Page")</f>
        <v>Category Page</v>
      </c>
      <c r="G18" s="7" t="b">
        <f>IFERROR(__xludf.DUMMYFUNCTION("""COMPUTED_VALUE"""),FALSE)</f>
        <v>0</v>
      </c>
      <c r="H18" s="7" t="str">
        <f>IFERROR(__xludf.DUMMYFUNCTION("""COMPUTED_VALUE"""),"Human Digital, CUT THRU, Impressive, Huge, Reform Digital, ROI Growth Agency, RAW Studio, Digitxl")</f>
        <v>Human Digital, CUT THRU, Impressive, Huge, Reform Digital, ROI Growth Agency, RAW Studio, Digitxl</v>
      </c>
      <c r="I18" s="7">
        <f>IFERROR(__xludf.DUMMYFUNCTION("""COMPUTED_VALUE"""),5.0)</f>
        <v>5</v>
      </c>
      <c r="J18" s="7">
        <f>IFERROR(__xludf.DUMMYFUNCTION("""COMPUTED_VALUE"""),0.01)</f>
        <v>0.01</v>
      </c>
      <c r="K18" s="7">
        <f>IFERROR(__xludf.DUMMYFUNCTION("""COMPUTED_VALUE"""),0.2)</f>
        <v>0.2</v>
      </c>
    </row>
    <row r="19" ht="15.75" customHeight="1">
      <c r="A19" s="6" t="str">
        <f>IFERROR(__xludf.DUMMYFUNCTION("""COMPUTED_VALUE"""),"https://clutch.co/au/agencies/creative/sydney")</f>
        <v>https://clutch.co/au/agencies/creative/sydney</v>
      </c>
      <c r="B19" s="7" t="str">
        <f>IFERROR(__xludf.DUMMYFUNCTION("""COMPUTED_VALUE"""),"Top Creative Agencies in Sydney - Jul 2026 Rankings \| Clutch.co")</f>
        <v>Top Creative Agencies in Sydney - Jul 2026 Rankings \| Clutch.co</v>
      </c>
      <c r="C19" s="6" t="str">
        <f>IFERROR(__xludf.DUMMYFUNCTION("""COMPUTED_VALUE"""),"clutch.co")</f>
        <v>clutch.co</v>
      </c>
      <c r="D19" s="7" t="str">
        <f>IFERROR(__xludf.DUMMYFUNCTION("""COMPUTED_VALUE"""),"CATEGORY_PAGE")</f>
        <v>CATEGORY_PAGE</v>
      </c>
      <c r="E19" s="7" t="str">
        <f>IFERROR(__xludf.DUMMYFUNCTION("""COMPUTED_VALUE"""),"CORPORATE")</f>
        <v>CORPORATE</v>
      </c>
      <c r="F19" s="7" t="str">
        <f>IFERROR(__xludf.DUMMYFUNCTION("""COMPUTED_VALUE"""),"Category Page")</f>
        <v>Category Page</v>
      </c>
      <c r="G19" s="7" t="b">
        <f>IFERROR(__xludf.DUMMYFUNCTION("""COMPUTED_VALUE"""),FALSE)</f>
        <v>0</v>
      </c>
      <c r="H19" s="7" t="str">
        <f>IFERROR(__xludf.DUMMYFUNCTION("""COMPUTED_VALUE"""),"Chello, Human Digital, Impressive, Huge, Dentsu, BMF")</f>
        <v>Chello, Human Digital, Impressive, Huge, Dentsu, BMF</v>
      </c>
      <c r="I19" s="7">
        <f>IFERROR(__xludf.DUMMYFUNCTION("""COMPUTED_VALUE"""),5.0)</f>
        <v>5</v>
      </c>
      <c r="J19" s="7">
        <f>IFERROR(__xludf.DUMMYFUNCTION("""COMPUTED_VALUE"""),0.01)</f>
        <v>0.01</v>
      </c>
      <c r="K19" s="7">
        <f>IFERROR(__xludf.DUMMYFUNCTION("""COMPUTED_VALUE"""),0.0)</f>
        <v>0</v>
      </c>
    </row>
    <row r="20" ht="15.75" customHeight="1">
      <c r="A20" s="6" t="str">
        <f>IFERROR(__xludf.DUMMYFUNCTION("""COMPUTED_VALUE"""),"https://clutch.co/au/agencies/ppc/display?page=2")</f>
        <v>https://clutch.co/au/agencies/ppc/display?page=2</v>
      </c>
      <c r="B20" s="7" t="str">
        <f>IFERROR(__xludf.DUMMYFUNCTION("""COMPUTED_VALUE"""),"Page 2 - Top Display Advertising Services in Australia - Jul 2026 Rankings | Clutch.co")</f>
        <v>Page 2 - Top Display Advertising Services in Australia - Jul 2026 Rankings | Clutch.co</v>
      </c>
      <c r="C20" s="6" t="str">
        <f>IFERROR(__xludf.DUMMYFUNCTION("""COMPUTED_VALUE"""),"clutch.co")</f>
        <v>clutch.co</v>
      </c>
      <c r="D20" s="7" t="str">
        <f>IFERROR(__xludf.DUMMYFUNCTION("""COMPUTED_VALUE"""),"OTHER")</f>
        <v>OTHER</v>
      </c>
      <c r="E20" s="7" t="str">
        <f>IFERROR(__xludf.DUMMYFUNCTION("""COMPUTED_VALUE"""),"CORPORATE")</f>
        <v>CORPORATE</v>
      </c>
      <c r="F20" s="7" t="str">
        <f>IFERROR(__xludf.DUMMYFUNCTION("""COMPUTED_VALUE"""),"Other")</f>
        <v>Other</v>
      </c>
      <c r="G20" s="7" t="b">
        <f>IFERROR(__xludf.DUMMYFUNCTION("""COMPUTED_VALUE"""),FALSE)</f>
        <v>0</v>
      </c>
      <c r="H20" s="7" t="str">
        <f>IFERROR(__xludf.DUMMYFUNCTION("""COMPUTED_VALUE"""),"First Page, Impressive, Paradox Marketing, Intesols, Soup Agency, Salt &amp; Fuessel, Click Click Media")</f>
        <v>First Page, Impressive, Paradox Marketing, Intesols, Soup Agency, Salt &amp; Fuessel, Click Click Media</v>
      </c>
      <c r="I20" s="7">
        <f>IFERROR(__xludf.DUMMYFUNCTION("""COMPUTED_VALUE"""),5.0)</f>
        <v>5</v>
      </c>
      <c r="J20" s="7">
        <f>IFERROR(__xludf.DUMMYFUNCTION("""COMPUTED_VALUE"""),0.01)</f>
        <v>0.01</v>
      </c>
      <c r="K20" s="7">
        <f>IFERROR(__xludf.DUMMYFUNCTION("""COMPUTED_VALUE"""),0.0)</f>
        <v>0</v>
      </c>
    </row>
    <row r="21" ht="15.75" customHeight="1">
      <c r="A21" s="6" t="str">
        <f>IFERROR(__xludf.DUMMYFUNCTION("""COMPUTED_VALUE"""),"https://clutch.co/au/it-services/analytics")</f>
        <v>https://clutch.co/au/it-services/analytics</v>
      </c>
      <c r="B21" s="7" t="str">
        <f>IFERROR(__xludf.DUMMYFUNCTION("""COMPUTED_VALUE"""),"Top Big Data Analytics Companies in Australia - Jul 2026 Rankings | Clutch.co")</f>
        <v>Top Big Data Analytics Companies in Australia - Jul 2026 Rankings | Clutch.co</v>
      </c>
      <c r="C21" s="6" t="str">
        <f>IFERROR(__xludf.DUMMYFUNCTION("""COMPUTED_VALUE"""),"clutch.co")</f>
        <v>clutch.co</v>
      </c>
      <c r="D21" s="7" t="str">
        <f>IFERROR(__xludf.DUMMYFUNCTION("""COMPUTED_VALUE"""),"CATEGORY_PAGE")</f>
        <v>CATEGORY_PAGE</v>
      </c>
      <c r="E21" s="7" t="str">
        <f>IFERROR(__xludf.DUMMYFUNCTION("""COMPUTED_VALUE"""),"CORPORATE")</f>
        <v>CORPORATE</v>
      </c>
      <c r="F21" s="7" t="str">
        <f>IFERROR(__xludf.DUMMYFUNCTION("""COMPUTED_VALUE"""),"Category Page")</f>
        <v>Category Page</v>
      </c>
      <c r="G21" s="7" t="b">
        <f>IFERROR(__xludf.DUMMYFUNCTION("""COMPUTED_VALUE"""),FALSE)</f>
        <v>0</v>
      </c>
      <c r="H21" s="7" t="str">
        <f>IFERROR(__xludf.DUMMYFUNCTION("""COMPUTED_VALUE"""),"Impressive, Huge")</f>
        <v>Impressive, Huge</v>
      </c>
      <c r="I21" s="7">
        <f>IFERROR(__xludf.DUMMYFUNCTION("""COMPUTED_VALUE"""),5.0)</f>
        <v>5</v>
      </c>
      <c r="J21" s="7">
        <f>IFERROR(__xludf.DUMMYFUNCTION("""COMPUTED_VALUE"""),0.01)</f>
        <v>0.01</v>
      </c>
      <c r="K21" s="7">
        <f>IFERROR(__xludf.DUMMYFUNCTION("""COMPUTED_VALUE"""),1.2)</f>
        <v>1.2</v>
      </c>
    </row>
    <row r="22" ht="15.75" customHeight="1">
      <c r="A22" s="6" t="str">
        <f>IFERROR(__xludf.DUMMYFUNCTION("""COMPUTED_VALUE"""),"https://clutch.co/au/agencies/business-services-industry")</f>
        <v>https://clutch.co/au/agencies/business-services-industry</v>
      </c>
      <c r="B22" s="7" t="str">
        <f>IFERROR(__xludf.DUMMYFUNCTION("""COMPUTED_VALUE"""),"Top Advertising Agencies for B2B in Australia - Jul 2026 Rankings | Clutch.co")</f>
        <v>Top Advertising Agencies for B2B in Australia - Jul 2026 Rankings | Clutch.co</v>
      </c>
      <c r="C22" s="6" t="str">
        <f>IFERROR(__xludf.DUMMYFUNCTION("""COMPUTED_VALUE"""),"clutch.co")</f>
        <v>clutch.co</v>
      </c>
      <c r="D22" s="7" t="str">
        <f>IFERROR(__xludf.DUMMYFUNCTION("""COMPUTED_VALUE"""),"CATEGORY_PAGE")</f>
        <v>CATEGORY_PAGE</v>
      </c>
      <c r="E22" s="7" t="str">
        <f>IFERROR(__xludf.DUMMYFUNCTION("""COMPUTED_VALUE"""),"CORPORATE")</f>
        <v>CORPORATE</v>
      </c>
      <c r="F22" s="7" t="str">
        <f>IFERROR(__xludf.DUMMYFUNCTION("""COMPUTED_VALUE"""),"Category Page")</f>
        <v>Category Page</v>
      </c>
      <c r="G22" s="7" t="b">
        <f>IFERROR(__xludf.DUMMYFUNCTION("""COMPUTED_VALUE"""),FALSE)</f>
        <v>0</v>
      </c>
      <c r="H22" s="7" t="str">
        <f>IFERROR(__xludf.DUMMYFUNCTION("""COMPUTED_VALUE"""),"Version2, Impressive, Chello, Human Digital, Soup Agency, Farsiight, DNM Digital, Ninja Promo, Insil, First Page")</f>
        <v>Version2, Impressive, Chello, Human Digital, Soup Agency, Farsiight, DNM Digital, Ninja Promo, Insil, First Page</v>
      </c>
      <c r="I22" s="7">
        <f>IFERROR(__xludf.DUMMYFUNCTION("""COMPUTED_VALUE"""),4.0)</f>
        <v>4</v>
      </c>
      <c r="J22" s="7">
        <f>IFERROR(__xludf.DUMMYFUNCTION("""COMPUTED_VALUE"""),0.0)</f>
        <v>0</v>
      </c>
      <c r="K22" s="7">
        <f>IFERROR(__xludf.DUMMYFUNCTION("""COMPUTED_VALUE"""),0.0)</f>
        <v>0</v>
      </c>
    </row>
    <row r="23" ht="15.75" customHeight="1">
      <c r="A23" s="6" t="str">
        <f>IFERROR(__xludf.DUMMYFUNCTION("""COMPUTED_VALUE"""),"https://clutch.co/au/agencies/melbourne")</f>
        <v>https://clutch.co/au/agencies/melbourne</v>
      </c>
      <c r="B23" s="7" t="str">
        <f>IFERROR(__xludf.DUMMYFUNCTION("""COMPUTED_VALUE"""),"Top Advertising Agencies in Melbourne, Australia - Jul 2026 Rankings \| Clutch.co")</f>
        <v>Top Advertising Agencies in Melbourne, Australia - Jul 2026 Rankings \| Clutch.co</v>
      </c>
      <c r="C23" s="6" t="str">
        <f>IFERROR(__xludf.DUMMYFUNCTION("""COMPUTED_VALUE"""),"clutch.co")</f>
        <v>clutch.co</v>
      </c>
      <c r="D23" s="7" t="str">
        <f>IFERROR(__xludf.DUMMYFUNCTION("""COMPUTED_VALUE"""),"CATEGORY_PAGE")</f>
        <v>CATEGORY_PAGE</v>
      </c>
      <c r="E23" s="7" t="str">
        <f>IFERROR(__xludf.DUMMYFUNCTION("""COMPUTED_VALUE"""),"CORPORATE")</f>
        <v>CORPORATE</v>
      </c>
      <c r="F23" s="7" t="str">
        <f>IFERROR(__xludf.DUMMYFUNCTION("""COMPUTED_VALUE"""),"Category Page")</f>
        <v>Category Page</v>
      </c>
      <c r="G23" s="7" t="b">
        <f>IFERROR(__xludf.DUMMYFUNCTION("""COMPUTED_VALUE"""),FALSE)</f>
        <v>0</v>
      </c>
      <c r="H23" s="7" t="str">
        <f>IFERROR(__xludf.DUMMYFUNCTION("""COMPUTED_VALUE"""),"Version2, Impressive, Ninja Promo, WebSavvy")</f>
        <v>Version2, Impressive, Ninja Promo, WebSavvy</v>
      </c>
      <c r="I23" s="7">
        <f>IFERROR(__xludf.DUMMYFUNCTION("""COMPUTED_VALUE"""),4.0)</f>
        <v>4</v>
      </c>
      <c r="J23" s="7">
        <f>IFERROR(__xludf.DUMMYFUNCTION("""COMPUTED_VALUE"""),0.0)</f>
        <v>0</v>
      </c>
      <c r="K23" s="7">
        <f>IFERROR(__xludf.DUMMYFUNCTION("""COMPUTED_VALUE"""),0.0)</f>
        <v>0</v>
      </c>
    </row>
    <row r="24" ht="15.75" customHeight="1">
      <c r="A24" s="6" t="str">
        <f>IFERROR(__xludf.DUMMYFUNCTION("""COMPUTED_VALUE"""),"https://clutch.co/au/agencies/ppc%3Fpage%3D2")</f>
        <v>https://clutch.co/au/agencies/ppc%3Fpage%3D2</v>
      </c>
      <c r="B24" s="7" t="str">
        <f>IFERROR(__xludf.DUMMYFUNCTION("""COMPUTED_VALUE"""),"Top PPC Agencies in Australia - Jul 2026 Rankings | Clutch.co")</f>
        <v>Top PPC Agencies in Australia - Jul 2026 Rankings | Clutch.co</v>
      </c>
      <c r="C24" s="6" t="str">
        <f>IFERROR(__xludf.DUMMYFUNCTION("""COMPUTED_VALUE"""),"clutch.co")</f>
        <v>clutch.co</v>
      </c>
      <c r="D24" s="7" t="str">
        <f>IFERROR(__xludf.DUMMYFUNCTION("""COMPUTED_VALUE"""),"CATEGORY_PAGE")</f>
        <v>CATEGORY_PAGE</v>
      </c>
      <c r="E24" s="7" t="str">
        <f>IFERROR(__xludf.DUMMYFUNCTION("""COMPUTED_VALUE"""),"CORPORATE")</f>
        <v>CORPORATE</v>
      </c>
      <c r="F24" s="7" t="str">
        <f>IFERROR(__xludf.DUMMYFUNCTION("""COMPUTED_VALUE"""),"Category Page")</f>
        <v>Category Page</v>
      </c>
      <c r="G24" s="7" t="b">
        <f>IFERROR(__xludf.DUMMYFUNCTION("""COMPUTED_VALUE"""),FALSE)</f>
        <v>0</v>
      </c>
      <c r="H24" s="7" t="str">
        <f>IFERROR(__xludf.DUMMYFUNCTION("""COMPUTED_VALUE"""),"Soup Agency, Digital Nomads HQ, SIXGUN, Farsiight, Human Digital, Impressive, Intesols, MyWork, Salt &amp; Fuessel, Emote Digital, 80/20 Digital, Supple Digital, First Page, Alley Group, EvenDigit, Rocket Agency, Clearwater Agency, DNM Digital, Edge Marketing"&amp;", Megaphone, Paradox Marketing, Online Marketing Gurus, Omnicom Media Group, Marketix Digital")</f>
        <v>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v>
      </c>
      <c r="I24" s="7">
        <f>IFERROR(__xludf.DUMMYFUNCTION("""COMPUTED_VALUE"""),4.0)</f>
        <v>4</v>
      </c>
      <c r="J24" s="7">
        <f>IFERROR(__xludf.DUMMYFUNCTION("""COMPUTED_VALUE"""),0.0)</f>
        <v>0</v>
      </c>
      <c r="K24" s="7">
        <f>IFERROR(__xludf.DUMMYFUNCTION("""COMPUTED_VALUE"""),0.0)</f>
        <v>0</v>
      </c>
    </row>
    <row r="25" ht="15.75" customHeight="1">
      <c r="A25" s="6" t="str">
        <f>IFERROR(__xludf.DUMMYFUNCTION("""COMPUTED_VALUE"""),"https://clutch.co/au/agencies/ppc/sydney")</f>
        <v>https://clutch.co/au/agencies/ppc/sydney</v>
      </c>
      <c r="B25" s="7" t="str">
        <f>IFERROR(__xludf.DUMMYFUNCTION("""COMPUTED_VALUE"""),"Top PPC Agencies in Sydney - Jul 2026 Rankings \| Clutch.co")</f>
        <v>Top PPC Agencies in Sydney - Jul 2026 Rankings \| Clutch.co</v>
      </c>
      <c r="C25" s="6" t="str">
        <f>IFERROR(__xludf.DUMMYFUNCTION("""COMPUTED_VALUE"""),"clutch.co")</f>
        <v>clutch.co</v>
      </c>
      <c r="D25" s="7" t="str">
        <f>IFERROR(__xludf.DUMMYFUNCTION("""COMPUTED_VALUE"""),"CATEGORY_PAGE")</f>
        <v>CATEGORY_PAGE</v>
      </c>
      <c r="E25" s="7" t="str">
        <f>IFERROR(__xludf.DUMMYFUNCTION("""COMPUTED_VALUE"""),"CORPORATE")</f>
        <v>CORPORATE</v>
      </c>
      <c r="F25" s="7" t="str">
        <f>IFERROR(__xludf.DUMMYFUNCTION("""COMPUTED_VALUE"""),"Category Page")</f>
        <v>Category Page</v>
      </c>
      <c r="G25" s="7" t="b">
        <f>IFERROR(__xludf.DUMMYFUNCTION("""COMPUTED_VALUE"""),FALSE)</f>
        <v>0</v>
      </c>
      <c r="H25" s="7" t="str">
        <f>IFERROR(__xludf.DUMMYFUNCTION("""COMPUTED_VALUE"""),"Human Digital, Soup Agency, Supple Digital, Alley Group, Digital Nomads HQ, Rocket Agency, Impressive, Huge, DNM Digital, Megaphone, Online Marketing Gurus, Marketix Digital, First Page, Sparro, Insil, AdVisible")</f>
        <v>Human Digital, Soup Agency, Supple Digital, Alley Group, Digital Nomads HQ, Rocket Agency, Impressive, Huge, DNM Digital, Megaphone, Online Marketing Gurus, Marketix Digital, First Page, Sparro, Insil, AdVisible</v>
      </c>
      <c r="I25" s="7">
        <f>IFERROR(__xludf.DUMMYFUNCTION("""COMPUTED_VALUE"""),4.0)</f>
        <v>4</v>
      </c>
      <c r="J25" s="7">
        <f>IFERROR(__xludf.DUMMYFUNCTION("""COMPUTED_VALUE"""),0.0)</f>
        <v>0</v>
      </c>
      <c r="K25" s="7">
        <f>IFERROR(__xludf.DUMMYFUNCTION("""COMPUTED_VALUE"""),0.5)</f>
        <v>0.5</v>
      </c>
    </row>
    <row r="26" ht="15.75" customHeight="1">
      <c r="A26" s="6" t="str">
        <f>IFERROR(__xludf.DUMMYFUNCTION("""COMPUTED_VALUE"""),"https://clutch.co/au/agencies/social-media-marketing/tik-tok")</f>
        <v>https://clutch.co/au/agencies/social-media-marketing/tik-tok</v>
      </c>
      <c r="B26" s="7" t="str">
        <f>IFERROR(__xludf.DUMMYFUNCTION("""COMPUTED_VALUE"""),"Top TikTok Advertising Agencies in Australia - Jul 2026 Rankings | Clutch.co")</f>
        <v>Top TikTok Advertising Agencies in Australia - Jul 2026 Rankings | Clutch.co</v>
      </c>
      <c r="C26" s="6" t="str">
        <f>IFERROR(__xludf.DUMMYFUNCTION("""COMPUTED_VALUE"""),"clutch.co")</f>
        <v>clutch.co</v>
      </c>
      <c r="D26" s="7" t="str">
        <f>IFERROR(__xludf.DUMMYFUNCTION("""COMPUTED_VALUE"""),"CATEGORY_PAGE")</f>
        <v>CATEGORY_PAGE</v>
      </c>
      <c r="E26" s="7" t="str">
        <f>IFERROR(__xludf.DUMMYFUNCTION("""COMPUTED_VALUE"""),"CORPORATE")</f>
        <v>CORPORATE</v>
      </c>
      <c r="F26" s="7" t="str">
        <f>IFERROR(__xludf.DUMMYFUNCTION("""COMPUTED_VALUE"""),"Category Page")</f>
        <v>Category Page</v>
      </c>
      <c r="G26" s="7" t="b">
        <f>IFERROR(__xludf.DUMMYFUNCTION("""COMPUTED_VALUE"""),FALSE)</f>
        <v>0</v>
      </c>
      <c r="H26" s="7" t="str">
        <f>IFERROR(__xludf.DUMMYFUNCTION("""COMPUTED_VALUE"""),"Impressive, Digital Nomads HQ, Soup Agency, Emote Digital, Salt &amp; Fuessel, Edge Marketing, Megaphone, Paradox Marketing, Momentum, Bench Media, Reform Digital, Eight Clients")</f>
        <v>Impressive, Digital Nomads HQ, Soup Agency, Emote Digital, Salt &amp; Fuessel, Edge Marketing, Megaphone, Paradox Marketing, Momentum, Bench Media, Reform Digital, Eight Clients</v>
      </c>
      <c r="I26" s="7">
        <f>IFERROR(__xludf.DUMMYFUNCTION("""COMPUTED_VALUE"""),3.0)</f>
        <v>3</v>
      </c>
      <c r="J26" s="7">
        <f>IFERROR(__xludf.DUMMYFUNCTION("""COMPUTED_VALUE"""),0.0)</f>
        <v>0</v>
      </c>
      <c r="K26" s="7">
        <f>IFERROR(__xludf.DUMMYFUNCTION("""COMPUTED_VALUE"""),3.33)</f>
        <v>3.33</v>
      </c>
    </row>
    <row r="27" ht="15.75" customHeight="1">
      <c r="A27" s="6" t="str">
        <f>IFERROR(__xludf.DUMMYFUNCTION("""COMPUTED_VALUE"""),"https://clutch.co/au/agencies/creative/melbourne")</f>
        <v>https://clutch.co/au/agencies/creative/melbourne</v>
      </c>
      <c r="B27" s="7" t="str">
        <f>IFERROR(__xludf.DUMMYFUNCTION("""COMPUTED_VALUE"""),"Top Creative Agencies in Melbourne - Jul 2026 Rankings | Clutch.co")</f>
        <v>Top Creative Agencies in Melbourne - Jul 2026 Rankings | Clutch.co</v>
      </c>
      <c r="C27" s="6" t="str">
        <f>IFERROR(__xludf.DUMMYFUNCTION("""COMPUTED_VALUE"""),"clutch.co")</f>
        <v>clutch.co</v>
      </c>
      <c r="D27" s="7" t="str">
        <f>IFERROR(__xludf.DUMMYFUNCTION("""COMPUTED_VALUE"""),"CATEGORY_PAGE")</f>
        <v>CATEGORY_PAGE</v>
      </c>
      <c r="E27" s="7" t="str">
        <f>IFERROR(__xludf.DUMMYFUNCTION("""COMPUTED_VALUE"""),"CORPORATE")</f>
        <v>CORPORATE</v>
      </c>
      <c r="F27" s="7" t="str">
        <f>IFERROR(__xludf.DUMMYFUNCTION("""COMPUTED_VALUE"""),"Category Page")</f>
        <v>Category Page</v>
      </c>
      <c r="G27" s="7" t="b">
        <f>IFERROR(__xludf.DUMMYFUNCTION("""COMPUTED_VALUE"""),FALSE)</f>
        <v>0</v>
      </c>
      <c r="H27" s="7" t="str">
        <f>IFERROR(__xludf.DUMMYFUNCTION("""COMPUTED_VALUE"""),"Impressive")</f>
        <v>Impressive</v>
      </c>
      <c r="I27" s="7">
        <f>IFERROR(__xludf.DUMMYFUNCTION("""COMPUTED_VALUE"""),2.0)</f>
        <v>2</v>
      </c>
      <c r="J27" s="7">
        <f>IFERROR(__xludf.DUMMYFUNCTION("""COMPUTED_VALUE"""),0.0)</f>
        <v>0</v>
      </c>
      <c r="K27" s="7">
        <f>IFERROR(__xludf.DUMMYFUNCTION("""COMPUTED_VALUE"""),0.0)</f>
        <v>0</v>
      </c>
    </row>
    <row r="28" ht="15.75" customHeight="1">
      <c r="A28" s="6" t="str">
        <f>IFERROR(__xludf.DUMMYFUNCTION("""COMPUTED_VALUE"""),"https://clutch.co/au/agencies/market-research")</f>
        <v>https://clutch.co/au/agencies/market-research</v>
      </c>
      <c r="B28" s="7" t="str">
        <f>IFERROR(__xludf.DUMMYFUNCTION("""COMPUTED_VALUE"""),"Top Market Research Companies in Australia - Jul 2026 Rankings | Clutch.co")</f>
        <v>Top Market Research Companies in Australia - Jul 2026 Rankings | Clutch.co</v>
      </c>
      <c r="C28" s="6" t="str">
        <f>IFERROR(__xludf.DUMMYFUNCTION("""COMPUTED_VALUE"""),"clutch.co")</f>
        <v>clutch.co</v>
      </c>
      <c r="D28" s="7" t="str">
        <f>IFERROR(__xludf.DUMMYFUNCTION("""COMPUTED_VALUE"""),"CATEGORY_PAGE")</f>
        <v>CATEGORY_PAGE</v>
      </c>
      <c r="E28" s="7" t="str">
        <f>IFERROR(__xludf.DUMMYFUNCTION("""COMPUTED_VALUE"""),"CORPORATE")</f>
        <v>CORPORATE</v>
      </c>
      <c r="F28" s="7" t="str">
        <f>IFERROR(__xludf.DUMMYFUNCTION("""COMPUTED_VALUE"""),"Category Page")</f>
        <v>Category Page</v>
      </c>
      <c r="G28" s="7" t="b">
        <f>IFERROR(__xludf.DUMMYFUNCTION("""COMPUTED_VALUE"""),FALSE)</f>
        <v>0</v>
      </c>
      <c r="H28" s="7" t="str">
        <f>IFERROR(__xludf.DUMMYFUNCTION("""COMPUTED_VALUE"""),"Impressive, Huge, weDiscover")</f>
        <v>Impressive, Huge, weDiscover</v>
      </c>
      <c r="I28" s="7">
        <f>IFERROR(__xludf.DUMMYFUNCTION("""COMPUTED_VALUE"""),2.0)</f>
        <v>2</v>
      </c>
      <c r="J28" s="7">
        <f>IFERROR(__xludf.DUMMYFUNCTION("""COMPUTED_VALUE"""),0.0)</f>
        <v>0</v>
      </c>
      <c r="K28" s="7">
        <f>IFERROR(__xludf.DUMMYFUNCTION("""COMPUTED_VALUE"""),0.0)</f>
        <v>0</v>
      </c>
    </row>
    <row r="29" ht="15.75" customHeight="1">
      <c r="A29" s="6" t="str">
        <f>IFERROR(__xludf.DUMMYFUNCTION("""COMPUTED_VALUE"""),"https://clutch.co/au/agencies/social-media-marketing/facebook?page=9")</f>
        <v>https://clutch.co/au/agencies/social-media-marketing/facebook?page=9</v>
      </c>
      <c r="B29" s="7" t="str">
        <f>IFERROR(__xludf.DUMMYFUNCTION("""COMPUTED_VALUE"""),"Page 9 - Top Facebook Advertising Agencies in Australia - Jul 2026 Rankings | Clutch.co")</f>
        <v>Page 9 - Top Facebook Advertising Agencies in Australia - Jul 2026 Rankings | Clutch.co</v>
      </c>
      <c r="C29" s="6" t="str">
        <f>IFERROR(__xludf.DUMMYFUNCTION("""COMPUTED_VALUE"""),"clutch.co")</f>
        <v>clutch.co</v>
      </c>
      <c r="D29" s="7" t="str">
        <f>IFERROR(__xludf.DUMMYFUNCTION("""COMPUTED_VALUE"""),"CATEGORY_PAGE")</f>
        <v>CATEGORY_PAGE</v>
      </c>
      <c r="E29" s="7" t="str">
        <f>IFERROR(__xludf.DUMMYFUNCTION("""COMPUTED_VALUE"""),"CORPORATE")</f>
        <v>CORPORATE</v>
      </c>
      <c r="F29" s="7" t="str">
        <f>IFERROR(__xludf.DUMMYFUNCTION("""COMPUTED_VALUE"""),"Category Page")</f>
        <v>Category Page</v>
      </c>
      <c r="G29" s="7" t="b">
        <f>IFERROR(__xludf.DUMMYFUNCTION("""COMPUTED_VALUE"""),FALSE)</f>
        <v>0</v>
      </c>
      <c r="H29" s="7" t="str">
        <f>IFERROR(__xludf.DUMMYFUNCTION("""COMPUTED_VALUE"""),"Impressive, Digital Nomads HQ, SIXGUN, Megaphone, Intesols, Farsiight, Soup Agency, Online Marketing Gurus, Paradox Marketing, Emote Digital, Rocket Agency, Human Digital, Bench Media, Insil, Clearwater Agency, Salt &amp; Fuessel")</f>
        <v>Impressive, Digital Nomads HQ, SIXGUN, Megaphone, Intesols, Farsiight, Soup Agency, Online Marketing Gurus, Paradox Marketing, Emote Digital, Rocket Agency, Human Digital, Bench Media, Insil, Clearwater Agency, Salt &amp; Fuessel</v>
      </c>
      <c r="I29" s="7">
        <f>IFERROR(__xludf.DUMMYFUNCTION("""COMPUTED_VALUE"""),2.0)</f>
        <v>2</v>
      </c>
      <c r="J29" s="7">
        <f>IFERROR(__xludf.DUMMYFUNCTION("""COMPUTED_VALUE"""),0.0)</f>
        <v>0</v>
      </c>
      <c r="K29" s="7">
        <f>IFERROR(__xludf.DUMMYFUNCTION("""COMPUTED_VALUE"""),0.0)</f>
        <v>0</v>
      </c>
    </row>
    <row r="30" ht="15.75" customHeight="1">
      <c r="A30" s="6" t="str">
        <f>IFERROR(__xludf.DUMMYFUNCTION("""COMPUTED_VALUE"""),"https://clutch.co/au/seo-firms")</f>
        <v>https://clutch.co/au/seo-firms</v>
      </c>
      <c r="B30" s="7" t="str">
        <f>IFERROR(__xludf.DUMMYFUNCTION("""COMPUTED_VALUE"""),"Top SEO Companies in Australia - Jul 2026 Rankings | Clutch.co")</f>
        <v>Top SEO Companies in Australia - Jul 2026 Rankings | Clutch.co</v>
      </c>
      <c r="C30" s="6" t="str">
        <f>IFERROR(__xludf.DUMMYFUNCTION("""COMPUTED_VALUE"""),"clutch.co")</f>
        <v>clutch.co</v>
      </c>
      <c r="D30" s="7" t="str">
        <f>IFERROR(__xludf.DUMMYFUNCTION("""COMPUTED_VALUE"""),"CATEGORY_PAGE")</f>
        <v>CATEGORY_PAGE</v>
      </c>
      <c r="E30" s="7" t="str">
        <f>IFERROR(__xludf.DUMMYFUNCTION("""COMPUTED_VALUE"""),"CORPORATE")</f>
        <v>CORPORATE</v>
      </c>
      <c r="F30" s="7" t="str">
        <f>IFERROR(__xludf.DUMMYFUNCTION("""COMPUTED_VALUE"""),"Category Page")</f>
        <v>Category Page</v>
      </c>
      <c r="G30" s="7" t="b">
        <f>IFERROR(__xludf.DUMMYFUNCTION("""COMPUTED_VALUE"""),FALSE)</f>
        <v>0</v>
      </c>
      <c r="H30" s="7" t="str">
        <f>IFERROR(__xludf.DUMMYFUNCTION("""COMPUTED_VALUE"""),"SIXGUN, Clearwater Agency, First Page, Salt &amp; Fuessel, Digital Nomads HQ, Supple Digital, Impressive, StudioHawk, Intesols, Soup Agency, Luminary, Emote Digital, MyWork, 80/20 Digital, Alley Group, EvenDigit, Earned Media, Rocket Agency, DNM Digital, Firs"&amp;"t Page Australia, Edge Marketing, In Marketing We Trust, eMarket Experts")</f>
        <v>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v>
      </c>
      <c r="I30" s="7">
        <f>IFERROR(__xludf.DUMMYFUNCTION("""COMPUTED_VALUE"""),2.0)</f>
        <v>2</v>
      </c>
      <c r="J30" s="7">
        <f>IFERROR(__xludf.DUMMYFUNCTION("""COMPUTED_VALUE"""),0.0)</f>
        <v>0</v>
      </c>
      <c r="K30" s="7">
        <f>IFERROR(__xludf.DUMMYFUNCTION("""COMPUTED_VALUE"""),1.0)</f>
        <v>1</v>
      </c>
    </row>
    <row r="31" ht="15.75" customHeight="1">
      <c r="A31" s="6" t="str">
        <f>IFERROR(__xludf.DUMMYFUNCTION("""COMPUTED_VALUE"""),"https://clutch.co/profile/megaphone-marketing")</f>
        <v>https://clutch.co/profile/megaphone-marketing</v>
      </c>
      <c r="B31" s="7" t="str">
        <f>IFERROR(__xludf.DUMMYFUNCTION("""COMPUTED_VALUE"""),"Megaphone Marketing Reviews (107), Pricing, Services &amp; Verified Ratings")</f>
        <v>Megaphone Marketing Reviews (107), Pricing, Services &amp; Verified Ratings</v>
      </c>
      <c r="C31" s="6" t="str">
        <f>IFERROR(__xludf.DUMMYFUNCTION("""COMPUTED_VALUE"""),"clutch.co")</f>
        <v>clutch.co</v>
      </c>
      <c r="D31" s="7" t="str">
        <f>IFERROR(__xludf.DUMMYFUNCTION("""COMPUTED_VALUE"""),"PROFILE")</f>
        <v>PROFILE</v>
      </c>
      <c r="E31" s="7" t="str">
        <f>IFERROR(__xludf.DUMMYFUNCTION("""COMPUTED_VALUE"""),"CORPORATE")</f>
        <v>CORPORATE</v>
      </c>
      <c r="F31" s="7" t="str">
        <f>IFERROR(__xludf.DUMMYFUNCTION("""COMPUTED_VALUE"""),"Profile")</f>
        <v>Profile</v>
      </c>
      <c r="G31" s="7" t="b">
        <f>IFERROR(__xludf.DUMMYFUNCTION("""COMPUTED_VALUE"""),FALSE)</f>
        <v>0</v>
      </c>
      <c r="H31" s="7" t="str">
        <f>IFERROR(__xludf.DUMMYFUNCTION("""COMPUTED_VALUE"""),"Megaphone, Impressive, Huge")</f>
        <v>Megaphone, Impressive, Huge</v>
      </c>
      <c r="I31" s="7">
        <f>IFERROR(__xludf.DUMMYFUNCTION("""COMPUTED_VALUE"""),2.0)</f>
        <v>2</v>
      </c>
      <c r="J31" s="7">
        <f>IFERROR(__xludf.DUMMYFUNCTION("""COMPUTED_VALUE"""),0.0)</f>
        <v>0</v>
      </c>
      <c r="K31" s="7">
        <f>IFERROR(__xludf.DUMMYFUNCTION("""COMPUTED_VALUE"""),1.5)</f>
        <v>1.5</v>
      </c>
    </row>
    <row r="32" ht="15.75" customHeight="1">
      <c r="A32" s="6" t="str">
        <f>IFERROR(__xludf.DUMMYFUNCTION("""COMPUTED_VALUE"""),"https://clutch.co/agencies/ppc/display")</f>
        <v>https://clutch.co/agencies/ppc/display</v>
      </c>
      <c r="B32" s="7" t="str">
        <f>IFERROR(__xludf.DUMMYFUNCTION("""COMPUTED_VALUE"""),"Top Display Advertising Agencies - Jul 2026 Rankings | Clutch.co")</f>
        <v>Top Display Advertising Agencies - Jul 2026 Rankings | Clutch.co</v>
      </c>
      <c r="C32" s="6" t="str">
        <f>IFERROR(__xludf.DUMMYFUNCTION("""COMPUTED_VALUE"""),"clutch.co")</f>
        <v>clutch.co</v>
      </c>
      <c r="D32" s="7" t="str">
        <f>IFERROR(__xludf.DUMMYFUNCTION("""COMPUTED_VALUE"""),"CATEGORY_PAGE")</f>
        <v>CATEGORY_PAGE</v>
      </c>
      <c r="E32" s="7" t="str">
        <f>IFERROR(__xludf.DUMMYFUNCTION("""COMPUTED_VALUE"""),"CORPORATE")</f>
        <v>CORPORATE</v>
      </c>
      <c r="F32" s="7" t="str">
        <f>IFERROR(__xludf.DUMMYFUNCTION("""COMPUTED_VALUE"""),"Category Page")</f>
        <v>Category Page</v>
      </c>
      <c r="G32" s="7" t="b">
        <f>IFERROR(__xludf.DUMMYFUNCTION("""COMPUTED_VALUE"""),FALSE)</f>
        <v>0</v>
      </c>
      <c r="H32" s="7" t="str">
        <f>IFERROR(__xludf.DUMMYFUNCTION("""COMPUTED_VALUE"""),"EvenDigit, Ninja Promo, Impressive, Intesols, Soup Agency, Salt &amp; Fuessel")</f>
        <v>EvenDigit, Ninja Promo, Impressive, Intesols, Soup Agency, Salt &amp; Fuessel</v>
      </c>
      <c r="I32" s="7">
        <f>IFERROR(__xludf.DUMMYFUNCTION("""COMPUTED_VALUE"""),1.0)</f>
        <v>1</v>
      </c>
      <c r="J32" s="7">
        <f>IFERROR(__xludf.DUMMYFUNCTION("""COMPUTED_VALUE"""),0.0)</f>
        <v>0</v>
      </c>
      <c r="K32" s="7">
        <f>IFERROR(__xludf.DUMMYFUNCTION("""COMPUTED_VALUE"""),0.0)</f>
        <v>0</v>
      </c>
    </row>
    <row r="33" ht="15.75" customHeight="1">
      <c r="A33" s="6" t="str">
        <f>IFERROR(__xludf.DUMMYFUNCTION("""COMPUTED_VALUE"""),"https://clutch.co/au/agencies/branding")</f>
        <v>https://clutch.co/au/agencies/branding</v>
      </c>
      <c r="B33" s="7" t="str">
        <f>IFERROR(__xludf.DUMMYFUNCTION("""COMPUTED_VALUE"""),"Top Branding Agencies in Australia - Jul 2026 Rankings \| Clutch.co")</f>
        <v>Top Branding Agencies in Australia - Jul 2026 Rankings \| Clutch.co</v>
      </c>
      <c r="C33" s="6" t="str">
        <f>IFERROR(__xludf.DUMMYFUNCTION("""COMPUTED_VALUE"""),"clutch.co")</f>
        <v>clutch.co</v>
      </c>
      <c r="D33" s="7" t="str">
        <f>IFERROR(__xludf.DUMMYFUNCTION("""COMPUTED_VALUE"""),"CATEGORY_PAGE")</f>
        <v>CATEGORY_PAGE</v>
      </c>
      <c r="E33" s="7" t="str">
        <f>IFERROR(__xludf.DUMMYFUNCTION("""COMPUTED_VALUE"""),"CORPORATE")</f>
        <v>CORPORATE</v>
      </c>
      <c r="F33" s="7" t="str">
        <f>IFERROR(__xludf.DUMMYFUNCTION("""COMPUTED_VALUE"""),"Category Page")</f>
        <v>Category Page</v>
      </c>
      <c r="G33" s="7" t="b">
        <f>IFERROR(__xludf.DUMMYFUNCTION("""COMPUTED_VALUE"""),FALSE)</f>
        <v>0</v>
      </c>
      <c r="H33" s="7" t="str">
        <f>IFERROR(__xludf.DUMMYFUNCTION("""COMPUTED_VALUE"""),"Chello, CUT THRU, 80/20 Digital, Alley Group, Impressive, Rocket Agency")</f>
        <v>Chello, CUT THRU, 80/20 Digital, Alley Group, Impressive, Rocket Agency</v>
      </c>
      <c r="I33" s="7">
        <f>IFERROR(__xludf.DUMMYFUNCTION("""COMPUTED_VALUE"""),1.0)</f>
        <v>1</v>
      </c>
      <c r="J33" s="7">
        <f>IFERROR(__xludf.DUMMYFUNCTION("""COMPUTED_VALUE"""),0.0)</f>
        <v>0</v>
      </c>
      <c r="K33" s="7">
        <f>IFERROR(__xludf.DUMMYFUNCTION("""COMPUTED_VALUE"""),0.0)</f>
        <v>0</v>
      </c>
    </row>
    <row r="34" ht="15.75" customHeight="1">
      <c r="A34" s="6" t="str">
        <f>IFERROR(__xludf.DUMMYFUNCTION("""COMPUTED_VALUE"""),"https://clutch.co/au/agencies/media-buying/sydney")</f>
        <v>https://clutch.co/au/agencies/media-buying/sydney</v>
      </c>
      <c r="B34" s="7" t="str">
        <f>IFERROR(__xludf.DUMMYFUNCTION("""COMPUTED_VALUE"""),"Top Media Buying Agencies in Sydney - Jul 2026 Rankings | Clutch.co")</f>
        <v>Top Media Buying Agencies in Sydney - Jul 2026 Rankings | Clutch.co</v>
      </c>
      <c r="C34" s="6" t="str">
        <f>IFERROR(__xludf.DUMMYFUNCTION("""COMPUTED_VALUE"""),"clutch.co")</f>
        <v>clutch.co</v>
      </c>
      <c r="D34" s="7" t="str">
        <f>IFERROR(__xludf.DUMMYFUNCTION("""COMPUTED_VALUE"""),"CATEGORY_PAGE")</f>
        <v>CATEGORY_PAGE</v>
      </c>
      <c r="E34" s="7" t="str">
        <f>IFERROR(__xludf.DUMMYFUNCTION("""COMPUTED_VALUE"""),"CORPORATE")</f>
        <v>CORPORATE</v>
      </c>
      <c r="F34" s="7" t="str">
        <f>IFERROR(__xludf.DUMMYFUNCTION("""COMPUTED_VALUE"""),"Category Page")</f>
        <v>Category Page</v>
      </c>
      <c r="G34" s="7" t="b">
        <f>IFERROR(__xludf.DUMMYFUNCTION("""COMPUTED_VALUE"""),FALSE)</f>
        <v>0</v>
      </c>
      <c r="H34" s="7" t="str">
        <f>IFERROR(__xludf.DUMMYFUNCTION("""COMPUTED_VALUE"""),"Impressive, Momentum, Soup Agency, DNM Digital, Bench Media")</f>
        <v>Impressive, Momentum, Soup Agency, DNM Digital, Bench Media</v>
      </c>
      <c r="I34" s="7">
        <f>IFERROR(__xludf.DUMMYFUNCTION("""COMPUTED_VALUE"""),1.0)</f>
        <v>1</v>
      </c>
      <c r="J34" s="7">
        <f>IFERROR(__xludf.DUMMYFUNCTION("""COMPUTED_VALUE"""),0.0)</f>
        <v>0</v>
      </c>
      <c r="K34" s="7">
        <f>IFERROR(__xludf.DUMMYFUNCTION("""COMPUTED_VALUE"""),1.0)</f>
        <v>1</v>
      </c>
    </row>
    <row r="35" ht="15.75" customHeight="1">
      <c r="A35" s="6" t="str">
        <f>IFERROR(__xludf.DUMMYFUNCTION("""COMPUTED_VALUE"""),"https://clutch.co/au/agencies/media-buying?page=2")</f>
        <v>https://clutch.co/au/agencies/media-buying?page=2</v>
      </c>
      <c r="B35" s="7" t="str">
        <f>IFERROR(__xludf.DUMMYFUNCTION("""COMPUTED_VALUE"""),"Page 2 - Top Media Buying Agencies in Australia - Jul 2026 Rankings \| Clutch.co")</f>
        <v>Page 2 - Top Media Buying Agencies in Australia - Jul 2026 Rankings \| Clutch.co</v>
      </c>
      <c r="C35" s="6" t="str">
        <f>IFERROR(__xludf.DUMMYFUNCTION("""COMPUTED_VALUE"""),"clutch.co")</f>
        <v>clutch.co</v>
      </c>
      <c r="D35" s="7" t="str">
        <f>IFERROR(__xludf.DUMMYFUNCTION("""COMPUTED_VALUE"""),"PROFILE")</f>
        <v>PROFILE</v>
      </c>
      <c r="E35" s="7" t="str">
        <f>IFERROR(__xludf.DUMMYFUNCTION("""COMPUTED_VALUE"""),"CORPORATE")</f>
        <v>CORPORATE</v>
      </c>
      <c r="F35" s="7" t="str">
        <f>IFERROR(__xludf.DUMMYFUNCTION("""COMPUTED_VALUE"""),"Profile")</f>
        <v>Profile</v>
      </c>
      <c r="G35" s="7" t="b">
        <f>IFERROR(__xludf.DUMMYFUNCTION("""COMPUTED_VALUE"""),FALSE)</f>
        <v>0</v>
      </c>
      <c r="H35" s="7" t="str">
        <f>IFERROR(__xludf.DUMMYFUNCTION("""COMPUTED_VALUE"""),"Soup Agency, DNM Digital, Bench Media, Impressive, MK Media")</f>
        <v>Soup Agency, DNM Digital, Bench Media, Impressive, MK Media</v>
      </c>
      <c r="I35" s="7">
        <f>IFERROR(__xludf.DUMMYFUNCTION("""COMPUTED_VALUE"""),1.0)</f>
        <v>1</v>
      </c>
      <c r="J35" s="7">
        <f>IFERROR(__xludf.DUMMYFUNCTION("""COMPUTED_VALUE"""),0.0)</f>
        <v>0</v>
      </c>
      <c r="K35" s="7">
        <f>IFERROR(__xludf.DUMMYFUNCTION("""COMPUTED_VALUE"""),0.0)</f>
        <v>0</v>
      </c>
    </row>
    <row r="36" ht="15.75" customHeight="1">
      <c r="A36" s="6" t="str">
        <f>IFERROR(__xludf.DUMMYFUNCTION("""COMPUTED_VALUE"""),"https://clutch.co/au/agencies/ppc/brisbane")</f>
        <v>https://clutch.co/au/agencies/ppc/brisbane</v>
      </c>
      <c r="B36" s="7" t="str">
        <f>IFERROR(__xludf.DUMMYFUNCTION("""COMPUTED_VALUE"""),"Top PPC Agencies in Brisbane - Jul 2026 Rankings | Clutch.co")</f>
        <v>Top PPC Agencies in Brisbane - Jul 2026 Rankings | Clutch.co</v>
      </c>
      <c r="C36" s="6" t="str">
        <f>IFERROR(__xludf.DUMMYFUNCTION("""COMPUTED_VALUE"""),"clutch.co")</f>
        <v>clutch.co</v>
      </c>
      <c r="D36" s="7" t="str">
        <f>IFERROR(__xludf.DUMMYFUNCTION("""COMPUTED_VALUE"""),"CATEGORY_PAGE")</f>
        <v>CATEGORY_PAGE</v>
      </c>
      <c r="E36" s="7" t="str">
        <f>IFERROR(__xludf.DUMMYFUNCTION("""COMPUTED_VALUE"""),"CORPORATE")</f>
        <v>CORPORATE</v>
      </c>
      <c r="F36" s="7" t="str">
        <f>IFERROR(__xludf.DUMMYFUNCTION("""COMPUTED_VALUE"""),"Category Page")</f>
        <v>Category Page</v>
      </c>
      <c r="G36" s="7" t="b">
        <f>IFERROR(__xludf.DUMMYFUNCTION("""COMPUTED_VALUE"""),FALSE)</f>
        <v>0</v>
      </c>
      <c r="H36" s="7" t="str">
        <f>IFERROR(__xludf.DUMMYFUNCTION("""COMPUTED_VALUE"""),"Soup Agency, Farsiight, Impressive, MyWork, Supple Digital, Digital Nomads HQ, Edge Marketing, Megaphone, Alpha Digital, Growth Digital")</f>
        <v>Soup Agency, Farsiight, Impressive, MyWork, Supple Digital, Digital Nomads HQ, Edge Marketing, Megaphone, Alpha Digital, Growth Digital</v>
      </c>
      <c r="I36" s="7">
        <f>IFERROR(__xludf.DUMMYFUNCTION("""COMPUTED_VALUE"""),1.0)</f>
        <v>1</v>
      </c>
      <c r="J36" s="7">
        <f>IFERROR(__xludf.DUMMYFUNCTION("""COMPUTED_VALUE"""),0.0)</f>
        <v>0</v>
      </c>
      <c r="K36" s="7">
        <f>IFERROR(__xludf.DUMMYFUNCTION("""COMPUTED_VALUE"""),1.0)</f>
        <v>1</v>
      </c>
    </row>
    <row r="37" ht="15.75" customHeight="1">
      <c r="A37" s="6" t="str">
        <f>IFERROR(__xludf.DUMMYFUNCTION("""COMPUTED_VALUE"""),"https://clutch.co/au/agencies/ppc/google-adwords/sydney")</f>
        <v>https://clutch.co/au/agencies/ppc/google-adwords/sydney</v>
      </c>
      <c r="B37" s="7" t="str">
        <f>IFERROR(__xludf.DUMMYFUNCTION("""COMPUTED_VALUE"""),"Top Adwords PPC Agencies in Sydney - Jul 2026 Rankings \| Clutch.co")</f>
        <v>Top Adwords PPC Agencies in Sydney - Jul 2026 Rankings \| Clutch.co</v>
      </c>
      <c r="C37" s="6" t="str">
        <f>IFERROR(__xludf.DUMMYFUNCTION("""COMPUTED_VALUE"""),"clutch.co")</f>
        <v>clutch.co</v>
      </c>
      <c r="D37" s="7" t="str">
        <f>IFERROR(__xludf.DUMMYFUNCTION("""COMPUTED_VALUE"""),"CATEGORY_PAGE")</f>
        <v>CATEGORY_PAGE</v>
      </c>
      <c r="E37" s="7" t="str">
        <f>IFERROR(__xludf.DUMMYFUNCTION("""COMPUTED_VALUE"""),"CORPORATE")</f>
        <v>CORPORATE</v>
      </c>
      <c r="F37" s="7" t="str">
        <f>IFERROR(__xludf.DUMMYFUNCTION("""COMPUTED_VALUE"""),"Category Page")</f>
        <v>Category Page</v>
      </c>
      <c r="G37" s="7" t="b">
        <f>IFERROR(__xludf.DUMMYFUNCTION("""COMPUTED_VALUE"""),FALSE)</f>
        <v>0</v>
      </c>
      <c r="H37" s="7" t="str">
        <f>IFERROR(__xludf.DUMMYFUNCTION("""COMPUTED_VALUE"""),"Human Digital, Soup Agency, Supple Digital, Digital Nomads HQ, Rocket Agency, DNM Digital, Impressive, Megaphone, Online Marketing Gurus, Marketix Digital, Insil, Sparro, AdVisible, Click Click Media")</f>
        <v>Human Digital, Soup Agency, Supple Digital, Digital Nomads HQ, Rocket Agency, DNM Digital, Impressive, Megaphone, Online Marketing Gurus, Marketix Digital, Insil, Sparro, AdVisible, Click Click Media</v>
      </c>
      <c r="I37" s="7">
        <f>IFERROR(__xludf.DUMMYFUNCTION("""COMPUTED_VALUE"""),1.0)</f>
        <v>1</v>
      </c>
      <c r="J37" s="7">
        <f>IFERROR(__xludf.DUMMYFUNCTION("""COMPUTED_VALUE"""),0.0)</f>
        <v>0</v>
      </c>
      <c r="K37" s="7">
        <f>IFERROR(__xludf.DUMMYFUNCTION("""COMPUTED_VALUE"""),0.0)</f>
        <v>0</v>
      </c>
    </row>
    <row r="38" ht="15.75" customHeight="1">
      <c r="A38" s="6" t="str">
        <f>IFERROR(__xludf.DUMMYFUNCTION("""COMPUTED_VALUE"""),"https://clutch.co/au/agencies/ppc/melbourne")</f>
        <v>https://clutch.co/au/agencies/ppc/melbourne</v>
      </c>
      <c r="B38" s="7" t="str">
        <f>IFERROR(__xludf.DUMMYFUNCTION("""COMPUTED_VALUE"""),"Top PPC Agencies in Melbourne - Jul 2026 Rankings \| Clutch.co")</f>
        <v>Top PPC Agencies in Melbourne - Jul 2026 Rankings \| Clutch.co</v>
      </c>
      <c r="C38" s="6" t="str">
        <f>IFERROR(__xludf.DUMMYFUNCTION("""COMPUTED_VALUE"""),"clutch.co")</f>
        <v>clutch.co</v>
      </c>
      <c r="D38" s="7" t="str">
        <f>IFERROR(__xludf.DUMMYFUNCTION("""COMPUTED_VALUE"""),"CATEGORY_PAGE")</f>
        <v>CATEGORY_PAGE</v>
      </c>
      <c r="E38" s="7" t="str">
        <f>IFERROR(__xludf.DUMMYFUNCTION("""COMPUTED_VALUE"""),"CORPORATE")</f>
        <v>CORPORATE</v>
      </c>
      <c r="F38" s="7" t="str">
        <f>IFERROR(__xludf.DUMMYFUNCTION("""COMPUTED_VALUE"""),"Category Page")</f>
        <v>Category Page</v>
      </c>
      <c r="G38" s="7" t="b">
        <f>IFERROR(__xludf.DUMMYFUNCTION("""COMPUTED_VALUE"""),FALSE)</f>
        <v>0</v>
      </c>
      <c r="H38" s="7" t="str">
        <f>IFERROR(__xludf.DUMMYFUNCTION("""COMPUTED_VALUE"""),"EvenDigit, SIXGUN, Intesols, Impressive, Emote Digital, 80/20 Digital, Supple Digital, Alley Group, Soup Agency, Salt &amp; Fuessel, Digital Nomads HQ, Clearwater Agency, Megaphone, Reform Digital")</f>
        <v>EvenDigit, SIXGUN, Intesols, Impressive, Emote Digital, 80/20 Digital, Supple Digital, Alley Group, Soup Agency, Salt &amp; Fuessel, Digital Nomads HQ, Clearwater Agency, Megaphone, Reform Digital</v>
      </c>
      <c r="I38" s="7">
        <f>IFERROR(__xludf.DUMMYFUNCTION("""COMPUTED_VALUE"""),1.0)</f>
        <v>1</v>
      </c>
      <c r="J38" s="7">
        <f>IFERROR(__xludf.DUMMYFUNCTION("""COMPUTED_VALUE"""),0.0)</f>
        <v>0</v>
      </c>
      <c r="K38" s="7">
        <f>IFERROR(__xludf.DUMMYFUNCTION("""COMPUTED_VALUE"""),0.0)</f>
        <v>0</v>
      </c>
    </row>
    <row r="39" ht="15.75" customHeight="1">
      <c r="A39" s="6" t="str">
        <f>IFERROR(__xludf.DUMMYFUNCTION("""COMPUTED_VALUE"""),"https://clutch.co/au/agencies/ppc?page=2")</f>
        <v>https://clutch.co/au/agencies/ppc?page=2</v>
      </c>
      <c r="B39" s="7" t="str">
        <f>IFERROR(__xludf.DUMMYFUNCTION("""COMPUTED_VALUE"""),"Page 2 - Top PPC Agencies in Australia - Jul 2026 Rankings | Clutch.co")</f>
        <v>Page 2 - Top PPC Agencies in Australia - Jul 2026 Rankings | Clutch.co</v>
      </c>
      <c r="C39" s="6" t="str">
        <f>IFERROR(__xludf.DUMMYFUNCTION("""COMPUTED_VALUE"""),"clutch.co")</f>
        <v>clutch.co</v>
      </c>
      <c r="D39" s="7" t="str">
        <f>IFERROR(__xludf.DUMMYFUNCTION("""COMPUTED_VALUE"""),"CATEGORY_PAGE")</f>
        <v>CATEGORY_PAGE</v>
      </c>
      <c r="E39" s="7" t="str">
        <f>IFERROR(__xludf.DUMMYFUNCTION("""COMPUTED_VALUE"""),"CORPORATE")</f>
        <v>CORPORATE</v>
      </c>
      <c r="F39" s="7" t="str">
        <f>IFERROR(__xludf.DUMMYFUNCTION("""COMPUTED_VALUE"""),"Category Page")</f>
        <v>Category Page</v>
      </c>
      <c r="G39" s="7" t="b">
        <f>IFERROR(__xludf.DUMMYFUNCTION("""COMPUTED_VALUE"""),FALSE)</f>
        <v>0</v>
      </c>
      <c r="H39" s="7" t="str">
        <f>IFERROR(__xludf.DUMMYFUNCTION("""COMPUTED_VALUE"""),"Soup Agency, Impressive, Insil, Reform Digital, AdVisible, Megaphone, Digital Nomads HQ, Farsiight, SIXGUN, Human Digital, Paradox Marketing, Rocket Agency, Online Marketing Gurus, Intesols, MyWork, Emote Digital, Clearwater Agency, Salt &amp; Fuessel, 80/20 "&amp;"Digital, Marketix Digital")</f>
        <v>Soup Agency, Impressive, Insil, Reform Digital, AdVisible, Megaphone, Digital Nomads HQ, Farsiight, SIXGUN, Human Digital, Paradox Marketing, Rocket Agency, Online Marketing Gurus, Intesols, MyWork, Emote Digital, Clearwater Agency, Salt &amp; Fuessel, 80/20 Digital, Marketix Digital</v>
      </c>
      <c r="I39" s="7">
        <f>IFERROR(__xludf.DUMMYFUNCTION("""COMPUTED_VALUE"""),1.0)</f>
        <v>1</v>
      </c>
      <c r="J39" s="7">
        <f>IFERROR(__xludf.DUMMYFUNCTION("""COMPUTED_VALUE"""),0.0)</f>
        <v>0</v>
      </c>
      <c r="K39" s="7">
        <f>IFERROR(__xludf.DUMMYFUNCTION("""COMPUTED_VALUE"""),0.0)</f>
        <v>0</v>
      </c>
    </row>
    <row r="40" ht="15.75" customHeight="1">
      <c r="A40" s="6" t="str">
        <f>IFERROR(__xludf.DUMMYFUNCTION("""COMPUTED_VALUE"""),"https://clutch.co/au/agencies/programmatic/sydney")</f>
        <v>https://clutch.co/au/agencies/programmatic/sydney</v>
      </c>
      <c r="B40" s="7" t="str">
        <f>IFERROR(__xludf.DUMMYFUNCTION("""COMPUTED_VALUE"""),"Top Programmatic Advertising Agencies in Sydney - Jul 2026 Rankings | Clutch.co")</f>
        <v>Top Programmatic Advertising Agencies in Sydney - Jul 2026 Rankings | Clutch.co</v>
      </c>
      <c r="C40" s="6" t="str">
        <f>IFERROR(__xludf.DUMMYFUNCTION("""COMPUTED_VALUE"""),"clutch.co")</f>
        <v>clutch.co</v>
      </c>
      <c r="D40" s="7" t="str">
        <f>IFERROR(__xludf.DUMMYFUNCTION("""COMPUTED_VALUE"""),"CATEGORY_PAGE")</f>
        <v>CATEGORY_PAGE</v>
      </c>
      <c r="E40" s="7" t="str">
        <f>IFERROR(__xludf.DUMMYFUNCTION("""COMPUTED_VALUE"""),"CORPORATE")</f>
        <v>CORPORATE</v>
      </c>
      <c r="F40" s="7" t="str">
        <f>IFERROR(__xludf.DUMMYFUNCTION("""COMPUTED_VALUE"""),"Category Page")</f>
        <v>Category Page</v>
      </c>
      <c r="G40" s="7" t="b">
        <f>IFERROR(__xludf.DUMMYFUNCTION("""COMPUTED_VALUE"""),FALSE)</f>
        <v>0</v>
      </c>
      <c r="H40" s="7" t="str">
        <f>IFERROR(__xludf.DUMMYFUNCTION("""COMPUTED_VALUE"""),"Soup Agency, DNM Digital, In Marketing We Trust, Bench Media, Impressive")</f>
        <v>Soup Agency, DNM Digital, In Marketing We Trust, Bench Media, Impressive</v>
      </c>
      <c r="I40" s="7">
        <f>IFERROR(__xludf.DUMMYFUNCTION("""COMPUTED_VALUE"""),1.0)</f>
        <v>1</v>
      </c>
      <c r="J40" s="7">
        <f>IFERROR(__xludf.DUMMYFUNCTION("""COMPUTED_VALUE"""),0.0)</f>
        <v>0</v>
      </c>
      <c r="K40" s="7">
        <f>IFERROR(__xludf.DUMMYFUNCTION("""COMPUTED_VALUE"""),0.0)</f>
        <v>0</v>
      </c>
    </row>
    <row r="41" ht="15.75" customHeight="1">
      <c r="A41" s="6" t="str">
        <f>IFERROR(__xludf.DUMMYFUNCTION("""COMPUTED_VALUE"""),"https://clutch.co/au/agencies/seo/technical")</f>
        <v>https://clutch.co/au/agencies/seo/technical</v>
      </c>
      <c r="B41" s="7" t="str">
        <f>IFERROR(__xludf.DUMMYFUNCTION("""COMPUTED_VALUE"""),"Top Technical SEO Agencies in Australia - Jul 2026 Rankings | Clutch.co")</f>
        <v>Top Technical SEO Agencies in Australia - Jul 2026 Rankings | Clutch.co</v>
      </c>
      <c r="C41" s="6" t="str">
        <f>IFERROR(__xludf.DUMMYFUNCTION("""COMPUTED_VALUE"""),"clutch.co")</f>
        <v>clutch.co</v>
      </c>
      <c r="D41" s="7" t="str">
        <f>IFERROR(__xludf.DUMMYFUNCTION("""COMPUTED_VALUE"""),"CATEGORY_PAGE")</f>
        <v>CATEGORY_PAGE</v>
      </c>
      <c r="E41" s="7" t="str">
        <f>IFERROR(__xludf.DUMMYFUNCTION("""COMPUTED_VALUE"""),"CORPORATE")</f>
        <v>CORPORATE</v>
      </c>
      <c r="F41" s="7" t="str">
        <f>IFERROR(__xludf.DUMMYFUNCTION("""COMPUTED_VALUE"""),"Category Page")</f>
        <v>Category Page</v>
      </c>
      <c r="G41" s="7" t="b">
        <f>IFERROR(__xludf.DUMMYFUNCTION("""COMPUTED_VALUE"""),FALSE)</f>
        <v>0</v>
      </c>
      <c r="H41" s="7" t="str">
        <f>IFERROR(__xludf.DUMMYFUNCTION("""COMPUTED_VALUE"""),"Intesols, Impressive, StudioHawk, Soup Agency, Luminary, Emote Digital, Salt &amp; Fuessel, EvenDigit, First Page, DNM Digital, Edge Marketing, In Marketing We Trust, eMarket Experts, Marketix Digital, Megaphone, Paradox Marketing, Prosperity Media")</f>
        <v>Intesols, Impressive, StudioHawk, Soup Agency, Luminary, Emote Digital, Salt &amp; Fuessel, EvenDigit, First Page, DNM Digital, Edge Marketing, In Marketing We Trust, eMarket Experts, Marketix Digital, Megaphone, Paradox Marketing, Prosperity Media</v>
      </c>
      <c r="I41" s="7">
        <f>IFERROR(__xludf.DUMMYFUNCTION("""COMPUTED_VALUE"""),1.0)</f>
        <v>1</v>
      </c>
      <c r="J41" s="7">
        <f>IFERROR(__xludf.DUMMYFUNCTION("""COMPUTED_VALUE"""),0.0)</f>
        <v>0</v>
      </c>
      <c r="K41" s="7">
        <f>IFERROR(__xludf.DUMMYFUNCTION("""COMPUTED_VALUE"""),0.0)</f>
        <v>0</v>
      </c>
    </row>
    <row r="42" ht="15.75" customHeight="1">
      <c r="A42" s="6" t="str">
        <f>IFERROR(__xludf.DUMMYFUNCTION("""COMPUTED_VALUE"""),"https://clutch.co/au/agencies/social-media-marketing/facebook/sydney")</f>
        <v>https://clutch.co/au/agencies/social-media-marketing/facebook/sydney</v>
      </c>
      <c r="B42" s="7" t="str">
        <f>IFERROR(__xludf.DUMMYFUNCTION("""COMPUTED_VALUE"""),"Top Facebook Advertising Agencies in Sydney - Jul 2026 Rankings \| Clutch.co")</f>
        <v>Top Facebook Advertising Agencies in Sydney - Jul 2026 Rankings \| Clutch.co</v>
      </c>
      <c r="C42" s="6" t="str">
        <f>IFERROR(__xludf.DUMMYFUNCTION("""COMPUTED_VALUE"""),"clutch.co")</f>
        <v>clutch.co</v>
      </c>
      <c r="D42" s="7" t="str">
        <f>IFERROR(__xludf.DUMMYFUNCTION("""COMPUTED_VALUE"""),"CATEGORY_PAGE")</f>
        <v>CATEGORY_PAGE</v>
      </c>
      <c r="E42" s="7" t="str">
        <f>IFERROR(__xludf.DUMMYFUNCTION("""COMPUTED_VALUE"""),"CORPORATE")</f>
        <v>CORPORATE</v>
      </c>
      <c r="F42" s="7" t="str">
        <f>IFERROR(__xludf.DUMMYFUNCTION("""COMPUTED_VALUE"""),"Category Page")</f>
        <v>Category Page</v>
      </c>
      <c r="G42" s="7" t="b">
        <f>IFERROR(__xludf.DUMMYFUNCTION("""COMPUTED_VALUE"""),FALSE)</f>
        <v>0</v>
      </c>
      <c r="H42" s="7" t="str">
        <f>IFERROR(__xludf.DUMMYFUNCTION("""COMPUTED_VALUE"""),"Soup Agency, Human Digital, Digital Nomads HQ, Rocket Agency, DNM Digital, Impressive, Megaphone, Online Marketing Gurus, Omnicom Media Group, Bench Media, Insil, Huge, AdVisible")</f>
        <v>Soup Agency, Human Digital, Digital Nomads HQ, Rocket Agency, DNM Digital, Impressive, Megaphone, Online Marketing Gurus, Omnicom Media Group, Bench Media, Insil, Huge, AdVisible</v>
      </c>
      <c r="I42" s="7">
        <f>IFERROR(__xludf.DUMMYFUNCTION("""COMPUTED_VALUE"""),1.0)</f>
        <v>1</v>
      </c>
      <c r="J42" s="7">
        <f>IFERROR(__xludf.DUMMYFUNCTION("""COMPUTED_VALUE"""),0.0)</f>
        <v>0</v>
      </c>
      <c r="K42" s="7">
        <f>IFERROR(__xludf.DUMMYFUNCTION("""COMPUTED_VALUE"""),0.0)</f>
        <v>0</v>
      </c>
    </row>
    <row r="43" ht="15.75" customHeight="1">
      <c r="A43" s="6" t="str">
        <f>IFERROR(__xludf.DUMMYFUNCTION("""COMPUTED_VALUE"""),"https://clutch.co/au/agencies/social-media-marketing/facebook?page=6")</f>
        <v>https://clutch.co/au/agencies/social-media-marketing/facebook?page=6</v>
      </c>
      <c r="B43" s="7" t="str">
        <f>IFERROR(__xludf.DUMMYFUNCTION("""COMPUTED_VALUE"""),"Page 6 - Top Facebook Advertising Agencies in Australia - Jul 2026 Rankings \| Clutch.co")</f>
        <v>Page 6 - Top Facebook Advertising Agencies in Australia - Jul 2026 Rankings \| Clutch.co</v>
      </c>
      <c r="C43" s="6" t="str">
        <f>IFERROR(__xludf.DUMMYFUNCTION("""COMPUTED_VALUE"""),"clutch.co")</f>
        <v>clutch.co</v>
      </c>
      <c r="D43" s="7" t="str">
        <f>IFERROR(__xludf.DUMMYFUNCTION("""COMPUTED_VALUE"""),"CATEGORY_PAGE")</f>
        <v>CATEGORY_PAGE</v>
      </c>
      <c r="E43" s="7" t="str">
        <f>IFERROR(__xludf.DUMMYFUNCTION("""COMPUTED_VALUE"""),"CORPORATE")</f>
        <v>CORPORATE</v>
      </c>
      <c r="F43" s="7" t="str">
        <f>IFERROR(__xludf.DUMMYFUNCTION("""COMPUTED_VALUE"""),"Category Page")</f>
        <v>Category Page</v>
      </c>
      <c r="G43" s="7" t="b">
        <f>IFERROR(__xludf.DUMMYFUNCTION("""COMPUTED_VALUE"""),FALSE)</f>
        <v>0</v>
      </c>
      <c r="H43" s="7" t="str">
        <f>IFERROR(__xludf.DUMMYFUNCTION("""COMPUTED_VALUE"""),"Digital Nomads HQ, SIXGUN, Intesols, Farsiight, Soup Agency, Emote Digital, Impressive, Human Digital, Megaphone, Online Marketing Gurus, Paradox Marketing, Rocket Agency, Bench Media, Insil, Clearwater Agency, Salt &amp; Fuessel")</f>
        <v>Digital Nomads HQ, SIXGUN, Intesols, Farsiight, Soup Agency, Emote Digital, Impressive, Human Digital, Megaphone, Online Marketing Gurus, Paradox Marketing, Rocket Agency, Bench Media, Insil, Clearwater Agency, Salt &amp; Fuessel</v>
      </c>
      <c r="I43" s="7">
        <f>IFERROR(__xludf.DUMMYFUNCTION("""COMPUTED_VALUE"""),1.0)</f>
        <v>1</v>
      </c>
      <c r="J43" s="7">
        <f>IFERROR(__xludf.DUMMYFUNCTION("""COMPUTED_VALUE"""),0.0)</f>
        <v>0</v>
      </c>
      <c r="K43" s="7">
        <f>IFERROR(__xludf.DUMMYFUNCTION("""COMPUTED_VALUE"""),0.0)</f>
        <v>0</v>
      </c>
    </row>
    <row r="44" ht="15.75" customHeight="1">
      <c r="A44" s="6" t="str">
        <f>IFERROR(__xludf.DUMMYFUNCTION("""COMPUTED_VALUE"""),"https://clutch.co/au/agencies/social-media-marketing/tik-tok/melbourne")</f>
        <v>https://clutch.co/au/agencies/social-media-marketing/tik-tok/melbourne</v>
      </c>
      <c r="B44" s="7" t="str">
        <f>IFERROR(__xludf.DUMMYFUNCTION("""COMPUTED_VALUE"""),"Top TikTok Advertising Agencies in Melbourne - Jul 2026 Rankings | Clutch.co")</f>
        <v>Top TikTok Advertising Agencies in Melbourne - Jul 2026 Rankings | Clutch.co</v>
      </c>
      <c r="C44" s="6" t="str">
        <f>IFERROR(__xludf.DUMMYFUNCTION("""COMPUTED_VALUE"""),"clutch.co")</f>
        <v>clutch.co</v>
      </c>
      <c r="D44" s="7" t="str">
        <f>IFERROR(__xludf.DUMMYFUNCTION("""COMPUTED_VALUE"""),"OTHER")</f>
        <v>OTHER</v>
      </c>
      <c r="E44" s="7" t="str">
        <f>IFERROR(__xludf.DUMMYFUNCTION("""COMPUTED_VALUE"""),"CORPORATE")</f>
        <v>CORPORATE</v>
      </c>
      <c r="F44" s="7" t="str">
        <f>IFERROR(__xludf.DUMMYFUNCTION("""COMPUTED_VALUE"""),"Other")</f>
        <v>Other</v>
      </c>
      <c r="G44" s="7" t="b">
        <f>IFERROR(__xludf.DUMMYFUNCTION("""COMPUTED_VALUE"""),FALSE)</f>
        <v>0</v>
      </c>
      <c r="H44" s="7" t="str">
        <f>IFERROR(__xludf.DUMMYFUNCTION("""COMPUTED_VALUE"""),"Impressive, Emote Digital, Salt &amp; Fuessel, Digital Nomads HQ, Megaphone, Reform Digital, Eight Clients")</f>
        <v>Impressive, Emote Digital, Salt &amp; Fuessel, Digital Nomads HQ, Megaphone, Reform Digital, Eight Clients</v>
      </c>
      <c r="I44" s="7">
        <f>IFERROR(__xludf.DUMMYFUNCTION("""COMPUTED_VALUE"""),1.0)</f>
        <v>1</v>
      </c>
      <c r="J44" s="7">
        <f>IFERROR(__xludf.DUMMYFUNCTION("""COMPUTED_VALUE"""),0.0)</f>
        <v>0</v>
      </c>
      <c r="K44" s="7">
        <f>IFERROR(__xludf.DUMMYFUNCTION("""COMPUTED_VALUE"""),0.0)</f>
        <v>0</v>
      </c>
    </row>
    <row r="45" ht="15.75" customHeight="1">
      <c r="A45" s="6" t="str">
        <f>IFERROR(__xludf.DUMMYFUNCTION("""COMPUTED_VALUE"""),"https://clutch.co/au/agencies/social-media-marketing/tik-tok/sydney")</f>
        <v>https://clutch.co/au/agencies/social-media-marketing/tik-tok/sydney</v>
      </c>
      <c r="B45" s="7" t="str">
        <f>IFERROR(__xludf.DUMMYFUNCTION("""COMPUTED_VALUE"""),"Top TikTok Advertising Agencies in Sydney - Jul 2026 Rankings | Clutch.co")</f>
        <v>Top TikTok Advertising Agencies in Sydney - Jul 2026 Rankings | Clutch.co</v>
      </c>
      <c r="C45" s="6" t="str">
        <f>IFERROR(__xludf.DUMMYFUNCTION("""COMPUTED_VALUE"""),"clutch.co")</f>
        <v>clutch.co</v>
      </c>
      <c r="D45" s="7" t="str">
        <f>IFERROR(__xludf.DUMMYFUNCTION("""COMPUTED_VALUE"""),"CATEGORY_PAGE")</f>
        <v>CATEGORY_PAGE</v>
      </c>
      <c r="E45" s="7" t="str">
        <f>IFERROR(__xludf.DUMMYFUNCTION("""COMPUTED_VALUE"""),"CORPORATE")</f>
        <v>CORPORATE</v>
      </c>
      <c r="F45" s="7" t="str">
        <f>IFERROR(__xludf.DUMMYFUNCTION("""COMPUTED_VALUE"""),"Category Page")</f>
        <v>Category Page</v>
      </c>
      <c r="G45" s="7" t="b">
        <f>IFERROR(__xludf.DUMMYFUNCTION("""COMPUTED_VALUE"""),FALSE)</f>
        <v>0</v>
      </c>
      <c r="H45" s="7" t="str">
        <f>IFERROR(__xludf.DUMMYFUNCTION("""COMPUTED_VALUE"""),"Soup Agency, Impressive, Digital Nomads HQ, Megaphone, Bench Media, Eight Clients")</f>
        <v>Soup Agency, Impressive, Digital Nomads HQ, Megaphone, Bench Media, Eight Clients</v>
      </c>
      <c r="I45" s="7">
        <f>IFERROR(__xludf.DUMMYFUNCTION("""COMPUTED_VALUE"""),1.0)</f>
        <v>1</v>
      </c>
      <c r="J45" s="7">
        <f>IFERROR(__xludf.DUMMYFUNCTION("""COMPUTED_VALUE"""),0.0)</f>
        <v>0</v>
      </c>
      <c r="K45" s="7">
        <f>IFERROR(__xludf.DUMMYFUNCTION("""COMPUTED_VALUE"""),3.0)</f>
        <v>3</v>
      </c>
    </row>
    <row r="46" ht="15.75" customHeight="1">
      <c r="A46" s="6" t="str">
        <f>IFERROR(__xludf.DUMMYFUNCTION("""COMPUTED_VALUE"""),"https://clutch.co/au/agencies/social-media-marketing/tik-tok?page=2")</f>
        <v>https://clutch.co/au/agencies/social-media-marketing/tik-tok?page=2</v>
      </c>
      <c r="B46" s="7" t="str">
        <f>IFERROR(__xludf.DUMMYFUNCTION("""COMPUTED_VALUE"""),"Page 2 - Top TikTok Advertising Agencies in Australia - Jul 2026 Rankings | Clutch.co")</f>
        <v>Page 2 - Top TikTok Advertising Agencies in Australia - Jul 2026 Rankings | Clutch.co</v>
      </c>
      <c r="C46" s="6" t="str">
        <f>IFERROR(__xludf.DUMMYFUNCTION("""COMPUTED_VALUE"""),"clutch.co")</f>
        <v>clutch.co</v>
      </c>
      <c r="D46" s="7" t="str">
        <f>IFERROR(__xludf.DUMMYFUNCTION("""COMPUTED_VALUE"""),"CATEGORY_PAGE")</f>
        <v>CATEGORY_PAGE</v>
      </c>
      <c r="E46" s="7" t="str">
        <f>IFERROR(__xludf.DUMMYFUNCTION("""COMPUTED_VALUE"""),"CORPORATE")</f>
        <v>CORPORATE</v>
      </c>
      <c r="F46" s="7" t="str">
        <f>IFERROR(__xludf.DUMMYFUNCTION("""COMPUTED_VALUE"""),"Category Page")</f>
        <v>Category Page</v>
      </c>
      <c r="G46" s="7" t="b">
        <f>IFERROR(__xludf.DUMMYFUNCTION("""COMPUTED_VALUE"""),FALSE)</f>
        <v>0</v>
      </c>
      <c r="H46" s="7" t="str">
        <f>IFERROR(__xludf.DUMMYFUNCTION("""COMPUTED_VALUE"""),"Impressive, Digital Nomads HQ, Megaphone, Soup Agency, Paradox Marketing, Emote Digital, Bench Media, Salt &amp; Fuessel, Reform Digital")</f>
        <v>Impressive, Digital Nomads HQ, Megaphone, Soup Agency, Paradox Marketing, Emote Digital, Bench Media, Salt &amp; Fuessel, Reform Digital</v>
      </c>
      <c r="I46" s="7">
        <f>IFERROR(__xludf.DUMMYFUNCTION("""COMPUTED_VALUE"""),1.0)</f>
        <v>1</v>
      </c>
      <c r="J46" s="7">
        <f>IFERROR(__xludf.DUMMYFUNCTION("""COMPUTED_VALUE"""),0.0)</f>
        <v>0</v>
      </c>
      <c r="K46" s="7">
        <f>IFERROR(__xludf.DUMMYFUNCTION("""COMPUTED_VALUE"""),0.0)</f>
        <v>0</v>
      </c>
    </row>
    <row r="47" ht="15.75" customHeight="1">
      <c r="A47" s="6" t="str">
        <f>IFERROR(__xludf.DUMMYFUNCTION("""COMPUTED_VALUE"""),"https://clutch.co/au/agencies?page=7")</f>
        <v>https://clutch.co/au/agencies?page=7</v>
      </c>
      <c r="B47" s="7" t="str">
        <f>IFERROR(__xludf.DUMMYFUNCTION("""COMPUTED_VALUE"""),"Page 7 - Top Advertising Agencies in Australia - Jul 2026 Rankings | Clutch.co")</f>
        <v>Page 7 - Top Advertising Agencies in Australia - Jul 2026 Rankings | Clutch.co</v>
      </c>
      <c r="C47" s="6" t="str">
        <f>IFERROR(__xludf.DUMMYFUNCTION("""COMPUTED_VALUE"""),"clutch.co")</f>
        <v>clutch.co</v>
      </c>
      <c r="D47" s="7" t="str">
        <f>IFERROR(__xludf.DUMMYFUNCTION("""COMPUTED_VALUE"""),"CATEGORY_PAGE")</f>
        <v>CATEGORY_PAGE</v>
      </c>
      <c r="E47" s="7" t="str">
        <f>IFERROR(__xludf.DUMMYFUNCTION("""COMPUTED_VALUE"""),"CORPORATE")</f>
        <v>CORPORATE</v>
      </c>
      <c r="F47" s="7" t="str">
        <f>IFERROR(__xludf.DUMMYFUNCTION("""COMPUTED_VALUE"""),"Category Page")</f>
        <v>Category Page</v>
      </c>
      <c r="G47" s="7" t="b">
        <f>IFERROR(__xludf.DUMMYFUNCTION("""COMPUTED_VALUE"""),FALSE)</f>
        <v>0</v>
      </c>
      <c r="H47" s="7" t="str">
        <f>IFERROR(__xludf.DUMMYFUNCTION("""COMPUTED_VALUE"""),"Version2, Impressive, weDiscover, Ninja Promo, Loud Days, Chello, Human Digital, Soup Agency, Bench Media, Farsiight, Insil, DNM Digital")</f>
        <v>Version2, Impressive, weDiscover, Ninja Promo, Loud Days, Chello, Human Digital, Soup Agency, Bench Media, Farsiight, Insil, DNM Digital</v>
      </c>
      <c r="I47" s="7">
        <f>IFERROR(__xludf.DUMMYFUNCTION("""COMPUTED_VALUE"""),1.0)</f>
        <v>1</v>
      </c>
      <c r="J47" s="7">
        <f>IFERROR(__xludf.DUMMYFUNCTION("""COMPUTED_VALUE"""),0.0)</f>
        <v>0</v>
      </c>
      <c r="K47" s="7">
        <f>IFERROR(__xludf.DUMMYFUNCTION("""COMPUTED_VALUE"""),0.0)</f>
        <v>0</v>
      </c>
    </row>
    <row r="48" ht="15.75" customHeight="1">
      <c r="A48" s="6" t="str">
        <f>IFERROR(__xludf.DUMMYFUNCTION("""COMPUTED_VALUE"""),"https://clutch.co/profile/xpon-technologies")</f>
        <v>https://clutch.co/profile/xpon-technologies</v>
      </c>
      <c r="B48" s="7" t="str">
        <f>IFERROR(__xludf.DUMMYFUNCTION("""COMPUTED_VALUE"""),"XPON Technologies Reviews (1), Pricing, Services &amp;amp; Verified Ratings")</f>
        <v>XPON Technologies Reviews (1), Pricing, Services &amp;amp; Verified Ratings</v>
      </c>
      <c r="C48" s="6" t="str">
        <f>IFERROR(__xludf.DUMMYFUNCTION("""COMPUTED_VALUE"""),"clutch.co")</f>
        <v>clutch.co</v>
      </c>
      <c r="D48" s="7" t="str">
        <f>IFERROR(__xludf.DUMMYFUNCTION("""COMPUTED_VALUE"""),"PROFILE")</f>
        <v>PROFILE</v>
      </c>
      <c r="E48" s="7" t="str">
        <f>IFERROR(__xludf.DUMMYFUNCTION("""COMPUTED_VALUE"""),"CORPORATE")</f>
        <v>CORPORATE</v>
      </c>
      <c r="F48" s="7" t="str">
        <f>IFERROR(__xludf.DUMMYFUNCTION("""COMPUTED_VALUE"""),"Profile")</f>
        <v>Profile</v>
      </c>
      <c r="G48" s="7" t="b">
        <f>IFERROR(__xludf.DUMMYFUNCTION("""COMPUTED_VALUE"""),FALSE)</f>
        <v>0</v>
      </c>
      <c r="H48" s="7" t="str">
        <f>IFERROR(__xludf.DUMMYFUNCTION("""COMPUTED_VALUE"""),"XPON, Impressive")</f>
        <v>XPON, Impressive</v>
      </c>
      <c r="I48" s="7">
        <f>IFERROR(__xludf.DUMMYFUNCTION("""COMPUTED_VALUE"""),1.0)</f>
        <v>1</v>
      </c>
      <c r="J48" s="7">
        <f>IFERROR(__xludf.DUMMYFUNCTION("""COMPUTED_VALUE"""),0.0)</f>
        <v>0</v>
      </c>
      <c r="K48" s="7">
        <f>IFERROR(__xludf.DUMMYFUNCTION("""COMPUTED_VALUE"""),1.0)</f>
        <v>1</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location=":~:text=farsiight%20is%20a%20digital%20marketing%20agency%20specializing,return%20on%20ad%20spend%20and%20customer%20acquisition."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s>
  <drawing r:id="rId9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All'!A2:A1000)),""semrush"")
  ),
  """"
)"),"https://agencies.semrush.com/list/australia/")</f>
        <v>https://agencies.semrush.com/list/australia/</v>
      </c>
      <c r="B2" s="7" t="str">
        <f>IFERROR(__xludf.DUMMYFUNCTION("""COMPUTED_VALUE"""),"Best Digital Marketing Agencies in Australia 2026 | Semrush")</f>
        <v>Best Digital Marketing Agencies in Australia 2026 | Semrush</v>
      </c>
      <c r="C2" s="6" t="str">
        <f>IFERROR(__xludf.DUMMYFUNCTION("""COMPUTED_VALUE"""),"semrush.com")</f>
        <v>semrush.com</v>
      </c>
      <c r="D2" s="7" t="str">
        <f>IFERROR(__xludf.DUMMYFUNCTION("""COMPUTED_VALUE"""),"CATEGORY_PAGE")</f>
        <v>CATEGORY_PAGE</v>
      </c>
      <c r="E2" s="7" t="str">
        <f>IFERROR(__xludf.DUMMYFUNCTION("""COMPUTED_VALUE"""),"CORPORATE")</f>
        <v>CORPORATE</v>
      </c>
      <c r="F2" s="7" t="str">
        <f>IFERROR(__xludf.DUMMYFUNCTION("""COMPUTED_VALUE"""),"Category Page")</f>
        <v>Category Page</v>
      </c>
      <c r="G2" s="7" t="b">
        <f>IFERROR(__xludf.DUMMYFUNCTION("""COMPUTED_VALUE"""),FALSE)</f>
        <v>0</v>
      </c>
      <c r="H2" s="7" t="str">
        <f>IFERROR(__xludf.DUMMYFUNCTION("""COMPUTED_VALUE"""),"Edge Marketing, Digital Nomads HQ, Supple Digital, DNM Digital, Soup Agency, First Page, Clearwater Agency, Measured, Earned Media, Impressive, Online Marketing Gurus, Omnicom Media Group, Human Digital, Click Click Media")</f>
        <v>Edge Marketing, Digital Nomads HQ, Supple Digital, DNM Digital, Soup Agency, First Page, Clearwater Agency, Measured, Earned Media, Impressive, Online Marketing Gurus, Omnicom Media Group, Human Digital, Click Click Media</v>
      </c>
      <c r="I2" s="7">
        <f>IFERROR(__xludf.DUMMYFUNCTION("""COMPUTED_VALUE"""),120.0)</f>
        <v>120</v>
      </c>
      <c r="J2" s="7">
        <f>IFERROR(__xludf.DUMMYFUNCTION("""COMPUTED_VALUE"""),0.13)</f>
        <v>0.13</v>
      </c>
      <c r="K2" s="7">
        <f>IFERROR(__xludf.DUMMYFUNCTION("""COMPUTED_VALUE"""),0.36)</f>
        <v>0.36</v>
      </c>
    </row>
    <row r="3" ht="15.75" customHeight="1">
      <c r="A3" s="6" t="str">
        <f>IFERROR(__xludf.DUMMYFUNCTION("""COMPUTED_VALUE"""),"https://agencies.semrush.com/list/advertising/australia/")</f>
        <v>https://agencies.semrush.com/list/advertising/australia/</v>
      </c>
      <c r="B3" s="7" t="str">
        <f>IFERROR(__xludf.DUMMYFUNCTION("""COMPUTED_VALUE"""),"Best Advertising Agencies in Australia 2026 | Semrush")</f>
        <v>Best Advertising Agencies in Australia 2026 | Semrush</v>
      </c>
      <c r="C3" s="6" t="str">
        <f>IFERROR(__xludf.DUMMYFUNCTION("""COMPUTED_VALUE"""),"semrush.com")</f>
        <v>semrush.com</v>
      </c>
      <c r="D3" s="7" t="str">
        <f>IFERROR(__xludf.DUMMYFUNCTION("""COMPUTED_VALUE"""),"CATEGORY_PAGE")</f>
        <v>CATEGORY_PAGE</v>
      </c>
      <c r="E3" s="7" t="str">
        <f>IFERROR(__xludf.DUMMYFUNCTION("""COMPUTED_VALUE"""),"CORPORATE")</f>
        <v>CORPORATE</v>
      </c>
      <c r="F3" s="7" t="str">
        <f>IFERROR(__xludf.DUMMYFUNCTION("""COMPUTED_VALUE"""),"Category Page")</f>
        <v>Category Page</v>
      </c>
      <c r="G3" s="7" t="b">
        <f>IFERROR(__xludf.DUMMYFUNCTION("""COMPUTED_VALUE"""),FALSE)</f>
        <v>0</v>
      </c>
      <c r="H3" s="7"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3" s="7">
        <f>IFERROR(__xludf.DUMMYFUNCTION("""COMPUTED_VALUE"""),56.0)</f>
        <v>56</v>
      </c>
      <c r="J3" s="7">
        <f>IFERROR(__xludf.DUMMYFUNCTION("""COMPUTED_VALUE"""),0.06)</f>
        <v>0.06</v>
      </c>
      <c r="K3" s="7">
        <f>IFERROR(__xludf.DUMMYFUNCTION("""COMPUTED_VALUE"""),0.07)</f>
        <v>0.07</v>
      </c>
    </row>
    <row r="4" ht="15.75" customHeight="1">
      <c r="A4" s="6" t="str">
        <f>IFERROR(__xludf.DUMMYFUNCTION("""COMPUTED_VALUE"""),"https://agencies.semrush.com/list/display-advertising/australia/")</f>
        <v>https://agencies.semrush.com/list/display-advertising/australia/</v>
      </c>
      <c r="B4" s="7" t="str">
        <f>IFERROR(__xludf.DUMMYFUNCTION("""COMPUTED_VALUE"""),"Best Display Ads Agencies in Australia 2026 | Semrush")</f>
        <v>Best Display Ads Agencies in Australia 2026 | Semrush</v>
      </c>
      <c r="C4" s="6" t="str">
        <f>IFERROR(__xludf.DUMMYFUNCTION("""COMPUTED_VALUE"""),"semrush.com")</f>
        <v>semrush.com</v>
      </c>
      <c r="D4" s="7" t="str">
        <f>IFERROR(__xludf.DUMMYFUNCTION("""COMPUTED_VALUE"""),"OTHER")</f>
        <v>OTHER</v>
      </c>
      <c r="E4" s="7" t="str">
        <f>IFERROR(__xludf.DUMMYFUNCTION("""COMPUTED_VALUE"""),"CORPORATE")</f>
        <v>CORPORATE</v>
      </c>
      <c r="F4" s="7" t="str">
        <f>IFERROR(__xludf.DUMMYFUNCTION("""COMPUTED_VALUE"""),"Other")</f>
        <v>Other</v>
      </c>
      <c r="G4" s="7" t="b">
        <f>IFERROR(__xludf.DUMMYFUNCTION("""COMPUTED_VALUE"""),FALSE)</f>
        <v>0</v>
      </c>
      <c r="H4" s="7"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4" s="7">
        <f>IFERROR(__xludf.DUMMYFUNCTION("""COMPUTED_VALUE"""),47.0)</f>
        <v>47</v>
      </c>
      <c r="J4" s="7">
        <f>IFERROR(__xludf.DUMMYFUNCTION("""COMPUTED_VALUE"""),0.05)</f>
        <v>0.05</v>
      </c>
      <c r="K4" s="7">
        <f>IFERROR(__xludf.DUMMYFUNCTION("""COMPUTED_VALUE"""),1.06)</f>
        <v>1.06</v>
      </c>
    </row>
    <row r="5" ht="15.75" customHeight="1">
      <c r="A5" s="6" t="str">
        <f>IFERROR(__xludf.DUMMYFUNCTION("""COMPUTED_VALUE"""),"https://agencies.semrush.com/list/smm/australia/")</f>
        <v>https://agencies.semrush.com/list/smm/australia/</v>
      </c>
      <c r="B5" s="7" t="str">
        <f>IFERROR(__xludf.DUMMYFUNCTION("""COMPUTED_VALUE"""),"Best Social Media Marketing Agencies in Australia 2026 | Semrush")</f>
        <v>Best Social Media Marketing Agencies in Australia 2026 | Semrush</v>
      </c>
      <c r="C5" s="6" t="str">
        <f>IFERROR(__xludf.DUMMYFUNCTION("""COMPUTED_VALUE"""),"semrush.com")</f>
        <v>semrush.com</v>
      </c>
      <c r="D5" s="7" t="str">
        <f>IFERROR(__xludf.DUMMYFUNCTION("""COMPUTED_VALUE"""),"CATEGORY_PAGE")</f>
        <v>CATEGORY_PAGE</v>
      </c>
      <c r="E5" s="7" t="str">
        <f>IFERROR(__xludf.DUMMYFUNCTION("""COMPUTED_VALUE"""),"CORPORATE")</f>
        <v>CORPORATE</v>
      </c>
      <c r="F5" s="7" t="str">
        <f>IFERROR(__xludf.DUMMYFUNCTION("""COMPUTED_VALUE"""),"Category Page")</f>
        <v>Category Page</v>
      </c>
      <c r="G5" s="7" t="b">
        <f>IFERROR(__xludf.DUMMYFUNCTION("""COMPUTED_VALUE"""),FALSE)</f>
        <v>0</v>
      </c>
      <c r="H5" s="7"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5" s="7">
        <f>IFERROR(__xludf.DUMMYFUNCTION("""COMPUTED_VALUE"""),34.0)</f>
        <v>34</v>
      </c>
      <c r="J5" s="7">
        <f>IFERROR(__xludf.DUMMYFUNCTION("""COMPUTED_VALUE"""),0.04)</f>
        <v>0.04</v>
      </c>
      <c r="K5" s="7">
        <f>IFERROR(__xludf.DUMMYFUNCTION("""COMPUTED_VALUE"""),0.41)</f>
        <v>0.41</v>
      </c>
    </row>
    <row r="6" ht="15.75" customHeight="1">
      <c r="A6" s="6" t="str">
        <f>IFERROR(__xludf.DUMMYFUNCTION("""COMPUTED_VALUE"""),"https://agencies.semrush.com/list/ai-optimization/sydney/")</f>
        <v>https://agencies.semrush.com/list/ai-optimization/sydney/</v>
      </c>
      <c r="B6" s="7" t="str">
        <f>IFERROR(__xludf.DUMMYFUNCTION("""COMPUTED_VALUE"""),"Best AI Search Optimization Agencies in Sydney 2026 | Semrush")</f>
        <v>Best AI Search Optimization Agencies in Sydney 2026 | Semrush</v>
      </c>
      <c r="C6" s="6" t="str">
        <f>IFERROR(__xludf.DUMMYFUNCTION("""COMPUTED_VALUE"""),"semrush.com")</f>
        <v>semrush.com</v>
      </c>
      <c r="D6" s="7" t="str">
        <f>IFERROR(__xludf.DUMMYFUNCTION("""COMPUTED_VALUE"""),"CATEGORY_PAGE")</f>
        <v>CATEGORY_PAGE</v>
      </c>
      <c r="E6" s="7" t="str">
        <f>IFERROR(__xludf.DUMMYFUNCTION("""COMPUTED_VALUE"""),"CORPORATE")</f>
        <v>CORPORATE</v>
      </c>
      <c r="F6" s="7" t="str">
        <f>IFERROR(__xludf.DUMMYFUNCTION("""COMPUTED_VALUE"""),"Category Page")</f>
        <v>Category Page</v>
      </c>
      <c r="G6" s="7" t="b">
        <f>IFERROR(__xludf.DUMMYFUNCTION("""COMPUTED_VALUE"""),FALSE)</f>
        <v>0</v>
      </c>
      <c r="H6" s="7" t="str">
        <f>IFERROR(__xludf.DUMMYFUNCTION("""COMPUTED_VALUE"""),"DNM Digital, Online Marketing Gurus, Omnicom Media Group, Earned Media, Huge, Edge Marketing, First Page, Clearwater Agency, Measured")</f>
        <v>DNM Digital, Online Marketing Gurus, Omnicom Media Group, Earned Media, Huge, Edge Marketing, First Page, Clearwater Agency, Measured</v>
      </c>
      <c r="I6" s="7">
        <f>IFERROR(__xludf.DUMMYFUNCTION("""COMPUTED_VALUE"""),33.0)</f>
        <v>33</v>
      </c>
      <c r="J6" s="7">
        <f>IFERROR(__xludf.DUMMYFUNCTION("""COMPUTED_VALUE"""),0.03)</f>
        <v>0.03</v>
      </c>
      <c r="K6" s="7">
        <f>IFERROR(__xludf.DUMMYFUNCTION("""COMPUTED_VALUE"""),0.79)</f>
        <v>0.79</v>
      </c>
    </row>
    <row r="7" ht="15.75" customHeight="1">
      <c r="A7" s="6" t="str">
        <f>IFERROR(__xludf.DUMMYFUNCTION("""COMPUTED_VALUE"""),"https://agencies.semrush.com/list/analytics-data-science/australia/")</f>
        <v>https://agencies.semrush.com/list/analytics-data-science/australia/</v>
      </c>
      <c r="B7" s="7" t="str">
        <f>IFERROR(__xludf.DUMMYFUNCTION("""COMPUTED_VALUE"""),"Best Data Analytics Services in Australia 2026 | Semrush")</f>
        <v>Best Data Analytics Services in Australia 2026 | Semrush</v>
      </c>
      <c r="C7" s="6" t="str">
        <f>IFERROR(__xludf.DUMMYFUNCTION("""COMPUTED_VALUE"""),"semrush.com")</f>
        <v>semrush.com</v>
      </c>
      <c r="D7" s="7" t="str">
        <f>IFERROR(__xludf.DUMMYFUNCTION("""COMPUTED_VALUE"""),"CATEGORY_PAGE")</f>
        <v>CATEGORY_PAGE</v>
      </c>
      <c r="E7" s="7" t="str">
        <f>IFERROR(__xludf.DUMMYFUNCTION("""COMPUTED_VALUE"""),"CORPORATE")</f>
        <v>CORPORATE</v>
      </c>
      <c r="F7" s="7" t="str">
        <f>IFERROR(__xludf.DUMMYFUNCTION("""COMPUTED_VALUE"""),"Category Page")</f>
        <v>Category Page</v>
      </c>
      <c r="G7" s="7" t="b">
        <f>IFERROR(__xludf.DUMMYFUNCTION("""COMPUTED_VALUE"""),FALSE)</f>
        <v>0</v>
      </c>
      <c r="H7" s="7"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7" s="7">
        <f>IFERROR(__xludf.DUMMYFUNCTION("""COMPUTED_VALUE"""),30.0)</f>
        <v>30</v>
      </c>
      <c r="J7" s="7">
        <f>IFERROR(__xludf.DUMMYFUNCTION("""COMPUTED_VALUE"""),0.03)</f>
        <v>0.03</v>
      </c>
      <c r="K7" s="7">
        <f>IFERROR(__xludf.DUMMYFUNCTION("""COMPUTED_VALUE"""),0.77)</f>
        <v>0.77</v>
      </c>
    </row>
    <row r="8" ht="15.75" customHeight="1">
      <c r="A8" s="6" t="str">
        <f>IFERROR(__xludf.DUMMYFUNCTION("""COMPUTED_VALUE"""),"https://agencies.semrush.com/list/ai-optimization/australia/small-business/")</f>
        <v>https://agencies.semrush.com/list/ai-optimization/australia/small-business/</v>
      </c>
      <c r="B8" s="7" t="str">
        <f>IFERROR(__xludf.DUMMYFUNCTION("""COMPUTED_VALUE"""),"Best AI Search Optimization Agencies for Small Business in Australia 2026 | Semrush")</f>
        <v>Best AI Search Optimization Agencies for Small Business in Australia 2026 | Semrush</v>
      </c>
      <c r="C8" s="6" t="str">
        <f>IFERROR(__xludf.DUMMYFUNCTION("""COMPUTED_VALUE"""),"semrush.com")</f>
        <v>semrush.com</v>
      </c>
      <c r="D8" s="7" t="str">
        <f>IFERROR(__xludf.DUMMYFUNCTION("""COMPUTED_VALUE"""),"CATEGORY_PAGE")</f>
        <v>CATEGORY_PAGE</v>
      </c>
      <c r="E8" s="7" t="str">
        <f>IFERROR(__xludf.DUMMYFUNCTION("""COMPUTED_VALUE"""),"CORPORATE")</f>
        <v>CORPORATE</v>
      </c>
      <c r="F8" s="7" t="str">
        <f>IFERROR(__xludf.DUMMYFUNCTION("""COMPUTED_VALUE"""),"Category Page")</f>
        <v>Category Page</v>
      </c>
      <c r="G8" s="7" t="b">
        <f>IFERROR(__xludf.DUMMYFUNCTION("""COMPUTED_VALUE"""),FALSE)</f>
        <v>0</v>
      </c>
      <c r="H8" s="7" t="str">
        <f>IFERROR(__xludf.DUMMYFUNCTION("""COMPUTED_VALUE"""),"DNM Digital, First Page, Clearwater Agency, Measured, Earned Media, Online Marketing Gurus, Omnicom Media Group, Huge")</f>
        <v>DNM Digital, First Page, Clearwater Agency, Measured, Earned Media, Online Marketing Gurus, Omnicom Media Group, Huge</v>
      </c>
      <c r="I8" s="7">
        <f>IFERROR(__xludf.DUMMYFUNCTION("""COMPUTED_VALUE"""),17.0)</f>
        <v>17</v>
      </c>
      <c r="J8" s="7">
        <f>IFERROR(__xludf.DUMMYFUNCTION("""COMPUTED_VALUE"""),0.02)</f>
        <v>0.02</v>
      </c>
      <c r="K8" s="7">
        <f>IFERROR(__xludf.DUMMYFUNCTION("""COMPUTED_VALUE"""),0.18)</f>
        <v>0.18</v>
      </c>
    </row>
    <row r="9" ht="15.75" customHeight="1">
      <c r="A9" s="6" t="str">
        <f>IFERROR(__xludf.DUMMYFUNCTION("""COMPUTED_VALUE"""),"https://agencies.semrush.com/list/machine-learning-and-ai/australia/")</f>
        <v>https://agencies.semrush.com/list/machine-learning-and-ai/australia/</v>
      </c>
      <c r="B9" s="7" t="str">
        <f>IFERROR(__xludf.DUMMYFUNCTION("""COMPUTED_VALUE"""),"Best Machine Learning and AI Services in Australia 2026 | Semrush")</f>
        <v>Best Machine Learning and AI Services in Australia 2026 | Semrush</v>
      </c>
      <c r="C9" s="6" t="str">
        <f>IFERROR(__xludf.DUMMYFUNCTION("""COMPUTED_VALUE"""),"semrush.com")</f>
        <v>semrush.com</v>
      </c>
      <c r="D9" s="7" t="str">
        <f>IFERROR(__xludf.DUMMYFUNCTION("""COMPUTED_VALUE"""),"CATEGORY_PAGE")</f>
        <v>CATEGORY_PAGE</v>
      </c>
      <c r="E9" s="7" t="str">
        <f>IFERROR(__xludf.DUMMYFUNCTION("""COMPUTED_VALUE"""),"CORPORATE")</f>
        <v>CORPORATE</v>
      </c>
      <c r="F9" s="7" t="str">
        <f>IFERROR(__xludf.DUMMYFUNCTION("""COMPUTED_VALUE"""),"Category Page")</f>
        <v>Category Page</v>
      </c>
      <c r="G9" s="7" t="b">
        <f>IFERROR(__xludf.DUMMYFUNCTION("""COMPUTED_VALUE"""),FALSE)</f>
        <v>0</v>
      </c>
      <c r="H9" s="7" t="str">
        <f>IFERROR(__xludf.DUMMYFUNCTION("""COMPUTED_VALUE"""),"Soup Agency, First Page, Clearwater Agency, Measured, Earned Media, Impressive, Online Marketing Gurus, Omnicom Media Group, 80/20 Digital")</f>
        <v>Soup Agency, First Page, Clearwater Agency, Measured, Earned Media, Impressive, Online Marketing Gurus, Omnicom Media Group, 80/20 Digital</v>
      </c>
      <c r="I9" s="7">
        <f>IFERROR(__xludf.DUMMYFUNCTION("""COMPUTED_VALUE"""),15.0)</f>
        <v>15</v>
      </c>
      <c r="J9" s="7">
        <f>IFERROR(__xludf.DUMMYFUNCTION("""COMPUTED_VALUE"""),0.02)</f>
        <v>0.02</v>
      </c>
      <c r="K9" s="7">
        <f>IFERROR(__xludf.DUMMYFUNCTION("""COMPUTED_VALUE"""),0.0)</f>
        <v>0</v>
      </c>
    </row>
    <row r="10" ht="15.75" customHeight="1">
      <c r="A10" s="6" t="str">
        <f>IFERROR(__xludf.DUMMYFUNCTION("""COMPUTED_VALUE"""),"https://agencies.semrush.com/list/display-advertising/sydney/")</f>
        <v>https://agencies.semrush.com/list/display-advertising/sydney/</v>
      </c>
      <c r="B10" s="7" t="str">
        <f>IFERROR(__xludf.DUMMYFUNCTION("""COMPUTED_VALUE"""),"Best Display Ads Agencies in Sydney 2026 | Semrush")</f>
        <v>Best Display Ads Agencies in Sydney 2026 | Semrush</v>
      </c>
      <c r="C10" s="6" t="str">
        <f>IFERROR(__xludf.DUMMYFUNCTION("""COMPUTED_VALUE"""),"semrush.com")</f>
        <v>semrush.com</v>
      </c>
      <c r="D10" s="7" t="str">
        <f>IFERROR(__xludf.DUMMYFUNCTION("""COMPUTED_VALUE"""),"CATEGORY_PAGE")</f>
        <v>CATEGORY_PAGE</v>
      </c>
      <c r="E10" s="7" t="str">
        <f>IFERROR(__xludf.DUMMYFUNCTION("""COMPUTED_VALUE"""),"CORPORATE")</f>
        <v>CORPORATE</v>
      </c>
      <c r="F10" s="7" t="str">
        <f>IFERROR(__xludf.DUMMYFUNCTION("""COMPUTED_VALUE"""),"Category Page")</f>
        <v>Category Page</v>
      </c>
      <c r="G10" s="7" t="b">
        <f>IFERROR(__xludf.DUMMYFUNCTION("""COMPUTED_VALUE"""),FALSE)</f>
        <v>0</v>
      </c>
      <c r="H10" s="7" t="str">
        <f>IFERROR(__xludf.DUMMYFUNCTION("""COMPUTED_VALUE"""),"Soup Agency, Online Marketing Gurus, Omnicom Media Group, Click Click Media, Bench Media, Rocket Agency, First Page, Clearwater Agency, Measured, Earned Media, Impressive")</f>
        <v>Soup Agency, Online Marketing Gurus, Omnicom Media Group, Click Click Media, Bench Media, Rocket Agency, First Page, Clearwater Agency, Measured, Earned Media, Impressive</v>
      </c>
      <c r="I10" s="7">
        <f>IFERROR(__xludf.DUMMYFUNCTION("""COMPUTED_VALUE"""),12.0)</f>
        <v>12</v>
      </c>
      <c r="J10" s="7">
        <f>IFERROR(__xludf.DUMMYFUNCTION("""COMPUTED_VALUE"""),0.01)</f>
        <v>0.01</v>
      </c>
      <c r="K10" s="7">
        <f>IFERROR(__xludf.DUMMYFUNCTION("""COMPUTED_VALUE"""),0.5)</f>
        <v>0.5</v>
      </c>
    </row>
    <row r="11" ht="15.75" customHeight="1">
      <c r="A11" s="6" t="str">
        <f>IFERROR(__xludf.DUMMYFUNCTION("""COMPUTED_VALUE"""),"https://agencies.semrush.com/list/programmatic-advertising/australia/")</f>
        <v>https://agencies.semrush.com/list/programmatic-advertising/australia/</v>
      </c>
      <c r="B11" s="7" t="str">
        <f>IFERROR(__xludf.DUMMYFUNCTION("""COMPUTED_VALUE"""),"Best Programmatic Advertising Agencies in Australia 2026 | Semrush")</f>
        <v>Best Programmatic Advertising Agencies in Australia 2026 | Semrush</v>
      </c>
      <c r="C11" s="6" t="str">
        <f>IFERROR(__xludf.DUMMYFUNCTION("""COMPUTED_VALUE"""),"semrush.com")</f>
        <v>semrush.com</v>
      </c>
      <c r="D11" s="7" t="str">
        <f>IFERROR(__xludf.DUMMYFUNCTION("""COMPUTED_VALUE"""),"CATEGORY_PAGE")</f>
        <v>CATEGORY_PAGE</v>
      </c>
      <c r="E11" s="7" t="str">
        <f>IFERROR(__xludf.DUMMYFUNCTION("""COMPUTED_VALUE"""),"CORPORATE")</f>
        <v>CORPORATE</v>
      </c>
      <c r="F11" s="7" t="str">
        <f>IFERROR(__xludf.DUMMYFUNCTION("""COMPUTED_VALUE"""),"Category Page")</f>
        <v>Category Page</v>
      </c>
      <c r="G11" s="7" t="b">
        <f>IFERROR(__xludf.DUMMYFUNCTION("""COMPUTED_VALUE"""),FALSE)</f>
        <v>0</v>
      </c>
      <c r="H11" s="7"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11" s="7">
        <f>IFERROR(__xludf.DUMMYFUNCTION("""COMPUTED_VALUE"""),12.0)</f>
        <v>12</v>
      </c>
      <c r="J11" s="7">
        <f>IFERROR(__xludf.DUMMYFUNCTION("""COMPUTED_VALUE"""),0.01)</f>
        <v>0.01</v>
      </c>
      <c r="K11" s="7">
        <f>IFERROR(__xludf.DUMMYFUNCTION("""COMPUTED_VALUE"""),0.5)</f>
        <v>0.5</v>
      </c>
    </row>
    <row r="12" ht="15.75" customHeight="1">
      <c r="A12" s="6" t="str">
        <f>IFERROR(__xludf.DUMMYFUNCTION("""COMPUTED_VALUE"""),"https://www.semrush.com/agencies/list/analytics-data-science/melbourne/")</f>
        <v>https://www.semrush.com/agencies/list/analytics-data-science/melbourne/</v>
      </c>
      <c r="B12" s="7" t="str">
        <f>IFERROR(__xludf.DUMMYFUNCTION("""COMPUTED_VALUE"""),"Best Data Analytics Services in Melbourne 2026 \| Semrush")</f>
        <v>Best Data Analytics Services in Melbourne 2026 \| Semrush</v>
      </c>
      <c r="C12" s="6" t="str">
        <f>IFERROR(__xludf.DUMMYFUNCTION("""COMPUTED_VALUE"""),"semrush.com")</f>
        <v>semrush.com</v>
      </c>
      <c r="D12" s="7" t="str">
        <f>IFERROR(__xludf.DUMMYFUNCTION("""COMPUTED_VALUE"""),"PROFILE")</f>
        <v>PROFILE</v>
      </c>
      <c r="E12" s="7" t="str">
        <f>IFERROR(__xludf.DUMMYFUNCTION("""COMPUTED_VALUE"""),"CORPORATE")</f>
        <v>CORPORATE</v>
      </c>
      <c r="F12" s="7" t="str">
        <f>IFERROR(__xludf.DUMMYFUNCTION("""COMPUTED_VALUE"""),"Profile")</f>
        <v>Profile</v>
      </c>
      <c r="G12" s="7" t="b">
        <f>IFERROR(__xludf.DUMMYFUNCTION("""COMPUTED_VALUE"""),FALSE)</f>
        <v>0</v>
      </c>
      <c r="H12" s="7"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12" s="7">
        <f>IFERROR(__xludf.DUMMYFUNCTION("""COMPUTED_VALUE"""),12.0)</f>
        <v>12</v>
      </c>
      <c r="J12" s="7">
        <f>IFERROR(__xludf.DUMMYFUNCTION("""COMPUTED_VALUE"""),0.01)</f>
        <v>0.01</v>
      </c>
      <c r="K12" s="7">
        <f>IFERROR(__xludf.DUMMYFUNCTION("""COMPUTED_VALUE"""),0.25)</f>
        <v>0.25</v>
      </c>
    </row>
    <row r="13" ht="15.75" customHeight="1">
      <c r="A13" s="6" t="str">
        <f>IFERROR(__xludf.DUMMYFUNCTION("""COMPUTED_VALUE"""),"https://www.semrush.com/agencies/list/display-advertising/australia/")</f>
        <v>https://www.semrush.com/agencies/list/display-advertising/australia/</v>
      </c>
      <c r="B13" s="7" t="str">
        <f>IFERROR(__xludf.DUMMYFUNCTION("""COMPUTED_VALUE"""),"Best Display Ads Agencies in Australia 2026 \| Semrush")</f>
        <v>Best Display Ads Agencies in Australia 2026 \| Semrush</v>
      </c>
      <c r="C13" s="6" t="str">
        <f>IFERROR(__xludf.DUMMYFUNCTION("""COMPUTED_VALUE"""),"semrush.com")</f>
        <v>semrush.com</v>
      </c>
      <c r="D13" s="7" t="str">
        <f>IFERROR(__xludf.DUMMYFUNCTION("""COMPUTED_VALUE"""),"PROFILE")</f>
        <v>PROFILE</v>
      </c>
      <c r="E13" s="7" t="str">
        <f>IFERROR(__xludf.DUMMYFUNCTION("""COMPUTED_VALUE"""),"CORPORATE")</f>
        <v>CORPORATE</v>
      </c>
      <c r="F13" s="7" t="str">
        <f>IFERROR(__xludf.DUMMYFUNCTION("""COMPUTED_VALUE"""),"Profile")</f>
        <v>Profile</v>
      </c>
      <c r="G13" s="7" t="b">
        <f>IFERROR(__xludf.DUMMYFUNCTION("""COMPUTED_VALUE"""),FALSE)</f>
        <v>0</v>
      </c>
      <c r="H13" s="7"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13" s="7">
        <f>IFERROR(__xludf.DUMMYFUNCTION("""COMPUTED_VALUE"""),11.0)</f>
        <v>11</v>
      </c>
      <c r="J13" s="7">
        <f>IFERROR(__xludf.DUMMYFUNCTION("""COMPUTED_VALUE"""),0.01)</f>
        <v>0.01</v>
      </c>
      <c r="K13" s="7">
        <f>IFERROR(__xludf.DUMMYFUNCTION("""COMPUTED_VALUE"""),0.18)</f>
        <v>0.18</v>
      </c>
    </row>
    <row r="14" ht="15.75" customHeight="1">
      <c r="A14" s="6" t="str">
        <f>IFERROR(__xludf.DUMMYFUNCTION("""COMPUTED_VALUE"""),"https://agencies.semrush.com/list/display-advertising/australia/small-business/")</f>
        <v>https://agencies.semrush.com/list/display-advertising/australia/small-business/</v>
      </c>
      <c r="B14" s="7" t="str">
        <f>IFERROR(__xludf.DUMMYFUNCTION("""COMPUTED_VALUE"""),"Best Display Ads Agencies for Small Business in Australia 2026 | Semrush")</f>
        <v>Best Display Ads Agencies for Small Business in Australia 2026 | Semrush</v>
      </c>
      <c r="C14" s="6" t="str">
        <f>IFERROR(__xludf.DUMMYFUNCTION("""COMPUTED_VALUE"""),"semrush.com")</f>
        <v>semrush.com</v>
      </c>
      <c r="D14" s="7" t="str">
        <f>IFERROR(__xludf.DUMMYFUNCTION("""COMPUTED_VALUE"""),"OTHER")</f>
        <v>OTHER</v>
      </c>
      <c r="E14" s="7" t="str">
        <f>IFERROR(__xludf.DUMMYFUNCTION("""COMPUTED_VALUE"""),"CORPORATE")</f>
        <v>CORPORATE</v>
      </c>
      <c r="F14" s="7" t="str">
        <f>IFERROR(__xludf.DUMMYFUNCTION("""COMPUTED_VALUE"""),"Other")</f>
        <v>Other</v>
      </c>
      <c r="G14" s="7" t="b">
        <f>IFERROR(__xludf.DUMMYFUNCTION("""COMPUTED_VALUE"""),FALSE)</f>
        <v>0</v>
      </c>
      <c r="H14" s="7" t="str">
        <f>IFERROR(__xludf.DUMMYFUNCTION("""COMPUTED_VALUE"""),"Soup Agency, First Page, Clearwater Agency, Measured, Earned Media, Impressive, Online Marketing Gurus, Omnicom Media Group, Click Click Media, First Page Australia, 80/20 Digital")</f>
        <v>Soup Agency, First Page, Clearwater Agency, Measured, Earned Media, Impressive, Online Marketing Gurus, Omnicom Media Group, Click Click Media, First Page Australia, 80/20 Digital</v>
      </c>
      <c r="I14" s="7">
        <f>IFERROR(__xludf.DUMMYFUNCTION("""COMPUTED_VALUE"""),10.0)</f>
        <v>10</v>
      </c>
      <c r="J14" s="7">
        <f>IFERROR(__xludf.DUMMYFUNCTION("""COMPUTED_VALUE"""),0.01)</f>
        <v>0.01</v>
      </c>
      <c r="K14" s="7">
        <f>IFERROR(__xludf.DUMMYFUNCTION("""COMPUTED_VALUE"""),0.3)</f>
        <v>0.3</v>
      </c>
    </row>
    <row r="15" ht="15.75" customHeight="1">
      <c r="A15" s="6" t="str">
        <f>IFERROR(__xludf.DUMMYFUNCTION("""COMPUTED_VALUE"""),"https://agencies.semrush.com/list/display-advertising/perth/")</f>
        <v>https://agencies.semrush.com/list/display-advertising/perth/</v>
      </c>
      <c r="B15" s="7" t="str">
        <f>IFERROR(__xludf.DUMMYFUNCTION("""COMPUTED_VALUE"""),"Best Display Ads Agencies in Perth 2026 | Semrush")</f>
        <v>Best Display Ads Agencies in Perth 2026 | Semrush</v>
      </c>
      <c r="C15" s="6" t="str">
        <f>IFERROR(__xludf.DUMMYFUNCTION("""COMPUTED_VALUE"""),"semrush.com")</f>
        <v>semrush.com</v>
      </c>
      <c r="D15" s="7" t="str">
        <f>IFERROR(__xludf.DUMMYFUNCTION("""COMPUTED_VALUE"""),"OTHER")</f>
        <v>OTHER</v>
      </c>
      <c r="E15" s="7" t="str">
        <f>IFERROR(__xludf.DUMMYFUNCTION("""COMPUTED_VALUE"""),"CORPORATE")</f>
        <v>CORPORATE</v>
      </c>
      <c r="F15" s="7" t="str">
        <f>IFERROR(__xludf.DUMMYFUNCTION("""COMPUTED_VALUE"""),"Other")</f>
        <v>Other</v>
      </c>
      <c r="G15" s="7" t="b">
        <f>IFERROR(__xludf.DUMMYFUNCTION("""COMPUTED_VALUE"""),FALSE)</f>
        <v>0</v>
      </c>
      <c r="H15" s="7"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15" s="7">
        <f>IFERROR(__xludf.DUMMYFUNCTION("""COMPUTED_VALUE"""),10.0)</f>
        <v>10</v>
      </c>
      <c r="J15" s="7">
        <f>IFERROR(__xludf.DUMMYFUNCTION("""COMPUTED_VALUE"""),0.01)</f>
        <v>0.01</v>
      </c>
      <c r="K15" s="7">
        <f>IFERROR(__xludf.DUMMYFUNCTION("""COMPUTED_VALUE"""),0.8)</f>
        <v>0.8</v>
      </c>
    </row>
    <row r="16" ht="15.75" customHeight="1">
      <c r="A16" s="6" t="str">
        <f>IFERROR(__xludf.DUMMYFUNCTION("""COMPUTED_VALUE"""),"https://agencies.semrush.com/list/ai-optimization/australia/mid-business/")</f>
        <v>https://agencies.semrush.com/list/ai-optimization/australia/mid-business/</v>
      </c>
      <c r="B16" s="7" t="str">
        <f>IFERROR(__xludf.DUMMYFUNCTION("""COMPUTED_VALUE"""),"Best AI Search Optimization Agencies for Mid Business in Australia 2026 | Semrush")</f>
        <v>Best AI Search Optimization Agencies for Mid Business in Australia 2026 | Semrush</v>
      </c>
      <c r="C16" s="6" t="str">
        <f>IFERROR(__xludf.DUMMYFUNCTION("""COMPUTED_VALUE"""),"semrush.com")</f>
        <v>semrush.com</v>
      </c>
      <c r="D16" s="7" t="str">
        <f>IFERROR(__xludf.DUMMYFUNCTION("""COMPUTED_VALUE"""),"CATEGORY_PAGE")</f>
        <v>CATEGORY_PAGE</v>
      </c>
      <c r="E16" s="7" t="str">
        <f>IFERROR(__xludf.DUMMYFUNCTION("""COMPUTED_VALUE"""),"CORPORATE")</f>
        <v>CORPORATE</v>
      </c>
      <c r="F16" s="7" t="str">
        <f>IFERROR(__xludf.DUMMYFUNCTION("""COMPUTED_VALUE"""),"Category Page")</f>
        <v>Category Page</v>
      </c>
      <c r="G16" s="7" t="b">
        <f>IFERROR(__xludf.DUMMYFUNCTION("""COMPUTED_VALUE"""),FALSE)</f>
        <v>0</v>
      </c>
      <c r="H16" s="7"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16" s="7">
        <f>IFERROR(__xludf.DUMMYFUNCTION("""COMPUTED_VALUE"""),9.0)</f>
        <v>9</v>
      </c>
      <c r="J16" s="7">
        <f>IFERROR(__xludf.DUMMYFUNCTION("""COMPUTED_VALUE"""),0.01)</f>
        <v>0.01</v>
      </c>
      <c r="K16" s="7">
        <f>IFERROR(__xludf.DUMMYFUNCTION("""COMPUTED_VALUE"""),0.11)</f>
        <v>0.11</v>
      </c>
    </row>
    <row r="17" ht="15.75" customHeight="1">
      <c r="A17" s="6" t="str">
        <f>IFERROR(__xludf.DUMMYFUNCTION("""COMPUTED_VALUE"""),"https://agencies.semrush.com/list/analytics-data-science/australia/small-business/")</f>
        <v>https://agencies.semrush.com/list/analytics-data-science/australia/small-business/</v>
      </c>
      <c r="B17" s="7" t="str">
        <f>IFERROR(__xludf.DUMMYFUNCTION("""COMPUTED_VALUE"""),"Best Data Analytics Services for Small Business in Australia 2026 | Semrush")</f>
        <v>Best Data Analytics Services for Small Business in Australia 2026 | Semrush</v>
      </c>
      <c r="C17" s="6" t="str">
        <f>IFERROR(__xludf.DUMMYFUNCTION("""COMPUTED_VALUE"""),"semrush.com")</f>
        <v>semrush.com</v>
      </c>
      <c r="D17" s="7" t="str">
        <f>IFERROR(__xludf.DUMMYFUNCTION("""COMPUTED_VALUE"""),"PROFILE")</f>
        <v>PROFILE</v>
      </c>
      <c r="E17" s="7" t="str">
        <f>IFERROR(__xludf.DUMMYFUNCTION("""COMPUTED_VALUE"""),"CORPORATE")</f>
        <v>CORPORATE</v>
      </c>
      <c r="F17" s="7" t="str">
        <f>IFERROR(__xludf.DUMMYFUNCTION("""COMPUTED_VALUE"""),"Profile")</f>
        <v>Profile</v>
      </c>
      <c r="G17" s="7" t="b">
        <f>IFERROR(__xludf.DUMMYFUNCTION("""COMPUTED_VALUE"""),FALSE)</f>
        <v>0</v>
      </c>
      <c r="H17" s="7" t="str">
        <f>IFERROR(__xludf.DUMMYFUNCTION("""COMPUTED_VALUE"""),"Soup Agency, First Page, Clearwater Agency, Measured, Earned Media, Impressive, Online Marketing Gurus, Omnicom Media Group, Click Click Media, 80/20 Digital, Huge, Megantic")</f>
        <v>Soup Agency, First Page, Clearwater Agency, Measured, Earned Media, Impressive, Online Marketing Gurus, Omnicom Media Group, Click Click Media, 80/20 Digital, Huge, Megantic</v>
      </c>
      <c r="I17" s="7">
        <f>IFERROR(__xludf.DUMMYFUNCTION("""COMPUTED_VALUE"""),8.0)</f>
        <v>8</v>
      </c>
      <c r="J17" s="7">
        <f>IFERROR(__xludf.DUMMYFUNCTION("""COMPUTED_VALUE"""),0.01)</f>
        <v>0.01</v>
      </c>
      <c r="K17" s="7">
        <f>IFERROR(__xludf.DUMMYFUNCTION("""COMPUTED_VALUE"""),0.38)</f>
        <v>0.38</v>
      </c>
    </row>
    <row r="18" ht="15.75" customHeight="1">
      <c r="A18" s="6" t="str">
        <f>IFERROR(__xludf.DUMMYFUNCTION("""COMPUTED_VALUE"""),"https://agencies.semrush.com/list/ai-optimization/australia/")</f>
        <v>https://agencies.semrush.com/list/ai-optimization/australia/</v>
      </c>
      <c r="B18" s="7" t="str">
        <f>IFERROR(__xludf.DUMMYFUNCTION("""COMPUTED_VALUE"""),"Best AI Search Optimization Agencies in Australia 2026 | Semrush")</f>
        <v>Best AI Search Optimization Agencies in Australia 2026 | Semrush</v>
      </c>
      <c r="C18" s="6" t="str">
        <f>IFERROR(__xludf.DUMMYFUNCTION("""COMPUTED_VALUE"""),"semrush.com")</f>
        <v>semrush.com</v>
      </c>
      <c r="D18" s="7" t="str">
        <f>IFERROR(__xludf.DUMMYFUNCTION("""COMPUTED_VALUE"""),"PROFILE")</f>
        <v>PROFILE</v>
      </c>
      <c r="E18" s="7" t="str">
        <f>IFERROR(__xludf.DUMMYFUNCTION("""COMPUTED_VALUE"""),"CORPORATE")</f>
        <v>CORPORATE</v>
      </c>
      <c r="F18" s="7" t="str">
        <f>IFERROR(__xludf.DUMMYFUNCTION("""COMPUTED_VALUE"""),"Profile")</f>
        <v>Profile</v>
      </c>
      <c r="G18" s="7" t="b">
        <f>IFERROR(__xludf.DUMMYFUNCTION("""COMPUTED_VALUE"""),FALSE)</f>
        <v>0</v>
      </c>
      <c r="H18" s="7"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18" s="7">
        <f>IFERROR(__xludf.DUMMYFUNCTION("""COMPUTED_VALUE"""),7.0)</f>
        <v>7</v>
      </c>
      <c r="J18" s="7">
        <f>IFERROR(__xludf.DUMMYFUNCTION("""COMPUTED_VALUE"""),0.01)</f>
        <v>0.01</v>
      </c>
      <c r="K18" s="7">
        <f>IFERROR(__xludf.DUMMYFUNCTION("""COMPUTED_VALUE"""),2.43)</f>
        <v>2.43</v>
      </c>
    </row>
    <row r="19" ht="15.75" customHeight="1">
      <c r="A19" s="6" t="str">
        <f>IFERROR(__xludf.DUMMYFUNCTION("""COMPUTED_VALUE"""),"https://agencies.semrush.com/list/display-advertising/arts-entertainment/australia/")</f>
        <v>https://agencies.semrush.com/list/display-advertising/arts-entertainment/australia/</v>
      </c>
      <c r="B19" s="7" t="str">
        <f>IFERROR(__xludf.DUMMYFUNCTION("""COMPUTED_VALUE"""),"Best Media &amp;amp; Entertainment Display Ads Agencies in Australia 2026 | Semrush")</f>
        <v>Best Media &amp;amp; Entertainment Display Ads Agencies in Australia 2026 | Semrush</v>
      </c>
      <c r="C19" s="6" t="str">
        <f>IFERROR(__xludf.DUMMYFUNCTION("""COMPUTED_VALUE"""),"semrush.com")</f>
        <v>semrush.com</v>
      </c>
      <c r="D19" s="7" t="str">
        <f>IFERROR(__xludf.DUMMYFUNCTION("""COMPUTED_VALUE"""),"CATEGORY_PAGE")</f>
        <v>CATEGORY_PAGE</v>
      </c>
      <c r="E19" s="7" t="str">
        <f>IFERROR(__xludf.DUMMYFUNCTION("""COMPUTED_VALUE"""),"CORPORATE")</f>
        <v>CORPORATE</v>
      </c>
      <c r="F19" s="7" t="str">
        <f>IFERROR(__xludf.DUMMYFUNCTION("""COMPUTED_VALUE"""),"Category Page")</f>
        <v>Category Page</v>
      </c>
      <c r="G19" s="7" t="b">
        <f>IFERROR(__xludf.DUMMYFUNCTION("""COMPUTED_VALUE"""),FALSE)</f>
        <v>0</v>
      </c>
      <c r="H19" s="7" t="str">
        <f>IFERROR(__xludf.DUMMYFUNCTION("""COMPUTED_VALUE"""),"Soup Agency, First Page, Online Marketing Gurus, Omnicom Media Group, 80/20 Digital, Measured")</f>
        <v>Soup Agency, First Page, Online Marketing Gurus, Omnicom Media Group, 80/20 Digital, Measured</v>
      </c>
      <c r="I19" s="7">
        <f>IFERROR(__xludf.DUMMYFUNCTION("""COMPUTED_VALUE"""),7.0)</f>
        <v>7</v>
      </c>
      <c r="J19" s="7">
        <f>IFERROR(__xludf.DUMMYFUNCTION("""COMPUTED_VALUE"""),0.01)</f>
        <v>0.01</v>
      </c>
      <c r="K19" s="7">
        <f>IFERROR(__xludf.DUMMYFUNCTION("""COMPUTED_VALUE"""),0.0)</f>
        <v>0</v>
      </c>
    </row>
    <row r="20" ht="15.75" customHeight="1">
      <c r="A20" s="6" t="str">
        <f>IFERROR(__xludf.DUMMYFUNCTION("""COMPUTED_VALUE"""),"https://agencies.semrush.com/list/display-advertising/western-australia/")</f>
        <v>https://agencies.semrush.com/list/display-advertising/western-australia/</v>
      </c>
      <c r="B20" s="7" t="str">
        <f>IFERROR(__xludf.DUMMYFUNCTION("""COMPUTED_VALUE"""),"Best Display Ads Agencies in Western Australia 2026 | Semrush")</f>
        <v>Best Display Ads Agencies in Western Australia 2026 | Semrush</v>
      </c>
      <c r="C20" s="6" t="str">
        <f>IFERROR(__xludf.DUMMYFUNCTION("""COMPUTED_VALUE"""),"semrush.com")</f>
        <v>semrush.com</v>
      </c>
      <c r="D20" s="7" t="str">
        <f>IFERROR(__xludf.DUMMYFUNCTION("""COMPUTED_VALUE"""),"OTHER")</f>
        <v>OTHER</v>
      </c>
      <c r="E20" s="7" t="str">
        <f>IFERROR(__xludf.DUMMYFUNCTION("""COMPUTED_VALUE"""),"CORPORATE")</f>
        <v>CORPORATE</v>
      </c>
      <c r="F20" s="7" t="str">
        <f>IFERROR(__xludf.DUMMYFUNCTION("""COMPUTED_VALUE"""),"Other")</f>
        <v>Other</v>
      </c>
      <c r="G20" s="7" t="b">
        <f>IFERROR(__xludf.DUMMYFUNCTION("""COMPUTED_VALUE"""),FALSE)</f>
        <v>0</v>
      </c>
      <c r="H20" s="7"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20" s="7">
        <f>IFERROR(__xludf.DUMMYFUNCTION("""COMPUTED_VALUE"""),5.0)</f>
        <v>5</v>
      </c>
      <c r="J20" s="7">
        <f>IFERROR(__xludf.DUMMYFUNCTION("""COMPUTED_VALUE"""),0.01)</f>
        <v>0.01</v>
      </c>
      <c r="K20" s="7">
        <f>IFERROR(__xludf.DUMMYFUNCTION("""COMPUTED_VALUE"""),0.6)</f>
        <v>0.6</v>
      </c>
    </row>
    <row r="21" ht="15.75" customHeight="1">
      <c r="A21" s="6" t="str">
        <f>IFERROR(__xludf.DUMMYFUNCTION("""COMPUTED_VALUE"""),"https://prosperitymedia.com.au/the-6-best-seo-agencies-in-sydney-2026/#:~:text=Recognisable%20clients%3A%20PepsiCo%2C%20St.%20George%20Bank%2C%20IAG%2C,at%20the%202018%20SEMrush%20Search%20Marketing%20Awards.")</f>
        <v>https://prosperitymedia.com.au/the-6-best-seo-agencies-in-sydney-2026/#:~:text=Recognisable%20clients%3A%20PepsiCo%2C%20St.%20George%20Bank%2C%20IAG%2C,at%20the%202018%20SEMrush%20Search%20Marketing%20Awards.</v>
      </c>
      <c r="B21" s="7" t="str">
        <f>IFERROR(__xludf.DUMMYFUNCTION("""COMPUTED_VALUE"""),"The 6 Best SEO Agencies in Sydney 2026 - Prosperity Media")</f>
        <v>The 6 Best SEO Agencies in Sydney 2026 - Prosperity Media</v>
      </c>
      <c r="C21" s="6" t="str">
        <f>IFERROR(__xludf.DUMMYFUNCTION("""COMPUTED_VALUE"""),"prosperitymedia.com.au")</f>
        <v>prosperitymedia.com.au</v>
      </c>
      <c r="D21" s="7" t="str">
        <f>IFERROR(__xludf.DUMMYFUNCTION("""COMPUTED_VALUE"""),"LISTICLE")</f>
        <v>LISTICLE</v>
      </c>
      <c r="E21" s="7" t="str">
        <f>IFERROR(__xludf.DUMMYFUNCTION("""COMPUTED_VALUE"""),"COMPETITOR")</f>
        <v>COMPETITOR</v>
      </c>
      <c r="F21" s="7" t="str">
        <f>IFERROR(__xludf.DUMMYFUNCTION("""COMPUTED_VALUE"""),"Listicle")</f>
        <v>Listicle</v>
      </c>
      <c r="G21" s="7" t="b">
        <f>IFERROR(__xludf.DUMMYFUNCTION("""COMPUTED_VALUE"""),FALSE)</f>
        <v>0</v>
      </c>
      <c r="H21" s="7" t="str">
        <f>IFERROR(__xludf.DUMMYFUNCTION("""COMPUTED_VALUE"""),"Prosperity Media, Jaywing, Undivided, Measured")</f>
        <v>Prosperity Media, Jaywing, Undivided, Measured</v>
      </c>
      <c r="I21" s="7">
        <f>IFERROR(__xludf.DUMMYFUNCTION("""COMPUTED_VALUE"""),5.0)</f>
        <v>5</v>
      </c>
      <c r="J21" s="7">
        <f>IFERROR(__xludf.DUMMYFUNCTION("""COMPUTED_VALUE"""),0.01)</f>
        <v>0.01</v>
      </c>
      <c r="K21" s="7">
        <f>IFERROR(__xludf.DUMMYFUNCTION("""COMPUTED_VALUE"""),1.2)</f>
        <v>1.2</v>
      </c>
    </row>
    <row r="22" ht="15.75" customHeight="1">
      <c r="A22" s="6" t="str">
        <f>IFERROR(__xludf.DUMMYFUNCTION("""COMPUTED_VALUE"""),"https://agencies.semrush.com/list/display-advertising/ecommerce/australia/")</f>
        <v>https://agencies.semrush.com/list/display-advertising/ecommerce/australia/</v>
      </c>
      <c r="B22" s="7" t="str">
        <f>IFERROR(__xludf.DUMMYFUNCTION("""COMPUTED_VALUE"""),"Best Ecommerce Display Ads Agencies in Australia 2026 | Semrush")</f>
        <v>Best Ecommerce Display Ads Agencies in Australia 2026 | Semrush</v>
      </c>
      <c r="C22" s="6" t="str">
        <f>IFERROR(__xludf.DUMMYFUNCTION("""COMPUTED_VALUE"""),"semrush.com")</f>
        <v>semrush.com</v>
      </c>
      <c r="D22" s="7" t="str">
        <f>IFERROR(__xludf.DUMMYFUNCTION("""COMPUTED_VALUE"""),"OTHER")</f>
        <v>OTHER</v>
      </c>
      <c r="E22" s="7" t="str">
        <f>IFERROR(__xludf.DUMMYFUNCTION("""COMPUTED_VALUE"""),"CORPORATE")</f>
        <v>CORPORATE</v>
      </c>
      <c r="F22" s="7" t="str">
        <f>IFERROR(__xludf.DUMMYFUNCTION("""COMPUTED_VALUE"""),"Other")</f>
        <v>Other</v>
      </c>
      <c r="G22" s="7" t="b">
        <f>IFERROR(__xludf.DUMMYFUNCTION("""COMPUTED_VALUE"""),FALSE)</f>
        <v>0</v>
      </c>
      <c r="H22" s="7"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22" s="7">
        <f>IFERROR(__xludf.DUMMYFUNCTION("""COMPUTED_VALUE"""),4.0)</f>
        <v>4</v>
      </c>
      <c r="J22" s="7">
        <f>IFERROR(__xludf.DUMMYFUNCTION("""COMPUTED_VALUE"""),0.0)</f>
        <v>0</v>
      </c>
      <c r="K22" s="7">
        <f>IFERROR(__xludf.DUMMYFUNCTION("""COMPUTED_VALUE"""),0.0)</f>
        <v>0</v>
      </c>
    </row>
    <row r="23" ht="15.75" customHeight="1">
      <c r="A23" s="6" t="str">
        <f>IFERROR(__xludf.DUMMYFUNCTION("""COMPUTED_VALUE"""),"https://agencies.semrush.com/list/ppc/australia/")</f>
        <v>https://agencies.semrush.com/list/ppc/australia/</v>
      </c>
      <c r="B23" s="7" t="str">
        <f>IFERROR(__xludf.DUMMYFUNCTION("""COMPUTED_VALUE"""),"Best PPC Agencies in Australia 2026 | Semrush")</f>
        <v>Best PPC Agencies in Australia 2026 | Semrush</v>
      </c>
      <c r="C23" s="6" t="str">
        <f>IFERROR(__xludf.DUMMYFUNCTION("""COMPUTED_VALUE"""),"semrush.com")</f>
        <v>semrush.com</v>
      </c>
      <c r="D23" s="7" t="str">
        <f>IFERROR(__xludf.DUMMYFUNCTION("""COMPUTED_VALUE"""),"CATEGORY_PAGE")</f>
        <v>CATEGORY_PAGE</v>
      </c>
      <c r="E23" s="7" t="str">
        <f>IFERROR(__xludf.DUMMYFUNCTION("""COMPUTED_VALUE"""),"CORPORATE")</f>
        <v>CORPORATE</v>
      </c>
      <c r="F23" s="7" t="str">
        <f>IFERROR(__xludf.DUMMYFUNCTION("""COMPUTED_VALUE"""),"Category Page")</f>
        <v>Category Page</v>
      </c>
      <c r="G23" s="7" t="b">
        <f>IFERROR(__xludf.DUMMYFUNCTION("""COMPUTED_VALUE"""),FALSE)</f>
        <v>0</v>
      </c>
      <c r="H23" s="7"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23" s="7">
        <f>IFERROR(__xludf.DUMMYFUNCTION("""COMPUTED_VALUE"""),4.0)</f>
        <v>4</v>
      </c>
      <c r="J23" s="7">
        <f>IFERROR(__xludf.DUMMYFUNCTION("""COMPUTED_VALUE"""),0.0)</f>
        <v>0</v>
      </c>
      <c r="K23" s="7">
        <f>IFERROR(__xludf.DUMMYFUNCTION("""COMPUTED_VALUE"""),0.0)</f>
        <v>0</v>
      </c>
    </row>
    <row r="24" ht="15.75" customHeight="1">
      <c r="A24" s="6" t="str">
        <f>IFERROR(__xludf.DUMMYFUNCTION("""COMPUTED_VALUE"""),"https://agencies.semrush.com/list/analytics-data-science/information-technology/australia/")</f>
        <v>https://agencies.semrush.com/list/analytics-data-science/information-technology/australia/</v>
      </c>
      <c r="B24" s="7" t="str">
        <f>IFERROR(__xludf.DUMMYFUNCTION("""COMPUTED_VALUE"""),"Best IT Data Analytics Services in Australia 2026 | Semrush")</f>
        <v>Best IT Data Analytics Services in Australia 2026 | Semrush</v>
      </c>
      <c r="C24" s="6" t="str">
        <f>IFERROR(__xludf.DUMMYFUNCTION("""COMPUTED_VALUE"""),"semrush.com")</f>
        <v>semrush.com</v>
      </c>
      <c r="D24" s="7" t="str">
        <f>IFERROR(__xludf.DUMMYFUNCTION("""COMPUTED_VALUE"""),"OTHER")</f>
        <v>OTHER</v>
      </c>
      <c r="E24" s="7" t="str">
        <f>IFERROR(__xludf.DUMMYFUNCTION("""COMPUTED_VALUE"""),"CORPORATE")</f>
        <v>CORPORATE</v>
      </c>
      <c r="F24" s="7" t="str">
        <f>IFERROR(__xludf.DUMMYFUNCTION("""COMPUTED_VALUE"""),"Other")</f>
        <v>Other</v>
      </c>
      <c r="G24" s="7" t="b">
        <f>IFERROR(__xludf.DUMMYFUNCTION("""COMPUTED_VALUE"""),FALSE)</f>
        <v>0</v>
      </c>
      <c r="H24" s="7" t="str">
        <f>IFERROR(__xludf.DUMMYFUNCTION("""COMPUTED_VALUE"""),"Soup Agency, First Page, Online Marketing Gurus, Omnicom Media Group, 80/20 Digital, Earned Media")</f>
        <v>Soup Agency, First Page, Online Marketing Gurus, Omnicom Media Group, 80/20 Digital, Earned Media</v>
      </c>
      <c r="I24" s="7">
        <f>IFERROR(__xludf.DUMMYFUNCTION("""COMPUTED_VALUE"""),3.0)</f>
        <v>3</v>
      </c>
      <c r="J24" s="7">
        <f>IFERROR(__xludf.DUMMYFUNCTION("""COMPUTED_VALUE"""),0.0)</f>
        <v>0</v>
      </c>
      <c r="K24" s="7">
        <f>IFERROR(__xludf.DUMMYFUNCTION("""COMPUTED_VALUE"""),0.0)</f>
        <v>0</v>
      </c>
    </row>
    <row r="25" ht="15.75" customHeight="1">
      <c r="A25" s="6" t="str">
        <f>IFERROR(__xludf.DUMMYFUNCTION("""COMPUTED_VALUE"""),"https://agencies.semrush.com/list/display-advertising/australia/enterprise-business/")</f>
        <v>https://agencies.semrush.com/list/display-advertising/australia/enterprise-business/</v>
      </c>
      <c r="B25" s="7" t="str">
        <f>IFERROR(__xludf.DUMMYFUNCTION("""COMPUTED_VALUE"""),"Best Display Ads Agencies for Enterprise Business in Australia 2026 | Semrush")</f>
        <v>Best Display Ads Agencies for Enterprise Business in Australia 2026 | Semrush</v>
      </c>
      <c r="C25" s="6" t="str">
        <f>IFERROR(__xludf.DUMMYFUNCTION("""COMPUTED_VALUE"""),"semrush.com")</f>
        <v>semrush.com</v>
      </c>
      <c r="D25" s="7" t="str">
        <f>IFERROR(__xludf.DUMMYFUNCTION("""COMPUTED_VALUE"""),"CATEGORY_PAGE")</f>
        <v>CATEGORY_PAGE</v>
      </c>
      <c r="E25" s="7" t="str">
        <f>IFERROR(__xludf.DUMMYFUNCTION("""COMPUTED_VALUE"""),"CORPORATE")</f>
        <v>CORPORATE</v>
      </c>
      <c r="F25" s="7" t="str">
        <f>IFERROR(__xludf.DUMMYFUNCTION("""COMPUTED_VALUE"""),"Category Page")</f>
        <v>Category Page</v>
      </c>
      <c r="G25" s="7" t="b">
        <f>IFERROR(__xludf.DUMMYFUNCTION("""COMPUTED_VALUE"""),FALSE)</f>
        <v>0</v>
      </c>
      <c r="H25" s="7"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25" s="7">
        <f>IFERROR(__xludf.DUMMYFUNCTION("""COMPUTED_VALUE"""),3.0)</f>
        <v>3</v>
      </c>
      <c r="J25" s="7">
        <f>IFERROR(__xludf.DUMMYFUNCTION("""COMPUTED_VALUE"""),0.0)</f>
        <v>0</v>
      </c>
      <c r="K25" s="7">
        <f>IFERROR(__xludf.DUMMYFUNCTION("""COMPUTED_VALUE"""),1.0)</f>
        <v>1</v>
      </c>
    </row>
    <row r="26" ht="15.75" customHeight="1">
      <c r="A26" s="6" t="str">
        <f>IFERROR(__xludf.DUMMYFUNCTION("""COMPUTED_VALUE"""),"https://agencies.semrush.com/list/display-advertising/melbourne/")</f>
        <v>https://agencies.semrush.com/list/display-advertising/melbourne/</v>
      </c>
      <c r="B26" s="7" t="str">
        <f>IFERROR(__xludf.DUMMYFUNCTION("""COMPUTED_VALUE"""),"Best Display Ads Agencies in Melbourne 2026 | Semrush")</f>
        <v>Best Display Ads Agencies in Melbourne 2026 | Semrush</v>
      </c>
      <c r="C26" s="6" t="str">
        <f>IFERROR(__xludf.DUMMYFUNCTION("""COMPUTED_VALUE"""),"semrush.com")</f>
        <v>semrush.com</v>
      </c>
      <c r="D26" s="7" t="str">
        <f>IFERROR(__xludf.DUMMYFUNCTION("""COMPUTED_VALUE"""),"OTHER")</f>
        <v>OTHER</v>
      </c>
      <c r="E26" s="7" t="str">
        <f>IFERROR(__xludf.DUMMYFUNCTION("""COMPUTED_VALUE"""),"CORPORATE")</f>
        <v>CORPORATE</v>
      </c>
      <c r="F26" s="7" t="str">
        <f>IFERROR(__xludf.DUMMYFUNCTION("""COMPUTED_VALUE"""),"Other")</f>
        <v>Other</v>
      </c>
      <c r="G26" s="7" t="b">
        <f>IFERROR(__xludf.DUMMYFUNCTION("""COMPUTED_VALUE"""),FALSE)</f>
        <v>0</v>
      </c>
      <c r="H26" s="7"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26" s="7">
        <f>IFERROR(__xludf.DUMMYFUNCTION("""COMPUTED_VALUE"""),3.0)</f>
        <v>3</v>
      </c>
      <c r="J26" s="7">
        <f>IFERROR(__xludf.DUMMYFUNCTION("""COMPUTED_VALUE"""),0.0)</f>
        <v>0</v>
      </c>
      <c r="K26" s="7">
        <f>IFERROR(__xludf.DUMMYFUNCTION("""COMPUTED_VALUE"""),1.0)</f>
        <v>1</v>
      </c>
    </row>
    <row r="27" ht="15.75" customHeight="1">
      <c r="A27" s="6" t="str">
        <f>IFERROR(__xludf.DUMMYFUNCTION("""COMPUTED_VALUE"""),"https://agencies.semrush.com/list/ppc/arts-entertainment/australia/")</f>
        <v>https://agencies.semrush.com/list/ppc/arts-entertainment/australia/</v>
      </c>
      <c r="B27" s="7" t="str">
        <f>IFERROR(__xludf.DUMMYFUNCTION("""COMPUTED_VALUE"""),"Best Media &amp;amp; Entertainment PPC Agencies in Australia 2026 | Semrush")</f>
        <v>Best Media &amp;amp; Entertainment PPC Agencies in Australia 2026 | Semrush</v>
      </c>
      <c r="C27" s="6" t="str">
        <f>IFERROR(__xludf.DUMMYFUNCTION("""COMPUTED_VALUE"""),"semrush.com")</f>
        <v>semrush.com</v>
      </c>
      <c r="D27" s="7" t="str">
        <f>IFERROR(__xludf.DUMMYFUNCTION("""COMPUTED_VALUE"""),"CATEGORY_PAGE")</f>
        <v>CATEGORY_PAGE</v>
      </c>
      <c r="E27" s="7" t="str">
        <f>IFERROR(__xludf.DUMMYFUNCTION("""COMPUTED_VALUE"""),"CORPORATE")</f>
        <v>CORPORATE</v>
      </c>
      <c r="F27" s="7" t="str">
        <f>IFERROR(__xludf.DUMMYFUNCTION("""COMPUTED_VALUE"""),"Category Page")</f>
        <v>Category Page</v>
      </c>
      <c r="G27" s="7" t="b">
        <f>IFERROR(__xludf.DUMMYFUNCTION("""COMPUTED_VALUE"""),FALSE)</f>
        <v>0</v>
      </c>
      <c r="H27" s="7" t="str">
        <f>IFERROR(__xludf.DUMMYFUNCTION("""COMPUTED_VALUE"""),"Supple Digital, Soup Agency, First Page, Online Marketing Gurus, Omnicom Media Group, 80/20 Digital, Measured")</f>
        <v>Supple Digital, Soup Agency, First Page, Online Marketing Gurus, Omnicom Media Group, 80/20 Digital, Measured</v>
      </c>
      <c r="I27" s="7">
        <f>IFERROR(__xludf.DUMMYFUNCTION("""COMPUTED_VALUE"""),3.0)</f>
        <v>3</v>
      </c>
      <c r="J27" s="7">
        <f>IFERROR(__xludf.DUMMYFUNCTION("""COMPUTED_VALUE"""),0.0)</f>
        <v>0</v>
      </c>
      <c r="K27" s="7">
        <f>IFERROR(__xludf.DUMMYFUNCTION("""COMPUTED_VALUE"""),0.0)</f>
        <v>0</v>
      </c>
    </row>
    <row r="28" ht="15.75" customHeight="1">
      <c r="A28" s="6" t="str">
        <f>IFERROR(__xludf.DUMMYFUNCTION("""COMPUTED_VALUE"""),"https://agencies.semrush.com/list/advertising/melbourne/")</f>
        <v>https://agencies.semrush.com/list/advertising/melbourne/</v>
      </c>
      <c r="B28" s="7" t="str">
        <f>IFERROR(__xludf.DUMMYFUNCTION("""COMPUTED_VALUE"""),"Best Advertising Agencies in Melbourne 2026 | Semrush")</f>
        <v>Best Advertising Agencies in Melbourne 2026 | Semrush</v>
      </c>
      <c r="C28" s="6" t="str">
        <f>IFERROR(__xludf.DUMMYFUNCTION("""COMPUTED_VALUE"""),"semrush.com")</f>
        <v>semrush.com</v>
      </c>
      <c r="D28" s="7" t="str">
        <f>IFERROR(__xludf.DUMMYFUNCTION("""COMPUTED_VALUE"""),"CATEGORY_PAGE")</f>
        <v>CATEGORY_PAGE</v>
      </c>
      <c r="E28" s="7" t="str">
        <f>IFERROR(__xludf.DUMMYFUNCTION("""COMPUTED_VALUE"""),"CORPORATE")</f>
        <v>CORPORATE</v>
      </c>
      <c r="F28" s="7" t="str">
        <f>IFERROR(__xludf.DUMMYFUNCTION("""COMPUTED_VALUE"""),"Category Page")</f>
        <v>Category Page</v>
      </c>
      <c r="G28" s="7" t="b">
        <f>IFERROR(__xludf.DUMMYFUNCTION("""COMPUTED_VALUE"""),FALSE)</f>
        <v>0</v>
      </c>
      <c r="H28" s="7" t="str">
        <f>IFERROR(__xludf.DUMMYFUNCTION("""COMPUTED_VALUE"""),"Supple Digital, Soup Agency, First Page, Clearwater Agency, Measured, Earned Media, Impressive, Online Marketing Gurus, Omnicom Media Group, First Page Australia, 80/20 Digital, Salt &amp; Fuessel, Megaphone")</f>
        <v>Supple Digital, Soup Agency, First Page, Clearwater Agency, Measured, Earned Media, Impressive, Online Marketing Gurus, Omnicom Media Group, First Page Australia, 80/20 Digital, Salt &amp; Fuessel, Megaphone</v>
      </c>
      <c r="I28" s="7">
        <f>IFERROR(__xludf.DUMMYFUNCTION("""COMPUTED_VALUE"""),2.0)</f>
        <v>2</v>
      </c>
      <c r="J28" s="7">
        <f>IFERROR(__xludf.DUMMYFUNCTION("""COMPUTED_VALUE"""),0.0)</f>
        <v>0</v>
      </c>
      <c r="K28" s="7">
        <f>IFERROR(__xludf.DUMMYFUNCTION("""COMPUTED_VALUE"""),1.0)</f>
        <v>1</v>
      </c>
    </row>
    <row r="29" ht="15.75" customHeight="1">
      <c r="A29" s="6" t="str">
        <f>IFERROR(__xludf.DUMMYFUNCTION("""COMPUTED_VALUE"""),"https://agencies.semrush.com/list/analytics-data-science/melbourne/")</f>
        <v>https://agencies.semrush.com/list/analytics-data-science/melbourne/</v>
      </c>
      <c r="B29" s="7" t="str">
        <f>IFERROR(__xludf.DUMMYFUNCTION("""COMPUTED_VALUE"""),"Best Data Analytics Services in Melbourne 2026 | Semrush")</f>
        <v>Best Data Analytics Services in Melbourne 2026 | Semrush</v>
      </c>
      <c r="C29" s="6" t="str">
        <f>IFERROR(__xludf.DUMMYFUNCTION("""COMPUTED_VALUE"""),"semrush.com")</f>
        <v>semrush.com</v>
      </c>
      <c r="D29" s="7" t="str">
        <f>IFERROR(__xludf.DUMMYFUNCTION("""COMPUTED_VALUE"""),"CATEGORY_PAGE")</f>
        <v>CATEGORY_PAGE</v>
      </c>
      <c r="E29" s="7" t="str">
        <f>IFERROR(__xludf.DUMMYFUNCTION("""COMPUTED_VALUE"""),"CORPORATE")</f>
        <v>CORPORATE</v>
      </c>
      <c r="F29" s="7" t="str">
        <f>IFERROR(__xludf.DUMMYFUNCTION("""COMPUTED_VALUE"""),"Category Page")</f>
        <v>Category Page</v>
      </c>
      <c r="G29" s="7" t="b">
        <f>IFERROR(__xludf.DUMMYFUNCTION("""COMPUTED_VALUE"""),FALSE)</f>
        <v>0</v>
      </c>
      <c r="H29" s="7"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29" s="7">
        <f>IFERROR(__xludf.DUMMYFUNCTION("""COMPUTED_VALUE"""),2.0)</f>
        <v>2</v>
      </c>
      <c r="J29" s="7">
        <f>IFERROR(__xludf.DUMMYFUNCTION("""COMPUTED_VALUE"""),0.0)</f>
        <v>0</v>
      </c>
      <c r="K29" s="7">
        <f>IFERROR(__xludf.DUMMYFUNCTION("""COMPUTED_VALUE"""),0.0)</f>
        <v>0</v>
      </c>
    </row>
    <row r="30" ht="15.75" customHeight="1">
      <c r="A30" s="6" t="str">
        <f>IFERROR(__xludf.DUMMYFUNCTION("""COMPUTED_VALUE"""),"https://agencies.semrush.com/list/analytics-data-science/melbourne/enterprise-business/")</f>
        <v>https://agencies.semrush.com/list/analytics-data-science/melbourne/enterprise-business/</v>
      </c>
      <c r="B30" s="7" t="str">
        <f>IFERROR(__xludf.DUMMYFUNCTION("""COMPUTED_VALUE"""),"Best Data Analytics Services for Enterprise Business in Melbourne 2026 | Semrush")</f>
        <v>Best Data Analytics Services for Enterprise Business in Melbourne 2026 | Semrush</v>
      </c>
      <c r="C30" s="6" t="str">
        <f>IFERROR(__xludf.DUMMYFUNCTION("""COMPUTED_VALUE"""),"semrush.com")</f>
        <v>semrush.com</v>
      </c>
      <c r="D30" s="7" t="str">
        <f>IFERROR(__xludf.DUMMYFUNCTION("""COMPUTED_VALUE"""),"OTHER")</f>
        <v>OTHER</v>
      </c>
      <c r="E30" s="7" t="str">
        <f>IFERROR(__xludf.DUMMYFUNCTION("""COMPUTED_VALUE"""),"CORPORATE")</f>
        <v>CORPORATE</v>
      </c>
      <c r="F30" s="7" t="str">
        <f>IFERROR(__xludf.DUMMYFUNCTION("""COMPUTED_VALUE"""),"Other")</f>
        <v>Other</v>
      </c>
      <c r="G30" s="7" t="b">
        <f>IFERROR(__xludf.DUMMYFUNCTION("""COMPUTED_VALUE"""),FALSE)</f>
        <v>0</v>
      </c>
      <c r="H30" s="7" t="str">
        <f>IFERROR(__xludf.DUMMYFUNCTION("""COMPUTED_VALUE"""),"Soup Agency, First Page, Clearwater Agency, Measured, Earned Media, Impressive, Online Marketing Gurus, Omnicom Media Group, Bonfire, Megantic, Click Click Media, Huge")</f>
        <v>Soup Agency, First Page, Clearwater Agency, Measured, Earned Media, Impressive, Online Marketing Gurus, Omnicom Media Group, Bonfire, Megantic, Click Click Media, Huge</v>
      </c>
      <c r="I30" s="7">
        <f>IFERROR(__xludf.DUMMYFUNCTION("""COMPUTED_VALUE"""),2.0)</f>
        <v>2</v>
      </c>
      <c r="J30" s="7">
        <f>IFERROR(__xludf.DUMMYFUNCTION("""COMPUTED_VALUE"""),0.0)</f>
        <v>0</v>
      </c>
      <c r="K30" s="7">
        <f>IFERROR(__xludf.DUMMYFUNCTION("""COMPUTED_VALUE"""),0.0)</f>
        <v>0</v>
      </c>
    </row>
    <row r="31" ht="15.75" customHeight="1">
      <c r="A31" s="6" t="str">
        <f>IFERROR(__xludf.DUMMYFUNCTION("""COMPUTED_VALUE"""),"https://agencies.semrush.com/list/display-advertising/melbourne/small-business/")</f>
        <v>https://agencies.semrush.com/list/display-advertising/melbourne/small-business/</v>
      </c>
      <c r="B31" s="7" t="str">
        <f>IFERROR(__xludf.DUMMYFUNCTION("""COMPUTED_VALUE"""),"Best Display Ads Agencies for Small Business in Melbourne 2026 | Semrush")</f>
        <v>Best Display Ads Agencies for Small Business in Melbourne 2026 | Semrush</v>
      </c>
      <c r="C31" s="6" t="str">
        <f>IFERROR(__xludf.DUMMYFUNCTION("""COMPUTED_VALUE"""),"semrush.com")</f>
        <v>semrush.com</v>
      </c>
      <c r="D31" s="7" t="str">
        <f>IFERROR(__xludf.DUMMYFUNCTION("""COMPUTED_VALUE"""),"CATEGORY_PAGE")</f>
        <v>CATEGORY_PAGE</v>
      </c>
      <c r="E31" s="7" t="str">
        <f>IFERROR(__xludf.DUMMYFUNCTION("""COMPUTED_VALUE"""),"CORPORATE")</f>
        <v>CORPORATE</v>
      </c>
      <c r="F31" s="7" t="str">
        <f>IFERROR(__xludf.DUMMYFUNCTION("""COMPUTED_VALUE"""),"Category Page")</f>
        <v>Category Page</v>
      </c>
      <c r="G31" s="7" t="b">
        <f>IFERROR(__xludf.DUMMYFUNCTION("""COMPUTED_VALUE"""),FALSE)</f>
        <v>0</v>
      </c>
      <c r="H31" s="7" t="str">
        <f>IFERROR(__xludf.DUMMYFUNCTION("""COMPUTED_VALUE"""),"Soup Agency, First Page, Clearwater Agency, Measured, Earned Media, Impressive, Online Marketing Gurus, Omnicom Media Group, First Page Australia, 80/20 Digital, Megaphone, Salt &amp; Fuessel")</f>
        <v>Soup Agency, First Page, Clearwater Agency, Measured, Earned Media, Impressive, Online Marketing Gurus, Omnicom Media Group, First Page Australia, 80/20 Digital, Megaphone, Salt &amp; Fuessel</v>
      </c>
      <c r="I31" s="7">
        <f>IFERROR(__xludf.DUMMYFUNCTION("""COMPUTED_VALUE"""),2.0)</f>
        <v>2</v>
      </c>
      <c r="J31" s="7">
        <f>IFERROR(__xludf.DUMMYFUNCTION("""COMPUTED_VALUE"""),0.0)</f>
        <v>0</v>
      </c>
      <c r="K31" s="7">
        <f>IFERROR(__xludf.DUMMYFUNCTION("""COMPUTED_VALUE"""),1.0)</f>
        <v>1</v>
      </c>
    </row>
    <row r="32" ht="15.75" customHeight="1">
      <c r="A32" s="6" t="str">
        <f>IFERROR(__xludf.DUMMYFUNCTION("""COMPUTED_VALUE"""),"https://agencies.semrush.com/list/facebook-advertising/australia/")</f>
        <v>https://agencies.semrush.com/list/facebook-advertising/australia/</v>
      </c>
      <c r="B32" s="7" t="str">
        <f>IFERROR(__xludf.DUMMYFUNCTION("""COMPUTED_VALUE"""),"Best Facebook Advertising Agencies in Australia 2026 | Semrush")</f>
        <v>Best Facebook Advertising Agencies in Australia 2026 | Semrush</v>
      </c>
      <c r="C32" s="6" t="str">
        <f>IFERROR(__xludf.DUMMYFUNCTION("""COMPUTED_VALUE"""),"semrush.com")</f>
        <v>semrush.com</v>
      </c>
      <c r="D32" s="7" t="str">
        <f>IFERROR(__xludf.DUMMYFUNCTION("""COMPUTED_VALUE"""),"CATEGORY_PAGE")</f>
        <v>CATEGORY_PAGE</v>
      </c>
      <c r="E32" s="7" t="str">
        <f>IFERROR(__xludf.DUMMYFUNCTION("""COMPUTED_VALUE"""),"CORPORATE")</f>
        <v>CORPORATE</v>
      </c>
      <c r="F32" s="7" t="str">
        <f>IFERROR(__xludf.DUMMYFUNCTION("""COMPUTED_VALUE"""),"Category Page")</f>
        <v>Category Page</v>
      </c>
      <c r="G32" s="7" t="b">
        <f>IFERROR(__xludf.DUMMYFUNCTION("""COMPUTED_VALUE"""),FALSE)</f>
        <v>0</v>
      </c>
      <c r="H32" s="7"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32" s="7">
        <f>IFERROR(__xludf.DUMMYFUNCTION("""COMPUTED_VALUE"""),2.0)</f>
        <v>2</v>
      </c>
      <c r="J32" s="7">
        <f>IFERROR(__xludf.DUMMYFUNCTION("""COMPUTED_VALUE"""),0.0)</f>
        <v>0</v>
      </c>
      <c r="K32" s="7">
        <f>IFERROR(__xludf.DUMMYFUNCTION("""COMPUTED_VALUE"""),0.0)</f>
        <v>0</v>
      </c>
    </row>
    <row r="33" ht="15.75" customHeight="1">
      <c r="A33" s="6" t="str">
        <f>IFERROR(__xludf.DUMMYFUNCTION("""COMPUTED_VALUE"""),"https://agencies.semrush.com/list/machine-learning-and-ai/sydney/")</f>
        <v>https://agencies.semrush.com/list/machine-learning-and-ai/sydney/</v>
      </c>
      <c r="B33" s="7" t="str">
        <f>IFERROR(__xludf.DUMMYFUNCTION("""COMPUTED_VALUE"""),"Best Machine Learning and AI Services in Sydney 2026 | Semrush")</f>
        <v>Best Machine Learning and AI Services in Sydney 2026 | Semrush</v>
      </c>
      <c r="C33" s="6" t="str">
        <f>IFERROR(__xludf.DUMMYFUNCTION("""COMPUTED_VALUE"""),"semrush.com")</f>
        <v>semrush.com</v>
      </c>
      <c r="D33" s="7" t="str">
        <f>IFERROR(__xludf.DUMMYFUNCTION("""COMPUTED_VALUE"""),"CATEGORY_PAGE")</f>
        <v>CATEGORY_PAGE</v>
      </c>
      <c r="E33" s="7" t="str">
        <f>IFERROR(__xludf.DUMMYFUNCTION("""COMPUTED_VALUE"""),"CORPORATE")</f>
        <v>CORPORATE</v>
      </c>
      <c r="F33" s="7" t="str">
        <f>IFERROR(__xludf.DUMMYFUNCTION("""COMPUTED_VALUE"""),"Category Page")</f>
        <v>Category Page</v>
      </c>
      <c r="G33" s="7" t="b">
        <f>IFERROR(__xludf.DUMMYFUNCTION("""COMPUTED_VALUE"""),FALSE)</f>
        <v>0</v>
      </c>
      <c r="H33" s="7" t="str">
        <f>IFERROR(__xludf.DUMMYFUNCTION("""COMPUTED_VALUE"""),"Soup Agency, Online Marketing Gurus, Omnicom Media Group, Earned Media, First Page, Clearwater Agency, Measured, Impressive, 80/20 Digital")</f>
        <v>Soup Agency, Online Marketing Gurus, Omnicom Media Group, Earned Media, First Page, Clearwater Agency, Measured, Impressive, 80/20 Digital</v>
      </c>
      <c r="I33" s="7">
        <f>IFERROR(__xludf.DUMMYFUNCTION("""COMPUTED_VALUE"""),2.0)</f>
        <v>2</v>
      </c>
      <c r="J33" s="7">
        <f>IFERROR(__xludf.DUMMYFUNCTION("""COMPUTED_VALUE"""),0.0)</f>
        <v>0</v>
      </c>
      <c r="K33" s="7">
        <f>IFERROR(__xludf.DUMMYFUNCTION("""COMPUTED_VALUE"""),2.0)</f>
        <v>2</v>
      </c>
    </row>
    <row r="34" ht="15.75" customHeight="1">
      <c r="A34" s="6" t="str">
        <f>IFERROR(__xludf.DUMMYFUNCTION("""COMPUTED_VALUE"""),"https://agencies.semrush.com/list/smm/sydney/")</f>
        <v>https://agencies.semrush.com/list/smm/sydney/</v>
      </c>
      <c r="B34" s="7" t="str">
        <f>IFERROR(__xludf.DUMMYFUNCTION("""COMPUTED_VALUE"""),"Best Social Media Marketing Agencies in Sydney 2026 | Semrush")</f>
        <v>Best Social Media Marketing Agencies in Sydney 2026 | Semrush</v>
      </c>
      <c r="C34" s="6" t="str">
        <f>IFERROR(__xludf.DUMMYFUNCTION("""COMPUTED_VALUE"""),"semrush.com")</f>
        <v>semrush.com</v>
      </c>
      <c r="D34" s="7" t="str">
        <f>IFERROR(__xludf.DUMMYFUNCTION("""COMPUTED_VALUE"""),"PROFILE")</f>
        <v>PROFILE</v>
      </c>
      <c r="E34" s="7" t="str">
        <f>IFERROR(__xludf.DUMMYFUNCTION("""COMPUTED_VALUE"""),"CORPORATE")</f>
        <v>CORPORATE</v>
      </c>
      <c r="F34" s="7" t="str">
        <f>IFERROR(__xludf.DUMMYFUNCTION("""COMPUTED_VALUE"""),"Profile")</f>
        <v>Profile</v>
      </c>
      <c r="G34" s="7" t="b">
        <f>IFERROR(__xludf.DUMMYFUNCTION("""COMPUTED_VALUE"""),FALSE)</f>
        <v>0</v>
      </c>
      <c r="H34" s="7" t="str">
        <f>IFERROR(__xludf.DUMMYFUNCTION("""COMPUTED_VALUE"""),"DNM Digital, Soup Agency, Online Marketing Gurus, Omnicom Media Group, Human Digital, Digital Nomads HQ, Click Click Media, Bench Media, Earned Media, Rocket Agency, First Page, Clearwater Agency, Measured")</f>
        <v>DNM Digital, Soup Agency, Online Marketing Gurus, Omnicom Media Group, Human Digital, Digital Nomads HQ, Click Click Media, Bench Media, Earned Media, Rocket Agency, First Page, Clearwater Agency, Measured</v>
      </c>
      <c r="I34" s="7">
        <f>IFERROR(__xludf.DUMMYFUNCTION("""COMPUTED_VALUE"""),2.0)</f>
        <v>2</v>
      </c>
      <c r="J34" s="7">
        <f>IFERROR(__xludf.DUMMYFUNCTION("""COMPUTED_VALUE"""),0.0)</f>
        <v>0</v>
      </c>
      <c r="K34" s="7">
        <f>IFERROR(__xludf.DUMMYFUNCTION("""COMPUTED_VALUE"""),0.0)</f>
        <v>0</v>
      </c>
    </row>
    <row r="35" ht="15.75" customHeight="1">
      <c r="A35" s="6" t="str">
        <f>IFERROR(__xludf.DUMMYFUNCTION("""COMPUTED_VALUE"""),"https://www.semrush.com/agencies/list/analytics-data-science/australia/")</f>
        <v>https://www.semrush.com/agencies/list/analytics-data-science/australia/</v>
      </c>
      <c r="B35" s="7" t="str">
        <f>IFERROR(__xludf.DUMMYFUNCTION("""COMPUTED_VALUE"""),"Best Data Analytics Services in Australia 2026 \| Semrush")</f>
        <v>Best Data Analytics Services in Australia 2026 \| Semrush</v>
      </c>
      <c r="C35" s="6" t="str">
        <f>IFERROR(__xludf.DUMMYFUNCTION("""COMPUTED_VALUE"""),"semrush.com")</f>
        <v>semrush.com</v>
      </c>
      <c r="D35" s="7" t="str">
        <f>IFERROR(__xludf.DUMMYFUNCTION("""COMPUTED_VALUE"""),"PROFILE")</f>
        <v>PROFILE</v>
      </c>
      <c r="E35" s="7" t="str">
        <f>IFERROR(__xludf.DUMMYFUNCTION("""COMPUTED_VALUE"""),"CORPORATE")</f>
        <v>CORPORATE</v>
      </c>
      <c r="F35" s="7" t="str">
        <f>IFERROR(__xludf.DUMMYFUNCTION("""COMPUTED_VALUE"""),"Profile")</f>
        <v>Profile</v>
      </c>
      <c r="G35" s="7" t="b">
        <f>IFERROR(__xludf.DUMMYFUNCTION("""COMPUTED_VALUE"""),FALSE)</f>
        <v>0</v>
      </c>
      <c r="H35" s="7"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35" s="7">
        <f>IFERROR(__xludf.DUMMYFUNCTION("""COMPUTED_VALUE"""),2.0)</f>
        <v>2</v>
      </c>
      <c r="J35" s="7">
        <f>IFERROR(__xludf.DUMMYFUNCTION("""COMPUTED_VALUE"""),0.0)</f>
        <v>0</v>
      </c>
      <c r="K35" s="7">
        <f>IFERROR(__xludf.DUMMYFUNCTION("""COMPUTED_VALUE"""),1.0)</f>
        <v>1</v>
      </c>
    </row>
    <row r="36" ht="15.75" customHeight="1">
      <c r="A36" s="6" t="str">
        <f>IFERROR(__xludf.DUMMYFUNCTION("""COMPUTED_VALUE"""),"https://agencies.semrush.com/list/advertising/australia/mid-business/")</f>
        <v>https://agencies.semrush.com/list/advertising/australia/mid-business/</v>
      </c>
      <c r="B36" s="7" t="str">
        <f>IFERROR(__xludf.DUMMYFUNCTION("""COMPUTED_VALUE"""),"Best Advertising Agencies for Mid Business in Australia 2026 | Semrush")</f>
        <v>Best Advertising Agencies for Mid Business in Australia 2026 | Semrush</v>
      </c>
      <c r="C36" s="6" t="str">
        <f>IFERROR(__xludf.DUMMYFUNCTION("""COMPUTED_VALUE"""),"semrush.com")</f>
        <v>semrush.com</v>
      </c>
      <c r="D36" s="7" t="str">
        <f>IFERROR(__xludf.DUMMYFUNCTION("""COMPUTED_VALUE"""),"CATEGORY_PAGE")</f>
        <v>CATEGORY_PAGE</v>
      </c>
      <c r="E36" s="7" t="str">
        <f>IFERROR(__xludf.DUMMYFUNCTION("""COMPUTED_VALUE"""),"CORPORATE")</f>
        <v>CORPORATE</v>
      </c>
      <c r="F36" s="7" t="str">
        <f>IFERROR(__xludf.DUMMYFUNCTION("""COMPUTED_VALUE"""),"Category Page")</f>
        <v>Category Page</v>
      </c>
      <c r="G36" s="7" t="b">
        <f>IFERROR(__xludf.DUMMYFUNCTION("""COMPUTED_VALUE"""),FALSE)</f>
        <v>0</v>
      </c>
      <c r="H36" s="7" t="str">
        <f>IFERROR(__xludf.DUMMYFUNCTION("""COMPUTED_VALUE"""),"Edge Marketing, DNM Digital, Supple Digital, Soup Agency, Momentum, First Page, Clearwater Agency, Measured, Earned Media, Impressive, Online Marketing Gurus, Omnicom Media Group, Click Click Media, First Page Australia")</f>
        <v>Edge Marketing, DNM Digital, Supple Digital, Soup Agency, Momentum, First Page, Clearwater Agency, Measured, Earned Media, Impressive, Online Marketing Gurus, Omnicom Media Group, Click Click Media, First Page Australia</v>
      </c>
      <c r="I36" s="7">
        <f>IFERROR(__xludf.DUMMYFUNCTION("""COMPUTED_VALUE"""),1.0)</f>
        <v>1</v>
      </c>
      <c r="J36" s="7">
        <f>IFERROR(__xludf.DUMMYFUNCTION("""COMPUTED_VALUE"""),0.0)</f>
        <v>0</v>
      </c>
      <c r="K36" s="7">
        <f>IFERROR(__xludf.DUMMYFUNCTION("""COMPUTED_VALUE"""),1.0)</f>
        <v>1</v>
      </c>
    </row>
    <row r="37" ht="15.75" customHeight="1">
      <c r="A37" s="6" t="str">
        <f>IFERROR(__xludf.DUMMYFUNCTION("""COMPUTED_VALUE"""),"https://agencies.semrush.com/list/ai-optimization/australia/enterprise-business/")</f>
        <v>https://agencies.semrush.com/list/ai-optimization/australia/enterprise-business/</v>
      </c>
      <c r="B37" s="7" t="str">
        <f>IFERROR(__xludf.DUMMYFUNCTION("""COMPUTED_VALUE"""),"Best AI Search Optimization Agencies for Enterprise Business in Australia 2026 | Semrush")</f>
        <v>Best AI Search Optimization Agencies for Enterprise Business in Australia 2026 | Semrush</v>
      </c>
      <c r="C37" s="6" t="str">
        <f>IFERROR(__xludf.DUMMYFUNCTION("""COMPUTED_VALUE"""),"semrush.com")</f>
        <v>semrush.com</v>
      </c>
      <c r="D37" s="7" t="str">
        <f>IFERROR(__xludf.DUMMYFUNCTION("""COMPUTED_VALUE"""),"CATEGORY_PAGE")</f>
        <v>CATEGORY_PAGE</v>
      </c>
      <c r="E37" s="7" t="str">
        <f>IFERROR(__xludf.DUMMYFUNCTION("""COMPUTED_VALUE"""),"CORPORATE")</f>
        <v>CORPORATE</v>
      </c>
      <c r="F37" s="7" t="str">
        <f>IFERROR(__xludf.DUMMYFUNCTION("""COMPUTED_VALUE"""),"Category Page")</f>
        <v>Category Page</v>
      </c>
      <c r="G37" s="7" t="b">
        <f>IFERROR(__xludf.DUMMYFUNCTION("""COMPUTED_VALUE"""),FALSE)</f>
        <v>0</v>
      </c>
      <c r="H37" s="7" t="str">
        <f>IFERROR(__xludf.DUMMYFUNCTION("""COMPUTED_VALUE"""),"DNM Digital, First Page, Clearwater Agency, Measured, Earned Media, Online Marketing Gurus, Omnicom Media Group, Huge")</f>
        <v>DNM Digital, First Page, Clearwater Agency, Measured, Earned Media, Online Marketing Gurus, Omnicom Media Group, Huge</v>
      </c>
      <c r="I37" s="7">
        <f>IFERROR(__xludf.DUMMYFUNCTION("""COMPUTED_VALUE"""),1.0)</f>
        <v>1</v>
      </c>
      <c r="J37" s="7">
        <f>IFERROR(__xludf.DUMMYFUNCTION("""COMPUTED_VALUE"""),0.0)</f>
        <v>0</v>
      </c>
      <c r="K37" s="7">
        <f>IFERROR(__xludf.DUMMYFUNCTION("""COMPUTED_VALUE"""),0.0)</f>
        <v>0</v>
      </c>
    </row>
    <row r="38" ht="15.75" customHeight="1">
      <c r="A38" s="6" t="str">
        <f>IFERROR(__xludf.DUMMYFUNCTION("""COMPUTED_VALUE"""),"https://agencies.semrush.com/list/ai-optimization/melbourne/")</f>
        <v>https://agencies.semrush.com/list/ai-optimization/melbourne/</v>
      </c>
      <c r="B38" s="7" t="str">
        <f>IFERROR(__xludf.DUMMYFUNCTION("""COMPUTED_VALUE"""),"Best AI Search Optimization Agencies in Melbourne 2026 | Semrush")</f>
        <v>Best AI Search Optimization Agencies in Melbourne 2026 | Semrush</v>
      </c>
      <c r="C38" s="6" t="str">
        <f>IFERROR(__xludf.DUMMYFUNCTION("""COMPUTED_VALUE"""),"semrush.com")</f>
        <v>semrush.com</v>
      </c>
      <c r="D38" s="7" t="str">
        <f>IFERROR(__xludf.DUMMYFUNCTION("""COMPUTED_VALUE"""),"CATEGORY_PAGE")</f>
        <v>CATEGORY_PAGE</v>
      </c>
      <c r="E38" s="7" t="str">
        <f>IFERROR(__xludf.DUMMYFUNCTION("""COMPUTED_VALUE"""),"CORPORATE")</f>
        <v>CORPORATE</v>
      </c>
      <c r="F38" s="7" t="str">
        <f>IFERROR(__xludf.DUMMYFUNCTION("""COMPUTED_VALUE"""),"Category Page")</f>
        <v>Category Page</v>
      </c>
      <c r="G38" s="7" t="b">
        <f>IFERROR(__xludf.DUMMYFUNCTION("""COMPUTED_VALUE"""),FALSE)</f>
        <v>0</v>
      </c>
      <c r="H38" s="7" t="str">
        <f>IFERROR(__xludf.DUMMYFUNCTION("""COMPUTED_VALUE"""),"First Page, Clearwater Agency, Measured, Earned Media, Online Marketing Gurus, Omnicom Media Group, Edge Marketing, DNM Digital")</f>
        <v>First Page, Clearwater Agency, Measured, Earned Media, Online Marketing Gurus, Omnicom Media Group, Edge Marketing, DNM Digital</v>
      </c>
      <c r="I38" s="7">
        <f>IFERROR(__xludf.DUMMYFUNCTION("""COMPUTED_VALUE"""),1.0)</f>
        <v>1</v>
      </c>
      <c r="J38" s="7">
        <f>IFERROR(__xludf.DUMMYFUNCTION("""COMPUTED_VALUE"""),0.0)</f>
        <v>0</v>
      </c>
      <c r="K38" s="7">
        <f>IFERROR(__xludf.DUMMYFUNCTION("""COMPUTED_VALUE"""),0.0)</f>
        <v>0</v>
      </c>
    </row>
    <row r="39" ht="15.75" customHeight="1">
      <c r="A39" s="6" t="str">
        <f>IFERROR(__xludf.DUMMYFUNCTION("""COMPUTED_VALUE"""),"https://agencies.semrush.com/list/analytics-data-science/arts-entertainment/australia/")</f>
        <v>https://agencies.semrush.com/list/analytics-data-science/arts-entertainment/australia/</v>
      </c>
      <c r="B39" s="7" t="str">
        <f>IFERROR(__xludf.DUMMYFUNCTION("""COMPUTED_VALUE"""),"Best Media &amp;amp; Entertainment Data Analytics Services in Australia 2026 | Semrush")</f>
        <v>Best Media &amp;amp; Entertainment Data Analytics Services in Australia 2026 | Semrush</v>
      </c>
      <c r="C39" s="6" t="str">
        <f>IFERROR(__xludf.DUMMYFUNCTION("""COMPUTED_VALUE"""),"semrush.com")</f>
        <v>semrush.com</v>
      </c>
      <c r="D39" s="7" t="str">
        <f>IFERROR(__xludf.DUMMYFUNCTION("""COMPUTED_VALUE"""),"OTHER")</f>
        <v>OTHER</v>
      </c>
      <c r="E39" s="7" t="str">
        <f>IFERROR(__xludf.DUMMYFUNCTION("""COMPUTED_VALUE"""),"CORPORATE")</f>
        <v>CORPORATE</v>
      </c>
      <c r="F39" s="7" t="str">
        <f>IFERROR(__xludf.DUMMYFUNCTION("""COMPUTED_VALUE"""),"Other")</f>
        <v>Other</v>
      </c>
      <c r="G39" s="7" t="b">
        <f>IFERROR(__xludf.DUMMYFUNCTION("""COMPUTED_VALUE"""),FALSE)</f>
        <v>0</v>
      </c>
      <c r="H39" s="7" t="str">
        <f>IFERROR(__xludf.DUMMYFUNCTION("""COMPUTED_VALUE"""),"Soup Agency, First Page, Online Marketing Gurus, Omnicom Media Group, 80/20 Digital, Earned Media")</f>
        <v>Soup Agency, First Page, Online Marketing Gurus, Omnicom Media Group, 80/20 Digital, Earned Media</v>
      </c>
      <c r="I39" s="7">
        <f>IFERROR(__xludf.DUMMYFUNCTION("""COMPUTED_VALUE"""),1.0)</f>
        <v>1</v>
      </c>
      <c r="J39" s="7">
        <f>IFERROR(__xludf.DUMMYFUNCTION("""COMPUTED_VALUE"""),0.0)</f>
        <v>0</v>
      </c>
      <c r="K39" s="7">
        <f>IFERROR(__xludf.DUMMYFUNCTION("""COMPUTED_VALUE"""),0.0)</f>
        <v>0</v>
      </c>
    </row>
    <row r="40" ht="15.75" customHeight="1">
      <c r="A40" s="6" t="str">
        <f>IFERROR(__xludf.DUMMYFUNCTION("""COMPUTED_VALUE"""),"https://agencies.semrush.com/list/analytics-data-science/sydney/")</f>
        <v>https://agencies.semrush.com/list/analytics-data-science/sydney/</v>
      </c>
      <c r="B40" s="7" t="str">
        <f>IFERROR(__xludf.DUMMYFUNCTION("""COMPUTED_VALUE"""),"Best Data Analytics Services in Sydney 2026 | Semrush")</f>
        <v>Best Data Analytics Services in Sydney 2026 | Semrush</v>
      </c>
      <c r="C40" s="6" t="str">
        <f>IFERROR(__xludf.DUMMYFUNCTION("""COMPUTED_VALUE"""),"semrush.com")</f>
        <v>semrush.com</v>
      </c>
      <c r="D40" s="7" t="str">
        <f>IFERROR(__xludf.DUMMYFUNCTION("""COMPUTED_VALUE"""),"CATEGORY_PAGE")</f>
        <v>CATEGORY_PAGE</v>
      </c>
      <c r="E40" s="7" t="str">
        <f>IFERROR(__xludf.DUMMYFUNCTION("""COMPUTED_VALUE"""),"CORPORATE")</f>
        <v>CORPORATE</v>
      </c>
      <c r="F40" s="7" t="str">
        <f>IFERROR(__xludf.DUMMYFUNCTION("""COMPUTED_VALUE"""),"Category Page")</f>
        <v>Category Page</v>
      </c>
      <c r="G40" s="7" t="b">
        <f>IFERROR(__xludf.DUMMYFUNCTION("""COMPUTED_VALUE"""),FALSE)</f>
        <v>0</v>
      </c>
      <c r="H40" s="7" t="str">
        <f>IFERROR(__xludf.DUMMYFUNCTION("""COMPUTED_VALUE"""),"Soup Agency, Online Marketing Gurus, Omnicom Media Group, Click Click Media, Earned Media, Clearwater Agency, Huge, First Page, Measured, Impressive, 80/20 Digital")</f>
        <v>Soup Agency, Online Marketing Gurus, Omnicom Media Group, Click Click Media, Earned Media, Clearwater Agency, Huge, First Page, Measured, Impressive, 80/20 Digital</v>
      </c>
      <c r="I40" s="7">
        <f>IFERROR(__xludf.DUMMYFUNCTION("""COMPUTED_VALUE"""),1.0)</f>
        <v>1</v>
      </c>
      <c r="J40" s="7">
        <f>IFERROR(__xludf.DUMMYFUNCTION("""COMPUTED_VALUE"""),0.0)</f>
        <v>0</v>
      </c>
      <c r="K40" s="7">
        <f>IFERROR(__xludf.DUMMYFUNCTION("""COMPUTED_VALUE"""),0.0)</f>
        <v>0</v>
      </c>
    </row>
    <row r="41" ht="15.75" customHeight="1">
      <c r="A41" s="6" t="str">
        <f>IFERROR(__xludf.DUMMYFUNCTION("""COMPUTED_VALUE"""),"https://agencies.semrush.com/list/display-advertising/business-professional-services/australia/")</f>
        <v>https://agencies.semrush.com/list/display-advertising/business-professional-services/australia/</v>
      </c>
      <c r="B41" s="7" t="str">
        <f>IFERROR(__xludf.DUMMYFUNCTION("""COMPUTED_VALUE"""),"Best B2B Services Display Ads Agencies in Australia 2026 | Semrush")</f>
        <v>Best B2B Services Display Ads Agencies in Australia 2026 | Semrush</v>
      </c>
      <c r="C41" s="6" t="str">
        <f>IFERROR(__xludf.DUMMYFUNCTION("""COMPUTED_VALUE"""),"semrush.com")</f>
        <v>semrush.com</v>
      </c>
      <c r="D41" s="7" t="str">
        <f>IFERROR(__xludf.DUMMYFUNCTION("""COMPUTED_VALUE"""),"CATEGORY_PAGE")</f>
        <v>CATEGORY_PAGE</v>
      </c>
      <c r="E41" s="7" t="str">
        <f>IFERROR(__xludf.DUMMYFUNCTION("""COMPUTED_VALUE"""),"CORPORATE")</f>
        <v>CORPORATE</v>
      </c>
      <c r="F41" s="7" t="str">
        <f>IFERROR(__xludf.DUMMYFUNCTION("""COMPUTED_VALUE"""),"Category Page")</f>
        <v>Category Page</v>
      </c>
      <c r="G41" s="7" t="b">
        <f>IFERROR(__xludf.DUMMYFUNCTION("""COMPUTED_VALUE"""),FALSE)</f>
        <v>0</v>
      </c>
      <c r="H41" s="7" t="str">
        <f>IFERROR(__xludf.DUMMYFUNCTION("""COMPUTED_VALUE"""),"Soup Agency, First Page, Clearwater Agency, Measured, Earned Media, Impressive, Online Marketing Gurus, Omnicom Media Group, First Page Australia, 80/20 Digital, Megaphone, Bonfire")</f>
        <v>Soup Agency, First Page, Clearwater Agency, Measured, Earned Media, Impressive, Online Marketing Gurus, Omnicom Media Group, First Page Australia, 80/20 Digital, Megaphone, Bonfire</v>
      </c>
      <c r="I41" s="7">
        <f>IFERROR(__xludf.DUMMYFUNCTION("""COMPUTED_VALUE"""),1.0)</f>
        <v>1</v>
      </c>
      <c r="J41" s="7">
        <f>IFERROR(__xludf.DUMMYFUNCTION("""COMPUTED_VALUE"""),0.0)</f>
        <v>0</v>
      </c>
      <c r="K41" s="7">
        <f>IFERROR(__xludf.DUMMYFUNCTION("""COMPUTED_VALUE"""),0.0)</f>
        <v>0</v>
      </c>
    </row>
    <row r="42" ht="15.75" customHeight="1">
      <c r="A42" s="6" t="str">
        <f>IFERROR(__xludf.DUMMYFUNCTION("""COMPUTED_VALUE"""),"https://agencies.semrush.com/list/display-advertising/canberra/")</f>
        <v>https://agencies.semrush.com/list/display-advertising/canberra/</v>
      </c>
      <c r="B42" s="7" t="str">
        <f>IFERROR(__xludf.DUMMYFUNCTION("""COMPUTED_VALUE"""),"Best Display Ads Agencies in Canberra 2026 | Semrush")</f>
        <v>Best Display Ads Agencies in Canberra 2026 | Semrush</v>
      </c>
      <c r="C42" s="6" t="str">
        <f>IFERROR(__xludf.DUMMYFUNCTION("""COMPUTED_VALUE"""),"semrush.com")</f>
        <v>semrush.com</v>
      </c>
      <c r="D42" s="7" t="str">
        <f>IFERROR(__xludf.DUMMYFUNCTION("""COMPUTED_VALUE"""),"OTHER")</f>
        <v>OTHER</v>
      </c>
      <c r="E42" s="7" t="str">
        <f>IFERROR(__xludf.DUMMYFUNCTION("""COMPUTED_VALUE"""),"CORPORATE")</f>
        <v>CORPORATE</v>
      </c>
      <c r="F42" s="7" t="str">
        <f>IFERROR(__xludf.DUMMYFUNCTION("""COMPUTED_VALUE"""),"Other")</f>
        <v>Other</v>
      </c>
      <c r="G42" s="7" t="b">
        <f>IFERROR(__xludf.DUMMYFUNCTION("""COMPUTED_VALUE"""),FALSE)</f>
        <v>0</v>
      </c>
      <c r="H42" s="7" t="str">
        <f>IFERROR(__xludf.DUMMYFUNCTION("""COMPUTED_VALUE"""),"Soup Agency, First Page, Clearwater Agency, Measured, Earned Media, Impressive, Online Marketing Gurus, Omnicom Media Group, Click Click Media, First Page Australia")</f>
        <v>Soup Agency, First Page, Clearwater Agency, Measured, Earned Media, Impressive, Online Marketing Gurus, Omnicom Media Group, Click Click Media, First Page Australia</v>
      </c>
      <c r="I42" s="7">
        <f>IFERROR(__xludf.DUMMYFUNCTION("""COMPUTED_VALUE"""),1.0)</f>
        <v>1</v>
      </c>
      <c r="J42" s="7">
        <f>IFERROR(__xludf.DUMMYFUNCTION("""COMPUTED_VALUE"""),0.0)</f>
        <v>0</v>
      </c>
      <c r="K42" s="7">
        <f>IFERROR(__xludf.DUMMYFUNCTION("""COMPUTED_VALUE"""),0.0)</f>
        <v>0</v>
      </c>
    </row>
    <row r="43" ht="15.75" customHeight="1">
      <c r="A43" s="6" t="str">
        <f>IFERROR(__xludf.DUMMYFUNCTION("""COMPUTED_VALUE"""),"https://agencies.semrush.com/list/enterprise-business/australia/")</f>
        <v>https://agencies.semrush.com/list/enterprise-business/australia/</v>
      </c>
      <c r="B43" s="7" t="str">
        <f>IFERROR(__xludf.DUMMYFUNCTION("""COMPUTED_VALUE"""),"Best Digital Marketing Agencies for Enterprise Business in Australia 2026 | Semrush")</f>
        <v>Best Digital Marketing Agencies for Enterprise Business in Australia 2026 | Semrush</v>
      </c>
      <c r="C43" s="6" t="str">
        <f>IFERROR(__xludf.DUMMYFUNCTION("""COMPUTED_VALUE"""),"semrush.com")</f>
        <v>semrush.com</v>
      </c>
      <c r="D43" s="7" t="str">
        <f>IFERROR(__xludf.DUMMYFUNCTION("""COMPUTED_VALUE"""),"CATEGORY_PAGE")</f>
        <v>CATEGORY_PAGE</v>
      </c>
      <c r="E43" s="7" t="str">
        <f>IFERROR(__xludf.DUMMYFUNCTION("""COMPUTED_VALUE"""),"CORPORATE")</f>
        <v>CORPORATE</v>
      </c>
      <c r="F43" s="7" t="str">
        <f>IFERROR(__xludf.DUMMYFUNCTION("""COMPUTED_VALUE"""),"Category Page")</f>
        <v>Category Page</v>
      </c>
      <c r="G43" s="7" t="b">
        <f>IFERROR(__xludf.DUMMYFUNCTION("""COMPUTED_VALUE"""),FALSE)</f>
        <v>0</v>
      </c>
      <c r="H43" s="7" t="str">
        <f>IFERROR(__xludf.DUMMYFUNCTION("""COMPUTED_VALUE"""),"Supple Digital, DNM Digital, Soup Agency, First Page, Clearwater Agency, Measured, Earned Media, Impressive, Online Marketing Gurus, Omnicom Media Group, Human Digital, Click Click Media, StudioHawk, First Page Australia")</f>
        <v>Supple Digital, DNM Digital, Soup Agency, First Page, Clearwater Agency, Measured, Earned Media, Impressive, Online Marketing Gurus, Omnicom Media Group, Human Digital, Click Click Media, StudioHawk, First Page Australia</v>
      </c>
      <c r="I43" s="7">
        <f>IFERROR(__xludf.DUMMYFUNCTION("""COMPUTED_VALUE"""),1.0)</f>
        <v>1</v>
      </c>
      <c r="J43" s="7">
        <f>IFERROR(__xludf.DUMMYFUNCTION("""COMPUTED_VALUE"""),0.0)</f>
        <v>0</v>
      </c>
      <c r="K43" s="7">
        <f>IFERROR(__xludf.DUMMYFUNCTION("""COMPUTED_VALUE"""),0.0)</f>
        <v>0</v>
      </c>
    </row>
    <row r="44" ht="15.75" customHeight="1">
      <c r="A44" s="6" t="str">
        <f>IFERROR(__xludf.DUMMYFUNCTION("""COMPUTED_VALUE"""),"https://agencies.semrush.com/list/market-analysis/australia/")</f>
        <v>https://agencies.semrush.com/list/market-analysis/australia/</v>
      </c>
      <c r="B44" s="7" t="str">
        <f>IFERROR(__xludf.DUMMYFUNCTION("""COMPUTED_VALUE"""),"Best Market Research Companies in Australia 2026 | Semrush")</f>
        <v>Best Market Research Companies in Australia 2026 | Semrush</v>
      </c>
      <c r="C44" s="6" t="str">
        <f>IFERROR(__xludf.DUMMYFUNCTION("""COMPUTED_VALUE"""),"semrush.com")</f>
        <v>semrush.com</v>
      </c>
      <c r="D44" s="7" t="str">
        <f>IFERROR(__xludf.DUMMYFUNCTION("""COMPUTED_VALUE"""),"CATEGORY_PAGE")</f>
        <v>CATEGORY_PAGE</v>
      </c>
      <c r="E44" s="7" t="str">
        <f>IFERROR(__xludf.DUMMYFUNCTION("""COMPUTED_VALUE"""),"CORPORATE")</f>
        <v>CORPORATE</v>
      </c>
      <c r="F44" s="7" t="str">
        <f>IFERROR(__xludf.DUMMYFUNCTION("""COMPUTED_VALUE"""),"Category Page")</f>
        <v>Category Page</v>
      </c>
      <c r="G44" s="7" t="b">
        <f>IFERROR(__xludf.DUMMYFUNCTION("""COMPUTED_VALUE"""),FALSE)</f>
        <v>0</v>
      </c>
      <c r="H44" s="7" t="str">
        <f>IFERROR(__xludf.DUMMYFUNCTION("""COMPUTED_VALUE"""),"Soup Agency, First Page, Clearwater Agency, Measured, Earned Media, Impressive, Online Marketing Gurus, Omnicom Media Group, Human Digital, Click Click Media, 80/20 Digital, Salt &amp; Fuessel, Megaphone")</f>
        <v>Soup Agency, First Page, Clearwater Agency, Measured, Earned Media, Impressive, Online Marketing Gurus, Omnicom Media Group, Human Digital, Click Click Media, 80/20 Digital, Salt &amp; Fuessel, Megaphone</v>
      </c>
      <c r="I44" s="7">
        <f>IFERROR(__xludf.DUMMYFUNCTION("""COMPUTED_VALUE"""),1.0)</f>
        <v>1</v>
      </c>
      <c r="J44" s="7">
        <f>IFERROR(__xludf.DUMMYFUNCTION("""COMPUTED_VALUE"""),0.0)</f>
        <v>0</v>
      </c>
      <c r="K44" s="7">
        <f>IFERROR(__xludf.DUMMYFUNCTION("""COMPUTED_VALUE"""),1.0)</f>
        <v>1</v>
      </c>
    </row>
    <row r="45" ht="15.75" customHeight="1">
      <c r="A45" s="6" t="str">
        <f>IFERROR(__xludf.DUMMYFUNCTION("""COMPUTED_VALUE"""),"https://agencies.semrush.com/list/ppc/brisbane/")</f>
        <v>https://agencies.semrush.com/list/ppc/brisbane/</v>
      </c>
      <c r="B45" s="7" t="str">
        <f>IFERROR(__xludf.DUMMYFUNCTION("""COMPUTED_VALUE"""),"Best PPC Agencies in Brisbane 2026 | Semrush")</f>
        <v>Best PPC Agencies in Brisbane 2026 | Semrush</v>
      </c>
      <c r="C45" s="6" t="str">
        <f>IFERROR(__xludf.DUMMYFUNCTION("""COMPUTED_VALUE"""),"semrush.com")</f>
        <v>semrush.com</v>
      </c>
      <c r="D45" s="7" t="str">
        <f>IFERROR(__xludf.DUMMYFUNCTION("""COMPUTED_VALUE"""),"CATEGORY_PAGE")</f>
        <v>CATEGORY_PAGE</v>
      </c>
      <c r="E45" s="7" t="str">
        <f>IFERROR(__xludf.DUMMYFUNCTION("""COMPUTED_VALUE"""),"CORPORATE")</f>
        <v>CORPORATE</v>
      </c>
      <c r="F45" s="7" t="str">
        <f>IFERROR(__xludf.DUMMYFUNCTION("""COMPUTED_VALUE"""),"Category Page")</f>
        <v>Category Page</v>
      </c>
      <c r="G45" s="7" t="b">
        <f>IFERROR(__xludf.DUMMYFUNCTION("""COMPUTED_VALUE"""),FALSE)</f>
        <v>0</v>
      </c>
      <c r="H45" s="7" t="str">
        <f>IFERROR(__xludf.DUMMYFUNCTION("""COMPUTED_VALUE"""),"Edge Marketing, Supple Digital, Soup Agency, Momentum, DNM Digital, First Page, Clearwater Agency, Measured, Earned Media, Impressive")</f>
        <v>Edge Marketing, Supple Digital, Soup Agency, Momentum, DNM Digital, First Page, Clearwater Agency, Measured, Earned Media, Impressive</v>
      </c>
      <c r="I45" s="7">
        <f>IFERROR(__xludf.DUMMYFUNCTION("""COMPUTED_VALUE"""),1.0)</f>
        <v>1</v>
      </c>
      <c r="J45" s="7">
        <f>IFERROR(__xludf.DUMMYFUNCTION("""COMPUTED_VALUE"""),0.0)</f>
        <v>0</v>
      </c>
      <c r="K45" s="7">
        <f>IFERROR(__xludf.DUMMYFUNCTION("""COMPUTED_VALUE"""),0.0)</f>
        <v>0</v>
      </c>
    </row>
    <row r="46" ht="15.75" customHeight="1">
      <c r="A46" s="6" t="str">
        <f>IFERROR(__xludf.DUMMYFUNCTION("""COMPUTED_VALUE"""),"https://agencies.semrush.com/list/ppc/melbourne/")</f>
        <v>https://agencies.semrush.com/list/ppc/melbourne/</v>
      </c>
      <c r="B46" s="7" t="str">
        <f>IFERROR(__xludf.DUMMYFUNCTION("""COMPUTED_VALUE"""),"Best PPC Agencies in Melbourne 2026 | Semrush")</f>
        <v>Best PPC Agencies in Melbourne 2026 | Semrush</v>
      </c>
      <c r="C46" s="6" t="str">
        <f>IFERROR(__xludf.DUMMYFUNCTION("""COMPUTED_VALUE"""),"semrush.com")</f>
        <v>semrush.com</v>
      </c>
      <c r="D46" s="7" t="str">
        <f>IFERROR(__xludf.DUMMYFUNCTION("""COMPUTED_VALUE"""),"CATEGORY_PAGE")</f>
        <v>CATEGORY_PAGE</v>
      </c>
      <c r="E46" s="7" t="str">
        <f>IFERROR(__xludf.DUMMYFUNCTION("""COMPUTED_VALUE"""),"CORPORATE")</f>
        <v>CORPORATE</v>
      </c>
      <c r="F46" s="7" t="str">
        <f>IFERROR(__xludf.DUMMYFUNCTION("""COMPUTED_VALUE"""),"Category Page")</f>
        <v>Category Page</v>
      </c>
      <c r="G46" s="7" t="b">
        <f>IFERROR(__xludf.DUMMYFUNCTION("""COMPUTED_VALUE"""),FALSE)</f>
        <v>0</v>
      </c>
      <c r="H46" s="7" t="str">
        <f>IFERROR(__xludf.DUMMYFUNCTION("""COMPUTED_VALUE"""),"Supple Digital, Soup Agency, First Page, Clearwater Agency, Measured, Earned Media, Impressive, Online Marketing Gurus, Omnicom Media Group, First Page Australia, 80/20 Digital, Salt &amp; Fuessel, Megaphone, Bonfire")</f>
        <v>Supple Digital, Soup Agency, First Page, Clearwater Agency, Measured, Earned Media, Impressive, Online Marketing Gurus, Omnicom Media Group, First Page Australia, 80/20 Digital, Salt &amp; Fuessel, Megaphone, Bonfire</v>
      </c>
      <c r="I46" s="7">
        <f>IFERROR(__xludf.DUMMYFUNCTION("""COMPUTED_VALUE"""),1.0)</f>
        <v>1</v>
      </c>
      <c r="J46" s="7">
        <f>IFERROR(__xludf.DUMMYFUNCTION("""COMPUTED_VALUE"""),0.0)</f>
        <v>0</v>
      </c>
      <c r="K46" s="7">
        <f>IFERROR(__xludf.DUMMYFUNCTION("""COMPUTED_VALUE"""),0.0)</f>
        <v>0</v>
      </c>
    </row>
    <row r="47" ht="15.75" customHeight="1">
      <c r="A47" s="6" t="str">
        <f>IFERROR(__xludf.DUMMYFUNCTION("""COMPUTED_VALUE"""),"https://agencies.semrush.com/list/programmatic-advertising/australia/mid-business/")</f>
        <v>https://agencies.semrush.com/list/programmatic-advertising/australia/mid-business/</v>
      </c>
      <c r="B47" s="7" t="str">
        <f>IFERROR(__xludf.DUMMYFUNCTION("""COMPUTED_VALUE"""),"Best Programmatic Advertising Agencies for Mid Business in Australia 2026 | Semrush")</f>
        <v>Best Programmatic Advertising Agencies for Mid Business in Australia 2026 | Semrush</v>
      </c>
      <c r="C47" s="6" t="str">
        <f>IFERROR(__xludf.DUMMYFUNCTION("""COMPUTED_VALUE"""),"semrush.com")</f>
        <v>semrush.com</v>
      </c>
      <c r="D47" s="7" t="str">
        <f>IFERROR(__xludf.DUMMYFUNCTION("""COMPUTED_VALUE"""),"CATEGORY_PAGE")</f>
        <v>CATEGORY_PAGE</v>
      </c>
      <c r="E47" s="7" t="str">
        <f>IFERROR(__xludf.DUMMYFUNCTION("""COMPUTED_VALUE"""),"CORPORATE")</f>
        <v>CORPORATE</v>
      </c>
      <c r="F47" s="7" t="str">
        <f>IFERROR(__xludf.DUMMYFUNCTION("""COMPUTED_VALUE"""),"Category Page")</f>
        <v>Category Page</v>
      </c>
      <c r="G47" s="7" t="b">
        <f>IFERROR(__xludf.DUMMYFUNCTION("""COMPUTED_VALUE"""),FALSE)</f>
        <v>0</v>
      </c>
      <c r="H47" s="7"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47" s="7">
        <f>IFERROR(__xludf.DUMMYFUNCTION("""COMPUTED_VALUE"""),1.0)</f>
        <v>1</v>
      </c>
      <c r="J47" s="7">
        <f>IFERROR(__xludf.DUMMYFUNCTION("""COMPUTED_VALUE"""),0.0)</f>
        <v>0</v>
      </c>
      <c r="K47" s="7">
        <f>IFERROR(__xludf.DUMMYFUNCTION("""COMPUTED_VALUE"""),1.0)</f>
        <v>1</v>
      </c>
    </row>
    <row r="48" ht="15.75" customHeight="1">
      <c r="A48" s="6" t="str">
        <f>IFERROR(__xludf.DUMMYFUNCTION("""COMPUTED_VALUE"""),"https://agencies.semrush.com/list/programmatic-advertising/australia/small-business/")</f>
        <v>https://agencies.semrush.com/list/programmatic-advertising/australia/small-business/</v>
      </c>
      <c r="B48" s="7" t="str">
        <f>IFERROR(__xludf.DUMMYFUNCTION("""COMPUTED_VALUE"""),"Best Programmatic Advertising Agencies for Small Business in Australia 2026 | Semrush")</f>
        <v>Best Programmatic Advertising Agencies for Small Business in Australia 2026 | Semrush</v>
      </c>
      <c r="C48" s="6" t="str">
        <f>IFERROR(__xludf.DUMMYFUNCTION("""COMPUTED_VALUE"""),"semrush.com")</f>
        <v>semrush.com</v>
      </c>
      <c r="D48" s="7" t="str">
        <f>IFERROR(__xludf.DUMMYFUNCTION("""COMPUTED_VALUE"""),"CATEGORY_PAGE")</f>
        <v>CATEGORY_PAGE</v>
      </c>
      <c r="E48" s="7" t="str">
        <f>IFERROR(__xludf.DUMMYFUNCTION("""COMPUTED_VALUE"""),"CORPORATE")</f>
        <v>CORPORATE</v>
      </c>
      <c r="F48" s="7" t="str">
        <f>IFERROR(__xludf.DUMMYFUNCTION("""COMPUTED_VALUE"""),"Category Page")</f>
        <v>Category Page</v>
      </c>
      <c r="G48" s="7" t="b">
        <f>IFERROR(__xludf.DUMMYFUNCTION("""COMPUTED_VALUE"""),FALSE)</f>
        <v>0</v>
      </c>
      <c r="H48" s="7" t="str">
        <f>IFERROR(__xludf.DUMMYFUNCTION("""COMPUTED_VALUE"""),"DNM Digital, Soup Agency, First Page, Impressive, Online Marketing Gurus, Omnicom Media Group, Click Click Media, 80/20 Digital, Salt &amp; Fuessel, Rocket Agency")</f>
        <v>DNM Digital, Soup Agency, First Page, Impressive, Online Marketing Gurus, Omnicom Media Group, Click Click Media, 80/20 Digital, Salt &amp; Fuessel, Rocket Agency</v>
      </c>
      <c r="I48" s="7">
        <f>IFERROR(__xludf.DUMMYFUNCTION("""COMPUTED_VALUE"""),1.0)</f>
        <v>1</v>
      </c>
      <c r="J48" s="7">
        <f>IFERROR(__xludf.DUMMYFUNCTION("""COMPUTED_VALUE"""),0.0)</f>
        <v>0</v>
      </c>
      <c r="K48" s="7">
        <f>IFERROR(__xludf.DUMMYFUNCTION("""COMPUTED_VALUE"""),0.0)</f>
        <v>0</v>
      </c>
    </row>
    <row r="49" ht="15.75" customHeight="1">
      <c r="A49" s="6" t="str">
        <f>IFERROR(__xludf.DUMMYFUNCTION("""COMPUTED_VALUE"""),"https://agencies.semrush.com/list/programmatic-advertising/ecommerce/australia/")</f>
        <v>https://agencies.semrush.com/list/programmatic-advertising/ecommerce/australia/</v>
      </c>
      <c r="B49" s="7" t="str">
        <f>IFERROR(__xludf.DUMMYFUNCTION("""COMPUTED_VALUE"""),"Best Ecommerce Programmatic Advertising Agencies in Australia 2026 | Semrush")</f>
        <v>Best Ecommerce Programmatic Advertising Agencies in Australia 2026 | Semrush</v>
      </c>
      <c r="C49" s="6" t="str">
        <f>IFERROR(__xludf.DUMMYFUNCTION("""COMPUTED_VALUE"""),"semrush.com")</f>
        <v>semrush.com</v>
      </c>
      <c r="D49" s="7" t="str">
        <f>IFERROR(__xludf.DUMMYFUNCTION("""COMPUTED_VALUE"""),"CATEGORY_PAGE")</f>
        <v>CATEGORY_PAGE</v>
      </c>
      <c r="E49" s="7" t="str">
        <f>IFERROR(__xludf.DUMMYFUNCTION("""COMPUTED_VALUE"""),"CORPORATE")</f>
        <v>CORPORATE</v>
      </c>
      <c r="F49" s="7" t="str">
        <f>IFERROR(__xludf.DUMMYFUNCTION("""COMPUTED_VALUE"""),"Category Page")</f>
        <v>Category Page</v>
      </c>
      <c r="G49" s="7" t="b">
        <f>IFERROR(__xludf.DUMMYFUNCTION("""COMPUTED_VALUE"""),FALSE)</f>
        <v>0</v>
      </c>
      <c r="H49" s="7" t="str">
        <f>IFERROR(__xludf.DUMMYFUNCTION("""COMPUTED_VALUE"""),"DNM Digital, Soup Agency, First Page, Impressive, Online Marketing Gurus, Omnicom Media Group, 80/20 Digital, Salt &amp; Fuessel, Bonfire, Rocket Agency, Measured")</f>
        <v>DNM Digital, Soup Agency, First Page, Impressive, Online Marketing Gurus, Omnicom Media Group, 80/20 Digital, Salt &amp; Fuessel, Bonfire, Rocket Agency, Measured</v>
      </c>
      <c r="I49" s="7">
        <f>IFERROR(__xludf.DUMMYFUNCTION("""COMPUTED_VALUE"""),1.0)</f>
        <v>1</v>
      </c>
      <c r="J49" s="7">
        <f>IFERROR(__xludf.DUMMYFUNCTION("""COMPUTED_VALUE"""),0.0)</f>
        <v>0</v>
      </c>
      <c r="K49" s="7">
        <f>IFERROR(__xludf.DUMMYFUNCTION("""COMPUTED_VALUE"""),0.0)</f>
        <v>0</v>
      </c>
    </row>
    <row r="50" ht="15.75" customHeight="1">
      <c r="A50" s="6" t="str">
        <f>IFERROR(__xludf.DUMMYFUNCTION("""COMPUTED_VALUE"""),"https://agencies.semrush.com/list/programmatic-advertising/sydney/")</f>
        <v>https://agencies.semrush.com/list/programmatic-advertising/sydney/</v>
      </c>
      <c r="B50" s="7" t="str">
        <f>IFERROR(__xludf.DUMMYFUNCTION("""COMPUTED_VALUE"""),"Best Programmatic Advertising Agencies in Sydney 2026 | Semrush")</f>
        <v>Best Programmatic Advertising Agencies in Sydney 2026 | Semrush</v>
      </c>
      <c r="C50" s="6" t="str">
        <f>IFERROR(__xludf.DUMMYFUNCTION("""COMPUTED_VALUE"""),"semrush.com")</f>
        <v>semrush.com</v>
      </c>
      <c r="D50" s="7" t="str">
        <f>IFERROR(__xludf.DUMMYFUNCTION("""COMPUTED_VALUE"""),"OTHER")</f>
        <v>OTHER</v>
      </c>
      <c r="E50" s="7" t="str">
        <f>IFERROR(__xludf.DUMMYFUNCTION("""COMPUTED_VALUE"""),"CORPORATE")</f>
        <v>CORPORATE</v>
      </c>
      <c r="F50" s="7" t="str">
        <f>IFERROR(__xludf.DUMMYFUNCTION("""COMPUTED_VALUE"""),"Other")</f>
        <v>Other</v>
      </c>
      <c r="G50" s="7" t="b">
        <f>IFERROR(__xludf.DUMMYFUNCTION("""COMPUTED_VALUE"""),FALSE)</f>
        <v>0</v>
      </c>
      <c r="H50" s="7" t="str">
        <f>IFERROR(__xludf.DUMMYFUNCTION("""COMPUTED_VALUE"""),"DNM Digital, Soup Agency, Online Marketing Gurus, Omnicom Media Group, Click Click Media, Bench Media, Rocket Agency, First Page, Impressive, Measured")</f>
        <v>DNM Digital, Soup Agency, Online Marketing Gurus, Omnicom Media Group, Click Click Media, Bench Media, Rocket Agency, First Page, Impressive, Measured</v>
      </c>
      <c r="I50" s="7">
        <f>IFERROR(__xludf.DUMMYFUNCTION("""COMPUTED_VALUE"""),1.0)</f>
        <v>1</v>
      </c>
      <c r="J50" s="7">
        <f>IFERROR(__xludf.DUMMYFUNCTION("""COMPUTED_VALUE"""),0.0)</f>
        <v>0</v>
      </c>
      <c r="K50" s="7">
        <f>IFERROR(__xludf.DUMMYFUNCTION("""COMPUTED_VALUE"""),0.0)</f>
        <v>0</v>
      </c>
    </row>
    <row r="51" ht="15.75" customHeight="1">
      <c r="A51" s="6" t="str">
        <f>IFERROR(__xludf.DUMMYFUNCTION("""COMPUTED_VALUE"""),"https://agencies.semrush.com/list/search-engine-marketing/australia/")</f>
        <v>https://agencies.semrush.com/list/search-engine-marketing/australia/</v>
      </c>
      <c r="B51" s="7" t="str">
        <f>IFERROR(__xludf.DUMMYFUNCTION("""COMPUTED_VALUE"""),"Best Search Engine Marketing Companies in Australia 2026 | Semrush")</f>
        <v>Best Search Engine Marketing Companies in Australia 2026 | Semrush</v>
      </c>
      <c r="C51" s="6" t="str">
        <f>IFERROR(__xludf.DUMMYFUNCTION("""COMPUTED_VALUE"""),"semrush.com")</f>
        <v>semrush.com</v>
      </c>
      <c r="D51" s="7" t="str">
        <f>IFERROR(__xludf.DUMMYFUNCTION("""COMPUTED_VALUE"""),"CATEGORY_PAGE")</f>
        <v>CATEGORY_PAGE</v>
      </c>
      <c r="E51" s="7" t="str">
        <f>IFERROR(__xludf.DUMMYFUNCTION("""COMPUTED_VALUE"""),"CORPORATE")</f>
        <v>CORPORATE</v>
      </c>
      <c r="F51" s="7" t="str">
        <f>IFERROR(__xludf.DUMMYFUNCTION("""COMPUTED_VALUE"""),"Category Page")</f>
        <v>Category Page</v>
      </c>
      <c r="G51" s="7" t="b">
        <f>IFERROR(__xludf.DUMMYFUNCTION("""COMPUTED_VALUE"""),FALSE)</f>
        <v>0</v>
      </c>
      <c r="H51" s="7" t="str">
        <f>IFERROR(__xludf.DUMMYFUNCTION("""COMPUTED_VALUE"""),"Edge Marketing, Momentum, Supple Digital, DNM Digital, Soup Agency, First Page, Clearwater Agency, Measured, Earned Media, Impressive, Online Marketing Gurus, Omnicom Media Group, Click Click Media, StudioHawk, Bench Media")</f>
        <v>Edge Marketing, Momentum, Supple Digital, DNM Digital, Soup Agency, First Page, Clearwater Agency, Measured, Earned Media, Impressive, Online Marketing Gurus, Omnicom Media Group, Click Click Media, StudioHawk, Bench Media</v>
      </c>
      <c r="I51" s="7">
        <f>IFERROR(__xludf.DUMMYFUNCTION("""COMPUTED_VALUE"""),1.0)</f>
        <v>1</v>
      </c>
      <c r="J51" s="7">
        <f>IFERROR(__xludf.DUMMYFUNCTION("""COMPUTED_VALUE"""),0.0)</f>
        <v>0</v>
      </c>
      <c r="K51" s="7">
        <f>IFERROR(__xludf.DUMMYFUNCTION("""COMPUTED_VALUE"""),0.0)</f>
        <v>0</v>
      </c>
    </row>
    <row r="52" ht="15.75" customHeight="1">
      <c r="A52" s="6" t="str">
        <f>IFERROR(__xludf.DUMMYFUNCTION("""COMPUTED_VALUE"""),"https://agencies.semrush.com/list/smm/australia/small-business/")</f>
        <v>https://agencies.semrush.com/list/smm/australia/small-business/</v>
      </c>
      <c r="B52" s="7" t="str">
        <f>IFERROR(__xludf.DUMMYFUNCTION("""COMPUTED_VALUE"""),"Best Social Media Marketing Agencies for Small Business in Australia 2026 | Semrush")</f>
        <v>Best Social Media Marketing Agencies for Small Business in Australia 2026 | Semrush</v>
      </c>
      <c r="C52" s="6" t="str">
        <f>IFERROR(__xludf.DUMMYFUNCTION("""COMPUTED_VALUE"""),"semrush.com")</f>
        <v>semrush.com</v>
      </c>
      <c r="D52" s="7" t="str">
        <f>IFERROR(__xludf.DUMMYFUNCTION("""COMPUTED_VALUE"""),"CATEGORY_PAGE")</f>
        <v>CATEGORY_PAGE</v>
      </c>
      <c r="E52" s="7" t="str">
        <f>IFERROR(__xludf.DUMMYFUNCTION("""COMPUTED_VALUE"""),"CORPORATE")</f>
        <v>CORPORATE</v>
      </c>
      <c r="F52" s="7" t="str">
        <f>IFERROR(__xludf.DUMMYFUNCTION("""COMPUTED_VALUE"""),"Category Page")</f>
        <v>Category Page</v>
      </c>
      <c r="G52" s="7" t="b">
        <f>IFERROR(__xludf.DUMMYFUNCTION("""COMPUTED_VALUE"""),FALSE)</f>
        <v>0</v>
      </c>
      <c r="H52" s="7" t="str">
        <f>IFERROR(__xludf.DUMMYFUNCTION("""COMPUTED_VALUE"""),"Digital Nomads HQ, DNM Digital, Soup Agency, First Page, Clearwater Agency, Measured, Earned Media, Impressive, Online Marketing Gurus, Omnicom Media Group, Click Click Media, 80/20 Digital")</f>
        <v>Digital Nomads HQ, DNM Digital, Soup Agency, First Page, Clearwater Agency, Measured, Earned Media, Impressive, Online Marketing Gurus, Omnicom Media Group, Click Click Media, 80/20 Digital</v>
      </c>
      <c r="I52" s="7">
        <f>IFERROR(__xludf.DUMMYFUNCTION("""COMPUTED_VALUE"""),1.0)</f>
        <v>1</v>
      </c>
      <c r="J52" s="7">
        <f>IFERROR(__xludf.DUMMYFUNCTION("""COMPUTED_VALUE"""),0.0)</f>
        <v>0</v>
      </c>
      <c r="K52" s="7">
        <f>IFERROR(__xludf.DUMMYFUNCTION("""COMPUTED_VALUE"""),0.0)</f>
        <v>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location=":~:text=Recognisable%20clients%3A%20PepsiCo%2C%20St.%20George%20Bank%2C%20IAG%2C,at%20the%202018%20SEMrush%20Search%20Marketing%20Awards."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s>
  <drawing r:id="rId10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All'!A2:A1000)),""directiveconsulting"")
  ),
  """"
)"),"https://directiveconsulting.com/blog/best-geo-agencies/")</f>
        <v>https://directiveconsulting.com/blog/best-geo-agencies/</v>
      </c>
      <c r="B2" s="7" t="str">
        <f>IFERROR(__xludf.DUMMYFUNCTION("""COMPUTED_VALUE"""),"25 Best GEO Agencies For B2B - Directive")</f>
        <v>25 Best GEO Agencies For B2B - Directive</v>
      </c>
      <c r="C2" s="6" t="str">
        <f>IFERROR(__xludf.DUMMYFUNCTION("""COMPUTED_VALUE"""),"directiveconsulting.com")</f>
        <v>directiveconsulting.com</v>
      </c>
      <c r="D2" s="7" t="str">
        <f>IFERROR(__xludf.DUMMYFUNCTION("""COMPUTED_VALUE"""),"LISTICLE")</f>
        <v>LISTICLE</v>
      </c>
      <c r="E2" s="7" t="str">
        <f>IFERROR(__xludf.DUMMYFUNCTION("""COMPUTED_VALUE"""),"CORPORATE")</f>
        <v>CORPORATE</v>
      </c>
      <c r="F2" s="7" t="str">
        <f>IFERROR(__xludf.DUMMYFUNCTION("""COMPUTED_VALUE"""),"Listicle")</f>
        <v>Listicle</v>
      </c>
      <c r="G2" s="7" t="b">
        <f>IFERROR(__xludf.DUMMYFUNCTION("""COMPUTED_VALUE"""),FALSE)</f>
        <v>0</v>
      </c>
      <c r="H2" s="7" t="str">
        <f>IFERROR(__xludf.DUMMYFUNCTION("""COMPUTED_VALUE"""),"Earned Media, Intero Digital, First Page, Deloitte")</f>
        <v>Earned Media, Intero Digital, First Page, Deloitte</v>
      </c>
      <c r="I2" s="7">
        <f>IFERROR(__xludf.DUMMYFUNCTION("""COMPUTED_VALUE"""),8.0)</f>
        <v>8</v>
      </c>
      <c r="J2" s="7">
        <f>IFERROR(__xludf.DUMMYFUNCTION("""COMPUTED_VALUE"""),0.01)</f>
        <v>0.01</v>
      </c>
      <c r="K2" s="7">
        <f>IFERROR(__xludf.DUMMYFUNCTION("""COMPUTED_VALUE"""),0.0)</f>
        <v>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All'!A2:A1000)),""designrush.com"")
  ),
  """"
)"),"https://www.designrush.com/agency/creative-agencies/au")</f>
        <v>https://www.designrush.com/agency/creative-agencies/au</v>
      </c>
      <c r="B2" s="7" t="str">
        <f>IFERROR(__xludf.DUMMYFUNCTION("""COMPUTED_VALUE"""),"Top Creative Agencies in Australia | 2026")</f>
        <v>Top Creative Agencies in Australia | 2026</v>
      </c>
      <c r="C2" s="6" t="str">
        <f>IFERROR(__xludf.DUMMYFUNCTION("""COMPUTED_VALUE"""),"designrush.com")</f>
        <v>designrush.com</v>
      </c>
      <c r="D2" s="7" t="str">
        <f>IFERROR(__xludf.DUMMYFUNCTION("""COMPUTED_VALUE"""),"CATEGORY_PAGE")</f>
        <v>CATEGORY_PAGE</v>
      </c>
      <c r="E2" s="7" t="str">
        <f>IFERROR(__xludf.DUMMYFUNCTION("""COMPUTED_VALUE"""),"CORPORATE")</f>
        <v>CORPORATE</v>
      </c>
      <c r="F2" s="7" t="str">
        <f>IFERROR(__xludf.DUMMYFUNCTION("""COMPUTED_VALUE"""),"Category Page")</f>
        <v>Category Page</v>
      </c>
      <c r="G2" s="7" t="b">
        <f>IFERROR(__xludf.DUMMYFUNCTION("""COMPUTED_VALUE"""),FALSE)</f>
        <v>0</v>
      </c>
      <c r="H2" s="7"/>
      <c r="I2" s="7">
        <f>IFERROR(__xludf.DUMMYFUNCTION("""COMPUTED_VALUE"""),24.0)</f>
        <v>24</v>
      </c>
      <c r="J2" s="7">
        <f>IFERROR(__xludf.DUMMYFUNCTION("""COMPUTED_VALUE"""),0.03)</f>
        <v>0.03</v>
      </c>
      <c r="K2" s="7">
        <f>IFERROR(__xludf.DUMMYFUNCTION("""COMPUTED_VALUE"""),0.33)</f>
        <v>0.33</v>
      </c>
    </row>
    <row r="3" ht="15.75" customHeight="1">
      <c r="A3" s="6" t="str">
        <f>IFERROR(__xludf.DUMMYFUNCTION("""COMPUTED_VALUE"""),"https://www.designrush.com/agency/ad-agencies/au")</f>
        <v>https://www.designrush.com/agency/ad-agencies/au</v>
      </c>
      <c r="B3" s="7" t="str">
        <f>IFERROR(__xludf.DUMMYFUNCTION("""COMPUTED_VALUE"""),"Top Australia Advertising Agencies | 2026")</f>
        <v>Top Australia Advertising Agencies | 2026</v>
      </c>
      <c r="C3" s="6" t="str">
        <f>IFERROR(__xludf.DUMMYFUNCTION("""COMPUTED_VALUE"""),"designrush.com")</f>
        <v>designrush.com</v>
      </c>
      <c r="D3" s="7" t="str">
        <f>IFERROR(__xludf.DUMMYFUNCTION("""COMPUTED_VALUE"""),"CATEGORY_PAGE")</f>
        <v>CATEGORY_PAGE</v>
      </c>
      <c r="E3" s="7" t="str">
        <f>IFERROR(__xludf.DUMMYFUNCTION("""COMPUTED_VALUE"""),"CORPORATE")</f>
        <v>CORPORATE</v>
      </c>
      <c r="F3" s="7" t="str">
        <f>IFERROR(__xludf.DUMMYFUNCTION("""COMPUTED_VALUE"""),"Category Page")</f>
        <v>Category Page</v>
      </c>
      <c r="G3" s="7" t="b">
        <f>IFERROR(__xludf.DUMMYFUNCTION("""COMPUTED_VALUE"""),FALSE)</f>
        <v>0</v>
      </c>
      <c r="H3" s="7" t="str">
        <f>IFERROR(__xludf.DUMMYFUNCTION("""COMPUTED_VALUE"""),"Growth Digital, Soup Agency")</f>
        <v>Growth Digital, Soup Agency</v>
      </c>
      <c r="I3" s="7">
        <f>IFERROR(__xludf.DUMMYFUNCTION("""COMPUTED_VALUE"""),16.0)</f>
        <v>16</v>
      </c>
      <c r="J3" s="7">
        <f>IFERROR(__xludf.DUMMYFUNCTION("""COMPUTED_VALUE"""),0.02)</f>
        <v>0.02</v>
      </c>
      <c r="K3" s="7">
        <f>IFERROR(__xludf.DUMMYFUNCTION("""COMPUTED_VALUE"""),0.0)</f>
        <v>0</v>
      </c>
    </row>
    <row r="4" ht="15.75" customHeight="1">
      <c r="A4" s="6" t="str">
        <f>IFERROR(__xludf.DUMMYFUNCTION("""COMPUTED_VALUE"""),"https://www.designrush.com/agency/social-media-marketing/au")</f>
        <v>https://www.designrush.com/agency/social-media-marketing/au</v>
      </c>
      <c r="B4" s="7" t="str">
        <f>IFERROR(__xludf.DUMMYFUNCTION("""COMPUTED_VALUE"""),"Top Social Media Marketing Agencies in Australia | 2026")</f>
        <v>Top Social Media Marketing Agencies in Australia | 2026</v>
      </c>
      <c r="C4" s="6" t="str">
        <f>IFERROR(__xludf.DUMMYFUNCTION("""COMPUTED_VALUE"""),"designrush.com")</f>
        <v>designrush.com</v>
      </c>
      <c r="D4" s="7" t="str">
        <f>IFERROR(__xludf.DUMMYFUNCTION("""COMPUTED_VALUE"""),"LISTICLE")</f>
        <v>LISTICLE</v>
      </c>
      <c r="E4" s="7" t="str">
        <f>IFERROR(__xludf.DUMMYFUNCTION("""COMPUTED_VALUE"""),"CORPORATE")</f>
        <v>CORPORATE</v>
      </c>
      <c r="F4" s="7" t="str">
        <f>IFERROR(__xludf.DUMMYFUNCTION("""COMPUTED_VALUE"""),"Listicle")</f>
        <v>Listicle</v>
      </c>
      <c r="G4" s="7" t="b">
        <f>IFERROR(__xludf.DUMMYFUNCTION("""COMPUTED_VALUE"""),FALSE)</f>
        <v>0</v>
      </c>
      <c r="H4" s="7" t="str">
        <f>IFERROR(__xludf.DUMMYFUNCTION("""COMPUTED_VALUE"""),"Supple Digital, eMarket Experts, Online Marketing Gurus, SIXGUN, Digital Nomads HQ, Impressive, Deloitte, HERO")</f>
        <v>Supple Digital, eMarket Experts, Online Marketing Gurus, SIXGUN, Digital Nomads HQ, Impressive, Deloitte, HERO</v>
      </c>
      <c r="I4" s="7">
        <f>IFERROR(__xludf.DUMMYFUNCTION("""COMPUTED_VALUE"""),10.0)</f>
        <v>10</v>
      </c>
      <c r="J4" s="7">
        <f>IFERROR(__xludf.DUMMYFUNCTION("""COMPUTED_VALUE"""),0.01)</f>
        <v>0.01</v>
      </c>
      <c r="K4" s="7">
        <f>IFERROR(__xludf.DUMMYFUNCTION("""COMPUTED_VALUE"""),0.1)</f>
        <v>0.1</v>
      </c>
    </row>
    <row r="5" ht="15.75" customHeight="1">
      <c r="A5" s="6" t="str">
        <f>IFERROR(__xludf.DUMMYFUNCTION("""COMPUTED_VALUE"""),"https://www.designrush.com/agency/digital-marketing/au")</f>
        <v>https://www.designrush.com/agency/digital-marketing/au</v>
      </c>
      <c r="B5" s="7" t="str">
        <f>IFERROR(__xludf.DUMMYFUNCTION("""COMPUTED_VALUE"""),"Top Digital Marketing Agencies in Australia | 2026")</f>
        <v>Top Digital Marketing Agencies in Australia | 2026</v>
      </c>
      <c r="C5" s="6" t="str">
        <f>IFERROR(__xludf.DUMMYFUNCTION("""COMPUTED_VALUE"""),"designrush.com")</f>
        <v>designrush.com</v>
      </c>
      <c r="D5" s="7" t="str">
        <f>IFERROR(__xludf.DUMMYFUNCTION("""COMPUTED_VALUE"""),"LISTICLE")</f>
        <v>LISTICLE</v>
      </c>
      <c r="E5" s="7" t="str">
        <f>IFERROR(__xludf.DUMMYFUNCTION("""COMPUTED_VALUE"""),"CORPORATE")</f>
        <v>CORPORATE</v>
      </c>
      <c r="F5" s="7" t="str">
        <f>IFERROR(__xludf.DUMMYFUNCTION("""COMPUTED_VALUE"""),"Listicle")</f>
        <v>Listicle</v>
      </c>
      <c r="G5" s="7" t="b">
        <f>IFERROR(__xludf.DUMMYFUNCTION("""COMPUTED_VALUE"""),FALSE)</f>
        <v>0</v>
      </c>
      <c r="H5" s="7" t="str">
        <f>IFERROR(__xludf.DUMMYFUNCTION("""COMPUTED_VALUE"""),"First Page, First Page Australia, Impressive, Deloitte, Supple Digital, eMarket Experts, Online Marketing Gurus, SIXGUN, Digital Nomads HQ, 23 Digital")</f>
        <v>First Page, First Page Australia, Impressive, Deloitte, Supple Digital, eMarket Experts, Online Marketing Gurus, SIXGUN, Digital Nomads HQ, 23 Digital</v>
      </c>
      <c r="I5" s="7">
        <f>IFERROR(__xludf.DUMMYFUNCTION("""COMPUTED_VALUE"""),9.0)</f>
        <v>9</v>
      </c>
      <c r="J5" s="7">
        <f>IFERROR(__xludf.DUMMYFUNCTION("""COMPUTED_VALUE"""),0.01)</f>
        <v>0.01</v>
      </c>
      <c r="K5" s="7">
        <f>IFERROR(__xludf.DUMMYFUNCTION("""COMPUTED_VALUE"""),0.44)</f>
        <v>0.44</v>
      </c>
    </row>
    <row r="6" ht="15.75" customHeight="1">
      <c r="A6" s="6" t="str">
        <f>IFERROR(__xludf.DUMMYFUNCTION("""COMPUTED_VALUE"""),"https://www.designrush.com/agency/paid-media-pay-per-click/au?page=6")</f>
        <v>https://www.designrush.com/agency/paid-media-pay-per-click/au?page=6</v>
      </c>
      <c r="B6" s="7" t="str">
        <f>IFERROR(__xludf.DUMMYFUNCTION("""COMPUTED_VALUE"""),"Top PPC Services in Australia - Page 6")</f>
        <v>Top PPC Services in Australia - Page 6</v>
      </c>
      <c r="C6" s="6" t="str">
        <f>IFERROR(__xludf.DUMMYFUNCTION("""COMPUTED_VALUE"""),"designrush.com")</f>
        <v>designrush.com</v>
      </c>
      <c r="D6" s="7" t="str">
        <f>IFERROR(__xludf.DUMMYFUNCTION("""COMPUTED_VALUE"""),"PRODUCT_PAGE")</f>
        <v>PRODUCT_PAGE</v>
      </c>
      <c r="E6" s="7" t="str">
        <f>IFERROR(__xludf.DUMMYFUNCTION("""COMPUTED_VALUE"""),"CORPORATE")</f>
        <v>CORPORATE</v>
      </c>
      <c r="F6" s="7" t="str">
        <f>IFERROR(__xludf.DUMMYFUNCTION("""COMPUTED_VALUE"""),"Product Page")</f>
        <v>Product Page</v>
      </c>
      <c r="G6" s="7" t="b">
        <f>IFERROR(__xludf.DUMMYFUNCTION("""COMPUTED_VALUE"""),FALSE)</f>
        <v>0</v>
      </c>
      <c r="H6" s="7" t="str">
        <f>IFERROR(__xludf.DUMMYFUNCTION("""COMPUTED_VALUE"""),"Reload Media, Impressive, Zib Digital, AdVisible")</f>
        <v>Reload Media, Impressive, Zib Digital, AdVisible</v>
      </c>
      <c r="I6" s="7">
        <f>IFERROR(__xludf.DUMMYFUNCTION("""COMPUTED_VALUE"""),5.0)</f>
        <v>5</v>
      </c>
      <c r="J6" s="7">
        <f>IFERROR(__xludf.DUMMYFUNCTION("""COMPUTED_VALUE"""),0.01)</f>
        <v>0.01</v>
      </c>
      <c r="K6" s="7">
        <f>IFERROR(__xludf.DUMMYFUNCTION("""COMPUTED_VALUE"""),2.2)</f>
        <v>2.2</v>
      </c>
    </row>
    <row r="7" ht="15.75" customHeight="1">
      <c r="A7" s="6" t="str">
        <f>IFERROR(__xludf.DUMMYFUNCTION("""COMPUTED_VALUE"""),"https://www.designrush.com/agency/digital-agencies/au")</f>
        <v>https://www.designrush.com/agency/digital-agencies/au</v>
      </c>
      <c r="B7" s="7" t="str">
        <f>IFERROR(__xludf.DUMMYFUNCTION("""COMPUTED_VALUE"""),"Top Digital Agencies in Australia | 2026")</f>
        <v>Top Digital Agencies in Australia | 2026</v>
      </c>
      <c r="C7" s="6" t="str">
        <f>IFERROR(__xludf.DUMMYFUNCTION("""COMPUTED_VALUE"""),"designrush.com")</f>
        <v>designrush.com</v>
      </c>
      <c r="D7" s="7" t="str">
        <f>IFERROR(__xludf.DUMMYFUNCTION("""COMPUTED_VALUE"""),"LISTICLE")</f>
        <v>LISTICLE</v>
      </c>
      <c r="E7" s="7" t="str">
        <f>IFERROR(__xludf.DUMMYFUNCTION("""COMPUTED_VALUE"""),"CORPORATE")</f>
        <v>CORPORATE</v>
      </c>
      <c r="F7" s="7" t="str">
        <f>IFERROR(__xludf.DUMMYFUNCTION("""COMPUTED_VALUE"""),"Listicle")</f>
        <v>Listicle</v>
      </c>
      <c r="G7" s="7" t="b">
        <f>IFERROR(__xludf.DUMMYFUNCTION("""COMPUTED_VALUE"""),FALSE)</f>
        <v>0</v>
      </c>
      <c r="H7" s="7" t="str">
        <f>IFERROR(__xludf.DUMMYFUNCTION("""COMPUTED_VALUE"""),"Impressive, Digital Nomads HQ, 80/20 Digital, Luminary, Edge Marketing")</f>
        <v>Impressive, Digital Nomads HQ, 80/20 Digital, Luminary, Edge Marketing</v>
      </c>
      <c r="I7" s="7">
        <f>IFERROR(__xludf.DUMMYFUNCTION("""COMPUTED_VALUE"""),3.0)</f>
        <v>3</v>
      </c>
      <c r="J7" s="7">
        <f>IFERROR(__xludf.DUMMYFUNCTION("""COMPUTED_VALUE"""),0.0)</f>
        <v>0</v>
      </c>
      <c r="K7" s="7">
        <f>IFERROR(__xludf.DUMMYFUNCTION("""COMPUTED_VALUE"""),0.0)</f>
        <v>0</v>
      </c>
    </row>
    <row r="8" ht="15.75" customHeight="1">
      <c r="A8" s="6" t="str">
        <f>IFERROR(__xludf.DUMMYFUNCTION("""COMPUTED_VALUE"""),"https://www.designrush.com/agency/paid-media-pay-per-click/au/melbourne")</f>
        <v>https://www.designrush.com/agency/paid-media-pay-per-click/au/melbourne</v>
      </c>
      <c r="B8" s="7" t="str">
        <f>IFERROR(__xludf.DUMMYFUNCTION("""COMPUTED_VALUE"""),"Top PPC Agencies in Melbourne | 2026")</f>
        <v>Top PPC Agencies in Melbourne | 2026</v>
      </c>
      <c r="C8" s="6" t="str">
        <f>IFERROR(__xludf.DUMMYFUNCTION("""COMPUTED_VALUE"""),"designrush.com")</f>
        <v>designrush.com</v>
      </c>
      <c r="D8" s="7" t="str">
        <f>IFERROR(__xludf.DUMMYFUNCTION("""COMPUTED_VALUE"""),"LISTICLE")</f>
        <v>LISTICLE</v>
      </c>
      <c r="E8" s="7" t="str">
        <f>IFERROR(__xludf.DUMMYFUNCTION("""COMPUTED_VALUE"""),"CORPORATE")</f>
        <v>CORPORATE</v>
      </c>
      <c r="F8" s="7" t="str">
        <f>IFERROR(__xludf.DUMMYFUNCTION("""COMPUTED_VALUE"""),"Listicle")</f>
        <v>Listicle</v>
      </c>
      <c r="G8" s="7" t="b">
        <f>IFERROR(__xludf.DUMMYFUNCTION("""COMPUTED_VALUE"""),FALSE)</f>
        <v>0</v>
      </c>
      <c r="H8" s="7" t="str">
        <f>IFERROR(__xludf.DUMMYFUNCTION("""COMPUTED_VALUE"""),"eMarket Experts, First Page, Supple Digital, Online Marketing Gurus, SIXGUN, Predicta Digital, First Page Australia, Impressive")</f>
        <v>eMarket Experts, First Page, Supple Digital, Online Marketing Gurus, SIXGUN, Predicta Digital, First Page Australia, Impressive</v>
      </c>
      <c r="I8" s="7">
        <f>IFERROR(__xludf.DUMMYFUNCTION("""COMPUTED_VALUE"""),3.0)</f>
        <v>3</v>
      </c>
      <c r="J8" s="7">
        <f>IFERROR(__xludf.DUMMYFUNCTION("""COMPUTED_VALUE"""),0.0)</f>
        <v>0</v>
      </c>
      <c r="K8" s="7">
        <f>IFERROR(__xludf.DUMMYFUNCTION("""COMPUTED_VALUE"""),0.0)</f>
        <v>0</v>
      </c>
    </row>
    <row r="9" ht="15.75" customHeight="1">
      <c r="A9" s="6" t="str">
        <f>IFERROR(__xludf.DUMMYFUNCTION("""COMPUTED_VALUE"""),"https://www.designrush.com/agency/ad-agencies/au/melbourne")</f>
        <v>https://www.designrush.com/agency/ad-agencies/au/melbourne</v>
      </c>
      <c r="B9" s="7" t="str">
        <f>IFERROR(__xludf.DUMMYFUNCTION("""COMPUTED_VALUE"""),"Top Advertising Agencies in Melbourne | 2026")</f>
        <v>Top Advertising Agencies in Melbourne | 2026</v>
      </c>
      <c r="C9" s="6" t="str">
        <f>IFERROR(__xludf.DUMMYFUNCTION("""COMPUTED_VALUE"""),"designrush.com")</f>
        <v>designrush.com</v>
      </c>
      <c r="D9" s="7" t="str">
        <f>IFERROR(__xludf.DUMMYFUNCTION("""COMPUTED_VALUE"""),"CATEGORY_PAGE")</f>
        <v>CATEGORY_PAGE</v>
      </c>
      <c r="E9" s="7" t="str">
        <f>IFERROR(__xludf.DUMMYFUNCTION("""COMPUTED_VALUE"""),"CORPORATE")</f>
        <v>CORPORATE</v>
      </c>
      <c r="F9" s="7" t="str">
        <f>IFERROR(__xludf.DUMMYFUNCTION("""COMPUTED_VALUE"""),"Category Page")</f>
        <v>Category Page</v>
      </c>
      <c r="G9" s="7" t="b">
        <f>IFERROR(__xludf.DUMMYFUNCTION("""COMPUTED_VALUE"""),FALSE)</f>
        <v>0</v>
      </c>
      <c r="H9" s="7" t="str">
        <f>IFERROR(__xludf.DUMMYFUNCTION("""COMPUTED_VALUE"""),"Elephant In The Boardroom, Omnicom Media Group, First Page, First Page Australia, The Monkeys")</f>
        <v>Elephant In The Boardroom, Omnicom Media Group, First Page, First Page Australia, The Monkeys</v>
      </c>
      <c r="I9" s="7">
        <f>IFERROR(__xludf.DUMMYFUNCTION("""COMPUTED_VALUE"""),2.0)</f>
        <v>2</v>
      </c>
      <c r="J9" s="7">
        <f>IFERROR(__xludf.DUMMYFUNCTION("""COMPUTED_VALUE"""),0.0)</f>
        <v>0</v>
      </c>
      <c r="K9" s="7">
        <f>IFERROR(__xludf.DUMMYFUNCTION("""COMPUTED_VALUE"""),0.0)</f>
        <v>0</v>
      </c>
    </row>
    <row r="10" ht="15.75" customHeight="1">
      <c r="A10" s="6" t="str">
        <f>IFERROR(__xludf.DUMMYFUNCTION("""COMPUTED_VALUE"""),"https://www.designrush.com/agency/digital-marketing/analytics")</f>
        <v>https://www.designrush.com/agency/digital-marketing/analytics</v>
      </c>
      <c r="B10" s="7" t="str">
        <f>IFERROR(__xludf.DUMMYFUNCTION("""COMPUTED_VALUE"""),"Top Marketing Analytics Agencies in 2026")</f>
        <v>Top Marketing Analytics Agencies in 2026</v>
      </c>
      <c r="C10" s="6" t="str">
        <f>IFERROR(__xludf.DUMMYFUNCTION("""COMPUTED_VALUE"""),"designrush.com")</f>
        <v>designrush.com</v>
      </c>
      <c r="D10" s="7" t="str">
        <f>IFERROR(__xludf.DUMMYFUNCTION("""COMPUTED_VALUE"""),"CATEGORY_PAGE")</f>
        <v>CATEGORY_PAGE</v>
      </c>
      <c r="E10" s="7" t="str">
        <f>IFERROR(__xludf.DUMMYFUNCTION("""COMPUTED_VALUE"""),"CORPORATE")</f>
        <v>CORPORATE</v>
      </c>
      <c r="F10" s="7" t="str">
        <f>IFERROR(__xludf.DUMMYFUNCTION("""COMPUTED_VALUE"""),"Category Page")</f>
        <v>Category Page</v>
      </c>
      <c r="G10" s="7" t="b">
        <f>IFERROR(__xludf.DUMMYFUNCTION("""COMPUTED_VALUE"""),FALSE)</f>
        <v>0</v>
      </c>
      <c r="H10" s="7" t="str">
        <f>IFERROR(__xludf.DUMMYFUNCTION("""COMPUTED_VALUE"""),"Huge, Supple Digital, Deloitte, Intero Digital")</f>
        <v>Huge, Supple Digital, Deloitte, Intero Digital</v>
      </c>
      <c r="I10" s="7">
        <f>IFERROR(__xludf.DUMMYFUNCTION("""COMPUTED_VALUE"""),2.0)</f>
        <v>2</v>
      </c>
      <c r="J10" s="7">
        <f>IFERROR(__xludf.DUMMYFUNCTION("""COMPUTED_VALUE"""),0.0)</f>
        <v>0</v>
      </c>
      <c r="K10" s="7">
        <f>IFERROR(__xludf.DUMMYFUNCTION("""COMPUTED_VALUE"""),0.0)</f>
        <v>0</v>
      </c>
    </row>
    <row r="11" ht="15.75" customHeight="1">
      <c r="A11" s="6" t="str">
        <f>IFERROR(__xludf.DUMMYFUNCTION("""COMPUTED_VALUE"""),"https://www.designrush.com/agency/paid-media-pay-per-click/au/sydney")</f>
        <v>https://www.designrush.com/agency/paid-media-pay-per-click/au/sydney</v>
      </c>
      <c r="B11" s="7" t="str">
        <f>IFERROR(__xludf.DUMMYFUNCTION("""COMPUTED_VALUE"""),"Top PPC Agencies in Sydney | 2026")</f>
        <v>Top PPC Agencies in Sydney | 2026</v>
      </c>
      <c r="C11" s="6" t="str">
        <f>IFERROR(__xludf.DUMMYFUNCTION("""COMPUTED_VALUE"""),"designrush.com")</f>
        <v>designrush.com</v>
      </c>
      <c r="D11" s="7" t="str">
        <f>IFERROR(__xludf.DUMMYFUNCTION("""COMPUTED_VALUE"""),"CATEGORY_PAGE")</f>
        <v>CATEGORY_PAGE</v>
      </c>
      <c r="E11" s="7" t="str">
        <f>IFERROR(__xludf.DUMMYFUNCTION("""COMPUTED_VALUE"""),"CORPORATE")</f>
        <v>CORPORATE</v>
      </c>
      <c r="F11" s="7" t="str">
        <f>IFERROR(__xludf.DUMMYFUNCTION("""COMPUTED_VALUE"""),"Category Page")</f>
        <v>Category Page</v>
      </c>
      <c r="G11" s="7" t="b">
        <f>IFERROR(__xludf.DUMMYFUNCTION("""COMPUTED_VALUE"""),FALSE)</f>
        <v>0</v>
      </c>
      <c r="H11" s="7" t="str">
        <f>IFERROR(__xludf.DUMMYFUNCTION("""COMPUTED_VALUE"""),"Impressive, Supple Digital, Online Marketing Gurus, Soup Agency, Clearwater Agency, Human Digital")</f>
        <v>Impressive, Supple Digital, Online Marketing Gurus, Soup Agency, Clearwater Agency, Human Digital</v>
      </c>
      <c r="I11" s="7">
        <f>IFERROR(__xludf.DUMMYFUNCTION("""COMPUTED_VALUE"""),2.0)</f>
        <v>2</v>
      </c>
      <c r="J11" s="7">
        <f>IFERROR(__xludf.DUMMYFUNCTION("""COMPUTED_VALUE"""),0.0)</f>
        <v>0</v>
      </c>
      <c r="K11" s="7">
        <f>IFERROR(__xludf.DUMMYFUNCTION("""COMPUTED_VALUE"""),0.0)</f>
        <v>0</v>
      </c>
    </row>
    <row r="12" ht="15.75" customHeight="1">
      <c r="A12" s="6" t="str">
        <f>IFERROR(__xludf.DUMMYFUNCTION("""COMPUTED_VALUE"""),"https://www.designrush.com/agency/conversion-optimization/au")</f>
        <v>https://www.designrush.com/agency/conversion-optimization/au</v>
      </c>
      <c r="B12" s="7" t="str">
        <f>IFERROR(__xludf.DUMMYFUNCTION("""COMPUTED_VALUE"""),"Top Conversion Rate Optimization Services in Australia | 2026")</f>
        <v>Top Conversion Rate Optimization Services in Australia | 2026</v>
      </c>
      <c r="C12" s="6" t="str">
        <f>IFERROR(__xludf.DUMMYFUNCTION("""COMPUTED_VALUE"""),"designrush.com")</f>
        <v>designrush.com</v>
      </c>
      <c r="D12" s="7" t="str">
        <f>IFERROR(__xludf.DUMMYFUNCTION("""COMPUTED_VALUE"""),"LISTICLE")</f>
        <v>LISTICLE</v>
      </c>
      <c r="E12" s="7" t="str">
        <f>IFERROR(__xludf.DUMMYFUNCTION("""COMPUTED_VALUE"""),"CORPORATE")</f>
        <v>CORPORATE</v>
      </c>
      <c r="F12" s="7" t="str">
        <f>IFERROR(__xludf.DUMMYFUNCTION("""COMPUTED_VALUE"""),"Listicle")</f>
        <v>Listicle</v>
      </c>
      <c r="G12" s="7" t="b">
        <f>IFERROR(__xludf.DUMMYFUNCTION("""COMPUTED_VALUE"""),FALSE)</f>
        <v>0</v>
      </c>
      <c r="H12" s="7" t="str">
        <f>IFERROR(__xludf.DUMMYFUNCTION("""COMPUTED_VALUE"""),"Impressive, Deloitte, eMarket Experts, SIXGUN, In Marketing We Trust, Luminary, Soup Agency, Growth Digital, Digitxl")</f>
        <v>Impressive, Deloitte, eMarket Experts, SIXGUN, In Marketing We Trust, Luminary, Soup Agency, Growth Digital, Digitxl</v>
      </c>
      <c r="I12" s="7">
        <f>IFERROR(__xludf.DUMMYFUNCTION("""COMPUTED_VALUE"""),1.0)</f>
        <v>1</v>
      </c>
      <c r="J12" s="7">
        <f>IFERROR(__xludf.DUMMYFUNCTION("""COMPUTED_VALUE"""),0.0)</f>
        <v>0</v>
      </c>
      <c r="K12" s="7">
        <f>IFERROR(__xludf.DUMMYFUNCTION("""COMPUTED_VALUE"""),1.0)</f>
        <v>1</v>
      </c>
    </row>
    <row r="13" ht="15.75" customHeight="1">
      <c r="A13" s="6" t="str">
        <f>IFERROR(__xludf.DUMMYFUNCTION("""COMPUTED_VALUE"""),"https://www.designrush.com/agency/digital-marketing/trends/incrementality-testing")</f>
        <v>https://www.designrush.com/agency/digital-marketing/trends/incrementality-testing</v>
      </c>
      <c r="B13" s="7" t="str">
        <f>IFERROR(__xludf.DUMMYFUNCTION("""COMPUTED_VALUE"""),"Incrementality Testing: Measure True Marketing Impact")</f>
        <v>Incrementality Testing: Measure True Marketing Impact</v>
      </c>
      <c r="C13" s="6" t="str">
        <f>IFERROR(__xludf.DUMMYFUNCTION("""COMPUTED_VALUE"""),"designrush.com")</f>
        <v>designrush.com</v>
      </c>
      <c r="D13" s="7" t="str">
        <f>IFERROR(__xludf.DUMMYFUNCTION("""COMPUTED_VALUE"""),"ARTICLE")</f>
        <v>ARTICLE</v>
      </c>
      <c r="E13" s="7" t="str">
        <f>IFERROR(__xludf.DUMMYFUNCTION("""COMPUTED_VALUE"""),"CORPORATE")</f>
        <v>CORPORATE</v>
      </c>
      <c r="F13" s="7" t="str">
        <f>IFERROR(__xludf.DUMMYFUNCTION("""COMPUTED_VALUE"""),"Article")</f>
        <v>Article</v>
      </c>
      <c r="G13" s="7" t="b">
        <f>IFERROR(__xludf.DUMMYFUNCTION("""COMPUTED_VALUE"""),FALSE)</f>
        <v>0</v>
      </c>
      <c r="H13" s="7" t="str">
        <f>IFERROR(__xludf.DUMMYFUNCTION("""COMPUTED_VALUE"""),"Measured, Power Digital")</f>
        <v>Measured, Power Digital</v>
      </c>
      <c r="I13" s="7">
        <f>IFERROR(__xludf.DUMMYFUNCTION("""COMPUTED_VALUE"""),1.0)</f>
        <v>1</v>
      </c>
      <c r="J13" s="7">
        <f>IFERROR(__xludf.DUMMYFUNCTION("""COMPUTED_VALUE"""),0.0)</f>
        <v>0</v>
      </c>
      <c r="K13" s="7">
        <f>IFERROR(__xludf.DUMMYFUNCTION("""COMPUTED_VALUE"""),1.0)</f>
        <v>1</v>
      </c>
    </row>
    <row r="14" ht="15.75" customHeight="1">
      <c r="A14" s="6" t="str">
        <f>IFERROR(__xludf.DUMMYFUNCTION("""COMPUTED_VALUE"""),"https://www.designrush.com/agency/paid-media-pay-per-click/au")</f>
        <v>https://www.designrush.com/agency/paid-media-pay-per-click/au</v>
      </c>
      <c r="B14" s="7" t="str">
        <f>IFERROR(__xludf.DUMMYFUNCTION("""COMPUTED_VALUE"""),"Top PPC Services in Australia | 2026")</f>
        <v>Top PPC Services in Australia | 2026</v>
      </c>
      <c r="C14" s="6" t="str">
        <f>IFERROR(__xludf.DUMMYFUNCTION("""COMPUTED_VALUE"""),"designrush.com")</f>
        <v>designrush.com</v>
      </c>
      <c r="D14" s="7" t="str">
        <f>IFERROR(__xludf.DUMMYFUNCTION("""COMPUTED_VALUE"""),"HOW_TO_GUIDE")</f>
        <v>HOW_TO_GUIDE</v>
      </c>
      <c r="E14" s="7" t="str">
        <f>IFERROR(__xludf.DUMMYFUNCTION("""COMPUTED_VALUE"""),"CORPORATE")</f>
        <v>CORPORATE</v>
      </c>
      <c r="F14" s="7" t="str">
        <f>IFERROR(__xludf.DUMMYFUNCTION("""COMPUTED_VALUE"""),"How-To Guide")</f>
        <v>How-To Guide</v>
      </c>
      <c r="G14" s="7" t="b">
        <f>IFERROR(__xludf.DUMMYFUNCTION("""COMPUTED_VALUE"""),FALSE)</f>
        <v>0</v>
      </c>
      <c r="H14" s="7" t="str">
        <f>IFERROR(__xludf.DUMMYFUNCTION("""COMPUTED_VALUE"""),"Impressive, Supple Digital, eMarket Experts, Online Marketing Gurus, SIXGUN, Digital Nomads HQ, Soup Agency, 80/20 Digital")</f>
        <v>Impressive, Supple Digital, eMarket Experts, Online Marketing Gurus, SIXGUN, Digital Nomads HQ, Soup Agency, 80/20 Digital</v>
      </c>
      <c r="I14" s="7">
        <f>IFERROR(__xludf.DUMMYFUNCTION("""COMPUTED_VALUE"""),1.0)</f>
        <v>1</v>
      </c>
      <c r="J14" s="7">
        <f>IFERROR(__xludf.DUMMYFUNCTION("""COMPUTED_VALUE"""),0.0)</f>
        <v>0</v>
      </c>
      <c r="K14" s="7">
        <f>IFERROR(__xludf.DUMMYFUNCTION("""COMPUTED_VALUE"""),0.0)</f>
        <v>0</v>
      </c>
    </row>
    <row r="15" ht="15.75" customHeight="1">
      <c r="A15" s="6" t="str">
        <f>IFERROR(__xludf.DUMMYFUNCTION("""COMPUTED_VALUE"""),"https://www.designrush.com/agency/paid-media-pay-per-click/google-adwords/au")</f>
        <v>https://www.designrush.com/agency/paid-media-pay-per-click/google-adwords/au</v>
      </c>
      <c r="B15" s="7" t="str">
        <f>IFERROR(__xludf.DUMMYFUNCTION("""COMPUTED_VALUE"""),"Top Google Ads Agencies in Australia | 2026")</f>
        <v>Top Google Ads Agencies in Australia | 2026</v>
      </c>
      <c r="C15" s="6" t="str">
        <f>IFERROR(__xludf.DUMMYFUNCTION("""COMPUTED_VALUE"""),"designrush.com")</f>
        <v>designrush.com</v>
      </c>
      <c r="D15" s="7" t="str">
        <f>IFERROR(__xludf.DUMMYFUNCTION("""COMPUTED_VALUE"""),"CATEGORY_PAGE")</f>
        <v>CATEGORY_PAGE</v>
      </c>
      <c r="E15" s="7" t="str">
        <f>IFERROR(__xludf.DUMMYFUNCTION("""COMPUTED_VALUE"""),"CORPORATE")</f>
        <v>CORPORATE</v>
      </c>
      <c r="F15" s="7" t="str">
        <f>IFERROR(__xludf.DUMMYFUNCTION("""COMPUTED_VALUE"""),"Category Page")</f>
        <v>Category Page</v>
      </c>
      <c r="G15" s="7" t="b">
        <f>IFERROR(__xludf.DUMMYFUNCTION("""COMPUTED_VALUE"""),FALSE)</f>
        <v>0</v>
      </c>
      <c r="H15" s="7" t="str">
        <f>IFERROR(__xludf.DUMMYFUNCTION("""COMPUTED_VALUE"""),"Impressive, Supple Digital, eMarket Experts, Online Marketing Gurus, SIXGUN, Digital Nomads HQ")</f>
        <v>Impressive, Supple Digital, eMarket Experts, Online Marketing Gurus, SIXGUN, Digital Nomads HQ</v>
      </c>
      <c r="I15" s="7">
        <f>IFERROR(__xludf.DUMMYFUNCTION("""COMPUTED_VALUE"""),1.0)</f>
        <v>1</v>
      </c>
      <c r="J15" s="7">
        <f>IFERROR(__xludf.DUMMYFUNCTION("""COMPUTED_VALUE"""),0.0)</f>
        <v>0</v>
      </c>
      <c r="K15" s="7">
        <f>IFERROR(__xludf.DUMMYFUNCTION("""COMPUTED_VALUE"""),1.0)</f>
        <v>1</v>
      </c>
    </row>
    <row r="16" ht="15.75" customHeight="1">
      <c r="A16" s="6" t="str">
        <f>IFERROR(__xludf.DUMMYFUNCTION("""COMPUTED_VALUE"""),"https://www.designrush.com/agency/search-engine-optimization/au")</f>
        <v>https://www.designrush.com/agency/search-engine-optimization/au</v>
      </c>
      <c r="B16" s="7" t="str">
        <f>IFERROR(__xludf.DUMMYFUNCTION("""COMPUTED_VALUE"""),"Top SEO Agencies in Australia | 2026")</f>
        <v>Top SEO Agencies in Australia | 2026</v>
      </c>
      <c r="C16" s="6" t="str">
        <f>IFERROR(__xludf.DUMMYFUNCTION("""COMPUTED_VALUE"""),"designrush.com")</f>
        <v>designrush.com</v>
      </c>
      <c r="D16" s="7" t="str">
        <f>IFERROR(__xludf.DUMMYFUNCTION("""COMPUTED_VALUE"""),"CATEGORY_PAGE")</f>
        <v>CATEGORY_PAGE</v>
      </c>
      <c r="E16" s="7" t="str">
        <f>IFERROR(__xludf.DUMMYFUNCTION("""COMPUTED_VALUE"""),"CORPORATE")</f>
        <v>CORPORATE</v>
      </c>
      <c r="F16" s="7" t="str">
        <f>IFERROR(__xludf.DUMMYFUNCTION("""COMPUTED_VALUE"""),"Category Page")</f>
        <v>Category Page</v>
      </c>
      <c r="G16" s="7" t="b">
        <f>IFERROR(__xludf.DUMMYFUNCTION("""COMPUTED_VALUE"""),FALSE)</f>
        <v>0</v>
      </c>
      <c r="H16" s="7" t="str">
        <f>IFERROR(__xludf.DUMMYFUNCTION("""COMPUTED_VALUE"""),"Impressive, First Page, First Page Australia, Supple Digital, eMarket Experts, Online Marketing Gurus, SIXGUN, UR Digital, Digital Nomads HQ, Saatchi &amp; Saatchi")</f>
        <v>Impressive, First Page, First Page Australia, Supple Digital, eMarket Experts, Online Marketing Gurus, SIXGUN, UR Digital, Digital Nomads HQ, Saatchi &amp; Saatchi</v>
      </c>
      <c r="I16" s="7">
        <f>IFERROR(__xludf.DUMMYFUNCTION("""COMPUTED_VALUE"""),1.0)</f>
        <v>1</v>
      </c>
      <c r="J16" s="7">
        <f>IFERROR(__xludf.DUMMYFUNCTION("""COMPUTED_VALUE"""),0.0)</f>
        <v>0</v>
      </c>
      <c r="K16" s="7">
        <f>IFERROR(__xludf.DUMMYFUNCTION("""COMPUTED_VALUE"""),0.0)</f>
        <v>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s>
  <drawing r:id="rId3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7" t="str">
        <f>IFERROR(__xludf.DUMMYFUNCTION("IFERROR(
  FILTER(
    'PEEC - URLs - All'!A2:K1000,
    REGEXMATCH(LOWER(TO_TEXT('PEEC - URLs - All'!A2:A1000)),""tripadvisor"")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All'!A2:A1000)),""reddit"")
  ),
  """"
)"),"https://www.reddit.com/r/BestInAustralia/comments/1rwwbcw/5_best_digital_marketing_agencies_leveraging_ai/")</f>
        <v>https://www.reddit.com/r/BestInAustralia/comments/1rwwbcw/5_best_digital_marketing_agencies_leveraging_ai/</v>
      </c>
      <c r="B2" s="7" t="str">
        <f>IFERROR(__xludf.DUMMYFUNCTION("""COMPUTED_VALUE"""),"5 Best Digital Marketing Agencies Leveraging AI in Australia (2026 Guide)")</f>
        <v>5 Best Digital Marketing Agencies Leveraging AI in Australia (2026 Guide)</v>
      </c>
      <c r="C2" s="6" t="str">
        <f>IFERROR(__xludf.DUMMYFUNCTION("""COMPUTED_VALUE"""),"reddit.com")</f>
        <v>reddit.com</v>
      </c>
      <c r="D2" s="7" t="str">
        <f>IFERROR(__xludf.DUMMYFUNCTION("""COMPUTED_VALUE"""),"DISCUSSION")</f>
        <v>DISCUSSION</v>
      </c>
      <c r="E2" s="7" t="str">
        <f>IFERROR(__xludf.DUMMYFUNCTION("""COMPUTED_VALUE"""),"UGC")</f>
        <v>UGC</v>
      </c>
      <c r="F2" s="7" t="str">
        <f>IFERROR(__xludf.DUMMYFUNCTION("""COMPUTED_VALUE"""),"Discussion")</f>
        <v>Discussion</v>
      </c>
      <c r="G2" s="7" t="b">
        <f>IFERROR(__xludf.DUMMYFUNCTION("""COMPUTED_VALUE"""),FALSE)</f>
        <v>0</v>
      </c>
      <c r="H2" s="7" t="str">
        <f>IFERROR(__xludf.DUMMYFUNCTION("""COMPUTED_VALUE"""),"Rocket Agency, Marketix Digital, Alley Group, In Marketing We Trust, Digital Nomads HQ")</f>
        <v>Rocket Agency, Marketix Digital, Alley Group, In Marketing We Trust, Digital Nomads HQ</v>
      </c>
      <c r="I2" s="7">
        <f>IFERROR(__xludf.DUMMYFUNCTION("""COMPUTED_VALUE"""),34.0)</f>
        <v>34</v>
      </c>
      <c r="J2" s="7">
        <f>IFERROR(__xludf.DUMMYFUNCTION("""COMPUTED_VALUE"""),0.04)</f>
        <v>0.04</v>
      </c>
      <c r="K2" s="7">
        <f>IFERROR(__xludf.DUMMYFUNCTION("""COMPUTED_VALUE"""),2.21)</f>
        <v>2.21</v>
      </c>
    </row>
    <row r="3" ht="15.75" customHeight="1">
      <c r="A3" s="6" t="str">
        <f>IFERROR(__xludf.DUMMYFUNCTION("""COMPUTED_VALUE"""),"https://www.reddit.com/r/Superframeworks/comments/1twfxf1/10_best_ai_seo_geoaeo_agencies_for_2026_no/")</f>
        <v>https://www.reddit.com/r/Superframeworks/comments/1twfxf1/10_best_ai_seo_geoaeo_agencies_for_2026_no/</v>
      </c>
      <c r="B3" s="7" t="str">
        <f>IFERROR(__xludf.DUMMYFUNCTION("""COMPUTED_VALUE"""),"10 Best AI SEO (GEO/AEO) Agencies for 2026: No Self-Ranking, Verified by Clutch Reviews and Real AI-Citation Proof")</f>
        <v>10 Best AI SEO (GEO/AEO) Agencies for 2026: No Self-Ranking, Verified by Clutch Reviews and Real AI-Citation Proof</v>
      </c>
      <c r="C3" s="6" t="str">
        <f>IFERROR(__xludf.DUMMYFUNCTION("""COMPUTED_VALUE"""),"reddit.com")</f>
        <v>reddit.com</v>
      </c>
      <c r="D3" s="7" t="str">
        <f>IFERROR(__xludf.DUMMYFUNCTION("""COMPUTED_VALUE"""),"DISCUSSION")</f>
        <v>DISCUSSION</v>
      </c>
      <c r="E3" s="7" t="str">
        <f>IFERROR(__xludf.DUMMYFUNCTION("""COMPUTED_VALUE"""),"UGC")</f>
        <v>UGC</v>
      </c>
      <c r="F3" s="7" t="str">
        <f>IFERROR(__xludf.DUMMYFUNCTION("""COMPUTED_VALUE"""),"Discussion")</f>
        <v>Discussion</v>
      </c>
      <c r="G3" s="7" t="b">
        <f>IFERROR(__xludf.DUMMYFUNCTION("""COMPUTED_VALUE"""),FALSE)</f>
        <v>0</v>
      </c>
      <c r="H3" s="7" t="str">
        <f>IFERROR(__xludf.DUMMYFUNCTION("""COMPUTED_VALUE"""),"First Page")</f>
        <v>First Page</v>
      </c>
      <c r="I3" s="7">
        <f>IFERROR(__xludf.DUMMYFUNCTION("""COMPUTED_VALUE"""),15.0)</f>
        <v>15</v>
      </c>
      <c r="J3" s="7">
        <f>IFERROR(__xludf.DUMMYFUNCTION("""COMPUTED_VALUE"""),0.02)</f>
        <v>0.02</v>
      </c>
      <c r="K3" s="7">
        <f>IFERROR(__xludf.DUMMYFUNCTION("""COMPUTED_VALUE"""),1.33)</f>
        <v>1.33</v>
      </c>
    </row>
    <row r="4" ht="15.75" customHeight="1">
      <c r="A4" s="6" t="str">
        <f>IFERROR(__xludf.DUMMYFUNCTION("""COMPUTED_VALUE"""),"https://www.reddit.com/r/agency/comments/1ok212i/performance_marketing_incrementality/")</f>
        <v>https://www.reddit.com/r/agency/comments/1ok212i/performance_marketing_incrementality/</v>
      </c>
      <c r="B4" s="7" t="str">
        <f>IFERROR(__xludf.DUMMYFUNCTION("""COMPUTED_VALUE"""),"Performance Marketing Incrementality")</f>
        <v>Performance Marketing Incrementality</v>
      </c>
      <c r="C4" s="6" t="str">
        <f>IFERROR(__xludf.DUMMYFUNCTION("""COMPUTED_VALUE"""),"reddit.com")</f>
        <v>reddit.com</v>
      </c>
      <c r="D4" s="7" t="str">
        <f>IFERROR(__xludf.DUMMYFUNCTION("""COMPUTED_VALUE"""),"DISCUSSION")</f>
        <v>DISCUSSION</v>
      </c>
      <c r="E4" s="7" t="str">
        <f>IFERROR(__xludf.DUMMYFUNCTION("""COMPUTED_VALUE"""),"UGC")</f>
        <v>UGC</v>
      </c>
      <c r="F4" s="7" t="str">
        <f>IFERROR(__xludf.DUMMYFUNCTION("""COMPUTED_VALUE"""),"Discussion")</f>
        <v>Discussion</v>
      </c>
      <c r="G4" s="7" t="b">
        <f>IFERROR(__xludf.DUMMYFUNCTION("""COMPUTED_VALUE"""),FALSE)</f>
        <v>0</v>
      </c>
      <c r="H4" s="7" t="str">
        <f>IFERROR(__xludf.DUMMYFUNCTION("""COMPUTED_VALUE"""),"Haus, Measured, Workmagic")</f>
        <v>Haus, Measured, Workmagic</v>
      </c>
      <c r="I4" s="7">
        <f>IFERROR(__xludf.DUMMYFUNCTION("""COMPUTED_VALUE"""),9.0)</f>
        <v>9</v>
      </c>
      <c r="J4" s="7">
        <f>IFERROR(__xludf.DUMMYFUNCTION("""COMPUTED_VALUE"""),0.01)</f>
        <v>0.01</v>
      </c>
      <c r="K4" s="7">
        <f>IFERROR(__xludf.DUMMYFUNCTION("""COMPUTED_VALUE"""),1.78)</f>
        <v>1.78</v>
      </c>
    </row>
    <row r="5" ht="15.75" customHeight="1">
      <c r="A5" s="6" t="str">
        <f>IFERROR(__xludf.DUMMYFUNCTION("""COMPUTED_VALUE"""),"https://www.reddit.com/r/ecommerce/comments/1qusfa4/looking_for_best_incrementality_testing_tools/")</f>
        <v>https://www.reddit.com/r/ecommerce/comments/1qusfa4/looking_for_best_incrementality_testing_tools/</v>
      </c>
      <c r="B5" s="7" t="str">
        <f>IFERROR(__xludf.DUMMYFUNCTION("""COMPUTED_VALUE"""),"Looking for best incrementality testing tools (advice/recommendation)")</f>
        <v>Looking for best incrementality testing tools (advice/recommendation)</v>
      </c>
      <c r="C5" s="6" t="str">
        <f>IFERROR(__xludf.DUMMYFUNCTION("""COMPUTED_VALUE"""),"reddit.com")</f>
        <v>reddit.com</v>
      </c>
      <c r="D5" s="7" t="str">
        <f>IFERROR(__xludf.DUMMYFUNCTION("""COMPUTED_VALUE"""),"DISCUSSION")</f>
        <v>DISCUSSION</v>
      </c>
      <c r="E5" s="7" t="str">
        <f>IFERROR(__xludf.DUMMYFUNCTION("""COMPUTED_VALUE"""),"UGC")</f>
        <v>UGC</v>
      </c>
      <c r="F5" s="7" t="str">
        <f>IFERROR(__xludf.DUMMYFUNCTION("""COMPUTED_VALUE"""),"Discussion")</f>
        <v>Discussion</v>
      </c>
      <c r="G5" s="7" t="b">
        <f>IFERROR(__xludf.DUMMYFUNCTION("""COMPUTED_VALUE"""),FALSE)</f>
        <v>0</v>
      </c>
      <c r="H5" s="7" t="str">
        <f>IFERROR(__xludf.DUMMYFUNCTION("""COMPUTED_VALUE"""),"Haus, Lifesight, Measured")</f>
        <v>Haus, Lifesight, Measured</v>
      </c>
      <c r="I5" s="7">
        <f>IFERROR(__xludf.DUMMYFUNCTION("""COMPUTED_VALUE"""),5.0)</f>
        <v>5</v>
      </c>
      <c r="J5" s="7">
        <f>IFERROR(__xludf.DUMMYFUNCTION("""COMPUTED_VALUE"""),0.01)</f>
        <v>0.01</v>
      </c>
      <c r="K5" s="7">
        <f>IFERROR(__xludf.DUMMYFUNCTION("""COMPUTED_VALUE"""),1.0)</f>
        <v>1</v>
      </c>
    </row>
    <row r="6" ht="15.75" customHeight="1">
      <c r="A6" s="6" t="str">
        <f>IFERROR(__xludf.DUMMYFUNCTION("""COMPUTED_VALUE"""),"https://www.reddit.com/r/AskAnAustralian/comments/1kygrc6/advertising_agencies_in_aus/")</f>
        <v>https://www.reddit.com/r/AskAnAustralian/comments/1kygrc6/advertising_agencies_in_aus/</v>
      </c>
      <c r="B6" s="7" t="str">
        <f>IFERROR(__xludf.DUMMYFUNCTION("""COMPUTED_VALUE"""),"Advertising agencies in Aus")</f>
        <v>Advertising agencies in Aus</v>
      </c>
      <c r="C6" s="6" t="str">
        <f>IFERROR(__xludf.DUMMYFUNCTION("""COMPUTED_VALUE"""),"reddit.com")</f>
        <v>reddit.com</v>
      </c>
      <c r="D6" s="7" t="str">
        <f>IFERROR(__xludf.DUMMYFUNCTION("""COMPUTED_VALUE"""),"DISCUSSION")</f>
        <v>DISCUSSION</v>
      </c>
      <c r="E6" s="7" t="str">
        <f>IFERROR(__xludf.DUMMYFUNCTION("""COMPUTED_VALUE"""),"UGC")</f>
        <v>UGC</v>
      </c>
      <c r="F6" s="7" t="str">
        <f>IFERROR(__xludf.DUMMYFUNCTION("""COMPUTED_VALUE"""),"Discussion")</f>
        <v>Discussion</v>
      </c>
      <c r="G6" s="7" t="b">
        <f>IFERROR(__xludf.DUMMYFUNCTION("""COMPUTED_VALUE"""),FALSE)</f>
        <v>0</v>
      </c>
      <c r="H6" s="7" t="str">
        <f>IFERROR(__xludf.DUMMYFUNCTION("""COMPUTED_VALUE"""),"HERO, Thinkerbell")</f>
        <v>HERO, Thinkerbell</v>
      </c>
      <c r="I6" s="7">
        <f>IFERROR(__xludf.DUMMYFUNCTION("""COMPUTED_VALUE"""),4.0)</f>
        <v>4</v>
      </c>
      <c r="J6" s="7">
        <f>IFERROR(__xludf.DUMMYFUNCTION("""COMPUTED_VALUE"""),0.0)</f>
        <v>0</v>
      </c>
      <c r="K6" s="7">
        <f>IFERROR(__xludf.DUMMYFUNCTION("""COMPUTED_VALUE"""),0.75)</f>
        <v>0.75</v>
      </c>
    </row>
    <row r="7" ht="15.75" customHeight="1">
      <c r="A7" s="6" t="str">
        <f>IFERROR(__xludf.DUMMYFUNCTION("""COMPUTED_VALUE"""),"https://www.reddit.com/r/adtech/comments/1u5mwrq/measurement_source_of_truth/")</f>
        <v>https://www.reddit.com/r/adtech/comments/1u5mwrq/measurement_source_of_truth/</v>
      </c>
      <c r="B7" s="7" t="str">
        <f>IFERROR(__xludf.DUMMYFUNCTION("""COMPUTED_VALUE"""),"Measurement source of truth")</f>
        <v>Measurement source of truth</v>
      </c>
      <c r="C7" s="6" t="str">
        <f>IFERROR(__xludf.DUMMYFUNCTION("""COMPUTED_VALUE"""),"reddit.com")</f>
        <v>reddit.com</v>
      </c>
      <c r="D7" s="7" t="str">
        <f>IFERROR(__xludf.DUMMYFUNCTION("""COMPUTED_VALUE"""),"DISCUSSION")</f>
        <v>DISCUSSION</v>
      </c>
      <c r="E7" s="7" t="str">
        <f>IFERROR(__xludf.DUMMYFUNCTION("""COMPUTED_VALUE"""),"UGC")</f>
        <v>UGC</v>
      </c>
      <c r="F7" s="7" t="str">
        <f>IFERROR(__xludf.DUMMYFUNCTION("""COMPUTED_VALUE"""),"Discussion")</f>
        <v>Discussion</v>
      </c>
      <c r="G7" s="7" t="b">
        <f>IFERROR(__xludf.DUMMYFUNCTION("""COMPUTED_VALUE"""),FALSE)</f>
        <v>0</v>
      </c>
      <c r="H7" s="7" t="str">
        <f>IFERROR(__xludf.DUMMYFUNCTION("""COMPUTED_VALUE"""),"Lifesight")</f>
        <v>Lifesight</v>
      </c>
      <c r="I7" s="7">
        <f>IFERROR(__xludf.DUMMYFUNCTION("""COMPUTED_VALUE"""),3.0)</f>
        <v>3</v>
      </c>
      <c r="J7" s="7">
        <f>IFERROR(__xludf.DUMMYFUNCTION("""COMPUTED_VALUE"""),0.0)</f>
        <v>0</v>
      </c>
      <c r="K7" s="7">
        <f>IFERROR(__xludf.DUMMYFUNCTION("""COMPUTED_VALUE"""),1.67)</f>
        <v>1.67</v>
      </c>
    </row>
    <row r="8" ht="15.75" customHeight="1">
      <c r="A8" s="6" t="str">
        <f>IFERROR(__xludf.DUMMYFUNCTION("""COMPUTED_VALUE"""),"https://www.reddit.com/r/MktgSupermarket/comments/1qoc7o0/looking_for_digital_marketing_agencies_in_perth/")</f>
        <v>https://www.reddit.com/r/MktgSupermarket/comments/1qoc7o0/looking_for_digital_marketing_agencies_in_perth/</v>
      </c>
      <c r="B8" s="7" t="str">
        <f>IFERROR(__xludf.DUMMYFUNCTION("""COMPUTED_VALUE"""),"Looking for digital marketing agencies in Perth? Here's a list of 10 options")</f>
        <v>Looking for digital marketing agencies in Perth? Here's a list of 10 options</v>
      </c>
      <c r="C8" s="6" t="str">
        <f>IFERROR(__xludf.DUMMYFUNCTION("""COMPUTED_VALUE"""),"reddit.com")</f>
        <v>reddit.com</v>
      </c>
      <c r="D8" s="7" t="str">
        <f>IFERROR(__xludf.DUMMYFUNCTION("""COMPUTED_VALUE"""),"DISCUSSION")</f>
        <v>DISCUSSION</v>
      </c>
      <c r="E8" s="7" t="str">
        <f>IFERROR(__xludf.DUMMYFUNCTION("""COMPUTED_VALUE"""),"UGC")</f>
        <v>UGC</v>
      </c>
      <c r="F8" s="7" t="str">
        <f>IFERROR(__xludf.DUMMYFUNCTION("""COMPUTED_VALUE"""),"Discussion")</f>
        <v>Discussion</v>
      </c>
      <c r="G8" s="7" t="b">
        <f>IFERROR(__xludf.DUMMYFUNCTION("""COMPUTED_VALUE"""),FALSE)</f>
        <v>0</v>
      </c>
      <c r="H8" s="7" t="str">
        <f>IFERROR(__xludf.DUMMYFUNCTION("""COMPUTED_VALUE"""),"Bonfire")</f>
        <v>Bonfire</v>
      </c>
      <c r="I8" s="7">
        <f>IFERROR(__xludf.DUMMYFUNCTION("""COMPUTED_VALUE"""),2.0)</f>
        <v>2</v>
      </c>
      <c r="J8" s="7">
        <f>IFERROR(__xludf.DUMMYFUNCTION("""COMPUTED_VALUE"""),0.0)</f>
        <v>0</v>
      </c>
      <c r="K8" s="7">
        <f>IFERROR(__xludf.DUMMYFUNCTION("""COMPUTED_VALUE"""),2.0)</f>
        <v>2</v>
      </c>
    </row>
    <row r="9" ht="15.75" customHeight="1">
      <c r="A9" s="6" t="str">
        <f>IFERROR(__xludf.DUMMYFUNCTION("""COMPUTED_VALUE"""),"https://www.reddit.com/r/aeo/comments/1twcbr2/best_aeo_agency_guide_what_to_look_for_in_an/")</f>
        <v>https://www.reddit.com/r/aeo/comments/1twcbr2/best_aeo_agency_guide_what_to_look_for_in_an/</v>
      </c>
      <c r="B9" s="7" t="str">
        <f>IFERROR(__xludf.DUMMYFUNCTION("""COMPUTED_VALUE"""),"Best AEO Agency Guide What to Look for in an Answer Engine Partner?")</f>
        <v>Best AEO Agency Guide What to Look for in an Answer Engine Partner?</v>
      </c>
      <c r="C9" s="6" t="str">
        <f>IFERROR(__xludf.DUMMYFUNCTION("""COMPUTED_VALUE"""),"reddit.com")</f>
        <v>reddit.com</v>
      </c>
      <c r="D9" s="7" t="str">
        <f>IFERROR(__xludf.DUMMYFUNCTION("""COMPUTED_VALUE"""),"DISCUSSION")</f>
        <v>DISCUSSION</v>
      </c>
      <c r="E9" s="7" t="str">
        <f>IFERROR(__xludf.DUMMYFUNCTION("""COMPUTED_VALUE"""),"UGC")</f>
        <v>UGC</v>
      </c>
      <c r="F9" s="7" t="str">
        <f>IFERROR(__xludf.DUMMYFUNCTION("""COMPUTED_VALUE"""),"Discussion")</f>
        <v>Discussion</v>
      </c>
      <c r="G9" s="7" t="b">
        <f>IFERROR(__xludf.DUMMYFUNCTION("""COMPUTED_VALUE"""),FALSE)</f>
        <v>0</v>
      </c>
      <c r="H9" s="7" t="str">
        <f>IFERROR(__xludf.DUMMYFUNCTION("""COMPUTED_VALUE"""),"Huge")</f>
        <v>Huge</v>
      </c>
      <c r="I9" s="7">
        <f>IFERROR(__xludf.DUMMYFUNCTION("""COMPUTED_VALUE"""),2.0)</f>
        <v>2</v>
      </c>
      <c r="J9" s="7">
        <f>IFERROR(__xludf.DUMMYFUNCTION("""COMPUTED_VALUE"""),0.0)</f>
        <v>0</v>
      </c>
      <c r="K9" s="7">
        <f>IFERROR(__xludf.DUMMYFUNCTION("""COMPUTED_VALUE"""),2.0)</f>
        <v>2</v>
      </c>
    </row>
    <row r="10" ht="15.75" customHeight="1">
      <c r="A10" s="6" t="str">
        <f>IFERROR(__xludf.DUMMYFUNCTION("""COMPUTED_VALUE"""),"https://www.reddit.com/r/AIConsultingAustralia/comments/1r3gb5b/who_are_the_top_ai_consulting_companies_in/")</f>
        <v>https://www.reddit.com/r/AIConsultingAustralia/comments/1r3gb5b/who_are_the_top_ai_consulting_companies_in/</v>
      </c>
      <c r="B10" s="7" t="str">
        <f>IFERROR(__xludf.DUMMYFUNCTION("""COMPUTED_VALUE"""),"Who are the top AI Consulting Companies in Australia?")</f>
        <v>Who are the top AI Consulting Companies in Australia?</v>
      </c>
      <c r="C10" s="6" t="str">
        <f>IFERROR(__xludf.DUMMYFUNCTION("""COMPUTED_VALUE"""),"reddit.com")</f>
        <v>reddit.com</v>
      </c>
      <c r="D10" s="7" t="str">
        <f>IFERROR(__xludf.DUMMYFUNCTION("""COMPUTED_VALUE"""),"DISCUSSION")</f>
        <v>DISCUSSION</v>
      </c>
      <c r="E10" s="7" t="str">
        <f>IFERROR(__xludf.DUMMYFUNCTION("""COMPUTED_VALUE"""),"UGC")</f>
        <v>UGC</v>
      </c>
      <c r="F10" s="7" t="str">
        <f>IFERROR(__xludf.DUMMYFUNCTION("""COMPUTED_VALUE"""),"Discussion")</f>
        <v>Discussion</v>
      </c>
      <c r="G10" s="7" t="b">
        <f>IFERROR(__xludf.DUMMYFUNCTION("""COMPUTED_VALUE"""),FALSE)</f>
        <v>0</v>
      </c>
      <c r="H10" s="7" t="str">
        <f>IFERROR(__xludf.DUMMYFUNCTION("""COMPUTED_VALUE"""),"Team 400, Get AI Ready, Impressive")</f>
        <v>Team 400, Get AI Ready, Impressive</v>
      </c>
      <c r="I10" s="7">
        <f>IFERROR(__xludf.DUMMYFUNCTION("""COMPUTED_VALUE"""),1.0)</f>
        <v>1</v>
      </c>
      <c r="J10" s="7">
        <f>IFERROR(__xludf.DUMMYFUNCTION("""COMPUTED_VALUE"""),0.0)</f>
        <v>0</v>
      </c>
      <c r="K10" s="7">
        <f>IFERROR(__xludf.DUMMYFUNCTION("""COMPUTED_VALUE"""),0.0)</f>
        <v>0</v>
      </c>
    </row>
    <row r="11" ht="15.75" customHeight="1">
      <c r="A11" s="6" t="str">
        <f>IFERROR(__xludf.DUMMYFUNCTION("""COMPUTED_VALUE"""),"https://www.reddit.com/r/AskMarketing/comments/1r6neq7/i_run_one_of_australias_top_20_digital_agencies/")</f>
        <v>https://www.reddit.com/r/AskMarketing/comments/1r6neq7/i_run_one_of_australias_top_20_digital_agencies/</v>
      </c>
      <c r="B11" s="7" t="str">
        <f>IFERROR(__xludf.DUMMYFUNCTION("""COMPUTED_VALUE"""),"I run one of Australia's top 20 digital agencies, and I think the model is broken for SMB's")</f>
        <v>I run one of Australia's top 20 digital agencies, and I think the model is broken for SMB's</v>
      </c>
      <c r="C11" s="6" t="str">
        <f>IFERROR(__xludf.DUMMYFUNCTION("""COMPUTED_VALUE"""),"reddit.com")</f>
        <v>reddit.com</v>
      </c>
      <c r="D11" s="7" t="str">
        <f>IFERROR(__xludf.DUMMYFUNCTION("""COMPUTED_VALUE"""),"DISCUSSION")</f>
        <v>DISCUSSION</v>
      </c>
      <c r="E11" s="7" t="str">
        <f>IFERROR(__xludf.DUMMYFUNCTION("""COMPUTED_VALUE"""),"UGC")</f>
        <v>UGC</v>
      </c>
      <c r="F11" s="7" t="str">
        <f>IFERROR(__xludf.DUMMYFUNCTION("""COMPUTED_VALUE"""),"Discussion")</f>
        <v>Discussion</v>
      </c>
      <c r="G11" s="7" t="b">
        <f>IFERROR(__xludf.DUMMYFUNCTION("""COMPUTED_VALUE"""),FALSE)</f>
        <v>0</v>
      </c>
      <c r="H11" s="7" t="str">
        <f>IFERROR(__xludf.DUMMYFUNCTION("""COMPUTED_VALUE"""),"Huge")</f>
        <v>Huge</v>
      </c>
      <c r="I11" s="7">
        <f>IFERROR(__xludf.DUMMYFUNCTION("""COMPUTED_VALUE"""),1.0)</f>
        <v>1</v>
      </c>
      <c r="J11" s="7">
        <f>IFERROR(__xludf.DUMMYFUNCTION("""COMPUTED_VALUE"""),0.0)</f>
        <v>0</v>
      </c>
      <c r="K11" s="7">
        <f>IFERROR(__xludf.DUMMYFUNCTION("""COMPUTED_VALUE"""),0.0)</f>
        <v>0</v>
      </c>
    </row>
    <row r="12" ht="15.75" customHeight="1">
      <c r="A12" s="6" t="str">
        <f>IFERROR(__xludf.DUMMYFUNCTION("""COMPUTED_VALUE"""),"https://www.reddit.com/r/BestInAustralia/comments/1pun446/7_best_seo_agencies_in_melbourne_2026_guide/")</f>
        <v>https://www.reddit.com/r/BestInAustralia/comments/1pun446/7_best_seo_agencies_in_melbourne_2026_guide/</v>
      </c>
      <c r="B12" s="7" t="str">
        <f>IFERROR(__xludf.DUMMYFUNCTION("""COMPUTED_VALUE"""),"7 Best SEO Agencies in Melbourne (2026 Guide)")</f>
        <v>7 Best SEO Agencies in Melbourne (2026 Guide)</v>
      </c>
      <c r="C12" s="6" t="str">
        <f>IFERROR(__xludf.DUMMYFUNCTION("""COMPUTED_VALUE"""),"reddit.com")</f>
        <v>reddit.com</v>
      </c>
      <c r="D12" s="7" t="str">
        <f>IFERROR(__xludf.DUMMYFUNCTION("""COMPUTED_VALUE"""),"DISCUSSION")</f>
        <v>DISCUSSION</v>
      </c>
      <c r="E12" s="7" t="str">
        <f>IFERROR(__xludf.DUMMYFUNCTION("""COMPUTED_VALUE"""),"UGC")</f>
        <v>UGC</v>
      </c>
      <c r="F12" s="7" t="str">
        <f>IFERROR(__xludf.DUMMYFUNCTION("""COMPUTED_VALUE"""),"Discussion")</f>
        <v>Discussion</v>
      </c>
      <c r="G12" s="7" t="b">
        <f>IFERROR(__xludf.DUMMYFUNCTION("""COMPUTED_VALUE"""),FALSE)</f>
        <v>0</v>
      </c>
      <c r="H12" s="7" t="str">
        <f>IFERROR(__xludf.DUMMYFUNCTION("""COMPUTED_VALUE"""),"Impressive, Talons Marketing, StudioHawk, SIXGUN, Supple Digital, Measured, Online Marketing Gurus, Omnicom Media Group")</f>
        <v>Impressive, Talons Marketing, StudioHawk, SIXGUN, Supple Digital, Measured, Online Marketing Gurus, Omnicom Media Group</v>
      </c>
      <c r="I12" s="7">
        <f>IFERROR(__xludf.DUMMYFUNCTION("""COMPUTED_VALUE"""),1.0)</f>
        <v>1</v>
      </c>
      <c r="J12" s="7">
        <f>IFERROR(__xludf.DUMMYFUNCTION("""COMPUTED_VALUE"""),0.0)</f>
        <v>0</v>
      </c>
      <c r="K12" s="7">
        <f>IFERROR(__xludf.DUMMYFUNCTION("""COMPUTED_VALUE"""),2.0)</f>
        <v>2</v>
      </c>
    </row>
    <row r="13" ht="15.75" customHeight="1">
      <c r="A13" s="6" t="str">
        <f>IFERROR(__xludf.DUMMYFUNCTION("""COMPUTED_VALUE"""),"https://www.reddit.com/r/BestInAustralia/comments/1s8fbyv/best_seo_company_in_melbourne_april_2026/")</f>
        <v>https://www.reddit.com/r/BestInAustralia/comments/1s8fbyv/best_seo_company_in_melbourne_april_2026/</v>
      </c>
      <c r="B13" s="7" t="str">
        <f>IFERROR(__xludf.DUMMYFUNCTION("""COMPUTED_VALUE"""),"Best SEO Company In Melbourne April 2026")</f>
        <v>Best SEO Company In Melbourne April 2026</v>
      </c>
      <c r="C13" s="6" t="str">
        <f>IFERROR(__xludf.DUMMYFUNCTION("""COMPUTED_VALUE"""),"reddit.com")</f>
        <v>reddit.com</v>
      </c>
      <c r="D13" s="7" t="str">
        <f>IFERROR(__xludf.DUMMYFUNCTION("""COMPUTED_VALUE"""),"DISCUSSION")</f>
        <v>DISCUSSION</v>
      </c>
      <c r="E13" s="7" t="str">
        <f>IFERROR(__xludf.DUMMYFUNCTION("""COMPUTED_VALUE"""),"UGC")</f>
        <v>UGC</v>
      </c>
      <c r="F13" s="7" t="str">
        <f>IFERROR(__xludf.DUMMYFUNCTION("""COMPUTED_VALUE"""),"Discussion")</f>
        <v>Discussion</v>
      </c>
      <c r="G13" s="7" t="b">
        <f>IFERROR(__xludf.DUMMYFUNCTION("""COMPUTED_VALUE"""),FALSE)</f>
        <v>0</v>
      </c>
      <c r="H13" s="7" t="str">
        <f>IFERROR(__xludf.DUMMYFUNCTION("""COMPUTED_VALUE"""),"StudioHawk, Supple Digital, Bonfire, Clearwater Agency, SIXGUN, Earned Media, Measured, Talons Marketing")</f>
        <v>StudioHawk, Supple Digital, Bonfire, Clearwater Agency, SIXGUN, Earned Media, Measured, Talons Marketing</v>
      </c>
      <c r="I13" s="7">
        <f>IFERROR(__xludf.DUMMYFUNCTION("""COMPUTED_VALUE"""),1.0)</f>
        <v>1</v>
      </c>
      <c r="J13" s="7">
        <f>IFERROR(__xludf.DUMMYFUNCTION("""COMPUTED_VALUE"""),0.0)</f>
        <v>0</v>
      </c>
      <c r="K13" s="7">
        <f>IFERROR(__xludf.DUMMYFUNCTION("""COMPUTED_VALUE"""),1.0)</f>
        <v>1</v>
      </c>
    </row>
    <row r="14" ht="15.75" customHeight="1">
      <c r="A14" s="6" t="str">
        <f>IFERROR(__xludf.DUMMYFUNCTION("""COMPUTED_VALUE"""),"https://www.reddit.com/r/BestInAustralia/comments/1tghlmb/5_best_seo_agencies_in_southbank_2026/")</f>
        <v>https://www.reddit.com/r/BestInAustralia/comments/1tghlmb/5_best_seo_agencies_in_southbank_2026/</v>
      </c>
      <c r="B14" s="7" t="str">
        <f>IFERROR(__xludf.DUMMYFUNCTION("""COMPUTED_VALUE"""),"5 Best SEO Agencies in Southbank 2026")</f>
        <v>5 Best SEO Agencies in Southbank 2026</v>
      </c>
      <c r="C14" s="6" t="str">
        <f>IFERROR(__xludf.DUMMYFUNCTION("""COMPUTED_VALUE"""),"reddit.com")</f>
        <v>reddit.com</v>
      </c>
      <c r="D14" s="7" t="str">
        <f>IFERROR(__xludf.DUMMYFUNCTION("""COMPUTED_VALUE"""),"DISCUSSION")</f>
        <v>DISCUSSION</v>
      </c>
      <c r="E14" s="7" t="str">
        <f>IFERROR(__xludf.DUMMYFUNCTION("""COMPUTED_VALUE"""),"UGC")</f>
        <v>UGC</v>
      </c>
      <c r="F14" s="7" t="str">
        <f>IFERROR(__xludf.DUMMYFUNCTION("""COMPUTED_VALUE"""),"Discussion")</f>
        <v>Discussion</v>
      </c>
      <c r="G14" s="7" t="b">
        <f>IFERROR(__xludf.DUMMYFUNCTION("""COMPUTED_VALUE"""),FALSE)</f>
        <v>0</v>
      </c>
      <c r="H14" s="7" t="str">
        <f>IFERROR(__xludf.DUMMYFUNCTION("""COMPUTED_VALUE"""),"Talons Marketing, StudioHawk, Clearwater Agency, Online Marketing Gurus, Impressive")</f>
        <v>Talons Marketing, StudioHawk, Clearwater Agency, Online Marketing Gurus, Impressive</v>
      </c>
      <c r="I14" s="7">
        <f>IFERROR(__xludf.DUMMYFUNCTION("""COMPUTED_VALUE"""),1.0)</f>
        <v>1</v>
      </c>
      <c r="J14" s="7">
        <f>IFERROR(__xludf.DUMMYFUNCTION("""COMPUTED_VALUE"""),0.0)</f>
        <v>0</v>
      </c>
      <c r="K14" s="7">
        <f>IFERROR(__xludf.DUMMYFUNCTION("""COMPUTED_VALUE"""),1.0)</f>
        <v>1</v>
      </c>
    </row>
    <row r="15" ht="15.75" customHeight="1">
      <c r="A15" s="6" t="str">
        <f>IFERROR(__xludf.DUMMYFUNCTION("""COMPUTED_VALUE"""),"https://www.reddit.com/r/DigitalMarketing/comments/1pd7lti/can_someone_explain_geo_and_aeo_in_a_simple_way/#:~:text=So%20instead%20of%20just%20ranking%20on%20a,even%20on%20platforms%20like%20Google's%20answer%20box.")</f>
        <v>https://www.reddit.com/r/DigitalMarketing/comments/1pd7lti/can_someone_explain_geo_and_aeo_in_a_simple_way/#:~:text=So%20instead%20of%20just%20ranking%20on%20a,even%20on%20platforms%20like%20Google's%20answer%20box.</v>
      </c>
      <c r="B15" s="7" t="str">
        <f>IFERROR(__xludf.DUMMYFUNCTION("""COMPUTED_VALUE"""),"Can someone explain GEO and AEO in a simple way? Trying to understand these newer terms clearly.")</f>
        <v>Can someone explain GEO and AEO in a simple way? Trying to understand these newer terms clearly.</v>
      </c>
      <c r="C15" s="6" t="str">
        <f>IFERROR(__xludf.DUMMYFUNCTION("""COMPUTED_VALUE"""),"reddit.com")</f>
        <v>reddit.com</v>
      </c>
      <c r="D15" s="7" t="str">
        <f>IFERROR(__xludf.DUMMYFUNCTION("""COMPUTED_VALUE"""),"DISCUSSION")</f>
        <v>DISCUSSION</v>
      </c>
      <c r="E15" s="7" t="str">
        <f>IFERROR(__xludf.DUMMYFUNCTION("""COMPUTED_VALUE"""),"UGC")</f>
        <v>UGC</v>
      </c>
      <c r="F15" s="7" t="str">
        <f>IFERROR(__xludf.DUMMYFUNCTION("""COMPUTED_VALUE"""),"Discussion")</f>
        <v>Discussion</v>
      </c>
      <c r="G15" s="7" t="b">
        <f>IFERROR(__xludf.DUMMYFUNCTION("""COMPUTED_VALUE"""),FALSE)</f>
        <v>0</v>
      </c>
      <c r="H15" s="7"/>
      <c r="I15" s="7">
        <f>IFERROR(__xludf.DUMMYFUNCTION("""COMPUTED_VALUE"""),1.0)</f>
        <v>1</v>
      </c>
      <c r="J15" s="7">
        <f>IFERROR(__xludf.DUMMYFUNCTION("""COMPUTED_VALUE"""),0.0)</f>
        <v>0</v>
      </c>
      <c r="K15" s="7">
        <f>IFERROR(__xludf.DUMMYFUNCTION("""COMPUTED_VALUE"""),1.0)</f>
        <v>1</v>
      </c>
    </row>
    <row r="16" ht="15.75" customHeight="1">
      <c r="A16" s="6" t="str">
        <f>IFERROR(__xludf.DUMMYFUNCTION("""COMPUTED_VALUE"""),"https://www.reddit.com/r/DigitalMarketing/comments/1tdo237/which_performance_marketing_agencies_specialize/")</f>
        <v>https://www.reddit.com/r/DigitalMarketing/comments/1tdo237/which_performance_marketing_agencies_specialize/</v>
      </c>
      <c r="B16" s="7" t="str">
        <f>IFERROR(__xludf.DUMMYFUNCTION("""COMPUTED_VALUE"""),"Which performance marketing agencies specialize in driving measurable leads and revenue, not just traffic?")</f>
        <v>Which performance marketing agencies specialize in driving measurable leads and revenue, not just traffic?</v>
      </c>
      <c r="C16" s="6" t="str">
        <f>IFERROR(__xludf.DUMMYFUNCTION("""COMPUTED_VALUE"""),"reddit.com")</f>
        <v>reddit.com</v>
      </c>
      <c r="D16" s="7" t="str">
        <f>IFERROR(__xludf.DUMMYFUNCTION("""COMPUTED_VALUE"""),"DISCUSSION")</f>
        <v>DISCUSSION</v>
      </c>
      <c r="E16" s="7" t="str">
        <f>IFERROR(__xludf.DUMMYFUNCTION("""COMPUTED_VALUE"""),"UGC")</f>
        <v>UGC</v>
      </c>
      <c r="F16" s="7" t="str">
        <f>IFERROR(__xludf.DUMMYFUNCTION("""COMPUTED_VALUE"""),"Discussion")</f>
        <v>Discussion</v>
      </c>
      <c r="G16" s="7" t="b">
        <f>IFERROR(__xludf.DUMMYFUNCTION("""COMPUTED_VALUE"""),FALSE)</f>
        <v>0</v>
      </c>
      <c r="H16" s="7"/>
      <c r="I16" s="7">
        <f>IFERROR(__xludf.DUMMYFUNCTION("""COMPUTED_VALUE"""),1.0)</f>
        <v>1</v>
      </c>
      <c r="J16" s="7">
        <f>IFERROR(__xludf.DUMMYFUNCTION("""COMPUTED_VALUE"""),0.0)</f>
        <v>0</v>
      </c>
      <c r="K16" s="7">
        <f>IFERROR(__xludf.DUMMYFUNCTION("""COMPUTED_VALUE"""),2.0)</f>
        <v>2</v>
      </c>
    </row>
    <row r="17" ht="15.75" customHeight="1">
      <c r="A17" s="6" t="str">
        <f>IFERROR(__xludf.DUMMYFUNCTION("""COMPUTED_VALUE"""),"https://www.reddit.com/r/LLMTraffic/comments/1t44tn7/which_geo_marketing_agencies_are_actually_worth/")</f>
        <v>https://www.reddit.com/r/LLMTraffic/comments/1t44tn7/which_geo_marketing_agencies_are_actually_worth/</v>
      </c>
      <c r="B17" s="7" t="str">
        <f>IFERROR(__xludf.DUMMYFUNCTION("""COMPUTED_VALUE"""),"Which ""GEO marketing"" agencies are actually worth talking to?")</f>
        <v>Which "GEO marketing" agencies are actually worth talking to?</v>
      </c>
      <c r="C17" s="6" t="str">
        <f>IFERROR(__xludf.DUMMYFUNCTION("""COMPUTED_VALUE"""),"reddit.com")</f>
        <v>reddit.com</v>
      </c>
      <c r="D17" s="7" t="str">
        <f>IFERROR(__xludf.DUMMYFUNCTION("""COMPUTED_VALUE"""),"DISCUSSION")</f>
        <v>DISCUSSION</v>
      </c>
      <c r="E17" s="7" t="str">
        <f>IFERROR(__xludf.DUMMYFUNCTION("""COMPUTED_VALUE"""),"UGC")</f>
        <v>UGC</v>
      </c>
      <c r="F17" s="7" t="str">
        <f>IFERROR(__xludf.DUMMYFUNCTION("""COMPUTED_VALUE"""),"Discussion")</f>
        <v>Discussion</v>
      </c>
      <c r="G17" s="7" t="b">
        <f>IFERROR(__xludf.DUMMYFUNCTION("""COMPUTED_VALUE"""),FALSE)</f>
        <v>0</v>
      </c>
      <c r="H17" s="7" t="str">
        <f>IFERROR(__xludf.DUMMYFUNCTION("""COMPUTED_VALUE"""),"Online Marketing Gurus, Earned Media, Measured")</f>
        <v>Online Marketing Gurus, Earned Media, Measured</v>
      </c>
      <c r="I17" s="7">
        <f>IFERROR(__xludf.DUMMYFUNCTION("""COMPUTED_VALUE"""),1.0)</f>
        <v>1</v>
      </c>
      <c r="J17" s="7">
        <f>IFERROR(__xludf.DUMMYFUNCTION("""COMPUTED_VALUE"""),0.0)</f>
        <v>0</v>
      </c>
      <c r="K17" s="7">
        <f>IFERROR(__xludf.DUMMYFUNCTION("""COMPUTED_VALUE"""),2.0)</f>
        <v>2</v>
      </c>
    </row>
    <row r="18" ht="15.75" customHeight="1">
      <c r="A18" s="6" t="str">
        <f>IFERROR(__xludf.DUMMYFUNCTION("""COMPUTED_VALUE"""),"https://www.reddit.com/r/MktgSupermarket/comments/1qom30j/compiled_a_directory_of_25_ai_marketing_agencies/")</f>
        <v>https://www.reddit.com/r/MktgSupermarket/comments/1qom30j/compiled_a_directory_of_25_ai_marketing_agencies/</v>
      </c>
      <c r="B18" s="7" t="str">
        <f>IFERROR(__xludf.DUMMYFUNCTION("""COMPUTED_VALUE"""),"Compiled a directory of 25 AI marketing agencies — here's the breakdown by category")</f>
        <v>Compiled a directory of 25 AI marketing agencies — here's the breakdown by category</v>
      </c>
      <c r="C18" s="6" t="str">
        <f>IFERROR(__xludf.DUMMYFUNCTION("""COMPUTED_VALUE"""),"reddit.com")</f>
        <v>reddit.com</v>
      </c>
      <c r="D18" s="7" t="str">
        <f>IFERROR(__xludf.DUMMYFUNCTION("""COMPUTED_VALUE"""),"DISCUSSION")</f>
        <v>DISCUSSION</v>
      </c>
      <c r="E18" s="7" t="str">
        <f>IFERROR(__xludf.DUMMYFUNCTION("""COMPUTED_VALUE"""),"UGC")</f>
        <v>UGC</v>
      </c>
      <c r="F18" s="7" t="str">
        <f>IFERROR(__xludf.DUMMYFUNCTION("""COMPUTED_VALUE"""),"Discussion")</f>
        <v>Discussion</v>
      </c>
      <c r="G18" s="7" t="b">
        <f>IFERROR(__xludf.DUMMYFUNCTION("""COMPUTED_VALUE"""),FALSE)</f>
        <v>0</v>
      </c>
      <c r="H18" s="7" t="str">
        <f>IFERROR(__xludf.DUMMYFUNCTION("""COMPUTED_VALUE"""),"Ninja Promo")</f>
        <v>Ninja Promo</v>
      </c>
      <c r="I18" s="7">
        <f>IFERROR(__xludf.DUMMYFUNCTION("""COMPUTED_VALUE"""),1.0)</f>
        <v>1</v>
      </c>
      <c r="J18" s="7">
        <f>IFERROR(__xludf.DUMMYFUNCTION("""COMPUTED_VALUE"""),0.0)</f>
        <v>0</v>
      </c>
      <c r="K18" s="7">
        <f>IFERROR(__xludf.DUMMYFUNCTION("""COMPUTED_VALUE"""),1.0)</f>
        <v>1</v>
      </c>
    </row>
    <row r="19" ht="15.75" customHeight="1">
      <c r="A19" s="6" t="str">
        <f>IFERROR(__xludf.DUMMYFUNCTION("""COMPUTED_VALUE"""),"https://www.reddit.com/r/advertising/comments/1d5ypn3")</f>
        <v>https://www.reddit.com/r/advertising/comments/1d5ypn3</v>
      </c>
      <c r="B19" s="7" t="str">
        <f>IFERROR(__xludf.DUMMYFUNCTION("""COMPUTED_VALUE"""),"Creative Ad Agencies in Australia?")</f>
        <v>Creative Ad Agencies in Australia?</v>
      </c>
      <c r="C19" s="6" t="str">
        <f>IFERROR(__xludf.DUMMYFUNCTION("""COMPUTED_VALUE"""),"reddit.com")</f>
        <v>reddit.com</v>
      </c>
      <c r="D19" s="7" t="str">
        <f>IFERROR(__xludf.DUMMYFUNCTION("""COMPUTED_VALUE"""),"DISCUSSION")</f>
        <v>DISCUSSION</v>
      </c>
      <c r="E19" s="7" t="str">
        <f>IFERROR(__xludf.DUMMYFUNCTION("""COMPUTED_VALUE"""),"UGC")</f>
        <v>UGC</v>
      </c>
      <c r="F19" s="7" t="str">
        <f>IFERROR(__xludf.DUMMYFUNCTION("""COMPUTED_VALUE"""),"Discussion")</f>
        <v>Discussion</v>
      </c>
      <c r="G19" s="7" t="b">
        <f>IFERROR(__xludf.DUMMYFUNCTION("""COMPUTED_VALUE"""),FALSE)</f>
        <v>0</v>
      </c>
      <c r="H19" s="7" t="str">
        <f>IFERROR(__xludf.DUMMYFUNCTION("""COMPUTED_VALUE"""),"The Monkeys, Clemenger BBDO, HERO")</f>
        <v>The Monkeys, Clemenger BBDO, HERO</v>
      </c>
      <c r="I19" s="7">
        <f>IFERROR(__xludf.DUMMYFUNCTION("""COMPUTED_VALUE"""),1.0)</f>
        <v>1</v>
      </c>
      <c r="J19" s="7">
        <f>IFERROR(__xludf.DUMMYFUNCTION("""COMPUTED_VALUE"""),0.0)</f>
        <v>0</v>
      </c>
      <c r="K19" s="7">
        <f>IFERROR(__xludf.DUMMYFUNCTION("""COMPUTED_VALUE"""),2.0)</f>
        <v>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So%20instead%20of%20just%20ranking%20on%20a,even%20on%20platforms%20like%20Google's%20answer%20box." ref="A15"/>
    <hyperlink r:id="rId27" ref="C15"/>
    <hyperlink r:id="rId28" ref="A16"/>
    <hyperlink r:id="rId29" ref="C16"/>
    <hyperlink r:id="rId30" ref="A17"/>
    <hyperlink r:id="rId31" ref="C17"/>
    <hyperlink r:id="rId32" ref="A18"/>
    <hyperlink r:id="rId33" ref="C18"/>
    <hyperlink r:id="rId34" ref="A19"/>
    <hyperlink r:id="rId35" ref="C19"/>
  </hyperlinks>
  <drawing r:id="rId3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7" t="str">
        <f>IFERROR(__xludf.DUMMYFUNCTION("IFERROR(
  FILTER(
    'PEEC - URLs - All'!A2:K1000,
    REGEXMATCH(LOWER(TO_TEXT('PEEC - URLs - All'!A2:A1000)),""quora"")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All'!A2:A1000)),""medium"")
  ),
  """"
)"),"https://auratechinsights.medium.com/top-10-ai-development-and-consulting-companies-in-australia-7093eee60fbe")</f>
        <v>https://auratechinsights.medium.com/top-10-ai-development-and-consulting-companies-in-australia-7093eee60fbe</v>
      </c>
      <c r="B2" s="7" t="str">
        <f>IFERROR(__xludf.DUMMYFUNCTION("""COMPUTED_VALUE"""),"Top 10 AI Development and Consulting Companies in Australia | by Aura Tech Insights | Medium")</f>
        <v>Top 10 AI Development and Consulting Companies in Australia | by Aura Tech Insights | Medium</v>
      </c>
      <c r="C2" s="6" t="str">
        <f>IFERROR(__xludf.DUMMYFUNCTION("""COMPUTED_VALUE"""),"medium.com")</f>
        <v>medium.com</v>
      </c>
      <c r="D2" s="7" t="str">
        <f>IFERROR(__xludf.DUMMYFUNCTION("""COMPUTED_VALUE"""),"LISTICLE")</f>
        <v>LISTICLE</v>
      </c>
      <c r="E2" s="7" t="str">
        <f>IFERROR(__xludf.DUMMYFUNCTION("""COMPUTED_VALUE"""),"UGC")</f>
        <v>UGC</v>
      </c>
      <c r="F2" s="7" t="str">
        <f>IFERROR(__xludf.DUMMYFUNCTION("""COMPUTED_VALUE"""),"Listicle")</f>
        <v>Listicle</v>
      </c>
      <c r="G2" s="7" t="b">
        <f>IFERROR(__xludf.DUMMYFUNCTION("""COMPUTED_VALUE"""),FALSE)</f>
        <v>0</v>
      </c>
      <c r="H2" s="7" t="str">
        <f>IFERROR(__xludf.DUMMYFUNCTION("""COMPUTED_VALUE"""),"Momentum")</f>
        <v>Momentum</v>
      </c>
      <c r="I2" s="7">
        <f>IFERROR(__xludf.DUMMYFUNCTION("""COMPUTED_VALUE"""),12.0)</f>
        <v>12</v>
      </c>
      <c r="J2" s="7">
        <f>IFERROR(__xludf.DUMMYFUNCTION("""COMPUTED_VALUE"""),0.01)</f>
        <v>0.01</v>
      </c>
      <c r="K2" s="7">
        <f>IFERROR(__xludf.DUMMYFUNCTION("""COMPUTED_VALUE"""),0.08)</f>
        <v>0.08</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
      LOWER(TO_TEXT('PEEC - URLs - All'!A2:A1000)),
      ""tripadvisor|trustpilot|hellopeter|yelp|yellowpages|hotfrog|cylex|kompass|zoominfo|foursquare|brownbook|manta|crunchbase|angi|m"&amp;"apquest|showmelocal|callupcontact|tuugo|fyple|africabizinfo|businesslist|snupit""
    )
  ),
  """"
)"),"https://au.trustpilot.com/review/megaphone.com.au")</f>
        <v>https://au.trustpilot.com/review/megaphone.com.au</v>
      </c>
      <c r="B2" s="7"/>
      <c r="C2" s="6" t="str">
        <f>IFERROR(__xludf.DUMMYFUNCTION("""COMPUTED_VALUE"""),"trustpilot.com")</f>
        <v>trustpilot.com</v>
      </c>
      <c r="D2" s="7" t="str">
        <f>IFERROR(__xludf.DUMMYFUNCTION("""COMPUTED_VALUE"""),"OTHER")</f>
        <v>OTHER</v>
      </c>
      <c r="E2" s="7" t="str">
        <f>IFERROR(__xludf.DUMMYFUNCTION("""COMPUTED_VALUE"""),"OTHER")</f>
        <v>OTHER</v>
      </c>
      <c r="F2" s="7" t="str">
        <f>IFERROR(__xludf.DUMMYFUNCTION("""COMPUTED_VALUE"""),"Other")</f>
        <v>Other</v>
      </c>
      <c r="G2" s="7"/>
      <c r="H2" s="7" t="str">
        <f>IFERROR(__xludf.DUMMYFUNCTION("""COMPUTED_VALUE"""),"Unknown")</f>
        <v>Unknown</v>
      </c>
      <c r="I2" s="7">
        <f>IFERROR(__xludf.DUMMYFUNCTION("""COMPUTED_VALUE"""),1.0)</f>
        <v>1</v>
      </c>
      <c r="J2" s="7">
        <f>IFERROR(__xludf.DUMMYFUNCTION("""COMPUTED_VALUE"""),0.0)</f>
        <v>0</v>
      </c>
      <c r="K2" s="7">
        <f>IFERROR(__xludf.DUMMYFUNCTION("""COMPUTED_VALUE"""),2.0)</f>
        <v>2</v>
      </c>
    </row>
    <row r="3" ht="15.75" customHeight="1">
      <c r="A3" s="6" t="str">
        <f>IFERROR(__xludf.DUMMYFUNCTION("""COMPUTED_VALUE"""),"https://m.yelp.com/biz/loves-data-pty-ltd-mosman")</f>
        <v>https://m.yelp.com/biz/loves-data-pty-ltd-mosman</v>
      </c>
      <c r="B3" s="7" t="str">
        <f>IFERROR(__xludf.DUMMYFUNCTION("""COMPUTED_VALUE"""),"LOVES DATA PTY LTD - Updated July 2026 - 1110 Middle Head Rd Cnr, Mosman New South Wales, Australia - Marketing - Phone Number - Yelp")</f>
        <v>LOVES DATA PTY LTD - Updated July 2026 - 1110 Middle Head Rd Cnr, Mosman New South Wales, Australia - Marketing - Phone Number - Yelp</v>
      </c>
      <c r="C3" s="6" t="str">
        <f>IFERROR(__xludf.DUMMYFUNCTION("""COMPUTED_VALUE"""),"yelp.com")</f>
        <v>yelp.com</v>
      </c>
      <c r="D3" s="7" t="str">
        <f>IFERROR(__xludf.DUMMYFUNCTION("""COMPUTED_VALUE"""),"PROFILE")</f>
        <v>PROFILE</v>
      </c>
      <c r="E3" s="7" t="str">
        <f>IFERROR(__xludf.DUMMYFUNCTION("""COMPUTED_VALUE"""),"UGC")</f>
        <v>UGC</v>
      </c>
      <c r="F3" s="7" t="str">
        <f>IFERROR(__xludf.DUMMYFUNCTION("""COMPUTED_VALUE"""),"Profile")</f>
        <v>Profile</v>
      </c>
      <c r="G3" s="7" t="b">
        <f>IFERROR(__xludf.DUMMYFUNCTION("""COMPUTED_VALUE"""),FALSE)</f>
        <v>0</v>
      </c>
      <c r="H3" s="7" t="str">
        <f>IFERROR(__xludf.DUMMYFUNCTION("""COMPUTED_VALUE"""),"Loves Data")</f>
        <v>Loves Data</v>
      </c>
      <c r="I3" s="7">
        <f>IFERROR(__xludf.DUMMYFUNCTION("""COMPUTED_VALUE"""),1.0)</f>
        <v>1</v>
      </c>
      <c r="J3" s="7">
        <f>IFERROR(__xludf.DUMMYFUNCTION("""COMPUTED_VALUE"""),0.0)</f>
        <v>0</v>
      </c>
      <c r="K3" s="7">
        <f>IFERROR(__xludf.DUMMYFUNCTION("""COMPUTED_VALUE"""),1.0)</f>
        <v>1</v>
      </c>
    </row>
    <row r="4" ht="15.75" customHeight="1">
      <c r="A4" s="6" t="str">
        <f>IFERROR(__xludf.DUMMYFUNCTION("""COMPUTED_VALUE"""),"https://www.zoominfo.com/c/metric-labs/447146165")</f>
        <v>https://www.zoominfo.com/c/metric-labs/447146165</v>
      </c>
      <c r="B4" s="7" t="str">
        <f>IFERROR(__xludf.DUMMYFUNCTION("""COMPUTED_VALUE"""),"Metric Labs - Overview, News &amp; Similar companies \| ZoomInfo.com")</f>
        <v>Metric Labs - Overview, News &amp; Similar companies \| ZoomInfo.com</v>
      </c>
      <c r="C4" s="6" t="str">
        <f>IFERROR(__xludf.DUMMYFUNCTION("""COMPUTED_VALUE"""),"zoominfo.com")</f>
        <v>zoominfo.com</v>
      </c>
      <c r="D4" s="7" t="str">
        <f>IFERROR(__xludf.DUMMYFUNCTION("""COMPUTED_VALUE"""),"PROFILE")</f>
        <v>PROFILE</v>
      </c>
      <c r="E4" s="7" t="str">
        <f>IFERROR(__xludf.DUMMYFUNCTION("""COMPUTED_VALUE"""),"CORPORATE")</f>
        <v>CORPORATE</v>
      </c>
      <c r="F4" s="7" t="str">
        <f>IFERROR(__xludf.DUMMYFUNCTION("""COMPUTED_VALUE"""),"Profile")</f>
        <v>Profile</v>
      </c>
      <c r="G4" s="7" t="b">
        <f>IFERROR(__xludf.DUMMYFUNCTION("""COMPUTED_VALUE"""),FALSE)</f>
        <v>0</v>
      </c>
      <c r="H4" s="7" t="str">
        <f>IFERROR(__xludf.DUMMYFUNCTION("""COMPUTED_VALUE"""),"Metric Labs, Momentum")</f>
        <v>Metric Labs, Momentum</v>
      </c>
      <c r="I4" s="7">
        <f>IFERROR(__xludf.DUMMYFUNCTION("""COMPUTED_VALUE"""),1.0)</f>
        <v>1</v>
      </c>
      <c r="J4" s="7">
        <f>IFERROR(__xludf.DUMMYFUNCTION("""COMPUTED_VALUE"""),0.0)</f>
        <v>0</v>
      </c>
      <c r="K4" s="7">
        <f>IFERROR(__xludf.DUMMYFUNCTION("""COMPUTED_VALUE"""),1.0)</f>
        <v>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All'!A2:A1000)),""facebook"")
  ),
  """"
)"),"https://clutch.co/au/agencies/social-media-marketing/facebook")</f>
        <v>https://clutch.co/au/agencies/social-media-marketing/facebook</v>
      </c>
      <c r="B2" s="7" t="str">
        <f>IFERROR(__xludf.DUMMYFUNCTION("""COMPUTED_VALUE"""),"Top Facebook Advertising Agencies in Australia - Jul 2026 Rankings | Clutch.co")</f>
        <v>Top Facebook Advertising Agencies in Australia - Jul 2026 Rankings | Clutch.co</v>
      </c>
      <c r="C2" s="6" t="str">
        <f>IFERROR(__xludf.DUMMYFUNCTION("""COMPUTED_VALUE"""),"clutch.co")</f>
        <v>clutch.co</v>
      </c>
      <c r="D2" s="7" t="str">
        <f>IFERROR(__xludf.DUMMYFUNCTION("""COMPUTED_VALUE"""),"CATEGORY_PAGE")</f>
        <v>CATEGORY_PAGE</v>
      </c>
      <c r="E2" s="7" t="str">
        <f>IFERROR(__xludf.DUMMYFUNCTION("""COMPUTED_VALUE"""),"CORPORATE")</f>
        <v>CORPORATE</v>
      </c>
      <c r="F2" s="7" t="str">
        <f>IFERROR(__xludf.DUMMYFUNCTION("""COMPUTED_VALUE"""),"Category Page")</f>
        <v>Category Page</v>
      </c>
      <c r="G2" s="7" t="b">
        <f>IFERROR(__xludf.DUMMYFUNCTION("""COMPUTED_VALUE"""),FALSE)</f>
        <v>0</v>
      </c>
      <c r="H2" s="7" t="str">
        <f>IFERROR(__xludf.DUMMYFUNCTION("""COMPUTED_VALUE"""),"Digital Nomads HQ, SIXGUN, Intesols, Impressive, Farsiight, Soup Agency, Emote Digital, Human Digital, Salt &amp; Fuessel, EvenDigit, Rocket Agency, Clearwater Agency, DNM Digital, Edge Marketing, Megaphone, Online Marketing Gurus, Omnicom Media Group, Parado"&amp;"x Marketing, Bench Media, Insil")</f>
        <v>Digital Nomads HQ, SIXGUN, Intesols, Impressive, Farsiight, Soup Agency, Emote Digital, Human Digital, Salt &amp; Fuessel, EvenDigit, Rocket Agency, Clearwater Agency, DNM Digital, Edge Marketing, Megaphone, Online Marketing Gurus, Omnicom Media Group, Paradox Marketing, Bench Media, Insil</v>
      </c>
      <c r="I2" s="7">
        <f>IFERROR(__xludf.DUMMYFUNCTION("""COMPUTED_VALUE"""),18.0)</f>
        <v>18</v>
      </c>
      <c r="J2" s="7">
        <f>IFERROR(__xludf.DUMMYFUNCTION("""COMPUTED_VALUE"""),0.02)</f>
        <v>0.02</v>
      </c>
      <c r="K2" s="7">
        <f>IFERROR(__xludf.DUMMYFUNCTION("""COMPUTED_VALUE"""),0.06)</f>
        <v>0.06</v>
      </c>
    </row>
    <row r="3" ht="15.75" customHeight="1">
      <c r="A3" s="6" t="str">
        <f>IFERROR(__xludf.DUMMYFUNCTION("""COMPUTED_VALUE"""),"https://clickclickbangbang.com.au/best-facebook-ads-agency/")</f>
        <v>https://clickclickbangbang.com.au/best-facebook-ads-agency/</v>
      </c>
      <c r="B3" s="7" t="str">
        <f>IFERROR(__xludf.DUMMYFUNCTION("""COMPUTED_VALUE"""),"7 Best Facebook Ads Agency Picks for Australian Businesses in 2026")</f>
        <v>7 Best Facebook Ads Agency Picks for Australian Businesses in 2026</v>
      </c>
      <c r="C3" s="6" t="str">
        <f>IFERROR(__xludf.DUMMYFUNCTION("""COMPUTED_VALUE"""),"clickclickbangbang.com.au")</f>
        <v>clickclickbangbang.com.au</v>
      </c>
      <c r="D3" s="7" t="str">
        <f>IFERROR(__xludf.DUMMYFUNCTION("""COMPUTED_VALUE"""),"LISTICLE")</f>
        <v>LISTICLE</v>
      </c>
      <c r="E3" s="7" t="str">
        <f>IFERROR(__xludf.DUMMYFUNCTION("""COMPUTED_VALUE"""),"CORPORATE")</f>
        <v>CORPORATE</v>
      </c>
      <c r="F3" s="7" t="str">
        <f>IFERROR(__xludf.DUMMYFUNCTION("""COMPUTED_VALUE"""),"Listicle")</f>
        <v>Listicle</v>
      </c>
      <c r="G3" s="7" t="b">
        <f>IFERROR(__xludf.DUMMYFUNCTION("""COMPUTED_VALUE"""),FALSE)</f>
        <v>0</v>
      </c>
      <c r="H3" s="7" t="str">
        <f>IFERROR(__xludf.DUMMYFUNCTION("""COMPUTED_VALUE"""),"Megaphone, Online Marketing Gurus, Deloitte, Omnicom Media Group, Rocket Agency, Reload Media, King Kong")</f>
        <v>Megaphone, Online Marketing Gurus, Deloitte, Omnicom Media Group, Rocket Agency, Reload Media, King Kong</v>
      </c>
      <c r="I3" s="7">
        <f>IFERROR(__xludf.DUMMYFUNCTION("""COMPUTED_VALUE"""),3.0)</f>
        <v>3</v>
      </c>
      <c r="J3" s="7">
        <f>IFERROR(__xludf.DUMMYFUNCTION("""COMPUTED_VALUE"""),0.0)</f>
        <v>0</v>
      </c>
      <c r="K3" s="7">
        <f>IFERROR(__xludf.DUMMYFUNCTION("""COMPUTED_VALUE"""),1.0)</f>
        <v>1</v>
      </c>
    </row>
    <row r="4" ht="15.75" customHeight="1">
      <c r="A4" s="6" t="str">
        <f>IFERROR(__xludf.DUMMYFUNCTION("""COMPUTED_VALUE"""),"https://agencies.semrush.com/list/facebook-advertising/australia/")</f>
        <v>https://agencies.semrush.com/list/facebook-advertising/australia/</v>
      </c>
      <c r="B4" s="7" t="str">
        <f>IFERROR(__xludf.DUMMYFUNCTION("""COMPUTED_VALUE"""),"Best Facebook Advertising Agencies in Australia 2026 | Semrush")</f>
        <v>Best Facebook Advertising Agencies in Australia 2026 | Semrush</v>
      </c>
      <c r="C4" s="6" t="str">
        <f>IFERROR(__xludf.DUMMYFUNCTION("""COMPUTED_VALUE"""),"semrush.com")</f>
        <v>semrush.com</v>
      </c>
      <c r="D4" s="7" t="str">
        <f>IFERROR(__xludf.DUMMYFUNCTION("""COMPUTED_VALUE"""),"CATEGORY_PAGE")</f>
        <v>CATEGORY_PAGE</v>
      </c>
      <c r="E4" s="7" t="str">
        <f>IFERROR(__xludf.DUMMYFUNCTION("""COMPUTED_VALUE"""),"CORPORATE")</f>
        <v>CORPORATE</v>
      </c>
      <c r="F4" s="7" t="str">
        <f>IFERROR(__xludf.DUMMYFUNCTION("""COMPUTED_VALUE"""),"Category Page")</f>
        <v>Category Page</v>
      </c>
      <c r="G4" s="7" t="b">
        <f>IFERROR(__xludf.DUMMYFUNCTION("""COMPUTED_VALUE"""),FALSE)</f>
        <v>0</v>
      </c>
      <c r="H4" s="7"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4" s="7">
        <f>IFERROR(__xludf.DUMMYFUNCTION("""COMPUTED_VALUE"""),2.0)</f>
        <v>2</v>
      </c>
      <c r="J4" s="7">
        <f>IFERROR(__xludf.DUMMYFUNCTION("""COMPUTED_VALUE"""),0.0)</f>
        <v>0</v>
      </c>
      <c r="K4" s="7">
        <f>IFERROR(__xludf.DUMMYFUNCTION("""COMPUTED_VALUE"""),0.0)</f>
        <v>0</v>
      </c>
    </row>
    <row r="5" ht="15.75" customHeight="1">
      <c r="A5" s="6" t="str">
        <f>IFERROR(__xludf.DUMMYFUNCTION("""COMPUTED_VALUE"""),"https://clutch.co/au/agencies/social-media-marketing/facebook?page=9")</f>
        <v>https://clutch.co/au/agencies/social-media-marketing/facebook?page=9</v>
      </c>
      <c r="B5" s="7" t="str">
        <f>IFERROR(__xludf.DUMMYFUNCTION("""COMPUTED_VALUE"""),"Page 9 - Top Facebook Advertising Agencies in Australia - Jul 2026 Rankings | Clutch.co")</f>
        <v>Page 9 - Top Facebook Advertising Agencies in Australia - Jul 2026 Rankings | Clutch.co</v>
      </c>
      <c r="C5" s="6" t="str">
        <f>IFERROR(__xludf.DUMMYFUNCTION("""COMPUTED_VALUE"""),"clutch.co")</f>
        <v>clutch.co</v>
      </c>
      <c r="D5" s="7" t="str">
        <f>IFERROR(__xludf.DUMMYFUNCTION("""COMPUTED_VALUE"""),"CATEGORY_PAGE")</f>
        <v>CATEGORY_PAGE</v>
      </c>
      <c r="E5" s="7" t="str">
        <f>IFERROR(__xludf.DUMMYFUNCTION("""COMPUTED_VALUE"""),"CORPORATE")</f>
        <v>CORPORATE</v>
      </c>
      <c r="F5" s="7" t="str">
        <f>IFERROR(__xludf.DUMMYFUNCTION("""COMPUTED_VALUE"""),"Category Page")</f>
        <v>Category Page</v>
      </c>
      <c r="G5" s="7" t="b">
        <f>IFERROR(__xludf.DUMMYFUNCTION("""COMPUTED_VALUE"""),FALSE)</f>
        <v>0</v>
      </c>
      <c r="H5" s="7" t="str">
        <f>IFERROR(__xludf.DUMMYFUNCTION("""COMPUTED_VALUE"""),"Impressive, Digital Nomads HQ, SIXGUN, Megaphone, Intesols, Farsiight, Soup Agency, Online Marketing Gurus, Paradox Marketing, Emote Digital, Rocket Agency, Human Digital, Bench Media, Insil, Clearwater Agency, Salt &amp; Fuessel")</f>
        <v>Impressive, Digital Nomads HQ, SIXGUN, Megaphone, Intesols, Farsiight, Soup Agency, Online Marketing Gurus, Paradox Marketing, Emote Digital, Rocket Agency, Human Digital, Bench Media, Insil, Clearwater Agency, Salt &amp; Fuessel</v>
      </c>
      <c r="I5" s="7">
        <f>IFERROR(__xludf.DUMMYFUNCTION("""COMPUTED_VALUE"""),2.0)</f>
        <v>2</v>
      </c>
      <c r="J5" s="7">
        <f>IFERROR(__xludf.DUMMYFUNCTION("""COMPUTED_VALUE"""),0.0)</f>
        <v>0</v>
      </c>
      <c r="K5" s="7">
        <f>IFERROR(__xludf.DUMMYFUNCTION("""COMPUTED_VALUE"""),0.0)</f>
        <v>0</v>
      </c>
    </row>
    <row r="6" ht="15.75" customHeight="1">
      <c r="A6" s="6" t="str">
        <f>IFERROR(__xludf.DUMMYFUNCTION("""COMPUTED_VALUE"""),"https://clutch.co/au/agencies/social-media-marketing/facebook/sydney")</f>
        <v>https://clutch.co/au/agencies/social-media-marketing/facebook/sydney</v>
      </c>
      <c r="B6" s="7" t="str">
        <f>IFERROR(__xludf.DUMMYFUNCTION("""COMPUTED_VALUE"""),"Top Facebook Advertising Agencies in Sydney - Jul 2026 Rankings \| Clutch.co")</f>
        <v>Top Facebook Advertising Agencies in Sydney - Jul 2026 Rankings \| Clutch.co</v>
      </c>
      <c r="C6" s="6" t="str">
        <f>IFERROR(__xludf.DUMMYFUNCTION("""COMPUTED_VALUE"""),"clutch.co")</f>
        <v>clutch.co</v>
      </c>
      <c r="D6" s="7" t="str">
        <f>IFERROR(__xludf.DUMMYFUNCTION("""COMPUTED_VALUE"""),"CATEGORY_PAGE")</f>
        <v>CATEGORY_PAGE</v>
      </c>
      <c r="E6" s="7" t="str">
        <f>IFERROR(__xludf.DUMMYFUNCTION("""COMPUTED_VALUE"""),"CORPORATE")</f>
        <v>CORPORATE</v>
      </c>
      <c r="F6" s="7" t="str">
        <f>IFERROR(__xludf.DUMMYFUNCTION("""COMPUTED_VALUE"""),"Category Page")</f>
        <v>Category Page</v>
      </c>
      <c r="G6" s="7" t="b">
        <f>IFERROR(__xludf.DUMMYFUNCTION("""COMPUTED_VALUE"""),FALSE)</f>
        <v>0</v>
      </c>
      <c r="H6" s="7" t="str">
        <f>IFERROR(__xludf.DUMMYFUNCTION("""COMPUTED_VALUE"""),"Soup Agency, Human Digital, Digital Nomads HQ, Rocket Agency, DNM Digital, Impressive, Megaphone, Online Marketing Gurus, Omnicom Media Group, Bench Media, Insil, Huge, AdVisible")</f>
        <v>Soup Agency, Human Digital, Digital Nomads HQ, Rocket Agency, DNM Digital, Impressive, Megaphone, Online Marketing Gurus, Omnicom Media Group, Bench Media, Insil, Huge, AdVisible</v>
      </c>
      <c r="I6" s="7">
        <f>IFERROR(__xludf.DUMMYFUNCTION("""COMPUTED_VALUE"""),1.0)</f>
        <v>1</v>
      </c>
      <c r="J6" s="7">
        <f>IFERROR(__xludf.DUMMYFUNCTION("""COMPUTED_VALUE"""),0.0)</f>
        <v>0</v>
      </c>
      <c r="K6" s="7">
        <f>IFERROR(__xludf.DUMMYFUNCTION("""COMPUTED_VALUE"""),0.0)</f>
        <v>0</v>
      </c>
    </row>
    <row r="7" ht="15.75" customHeight="1">
      <c r="A7" s="6" t="str">
        <f>IFERROR(__xludf.DUMMYFUNCTION("""COMPUTED_VALUE"""),"https://clutch.co/au/agencies/social-media-marketing/facebook?page=6")</f>
        <v>https://clutch.co/au/agencies/social-media-marketing/facebook?page=6</v>
      </c>
      <c r="B7" s="7" t="str">
        <f>IFERROR(__xludf.DUMMYFUNCTION("""COMPUTED_VALUE"""),"Page 6 - Top Facebook Advertising Agencies in Australia - Jul 2026 Rankings \| Clutch.co")</f>
        <v>Page 6 - Top Facebook Advertising Agencies in Australia - Jul 2026 Rankings \| Clutch.co</v>
      </c>
      <c r="C7" s="6" t="str">
        <f>IFERROR(__xludf.DUMMYFUNCTION("""COMPUTED_VALUE"""),"clutch.co")</f>
        <v>clutch.co</v>
      </c>
      <c r="D7" s="7" t="str">
        <f>IFERROR(__xludf.DUMMYFUNCTION("""COMPUTED_VALUE"""),"CATEGORY_PAGE")</f>
        <v>CATEGORY_PAGE</v>
      </c>
      <c r="E7" s="7" t="str">
        <f>IFERROR(__xludf.DUMMYFUNCTION("""COMPUTED_VALUE"""),"CORPORATE")</f>
        <v>CORPORATE</v>
      </c>
      <c r="F7" s="7" t="str">
        <f>IFERROR(__xludf.DUMMYFUNCTION("""COMPUTED_VALUE"""),"Category Page")</f>
        <v>Category Page</v>
      </c>
      <c r="G7" s="7" t="b">
        <f>IFERROR(__xludf.DUMMYFUNCTION("""COMPUTED_VALUE"""),FALSE)</f>
        <v>0</v>
      </c>
      <c r="H7" s="7" t="str">
        <f>IFERROR(__xludf.DUMMYFUNCTION("""COMPUTED_VALUE"""),"Digital Nomads HQ, SIXGUN, Intesols, Farsiight, Soup Agency, Emote Digital, Impressive, Human Digital, Megaphone, Online Marketing Gurus, Paradox Marketing, Rocket Agency, Bench Media, Insil, Clearwater Agency, Salt &amp; Fuessel")</f>
        <v>Digital Nomads HQ, SIXGUN, Intesols, Farsiight, Soup Agency, Emote Digital, Impressive, Human Digital, Megaphone, Online Marketing Gurus, Paradox Marketing, Rocket Agency, Bench Media, Insil, Clearwater Agency, Salt &amp; Fuessel</v>
      </c>
      <c r="I7" s="7">
        <f>IFERROR(__xludf.DUMMYFUNCTION("""COMPUTED_VALUE"""),1.0)</f>
        <v>1</v>
      </c>
      <c r="J7" s="7">
        <f>IFERROR(__xludf.DUMMYFUNCTION("""COMPUTED_VALUE"""),0.0)</f>
        <v>0</v>
      </c>
      <c r="K7" s="7">
        <f>IFERROR(__xludf.DUMMYFUNCTION("""COMPUTED_VALUE"""),0.0)</f>
        <v>0</v>
      </c>
    </row>
    <row r="8" ht="15.75" customHeight="1">
      <c r="A8" s="6" t="str">
        <f>IFERROR(__xludf.DUMMYFUNCTION("""COMPUTED_VALUE"""),"https://www.facebook.com/business/marketing-partners/business-innovation-technology-podcast/Marketing_Mix_Modeling_Utilizing_Open_Source")</f>
        <v>https://www.facebook.com/business/marketing-partners/business-innovation-technology-podcast/Marketing_Mix_Modeling_Utilizing_Open_Source</v>
      </c>
      <c r="B8" s="7" t="str">
        <f>IFERROR(__xludf.DUMMYFUNCTION("""COMPUTED_VALUE"""),"MMM: Utilizing Open Source Technologies to Improve Advertising ROI \| Meta for Business")</f>
        <v>MMM: Utilizing Open Source Technologies to Improve Advertising ROI \| Meta for Business</v>
      </c>
      <c r="C8" s="6" t="str">
        <f>IFERROR(__xludf.DUMMYFUNCTION("""COMPUTED_VALUE"""),"facebook.com")</f>
        <v>facebook.com</v>
      </c>
      <c r="D8" s="7" t="str">
        <f>IFERROR(__xludf.DUMMYFUNCTION("""COMPUTED_VALUE"""),"ARTICLE")</f>
        <v>ARTICLE</v>
      </c>
      <c r="E8" s="7" t="str">
        <f>IFERROR(__xludf.DUMMYFUNCTION("""COMPUTED_VALUE"""),"UGC")</f>
        <v>UGC</v>
      </c>
      <c r="F8" s="7" t="str">
        <f>IFERROR(__xludf.DUMMYFUNCTION("""COMPUTED_VALUE"""),"Article")</f>
        <v>Article</v>
      </c>
      <c r="G8" s="7" t="b">
        <f>IFERROR(__xludf.DUMMYFUNCTION("""COMPUTED_VALUE"""),FALSE)</f>
        <v>0</v>
      </c>
      <c r="H8" s="7" t="str">
        <f>IFERROR(__xludf.DUMMYFUNCTION("""COMPUTED_VALUE"""),"Deloitte, Measured")</f>
        <v>Deloitte, Measured</v>
      </c>
      <c r="I8" s="7">
        <f>IFERROR(__xludf.DUMMYFUNCTION("""COMPUTED_VALUE"""),1.0)</f>
        <v>1</v>
      </c>
      <c r="J8" s="7">
        <f>IFERROR(__xludf.DUMMYFUNCTION("""COMPUTED_VALUE"""),0.0)</f>
        <v>0</v>
      </c>
      <c r="K8" s="7">
        <f>IFERROR(__xludf.DUMMYFUNCTION("""COMPUTED_VALUE"""),1.0)</f>
        <v>1</v>
      </c>
    </row>
    <row r="9" ht="15.75" customHeight="1">
      <c r="A9" s="6" t="str">
        <f>IFERROR(__xludf.DUMMYFUNCTION("""COMPUTED_VALUE"""),"https://www.facebook.com/metriclabsau/")</f>
        <v>https://www.facebook.com/metriclabsau/</v>
      </c>
      <c r="B9" s="7"/>
      <c r="C9" s="6" t="str">
        <f>IFERROR(__xludf.DUMMYFUNCTION("""COMPUTED_VALUE"""),"facebook.com")</f>
        <v>facebook.com</v>
      </c>
      <c r="D9" s="7" t="str">
        <f>IFERROR(__xludf.DUMMYFUNCTION("""COMPUTED_VALUE"""),"OTHER")</f>
        <v>OTHER</v>
      </c>
      <c r="E9" s="7" t="str">
        <f>IFERROR(__xludf.DUMMYFUNCTION("""COMPUTED_VALUE"""),"OTHER")</f>
        <v>OTHER</v>
      </c>
      <c r="F9" s="7" t="str">
        <f>IFERROR(__xludf.DUMMYFUNCTION("""COMPUTED_VALUE"""),"Other")</f>
        <v>Other</v>
      </c>
      <c r="G9" s="7"/>
      <c r="H9" s="7" t="str">
        <f>IFERROR(__xludf.DUMMYFUNCTION("""COMPUTED_VALUE"""),"Unknown")</f>
        <v>Unknown</v>
      </c>
      <c r="I9" s="7">
        <f>IFERROR(__xludf.DUMMYFUNCTION("""COMPUTED_VALUE"""),1.0)</f>
        <v>1</v>
      </c>
      <c r="J9" s="7">
        <f>IFERROR(__xludf.DUMMYFUNCTION("""COMPUTED_VALUE"""),0.0)</f>
        <v>0</v>
      </c>
      <c r="K9" s="7">
        <f>IFERROR(__xludf.DUMMYFUNCTION("""COMPUTED_VALUE"""),1.0)</f>
        <v>1</v>
      </c>
    </row>
    <row r="10" ht="15.75" customHeight="1">
      <c r="A10" s="6" t="str">
        <f>IFERROR(__xludf.DUMMYFUNCTION("""COMPUTED_VALUE"""),"https://www.facebook.com/sparrogram/")</f>
        <v>https://www.facebook.com/sparrogram/</v>
      </c>
      <c r="B10" s="7" t="str">
        <f>IFERROR(__xludf.DUMMYFUNCTION("""COMPUTED_VALUE"""),"Facebook")</f>
        <v>Facebook</v>
      </c>
      <c r="C10" s="6" t="str">
        <f>IFERROR(__xludf.DUMMYFUNCTION("""COMPUTED_VALUE"""),"facebook.com")</f>
        <v>facebook.com</v>
      </c>
      <c r="D10" s="7" t="str">
        <f>IFERROR(__xludf.DUMMYFUNCTION("""COMPUTED_VALUE"""),"OTHER")</f>
        <v>OTHER</v>
      </c>
      <c r="E10" s="7" t="str">
        <f>IFERROR(__xludf.DUMMYFUNCTION("""COMPUTED_VALUE"""),"UGC")</f>
        <v>UGC</v>
      </c>
      <c r="F10" s="7" t="str">
        <f>IFERROR(__xludf.DUMMYFUNCTION("""COMPUTED_VALUE"""),"Other")</f>
        <v>Other</v>
      </c>
      <c r="G10" s="7" t="b">
        <f>IFERROR(__xludf.DUMMYFUNCTION("""COMPUTED_VALUE"""),FALSE)</f>
        <v>0</v>
      </c>
      <c r="H10" s="7"/>
      <c r="I10" s="7">
        <f>IFERROR(__xludf.DUMMYFUNCTION("""COMPUTED_VALUE"""),1.0)</f>
        <v>1</v>
      </c>
      <c r="J10" s="7">
        <f>IFERROR(__xludf.DUMMYFUNCTION("""COMPUTED_VALUE"""),0.0)</f>
        <v>0</v>
      </c>
      <c r="K10" s="7">
        <f>IFERROR(__xludf.DUMMYFUNCTION("""COMPUTED_VALUE"""),1.0)</f>
        <v>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s>
  <drawing r:id="rId1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REGEXMATCH(LOWER(TO_TEXT('PEEC - URLs - All'!A2:A1000)),""linkedin"")
  ),
  """"
)"),"https://www.linkedin.com/pulse/top-data-analytics-services-australia-vanator-assist-dcjvf?trk=public_post")</f>
        <v>https://www.linkedin.com/pulse/top-data-analytics-services-australia-vanator-assist-dcjvf?trk=public_post</v>
      </c>
      <c r="B2" s="7" t="str">
        <f>IFERROR(__xludf.DUMMYFUNCTION("""COMPUTED_VALUE"""),"Top Data Analytics Services in Australia")</f>
        <v>Top Data Analytics Services in Australia</v>
      </c>
      <c r="C2" s="6" t="str">
        <f>IFERROR(__xludf.DUMMYFUNCTION("""COMPUTED_VALUE"""),"linkedin.com")</f>
        <v>linkedin.com</v>
      </c>
      <c r="D2" s="7" t="str">
        <f>IFERROR(__xludf.DUMMYFUNCTION("""COMPUTED_VALUE"""),"LISTICLE")</f>
        <v>LISTICLE</v>
      </c>
      <c r="E2" s="7" t="str">
        <f>IFERROR(__xludf.DUMMYFUNCTION("""COMPUTED_VALUE"""),"UGC")</f>
        <v>UGC</v>
      </c>
      <c r="F2" s="7" t="str">
        <f>IFERROR(__xludf.DUMMYFUNCTION("""COMPUTED_VALUE"""),"Listicle")</f>
        <v>Listicle</v>
      </c>
      <c r="G2" s="7" t="b">
        <f>IFERROR(__xludf.DUMMYFUNCTION("""COMPUTED_VALUE"""),FALSE)</f>
        <v>0</v>
      </c>
      <c r="H2" s="7"/>
      <c r="I2" s="7">
        <f>IFERROR(__xludf.DUMMYFUNCTION("""COMPUTED_VALUE"""),8.0)</f>
        <v>8</v>
      </c>
      <c r="J2" s="7">
        <f>IFERROR(__xludf.DUMMYFUNCTION("""COMPUTED_VALUE"""),0.01)</f>
        <v>0.01</v>
      </c>
      <c r="K2" s="7">
        <f>IFERROR(__xludf.DUMMYFUNCTION("""COMPUTED_VALUE"""),0.0)</f>
        <v>0</v>
      </c>
    </row>
    <row r="3" ht="15.75" customHeight="1">
      <c r="A3" s="6" t="str">
        <f>IFERROR(__xludf.DUMMYFUNCTION("""COMPUTED_VALUE"""),"https://www.linkedin.com/pulse/digital-marketing-agencies-australia-abhinav-puri-oeg4f")</f>
        <v>https://www.linkedin.com/pulse/digital-marketing-agencies-australia-abhinav-puri-oeg4f</v>
      </c>
      <c r="B3" s="7" t="str">
        <f>IFERROR(__xludf.DUMMYFUNCTION("""COMPUTED_VALUE"""),"Top 12 Digital Marketing Agencies in Australia 2025")</f>
        <v>Top 12 Digital Marketing Agencies in Australia 2025</v>
      </c>
      <c r="C3" s="6" t="str">
        <f>IFERROR(__xludf.DUMMYFUNCTION("""COMPUTED_VALUE"""),"linkedin.com")</f>
        <v>linkedin.com</v>
      </c>
      <c r="D3" s="7" t="str">
        <f>IFERROR(__xludf.DUMMYFUNCTION("""COMPUTED_VALUE"""),"LISTICLE")</f>
        <v>LISTICLE</v>
      </c>
      <c r="E3" s="7" t="str">
        <f>IFERROR(__xludf.DUMMYFUNCTION("""COMPUTED_VALUE"""),"UGC")</f>
        <v>UGC</v>
      </c>
      <c r="F3" s="7" t="str">
        <f>IFERROR(__xludf.DUMMYFUNCTION("""COMPUTED_VALUE"""),"Listicle")</f>
        <v>Listicle</v>
      </c>
      <c r="G3" s="7" t="b">
        <f>IFERROR(__xludf.DUMMYFUNCTION("""COMPUTED_VALUE"""),FALSE)</f>
        <v>0</v>
      </c>
      <c r="H3" s="7" t="str">
        <f>IFERROR(__xludf.DUMMYFUNCTION("""COMPUTED_VALUE"""),"Digital Nomads HQ, Impressive, Sparro, King Kong, Megaphone, Emote Digital")</f>
        <v>Digital Nomads HQ, Impressive, Sparro, King Kong, Megaphone, Emote Digital</v>
      </c>
      <c r="I3" s="7">
        <f>IFERROR(__xludf.DUMMYFUNCTION("""COMPUTED_VALUE"""),6.0)</f>
        <v>6</v>
      </c>
      <c r="J3" s="7">
        <f>IFERROR(__xludf.DUMMYFUNCTION("""COMPUTED_VALUE"""),0.01)</f>
        <v>0.01</v>
      </c>
      <c r="K3" s="7">
        <f>IFERROR(__xludf.DUMMYFUNCTION("""COMPUTED_VALUE"""),0.17)</f>
        <v>0.17</v>
      </c>
    </row>
    <row r="4" ht="15.75" customHeight="1">
      <c r="A4" s="6" t="str">
        <f>IFERROR(__xludf.DUMMYFUNCTION("""COMPUTED_VALUE"""),"https://www.linkedin.com/pulse/top-ai-seo-agencies-australia-watch-year-shivanshi-rai-dpy2c")</f>
        <v>https://www.linkedin.com/pulse/top-ai-seo-agencies-australia-watch-year-shivanshi-rai-dpy2c</v>
      </c>
      <c r="B4" s="7" t="str">
        <f>IFERROR(__xludf.DUMMYFUNCTION("""COMPUTED_VALUE"""),"Top AI SEO Agencies in Australia to Watch This Year")</f>
        <v>Top AI SEO Agencies in Australia to Watch This Year</v>
      </c>
      <c r="C4" s="6" t="str">
        <f>IFERROR(__xludf.DUMMYFUNCTION("""COMPUTED_VALUE"""),"linkedin.com")</f>
        <v>linkedin.com</v>
      </c>
      <c r="D4" s="7" t="str">
        <f>IFERROR(__xludf.DUMMYFUNCTION("""COMPUTED_VALUE"""),"LISTICLE")</f>
        <v>LISTICLE</v>
      </c>
      <c r="E4" s="7" t="str">
        <f>IFERROR(__xludf.DUMMYFUNCTION("""COMPUTED_VALUE"""),"UGC")</f>
        <v>UGC</v>
      </c>
      <c r="F4" s="7" t="str">
        <f>IFERROR(__xludf.DUMMYFUNCTION("""COMPUTED_VALUE"""),"Listicle")</f>
        <v>Listicle</v>
      </c>
      <c r="G4" s="7" t="b">
        <f>IFERROR(__xludf.DUMMYFUNCTION("""COMPUTED_VALUE"""),FALSE)</f>
        <v>0</v>
      </c>
      <c r="H4" s="7" t="str">
        <f>IFERROR(__xludf.DUMMYFUNCTION("""COMPUTED_VALUE"""),"Supple Digital, Digital Nomads HQ, StudioHawk, First Page, First Page Australia, Online Marketing Gurus, Clearwater Agency, Megaphone")</f>
        <v>Supple Digital, Digital Nomads HQ, StudioHawk, First Page, First Page Australia, Online Marketing Gurus, Clearwater Agency, Megaphone</v>
      </c>
      <c r="I4" s="7">
        <f>IFERROR(__xludf.DUMMYFUNCTION("""COMPUTED_VALUE"""),5.0)</f>
        <v>5</v>
      </c>
      <c r="J4" s="7">
        <f>IFERROR(__xludf.DUMMYFUNCTION("""COMPUTED_VALUE"""),0.01)</f>
        <v>0.01</v>
      </c>
      <c r="K4" s="7">
        <f>IFERROR(__xludf.DUMMYFUNCTION("""COMPUTED_VALUE"""),1.0)</f>
        <v>1</v>
      </c>
    </row>
    <row r="5" ht="15.75" customHeight="1">
      <c r="A5" s="6" t="str">
        <f>IFERROR(__xludf.DUMMYFUNCTION("""COMPUTED_VALUE"""),"https://au.linkedin.com/company/thinkerbellagency")</f>
        <v>https://au.linkedin.com/company/thinkerbellagency</v>
      </c>
      <c r="B5" s="7" t="str">
        <f>IFERROR(__xludf.DUMMYFUNCTION("""COMPUTED_VALUE"""),"Thinkerbell | LinkedIn")</f>
        <v>Thinkerbell | LinkedIn</v>
      </c>
      <c r="C5" s="6" t="str">
        <f>IFERROR(__xludf.DUMMYFUNCTION("""COMPUTED_VALUE"""),"linkedin.com")</f>
        <v>linkedin.com</v>
      </c>
      <c r="D5" s="7" t="str">
        <f>IFERROR(__xludf.DUMMYFUNCTION("""COMPUTED_VALUE"""),"PROFILE")</f>
        <v>PROFILE</v>
      </c>
      <c r="E5" s="7" t="str">
        <f>IFERROR(__xludf.DUMMYFUNCTION("""COMPUTED_VALUE"""),"UGC")</f>
        <v>UGC</v>
      </c>
      <c r="F5" s="7" t="str">
        <f>IFERROR(__xludf.DUMMYFUNCTION("""COMPUTED_VALUE"""),"Profile")</f>
        <v>Profile</v>
      </c>
      <c r="G5" s="7" t="b">
        <f>IFERROR(__xludf.DUMMYFUNCTION("""COMPUTED_VALUE"""),FALSE)</f>
        <v>0</v>
      </c>
      <c r="H5" s="7" t="str">
        <f>IFERROR(__xludf.DUMMYFUNCTION("""COMPUTED_VALUE"""),"Thinkerbell, Measured, EssenceMediacom, Howatson+Company, BMF, Clemenger BBDO, Ogilvy Australia")</f>
        <v>Thinkerbell, Measured, EssenceMediacom, Howatson+Company, BMF, Clemenger BBDO, Ogilvy Australia</v>
      </c>
      <c r="I5" s="7">
        <f>IFERROR(__xludf.DUMMYFUNCTION("""COMPUTED_VALUE"""),2.0)</f>
        <v>2</v>
      </c>
      <c r="J5" s="7">
        <f>IFERROR(__xludf.DUMMYFUNCTION("""COMPUTED_VALUE"""),0.0)</f>
        <v>0</v>
      </c>
      <c r="K5" s="7">
        <f>IFERROR(__xludf.DUMMYFUNCTION("""COMPUTED_VALUE"""),1.0)</f>
        <v>1</v>
      </c>
    </row>
    <row r="6" ht="15.75" customHeight="1">
      <c r="A6" s="6" t="str">
        <f>IFERROR(__xludf.DUMMYFUNCTION("""COMPUTED_VALUE"""),"https://au.linkedin.com/company/xpontechnologies")</f>
        <v>https://au.linkedin.com/company/xpontechnologies</v>
      </c>
      <c r="B6" s="7" t="str">
        <f>IFERROR(__xludf.DUMMYFUNCTION("""COMPUTED_VALUE"""),"XPON | LinkedIn")</f>
        <v>XPON | LinkedIn</v>
      </c>
      <c r="C6" s="6" t="str">
        <f>IFERROR(__xludf.DUMMYFUNCTION("""COMPUTED_VALUE"""),"linkedin.com")</f>
        <v>linkedin.com</v>
      </c>
      <c r="D6" s="7" t="str">
        <f>IFERROR(__xludf.DUMMYFUNCTION("""COMPUTED_VALUE"""),"PROFILE")</f>
        <v>PROFILE</v>
      </c>
      <c r="E6" s="7" t="str">
        <f>IFERROR(__xludf.DUMMYFUNCTION("""COMPUTED_VALUE"""),"UGC")</f>
        <v>UGC</v>
      </c>
      <c r="F6" s="7" t="str">
        <f>IFERROR(__xludf.DUMMYFUNCTION("""COMPUTED_VALUE"""),"Profile")</f>
        <v>Profile</v>
      </c>
      <c r="G6" s="7" t="b">
        <f>IFERROR(__xludf.DUMMYFUNCTION("""COMPUTED_VALUE"""),TRUE)</f>
        <v>1</v>
      </c>
      <c r="H6" s="7" t="str">
        <f>IFERROR(__xludf.DUMMYFUNCTION("""COMPUTED_VALUE"""),"XPON, Momentum, Incubeta")</f>
        <v>XPON, Momentum, Incubeta</v>
      </c>
      <c r="I6" s="7">
        <f>IFERROR(__xludf.DUMMYFUNCTION("""COMPUTED_VALUE"""),2.0)</f>
        <v>2</v>
      </c>
      <c r="J6" s="7">
        <f>IFERROR(__xludf.DUMMYFUNCTION("""COMPUTED_VALUE"""),0.0)</f>
        <v>0</v>
      </c>
      <c r="K6" s="7">
        <f>IFERROR(__xludf.DUMMYFUNCTION("""COMPUTED_VALUE"""),1.0)</f>
        <v>1</v>
      </c>
    </row>
    <row r="7" ht="15.75" customHeight="1">
      <c r="A7" s="6" t="str">
        <f>IFERROR(__xludf.DUMMYFUNCTION("""COMPUTED_VALUE"""),"https://www.linkedin.com/company/sparro-digital")</f>
        <v>https://www.linkedin.com/company/sparro-digital</v>
      </c>
      <c r="B7" s="7" t="str">
        <f>IFERROR(__xludf.DUMMYFUNCTION("""COMPUTED_VALUE"""),"Sparro | LinkedIn")</f>
        <v>Sparro | LinkedIn</v>
      </c>
      <c r="C7" s="6" t="str">
        <f>IFERROR(__xludf.DUMMYFUNCTION("""COMPUTED_VALUE"""),"linkedin.com")</f>
        <v>linkedin.com</v>
      </c>
      <c r="D7" s="7" t="str">
        <f>IFERROR(__xludf.DUMMYFUNCTION("""COMPUTED_VALUE"""),"PROFILE")</f>
        <v>PROFILE</v>
      </c>
      <c r="E7" s="7" t="str">
        <f>IFERROR(__xludf.DUMMYFUNCTION("""COMPUTED_VALUE"""),"UGC")</f>
        <v>UGC</v>
      </c>
      <c r="F7" s="7" t="str">
        <f>IFERROR(__xludf.DUMMYFUNCTION("""COMPUTED_VALUE"""),"Profile")</f>
        <v>Profile</v>
      </c>
      <c r="G7" s="7" t="b">
        <f>IFERROR(__xludf.DUMMYFUNCTION("""COMPUTED_VALUE"""),FALSE)</f>
        <v>0</v>
      </c>
      <c r="H7" s="7" t="str">
        <f>IFERROR(__xludf.DUMMYFUNCTION("""COMPUTED_VALUE"""),"Sparro, Brainlabs, Huge, Rocket Agency, Thinkerbell, Impressive, Online Marketing Gurus")</f>
        <v>Sparro, Brainlabs, Huge, Rocket Agency, Thinkerbell, Impressive, Online Marketing Gurus</v>
      </c>
      <c r="I7" s="7">
        <f>IFERROR(__xludf.DUMMYFUNCTION("""COMPUTED_VALUE"""),2.0)</f>
        <v>2</v>
      </c>
      <c r="J7" s="7">
        <f>IFERROR(__xludf.DUMMYFUNCTION("""COMPUTED_VALUE"""),0.0)</f>
        <v>0</v>
      </c>
      <c r="K7" s="7">
        <f>IFERROR(__xludf.DUMMYFUNCTION("""COMPUTED_VALUE"""),1.5)</f>
        <v>1.5</v>
      </c>
    </row>
    <row r="8" ht="15.75" customHeight="1">
      <c r="A8" s="6" t="str">
        <f>IFERROR(__xludf.DUMMYFUNCTION("""COMPUTED_VALUE"""),"https://www.linkedin.com/pulse/best-performance-marketing-services-australia-vanator-assist-jhjyc")</f>
        <v>https://www.linkedin.com/pulse/best-performance-marketing-services-australia-vanator-assist-jhjyc</v>
      </c>
      <c r="B8" s="7" t="str">
        <f>IFERROR(__xludf.DUMMYFUNCTION("""COMPUTED_VALUE"""),"Best Performance Marketing Services in Australia")</f>
        <v>Best Performance Marketing Services in Australia</v>
      </c>
      <c r="C8" s="6" t="str">
        <f>IFERROR(__xludf.DUMMYFUNCTION("""COMPUTED_VALUE"""),"linkedin.com")</f>
        <v>linkedin.com</v>
      </c>
      <c r="D8" s="7" t="str">
        <f>IFERROR(__xludf.DUMMYFUNCTION("""COMPUTED_VALUE"""),"LISTICLE")</f>
        <v>LISTICLE</v>
      </c>
      <c r="E8" s="7" t="str">
        <f>IFERROR(__xludf.DUMMYFUNCTION("""COMPUTED_VALUE"""),"UGC")</f>
        <v>UGC</v>
      </c>
      <c r="F8" s="7" t="str">
        <f>IFERROR(__xludf.DUMMYFUNCTION("""COMPUTED_VALUE"""),"Listicle")</f>
        <v>Listicle</v>
      </c>
      <c r="G8" s="7" t="b">
        <f>IFERROR(__xludf.DUMMYFUNCTION("""COMPUTED_VALUE"""),FALSE)</f>
        <v>0</v>
      </c>
      <c r="H8" s="7" t="str">
        <f>IFERROR(__xludf.DUMMYFUNCTION("""COMPUTED_VALUE"""),"Digital Nomads HQ, Clearwater Agency, Online Marketing Gurus")</f>
        <v>Digital Nomads HQ, Clearwater Agency, Online Marketing Gurus</v>
      </c>
      <c r="I8" s="7">
        <f>IFERROR(__xludf.DUMMYFUNCTION("""COMPUTED_VALUE"""),2.0)</f>
        <v>2</v>
      </c>
      <c r="J8" s="7">
        <f>IFERROR(__xludf.DUMMYFUNCTION("""COMPUTED_VALUE"""),0.0)</f>
        <v>0</v>
      </c>
      <c r="K8" s="7">
        <f>IFERROR(__xludf.DUMMYFUNCTION("""COMPUTED_VALUE"""),1.0)</f>
        <v>1</v>
      </c>
    </row>
    <row r="9" ht="15.75" customHeight="1">
      <c r="A9" s="6" t="str">
        <f>IFERROR(__xludf.DUMMYFUNCTION("""COMPUTED_VALUE"""),"https://au.linkedin.com/company/alley-group")</f>
        <v>https://au.linkedin.com/company/alley-group</v>
      </c>
      <c r="B9" s="7" t="str">
        <f>IFERROR(__xludf.DUMMYFUNCTION("""COMPUTED_VALUE"""),"Alley Group | LinkedIn")</f>
        <v>Alley Group | LinkedIn</v>
      </c>
      <c r="C9" s="6" t="str">
        <f>IFERROR(__xludf.DUMMYFUNCTION("""COMPUTED_VALUE"""),"linkedin.com")</f>
        <v>linkedin.com</v>
      </c>
      <c r="D9" s="7" t="str">
        <f>IFERROR(__xludf.DUMMYFUNCTION("""COMPUTED_VALUE"""),"PROFILE")</f>
        <v>PROFILE</v>
      </c>
      <c r="E9" s="7" t="str">
        <f>IFERROR(__xludf.DUMMYFUNCTION("""COMPUTED_VALUE"""),"UGC")</f>
        <v>UGC</v>
      </c>
      <c r="F9" s="7" t="str">
        <f>IFERROR(__xludf.DUMMYFUNCTION("""COMPUTED_VALUE"""),"Profile")</f>
        <v>Profile</v>
      </c>
      <c r="G9" s="7" t="b">
        <f>IFERROR(__xludf.DUMMYFUNCTION("""COMPUTED_VALUE"""),FALSE)</f>
        <v>0</v>
      </c>
      <c r="H9" s="7" t="str">
        <f>IFERROR(__xludf.DUMMYFUNCTION("""COMPUTED_VALUE"""),"Alley Group, Huge, Rocket Agency")</f>
        <v>Alley Group, Huge, Rocket Agency</v>
      </c>
      <c r="I9" s="7">
        <f>IFERROR(__xludf.DUMMYFUNCTION("""COMPUTED_VALUE"""),1.0)</f>
        <v>1</v>
      </c>
      <c r="J9" s="7">
        <f>IFERROR(__xludf.DUMMYFUNCTION("""COMPUTED_VALUE"""),0.0)</f>
        <v>0</v>
      </c>
      <c r="K9" s="7">
        <f>IFERROR(__xludf.DUMMYFUNCTION("""COMPUTED_VALUE"""),1.0)</f>
        <v>1</v>
      </c>
    </row>
    <row r="10" ht="15.75" customHeight="1">
      <c r="A10" s="6" t="str">
        <f>IFERROR(__xludf.DUMMYFUNCTION("""COMPUTED_VALUE"""),"https://au.linkedin.com/company/alpha-digital")</f>
        <v>https://au.linkedin.com/company/alpha-digital</v>
      </c>
      <c r="B10" s="7" t="str">
        <f>IFERROR(__xludf.DUMMYFUNCTION("""COMPUTED_VALUE"""),"Alpha Digital | LinkedIn")</f>
        <v>Alpha Digital | LinkedIn</v>
      </c>
      <c r="C10" s="6" t="str">
        <f>IFERROR(__xludf.DUMMYFUNCTION("""COMPUTED_VALUE"""),"linkedin.com")</f>
        <v>linkedin.com</v>
      </c>
      <c r="D10" s="7" t="str">
        <f>IFERROR(__xludf.DUMMYFUNCTION("""COMPUTED_VALUE"""),"PROFILE")</f>
        <v>PROFILE</v>
      </c>
      <c r="E10" s="7" t="str">
        <f>IFERROR(__xludf.DUMMYFUNCTION("""COMPUTED_VALUE"""),"UGC")</f>
        <v>UGC</v>
      </c>
      <c r="F10" s="7" t="str">
        <f>IFERROR(__xludf.DUMMYFUNCTION("""COMPUTED_VALUE"""),"Profile")</f>
        <v>Profile</v>
      </c>
      <c r="G10" s="7" t="b">
        <f>IFERROR(__xludf.DUMMYFUNCTION("""COMPUTED_VALUE"""),FALSE)</f>
        <v>0</v>
      </c>
      <c r="H10" s="7" t="str">
        <f>IFERROR(__xludf.DUMMYFUNCTION("""COMPUTED_VALUE"""),"Alpha Digital, XPON, Momentum, Huge, Reload Media, Farsiight")</f>
        <v>Alpha Digital, XPON, Momentum, Huge, Reload Media, Farsiight</v>
      </c>
      <c r="I10" s="7">
        <f>IFERROR(__xludf.DUMMYFUNCTION("""COMPUTED_VALUE"""),1.0)</f>
        <v>1</v>
      </c>
      <c r="J10" s="7">
        <f>IFERROR(__xludf.DUMMYFUNCTION("""COMPUTED_VALUE"""),0.0)</f>
        <v>0</v>
      </c>
      <c r="K10" s="7">
        <f>IFERROR(__xludf.DUMMYFUNCTION("""COMPUTED_VALUE"""),2.0)</f>
        <v>2</v>
      </c>
    </row>
    <row r="11" ht="15.75" customHeight="1">
      <c r="A11" s="6" t="str">
        <f>IFERROR(__xludf.DUMMYFUNCTION("""COMPUTED_VALUE"""),"https://au.linkedin.com/company/bmf-advertising-pty-ltd-")</f>
        <v>https://au.linkedin.com/company/bmf-advertising-pty-ltd-</v>
      </c>
      <c r="B11" s="7" t="str">
        <f>IFERROR(__xludf.DUMMYFUNCTION("""COMPUTED_VALUE"""),"BMF Australia | LinkedIn")</f>
        <v>BMF Australia | LinkedIn</v>
      </c>
      <c r="C11" s="6" t="str">
        <f>IFERROR(__xludf.DUMMYFUNCTION("""COMPUTED_VALUE"""),"linkedin.com")</f>
        <v>linkedin.com</v>
      </c>
      <c r="D11" s="7" t="str">
        <f>IFERROR(__xludf.DUMMYFUNCTION("""COMPUTED_VALUE"""),"PROFILE")</f>
        <v>PROFILE</v>
      </c>
      <c r="E11" s="7" t="str">
        <f>IFERROR(__xludf.DUMMYFUNCTION("""COMPUTED_VALUE"""),"UGC")</f>
        <v>UGC</v>
      </c>
      <c r="F11" s="7" t="str">
        <f>IFERROR(__xludf.DUMMYFUNCTION("""COMPUTED_VALUE"""),"Profile")</f>
        <v>Profile</v>
      </c>
      <c r="G11" s="7" t="b">
        <f>IFERROR(__xludf.DUMMYFUNCTION("""COMPUTED_VALUE"""),FALSE)</f>
        <v>0</v>
      </c>
      <c r="H11" s="7" t="str">
        <f>IFERROR(__xludf.DUMMYFUNCTION("""COMPUTED_VALUE"""),"BMF, Huge, Thinkerbell, Howatson+Company, Clemenger BBDO, Ogilvy Australia, Leo Australia")</f>
        <v>BMF, Huge, Thinkerbell, Howatson+Company, Clemenger BBDO, Ogilvy Australia, Leo Australia</v>
      </c>
      <c r="I11" s="7">
        <f>IFERROR(__xludf.DUMMYFUNCTION("""COMPUTED_VALUE"""),1.0)</f>
        <v>1</v>
      </c>
      <c r="J11" s="7">
        <f>IFERROR(__xludf.DUMMYFUNCTION("""COMPUTED_VALUE"""),0.0)</f>
        <v>0</v>
      </c>
      <c r="K11" s="7">
        <f>IFERROR(__xludf.DUMMYFUNCTION("""COMPUTED_VALUE"""),1.0)</f>
        <v>1</v>
      </c>
    </row>
    <row r="12" ht="15.75" customHeight="1">
      <c r="A12" s="6" t="str">
        <f>IFERROR(__xludf.DUMMYFUNCTION("""COMPUTED_VALUE"""),"https://au.linkedin.com/company/clemenger-bbdo")</f>
        <v>https://au.linkedin.com/company/clemenger-bbdo</v>
      </c>
      <c r="B12" s="7" t="str">
        <f>IFERROR(__xludf.DUMMYFUNCTION("""COMPUTED_VALUE"""),"Clemenger BBDO | LinkedIn")</f>
        <v>Clemenger BBDO | LinkedIn</v>
      </c>
      <c r="C12" s="6" t="str">
        <f>IFERROR(__xludf.DUMMYFUNCTION("""COMPUTED_VALUE"""),"linkedin.com")</f>
        <v>linkedin.com</v>
      </c>
      <c r="D12" s="7" t="str">
        <f>IFERROR(__xludf.DUMMYFUNCTION("""COMPUTED_VALUE"""),"PROFILE")</f>
        <v>PROFILE</v>
      </c>
      <c r="E12" s="7" t="str">
        <f>IFERROR(__xludf.DUMMYFUNCTION("""COMPUTED_VALUE"""),"UGC")</f>
        <v>UGC</v>
      </c>
      <c r="F12" s="7" t="str">
        <f>IFERROR(__xludf.DUMMYFUNCTION("""COMPUTED_VALUE"""),"Profile")</f>
        <v>Profile</v>
      </c>
      <c r="G12" s="7" t="b">
        <f>IFERROR(__xludf.DUMMYFUNCTION("""COMPUTED_VALUE"""),FALSE)</f>
        <v>0</v>
      </c>
      <c r="H12" s="7" t="str">
        <f>IFERROR(__xludf.DUMMYFUNCTION("""COMPUTED_VALUE"""),"Clemenger BBDO, Earned Media, OMD, Huge, Thinkerbell, Howatson+Company, BMF, Ogilvy Australia")</f>
        <v>Clemenger BBDO, Earned Media, OMD, Huge, Thinkerbell, Howatson+Company, BMF, Ogilvy Australia</v>
      </c>
      <c r="I12" s="7">
        <f>IFERROR(__xludf.DUMMYFUNCTION("""COMPUTED_VALUE"""),1.0)</f>
        <v>1</v>
      </c>
      <c r="J12" s="7">
        <f>IFERROR(__xludf.DUMMYFUNCTION("""COMPUTED_VALUE"""),0.0)</f>
        <v>0</v>
      </c>
      <c r="K12" s="7">
        <f>IFERROR(__xludf.DUMMYFUNCTION("""COMPUTED_VALUE"""),1.0)</f>
        <v>1</v>
      </c>
    </row>
    <row r="13" ht="15.75" customHeight="1">
      <c r="A13" s="6" t="str">
        <f>IFERROR(__xludf.DUMMYFUNCTION("""COMPUTED_VALUE"""),"https://au.linkedin.com/company/droga5-anz")</f>
        <v>https://au.linkedin.com/company/droga5-anz</v>
      </c>
      <c r="B13" s="7" t="str">
        <f>IFERROR(__xludf.DUMMYFUNCTION("""COMPUTED_VALUE"""),"Droga5 ANZ | LinkedIn")</f>
        <v>Droga5 ANZ | LinkedIn</v>
      </c>
      <c r="C13" s="6" t="str">
        <f>IFERROR(__xludf.DUMMYFUNCTION("""COMPUTED_VALUE"""),"linkedin.com")</f>
        <v>linkedin.com</v>
      </c>
      <c r="D13" s="7" t="str">
        <f>IFERROR(__xludf.DUMMYFUNCTION("""COMPUTED_VALUE"""),"PROFILE")</f>
        <v>PROFILE</v>
      </c>
      <c r="E13" s="7" t="str">
        <f>IFERROR(__xludf.DUMMYFUNCTION("""COMPUTED_VALUE"""),"UGC")</f>
        <v>UGC</v>
      </c>
      <c r="F13" s="7" t="str">
        <f>IFERROR(__xludf.DUMMYFUNCTION("""COMPUTED_VALUE"""),"Profile")</f>
        <v>Profile</v>
      </c>
      <c r="G13" s="7" t="b">
        <f>IFERROR(__xludf.DUMMYFUNCTION("""COMPUTED_VALUE"""),FALSE)</f>
        <v>0</v>
      </c>
      <c r="H13" s="7" t="str">
        <f>IFERROR(__xludf.DUMMYFUNCTION("""COMPUTED_VALUE"""),"The Monkeys, Accenture Song, Huge, Thinkerbell, BMF, Howatson+Company, Clemenger BBDO, Ogilvy Australia, Bear Meets Eagle On Fire")</f>
        <v>The Monkeys, Accenture Song, Huge, Thinkerbell, BMF, Howatson+Company, Clemenger BBDO, Ogilvy Australia, Bear Meets Eagle On Fire</v>
      </c>
      <c r="I13" s="7">
        <f>IFERROR(__xludf.DUMMYFUNCTION("""COMPUTED_VALUE"""),1.0)</f>
        <v>1</v>
      </c>
      <c r="J13" s="7">
        <f>IFERROR(__xludf.DUMMYFUNCTION("""COMPUTED_VALUE"""),0.0)</f>
        <v>0</v>
      </c>
      <c r="K13" s="7">
        <f>IFERROR(__xludf.DUMMYFUNCTION("""COMPUTED_VALUE"""),1.0)</f>
        <v>1</v>
      </c>
    </row>
    <row r="14" ht="15.75" customHeight="1">
      <c r="A14" s="6" t="str">
        <f>IFERROR(__xludf.DUMMYFUNCTION("""COMPUTED_VALUE"""),"https://au.linkedin.com/company/ground-control-data")</f>
        <v>https://au.linkedin.com/company/ground-control-data</v>
      </c>
      <c r="B14" s="7" t="str">
        <f>IFERROR(__xludf.DUMMYFUNCTION("""COMPUTED_VALUE"""),"Ground Control Data | LinkedIn")</f>
        <v>Ground Control Data | LinkedIn</v>
      </c>
      <c r="C14" s="6" t="str">
        <f>IFERROR(__xludf.DUMMYFUNCTION("""COMPUTED_VALUE"""),"linkedin.com")</f>
        <v>linkedin.com</v>
      </c>
      <c r="D14" s="7" t="str">
        <f>IFERROR(__xludf.DUMMYFUNCTION("""COMPUTED_VALUE"""),"OTHER")</f>
        <v>OTHER</v>
      </c>
      <c r="E14" s="7" t="str">
        <f>IFERROR(__xludf.DUMMYFUNCTION("""COMPUTED_VALUE"""),"UGC")</f>
        <v>UGC</v>
      </c>
      <c r="F14" s="7" t="str">
        <f>IFERROR(__xludf.DUMMYFUNCTION("""COMPUTED_VALUE"""),"Other")</f>
        <v>Other</v>
      </c>
      <c r="G14" s="7" t="b">
        <f>IFERROR(__xludf.DUMMYFUNCTION("""COMPUTED_VALUE"""),FALSE)</f>
        <v>0</v>
      </c>
      <c r="H14" s="7"/>
      <c r="I14" s="7">
        <f>IFERROR(__xludf.DUMMYFUNCTION("""COMPUTED_VALUE"""),1.0)</f>
        <v>1</v>
      </c>
      <c r="J14" s="7">
        <f>IFERROR(__xludf.DUMMYFUNCTION("""COMPUTED_VALUE"""),0.0)</f>
        <v>0</v>
      </c>
      <c r="K14" s="7">
        <f>IFERROR(__xludf.DUMMYFUNCTION("""COMPUTED_VALUE"""),1.0)</f>
        <v>1</v>
      </c>
    </row>
    <row r="15" ht="15.75" customHeight="1">
      <c r="A15" s="6" t="str">
        <f>IFERROR(__xludf.DUMMYFUNCTION("""COMPUTED_VALUE"""),"https://au.linkedin.com/company/metric-labs")</f>
        <v>https://au.linkedin.com/company/metric-labs</v>
      </c>
      <c r="B15" s="7" t="str">
        <f>IFERROR(__xludf.DUMMYFUNCTION("""COMPUTED_VALUE"""),"Metric Labs | LinkedIn")</f>
        <v>Metric Labs | LinkedIn</v>
      </c>
      <c r="C15" s="6" t="str">
        <f>IFERROR(__xludf.DUMMYFUNCTION("""COMPUTED_VALUE"""),"linkedin.com")</f>
        <v>linkedin.com</v>
      </c>
      <c r="D15" s="7" t="str">
        <f>IFERROR(__xludf.DUMMYFUNCTION("""COMPUTED_VALUE"""),"PROFILE")</f>
        <v>PROFILE</v>
      </c>
      <c r="E15" s="7" t="str">
        <f>IFERROR(__xludf.DUMMYFUNCTION("""COMPUTED_VALUE"""),"UGC")</f>
        <v>UGC</v>
      </c>
      <c r="F15" s="7" t="str">
        <f>IFERROR(__xludf.DUMMYFUNCTION("""COMPUTED_VALUE"""),"Profile")</f>
        <v>Profile</v>
      </c>
      <c r="G15" s="7" t="b">
        <f>IFERROR(__xludf.DUMMYFUNCTION("""COMPUTED_VALUE"""),FALSE)</f>
        <v>0</v>
      </c>
      <c r="H15" s="7" t="str">
        <f>IFERROR(__xludf.DUMMYFUNCTION("""COMPUTED_VALUE"""),"Metric Labs, Luminary")</f>
        <v>Metric Labs, Luminary</v>
      </c>
      <c r="I15" s="7">
        <f>IFERROR(__xludf.DUMMYFUNCTION("""COMPUTED_VALUE"""),1.0)</f>
        <v>1</v>
      </c>
      <c r="J15" s="7">
        <f>IFERROR(__xludf.DUMMYFUNCTION("""COMPUTED_VALUE"""),0.0)</f>
        <v>0</v>
      </c>
      <c r="K15" s="7">
        <f>IFERROR(__xludf.DUMMYFUNCTION("""COMPUTED_VALUE"""),1.0)</f>
        <v>1</v>
      </c>
    </row>
    <row r="16" ht="15.75" customHeight="1">
      <c r="A16" s="6" t="str">
        <f>IFERROR(__xludf.DUMMYFUNCTION("""COMPUTED_VALUE"""),"https://au.linkedin.com/company/ogilvy-australia")</f>
        <v>https://au.linkedin.com/company/ogilvy-australia</v>
      </c>
      <c r="B16" s="7" t="str">
        <f>IFERROR(__xludf.DUMMYFUNCTION("""COMPUTED_VALUE"""),"Ogilvy Australia | LinkedIn")</f>
        <v>Ogilvy Australia | LinkedIn</v>
      </c>
      <c r="C16" s="6" t="str">
        <f>IFERROR(__xludf.DUMMYFUNCTION("""COMPUTED_VALUE"""),"linkedin.com")</f>
        <v>linkedin.com</v>
      </c>
      <c r="D16" s="7" t="str">
        <f>IFERROR(__xludf.DUMMYFUNCTION("""COMPUTED_VALUE"""),"PROFILE")</f>
        <v>PROFILE</v>
      </c>
      <c r="E16" s="7" t="str">
        <f>IFERROR(__xludf.DUMMYFUNCTION("""COMPUTED_VALUE"""),"UGC")</f>
        <v>UGC</v>
      </c>
      <c r="F16" s="7" t="str">
        <f>IFERROR(__xludf.DUMMYFUNCTION("""COMPUTED_VALUE"""),"Profile")</f>
        <v>Profile</v>
      </c>
      <c r="G16" s="7" t="b">
        <f>IFERROR(__xludf.DUMMYFUNCTION("""COMPUTED_VALUE"""),FALSE)</f>
        <v>0</v>
      </c>
      <c r="H16" s="7" t="str">
        <f>IFERROR(__xludf.DUMMYFUNCTION("""COMPUTED_VALUE"""),"Ogilvy Australia, Huge, Thinkerbell, BMF, Saatchi &amp; Saatchi, Howatson+Company, Clemenger BBDO")</f>
        <v>Ogilvy Australia, Huge, Thinkerbell, BMF, Saatchi &amp; Saatchi, Howatson+Company, Clemenger BBDO</v>
      </c>
      <c r="I16" s="7">
        <f>IFERROR(__xludf.DUMMYFUNCTION("""COMPUTED_VALUE"""),1.0)</f>
        <v>1</v>
      </c>
      <c r="J16" s="7">
        <f>IFERROR(__xludf.DUMMYFUNCTION("""COMPUTED_VALUE"""),0.0)</f>
        <v>0</v>
      </c>
      <c r="K16" s="7">
        <f>IFERROR(__xludf.DUMMYFUNCTION("""COMPUTED_VALUE"""),1.0)</f>
        <v>1</v>
      </c>
    </row>
    <row r="17" ht="15.75" customHeight="1">
      <c r="A17" s="6" t="str">
        <f>IFERROR(__xludf.DUMMYFUNCTION("""COMPUTED_VALUE"""),"https://au.linkedin.com/company/online-marketing-gurus")</f>
        <v>https://au.linkedin.com/company/online-marketing-gurus</v>
      </c>
      <c r="B17" s="7" t="str">
        <f>IFERROR(__xludf.DUMMYFUNCTION("""COMPUTED_VALUE"""),"Online Marketing Gurus | LinkedIn")</f>
        <v>Online Marketing Gurus | LinkedIn</v>
      </c>
      <c r="C17" s="6" t="str">
        <f>IFERROR(__xludf.DUMMYFUNCTION("""COMPUTED_VALUE"""),"linkedin.com")</f>
        <v>linkedin.com</v>
      </c>
      <c r="D17" s="7" t="str">
        <f>IFERROR(__xludf.DUMMYFUNCTION("""COMPUTED_VALUE"""),"PROFILE")</f>
        <v>PROFILE</v>
      </c>
      <c r="E17" s="7" t="str">
        <f>IFERROR(__xludf.DUMMYFUNCTION("""COMPUTED_VALUE"""),"UGC")</f>
        <v>UGC</v>
      </c>
      <c r="F17" s="7" t="str">
        <f>IFERROR(__xludf.DUMMYFUNCTION("""COMPUTED_VALUE"""),"Profile")</f>
        <v>Profile</v>
      </c>
      <c r="G17" s="7" t="b">
        <f>IFERROR(__xludf.DUMMYFUNCTION("""COMPUTED_VALUE"""),FALSE)</f>
        <v>0</v>
      </c>
      <c r="H17" s="7" t="str">
        <f>IFERROR(__xludf.DUMMYFUNCTION("""COMPUTED_VALUE"""),"Online Marketing Gurus, Omnicom Media Group, Huge, Rocket Agency, StudioHawk, Megaphone, Sparro, Impressive, King Kong, Clearwater Agency, First Page, DNM Digital")</f>
        <v>Online Marketing Gurus, Omnicom Media Group, Huge, Rocket Agency, StudioHawk, Megaphone, Sparro, Impressive, King Kong, Clearwater Agency, First Page, DNM Digital</v>
      </c>
      <c r="I17" s="7">
        <f>IFERROR(__xludf.DUMMYFUNCTION("""COMPUTED_VALUE"""),1.0)</f>
        <v>1</v>
      </c>
      <c r="J17" s="7">
        <f>IFERROR(__xludf.DUMMYFUNCTION("""COMPUTED_VALUE"""),0.0)</f>
        <v>0</v>
      </c>
      <c r="K17" s="7">
        <f>IFERROR(__xludf.DUMMYFUNCTION("""COMPUTED_VALUE"""),1.0)</f>
        <v>1</v>
      </c>
    </row>
    <row r="18" ht="15.75" customHeight="1">
      <c r="A18" s="6" t="str">
        <f>IFERROR(__xludf.DUMMYFUNCTION("""COMPUTED_VALUE"""),"https://au.linkedin.com/company/trkkn")</f>
        <v>https://au.linkedin.com/company/trkkn</v>
      </c>
      <c r="B18" s="7" t="str">
        <f>IFERROR(__xludf.DUMMYFUNCTION("""COMPUTED_VALUE"""),"TRKKN | LinkedIn")</f>
        <v>TRKKN | LinkedIn</v>
      </c>
      <c r="C18" s="6" t="str">
        <f>IFERROR(__xludf.DUMMYFUNCTION("""COMPUTED_VALUE"""),"linkedin.com")</f>
        <v>linkedin.com</v>
      </c>
      <c r="D18" s="7" t="str">
        <f>IFERROR(__xludf.DUMMYFUNCTION("""COMPUTED_VALUE"""),"PROFILE")</f>
        <v>PROFILE</v>
      </c>
      <c r="E18" s="7" t="str">
        <f>IFERROR(__xludf.DUMMYFUNCTION("""COMPUTED_VALUE"""),"UGC")</f>
        <v>UGC</v>
      </c>
      <c r="F18" s="7" t="str">
        <f>IFERROR(__xludf.DUMMYFUNCTION("""COMPUTED_VALUE"""),"Profile")</f>
        <v>Profile</v>
      </c>
      <c r="G18" s="7" t="b">
        <f>IFERROR(__xludf.DUMMYFUNCTION("""COMPUTED_VALUE"""),FALSE)</f>
        <v>0</v>
      </c>
      <c r="H18" s="7" t="str">
        <f>IFERROR(__xludf.DUMMYFUNCTION("""COMPUTED_VALUE"""),"TRKKN, Omnicom Media Group, Huge, Measured, Dentsu, PHD")</f>
        <v>TRKKN, Omnicom Media Group, Huge, Measured, Dentsu, PHD</v>
      </c>
      <c r="I18" s="7">
        <f>IFERROR(__xludf.DUMMYFUNCTION("""COMPUTED_VALUE"""),1.0)</f>
        <v>1</v>
      </c>
      <c r="J18" s="7">
        <f>IFERROR(__xludf.DUMMYFUNCTION("""COMPUTED_VALUE"""),0.0)</f>
        <v>0</v>
      </c>
      <c r="K18" s="7">
        <f>IFERROR(__xludf.DUMMYFUNCTION("""COMPUTED_VALUE"""),0.0)</f>
        <v>0</v>
      </c>
    </row>
    <row r="19" ht="15.75" customHeight="1">
      <c r="A19" s="6" t="str">
        <f>IFERROR(__xludf.DUMMYFUNCTION("""COMPUTED_VALUE"""),"https://au.linkedin.com/in/iampaulio")</f>
        <v>https://au.linkedin.com/in/iampaulio</v>
      </c>
      <c r="B19" s="7" t="str">
        <f>IFERROR(__xludf.DUMMYFUNCTION("""COMPUTED_VALUE"""),"Paul Hewett - In Marketing We Trust \| LinkedIn")</f>
        <v>Paul Hewett - In Marketing We Trust \| LinkedIn</v>
      </c>
      <c r="C19" s="6" t="str">
        <f>IFERROR(__xludf.DUMMYFUNCTION("""COMPUTED_VALUE"""),"linkedin.com")</f>
        <v>linkedin.com</v>
      </c>
      <c r="D19" s="7" t="str">
        <f>IFERROR(__xludf.DUMMYFUNCTION("""COMPUTED_VALUE"""),"PROFILE")</f>
        <v>PROFILE</v>
      </c>
      <c r="E19" s="7" t="str">
        <f>IFERROR(__xludf.DUMMYFUNCTION("""COMPUTED_VALUE"""),"UGC")</f>
        <v>UGC</v>
      </c>
      <c r="F19" s="7" t="str">
        <f>IFERROR(__xludf.DUMMYFUNCTION("""COMPUTED_VALUE"""),"Profile")</f>
        <v>Profile</v>
      </c>
      <c r="G19" s="7" t="b">
        <f>IFERROR(__xludf.DUMMYFUNCTION("""COMPUTED_VALUE"""),FALSE)</f>
        <v>0</v>
      </c>
      <c r="H19" s="7" t="str">
        <f>IFERROR(__xludf.DUMMYFUNCTION("""COMPUTED_VALUE"""),"In Marketing We Trust, Thinkerbell, Measured")</f>
        <v>In Marketing We Trust, Thinkerbell, Measured</v>
      </c>
      <c r="I19" s="7">
        <f>IFERROR(__xludf.DUMMYFUNCTION("""COMPUTED_VALUE"""),1.0)</f>
        <v>1</v>
      </c>
      <c r="J19" s="7">
        <f>IFERROR(__xludf.DUMMYFUNCTION("""COMPUTED_VALUE"""),0.0)</f>
        <v>0</v>
      </c>
      <c r="K19" s="7">
        <f>IFERROR(__xludf.DUMMYFUNCTION("""COMPUTED_VALUE"""),1.0)</f>
        <v>1</v>
      </c>
    </row>
    <row r="20" ht="15.75" customHeight="1">
      <c r="A20" s="6" t="str">
        <f>IFERROR(__xludf.DUMMYFUNCTION("""COMPUTED_VALUE"""),"https://www.sortlist.com/s/linkedin-advertising/australia-au")</f>
        <v>https://www.sortlist.com/s/linkedin-advertising/australia-au</v>
      </c>
      <c r="B20" s="7" t="str">
        <f>IFERROR(__xludf.DUMMYFUNCTION("""COMPUTED_VALUE"""),"The 10 Best LinkedIn Ads Agencies in Australia - 2026 Reviews")</f>
        <v>The 10 Best LinkedIn Ads Agencies in Australia - 2026 Reviews</v>
      </c>
      <c r="C20" s="6" t="str">
        <f>IFERROR(__xludf.DUMMYFUNCTION("""COMPUTED_VALUE"""),"sortlist.com")</f>
        <v>sortlist.com</v>
      </c>
      <c r="D20" s="7" t="str">
        <f>IFERROR(__xludf.DUMMYFUNCTION("""COMPUTED_VALUE"""),"CATEGORY_PAGE")</f>
        <v>CATEGORY_PAGE</v>
      </c>
      <c r="E20" s="7" t="str">
        <f>IFERROR(__xludf.DUMMYFUNCTION("""COMPUTED_VALUE"""),"CORPORATE")</f>
        <v>CORPORATE</v>
      </c>
      <c r="F20" s="7" t="str">
        <f>IFERROR(__xludf.DUMMYFUNCTION("""COMPUTED_VALUE"""),"Category Page")</f>
        <v>Category Page</v>
      </c>
      <c r="G20" s="7" t="b">
        <f>IFERROR(__xludf.DUMMYFUNCTION("""COMPUTED_VALUE"""),FALSE)</f>
        <v>0</v>
      </c>
      <c r="H20" s="7" t="str">
        <f>IFERROR(__xludf.DUMMYFUNCTION("""COMPUTED_VALUE"""),"SIXGUN, Impressive, Ninja Promo, AdVisible, 23 Digital")</f>
        <v>SIXGUN, Impressive, Ninja Promo, AdVisible, 23 Digital</v>
      </c>
      <c r="I20" s="7">
        <f>IFERROR(__xludf.DUMMYFUNCTION("""COMPUTED_VALUE"""),1.0)</f>
        <v>1</v>
      </c>
      <c r="J20" s="7">
        <f>IFERROR(__xludf.DUMMYFUNCTION("""COMPUTED_VALUE"""),0.0)</f>
        <v>0</v>
      </c>
      <c r="K20" s="7">
        <f>IFERROR(__xludf.DUMMYFUNCTION("""COMPUTED_VALUE"""),0.0)</f>
        <v>0</v>
      </c>
    </row>
    <row r="21" ht="15.75" customHeight="1">
      <c r="A21" s="6" t="str">
        <f>IFERROR(__xludf.DUMMYFUNCTION("""COMPUTED_VALUE"""),"https://themanifest.com/au/social-media/linkedin/agencies")</f>
        <v>https://themanifest.com/au/social-media/linkedin/agencies</v>
      </c>
      <c r="B21" s="7" t="str">
        <f>IFERROR(__xludf.DUMMYFUNCTION("""COMPUTED_VALUE"""),"The Best LinkedIn Advertising Companies in Australia - Jul 2026 | The Manifest")</f>
        <v>The Best LinkedIn Advertising Companies in Australia - Jul 2026 | The Manifest</v>
      </c>
      <c r="C21" s="6" t="str">
        <f>IFERROR(__xludf.DUMMYFUNCTION("""COMPUTED_VALUE"""),"themanifest.com")</f>
        <v>themanifest.com</v>
      </c>
      <c r="D21" s="7" t="str">
        <f>IFERROR(__xludf.DUMMYFUNCTION("""COMPUTED_VALUE"""),"LISTICLE")</f>
        <v>LISTICLE</v>
      </c>
      <c r="E21" s="7" t="str">
        <f>IFERROR(__xludf.DUMMYFUNCTION("""COMPUTED_VALUE"""),"REFERENCE")</f>
        <v>REFERENCE</v>
      </c>
      <c r="F21" s="7" t="str">
        <f>IFERROR(__xludf.DUMMYFUNCTION("""COMPUTED_VALUE"""),"Listicle")</f>
        <v>Listicle</v>
      </c>
      <c r="G21" s="7" t="b">
        <f>IFERROR(__xludf.DUMMYFUNCTION("""COMPUTED_VALUE"""),FALSE)</f>
        <v>0</v>
      </c>
      <c r="H21" s="7" t="str">
        <f>IFERROR(__xludf.DUMMYFUNCTION("""COMPUTED_VALUE"""),"Human Digital, Digital Nomads HQ, Farsiight, SIXGUN, Megaphone, Soup Agency, Paradox Marketing, Emote Digital, Rocket Agency, Intesols, Bench Media, Clearwater Agency, Impressive, Insil, Salt &amp; Fuessel, EvenDigit")</f>
        <v>Human Digital, Digital Nomads HQ, Farsiight, SIXGUN, Megaphone, Soup Agency, Paradox Marketing, Emote Digital, Rocket Agency, Intesols, Bench Media, Clearwater Agency, Impressive, Insil, Salt &amp; Fuessel, EvenDigit</v>
      </c>
      <c r="I21" s="7">
        <f>IFERROR(__xludf.DUMMYFUNCTION("""COMPUTED_VALUE"""),1.0)</f>
        <v>1</v>
      </c>
      <c r="J21" s="7">
        <f>IFERROR(__xludf.DUMMYFUNCTION("""COMPUTED_VALUE"""),0.0)</f>
        <v>0</v>
      </c>
      <c r="K21" s="7">
        <f>IFERROR(__xludf.DUMMYFUNCTION("""COMPUTED_VALUE"""),0.0)</f>
        <v>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s>
  <drawing r:id="rId4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7" t="str">
        <f>IFERROR(__xludf.DUMMYFUNCTION("IFERROR(
  FILTER(
    'PEEC - URLs - All'!A2:K1000,
    REGEXMATCH(LOWER(TO_TEXT('PEEC - URLs - All'!A2:A1000)),""wikipedia"")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LOWER(TRIM(TO_TEXT('PEEC - URLs - All'!D2:D1000)))=""alternative""
  ),
  """"
)"),"https://segmentstream.com/blog/articles/measured-com-alternatives")</f>
        <v>https://segmentstream.com/blog/articles/measured-com-alternatives</v>
      </c>
      <c r="B2" s="7" t="str">
        <f>IFERROR(__xludf.DUMMYFUNCTION("""COMPUTED_VALUE"""),"9 Best Measured Alternatives &amp;amp; Competitors for Incrementality Testing in 2026 — SegmentStream")</f>
        <v>9 Best Measured Alternatives &amp;amp; Competitors for Incrementality Testing in 2026 — SegmentStream</v>
      </c>
      <c r="C2" s="6" t="str">
        <f>IFERROR(__xludf.DUMMYFUNCTION("""COMPUTED_VALUE"""),"segmentstream.com")</f>
        <v>segmentstream.com</v>
      </c>
      <c r="D2" s="7" t="str">
        <f>IFERROR(__xludf.DUMMYFUNCTION("""COMPUTED_VALUE"""),"ALTERNATIVE")</f>
        <v>ALTERNATIVE</v>
      </c>
      <c r="E2" s="7" t="str">
        <f>IFERROR(__xludf.DUMMYFUNCTION("""COMPUTED_VALUE"""),"CORPORATE")</f>
        <v>CORPORATE</v>
      </c>
      <c r="F2" s="7" t="str">
        <f>IFERROR(__xludf.DUMMYFUNCTION("""COMPUTED_VALUE"""),"Alternative")</f>
        <v>Alternative</v>
      </c>
      <c r="G2" s="7" t="b">
        <f>IFERROR(__xludf.DUMMYFUNCTION("""COMPUTED_VALUE"""),FALSE)</f>
        <v>0</v>
      </c>
      <c r="H2" s="7" t="str">
        <f>IFERROR(__xludf.DUMMYFUNCTION("""COMPUTED_VALUE"""),"Measured, Haus, Lifesight, Workmagic, LiftLab, Momentum")</f>
        <v>Measured, Haus, Lifesight, Workmagic, LiftLab, Momentum</v>
      </c>
      <c r="I2" s="7">
        <f>IFERROR(__xludf.DUMMYFUNCTION("""COMPUTED_VALUE"""),2.0)</f>
        <v>2</v>
      </c>
      <c r="J2" s="7">
        <f>IFERROR(__xludf.DUMMYFUNCTION("""COMPUTED_VALUE"""),0.0)</f>
        <v>0</v>
      </c>
      <c r="K2" s="7">
        <f>IFERROR(__xludf.DUMMYFUNCTION("""COMPUTED_VALUE"""),0.5)</f>
        <v>0.5</v>
      </c>
    </row>
    <row r="3" ht="15.75" customHeight="1">
      <c r="A3" s="6" t="str">
        <f>IFERROR(__xludf.DUMMYFUNCTION("""COMPUTED_VALUE"""),"https://dreamdata.io/incrementality-b2b-marketing")</f>
        <v>https://dreamdata.io/incrementality-b2b-marketing</v>
      </c>
      <c r="B3" s="7" t="str">
        <f>IFERROR(__xludf.DUMMYFUNCTION("""COMPUTED_VALUE"""),"Incrementality - Why you need to consider it | Dreamdata")</f>
        <v>Incrementality - Why you need to consider it | Dreamdata</v>
      </c>
      <c r="C3" s="6" t="str">
        <f>IFERROR(__xludf.DUMMYFUNCTION("""COMPUTED_VALUE"""),"dreamdata.io")</f>
        <v>dreamdata.io</v>
      </c>
      <c r="D3" s="7" t="str">
        <f>IFERROR(__xludf.DUMMYFUNCTION("""COMPUTED_VALUE"""),"ALTERNATIVE")</f>
        <v>ALTERNATIVE</v>
      </c>
      <c r="E3" s="7" t="str">
        <f>IFERROR(__xludf.DUMMYFUNCTION("""COMPUTED_VALUE"""),"CORPORATE")</f>
        <v>CORPORATE</v>
      </c>
      <c r="F3" s="7" t="str">
        <f>IFERROR(__xludf.DUMMYFUNCTION("""COMPUTED_VALUE"""),"Alternative")</f>
        <v>Alternative</v>
      </c>
      <c r="G3" s="7" t="b">
        <f>IFERROR(__xludf.DUMMYFUNCTION("""COMPUTED_VALUE"""),FALSE)</f>
        <v>0</v>
      </c>
      <c r="H3" s="7"/>
      <c r="I3" s="7">
        <f>IFERROR(__xludf.DUMMYFUNCTION("""COMPUTED_VALUE"""),1.0)</f>
        <v>1</v>
      </c>
      <c r="J3" s="7">
        <f>IFERROR(__xludf.DUMMYFUNCTION("""COMPUTED_VALUE"""),0.0)</f>
        <v>0</v>
      </c>
      <c r="K3" s="7">
        <f>IFERROR(__xludf.DUMMYFUNCTION("""COMPUTED_VALUE"""),1.0)</f>
        <v>1</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LOWER(TRIM(TO_TEXT('PEEC - URLs - All'!D2:D1000)))=""article""
  ),
  """"
)"),"https://roi.com.au/know-how/challenges/roi-profitability/what-incrementality-testing-reveals-about-true-marketing-roi-in-australia-in-2026")</f>
        <v>https://roi.com.au/know-how/challenges/roi-profitability/what-incrementality-testing-reveals-about-true-marketing-roi-in-australia-in-2026</v>
      </c>
      <c r="B2" s="7" t="str">
        <f>IFERROR(__xludf.DUMMYFUNCTION("""COMPUTED_VALUE"""),"What incrementality testing reveals about true marketing ROI in Australia in 2026 | AI Marketing Agency Australia | roi.com.au")</f>
        <v>What incrementality testing reveals about true marketing ROI in Australia in 2026 | AI Marketing Agency Australia | roi.com.au</v>
      </c>
      <c r="C2" s="6" t="str">
        <f>IFERROR(__xludf.DUMMYFUNCTION("""COMPUTED_VALUE"""),"roi.com.au")</f>
        <v>roi.com.au</v>
      </c>
      <c r="D2" s="7" t="str">
        <f>IFERROR(__xludf.DUMMYFUNCTION("""COMPUTED_VALUE"""),"ARTICLE")</f>
        <v>ARTICLE</v>
      </c>
      <c r="E2" s="7" t="str">
        <f>IFERROR(__xludf.DUMMYFUNCTION("""COMPUTED_VALUE"""),"CORPORATE")</f>
        <v>CORPORATE</v>
      </c>
      <c r="F2" s="7" t="str">
        <f>IFERROR(__xludf.DUMMYFUNCTION("""COMPUTED_VALUE"""),"Article")</f>
        <v>Article</v>
      </c>
      <c r="G2" s="7" t="b">
        <f>IFERROR(__xludf.DUMMYFUNCTION("""COMPUTED_VALUE"""),FALSE)</f>
        <v>0</v>
      </c>
      <c r="H2" s="7" t="str">
        <f>IFERROR(__xludf.DUMMYFUNCTION("""COMPUTED_VALUE"""),"ROI Growth Agency")</f>
        <v>ROI Growth Agency</v>
      </c>
      <c r="I2" s="7">
        <f>IFERROR(__xludf.DUMMYFUNCTION("""COMPUTED_VALUE"""),29.0)</f>
        <v>29</v>
      </c>
      <c r="J2" s="7">
        <f>IFERROR(__xludf.DUMMYFUNCTION("""COMPUTED_VALUE"""),0.03)</f>
        <v>0.03</v>
      </c>
      <c r="K2" s="7">
        <f>IFERROR(__xludf.DUMMYFUNCTION("""COMPUTED_VALUE"""),0.72)</f>
        <v>0.72</v>
      </c>
    </row>
    <row r="3" ht="15.75" customHeight="1">
      <c r="A3" s="6" t="str">
        <f>IFERROR(__xludf.DUMMYFUNCTION("""COMPUTED_VALUE"""),"https://www.thehero.co/news/top-10-best-advertising-agencies-leading-australia-2025-sydney-melbourne-brisbane")</f>
        <v>https://www.thehero.co/news/top-10-best-advertising-agencies-leading-australia-2025-sydney-melbourne-brisbane</v>
      </c>
      <c r="B3" s="7" t="str">
        <f>IFERROR(__xludf.DUMMYFUNCTION("""COMPUTED_VALUE"""),"HERO Tops Best Creative Advertising Agencies In Australia (2025) for Sydney, Melbourne and Brisbane")</f>
        <v>HERO Tops Best Creative Advertising Agencies In Australia (2025) for Sydney, Melbourne and Brisbane</v>
      </c>
      <c r="C3" s="6" t="str">
        <f>IFERROR(__xludf.DUMMYFUNCTION("""COMPUTED_VALUE"""),"thehero.co")</f>
        <v>thehero.co</v>
      </c>
      <c r="D3" s="7" t="str">
        <f>IFERROR(__xludf.DUMMYFUNCTION("""COMPUTED_VALUE"""),"ARTICLE")</f>
        <v>ARTICLE</v>
      </c>
      <c r="E3" s="7" t="str">
        <f>IFERROR(__xludf.DUMMYFUNCTION("""COMPUTED_VALUE"""),"CORPORATE")</f>
        <v>CORPORATE</v>
      </c>
      <c r="F3" s="7" t="str">
        <f>IFERROR(__xludf.DUMMYFUNCTION("""COMPUTED_VALUE"""),"Article")</f>
        <v>Article</v>
      </c>
      <c r="G3" s="7" t="b">
        <f>IFERROR(__xludf.DUMMYFUNCTION("""COMPUTED_VALUE"""),FALSE)</f>
        <v>0</v>
      </c>
      <c r="H3" s="7" t="str">
        <f>IFERROR(__xludf.DUMMYFUNCTION("""COMPUTED_VALUE"""),"HERO")</f>
        <v>HERO</v>
      </c>
      <c r="I3" s="7">
        <f>IFERROR(__xludf.DUMMYFUNCTION("""COMPUTED_VALUE"""),13.0)</f>
        <v>13</v>
      </c>
      <c r="J3" s="7">
        <f>IFERROR(__xludf.DUMMYFUNCTION("""COMPUTED_VALUE"""),0.01)</f>
        <v>0.01</v>
      </c>
      <c r="K3" s="7">
        <f>IFERROR(__xludf.DUMMYFUNCTION("""COMPUTED_VALUE"""),1.23)</f>
        <v>1.23</v>
      </c>
    </row>
    <row r="4" ht="15.75" customHeight="1">
      <c r="A4" s="6" t="str">
        <f>IFERROR(__xludf.DUMMYFUNCTION("""COMPUTED_VALUE"""),"https://www.appsflyer.com/blog/tips-strategy/incrementality-testing-for-marketers/")</f>
        <v>https://www.appsflyer.com/blog/tips-strategy/incrementality-testing-for-marketers/</v>
      </c>
      <c r="B4" s="7" t="str">
        <f>IFERROR(__xludf.DUMMYFUNCTION("""COMPUTED_VALUE"""),"Incrementality testing 101: Marketers 2023 guide | AppsFlyer")</f>
        <v>Incrementality testing 101: Marketers 2023 guide | AppsFlyer</v>
      </c>
      <c r="C4" s="6" t="str">
        <f>IFERROR(__xludf.DUMMYFUNCTION("""COMPUTED_VALUE"""),"appsflyer.com")</f>
        <v>appsflyer.com</v>
      </c>
      <c r="D4" s="7" t="str">
        <f>IFERROR(__xludf.DUMMYFUNCTION("""COMPUTED_VALUE"""),"ARTICLE")</f>
        <v>ARTICLE</v>
      </c>
      <c r="E4" s="7" t="str">
        <f>IFERROR(__xludf.DUMMYFUNCTION("""COMPUTED_VALUE"""),"CORPORATE")</f>
        <v>CORPORATE</v>
      </c>
      <c r="F4" s="7" t="str">
        <f>IFERROR(__xludf.DUMMYFUNCTION("""COMPUTED_VALUE"""),"Article")</f>
        <v>Article</v>
      </c>
      <c r="G4" s="7" t="b">
        <f>IFERROR(__xludf.DUMMYFUNCTION("""COMPUTED_VALUE"""),FALSE)</f>
        <v>0</v>
      </c>
      <c r="H4" s="7"/>
      <c r="I4" s="7">
        <f>IFERROR(__xludf.DUMMYFUNCTION("""COMPUTED_VALUE"""),11.0)</f>
        <v>11</v>
      </c>
      <c r="J4" s="7">
        <f>IFERROR(__xludf.DUMMYFUNCTION("""COMPUTED_VALUE"""),0.01)</f>
        <v>0.01</v>
      </c>
      <c r="K4" s="7">
        <f>IFERROR(__xludf.DUMMYFUNCTION("""COMPUTED_VALUE"""),0.27)</f>
        <v>0.27</v>
      </c>
    </row>
    <row r="5" ht="15.75" customHeight="1">
      <c r="A5" s="6" t="str">
        <f>IFERROR(__xludf.DUMMYFUNCTION("""COMPUTED_VALUE"""),"https://supermetrics.com/blog/incrementality-testing")</f>
        <v>https://supermetrics.com/blog/incrementality-testing</v>
      </c>
      <c r="B5" s="7" t="str">
        <f>IFERROR(__xludf.DUMMYFUNCTION("""COMPUTED_VALUE"""),"Incrementality Testing – The Only Guide You Need")</f>
        <v>Incrementality Testing – The Only Guide You Need</v>
      </c>
      <c r="C5" s="6" t="str">
        <f>IFERROR(__xludf.DUMMYFUNCTION("""COMPUTED_VALUE"""),"supermetrics.com")</f>
        <v>supermetrics.com</v>
      </c>
      <c r="D5" s="7" t="str">
        <f>IFERROR(__xludf.DUMMYFUNCTION("""COMPUTED_VALUE"""),"ARTICLE")</f>
        <v>ARTICLE</v>
      </c>
      <c r="E5" s="7" t="str">
        <f>IFERROR(__xludf.DUMMYFUNCTION("""COMPUTED_VALUE"""),"CORPORATE")</f>
        <v>CORPORATE</v>
      </c>
      <c r="F5" s="7" t="str">
        <f>IFERROR(__xludf.DUMMYFUNCTION("""COMPUTED_VALUE"""),"Article")</f>
        <v>Article</v>
      </c>
      <c r="G5" s="7" t="b">
        <f>IFERROR(__xludf.DUMMYFUNCTION("""COMPUTED_VALUE"""),FALSE)</f>
        <v>0</v>
      </c>
      <c r="H5" s="7" t="str">
        <f>IFERROR(__xludf.DUMMYFUNCTION("""COMPUTED_VALUE"""),"Haus, Measured")</f>
        <v>Haus, Measured</v>
      </c>
      <c r="I5" s="7">
        <f>IFERROR(__xludf.DUMMYFUNCTION("""COMPUTED_VALUE"""),11.0)</f>
        <v>11</v>
      </c>
      <c r="J5" s="7">
        <f>IFERROR(__xludf.DUMMYFUNCTION("""COMPUTED_VALUE"""),0.01)</f>
        <v>0.01</v>
      </c>
      <c r="K5" s="7">
        <f>IFERROR(__xludf.DUMMYFUNCTION("""COMPUTED_VALUE"""),0.0)</f>
        <v>0</v>
      </c>
    </row>
    <row r="6" ht="15.75" customHeight="1">
      <c r="A6" s="6" t="str">
        <f>IFERROR(__xludf.DUMMYFUNCTION("""COMPUTED_VALUE"""),"https://ami.org.au/knowledge-hub/acams-ai-readiness-report-reveals-australian-marketing-teams-lagging-in-ai-maturity/")</f>
        <v>https://ami.org.au/knowledge-hub/acams-ai-readiness-report-reveals-australian-marketing-teams-lagging-in-ai-maturity/</v>
      </c>
      <c r="B6" s="7" t="str">
        <f>IFERROR(__xludf.DUMMYFUNCTION("""COMPUTED_VALUE"""),"ACAM's AI readiness report reveals Australian marketing teams lagging in AI maturity - AMI")</f>
        <v>ACAM's AI readiness report reveals Australian marketing teams lagging in AI maturity - AMI</v>
      </c>
      <c r="C6" s="6" t="str">
        <f>IFERROR(__xludf.DUMMYFUNCTION("""COMPUTED_VALUE"""),"ami.org.au")</f>
        <v>ami.org.au</v>
      </c>
      <c r="D6" s="7" t="str">
        <f>IFERROR(__xludf.DUMMYFUNCTION("""COMPUTED_VALUE"""),"ARTICLE")</f>
        <v>ARTICLE</v>
      </c>
      <c r="E6" s="7" t="str">
        <f>IFERROR(__xludf.DUMMYFUNCTION("""COMPUTED_VALUE"""),"INSTITUTIONAL")</f>
        <v>INSTITUTIONAL</v>
      </c>
      <c r="F6" s="7" t="str">
        <f>IFERROR(__xludf.DUMMYFUNCTION("""COMPUTED_VALUE"""),"Article")</f>
        <v>Article</v>
      </c>
      <c r="G6" s="7" t="b">
        <f>IFERROR(__xludf.DUMMYFUNCTION("""COMPUTED_VALUE"""),FALSE)</f>
        <v>0</v>
      </c>
      <c r="H6" s="7" t="str">
        <f>IFERROR(__xludf.DUMMYFUNCTION("""COMPUTED_VALUE"""),"We Are Social")</f>
        <v>We Are Social</v>
      </c>
      <c r="I6" s="7">
        <f>IFERROR(__xludf.DUMMYFUNCTION("""COMPUTED_VALUE"""),10.0)</f>
        <v>10</v>
      </c>
      <c r="J6" s="7">
        <f>IFERROR(__xludf.DUMMYFUNCTION("""COMPUTED_VALUE"""),0.01)</f>
        <v>0.01</v>
      </c>
      <c r="K6" s="7">
        <f>IFERROR(__xludf.DUMMYFUNCTION("""COMPUTED_VALUE"""),2.4)</f>
        <v>2.4</v>
      </c>
    </row>
    <row r="7" ht="15.75" customHeight="1">
      <c r="A7" s="6" t="str">
        <f>IFERROR(__xludf.DUMMYFUNCTION("""COMPUTED_VALUE"""),"https://www.mkmedia.com.au/media-attribution-research/")</f>
        <v>https://www.mkmedia.com.au/media-attribution-research/</v>
      </c>
      <c r="B7" s="7" t="str">
        <f>IFERROR(__xludf.DUMMYFUNCTION("""COMPUTED_VALUE"""),"Media Attribution: Improve Marketing ROI | MK Media")</f>
        <v>Media Attribution: Improve Marketing ROI | MK Media</v>
      </c>
      <c r="C7" s="6" t="str">
        <f>IFERROR(__xludf.DUMMYFUNCTION("""COMPUTED_VALUE"""),"mkmedia.com.au")</f>
        <v>mkmedia.com.au</v>
      </c>
      <c r="D7" s="7" t="str">
        <f>IFERROR(__xludf.DUMMYFUNCTION("""COMPUTED_VALUE"""),"ARTICLE")</f>
        <v>ARTICLE</v>
      </c>
      <c r="E7" s="7" t="str">
        <f>IFERROR(__xludf.DUMMYFUNCTION("""COMPUTED_VALUE"""),"COMPETITOR")</f>
        <v>COMPETITOR</v>
      </c>
      <c r="F7" s="7" t="str">
        <f>IFERROR(__xludf.DUMMYFUNCTION("""COMPUTED_VALUE"""),"Article")</f>
        <v>Article</v>
      </c>
      <c r="G7" s="7" t="b">
        <f>IFERROR(__xludf.DUMMYFUNCTION("""COMPUTED_VALUE"""),FALSE)</f>
        <v>0</v>
      </c>
      <c r="H7" s="7" t="str">
        <f>IFERROR(__xludf.DUMMYFUNCTION("""COMPUTED_VALUE"""),"MK Media, Huge")</f>
        <v>MK Media, Huge</v>
      </c>
      <c r="I7" s="7">
        <f>IFERROR(__xludf.DUMMYFUNCTION("""COMPUTED_VALUE"""),10.0)</f>
        <v>10</v>
      </c>
      <c r="J7" s="7">
        <f>IFERROR(__xludf.DUMMYFUNCTION("""COMPUTED_VALUE"""),0.01)</f>
        <v>0.01</v>
      </c>
      <c r="K7" s="7">
        <f>IFERROR(__xludf.DUMMYFUNCTION("""COMPUTED_VALUE"""),1.3)</f>
        <v>1.3</v>
      </c>
    </row>
    <row r="8" ht="15.75" customHeight="1">
      <c r="A8" s="6" t="str">
        <f>IFERROR(__xludf.DUMMYFUNCTION("""COMPUTED_VALUE"""),"https://www.architecturaldigest.com/story/is-your-business-ready-for-the-ai-overview-era")</f>
        <v>https://www.architecturaldigest.com/story/is-your-business-ready-for-the-ai-overview-era</v>
      </c>
      <c r="B8" s="7" t="str">
        <f>IFERROR(__xludf.DUMMYFUNCTION("""COMPUTED_VALUE"""),"Is Your Business Ready for the AI Overview Era? | Architectural Digest")</f>
        <v>Is Your Business Ready for the AI Overview Era? | Architectural Digest</v>
      </c>
      <c r="C8" s="6" t="str">
        <f>IFERROR(__xludf.DUMMYFUNCTION("""COMPUTED_VALUE"""),"architecturaldigest.com")</f>
        <v>architecturaldigest.com</v>
      </c>
      <c r="D8" s="7" t="str">
        <f>IFERROR(__xludf.DUMMYFUNCTION("""COMPUTED_VALUE"""),"ARTICLE")</f>
        <v>ARTICLE</v>
      </c>
      <c r="E8" s="7" t="str">
        <f>IFERROR(__xludf.DUMMYFUNCTION("""COMPUTED_VALUE"""),"EDITORIAL")</f>
        <v>EDITORIAL</v>
      </c>
      <c r="F8" s="7" t="str">
        <f>IFERROR(__xludf.DUMMYFUNCTION("""COMPUTED_VALUE"""),"Article")</f>
        <v>Article</v>
      </c>
      <c r="G8" s="7" t="b">
        <f>IFERROR(__xludf.DUMMYFUNCTION("""COMPUTED_VALUE"""),FALSE)</f>
        <v>0</v>
      </c>
      <c r="H8" s="7"/>
      <c r="I8" s="7">
        <f>IFERROR(__xludf.DUMMYFUNCTION("""COMPUTED_VALUE"""),9.0)</f>
        <v>9</v>
      </c>
      <c r="J8" s="7">
        <f>IFERROR(__xludf.DUMMYFUNCTION("""COMPUTED_VALUE"""),0.01)</f>
        <v>0.01</v>
      </c>
      <c r="K8" s="7">
        <f>IFERROR(__xludf.DUMMYFUNCTION("""COMPUTED_VALUE"""),2.0)</f>
        <v>2</v>
      </c>
    </row>
    <row r="9" ht="15.75" customHeight="1">
      <c r="A9" s="6" t="str">
        <f>IFERROR(__xludf.DUMMYFUNCTION("""COMPUTED_VALUE"""),"https://mightyhive.com/mightyhive-named-top-aunz-google-marketing-platform-partner-second-year-row")</f>
        <v>https://mightyhive.com/mightyhive-named-top-aunz-google-marketing-platform-partner-second-year-row</v>
      </c>
      <c r="B9" s="7" t="str">
        <f>IFERROR(__xludf.DUMMYFUNCTION("""COMPUTED_VALUE"""),"MightyHive Named Top AUNZ Google Marketing Platform Partner Second Year in a Row | MightyHive")</f>
        <v>MightyHive Named Top AUNZ Google Marketing Platform Partner Second Year in a Row | MightyHive</v>
      </c>
      <c r="C9" s="6" t="str">
        <f>IFERROR(__xludf.DUMMYFUNCTION("""COMPUTED_VALUE"""),"mightyhive.com")</f>
        <v>mightyhive.com</v>
      </c>
      <c r="D9" s="7" t="str">
        <f>IFERROR(__xludf.DUMMYFUNCTION("""COMPUTED_VALUE"""),"ARTICLE")</f>
        <v>ARTICLE</v>
      </c>
      <c r="E9" s="7" t="str">
        <f>IFERROR(__xludf.DUMMYFUNCTION("""COMPUTED_VALUE"""),"CORPORATE")</f>
        <v>CORPORATE</v>
      </c>
      <c r="F9" s="7" t="str">
        <f>IFERROR(__xludf.DUMMYFUNCTION("""COMPUTED_VALUE"""),"Article")</f>
        <v>Article</v>
      </c>
      <c r="G9" s="7" t="b">
        <f>IFERROR(__xludf.DUMMYFUNCTION("""COMPUTED_VALUE"""),FALSE)</f>
        <v>0</v>
      </c>
      <c r="H9" s="7"/>
      <c r="I9" s="7">
        <f>IFERROR(__xludf.DUMMYFUNCTION("""COMPUTED_VALUE"""),9.0)</f>
        <v>9</v>
      </c>
      <c r="J9" s="7">
        <f>IFERROR(__xludf.DUMMYFUNCTION("""COMPUTED_VALUE"""),0.01)</f>
        <v>0.01</v>
      </c>
      <c r="K9" s="7">
        <f>IFERROR(__xludf.DUMMYFUNCTION("""COMPUTED_VALUE"""),1.67)</f>
        <v>1.67</v>
      </c>
    </row>
    <row r="10" ht="15.75" customHeight="1">
      <c r="A10" s="6" t="str">
        <f>IFERROR(__xludf.DUMMYFUNCTION("""COMPUTED_VALUE"""),"https://www.measured.com/faq/what-is-incrementality-testing/")</f>
        <v>https://www.measured.com/faq/what-is-incrementality-testing/</v>
      </c>
      <c r="B10" s="7" t="str">
        <f>IFERROR(__xludf.DUMMYFUNCTION("""COMPUTED_VALUE"""),"What is Incrementality Testing (w/ Calculations &amp;amp; Examples)")</f>
        <v>What is Incrementality Testing (w/ Calculations &amp;amp; Examples)</v>
      </c>
      <c r="C10" s="6" t="str">
        <f>IFERROR(__xludf.DUMMYFUNCTION("""COMPUTED_VALUE"""),"measured.com")</f>
        <v>measured.com</v>
      </c>
      <c r="D10" s="7" t="str">
        <f>IFERROR(__xludf.DUMMYFUNCTION("""COMPUTED_VALUE"""),"ARTICLE")</f>
        <v>ARTICLE</v>
      </c>
      <c r="E10" s="7" t="str">
        <f>IFERROR(__xludf.DUMMYFUNCTION("""COMPUTED_VALUE"""),"COMPETITOR")</f>
        <v>COMPETITOR</v>
      </c>
      <c r="F10" s="7" t="str">
        <f>IFERROR(__xludf.DUMMYFUNCTION("""COMPUTED_VALUE"""),"Article")</f>
        <v>Article</v>
      </c>
      <c r="G10" s="7" t="b">
        <f>IFERROR(__xludf.DUMMYFUNCTION("""COMPUTED_VALUE"""),FALSE)</f>
        <v>0</v>
      </c>
      <c r="H10" s="7" t="str">
        <f>IFERROR(__xludf.DUMMYFUNCTION("""COMPUTED_VALUE"""),"Measured")</f>
        <v>Measured</v>
      </c>
      <c r="I10" s="7">
        <f>IFERROR(__xludf.DUMMYFUNCTION("""COMPUTED_VALUE"""),8.0)</f>
        <v>8</v>
      </c>
      <c r="J10" s="7">
        <f>IFERROR(__xludf.DUMMYFUNCTION("""COMPUTED_VALUE"""),0.01)</f>
        <v>0.01</v>
      </c>
      <c r="K10" s="7">
        <f>IFERROR(__xludf.DUMMYFUNCTION("""COMPUTED_VALUE"""),1.13)</f>
        <v>1.13</v>
      </c>
    </row>
    <row r="11" ht="15.75" customHeight="1">
      <c r="A11" s="6" t="str">
        <f>IFERROR(__xludf.DUMMYFUNCTION("""COMPUTED_VALUE"""),"https://www.adnews.com.au/news/wpp-media-maintains-recma-lead")</f>
        <v>https://www.adnews.com.au/news/wpp-media-maintains-recma-lead</v>
      </c>
      <c r="B11" s="7" t="str">
        <f>IFERROR(__xludf.DUMMYFUNCTION("""COMPUTED_VALUE"""),"WPP Media maintains RECMA lead - AdNews")</f>
        <v>WPP Media maintains RECMA lead - AdNews</v>
      </c>
      <c r="C11" s="6" t="str">
        <f>IFERROR(__xludf.DUMMYFUNCTION("""COMPUTED_VALUE"""),"adnews.com.au")</f>
        <v>adnews.com.au</v>
      </c>
      <c r="D11" s="7" t="str">
        <f>IFERROR(__xludf.DUMMYFUNCTION("""COMPUTED_VALUE"""),"ARTICLE")</f>
        <v>ARTICLE</v>
      </c>
      <c r="E11" s="7" t="str">
        <f>IFERROR(__xludf.DUMMYFUNCTION("""COMPUTED_VALUE"""),"EDITORIAL")</f>
        <v>EDITORIAL</v>
      </c>
      <c r="F11" s="7" t="str">
        <f>IFERROR(__xludf.DUMMYFUNCTION("""COMPUTED_VALUE"""),"Article")</f>
        <v>Article</v>
      </c>
      <c r="G11" s="7" t="b">
        <f>IFERROR(__xludf.DUMMYFUNCTION("""COMPUTED_VALUE"""),FALSE)</f>
        <v>0</v>
      </c>
      <c r="H11" s="7" t="str">
        <f>IFERROR(__xludf.DUMMYFUNCTION("""COMPUTED_VALUE"""),"WPP, EssenceMediacom, Omnicom Media Group, OMD, Mindshare, PHD, Dentsu")</f>
        <v>WPP, EssenceMediacom, Omnicom Media Group, OMD, Mindshare, PHD, Dentsu</v>
      </c>
      <c r="I11" s="7">
        <f>IFERROR(__xludf.DUMMYFUNCTION("""COMPUTED_VALUE"""),7.0)</f>
        <v>7</v>
      </c>
      <c r="J11" s="7">
        <f>IFERROR(__xludf.DUMMYFUNCTION("""COMPUTED_VALUE"""),0.01)</f>
        <v>0.01</v>
      </c>
      <c r="K11" s="7">
        <f>IFERROR(__xludf.DUMMYFUNCTION("""COMPUTED_VALUE"""),0.57)</f>
        <v>0.57</v>
      </c>
    </row>
    <row r="12" ht="15.75" customHeight="1">
      <c r="A12" s="6" t="str">
        <f>IFERROR(__xludf.DUMMYFUNCTION("""COMPUTED_VALUE"""),"https://one-x.au/data-driven-marketing-australian-companies/")</f>
        <v>https://one-x.au/data-driven-marketing-australian-companies/</v>
      </c>
      <c r="B12" s="7" t="str">
        <f>IFERROR(__xludf.DUMMYFUNCTION("""COMPUTED_VALUE"""),"Maximising ROI: Data-Driven Marketing for Australian Companies")</f>
        <v>Maximising ROI: Data-Driven Marketing for Australian Companies</v>
      </c>
      <c r="C12" s="6" t="str">
        <f>IFERROR(__xludf.DUMMYFUNCTION("""COMPUTED_VALUE"""),"one-x.au")</f>
        <v>one-x.au</v>
      </c>
      <c r="D12" s="7" t="str">
        <f>IFERROR(__xludf.DUMMYFUNCTION("""COMPUTED_VALUE"""),"ARTICLE")</f>
        <v>ARTICLE</v>
      </c>
      <c r="E12" s="7" t="str">
        <f>IFERROR(__xludf.DUMMYFUNCTION("""COMPUTED_VALUE"""),"CORPORATE")</f>
        <v>CORPORATE</v>
      </c>
      <c r="F12" s="7" t="str">
        <f>IFERROR(__xludf.DUMMYFUNCTION("""COMPUTED_VALUE"""),"Article")</f>
        <v>Article</v>
      </c>
      <c r="G12" s="7" t="b">
        <f>IFERROR(__xludf.DUMMYFUNCTION("""COMPUTED_VALUE"""),FALSE)</f>
        <v>0</v>
      </c>
      <c r="H12" s="7"/>
      <c r="I12" s="7">
        <f>IFERROR(__xludf.DUMMYFUNCTION("""COMPUTED_VALUE"""),7.0)</f>
        <v>7</v>
      </c>
      <c r="J12" s="7">
        <f>IFERROR(__xludf.DUMMYFUNCTION("""COMPUTED_VALUE"""),0.01)</f>
        <v>0.01</v>
      </c>
      <c r="K12" s="7">
        <f>IFERROR(__xludf.DUMMYFUNCTION("""COMPUTED_VALUE"""),1.29)</f>
        <v>1.29</v>
      </c>
    </row>
    <row r="13" ht="15.75" customHeight="1">
      <c r="A13" s="6" t="str">
        <f>IFERROR(__xludf.DUMMYFUNCTION("""COMPUTED_VALUE"""),"https://www.theaustralian.com.au/sponsored-content/beyond-ai-pilots-the-organisations-turning-ai-ambition-into-action/news-story/415e261ad0bf616e51c3b7b79b17a86f")</f>
        <v>https://www.theaustralian.com.au/sponsored-content/beyond-ai-pilots-the-organisations-turning-ai-ambition-into-action/news-story/415e261ad0bf616e51c3b7b79b17a86f</v>
      </c>
      <c r="B13" s="7" t="str">
        <f>IFERROR(__xludf.DUMMYFUNCTION("""COMPUTED_VALUE"""),"Beyond AI pilots, the organisations turning AI ambition into action \| The Australian")</f>
        <v>Beyond AI pilots, the organisations turning AI ambition into action \| The Australian</v>
      </c>
      <c r="C13" s="6" t="str">
        <f>IFERROR(__xludf.DUMMYFUNCTION("""COMPUTED_VALUE"""),"theaustralian.com.au")</f>
        <v>theaustralian.com.au</v>
      </c>
      <c r="D13" s="7" t="str">
        <f>IFERROR(__xludf.DUMMYFUNCTION("""COMPUTED_VALUE"""),"ARTICLE")</f>
        <v>ARTICLE</v>
      </c>
      <c r="E13" s="7" t="str">
        <f>IFERROR(__xludf.DUMMYFUNCTION("""COMPUTED_VALUE"""),"EDITORIAL")</f>
        <v>EDITORIAL</v>
      </c>
      <c r="F13" s="7" t="str">
        <f>IFERROR(__xludf.DUMMYFUNCTION("""COMPUTED_VALUE"""),"Article")</f>
        <v>Article</v>
      </c>
      <c r="G13" s="7" t="b">
        <f>IFERROR(__xludf.DUMMYFUNCTION("""COMPUTED_VALUE"""),FALSE)</f>
        <v>0</v>
      </c>
      <c r="H13" s="7" t="str">
        <f>IFERROR(__xludf.DUMMYFUNCTION("""COMPUTED_VALUE"""),"Momentum, Deloitte Digital, Deloitte")</f>
        <v>Momentum, Deloitte Digital, Deloitte</v>
      </c>
      <c r="I13" s="7">
        <f>IFERROR(__xludf.DUMMYFUNCTION("""COMPUTED_VALUE"""),7.0)</f>
        <v>7</v>
      </c>
      <c r="J13" s="7">
        <f>IFERROR(__xludf.DUMMYFUNCTION("""COMPUTED_VALUE"""),0.01)</f>
        <v>0.01</v>
      </c>
      <c r="K13" s="7">
        <f>IFERROR(__xludf.DUMMYFUNCTION("""COMPUTED_VALUE"""),1.86)</f>
        <v>1.86</v>
      </c>
    </row>
    <row r="14" ht="15.75" customHeight="1">
      <c r="A14" s="6" t="str">
        <f>IFERROR(__xludf.DUMMYFUNCTION("""COMPUTED_VALUE"""),"https://www.iabaustralia.com.au/news/iab-australia-starts-work-on-industry-wide-future-of-measurement-initiative-focus-on-strengthening-how-advertising-opportunities-and-outcomes-are-assessed/")</f>
        <v>https://www.iabaustralia.com.au/news/iab-australia-starts-work-on-industry-wide-future-of-measurement-initiative-focus-on-strengthening-how-advertising-opportunities-and-outcomes-are-assessed/</v>
      </c>
      <c r="B14" s="7" t="str">
        <f>IFERROR(__xludf.DUMMYFUNCTION("""COMPUTED_VALUE"""),"IAB Australia starts work on industry-wide Future of Measure")</f>
        <v>IAB Australia starts work on industry-wide Future of Measure</v>
      </c>
      <c r="C14" s="6" t="str">
        <f>IFERROR(__xludf.DUMMYFUNCTION("""COMPUTED_VALUE"""),"iabaustralia.com.au")</f>
        <v>iabaustralia.com.au</v>
      </c>
      <c r="D14" s="7" t="str">
        <f>IFERROR(__xludf.DUMMYFUNCTION("""COMPUTED_VALUE"""),"ARTICLE")</f>
        <v>ARTICLE</v>
      </c>
      <c r="E14" s="7" t="str">
        <f>IFERROR(__xludf.DUMMYFUNCTION("""COMPUTED_VALUE"""),"INSTITUTIONAL")</f>
        <v>INSTITUTIONAL</v>
      </c>
      <c r="F14" s="7" t="str">
        <f>IFERROR(__xludf.DUMMYFUNCTION("""COMPUTED_VALUE"""),"Article")</f>
        <v>Article</v>
      </c>
      <c r="G14" s="7" t="b">
        <f>IFERROR(__xludf.DUMMYFUNCTION("""COMPUTED_VALUE"""),FALSE)</f>
        <v>0</v>
      </c>
      <c r="H14" s="7"/>
      <c r="I14" s="7">
        <f>IFERROR(__xludf.DUMMYFUNCTION("""COMPUTED_VALUE"""),6.0)</f>
        <v>6</v>
      </c>
      <c r="J14" s="7">
        <f>IFERROR(__xludf.DUMMYFUNCTION("""COMPUTED_VALUE"""),0.01)</f>
        <v>0.01</v>
      </c>
      <c r="K14" s="7">
        <f>IFERROR(__xludf.DUMMYFUNCTION("""COMPUTED_VALUE"""),0.83)</f>
        <v>0.83</v>
      </c>
    </row>
    <row r="15" ht="15.75" customHeight="1">
      <c r="A15" s="6" t="str">
        <f>IFERROR(__xludf.DUMMYFUNCTION("""COMPUTED_VALUE"""),"https://aipivot.com.au/blog/what-is-a-geo-agency")</f>
        <v>https://aipivot.com.au/blog/what-is-a-geo-agency</v>
      </c>
      <c r="B15" s="7" t="str">
        <f>IFERROR(__xludf.DUMMYFUNCTION("""COMPUTED_VALUE"""),"What Is a GEO Agency? GEO for Australian Businesses | AI Pivot Toolbox")</f>
        <v>What Is a GEO Agency? GEO for Australian Businesses | AI Pivot Toolbox</v>
      </c>
      <c r="C15" s="6" t="str">
        <f>IFERROR(__xludf.DUMMYFUNCTION("""COMPUTED_VALUE"""),"aipivot.com.au")</f>
        <v>aipivot.com.au</v>
      </c>
      <c r="D15" s="7" t="str">
        <f>IFERROR(__xludf.DUMMYFUNCTION("""COMPUTED_VALUE"""),"ARTICLE")</f>
        <v>ARTICLE</v>
      </c>
      <c r="E15" s="7" t="str">
        <f>IFERROR(__xludf.DUMMYFUNCTION("""COMPUTED_VALUE"""),"CORPORATE")</f>
        <v>CORPORATE</v>
      </c>
      <c r="F15" s="7" t="str">
        <f>IFERROR(__xludf.DUMMYFUNCTION("""COMPUTED_VALUE"""),"Article")</f>
        <v>Article</v>
      </c>
      <c r="G15" s="7" t="b">
        <f>IFERROR(__xludf.DUMMYFUNCTION("""COMPUTED_VALUE"""),FALSE)</f>
        <v>0</v>
      </c>
      <c r="H15" s="7"/>
      <c r="I15" s="7">
        <f>IFERROR(__xludf.DUMMYFUNCTION("""COMPUTED_VALUE"""),5.0)</f>
        <v>5</v>
      </c>
      <c r="J15" s="7">
        <f>IFERROR(__xludf.DUMMYFUNCTION("""COMPUTED_VALUE"""),0.01)</f>
        <v>0.01</v>
      </c>
      <c r="K15" s="7">
        <f>IFERROR(__xludf.DUMMYFUNCTION("""COMPUTED_VALUE"""),1.0)</f>
        <v>1</v>
      </c>
    </row>
    <row r="16" ht="15.75" customHeight="1">
      <c r="A16" s="6" t="str">
        <f>IFERROR(__xludf.DUMMYFUNCTION("""COMPUTED_VALUE"""),"https://inbeat.agency/blog/incrementality-testing")</f>
        <v>https://inbeat.agency/blog/incrementality-testing</v>
      </c>
      <c r="B16" s="7" t="str">
        <f>IFERROR(__xludf.DUMMYFUNCTION("""COMPUTED_VALUE"""),"Incrementality Testing: Calculations, Examples, and More for 2025 - inBeat Agency")</f>
        <v>Incrementality Testing: Calculations, Examples, and More for 2025 - inBeat Agency</v>
      </c>
      <c r="C16" s="7" t="str">
        <f>IFERROR(__xludf.DUMMYFUNCTION("""COMPUTED_VALUE"""),"inbeat.agency")</f>
        <v>inbeat.agency</v>
      </c>
      <c r="D16" s="7" t="str">
        <f>IFERROR(__xludf.DUMMYFUNCTION("""COMPUTED_VALUE"""),"ARTICLE")</f>
        <v>ARTICLE</v>
      </c>
      <c r="E16" s="7" t="str">
        <f>IFERROR(__xludf.DUMMYFUNCTION("""COMPUTED_VALUE"""),"CORPORATE")</f>
        <v>CORPORATE</v>
      </c>
      <c r="F16" s="7" t="str">
        <f>IFERROR(__xludf.DUMMYFUNCTION("""COMPUTED_VALUE"""),"Article")</f>
        <v>Article</v>
      </c>
      <c r="G16" s="7" t="b">
        <f>IFERROR(__xludf.DUMMYFUNCTION("""COMPUTED_VALUE"""),FALSE)</f>
        <v>0</v>
      </c>
      <c r="H16" s="7" t="str">
        <f>IFERROR(__xludf.DUMMYFUNCTION("""COMPUTED_VALUE"""),"Measured")</f>
        <v>Measured</v>
      </c>
      <c r="I16" s="7">
        <f>IFERROR(__xludf.DUMMYFUNCTION("""COMPUTED_VALUE"""),5.0)</f>
        <v>5</v>
      </c>
      <c r="J16" s="7">
        <f>IFERROR(__xludf.DUMMYFUNCTION("""COMPUTED_VALUE"""),0.01)</f>
        <v>0.01</v>
      </c>
      <c r="K16" s="7">
        <f>IFERROR(__xludf.DUMMYFUNCTION("""COMPUTED_VALUE"""),0.0)</f>
        <v>0</v>
      </c>
    </row>
    <row r="17" ht="15.75" customHeight="1">
      <c r="A17" s="6" t="str">
        <f>IFERROR(__xludf.DUMMYFUNCTION("""COMPUTED_VALUE"""),"https://liondigital.com.au/lion-digital-a-premier-google-partner-placed-in-the-top-3-of-agencies/")</f>
        <v>https://liondigital.com.au/lion-digital-a-premier-google-partner-placed-in-the-top-3-of-agencies/</v>
      </c>
      <c r="B17" s="7" t="str">
        <f>IFERROR(__xludf.DUMMYFUNCTION("""COMPUTED_VALUE"""),"Premier Google Partner - Top 3% of agencies | LION Digital")</f>
        <v>Premier Google Partner - Top 3% of agencies | LION Digital</v>
      </c>
      <c r="C17" s="6" t="str">
        <f>IFERROR(__xludf.DUMMYFUNCTION("""COMPUTED_VALUE"""),"liondigital.com.au")</f>
        <v>liondigital.com.au</v>
      </c>
      <c r="D17" s="7" t="str">
        <f>IFERROR(__xludf.DUMMYFUNCTION("""COMPUTED_VALUE"""),"ARTICLE")</f>
        <v>ARTICLE</v>
      </c>
      <c r="E17" s="7" t="str">
        <f>IFERROR(__xludf.DUMMYFUNCTION("""COMPUTED_VALUE"""),"CORPORATE")</f>
        <v>CORPORATE</v>
      </c>
      <c r="F17" s="7" t="str">
        <f>IFERROR(__xludf.DUMMYFUNCTION("""COMPUTED_VALUE"""),"Article")</f>
        <v>Article</v>
      </c>
      <c r="G17" s="7" t="b">
        <f>IFERROR(__xludf.DUMMYFUNCTION("""COMPUTED_VALUE"""),FALSE)</f>
        <v>0</v>
      </c>
      <c r="H17" s="7" t="str">
        <f>IFERROR(__xludf.DUMMYFUNCTION("""COMPUTED_VALUE"""),"Impressive")</f>
        <v>Impressive</v>
      </c>
      <c r="I17" s="7">
        <f>IFERROR(__xludf.DUMMYFUNCTION("""COMPUTED_VALUE"""),5.0)</f>
        <v>5</v>
      </c>
      <c r="J17" s="7">
        <f>IFERROR(__xludf.DUMMYFUNCTION("""COMPUTED_VALUE"""),0.01)</f>
        <v>0.01</v>
      </c>
      <c r="K17" s="7">
        <f>IFERROR(__xludf.DUMMYFUNCTION("""COMPUTED_VALUE"""),1.4)</f>
        <v>1.4</v>
      </c>
    </row>
    <row r="18" ht="15.75" customHeight="1">
      <c r="A18" s="6" t="str">
        <f>IFERROR(__xludf.DUMMYFUNCTION("""COMPUTED_VALUE"""),"https://www.searchmax.com.au/searchmax-among-the-top-3-of-google-partners-in-the-country/")</f>
        <v>https://www.searchmax.com.au/searchmax-among-the-top-3-of-google-partners-in-the-country/</v>
      </c>
      <c r="B18" s="7" t="str">
        <f>IFERROR(__xludf.DUMMYFUNCTION("""COMPUTED_VALUE"""),"Google Premier Partner - Top 3% of Google Agencies in Australia")</f>
        <v>Google Premier Partner - Top 3% of Google Agencies in Australia</v>
      </c>
      <c r="C18" s="6" t="str">
        <f>IFERROR(__xludf.DUMMYFUNCTION("""COMPUTED_VALUE"""),"searchmax.com.au")</f>
        <v>searchmax.com.au</v>
      </c>
      <c r="D18" s="7" t="str">
        <f>IFERROR(__xludf.DUMMYFUNCTION("""COMPUTED_VALUE"""),"ARTICLE")</f>
        <v>ARTICLE</v>
      </c>
      <c r="E18" s="7" t="str">
        <f>IFERROR(__xludf.DUMMYFUNCTION("""COMPUTED_VALUE"""),"COMPETITOR")</f>
        <v>COMPETITOR</v>
      </c>
      <c r="F18" s="7" t="str">
        <f>IFERROR(__xludf.DUMMYFUNCTION("""COMPUTED_VALUE"""),"Article")</f>
        <v>Article</v>
      </c>
      <c r="G18" s="7" t="b">
        <f>IFERROR(__xludf.DUMMYFUNCTION("""COMPUTED_VALUE"""),FALSE)</f>
        <v>0</v>
      </c>
      <c r="H18" s="7" t="str">
        <f>IFERROR(__xludf.DUMMYFUNCTION("""COMPUTED_VALUE"""),"SearchMax")</f>
        <v>SearchMax</v>
      </c>
      <c r="I18" s="7">
        <f>IFERROR(__xludf.DUMMYFUNCTION("""COMPUTED_VALUE"""),5.0)</f>
        <v>5</v>
      </c>
      <c r="J18" s="7">
        <f>IFERROR(__xludf.DUMMYFUNCTION("""COMPUTED_VALUE"""),0.01)</f>
        <v>0.01</v>
      </c>
      <c r="K18" s="7">
        <f>IFERROR(__xludf.DUMMYFUNCTION("""COMPUTED_VALUE"""),0.6)</f>
        <v>0.6</v>
      </c>
    </row>
    <row r="19" ht="15.75" customHeight="1">
      <c r="A19" s="6" t="str">
        <f>IFERROR(__xludf.DUMMYFUNCTION("""COMPUTED_VALUE"""),"https://townsquare.agency/news/ts-once-again-ranked-one-of-australias-best-creative-agencies/")</f>
        <v>https://townsquare.agency/news/ts-once-again-ranked-one-of-australias-best-creative-agencies/</v>
      </c>
      <c r="B19" s="7" t="str">
        <f>IFERROR(__xludf.DUMMYFUNCTION("""COMPUTED_VALUE"""),"TS once again ranked one of Australia’s best creative agencies - Town Square")</f>
        <v>TS once again ranked one of Australia’s best creative agencies - Town Square</v>
      </c>
      <c r="C19" s="7" t="str">
        <f>IFERROR(__xludf.DUMMYFUNCTION("""COMPUTED_VALUE"""),"townsquare.agency")</f>
        <v>townsquare.agency</v>
      </c>
      <c r="D19" s="7" t="str">
        <f>IFERROR(__xludf.DUMMYFUNCTION("""COMPUTED_VALUE"""),"ARTICLE")</f>
        <v>ARTICLE</v>
      </c>
      <c r="E19" s="7" t="str">
        <f>IFERROR(__xludf.DUMMYFUNCTION("""COMPUTED_VALUE"""),"CORPORATE")</f>
        <v>CORPORATE</v>
      </c>
      <c r="F19" s="7" t="str">
        <f>IFERROR(__xludf.DUMMYFUNCTION("""COMPUTED_VALUE"""),"Article")</f>
        <v>Article</v>
      </c>
      <c r="G19" s="7" t="b">
        <f>IFERROR(__xludf.DUMMYFUNCTION("""COMPUTED_VALUE"""),FALSE)</f>
        <v>0</v>
      </c>
      <c r="H19" s="7"/>
      <c r="I19" s="7">
        <f>IFERROR(__xludf.DUMMYFUNCTION("""COMPUTED_VALUE"""),5.0)</f>
        <v>5</v>
      </c>
      <c r="J19" s="7">
        <f>IFERROR(__xludf.DUMMYFUNCTION("""COMPUTED_VALUE"""),0.01)</f>
        <v>0.01</v>
      </c>
      <c r="K19" s="7">
        <f>IFERROR(__xludf.DUMMYFUNCTION("""COMPUTED_VALUE"""),0.0)</f>
        <v>0</v>
      </c>
    </row>
    <row r="20" ht="15.75" customHeight="1">
      <c r="A20" s="6" t="str">
        <f>IFERROR(__xludf.DUMMYFUNCTION("""COMPUTED_VALUE"""),"https://www.adnews.com.au/news/only-half-of-australian-marketers-use-attribution-modelling")</f>
        <v>https://www.adnews.com.au/news/only-half-of-australian-marketers-use-attribution-modelling</v>
      </c>
      <c r="B20" s="7" t="str">
        <f>IFERROR(__xludf.DUMMYFUNCTION("""COMPUTED_VALUE"""),"Only half of Australian marketers use attribution modelling - AdNews")</f>
        <v>Only half of Australian marketers use attribution modelling - AdNews</v>
      </c>
      <c r="C20" s="6" t="str">
        <f>IFERROR(__xludf.DUMMYFUNCTION("""COMPUTED_VALUE"""),"adnews.com.au")</f>
        <v>adnews.com.au</v>
      </c>
      <c r="D20" s="7" t="str">
        <f>IFERROR(__xludf.DUMMYFUNCTION("""COMPUTED_VALUE"""),"ARTICLE")</f>
        <v>ARTICLE</v>
      </c>
      <c r="E20" s="7" t="str">
        <f>IFERROR(__xludf.DUMMYFUNCTION("""COMPUTED_VALUE"""),"EDITORIAL")</f>
        <v>EDITORIAL</v>
      </c>
      <c r="F20" s="7" t="str">
        <f>IFERROR(__xludf.DUMMYFUNCTION("""COMPUTED_VALUE"""),"Article")</f>
        <v>Article</v>
      </c>
      <c r="G20" s="7" t="b">
        <f>IFERROR(__xludf.DUMMYFUNCTION("""COMPUTED_VALUE"""),FALSE)</f>
        <v>0</v>
      </c>
      <c r="H20" s="7"/>
      <c r="I20" s="7">
        <f>IFERROR(__xludf.DUMMYFUNCTION("""COMPUTED_VALUE"""),4.0)</f>
        <v>4</v>
      </c>
      <c r="J20" s="7">
        <f>IFERROR(__xludf.DUMMYFUNCTION("""COMPUTED_VALUE"""),0.0)</f>
        <v>0</v>
      </c>
      <c r="K20" s="7">
        <f>IFERROR(__xludf.DUMMYFUNCTION("""COMPUTED_VALUE"""),0.25)</f>
        <v>0.25</v>
      </c>
    </row>
    <row r="21" ht="15.75" customHeight="1">
      <c r="A21" s="6" t="str">
        <f>IFERROR(__xludf.DUMMYFUNCTION("""COMPUTED_VALUE"""),"https://www.reuters.com/business/publicis-raises-growth-target-ai-driven-marketing-demand-stays-strong-2026-07-16/")</f>
        <v>https://www.reuters.com/business/publicis-raises-growth-target-ai-driven-marketing-demand-stays-strong-2026-07-16/</v>
      </c>
      <c r="B21" s="7" t="str">
        <f>IFERROR(__xludf.DUMMYFUNCTION("""COMPUTED_VALUE"""),"Publicis raises growth target as AI-driven marketing demand stays strong \| Reuters")</f>
        <v>Publicis raises growth target as AI-driven marketing demand stays strong \| Reuters</v>
      </c>
      <c r="C21" s="6" t="str">
        <f>IFERROR(__xludf.DUMMYFUNCTION("""COMPUTED_VALUE"""),"reuters.com")</f>
        <v>reuters.com</v>
      </c>
      <c r="D21" s="7" t="str">
        <f>IFERROR(__xludf.DUMMYFUNCTION("""COMPUTED_VALUE"""),"ARTICLE")</f>
        <v>ARTICLE</v>
      </c>
      <c r="E21" s="7" t="str">
        <f>IFERROR(__xludf.DUMMYFUNCTION("""COMPUTED_VALUE"""),"EDITORIAL")</f>
        <v>EDITORIAL</v>
      </c>
      <c r="F21" s="7" t="str">
        <f>IFERROR(__xludf.DUMMYFUNCTION("""COMPUTED_VALUE"""),"Article")</f>
        <v>Article</v>
      </c>
      <c r="G21" s="7" t="b">
        <f>IFERROR(__xludf.DUMMYFUNCTION("""COMPUTED_VALUE"""),FALSE)</f>
        <v>0</v>
      </c>
      <c r="H21" s="7" t="str">
        <f>IFERROR(__xludf.DUMMYFUNCTION("""COMPUTED_VALUE"""),"Publicis Groupe, HERO")</f>
        <v>Publicis Groupe, HERO</v>
      </c>
      <c r="I21" s="7">
        <f>IFERROR(__xludf.DUMMYFUNCTION("""COMPUTED_VALUE"""),4.0)</f>
        <v>4</v>
      </c>
      <c r="J21" s="7">
        <f>IFERROR(__xludf.DUMMYFUNCTION("""COMPUTED_VALUE"""),0.0)</f>
        <v>0</v>
      </c>
      <c r="K21" s="7">
        <f>IFERROR(__xludf.DUMMYFUNCTION("""COMPUTED_VALUE"""),1.5)</f>
        <v>1.5</v>
      </c>
    </row>
    <row r="22" ht="15.75" customHeight="1">
      <c r="A22" s="6" t="str">
        <f>IFERROR(__xludf.DUMMYFUNCTION("""COMPUTED_VALUE"""),"https://www.theaustralian.com.au/business/media/the-little-agencies-attracting-big-dollars/news-story/2a4a9f535e088c25718a59cba4451cda")</f>
        <v>https://www.theaustralian.com.au/business/media/the-little-agencies-attracting-big-dollars/news-story/2a4a9f535e088c25718a59cba4451cda</v>
      </c>
      <c r="B22" s="7" t="str">
        <f>IFERROR(__xludf.DUMMYFUNCTION("""COMPUTED_VALUE"""),"Subscribe to The Australian \| Newspaper home delivery, website, iPad, iPhone &amp; Android apps")</f>
        <v>Subscribe to The Australian \| Newspaper home delivery, website, iPad, iPhone &amp; Android apps</v>
      </c>
      <c r="C22" s="6" t="str">
        <f>IFERROR(__xludf.DUMMYFUNCTION("""COMPUTED_VALUE"""),"theaustralian.com.au")</f>
        <v>theaustralian.com.au</v>
      </c>
      <c r="D22" s="7" t="str">
        <f>IFERROR(__xludf.DUMMYFUNCTION("""COMPUTED_VALUE"""),"ARTICLE")</f>
        <v>ARTICLE</v>
      </c>
      <c r="E22" s="7" t="str">
        <f>IFERROR(__xludf.DUMMYFUNCTION("""COMPUTED_VALUE"""),"EDITORIAL")</f>
        <v>EDITORIAL</v>
      </c>
      <c r="F22" s="7" t="str">
        <f>IFERROR(__xludf.DUMMYFUNCTION("""COMPUTED_VALUE"""),"Article")</f>
        <v>Article</v>
      </c>
      <c r="G22" s="7" t="b">
        <f>IFERROR(__xludf.DUMMYFUNCTION("""COMPUTED_VALUE"""),FALSE)</f>
        <v>0</v>
      </c>
      <c r="H22" s="7"/>
      <c r="I22" s="7">
        <f>IFERROR(__xludf.DUMMYFUNCTION("""COMPUTED_VALUE"""),4.0)</f>
        <v>4</v>
      </c>
      <c r="J22" s="7">
        <f>IFERROR(__xludf.DUMMYFUNCTION("""COMPUTED_VALUE"""),0.0)</f>
        <v>0</v>
      </c>
      <c r="K22" s="7">
        <f>IFERROR(__xludf.DUMMYFUNCTION("""COMPUTED_VALUE"""),2.25)</f>
        <v>2.25</v>
      </c>
    </row>
    <row r="23" ht="15.75" customHeight="1">
      <c r="A23" s="6" t="str">
        <f>IFERROR(__xludf.DUMMYFUNCTION("""COMPUTED_VALUE"""),"https://advisible.com.au/google-premier-partner-what-it-means/")</f>
        <v>https://advisible.com.au/google-premier-partner-what-it-means/</v>
      </c>
      <c r="B23" s="7" t="str">
        <f>IFERROR(__xludf.DUMMYFUNCTION("""COMPUTED_VALUE"""),"What Being a Google Premier Partner Really Means (And Why AdVisible Went to Google HQ)")</f>
        <v>What Being a Google Premier Partner Really Means (And Why AdVisible Went to Google HQ)</v>
      </c>
      <c r="C23" s="6" t="str">
        <f>IFERROR(__xludf.DUMMYFUNCTION("""COMPUTED_VALUE"""),"advisible.com.au")</f>
        <v>advisible.com.au</v>
      </c>
      <c r="D23" s="7" t="str">
        <f>IFERROR(__xludf.DUMMYFUNCTION("""COMPUTED_VALUE"""),"ARTICLE")</f>
        <v>ARTICLE</v>
      </c>
      <c r="E23" s="7" t="str">
        <f>IFERROR(__xludf.DUMMYFUNCTION("""COMPUTED_VALUE"""),"COMPETITOR")</f>
        <v>COMPETITOR</v>
      </c>
      <c r="F23" s="7" t="str">
        <f>IFERROR(__xludf.DUMMYFUNCTION("""COMPUTED_VALUE"""),"Article")</f>
        <v>Article</v>
      </c>
      <c r="G23" s="7" t="b">
        <f>IFERROR(__xludf.DUMMYFUNCTION("""COMPUTED_VALUE"""),FALSE)</f>
        <v>0</v>
      </c>
      <c r="H23" s="7" t="str">
        <f>IFERROR(__xludf.DUMMYFUNCTION("""COMPUTED_VALUE"""),"AdVisible, Measured")</f>
        <v>AdVisible, Measured</v>
      </c>
      <c r="I23" s="7">
        <f>IFERROR(__xludf.DUMMYFUNCTION("""COMPUTED_VALUE"""),3.0)</f>
        <v>3</v>
      </c>
      <c r="J23" s="7">
        <f>IFERROR(__xludf.DUMMYFUNCTION("""COMPUTED_VALUE"""),0.0)</f>
        <v>0</v>
      </c>
      <c r="K23" s="7">
        <f>IFERROR(__xludf.DUMMYFUNCTION("""COMPUTED_VALUE"""),0.0)</f>
        <v>0</v>
      </c>
    </row>
    <row r="24" ht="15.75" customHeight="1">
      <c r="A24" s="6" t="str">
        <f>IFERROR(__xludf.DUMMYFUNCTION("""COMPUTED_VALUE"""),"https://arxiv.org/abs/2604.16369")</f>
        <v>https://arxiv.org/abs/2604.16369</v>
      </c>
      <c r="B24" s="7" t="str">
        <f>IFERROR(__xludf.DUMMYFUNCTION("""COMPUTED_VALUE"""),"[2604.16369] Why AI Readiness Is an Organizational Learning Problem, Not a Technology Purchase")</f>
        <v>[2604.16369] Why AI Readiness Is an Organizational Learning Problem, Not a Technology Purchase</v>
      </c>
      <c r="C24" s="6" t="str">
        <f>IFERROR(__xludf.DUMMYFUNCTION("""COMPUTED_VALUE"""),"arxiv.org")</f>
        <v>arxiv.org</v>
      </c>
      <c r="D24" s="7" t="str">
        <f>IFERROR(__xludf.DUMMYFUNCTION("""COMPUTED_VALUE"""),"ARTICLE")</f>
        <v>ARTICLE</v>
      </c>
      <c r="E24" s="7" t="str">
        <f>IFERROR(__xludf.DUMMYFUNCTION("""COMPUTED_VALUE"""),"REFERENCE")</f>
        <v>REFERENCE</v>
      </c>
      <c r="F24" s="7" t="str">
        <f>IFERROR(__xludf.DUMMYFUNCTION("""COMPUTED_VALUE"""),"Article")</f>
        <v>Article</v>
      </c>
      <c r="G24" s="7" t="b">
        <f>IFERROR(__xludf.DUMMYFUNCTION("""COMPUTED_VALUE"""),FALSE)</f>
        <v>0</v>
      </c>
      <c r="H24" s="7"/>
      <c r="I24" s="7">
        <f>IFERROR(__xludf.DUMMYFUNCTION("""COMPUTED_VALUE"""),3.0)</f>
        <v>3</v>
      </c>
      <c r="J24" s="7">
        <f>IFERROR(__xludf.DUMMYFUNCTION("""COMPUTED_VALUE"""),0.0)</f>
        <v>0</v>
      </c>
      <c r="K24" s="7">
        <f>IFERROR(__xludf.DUMMYFUNCTION("""COMPUTED_VALUE"""),2.0)</f>
        <v>2</v>
      </c>
    </row>
    <row r="25" ht="15.75" customHeight="1">
      <c r="A25" s="6" t="str">
        <f>IFERROR(__xludf.DUMMYFUNCTION("""COMPUTED_VALUE"""),"https://www.businessinsider.com/ai-consulting-mckinsey-pwc-deloitte-bcg-kpmg-accenture-ey-ibm-2026-5")</f>
        <v>https://www.businessinsider.com/ai-consulting-mckinsey-pwc-deloitte-bcg-kpmg-accenture-ey-ibm-2026-5</v>
      </c>
      <c r="B25" s="7" t="str">
        <f>IFERROR(__xludf.DUMMYFUNCTION("""COMPUTED_VALUE"""),"How AI Is Upending the Consulting Industry - Business Insider")</f>
        <v>How AI Is Upending the Consulting Industry - Business Insider</v>
      </c>
      <c r="C25" s="6" t="str">
        <f>IFERROR(__xludf.DUMMYFUNCTION("""COMPUTED_VALUE"""),"businessinsider.com")</f>
        <v>businessinsider.com</v>
      </c>
      <c r="D25" s="7" t="str">
        <f>IFERROR(__xludf.DUMMYFUNCTION("""COMPUTED_VALUE"""),"ARTICLE")</f>
        <v>ARTICLE</v>
      </c>
      <c r="E25" s="7" t="str">
        <f>IFERROR(__xludf.DUMMYFUNCTION("""COMPUTED_VALUE"""),"EDITORIAL")</f>
        <v>EDITORIAL</v>
      </c>
      <c r="F25" s="7" t="str">
        <f>IFERROR(__xludf.DUMMYFUNCTION("""COMPUTED_VALUE"""),"Article")</f>
        <v>Article</v>
      </c>
      <c r="G25" s="7" t="b">
        <f>IFERROR(__xludf.DUMMYFUNCTION("""COMPUTED_VALUE"""),FALSE)</f>
        <v>0</v>
      </c>
      <c r="H25" s="7" t="str">
        <f>IFERROR(__xludf.DUMMYFUNCTION("""COMPUTED_VALUE"""),"Deloitte, KPMG, Measured")</f>
        <v>Deloitte, KPMG, Measured</v>
      </c>
      <c r="I25" s="7">
        <f>IFERROR(__xludf.DUMMYFUNCTION("""COMPUTED_VALUE"""),3.0)</f>
        <v>3</v>
      </c>
      <c r="J25" s="7">
        <f>IFERROR(__xludf.DUMMYFUNCTION("""COMPUTED_VALUE"""),0.0)</f>
        <v>0</v>
      </c>
      <c r="K25" s="7">
        <f>IFERROR(__xludf.DUMMYFUNCTION("""COMPUTED_VALUE"""),2.0)</f>
        <v>2</v>
      </c>
    </row>
    <row r="26" ht="15.75" customHeight="1">
      <c r="A26" s="6" t="str">
        <f>IFERROR(__xludf.DUMMYFUNCTION("""COMPUTED_VALUE"""),"https://digitalagencynetwork.com/google-reveals-in-marketing-we-trust-in-top-1-of-google-agency-partners-in-australia/")</f>
        <v>https://digitalagencynetwork.com/google-reveals-in-marketing-we-trust-in-top-1-of-google-agency-partners-in-australia/</v>
      </c>
      <c r="B26" s="7" t="str">
        <f>IFERROR(__xludf.DUMMYFUNCTION("""COMPUTED_VALUE"""),"In Marketing We Trust Agency \| Digital Agency Network")</f>
        <v>In Marketing We Trust Agency \| Digital Agency Network</v>
      </c>
      <c r="C26" s="6" t="str">
        <f>IFERROR(__xludf.DUMMYFUNCTION("""COMPUTED_VALUE"""),"digitalagencynetwork.com")</f>
        <v>digitalagencynetwork.com</v>
      </c>
      <c r="D26" s="7" t="str">
        <f>IFERROR(__xludf.DUMMYFUNCTION("""COMPUTED_VALUE"""),"ARTICLE")</f>
        <v>ARTICLE</v>
      </c>
      <c r="E26" s="7" t="str">
        <f>IFERROR(__xludf.DUMMYFUNCTION("""COMPUTED_VALUE"""),"REFERENCE")</f>
        <v>REFERENCE</v>
      </c>
      <c r="F26" s="7" t="str">
        <f>IFERROR(__xludf.DUMMYFUNCTION("""COMPUTED_VALUE"""),"Article")</f>
        <v>Article</v>
      </c>
      <c r="G26" s="7" t="b">
        <f>IFERROR(__xludf.DUMMYFUNCTION("""COMPUTED_VALUE"""),FALSE)</f>
        <v>0</v>
      </c>
      <c r="H26" s="7" t="str">
        <f>IFERROR(__xludf.DUMMYFUNCTION("""COMPUTED_VALUE"""),"In Marketing We Trust, Huge, HERO, Alpha Digital, The Monkeys")</f>
        <v>In Marketing We Trust, Huge, HERO, Alpha Digital, The Monkeys</v>
      </c>
      <c r="I26" s="7">
        <f>IFERROR(__xludf.DUMMYFUNCTION("""COMPUTED_VALUE"""),3.0)</f>
        <v>3</v>
      </c>
      <c r="J26" s="7">
        <f>IFERROR(__xludf.DUMMYFUNCTION("""COMPUTED_VALUE"""),0.0)</f>
        <v>0</v>
      </c>
      <c r="K26" s="7">
        <f>IFERROR(__xludf.DUMMYFUNCTION("""COMPUTED_VALUE"""),2.0)</f>
        <v>2</v>
      </c>
    </row>
    <row r="27" ht="15.75" customHeight="1">
      <c r="A27" s="6" t="str">
        <f>IFERROR(__xludf.DUMMYFUNCTION("""COMPUTED_VALUE"""),"https://iabaustralia.com.au/news/iab-australia-helps-marketers-set-the-scene-for-continuous-improvement-through-experimentation/")</f>
        <v>https://iabaustralia.com.au/news/iab-australia-helps-marketers-set-the-scene-for-continuous-improvement-through-experimentation/</v>
      </c>
      <c r="B27" s="7" t="str">
        <f>IFERROR(__xludf.DUMMYFUNCTION("""COMPUTED_VALUE"""),"IAB Australia: Driving Marketing Improvement Through Experimentation")</f>
        <v>IAB Australia: Driving Marketing Improvement Through Experimentation</v>
      </c>
      <c r="C27" s="6" t="str">
        <f>IFERROR(__xludf.DUMMYFUNCTION("""COMPUTED_VALUE"""),"iabaustralia.com.au")</f>
        <v>iabaustralia.com.au</v>
      </c>
      <c r="D27" s="7" t="str">
        <f>IFERROR(__xludf.DUMMYFUNCTION("""COMPUTED_VALUE"""),"ARTICLE")</f>
        <v>ARTICLE</v>
      </c>
      <c r="E27" s="7" t="str">
        <f>IFERROR(__xludf.DUMMYFUNCTION("""COMPUTED_VALUE"""),"INSTITUTIONAL")</f>
        <v>INSTITUTIONAL</v>
      </c>
      <c r="F27" s="7" t="str">
        <f>IFERROR(__xludf.DUMMYFUNCTION("""COMPUTED_VALUE"""),"Article")</f>
        <v>Article</v>
      </c>
      <c r="G27" s="7" t="b">
        <f>IFERROR(__xludf.DUMMYFUNCTION("""COMPUTED_VALUE"""),FALSE)</f>
        <v>0</v>
      </c>
      <c r="H27" s="7" t="str">
        <f>IFERROR(__xludf.DUMMYFUNCTION("""COMPUTED_VALUE"""),"Dentsu, Lifesight, Mutinex, PHD")</f>
        <v>Dentsu, Lifesight, Mutinex, PHD</v>
      </c>
      <c r="I27" s="7">
        <f>IFERROR(__xludf.DUMMYFUNCTION("""COMPUTED_VALUE"""),3.0)</f>
        <v>3</v>
      </c>
      <c r="J27" s="7">
        <f>IFERROR(__xludf.DUMMYFUNCTION("""COMPUTED_VALUE"""),0.0)</f>
        <v>0</v>
      </c>
      <c r="K27" s="7">
        <f>IFERROR(__xludf.DUMMYFUNCTION("""COMPUTED_VALUE"""),0.0)</f>
        <v>0</v>
      </c>
    </row>
    <row r="28" ht="15.75" customHeight="1">
      <c r="A28" s="6" t="str">
        <f>IFERROR(__xludf.DUMMYFUNCTION("""COMPUTED_VALUE"""),"https://kb.triplewhale.com/en/articles/12441418-incrementality")</f>
        <v>https://kb.triplewhale.com/en/articles/12441418-incrementality</v>
      </c>
      <c r="B28" s="7" t="str">
        <f>IFERROR(__xludf.DUMMYFUNCTION("""COMPUTED_VALUE"""),"Incrementality | Triple Whale Help Center")</f>
        <v>Incrementality | Triple Whale Help Center</v>
      </c>
      <c r="C28" s="6" t="str">
        <f>IFERROR(__xludf.DUMMYFUNCTION("""COMPUTED_VALUE"""),"triplewhale.com")</f>
        <v>triplewhale.com</v>
      </c>
      <c r="D28" s="7" t="str">
        <f>IFERROR(__xludf.DUMMYFUNCTION("""COMPUTED_VALUE"""),"ARTICLE")</f>
        <v>ARTICLE</v>
      </c>
      <c r="E28" s="7" t="str">
        <f>IFERROR(__xludf.DUMMYFUNCTION("""COMPUTED_VALUE"""),"CORPORATE")</f>
        <v>CORPORATE</v>
      </c>
      <c r="F28" s="7" t="str">
        <f>IFERROR(__xludf.DUMMYFUNCTION("""COMPUTED_VALUE"""),"Article")</f>
        <v>Article</v>
      </c>
      <c r="G28" s="7" t="b">
        <f>IFERROR(__xludf.DUMMYFUNCTION("""COMPUTED_VALUE"""),FALSE)</f>
        <v>0</v>
      </c>
      <c r="H28" s="7"/>
      <c r="I28" s="7">
        <f>IFERROR(__xludf.DUMMYFUNCTION("""COMPUTED_VALUE"""),3.0)</f>
        <v>3</v>
      </c>
      <c r="J28" s="7">
        <f>IFERROR(__xludf.DUMMYFUNCTION("""COMPUTED_VALUE"""),0.0)</f>
        <v>0</v>
      </c>
      <c r="K28" s="7">
        <f>IFERROR(__xludf.DUMMYFUNCTION("""COMPUTED_VALUE"""),1.0)</f>
        <v>1</v>
      </c>
    </row>
    <row r="29" ht="15.75" customHeight="1">
      <c r="A29" s="6" t="str">
        <f>IFERROR(__xludf.DUMMYFUNCTION("""COMPUTED_VALUE"""),"https://www.mediaweek.com.au/wpp-media-tops-recma-australia-rankings-2025/")</f>
        <v>https://www.mediaweek.com.au/wpp-media-tops-recma-australia-rankings-2025/</v>
      </c>
      <c r="B29" s="7" t="str">
        <f>IFERROR(__xludf.DUMMYFUNCTION("""COMPUTED_VALUE"""),"WPP Media tops RECMA Australia rankings 2025")</f>
        <v>WPP Media tops RECMA Australia rankings 2025</v>
      </c>
      <c r="C29" s="6" t="str">
        <f>IFERROR(__xludf.DUMMYFUNCTION("""COMPUTED_VALUE"""),"mediaweek.com.au")</f>
        <v>mediaweek.com.au</v>
      </c>
      <c r="D29" s="7" t="str">
        <f>IFERROR(__xludf.DUMMYFUNCTION("""COMPUTED_VALUE"""),"ARTICLE")</f>
        <v>ARTICLE</v>
      </c>
      <c r="E29" s="7" t="str">
        <f>IFERROR(__xludf.DUMMYFUNCTION("""COMPUTED_VALUE"""),"EDITORIAL")</f>
        <v>EDITORIAL</v>
      </c>
      <c r="F29" s="7" t="str">
        <f>IFERROR(__xludf.DUMMYFUNCTION("""COMPUTED_VALUE"""),"Article")</f>
        <v>Article</v>
      </c>
      <c r="G29" s="7" t="b">
        <f>IFERROR(__xludf.DUMMYFUNCTION("""COMPUTED_VALUE"""),FALSE)</f>
        <v>0</v>
      </c>
      <c r="H29" s="7" t="str">
        <f>IFERROR(__xludf.DUMMYFUNCTION("""COMPUTED_VALUE"""),"WPP, EssenceMediacom, Mindshare, Wavemaker, Momentum")</f>
        <v>WPP, EssenceMediacom, Mindshare, Wavemaker, Momentum</v>
      </c>
      <c r="I29" s="7">
        <f>IFERROR(__xludf.DUMMYFUNCTION("""COMPUTED_VALUE"""),3.0)</f>
        <v>3</v>
      </c>
      <c r="J29" s="7">
        <f>IFERROR(__xludf.DUMMYFUNCTION("""COMPUTED_VALUE"""),0.0)</f>
        <v>0</v>
      </c>
      <c r="K29" s="7">
        <f>IFERROR(__xludf.DUMMYFUNCTION("""COMPUTED_VALUE"""),0.67)</f>
        <v>0.67</v>
      </c>
    </row>
    <row r="30" ht="15.75" customHeight="1">
      <c r="A30" s="6" t="str">
        <f>IFERROR(__xludf.DUMMYFUNCTION("""COMPUTED_VALUE"""),"https://prwire.com.au/pr/127124/rankingco-rises-into-australia-s-top-3-of-google-partners-as-a-2026-premier-partner")</f>
        <v>https://prwire.com.au/pr/127124/rankingco-rises-into-australia-s-top-3-of-google-partners-as-a-2026-premier-partner</v>
      </c>
      <c r="B30" s="7" t="str">
        <f>IFERROR(__xludf.DUMMYFUNCTION("""COMPUTED_VALUE"""),"RankingCo rises into Australia’s top 3% of Google Partners as a 2026 Premier Partner")</f>
        <v>RankingCo rises into Australia’s top 3% of Google Partners as a 2026 Premier Partner</v>
      </c>
      <c r="C30" s="6" t="str">
        <f>IFERROR(__xludf.DUMMYFUNCTION("""COMPUTED_VALUE"""),"prwire.com.au")</f>
        <v>prwire.com.au</v>
      </c>
      <c r="D30" s="7" t="str">
        <f>IFERROR(__xludf.DUMMYFUNCTION("""COMPUTED_VALUE"""),"ARTICLE")</f>
        <v>ARTICLE</v>
      </c>
      <c r="E30" s="7" t="str">
        <f>IFERROR(__xludf.DUMMYFUNCTION("""COMPUTED_VALUE"""),"INSTITUTIONAL")</f>
        <v>INSTITUTIONAL</v>
      </c>
      <c r="F30" s="7" t="str">
        <f>IFERROR(__xludf.DUMMYFUNCTION("""COMPUTED_VALUE"""),"Article")</f>
        <v>Article</v>
      </c>
      <c r="G30" s="7" t="b">
        <f>IFERROR(__xludf.DUMMYFUNCTION("""COMPUTED_VALUE"""),FALSE)</f>
        <v>0</v>
      </c>
      <c r="H30" s="7" t="str">
        <f>IFERROR(__xludf.DUMMYFUNCTION("""COMPUTED_VALUE"""),"RankingCo")</f>
        <v>RankingCo</v>
      </c>
      <c r="I30" s="7">
        <f>IFERROR(__xludf.DUMMYFUNCTION("""COMPUTED_VALUE"""),3.0)</f>
        <v>3</v>
      </c>
      <c r="J30" s="7">
        <f>IFERROR(__xludf.DUMMYFUNCTION("""COMPUTED_VALUE"""),0.0)</f>
        <v>0</v>
      </c>
      <c r="K30" s="7">
        <f>IFERROR(__xludf.DUMMYFUNCTION("""COMPUTED_VALUE"""),0.0)</f>
        <v>0</v>
      </c>
    </row>
    <row r="31" ht="15.75" customHeight="1">
      <c r="A31" s="6" t="str">
        <f>IFERROR(__xludf.DUMMYFUNCTION("""COMPUTED_VALUE"""),"https://www.adnews.com.au/news/comvergence-omd-tops-australia-for-media-agency-billings-and-market-share")</f>
        <v>https://www.adnews.com.au/news/comvergence-omd-tops-australia-for-media-agency-billings-and-market-share</v>
      </c>
      <c r="B31" s="7" t="str">
        <f>IFERROR(__xludf.DUMMYFUNCTION("""COMPUTED_VALUE"""),"COMvergence:&amp;nbsp;OMD tops Australia for media agency billings and market share - AdNews")</f>
        <v>COMvergence:&amp;nbsp;OMD tops Australia for media agency billings and market share - AdNews</v>
      </c>
      <c r="C31" s="6" t="str">
        <f>IFERROR(__xludf.DUMMYFUNCTION("""COMPUTED_VALUE"""),"adnews.com.au")</f>
        <v>adnews.com.au</v>
      </c>
      <c r="D31" s="7" t="str">
        <f>IFERROR(__xludf.DUMMYFUNCTION("""COMPUTED_VALUE"""),"ARTICLE")</f>
        <v>ARTICLE</v>
      </c>
      <c r="E31" s="7" t="str">
        <f>IFERROR(__xludf.DUMMYFUNCTION("""COMPUTED_VALUE"""),"EDITORIAL")</f>
        <v>EDITORIAL</v>
      </c>
      <c r="F31" s="7" t="str">
        <f>IFERROR(__xludf.DUMMYFUNCTION("""COMPUTED_VALUE"""),"Article")</f>
        <v>Article</v>
      </c>
      <c r="G31" s="7" t="b">
        <f>IFERROR(__xludf.DUMMYFUNCTION("""COMPUTED_VALUE"""),FALSE)</f>
        <v>0</v>
      </c>
      <c r="H31" s="7" t="str">
        <f>IFERROR(__xludf.DUMMYFUNCTION("""COMPUTED_VALUE"""),"OMD, EssenceMediacom, Wavemaker, WPP, Omnicom Media Group, Publicis Media, Momentum")</f>
        <v>OMD, EssenceMediacom, Wavemaker, WPP, Omnicom Media Group, Publicis Media, Momentum</v>
      </c>
      <c r="I31" s="7">
        <f>IFERROR(__xludf.DUMMYFUNCTION("""COMPUTED_VALUE"""),2.0)</f>
        <v>2</v>
      </c>
      <c r="J31" s="7">
        <f>IFERROR(__xludf.DUMMYFUNCTION("""COMPUTED_VALUE"""),0.0)</f>
        <v>0</v>
      </c>
      <c r="K31" s="7">
        <f>IFERROR(__xludf.DUMMYFUNCTION("""COMPUTED_VALUE"""),1.5)</f>
        <v>1.5</v>
      </c>
    </row>
    <row r="32" ht="15.75" customHeight="1">
      <c r="A32" s="6" t="str">
        <f>IFERROR(__xludf.DUMMYFUNCTION("""COMPUTED_VALUE"""),"https://www.artd.com.au/our-projects/australian-trusted-trader-10-year-monitoring-and-evaluation-strategy/")</f>
        <v>https://www.artd.com.au/our-projects/australian-trusted-trader-10-year-monitoring-and-evaluation-strategy/</v>
      </c>
      <c r="B32" s="7" t="str">
        <f>IFERROR(__xludf.DUMMYFUNCTION("""COMPUTED_VALUE"""),"Australian Trusted Trader 10-year monitoring and evaluation strategy | ARTD")</f>
        <v>Australian Trusted Trader 10-year monitoring and evaluation strategy | ARTD</v>
      </c>
      <c r="C32" s="6" t="str">
        <f>IFERROR(__xludf.DUMMYFUNCTION("""COMPUTED_VALUE"""),"artd.com.au")</f>
        <v>artd.com.au</v>
      </c>
      <c r="D32" s="7" t="str">
        <f>IFERROR(__xludf.DUMMYFUNCTION("""COMPUTED_VALUE"""),"ARTICLE")</f>
        <v>ARTICLE</v>
      </c>
      <c r="E32" s="7" t="str">
        <f>IFERROR(__xludf.DUMMYFUNCTION("""COMPUTED_VALUE"""),"CORPORATE")</f>
        <v>CORPORATE</v>
      </c>
      <c r="F32" s="7" t="str">
        <f>IFERROR(__xludf.DUMMYFUNCTION("""COMPUTED_VALUE"""),"Article")</f>
        <v>Article</v>
      </c>
      <c r="G32" s="7" t="b">
        <f>IFERROR(__xludf.DUMMYFUNCTION("""COMPUTED_VALUE"""),FALSE)</f>
        <v>0</v>
      </c>
      <c r="H32" s="7"/>
      <c r="I32" s="7">
        <f>IFERROR(__xludf.DUMMYFUNCTION("""COMPUTED_VALUE"""),2.0)</f>
        <v>2</v>
      </c>
      <c r="J32" s="7">
        <f>IFERROR(__xludf.DUMMYFUNCTION("""COMPUTED_VALUE"""),0.0)</f>
        <v>0</v>
      </c>
      <c r="K32" s="7">
        <f>IFERROR(__xludf.DUMMYFUNCTION("""COMPUTED_VALUE"""),1.0)</f>
        <v>1</v>
      </c>
    </row>
    <row r="33" ht="15.75" customHeight="1">
      <c r="A33" s="6" t="str">
        <f>IFERROR(__xludf.DUMMYFUNCTION("""COMPUTED_VALUE"""),"https://www.brainlabsdigital.com/brainlabs-acquires-sparro-largest-independent-digital-media-agency-australia/")</f>
        <v>https://www.brainlabsdigital.com/brainlabs-acquires-sparro-largest-independent-digital-media-agency-australia/</v>
      </c>
      <c r="B33" s="7" t="str">
        <f>IFERROR(__xludf.DUMMYFUNCTION("""COMPUTED_VALUE"""),"Brainlabs acquires Sparro - Australia’s largest independent digital media agency")</f>
        <v>Brainlabs acquires Sparro - Australia’s largest independent digital media agency</v>
      </c>
      <c r="C33" s="6" t="str">
        <f>IFERROR(__xludf.DUMMYFUNCTION("""COMPUTED_VALUE"""),"brainlabsdigital.com")</f>
        <v>brainlabsdigital.com</v>
      </c>
      <c r="D33" s="7" t="str">
        <f>IFERROR(__xludf.DUMMYFUNCTION("""COMPUTED_VALUE"""),"ARTICLE")</f>
        <v>ARTICLE</v>
      </c>
      <c r="E33" s="7" t="str">
        <f>IFERROR(__xludf.DUMMYFUNCTION("""COMPUTED_VALUE"""),"COMPETITOR")</f>
        <v>COMPETITOR</v>
      </c>
      <c r="F33" s="7" t="str">
        <f>IFERROR(__xludf.DUMMYFUNCTION("""COMPUTED_VALUE"""),"Article")</f>
        <v>Article</v>
      </c>
      <c r="G33" s="7" t="b">
        <f>IFERROR(__xludf.DUMMYFUNCTION("""COMPUTED_VALUE"""),FALSE)</f>
        <v>0</v>
      </c>
      <c r="H33" s="7" t="str">
        <f>IFERROR(__xludf.DUMMYFUNCTION("""COMPUTED_VALUE"""),"Brainlabs, Sparro")</f>
        <v>Brainlabs, Sparro</v>
      </c>
      <c r="I33" s="7">
        <f>IFERROR(__xludf.DUMMYFUNCTION("""COMPUTED_VALUE"""),2.0)</f>
        <v>2</v>
      </c>
      <c r="J33" s="7">
        <f>IFERROR(__xludf.DUMMYFUNCTION("""COMPUTED_VALUE"""),0.0)</f>
        <v>0</v>
      </c>
      <c r="K33" s="7">
        <f>IFERROR(__xludf.DUMMYFUNCTION("""COMPUTED_VALUE"""),1.5)</f>
        <v>1.5</v>
      </c>
    </row>
    <row r="34" ht="15.75" customHeight="1">
      <c r="A34" s="6" t="str">
        <f>IFERROR(__xludf.DUMMYFUNCTION("""COMPUTED_VALUE"""),"https://distl.com.au/seo/generative-engine-optimisation/")</f>
        <v>https://distl.com.au/seo/generative-engine-optimisation/</v>
      </c>
      <c r="B34" s="7" t="str">
        <f>IFERROR(__xludf.DUMMYFUNCTION("""COMPUTED_VALUE"""),"AI SEO Perth | Generative Search Optimisation | Get Cited in ChatGPT &amp;amp; AI Overviews")</f>
        <v>AI SEO Perth | Generative Search Optimisation | Get Cited in ChatGPT &amp;amp; AI Overviews</v>
      </c>
      <c r="C34" s="6" t="str">
        <f>IFERROR(__xludf.DUMMYFUNCTION("""COMPUTED_VALUE"""),"distl.com.au")</f>
        <v>distl.com.au</v>
      </c>
      <c r="D34" s="7" t="str">
        <f>IFERROR(__xludf.DUMMYFUNCTION("""COMPUTED_VALUE"""),"ARTICLE")</f>
        <v>ARTICLE</v>
      </c>
      <c r="E34" s="7" t="str">
        <f>IFERROR(__xludf.DUMMYFUNCTION("""COMPUTED_VALUE"""),"CORPORATE")</f>
        <v>CORPORATE</v>
      </c>
      <c r="F34" s="7" t="str">
        <f>IFERROR(__xludf.DUMMYFUNCTION("""COMPUTED_VALUE"""),"Article")</f>
        <v>Article</v>
      </c>
      <c r="G34" s="7" t="b">
        <f>IFERROR(__xludf.DUMMYFUNCTION("""COMPUTED_VALUE"""),FALSE)</f>
        <v>0</v>
      </c>
      <c r="H34" s="7"/>
      <c r="I34" s="7">
        <f>IFERROR(__xludf.DUMMYFUNCTION("""COMPUTED_VALUE"""),2.0)</f>
        <v>2</v>
      </c>
      <c r="J34" s="7">
        <f>IFERROR(__xludf.DUMMYFUNCTION("""COMPUTED_VALUE"""),0.0)</f>
        <v>0</v>
      </c>
      <c r="K34" s="7">
        <f>IFERROR(__xludf.DUMMYFUNCTION("""COMPUTED_VALUE"""),2.0)</f>
        <v>2</v>
      </c>
    </row>
    <row r="35" ht="15.75" customHeight="1">
      <c r="A35" s="6" t="str">
        <f>IFERROR(__xludf.DUMMYFUNCTION("""COMPUTED_VALUE"""),"https://www.iabaustralia.com.au/news/iab-australia-releases-mmm-landscape-report-and-marketers-checklist/")</f>
        <v>https://www.iabaustralia.com.au/news/iab-australia-releases-mmm-landscape-report-and-marketers-checklist/</v>
      </c>
      <c r="B35" s="7" t="str">
        <f>IFERROR(__xludf.DUMMYFUNCTION("""COMPUTED_VALUE"""),"IAB Australia releases MMM Landscape Report and marketers' c")</f>
        <v>IAB Australia releases MMM Landscape Report and marketers' c</v>
      </c>
      <c r="C35" s="6" t="str">
        <f>IFERROR(__xludf.DUMMYFUNCTION("""COMPUTED_VALUE"""),"iabaustralia.com.au")</f>
        <v>iabaustralia.com.au</v>
      </c>
      <c r="D35" s="7" t="str">
        <f>IFERROR(__xludf.DUMMYFUNCTION("""COMPUTED_VALUE"""),"ARTICLE")</f>
        <v>ARTICLE</v>
      </c>
      <c r="E35" s="7" t="str">
        <f>IFERROR(__xludf.DUMMYFUNCTION("""COMPUTED_VALUE"""),"INSTITUTIONAL")</f>
        <v>INSTITUTIONAL</v>
      </c>
      <c r="F35" s="7" t="str">
        <f>IFERROR(__xludf.DUMMYFUNCTION("""COMPUTED_VALUE"""),"Article")</f>
        <v>Article</v>
      </c>
      <c r="G35" s="7" t="b">
        <f>IFERROR(__xludf.DUMMYFUNCTION("""COMPUTED_VALUE"""),FALSE)</f>
        <v>0</v>
      </c>
      <c r="H35" s="7" t="str">
        <f>IFERROR(__xludf.DUMMYFUNCTION("""COMPUTED_VALUE"""),"Dentsu, Lifesight, Mutinex, WPP")</f>
        <v>Dentsu, Lifesight, Mutinex, WPP</v>
      </c>
      <c r="I35" s="7">
        <f>IFERROR(__xludf.DUMMYFUNCTION("""COMPUTED_VALUE"""),2.0)</f>
        <v>2</v>
      </c>
      <c r="J35" s="7">
        <f>IFERROR(__xludf.DUMMYFUNCTION("""COMPUTED_VALUE"""),0.0)</f>
        <v>0</v>
      </c>
      <c r="K35" s="7">
        <f>IFERROR(__xludf.DUMMYFUNCTION("""COMPUTED_VALUE"""),1.5)</f>
        <v>1.5</v>
      </c>
    </row>
    <row r="36" ht="15.75" customHeight="1">
      <c r="A36" s="6" t="str">
        <f>IFERROR(__xludf.DUMMYFUNCTION("""COMPUTED_VALUE"""),"https://www.itpro.com/business/business-strategy/ai-projects-are-stalling-at-mid-market-firms-google-cloud-and-accenture-want-to-solve-that")</f>
        <v>https://www.itpro.com/business/business-strategy/ai-projects-are-stalling-at-mid-market-firms-google-cloud-and-accenture-want-to-solve-that</v>
      </c>
      <c r="B36" s="7" t="str">
        <f>IFERROR(__xludf.DUMMYFUNCTION("""COMPUTED_VALUE"""),"AI projects are stalling at mid-market firms – Google Cloud and Accenture want to solve that | IT Pro")</f>
        <v>AI projects are stalling at mid-market firms – Google Cloud and Accenture want to solve that | IT Pro</v>
      </c>
      <c r="C36" s="6" t="str">
        <f>IFERROR(__xludf.DUMMYFUNCTION("""COMPUTED_VALUE"""),"itpro.com")</f>
        <v>itpro.com</v>
      </c>
      <c r="D36" s="7" t="str">
        <f>IFERROR(__xludf.DUMMYFUNCTION("""COMPUTED_VALUE"""),"ARTICLE")</f>
        <v>ARTICLE</v>
      </c>
      <c r="E36" s="7" t="str">
        <f>IFERROR(__xludf.DUMMYFUNCTION("""COMPUTED_VALUE"""),"EDITORIAL")</f>
        <v>EDITORIAL</v>
      </c>
      <c r="F36" s="7" t="str">
        <f>IFERROR(__xludf.DUMMYFUNCTION("""COMPUTED_VALUE"""),"Article")</f>
        <v>Article</v>
      </c>
      <c r="G36" s="7" t="b">
        <f>IFERROR(__xludf.DUMMYFUNCTION("""COMPUTED_VALUE"""),FALSE)</f>
        <v>0</v>
      </c>
      <c r="H36" s="7"/>
      <c r="I36" s="7">
        <f>IFERROR(__xludf.DUMMYFUNCTION("""COMPUTED_VALUE"""),2.0)</f>
        <v>2</v>
      </c>
      <c r="J36" s="7">
        <f>IFERROR(__xludf.DUMMYFUNCTION("""COMPUTED_VALUE"""),0.0)</f>
        <v>0</v>
      </c>
      <c r="K36" s="7">
        <f>IFERROR(__xludf.DUMMYFUNCTION("""COMPUTED_VALUE"""),2.0)</f>
        <v>2</v>
      </c>
    </row>
    <row r="37" ht="15.75" customHeight="1">
      <c r="A37" s="6" t="str">
        <f>IFERROR(__xludf.DUMMYFUNCTION("""COMPUTED_VALUE"""),"https://www.marketingsystems.com.au/blog/incrementality-testing-gold-standard-measuring-marketing-impact")</f>
        <v>https://www.marketingsystems.com.au/blog/incrementality-testing-gold-standard-measuring-marketing-impact</v>
      </c>
      <c r="B37" s="7" t="str">
        <f>IFERROR(__xludf.DUMMYFUNCTION("""COMPUTED_VALUE"""),"Incrementality Testing for Marketing Impact")</f>
        <v>Incrementality Testing for Marketing Impact</v>
      </c>
      <c r="C37" s="6" t="str">
        <f>IFERROR(__xludf.DUMMYFUNCTION("""COMPUTED_VALUE"""),"marketingsystems.com.au")</f>
        <v>marketingsystems.com.au</v>
      </c>
      <c r="D37" s="7" t="str">
        <f>IFERROR(__xludf.DUMMYFUNCTION("""COMPUTED_VALUE"""),"ARTICLE")</f>
        <v>ARTICLE</v>
      </c>
      <c r="E37" s="7" t="str">
        <f>IFERROR(__xludf.DUMMYFUNCTION("""COMPUTED_VALUE"""),"CORPORATE")</f>
        <v>CORPORATE</v>
      </c>
      <c r="F37" s="7" t="str">
        <f>IFERROR(__xludf.DUMMYFUNCTION("""COMPUTED_VALUE"""),"Article")</f>
        <v>Article</v>
      </c>
      <c r="G37" s="7" t="b">
        <f>IFERROR(__xludf.DUMMYFUNCTION("""COMPUTED_VALUE"""),FALSE)</f>
        <v>0</v>
      </c>
      <c r="H37" s="7"/>
      <c r="I37" s="7">
        <f>IFERROR(__xludf.DUMMYFUNCTION("""COMPUTED_VALUE"""),2.0)</f>
        <v>2</v>
      </c>
      <c r="J37" s="7">
        <f>IFERROR(__xludf.DUMMYFUNCTION("""COMPUTED_VALUE"""),0.0)</f>
        <v>0</v>
      </c>
      <c r="K37" s="7">
        <f>IFERROR(__xludf.DUMMYFUNCTION("""COMPUTED_VALUE"""),1.5)</f>
        <v>1.5</v>
      </c>
    </row>
    <row r="38" ht="15.75" customHeight="1">
      <c r="A38" s="6" t="str">
        <f>IFERROR(__xludf.DUMMYFUNCTION("""COMPUTED_VALUE"""),"https://paramark.com.au/articles/seo-cost-australia/")</f>
        <v>https://paramark.com.au/articles/seo-cost-australia/</v>
      </c>
      <c r="B38" s="7" t="str">
        <f>IFERROR(__xludf.DUMMYFUNCTION("""COMPUTED_VALUE"""),"How much does SEO cost in Australia in 2026? | Paramark")</f>
        <v>How much does SEO cost in Australia in 2026? | Paramark</v>
      </c>
      <c r="C38" s="6" t="str">
        <f>IFERROR(__xludf.DUMMYFUNCTION("""COMPUTED_VALUE"""),"paramark.com.au")</f>
        <v>paramark.com.au</v>
      </c>
      <c r="D38" s="7" t="str">
        <f>IFERROR(__xludf.DUMMYFUNCTION("""COMPUTED_VALUE"""),"ARTICLE")</f>
        <v>ARTICLE</v>
      </c>
      <c r="E38" s="7" t="str">
        <f>IFERROR(__xludf.DUMMYFUNCTION("""COMPUTED_VALUE"""),"CORPORATE")</f>
        <v>CORPORATE</v>
      </c>
      <c r="F38" s="7" t="str">
        <f>IFERROR(__xludf.DUMMYFUNCTION("""COMPUTED_VALUE"""),"Article")</f>
        <v>Article</v>
      </c>
      <c r="G38" s="7" t="b">
        <f>IFERROR(__xludf.DUMMYFUNCTION("""COMPUTED_VALUE"""),FALSE)</f>
        <v>0</v>
      </c>
      <c r="H38" s="7" t="str">
        <f>IFERROR(__xludf.DUMMYFUNCTION("""COMPUTED_VALUE"""),"First Page, Earned Media")</f>
        <v>First Page, Earned Media</v>
      </c>
      <c r="I38" s="7">
        <f>IFERROR(__xludf.DUMMYFUNCTION("""COMPUTED_VALUE"""),2.0)</f>
        <v>2</v>
      </c>
      <c r="J38" s="7">
        <f>IFERROR(__xludf.DUMMYFUNCTION("""COMPUTED_VALUE"""),0.0)</f>
        <v>0</v>
      </c>
      <c r="K38" s="7">
        <f>IFERROR(__xludf.DUMMYFUNCTION("""COMPUTED_VALUE"""),1.0)</f>
        <v>1</v>
      </c>
    </row>
    <row r="39" ht="15.75" customHeight="1">
      <c r="A39" s="6" t="str">
        <f>IFERROR(__xludf.DUMMYFUNCTION("""COMPUTED_VALUE"""),"https://www.techradar.com/pro/hubspot-increased-leads-by-1850-percent-and-we-asked-them-how-the-aeo-playbook")</f>
        <v>https://www.techradar.com/pro/hubspot-increased-leads-by-1850-percent-and-we-asked-them-how-the-aeo-playbook</v>
      </c>
      <c r="B39" s="7" t="str">
        <f>IFERROR(__xludf.DUMMYFUNCTION("""COMPUTED_VALUE"""),"HubSpot increased leads by 1850%, and we asked them how: The AEO playbook | TechRadar")</f>
        <v>HubSpot increased leads by 1850%, and we asked them how: The AEO playbook | TechRadar</v>
      </c>
      <c r="C39" s="6" t="str">
        <f>IFERROR(__xludf.DUMMYFUNCTION("""COMPUTED_VALUE"""),"techradar.com")</f>
        <v>techradar.com</v>
      </c>
      <c r="D39" s="7" t="str">
        <f>IFERROR(__xludf.DUMMYFUNCTION("""COMPUTED_VALUE"""),"ARTICLE")</f>
        <v>ARTICLE</v>
      </c>
      <c r="E39" s="7" t="str">
        <f>IFERROR(__xludf.DUMMYFUNCTION("""COMPUTED_VALUE"""),"EDITORIAL")</f>
        <v>EDITORIAL</v>
      </c>
      <c r="F39" s="7" t="str">
        <f>IFERROR(__xludf.DUMMYFUNCTION("""COMPUTED_VALUE"""),"Article")</f>
        <v>Article</v>
      </c>
      <c r="G39" s="7" t="b">
        <f>IFERROR(__xludf.DUMMYFUNCTION("""COMPUTED_VALUE"""),FALSE)</f>
        <v>0</v>
      </c>
      <c r="H39" s="7"/>
      <c r="I39" s="7">
        <f>IFERROR(__xludf.DUMMYFUNCTION("""COMPUTED_VALUE"""),2.0)</f>
        <v>2</v>
      </c>
      <c r="J39" s="7">
        <f>IFERROR(__xludf.DUMMYFUNCTION("""COMPUTED_VALUE"""),0.0)</f>
        <v>0</v>
      </c>
      <c r="K39" s="7">
        <f>IFERROR(__xludf.DUMMYFUNCTION("""COMPUTED_VALUE"""),1.5)</f>
        <v>1.5</v>
      </c>
    </row>
    <row r="40" ht="15.75" customHeight="1">
      <c r="A40" s="6" t="str">
        <f>IFERROR(__xludf.DUMMYFUNCTION("""COMPUTED_VALUE"""),"https://www.theaustralian.com.au/business/growth-agenda/accenture-song-targets-media-agencies-in-move-to-full-service-agency/news-story/375b942d4fa210237d0f10a227265b8f")</f>
        <v>https://www.theaustralian.com.au/business/growth-agenda/accenture-song-targets-media-agencies-in-move-to-full-service-agency/news-story/375b942d4fa210237d0f10a227265b8f</v>
      </c>
      <c r="B40" s="7" t="str">
        <f>IFERROR(__xludf.DUMMYFUNCTION("""COMPUTED_VALUE"""),"Accenture Song targets media agencies in ambitious move to full service \| The Australian")</f>
        <v>Accenture Song targets media agencies in ambitious move to full service \| The Australian</v>
      </c>
      <c r="C40" s="6" t="str">
        <f>IFERROR(__xludf.DUMMYFUNCTION("""COMPUTED_VALUE"""),"theaustralian.com.au")</f>
        <v>theaustralian.com.au</v>
      </c>
      <c r="D40" s="7" t="str">
        <f>IFERROR(__xludf.DUMMYFUNCTION("""COMPUTED_VALUE"""),"ARTICLE")</f>
        <v>ARTICLE</v>
      </c>
      <c r="E40" s="7" t="str">
        <f>IFERROR(__xludf.DUMMYFUNCTION("""COMPUTED_VALUE"""),"EDITORIAL")</f>
        <v>EDITORIAL</v>
      </c>
      <c r="F40" s="7" t="str">
        <f>IFERROR(__xludf.DUMMYFUNCTION("""COMPUTED_VALUE"""),"Article")</f>
        <v>Article</v>
      </c>
      <c r="G40" s="7" t="b">
        <f>IFERROR(__xludf.DUMMYFUNCTION("""COMPUTED_VALUE"""),FALSE)</f>
        <v>0</v>
      </c>
      <c r="H40" s="7" t="str">
        <f>IFERROR(__xludf.DUMMYFUNCTION("""COMPUTED_VALUE"""),"Accenture Song, Momentum, Publicis Groupe, KPMG, Deloitte, The Monkeys")</f>
        <v>Accenture Song, Momentum, Publicis Groupe, KPMG, Deloitte, The Monkeys</v>
      </c>
      <c r="I40" s="7">
        <f>IFERROR(__xludf.DUMMYFUNCTION("""COMPUTED_VALUE"""),2.0)</f>
        <v>2</v>
      </c>
      <c r="J40" s="7">
        <f>IFERROR(__xludf.DUMMYFUNCTION("""COMPUTED_VALUE"""),0.0)</f>
        <v>0</v>
      </c>
      <c r="K40" s="7">
        <f>IFERROR(__xludf.DUMMYFUNCTION("""COMPUTED_VALUE"""),2.0)</f>
        <v>2</v>
      </c>
    </row>
    <row r="41" ht="15.75" customHeight="1">
      <c r="A41" s="6" t="str">
        <f>IFERROR(__xludf.DUMMYFUNCTION("""COMPUTED_VALUE"""),"https://www.theaustralian.com.au/business/growth-agenda/us-tech-challenger-tackles-marketings-big-attribution-problem/news-story/fdf53a9daba98edcceb53edf3adc1ea5")</f>
        <v>https://www.theaustralian.com.au/business/growth-agenda/us-tech-challenger-tackles-marketings-big-attribution-problem/news-story/fdf53a9daba98edcceb53edf3adc1ea5</v>
      </c>
      <c r="B41" s="7" t="str">
        <f>IFERROR(__xludf.DUMMYFUNCTION("""COMPUTED_VALUE"""),"Subscribe to The Australian \| Newspaper home delivery, website, iPad, iPhone &amp; Android apps")</f>
        <v>Subscribe to The Australian \| Newspaper home delivery, website, iPad, iPhone &amp; Android apps</v>
      </c>
      <c r="C41" s="6" t="str">
        <f>IFERROR(__xludf.DUMMYFUNCTION("""COMPUTED_VALUE"""),"theaustralian.com.au")</f>
        <v>theaustralian.com.au</v>
      </c>
      <c r="D41" s="7" t="str">
        <f>IFERROR(__xludf.DUMMYFUNCTION("""COMPUTED_VALUE"""),"ARTICLE")</f>
        <v>ARTICLE</v>
      </c>
      <c r="E41" s="7" t="str">
        <f>IFERROR(__xludf.DUMMYFUNCTION("""COMPUTED_VALUE"""),"EDITORIAL")</f>
        <v>EDITORIAL</v>
      </c>
      <c r="F41" s="7" t="str">
        <f>IFERROR(__xludf.DUMMYFUNCTION("""COMPUTED_VALUE"""),"Article")</f>
        <v>Article</v>
      </c>
      <c r="G41" s="7" t="b">
        <f>IFERROR(__xludf.DUMMYFUNCTION("""COMPUTED_VALUE"""),FALSE)</f>
        <v>0</v>
      </c>
      <c r="H41" s="7"/>
      <c r="I41" s="7">
        <f>IFERROR(__xludf.DUMMYFUNCTION("""COMPUTED_VALUE"""),2.0)</f>
        <v>2</v>
      </c>
      <c r="J41" s="7">
        <f>IFERROR(__xludf.DUMMYFUNCTION("""COMPUTED_VALUE"""),0.0)</f>
        <v>0</v>
      </c>
      <c r="K41" s="7">
        <f>IFERROR(__xludf.DUMMYFUNCTION("""COMPUTED_VALUE"""),2.0)</f>
        <v>2</v>
      </c>
    </row>
    <row r="42" ht="15.75" customHeight="1">
      <c r="A42" s="6" t="str">
        <f>IFERROR(__xludf.DUMMYFUNCTION("""COMPUTED_VALUE"""),"https://www.theaustralian.com.au/business/leadership/abused-and-misunderstood-why-this-ceo-offers-her-staff-autism-and-adhd-tests/news-story/c3157f767ce6b443baee0e882fc89559")</f>
        <v>https://www.theaustralian.com.au/business/leadership/abused-and-misunderstood-why-this-ceo-offers-her-staff-autism-and-adhd-tests/news-story/c3157f767ce6b443baee0e882fc89559</v>
      </c>
      <c r="B42" s="7" t="str">
        <f>IFERROR(__xludf.DUMMYFUNCTION("""COMPUTED_VALUE"""),"Subscribe to The Australian \| Newspaper home delivery, website, iPad, iPhone &amp; Android apps")</f>
        <v>Subscribe to The Australian \| Newspaper home delivery, website, iPad, iPhone &amp; Android apps</v>
      </c>
      <c r="C42" s="6" t="str">
        <f>IFERROR(__xludf.DUMMYFUNCTION("""COMPUTED_VALUE"""),"theaustralian.com.au")</f>
        <v>theaustralian.com.au</v>
      </c>
      <c r="D42" s="7" t="str">
        <f>IFERROR(__xludf.DUMMYFUNCTION("""COMPUTED_VALUE"""),"ARTICLE")</f>
        <v>ARTICLE</v>
      </c>
      <c r="E42" s="7" t="str">
        <f>IFERROR(__xludf.DUMMYFUNCTION("""COMPUTED_VALUE"""),"EDITORIAL")</f>
        <v>EDITORIAL</v>
      </c>
      <c r="F42" s="7" t="str">
        <f>IFERROR(__xludf.DUMMYFUNCTION("""COMPUTED_VALUE"""),"Article")</f>
        <v>Article</v>
      </c>
      <c r="G42" s="7" t="b">
        <f>IFERROR(__xludf.DUMMYFUNCTION("""COMPUTED_VALUE"""),FALSE)</f>
        <v>0</v>
      </c>
      <c r="H42" s="7"/>
      <c r="I42" s="7">
        <f>IFERROR(__xludf.DUMMYFUNCTION("""COMPUTED_VALUE"""),2.0)</f>
        <v>2</v>
      </c>
      <c r="J42" s="7">
        <f>IFERROR(__xludf.DUMMYFUNCTION("""COMPUTED_VALUE"""),0.0)</f>
        <v>0</v>
      </c>
      <c r="K42" s="7">
        <f>IFERROR(__xludf.DUMMYFUNCTION("""COMPUTED_VALUE"""),2.0)</f>
        <v>2</v>
      </c>
    </row>
    <row r="43" ht="15.75" customHeight="1">
      <c r="A43" s="6" t="str">
        <f>IFERROR(__xludf.DUMMYFUNCTION("""COMPUTED_VALUE"""),"https://www.wsj.com/business/earnings/publicis-raises-guidance-citing-new-business-wins-ad4f0d98")</f>
        <v>https://www.wsj.com/business/earnings/publicis-raises-guidance-citing-new-business-wins-ad4f0d98</v>
      </c>
      <c r="B43" s="7" t="str">
        <f>IFERROR(__xludf.DUMMYFUNCTION("""COMPUTED_VALUE"""),"Publicis Raises Guidance, Citing New Business Wins - WSJ")</f>
        <v>Publicis Raises Guidance, Citing New Business Wins - WSJ</v>
      </c>
      <c r="C43" s="6" t="str">
        <f>IFERROR(__xludf.DUMMYFUNCTION("""COMPUTED_VALUE"""),"wsj.com")</f>
        <v>wsj.com</v>
      </c>
      <c r="D43" s="7" t="str">
        <f>IFERROR(__xludf.DUMMYFUNCTION("""COMPUTED_VALUE"""),"ARTICLE")</f>
        <v>ARTICLE</v>
      </c>
      <c r="E43" s="7" t="str">
        <f>IFERROR(__xludf.DUMMYFUNCTION("""COMPUTED_VALUE"""),"EDITORIAL")</f>
        <v>EDITORIAL</v>
      </c>
      <c r="F43" s="7" t="str">
        <f>IFERROR(__xludf.DUMMYFUNCTION("""COMPUTED_VALUE"""),"Article")</f>
        <v>Article</v>
      </c>
      <c r="G43" s="7" t="b">
        <f>IFERROR(__xludf.DUMMYFUNCTION("""COMPUTED_VALUE"""),FALSE)</f>
        <v>0</v>
      </c>
      <c r="H43" s="7" t="str">
        <f>IFERROR(__xludf.DUMMYFUNCTION("""COMPUTED_VALUE"""),"Publicis Groupe, Momentum")</f>
        <v>Publicis Groupe, Momentum</v>
      </c>
      <c r="I43" s="7">
        <f>IFERROR(__xludf.DUMMYFUNCTION("""COMPUTED_VALUE"""),2.0)</f>
        <v>2</v>
      </c>
      <c r="J43" s="7">
        <f>IFERROR(__xludf.DUMMYFUNCTION("""COMPUTED_VALUE"""),0.0)</f>
        <v>0</v>
      </c>
      <c r="K43" s="7">
        <f>IFERROR(__xludf.DUMMYFUNCTION("""COMPUTED_VALUE"""),2.0)</f>
        <v>2</v>
      </c>
    </row>
    <row r="44" ht="15.75" customHeight="1">
      <c r="A44" s="6" t="str">
        <f>IFERROR(__xludf.DUMMYFUNCTION("""COMPUTED_VALUE"""),"https://www.youtube.com/watch?v=Mggba8bAXVU")</f>
        <v>https://www.youtube.com/watch?v=Mggba8bAXVU</v>
      </c>
      <c r="B44" s="7" t="str">
        <f>IFERROR(__xludf.DUMMYFUNCTION("""COMPUTED_VALUE"""),"How Australia's Top SEO Agency Is Ranking Clients in ChatGPT | James Norquay")</f>
        <v>How Australia's Top SEO Agency Is Ranking Clients in ChatGPT | James Norquay</v>
      </c>
      <c r="C44" s="6" t="str">
        <f>IFERROR(__xludf.DUMMYFUNCTION("""COMPUTED_VALUE"""),"youtube.com")</f>
        <v>youtube.com</v>
      </c>
      <c r="D44" s="7" t="str">
        <f>IFERROR(__xludf.DUMMYFUNCTION("""COMPUTED_VALUE"""),"ARTICLE")</f>
        <v>ARTICLE</v>
      </c>
      <c r="E44" s="7" t="str">
        <f>IFERROR(__xludf.DUMMYFUNCTION("""COMPUTED_VALUE"""),"UGC")</f>
        <v>UGC</v>
      </c>
      <c r="F44" s="7" t="str">
        <f>IFERROR(__xludf.DUMMYFUNCTION("""COMPUTED_VALUE"""),"Article")</f>
        <v>Article</v>
      </c>
      <c r="G44" s="7" t="b">
        <f>IFERROR(__xludf.DUMMYFUNCTION("""COMPUTED_VALUE"""),FALSE)</f>
        <v>0</v>
      </c>
      <c r="H44" s="7" t="str">
        <f>IFERROR(__xludf.DUMMYFUNCTION("""COMPUTED_VALUE"""),"Prosperity Media, Huge, HERO")</f>
        <v>Prosperity Media, Huge, HERO</v>
      </c>
      <c r="I44" s="7">
        <f>IFERROR(__xludf.DUMMYFUNCTION("""COMPUTED_VALUE"""),2.0)</f>
        <v>2</v>
      </c>
      <c r="J44" s="7">
        <f>IFERROR(__xludf.DUMMYFUNCTION("""COMPUTED_VALUE"""),0.0)</f>
        <v>0</v>
      </c>
      <c r="K44" s="7">
        <f>IFERROR(__xludf.DUMMYFUNCTION("""COMPUTED_VALUE"""),1.5)</f>
        <v>1.5</v>
      </c>
    </row>
    <row r="45" ht="15.75" customHeight="1">
      <c r="A45" s="6" t="str">
        <f>IFERROR(__xludf.DUMMYFUNCTION("""COMPUTED_VALUE"""),"https://aana.com.au/metrics-that-matter-how-to-power-marketing-conversations-with-the-c-suite/#:~:text=In%20your%20view%2C%20how%20will%20MMM%20evolve,death%20of%20the%20cookie%20shouldn't%20alarm%20marketers.")</f>
        <v>https://aana.com.au/metrics-that-matter-how-to-power-marketing-conversations-with-the-c-suite/#:~:text=In%20your%20view%2C%20how%20will%20MMM%20evolve,death%20of%20the%20cookie%20shouldn't%20alarm%20marketers.</v>
      </c>
      <c r="B45" s="7" t="str">
        <f>IFERROR(__xludf.DUMMYFUNCTION("""COMPUTED_VALUE"""),"Metrics that Matter: how to power marketing conversations with the C-Suite – AANA")</f>
        <v>Metrics that Matter: how to power marketing conversations with the C-Suite – AANA</v>
      </c>
      <c r="C45" s="6" t="str">
        <f>IFERROR(__xludf.DUMMYFUNCTION("""COMPUTED_VALUE"""),"aana.com.au")</f>
        <v>aana.com.au</v>
      </c>
      <c r="D45" s="7" t="str">
        <f>IFERROR(__xludf.DUMMYFUNCTION("""COMPUTED_VALUE"""),"ARTICLE")</f>
        <v>ARTICLE</v>
      </c>
      <c r="E45" s="7" t="str">
        <f>IFERROR(__xludf.DUMMYFUNCTION("""COMPUTED_VALUE"""),"INSTITUTIONAL")</f>
        <v>INSTITUTIONAL</v>
      </c>
      <c r="F45" s="7" t="str">
        <f>IFERROR(__xludf.DUMMYFUNCTION("""COMPUTED_VALUE"""),"Article")</f>
        <v>Article</v>
      </c>
      <c r="G45" s="7" t="b">
        <f>IFERROR(__xludf.DUMMYFUNCTION("""COMPUTED_VALUE"""),FALSE)</f>
        <v>0</v>
      </c>
      <c r="H45" s="7" t="str">
        <f>IFERROR(__xludf.DUMMYFUNCTION("""COMPUTED_VALUE"""),"Mutinex")</f>
        <v>Mutinex</v>
      </c>
      <c r="I45" s="7">
        <f>IFERROR(__xludf.DUMMYFUNCTION("""COMPUTED_VALUE"""),1.0)</f>
        <v>1</v>
      </c>
      <c r="J45" s="7">
        <f>IFERROR(__xludf.DUMMYFUNCTION("""COMPUTED_VALUE"""),0.0)</f>
        <v>0</v>
      </c>
      <c r="K45" s="7">
        <f>IFERROR(__xludf.DUMMYFUNCTION("""COMPUTED_VALUE"""),2.0)</f>
        <v>2</v>
      </c>
    </row>
    <row r="46" ht="15.75" customHeight="1">
      <c r="A46" s="6" t="str">
        <f>IFERROR(__xludf.DUMMYFUNCTION("""COMPUTED_VALUE"""),"https://www.adnews.com.au/news/coca-cola-launches-global-media-review")</f>
        <v>https://www.adnews.com.au/news/coca-cola-launches-global-media-review</v>
      </c>
      <c r="B46" s="7" t="str">
        <f>IFERROR(__xludf.DUMMYFUNCTION("""COMPUTED_VALUE"""),"Coca-Cola launches global media review - AdNews")</f>
        <v>Coca-Cola launches global media review - AdNews</v>
      </c>
      <c r="C46" s="6" t="str">
        <f>IFERROR(__xludf.DUMMYFUNCTION("""COMPUTED_VALUE"""),"adnews.com.au")</f>
        <v>adnews.com.au</v>
      </c>
      <c r="D46" s="7" t="str">
        <f>IFERROR(__xludf.DUMMYFUNCTION("""COMPUTED_VALUE"""),"ARTICLE")</f>
        <v>ARTICLE</v>
      </c>
      <c r="E46" s="7" t="str">
        <f>IFERROR(__xludf.DUMMYFUNCTION("""COMPUTED_VALUE"""),"EDITORIAL")</f>
        <v>EDITORIAL</v>
      </c>
      <c r="F46" s="7" t="str">
        <f>IFERROR(__xludf.DUMMYFUNCTION("""COMPUTED_VALUE"""),"Article")</f>
        <v>Article</v>
      </c>
      <c r="G46" s="7" t="b">
        <f>IFERROR(__xludf.DUMMYFUNCTION("""COMPUTED_VALUE"""),FALSE)</f>
        <v>0</v>
      </c>
      <c r="H46" s="7" t="str">
        <f>IFERROR(__xludf.DUMMYFUNCTION("""COMPUTED_VALUE"""),"WPP, Publicis Groupe, Dentsu, EssenceMediacom")</f>
        <v>WPP, Publicis Groupe, Dentsu, EssenceMediacom</v>
      </c>
      <c r="I46" s="7">
        <f>IFERROR(__xludf.DUMMYFUNCTION("""COMPUTED_VALUE"""),1.0)</f>
        <v>1</v>
      </c>
      <c r="J46" s="7">
        <f>IFERROR(__xludf.DUMMYFUNCTION("""COMPUTED_VALUE"""),0.0)</f>
        <v>0</v>
      </c>
      <c r="K46" s="7">
        <f>IFERROR(__xludf.DUMMYFUNCTION("""COMPUTED_VALUE"""),1.0)</f>
        <v>1</v>
      </c>
    </row>
    <row r="47" ht="15.75" customHeight="1">
      <c r="A47" s="6" t="str">
        <f>IFERROR(__xludf.DUMMYFUNCTION("""COMPUTED_VALUE"""),"https://advertisingcouncil.org.au/news/vml-wins-australian-agency-of-the-year-title-at-spikes-asia-2026-vml-droga5-anz-and-leo-secure-one-grand-prix-each/")</f>
        <v>https://advertisingcouncil.org.au/news/vml-wins-australian-agency-of-the-year-title-at-spikes-asia-2026-vml-droga5-anz-and-leo-secure-one-grand-prix-each/</v>
      </c>
      <c r="B47" s="7" t="str">
        <f>IFERROR(__xludf.DUMMYFUNCTION("""COMPUTED_VALUE"""),"VML wins Australian Agency of the Year title at Spikes Asia 2026; VML, Droga5 ANZ and Leo secure one Grand Prix each - Advertising Council Australia")</f>
        <v>VML wins Australian Agency of the Year title at Spikes Asia 2026; VML, Droga5 ANZ and Leo secure one Grand Prix each - Advertising Council Australia</v>
      </c>
      <c r="C47" s="6" t="str">
        <f>IFERROR(__xludf.DUMMYFUNCTION("""COMPUTED_VALUE"""),"advertisingcouncil.org.au")</f>
        <v>advertisingcouncil.org.au</v>
      </c>
      <c r="D47" s="7" t="str">
        <f>IFERROR(__xludf.DUMMYFUNCTION("""COMPUTED_VALUE"""),"ARTICLE")</f>
        <v>ARTICLE</v>
      </c>
      <c r="E47" s="7" t="str">
        <f>IFERROR(__xludf.DUMMYFUNCTION("""COMPUTED_VALUE"""),"INSTITUTIONAL")</f>
        <v>INSTITUTIONAL</v>
      </c>
      <c r="F47" s="7" t="str">
        <f>IFERROR(__xludf.DUMMYFUNCTION("""COMPUTED_VALUE"""),"Article")</f>
        <v>Article</v>
      </c>
      <c r="G47" s="7" t="b">
        <f>IFERROR(__xludf.DUMMYFUNCTION("""COMPUTED_VALUE"""),FALSE)</f>
        <v>0</v>
      </c>
      <c r="H47" s="7" t="str">
        <f>IFERROR(__xludf.DUMMYFUNCTION("""COMPUTED_VALUE"""),"VML, Accenture Song, Leo Australia, Howatson+Company, Mindshare, Wavemaker, Dentsu")</f>
        <v>VML, Accenture Song, Leo Australia, Howatson+Company, Mindshare, Wavemaker, Dentsu</v>
      </c>
      <c r="I47" s="7">
        <f>IFERROR(__xludf.DUMMYFUNCTION("""COMPUTED_VALUE"""),1.0)</f>
        <v>1</v>
      </c>
      <c r="J47" s="7">
        <f>IFERROR(__xludf.DUMMYFUNCTION("""COMPUTED_VALUE"""),0.0)</f>
        <v>0</v>
      </c>
      <c r="K47" s="7">
        <f>IFERROR(__xludf.DUMMYFUNCTION("""COMPUTED_VALUE"""),3.0)</f>
        <v>3</v>
      </c>
    </row>
    <row r="48" ht="15.75" customHeight="1">
      <c r="A48" s="6" t="str">
        <f>IFERROR(__xludf.DUMMYFUNCTION("""COMPUTED_VALUE"""),"https://www.als-cs.com/glossary/a/authorized-economic-operator-aeo-trusted-trader-programs/")</f>
        <v>https://www.als-cs.com/glossary/a/authorized-economic-operator-aeo-trusted-trader-programs/</v>
      </c>
      <c r="B48" s="7" t="str">
        <f>IFERROR(__xludf.DUMMYFUNCTION("""COMPUTED_VALUE"""),"Authorized Economic Operator (AEO) &amp;amp; Trusted Trader Programs")</f>
        <v>Authorized Economic Operator (AEO) &amp;amp; Trusted Trader Programs</v>
      </c>
      <c r="C48" s="6" t="str">
        <f>IFERROR(__xludf.DUMMYFUNCTION("""COMPUTED_VALUE"""),"als-cs.com")</f>
        <v>als-cs.com</v>
      </c>
      <c r="D48" s="7" t="str">
        <f>IFERROR(__xludf.DUMMYFUNCTION("""COMPUTED_VALUE"""),"ARTICLE")</f>
        <v>ARTICLE</v>
      </c>
      <c r="E48" s="7" t="str">
        <f>IFERROR(__xludf.DUMMYFUNCTION("""COMPUTED_VALUE"""),"CORPORATE")</f>
        <v>CORPORATE</v>
      </c>
      <c r="F48" s="7" t="str">
        <f>IFERROR(__xludf.DUMMYFUNCTION("""COMPUTED_VALUE"""),"Article")</f>
        <v>Article</v>
      </c>
      <c r="G48" s="7" t="b">
        <f>IFERROR(__xludf.DUMMYFUNCTION("""COMPUTED_VALUE"""),FALSE)</f>
        <v>0</v>
      </c>
      <c r="H48" s="7"/>
      <c r="I48" s="7">
        <f>IFERROR(__xludf.DUMMYFUNCTION("""COMPUTED_VALUE"""),1.0)</f>
        <v>1</v>
      </c>
      <c r="J48" s="7">
        <f>IFERROR(__xludf.DUMMYFUNCTION("""COMPUTED_VALUE"""),0.0)</f>
        <v>0</v>
      </c>
      <c r="K48" s="7">
        <f>IFERROR(__xludf.DUMMYFUNCTION("""COMPUTED_VALUE"""),2.0)</f>
        <v>2</v>
      </c>
    </row>
    <row r="49" ht="15.75" customHeight="1">
      <c r="A49" s="6" t="str">
        <f>IFERROR(__xludf.DUMMYFUNCTION("""COMPUTED_VALUE"""),"https://ami.org.au/knowledge-hub/australian-marketing-institute-announces-2025-marketing-excellence-award-winners/")</f>
        <v>https://ami.org.au/knowledge-hub/australian-marketing-institute-announces-2025-marketing-excellence-award-winners/</v>
      </c>
      <c r="B49" s="7" t="str">
        <f>IFERROR(__xludf.DUMMYFUNCTION("""COMPUTED_VALUE"""),"Australian Marketing Institute Announces 2025 Marketing Excellence Awards Winners - AMI")</f>
        <v>Australian Marketing Institute Announces 2025 Marketing Excellence Awards Winners - AMI</v>
      </c>
      <c r="C49" s="6" t="str">
        <f>IFERROR(__xludf.DUMMYFUNCTION("""COMPUTED_VALUE"""),"ami.org.au")</f>
        <v>ami.org.au</v>
      </c>
      <c r="D49" s="7" t="str">
        <f>IFERROR(__xludf.DUMMYFUNCTION("""COMPUTED_VALUE"""),"ARTICLE")</f>
        <v>ARTICLE</v>
      </c>
      <c r="E49" s="7" t="str">
        <f>IFERROR(__xludf.DUMMYFUNCTION("""COMPUTED_VALUE"""),"INSTITUTIONAL")</f>
        <v>INSTITUTIONAL</v>
      </c>
      <c r="F49" s="7" t="str">
        <f>IFERROR(__xludf.DUMMYFUNCTION("""COMPUTED_VALUE"""),"Article")</f>
        <v>Article</v>
      </c>
      <c r="G49" s="7" t="b">
        <f>IFERROR(__xludf.DUMMYFUNCTION("""COMPUTED_VALUE"""),FALSE)</f>
        <v>0</v>
      </c>
      <c r="H49" s="7" t="str">
        <f>IFERROR(__xludf.DUMMYFUNCTION("""COMPUTED_VALUE"""),"Bonfire, We Are Social")</f>
        <v>Bonfire, We Are Social</v>
      </c>
      <c r="I49" s="7">
        <f>IFERROR(__xludf.DUMMYFUNCTION("""COMPUTED_VALUE"""),1.0)</f>
        <v>1</v>
      </c>
      <c r="J49" s="7">
        <f>IFERROR(__xludf.DUMMYFUNCTION("""COMPUTED_VALUE"""),0.0)</f>
        <v>0</v>
      </c>
      <c r="K49" s="7">
        <f>IFERROR(__xludf.DUMMYFUNCTION("""COMPUTED_VALUE"""),0.0)</f>
        <v>0</v>
      </c>
    </row>
    <row r="50" ht="15.75" customHeight="1">
      <c r="A50" s="6" t="str">
        <f>IFERROR(__xludf.DUMMYFUNCTION("""COMPUTED_VALUE"""),"https://arxiv.org/abs/2403.14674")</f>
        <v>https://arxiv.org/abs/2403.14674</v>
      </c>
      <c r="B50" s="7" t="str">
        <f>IFERROR(__xludf.DUMMYFUNCTION("""COMPUTED_VALUE"""),"[2403.14674] Packaging Up Media Mix Modeling: An Introduction to Robyn's Open-Source Approach")</f>
        <v>[2403.14674] Packaging Up Media Mix Modeling: An Introduction to Robyn's Open-Source Approach</v>
      </c>
      <c r="C50" s="6" t="str">
        <f>IFERROR(__xludf.DUMMYFUNCTION("""COMPUTED_VALUE"""),"arxiv.org")</f>
        <v>arxiv.org</v>
      </c>
      <c r="D50" s="7" t="str">
        <f>IFERROR(__xludf.DUMMYFUNCTION("""COMPUTED_VALUE"""),"ARTICLE")</f>
        <v>ARTICLE</v>
      </c>
      <c r="E50" s="7" t="str">
        <f>IFERROR(__xludf.DUMMYFUNCTION("""COMPUTED_VALUE"""),"REFERENCE")</f>
        <v>REFERENCE</v>
      </c>
      <c r="F50" s="7" t="str">
        <f>IFERROR(__xludf.DUMMYFUNCTION("""COMPUTED_VALUE"""),"Article")</f>
        <v>Article</v>
      </c>
      <c r="G50" s="7" t="b">
        <f>IFERROR(__xludf.DUMMYFUNCTION("""COMPUTED_VALUE"""),FALSE)</f>
        <v>0</v>
      </c>
      <c r="H50" s="7"/>
      <c r="I50" s="7">
        <f>IFERROR(__xludf.DUMMYFUNCTION("""COMPUTED_VALUE"""),1.0)</f>
        <v>1</v>
      </c>
      <c r="J50" s="7">
        <f>IFERROR(__xludf.DUMMYFUNCTION("""COMPUTED_VALUE"""),0.0)</f>
        <v>0</v>
      </c>
      <c r="K50" s="7">
        <f>IFERROR(__xludf.DUMMYFUNCTION("""COMPUTED_VALUE"""),3.0)</f>
        <v>3</v>
      </c>
    </row>
    <row r="51" ht="15.75" customHeight="1">
      <c r="A51" s="6" t="str">
        <f>IFERROR(__xludf.DUMMYFUNCTION("""COMPUTED_VALUE"""),"https://arxiv.org/abs/2509.08919")</f>
        <v>https://arxiv.org/abs/2509.08919</v>
      </c>
      <c r="B51" s="7" t="str">
        <f>IFERROR(__xludf.DUMMYFUNCTION("""COMPUTED_VALUE"""),"[2509.08919] Generative Engine Optimization: How to Dominate AI Search")</f>
        <v>[2509.08919] Generative Engine Optimization: How to Dominate AI Search</v>
      </c>
      <c r="C51" s="6" t="str">
        <f>IFERROR(__xludf.DUMMYFUNCTION("""COMPUTED_VALUE"""),"arxiv.org")</f>
        <v>arxiv.org</v>
      </c>
      <c r="D51" s="7" t="str">
        <f>IFERROR(__xludf.DUMMYFUNCTION("""COMPUTED_VALUE"""),"ARTICLE")</f>
        <v>ARTICLE</v>
      </c>
      <c r="E51" s="7" t="str">
        <f>IFERROR(__xludf.DUMMYFUNCTION("""COMPUTED_VALUE"""),"REFERENCE")</f>
        <v>REFERENCE</v>
      </c>
      <c r="F51" s="7" t="str">
        <f>IFERROR(__xludf.DUMMYFUNCTION("""COMPUTED_VALUE"""),"Article")</f>
        <v>Article</v>
      </c>
      <c r="G51" s="7" t="b">
        <f>IFERROR(__xludf.DUMMYFUNCTION("""COMPUTED_VALUE"""),FALSE)</f>
        <v>0</v>
      </c>
      <c r="H51" s="7" t="str">
        <f>IFERROR(__xludf.DUMMYFUNCTION("""COMPUTED_VALUE"""),"Earned Media")</f>
        <v>Earned Media</v>
      </c>
      <c r="I51" s="7">
        <f>IFERROR(__xludf.DUMMYFUNCTION("""COMPUTED_VALUE"""),1.0)</f>
        <v>1</v>
      </c>
      <c r="J51" s="7">
        <f>IFERROR(__xludf.DUMMYFUNCTION("""COMPUTED_VALUE"""),0.0)</f>
        <v>0</v>
      </c>
      <c r="K51" s="7">
        <f>IFERROR(__xludf.DUMMYFUNCTION("""COMPUTED_VALUE"""),2.0)</f>
        <v>2</v>
      </c>
    </row>
    <row r="52" ht="15.75" customHeight="1">
      <c r="A52" s="6" t="str">
        <f>IFERROR(__xludf.DUMMYFUNCTION("""COMPUTED_VALUE"""),"https://atomic212.com.au/brand-demand-and-incrementality-why-and-how-agency-marketing-relationships-kpis-and-operating-models-must-rapidly-evolve/")</f>
        <v>https://atomic212.com.au/brand-demand-and-incrementality-why-and-how-agency-marketing-relationships-kpis-and-operating-models-must-rapidly-evolve/</v>
      </c>
      <c r="B52" s="7" t="str">
        <f>IFERROR(__xludf.DUMMYFUNCTION("""COMPUTED_VALUE"""),"BRAND, DEMAND AND INCREMENTALITY: WHY AND HOW AGENCY-MARKETING RELATIONSHIPS, KPIs AND OPERATING MODELS MUST RAPIDLY EVOLVE – Atomic 212°")</f>
        <v>BRAND, DEMAND AND INCREMENTALITY: WHY AND HOW AGENCY-MARKETING RELATIONSHIPS, KPIs AND OPERATING MODELS MUST RAPIDLY EVOLVE – Atomic 212°</v>
      </c>
      <c r="C52" s="6" t="str">
        <f>IFERROR(__xludf.DUMMYFUNCTION("""COMPUTED_VALUE"""),"atomic212.com.au")</f>
        <v>atomic212.com.au</v>
      </c>
      <c r="D52" s="7" t="str">
        <f>IFERROR(__xludf.DUMMYFUNCTION("""COMPUTED_VALUE"""),"ARTICLE")</f>
        <v>ARTICLE</v>
      </c>
      <c r="E52" s="7" t="str">
        <f>IFERROR(__xludf.DUMMYFUNCTION("""COMPUTED_VALUE"""),"CORPORATE")</f>
        <v>CORPORATE</v>
      </c>
      <c r="F52" s="7" t="str">
        <f>IFERROR(__xludf.DUMMYFUNCTION("""COMPUTED_VALUE"""),"Article")</f>
        <v>Article</v>
      </c>
      <c r="G52" s="7" t="b">
        <f>IFERROR(__xludf.DUMMYFUNCTION("""COMPUTED_VALUE"""),FALSE)</f>
        <v>0</v>
      </c>
      <c r="H52" s="7" t="str">
        <f>IFERROR(__xludf.DUMMYFUNCTION("""COMPUTED_VALUE"""),"Measured, HERO")</f>
        <v>Measured, HERO</v>
      </c>
      <c r="I52" s="7">
        <f>IFERROR(__xludf.DUMMYFUNCTION("""COMPUTED_VALUE"""),1.0)</f>
        <v>1</v>
      </c>
      <c r="J52" s="7">
        <f>IFERROR(__xludf.DUMMYFUNCTION("""COMPUTED_VALUE"""),0.0)</f>
        <v>0</v>
      </c>
      <c r="K52" s="7">
        <f>IFERROR(__xludf.DUMMYFUNCTION("""COMPUTED_VALUE"""),1.0)</f>
        <v>1</v>
      </c>
    </row>
    <row r="53" ht="15.75" customHeight="1">
      <c r="A53" s="6" t="str">
        <f>IFERROR(__xludf.DUMMYFUNCTION("""COMPUTED_VALUE"""),"https://www.axios.com/2026/07/16/geo-communications-marketing-strategy")</f>
        <v>https://www.axios.com/2026/07/16/geo-communications-marketing-strategy</v>
      </c>
      <c r="B53" s="7" t="str">
        <f>IFERROR(__xludf.DUMMYFUNCTION("""COMPUTED_VALUE"""),"GEO and AI: How brands are shifting their strategies")</f>
        <v>GEO and AI: How brands are shifting their strategies</v>
      </c>
      <c r="C53" s="6" t="str">
        <f>IFERROR(__xludf.DUMMYFUNCTION("""COMPUTED_VALUE"""),"axios.com")</f>
        <v>axios.com</v>
      </c>
      <c r="D53" s="7" t="str">
        <f>IFERROR(__xludf.DUMMYFUNCTION("""COMPUTED_VALUE"""),"ARTICLE")</f>
        <v>ARTICLE</v>
      </c>
      <c r="E53" s="7" t="str">
        <f>IFERROR(__xludf.DUMMYFUNCTION("""COMPUTED_VALUE"""),"EDITORIAL")</f>
        <v>EDITORIAL</v>
      </c>
      <c r="F53" s="7" t="str">
        <f>IFERROR(__xludf.DUMMYFUNCTION("""COMPUTED_VALUE"""),"Article")</f>
        <v>Article</v>
      </c>
      <c r="G53" s="7" t="b">
        <f>IFERROR(__xludf.DUMMYFUNCTION("""COMPUTED_VALUE"""),FALSE)</f>
        <v>0</v>
      </c>
      <c r="H53" s="7" t="str">
        <f>IFERROR(__xludf.DUMMYFUNCTION("""COMPUTED_VALUE"""),"Earned Media")</f>
        <v>Earned Media</v>
      </c>
      <c r="I53" s="7">
        <f>IFERROR(__xludf.DUMMYFUNCTION("""COMPUTED_VALUE"""),1.0)</f>
        <v>1</v>
      </c>
      <c r="J53" s="7">
        <f>IFERROR(__xludf.DUMMYFUNCTION("""COMPUTED_VALUE"""),0.0)</f>
        <v>0</v>
      </c>
      <c r="K53" s="7">
        <f>IFERROR(__xludf.DUMMYFUNCTION("""COMPUTED_VALUE"""),2.0)</f>
        <v>2</v>
      </c>
    </row>
    <row r="54" ht="15.75" customHeight="1">
      <c r="A54" s="6" t="str">
        <f>IFERROR(__xludf.DUMMYFUNCTION("""COMPUTED_VALUE"""),"https://www.bandt.com.au/agency-scorecard-in-marketing-we-trust/")</f>
        <v>https://www.bandt.com.au/agency-scorecard-in-marketing-we-trust/</v>
      </c>
      <c r="B54" s="7" t="str">
        <f>IFERROR(__xludf.DUMMYFUNCTION("""COMPUTED_VALUE"""),"Agency Scorecard: In Marketing We Trust - B&amp;amp;T")</f>
        <v>Agency Scorecard: In Marketing We Trust - B&amp;amp;T</v>
      </c>
      <c r="C54" s="6" t="str">
        <f>IFERROR(__xludf.DUMMYFUNCTION("""COMPUTED_VALUE"""),"bandt.com.au")</f>
        <v>bandt.com.au</v>
      </c>
      <c r="D54" s="7" t="str">
        <f>IFERROR(__xludf.DUMMYFUNCTION("""COMPUTED_VALUE"""),"ARTICLE")</f>
        <v>ARTICLE</v>
      </c>
      <c r="E54" s="7" t="str">
        <f>IFERROR(__xludf.DUMMYFUNCTION("""COMPUTED_VALUE"""),"EDITORIAL")</f>
        <v>EDITORIAL</v>
      </c>
      <c r="F54" s="7" t="str">
        <f>IFERROR(__xludf.DUMMYFUNCTION("""COMPUTED_VALUE"""),"Article")</f>
        <v>Article</v>
      </c>
      <c r="G54" s="7" t="b">
        <f>IFERROR(__xludf.DUMMYFUNCTION("""COMPUTED_VALUE"""),FALSE)</f>
        <v>0</v>
      </c>
      <c r="H54" s="7" t="str">
        <f>IFERROR(__xludf.DUMMYFUNCTION("""COMPUTED_VALUE"""),"WPP, In Marketing We Trust, Momentum")</f>
        <v>WPP, In Marketing We Trust, Momentum</v>
      </c>
      <c r="I54" s="7">
        <f>IFERROR(__xludf.DUMMYFUNCTION("""COMPUTED_VALUE"""),1.0)</f>
        <v>1</v>
      </c>
      <c r="J54" s="7">
        <f>IFERROR(__xludf.DUMMYFUNCTION("""COMPUTED_VALUE"""),0.0)</f>
        <v>0</v>
      </c>
      <c r="K54" s="7">
        <f>IFERROR(__xludf.DUMMYFUNCTION("""COMPUTED_VALUE"""),1.0)</f>
        <v>1</v>
      </c>
    </row>
    <row r="55" ht="15.75" customHeight="1">
      <c r="A55" s="6" t="str">
        <f>IFERROR(__xludf.DUMMYFUNCTION("""COMPUTED_VALUE"""),"https://www.bandt.com.au/bt-awards-agency-of-the-year-winners-2024/")</f>
        <v>https://www.bandt.com.au/bt-awards-agency-of-the-year-winners-2024/</v>
      </c>
      <c r="B55" s="7" t="str">
        <f>IFERROR(__xludf.DUMMYFUNCTION("""COMPUTED_VALUE"""),"B&amp;amp;T Awards: Agency Of The Year Winners 2024 - B&amp;amp;T")</f>
        <v>B&amp;amp;T Awards: Agency Of The Year Winners 2024 - B&amp;amp;T</v>
      </c>
      <c r="C55" s="6" t="str">
        <f>IFERROR(__xludf.DUMMYFUNCTION("""COMPUTED_VALUE"""),"bandt.com.au")</f>
        <v>bandt.com.au</v>
      </c>
      <c r="D55" s="7" t="str">
        <f>IFERROR(__xludf.DUMMYFUNCTION("""COMPUTED_VALUE"""),"ARTICLE")</f>
        <v>ARTICLE</v>
      </c>
      <c r="E55" s="7" t="str">
        <f>IFERROR(__xludf.DUMMYFUNCTION("""COMPUTED_VALUE"""),"EDITORIAL")</f>
        <v>EDITORIAL</v>
      </c>
      <c r="F55" s="7" t="str">
        <f>IFERROR(__xludf.DUMMYFUNCTION("""COMPUTED_VALUE"""),"Article")</f>
        <v>Article</v>
      </c>
      <c r="G55" s="7" t="b">
        <f>IFERROR(__xludf.DUMMYFUNCTION("""COMPUTED_VALUE"""),FALSE)</f>
        <v>0</v>
      </c>
      <c r="H55" s="7" t="str">
        <f>IFERROR(__xludf.DUMMYFUNCTION("""COMPUTED_VALUE"""),"Howatson+Company, BMF, Sparro, Brainlabs, Impressive, Huge, EssenceMediacom")</f>
        <v>Howatson+Company, BMF, Sparro, Brainlabs, Impressive, Huge, EssenceMediacom</v>
      </c>
      <c r="I55" s="7">
        <f>IFERROR(__xludf.DUMMYFUNCTION("""COMPUTED_VALUE"""),1.0)</f>
        <v>1</v>
      </c>
      <c r="J55" s="7">
        <f>IFERROR(__xludf.DUMMYFUNCTION("""COMPUTED_VALUE"""),0.0)</f>
        <v>0</v>
      </c>
      <c r="K55" s="7">
        <f>IFERROR(__xludf.DUMMYFUNCTION("""COMPUTED_VALUE"""),3.0)</f>
        <v>3</v>
      </c>
    </row>
    <row r="56" ht="15.75" customHeight="1">
      <c r="A56" s="6" t="str">
        <f>IFERROR(__xludf.DUMMYFUNCTION("""COMPUTED_VALUE"""),"https://www.bandt.com.au/iab-australia-releases-landscape-report-to-guide-marketers-through-mmm-implementation/")</f>
        <v>https://www.bandt.com.au/iab-australia-releases-landscape-report-to-guide-marketers-through-mmm-implementation/</v>
      </c>
      <c r="B56" s="7" t="str">
        <f>IFERROR(__xludf.DUMMYFUNCTION("""COMPUTED_VALUE"""),"IAB Australia Releases Landscape Report To Guide Marketers Through MMM Implementation - B&amp;amp;T")</f>
        <v>IAB Australia Releases Landscape Report To Guide Marketers Through MMM Implementation - B&amp;amp;T</v>
      </c>
      <c r="C56" s="6" t="str">
        <f>IFERROR(__xludf.DUMMYFUNCTION("""COMPUTED_VALUE"""),"bandt.com.au")</f>
        <v>bandt.com.au</v>
      </c>
      <c r="D56" s="7" t="str">
        <f>IFERROR(__xludf.DUMMYFUNCTION("""COMPUTED_VALUE"""),"ARTICLE")</f>
        <v>ARTICLE</v>
      </c>
      <c r="E56" s="7" t="str">
        <f>IFERROR(__xludf.DUMMYFUNCTION("""COMPUTED_VALUE"""),"EDITORIAL")</f>
        <v>EDITORIAL</v>
      </c>
      <c r="F56" s="7" t="str">
        <f>IFERROR(__xludf.DUMMYFUNCTION("""COMPUTED_VALUE"""),"Article")</f>
        <v>Article</v>
      </c>
      <c r="G56" s="7" t="b">
        <f>IFERROR(__xludf.DUMMYFUNCTION("""COMPUTED_VALUE"""),FALSE)</f>
        <v>0</v>
      </c>
      <c r="H56" s="7" t="str">
        <f>IFERROR(__xludf.DUMMYFUNCTION("""COMPUTED_VALUE"""),"WPP, Dentsu, Lifesight, Mutinex")</f>
        <v>WPP, Dentsu, Lifesight, Mutinex</v>
      </c>
      <c r="I56" s="7">
        <f>IFERROR(__xludf.DUMMYFUNCTION("""COMPUTED_VALUE"""),1.0)</f>
        <v>1</v>
      </c>
      <c r="J56" s="7">
        <f>IFERROR(__xludf.DUMMYFUNCTION("""COMPUTED_VALUE"""),0.0)</f>
        <v>0</v>
      </c>
      <c r="K56" s="7">
        <f>IFERROR(__xludf.DUMMYFUNCTION("""COMPUTED_VALUE"""),0.0)</f>
        <v>0</v>
      </c>
    </row>
    <row r="57" ht="15.75" customHeight="1">
      <c r="A57" s="6" t="str">
        <f>IFERROR(__xludf.DUMMYFUNCTION("""COMPUTED_VALUE"""),"https://www.bandt.com.au/impressive-elevates-sam-makwana-to-gm-amid-slew-of-promotions/")</f>
        <v>https://www.bandt.com.au/impressive-elevates-sam-makwana-to-gm-amid-slew-of-promotions/</v>
      </c>
      <c r="B57" s="7" t="str">
        <f>IFERROR(__xludf.DUMMYFUNCTION("""COMPUTED_VALUE"""),"Impressive Elevates Sam Makwana To GM Amid Slew Of Promotions&amp;nbsp; - B&amp;amp;T")</f>
        <v>Impressive Elevates Sam Makwana To GM Amid Slew Of Promotions&amp;nbsp; - B&amp;amp;T</v>
      </c>
      <c r="C57" s="6" t="str">
        <f>IFERROR(__xludf.DUMMYFUNCTION("""COMPUTED_VALUE"""),"bandt.com.au")</f>
        <v>bandt.com.au</v>
      </c>
      <c r="D57" s="7" t="str">
        <f>IFERROR(__xludf.DUMMYFUNCTION("""COMPUTED_VALUE"""),"ARTICLE")</f>
        <v>ARTICLE</v>
      </c>
      <c r="E57" s="7" t="str">
        <f>IFERROR(__xludf.DUMMYFUNCTION("""COMPUTED_VALUE"""),"EDITORIAL")</f>
        <v>EDITORIAL</v>
      </c>
      <c r="F57" s="7" t="str">
        <f>IFERROR(__xludf.DUMMYFUNCTION("""COMPUTED_VALUE"""),"Article")</f>
        <v>Article</v>
      </c>
      <c r="G57" s="7" t="b">
        <f>IFERROR(__xludf.DUMMYFUNCTION("""COMPUTED_VALUE"""),FALSE)</f>
        <v>0</v>
      </c>
      <c r="H57" s="7" t="str">
        <f>IFERROR(__xludf.DUMMYFUNCTION("""COMPUTED_VALUE"""),"WPP, Impressive, Huge, PHD")</f>
        <v>WPP, Impressive, Huge, PHD</v>
      </c>
      <c r="I57" s="7">
        <f>IFERROR(__xludf.DUMMYFUNCTION("""COMPUTED_VALUE"""),1.0)</f>
        <v>1</v>
      </c>
      <c r="J57" s="7">
        <f>IFERROR(__xludf.DUMMYFUNCTION("""COMPUTED_VALUE"""),0.0)</f>
        <v>0</v>
      </c>
      <c r="K57" s="7">
        <f>IFERROR(__xludf.DUMMYFUNCTION("""COMPUTED_VALUE"""),1.0)</f>
        <v>1</v>
      </c>
    </row>
    <row r="58" ht="15.75" customHeight="1">
      <c r="A58" s="6" t="str">
        <f>IFERROR(__xludf.DUMMYFUNCTION("""COMPUTED_VALUE"""),"https://www.bandt.com.au/meet-gain-theory-wpps-marketing-effectiveness-arm-targeting-australia-for-growth/")</f>
        <v>https://www.bandt.com.au/meet-gain-theory-wpps-marketing-effectiveness-arm-targeting-australia-for-growth/</v>
      </c>
      <c r="B58" s="7" t="str">
        <f>IFERROR(__xludf.DUMMYFUNCTION("""COMPUTED_VALUE"""),"Meet Gain Theory, WPP’s Marketing Effectiveness Arm Targeting Australia For Growth - B&amp;amp;T")</f>
        <v>Meet Gain Theory, WPP’s Marketing Effectiveness Arm Targeting Australia For Growth - B&amp;amp;T</v>
      </c>
      <c r="C58" s="6" t="str">
        <f>IFERROR(__xludf.DUMMYFUNCTION("""COMPUTED_VALUE"""),"bandt.com.au")</f>
        <v>bandt.com.au</v>
      </c>
      <c r="D58" s="7" t="str">
        <f>IFERROR(__xludf.DUMMYFUNCTION("""COMPUTED_VALUE"""),"ARTICLE")</f>
        <v>ARTICLE</v>
      </c>
      <c r="E58" s="7" t="str">
        <f>IFERROR(__xludf.DUMMYFUNCTION("""COMPUTED_VALUE"""),"EDITORIAL")</f>
        <v>EDITORIAL</v>
      </c>
      <c r="F58" s="7" t="str">
        <f>IFERROR(__xludf.DUMMYFUNCTION("""COMPUTED_VALUE"""),"Article")</f>
        <v>Article</v>
      </c>
      <c r="G58" s="7" t="b">
        <f>IFERROR(__xludf.DUMMYFUNCTION("""COMPUTED_VALUE"""),FALSE)</f>
        <v>0</v>
      </c>
      <c r="H58" s="7" t="str">
        <f>IFERROR(__xludf.DUMMYFUNCTION("""COMPUTED_VALUE"""),"WPP, Huge, Mutinex")</f>
        <v>WPP, Huge, Mutinex</v>
      </c>
      <c r="I58" s="7">
        <f>IFERROR(__xludf.DUMMYFUNCTION("""COMPUTED_VALUE"""),1.0)</f>
        <v>1</v>
      </c>
      <c r="J58" s="7">
        <f>IFERROR(__xludf.DUMMYFUNCTION("""COMPUTED_VALUE"""),0.0)</f>
        <v>0</v>
      </c>
      <c r="K58" s="7">
        <f>IFERROR(__xludf.DUMMYFUNCTION("""COMPUTED_VALUE"""),2.0)</f>
        <v>2</v>
      </c>
    </row>
    <row r="59" ht="15.75" customHeight="1">
      <c r="A59" s="6" t="str">
        <f>IFERROR(__xludf.DUMMYFUNCTION("""COMPUTED_VALUE"""),"https://www.bandt.com.au/omnicom-resolution-digital-launch-resolution-kinetic-in-australia/")</f>
        <v>https://www.bandt.com.au/omnicom-resolution-digital-launch-resolution-kinetic-in-australia/</v>
      </c>
      <c r="B59" s="7" t="str">
        <f>IFERROR(__xludf.DUMMYFUNCTION("""COMPUTED_VALUE"""),"Omnicom &amp;amp; Resolution Digital Launch Resolution Kinetic In Australia - B&amp;amp;T")</f>
        <v>Omnicom &amp;amp; Resolution Digital Launch Resolution Kinetic In Australia - B&amp;amp;T</v>
      </c>
      <c r="C59" s="6" t="str">
        <f>IFERROR(__xludf.DUMMYFUNCTION("""COMPUTED_VALUE"""),"bandt.com.au")</f>
        <v>bandt.com.au</v>
      </c>
      <c r="D59" s="7" t="str">
        <f>IFERROR(__xludf.DUMMYFUNCTION("""COMPUTED_VALUE"""),"ARTICLE")</f>
        <v>ARTICLE</v>
      </c>
      <c r="E59" s="7" t="str">
        <f>IFERROR(__xludf.DUMMYFUNCTION("""COMPUTED_VALUE"""),"EDITORIAL")</f>
        <v>EDITORIAL</v>
      </c>
      <c r="F59" s="7" t="str">
        <f>IFERROR(__xludf.DUMMYFUNCTION("""COMPUTED_VALUE"""),"Article")</f>
        <v>Article</v>
      </c>
      <c r="G59" s="7" t="b">
        <f>IFERROR(__xludf.DUMMYFUNCTION("""COMPUTED_VALUE"""),FALSE)</f>
        <v>0</v>
      </c>
      <c r="H59" s="7" t="str">
        <f>IFERROR(__xludf.DUMMYFUNCTION("""COMPUTED_VALUE"""),"WPP, Resolution Digital, Omnicom Media Group")</f>
        <v>WPP, Resolution Digital, Omnicom Media Group</v>
      </c>
      <c r="I59" s="7">
        <f>IFERROR(__xludf.DUMMYFUNCTION("""COMPUTED_VALUE"""),1.0)</f>
        <v>1</v>
      </c>
      <c r="J59" s="7">
        <f>IFERROR(__xludf.DUMMYFUNCTION("""COMPUTED_VALUE"""),0.0)</f>
        <v>0</v>
      </c>
      <c r="K59" s="7">
        <f>IFERROR(__xludf.DUMMYFUNCTION("""COMPUTED_VALUE"""),0.0)</f>
        <v>0</v>
      </c>
    </row>
    <row r="60" ht="15.75" customHeight="1">
      <c r="A60" s="6" t="str">
        <f>IFERROR(__xludf.DUMMYFUNCTION("""COMPUTED_VALUE"""),"https://www.bandt.com.au/publicis-wpp-media-dominate-new-business-indies-quietly-climb-rankings/")</f>
        <v>https://www.bandt.com.au/publicis-wpp-media-dominate-new-business-indies-quietly-climb-rankings/</v>
      </c>
      <c r="B60" s="7" t="str">
        <f>IFERROR(__xludf.DUMMYFUNCTION("""COMPUTED_VALUE"""),"Publicis &amp;amp; WPP Media Dominate New Business, Indies Quietly Climb Rankings - B&amp;amp;T")</f>
        <v>Publicis &amp;amp; WPP Media Dominate New Business, Indies Quietly Climb Rankings - B&amp;amp;T</v>
      </c>
      <c r="C60" s="6" t="str">
        <f>IFERROR(__xludf.DUMMYFUNCTION("""COMPUTED_VALUE"""),"bandt.com.au")</f>
        <v>bandt.com.au</v>
      </c>
      <c r="D60" s="7" t="str">
        <f>IFERROR(__xludf.DUMMYFUNCTION("""COMPUTED_VALUE"""),"ARTICLE")</f>
        <v>ARTICLE</v>
      </c>
      <c r="E60" s="7" t="str">
        <f>IFERROR(__xludf.DUMMYFUNCTION("""COMPUTED_VALUE"""),"EDITORIAL")</f>
        <v>EDITORIAL</v>
      </c>
      <c r="F60" s="7" t="str">
        <f>IFERROR(__xludf.DUMMYFUNCTION("""COMPUTED_VALUE"""),"Article")</f>
        <v>Article</v>
      </c>
      <c r="G60" s="7" t="b">
        <f>IFERROR(__xludf.DUMMYFUNCTION("""COMPUTED_VALUE"""),FALSE)</f>
        <v>0</v>
      </c>
      <c r="H60" s="7" t="str">
        <f>IFERROR(__xludf.DUMMYFUNCTION("""COMPUTED_VALUE"""),"WPP, Publicis Groupe, Momentum, OMD, Mindshare, Dentsu, EssenceMediacom, Sparro, Brainlabs, PHD, PMG, Accenture Song, Publicis Media")</f>
        <v>WPP, Publicis Groupe, Momentum, OMD, Mindshare, Dentsu, EssenceMediacom, Sparro, Brainlabs, PHD, PMG, Accenture Song, Publicis Media</v>
      </c>
      <c r="I60" s="7">
        <f>IFERROR(__xludf.DUMMYFUNCTION("""COMPUTED_VALUE"""),1.0)</f>
        <v>1</v>
      </c>
      <c r="J60" s="7">
        <f>IFERROR(__xludf.DUMMYFUNCTION("""COMPUTED_VALUE"""),0.0)</f>
        <v>0</v>
      </c>
      <c r="K60" s="7">
        <f>IFERROR(__xludf.DUMMYFUNCTION("""COMPUTED_VALUE"""),2.0)</f>
        <v>2</v>
      </c>
    </row>
    <row r="61" ht="15.75" customHeight="1">
      <c r="A61" s="6" t="str">
        <f>IFERROR(__xludf.DUMMYFUNCTION("""COMPUTED_VALUE"""),"https://www.bandt.com.au/the-monkeys-is-dead-long-live-droga5-anz/")</f>
        <v>https://www.bandt.com.au/the-monkeys-is-dead-long-live-droga5-anz/</v>
      </c>
      <c r="B61" s="7" t="str">
        <f>IFERROR(__xludf.DUMMYFUNCTION("""COMPUTED_VALUE"""),"The Monkeys Is Dead, Long Live Droga5 ANZ - B&amp;amp;T")</f>
        <v>The Monkeys Is Dead, Long Live Droga5 ANZ - B&amp;amp;T</v>
      </c>
      <c r="C61" s="6" t="str">
        <f>IFERROR(__xludf.DUMMYFUNCTION("""COMPUTED_VALUE"""),"bandt.com.au")</f>
        <v>bandt.com.au</v>
      </c>
      <c r="D61" s="7" t="str">
        <f>IFERROR(__xludf.DUMMYFUNCTION("""COMPUTED_VALUE"""),"ARTICLE")</f>
        <v>ARTICLE</v>
      </c>
      <c r="E61" s="7" t="str">
        <f>IFERROR(__xludf.DUMMYFUNCTION("""COMPUTED_VALUE"""),"EDITORIAL")</f>
        <v>EDITORIAL</v>
      </c>
      <c r="F61" s="7" t="str">
        <f>IFERROR(__xludf.DUMMYFUNCTION("""COMPUTED_VALUE"""),"Article")</f>
        <v>Article</v>
      </c>
      <c r="G61" s="7" t="b">
        <f>IFERROR(__xludf.DUMMYFUNCTION("""COMPUTED_VALUE"""),FALSE)</f>
        <v>0</v>
      </c>
      <c r="H61" s="7" t="str">
        <f>IFERROR(__xludf.DUMMYFUNCTION("""COMPUTED_VALUE"""),"WPP, Dentsu, The Monkeys, Accenture Song")</f>
        <v>WPP, Dentsu, The Monkeys, Accenture Song</v>
      </c>
      <c r="I61" s="7">
        <f>IFERROR(__xludf.DUMMYFUNCTION("""COMPUTED_VALUE"""),1.0)</f>
        <v>1</v>
      </c>
      <c r="J61" s="7">
        <f>IFERROR(__xludf.DUMMYFUNCTION("""COMPUTED_VALUE"""),0.0)</f>
        <v>0</v>
      </c>
      <c r="K61" s="7">
        <f>IFERROR(__xludf.DUMMYFUNCTION("""COMPUTED_VALUE"""),1.0)</f>
        <v>1</v>
      </c>
    </row>
    <row r="62" ht="15.75" customHeight="1">
      <c r="A62" s="6" t="str">
        <f>IFERROR(__xludf.DUMMYFUNCTION("""COMPUTED_VALUE"""),"https://www.bandt.com.au/the-next-evolution-for-ground-control-data-marketing-evolution/")</f>
        <v>https://www.bandt.com.au/the-next-evolution-for-ground-control-data-marketing-evolution/</v>
      </c>
      <c r="B62" s="7" t="str">
        <f>IFERROR(__xludf.DUMMYFUNCTION("""COMPUTED_VALUE"""),"The Next Evolution For Ground Control Data &amp;amp; Marketing Evolution - B&amp;amp;T")</f>
        <v>The Next Evolution For Ground Control Data &amp;amp; Marketing Evolution - B&amp;amp;T</v>
      </c>
      <c r="C62" s="6" t="str">
        <f>IFERROR(__xludf.DUMMYFUNCTION("""COMPUTED_VALUE"""),"bandt.com.au")</f>
        <v>bandt.com.au</v>
      </c>
      <c r="D62" s="7" t="str">
        <f>IFERROR(__xludf.DUMMYFUNCTION("""COMPUTED_VALUE"""),"ARTICLE")</f>
        <v>ARTICLE</v>
      </c>
      <c r="E62" s="7" t="str">
        <f>IFERROR(__xludf.DUMMYFUNCTION("""COMPUTED_VALUE"""),"EDITORIAL")</f>
        <v>EDITORIAL</v>
      </c>
      <c r="F62" s="7" t="str">
        <f>IFERROR(__xludf.DUMMYFUNCTION("""COMPUTED_VALUE"""),"Article")</f>
        <v>Article</v>
      </c>
      <c r="G62" s="7" t="b">
        <f>IFERROR(__xludf.DUMMYFUNCTION("""COMPUTED_VALUE"""),FALSE)</f>
        <v>0</v>
      </c>
      <c r="H62" s="7" t="str">
        <f>IFERROR(__xludf.DUMMYFUNCTION("""COMPUTED_VALUE"""),"WPP, PHD")</f>
        <v>WPP, PHD</v>
      </c>
      <c r="I62" s="7">
        <f>IFERROR(__xludf.DUMMYFUNCTION("""COMPUTED_VALUE"""),1.0)</f>
        <v>1</v>
      </c>
      <c r="J62" s="7">
        <f>IFERROR(__xludf.DUMMYFUNCTION("""COMPUTED_VALUE"""),0.0)</f>
        <v>0</v>
      </c>
      <c r="K62" s="7">
        <f>IFERROR(__xludf.DUMMYFUNCTION("""COMPUTED_VALUE"""),1.0)</f>
        <v>1</v>
      </c>
    </row>
    <row r="63" ht="15.75" customHeight="1">
      <c r="A63" s="6" t="str">
        <f>IFERROR(__xludf.DUMMYFUNCTION("""COMPUTED_VALUE"""),"https://www.bandt.com.au/wpp-media-pulls-away-from-omnicom-essencemediacom-gains-on-leader-omd/")</f>
        <v>https://www.bandt.com.au/wpp-media-pulls-away-from-omnicom-essencemediacom-gains-on-leader-omd/</v>
      </c>
      <c r="B63" s="7" t="str">
        <f>IFERROR(__xludf.DUMMYFUNCTION("""COMPUTED_VALUE"""),"WPP Media Pulls Away From Omnicom, EssenceMediacom Gains On Leader OMD - B&amp;amp;T")</f>
        <v>WPP Media Pulls Away From Omnicom, EssenceMediacom Gains On Leader OMD - B&amp;amp;T</v>
      </c>
      <c r="C63" s="6" t="str">
        <f>IFERROR(__xludf.DUMMYFUNCTION("""COMPUTED_VALUE"""),"bandt.com.au")</f>
        <v>bandt.com.au</v>
      </c>
      <c r="D63" s="7" t="str">
        <f>IFERROR(__xludf.DUMMYFUNCTION("""COMPUTED_VALUE"""),"ARTICLE")</f>
        <v>ARTICLE</v>
      </c>
      <c r="E63" s="7" t="str">
        <f>IFERROR(__xludf.DUMMYFUNCTION("""COMPUTED_VALUE"""),"EDITORIAL")</f>
        <v>EDITORIAL</v>
      </c>
      <c r="F63" s="7" t="str">
        <f>IFERROR(__xludf.DUMMYFUNCTION("""COMPUTED_VALUE"""),"Article")</f>
        <v>Article</v>
      </c>
      <c r="G63" s="7" t="b">
        <f>IFERROR(__xludf.DUMMYFUNCTION("""COMPUTED_VALUE"""),FALSE)</f>
        <v>0</v>
      </c>
      <c r="H63" s="7" t="str">
        <f>IFERROR(__xludf.DUMMYFUNCTION("""COMPUTED_VALUE"""),"WPP, Dentsu, EssenceMediacom, OMD, Publicis Groupe, Publicis Media, PHD, Mindshare, Accenture Song, Wavemaker, Omnicom Media Group")</f>
        <v>WPP, Dentsu, EssenceMediacom, OMD, Publicis Groupe, Publicis Media, PHD, Mindshare, Accenture Song, Wavemaker, Omnicom Media Group</v>
      </c>
      <c r="I63" s="7">
        <f>IFERROR(__xludf.DUMMYFUNCTION("""COMPUTED_VALUE"""),1.0)</f>
        <v>1</v>
      </c>
      <c r="J63" s="7">
        <f>IFERROR(__xludf.DUMMYFUNCTION("""COMPUTED_VALUE"""),0.0)</f>
        <v>0</v>
      </c>
      <c r="K63" s="7">
        <f>IFERROR(__xludf.DUMMYFUNCTION("""COMPUTED_VALUE"""),0.0)</f>
        <v>0</v>
      </c>
    </row>
    <row r="64" ht="15.75" customHeight="1">
      <c r="A64" s="6" t="str">
        <f>IFERROR(__xludf.DUMMYFUNCTION("""COMPUTED_VALUE"""),"https://blog.google/products/marketingplatform/360/introducing-google-marketing-platform-partners/")</f>
        <v>https://blog.google/products/marketingplatform/360/introducing-google-marketing-platform-partners/</v>
      </c>
      <c r="B64" s="7" t="str">
        <f>IFERROR(__xludf.DUMMYFUNCTION("""COMPUTED_VALUE"""),"From Basecamp to Summit: Achieving New Heights with Google Marketing Platform Partners")</f>
        <v>From Basecamp to Summit: Achieving New Heights with Google Marketing Platform Partners</v>
      </c>
      <c r="C64" s="7" t="str">
        <f>IFERROR(__xludf.DUMMYFUNCTION("""COMPUTED_VALUE"""),"blog.google")</f>
        <v>blog.google</v>
      </c>
      <c r="D64" s="7" t="str">
        <f>IFERROR(__xludf.DUMMYFUNCTION("""COMPUTED_VALUE"""),"ARTICLE")</f>
        <v>ARTICLE</v>
      </c>
      <c r="E64" s="7" t="str">
        <f>IFERROR(__xludf.DUMMYFUNCTION("""COMPUTED_VALUE"""),"EDITORIAL")</f>
        <v>EDITORIAL</v>
      </c>
      <c r="F64" s="7" t="str">
        <f>IFERROR(__xludf.DUMMYFUNCTION("""COMPUTED_VALUE"""),"Article")</f>
        <v>Article</v>
      </c>
      <c r="G64" s="7" t="b">
        <f>IFERROR(__xludf.DUMMYFUNCTION("""COMPUTED_VALUE"""),FALSE)</f>
        <v>0</v>
      </c>
      <c r="H64" s="7"/>
      <c r="I64" s="7">
        <f>IFERROR(__xludf.DUMMYFUNCTION("""COMPUTED_VALUE"""),1.0)</f>
        <v>1</v>
      </c>
      <c r="J64" s="7">
        <f>IFERROR(__xludf.DUMMYFUNCTION("""COMPUTED_VALUE"""),0.0)</f>
        <v>0</v>
      </c>
      <c r="K64" s="7">
        <f>IFERROR(__xludf.DUMMYFUNCTION("""COMPUTED_VALUE"""),0.0)</f>
        <v>0</v>
      </c>
    </row>
    <row r="65" ht="15.75" customHeight="1">
      <c r="A65" s="6" t="str">
        <f>IFERROR(__xludf.DUMMYFUNCTION("""COMPUTED_VALUE"""),"https://bmf.com.au/news/2025-mumbrella-awards/")</f>
        <v>https://bmf.com.au/news/2025-mumbrella-awards/</v>
      </c>
      <c r="B65" s="7" t="str">
        <f>IFERROR(__xludf.DUMMYFUNCTION("""COMPUTED_VALUE"""),"BMF — BMF takes home four Mumbrella Awards, including creative agency of the year")</f>
        <v>BMF — BMF takes home four Mumbrella Awards, including creative agency of the year</v>
      </c>
      <c r="C65" s="6" t="str">
        <f>IFERROR(__xludf.DUMMYFUNCTION("""COMPUTED_VALUE"""),"bmf.com.au")</f>
        <v>bmf.com.au</v>
      </c>
      <c r="D65" s="7" t="str">
        <f>IFERROR(__xludf.DUMMYFUNCTION("""COMPUTED_VALUE"""),"ARTICLE")</f>
        <v>ARTICLE</v>
      </c>
      <c r="E65" s="7" t="str">
        <f>IFERROR(__xludf.DUMMYFUNCTION("""COMPUTED_VALUE"""),"COMPETITOR")</f>
        <v>COMPETITOR</v>
      </c>
      <c r="F65" s="7" t="str">
        <f>IFERROR(__xludf.DUMMYFUNCTION("""COMPUTED_VALUE"""),"Article")</f>
        <v>Article</v>
      </c>
      <c r="G65" s="7" t="b">
        <f>IFERROR(__xludf.DUMMYFUNCTION("""COMPUTED_VALUE"""),FALSE)</f>
        <v>0</v>
      </c>
      <c r="H65" s="7" t="str">
        <f>IFERROR(__xludf.DUMMYFUNCTION("""COMPUTED_VALUE"""),"BMF")</f>
        <v>BMF</v>
      </c>
      <c r="I65" s="7">
        <f>IFERROR(__xludf.DUMMYFUNCTION("""COMPUTED_VALUE"""),1.0)</f>
        <v>1</v>
      </c>
      <c r="J65" s="7">
        <f>IFERROR(__xludf.DUMMYFUNCTION("""COMPUTED_VALUE"""),0.0)</f>
        <v>0</v>
      </c>
      <c r="K65" s="7">
        <f>IFERROR(__xludf.DUMMYFUNCTION("""COMPUTED_VALUE"""),1.0)</f>
        <v>1</v>
      </c>
    </row>
    <row r="66" ht="15.75" customHeight="1">
      <c r="A66" s="6" t="str">
        <f>IFERROR(__xludf.DUMMYFUNCTION("""COMPUTED_VALUE"""),"https://www.bonfire.com.au/resource/bonfire-retains-google-premier-partner-status-for-10th-consecutive-year/")</f>
        <v>https://www.bonfire.com.au/resource/bonfire-retains-google-premier-partner-status-for-10th-consecutive-year/</v>
      </c>
      <c r="B66" s="7" t="str">
        <f>IFERROR(__xludf.DUMMYFUNCTION("""COMPUTED_VALUE"""),"Bonfire retains Google Premier Partner status for 10th consecutive year - Bonfire Digital")</f>
        <v>Bonfire retains Google Premier Partner status for 10th consecutive year - Bonfire Digital</v>
      </c>
      <c r="C66" s="6" t="str">
        <f>IFERROR(__xludf.DUMMYFUNCTION("""COMPUTED_VALUE"""),"bonfire.com.au")</f>
        <v>bonfire.com.au</v>
      </c>
      <c r="D66" s="7" t="str">
        <f>IFERROR(__xludf.DUMMYFUNCTION("""COMPUTED_VALUE"""),"ARTICLE")</f>
        <v>ARTICLE</v>
      </c>
      <c r="E66" s="7" t="str">
        <f>IFERROR(__xludf.DUMMYFUNCTION("""COMPUTED_VALUE"""),"COMPETITOR")</f>
        <v>COMPETITOR</v>
      </c>
      <c r="F66" s="7" t="str">
        <f>IFERROR(__xludf.DUMMYFUNCTION("""COMPUTED_VALUE"""),"Article")</f>
        <v>Article</v>
      </c>
      <c r="G66" s="7" t="b">
        <f>IFERROR(__xludf.DUMMYFUNCTION("""COMPUTED_VALUE"""),FALSE)</f>
        <v>0</v>
      </c>
      <c r="H66" s="7" t="str">
        <f>IFERROR(__xludf.DUMMYFUNCTION("""COMPUTED_VALUE"""),"Bonfire")</f>
        <v>Bonfire</v>
      </c>
      <c r="I66" s="7">
        <f>IFERROR(__xludf.DUMMYFUNCTION("""COMPUTED_VALUE"""),1.0)</f>
        <v>1</v>
      </c>
      <c r="J66" s="7">
        <f>IFERROR(__xludf.DUMMYFUNCTION("""COMPUTED_VALUE"""),0.0)</f>
        <v>0</v>
      </c>
      <c r="K66" s="7">
        <f>IFERROR(__xludf.DUMMYFUNCTION("""COMPUTED_VALUE"""),0.0)</f>
        <v>0</v>
      </c>
    </row>
    <row r="67" ht="15.75" customHeight="1">
      <c r="A67" s="6" t="str">
        <f>IFERROR(__xludf.DUMMYFUNCTION("""COMPUTED_VALUE"""),"https://www.bonfire.com.au/resource/bonfire-wins-agency-of-the-year-at-2025-ami-marketing-excellence-awards/")</f>
        <v>https://www.bonfire.com.au/resource/bonfire-wins-agency-of-the-year-at-2025-ami-marketing-excellence-awards/</v>
      </c>
      <c r="B67" s="7" t="str">
        <f>IFERROR(__xludf.DUMMYFUNCTION("""COMPUTED_VALUE"""),"Bonfire Wins Agency of the Year at 2025 AMI Marketing Excellence Awards - Bonfire Digital")</f>
        <v>Bonfire Wins Agency of the Year at 2025 AMI Marketing Excellence Awards - Bonfire Digital</v>
      </c>
      <c r="C67" s="6" t="str">
        <f>IFERROR(__xludf.DUMMYFUNCTION("""COMPUTED_VALUE"""),"bonfire.com.au")</f>
        <v>bonfire.com.au</v>
      </c>
      <c r="D67" s="7" t="str">
        <f>IFERROR(__xludf.DUMMYFUNCTION("""COMPUTED_VALUE"""),"ARTICLE")</f>
        <v>ARTICLE</v>
      </c>
      <c r="E67" s="7" t="str">
        <f>IFERROR(__xludf.DUMMYFUNCTION("""COMPUTED_VALUE"""),"COMPETITOR")</f>
        <v>COMPETITOR</v>
      </c>
      <c r="F67" s="7" t="str">
        <f>IFERROR(__xludf.DUMMYFUNCTION("""COMPUTED_VALUE"""),"Article")</f>
        <v>Article</v>
      </c>
      <c r="G67" s="7" t="b">
        <f>IFERROR(__xludf.DUMMYFUNCTION("""COMPUTED_VALUE"""),FALSE)</f>
        <v>0</v>
      </c>
      <c r="H67" s="7" t="str">
        <f>IFERROR(__xludf.DUMMYFUNCTION("""COMPUTED_VALUE"""),"Bonfire, Thinkerbell, Rocket Agency")</f>
        <v>Bonfire, Thinkerbell, Rocket Agency</v>
      </c>
      <c r="I67" s="7">
        <f>IFERROR(__xludf.DUMMYFUNCTION("""COMPUTED_VALUE"""),1.0)</f>
        <v>1</v>
      </c>
      <c r="J67" s="7">
        <f>IFERROR(__xludf.DUMMYFUNCTION("""COMPUTED_VALUE"""),0.0)</f>
        <v>0</v>
      </c>
      <c r="K67" s="7">
        <f>IFERROR(__xludf.DUMMYFUNCTION("""COMPUTED_VALUE"""),2.0)</f>
        <v>2</v>
      </c>
    </row>
    <row r="68" ht="15.75" customHeight="1">
      <c r="A68" s="6" t="str">
        <f>IFERROR(__xludf.DUMMYFUNCTION("""COMPUTED_VALUE"""),"https://www.bonfire.com.au/resource/bonfires-chelsea-craddock-wins-agency-rockstar-at-google-honours-awards/")</f>
        <v>https://www.bonfire.com.au/resource/bonfires-chelsea-craddock-wins-agency-rockstar-at-google-honours-awards/</v>
      </c>
      <c r="B68" s="7" t="str">
        <f>IFERROR(__xludf.DUMMYFUNCTION("""COMPUTED_VALUE"""),"Bonfire’s Chelsea Craddock wins Agency Rockstar at Google Honours Awards - Bonfire Digital")</f>
        <v>Bonfire’s Chelsea Craddock wins Agency Rockstar at Google Honours Awards - Bonfire Digital</v>
      </c>
      <c r="C68" s="6" t="str">
        <f>IFERROR(__xludf.DUMMYFUNCTION("""COMPUTED_VALUE"""),"bonfire.com.au")</f>
        <v>bonfire.com.au</v>
      </c>
      <c r="D68" s="7" t="str">
        <f>IFERROR(__xludf.DUMMYFUNCTION("""COMPUTED_VALUE"""),"ARTICLE")</f>
        <v>ARTICLE</v>
      </c>
      <c r="E68" s="7" t="str">
        <f>IFERROR(__xludf.DUMMYFUNCTION("""COMPUTED_VALUE"""),"COMPETITOR")</f>
        <v>COMPETITOR</v>
      </c>
      <c r="F68" s="7" t="str">
        <f>IFERROR(__xludf.DUMMYFUNCTION("""COMPUTED_VALUE"""),"Article")</f>
        <v>Article</v>
      </c>
      <c r="G68" s="7" t="b">
        <f>IFERROR(__xludf.DUMMYFUNCTION("""COMPUTED_VALUE"""),FALSE)</f>
        <v>0</v>
      </c>
      <c r="H68" s="7" t="str">
        <f>IFERROR(__xludf.DUMMYFUNCTION("""COMPUTED_VALUE"""),"Bonfire, Huge, Thinkerbell, Rocket Agency")</f>
        <v>Bonfire, Huge, Thinkerbell, Rocket Agency</v>
      </c>
      <c r="I68" s="7">
        <f>IFERROR(__xludf.DUMMYFUNCTION("""COMPUTED_VALUE"""),1.0)</f>
        <v>1</v>
      </c>
      <c r="J68" s="7">
        <f>IFERROR(__xludf.DUMMYFUNCTION("""COMPUTED_VALUE"""),0.0)</f>
        <v>0</v>
      </c>
      <c r="K68" s="7">
        <f>IFERROR(__xludf.DUMMYFUNCTION("""COMPUTED_VALUE"""),0.0)</f>
        <v>0</v>
      </c>
    </row>
    <row r="69" ht="15.75" customHeight="1">
      <c r="A69" s="6" t="str">
        <f>IFERROR(__xludf.DUMMYFUNCTION("""COMPUTED_VALUE"""),"https://www.brandinginasia.com/in-marketing-we-trust-announces-leadership-promotions-and-appointments/")</f>
        <v>https://www.brandinginasia.com/in-marketing-we-trust-announces-leadership-promotions-and-appointments/</v>
      </c>
      <c r="B69" s="7" t="str">
        <f>IFERROR(__xludf.DUMMYFUNCTION("""COMPUTED_VALUE"""),"In Marketing We Trust Announces Leadership Promotions and Appointments | Branding in Asia")</f>
        <v>In Marketing We Trust Announces Leadership Promotions and Appointments | Branding in Asia</v>
      </c>
      <c r="C69" s="6" t="str">
        <f>IFERROR(__xludf.DUMMYFUNCTION("""COMPUTED_VALUE"""),"brandinginasia.com")</f>
        <v>brandinginasia.com</v>
      </c>
      <c r="D69" s="7" t="str">
        <f>IFERROR(__xludf.DUMMYFUNCTION("""COMPUTED_VALUE"""),"ARTICLE")</f>
        <v>ARTICLE</v>
      </c>
      <c r="E69" s="7" t="str">
        <f>IFERROR(__xludf.DUMMYFUNCTION("""COMPUTED_VALUE"""),"EDITORIAL")</f>
        <v>EDITORIAL</v>
      </c>
      <c r="F69" s="7" t="str">
        <f>IFERROR(__xludf.DUMMYFUNCTION("""COMPUTED_VALUE"""),"Article")</f>
        <v>Article</v>
      </c>
      <c r="G69" s="7" t="b">
        <f>IFERROR(__xludf.DUMMYFUNCTION("""COMPUTED_VALUE"""),FALSE)</f>
        <v>0</v>
      </c>
      <c r="H69" s="7" t="str">
        <f>IFERROR(__xludf.DUMMYFUNCTION("""COMPUTED_VALUE"""),"In Marketing We Trust, Publicis Groupe")</f>
        <v>In Marketing We Trust, Publicis Groupe</v>
      </c>
      <c r="I69" s="7">
        <f>IFERROR(__xludf.DUMMYFUNCTION("""COMPUTED_VALUE"""),1.0)</f>
        <v>1</v>
      </c>
      <c r="J69" s="7">
        <f>IFERROR(__xludf.DUMMYFUNCTION("""COMPUTED_VALUE"""),0.0)</f>
        <v>0</v>
      </c>
      <c r="K69" s="7">
        <f>IFERROR(__xludf.DUMMYFUNCTION("""COMPUTED_VALUE"""),1.0)</f>
        <v>1</v>
      </c>
    </row>
    <row r="70" ht="15.75" customHeight="1">
      <c r="A70" s="6" t="str">
        <f>IFERROR(__xludf.DUMMYFUNCTION("""COMPUTED_VALUE"""),"https://www.brandinginasia.com/lite-n-easy-appoints-ogilvy-australia-as-agency-of-record/")</f>
        <v>https://www.brandinginasia.com/lite-n-easy-appoints-ogilvy-australia-as-agency-of-record/</v>
      </c>
      <c r="B70" s="7" t="str">
        <f>IFERROR(__xludf.DUMMYFUNCTION("""COMPUTED_VALUE"""),"Lite n’ Easy Appoints Ogilvy Australia as Agency of Record | Branding in Asia")</f>
        <v>Lite n’ Easy Appoints Ogilvy Australia as Agency of Record | Branding in Asia</v>
      </c>
      <c r="C70" s="6" t="str">
        <f>IFERROR(__xludf.DUMMYFUNCTION("""COMPUTED_VALUE"""),"brandinginasia.com")</f>
        <v>brandinginasia.com</v>
      </c>
      <c r="D70" s="7" t="str">
        <f>IFERROR(__xludf.DUMMYFUNCTION("""COMPUTED_VALUE"""),"ARTICLE")</f>
        <v>ARTICLE</v>
      </c>
      <c r="E70" s="7" t="str">
        <f>IFERROR(__xludf.DUMMYFUNCTION("""COMPUTED_VALUE"""),"EDITORIAL")</f>
        <v>EDITORIAL</v>
      </c>
      <c r="F70" s="7" t="str">
        <f>IFERROR(__xludf.DUMMYFUNCTION("""COMPUTED_VALUE"""),"Article")</f>
        <v>Article</v>
      </c>
      <c r="G70" s="7" t="b">
        <f>IFERROR(__xludf.DUMMYFUNCTION("""COMPUTED_VALUE"""),FALSE)</f>
        <v>0</v>
      </c>
      <c r="H70" s="7" t="str">
        <f>IFERROR(__xludf.DUMMYFUNCTION("""COMPUTED_VALUE"""),"Ogilvy Australia")</f>
        <v>Ogilvy Australia</v>
      </c>
      <c r="I70" s="7">
        <f>IFERROR(__xludf.DUMMYFUNCTION("""COMPUTED_VALUE"""),1.0)</f>
        <v>1</v>
      </c>
      <c r="J70" s="7">
        <f>IFERROR(__xludf.DUMMYFUNCTION("""COMPUTED_VALUE"""),0.0)</f>
        <v>0</v>
      </c>
      <c r="K70" s="7">
        <f>IFERROR(__xludf.DUMMYFUNCTION("""COMPUTED_VALUE"""),1.0)</f>
        <v>1</v>
      </c>
    </row>
    <row r="71" ht="15.75" customHeight="1">
      <c r="A71" s="6" t="str">
        <f>IFERROR(__xludf.DUMMYFUNCTION("""COMPUTED_VALUE"""),"https://business.adobe.com/au/blog/basics/marketing-attribution")</f>
        <v>https://business.adobe.com/au/blog/basics/marketing-attribution</v>
      </c>
      <c r="B71" s="7" t="str">
        <f>IFERROR(__xludf.DUMMYFUNCTION("""COMPUTED_VALUE"""),"Marketing attribution — models and best practices")</f>
        <v>Marketing attribution — models and best practices</v>
      </c>
      <c r="C71" s="6" t="str">
        <f>IFERROR(__xludf.DUMMYFUNCTION("""COMPUTED_VALUE"""),"adobe.com")</f>
        <v>adobe.com</v>
      </c>
      <c r="D71" s="7" t="str">
        <f>IFERROR(__xludf.DUMMYFUNCTION("""COMPUTED_VALUE"""),"ARTICLE")</f>
        <v>ARTICLE</v>
      </c>
      <c r="E71" s="7" t="str">
        <f>IFERROR(__xludf.DUMMYFUNCTION("""COMPUTED_VALUE"""),"CORPORATE")</f>
        <v>CORPORATE</v>
      </c>
      <c r="F71" s="7" t="str">
        <f>IFERROR(__xludf.DUMMYFUNCTION("""COMPUTED_VALUE"""),"Article")</f>
        <v>Article</v>
      </c>
      <c r="G71" s="7" t="b">
        <f>IFERROR(__xludf.DUMMYFUNCTION("""COMPUTED_VALUE"""),FALSE)</f>
        <v>0</v>
      </c>
      <c r="H71" s="7"/>
      <c r="I71" s="7">
        <f>IFERROR(__xludf.DUMMYFUNCTION("""COMPUTED_VALUE"""),1.0)</f>
        <v>1</v>
      </c>
      <c r="J71" s="7">
        <f>IFERROR(__xludf.DUMMYFUNCTION("""COMPUTED_VALUE"""),0.0)</f>
        <v>0</v>
      </c>
      <c r="K71" s="7">
        <f>IFERROR(__xludf.DUMMYFUNCTION("""COMPUTED_VALUE"""),1.0)</f>
        <v>1</v>
      </c>
    </row>
    <row r="72" ht="15.75" customHeight="1">
      <c r="A72" s="6" t="str">
        <f>IFERROR(__xludf.DUMMYFUNCTION("""COMPUTED_VALUE"""),"https://www.businessinsider.com/bain-cmo-erika-serow-cannes-lions-2026-7")</f>
        <v>https://www.businessinsider.com/bain-cmo-erika-serow-cannes-lions-2026-7</v>
      </c>
      <c r="B72" s="7" t="str">
        <f>IFERROR(__xludf.DUMMYFUNCTION("""COMPUTED_VALUE"""),"Bain's Erika Serow Says AI Strategy Has Evolved for the Better - Business Insider")</f>
        <v>Bain's Erika Serow Says AI Strategy Has Evolved for the Better - Business Insider</v>
      </c>
      <c r="C72" s="6" t="str">
        <f>IFERROR(__xludf.DUMMYFUNCTION("""COMPUTED_VALUE"""),"businessinsider.com")</f>
        <v>businessinsider.com</v>
      </c>
      <c r="D72" s="7" t="str">
        <f>IFERROR(__xludf.DUMMYFUNCTION("""COMPUTED_VALUE"""),"ARTICLE")</f>
        <v>ARTICLE</v>
      </c>
      <c r="E72" s="7" t="str">
        <f>IFERROR(__xludf.DUMMYFUNCTION("""COMPUTED_VALUE"""),"EDITORIAL")</f>
        <v>EDITORIAL</v>
      </c>
      <c r="F72" s="7" t="str">
        <f>IFERROR(__xludf.DUMMYFUNCTION("""COMPUTED_VALUE"""),"Article")</f>
        <v>Article</v>
      </c>
      <c r="G72" s="7" t="b">
        <f>IFERROR(__xludf.DUMMYFUNCTION("""COMPUTED_VALUE"""),FALSE)</f>
        <v>0</v>
      </c>
      <c r="H72" s="7"/>
      <c r="I72" s="7">
        <f>IFERROR(__xludf.DUMMYFUNCTION("""COMPUTED_VALUE"""),1.0)</f>
        <v>1</v>
      </c>
      <c r="J72" s="7">
        <f>IFERROR(__xludf.DUMMYFUNCTION("""COMPUTED_VALUE"""),0.0)</f>
        <v>0</v>
      </c>
      <c r="K72" s="7">
        <f>IFERROR(__xludf.DUMMYFUNCTION("""COMPUTED_VALUE"""),2.0)</f>
        <v>2</v>
      </c>
    </row>
    <row r="73" ht="15.75" customHeight="1">
      <c r="A73" s="6" t="str">
        <f>IFERROR(__xludf.DUMMYFUNCTION("""COMPUTED_VALUE"""),"https://campaignbrief.com/ikea-australia-appoints-host-havas-as-new-creative-agency-ends-partnership-with-chep/")</f>
        <v>https://campaignbrief.com/ikea-australia-appoints-host-havas-as-new-creative-agency-ends-partnership-with-chep/</v>
      </c>
      <c r="B73" s="7" t="str">
        <f>IFERROR(__xludf.DUMMYFUNCTION("""COMPUTED_VALUE"""),"IKEA Australia appoints Host/Havas as new creative agency; ends partnership with CHEP – Campaign Brief")</f>
        <v>IKEA Australia appoints Host/Havas as new creative agency; ends partnership with CHEP – Campaign Brief</v>
      </c>
      <c r="C73" s="6" t="str">
        <f>IFERROR(__xludf.DUMMYFUNCTION("""COMPUTED_VALUE"""),"campaignbrief.com")</f>
        <v>campaignbrief.com</v>
      </c>
      <c r="D73" s="7" t="str">
        <f>IFERROR(__xludf.DUMMYFUNCTION("""COMPUTED_VALUE"""),"ARTICLE")</f>
        <v>ARTICLE</v>
      </c>
      <c r="E73" s="7" t="str">
        <f>IFERROR(__xludf.DUMMYFUNCTION("""COMPUTED_VALUE"""),"EDITORIAL")</f>
        <v>EDITORIAL</v>
      </c>
      <c r="F73" s="7" t="str">
        <f>IFERROR(__xludf.DUMMYFUNCTION("""COMPUTED_VALUE"""),"Article")</f>
        <v>Article</v>
      </c>
      <c r="G73" s="7" t="b">
        <f>IFERROR(__xludf.DUMMYFUNCTION("""COMPUTED_VALUE"""),FALSE)</f>
        <v>0</v>
      </c>
      <c r="H73" s="7" t="str">
        <f>IFERROR(__xludf.DUMMYFUNCTION("""COMPUTED_VALUE"""),"Mindshare")</f>
        <v>Mindshare</v>
      </c>
      <c r="I73" s="7">
        <f>IFERROR(__xludf.DUMMYFUNCTION("""COMPUTED_VALUE"""),1.0)</f>
        <v>1</v>
      </c>
      <c r="J73" s="7">
        <f>IFERROR(__xludf.DUMMYFUNCTION("""COMPUTED_VALUE"""),0.0)</f>
        <v>0</v>
      </c>
      <c r="K73" s="7">
        <f>IFERROR(__xludf.DUMMYFUNCTION("""COMPUTED_VALUE"""),1.0)</f>
        <v>1</v>
      </c>
    </row>
    <row r="74" ht="15.75" customHeight="1">
      <c r="A74" s="6" t="str">
        <f>IFERROR(__xludf.DUMMYFUNCTION("""COMPUTED_VALUE"""),"https://campaignbrief.com/in-marketing-we-trust-joins-top-1-of-google-agency-partners-in-australia/")</f>
        <v>https://campaignbrief.com/in-marketing-we-trust-joins-top-1-of-google-agency-partners-in-australia/</v>
      </c>
      <c r="B74" s="7" t="str">
        <f>IFERROR(__xludf.DUMMYFUNCTION("""COMPUTED_VALUE"""),"In Marketing We Trust joins Top 1% of Google Agency Partners in Australia – Campaign Brief")</f>
        <v>In Marketing We Trust joins Top 1% of Google Agency Partners in Australia – Campaign Brief</v>
      </c>
      <c r="C74" s="6" t="str">
        <f>IFERROR(__xludf.DUMMYFUNCTION("""COMPUTED_VALUE"""),"campaignbrief.com")</f>
        <v>campaignbrief.com</v>
      </c>
      <c r="D74" s="7" t="str">
        <f>IFERROR(__xludf.DUMMYFUNCTION("""COMPUTED_VALUE"""),"ARTICLE")</f>
        <v>ARTICLE</v>
      </c>
      <c r="E74" s="7" t="str">
        <f>IFERROR(__xludf.DUMMYFUNCTION("""COMPUTED_VALUE"""),"EDITORIAL")</f>
        <v>EDITORIAL</v>
      </c>
      <c r="F74" s="7" t="str">
        <f>IFERROR(__xludf.DUMMYFUNCTION("""COMPUTED_VALUE"""),"Article")</f>
        <v>Article</v>
      </c>
      <c r="G74" s="7" t="b">
        <f>IFERROR(__xludf.DUMMYFUNCTION("""COMPUTED_VALUE"""),FALSE)</f>
        <v>0</v>
      </c>
      <c r="H74" s="7" t="str">
        <f>IFERROR(__xludf.DUMMYFUNCTION("""COMPUTED_VALUE"""),"In Marketing We Trust")</f>
        <v>In Marketing We Trust</v>
      </c>
      <c r="I74" s="7">
        <f>IFERROR(__xludf.DUMMYFUNCTION("""COMPUTED_VALUE"""),1.0)</f>
        <v>1</v>
      </c>
      <c r="J74" s="7">
        <f>IFERROR(__xludf.DUMMYFUNCTION("""COMPUTED_VALUE"""),0.0)</f>
        <v>0</v>
      </c>
      <c r="K74" s="7">
        <f>IFERROR(__xludf.DUMMYFUNCTION("""COMPUTED_VALUE"""),3.0)</f>
        <v>3</v>
      </c>
    </row>
    <row r="75" ht="15.75" customHeight="1">
      <c r="A75" s="6" t="str">
        <f>IFERROR(__xludf.DUMMYFUNCTION("""COMPUTED_VALUE"""),"https://campaignbrief.com/its-hello-not-goodbye-a-retrospective-look-at-the-monkeys-and-welcome-to-droga5/")</f>
        <v>https://campaignbrief.com/its-hello-not-goodbye-a-retrospective-look-at-the-monkeys-and-welcome-to-droga5/</v>
      </c>
      <c r="B75" s="7" t="str">
        <f>IFERROR(__xludf.DUMMYFUNCTION("""COMPUTED_VALUE"""),"It’s hello, not goodbye: A retrospective look at The Monkeys and welcome to Droga5 – Campaign Brief")</f>
        <v>It’s hello, not goodbye: A retrospective look at The Monkeys and welcome to Droga5 – Campaign Brief</v>
      </c>
      <c r="C75" s="6" t="str">
        <f>IFERROR(__xludf.DUMMYFUNCTION("""COMPUTED_VALUE"""),"campaignbrief.com")</f>
        <v>campaignbrief.com</v>
      </c>
      <c r="D75" s="7" t="str">
        <f>IFERROR(__xludf.DUMMYFUNCTION("""COMPUTED_VALUE"""),"ARTICLE")</f>
        <v>ARTICLE</v>
      </c>
      <c r="E75" s="7" t="str">
        <f>IFERROR(__xludf.DUMMYFUNCTION("""COMPUTED_VALUE"""),"EDITORIAL")</f>
        <v>EDITORIAL</v>
      </c>
      <c r="F75" s="7" t="str">
        <f>IFERROR(__xludf.DUMMYFUNCTION("""COMPUTED_VALUE"""),"Article")</f>
        <v>Article</v>
      </c>
      <c r="G75" s="7" t="b">
        <f>IFERROR(__xludf.DUMMYFUNCTION("""COMPUTED_VALUE"""),FALSE)</f>
        <v>0</v>
      </c>
      <c r="H75" s="7" t="str">
        <f>IFERROR(__xludf.DUMMYFUNCTION("""COMPUTED_VALUE"""),"The Monkeys, Accenture Song")</f>
        <v>The Monkeys, Accenture Song</v>
      </c>
      <c r="I75" s="7">
        <f>IFERROR(__xludf.DUMMYFUNCTION("""COMPUTED_VALUE"""),1.0)</f>
        <v>1</v>
      </c>
      <c r="J75" s="7">
        <f>IFERROR(__xludf.DUMMYFUNCTION("""COMPUTED_VALUE"""),0.0)</f>
        <v>0</v>
      </c>
      <c r="K75" s="7">
        <f>IFERROR(__xludf.DUMMYFUNCTION("""COMPUTED_VALUE"""),1.0)</f>
        <v>1</v>
      </c>
    </row>
    <row r="76" ht="15.75" customHeight="1">
      <c r="A76" s="6" t="str">
        <f>IFERROR(__xludf.DUMMYFUNCTION("""COMPUTED_VALUE"""),"https://www.designrush.com/agency/digital-marketing/trends/incrementality-testing")</f>
        <v>https://www.designrush.com/agency/digital-marketing/trends/incrementality-testing</v>
      </c>
      <c r="B76" s="7" t="str">
        <f>IFERROR(__xludf.DUMMYFUNCTION("""COMPUTED_VALUE"""),"Incrementality Testing: Measure True Marketing Impact")</f>
        <v>Incrementality Testing: Measure True Marketing Impact</v>
      </c>
      <c r="C76" s="6" t="str">
        <f>IFERROR(__xludf.DUMMYFUNCTION("""COMPUTED_VALUE"""),"designrush.com")</f>
        <v>designrush.com</v>
      </c>
      <c r="D76" s="7" t="str">
        <f>IFERROR(__xludf.DUMMYFUNCTION("""COMPUTED_VALUE"""),"ARTICLE")</f>
        <v>ARTICLE</v>
      </c>
      <c r="E76" s="7" t="str">
        <f>IFERROR(__xludf.DUMMYFUNCTION("""COMPUTED_VALUE"""),"CORPORATE")</f>
        <v>CORPORATE</v>
      </c>
      <c r="F76" s="7" t="str">
        <f>IFERROR(__xludf.DUMMYFUNCTION("""COMPUTED_VALUE"""),"Article")</f>
        <v>Article</v>
      </c>
      <c r="G76" s="7" t="b">
        <f>IFERROR(__xludf.DUMMYFUNCTION("""COMPUTED_VALUE"""),FALSE)</f>
        <v>0</v>
      </c>
      <c r="H76" s="7" t="str">
        <f>IFERROR(__xludf.DUMMYFUNCTION("""COMPUTED_VALUE"""),"Measured, Power Digital")</f>
        <v>Measured, Power Digital</v>
      </c>
      <c r="I76" s="7">
        <f>IFERROR(__xludf.DUMMYFUNCTION("""COMPUTED_VALUE"""),1.0)</f>
        <v>1</v>
      </c>
      <c r="J76" s="7">
        <f>IFERROR(__xludf.DUMMYFUNCTION("""COMPUTED_VALUE"""),0.0)</f>
        <v>0</v>
      </c>
      <c r="K76" s="7">
        <f>IFERROR(__xludf.DUMMYFUNCTION("""COMPUTED_VALUE"""),1.0)</f>
        <v>1</v>
      </c>
    </row>
    <row r="77" ht="15.75" customHeight="1">
      <c r="A77" s="6" t="str">
        <f>IFERROR(__xludf.DUMMYFUNCTION("""COMPUTED_VALUE"""),"https://www.eventbrite.com.au/blog/case-studies/loves-data-chooses-eventbrite-one-stop-shop-wide-range-events-ds1d/")</f>
        <v>https://www.eventbrite.com.au/blog/case-studies/loves-data-chooses-eventbrite-one-stop-shop-wide-range-events-ds1d/</v>
      </c>
      <c r="B77" s="7" t="str">
        <f>IFERROR(__xludf.DUMMYFUNCTION("""COMPUTED_VALUE"""),"Why Loves Data chooses Eventbrite as Their One-Stop-Shop for a Wide Range of Events - Eventbrite Blog")</f>
        <v>Why Loves Data chooses Eventbrite as Their One-Stop-Shop for a Wide Range of Events - Eventbrite Blog</v>
      </c>
      <c r="C77" s="6" t="str">
        <f>IFERROR(__xludf.DUMMYFUNCTION("""COMPUTED_VALUE"""),"eventbrite.com.au")</f>
        <v>eventbrite.com.au</v>
      </c>
      <c r="D77" s="7" t="str">
        <f>IFERROR(__xludf.DUMMYFUNCTION("""COMPUTED_VALUE"""),"ARTICLE")</f>
        <v>ARTICLE</v>
      </c>
      <c r="E77" s="7" t="str">
        <f>IFERROR(__xludf.DUMMYFUNCTION("""COMPUTED_VALUE"""),"UGC")</f>
        <v>UGC</v>
      </c>
      <c r="F77" s="7" t="str">
        <f>IFERROR(__xludf.DUMMYFUNCTION("""COMPUTED_VALUE"""),"Article")</f>
        <v>Article</v>
      </c>
      <c r="G77" s="7" t="b">
        <f>IFERROR(__xludf.DUMMYFUNCTION("""COMPUTED_VALUE"""),FALSE)</f>
        <v>0</v>
      </c>
      <c r="H77" s="7" t="str">
        <f>IFERROR(__xludf.DUMMYFUNCTION("""COMPUTED_VALUE"""),"Loves Data")</f>
        <v>Loves Data</v>
      </c>
      <c r="I77" s="7">
        <f>IFERROR(__xludf.DUMMYFUNCTION("""COMPUTED_VALUE"""),1.0)</f>
        <v>1</v>
      </c>
      <c r="J77" s="7">
        <f>IFERROR(__xludf.DUMMYFUNCTION("""COMPUTED_VALUE"""),0.0)</f>
        <v>0</v>
      </c>
      <c r="K77" s="7">
        <f>IFERROR(__xludf.DUMMYFUNCTION("""COMPUTED_VALUE"""),1.0)</f>
        <v>1</v>
      </c>
    </row>
    <row r="78" ht="15.75" customHeight="1">
      <c r="A78" s="6" t="str">
        <f>IFERROR(__xludf.DUMMYFUNCTION("""COMPUTED_VALUE"""),"https://www.facebook.com/business/marketing-partners/business-innovation-technology-podcast/Marketing_Mix_Modeling_Utilizing_Open_Source")</f>
        <v>https://www.facebook.com/business/marketing-partners/business-innovation-technology-podcast/Marketing_Mix_Modeling_Utilizing_Open_Source</v>
      </c>
      <c r="B78" s="7" t="str">
        <f>IFERROR(__xludf.DUMMYFUNCTION("""COMPUTED_VALUE"""),"MMM: Utilizing Open Source Technologies to Improve Advertising ROI \| Meta for Business")</f>
        <v>MMM: Utilizing Open Source Technologies to Improve Advertising ROI \| Meta for Business</v>
      </c>
      <c r="C78" s="6" t="str">
        <f>IFERROR(__xludf.DUMMYFUNCTION("""COMPUTED_VALUE"""),"facebook.com")</f>
        <v>facebook.com</v>
      </c>
      <c r="D78" s="7" t="str">
        <f>IFERROR(__xludf.DUMMYFUNCTION("""COMPUTED_VALUE"""),"ARTICLE")</f>
        <v>ARTICLE</v>
      </c>
      <c r="E78" s="7" t="str">
        <f>IFERROR(__xludf.DUMMYFUNCTION("""COMPUTED_VALUE"""),"UGC")</f>
        <v>UGC</v>
      </c>
      <c r="F78" s="7" t="str">
        <f>IFERROR(__xludf.DUMMYFUNCTION("""COMPUTED_VALUE"""),"Article")</f>
        <v>Article</v>
      </c>
      <c r="G78" s="7" t="b">
        <f>IFERROR(__xludf.DUMMYFUNCTION("""COMPUTED_VALUE"""),FALSE)</f>
        <v>0</v>
      </c>
      <c r="H78" s="7" t="str">
        <f>IFERROR(__xludf.DUMMYFUNCTION("""COMPUTED_VALUE"""),"Deloitte, Measured")</f>
        <v>Deloitte, Measured</v>
      </c>
      <c r="I78" s="7">
        <f>IFERROR(__xludf.DUMMYFUNCTION("""COMPUTED_VALUE"""),1.0)</f>
        <v>1</v>
      </c>
      <c r="J78" s="7">
        <f>IFERROR(__xludf.DUMMYFUNCTION("""COMPUTED_VALUE"""),0.0)</f>
        <v>0</v>
      </c>
      <c r="K78" s="7">
        <f>IFERROR(__xludf.DUMMYFUNCTION("""COMPUTED_VALUE"""),1.0)</f>
        <v>1</v>
      </c>
    </row>
    <row r="79" ht="15.75" customHeight="1">
      <c r="A79" s="6" t="str">
        <f>IFERROR(__xludf.DUMMYFUNCTION("""COMPUTED_VALUE"""),"https://funnel.io/blog/incrementality")</f>
        <v>https://funnel.io/blog/incrementality</v>
      </c>
      <c r="B79" s="7" t="str">
        <f>IFERROR(__xludf.DUMMYFUNCTION("""COMPUTED_VALUE"""),"What is incrementality? The marketer's guide for 2025.")</f>
        <v>What is incrementality? The marketer's guide for 2025.</v>
      </c>
      <c r="C79" s="6" t="str">
        <f>IFERROR(__xludf.DUMMYFUNCTION("""COMPUTED_VALUE"""),"funnel.io")</f>
        <v>funnel.io</v>
      </c>
      <c r="D79" s="7" t="str">
        <f>IFERROR(__xludf.DUMMYFUNCTION("""COMPUTED_VALUE"""),"ARTICLE")</f>
        <v>ARTICLE</v>
      </c>
      <c r="E79" s="7" t="str">
        <f>IFERROR(__xludf.DUMMYFUNCTION("""COMPUTED_VALUE"""),"CORPORATE")</f>
        <v>CORPORATE</v>
      </c>
      <c r="F79" s="7" t="str">
        <f>IFERROR(__xludf.DUMMYFUNCTION("""COMPUTED_VALUE"""),"Article")</f>
        <v>Article</v>
      </c>
      <c r="G79" s="7" t="b">
        <f>IFERROR(__xludf.DUMMYFUNCTION("""COMPUTED_VALUE"""),FALSE)</f>
        <v>0</v>
      </c>
      <c r="H79" s="7"/>
      <c r="I79" s="7">
        <f>IFERROR(__xludf.DUMMYFUNCTION("""COMPUTED_VALUE"""),1.0)</f>
        <v>1</v>
      </c>
      <c r="J79" s="7">
        <f>IFERROR(__xludf.DUMMYFUNCTION("""COMPUTED_VALUE"""),0.0)</f>
        <v>0</v>
      </c>
      <c r="K79" s="7">
        <f>IFERROR(__xludf.DUMMYFUNCTION("""COMPUTED_VALUE"""),1.0)</f>
        <v>1</v>
      </c>
    </row>
    <row r="80" ht="15.75" customHeight="1">
      <c r="A80" s="6" t="str">
        <f>IFERROR(__xludf.DUMMYFUNCTION("""COMPUTED_VALUE"""),"https://funnel.io/case-studies/sparro")</f>
        <v>https://funnel.io/case-studies/sparro</v>
      </c>
      <c r="B80" s="7" t="str">
        <f>IFERROR(__xludf.DUMMYFUNCTION("""COMPUTED_VALUE"""),"Sparro’s data team drives additional revenue with Funnel")</f>
        <v>Sparro’s data team drives additional revenue with Funnel</v>
      </c>
      <c r="C80" s="6" t="str">
        <f>IFERROR(__xludf.DUMMYFUNCTION("""COMPUTED_VALUE"""),"funnel.io")</f>
        <v>funnel.io</v>
      </c>
      <c r="D80" s="7" t="str">
        <f>IFERROR(__xludf.DUMMYFUNCTION("""COMPUTED_VALUE"""),"ARTICLE")</f>
        <v>ARTICLE</v>
      </c>
      <c r="E80" s="7" t="str">
        <f>IFERROR(__xludf.DUMMYFUNCTION("""COMPUTED_VALUE"""),"CORPORATE")</f>
        <v>CORPORATE</v>
      </c>
      <c r="F80" s="7" t="str">
        <f>IFERROR(__xludf.DUMMYFUNCTION("""COMPUTED_VALUE"""),"Article")</f>
        <v>Article</v>
      </c>
      <c r="G80" s="7" t="b">
        <f>IFERROR(__xludf.DUMMYFUNCTION("""COMPUTED_VALUE"""),FALSE)</f>
        <v>0</v>
      </c>
      <c r="H80" s="7" t="str">
        <f>IFERROR(__xludf.DUMMYFUNCTION("""COMPUTED_VALUE"""),"Sparro, Brainlabs")</f>
        <v>Sparro, Brainlabs</v>
      </c>
      <c r="I80" s="7">
        <f>IFERROR(__xludf.DUMMYFUNCTION("""COMPUTED_VALUE"""),1.0)</f>
        <v>1</v>
      </c>
      <c r="J80" s="7">
        <f>IFERROR(__xludf.DUMMYFUNCTION("""COMPUTED_VALUE"""),0.0)</f>
        <v>0</v>
      </c>
      <c r="K80" s="7">
        <f>IFERROR(__xludf.DUMMYFUNCTION("""COMPUTED_VALUE"""),2.0)</f>
        <v>2</v>
      </c>
    </row>
    <row r="81" ht="15.75" customHeight="1">
      <c r="A81" s="6" t="str">
        <f>IFERROR(__xludf.DUMMYFUNCTION("""COMPUTED_VALUE"""),"https://fzpdigital.com/marketing-firms/")</f>
        <v>https://fzpdigital.com/marketing-firms/</v>
      </c>
      <c r="B81" s="7" t="str">
        <f>IFERROR(__xludf.DUMMYFUNCTION("""COMPUTED_VALUE"""),"Marketing Firms: Ultimate 2025 Guide")</f>
        <v>Marketing Firms: Ultimate 2025 Guide</v>
      </c>
      <c r="C81" s="6" t="str">
        <f>IFERROR(__xludf.DUMMYFUNCTION("""COMPUTED_VALUE"""),"fzpdigital.com")</f>
        <v>fzpdigital.com</v>
      </c>
      <c r="D81" s="7" t="str">
        <f>IFERROR(__xludf.DUMMYFUNCTION("""COMPUTED_VALUE"""),"ARTICLE")</f>
        <v>ARTICLE</v>
      </c>
      <c r="E81" s="7" t="str">
        <f>IFERROR(__xludf.DUMMYFUNCTION("""COMPUTED_VALUE"""),"CORPORATE")</f>
        <v>CORPORATE</v>
      </c>
      <c r="F81" s="7" t="str">
        <f>IFERROR(__xludf.DUMMYFUNCTION("""COMPUTED_VALUE"""),"Article")</f>
        <v>Article</v>
      </c>
      <c r="G81" s="7" t="b">
        <f>IFERROR(__xludf.DUMMYFUNCTION("""COMPUTED_VALUE"""),FALSE)</f>
        <v>0</v>
      </c>
      <c r="H81" s="7" t="str">
        <f>IFERROR(__xludf.DUMMYFUNCTION("""COMPUTED_VALUE"""),"Impressive, Huge")</f>
        <v>Impressive, Huge</v>
      </c>
      <c r="I81" s="7">
        <f>IFERROR(__xludf.DUMMYFUNCTION("""COMPUTED_VALUE"""),1.0)</f>
        <v>1</v>
      </c>
      <c r="J81" s="7">
        <f>IFERROR(__xludf.DUMMYFUNCTION("""COMPUTED_VALUE"""),0.0)</f>
        <v>0</v>
      </c>
      <c r="K81" s="7">
        <f>IFERROR(__xludf.DUMMYFUNCTION("""COMPUTED_VALUE"""),1.0)</f>
        <v>1</v>
      </c>
    </row>
    <row r="82" ht="15.75" customHeight="1">
      <c r="A82" s="6" t="str">
        <f>IFERROR(__xludf.DUMMYFUNCTION("""COMPUTED_VALUE"""),"https://www.hockeystack.com/blog-posts/types-of-marketing-analytics-and-how-they-affect-marketing-strategies")</f>
        <v>https://www.hockeystack.com/blog-posts/types-of-marketing-analytics-and-how-they-affect-marketing-strategies</v>
      </c>
      <c r="B82" s="7" t="str">
        <f>IFERROR(__xludf.DUMMYFUNCTION("""COMPUTED_VALUE"""),"Types of Marketing Analytics and How They Affect Marketing Strategies")</f>
        <v>Types of Marketing Analytics and How They Affect Marketing Strategies</v>
      </c>
      <c r="C82" s="6" t="str">
        <f>IFERROR(__xludf.DUMMYFUNCTION("""COMPUTED_VALUE"""),"hockeystack.com")</f>
        <v>hockeystack.com</v>
      </c>
      <c r="D82" s="7" t="str">
        <f>IFERROR(__xludf.DUMMYFUNCTION("""COMPUTED_VALUE"""),"ARTICLE")</f>
        <v>ARTICLE</v>
      </c>
      <c r="E82" s="7" t="str">
        <f>IFERROR(__xludf.DUMMYFUNCTION("""COMPUTED_VALUE"""),"CORPORATE")</f>
        <v>CORPORATE</v>
      </c>
      <c r="F82" s="7" t="str">
        <f>IFERROR(__xludf.DUMMYFUNCTION("""COMPUTED_VALUE"""),"Article")</f>
        <v>Article</v>
      </c>
      <c r="G82" s="7" t="b">
        <f>IFERROR(__xludf.DUMMYFUNCTION("""COMPUTED_VALUE"""),FALSE)</f>
        <v>0</v>
      </c>
      <c r="H82" s="7" t="str">
        <f>IFERROR(__xludf.DUMMYFUNCTION("""COMPUTED_VALUE"""),"Huge, Measured")</f>
        <v>Huge, Measured</v>
      </c>
      <c r="I82" s="7">
        <f>IFERROR(__xludf.DUMMYFUNCTION("""COMPUTED_VALUE"""),1.0)</f>
        <v>1</v>
      </c>
      <c r="J82" s="7">
        <f>IFERROR(__xludf.DUMMYFUNCTION("""COMPUTED_VALUE"""),0.0)</f>
        <v>0</v>
      </c>
      <c r="K82" s="7">
        <f>IFERROR(__xludf.DUMMYFUNCTION("""COMPUTED_VALUE"""),1.0)</f>
        <v>1</v>
      </c>
    </row>
    <row r="83" ht="15.75" customHeight="1">
      <c r="A83" s="6" t="str">
        <f>IFERROR(__xludf.DUMMYFUNCTION("""COMPUTED_VALUE"""),"https://hoefonsecurityseals.com/business/authorized-economic-operator-aeo/")</f>
        <v>https://hoefonsecurityseals.com/business/authorized-economic-operator-aeo/</v>
      </c>
      <c r="B83" s="7" t="str">
        <f>IFERROR(__xludf.DUMMYFUNCTION("""COMPUTED_VALUE"""),"Authorized Economic Operator (AEO). The complete guide - Hoefon")</f>
        <v>Authorized Economic Operator (AEO). The complete guide - Hoefon</v>
      </c>
      <c r="C83" s="6" t="str">
        <f>IFERROR(__xludf.DUMMYFUNCTION("""COMPUTED_VALUE"""),"hoefonsecurityseals.com")</f>
        <v>hoefonsecurityseals.com</v>
      </c>
      <c r="D83" s="7" t="str">
        <f>IFERROR(__xludf.DUMMYFUNCTION("""COMPUTED_VALUE"""),"ARTICLE")</f>
        <v>ARTICLE</v>
      </c>
      <c r="E83" s="7" t="str">
        <f>IFERROR(__xludf.DUMMYFUNCTION("""COMPUTED_VALUE"""),"CORPORATE")</f>
        <v>CORPORATE</v>
      </c>
      <c r="F83" s="7" t="str">
        <f>IFERROR(__xludf.DUMMYFUNCTION("""COMPUTED_VALUE"""),"Article")</f>
        <v>Article</v>
      </c>
      <c r="G83" s="7" t="b">
        <f>IFERROR(__xludf.DUMMYFUNCTION("""COMPUTED_VALUE"""),FALSE)</f>
        <v>0</v>
      </c>
      <c r="H83" s="7"/>
      <c r="I83" s="7">
        <f>IFERROR(__xludf.DUMMYFUNCTION("""COMPUTED_VALUE"""),1.0)</f>
        <v>1</v>
      </c>
      <c r="J83" s="7">
        <f>IFERROR(__xludf.DUMMYFUNCTION("""COMPUTED_VALUE"""),0.0)</f>
        <v>0</v>
      </c>
      <c r="K83" s="7">
        <f>IFERROR(__xludf.DUMMYFUNCTION("""COMPUTED_VALUE"""),1.0)</f>
        <v>1</v>
      </c>
    </row>
    <row r="84" ht="15.75" customHeight="1">
      <c r="A84" s="6" t="str">
        <f>IFERROR(__xludf.DUMMYFUNCTION("""COMPUTED_VALUE"""),"https://www.iabaustralia.com.au/resource/market-mix-modelling-landscape-report-2025/")</f>
        <v>https://www.iabaustralia.com.au/resource/market-mix-modelling-landscape-report-2025/</v>
      </c>
      <c r="B84" s="7" t="str">
        <f>IFERROR(__xludf.DUMMYFUNCTION("""COMPUTED_VALUE"""),"Market Mix Modelling Landscape Report 2025 Insights")</f>
        <v>Market Mix Modelling Landscape Report 2025 Insights</v>
      </c>
      <c r="C84" s="6" t="str">
        <f>IFERROR(__xludf.DUMMYFUNCTION("""COMPUTED_VALUE"""),"iabaustralia.com.au")</f>
        <v>iabaustralia.com.au</v>
      </c>
      <c r="D84" s="7" t="str">
        <f>IFERROR(__xludf.DUMMYFUNCTION("""COMPUTED_VALUE"""),"ARTICLE")</f>
        <v>ARTICLE</v>
      </c>
      <c r="E84" s="7" t="str">
        <f>IFERROR(__xludf.DUMMYFUNCTION("""COMPUTED_VALUE"""),"INSTITUTIONAL")</f>
        <v>INSTITUTIONAL</v>
      </c>
      <c r="F84" s="7" t="str">
        <f>IFERROR(__xludf.DUMMYFUNCTION("""COMPUTED_VALUE"""),"Article")</f>
        <v>Article</v>
      </c>
      <c r="G84" s="7" t="b">
        <f>IFERROR(__xludf.DUMMYFUNCTION("""COMPUTED_VALUE"""),FALSE)</f>
        <v>0</v>
      </c>
      <c r="H84" s="7" t="str">
        <f>IFERROR(__xludf.DUMMYFUNCTION("""COMPUTED_VALUE"""),"Analytic Partners, Lifesight, Mutinex")</f>
        <v>Analytic Partners, Lifesight, Mutinex</v>
      </c>
      <c r="I84" s="7">
        <f>IFERROR(__xludf.DUMMYFUNCTION("""COMPUTED_VALUE"""),1.0)</f>
        <v>1</v>
      </c>
      <c r="J84" s="7">
        <f>IFERROR(__xludf.DUMMYFUNCTION("""COMPUTED_VALUE"""),0.0)</f>
        <v>0</v>
      </c>
      <c r="K84" s="7">
        <f>IFERROR(__xludf.DUMMYFUNCTION("""COMPUTED_VALUE"""),2.0)</f>
        <v>2</v>
      </c>
    </row>
    <row r="85" ht="15.75" customHeight="1">
      <c r="A85" s="6" t="str">
        <f>IFERROR(__xludf.DUMMYFUNCTION("""COMPUTED_VALUE"""),"https://incubeta.com/news-and-resources/incubeta-joins-googles-international-growth-program/")</f>
        <v>https://incubeta.com/news-and-resources/incubeta-joins-googles-international-growth-program/</v>
      </c>
      <c r="B85" s="7" t="str">
        <f>IFERROR(__xludf.DUMMYFUNCTION("""COMPUTED_VALUE"""),"Incubeta Joins Google’s International Growth Program. | Incubeta")</f>
        <v>Incubeta Joins Google’s International Growth Program. | Incubeta</v>
      </c>
      <c r="C85" s="6" t="str">
        <f>IFERROR(__xludf.DUMMYFUNCTION("""COMPUTED_VALUE"""),"incubeta.com")</f>
        <v>incubeta.com</v>
      </c>
      <c r="D85" s="7" t="str">
        <f>IFERROR(__xludf.DUMMYFUNCTION("""COMPUTED_VALUE"""),"ARTICLE")</f>
        <v>ARTICLE</v>
      </c>
      <c r="E85" s="7" t="str">
        <f>IFERROR(__xludf.DUMMYFUNCTION("""COMPUTED_VALUE"""),"OWN")</f>
        <v>OWN</v>
      </c>
      <c r="F85" s="7" t="str">
        <f>IFERROR(__xludf.DUMMYFUNCTION("""COMPUTED_VALUE"""),"Article")</f>
        <v>Article</v>
      </c>
      <c r="G85" s="7" t="b">
        <f>IFERROR(__xludf.DUMMYFUNCTION("""COMPUTED_VALUE"""),TRUE)</f>
        <v>1</v>
      </c>
      <c r="H85" s="7" t="str">
        <f>IFERROR(__xludf.DUMMYFUNCTION("""COMPUTED_VALUE"""),"Incubeta")</f>
        <v>Incubeta</v>
      </c>
      <c r="I85" s="7">
        <f>IFERROR(__xludf.DUMMYFUNCTION("""COMPUTED_VALUE"""),1.0)</f>
        <v>1</v>
      </c>
      <c r="J85" s="7">
        <f>IFERROR(__xludf.DUMMYFUNCTION("""COMPUTED_VALUE"""),0.0)</f>
        <v>0</v>
      </c>
      <c r="K85" s="7">
        <f>IFERROR(__xludf.DUMMYFUNCTION("""COMPUTED_VALUE"""),0.0)</f>
        <v>0</v>
      </c>
    </row>
    <row r="86" ht="15.75" customHeight="1">
      <c r="A86" s="6" t="str">
        <f>IFERROR(__xludf.DUMMYFUNCTION("""COMPUTED_VALUE"""),"https://inmarketingwetrust.com.au/reverse-engineering-the-dark-funnel/")</f>
        <v>https://inmarketingwetrust.com.au/reverse-engineering-the-dark-funnel/</v>
      </c>
      <c r="B86" s="7" t="str">
        <f>IFERROR(__xludf.DUMMYFUNCTION("""COMPUTED_VALUE"""),"Reverse-Engineering the Dark Funnel - In Marketing We Trust")</f>
        <v>Reverse-Engineering the Dark Funnel - In Marketing We Trust</v>
      </c>
      <c r="C86" s="6" t="str">
        <f>IFERROR(__xludf.DUMMYFUNCTION("""COMPUTED_VALUE"""),"inmarketingwetrust.com.au")</f>
        <v>inmarketingwetrust.com.au</v>
      </c>
      <c r="D86" s="7" t="str">
        <f>IFERROR(__xludf.DUMMYFUNCTION("""COMPUTED_VALUE"""),"ARTICLE")</f>
        <v>ARTICLE</v>
      </c>
      <c r="E86" s="7" t="str">
        <f>IFERROR(__xludf.DUMMYFUNCTION("""COMPUTED_VALUE"""),"COMPETITOR")</f>
        <v>COMPETITOR</v>
      </c>
      <c r="F86" s="7" t="str">
        <f>IFERROR(__xludf.DUMMYFUNCTION("""COMPUTED_VALUE"""),"Article")</f>
        <v>Article</v>
      </c>
      <c r="G86" s="7" t="b">
        <f>IFERROR(__xludf.DUMMYFUNCTION("""COMPUTED_VALUE"""),FALSE)</f>
        <v>0</v>
      </c>
      <c r="H86" s="7" t="str">
        <f>IFERROR(__xludf.DUMMYFUNCTION("""COMPUTED_VALUE"""),"In Marketing We Trust, Analytic Partners")</f>
        <v>In Marketing We Trust, Analytic Partners</v>
      </c>
      <c r="I86" s="7">
        <f>IFERROR(__xludf.DUMMYFUNCTION("""COMPUTED_VALUE"""),1.0)</f>
        <v>1</v>
      </c>
      <c r="J86" s="7">
        <f>IFERROR(__xludf.DUMMYFUNCTION("""COMPUTED_VALUE"""),0.0)</f>
        <v>0</v>
      </c>
      <c r="K86" s="7">
        <f>IFERROR(__xludf.DUMMYFUNCTION("""COMPUTED_VALUE"""),1.0)</f>
        <v>1</v>
      </c>
    </row>
    <row r="87" ht="15.75" customHeight="1">
      <c r="A87" s="6" t="str">
        <f>IFERROR(__xludf.DUMMYFUNCTION("""COMPUTED_VALUE"""),"https://www.instagram.com/p/DWmua7IDz4F/")</f>
        <v>https://www.instagram.com/p/DWmua7IDz4F/</v>
      </c>
      <c r="B87" s="7" t="str">
        <f>IFERROR(__xludf.DUMMYFUNCTION("""COMPUTED_VALUE"""),"We’re incredibly excited to welcome @absolutely.ai as Master Partner for Something Digital 2026.
Absolutely AI is Australia’s leading AI-first creative agency, working with brands and institutions to push the boundaries of storytelling, campaigns and con"&amp;"tent at scale. From cinematic AI films to hands-on creative workshops with global teams, they bring together emerging technology and creative thinking to explore what’s next.
At Something Digital 2026, you’ll see Absolutely AI in action, leading one of m"&amp;"asterclasses as well as debuting a brand new side event, The Australian AI Film Awards. Details to be announced soon 👀")</f>
        <v>We’re incredibly excited to welcome @absolutely.ai as Master Partner for Something Digital 2026.
Absolutely AI is Australia’s leading AI-first creative agency, working with brands and institutions to push the boundaries of storytelling, campaigns and content at scale. From cinematic AI films to hands-on creative workshops with global teams, they bring together emerging technology and creative thinking to explore what’s next.
At Something Digital 2026, you’ll see Absolutely AI in action, leading one of masterclasses as well as debuting a brand new side event, The Australian AI Film Awards. Details to be announced soon 👀</v>
      </c>
      <c r="C87" s="6" t="str">
        <f>IFERROR(__xludf.DUMMYFUNCTION("""COMPUTED_VALUE"""),"instagram.com")</f>
        <v>instagram.com</v>
      </c>
      <c r="D87" s="7" t="str">
        <f>IFERROR(__xludf.DUMMYFUNCTION("""COMPUTED_VALUE"""),"ARTICLE")</f>
        <v>ARTICLE</v>
      </c>
      <c r="E87" s="7" t="str">
        <f>IFERROR(__xludf.DUMMYFUNCTION("""COMPUTED_VALUE"""),"UGC")</f>
        <v>UGC</v>
      </c>
      <c r="F87" s="7" t="str">
        <f>IFERROR(__xludf.DUMMYFUNCTION("""COMPUTED_VALUE"""),"Article")</f>
        <v>Article</v>
      </c>
      <c r="G87" s="7" t="b">
        <f>IFERROR(__xludf.DUMMYFUNCTION("""COMPUTED_VALUE"""),FALSE)</f>
        <v>0</v>
      </c>
      <c r="H87" s="7" t="str">
        <f>IFERROR(__xludf.DUMMYFUNCTION("""COMPUTED_VALUE"""),"Absolutely AI")</f>
        <v>Absolutely AI</v>
      </c>
      <c r="I87" s="7">
        <f>IFERROR(__xludf.DUMMYFUNCTION("""COMPUTED_VALUE"""),1.0)</f>
        <v>1</v>
      </c>
      <c r="J87" s="7">
        <f>IFERROR(__xludf.DUMMYFUNCTION("""COMPUTED_VALUE"""),0.0)</f>
        <v>0</v>
      </c>
      <c r="K87" s="7">
        <f>IFERROR(__xludf.DUMMYFUNCTION("""COMPUTED_VALUE"""),1.0)</f>
        <v>1</v>
      </c>
    </row>
    <row r="88" ht="15.75" customHeight="1">
      <c r="A88" s="6" t="str">
        <f>IFERROR(__xludf.DUMMYFUNCTION("""COMPUTED_VALUE"""),"https://itbrief.asia/story/in-marketing-we-trust-unveils-new-leaders-advisory-board")</f>
        <v>https://itbrief.asia/story/in-marketing-we-trust-unveils-new-leaders-advisory-board</v>
      </c>
      <c r="B88" s="7" t="str">
        <f>IFERROR(__xludf.DUMMYFUNCTION("""COMPUTED_VALUE"""),"In Marketing We Trust unveils new leaders &amp;amp; advisory board")</f>
        <v>In Marketing We Trust unveils new leaders &amp;amp; advisory board</v>
      </c>
      <c r="C88" s="6" t="str">
        <f>IFERROR(__xludf.DUMMYFUNCTION("""COMPUTED_VALUE"""),"itbrief.asia")</f>
        <v>itbrief.asia</v>
      </c>
      <c r="D88" s="7" t="str">
        <f>IFERROR(__xludf.DUMMYFUNCTION("""COMPUTED_VALUE"""),"ARTICLE")</f>
        <v>ARTICLE</v>
      </c>
      <c r="E88" s="7" t="str">
        <f>IFERROR(__xludf.DUMMYFUNCTION("""COMPUTED_VALUE"""),"EDITORIAL")</f>
        <v>EDITORIAL</v>
      </c>
      <c r="F88" s="7" t="str">
        <f>IFERROR(__xludf.DUMMYFUNCTION("""COMPUTED_VALUE"""),"Article")</f>
        <v>Article</v>
      </c>
      <c r="G88" s="7" t="b">
        <f>IFERROR(__xludf.DUMMYFUNCTION("""COMPUTED_VALUE"""),FALSE)</f>
        <v>0</v>
      </c>
      <c r="H88" s="7" t="str">
        <f>IFERROR(__xludf.DUMMYFUNCTION("""COMPUTED_VALUE"""),"In Marketing We Trust")</f>
        <v>In Marketing We Trust</v>
      </c>
      <c r="I88" s="7">
        <f>IFERROR(__xludf.DUMMYFUNCTION("""COMPUTED_VALUE"""),1.0)</f>
        <v>1</v>
      </c>
      <c r="J88" s="7">
        <f>IFERROR(__xludf.DUMMYFUNCTION("""COMPUTED_VALUE"""),0.0)</f>
        <v>0</v>
      </c>
      <c r="K88" s="7">
        <f>IFERROR(__xludf.DUMMYFUNCTION("""COMPUTED_VALUE"""),1.0)</f>
        <v>1</v>
      </c>
    </row>
    <row r="89" ht="15.75" customHeight="1">
      <c r="A89" s="6" t="str">
        <f>IFERROR(__xludf.DUMMYFUNCTION("""COMPUTED_VALUE"""),"https://itbrief.com.au/story/australian-marketers-eager-on-ai-but-most-lack-readiness-report-finds")</f>
        <v>https://itbrief.com.au/story/australian-marketers-eager-on-ai-but-most-lack-readiness-report-finds</v>
      </c>
      <c r="B89" s="7" t="str">
        <f>IFERROR(__xludf.DUMMYFUNCTION("""COMPUTED_VALUE"""),"Australian marketers eager on AI but most lack readiness, report finds")</f>
        <v>Australian marketers eager on AI but most lack readiness, report finds</v>
      </c>
      <c r="C89" s="6" t="str">
        <f>IFERROR(__xludf.DUMMYFUNCTION("""COMPUTED_VALUE"""),"itbrief.com.au")</f>
        <v>itbrief.com.au</v>
      </c>
      <c r="D89" s="7" t="str">
        <f>IFERROR(__xludf.DUMMYFUNCTION("""COMPUTED_VALUE"""),"ARTICLE")</f>
        <v>ARTICLE</v>
      </c>
      <c r="E89" s="7" t="str">
        <f>IFERROR(__xludf.DUMMYFUNCTION("""COMPUTED_VALUE"""),"EDITORIAL")</f>
        <v>EDITORIAL</v>
      </c>
      <c r="F89" s="7" t="str">
        <f>IFERROR(__xludf.DUMMYFUNCTION("""COMPUTED_VALUE"""),"Article")</f>
        <v>Article</v>
      </c>
      <c r="G89" s="7" t="b">
        <f>IFERROR(__xludf.DUMMYFUNCTION("""COMPUTED_VALUE"""),FALSE)</f>
        <v>0</v>
      </c>
      <c r="H89" s="7"/>
      <c r="I89" s="7">
        <f>IFERROR(__xludf.DUMMYFUNCTION("""COMPUTED_VALUE"""),1.0)</f>
        <v>1</v>
      </c>
      <c r="J89" s="7">
        <f>IFERROR(__xludf.DUMMYFUNCTION("""COMPUTED_VALUE"""),0.0)</f>
        <v>0</v>
      </c>
      <c r="K89" s="7">
        <f>IFERROR(__xludf.DUMMYFUNCTION("""COMPUTED_VALUE"""),0.0)</f>
        <v>0</v>
      </c>
    </row>
    <row r="90" ht="15.75" customHeight="1">
      <c r="A90" s="6" t="str">
        <f>IFERROR(__xludf.DUMMYFUNCTION("""COMPUTED_VALUE"""),"https://www.jellyfish.com/en-us/news/jellyfish-wins-google-australias-gmp-partner-of-the-year/")</f>
        <v>https://www.jellyfish.com/en-us/news/jellyfish-wins-google-australias-gmp-partner-of-the-year/</v>
      </c>
      <c r="B90" s="7" t="str">
        <f>IFERROR(__xludf.DUMMYFUNCTION("""COMPUTED_VALUE"""),"Jellyfish wins Google Australia's GMP partner of the year award")</f>
        <v>Jellyfish wins Google Australia's GMP partner of the year award</v>
      </c>
      <c r="C90" s="6" t="str">
        <f>IFERROR(__xludf.DUMMYFUNCTION("""COMPUTED_VALUE"""),"jellyfish.com")</f>
        <v>jellyfish.com</v>
      </c>
      <c r="D90" s="7" t="str">
        <f>IFERROR(__xludf.DUMMYFUNCTION("""COMPUTED_VALUE"""),"ARTICLE")</f>
        <v>ARTICLE</v>
      </c>
      <c r="E90" s="7" t="str">
        <f>IFERROR(__xludf.DUMMYFUNCTION("""COMPUTED_VALUE"""),"CORPORATE")</f>
        <v>CORPORATE</v>
      </c>
      <c r="F90" s="7" t="str">
        <f>IFERROR(__xludf.DUMMYFUNCTION("""COMPUTED_VALUE"""),"Article")</f>
        <v>Article</v>
      </c>
      <c r="G90" s="7" t="b">
        <f>IFERROR(__xludf.DUMMYFUNCTION("""COMPUTED_VALUE"""),FALSE)</f>
        <v>0</v>
      </c>
      <c r="H90" s="7" t="str">
        <f>IFERROR(__xludf.DUMMYFUNCTION("""COMPUTED_VALUE"""),"Huge")</f>
        <v>Huge</v>
      </c>
      <c r="I90" s="7">
        <f>IFERROR(__xludf.DUMMYFUNCTION("""COMPUTED_VALUE"""),1.0)</f>
        <v>1</v>
      </c>
      <c r="J90" s="7">
        <f>IFERROR(__xludf.DUMMYFUNCTION("""COMPUTED_VALUE"""),0.0)</f>
        <v>0</v>
      </c>
      <c r="K90" s="7">
        <f>IFERROR(__xludf.DUMMYFUNCTION("""COMPUTED_VALUE"""),0.0)</f>
        <v>0</v>
      </c>
    </row>
    <row r="91" ht="15.75" customHeight="1">
      <c r="A91" s="6" t="str">
        <f>IFERROR(__xludf.DUMMYFUNCTION("""COMPUTED_VALUE"""),"https://www.mediaweek.com.au/cannes-2026-winners-show-the-power-of-australias-integrated-approach/#:~:text=But%20the%20awards%20that%20Australian,Australia's%20first%20Media%20Grand%20Prix.")</f>
        <v>https://www.mediaweek.com.au/cannes-2026-winners-show-the-power-of-australias-integrated-approach/#:~:text=But%20the%20awards%20that%20Australian,Australia's%20first%20Media%20Grand%20Prix.</v>
      </c>
      <c r="B91" s="7" t="str">
        <f>IFERROR(__xludf.DUMMYFUNCTION("""COMPUTED_VALUE"""),"Cannes 2026: Australia's Integrated Approach Wins")</f>
        <v>Cannes 2026: Australia's Integrated Approach Wins</v>
      </c>
      <c r="C91" s="6" t="str">
        <f>IFERROR(__xludf.DUMMYFUNCTION("""COMPUTED_VALUE"""),"mediaweek.com.au")</f>
        <v>mediaweek.com.au</v>
      </c>
      <c r="D91" s="7" t="str">
        <f>IFERROR(__xludf.DUMMYFUNCTION("""COMPUTED_VALUE"""),"ARTICLE")</f>
        <v>ARTICLE</v>
      </c>
      <c r="E91" s="7" t="str">
        <f>IFERROR(__xludf.DUMMYFUNCTION("""COMPUTED_VALUE"""),"EDITORIAL")</f>
        <v>EDITORIAL</v>
      </c>
      <c r="F91" s="7" t="str">
        <f>IFERROR(__xludf.DUMMYFUNCTION("""COMPUTED_VALUE"""),"Article")</f>
        <v>Article</v>
      </c>
      <c r="G91" s="7" t="b">
        <f>IFERROR(__xludf.DUMMYFUNCTION("""COMPUTED_VALUE"""),FALSE)</f>
        <v>0</v>
      </c>
      <c r="H91" s="7" t="str">
        <f>IFERROR(__xludf.DUMMYFUNCTION("""COMPUTED_VALUE"""),"Bench Media, Leo Australia, VML, Measured, Earned Media")</f>
        <v>Bench Media, Leo Australia, VML, Measured, Earned Media</v>
      </c>
      <c r="I91" s="7">
        <f>IFERROR(__xludf.DUMMYFUNCTION("""COMPUTED_VALUE"""),1.0)</f>
        <v>1</v>
      </c>
      <c r="J91" s="7">
        <f>IFERROR(__xludf.DUMMYFUNCTION("""COMPUTED_VALUE"""),0.0)</f>
        <v>0</v>
      </c>
      <c r="K91" s="7">
        <f>IFERROR(__xludf.DUMMYFUNCTION("""COMPUTED_VALUE"""),1.0)</f>
        <v>1</v>
      </c>
    </row>
    <row r="92" ht="15.75" customHeight="1">
      <c r="A92" s="6" t="str">
        <f>IFERROR(__xludf.DUMMYFUNCTION("""COMPUTED_VALUE"""),"https://www.mediaweek.com.au/omnicom-media-group-launches-trkkn-analytics-in-australia/")</f>
        <v>https://www.mediaweek.com.au/omnicom-media-group-launches-trkkn-analytics-in-australia/</v>
      </c>
      <c r="B92" s="7" t="str">
        <f>IFERROR(__xludf.DUMMYFUNCTION("""COMPUTED_VALUE"""),"Omnicom Media Group launches TRKKN Analytics in Australia")</f>
        <v>Omnicom Media Group launches TRKKN Analytics in Australia</v>
      </c>
      <c r="C92" s="6" t="str">
        <f>IFERROR(__xludf.DUMMYFUNCTION("""COMPUTED_VALUE"""),"mediaweek.com.au")</f>
        <v>mediaweek.com.au</v>
      </c>
      <c r="D92" s="7" t="str">
        <f>IFERROR(__xludf.DUMMYFUNCTION("""COMPUTED_VALUE"""),"ARTICLE")</f>
        <v>ARTICLE</v>
      </c>
      <c r="E92" s="7" t="str">
        <f>IFERROR(__xludf.DUMMYFUNCTION("""COMPUTED_VALUE"""),"EDITORIAL")</f>
        <v>EDITORIAL</v>
      </c>
      <c r="F92" s="7" t="str">
        <f>IFERROR(__xludf.DUMMYFUNCTION("""COMPUTED_VALUE"""),"Article")</f>
        <v>Article</v>
      </c>
      <c r="G92" s="7" t="b">
        <f>IFERROR(__xludf.DUMMYFUNCTION("""COMPUTED_VALUE"""),FALSE)</f>
        <v>0</v>
      </c>
      <c r="H92" s="7" t="str">
        <f>IFERROR(__xludf.DUMMYFUNCTION("""COMPUTED_VALUE"""),"Omnicom Media Group, TRKKN, OMD")</f>
        <v>Omnicom Media Group, TRKKN, OMD</v>
      </c>
      <c r="I92" s="7">
        <f>IFERROR(__xludf.DUMMYFUNCTION("""COMPUTED_VALUE"""),1.0)</f>
        <v>1</v>
      </c>
      <c r="J92" s="7">
        <f>IFERROR(__xludf.DUMMYFUNCTION("""COMPUTED_VALUE"""),0.0)</f>
        <v>0</v>
      </c>
      <c r="K92" s="7">
        <f>IFERROR(__xludf.DUMMYFUNCTION("""COMPUTED_VALUE"""),3.0)</f>
        <v>3</v>
      </c>
    </row>
    <row r="93" ht="15.75" customHeight="1">
      <c r="A93" s="6" t="str">
        <f>IFERROR(__xludf.DUMMYFUNCTION("""COMPUTED_VALUE"""),"https://www.mi-3.com.au/06-08-2025/marketing-we-trust-restructures-leadership-and-forms-advisory-board")</f>
        <v>https://www.mi-3.com.au/06-08-2025/marketing-we-trust-restructures-leadership-and-forms-advisory-board</v>
      </c>
      <c r="B93" s="7" t="str">
        <f>IFERROR(__xludf.DUMMYFUNCTION("""COMPUTED_VALUE"""),"In Marketing We Trust restructures leadership and forms advisory board | Mi3")</f>
        <v>In Marketing We Trust restructures leadership and forms advisory board | Mi3</v>
      </c>
      <c r="C93" s="6" t="str">
        <f>IFERROR(__xludf.DUMMYFUNCTION("""COMPUTED_VALUE"""),"mi-3.com.au")</f>
        <v>mi-3.com.au</v>
      </c>
      <c r="D93" s="7" t="str">
        <f>IFERROR(__xludf.DUMMYFUNCTION("""COMPUTED_VALUE"""),"ARTICLE")</f>
        <v>ARTICLE</v>
      </c>
      <c r="E93" s="7" t="str">
        <f>IFERROR(__xludf.DUMMYFUNCTION("""COMPUTED_VALUE"""),"CORPORATE")</f>
        <v>CORPORATE</v>
      </c>
      <c r="F93" s="7" t="str">
        <f>IFERROR(__xludf.DUMMYFUNCTION("""COMPUTED_VALUE"""),"Article")</f>
        <v>Article</v>
      </c>
      <c r="G93" s="7" t="b">
        <f>IFERROR(__xludf.DUMMYFUNCTION("""COMPUTED_VALUE"""),FALSE)</f>
        <v>0</v>
      </c>
      <c r="H93" s="7" t="str">
        <f>IFERROR(__xludf.DUMMYFUNCTION("""COMPUTED_VALUE"""),"In Marketing We Trust")</f>
        <v>In Marketing We Trust</v>
      </c>
      <c r="I93" s="7">
        <f>IFERROR(__xludf.DUMMYFUNCTION("""COMPUTED_VALUE"""),1.0)</f>
        <v>1</v>
      </c>
      <c r="J93" s="7">
        <f>IFERROR(__xludf.DUMMYFUNCTION("""COMPUTED_VALUE"""),0.0)</f>
        <v>0</v>
      </c>
      <c r="K93" s="7">
        <f>IFERROR(__xludf.DUMMYFUNCTION("""COMPUTED_VALUE"""),1.0)</f>
        <v>1</v>
      </c>
    </row>
    <row r="94" ht="15.75" customHeight="1">
      <c r="A94" s="6" t="str">
        <f>IFERROR(__xludf.DUMMYFUNCTION("""COMPUTED_VALUE"""),"https://www.mi-3.com.au/14-07-2026/marketing-we-trust-secures-gold-marketech-apac-awards-ai-driven-content-campaign")</f>
        <v>https://www.mi-3.com.au/14-07-2026/marketing-we-trust-secures-gold-marketech-apac-awards-ai-driven-content-campaign</v>
      </c>
      <c r="B94" s="7" t="str">
        <f>IFERROR(__xludf.DUMMYFUNCTION("""COMPUTED_VALUE"""),"In Marketing We Trust secures gold at Marketech APAC Awards for AI-driven content campaign | Mi3")</f>
        <v>In Marketing We Trust secures gold at Marketech APAC Awards for AI-driven content campaign | Mi3</v>
      </c>
      <c r="C94" s="6" t="str">
        <f>IFERROR(__xludf.DUMMYFUNCTION("""COMPUTED_VALUE"""),"mi-3.com.au")</f>
        <v>mi-3.com.au</v>
      </c>
      <c r="D94" s="7" t="str">
        <f>IFERROR(__xludf.DUMMYFUNCTION("""COMPUTED_VALUE"""),"ARTICLE")</f>
        <v>ARTICLE</v>
      </c>
      <c r="E94" s="7" t="str">
        <f>IFERROR(__xludf.DUMMYFUNCTION("""COMPUTED_VALUE"""),"CORPORATE")</f>
        <v>CORPORATE</v>
      </c>
      <c r="F94" s="7" t="str">
        <f>IFERROR(__xludf.DUMMYFUNCTION("""COMPUTED_VALUE"""),"Article")</f>
        <v>Article</v>
      </c>
      <c r="G94" s="7" t="b">
        <f>IFERROR(__xludf.DUMMYFUNCTION("""COMPUTED_VALUE"""),FALSE)</f>
        <v>0</v>
      </c>
      <c r="H94" s="7" t="str">
        <f>IFERROR(__xludf.DUMMYFUNCTION("""COMPUTED_VALUE"""),"In Marketing We Trust, Bonfire, Dentsu, Impressive")</f>
        <v>In Marketing We Trust, Bonfire, Dentsu, Impressive</v>
      </c>
      <c r="I94" s="7">
        <f>IFERROR(__xludf.DUMMYFUNCTION("""COMPUTED_VALUE"""),1.0)</f>
        <v>1</v>
      </c>
      <c r="J94" s="7">
        <f>IFERROR(__xludf.DUMMYFUNCTION("""COMPUTED_VALUE"""),0.0)</f>
        <v>0</v>
      </c>
      <c r="K94" s="7">
        <f>IFERROR(__xludf.DUMMYFUNCTION("""COMPUTED_VALUE"""),1.0)</f>
        <v>1</v>
      </c>
    </row>
    <row r="95" ht="15.75" customHeight="1">
      <c r="A95" s="6" t="str">
        <f>IFERROR(__xludf.DUMMYFUNCTION("""COMPUTED_VALUE"""),"https://www.mi-3.com.au/editorial-series/mmms-next-wave#:~:text=Download%20the%20report%20inside%20this%20series%20for,the%20pin%2Dup%20of%20what%20not%20to%20do.")</f>
        <v>https://www.mi-3.com.au/editorial-series/mmms-next-wave#:~:text=Download%20the%20report%20inside%20this%20series%20for,the%20pin%2Dup%20of%20what%20not%20to%20do.</v>
      </c>
      <c r="B95" s="7" t="str">
        <f>IFERROR(__xludf.DUMMYFUNCTION("""COMPUTED_VALUE"""),"MMM’s Next Wave | Partnered by Mutinex | Mi3")</f>
        <v>MMM’s Next Wave | Partnered by Mutinex | Mi3</v>
      </c>
      <c r="C95" s="6" t="str">
        <f>IFERROR(__xludf.DUMMYFUNCTION("""COMPUTED_VALUE"""),"mi-3.com.au")</f>
        <v>mi-3.com.au</v>
      </c>
      <c r="D95" s="7" t="str">
        <f>IFERROR(__xludf.DUMMYFUNCTION("""COMPUTED_VALUE"""),"ARTICLE")</f>
        <v>ARTICLE</v>
      </c>
      <c r="E95" s="7" t="str">
        <f>IFERROR(__xludf.DUMMYFUNCTION("""COMPUTED_VALUE"""),"CORPORATE")</f>
        <v>CORPORATE</v>
      </c>
      <c r="F95" s="7" t="str">
        <f>IFERROR(__xludf.DUMMYFUNCTION("""COMPUTED_VALUE"""),"Article")</f>
        <v>Article</v>
      </c>
      <c r="G95" s="7" t="b">
        <f>IFERROR(__xludf.DUMMYFUNCTION("""COMPUTED_VALUE"""),FALSE)</f>
        <v>0</v>
      </c>
      <c r="H95" s="7" t="str">
        <f>IFERROR(__xludf.DUMMYFUNCTION("""COMPUTED_VALUE"""),"Mutinex, Omnicom Media Group, Howatson+Company")</f>
        <v>Mutinex, Omnicom Media Group, Howatson+Company</v>
      </c>
      <c r="I95" s="7">
        <f>IFERROR(__xludf.DUMMYFUNCTION("""COMPUTED_VALUE"""),1.0)</f>
        <v>1</v>
      </c>
      <c r="J95" s="7">
        <f>IFERROR(__xludf.DUMMYFUNCTION("""COMPUTED_VALUE"""),0.0)</f>
        <v>0</v>
      </c>
      <c r="K95" s="7">
        <f>IFERROR(__xludf.DUMMYFUNCTION("""COMPUTED_VALUE"""),1.0)</f>
        <v>1</v>
      </c>
    </row>
    <row r="96" ht="15.75" customHeight="1">
      <c r="A96" s="6" t="str">
        <f>IFERROR(__xludf.DUMMYFUNCTION("""COMPUTED_VALUE"""),"https://mumbrella.com.au/canva-partners-with-rocket-agency-to-scale-creative-production-for-in-house-marketing-teams-925804")</f>
        <v>https://mumbrella.com.au/canva-partners-with-rocket-agency-to-scale-creative-production-for-in-house-marketing-teams-925804</v>
      </c>
      <c r="B96" s="7"/>
      <c r="C96" s="6" t="str">
        <f>IFERROR(__xludf.DUMMYFUNCTION("""COMPUTED_VALUE"""),"mumbrella.com.au")</f>
        <v>mumbrella.com.au</v>
      </c>
      <c r="D96" s="7" t="str">
        <f>IFERROR(__xludf.DUMMYFUNCTION("""COMPUTED_VALUE"""),"ARTICLE")</f>
        <v>ARTICLE</v>
      </c>
      <c r="E96" s="7" t="str">
        <f>IFERROR(__xludf.DUMMYFUNCTION("""COMPUTED_VALUE"""),"EDITORIAL")</f>
        <v>EDITORIAL</v>
      </c>
      <c r="F96" s="7" t="str">
        <f>IFERROR(__xludf.DUMMYFUNCTION("""COMPUTED_VALUE"""),"Article")</f>
        <v>Article</v>
      </c>
      <c r="G96" s="7" t="b">
        <f>IFERROR(__xludf.DUMMYFUNCTION("""COMPUTED_VALUE"""),FALSE)</f>
        <v>0</v>
      </c>
      <c r="H96" s="7" t="str">
        <f>IFERROR(__xludf.DUMMYFUNCTION("""COMPUTED_VALUE"""),"Rocket Agency")</f>
        <v>Rocket Agency</v>
      </c>
      <c r="I96" s="7">
        <f>IFERROR(__xludf.DUMMYFUNCTION("""COMPUTED_VALUE"""),1.0)</f>
        <v>1</v>
      </c>
      <c r="J96" s="7">
        <f>IFERROR(__xludf.DUMMYFUNCTION("""COMPUTED_VALUE"""),0.0)</f>
        <v>0</v>
      </c>
      <c r="K96" s="7">
        <f>IFERROR(__xludf.DUMMYFUNCTION("""COMPUTED_VALUE"""),2.0)</f>
        <v>2</v>
      </c>
    </row>
    <row r="97" ht="15.75" customHeight="1">
      <c r="A97" s="6" t="str">
        <f>IFERROR(__xludf.DUMMYFUNCTION("""COMPUTED_VALUE"""),"https://newsroom.accenture.com/news/2017/accenture-acquires-creative-and-design-agencies-the-monkeys-and-maud-to-expand-its-customer-experience-capabilities-in-australia-and-new-zealand")</f>
        <v>https://newsroom.accenture.com/news/2017/accenture-acquires-creative-and-design-agencies-the-monkeys-and-maud-to-expand-its-customer-experience-capabilities-in-australia-and-new-zealand</v>
      </c>
      <c r="B97" s="7" t="str">
        <f>IFERROR(__xludf.DUMMYFUNCTION("""COMPUTED_VALUE"""),"Accenture Acquires Creative and Design Agencies The Monkeys and Maud to Expand its Customer Experience Capabilities in Australia and New Zealand")</f>
        <v>Accenture Acquires Creative and Design Agencies The Monkeys and Maud to Expand its Customer Experience Capabilities in Australia and New Zealand</v>
      </c>
      <c r="C97" s="6" t="str">
        <f>IFERROR(__xludf.DUMMYFUNCTION("""COMPUTED_VALUE"""),"accenture.com")</f>
        <v>accenture.com</v>
      </c>
      <c r="D97" s="7" t="str">
        <f>IFERROR(__xludf.DUMMYFUNCTION("""COMPUTED_VALUE"""),"ARTICLE")</f>
        <v>ARTICLE</v>
      </c>
      <c r="E97" s="7" t="str">
        <f>IFERROR(__xludf.DUMMYFUNCTION("""COMPUTED_VALUE"""),"COMPETITOR")</f>
        <v>COMPETITOR</v>
      </c>
      <c r="F97" s="7" t="str">
        <f>IFERROR(__xludf.DUMMYFUNCTION("""COMPUTED_VALUE"""),"Article")</f>
        <v>Article</v>
      </c>
      <c r="G97" s="7" t="b">
        <f>IFERROR(__xludf.DUMMYFUNCTION("""COMPUTED_VALUE"""),FALSE)</f>
        <v>0</v>
      </c>
      <c r="H97" s="7" t="str">
        <f>IFERROR(__xludf.DUMMYFUNCTION("""COMPUTED_VALUE"""),"The Monkeys")</f>
        <v>The Monkeys</v>
      </c>
      <c r="I97" s="7">
        <f>IFERROR(__xludf.DUMMYFUNCTION("""COMPUTED_VALUE"""),1.0)</f>
        <v>1</v>
      </c>
      <c r="J97" s="7">
        <f>IFERROR(__xludf.DUMMYFUNCTION("""COMPUTED_VALUE"""),0.0)</f>
        <v>0</v>
      </c>
      <c r="K97" s="7">
        <f>IFERROR(__xludf.DUMMYFUNCTION("""COMPUTED_VALUE"""),1.0)</f>
        <v>1</v>
      </c>
    </row>
    <row r="98" ht="15.75" customHeight="1">
      <c r="A98" s="6" t="str">
        <f>IFERROR(__xludf.DUMMYFUNCTION("""COMPUTED_VALUE"""),"https://www.resolutiondigital.com.au/insights/omnicom-media-group-launches-trkkn-in-anz/")</f>
        <v>https://www.resolutiondigital.com.au/insights/omnicom-media-group-launches-trkkn-in-anz/</v>
      </c>
      <c r="B98" s="7" t="str">
        <f>IFERROR(__xludf.DUMMYFUNCTION("""COMPUTED_VALUE"""),"Omnicom Media Group launches TRKKN | Resolution Digital")</f>
        <v>Omnicom Media Group launches TRKKN | Resolution Digital</v>
      </c>
      <c r="C98" s="6" t="str">
        <f>IFERROR(__xludf.DUMMYFUNCTION("""COMPUTED_VALUE"""),"resolutiondigital.com.au")</f>
        <v>resolutiondigital.com.au</v>
      </c>
      <c r="D98" s="7" t="str">
        <f>IFERROR(__xludf.DUMMYFUNCTION("""COMPUTED_VALUE"""),"ARTICLE")</f>
        <v>ARTICLE</v>
      </c>
      <c r="E98" s="7" t="str">
        <f>IFERROR(__xludf.DUMMYFUNCTION("""COMPUTED_VALUE"""),"COMPETITOR")</f>
        <v>COMPETITOR</v>
      </c>
      <c r="F98" s="7" t="str">
        <f>IFERROR(__xludf.DUMMYFUNCTION("""COMPUTED_VALUE"""),"Article")</f>
        <v>Article</v>
      </c>
      <c r="G98" s="7" t="b">
        <f>IFERROR(__xludf.DUMMYFUNCTION("""COMPUTED_VALUE"""),FALSE)</f>
        <v>0</v>
      </c>
      <c r="H98" s="7" t="str">
        <f>IFERROR(__xludf.DUMMYFUNCTION("""COMPUTED_VALUE"""),"Resolution Digital, Omnicom Media Group, TRKKN")</f>
        <v>Resolution Digital, Omnicom Media Group, TRKKN</v>
      </c>
      <c r="I98" s="7">
        <f>IFERROR(__xludf.DUMMYFUNCTION("""COMPUTED_VALUE"""),1.0)</f>
        <v>1</v>
      </c>
      <c r="J98" s="7">
        <f>IFERROR(__xludf.DUMMYFUNCTION("""COMPUTED_VALUE"""),0.0)</f>
        <v>0</v>
      </c>
      <c r="K98" s="7">
        <f>IFERROR(__xludf.DUMMYFUNCTION("""COMPUTED_VALUE"""),2.0)</f>
        <v>2</v>
      </c>
    </row>
    <row r="99" ht="15.75" customHeight="1">
      <c r="A99" s="6" t="str">
        <f>IFERROR(__xludf.DUMMYFUNCTION("""COMPUTED_VALUE"""),"https://www.resolutiondigital.com.au/insights/resolution-digital-2022-google-premier-partner/")</f>
        <v>https://www.resolutiondigital.com.au/insights/resolution-digital-2022-google-premier-partner/</v>
      </c>
      <c r="B99" s="7" t="str">
        <f>IFERROR(__xludf.DUMMYFUNCTION("""COMPUTED_VALUE"""),"Resolution Digital has achieved 2022 Google Premier Partner Status")</f>
        <v>Resolution Digital has achieved 2022 Google Premier Partner Status</v>
      </c>
      <c r="C99" s="6" t="str">
        <f>IFERROR(__xludf.DUMMYFUNCTION("""COMPUTED_VALUE"""),"resolutiondigital.com.au")</f>
        <v>resolutiondigital.com.au</v>
      </c>
      <c r="D99" s="7" t="str">
        <f>IFERROR(__xludf.DUMMYFUNCTION("""COMPUTED_VALUE"""),"ARTICLE")</f>
        <v>ARTICLE</v>
      </c>
      <c r="E99" s="7" t="str">
        <f>IFERROR(__xludf.DUMMYFUNCTION("""COMPUTED_VALUE"""),"COMPETITOR")</f>
        <v>COMPETITOR</v>
      </c>
      <c r="F99" s="7" t="str">
        <f>IFERROR(__xludf.DUMMYFUNCTION("""COMPUTED_VALUE"""),"Article")</f>
        <v>Article</v>
      </c>
      <c r="G99" s="7" t="b">
        <f>IFERROR(__xludf.DUMMYFUNCTION("""COMPUTED_VALUE"""),FALSE)</f>
        <v>0</v>
      </c>
      <c r="H99" s="7" t="str">
        <f>IFERROR(__xludf.DUMMYFUNCTION("""COMPUTED_VALUE"""),"Resolution Digital, Omnicom Media Group")</f>
        <v>Resolution Digital, Omnicom Media Group</v>
      </c>
      <c r="I99" s="7">
        <f>IFERROR(__xludf.DUMMYFUNCTION("""COMPUTED_VALUE"""),1.0)</f>
        <v>1</v>
      </c>
      <c r="J99" s="7">
        <f>IFERROR(__xludf.DUMMYFUNCTION("""COMPUTED_VALUE"""),0.0)</f>
        <v>0</v>
      </c>
      <c r="K99" s="7">
        <f>IFERROR(__xludf.DUMMYFUNCTION("""COMPUTED_VALUE"""),2.0)</f>
        <v>2</v>
      </c>
    </row>
    <row r="100" ht="15.75" customHeight="1">
      <c r="A100" s="6" t="str">
        <f>IFERROR(__xludf.DUMMYFUNCTION("""COMPUTED_VALUE"""),"https://www.singlegrain.com/geo/the-complete-guide-to-generative-engine-optimization-geo/")</f>
        <v>https://www.singlegrain.com/geo/the-complete-guide-to-generative-engine-optimization-geo/</v>
      </c>
      <c r="B100" s="7" t="str">
        <f>IFERROR(__xludf.DUMMYFUNCTION("""COMPUTED_VALUE"""),"The Complete Guide to Generative Engine Optimization (GEO)")</f>
        <v>The Complete Guide to Generative Engine Optimization (GEO)</v>
      </c>
      <c r="C100" s="6" t="str">
        <f>IFERROR(__xludf.DUMMYFUNCTION("""COMPUTED_VALUE"""),"singlegrain.com")</f>
        <v>singlegrain.com</v>
      </c>
      <c r="D100" s="7" t="str">
        <f>IFERROR(__xludf.DUMMYFUNCTION("""COMPUTED_VALUE"""),"ARTICLE")</f>
        <v>ARTICLE</v>
      </c>
      <c r="E100" s="7" t="str">
        <f>IFERROR(__xludf.DUMMYFUNCTION("""COMPUTED_VALUE"""),"CORPORATE")</f>
        <v>CORPORATE</v>
      </c>
      <c r="F100" s="7" t="str">
        <f>IFERROR(__xludf.DUMMYFUNCTION("""COMPUTED_VALUE"""),"Article")</f>
        <v>Article</v>
      </c>
      <c r="G100" s="7" t="b">
        <f>IFERROR(__xludf.DUMMYFUNCTION("""COMPUTED_VALUE"""),FALSE)</f>
        <v>0</v>
      </c>
      <c r="H100" s="7" t="str">
        <f>IFERROR(__xludf.DUMMYFUNCTION("""COMPUTED_VALUE"""),"Measured")</f>
        <v>Measured</v>
      </c>
      <c r="I100" s="7">
        <f>IFERROR(__xludf.DUMMYFUNCTION("""COMPUTED_VALUE"""),1.0)</f>
        <v>1</v>
      </c>
      <c r="J100" s="7">
        <f>IFERROR(__xludf.DUMMYFUNCTION("""COMPUTED_VALUE"""),0.0)</f>
        <v>0</v>
      </c>
      <c r="K100" s="7">
        <f>IFERROR(__xludf.DUMMYFUNCTION("""COMPUTED_VALUE"""),1.0)</f>
        <v>1</v>
      </c>
    </row>
    <row r="101" ht="15.75" customHeight="1">
      <c r="A101" s="6" t="str">
        <f>IFERROR(__xludf.DUMMYFUNCTION("""COMPUTED_VALUE"""),"https://sotatek.com.au/blogs/ai-solutions-in-australia/")</f>
        <v>https://sotatek.com.au/blogs/ai-solutions-in-australia/</v>
      </c>
      <c r="B101" s="7" t="str">
        <f>IFERROR(__xludf.DUMMYFUNCTION("""COMPUTED_VALUE"""),"Top 5 Best Providers for AI Solutions in Australia")</f>
        <v>Top 5 Best Providers for AI Solutions in Australia</v>
      </c>
      <c r="C101" s="6" t="str">
        <f>IFERROR(__xludf.DUMMYFUNCTION("""COMPUTED_VALUE"""),"sotatek.com.au")</f>
        <v>sotatek.com.au</v>
      </c>
      <c r="D101" s="7" t="str">
        <f>IFERROR(__xludf.DUMMYFUNCTION("""COMPUTED_VALUE"""),"ARTICLE")</f>
        <v>ARTICLE</v>
      </c>
      <c r="E101" s="7" t="str">
        <f>IFERROR(__xludf.DUMMYFUNCTION("""COMPUTED_VALUE"""),"CORPORATE")</f>
        <v>CORPORATE</v>
      </c>
      <c r="F101" s="7" t="str">
        <f>IFERROR(__xludf.DUMMYFUNCTION("""COMPUTED_VALUE"""),"Article")</f>
        <v>Article</v>
      </c>
      <c r="G101" s="7" t="b">
        <f>IFERROR(__xludf.DUMMYFUNCTION("""COMPUTED_VALUE"""),FALSE)</f>
        <v>0</v>
      </c>
      <c r="H101" s="7" t="str">
        <f>IFERROR(__xludf.DUMMYFUNCTION("""COMPUTED_VALUE"""),"Momentum")</f>
        <v>Momentum</v>
      </c>
      <c r="I101" s="7">
        <f>IFERROR(__xludf.DUMMYFUNCTION("""COMPUTED_VALUE"""),1.0)</f>
        <v>1</v>
      </c>
      <c r="J101" s="7">
        <f>IFERROR(__xludf.DUMMYFUNCTION("""COMPUTED_VALUE"""),0.0)</f>
        <v>0</v>
      </c>
      <c r="K101" s="7">
        <f>IFERROR(__xludf.DUMMYFUNCTION("""COMPUTED_VALUE"""),0.0)</f>
        <v>0</v>
      </c>
    </row>
    <row r="102" ht="15.75" customHeight="1">
      <c r="A102" s="6" t="str">
        <f>IFERROR(__xludf.DUMMYFUNCTION("""COMPUTED_VALUE"""),"https://support.google.com/google-ads/answer/11410677?hl=en-AU")</f>
        <v>https://support.google.com/google-ads/answer/11410677?hl=en-AU</v>
      </c>
      <c r="B102" s="7" t="str">
        <f>IFERROR(__xludf.DUMMYFUNCTION("""COMPUTED_VALUE"""),"Google Partners directory - Google Ads Help")</f>
        <v>Google Partners directory - Google Ads Help</v>
      </c>
      <c r="C102" s="6" t="str">
        <f>IFERROR(__xludf.DUMMYFUNCTION("""COMPUTED_VALUE"""),"google.com")</f>
        <v>google.com</v>
      </c>
      <c r="D102" s="7" t="str">
        <f>IFERROR(__xludf.DUMMYFUNCTION("""COMPUTED_VALUE"""),"ARTICLE")</f>
        <v>ARTICLE</v>
      </c>
      <c r="E102" s="7" t="str">
        <f>IFERROR(__xludf.DUMMYFUNCTION("""COMPUTED_VALUE"""),"OTHER")</f>
        <v>OTHER</v>
      </c>
      <c r="F102" s="7" t="str">
        <f>IFERROR(__xludf.DUMMYFUNCTION("""COMPUTED_VALUE"""),"Article")</f>
        <v>Article</v>
      </c>
      <c r="G102" s="7" t="b">
        <f>IFERROR(__xludf.DUMMYFUNCTION("""COMPUTED_VALUE"""),FALSE)</f>
        <v>0</v>
      </c>
      <c r="H102" s="7"/>
      <c r="I102" s="7">
        <f>IFERROR(__xludf.DUMMYFUNCTION("""COMPUTED_VALUE"""),1.0)</f>
        <v>1</v>
      </c>
      <c r="J102" s="7">
        <f>IFERROR(__xludf.DUMMYFUNCTION("""COMPUTED_VALUE"""),0.0)</f>
        <v>0</v>
      </c>
      <c r="K102" s="7">
        <f>IFERROR(__xludf.DUMMYFUNCTION("""COMPUTED_VALUE"""),1.0)</f>
        <v>1</v>
      </c>
    </row>
    <row r="103" ht="15.75" customHeight="1">
      <c r="A103" s="6" t="str">
        <f>IFERROR(__xludf.DUMMYFUNCTION("""COMPUTED_VALUE"""),"https://www.techradar.com/pro/companies-that-can-serve-both-human-and-agent-audiences-will-be-the-ones-that-survive-wordpress-vip-cto-spells-out-the-future-of-seo-geo-and-more")</f>
        <v>https://www.techradar.com/pro/companies-that-can-serve-both-human-and-agent-audiences-will-be-the-ones-that-survive-wordpress-vip-cto-spells-out-the-future-of-seo-geo-and-more</v>
      </c>
      <c r="B103" s="7" t="str">
        <f>IFERROR(__xludf.DUMMYFUNCTION("""COMPUTED_VALUE"""),"States push back against rising AI-driven electricity infrastructure costs | TechRadar")</f>
        <v>States push back against rising AI-driven electricity infrastructure costs | TechRadar</v>
      </c>
      <c r="C103" s="6" t="str">
        <f>IFERROR(__xludf.DUMMYFUNCTION("""COMPUTED_VALUE"""),"techradar.com")</f>
        <v>techradar.com</v>
      </c>
      <c r="D103" s="7" t="str">
        <f>IFERROR(__xludf.DUMMYFUNCTION("""COMPUTED_VALUE"""),"ARTICLE")</f>
        <v>ARTICLE</v>
      </c>
      <c r="E103" s="7" t="str">
        <f>IFERROR(__xludf.DUMMYFUNCTION("""COMPUTED_VALUE"""),"EDITORIAL")</f>
        <v>EDITORIAL</v>
      </c>
      <c r="F103" s="7" t="str">
        <f>IFERROR(__xludf.DUMMYFUNCTION("""COMPUTED_VALUE"""),"Article")</f>
        <v>Article</v>
      </c>
      <c r="G103" s="7" t="b">
        <f>IFERROR(__xludf.DUMMYFUNCTION("""COMPUTED_VALUE"""),FALSE)</f>
        <v>0</v>
      </c>
      <c r="H103" s="7" t="str">
        <f>IFERROR(__xludf.DUMMYFUNCTION("""COMPUTED_VALUE"""),"Huge")</f>
        <v>Huge</v>
      </c>
      <c r="I103" s="7">
        <f>IFERROR(__xludf.DUMMYFUNCTION("""COMPUTED_VALUE"""),1.0)</f>
        <v>1</v>
      </c>
      <c r="J103" s="7">
        <f>IFERROR(__xludf.DUMMYFUNCTION("""COMPUTED_VALUE"""),0.0)</f>
        <v>0</v>
      </c>
      <c r="K103" s="7">
        <f>IFERROR(__xludf.DUMMYFUNCTION("""COMPUTED_VALUE"""),2.0)</f>
        <v>2</v>
      </c>
    </row>
    <row r="104" ht="15.75" customHeight="1">
      <c r="A104" s="6" t="str">
        <f>IFERROR(__xludf.DUMMYFUNCTION("""COMPUTED_VALUE"""),"https://www.theaustralian.com.au/business/growth-agenda/wpps-media-ambitions-wont-impact-groupms-local-growth/news-story/7af81a0f6c387b9b8cecf519a403824d")</f>
        <v>https://www.theaustralian.com.au/business/growth-agenda/wpps-media-ambitions-wont-impact-groupms-local-growth/news-story/7af81a0f6c387b9b8cecf519a403824d</v>
      </c>
      <c r="B104" s="7" t="str">
        <f>IFERROR(__xludf.DUMMYFUNCTION("""COMPUTED_VALUE"""),"Subscribe to The Australian \| Newspaper home delivery, website, iPad, iPhone &amp; Android apps")</f>
        <v>Subscribe to The Australian \| Newspaper home delivery, website, iPad, iPhone &amp; Android apps</v>
      </c>
      <c r="C104" s="6" t="str">
        <f>IFERROR(__xludf.DUMMYFUNCTION("""COMPUTED_VALUE"""),"theaustralian.com.au")</f>
        <v>theaustralian.com.au</v>
      </c>
      <c r="D104" s="7" t="str">
        <f>IFERROR(__xludf.DUMMYFUNCTION("""COMPUTED_VALUE"""),"ARTICLE")</f>
        <v>ARTICLE</v>
      </c>
      <c r="E104" s="7" t="str">
        <f>IFERROR(__xludf.DUMMYFUNCTION("""COMPUTED_VALUE"""),"EDITORIAL")</f>
        <v>EDITORIAL</v>
      </c>
      <c r="F104" s="7" t="str">
        <f>IFERROR(__xludf.DUMMYFUNCTION("""COMPUTED_VALUE"""),"Article")</f>
        <v>Article</v>
      </c>
      <c r="G104" s="7" t="b">
        <f>IFERROR(__xludf.DUMMYFUNCTION("""COMPUTED_VALUE"""),FALSE)</f>
        <v>0</v>
      </c>
      <c r="H104" s="7" t="str">
        <f>IFERROR(__xludf.DUMMYFUNCTION("""COMPUTED_VALUE"""),"WPP, GroupM")</f>
        <v>WPP, GroupM</v>
      </c>
      <c r="I104" s="7">
        <f>IFERROR(__xludf.DUMMYFUNCTION("""COMPUTED_VALUE"""),1.0)</f>
        <v>1</v>
      </c>
      <c r="J104" s="7">
        <f>IFERROR(__xludf.DUMMYFUNCTION("""COMPUTED_VALUE"""),0.0)</f>
        <v>0</v>
      </c>
      <c r="K104" s="7">
        <f>IFERROR(__xludf.DUMMYFUNCTION("""COMPUTED_VALUE"""),2.0)</f>
        <v>2</v>
      </c>
    </row>
    <row r="105" ht="15.75" customHeight="1">
      <c r="A105" s="6" t="str">
        <f>IFERROR(__xludf.DUMMYFUNCTION("""COMPUTED_VALUE"""),"https://www.thedrum.com/news/why-deliveroo-is-putting-incrementality-testing-back-on-the-menu-1")</f>
        <v>https://www.thedrum.com/news/why-deliveroo-is-putting-incrementality-testing-back-on-the-menu-1</v>
      </c>
      <c r="B105" s="7" t="str">
        <f>IFERROR(__xludf.DUMMYFUNCTION("""COMPUTED_VALUE"""),"Why Deliveroo is putting incrementality testing back on the menu | The Drum")</f>
        <v>Why Deliveroo is putting incrementality testing back on the menu | The Drum</v>
      </c>
      <c r="C105" s="6" t="str">
        <f>IFERROR(__xludf.DUMMYFUNCTION("""COMPUTED_VALUE"""),"thedrum.com")</f>
        <v>thedrum.com</v>
      </c>
      <c r="D105" s="7" t="str">
        <f>IFERROR(__xludf.DUMMYFUNCTION("""COMPUTED_VALUE"""),"ARTICLE")</f>
        <v>ARTICLE</v>
      </c>
      <c r="E105" s="7" t="str">
        <f>IFERROR(__xludf.DUMMYFUNCTION("""COMPUTED_VALUE"""),"EDITORIAL")</f>
        <v>EDITORIAL</v>
      </c>
      <c r="F105" s="7" t="str">
        <f>IFERROR(__xludf.DUMMYFUNCTION("""COMPUTED_VALUE"""),"Article")</f>
        <v>Article</v>
      </c>
      <c r="G105" s="7" t="b">
        <f>IFERROR(__xludf.DUMMYFUNCTION("""COMPUTED_VALUE"""),FALSE)</f>
        <v>0</v>
      </c>
      <c r="H105" s="7"/>
      <c r="I105" s="7">
        <f>IFERROR(__xludf.DUMMYFUNCTION("""COMPUTED_VALUE"""),1.0)</f>
        <v>1</v>
      </c>
      <c r="J105" s="7">
        <f>IFERROR(__xludf.DUMMYFUNCTION("""COMPUTED_VALUE"""),0.0)</f>
        <v>0</v>
      </c>
      <c r="K105" s="7">
        <f>IFERROR(__xludf.DUMMYFUNCTION("""COMPUTED_VALUE"""),1.0)</f>
        <v>1</v>
      </c>
    </row>
    <row r="106" ht="15.75" customHeight="1">
      <c r="A106" s="6" t="str">
        <f>IFERROR(__xludf.DUMMYFUNCTION("""COMPUTED_VALUE"""),"https://www.thehero.co/news/sydneys-top-ad-agencies-and-the-best-sydney-creative-agency-for-2026")</f>
        <v>https://www.thehero.co/news/sydneys-top-ad-agencies-and-the-best-sydney-creative-agency-for-2026</v>
      </c>
      <c r="B106" s="7" t="str">
        <f>IFERROR(__xludf.DUMMYFUNCTION("""COMPUTED_VALUE"""),"Sydney's Top Ad Agencies and The Best Sydney Creative Agency for 2026")</f>
        <v>Sydney's Top Ad Agencies and The Best Sydney Creative Agency for 2026</v>
      </c>
      <c r="C106" s="6" t="str">
        <f>IFERROR(__xludf.DUMMYFUNCTION("""COMPUTED_VALUE"""),"thehero.co")</f>
        <v>thehero.co</v>
      </c>
      <c r="D106" s="7" t="str">
        <f>IFERROR(__xludf.DUMMYFUNCTION("""COMPUTED_VALUE"""),"ARTICLE")</f>
        <v>ARTICLE</v>
      </c>
      <c r="E106" s="7" t="str">
        <f>IFERROR(__xludf.DUMMYFUNCTION("""COMPUTED_VALUE"""),"CORPORATE")</f>
        <v>CORPORATE</v>
      </c>
      <c r="F106" s="7" t="str">
        <f>IFERROR(__xludf.DUMMYFUNCTION("""COMPUTED_VALUE"""),"Article")</f>
        <v>Article</v>
      </c>
      <c r="G106" s="7" t="b">
        <f>IFERROR(__xludf.DUMMYFUNCTION("""COMPUTED_VALUE"""),FALSE)</f>
        <v>0</v>
      </c>
      <c r="H106" s="7" t="str">
        <f>IFERROR(__xludf.DUMMYFUNCTION("""COMPUTED_VALUE"""),"HERO")</f>
        <v>HERO</v>
      </c>
      <c r="I106" s="7">
        <f>IFERROR(__xludf.DUMMYFUNCTION("""COMPUTED_VALUE"""),1.0)</f>
        <v>1</v>
      </c>
      <c r="J106" s="7">
        <f>IFERROR(__xludf.DUMMYFUNCTION("""COMPUTED_VALUE"""),0.0)</f>
        <v>0</v>
      </c>
      <c r="K106" s="7">
        <f>IFERROR(__xludf.DUMMYFUNCTION("""COMPUTED_VALUE"""),0.0)</f>
        <v>0</v>
      </c>
    </row>
    <row r="107" ht="15.75" customHeight="1">
      <c r="A107" s="6" t="str">
        <f>IFERROR(__xludf.DUMMYFUNCTION("""COMPUTED_VALUE"""),"https://www.thehero.co/news/top-10-best-ad-agency-in-sydney-leading-australia-at-wina-2026")</f>
        <v>https://www.thehero.co/news/top-10-best-ad-agency-in-sydney-leading-australia-at-wina-2026</v>
      </c>
      <c r="B107" s="7" t="str">
        <f>IFERROR(__xludf.DUMMYFUNCTION("""COMPUTED_VALUE"""),"HERO Wins Best Sydney Creative Ad Agency at Global WINA Awards for Top Result in Australian History")</f>
        <v>HERO Wins Best Sydney Creative Ad Agency at Global WINA Awards for Top Result in Australian History</v>
      </c>
      <c r="C107" s="6" t="str">
        <f>IFERROR(__xludf.DUMMYFUNCTION("""COMPUTED_VALUE"""),"thehero.co")</f>
        <v>thehero.co</v>
      </c>
      <c r="D107" s="7" t="str">
        <f>IFERROR(__xludf.DUMMYFUNCTION("""COMPUTED_VALUE"""),"ARTICLE")</f>
        <v>ARTICLE</v>
      </c>
      <c r="E107" s="7" t="str">
        <f>IFERROR(__xludf.DUMMYFUNCTION("""COMPUTED_VALUE"""),"CORPORATE")</f>
        <v>CORPORATE</v>
      </c>
      <c r="F107" s="7" t="str">
        <f>IFERROR(__xludf.DUMMYFUNCTION("""COMPUTED_VALUE"""),"Article")</f>
        <v>Article</v>
      </c>
      <c r="G107" s="7" t="b">
        <f>IFERROR(__xludf.DUMMYFUNCTION("""COMPUTED_VALUE"""),FALSE)</f>
        <v>0</v>
      </c>
      <c r="H107" s="7" t="str">
        <f>IFERROR(__xludf.DUMMYFUNCTION("""COMPUTED_VALUE"""),"HERO, Huge, Measured, Momentum")</f>
        <v>HERO, Huge, Measured, Momentum</v>
      </c>
      <c r="I107" s="7">
        <f>IFERROR(__xludf.DUMMYFUNCTION("""COMPUTED_VALUE"""),1.0)</f>
        <v>1</v>
      </c>
      <c r="J107" s="7">
        <f>IFERROR(__xludf.DUMMYFUNCTION("""COMPUTED_VALUE"""),0.0)</f>
        <v>0</v>
      </c>
      <c r="K107" s="7">
        <f>IFERROR(__xludf.DUMMYFUNCTION("""COMPUTED_VALUE"""),2.0)</f>
        <v>2</v>
      </c>
    </row>
    <row r="108" ht="15.75" customHeight="1">
      <c r="A108" s="6" t="str">
        <f>IFERROR(__xludf.DUMMYFUNCTION("""COMPUTED_VALUE"""),"https://www.themarketer.news/post/bonfire-named-2025-ami-marketing-excellence-award-agency-of-the-year")</f>
        <v>https://www.themarketer.news/post/bonfire-named-2025-ami-marketing-excellence-award-agency-of-the-year</v>
      </c>
      <c r="B108" s="7" t="str">
        <f>IFERROR(__xludf.DUMMYFUNCTION("""COMPUTED_VALUE"""),"Bonfire Named 2025 AMI Marketing Excellence Award Agency of the Year")</f>
        <v>Bonfire Named 2025 AMI Marketing Excellence Award Agency of the Year</v>
      </c>
      <c r="C108" s="7" t="str">
        <f>IFERROR(__xludf.DUMMYFUNCTION("""COMPUTED_VALUE"""),"themarketer.news")</f>
        <v>themarketer.news</v>
      </c>
      <c r="D108" s="7" t="str">
        <f>IFERROR(__xludf.DUMMYFUNCTION("""COMPUTED_VALUE"""),"ARTICLE")</f>
        <v>ARTICLE</v>
      </c>
      <c r="E108" s="7" t="str">
        <f>IFERROR(__xludf.DUMMYFUNCTION("""COMPUTED_VALUE"""),"UGC")</f>
        <v>UGC</v>
      </c>
      <c r="F108" s="7" t="str">
        <f>IFERROR(__xludf.DUMMYFUNCTION("""COMPUTED_VALUE"""),"Article")</f>
        <v>Article</v>
      </c>
      <c r="G108" s="7" t="b">
        <f>IFERROR(__xludf.DUMMYFUNCTION("""COMPUTED_VALUE"""),FALSE)</f>
        <v>0</v>
      </c>
      <c r="H108" s="7" t="str">
        <f>IFERROR(__xludf.DUMMYFUNCTION("""COMPUTED_VALUE"""),"Bonfire, Thinkerbell, Rocket Agency")</f>
        <v>Bonfire, Thinkerbell, Rocket Agency</v>
      </c>
      <c r="I108" s="7">
        <f>IFERROR(__xludf.DUMMYFUNCTION("""COMPUTED_VALUE"""),1.0)</f>
        <v>1</v>
      </c>
      <c r="J108" s="7">
        <f>IFERROR(__xludf.DUMMYFUNCTION("""COMPUTED_VALUE"""),0.0)</f>
        <v>0</v>
      </c>
      <c r="K108" s="7">
        <f>IFERROR(__xludf.DUMMYFUNCTION("""COMPUTED_VALUE"""),0.0)</f>
        <v>0</v>
      </c>
    </row>
    <row r="109" ht="15.75" customHeight="1">
      <c r="A109" s="6" t="str">
        <f>IFERROR(__xludf.DUMMYFUNCTION("""COMPUTED_VALUE"""),"https://thinkerbell.com/news/thinkerbell-wins-vegemite/")</f>
        <v>https://thinkerbell.com/news/thinkerbell-wins-vegemite/</v>
      </c>
      <c r="B109" s="7" t="str">
        <f>IFERROR(__xludf.DUMMYFUNCTION("""COMPUTED_VALUE"""),"Thinkerbell wins Vegemite! - Thinkerbell")</f>
        <v>Thinkerbell wins Vegemite! - Thinkerbell</v>
      </c>
      <c r="C109" s="6" t="str">
        <f>IFERROR(__xludf.DUMMYFUNCTION("""COMPUTED_VALUE"""),"thinkerbell.com")</f>
        <v>thinkerbell.com</v>
      </c>
      <c r="D109" s="7" t="str">
        <f>IFERROR(__xludf.DUMMYFUNCTION("""COMPUTED_VALUE"""),"ARTICLE")</f>
        <v>ARTICLE</v>
      </c>
      <c r="E109" s="7" t="str">
        <f>IFERROR(__xludf.DUMMYFUNCTION("""COMPUTED_VALUE"""),"COMPETITOR")</f>
        <v>COMPETITOR</v>
      </c>
      <c r="F109" s="7" t="str">
        <f>IFERROR(__xludf.DUMMYFUNCTION("""COMPUTED_VALUE"""),"Article")</f>
        <v>Article</v>
      </c>
      <c r="G109" s="7" t="b">
        <f>IFERROR(__xludf.DUMMYFUNCTION("""COMPUTED_VALUE"""),FALSE)</f>
        <v>0</v>
      </c>
      <c r="H109" s="7" t="str">
        <f>IFERROR(__xludf.DUMMYFUNCTION("""COMPUTED_VALUE"""),"Thinkerbell, Momentum, OMD")</f>
        <v>Thinkerbell, Momentum, OMD</v>
      </c>
      <c r="I109" s="7">
        <f>IFERROR(__xludf.DUMMYFUNCTION("""COMPUTED_VALUE"""),1.0)</f>
        <v>1</v>
      </c>
      <c r="J109" s="7">
        <f>IFERROR(__xludf.DUMMYFUNCTION("""COMPUTED_VALUE"""),0.0)</f>
        <v>0</v>
      </c>
      <c r="K109" s="7">
        <f>IFERROR(__xludf.DUMMYFUNCTION("""COMPUTED_VALUE"""),1.0)</f>
        <v>1</v>
      </c>
    </row>
    <row r="110" ht="15.75" customHeight="1">
      <c r="A110" s="6" t="str">
        <f>IFERROR(__xludf.DUMMYFUNCTION("""COMPUTED_VALUE"""),"https://www.wpp.com/en/news/2025/03/wpp-claims-top-honours-on-the-warc-creative-100")</f>
        <v>https://www.wpp.com/en/news/2025/03/wpp-claims-top-honours-on-the-warc-creative-100</v>
      </c>
      <c r="B110" s="7" t="str">
        <f>IFERROR(__xludf.DUMMYFUNCTION("""COMPUTED_VALUE"""),"WPP claims top honours on the WARC Creative 100 for third consecutive year | WPP")</f>
        <v>WPP claims top honours on the WARC Creative 100 for third consecutive year | WPP</v>
      </c>
      <c r="C110" s="6" t="str">
        <f>IFERROR(__xludf.DUMMYFUNCTION("""COMPUTED_VALUE"""),"wpp.com")</f>
        <v>wpp.com</v>
      </c>
      <c r="D110" s="7" t="str">
        <f>IFERROR(__xludf.DUMMYFUNCTION("""COMPUTED_VALUE"""),"ARTICLE")</f>
        <v>ARTICLE</v>
      </c>
      <c r="E110" s="7" t="str">
        <f>IFERROR(__xludf.DUMMYFUNCTION("""COMPUTED_VALUE"""),"COMPETITOR")</f>
        <v>COMPETITOR</v>
      </c>
      <c r="F110" s="7" t="str">
        <f>IFERROR(__xludf.DUMMYFUNCTION("""COMPUTED_VALUE"""),"Article")</f>
        <v>Article</v>
      </c>
      <c r="G110" s="7" t="b">
        <f>IFERROR(__xludf.DUMMYFUNCTION("""COMPUTED_VALUE"""),FALSE)</f>
        <v>0</v>
      </c>
      <c r="H110" s="7" t="str">
        <f>IFERROR(__xludf.DUMMYFUNCTION("""COMPUTED_VALUE"""),"WPP, VML")</f>
        <v>WPP, VML</v>
      </c>
      <c r="I110" s="7">
        <f>IFERROR(__xludf.DUMMYFUNCTION("""COMPUTED_VALUE"""),1.0)</f>
        <v>1</v>
      </c>
      <c r="J110" s="7">
        <f>IFERROR(__xludf.DUMMYFUNCTION("""COMPUTED_VALUE"""),0.0)</f>
        <v>0</v>
      </c>
      <c r="K110" s="7">
        <f>IFERROR(__xludf.DUMMYFUNCTION("""COMPUTED_VALUE"""),0.0)</f>
        <v>0</v>
      </c>
    </row>
    <row r="111" ht="15.75" customHeight="1">
      <c r="A111" s="6" t="str">
        <f>IFERROR(__xludf.DUMMYFUNCTION("""COMPUTED_VALUE"""),"https://www.wpp.com/en/news/2025/06/wpp-wins-creative-company-of-the-year-at-cannes-lions-2025")</f>
        <v>https://www.wpp.com/en/news/2025/06/wpp-wins-creative-company-of-the-year-at-cannes-lions-2025</v>
      </c>
      <c r="B111" s="7" t="str">
        <f>IFERROR(__xludf.DUMMYFUNCTION("""COMPUTED_VALUE"""),"WPP wins Creative Company of the Year at Cannes Lions 2025 | WPP")</f>
        <v>WPP wins Creative Company of the Year at Cannes Lions 2025 | WPP</v>
      </c>
      <c r="C111" s="6" t="str">
        <f>IFERROR(__xludf.DUMMYFUNCTION("""COMPUTED_VALUE"""),"wpp.com")</f>
        <v>wpp.com</v>
      </c>
      <c r="D111" s="7" t="str">
        <f>IFERROR(__xludf.DUMMYFUNCTION("""COMPUTED_VALUE"""),"ARTICLE")</f>
        <v>ARTICLE</v>
      </c>
      <c r="E111" s="7" t="str">
        <f>IFERROR(__xludf.DUMMYFUNCTION("""COMPUTED_VALUE"""),"COMPETITOR")</f>
        <v>COMPETITOR</v>
      </c>
      <c r="F111" s="7" t="str">
        <f>IFERROR(__xludf.DUMMYFUNCTION("""COMPUTED_VALUE"""),"Article")</f>
        <v>Article</v>
      </c>
      <c r="G111" s="7" t="b">
        <f>IFERROR(__xludf.DUMMYFUNCTION("""COMPUTED_VALUE"""),FALSE)</f>
        <v>0</v>
      </c>
      <c r="H111" s="7" t="str">
        <f>IFERROR(__xludf.DUMMYFUNCTION("""COMPUTED_VALUE"""),"WPP, Mindshare, VML, Impressive, Huge")</f>
        <v>WPP, Mindshare, VML, Impressive, Huge</v>
      </c>
      <c r="I111" s="7">
        <f>IFERROR(__xludf.DUMMYFUNCTION("""COMPUTED_VALUE"""),1.0)</f>
        <v>1</v>
      </c>
      <c r="J111" s="7">
        <f>IFERROR(__xludf.DUMMYFUNCTION("""COMPUTED_VALUE"""),0.0)</f>
        <v>0</v>
      </c>
      <c r="K111" s="7">
        <f>IFERROR(__xludf.DUMMYFUNCTION("""COMPUTED_VALUE"""),2.0)</f>
        <v>2</v>
      </c>
    </row>
    <row r="112" ht="15.75" customHeight="1">
      <c r="A112" s="6" t="str">
        <f>IFERROR(__xludf.DUMMYFUNCTION("""COMPUTED_VALUE"""),"https://www.wpp.com/en/news/wpp-agencies-triumph-at-cannes-lions-2026-with-ogilvy-and-vml-claiming-the-top-two-creative-network-honours")</f>
        <v>https://www.wpp.com/en/news/wpp-agencies-triumph-at-cannes-lions-2026-with-ogilvy-and-vml-claiming-the-top-two-creative-network-honours</v>
      </c>
      <c r="B112" s="7" t="str">
        <f>IFERROR(__xludf.DUMMYFUNCTION("""COMPUTED_VALUE"""),"WPP agencies triumph at Cannes Lions 2026, with Ogilvy and VML claiming the top two creative network honours | WPP")</f>
        <v>WPP agencies triumph at Cannes Lions 2026, with Ogilvy and VML claiming the top two creative network honours | WPP</v>
      </c>
      <c r="C112" s="6" t="str">
        <f>IFERROR(__xludf.DUMMYFUNCTION("""COMPUTED_VALUE"""),"wpp.com")</f>
        <v>wpp.com</v>
      </c>
      <c r="D112" s="7" t="str">
        <f>IFERROR(__xludf.DUMMYFUNCTION("""COMPUTED_VALUE"""),"ARTICLE")</f>
        <v>ARTICLE</v>
      </c>
      <c r="E112" s="7" t="str">
        <f>IFERROR(__xludf.DUMMYFUNCTION("""COMPUTED_VALUE"""),"COMPETITOR")</f>
        <v>COMPETITOR</v>
      </c>
      <c r="F112" s="7" t="str">
        <f>IFERROR(__xludf.DUMMYFUNCTION("""COMPUTED_VALUE"""),"Article")</f>
        <v>Article</v>
      </c>
      <c r="G112" s="7" t="b">
        <f>IFERROR(__xludf.DUMMYFUNCTION("""COMPUTED_VALUE"""),FALSE)</f>
        <v>0</v>
      </c>
      <c r="H112" s="7" t="str">
        <f>IFERROR(__xludf.DUMMYFUNCTION("""COMPUTED_VALUE"""),"WPP, VML, Impressive, EssenceMediacom")</f>
        <v>WPP, VML, Impressive, EssenceMediacom</v>
      </c>
      <c r="I112" s="7">
        <f>IFERROR(__xludf.DUMMYFUNCTION("""COMPUTED_VALUE"""),1.0)</f>
        <v>1</v>
      </c>
      <c r="J112" s="7">
        <f>IFERROR(__xludf.DUMMYFUNCTION("""COMPUTED_VALUE"""),0.0)</f>
        <v>0</v>
      </c>
      <c r="K112" s="7">
        <f>IFERROR(__xludf.DUMMYFUNCTION("""COMPUTED_VALUE"""),0.0)</f>
        <v>0</v>
      </c>
    </row>
    <row r="113" ht="15.75" customHeight="1">
      <c r="A113" s="6" t="str">
        <f>IFERROR(__xludf.DUMMYFUNCTION("""COMPUTED_VALUE"""),"https://www.youtube.com/watch?v=Ko4i_WqyPwE&amp;t=263")</f>
        <v>https://www.youtube.com/watch?v=Ko4i_WqyPwE&amp;t=263</v>
      </c>
      <c r="B113" s="7" t="str">
        <f>IFERROR(__xludf.DUMMYFUNCTION("""COMPUTED_VALUE"""),"Digital Marketing in Australia in 2026 - Your Questions Answered | Smarter Marketer Podcast")</f>
        <v>Digital Marketing in Australia in 2026 - Your Questions Answered | Smarter Marketer Podcast</v>
      </c>
      <c r="C113" s="6" t="str">
        <f>IFERROR(__xludf.DUMMYFUNCTION("""COMPUTED_VALUE"""),"youtube.com")</f>
        <v>youtube.com</v>
      </c>
      <c r="D113" s="7" t="str">
        <f>IFERROR(__xludf.DUMMYFUNCTION("""COMPUTED_VALUE"""),"ARTICLE")</f>
        <v>ARTICLE</v>
      </c>
      <c r="E113" s="7" t="str">
        <f>IFERROR(__xludf.DUMMYFUNCTION("""COMPUTED_VALUE"""),"UGC")</f>
        <v>UGC</v>
      </c>
      <c r="F113" s="7" t="str">
        <f>IFERROR(__xludf.DUMMYFUNCTION("""COMPUTED_VALUE"""),"Article")</f>
        <v>Article</v>
      </c>
      <c r="G113" s="7" t="b">
        <f>IFERROR(__xludf.DUMMYFUNCTION("""COMPUTED_VALUE"""),FALSE)</f>
        <v>0</v>
      </c>
      <c r="H113" s="7" t="str">
        <f>IFERROR(__xludf.DUMMYFUNCTION("""COMPUTED_VALUE"""),"Rocket Agency, Huge")</f>
        <v>Rocket Agency, Huge</v>
      </c>
      <c r="I113" s="7">
        <f>IFERROR(__xludf.DUMMYFUNCTION("""COMPUTED_VALUE"""),1.0)</f>
        <v>1</v>
      </c>
      <c r="J113" s="7">
        <f>IFERROR(__xludf.DUMMYFUNCTION("""COMPUTED_VALUE"""),0.0)</f>
        <v>0</v>
      </c>
      <c r="K113" s="7">
        <f>IFERROR(__xludf.DUMMYFUNCTION("""COMPUTED_VALUE"""),1.0)</f>
        <v>1</v>
      </c>
    </row>
    <row r="114" ht="15.75" customHeight="1">
      <c r="A114" s="6" t="str">
        <f>IFERROR(__xludf.DUMMYFUNCTION("""COMPUTED_VALUE"""),"https://www.youtube.com/watch?v=XhMbeN7cH34&amp;t=707")</f>
        <v>https://www.youtube.com/watch?v=XhMbeN7cH34&amp;t=707</v>
      </c>
      <c r="B114" s="7" t="str">
        <f>IFERROR(__xludf.DUMMYFUNCTION("""COMPUTED_VALUE"""),"Incrementality Testing: How to Actually Measure Marketing Effectiveness (2026)")</f>
        <v>Incrementality Testing: How to Actually Measure Marketing Effectiveness (2026)</v>
      </c>
      <c r="C114" s="6" t="str">
        <f>IFERROR(__xludf.DUMMYFUNCTION("""COMPUTED_VALUE"""),"youtube.com")</f>
        <v>youtube.com</v>
      </c>
      <c r="D114" s="7" t="str">
        <f>IFERROR(__xludf.DUMMYFUNCTION("""COMPUTED_VALUE"""),"ARTICLE")</f>
        <v>ARTICLE</v>
      </c>
      <c r="E114" s="7" t="str">
        <f>IFERROR(__xludf.DUMMYFUNCTION("""COMPUTED_VALUE"""),"UGC")</f>
        <v>UGC</v>
      </c>
      <c r="F114" s="7" t="str">
        <f>IFERROR(__xludf.DUMMYFUNCTION("""COMPUTED_VALUE"""),"Article")</f>
        <v>Article</v>
      </c>
      <c r="G114" s="7" t="b">
        <f>IFERROR(__xludf.DUMMYFUNCTION("""COMPUTED_VALUE"""),FALSE)</f>
        <v>0</v>
      </c>
      <c r="H114" s="7" t="str">
        <f>IFERROR(__xludf.DUMMYFUNCTION("""COMPUTED_VALUE"""),"PHD")</f>
        <v>PHD</v>
      </c>
      <c r="I114" s="7">
        <f>IFERROR(__xludf.DUMMYFUNCTION("""COMPUTED_VALUE"""),1.0)</f>
        <v>1</v>
      </c>
      <c r="J114" s="7">
        <f>IFERROR(__xludf.DUMMYFUNCTION("""COMPUTED_VALUE"""),0.0)</f>
        <v>0</v>
      </c>
      <c r="K114" s="7">
        <f>IFERROR(__xludf.DUMMYFUNCTION("""COMPUTED_VALUE"""),1.0)</f>
        <v>1</v>
      </c>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A17"/>
    <hyperlink r:id="rId30" ref="C17"/>
    <hyperlink r:id="rId31" ref="A18"/>
    <hyperlink r:id="rId32" ref="C18"/>
    <hyperlink r:id="rId33" ref="A19"/>
    <hyperlink r:id="rId34" ref="A20"/>
    <hyperlink r:id="rId35" ref="C20"/>
    <hyperlink r:id="rId36" ref="A21"/>
    <hyperlink r:id="rId37" ref="C21"/>
    <hyperlink r:id="rId38" ref="A22"/>
    <hyperlink r:id="rId39" ref="C22"/>
    <hyperlink r:id="rId40" ref="A23"/>
    <hyperlink r:id="rId41" ref="C23"/>
    <hyperlink r:id="rId42" ref="A24"/>
    <hyperlink r:id="rId43" ref="C24"/>
    <hyperlink r:id="rId44" ref="A25"/>
    <hyperlink r:id="rId45" ref="C25"/>
    <hyperlink r:id="rId46" ref="A26"/>
    <hyperlink r:id="rId47" ref="C26"/>
    <hyperlink r:id="rId48" ref="A27"/>
    <hyperlink r:id="rId49" ref="C27"/>
    <hyperlink r:id="rId50" ref="A28"/>
    <hyperlink r:id="rId51" ref="C28"/>
    <hyperlink r:id="rId52" ref="A29"/>
    <hyperlink r:id="rId53" ref="C29"/>
    <hyperlink r:id="rId54"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location=":~:text=In%20your%20view%2C%20how%20will%20MMM%20evolve,death%20of%20the%20cookie%20shouldn't%20alarm%20marketers." ref="A45"/>
    <hyperlink r:id="rId85" ref="C45"/>
    <hyperlink r:id="rId86" ref="A46"/>
    <hyperlink r:id="rId87" ref="C46"/>
    <hyperlink r:id="rId88" ref="A47"/>
    <hyperlink r:id="rId89" ref="C47"/>
    <hyperlink r:id="rId90"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C58"/>
    <hyperlink r:id="rId112" ref="A59"/>
    <hyperlink r:id="rId113" ref="C59"/>
    <hyperlink r:id="rId114" ref="A60"/>
    <hyperlink r:id="rId115" ref="C60"/>
    <hyperlink r:id="rId116" ref="A61"/>
    <hyperlink r:id="rId117" ref="C61"/>
    <hyperlink r:id="rId118" ref="A62"/>
    <hyperlink r:id="rId119" ref="C62"/>
    <hyperlink r:id="rId120" ref="A63"/>
    <hyperlink r:id="rId121" ref="C63"/>
    <hyperlink r:id="rId122" ref="A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location=":~:text=But%20the%20awards%20that%20Australian,Australia's%20first%20Media%20Grand%20Prix." ref="A91"/>
    <hyperlink r:id="rId176" ref="C91"/>
    <hyperlink r:id="rId177" ref="A92"/>
    <hyperlink r:id="rId178" ref="C92"/>
    <hyperlink r:id="rId179" ref="A93"/>
    <hyperlink r:id="rId180" ref="C93"/>
    <hyperlink r:id="rId181" ref="A94"/>
    <hyperlink r:id="rId182" ref="C94"/>
    <hyperlink r:id="rId183" location=":~:text=Download%20the%20report%20inside%20this%20series%20for,the%20pin%2Dup%20of%20what%20not%20to%20do." ref="A95"/>
    <hyperlink r:id="rId184" ref="C95"/>
    <hyperlink r:id="rId185" ref="A96"/>
    <hyperlink r:id="rId186" ref="C96"/>
    <hyperlink r:id="rId187" ref="A97"/>
    <hyperlink r:id="rId188" ref="C97"/>
    <hyperlink r:id="rId189" ref="A98"/>
    <hyperlink r:id="rId190" ref="C98"/>
    <hyperlink r:id="rId191" ref="A99"/>
    <hyperlink r:id="rId192" ref="C99"/>
    <hyperlink r:id="rId193" ref="A100"/>
    <hyperlink r:id="rId194" ref="C100"/>
    <hyperlink r:id="rId195" ref="A101"/>
    <hyperlink r:id="rId196" ref="C101"/>
    <hyperlink r:id="rId197" ref="A102"/>
    <hyperlink r:id="rId198" ref="C102"/>
    <hyperlink r:id="rId199" ref="A103"/>
    <hyperlink r:id="rId200" ref="C103"/>
    <hyperlink r:id="rId201" ref="A104"/>
    <hyperlink r:id="rId202" ref="C104"/>
    <hyperlink r:id="rId203" ref="A105"/>
    <hyperlink r:id="rId204" ref="C105"/>
    <hyperlink r:id="rId205" ref="A106"/>
    <hyperlink r:id="rId206" ref="C106"/>
    <hyperlink r:id="rId207" ref="A107"/>
    <hyperlink r:id="rId208" ref="C107"/>
    <hyperlink r:id="rId209" ref="A108"/>
    <hyperlink r:id="rId210" ref="A109"/>
    <hyperlink r:id="rId211" ref="C109"/>
    <hyperlink r:id="rId212" ref="A110"/>
    <hyperlink r:id="rId213" ref="C110"/>
    <hyperlink r:id="rId214" ref="A111"/>
    <hyperlink r:id="rId215" ref="C111"/>
    <hyperlink r:id="rId216" ref="A112"/>
    <hyperlink r:id="rId217" ref="C112"/>
    <hyperlink r:id="rId218" ref="A113"/>
    <hyperlink r:id="rId219" ref="C113"/>
    <hyperlink r:id="rId220" ref="A114"/>
    <hyperlink r:id="rId221" ref="C114"/>
  </hyperlinks>
  <drawing r:id="rId22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LOWER(TRIM(TO_TEXT('PEEC - URLs - All'!D2:D1000)))=""category_page""
  ),
  """"
)"),"https://agencies.semrush.com/list/australia/")</f>
        <v>https://agencies.semrush.com/list/australia/</v>
      </c>
      <c r="B2" s="7" t="str">
        <f>IFERROR(__xludf.DUMMYFUNCTION("""COMPUTED_VALUE"""),"Best Digital Marketing Agencies in Australia 2026 | Semrush")</f>
        <v>Best Digital Marketing Agencies in Australia 2026 | Semrush</v>
      </c>
      <c r="C2" s="6" t="str">
        <f>IFERROR(__xludf.DUMMYFUNCTION("""COMPUTED_VALUE"""),"semrush.com")</f>
        <v>semrush.com</v>
      </c>
      <c r="D2" s="7" t="str">
        <f>IFERROR(__xludf.DUMMYFUNCTION("""COMPUTED_VALUE"""),"CATEGORY_PAGE")</f>
        <v>CATEGORY_PAGE</v>
      </c>
      <c r="E2" s="7" t="str">
        <f>IFERROR(__xludf.DUMMYFUNCTION("""COMPUTED_VALUE"""),"CORPORATE")</f>
        <v>CORPORATE</v>
      </c>
      <c r="F2" s="7" t="str">
        <f>IFERROR(__xludf.DUMMYFUNCTION("""COMPUTED_VALUE"""),"Category Page")</f>
        <v>Category Page</v>
      </c>
      <c r="G2" s="7" t="b">
        <f>IFERROR(__xludf.DUMMYFUNCTION("""COMPUTED_VALUE"""),FALSE)</f>
        <v>0</v>
      </c>
      <c r="H2" s="7" t="str">
        <f>IFERROR(__xludf.DUMMYFUNCTION("""COMPUTED_VALUE"""),"Edge Marketing, Digital Nomads HQ, Supple Digital, DNM Digital, Soup Agency, First Page, Clearwater Agency, Measured, Earned Media, Impressive, Online Marketing Gurus, Omnicom Media Group, Human Digital, Click Click Media")</f>
        <v>Edge Marketing, Digital Nomads HQ, Supple Digital, DNM Digital, Soup Agency, First Page, Clearwater Agency, Measured, Earned Media, Impressive, Online Marketing Gurus, Omnicom Media Group, Human Digital, Click Click Media</v>
      </c>
      <c r="I2" s="7">
        <f>IFERROR(__xludf.DUMMYFUNCTION("""COMPUTED_VALUE"""),120.0)</f>
        <v>120</v>
      </c>
      <c r="J2" s="7">
        <f>IFERROR(__xludf.DUMMYFUNCTION("""COMPUTED_VALUE"""),0.13)</f>
        <v>0.13</v>
      </c>
      <c r="K2" s="7">
        <f>IFERROR(__xludf.DUMMYFUNCTION("""COMPUTED_VALUE"""),0.36)</f>
        <v>0.36</v>
      </c>
    </row>
    <row r="3" ht="15.75" customHeight="1">
      <c r="A3" s="6" t="str">
        <f>IFERROR(__xludf.DUMMYFUNCTION("""COMPUTED_VALUE"""),"https://clutch.co/au/agencies/digital-marketing")</f>
        <v>https://clutch.co/au/agencies/digital-marketing</v>
      </c>
      <c r="B3" s="7" t="str">
        <f>IFERROR(__xludf.DUMMYFUNCTION("""COMPUTED_VALUE"""),"Top Digital Marketing Agencies in Australia - Jul 2026 Rankings \| Clutch.co")</f>
        <v>Top Digital Marketing Agencies in Australia - Jul 2026 Rankings \| Clutch.co</v>
      </c>
      <c r="C3" s="6" t="str">
        <f>IFERROR(__xludf.DUMMYFUNCTION("""COMPUTED_VALUE"""),"clutch.co")</f>
        <v>clutch.co</v>
      </c>
      <c r="D3" s="7" t="str">
        <f>IFERROR(__xludf.DUMMYFUNCTION("""COMPUTED_VALUE"""),"CATEGORY_PAGE")</f>
        <v>CATEGORY_PAGE</v>
      </c>
      <c r="E3" s="7" t="str">
        <f>IFERROR(__xludf.DUMMYFUNCTION("""COMPUTED_VALUE"""),"CORPORATE")</f>
        <v>CORPORATE</v>
      </c>
      <c r="F3" s="7" t="str">
        <f>IFERROR(__xludf.DUMMYFUNCTION("""COMPUTED_VALUE"""),"Category Page")</f>
        <v>Category Page</v>
      </c>
      <c r="G3" s="7" t="b">
        <f>IFERROR(__xludf.DUMMYFUNCTION("""COMPUTED_VALUE"""),FALSE)</f>
        <v>0</v>
      </c>
      <c r="H3" s="7" t="str">
        <f>IFERROR(__xludf.DUMMYFUNCTION("""COMPUTED_VALUE"""),"Clearwater Agency, Soup Agency, Luminary, Farsiight, Digital Nomads HQ, SIXGUN, Impressive, Intesols, 80/20 Digital, MyWork, Ninja Promo, Human Digital, Undivided, Salt &amp; Fuessel, Emote Digital, StudioHawk, Supple Digital, Alley Group, EvenDigit")</f>
        <v>Clearwater Agency, Soup Agency, Luminary, Farsiight, Digital Nomads HQ, SIXGUN, Impressive, Intesols, 80/20 Digital, MyWork, Ninja Promo, Human Digital, Undivided, Salt &amp; Fuessel, Emote Digital, StudioHawk, Supple Digital, Alley Group, EvenDigit</v>
      </c>
      <c r="I3" s="7">
        <f>IFERROR(__xludf.DUMMYFUNCTION("""COMPUTED_VALUE"""),93.0)</f>
        <v>93</v>
      </c>
      <c r="J3" s="7">
        <f>IFERROR(__xludf.DUMMYFUNCTION("""COMPUTED_VALUE"""),0.1)</f>
        <v>0.1</v>
      </c>
      <c r="K3" s="7">
        <f>IFERROR(__xludf.DUMMYFUNCTION("""COMPUTED_VALUE"""),1.11)</f>
        <v>1.11</v>
      </c>
    </row>
    <row r="4" ht="15.75" customHeight="1">
      <c r="A4" s="6" t="str">
        <f>IFERROR(__xludf.DUMMYFUNCTION("""COMPUTED_VALUE"""),"https://clutch.co/au/agencies")</f>
        <v>https://clutch.co/au/agencies</v>
      </c>
      <c r="B4" s="7" t="str">
        <f>IFERROR(__xludf.DUMMYFUNCTION("""COMPUTED_VALUE"""),"Top Advertising Agencies in Australia - Jul 2026 Rankings \| Clutch.co")</f>
        <v>Top Advertising Agencies in Australia - Jul 2026 Rankings \| Clutch.co</v>
      </c>
      <c r="C4" s="6" t="str">
        <f>IFERROR(__xludf.DUMMYFUNCTION("""COMPUTED_VALUE"""),"clutch.co")</f>
        <v>clutch.co</v>
      </c>
      <c r="D4" s="7" t="str">
        <f>IFERROR(__xludf.DUMMYFUNCTION("""COMPUTED_VALUE"""),"CATEGORY_PAGE")</f>
        <v>CATEGORY_PAGE</v>
      </c>
      <c r="E4" s="7" t="str">
        <f>IFERROR(__xludf.DUMMYFUNCTION("""COMPUTED_VALUE"""),"CORPORATE")</f>
        <v>CORPORATE</v>
      </c>
      <c r="F4" s="7" t="str">
        <f>IFERROR(__xludf.DUMMYFUNCTION("""COMPUTED_VALUE"""),"Category Page")</f>
        <v>Category Page</v>
      </c>
      <c r="G4" s="7" t="b">
        <f>IFERROR(__xludf.DUMMYFUNCTION("""COMPUTED_VALUE"""),FALSE)</f>
        <v>0</v>
      </c>
      <c r="H4" s="7" t="str">
        <f>IFERROR(__xludf.DUMMYFUNCTION("""COMPUTED_VALUE"""),"Chello, Human Digital, Soup Agency, Farsiight, DNM Digital, In Marketing We Trust, Version2, Impressive, Ninja Promo, Bench Media, Insil")</f>
        <v>Chello, Human Digital, Soup Agency, Farsiight, DNM Digital, In Marketing We Trust, Version2, Impressive, Ninja Promo, Bench Media, Insil</v>
      </c>
      <c r="I4" s="7">
        <f>IFERROR(__xludf.DUMMYFUNCTION("""COMPUTED_VALUE"""),83.0)</f>
        <v>83</v>
      </c>
      <c r="J4" s="7">
        <f>IFERROR(__xludf.DUMMYFUNCTION("""COMPUTED_VALUE"""),0.09)</f>
        <v>0.09</v>
      </c>
      <c r="K4" s="7">
        <f>IFERROR(__xludf.DUMMYFUNCTION("""COMPUTED_VALUE"""),0.59)</f>
        <v>0.59</v>
      </c>
    </row>
    <row r="5" ht="15.75" customHeight="1">
      <c r="A5" s="6" t="str">
        <f>IFERROR(__xludf.DUMMYFUNCTION("""COMPUTED_VALUE"""),"https://agencies.semrush.com/list/advertising/australia/")</f>
        <v>https://agencies.semrush.com/list/advertising/australia/</v>
      </c>
      <c r="B5" s="7" t="str">
        <f>IFERROR(__xludf.DUMMYFUNCTION("""COMPUTED_VALUE"""),"Best Advertising Agencies in Australia 2026 | Semrush")</f>
        <v>Best Advertising Agencies in Australia 2026 | Semrush</v>
      </c>
      <c r="C5" s="6" t="str">
        <f>IFERROR(__xludf.DUMMYFUNCTION("""COMPUTED_VALUE"""),"semrush.com")</f>
        <v>semrush.com</v>
      </c>
      <c r="D5" s="7" t="str">
        <f>IFERROR(__xludf.DUMMYFUNCTION("""COMPUTED_VALUE"""),"CATEGORY_PAGE")</f>
        <v>CATEGORY_PAGE</v>
      </c>
      <c r="E5" s="7" t="str">
        <f>IFERROR(__xludf.DUMMYFUNCTION("""COMPUTED_VALUE"""),"CORPORATE")</f>
        <v>CORPORATE</v>
      </c>
      <c r="F5" s="7" t="str">
        <f>IFERROR(__xludf.DUMMYFUNCTION("""COMPUTED_VALUE"""),"Category Page")</f>
        <v>Category Page</v>
      </c>
      <c r="G5" s="7" t="b">
        <f>IFERROR(__xludf.DUMMYFUNCTION("""COMPUTED_VALUE"""),FALSE)</f>
        <v>0</v>
      </c>
      <c r="H5" s="7"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5" s="7">
        <f>IFERROR(__xludf.DUMMYFUNCTION("""COMPUTED_VALUE"""),56.0)</f>
        <v>56</v>
      </c>
      <c r="J5" s="7">
        <f>IFERROR(__xludf.DUMMYFUNCTION("""COMPUTED_VALUE"""),0.06)</f>
        <v>0.06</v>
      </c>
      <c r="K5" s="7">
        <f>IFERROR(__xludf.DUMMYFUNCTION("""COMPUTED_VALUE"""),0.07)</f>
        <v>0.07</v>
      </c>
    </row>
    <row r="6" ht="15.75" customHeight="1">
      <c r="A6" s="6" t="str">
        <f>IFERROR(__xludf.DUMMYFUNCTION("""COMPUTED_VALUE"""),"https://www.sortlist.com/s/paid-media/australia-au")</f>
        <v>https://www.sortlist.com/s/paid-media/australia-au</v>
      </c>
      <c r="B6" s="7" t="str">
        <f>IFERROR(__xludf.DUMMYFUNCTION("""COMPUTED_VALUE"""),"The 10 Best Paid Media Agencies in Australia - 2026 Reviews")</f>
        <v>The 10 Best Paid Media Agencies in Australia - 2026 Reviews</v>
      </c>
      <c r="C6" s="6" t="str">
        <f>IFERROR(__xludf.DUMMYFUNCTION("""COMPUTED_VALUE"""),"sortlist.com")</f>
        <v>sortlist.com</v>
      </c>
      <c r="D6" s="7" t="str">
        <f>IFERROR(__xludf.DUMMYFUNCTION("""COMPUTED_VALUE"""),"CATEGORY_PAGE")</f>
        <v>CATEGORY_PAGE</v>
      </c>
      <c r="E6" s="7" t="str">
        <f>IFERROR(__xludf.DUMMYFUNCTION("""COMPUTED_VALUE"""),"CORPORATE")</f>
        <v>CORPORATE</v>
      </c>
      <c r="F6" s="7" t="str">
        <f>IFERROR(__xludf.DUMMYFUNCTION("""COMPUTED_VALUE"""),"Category Page")</f>
        <v>Category Page</v>
      </c>
      <c r="G6" s="7" t="b">
        <f>IFERROR(__xludf.DUMMYFUNCTION("""COMPUTED_VALUE"""),FALSE)</f>
        <v>0</v>
      </c>
      <c r="H6" s="7" t="str">
        <f>IFERROR(__xludf.DUMMYFUNCTION("""COMPUTED_VALUE"""),"Measured, Earned Media, Clearwater Agency, Impressive, Supple Digital, SIXGUN, Digital Nomads HQ, Soup Agency, HERO")</f>
        <v>Measured, Earned Media, Clearwater Agency, Impressive, Supple Digital, SIXGUN, Digital Nomads HQ, Soup Agency, HERO</v>
      </c>
      <c r="I6" s="7">
        <f>IFERROR(__xludf.DUMMYFUNCTION("""COMPUTED_VALUE"""),53.0)</f>
        <v>53</v>
      </c>
      <c r="J6" s="7">
        <f>IFERROR(__xludf.DUMMYFUNCTION("""COMPUTED_VALUE"""),0.06)</f>
        <v>0.06</v>
      </c>
      <c r="K6" s="7">
        <f>IFERROR(__xludf.DUMMYFUNCTION("""COMPUTED_VALUE"""),0.58)</f>
        <v>0.58</v>
      </c>
    </row>
    <row r="7" ht="15.75" customHeight="1">
      <c r="A7" s="6" t="str">
        <f>IFERROR(__xludf.DUMMYFUNCTION("""COMPUTED_VALUE"""),"https://clutch.co/au/agencies/ppc")</f>
        <v>https://clutch.co/au/agencies/ppc</v>
      </c>
      <c r="B7" s="7" t="str">
        <f>IFERROR(__xludf.DUMMYFUNCTION("""COMPUTED_VALUE"""),"Top PPC Agencies in Australia - Jul 2026 Rankings | Clutch.co")</f>
        <v>Top PPC Agencies in Australia - Jul 2026 Rankings | Clutch.co</v>
      </c>
      <c r="C7" s="6" t="str">
        <f>IFERROR(__xludf.DUMMYFUNCTION("""COMPUTED_VALUE"""),"clutch.co")</f>
        <v>clutch.co</v>
      </c>
      <c r="D7" s="7" t="str">
        <f>IFERROR(__xludf.DUMMYFUNCTION("""COMPUTED_VALUE"""),"CATEGORY_PAGE")</f>
        <v>CATEGORY_PAGE</v>
      </c>
      <c r="E7" s="7" t="str">
        <f>IFERROR(__xludf.DUMMYFUNCTION("""COMPUTED_VALUE"""),"CORPORATE")</f>
        <v>CORPORATE</v>
      </c>
      <c r="F7" s="7" t="str">
        <f>IFERROR(__xludf.DUMMYFUNCTION("""COMPUTED_VALUE"""),"Category Page")</f>
        <v>Category Page</v>
      </c>
      <c r="G7" s="7" t="b">
        <f>IFERROR(__xludf.DUMMYFUNCTION("""COMPUTED_VALUE"""),FALSE)</f>
        <v>0</v>
      </c>
      <c r="H7" s="7" t="str">
        <f>IFERROR(__xludf.DUMMYFUNCTION("""COMPUTED_VALUE"""),"Soup Agency, Digital Nomads HQ, SIXGUN, Impressive, First Page, Farsiight, Human Digital, Intesols, MyWork, Salt &amp; Fuessel, Emote Digital, 80/20 Digital, Supple Digital, Alley Group, EvenDigit, Rocket Agency, Clearwater Agency, DNM Digital, Edge Marketing"&amp;", Megaphone, Huge, Paradox Marketing, Online Marketing Gurus, Omnicom Media Group, Marketix Digital")</f>
        <v>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v>
      </c>
      <c r="I7" s="7">
        <f>IFERROR(__xludf.DUMMYFUNCTION("""COMPUTED_VALUE"""),42.0)</f>
        <v>42</v>
      </c>
      <c r="J7" s="7">
        <f>IFERROR(__xludf.DUMMYFUNCTION("""COMPUTED_VALUE"""),0.04)</f>
        <v>0.04</v>
      </c>
      <c r="K7" s="7">
        <f>IFERROR(__xludf.DUMMYFUNCTION("""COMPUTED_VALUE"""),2.81)</f>
        <v>2.81</v>
      </c>
    </row>
    <row r="8" ht="15.75" customHeight="1">
      <c r="A8" s="6" t="str">
        <f>IFERROR(__xludf.DUMMYFUNCTION("""COMPUTED_VALUE"""),"https://ensun.io/search/marketing-analytics/australia")</f>
        <v>https://ensun.io/search/marketing-analytics/australia</v>
      </c>
      <c r="B8" s="7" t="str">
        <f>IFERROR(__xludf.DUMMYFUNCTION("""COMPUTED_VALUE"""),"Top 100 Marketing Analytics Companies in Australia (2026) \| ensun")</f>
        <v>Top 100 Marketing Analytics Companies in Australia (2026) \| ensun</v>
      </c>
      <c r="C8" s="6" t="str">
        <f>IFERROR(__xludf.DUMMYFUNCTION("""COMPUTED_VALUE"""),"ensun.io")</f>
        <v>ensun.io</v>
      </c>
      <c r="D8" s="7" t="str">
        <f>IFERROR(__xludf.DUMMYFUNCTION("""COMPUTED_VALUE"""),"CATEGORY_PAGE")</f>
        <v>CATEGORY_PAGE</v>
      </c>
      <c r="E8" s="7" t="str">
        <f>IFERROR(__xludf.DUMMYFUNCTION("""COMPUTED_VALUE"""),"OTHER")</f>
        <v>OTHER</v>
      </c>
      <c r="F8" s="7" t="str">
        <f>IFERROR(__xludf.DUMMYFUNCTION("""COMPUTED_VALUE"""),"Category Page")</f>
        <v>Category Page</v>
      </c>
      <c r="G8" s="7" t="b">
        <f>IFERROR(__xludf.DUMMYFUNCTION("""COMPUTED_VALUE"""),FALSE)</f>
        <v>0</v>
      </c>
      <c r="H8" s="7" t="str">
        <f>IFERROR(__xludf.DUMMYFUNCTION("""COMPUTED_VALUE"""),"Loves Data, Online Marketing Gurus, Omnicom Media Group")</f>
        <v>Loves Data, Online Marketing Gurus, Omnicom Media Group</v>
      </c>
      <c r="I8" s="7">
        <f>IFERROR(__xludf.DUMMYFUNCTION("""COMPUTED_VALUE"""),37.0)</f>
        <v>37</v>
      </c>
      <c r="J8" s="7">
        <f>IFERROR(__xludf.DUMMYFUNCTION("""COMPUTED_VALUE"""),0.04)</f>
        <v>0.04</v>
      </c>
      <c r="K8" s="7">
        <f>IFERROR(__xludf.DUMMYFUNCTION("""COMPUTED_VALUE"""),1.16)</f>
        <v>1.16</v>
      </c>
    </row>
    <row r="9" ht="15.75" customHeight="1">
      <c r="A9" s="6" t="str">
        <f>IFERROR(__xludf.DUMMYFUNCTION("""COMPUTED_VALUE"""),"https://digitalagencynetwork.com/agencies/australia/")</f>
        <v>https://digitalagencynetwork.com/agencies/australia/</v>
      </c>
      <c r="B9" s="7" t="str">
        <f>IFERROR(__xludf.DUMMYFUNCTION("""COMPUTED_VALUE"""),"Best Digital Marketing Agencies in Australia | Digital Agency Network")</f>
        <v>Best Digital Marketing Agencies in Australia | Digital Agency Network</v>
      </c>
      <c r="C9" s="6" t="str">
        <f>IFERROR(__xludf.DUMMYFUNCTION("""COMPUTED_VALUE"""),"digitalagencynetwork.com")</f>
        <v>digitalagencynetwork.com</v>
      </c>
      <c r="D9" s="7" t="str">
        <f>IFERROR(__xludf.DUMMYFUNCTION("""COMPUTED_VALUE"""),"CATEGORY_PAGE")</f>
        <v>CATEGORY_PAGE</v>
      </c>
      <c r="E9" s="7" t="str">
        <f>IFERROR(__xludf.DUMMYFUNCTION("""COMPUTED_VALUE"""),"REFERENCE")</f>
        <v>REFERENCE</v>
      </c>
      <c r="F9" s="7" t="str">
        <f>IFERROR(__xludf.DUMMYFUNCTION("""COMPUTED_VALUE"""),"Category Page")</f>
        <v>Category Page</v>
      </c>
      <c r="G9" s="7" t="b">
        <f>IFERROR(__xludf.DUMMYFUNCTION("""COMPUTED_VALUE"""),FALSE)</f>
        <v>0</v>
      </c>
      <c r="H9" s="7" t="str">
        <f>IFERROR(__xludf.DUMMYFUNCTION("""COMPUTED_VALUE"""),"Emote Digital, Luminary, Supple Digital, 80/20 Digital, Clearwater Agency, Digital Nomads HQ, Soup Agency, Impressive, Jaywing, In Marketing We Trust")</f>
        <v>Emote Digital, Luminary, Supple Digital, 80/20 Digital, Clearwater Agency, Digital Nomads HQ, Soup Agency, Impressive, Jaywing, In Marketing We Trust</v>
      </c>
      <c r="I9" s="7">
        <f>IFERROR(__xludf.DUMMYFUNCTION("""COMPUTED_VALUE"""),36.0)</f>
        <v>36</v>
      </c>
      <c r="J9" s="7">
        <f>IFERROR(__xludf.DUMMYFUNCTION("""COMPUTED_VALUE"""),0.04)</f>
        <v>0.04</v>
      </c>
      <c r="K9" s="7">
        <f>IFERROR(__xludf.DUMMYFUNCTION("""COMPUTED_VALUE"""),0.33)</f>
        <v>0.33</v>
      </c>
    </row>
    <row r="10" ht="15.75" customHeight="1">
      <c r="A10" s="6" t="str">
        <f>IFERROR(__xludf.DUMMYFUNCTION("""COMPUTED_VALUE"""),"https://agencies.semrush.com/list/smm/australia/")</f>
        <v>https://agencies.semrush.com/list/smm/australia/</v>
      </c>
      <c r="B10" s="7" t="str">
        <f>IFERROR(__xludf.DUMMYFUNCTION("""COMPUTED_VALUE"""),"Best Social Media Marketing Agencies in Australia 2026 | Semrush")</f>
        <v>Best Social Media Marketing Agencies in Australia 2026 | Semrush</v>
      </c>
      <c r="C10" s="6" t="str">
        <f>IFERROR(__xludf.DUMMYFUNCTION("""COMPUTED_VALUE"""),"semrush.com")</f>
        <v>semrush.com</v>
      </c>
      <c r="D10" s="7" t="str">
        <f>IFERROR(__xludf.DUMMYFUNCTION("""COMPUTED_VALUE"""),"CATEGORY_PAGE")</f>
        <v>CATEGORY_PAGE</v>
      </c>
      <c r="E10" s="7" t="str">
        <f>IFERROR(__xludf.DUMMYFUNCTION("""COMPUTED_VALUE"""),"CORPORATE")</f>
        <v>CORPORATE</v>
      </c>
      <c r="F10" s="7" t="str">
        <f>IFERROR(__xludf.DUMMYFUNCTION("""COMPUTED_VALUE"""),"Category Page")</f>
        <v>Category Page</v>
      </c>
      <c r="G10" s="7" t="b">
        <f>IFERROR(__xludf.DUMMYFUNCTION("""COMPUTED_VALUE"""),FALSE)</f>
        <v>0</v>
      </c>
      <c r="H10" s="7"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10" s="7">
        <f>IFERROR(__xludf.DUMMYFUNCTION("""COMPUTED_VALUE"""),34.0)</f>
        <v>34</v>
      </c>
      <c r="J10" s="7">
        <f>IFERROR(__xludf.DUMMYFUNCTION("""COMPUTED_VALUE"""),0.04)</f>
        <v>0.04</v>
      </c>
      <c r="K10" s="7">
        <f>IFERROR(__xludf.DUMMYFUNCTION("""COMPUTED_VALUE"""),0.41)</f>
        <v>0.41</v>
      </c>
    </row>
    <row r="11" ht="15.75" customHeight="1">
      <c r="A11" s="6" t="str">
        <f>IFERROR(__xludf.DUMMYFUNCTION("""COMPUTED_VALUE"""),"https://agencies.semrush.com/list/ai-optimization/sydney/")</f>
        <v>https://agencies.semrush.com/list/ai-optimization/sydney/</v>
      </c>
      <c r="B11" s="7" t="str">
        <f>IFERROR(__xludf.DUMMYFUNCTION("""COMPUTED_VALUE"""),"Best AI Search Optimization Agencies in Sydney 2026 | Semrush")</f>
        <v>Best AI Search Optimization Agencies in Sydney 2026 | Semrush</v>
      </c>
      <c r="C11" s="6" t="str">
        <f>IFERROR(__xludf.DUMMYFUNCTION("""COMPUTED_VALUE"""),"semrush.com")</f>
        <v>semrush.com</v>
      </c>
      <c r="D11" s="7" t="str">
        <f>IFERROR(__xludf.DUMMYFUNCTION("""COMPUTED_VALUE"""),"CATEGORY_PAGE")</f>
        <v>CATEGORY_PAGE</v>
      </c>
      <c r="E11" s="7" t="str">
        <f>IFERROR(__xludf.DUMMYFUNCTION("""COMPUTED_VALUE"""),"CORPORATE")</f>
        <v>CORPORATE</v>
      </c>
      <c r="F11" s="7" t="str">
        <f>IFERROR(__xludf.DUMMYFUNCTION("""COMPUTED_VALUE"""),"Category Page")</f>
        <v>Category Page</v>
      </c>
      <c r="G11" s="7" t="b">
        <f>IFERROR(__xludf.DUMMYFUNCTION("""COMPUTED_VALUE"""),FALSE)</f>
        <v>0</v>
      </c>
      <c r="H11" s="7" t="str">
        <f>IFERROR(__xludf.DUMMYFUNCTION("""COMPUTED_VALUE"""),"DNM Digital, Online Marketing Gurus, Omnicom Media Group, Earned Media, Huge, Edge Marketing, First Page, Clearwater Agency, Measured")</f>
        <v>DNM Digital, Online Marketing Gurus, Omnicom Media Group, Earned Media, Huge, Edge Marketing, First Page, Clearwater Agency, Measured</v>
      </c>
      <c r="I11" s="7">
        <f>IFERROR(__xludf.DUMMYFUNCTION("""COMPUTED_VALUE"""),33.0)</f>
        <v>33</v>
      </c>
      <c r="J11" s="7">
        <f>IFERROR(__xludf.DUMMYFUNCTION("""COMPUTED_VALUE"""),0.03)</f>
        <v>0.03</v>
      </c>
      <c r="K11" s="7">
        <f>IFERROR(__xludf.DUMMYFUNCTION("""COMPUTED_VALUE"""),0.79)</f>
        <v>0.79</v>
      </c>
    </row>
    <row r="12" ht="15.75" customHeight="1">
      <c r="A12" s="6" t="str">
        <f>IFERROR(__xludf.DUMMYFUNCTION("""COMPUTED_VALUE"""),"https://clutch.co/au/agencies/creative")</f>
        <v>https://clutch.co/au/agencies/creative</v>
      </c>
      <c r="B12" s="7" t="str">
        <f>IFERROR(__xludf.DUMMYFUNCTION("""COMPUTED_VALUE"""),"Top Creative Agencies in Australia - Jul 2026 Rankings \| Clutch.co")</f>
        <v>Top Creative Agencies in Australia - Jul 2026 Rankings \| Clutch.co</v>
      </c>
      <c r="C12" s="6" t="str">
        <f>IFERROR(__xludf.DUMMYFUNCTION("""COMPUTED_VALUE"""),"clutch.co")</f>
        <v>clutch.co</v>
      </c>
      <c r="D12" s="7" t="str">
        <f>IFERROR(__xludf.DUMMYFUNCTION("""COMPUTED_VALUE"""),"CATEGORY_PAGE")</f>
        <v>CATEGORY_PAGE</v>
      </c>
      <c r="E12" s="7" t="str">
        <f>IFERROR(__xludf.DUMMYFUNCTION("""COMPUTED_VALUE"""),"CORPORATE")</f>
        <v>CORPORATE</v>
      </c>
      <c r="F12" s="7" t="str">
        <f>IFERROR(__xludf.DUMMYFUNCTION("""COMPUTED_VALUE"""),"Category Page")</f>
        <v>Category Page</v>
      </c>
      <c r="G12" s="7" t="b">
        <f>IFERROR(__xludf.DUMMYFUNCTION("""COMPUTED_VALUE"""),FALSE)</f>
        <v>0</v>
      </c>
      <c r="H12" s="7" t="str">
        <f>IFERROR(__xludf.DUMMYFUNCTION("""COMPUTED_VALUE"""),"Chello, Human Digital, Impressive, Measured, Dentsu")</f>
        <v>Chello, Human Digital, Impressive, Measured, Dentsu</v>
      </c>
      <c r="I12" s="7">
        <f>IFERROR(__xludf.DUMMYFUNCTION("""COMPUTED_VALUE"""),33.0)</f>
        <v>33</v>
      </c>
      <c r="J12" s="7">
        <f>IFERROR(__xludf.DUMMYFUNCTION("""COMPUTED_VALUE"""),0.03)</f>
        <v>0.03</v>
      </c>
      <c r="K12" s="7">
        <f>IFERROR(__xludf.DUMMYFUNCTION("""COMPUTED_VALUE"""),1.15)</f>
        <v>1.15</v>
      </c>
    </row>
    <row r="13" ht="15.75" customHeight="1">
      <c r="A13" s="6" t="str">
        <f>IFERROR(__xludf.DUMMYFUNCTION("""COMPUTED_VALUE"""),"https://agencies.semrush.com/list/analytics-data-science/australia/")</f>
        <v>https://agencies.semrush.com/list/analytics-data-science/australia/</v>
      </c>
      <c r="B13" s="7" t="str">
        <f>IFERROR(__xludf.DUMMYFUNCTION("""COMPUTED_VALUE"""),"Best Data Analytics Services in Australia 2026 | Semrush")</f>
        <v>Best Data Analytics Services in Australia 2026 | Semrush</v>
      </c>
      <c r="C13" s="6" t="str">
        <f>IFERROR(__xludf.DUMMYFUNCTION("""COMPUTED_VALUE"""),"semrush.com")</f>
        <v>semrush.com</v>
      </c>
      <c r="D13" s="7" t="str">
        <f>IFERROR(__xludf.DUMMYFUNCTION("""COMPUTED_VALUE"""),"CATEGORY_PAGE")</f>
        <v>CATEGORY_PAGE</v>
      </c>
      <c r="E13" s="7" t="str">
        <f>IFERROR(__xludf.DUMMYFUNCTION("""COMPUTED_VALUE"""),"CORPORATE")</f>
        <v>CORPORATE</v>
      </c>
      <c r="F13" s="7" t="str">
        <f>IFERROR(__xludf.DUMMYFUNCTION("""COMPUTED_VALUE"""),"Category Page")</f>
        <v>Category Page</v>
      </c>
      <c r="G13" s="7" t="b">
        <f>IFERROR(__xludf.DUMMYFUNCTION("""COMPUTED_VALUE"""),FALSE)</f>
        <v>0</v>
      </c>
      <c r="H13" s="7"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13" s="7">
        <f>IFERROR(__xludf.DUMMYFUNCTION("""COMPUTED_VALUE"""),30.0)</f>
        <v>30</v>
      </c>
      <c r="J13" s="7">
        <f>IFERROR(__xludf.DUMMYFUNCTION("""COMPUTED_VALUE"""),0.03)</f>
        <v>0.03</v>
      </c>
      <c r="K13" s="7">
        <f>IFERROR(__xludf.DUMMYFUNCTION("""COMPUTED_VALUE"""),0.77)</f>
        <v>0.77</v>
      </c>
    </row>
    <row r="14" ht="15.75" customHeight="1">
      <c r="A14" s="6" t="str">
        <f>IFERROR(__xludf.DUMMYFUNCTION("""COMPUTED_VALUE"""),"https://clutch.co/au/consulting/ai")</f>
        <v>https://clutch.co/au/consulting/ai</v>
      </c>
      <c r="B14" s="7" t="str">
        <f>IFERROR(__xludf.DUMMYFUNCTION("""COMPUTED_VALUE"""),"Top AI Consultants in Australia - Jul 2026 Rankings \| Clutch.co")</f>
        <v>Top AI Consultants in Australia - Jul 2026 Rankings \| Clutch.co</v>
      </c>
      <c r="C14" s="6" t="str">
        <f>IFERROR(__xludf.DUMMYFUNCTION("""COMPUTED_VALUE"""),"clutch.co")</f>
        <v>clutch.co</v>
      </c>
      <c r="D14" s="7" t="str">
        <f>IFERROR(__xludf.DUMMYFUNCTION("""COMPUTED_VALUE"""),"CATEGORY_PAGE")</f>
        <v>CATEGORY_PAGE</v>
      </c>
      <c r="E14" s="7" t="str">
        <f>IFERROR(__xludf.DUMMYFUNCTION("""COMPUTED_VALUE"""),"CORPORATE")</f>
        <v>CORPORATE</v>
      </c>
      <c r="F14" s="7" t="str">
        <f>IFERROR(__xludf.DUMMYFUNCTION("""COMPUTED_VALUE"""),"Category Page")</f>
        <v>Category Page</v>
      </c>
      <c r="G14" s="7" t="b">
        <f>IFERROR(__xludf.DUMMYFUNCTION("""COMPUTED_VALUE"""),FALSE)</f>
        <v>0</v>
      </c>
      <c r="H14" s="7" t="str">
        <f>IFERROR(__xludf.DUMMYFUNCTION("""COMPUTED_VALUE"""),"Luminary, Impressive, Huge, In Marketing We Trust, Team 400")</f>
        <v>Luminary, Impressive, Huge, In Marketing We Trust, Team 400</v>
      </c>
      <c r="I14" s="7">
        <f>IFERROR(__xludf.DUMMYFUNCTION("""COMPUTED_VALUE"""),25.0)</f>
        <v>25</v>
      </c>
      <c r="J14" s="7">
        <f>IFERROR(__xludf.DUMMYFUNCTION("""COMPUTED_VALUE"""),0.03)</f>
        <v>0.03</v>
      </c>
      <c r="K14" s="7">
        <f>IFERROR(__xludf.DUMMYFUNCTION("""COMPUTED_VALUE"""),0.12)</f>
        <v>0.12</v>
      </c>
    </row>
    <row r="15" ht="15.75" customHeight="1">
      <c r="A15" s="6" t="str">
        <f>IFERROR(__xludf.DUMMYFUNCTION("""COMPUTED_VALUE"""),"https://digitalagencynetwork.com/agencies/australia/creative/")</f>
        <v>https://digitalagencynetwork.com/agencies/australia/creative/</v>
      </c>
      <c r="B15" s="7" t="str">
        <f>IFERROR(__xludf.DUMMYFUNCTION("""COMPUTED_VALUE"""),"Top Creative Agencies in Australia (2026)")</f>
        <v>Top Creative Agencies in Australia (2026)</v>
      </c>
      <c r="C15" s="6" t="str">
        <f>IFERROR(__xludf.DUMMYFUNCTION("""COMPUTED_VALUE"""),"digitalagencynetwork.com")</f>
        <v>digitalagencynetwork.com</v>
      </c>
      <c r="D15" s="7" t="str">
        <f>IFERROR(__xludf.DUMMYFUNCTION("""COMPUTED_VALUE"""),"CATEGORY_PAGE")</f>
        <v>CATEGORY_PAGE</v>
      </c>
      <c r="E15" s="7" t="str">
        <f>IFERROR(__xludf.DUMMYFUNCTION("""COMPUTED_VALUE"""),"REFERENCE")</f>
        <v>REFERENCE</v>
      </c>
      <c r="F15" s="7" t="str">
        <f>IFERROR(__xludf.DUMMYFUNCTION("""COMPUTED_VALUE"""),"Category Page")</f>
        <v>Category Page</v>
      </c>
      <c r="G15" s="7" t="b">
        <f>IFERROR(__xludf.DUMMYFUNCTION("""COMPUTED_VALUE"""),FALSE)</f>
        <v>0</v>
      </c>
      <c r="H15" s="7" t="str">
        <f>IFERROR(__xludf.DUMMYFUNCTION("""COMPUTED_VALUE"""),"Jaywing, Clearwater Agency, Emote Digital")</f>
        <v>Jaywing, Clearwater Agency, Emote Digital</v>
      </c>
      <c r="I15" s="7">
        <f>IFERROR(__xludf.DUMMYFUNCTION("""COMPUTED_VALUE"""),25.0)</f>
        <v>25</v>
      </c>
      <c r="J15" s="7">
        <f>IFERROR(__xludf.DUMMYFUNCTION("""COMPUTED_VALUE"""),0.03)</f>
        <v>0.03</v>
      </c>
      <c r="K15" s="7">
        <f>IFERROR(__xludf.DUMMYFUNCTION("""COMPUTED_VALUE"""),0.12)</f>
        <v>0.12</v>
      </c>
    </row>
    <row r="16" ht="15.75" customHeight="1">
      <c r="A16" s="6" t="str">
        <f>IFERROR(__xludf.DUMMYFUNCTION("""COMPUTED_VALUE"""),"https://www.goodfirms.co/advertising-companies/creative/australia")</f>
        <v>https://www.goodfirms.co/advertising-companies/creative/australia</v>
      </c>
      <c r="B16" s="7" t="str">
        <f>IFERROR(__xludf.DUMMYFUNCTION("""COMPUTED_VALUE"""),"Top Creative Agencies in Australia - 2026 Reviews | Goodfirms")</f>
        <v>Top Creative Agencies in Australia - 2026 Reviews | Goodfirms</v>
      </c>
      <c r="C16" s="6" t="str">
        <f>IFERROR(__xludf.DUMMYFUNCTION("""COMPUTED_VALUE"""),"goodfirms.co")</f>
        <v>goodfirms.co</v>
      </c>
      <c r="D16" s="7" t="str">
        <f>IFERROR(__xludf.DUMMYFUNCTION("""COMPUTED_VALUE"""),"CATEGORY_PAGE")</f>
        <v>CATEGORY_PAGE</v>
      </c>
      <c r="E16" s="7" t="str">
        <f>IFERROR(__xludf.DUMMYFUNCTION("""COMPUTED_VALUE"""),"UGC")</f>
        <v>UGC</v>
      </c>
      <c r="F16" s="7" t="str">
        <f>IFERROR(__xludf.DUMMYFUNCTION("""COMPUTED_VALUE"""),"Category Page")</f>
        <v>Category Page</v>
      </c>
      <c r="G16" s="7" t="b">
        <f>IFERROR(__xludf.DUMMYFUNCTION("""COMPUTED_VALUE"""),FALSE)</f>
        <v>0</v>
      </c>
      <c r="H16" s="7" t="str">
        <f>IFERROR(__xludf.DUMMYFUNCTION("""COMPUTED_VALUE"""),"Uprise Digital, CUT THRU, BMF, Measured, Digital Movement")</f>
        <v>Uprise Digital, CUT THRU, BMF, Measured, Digital Movement</v>
      </c>
      <c r="I16" s="7">
        <f>IFERROR(__xludf.DUMMYFUNCTION("""COMPUTED_VALUE"""),25.0)</f>
        <v>25</v>
      </c>
      <c r="J16" s="7">
        <f>IFERROR(__xludf.DUMMYFUNCTION("""COMPUTED_VALUE"""),0.03)</f>
        <v>0.03</v>
      </c>
      <c r="K16" s="7">
        <f>IFERROR(__xludf.DUMMYFUNCTION("""COMPUTED_VALUE"""),0.16)</f>
        <v>0.16</v>
      </c>
    </row>
    <row r="17" ht="15.75" customHeight="1">
      <c r="A17" s="6" t="str">
        <f>IFERROR(__xludf.DUMMYFUNCTION("""COMPUTED_VALUE"""),"https://www.designrush.com/agency/creative-agencies/au")</f>
        <v>https://www.designrush.com/agency/creative-agencies/au</v>
      </c>
      <c r="B17" s="7" t="str">
        <f>IFERROR(__xludf.DUMMYFUNCTION("""COMPUTED_VALUE"""),"Top Creative Agencies in Australia | 2026")</f>
        <v>Top Creative Agencies in Australia | 2026</v>
      </c>
      <c r="C17" s="6" t="str">
        <f>IFERROR(__xludf.DUMMYFUNCTION("""COMPUTED_VALUE"""),"designrush.com")</f>
        <v>designrush.com</v>
      </c>
      <c r="D17" s="7" t="str">
        <f>IFERROR(__xludf.DUMMYFUNCTION("""COMPUTED_VALUE"""),"CATEGORY_PAGE")</f>
        <v>CATEGORY_PAGE</v>
      </c>
      <c r="E17" s="7" t="str">
        <f>IFERROR(__xludf.DUMMYFUNCTION("""COMPUTED_VALUE"""),"CORPORATE")</f>
        <v>CORPORATE</v>
      </c>
      <c r="F17" s="7" t="str">
        <f>IFERROR(__xludf.DUMMYFUNCTION("""COMPUTED_VALUE"""),"Category Page")</f>
        <v>Category Page</v>
      </c>
      <c r="G17" s="7" t="b">
        <f>IFERROR(__xludf.DUMMYFUNCTION("""COMPUTED_VALUE"""),FALSE)</f>
        <v>0</v>
      </c>
      <c r="H17" s="7"/>
      <c r="I17" s="7">
        <f>IFERROR(__xludf.DUMMYFUNCTION("""COMPUTED_VALUE"""),24.0)</f>
        <v>24</v>
      </c>
      <c r="J17" s="7">
        <f>IFERROR(__xludf.DUMMYFUNCTION("""COMPUTED_VALUE"""),0.03)</f>
        <v>0.03</v>
      </c>
      <c r="K17" s="7">
        <f>IFERROR(__xludf.DUMMYFUNCTION("""COMPUTED_VALUE"""),0.33)</f>
        <v>0.33</v>
      </c>
    </row>
    <row r="18" ht="15.75" customHeight="1">
      <c r="A18" s="6" t="str">
        <f>IFERROR(__xludf.DUMMYFUNCTION("""COMPUTED_VALUE"""),"https://digitalagencynetwork.com/agencies/australia/social-media-marketing/")</f>
        <v>https://digitalagencynetwork.com/agencies/australia/social-media-marketing/</v>
      </c>
      <c r="B18" s="7" t="str">
        <f>IFERROR(__xludf.DUMMYFUNCTION("""COMPUTED_VALUE"""),"Best Social Media Marketing Agencies in Australia | Digital Agency Network")</f>
        <v>Best Social Media Marketing Agencies in Australia | Digital Agency Network</v>
      </c>
      <c r="C18" s="6" t="str">
        <f>IFERROR(__xludf.DUMMYFUNCTION("""COMPUTED_VALUE"""),"digitalagencynetwork.com")</f>
        <v>digitalagencynetwork.com</v>
      </c>
      <c r="D18" s="7" t="str">
        <f>IFERROR(__xludf.DUMMYFUNCTION("""COMPUTED_VALUE"""),"CATEGORY_PAGE")</f>
        <v>CATEGORY_PAGE</v>
      </c>
      <c r="E18" s="7" t="str">
        <f>IFERROR(__xludf.DUMMYFUNCTION("""COMPUTED_VALUE"""),"REFERENCE")</f>
        <v>REFERENCE</v>
      </c>
      <c r="F18" s="7" t="str">
        <f>IFERROR(__xludf.DUMMYFUNCTION("""COMPUTED_VALUE"""),"Category Page")</f>
        <v>Category Page</v>
      </c>
      <c r="G18" s="7" t="b">
        <f>IFERROR(__xludf.DUMMYFUNCTION("""COMPUTED_VALUE"""),FALSE)</f>
        <v>0</v>
      </c>
      <c r="H18" s="7" t="str">
        <f>IFERROR(__xludf.DUMMYFUNCTION("""COMPUTED_VALUE"""),"Emote Digital, Clearwater Agency, Supple Digital, Soup Agency, Digital Nomads HQ, Impressive, Momentum, Measured, Human Digital")</f>
        <v>Emote Digital, Clearwater Agency, Supple Digital, Soup Agency, Digital Nomads HQ, Impressive, Momentum, Measured, Human Digital</v>
      </c>
      <c r="I18" s="7">
        <f>IFERROR(__xludf.DUMMYFUNCTION("""COMPUTED_VALUE"""),23.0)</f>
        <v>23</v>
      </c>
      <c r="J18" s="7">
        <f>IFERROR(__xludf.DUMMYFUNCTION("""COMPUTED_VALUE"""),0.02)</f>
        <v>0.02</v>
      </c>
      <c r="K18" s="7">
        <f>IFERROR(__xludf.DUMMYFUNCTION("""COMPUTED_VALUE"""),0.04)</f>
        <v>0.04</v>
      </c>
    </row>
    <row r="19" ht="15.75" customHeight="1">
      <c r="A19" s="6" t="str">
        <f>IFERROR(__xludf.DUMMYFUNCTION("""COMPUTED_VALUE"""),"https://clutch.co/au/agencies/ppc/advertising-industry")</f>
        <v>https://clutch.co/au/agencies/ppc/advertising-industry</v>
      </c>
      <c r="B19" s="7" t="str">
        <f>IFERROR(__xludf.DUMMYFUNCTION("""COMPUTED_VALUE"""),"Top PPC Agencies for Ad Agencies in Australia - Jul 2026 Rankings | Clutch.co")</f>
        <v>Top PPC Agencies for Ad Agencies in Australia - Jul 2026 Rankings | Clutch.co</v>
      </c>
      <c r="C19" s="6" t="str">
        <f>IFERROR(__xludf.DUMMYFUNCTION("""COMPUTED_VALUE"""),"clutch.co")</f>
        <v>clutch.co</v>
      </c>
      <c r="D19" s="7" t="str">
        <f>IFERROR(__xludf.DUMMYFUNCTION("""COMPUTED_VALUE"""),"CATEGORY_PAGE")</f>
        <v>CATEGORY_PAGE</v>
      </c>
      <c r="E19" s="7" t="str">
        <f>IFERROR(__xludf.DUMMYFUNCTION("""COMPUTED_VALUE"""),"CORPORATE")</f>
        <v>CORPORATE</v>
      </c>
      <c r="F19" s="7" t="str">
        <f>IFERROR(__xludf.DUMMYFUNCTION("""COMPUTED_VALUE"""),"Category Page")</f>
        <v>Category Page</v>
      </c>
      <c r="G19" s="7" t="b">
        <f>IFERROR(__xludf.DUMMYFUNCTION("""COMPUTED_VALUE"""),FALSE)</f>
        <v>0</v>
      </c>
      <c r="H19" s="7" t="str">
        <f>IFERROR(__xludf.DUMMYFUNCTION("""COMPUTED_VALUE"""),"Soup Agency, Impressive, Alley Group, Rocket Agency, DNM Digital, Megaphone, Online Marketing Gurus, Omnicom Media Group")</f>
        <v>Soup Agency, Impressive, Alley Group, Rocket Agency, DNM Digital, Megaphone, Online Marketing Gurus, Omnicom Media Group</v>
      </c>
      <c r="I19" s="7">
        <f>IFERROR(__xludf.DUMMYFUNCTION("""COMPUTED_VALUE"""),21.0)</f>
        <v>21</v>
      </c>
      <c r="J19" s="7">
        <f>IFERROR(__xludf.DUMMYFUNCTION("""COMPUTED_VALUE"""),0.02)</f>
        <v>0.02</v>
      </c>
      <c r="K19" s="7">
        <f>IFERROR(__xludf.DUMMYFUNCTION("""COMPUTED_VALUE"""),0.24)</f>
        <v>0.24</v>
      </c>
    </row>
    <row r="20" ht="15.75" customHeight="1">
      <c r="A20" s="6" t="str">
        <f>IFERROR(__xludf.DUMMYFUNCTION("""COMPUTED_VALUE"""),"https://www.sortlist.com/s/paid-media/sydney-au")</f>
        <v>https://www.sortlist.com/s/paid-media/sydney-au</v>
      </c>
      <c r="B20" s="7" t="str">
        <f>IFERROR(__xludf.DUMMYFUNCTION("""COMPUTED_VALUE"""),"The 10 Best Paid Media Agencies in Sydney - 2026 Reviews")</f>
        <v>The 10 Best Paid Media Agencies in Sydney - 2026 Reviews</v>
      </c>
      <c r="C20" s="6" t="str">
        <f>IFERROR(__xludf.DUMMYFUNCTION("""COMPUTED_VALUE"""),"sortlist.com")</f>
        <v>sortlist.com</v>
      </c>
      <c r="D20" s="7" t="str">
        <f>IFERROR(__xludf.DUMMYFUNCTION("""COMPUTED_VALUE"""),"CATEGORY_PAGE")</f>
        <v>CATEGORY_PAGE</v>
      </c>
      <c r="E20" s="7" t="str">
        <f>IFERROR(__xludf.DUMMYFUNCTION("""COMPUTED_VALUE"""),"CORPORATE")</f>
        <v>CORPORATE</v>
      </c>
      <c r="F20" s="7" t="str">
        <f>IFERROR(__xludf.DUMMYFUNCTION("""COMPUTED_VALUE"""),"Category Page")</f>
        <v>Category Page</v>
      </c>
      <c r="G20" s="7" t="b">
        <f>IFERROR(__xludf.DUMMYFUNCTION("""COMPUTED_VALUE"""),FALSE)</f>
        <v>0</v>
      </c>
      <c r="H20" s="7" t="str">
        <f>IFERROR(__xludf.DUMMYFUNCTION("""COMPUTED_VALUE"""),"Impressive, Supple Digital, Measured, Earned Media, Clearwater Agency, SIXGUN, Ninja Promo, Momentum, Soup Agency, HERO, Digital Nomads HQ")</f>
        <v>Impressive, Supple Digital, Measured, Earned Media, Clearwater Agency, SIXGUN, Ninja Promo, Momentum, Soup Agency, HERO, Digital Nomads HQ</v>
      </c>
      <c r="I20" s="7">
        <f>IFERROR(__xludf.DUMMYFUNCTION("""COMPUTED_VALUE"""),20.0)</f>
        <v>20</v>
      </c>
      <c r="J20" s="7">
        <f>IFERROR(__xludf.DUMMYFUNCTION("""COMPUTED_VALUE"""),0.02)</f>
        <v>0.02</v>
      </c>
      <c r="K20" s="7">
        <f>IFERROR(__xludf.DUMMYFUNCTION("""COMPUTED_VALUE"""),0.55)</f>
        <v>0.55</v>
      </c>
    </row>
    <row r="21" ht="15.75" customHeight="1">
      <c r="A21" s="6" t="str">
        <f>IFERROR(__xludf.DUMMYFUNCTION("""COMPUTED_VALUE"""),"https://www.sortlist.com/s/performance-marketing/australia-au")</f>
        <v>https://www.sortlist.com/s/performance-marketing/australia-au</v>
      </c>
      <c r="B21" s="7" t="str">
        <f>IFERROR(__xludf.DUMMYFUNCTION("""COMPUTED_VALUE"""),"The 10 Best Performance Marketing Agencies in Australia - 2026 Reviews")</f>
        <v>The 10 Best Performance Marketing Agencies in Australia - 2026 Reviews</v>
      </c>
      <c r="C21" s="6" t="str">
        <f>IFERROR(__xludf.DUMMYFUNCTION("""COMPUTED_VALUE"""),"sortlist.com")</f>
        <v>sortlist.com</v>
      </c>
      <c r="D21" s="7" t="str">
        <f>IFERROR(__xludf.DUMMYFUNCTION("""COMPUTED_VALUE"""),"CATEGORY_PAGE")</f>
        <v>CATEGORY_PAGE</v>
      </c>
      <c r="E21" s="7" t="str">
        <f>IFERROR(__xludf.DUMMYFUNCTION("""COMPUTED_VALUE"""),"CORPORATE")</f>
        <v>CORPORATE</v>
      </c>
      <c r="F21" s="7" t="str">
        <f>IFERROR(__xludf.DUMMYFUNCTION("""COMPUTED_VALUE"""),"Category Page")</f>
        <v>Category Page</v>
      </c>
      <c r="G21" s="7" t="b">
        <f>IFERROR(__xludf.DUMMYFUNCTION("""COMPUTED_VALUE"""),FALSE)</f>
        <v>0</v>
      </c>
      <c r="H21" s="7" t="str">
        <f>IFERROR(__xludf.DUMMYFUNCTION("""COMPUTED_VALUE"""),"Measured, Earned Media, Clearwater Agency, Impressive, Supple Digital, SIXGUN, Digital Nomads HQ, Soup Agency, HERO, Momentum, CUT THRU")</f>
        <v>Measured, Earned Media, Clearwater Agency, Impressive, Supple Digital, SIXGUN, Digital Nomads HQ, Soup Agency, HERO, Momentum, CUT THRU</v>
      </c>
      <c r="I21" s="7">
        <f>IFERROR(__xludf.DUMMYFUNCTION("""COMPUTED_VALUE"""),20.0)</f>
        <v>20</v>
      </c>
      <c r="J21" s="7">
        <f>IFERROR(__xludf.DUMMYFUNCTION("""COMPUTED_VALUE"""),0.02)</f>
        <v>0.02</v>
      </c>
      <c r="K21" s="7">
        <f>IFERROR(__xludf.DUMMYFUNCTION("""COMPUTED_VALUE"""),0.95)</f>
        <v>0.95</v>
      </c>
    </row>
    <row r="22" ht="15.75" customHeight="1">
      <c r="A22" s="6" t="str">
        <f>IFERROR(__xludf.DUMMYFUNCTION("""COMPUTED_VALUE"""),"https://clutch.co/au/agencies/social-media-marketing/facebook")</f>
        <v>https://clutch.co/au/agencies/social-media-marketing/facebook</v>
      </c>
      <c r="B22" s="7" t="str">
        <f>IFERROR(__xludf.DUMMYFUNCTION("""COMPUTED_VALUE"""),"Top Facebook Advertising Agencies in Australia - Jul 2026 Rankings | Clutch.co")</f>
        <v>Top Facebook Advertising Agencies in Australia - Jul 2026 Rankings | Clutch.co</v>
      </c>
      <c r="C22" s="6" t="str">
        <f>IFERROR(__xludf.DUMMYFUNCTION("""COMPUTED_VALUE"""),"clutch.co")</f>
        <v>clutch.co</v>
      </c>
      <c r="D22" s="7" t="str">
        <f>IFERROR(__xludf.DUMMYFUNCTION("""COMPUTED_VALUE"""),"CATEGORY_PAGE")</f>
        <v>CATEGORY_PAGE</v>
      </c>
      <c r="E22" s="7" t="str">
        <f>IFERROR(__xludf.DUMMYFUNCTION("""COMPUTED_VALUE"""),"CORPORATE")</f>
        <v>CORPORATE</v>
      </c>
      <c r="F22" s="7" t="str">
        <f>IFERROR(__xludf.DUMMYFUNCTION("""COMPUTED_VALUE"""),"Category Page")</f>
        <v>Category Page</v>
      </c>
      <c r="G22" s="7" t="b">
        <f>IFERROR(__xludf.DUMMYFUNCTION("""COMPUTED_VALUE"""),FALSE)</f>
        <v>0</v>
      </c>
      <c r="H22" s="7" t="str">
        <f>IFERROR(__xludf.DUMMYFUNCTION("""COMPUTED_VALUE"""),"Digital Nomads HQ, SIXGUN, Intesols, Impressive, Farsiight, Soup Agency, Emote Digital, Human Digital, Salt &amp; Fuessel, EvenDigit, Rocket Agency, Clearwater Agency, DNM Digital, Edge Marketing, Megaphone, Online Marketing Gurus, Omnicom Media Group, Parado"&amp;"x Marketing, Bench Media, Insil")</f>
        <v>Digital Nomads HQ, SIXGUN, Intesols, Impressive, Farsiight, Soup Agency, Emote Digital, Human Digital, Salt &amp; Fuessel, EvenDigit, Rocket Agency, Clearwater Agency, DNM Digital, Edge Marketing, Megaphone, Online Marketing Gurus, Omnicom Media Group, Paradox Marketing, Bench Media, Insil</v>
      </c>
      <c r="I22" s="7">
        <f>IFERROR(__xludf.DUMMYFUNCTION("""COMPUTED_VALUE"""),18.0)</f>
        <v>18</v>
      </c>
      <c r="J22" s="7">
        <f>IFERROR(__xludf.DUMMYFUNCTION("""COMPUTED_VALUE"""),0.02)</f>
        <v>0.02</v>
      </c>
      <c r="K22" s="7">
        <f>IFERROR(__xludf.DUMMYFUNCTION("""COMPUTED_VALUE"""),0.06)</f>
        <v>0.06</v>
      </c>
    </row>
    <row r="23" ht="15.75" customHeight="1">
      <c r="A23" s="6" t="str">
        <f>IFERROR(__xludf.DUMMYFUNCTION("""COMPUTED_VALUE"""),"https://www.sortlist.com/s/performance-marketing/melbourne-au")</f>
        <v>https://www.sortlist.com/s/performance-marketing/melbourne-au</v>
      </c>
      <c r="B23" s="7" t="str">
        <f>IFERROR(__xludf.DUMMYFUNCTION("""COMPUTED_VALUE"""),"The 10 Best Performance Marketing Agencies in Melbourne - 2026 Reviews")</f>
        <v>The 10 Best Performance Marketing Agencies in Melbourne - 2026 Reviews</v>
      </c>
      <c r="C23" s="6" t="str">
        <f>IFERROR(__xludf.DUMMYFUNCTION("""COMPUTED_VALUE"""),"sortlist.com")</f>
        <v>sortlist.com</v>
      </c>
      <c r="D23" s="7" t="str">
        <f>IFERROR(__xludf.DUMMYFUNCTION("""COMPUTED_VALUE"""),"CATEGORY_PAGE")</f>
        <v>CATEGORY_PAGE</v>
      </c>
      <c r="E23" s="7" t="str">
        <f>IFERROR(__xludf.DUMMYFUNCTION("""COMPUTED_VALUE"""),"CORPORATE")</f>
        <v>CORPORATE</v>
      </c>
      <c r="F23" s="7" t="str">
        <f>IFERROR(__xludf.DUMMYFUNCTION("""COMPUTED_VALUE"""),"Category Page")</f>
        <v>Category Page</v>
      </c>
      <c r="G23" s="7" t="b">
        <f>IFERROR(__xludf.DUMMYFUNCTION("""COMPUTED_VALUE"""),FALSE)</f>
        <v>0</v>
      </c>
      <c r="H23" s="7" t="str">
        <f>IFERROR(__xludf.DUMMYFUNCTION("""COMPUTED_VALUE"""),"Measured, Earned Media, Clearwater Agency, SIXGUN, Impressive, Supple Digital, Momentum, Adcore Elite, 80/20 Digital, Deloitte")</f>
        <v>Measured, Earned Media, Clearwater Agency, SIXGUN, Impressive, Supple Digital, Momentum, Adcore Elite, 80/20 Digital, Deloitte</v>
      </c>
      <c r="I23" s="7">
        <f>IFERROR(__xludf.DUMMYFUNCTION("""COMPUTED_VALUE"""),18.0)</f>
        <v>18</v>
      </c>
      <c r="J23" s="7">
        <f>IFERROR(__xludf.DUMMYFUNCTION("""COMPUTED_VALUE"""),0.02)</f>
        <v>0.02</v>
      </c>
      <c r="K23" s="7">
        <f>IFERROR(__xludf.DUMMYFUNCTION("""COMPUTED_VALUE"""),0.72)</f>
        <v>0.72</v>
      </c>
    </row>
    <row r="24" ht="15.75" customHeight="1">
      <c r="A24" s="6" t="str">
        <f>IFERROR(__xludf.DUMMYFUNCTION("""COMPUTED_VALUE"""),"https://agencies.semrush.com/list/ai-optimization/australia/small-business/")</f>
        <v>https://agencies.semrush.com/list/ai-optimization/australia/small-business/</v>
      </c>
      <c r="B24" s="7" t="str">
        <f>IFERROR(__xludf.DUMMYFUNCTION("""COMPUTED_VALUE"""),"Best AI Search Optimization Agencies for Small Business in Australia 2026 | Semrush")</f>
        <v>Best AI Search Optimization Agencies for Small Business in Australia 2026 | Semrush</v>
      </c>
      <c r="C24" s="6" t="str">
        <f>IFERROR(__xludf.DUMMYFUNCTION("""COMPUTED_VALUE"""),"semrush.com")</f>
        <v>semrush.com</v>
      </c>
      <c r="D24" s="7" t="str">
        <f>IFERROR(__xludf.DUMMYFUNCTION("""COMPUTED_VALUE"""),"CATEGORY_PAGE")</f>
        <v>CATEGORY_PAGE</v>
      </c>
      <c r="E24" s="7" t="str">
        <f>IFERROR(__xludf.DUMMYFUNCTION("""COMPUTED_VALUE"""),"CORPORATE")</f>
        <v>CORPORATE</v>
      </c>
      <c r="F24" s="7" t="str">
        <f>IFERROR(__xludf.DUMMYFUNCTION("""COMPUTED_VALUE"""),"Category Page")</f>
        <v>Category Page</v>
      </c>
      <c r="G24" s="7" t="b">
        <f>IFERROR(__xludf.DUMMYFUNCTION("""COMPUTED_VALUE"""),FALSE)</f>
        <v>0</v>
      </c>
      <c r="H24" s="7" t="str">
        <f>IFERROR(__xludf.DUMMYFUNCTION("""COMPUTED_VALUE"""),"DNM Digital, First Page, Clearwater Agency, Measured, Earned Media, Online Marketing Gurus, Omnicom Media Group, Huge")</f>
        <v>DNM Digital, First Page, Clearwater Agency, Measured, Earned Media, Online Marketing Gurus, Omnicom Media Group, Huge</v>
      </c>
      <c r="I24" s="7">
        <f>IFERROR(__xludf.DUMMYFUNCTION("""COMPUTED_VALUE"""),17.0)</f>
        <v>17</v>
      </c>
      <c r="J24" s="7">
        <f>IFERROR(__xludf.DUMMYFUNCTION("""COMPUTED_VALUE"""),0.02)</f>
        <v>0.02</v>
      </c>
      <c r="K24" s="7">
        <f>IFERROR(__xludf.DUMMYFUNCTION("""COMPUTED_VALUE"""),0.18)</f>
        <v>0.18</v>
      </c>
    </row>
    <row r="25" ht="15.75" customHeight="1">
      <c r="A25" s="6" t="str">
        <f>IFERROR(__xludf.DUMMYFUNCTION("""COMPUTED_VALUE"""),"https://www.sortlist.com/s/marketing-analytics/australia-au")</f>
        <v>https://www.sortlist.com/s/marketing-analytics/australia-au</v>
      </c>
      <c r="B25" s="7" t="str">
        <f>IFERROR(__xludf.DUMMYFUNCTION("""COMPUTED_VALUE"""),"The 10 Best Marketing Analytics Companies in Australia - 2026 Reviews")</f>
        <v>The 10 Best Marketing Analytics Companies in Australia - 2026 Reviews</v>
      </c>
      <c r="C25" s="6" t="str">
        <f>IFERROR(__xludf.DUMMYFUNCTION("""COMPUTED_VALUE"""),"sortlist.com")</f>
        <v>sortlist.com</v>
      </c>
      <c r="D25" s="7" t="str">
        <f>IFERROR(__xludf.DUMMYFUNCTION("""COMPUTED_VALUE"""),"CATEGORY_PAGE")</f>
        <v>CATEGORY_PAGE</v>
      </c>
      <c r="E25" s="7" t="str">
        <f>IFERROR(__xludf.DUMMYFUNCTION("""COMPUTED_VALUE"""),"CORPORATE")</f>
        <v>CORPORATE</v>
      </c>
      <c r="F25" s="7" t="str">
        <f>IFERROR(__xludf.DUMMYFUNCTION("""COMPUTED_VALUE"""),"Category Page")</f>
        <v>Category Page</v>
      </c>
      <c r="G25" s="7" t="b">
        <f>IFERROR(__xludf.DUMMYFUNCTION("""COMPUTED_VALUE"""),FALSE)</f>
        <v>0</v>
      </c>
      <c r="H25" s="7" t="str">
        <f>IFERROR(__xludf.DUMMYFUNCTION("""COMPUTED_VALUE"""),"Digital Nomads HQ, Momentum, Soup Agency, HERO, SIXGUN, Impressive, Intelligent Resourcing, Ninja Promo")</f>
        <v>Digital Nomads HQ, Momentum, Soup Agency, HERO, SIXGUN, Impressive, Intelligent Resourcing, Ninja Promo</v>
      </c>
      <c r="I25" s="7">
        <f>IFERROR(__xludf.DUMMYFUNCTION("""COMPUTED_VALUE"""),17.0)</f>
        <v>17</v>
      </c>
      <c r="J25" s="7">
        <f>IFERROR(__xludf.DUMMYFUNCTION("""COMPUTED_VALUE"""),0.02)</f>
        <v>0.02</v>
      </c>
      <c r="K25" s="7">
        <f>IFERROR(__xludf.DUMMYFUNCTION("""COMPUTED_VALUE"""),0.65)</f>
        <v>0.65</v>
      </c>
    </row>
    <row r="26" ht="15.75" customHeight="1">
      <c r="A26" s="6" t="str">
        <f>IFERROR(__xludf.DUMMYFUNCTION("""COMPUTED_VALUE"""),"https://www.designrush.com/agency/ad-agencies/au")</f>
        <v>https://www.designrush.com/agency/ad-agencies/au</v>
      </c>
      <c r="B26" s="7" t="str">
        <f>IFERROR(__xludf.DUMMYFUNCTION("""COMPUTED_VALUE"""),"Top Australia Advertising Agencies | 2026")</f>
        <v>Top Australia Advertising Agencies | 2026</v>
      </c>
      <c r="C26" s="6" t="str">
        <f>IFERROR(__xludf.DUMMYFUNCTION("""COMPUTED_VALUE"""),"designrush.com")</f>
        <v>designrush.com</v>
      </c>
      <c r="D26" s="7" t="str">
        <f>IFERROR(__xludf.DUMMYFUNCTION("""COMPUTED_VALUE"""),"CATEGORY_PAGE")</f>
        <v>CATEGORY_PAGE</v>
      </c>
      <c r="E26" s="7" t="str">
        <f>IFERROR(__xludf.DUMMYFUNCTION("""COMPUTED_VALUE"""),"CORPORATE")</f>
        <v>CORPORATE</v>
      </c>
      <c r="F26" s="7" t="str">
        <f>IFERROR(__xludf.DUMMYFUNCTION("""COMPUTED_VALUE"""),"Category Page")</f>
        <v>Category Page</v>
      </c>
      <c r="G26" s="7" t="b">
        <f>IFERROR(__xludf.DUMMYFUNCTION("""COMPUTED_VALUE"""),FALSE)</f>
        <v>0</v>
      </c>
      <c r="H26" s="7" t="str">
        <f>IFERROR(__xludf.DUMMYFUNCTION("""COMPUTED_VALUE"""),"Growth Digital, Soup Agency")</f>
        <v>Growth Digital, Soup Agency</v>
      </c>
      <c r="I26" s="7">
        <f>IFERROR(__xludf.DUMMYFUNCTION("""COMPUTED_VALUE"""),16.0)</f>
        <v>16</v>
      </c>
      <c r="J26" s="7">
        <f>IFERROR(__xludf.DUMMYFUNCTION("""COMPUTED_VALUE"""),0.02)</f>
        <v>0.02</v>
      </c>
      <c r="K26" s="7">
        <f>IFERROR(__xludf.DUMMYFUNCTION("""COMPUTED_VALUE"""),0.0)</f>
        <v>0</v>
      </c>
    </row>
    <row r="27" ht="15.75" customHeight="1">
      <c r="A27" s="6" t="str">
        <f>IFERROR(__xludf.DUMMYFUNCTION("""COMPUTED_VALUE"""),"https://www.softwaresuggest.com/services/marketing-analytics-companies/australia")</f>
        <v>https://www.softwaresuggest.com/services/marketing-analytics-companies/australia</v>
      </c>
      <c r="B27" s="7" t="str">
        <f>IFERROR(__xludf.DUMMYFUNCTION("""COMPUTED_VALUE"""),"Top Marketing analytics Companies in Australia for 2025")</f>
        <v>Top Marketing analytics Companies in Australia for 2025</v>
      </c>
      <c r="C27" s="6" t="str">
        <f>IFERROR(__xludf.DUMMYFUNCTION("""COMPUTED_VALUE"""),"softwaresuggest.com")</f>
        <v>softwaresuggest.com</v>
      </c>
      <c r="D27" s="7" t="str">
        <f>IFERROR(__xludf.DUMMYFUNCTION("""COMPUTED_VALUE"""),"CATEGORY_PAGE")</f>
        <v>CATEGORY_PAGE</v>
      </c>
      <c r="E27" s="7" t="str">
        <f>IFERROR(__xludf.DUMMYFUNCTION("""COMPUTED_VALUE"""),"REFERENCE")</f>
        <v>REFERENCE</v>
      </c>
      <c r="F27" s="7" t="str">
        <f>IFERROR(__xludf.DUMMYFUNCTION("""COMPUTED_VALUE"""),"Category Page")</f>
        <v>Category Page</v>
      </c>
      <c r="G27" s="7" t="b">
        <f>IFERROR(__xludf.DUMMYFUNCTION("""COMPUTED_VALUE"""),FALSE)</f>
        <v>0</v>
      </c>
      <c r="H27" s="7"/>
      <c r="I27" s="7">
        <f>IFERROR(__xludf.DUMMYFUNCTION("""COMPUTED_VALUE"""),16.0)</f>
        <v>16</v>
      </c>
      <c r="J27" s="7">
        <f>IFERROR(__xludf.DUMMYFUNCTION("""COMPUTED_VALUE"""),0.02)</f>
        <v>0.02</v>
      </c>
      <c r="K27" s="7">
        <f>IFERROR(__xludf.DUMMYFUNCTION("""COMPUTED_VALUE"""),0.0)</f>
        <v>0</v>
      </c>
    </row>
    <row r="28" ht="15.75" customHeight="1">
      <c r="A28" s="6" t="str">
        <f>IFERROR(__xludf.DUMMYFUNCTION("""COMPUTED_VALUE"""),"https://agencies.semrush.com/list/machine-learning-and-ai/australia/")</f>
        <v>https://agencies.semrush.com/list/machine-learning-and-ai/australia/</v>
      </c>
      <c r="B28" s="7" t="str">
        <f>IFERROR(__xludf.DUMMYFUNCTION("""COMPUTED_VALUE"""),"Best Machine Learning and AI Services in Australia 2026 | Semrush")</f>
        <v>Best Machine Learning and AI Services in Australia 2026 | Semrush</v>
      </c>
      <c r="C28" s="6" t="str">
        <f>IFERROR(__xludf.DUMMYFUNCTION("""COMPUTED_VALUE"""),"semrush.com")</f>
        <v>semrush.com</v>
      </c>
      <c r="D28" s="7" t="str">
        <f>IFERROR(__xludf.DUMMYFUNCTION("""COMPUTED_VALUE"""),"CATEGORY_PAGE")</f>
        <v>CATEGORY_PAGE</v>
      </c>
      <c r="E28" s="7" t="str">
        <f>IFERROR(__xludf.DUMMYFUNCTION("""COMPUTED_VALUE"""),"CORPORATE")</f>
        <v>CORPORATE</v>
      </c>
      <c r="F28" s="7" t="str">
        <f>IFERROR(__xludf.DUMMYFUNCTION("""COMPUTED_VALUE"""),"Category Page")</f>
        <v>Category Page</v>
      </c>
      <c r="G28" s="7" t="b">
        <f>IFERROR(__xludf.DUMMYFUNCTION("""COMPUTED_VALUE"""),FALSE)</f>
        <v>0</v>
      </c>
      <c r="H28" s="7" t="str">
        <f>IFERROR(__xludf.DUMMYFUNCTION("""COMPUTED_VALUE"""),"Soup Agency, First Page, Clearwater Agency, Measured, Earned Media, Impressive, Online Marketing Gurus, Omnicom Media Group, 80/20 Digital")</f>
        <v>Soup Agency, First Page, Clearwater Agency, Measured, Earned Media, Impressive, Online Marketing Gurus, Omnicom Media Group, 80/20 Digital</v>
      </c>
      <c r="I28" s="7">
        <f>IFERROR(__xludf.DUMMYFUNCTION("""COMPUTED_VALUE"""),15.0)</f>
        <v>15</v>
      </c>
      <c r="J28" s="7">
        <f>IFERROR(__xludf.DUMMYFUNCTION("""COMPUTED_VALUE"""),0.02)</f>
        <v>0.02</v>
      </c>
      <c r="K28" s="7">
        <f>IFERROR(__xludf.DUMMYFUNCTION("""COMPUTED_VALUE"""),0.0)</f>
        <v>0</v>
      </c>
    </row>
    <row r="29" ht="15.75" customHeight="1">
      <c r="A29" s="6" t="str">
        <f>IFERROR(__xludf.DUMMYFUNCTION("""COMPUTED_VALUE"""),"https://clutch.co/au/agencies/ppc/google-adwords")</f>
        <v>https://clutch.co/au/agencies/ppc/google-adwords</v>
      </c>
      <c r="B29" s="7" t="str">
        <f>IFERROR(__xludf.DUMMYFUNCTION("""COMPUTED_VALUE"""),"Top Google Ads PPC Agencies in Australia - Jul 2026 Rankings \| Clutch.co")</f>
        <v>Top Google Ads PPC Agencies in Australia - Jul 2026 Rankings \| Clutch.co</v>
      </c>
      <c r="C29" s="6" t="str">
        <f>IFERROR(__xludf.DUMMYFUNCTION("""COMPUTED_VALUE"""),"clutch.co")</f>
        <v>clutch.co</v>
      </c>
      <c r="D29" s="7" t="str">
        <f>IFERROR(__xludf.DUMMYFUNCTION("""COMPUTED_VALUE"""),"CATEGORY_PAGE")</f>
        <v>CATEGORY_PAGE</v>
      </c>
      <c r="E29" s="7" t="str">
        <f>IFERROR(__xludf.DUMMYFUNCTION("""COMPUTED_VALUE"""),"CORPORATE")</f>
        <v>CORPORATE</v>
      </c>
      <c r="F29" s="7" t="str">
        <f>IFERROR(__xludf.DUMMYFUNCTION("""COMPUTED_VALUE"""),"Category Page")</f>
        <v>Category Page</v>
      </c>
      <c r="G29" s="7" t="b">
        <f>IFERROR(__xludf.DUMMYFUNCTION("""COMPUTED_VALUE"""),FALSE)</f>
        <v>0</v>
      </c>
      <c r="H29" s="7" t="str">
        <f>IFERROR(__xludf.DUMMYFUNCTION("""COMPUTED_VALUE"""),"Digital Nomads HQ, SIXGUN, Human Digital, Farsiight, Intesols, MyWork, Soup Agency, 80/20 Digital, Impressive, Salt &amp; Fuessel, Emote Digital, Supple Digital, EvenDigit, Rocket Agency, Clearwater Agency, DNM Digital, Megaphone, Momentum")</f>
        <v>Digital Nomads HQ, SIXGUN, Human Digital, Farsiight, Intesols, MyWork, Soup Agency, 80/20 Digital, Impressive, Salt &amp; Fuessel, Emote Digital, Supple Digital, EvenDigit, Rocket Agency, Clearwater Agency, DNM Digital, Megaphone, Momentum</v>
      </c>
      <c r="I29" s="7">
        <f>IFERROR(__xludf.DUMMYFUNCTION("""COMPUTED_VALUE"""),14.0)</f>
        <v>14</v>
      </c>
      <c r="J29" s="7">
        <f>IFERROR(__xludf.DUMMYFUNCTION("""COMPUTED_VALUE"""),0.01)</f>
        <v>0.01</v>
      </c>
      <c r="K29" s="7">
        <f>IFERROR(__xludf.DUMMYFUNCTION("""COMPUTED_VALUE"""),0.21)</f>
        <v>0.21</v>
      </c>
    </row>
    <row r="30" ht="15.75" customHeight="1">
      <c r="A30" s="6" t="str">
        <f>IFERROR(__xludf.DUMMYFUNCTION("""COMPUTED_VALUE"""),"https://themanifest.com/au/creative/agencies")</f>
        <v>https://themanifest.com/au/creative/agencies</v>
      </c>
      <c r="B30" s="7" t="str">
        <f>IFERROR(__xludf.DUMMYFUNCTION("""COMPUTED_VALUE"""),"The Best Creative Companies in Australia - Jul 2026 | The Manifest")</f>
        <v>The Best Creative Companies in Australia - Jul 2026 | The Manifest</v>
      </c>
      <c r="C30" s="6" t="str">
        <f>IFERROR(__xludf.DUMMYFUNCTION("""COMPUTED_VALUE"""),"themanifest.com")</f>
        <v>themanifest.com</v>
      </c>
      <c r="D30" s="7" t="str">
        <f>IFERROR(__xludf.DUMMYFUNCTION("""COMPUTED_VALUE"""),"CATEGORY_PAGE")</f>
        <v>CATEGORY_PAGE</v>
      </c>
      <c r="E30" s="7" t="str">
        <f>IFERROR(__xludf.DUMMYFUNCTION("""COMPUTED_VALUE"""),"REFERENCE")</f>
        <v>REFERENCE</v>
      </c>
      <c r="F30" s="7" t="str">
        <f>IFERROR(__xludf.DUMMYFUNCTION("""COMPUTED_VALUE"""),"Category Page")</f>
        <v>Category Page</v>
      </c>
      <c r="G30" s="7" t="b">
        <f>IFERROR(__xludf.DUMMYFUNCTION("""COMPUTED_VALUE"""),FALSE)</f>
        <v>0</v>
      </c>
      <c r="H30" s="7" t="str">
        <f>IFERROR(__xludf.DUMMYFUNCTION("""COMPUTED_VALUE"""),"Chello, Human Digital")</f>
        <v>Chello, Human Digital</v>
      </c>
      <c r="I30" s="7">
        <f>IFERROR(__xludf.DUMMYFUNCTION("""COMPUTED_VALUE"""),14.0)</f>
        <v>14</v>
      </c>
      <c r="J30" s="7">
        <f>IFERROR(__xludf.DUMMYFUNCTION("""COMPUTED_VALUE"""),0.01)</f>
        <v>0.01</v>
      </c>
      <c r="K30" s="7">
        <f>IFERROR(__xludf.DUMMYFUNCTION("""COMPUTED_VALUE"""),0.36)</f>
        <v>0.36</v>
      </c>
    </row>
    <row r="31" ht="15.75" customHeight="1">
      <c r="A31" s="6" t="str">
        <f>IFERROR(__xludf.DUMMYFUNCTION("""COMPUTED_VALUE"""),"https://agencyvista.com/lists/google-marketing-platform-sales-partners/page/2/")</f>
        <v>https://agencyvista.com/lists/google-marketing-platform-sales-partners/page/2/</v>
      </c>
      <c r="B31" s="7" t="str">
        <f>IFERROR(__xludf.DUMMYFUNCTION("""COMPUTED_VALUE"""),"Google Marketing Platform Sales Partners. May 2025 Reviews. | Agency Vista")</f>
        <v>Google Marketing Platform Sales Partners. May 2025 Reviews. | Agency Vista</v>
      </c>
      <c r="C31" s="6" t="str">
        <f>IFERROR(__xludf.DUMMYFUNCTION("""COMPUTED_VALUE"""),"agencyvista.com")</f>
        <v>agencyvista.com</v>
      </c>
      <c r="D31" s="7" t="str">
        <f>IFERROR(__xludf.DUMMYFUNCTION("""COMPUTED_VALUE"""),"CATEGORY_PAGE")</f>
        <v>CATEGORY_PAGE</v>
      </c>
      <c r="E31" s="7" t="str">
        <f>IFERROR(__xludf.DUMMYFUNCTION("""COMPUTED_VALUE"""),"CORPORATE")</f>
        <v>CORPORATE</v>
      </c>
      <c r="F31" s="7" t="str">
        <f>IFERROR(__xludf.DUMMYFUNCTION("""COMPUTED_VALUE"""),"Category Page")</f>
        <v>Category Page</v>
      </c>
      <c r="G31" s="7" t="b">
        <f>IFERROR(__xludf.DUMMYFUNCTION("""COMPUTED_VALUE"""),FALSE)</f>
        <v>0</v>
      </c>
      <c r="H31" s="7" t="str">
        <f>IFERROR(__xludf.DUMMYFUNCTION("""COMPUTED_VALUE"""),"GroupM, OMD, Dentsu, Deloitte Digital, Deloitte")</f>
        <v>GroupM, OMD, Dentsu, Deloitte Digital, Deloitte</v>
      </c>
      <c r="I31" s="7">
        <f>IFERROR(__xludf.DUMMYFUNCTION("""COMPUTED_VALUE"""),13.0)</f>
        <v>13</v>
      </c>
      <c r="J31" s="7">
        <f>IFERROR(__xludf.DUMMYFUNCTION("""COMPUTED_VALUE"""),0.01)</f>
        <v>0.01</v>
      </c>
      <c r="K31" s="7">
        <f>IFERROR(__xludf.DUMMYFUNCTION("""COMPUTED_VALUE"""),0.0)</f>
        <v>0</v>
      </c>
    </row>
    <row r="32" ht="15.75" customHeight="1">
      <c r="A32" s="6" t="str">
        <f>IFERROR(__xludf.DUMMYFUNCTION("""COMPUTED_VALUE"""),"https://digitalagencynetwork.com/agencies/australia/online-advertising/")</f>
        <v>https://digitalagencynetwork.com/agencies/australia/online-advertising/</v>
      </c>
      <c r="B32" s="7" t="str">
        <f>IFERROR(__xludf.DUMMYFUNCTION("""COMPUTED_VALUE"""),"Best Online Advertising Agencies in Australia")</f>
        <v>Best Online Advertising Agencies in Australia</v>
      </c>
      <c r="C32" s="6" t="str">
        <f>IFERROR(__xludf.DUMMYFUNCTION("""COMPUTED_VALUE"""),"digitalagencynetwork.com")</f>
        <v>digitalagencynetwork.com</v>
      </c>
      <c r="D32" s="7" t="str">
        <f>IFERROR(__xludf.DUMMYFUNCTION("""COMPUTED_VALUE"""),"CATEGORY_PAGE")</f>
        <v>CATEGORY_PAGE</v>
      </c>
      <c r="E32" s="7" t="str">
        <f>IFERROR(__xludf.DUMMYFUNCTION("""COMPUTED_VALUE"""),"REFERENCE")</f>
        <v>REFERENCE</v>
      </c>
      <c r="F32" s="7" t="str">
        <f>IFERROR(__xludf.DUMMYFUNCTION("""COMPUTED_VALUE"""),"Category Page")</f>
        <v>Category Page</v>
      </c>
      <c r="G32" s="7" t="b">
        <f>IFERROR(__xludf.DUMMYFUNCTION("""COMPUTED_VALUE"""),FALSE)</f>
        <v>0</v>
      </c>
      <c r="H32" s="7" t="str">
        <f>IFERROR(__xludf.DUMMYFUNCTION("""COMPUTED_VALUE"""),"Emote Digital, 80/20 Digital, Clearwater Agency, Jaywing, Impressive, In Marketing We Trust, Digital Nomads HQ, Human Digital, Online Marketing Gurus, Zib Digital")</f>
        <v>Emote Digital, 80/20 Digital, Clearwater Agency, Jaywing, Impressive, In Marketing We Trust, Digital Nomads HQ, Human Digital, Online Marketing Gurus, Zib Digital</v>
      </c>
      <c r="I32" s="7">
        <f>IFERROR(__xludf.DUMMYFUNCTION("""COMPUTED_VALUE"""),13.0)</f>
        <v>13</v>
      </c>
      <c r="J32" s="7">
        <f>IFERROR(__xludf.DUMMYFUNCTION("""COMPUTED_VALUE"""),0.01)</f>
        <v>0.01</v>
      </c>
      <c r="K32" s="7">
        <f>IFERROR(__xludf.DUMMYFUNCTION("""COMPUTED_VALUE"""),1.08)</f>
        <v>1.08</v>
      </c>
    </row>
    <row r="33" ht="15.75" customHeight="1">
      <c r="A33" s="6" t="str">
        <f>IFERROR(__xludf.DUMMYFUNCTION("""COMPUTED_VALUE"""),"https://www.sortlist.com/media-planning/australia-au")</f>
        <v>https://www.sortlist.com/media-planning/australia-au</v>
      </c>
      <c r="B33" s="7" t="str">
        <f>IFERROR(__xludf.DUMMYFUNCTION("""COMPUTED_VALUE"""),"The 10 Best Media Agencies in Australia - 2026 Reviews")</f>
        <v>The 10 Best Media Agencies in Australia - 2026 Reviews</v>
      </c>
      <c r="C33" s="6" t="str">
        <f>IFERROR(__xludf.DUMMYFUNCTION("""COMPUTED_VALUE"""),"sortlist.com")</f>
        <v>sortlist.com</v>
      </c>
      <c r="D33" s="7" t="str">
        <f>IFERROR(__xludf.DUMMYFUNCTION("""COMPUTED_VALUE"""),"CATEGORY_PAGE")</f>
        <v>CATEGORY_PAGE</v>
      </c>
      <c r="E33" s="7" t="str">
        <f>IFERROR(__xludf.DUMMYFUNCTION("""COMPUTED_VALUE"""),"CORPORATE")</f>
        <v>CORPORATE</v>
      </c>
      <c r="F33" s="7" t="str">
        <f>IFERROR(__xludf.DUMMYFUNCTION("""COMPUTED_VALUE"""),"Category Page")</f>
        <v>Category Page</v>
      </c>
      <c r="G33" s="7" t="b">
        <f>IFERROR(__xludf.DUMMYFUNCTION("""COMPUTED_VALUE"""),FALSE)</f>
        <v>0</v>
      </c>
      <c r="H33" s="7" t="str">
        <f>IFERROR(__xludf.DUMMYFUNCTION("""COMPUTED_VALUE"""),"Impressive, CUT THRU, Momentum, Earned Media, SIXGUN")</f>
        <v>Impressive, CUT THRU, Momentum, Earned Media, SIXGUN</v>
      </c>
      <c r="I33" s="7">
        <f>IFERROR(__xludf.DUMMYFUNCTION("""COMPUTED_VALUE"""),13.0)</f>
        <v>13</v>
      </c>
      <c r="J33" s="7">
        <f>IFERROR(__xludf.DUMMYFUNCTION("""COMPUTED_VALUE"""),0.01)</f>
        <v>0.01</v>
      </c>
      <c r="K33" s="7">
        <f>IFERROR(__xludf.DUMMYFUNCTION("""COMPUTED_VALUE"""),0.92)</f>
        <v>0.92</v>
      </c>
    </row>
    <row r="34" ht="15.75" customHeight="1">
      <c r="A34" s="6" t="str">
        <f>IFERROR(__xludf.DUMMYFUNCTION("""COMPUTED_VALUE"""),"https://www.sortlist.com/s/paid-media/australian-capital-territory-act-au")</f>
        <v>https://www.sortlist.com/s/paid-media/australian-capital-territory-act-au</v>
      </c>
      <c r="B34" s="7" t="str">
        <f>IFERROR(__xludf.DUMMYFUNCTION("""COMPUTED_VALUE"""),"The 10 Best Paid Media Agencies in Australian Capital Territory - 2026 Reviews")</f>
        <v>The 10 Best Paid Media Agencies in Australian Capital Territory - 2026 Reviews</v>
      </c>
      <c r="C34" s="6" t="str">
        <f>IFERROR(__xludf.DUMMYFUNCTION("""COMPUTED_VALUE"""),"sortlist.com")</f>
        <v>sortlist.com</v>
      </c>
      <c r="D34" s="7" t="str">
        <f>IFERROR(__xludf.DUMMYFUNCTION("""COMPUTED_VALUE"""),"CATEGORY_PAGE")</f>
        <v>CATEGORY_PAGE</v>
      </c>
      <c r="E34" s="7" t="str">
        <f>IFERROR(__xludf.DUMMYFUNCTION("""COMPUTED_VALUE"""),"CORPORATE")</f>
        <v>CORPORATE</v>
      </c>
      <c r="F34" s="7" t="str">
        <f>IFERROR(__xludf.DUMMYFUNCTION("""COMPUTED_VALUE"""),"Category Page")</f>
        <v>Category Page</v>
      </c>
      <c r="G34" s="7" t="b">
        <f>IFERROR(__xludf.DUMMYFUNCTION("""COMPUTED_VALUE"""),FALSE)</f>
        <v>0</v>
      </c>
      <c r="H34" s="7" t="str">
        <f>IFERROR(__xludf.DUMMYFUNCTION("""COMPUTED_VALUE"""),"Measured, Earned Media, Clearwater Agency, SIXGUN, Impressive, Supple Digital, Ninja Promo, Momentum, Digital Nomads HQ, Soup Agency, HERO, 23 Digital")</f>
        <v>Measured, Earned Media, Clearwater Agency, SIXGUN, Impressive, Supple Digital, Ninja Promo, Momentum, Digital Nomads HQ, Soup Agency, HERO, 23 Digital</v>
      </c>
      <c r="I34" s="7">
        <f>IFERROR(__xludf.DUMMYFUNCTION("""COMPUTED_VALUE"""),13.0)</f>
        <v>13</v>
      </c>
      <c r="J34" s="7">
        <f>IFERROR(__xludf.DUMMYFUNCTION("""COMPUTED_VALUE"""),0.01)</f>
        <v>0.01</v>
      </c>
      <c r="K34" s="7">
        <f>IFERROR(__xludf.DUMMYFUNCTION("""COMPUTED_VALUE"""),0.08)</f>
        <v>0.08</v>
      </c>
    </row>
    <row r="35" ht="15.75" customHeight="1">
      <c r="A35" s="6" t="str">
        <f>IFERROR(__xludf.DUMMYFUNCTION("""COMPUTED_VALUE"""),"https://agencies.semrush.com/list/display-advertising/sydney/")</f>
        <v>https://agencies.semrush.com/list/display-advertising/sydney/</v>
      </c>
      <c r="B35" s="7" t="str">
        <f>IFERROR(__xludf.DUMMYFUNCTION("""COMPUTED_VALUE"""),"Best Display Ads Agencies in Sydney 2026 | Semrush")</f>
        <v>Best Display Ads Agencies in Sydney 2026 | Semrush</v>
      </c>
      <c r="C35" s="6" t="str">
        <f>IFERROR(__xludf.DUMMYFUNCTION("""COMPUTED_VALUE"""),"semrush.com")</f>
        <v>semrush.com</v>
      </c>
      <c r="D35" s="7" t="str">
        <f>IFERROR(__xludf.DUMMYFUNCTION("""COMPUTED_VALUE"""),"CATEGORY_PAGE")</f>
        <v>CATEGORY_PAGE</v>
      </c>
      <c r="E35" s="7" t="str">
        <f>IFERROR(__xludf.DUMMYFUNCTION("""COMPUTED_VALUE"""),"CORPORATE")</f>
        <v>CORPORATE</v>
      </c>
      <c r="F35" s="7" t="str">
        <f>IFERROR(__xludf.DUMMYFUNCTION("""COMPUTED_VALUE"""),"Category Page")</f>
        <v>Category Page</v>
      </c>
      <c r="G35" s="7" t="b">
        <f>IFERROR(__xludf.DUMMYFUNCTION("""COMPUTED_VALUE"""),FALSE)</f>
        <v>0</v>
      </c>
      <c r="H35" s="7" t="str">
        <f>IFERROR(__xludf.DUMMYFUNCTION("""COMPUTED_VALUE"""),"Soup Agency, Online Marketing Gurus, Omnicom Media Group, Click Click Media, Bench Media, Rocket Agency, First Page, Clearwater Agency, Measured, Earned Media, Impressive")</f>
        <v>Soup Agency, Online Marketing Gurus, Omnicom Media Group, Click Click Media, Bench Media, Rocket Agency, First Page, Clearwater Agency, Measured, Earned Media, Impressive</v>
      </c>
      <c r="I35" s="7">
        <f>IFERROR(__xludf.DUMMYFUNCTION("""COMPUTED_VALUE"""),12.0)</f>
        <v>12</v>
      </c>
      <c r="J35" s="7">
        <f>IFERROR(__xludf.DUMMYFUNCTION("""COMPUTED_VALUE"""),0.01)</f>
        <v>0.01</v>
      </c>
      <c r="K35" s="7">
        <f>IFERROR(__xludf.DUMMYFUNCTION("""COMPUTED_VALUE"""),0.5)</f>
        <v>0.5</v>
      </c>
    </row>
    <row r="36" ht="15.75" customHeight="1">
      <c r="A36" s="6" t="str">
        <f>IFERROR(__xludf.DUMMYFUNCTION("""COMPUTED_VALUE"""),"https://agencies.semrush.com/list/programmatic-advertising/australia/")</f>
        <v>https://agencies.semrush.com/list/programmatic-advertising/australia/</v>
      </c>
      <c r="B36" s="7" t="str">
        <f>IFERROR(__xludf.DUMMYFUNCTION("""COMPUTED_VALUE"""),"Best Programmatic Advertising Agencies in Australia 2026 | Semrush")</f>
        <v>Best Programmatic Advertising Agencies in Australia 2026 | Semrush</v>
      </c>
      <c r="C36" s="6" t="str">
        <f>IFERROR(__xludf.DUMMYFUNCTION("""COMPUTED_VALUE"""),"semrush.com")</f>
        <v>semrush.com</v>
      </c>
      <c r="D36" s="7" t="str">
        <f>IFERROR(__xludf.DUMMYFUNCTION("""COMPUTED_VALUE"""),"CATEGORY_PAGE")</f>
        <v>CATEGORY_PAGE</v>
      </c>
      <c r="E36" s="7" t="str">
        <f>IFERROR(__xludf.DUMMYFUNCTION("""COMPUTED_VALUE"""),"CORPORATE")</f>
        <v>CORPORATE</v>
      </c>
      <c r="F36" s="7" t="str">
        <f>IFERROR(__xludf.DUMMYFUNCTION("""COMPUTED_VALUE"""),"Category Page")</f>
        <v>Category Page</v>
      </c>
      <c r="G36" s="7" t="b">
        <f>IFERROR(__xludf.DUMMYFUNCTION("""COMPUTED_VALUE"""),FALSE)</f>
        <v>0</v>
      </c>
      <c r="H36" s="7"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36" s="7">
        <f>IFERROR(__xludf.DUMMYFUNCTION("""COMPUTED_VALUE"""),12.0)</f>
        <v>12</v>
      </c>
      <c r="J36" s="7">
        <f>IFERROR(__xludf.DUMMYFUNCTION("""COMPUTED_VALUE"""),0.01)</f>
        <v>0.01</v>
      </c>
      <c r="K36" s="7">
        <f>IFERROR(__xludf.DUMMYFUNCTION("""COMPUTED_VALUE"""),0.5)</f>
        <v>0.5</v>
      </c>
    </row>
    <row r="37" ht="15.75" customHeight="1">
      <c r="A37" s="6" t="str">
        <f>IFERROR(__xludf.DUMMYFUNCTION("""COMPUTED_VALUE"""),"https://www.greenbook.org/market-research-companies/australia")</f>
        <v>https://www.greenbook.org/market-research-companies/australia</v>
      </c>
      <c r="B37" s="7" t="str">
        <f>IFERROR(__xludf.DUMMYFUNCTION("""COMPUTED_VALUE"""),"Top Marketing Research Firms in Australia — Greenbook")</f>
        <v>Top Marketing Research Firms in Australia — Greenbook</v>
      </c>
      <c r="C37" s="6" t="str">
        <f>IFERROR(__xludf.DUMMYFUNCTION("""COMPUTED_VALUE"""),"greenbook.org")</f>
        <v>greenbook.org</v>
      </c>
      <c r="D37" s="7" t="str">
        <f>IFERROR(__xludf.DUMMYFUNCTION("""COMPUTED_VALUE"""),"CATEGORY_PAGE")</f>
        <v>CATEGORY_PAGE</v>
      </c>
      <c r="E37" s="7" t="str">
        <f>IFERROR(__xludf.DUMMYFUNCTION("""COMPUTED_VALUE"""),"REFERENCE")</f>
        <v>REFERENCE</v>
      </c>
      <c r="F37" s="7" t="str">
        <f>IFERROR(__xludf.DUMMYFUNCTION("""COMPUTED_VALUE"""),"Category Page")</f>
        <v>Category Page</v>
      </c>
      <c r="G37" s="7" t="b">
        <f>IFERROR(__xludf.DUMMYFUNCTION("""COMPUTED_VALUE"""),FALSE)</f>
        <v>0</v>
      </c>
      <c r="H37" s="7" t="str">
        <f>IFERROR(__xludf.DUMMYFUNCTION("""COMPUTED_VALUE"""),"Mindshare, PHD, Accenture Song")</f>
        <v>Mindshare, PHD, Accenture Song</v>
      </c>
      <c r="I37" s="7">
        <f>IFERROR(__xludf.DUMMYFUNCTION("""COMPUTED_VALUE"""),12.0)</f>
        <v>12</v>
      </c>
      <c r="J37" s="7">
        <f>IFERROR(__xludf.DUMMYFUNCTION("""COMPUTED_VALUE"""),0.01)</f>
        <v>0.01</v>
      </c>
      <c r="K37" s="7">
        <f>IFERROR(__xludf.DUMMYFUNCTION("""COMPUTED_VALUE"""),0.42)</f>
        <v>0.42</v>
      </c>
    </row>
    <row r="38" ht="15.75" customHeight="1">
      <c r="A38" s="6" t="str">
        <f>IFERROR(__xludf.DUMMYFUNCTION("""COMPUTED_VALUE"""),"https://www.capterra.com.au/directory/31081/marketing-attribution/software")</f>
        <v>https://www.capterra.com.au/directory/31081/marketing-attribution/software</v>
      </c>
      <c r="B38" s="7"/>
      <c r="C38" s="6" t="str">
        <f>IFERROR(__xludf.DUMMYFUNCTION("""COMPUTED_VALUE"""),"capterra.com.au")</f>
        <v>capterra.com.au</v>
      </c>
      <c r="D38" s="7" t="str">
        <f>IFERROR(__xludf.DUMMYFUNCTION("""COMPUTED_VALUE"""),"CATEGORY_PAGE")</f>
        <v>CATEGORY_PAGE</v>
      </c>
      <c r="E38" s="7" t="str">
        <f>IFERROR(__xludf.DUMMYFUNCTION("""COMPUTED_VALUE"""),"UGC")</f>
        <v>UGC</v>
      </c>
      <c r="F38" s="7" t="str">
        <f>IFERROR(__xludf.DUMMYFUNCTION("""COMPUTED_VALUE"""),"Category Page")</f>
        <v>Category Page</v>
      </c>
      <c r="G38" s="7" t="b">
        <f>IFERROR(__xludf.DUMMYFUNCTION("""COMPUTED_VALUE"""),FALSE)</f>
        <v>0</v>
      </c>
      <c r="H38" s="7"/>
      <c r="I38" s="7">
        <f>IFERROR(__xludf.DUMMYFUNCTION("""COMPUTED_VALUE"""),11.0)</f>
        <v>11</v>
      </c>
      <c r="J38" s="7">
        <f>IFERROR(__xludf.DUMMYFUNCTION("""COMPUTED_VALUE"""),0.01)</f>
        <v>0.01</v>
      </c>
      <c r="K38" s="7">
        <f>IFERROR(__xludf.DUMMYFUNCTION("""COMPUTED_VALUE"""),0.18)</f>
        <v>0.18</v>
      </c>
    </row>
    <row r="39" ht="15.75" customHeight="1">
      <c r="A39" s="6" t="str">
        <f>IFERROR(__xludf.DUMMYFUNCTION("""COMPUTED_VALUE"""),"https://clutch.co/au/agencies/digital")</f>
        <v>https://clutch.co/au/agencies/digital</v>
      </c>
      <c r="B39" s="7" t="str">
        <f>IFERROR(__xludf.DUMMYFUNCTION("""COMPUTED_VALUE"""),"Top Full-Service Digital Agencies in Australia - Jul 2026 Rankings \| Clutch.co")</f>
        <v>Top Full-Service Digital Agencies in Australia - Jul 2026 Rankings \| Clutch.co</v>
      </c>
      <c r="C39" s="6" t="str">
        <f>IFERROR(__xludf.DUMMYFUNCTION("""COMPUTED_VALUE"""),"clutch.co")</f>
        <v>clutch.co</v>
      </c>
      <c r="D39" s="7" t="str">
        <f>IFERROR(__xludf.DUMMYFUNCTION("""COMPUTED_VALUE"""),"CATEGORY_PAGE")</f>
        <v>CATEGORY_PAGE</v>
      </c>
      <c r="E39" s="7" t="str">
        <f>IFERROR(__xludf.DUMMYFUNCTION("""COMPUTED_VALUE"""),"CORPORATE")</f>
        <v>CORPORATE</v>
      </c>
      <c r="F39" s="7" t="str">
        <f>IFERROR(__xludf.DUMMYFUNCTION("""COMPUTED_VALUE"""),"Category Page")</f>
        <v>Category Page</v>
      </c>
      <c r="G39" s="7" t="b">
        <f>IFERROR(__xludf.DUMMYFUNCTION("""COMPUTED_VALUE"""),FALSE)</f>
        <v>0</v>
      </c>
      <c r="H39" s="7" t="str">
        <f>IFERROR(__xludf.DUMMYFUNCTION("""COMPUTED_VALUE"""),"Digital Nomads HQ, MyWork, Farsiight, Soup Agency, Emote Digital, Intesols, Luminary, Human Digital, Impressive, Salt &amp; Fuessel, Alley Group, Clearwater Agency, DNM Digital, Paradox Marketing")</f>
        <v>Digital Nomads HQ, MyWork, Farsiight, Soup Agency, Emote Digital, Intesols, Luminary, Human Digital, Impressive, Salt &amp; Fuessel, Alley Group, Clearwater Agency, DNM Digital, Paradox Marketing</v>
      </c>
      <c r="I39" s="7">
        <f>IFERROR(__xludf.DUMMYFUNCTION("""COMPUTED_VALUE"""),11.0)</f>
        <v>11</v>
      </c>
      <c r="J39" s="7">
        <f>IFERROR(__xludf.DUMMYFUNCTION("""COMPUTED_VALUE"""),0.01)</f>
        <v>0.01</v>
      </c>
      <c r="K39" s="7">
        <f>IFERROR(__xludf.DUMMYFUNCTION("""COMPUTED_VALUE"""),0.0)</f>
        <v>0</v>
      </c>
    </row>
    <row r="40" ht="15.75" customHeight="1">
      <c r="A40" s="6" t="str">
        <f>IFERROR(__xludf.DUMMYFUNCTION("""COMPUTED_VALUE"""),"https://elioplus.com/asia-pacific/australia/channel-partners/google")</f>
        <v>https://elioplus.com/asia-pacific/australia/channel-partners/google</v>
      </c>
      <c r="B40" s="7" t="str">
        <f>IFERROR(__xludf.DUMMYFUNCTION("""COMPUTED_VALUE"""),"Best Google partners &amp; resellers in Australia \| Elioplus")</f>
        <v>Best Google partners &amp; resellers in Australia \| Elioplus</v>
      </c>
      <c r="C40" s="6" t="str">
        <f>IFERROR(__xludf.DUMMYFUNCTION("""COMPUTED_VALUE"""),"elioplus.com")</f>
        <v>elioplus.com</v>
      </c>
      <c r="D40" s="7" t="str">
        <f>IFERROR(__xludf.DUMMYFUNCTION("""COMPUTED_VALUE"""),"CATEGORY_PAGE")</f>
        <v>CATEGORY_PAGE</v>
      </c>
      <c r="E40" s="7" t="str">
        <f>IFERROR(__xludf.DUMMYFUNCTION("""COMPUTED_VALUE"""),"CORPORATE")</f>
        <v>CORPORATE</v>
      </c>
      <c r="F40" s="7" t="str">
        <f>IFERROR(__xludf.DUMMYFUNCTION("""COMPUTED_VALUE"""),"Category Page")</f>
        <v>Category Page</v>
      </c>
      <c r="G40" s="7" t="b">
        <f>IFERROR(__xludf.DUMMYFUNCTION("""COMPUTED_VALUE"""),FALSE)</f>
        <v>0</v>
      </c>
      <c r="H40" s="7" t="str">
        <f>IFERROR(__xludf.DUMMYFUNCTION("""COMPUTED_VALUE"""),"King Kong, Impressive, eMarket Experts")</f>
        <v>King Kong, Impressive, eMarket Experts</v>
      </c>
      <c r="I40" s="7">
        <f>IFERROR(__xludf.DUMMYFUNCTION("""COMPUTED_VALUE"""),11.0)</f>
        <v>11</v>
      </c>
      <c r="J40" s="7">
        <f>IFERROR(__xludf.DUMMYFUNCTION("""COMPUTED_VALUE"""),0.01)</f>
        <v>0.01</v>
      </c>
      <c r="K40" s="7">
        <f>IFERROR(__xludf.DUMMYFUNCTION("""COMPUTED_VALUE"""),0.0)</f>
        <v>0</v>
      </c>
    </row>
    <row r="41" ht="15.75" customHeight="1">
      <c r="A41" s="6" t="str">
        <f>IFERROR(__xludf.DUMMYFUNCTION("""COMPUTED_VALUE"""),"https://agencies.semrush.com/list/ai-optimization/australia/mid-business/")</f>
        <v>https://agencies.semrush.com/list/ai-optimization/australia/mid-business/</v>
      </c>
      <c r="B41" s="7" t="str">
        <f>IFERROR(__xludf.DUMMYFUNCTION("""COMPUTED_VALUE"""),"Best AI Search Optimization Agencies for Mid Business in Australia 2026 | Semrush")</f>
        <v>Best AI Search Optimization Agencies for Mid Business in Australia 2026 | Semrush</v>
      </c>
      <c r="C41" s="6" t="str">
        <f>IFERROR(__xludf.DUMMYFUNCTION("""COMPUTED_VALUE"""),"semrush.com")</f>
        <v>semrush.com</v>
      </c>
      <c r="D41" s="7" t="str">
        <f>IFERROR(__xludf.DUMMYFUNCTION("""COMPUTED_VALUE"""),"CATEGORY_PAGE")</f>
        <v>CATEGORY_PAGE</v>
      </c>
      <c r="E41" s="7" t="str">
        <f>IFERROR(__xludf.DUMMYFUNCTION("""COMPUTED_VALUE"""),"CORPORATE")</f>
        <v>CORPORATE</v>
      </c>
      <c r="F41" s="7" t="str">
        <f>IFERROR(__xludf.DUMMYFUNCTION("""COMPUTED_VALUE"""),"Category Page")</f>
        <v>Category Page</v>
      </c>
      <c r="G41" s="7" t="b">
        <f>IFERROR(__xludf.DUMMYFUNCTION("""COMPUTED_VALUE"""),FALSE)</f>
        <v>0</v>
      </c>
      <c r="H41" s="7"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41" s="7">
        <f>IFERROR(__xludf.DUMMYFUNCTION("""COMPUTED_VALUE"""),9.0)</f>
        <v>9</v>
      </c>
      <c r="J41" s="7">
        <f>IFERROR(__xludf.DUMMYFUNCTION("""COMPUTED_VALUE"""),0.01)</f>
        <v>0.01</v>
      </c>
      <c r="K41" s="7">
        <f>IFERROR(__xludf.DUMMYFUNCTION("""COMPUTED_VALUE"""),0.11)</f>
        <v>0.11</v>
      </c>
    </row>
    <row r="42" ht="15.75" customHeight="1">
      <c r="A42" s="6" t="str">
        <f>IFERROR(__xludf.DUMMYFUNCTION("""COMPUTED_VALUE"""),"https://www.google.com.au/intl/en/ads/publisher/partners/find-a-partner/")</f>
        <v>https://www.google.com.au/intl/en/ads/publisher/partners/find-a-partner/</v>
      </c>
      <c r="B42" s="7" t="str">
        <f>IFERROR(__xludf.DUMMYFUNCTION("""COMPUTED_VALUE"""),"Find a Publishing Partner \| Certified Publishing Partner – Google")</f>
        <v>Find a Publishing Partner \| Certified Publishing Partner – Google</v>
      </c>
      <c r="C42" s="6" t="str">
        <f>IFERROR(__xludf.DUMMYFUNCTION("""COMPUTED_VALUE"""),"google.com.au")</f>
        <v>google.com.au</v>
      </c>
      <c r="D42" s="7" t="str">
        <f>IFERROR(__xludf.DUMMYFUNCTION("""COMPUTED_VALUE"""),"CATEGORY_PAGE")</f>
        <v>CATEGORY_PAGE</v>
      </c>
      <c r="E42" s="7" t="str">
        <f>IFERROR(__xludf.DUMMYFUNCTION("""COMPUTED_VALUE"""),"CORPORATE")</f>
        <v>CORPORATE</v>
      </c>
      <c r="F42" s="7" t="str">
        <f>IFERROR(__xludf.DUMMYFUNCTION("""COMPUTED_VALUE"""),"Category Page")</f>
        <v>Category Page</v>
      </c>
      <c r="G42" s="7" t="b">
        <f>IFERROR(__xludf.DUMMYFUNCTION("""COMPUTED_VALUE"""),FALSE)</f>
        <v>0</v>
      </c>
      <c r="H42" s="7"/>
      <c r="I42" s="7">
        <f>IFERROR(__xludf.DUMMYFUNCTION("""COMPUTED_VALUE"""),9.0)</f>
        <v>9</v>
      </c>
      <c r="J42" s="7">
        <f>IFERROR(__xludf.DUMMYFUNCTION("""COMPUTED_VALUE"""),0.01)</f>
        <v>0.01</v>
      </c>
      <c r="K42" s="7">
        <f>IFERROR(__xludf.DUMMYFUNCTION("""COMPUTED_VALUE"""),0.33)</f>
        <v>0.33</v>
      </c>
    </row>
    <row r="43" ht="15.75" customHeight="1">
      <c r="A43" s="6" t="str">
        <f>IFERROR(__xludf.DUMMYFUNCTION("""COMPUTED_VALUE"""),"https://www.sortlist.com/s/performance-marketing/sydney-au")</f>
        <v>https://www.sortlist.com/s/performance-marketing/sydney-au</v>
      </c>
      <c r="B43" s="7" t="str">
        <f>IFERROR(__xludf.DUMMYFUNCTION("""COMPUTED_VALUE"""),"The 10 Best Performance Marketing Agencies in Sydney - 2026 Reviews")</f>
        <v>The 10 Best Performance Marketing Agencies in Sydney - 2026 Reviews</v>
      </c>
      <c r="C43" s="6" t="str">
        <f>IFERROR(__xludf.DUMMYFUNCTION("""COMPUTED_VALUE"""),"sortlist.com")</f>
        <v>sortlist.com</v>
      </c>
      <c r="D43" s="7" t="str">
        <f>IFERROR(__xludf.DUMMYFUNCTION("""COMPUTED_VALUE"""),"CATEGORY_PAGE")</f>
        <v>CATEGORY_PAGE</v>
      </c>
      <c r="E43" s="7" t="str">
        <f>IFERROR(__xludf.DUMMYFUNCTION("""COMPUTED_VALUE"""),"CORPORATE")</f>
        <v>CORPORATE</v>
      </c>
      <c r="F43" s="7" t="str">
        <f>IFERROR(__xludf.DUMMYFUNCTION("""COMPUTED_VALUE"""),"Category Page")</f>
        <v>Category Page</v>
      </c>
      <c r="G43" s="7" t="b">
        <f>IFERROR(__xludf.DUMMYFUNCTION("""COMPUTED_VALUE"""),FALSE)</f>
        <v>0</v>
      </c>
      <c r="H43" s="7" t="str">
        <f>IFERROR(__xludf.DUMMYFUNCTION("""COMPUTED_VALUE"""),"Impressive, Supple Digital, Measured, Earned Media, Clearwater Agency, SIXGUN, Momentum, Soup Agency, HERO, Digital Nomads HQ, Sparro, AdVisible")</f>
        <v>Impressive, Supple Digital, Measured, Earned Media, Clearwater Agency, SIXGUN, Momentum, Soup Agency, HERO, Digital Nomads HQ, Sparro, AdVisible</v>
      </c>
      <c r="I43" s="7">
        <f>IFERROR(__xludf.DUMMYFUNCTION("""COMPUTED_VALUE"""),9.0)</f>
        <v>9</v>
      </c>
      <c r="J43" s="7">
        <f>IFERROR(__xludf.DUMMYFUNCTION("""COMPUTED_VALUE"""),0.01)</f>
        <v>0.01</v>
      </c>
      <c r="K43" s="7">
        <f>IFERROR(__xludf.DUMMYFUNCTION("""COMPUTED_VALUE"""),0.11)</f>
        <v>0.11</v>
      </c>
    </row>
    <row r="44" ht="15.75" customHeight="1">
      <c r="A44" s="6" t="str">
        <f>IFERROR(__xludf.DUMMYFUNCTION("""COMPUTED_VALUE"""),"https://www.google.com/ads/publisher/partners/find-a-partner/")</f>
        <v>https://www.google.com/ads/publisher/partners/find-a-partner/</v>
      </c>
      <c r="B44" s="7" t="str">
        <f>IFERROR(__xludf.DUMMYFUNCTION("""COMPUTED_VALUE"""),"Find a Publishing Partner \| Certified Publishing Partner – Google")</f>
        <v>Find a Publishing Partner \| Certified Publishing Partner – Google</v>
      </c>
      <c r="C44" s="6" t="str">
        <f>IFERROR(__xludf.DUMMYFUNCTION("""COMPUTED_VALUE"""),"google.com")</f>
        <v>google.com</v>
      </c>
      <c r="D44" s="7" t="str">
        <f>IFERROR(__xludf.DUMMYFUNCTION("""COMPUTED_VALUE"""),"CATEGORY_PAGE")</f>
        <v>CATEGORY_PAGE</v>
      </c>
      <c r="E44" s="7" t="str">
        <f>IFERROR(__xludf.DUMMYFUNCTION("""COMPUTED_VALUE"""),"OTHER")</f>
        <v>OTHER</v>
      </c>
      <c r="F44" s="7" t="str">
        <f>IFERROR(__xludf.DUMMYFUNCTION("""COMPUTED_VALUE"""),"Category Page")</f>
        <v>Category Page</v>
      </c>
      <c r="G44" s="7" t="b">
        <f>IFERROR(__xludf.DUMMYFUNCTION("""COMPUTED_VALUE"""),FALSE)</f>
        <v>0</v>
      </c>
      <c r="H44" s="7"/>
      <c r="I44" s="7">
        <f>IFERROR(__xludf.DUMMYFUNCTION("""COMPUTED_VALUE"""),8.0)</f>
        <v>8</v>
      </c>
      <c r="J44" s="7">
        <f>IFERROR(__xludf.DUMMYFUNCTION("""COMPUTED_VALUE"""),0.01)</f>
        <v>0.01</v>
      </c>
      <c r="K44" s="7">
        <f>IFERROR(__xludf.DUMMYFUNCTION("""COMPUTED_VALUE"""),0.13)</f>
        <v>0.13</v>
      </c>
    </row>
    <row r="45" ht="15.75" customHeight="1">
      <c r="A45" s="6" t="str">
        <f>IFERROR(__xludf.DUMMYFUNCTION("""COMPUTED_VALUE"""),"https://www.sortlist.com/s/programmatic-advertising/australia-au")</f>
        <v>https://www.sortlist.com/s/programmatic-advertising/australia-au</v>
      </c>
      <c r="B45" s="7" t="str">
        <f>IFERROR(__xludf.DUMMYFUNCTION("""COMPUTED_VALUE"""),"The 10 Best Programmatic Advertising Companies in Australia - 2026 Reviews")</f>
        <v>The 10 Best Programmatic Advertising Companies in Australia - 2026 Reviews</v>
      </c>
      <c r="C45" s="6" t="str">
        <f>IFERROR(__xludf.DUMMYFUNCTION("""COMPUTED_VALUE"""),"sortlist.com")</f>
        <v>sortlist.com</v>
      </c>
      <c r="D45" s="7" t="str">
        <f>IFERROR(__xludf.DUMMYFUNCTION("""COMPUTED_VALUE"""),"CATEGORY_PAGE")</f>
        <v>CATEGORY_PAGE</v>
      </c>
      <c r="E45" s="7" t="str">
        <f>IFERROR(__xludf.DUMMYFUNCTION("""COMPUTED_VALUE"""),"CORPORATE")</f>
        <v>CORPORATE</v>
      </c>
      <c r="F45" s="7" t="str">
        <f>IFERROR(__xludf.DUMMYFUNCTION("""COMPUTED_VALUE"""),"Category Page")</f>
        <v>Category Page</v>
      </c>
      <c r="G45" s="7" t="b">
        <f>IFERROR(__xludf.DUMMYFUNCTION("""COMPUTED_VALUE"""),FALSE)</f>
        <v>0</v>
      </c>
      <c r="H45" s="7" t="str">
        <f>IFERROR(__xludf.DUMMYFUNCTION("""COMPUTED_VALUE"""),"Measured, Earned Media, Clearwater Agency, Impressive, Supple Digital, SIXGUN, Digital Nomads HQ, Soup Agency, HERO")</f>
        <v>Measured, Earned Media, Clearwater Agency, Impressive, Supple Digital, SIXGUN, Digital Nomads HQ, Soup Agency, HERO</v>
      </c>
      <c r="I45" s="7">
        <f>IFERROR(__xludf.DUMMYFUNCTION("""COMPUTED_VALUE"""),8.0)</f>
        <v>8</v>
      </c>
      <c r="J45" s="7">
        <f>IFERROR(__xludf.DUMMYFUNCTION("""COMPUTED_VALUE"""),0.01)</f>
        <v>0.01</v>
      </c>
      <c r="K45" s="7">
        <f>IFERROR(__xludf.DUMMYFUNCTION("""COMPUTED_VALUE"""),0.13)</f>
        <v>0.13</v>
      </c>
    </row>
    <row r="46" ht="15.75" customHeight="1">
      <c r="A46" s="6" t="str">
        <f>IFERROR(__xludf.DUMMYFUNCTION("""COMPUTED_VALUE"""),"https://www.sortlist.com/social-media/australia-au")</f>
        <v>https://www.sortlist.com/social-media/australia-au</v>
      </c>
      <c r="B46" s="7" t="str">
        <f>IFERROR(__xludf.DUMMYFUNCTION("""COMPUTED_VALUE"""),"The 10 Best Social Media Agencies in Australia - 2026 Reviews")</f>
        <v>The 10 Best Social Media Agencies in Australia - 2026 Reviews</v>
      </c>
      <c r="C46" s="6" t="str">
        <f>IFERROR(__xludf.DUMMYFUNCTION("""COMPUTED_VALUE"""),"sortlist.com")</f>
        <v>sortlist.com</v>
      </c>
      <c r="D46" s="7" t="str">
        <f>IFERROR(__xludf.DUMMYFUNCTION("""COMPUTED_VALUE"""),"CATEGORY_PAGE")</f>
        <v>CATEGORY_PAGE</v>
      </c>
      <c r="E46" s="7" t="str">
        <f>IFERROR(__xludf.DUMMYFUNCTION("""COMPUTED_VALUE"""),"CORPORATE")</f>
        <v>CORPORATE</v>
      </c>
      <c r="F46" s="7" t="str">
        <f>IFERROR(__xludf.DUMMYFUNCTION("""COMPUTED_VALUE"""),"Category Page")</f>
        <v>Category Page</v>
      </c>
      <c r="G46" s="7" t="b">
        <f>IFERROR(__xludf.DUMMYFUNCTION("""COMPUTED_VALUE"""),FALSE)</f>
        <v>0</v>
      </c>
      <c r="H46" s="7" t="str">
        <f>IFERROR(__xludf.DUMMYFUNCTION("""COMPUTED_VALUE"""),"Measured, Earned Media, Clearwater Agency, Impressive, Supple Digital, Soup Agency, HERO, Digital Nomads HQ, SIXGUN")</f>
        <v>Measured, Earned Media, Clearwater Agency, Impressive, Supple Digital, Soup Agency, HERO, Digital Nomads HQ, SIXGUN</v>
      </c>
      <c r="I46" s="7">
        <f>IFERROR(__xludf.DUMMYFUNCTION("""COMPUTED_VALUE"""),8.0)</f>
        <v>8</v>
      </c>
      <c r="J46" s="7">
        <f>IFERROR(__xludf.DUMMYFUNCTION("""COMPUTED_VALUE"""),0.01)</f>
        <v>0.01</v>
      </c>
      <c r="K46" s="7">
        <f>IFERROR(__xludf.DUMMYFUNCTION("""COMPUTED_VALUE"""),1.0)</f>
        <v>1</v>
      </c>
    </row>
    <row r="47" ht="15.75" customHeight="1">
      <c r="A47" s="6" t="str">
        <f>IFERROR(__xludf.DUMMYFUNCTION("""COMPUTED_VALUE"""),"https://agencies.semrush.com/list/display-advertising/arts-entertainment/australia/")</f>
        <v>https://agencies.semrush.com/list/display-advertising/arts-entertainment/australia/</v>
      </c>
      <c r="B47" s="7" t="str">
        <f>IFERROR(__xludf.DUMMYFUNCTION("""COMPUTED_VALUE"""),"Best Media &amp;amp; Entertainment Display Ads Agencies in Australia 2026 | Semrush")</f>
        <v>Best Media &amp;amp; Entertainment Display Ads Agencies in Australia 2026 | Semrush</v>
      </c>
      <c r="C47" s="6" t="str">
        <f>IFERROR(__xludf.DUMMYFUNCTION("""COMPUTED_VALUE"""),"semrush.com")</f>
        <v>semrush.com</v>
      </c>
      <c r="D47" s="7" t="str">
        <f>IFERROR(__xludf.DUMMYFUNCTION("""COMPUTED_VALUE"""),"CATEGORY_PAGE")</f>
        <v>CATEGORY_PAGE</v>
      </c>
      <c r="E47" s="7" t="str">
        <f>IFERROR(__xludf.DUMMYFUNCTION("""COMPUTED_VALUE"""),"CORPORATE")</f>
        <v>CORPORATE</v>
      </c>
      <c r="F47" s="7" t="str">
        <f>IFERROR(__xludf.DUMMYFUNCTION("""COMPUTED_VALUE"""),"Category Page")</f>
        <v>Category Page</v>
      </c>
      <c r="G47" s="7" t="b">
        <f>IFERROR(__xludf.DUMMYFUNCTION("""COMPUTED_VALUE"""),FALSE)</f>
        <v>0</v>
      </c>
      <c r="H47" s="7" t="str">
        <f>IFERROR(__xludf.DUMMYFUNCTION("""COMPUTED_VALUE"""),"Soup Agency, First Page, Online Marketing Gurus, Omnicom Media Group, 80/20 Digital, Measured")</f>
        <v>Soup Agency, First Page, Online Marketing Gurus, Omnicom Media Group, 80/20 Digital, Measured</v>
      </c>
      <c r="I47" s="7">
        <f>IFERROR(__xludf.DUMMYFUNCTION("""COMPUTED_VALUE"""),7.0)</f>
        <v>7</v>
      </c>
      <c r="J47" s="7">
        <f>IFERROR(__xludf.DUMMYFUNCTION("""COMPUTED_VALUE"""),0.01)</f>
        <v>0.01</v>
      </c>
      <c r="K47" s="7">
        <f>IFERROR(__xludf.DUMMYFUNCTION("""COMPUTED_VALUE"""),0.0)</f>
        <v>0</v>
      </c>
    </row>
    <row r="48" ht="15.75" customHeight="1">
      <c r="A48" s="6" t="str">
        <f>IFERROR(__xludf.DUMMYFUNCTION("""COMPUTED_VALUE"""),"https://clutch.co/agencies/performance-marketing")</f>
        <v>https://clutch.co/agencies/performance-marketing</v>
      </c>
      <c r="B48" s="7" t="str">
        <f>IFERROR(__xludf.DUMMYFUNCTION("""COMPUTED_VALUE"""),"Top Performance Marketing Agencies - Jul 2026 Rankings | Clutch.co")</f>
        <v>Top Performance Marketing Agencies - Jul 2026 Rankings | Clutch.co</v>
      </c>
      <c r="C48" s="6" t="str">
        <f>IFERROR(__xludf.DUMMYFUNCTION("""COMPUTED_VALUE"""),"clutch.co")</f>
        <v>clutch.co</v>
      </c>
      <c r="D48" s="7" t="str">
        <f>IFERROR(__xludf.DUMMYFUNCTION("""COMPUTED_VALUE"""),"CATEGORY_PAGE")</f>
        <v>CATEGORY_PAGE</v>
      </c>
      <c r="E48" s="7" t="str">
        <f>IFERROR(__xludf.DUMMYFUNCTION("""COMPUTED_VALUE"""),"CORPORATE")</f>
        <v>CORPORATE</v>
      </c>
      <c r="F48" s="7" t="str">
        <f>IFERROR(__xludf.DUMMYFUNCTION("""COMPUTED_VALUE"""),"Category Page")</f>
        <v>Category Page</v>
      </c>
      <c r="G48" s="7" t="b">
        <f>IFERROR(__xludf.DUMMYFUNCTION("""COMPUTED_VALUE"""),FALSE)</f>
        <v>0</v>
      </c>
      <c r="H48" s="7" t="str">
        <f>IFERROR(__xludf.DUMMYFUNCTION("""COMPUTED_VALUE"""),"Impressive, Momentum, Edge Marketing")</f>
        <v>Impressive, Momentum, Edge Marketing</v>
      </c>
      <c r="I48" s="7">
        <f>IFERROR(__xludf.DUMMYFUNCTION("""COMPUTED_VALUE"""),7.0)</f>
        <v>7</v>
      </c>
      <c r="J48" s="7">
        <f>IFERROR(__xludf.DUMMYFUNCTION("""COMPUTED_VALUE"""),0.01)</f>
        <v>0.01</v>
      </c>
      <c r="K48" s="7">
        <f>IFERROR(__xludf.DUMMYFUNCTION("""COMPUTED_VALUE"""),0.0)</f>
        <v>0</v>
      </c>
    </row>
    <row r="49" ht="15.75" customHeight="1">
      <c r="A49" s="6" t="str">
        <f>IFERROR(__xludf.DUMMYFUNCTION("""COMPUTED_VALUE"""),"https://www.sortlist.com/digital-marketing/australia-au")</f>
        <v>https://www.sortlist.com/digital-marketing/australia-au</v>
      </c>
      <c r="B49" s="7" t="str">
        <f>IFERROR(__xludf.DUMMYFUNCTION("""COMPUTED_VALUE"""),"The 10 Best Digital Marketing Agencies in Australia - 2026 Reviews")</f>
        <v>The 10 Best Digital Marketing Agencies in Australia - 2026 Reviews</v>
      </c>
      <c r="C49" s="6" t="str">
        <f>IFERROR(__xludf.DUMMYFUNCTION("""COMPUTED_VALUE"""),"sortlist.com")</f>
        <v>sortlist.com</v>
      </c>
      <c r="D49" s="7" t="str">
        <f>IFERROR(__xludf.DUMMYFUNCTION("""COMPUTED_VALUE"""),"CATEGORY_PAGE")</f>
        <v>CATEGORY_PAGE</v>
      </c>
      <c r="E49" s="7" t="str">
        <f>IFERROR(__xludf.DUMMYFUNCTION("""COMPUTED_VALUE"""),"CORPORATE")</f>
        <v>CORPORATE</v>
      </c>
      <c r="F49" s="7" t="str">
        <f>IFERROR(__xludf.DUMMYFUNCTION("""COMPUTED_VALUE"""),"Category Page")</f>
        <v>Category Page</v>
      </c>
      <c r="G49" s="7" t="b">
        <f>IFERROR(__xludf.DUMMYFUNCTION("""COMPUTED_VALUE"""),FALSE)</f>
        <v>0</v>
      </c>
      <c r="H49" s="7" t="str">
        <f>IFERROR(__xludf.DUMMYFUNCTION("""COMPUTED_VALUE"""),"Measured, Earned Media, Clearwater Agency, Impressive, Supple Digital, Digital Nomads HQ, Soup Agency, HERO, Momentum")</f>
        <v>Measured, Earned Media, Clearwater Agency, Impressive, Supple Digital, Digital Nomads HQ, Soup Agency, HERO, Momentum</v>
      </c>
      <c r="I49" s="7">
        <f>IFERROR(__xludf.DUMMYFUNCTION("""COMPUTED_VALUE"""),7.0)</f>
        <v>7</v>
      </c>
      <c r="J49" s="7">
        <f>IFERROR(__xludf.DUMMYFUNCTION("""COMPUTED_VALUE"""),0.01)</f>
        <v>0.01</v>
      </c>
      <c r="K49" s="7">
        <f>IFERROR(__xludf.DUMMYFUNCTION("""COMPUTED_VALUE"""),0.0)</f>
        <v>0</v>
      </c>
    </row>
    <row r="50" ht="15.75" customHeight="1">
      <c r="A50" s="6" t="str">
        <f>IFERROR(__xludf.DUMMYFUNCTION("""COMPUTED_VALUE"""),"https://www.thehero.co/news")</f>
        <v>https://www.thehero.co/news</v>
      </c>
      <c r="B50" s="7" t="str">
        <f>IFERROR(__xludf.DUMMYFUNCTION("""COMPUTED_VALUE"""),"The Best of Australia’s Top-Ranked Creative Advertising &amp;amp; Marketing Performance Agency | HERO News")</f>
        <v>The Best of Australia’s Top-Ranked Creative Advertising &amp;amp; Marketing Performance Agency | HERO News</v>
      </c>
      <c r="C50" s="6" t="str">
        <f>IFERROR(__xludf.DUMMYFUNCTION("""COMPUTED_VALUE"""),"thehero.co")</f>
        <v>thehero.co</v>
      </c>
      <c r="D50" s="7" t="str">
        <f>IFERROR(__xludf.DUMMYFUNCTION("""COMPUTED_VALUE"""),"CATEGORY_PAGE")</f>
        <v>CATEGORY_PAGE</v>
      </c>
      <c r="E50" s="7" t="str">
        <f>IFERROR(__xludf.DUMMYFUNCTION("""COMPUTED_VALUE"""),"CORPORATE")</f>
        <v>CORPORATE</v>
      </c>
      <c r="F50" s="7" t="str">
        <f>IFERROR(__xludf.DUMMYFUNCTION("""COMPUTED_VALUE"""),"Category Page")</f>
        <v>Category Page</v>
      </c>
      <c r="G50" s="7" t="b">
        <f>IFERROR(__xludf.DUMMYFUNCTION("""COMPUTED_VALUE"""),FALSE)</f>
        <v>0</v>
      </c>
      <c r="H50" s="7" t="str">
        <f>IFERROR(__xludf.DUMMYFUNCTION("""COMPUTED_VALUE"""),"HERO")</f>
        <v>HERO</v>
      </c>
      <c r="I50" s="7">
        <f>IFERROR(__xludf.DUMMYFUNCTION("""COMPUTED_VALUE"""),7.0)</f>
        <v>7</v>
      </c>
      <c r="J50" s="7">
        <f>IFERROR(__xludf.DUMMYFUNCTION("""COMPUTED_VALUE"""),0.01)</f>
        <v>0.01</v>
      </c>
      <c r="K50" s="7">
        <f>IFERROR(__xludf.DUMMYFUNCTION("""COMPUTED_VALUE"""),0.71)</f>
        <v>0.71</v>
      </c>
    </row>
    <row r="51" ht="15.75" customHeight="1">
      <c r="A51" s="6" t="str">
        <f>IFERROR(__xludf.DUMMYFUNCTION("""COMPUTED_VALUE"""),"https://www.50pros.com/hire/advertising/attribution-and-measurement")</f>
        <v>https://www.50pros.com/hire/advertising/attribution-and-measurement</v>
      </c>
      <c r="B51" s="7" t="str">
        <f>IFERROR(__xludf.DUMMYFUNCTION("""COMPUTED_VALUE"""),"Top Attribution &amp; Measurement Agencies to Hire in June 2026")</f>
        <v>Top Attribution &amp; Measurement Agencies to Hire in June 2026</v>
      </c>
      <c r="C51" s="6" t="str">
        <f>IFERROR(__xludf.DUMMYFUNCTION("""COMPUTED_VALUE"""),"50pros.com")</f>
        <v>50pros.com</v>
      </c>
      <c r="D51" s="7" t="str">
        <f>IFERROR(__xludf.DUMMYFUNCTION("""COMPUTED_VALUE"""),"CATEGORY_PAGE")</f>
        <v>CATEGORY_PAGE</v>
      </c>
      <c r="E51" s="7" t="str">
        <f>IFERROR(__xludf.DUMMYFUNCTION("""COMPUTED_VALUE"""),"REFERENCE")</f>
        <v>REFERENCE</v>
      </c>
      <c r="F51" s="7" t="str">
        <f>IFERROR(__xludf.DUMMYFUNCTION("""COMPUTED_VALUE"""),"Category Page")</f>
        <v>Category Page</v>
      </c>
      <c r="G51" s="7" t="b">
        <f>IFERROR(__xludf.DUMMYFUNCTION("""COMPUTED_VALUE"""),FALSE)</f>
        <v>0</v>
      </c>
      <c r="H51" s="7" t="str">
        <f>IFERROR(__xludf.DUMMYFUNCTION("""COMPUTED_VALUE"""),"Huge")</f>
        <v>Huge</v>
      </c>
      <c r="I51" s="7">
        <f>IFERROR(__xludf.DUMMYFUNCTION("""COMPUTED_VALUE"""),6.0)</f>
        <v>6</v>
      </c>
      <c r="J51" s="7">
        <f>IFERROR(__xludf.DUMMYFUNCTION("""COMPUTED_VALUE"""),0.01)</f>
        <v>0.01</v>
      </c>
      <c r="K51" s="7">
        <f>IFERROR(__xludf.DUMMYFUNCTION("""COMPUTED_VALUE"""),0.17)</f>
        <v>0.17</v>
      </c>
    </row>
    <row r="52" ht="15.75" customHeight="1">
      <c r="A52" s="6" t="str">
        <f>IFERROR(__xludf.DUMMYFUNCTION("""COMPUTED_VALUE"""),"https://clutch.co/au/consulting/ai/sydney")</f>
        <v>https://clutch.co/au/consulting/ai/sydney</v>
      </c>
      <c r="B52" s="7" t="str">
        <f>IFERROR(__xludf.DUMMYFUNCTION("""COMPUTED_VALUE"""),"Top AI Consultants in Sydney - Jul 2026 Rankings \| Clutch.co")</f>
        <v>Top AI Consultants in Sydney - Jul 2026 Rankings \| Clutch.co</v>
      </c>
      <c r="C52" s="6" t="str">
        <f>IFERROR(__xludf.DUMMYFUNCTION("""COMPUTED_VALUE"""),"clutch.co")</f>
        <v>clutch.co</v>
      </c>
      <c r="D52" s="7" t="str">
        <f>IFERROR(__xludf.DUMMYFUNCTION("""COMPUTED_VALUE"""),"CATEGORY_PAGE")</f>
        <v>CATEGORY_PAGE</v>
      </c>
      <c r="E52" s="7" t="str">
        <f>IFERROR(__xludf.DUMMYFUNCTION("""COMPUTED_VALUE"""),"CORPORATE")</f>
        <v>CORPORATE</v>
      </c>
      <c r="F52" s="7" t="str">
        <f>IFERROR(__xludf.DUMMYFUNCTION("""COMPUTED_VALUE"""),"Category Page")</f>
        <v>Category Page</v>
      </c>
      <c r="G52" s="7" t="b">
        <f>IFERROR(__xludf.DUMMYFUNCTION("""COMPUTED_VALUE"""),FALSE)</f>
        <v>0</v>
      </c>
      <c r="H52" s="7" t="str">
        <f>IFERROR(__xludf.DUMMYFUNCTION("""COMPUTED_VALUE"""),"Luminary, In Marketing We Trust, Impressive, Huge, Team 400")</f>
        <v>Luminary, In Marketing We Trust, Impressive, Huge, Team 400</v>
      </c>
      <c r="I52" s="7">
        <f>IFERROR(__xludf.DUMMYFUNCTION("""COMPUTED_VALUE"""),6.0)</f>
        <v>6</v>
      </c>
      <c r="J52" s="7">
        <f>IFERROR(__xludf.DUMMYFUNCTION("""COMPUTED_VALUE"""),0.01)</f>
        <v>0.01</v>
      </c>
      <c r="K52" s="7">
        <f>IFERROR(__xludf.DUMMYFUNCTION("""COMPUTED_VALUE"""),0.17)</f>
        <v>0.17</v>
      </c>
    </row>
    <row r="53" ht="15.75" customHeight="1">
      <c r="A53" s="6" t="str">
        <f>IFERROR(__xludf.DUMMYFUNCTION("""COMPUTED_VALUE"""),"https://www.gartner.com/reviews/market/incrementality-measurement-platforms")</f>
        <v>https://www.gartner.com/reviews/market/incrementality-measurement-platforms</v>
      </c>
      <c r="B53" s="7" t="str">
        <f>IFERROR(__xludf.DUMMYFUNCTION("""COMPUTED_VALUE"""),"Best Incrementality Measurement Platforms Reviews 2026 \| Gartner Peer Insights")</f>
        <v>Best Incrementality Measurement Platforms Reviews 2026 \| Gartner Peer Insights</v>
      </c>
      <c r="C53" s="6" t="str">
        <f>IFERROR(__xludf.DUMMYFUNCTION("""COMPUTED_VALUE"""),"gartner.com")</f>
        <v>gartner.com</v>
      </c>
      <c r="D53" s="7" t="str">
        <f>IFERROR(__xludf.DUMMYFUNCTION("""COMPUTED_VALUE"""),"CATEGORY_PAGE")</f>
        <v>CATEGORY_PAGE</v>
      </c>
      <c r="E53" s="7" t="str">
        <f>IFERROR(__xludf.DUMMYFUNCTION("""COMPUTED_VALUE"""),"CORPORATE")</f>
        <v>CORPORATE</v>
      </c>
      <c r="F53" s="7" t="str">
        <f>IFERROR(__xludf.DUMMYFUNCTION("""COMPUTED_VALUE"""),"Category Page")</f>
        <v>Category Page</v>
      </c>
      <c r="G53" s="7" t="b">
        <f>IFERROR(__xludf.DUMMYFUNCTION("""COMPUTED_VALUE"""),FALSE)</f>
        <v>0</v>
      </c>
      <c r="H53" s="7" t="str">
        <f>IFERROR(__xludf.DUMMYFUNCTION("""COMPUTED_VALUE"""),"Haus, Measured, Lifesight, Workmagic")</f>
        <v>Haus, Measured, Lifesight, Workmagic</v>
      </c>
      <c r="I53" s="7">
        <f>IFERROR(__xludf.DUMMYFUNCTION("""COMPUTED_VALUE"""),6.0)</f>
        <v>6</v>
      </c>
      <c r="J53" s="7">
        <f>IFERROR(__xludf.DUMMYFUNCTION("""COMPUTED_VALUE"""),0.01)</f>
        <v>0.01</v>
      </c>
      <c r="K53" s="7">
        <f>IFERROR(__xludf.DUMMYFUNCTION("""COMPUTED_VALUE"""),0.83)</f>
        <v>0.83</v>
      </c>
    </row>
    <row r="54" ht="15.75" customHeight="1">
      <c r="A54" s="6" t="str">
        <f>IFERROR(__xludf.DUMMYFUNCTION("""COMPUTED_VALUE"""),"https://inmarketingwetrust.com.au/platforms/")</f>
        <v>https://inmarketingwetrust.com.au/platforms/</v>
      </c>
      <c r="B54" s="7" t="str">
        <f>IFERROR(__xludf.DUMMYFUNCTION("""COMPUTED_VALUE"""),"Marketing Platforms &amp;amp; Solutions - In Marketing We Trust")</f>
        <v>Marketing Platforms &amp;amp; Solutions - In Marketing We Trust</v>
      </c>
      <c r="C54" s="6" t="str">
        <f>IFERROR(__xludf.DUMMYFUNCTION("""COMPUTED_VALUE"""),"inmarketingwetrust.com.au")</f>
        <v>inmarketingwetrust.com.au</v>
      </c>
      <c r="D54" s="7" t="str">
        <f>IFERROR(__xludf.DUMMYFUNCTION("""COMPUTED_VALUE"""),"CATEGORY_PAGE")</f>
        <v>CATEGORY_PAGE</v>
      </c>
      <c r="E54" s="7" t="str">
        <f>IFERROR(__xludf.DUMMYFUNCTION("""COMPUTED_VALUE"""),"COMPETITOR")</f>
        <v>COMPETITOR</v>
      </c>
      <c r="F54" s="7" t="str">
        <f>IFERROR(__xludf.DUMMYFUNCTION("""COMPUTED_VALUE"""),"Category Page")</f>
        <v>Category Page</v>
      </c>
      <c r="G54" s="7" t="b">
        <f>IFERROR(__xludf.DUMMYFUNCTION("""COMPUTED_VALUE"""),FALSE)</f>
        <v>0</v>
      </c>
      <c r="H54" s="7" t="str">
        <f>IFERROR(__xludf.DUMMYFUNCTION("""COMPUTED_VALUE"""),"In Marketing We Trust")</f>
        <v>In Marketing We Trust</v>
      </c>
      <c r="I54" s="7">
        <f>IFERROR(__xludf.DUMMYFUNCTION("""COMPUTED_VALUE"""),6.0)</f>
        <v>6</v>
      </c>
      <c r="J54" s="7">
        <f>IFERROR(__xludf.DUMMYFUNCTION("""COMPUTED_VALUE"""),0.01)</f>
        <v>0.01</v>
      </c>
      <c r="K54" s="7">
        <f>IFERROR(__xludf.DUMMYFUNCTION("""COMPUTED_VALUE"""),1.0)</f>
        <v>1</v>
      </c>
    </row>
    <row r="55" ht="15.75" customHeight="1">
      <c r="A55" s="6" t="str">
        <f>IFERROR(__xludf.DUMMYFUNCTION("""COMPUTED_VALUE"""),"https://clutch.co/au/agencies/conversion-optimization")</f>
        <v>https://clutch.co/au/agencies/conversion-optimization</v>
      </c>
      <c r="B55" s="7" t="str">
        <f>IFERROR(__xludf.DUMMYFUNCTION("""COMPUTED_VALUE"""),"Top Conversion Rate Optimization Services in Australia - Jul 2026 Rankings \| Clutch.co")</f>
        <v>Top Conversion Rate Optimization Services in Australia - Jul 2026 Rankings \| Clutch.co</v>
      </c>
      <c r="C55" s="6" t="str">
        <f>IFERROR(__xludf.DUMMYFUNCTION("""COMPUTED_VALUE"""),"clutch.co")</f>
        <v>clutch.co</v>
      </c>
      <c r="D55" s="7" t="str">
        <f>IFERROR(__xludf.DUMMYFUNCTION("""COMPUTED_VALUE"""),"CATEGORY_PAGE")</f>
        <v>CATEGORY_PAGE</v>
      </c>
      <c r="E55" s="7" t="str">
        <f>IFERROR(__xludf.DUMMYFUNCTION("""COMPUTED_VALUE"""),"CORPORATE")</f>
        <v>CORPORATE</v>
      </c>
      <c r="F55" s="7" t="str">
        <f>IFERROR(__xludf.DUMMYFUNCTION("""COMPUTED_VALUE"""),"Category Page")</f>
        <v>Category Page</v>
      </c>
      <c r="G55" s="7" t="b">
        <f>IFERROR(__xludf.DUMMYFUNCTION("""COMPUTED_VALUE"""),FALSE)</f>
        <v>0</v>
      </c>
      <c r="H55" s="7" t="str">
        <f>IFERROR(__xludf.DUMMYFUNCTION("""COMPUTED_VALUE"""),"Human Digital, CUT THRU, Impressive, Huge, Reform Digital, ROI Growth Agency, RAW Studio, Digitxl")</f>
        <v>Human Digital, CUT THRU, Impressive, Huge, Reform Digital, ROI Growth Agency, RAW Studio, Digitxl</v>
      </c>
      <c r="I55" s="7">
        <f>IFERROR(__xludf.DUMMYFUNCTION("""COMPUTED_VALUE"""),5.0)</f>
        <v>5</v>
      </c>
      <c r="J55" s="7">
        <f>IFERROR(__xludf.DUMMYFUNCTION("""COMPUTED_VALUE"""),0.01)</f>
        <v>0.01</v>
      </c>
      <c r="K55" s="7">
        <f>IFERROR(__xludf.DUMMYFUNCTION("""COMPUTED_VALUE"""),0.2)</f>
        <v>0.2</v>
      </c>
    </row>
    <row r="56" ht="15.75" customHeight="1">
      <c r="A56" s="6" t="str">
        <f>IFERROR(__xludf.DUMMYFUNCTION("""COMPUTED_VALUE"""),"https://clutch.co/au/agencies/creative/sydney")</f>
        <v>https://clutch.co/au/agencies/creative/sydney</v>
      </c>
      <c r="B56" s="7" t="str">
        <f>IFERROR(__xludf.DUMMYFUNCTION("""COMPUTED_VALUE"""),"Top Creative Agencies in Sydney - Jul 2026 Rankings \| Clutch.co")</f>
        <v>Top Creative Agencies in Sydney - Jul 2026 Rankings \| Clutch.co</v>
      </c>
      <c r="C56" s="6" t="str">
        <f>IFERROR(__xludf.DUMMYFUNCTION("""COMPUTED_VALUE"""),"clutch.co")</f>
        <v>clutch.co</v>
      </c>
      <c r="D56" s="7" t="str">
        <f>IFERROR(__xludf.DUMMYFUNCTION("""COMPUTED_VALUE"""),"CATEGORY_PAGE")</f>
        <v>CATEGORY_PAGE</v>
      </c>
      <c r="E56" s="7" t="str">
        <f>IFERROR(__xludf.DUMMYFUNCTION("""COMPUTED_VALUE"""),"CORPORATE")</f>
        <v>CORPORATE</v>
      </c>
      <c r="F56" s="7" t="str">
        <f>IFERROR(__xludf.DUMMYFUNCTION("""COMPUTED_VALUE"""),"Category Page")</f>
        <v>Category Page</v>
      </c>
      <c r="G56" s="7" t="b">
        <f>IFERROR(__xludf.DUMMYFUNCTION("""COMPUTED_VALUE"""),FALSE)</f>
        <v>0</v>
      </c>
      <c r="H56" s="7" t="str">
        <f>IFERROR(__xludf.DUMMYFUNCTION("""COMPUTED_VALUE"""),"Chello, Human Digital, Impressive, Huge, Dentsu, BMF")</f>
        <v>Chello, Human Digital, Impressive, Huge, Dentsu, BMF</v>
      </c>
      <c r="I56" s="7">
        <f>IFERROR(__xludf.DUMMYFUNCTION("""COMPUTED_VALUE"""),5.0)</f>
        <v>5</v>
      </c>
      <c r="J56" s="7">
        <f>IFERROR(__xludf.DUMMYFUNCTION("""COMPUTED_VALUE"""),0.01)</f>
        <v>0.01</v>
      </c>
      <c r="K56" s="7">
        <f>IFERROR(__xludf.DUMMYFUNCTION("""COMPUTED_VALUE"""),0.0)</f>
        <v>0</v>
      </c>
    </row>
    <row r="57" ht="15.75" customHeight="1">
      <c r="A57" s="6" t="str">
        <f>IFERROR(__xludf.DUMMYFUNCTION("""COMPUTED_VALUE"""),"https://clutch.co/au/it-services/analytics")</f>
        <v>https://clutch.co/au/it-services/analytics</v>
      </c>
      <c r="B57" s="7" t="str">
        <f>IFERROR(__xludf.DUMMYFUNCTION("""COMPUTED_VALUE"""),"Top Big Data Analytics Companies in Australia - Jul 2026 Rankings | Clutch.co")</f>
        <v>Top Big Data Analytics Companies in Australia - Jul 2026 Rankings | Clutch.co</v>
      </c>
      <c r="C57" s="6" t="str">
        <f>IFERROR(__xludf.DUMMYFUNCTION("""COMPUTED_VALUE"""),"clutch.co")</f>
        <v>clutch.co</v>
      </c>
      <c r="D57" s="7" t="str">
        <f>IFERROR(__xludf.DUMMYFUNCTION("""COMPUTED_VALUE"""),"CATEGORY_PAGE")</f>
        <v>CATEGORY_PAGE</v>
      </c>
      <c r="E57" s="7" t="str">
        <f>IFERROR(__xludf.DUMMYFUNCTION("""COMPUTED_VALUE"""),"CORPORATE")</f>
        <v>CORPORATE</v>
      </c>
      <c r="F57" s="7" t="str">
        <f>IFERROR(__xludf.DUMMYFUNCTION("""COMPUTED_VALUE"""),"Category Page")</f>
        <v>Category Page</v>
      </c>
      <c r="G57" s="7" t="b">
        <f>IFERROR(__xludf.DUMMYFUNCTION("""COMPUTED_VALUE"""),FALSE)</f>
        <v>0</v>
      </c>
      <c r="H57" s="7" t="str">
        <f>IFERROR(__xludf.DUMMYFUNCTION("""COMPUTED_VALUE"""),"Impressive, Huge")</f>
        <v>Impressive, Huge</v>
      </c>
      <c r="I57" s="7">
        <f>IFERROR(__xludf.DUMMYFUNCTION("""COMPUTED_VALUE"""),5.0)</f>
        <v>5</v>
      </c>
      <c r="J57" s="7">
        <f>IFERROR(__xludf.DUMMYFUNCTION("""COMPUTED_VALUE"""),0.01)</f>
        <v>0.01</v>
      </c>
      <c r="K57" s="7">
        <f>IFERROR(__xludf.DUMMYFUNCTION("""COMPUTED_VALUE"""),1.2)</f>
        <v>1.2</v>
      </c>
    </row>
    <row r="58" ht="15.75" customHeight="1">
      <c r="A58" s="6" t="str">
        <f>IFERROR(__xludf.DUMMYFUNCTION("""COMPUTED_VALUE"""),"https://www.google.com.au/ads/publisher/partners/find-a-partner/")</f>
        <v>https://www.google.com.au/ads/publisher/partners/find-a-partner/</v>
      </c>
      <c r="B58" s="7" t="str">
        <f>IFERROR(__xludf.DUMMYFUNCTION("""COMPUTED_VALUE"""),"Publisher-Partner finden")</f>
        <v>Publisher-Partner finden</v>
      </c>
      <c r="C58" s="6" t="str">
        <f>IFERROR(__xludf.DUMMYFUNCTION("""COMPUTED_VALUE"""),"google.com.au")</f>
        <v>google.com.au</v>
      </c>
      <c r="D58" s="7" t="str">
        <f>IFERROR(__xludf.DUMMYFUNCTION("""COMPUTED_VALUE"""),"CATEGORY_PAGE")</f>
        <v>CATEGORY_PAGE</v>
      </c>
      <c r="E58" s="7" t="str">
        <f>IFERROR(__xludf.DUMMYFUNCTION("""COMPUTED_VALUE"""),"CORPORATE")</f>
        <v>CORPORATE</v>
      </c>
      <c r="F58" s="7" t="str">
        <f>IFERROR(__xludf.DUMMYFUNCTION("""COMPUTED_VALUE"""),"Category Page")</f>
        <v>Category Page</v>
      </c>
      <c r="G58" s="7" t="b">
        <f>IFERROR(__xludf.DUMMYFUNCTION("""COMPUTED_VALUE"""),FALSE)</f>
        <v>0</v>
      </c>
      <c r="H58" s="7"/>
      <c r="I58" s="7">
        <f>IFERROR(__xludf.DUMMYFUNCTION("""COMPUTED_VALUE"""),5.0)</f>
        <v>5</v>
      </c>
      <c r="J58" s="7">
        <f>IFERROR(__xludf.DUMMYFUNCTION("""COMPUTED_VALUE"""),0.01)</f>
        <v>0.01</v>
      </c>
      <c r="K58" s="7">
        <f>IFERROR(__xludf.DUMMYFUNCTION("""COMPUTED_VALUE"""),0.0)</f>
        <v>0</v>
      </c>
    </row>
    <row r="59" ht="15.75" customHeight="1">
      <c r="A59" s="6" t="str">
        <f>IFERROR(__xludf.DUMMYFUNCTION("""COMPUTED_VALUE"""),"https://www.marketingmonk.so/agency-directory/country/australia/service/performance-marketing")</f>
        <v>https://www.marketingmonk.so/agency-directory/country/australia/service/performance-marketing</v>
      </c>
      <c r="B59" s="7" t="str">
        <f>IFERROR(__xludf.DUMMYFUNCTION("""COMPUTED_VALUE"""),"Marketing Monk")</f>
        <v>Marketing Monk</v>
      </c>
      <c r="C59" s="6" t="str">
        <f>IFERROR(__xludf.DUMMYFUNCTION("""COMPUTED_VALUE"""),"marketingmonk.so")</f>
        <v>marketingmonk.so</v>
      </c>
      <c r="D59" s="7" t="str">
        <f>IFERROR(__xludf.DUMMYFUNCTION("""COMPUTED_VALUE"""),"CATEGORY_PAGE")</f>
        <v>CATEGORY_PAGE</v>
      </c>
      <c r="E59" s="7" t="str">
        <f>IFERROR(__xludf.DUMMYFUNCTION("""COMPUTED_VALUE"""),"OTHER")</f>
        <v>OTHER</v>
      </c>
      <c r="F59" s="7" t="str">
        <f>IFERROR(__xludf.DUMMYFUNCTION("""COMPUTED_VALUE"""),"Category Page")</f>
        <v>Category Page</v>
      </c>
      <c r="G59" s="7" t="b">
        <f>IFERROR(__xludf.DUMMYFUNCTION("""COMPUTED_VALUE"""),FALSE)</f>
        <v>0</v>
      </c>
      <c r="H59" s="7"/>
      <c r="I59" s="7">
        <f>IFERROR(__xludf.DUMMYFUNCTION("""COMPUTED_VALUE"""),5.0)</f>
        <v>5</v>
      </c>
      <c r="J59" s="7">
        <f>IFERROR(__xludf.DUMMYFUNCTION("""COMPUTED_VALUE"""),0.01)</f>
        <v>0.01</v>
      </c>
      <c r="K59" s="7">
        <f>IFERROR(__xludf.DUMMYFUNCTION("""COMPUTED_VALUE"""),0.6)</f>
        <v>0.6</v>
      </c>
    </row>
    <row r="60" ht="15.75" customHeight="1">
      <c r="A60" s="6" t="str">
        <f>IFERROR(__xludf.DUMMYFUNCTION("""COMPUTED_VALUE"""),"https://www.sortlist.com/s/paid-media/melbourne-au")</f>
        <v>https://www.sortlist.com/s/paid-media/melbourne-au</v>
      </c>
      <c r="B60" s="7" t="str">
        <f>IFERROR(__xludf.DUMMYFUNCTION("""COMPUTED_VALUE"""),"The 10 Best Paid Media Agencies in Melbourne - 2026 Reviews")</f>
        <v>The 10 Best Paid Media Agencies in Melbourne - 2026 Reviews</v>
      </c>
      <c r="C60" s="6" t="str">
        <f>IFERROR(__xludf.DUMMYFUNCTION("""COMPUTED_VALUE"""),"sortlist.com")</f>
        <v>sortlist.com</v>
      </c>
      <c r="D60" s="7" t="str">
        <f>IFERROR(__xludf.DUMMYFUNCTION("""COMPUTED_VALUE"""),"CATEGORY_PAGE")</f>
        <v>CATEGORY_PAGE</v>
      </c>
      <c r="E60" s="7" t="str">
        <f>IFERROR(__xludf.DUMMYFUNCTION("""COMPUTED_VALUE"""),"CORPORATE")</f>
        <v>CORPORATE</v>
      </c>
      <c r="F60" s="7" t="str">
        <f>IFERROR(__xludf.DUMMYFUNCTION("""COMPUTED_VALUE"""),"Category Page")</f>
        <v>Category Page</v>
      </c>
      <c r="G60" s="7" t="b">
        <f>IFERROR(__xludf.DUMMYFUNCTION("""COMPUTED_VALUE"""),FALSE)</f>
        <v>0</v>
      </c>
      <c r="H60" s="7" t="str">
        <f>IFERROR(__xludf.DUMMYFUNCTION("""COMPUTED_VALUE"""),"Measured, Earned Media, Clearwater Agency, Impressive, SIXGUN, Supple Digital, Momentum, Adcore Elite")</f>
        <v>Measured, Earned Media, Clearwater Agency, Impressive, SIXGUN, Supple Digital, Momentum, Adcore Elite</v>
      </c>
      <c r="I60" s="7">
        <f>IFERROR(__xludf.DUMMYFUNCTION("""COMPUTED_VALUE"""),5.0)</f>
        <v>5</v>
      </c>
      <c r="J60" s="7">
        <f>IFERROR(__xludf.DUMMYFUNCTION("""COMPUTED_VALUE"""),0.01)</f>
        <v>0.01</v>
      </c>
      <c r="K60" s="7">
        <f>IFERROR(__xludf.DUMMYFUNCTION("""COMPUTED_VALUE"""),0.0)</f>
        <v>0</v>
      </c>
    </row>
    <row r="61" ht="15.75" customHeight="1">
      <c r="A61" s="6" t="str">
        <f>IFERROR(__xludf.DUMMYFUNCTION("""COMPUTED_VALUE"""),"https://www.techguide.com.au/news/computers-news/the-best-ai-optimisation-agencies-in-australia/")</f>
        <v>https://www.techguide.com.au/news/computers-news/the-best-ai-optimisation-agencies-in-australia/</v>
      </c>
      <c r="B61" s="7" t="str">
        <f>IFERROR(__xludf.DUMMYFUNCTION("""COMPUTED_VALUE"""),"The Best AI Optimisation Agencies in Australia - Tech Guide")</f>
        <v>The Best AI Optimisation Agencies in Australia - Tech Guide</v>
      </c>
      <c r="C61" s="6" t="str">
        <f>IFERROR(__xludf.DUMMYFUNCTION("""COMPUTED_VALUE"""),"techguide.com.au")</f>
        <v>techguide.com.au</v>
      </c>
      <c r="D61" s="7" t="str">
        <f>IFERROR(__xludf.DUMMYFUNCTION("""COMPUTED_VALUE"""),"CATEGORY_PAGE")</f>
        <v>CATEGORY_PAGE</v>
      </c>
      <c r="E61" s="7" t="str">
        <f>IFERROR(__xludf.DUMMYFUNCTION("""COMPUTED_VALUE"""),"EDITORIAL")</f>
        <v>EDITORIAL</v>
      </c>
      <c r="F61" s="7" t="str">
        <f>IFERROR(__xludf.DUMMYFUNCTION("""COMPUTED_VALUE"""),"Category Page")</f>
        <v>Category Page</v>
      </c>
      <c r="G61" s="7" t="b">
        <f>IFERROR(__xludf.DUMMYFUNCTION("""COMPUTED_VALUE"""),FALSE)</f>
        <v>0</v>
      </c>
      <c r="H61" s="7" t="str">
        <f>IFERROR(__xludf.DUMMYFUNCTION("""COMPUTED_VALUE"""),"NP Digital Australia, Prosperity Media, Reef Digital Agency, Farsiight, Alpha Digital, SIXGUN, Zib Digital, Online Marketing Gurus")</f>
        <v>NP Digital Australia, Prosperity Media, Reef Digital Agency, Farsiight, Alpha Digital, SIXGUN, Zib Digital, Online Marketing Gurus</v>
      </c>
      <c r="I61" s="7">
        <f>IFERROR(__xludf.DUMMYFUNCTION("""COMPUTED_VALUE"""),5.0)</f>
        <v>5</v>
      </c>
      <c r="J61" s="7">
        <f>IFERROR(__xludf.DUMMYFUNCTION("""COMPUTED_VALUE"""),0.01)</f>
        <v>0.01</v>
      </c>
      <c r="K61" s="7">
        <f>IFERROR(__xludf.DUMMYFUNCTION("""COMPUTED_VALUE"""),0.4)</f>
        <v>0.4</v>
      </c>
    </row>
    <row r="62" ht="15.75" customHeight="1">
      <c r="A62" s="6" t="str">
        <f>IFERROR(__xludf.DUMMYFUNCTION("""COMPUTED_VALUE"""),"https://agencies.semrush.com/list/ppc/australia/")</f>
        <v>https://agencies.semrush.com/list/ppc/australia/</v>
      </c>
      <c r="B62" s="7" t="str">
        <f>IFERROR(__xludf.DUMMYFUNCTION("""COMPUTED_VALUE"""),"Best PPC Agencies in Australia 2026 | Semrush")</f>
        <v>Best PPC Agencies in Australia 2026 | Semrush</v>
      </c>
      <c r="C62" s="6" t="str">
        <f>IFERROR(__xludf.DUMMYFUNCTION("""COMPUTED_VALUE"""),"semrush.com")</f>
        <v>semrush.com</v>
      </c>
      <c r="D62" s="7" t="str">
        <f>IFERROR(__xludf.DUMMYFUNCTION("""COMPUTED_VALUE"""),"CATEGORY_PAGE")</f>
        <v>CATEGORY_PAGE</v>
      </c>
      <c r="E62" s="7" t="str">
        <f>IFERROR(__xludf.DUMMYFUNCTION("""COMPUTED_VALUE"""),"CORPORATE")</f>
        <v>CORPORATE</v>
      </c>
      <c r="F62" s="7" t="str">
        <f>IFERROR(__xludf.DUMMYFUNCTION("""COMPUTED_VALUE"""),"Category Page")</f>
        <v>Category Page</v>
      </c>
      <c r="G62" s="7" t="b">
        <f>IFERROR(__xludf.DUMMYFUNCTION("""COMPUTED_VALUE"""),FALSE)</f>
        <v>0</v>
      </c>
      <c r="H62" s="7"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I62" s="7">
        <f>IFERROR(__xludf.DUMMYFUNCTION("""COMPUTED_VALUE"""),4.0)</f>
        <v>4</v>
      </c>
      <c r="J62" s="7">
        <f>IFERROR(__xludf.DUMMYFUNCTION("""COMPUTED_VALUE"""),0.0)</f>
        <v>0</v>
      </c>
      <c r="K62" s="7">
        <f>IFERROR(__xludf.DUMMYFUNCTION("""COMPUTED_VALUE"""),0.0)</f>
        <v>0</v>
      </c>
    </row>
    <row r="63" ht="15.75" customHeight="1">
      <c r="A63" s="6" t="str">
        <f>IFERROR(__xludf.DUMMYFUNCTION("""COMPUTED_VALUE"""),"https://campaignbrief.com/category/agencies/")</f>
        <v>https://campaignbrief.com/category/agencies/</v>
      </c>
      <c r="B63" s="7" t="str">
        <f>IFERROR(__xludf.DUMMYFUNCTION("""COMPUTED_VALUE"""),"Agencies – Campaign Brief")</f>
        <v>Agencies – Campaign Brief</v>
      </c>
      <c r="C63" s="6" t="str">
        <f>IFERROR(__xludf.DUMMYFUNCTION("""COMPUTED_VALUE"""),"campaignbrief.com")</f>
        <v>campaignbrief.com</v>
      </c>
      <c r="D63" s="7" t="str">
        <f>IFERROR(__xludf.DUMMYFUNCTION("""COMPUTED_VALUE"""),"CATEGORY_PAGE")</f>
        <v>CATEGORY_PAGE</v>
      </c>
      <c r="E63" s="7" t="str">
        <f>IFERROR(__xludf.DUMMYFUNCTION("""COMPUTED_VALUE"""),"EDITORIAL")</f>
        <v>EDITORIAL</v>
      </c>
      <c r="F63" s="7" t="str">
        <f>IFERROR(__xludf.DUMMYFUNCTION("""COMPUTED_VALUE"""),"Category Page")</f>
        <v>Category Page</v>
      </c>
      <c r="G63" s="7" t="b">
        <f>IFERROR(__xludf.DUMMYFUNCTION("""COMPUTED_VALUE"""),FALSE)</f>
        <v>0</v>
      </c>
      <c r="H63" s="7" t="str">
        <f>IFERROR(__xludf.DUMMYFUNCTION("""COMPUTED_VALUE"""),"Clemenger BBDO, Momentum, Thinkerbell, Bear Meets Eagle On Fire, OMD, HERO, Saatchi &amp; Saatchi, Dentsu, EssenceMediacom, Howatson+Company, Luminary, Jaywing, BMF, Huge, PHD, VML, Click Click Media")</f>
        <v>Clemenger BBDO, Momentum, Thinkerbell, Bear Meets Eagle On Fire, OMD, HERO, Saatchi &amp; Saatchi, Dentsu, EssenceMediacom, Howatson+Company, Luminary, Jaywing, BMF, Huge, PHD, VML, Click Click Media</v>
      </c>
      <c r="I63" s="7">
        <f>IFERROR(__xludf.DUMMYFUNCTION("""COMPUTED_VALUE"""),4.0)</f>
        <v>4</v>
      </c>
      <c r="J63" s="7">
        <f>IFERROR(__xludf.DUMMYFUNCTION("""COMPUTED_VALUE"""),0.0)</f>
        <v>0</v>
      </c>
      <c r="K63" s="7">
        <f>IFERROR(__xludf.DUMMYFUNCTION("""COMPUTED_VALUE"""),1.0)</f>
        <v>1</v>
      </c>
    </row>
    <row r="64" ht="15.75" customHeight="1">
      <c r="A64" s="6" t="str">
        <f>IFERROR(__xludf.DUMMYFUNCTION("""COMPUTED_VALUE"""),"https://clutch.co/au/agencies/business-services-industry")</f>
        <v>https://clutch.co/au/agencies/business-services-industry</v>
      </c>
      <c r="B64" s="7" t="str">
        <f>IFERROR(__xludf.DUMMYFUNCTION("""COMPUTED_VALUE"""),"Top Advertising Agencies for B2B in Australia - Jul 2026 Rankings | Clutch.co")</f>
        <v>Top Advertising Agencies for B2B in Australia - Jul 2026 Rankings | Clutch.co</v>
      </c>
      <c r="C64" s="6" t="str">
        <f>IFERROR(__xludf.DUMMYFUNCTION("""COMPUTED_VALUE"""),"clutch.co")</f>
        <v>clutch.co</v>
      </c>
      <c r="D64" s="7" t="str">
        <f>IFERROR(__xludf.DUMMYFUNCTION("""COMPUTED_VALUE"""),"CATEGORY_PAGE")</f>
        <v>CATEGORY_PAGE</v>
      </c>
      <c r="E64" s="7" t="str">
        <f>IFERROR(__xludf.DUMMYFUNCTION("""COMPUTED_VALUE"""),"CORPORATE")</f>
        <v>CORPORATE</v>
      </c>
      <c r="F64" s="7" t="str">
        <f>IFERROR(__xludf.DUMMYFUNCTION("""COMPUTED_VALUE"""),"Category Page")</f>
        <v>Category Page</v>
      </c>
      <c r="G64" s="7" t="b">
        <f>IFERROR(__xludf.DUMMYFUNCTION("""COMPUTED_VALUE"""),FALSE)</f>
        <v>0</v>
      </c>
      <c r="H64" s="7" t="str">
        <f>IFERROR(__xludf.DUMMYFUNCTION("""COMPUTED_VALUE"""),"Version2, Impressive, Chello, Human Digital, Soup Agency, Farsiight, DNM Digital, Ninja Promo, Insil, First Page")</f>
        <v>Version2, Impressive, Chello, Human Digital, Soup Agency, Farsiight, DNM Digital, Ninja Promo, Insil, First Page</v>
      </c>
      <c r="I64" s="7">
        <f>IFERROR(__xludf.DUMMYFUNCTION("""COMPUTED_VALUE"""),4.0)</f>
        <v>4</v>
      </c>
      <c r="J64" s="7">
        <f>IFERROR(__xludf.DUMMYFUNCTION("""COMPUTED_VALUE"""),0.0)</f>
        <v>0</v>
      </c>
      <c r="K64" s="7">
        <f>IFERROR(__xludf.DUMMYFUNCTION("""COMPUTED_VALUE"""),0.0)</f>
        <v>0</v>
      </c>
    </row>
    <row r="65" ht="15.75" customHeight="1">
      <c r="A65" s="6" t="str">
        <f>IFERROR(__xludf.DUMMYFUNCTION("""COMPUTED_VALUE"""),"https://clutch.co/au/agencies/melbourne")</f>
        <v>https://clutch.co/au/agencies/melbourne</v>
      </c>
      <c r="B65" s="7" t="str">
        <f>IFERROR(__xludf.DUMMYFUNCTION("""COMPUTED_VALUE"""),"Top Advertising Agencies in Melbourne, Australia - Jul 2026 Rankings \| Clutch.co")</f>
        <v>Top Advertising Agencies in Melbourne, Australia - Jul 2026 Rankings \| Clutch.co</v>
      </c>
      <c r="C65" s="6" t="str">
        <f>IFERROR(__xludf.DUMMYFUNCTION("""COMPUTED_VALUE"""),"clutch.co")</f>
        <v>clutch.co</v>
      </c>
      <c r="D65" s="7" t="str">
        <f>IFERROR(__xludf.DUMMYFUNCTION("""COMPUTED_VALUE"""),"CATEGORY_PAGE")</f>
        <v>CATEGORY_PAGE</v>
      </c>
      <c r="E65" s="7" t="str">
        <f>IFERROR(__xludf.DUMMYFUNCTION("""COMPUTED_VALUE"""),"CORPORATE")</f>
        <v>CORPORATE</v>
      </c>
      <c r="F65" s="7" t="str">
        <f>IFERROR(__xludf.DUMMYFUNCTION("""COMPUTED_VALUE"""),"Category Page")</f>
        <v>Category Page</v>
      </c>
      <c r="G65" s="7" t="b">
        <f>IFERROR(__xludf.DUMMYFUNCTION("""COMPUTED_VALUE"""),FALSE)</f>
        <v>0</v>
      </c>
      <c r="H65" s="7" t="str">
        <f>IFERROR(__xludf.DUMMYFUNCTION("""COMPUTED_VALUE"""),"Version2, Impressive, Ninja Promo, WebSavvy")</f>
        <v>Version2, Impressive, Ninja Promo, WebSavvy</v>
      </c>
      <c r="I65" s="7">
        <f>IFERROR(__xludf.DUMMYFUNCTION("""COMPUTED_VALUE"""),4.0)</f>
        <v>4</v>
      </c>
      <c r="J65" s="7">
        <f>IFERROR(__xludf.DUMMYFUNCTION("""COMPUTED_VALUE"""),0.0)</f>
        <v>0</v>
      </c>
      <c r="K65" s="7">
        <f>IFERROR(__xludf.DUMMYFUNCTION("""COMPUTED_VALUE"""),0.0)</f>
        <v>0</v>
      </c>
    </row>
    <row r="66" ht="15.75" customHeight="1">
      <c r="A66" s="6" t="str">
        <f>IFERROR(__xludf.DUMMYFUNCTION("""COMPUTED_VALUE"""),"https://clutch.co/au/agencies/ppc%3Fpage%3D2")</f>
        <v>https://clutch.co/au/agencies/ppc%3Fpage%3D2</v>
      </c>
      <c r="B66" s="7" t="str">
        <f>IFERROR(__xludf.DUMMYFUNCTION("""COMPUTED_VALUE"""),"Top PPC Agencies in Australia - Jul 2026 Rankings | Clutch.co")</f>
        <v>Top PPC Agencies in Australia - Jul 2026 Rankings | Clutch.co</v>
      </c>
      <c r="C66" s="6" t="str">
        <f>IFERROR(__xludf.DUMMYFUNCTION("""COMPUTED_VALUE"""),"clutch.co")</f>
        <v>clutch.co</v>
      </c>
      <c r="D66" s="7" t="str">
        <f>IFERROR(__xludf.DUMMYFUNCTION("""COMPUTED_VALUE"""),"CATEGORY_PAGE")</f>
        <v>CATEGORY_PAGE</v>
      </c>
      <c r="E66" s="7" t="str">
        <f>IFERROR(__xludf.DUMMYFUNCTION("""COMPUTED_VALUE"""),"CORPORATE")</f>
        <v>CORPORATE</v>
      </c>
      <c r="F66" s="7" t="str">
        <f>IFERROR(__xludf.DUMMYFUNCTION("""COMPUTED_VALUE"""),"Category Page")</f>
        <v>Category Page</v>
      </c>
      <c r="G66" s="7" t="b">
        <f>IFERROR(__xludf.DUMMYFUNCTION("""COMPUTED_VALUE"""),FALSE)</f>
        <v>0</v>
      </c>
      <c r="H66" s="7" t="str">
        <f>IFERROR(__xludf.DUMMYFUNCTION("""COMPUTED_VALUE"""),"Soup Agency, Digital Nomads HQ, SIXGUN, Farsiight, Human Digital, Impressive, Intesols, MyWork, Salt &amp; Fuessel, Emote Digital, 80/20 Digital, Supple Digital, First Page, Alley Group, EvenDigit, Rocket Agency, Clearwater Agency, DNM Digital, Edge Marketing"&amp;", Megaphone, Paradox Marketing, Online Marketing Gurus, Omnicom Media Group, Marketix Digital")</f>
        <v>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v>
      </c>
      <c r="I66" s="7">
        <f>IFERROR(__xludf.DUMMYFUNCTION("""COMPUTED_VALUE"""),4.0)</f>
        <v>4</v>
      </c>
      <c r="J66" s="7">
        <f>IFERROR(__xludf.DUMMYFUNCTION("""COMPUTED_VALUE"""),0.0)</f>
        <v>0</v>
      </c>
      <c r="K66" s="7">
        <f>IFERROR(__xludf.DUMMYFUNCTION("""COMPUTED_VALUE"""),0.0)</f>
        <v>0</v>
      </c>
    </row>
    <row r="67" ht="15.75" customHeight="1">
      <c r="A67" s="6" t="str">
        <f>IFERROR(__xludf.DUMMYFUNCTION("""COMPUTED_VALUE"""),"https://clutch.co/au/agencies/ppc/sydney")</f>
        <v>https://clutch.co/au/agencies/ppc/sydney</v>
      </c>
      <c r="B67" s="7" t="str">
        <f>IFERROR(__xludf.DUMMYFUNCTION("""COMPUTED_VALUE"""),"Top PPC Agencies in Sydney - Jul 2026 Rankings \| Clutch.co")</f>
        <v>Top PPC Agencies in Sydney - Jul 2026 Rankings \| Clutch.co</v>
      </c>
      <c r="C67" s="6" t="str">
        <f>IFERROR(__xludf.DUMMYFUNCTION("""COMPUTED_VALUE"""),"clutch.co")</f>
        <v>clutch.co</v>
      </c>
      <c r="D67" s="7" t="str">
        <f>IFERROR(__xludf.DUMMYFUNCTION("""COMPUTED_VALUE"""),"CATEGORY_PAGE")</f>
        <v>CATEGORY_PAGE</v>
      </c>
      <c r="E67" s="7" t="str">
        <f>IFERROR(__xludf.DUMMYFUNCTION("""COMPUTED_VALUE"""),"CORPORATE")</f>
        <v>CORPORATE</v>
      </c>
      <c r="F67" s="7" t="str">
        <f>IFERROR(__xludf.DUMMYFUNCTION("""COMPUTED_VALUE"""),"Category Page")</f>
        <v>Category Page</v>
      </c>
      <c r="G67" s="7" t="b">
        <f>IFERROR(__xludf.DUMMYFUNCTION("""COMPUTED_VALUE"""),FALSE)</f>
        <v>0</v>
      </c>
      <c r="H67" s="7" t="str">
        <f>IFERROR(__xludf.DUMMYFUNCTION("""COMPUTED_VALUE"""),"Human Digital, Soup Agency, Supple Digital, Alley Group, Digital Nomads HQ, Rocket Agency, Impressive, Huge, DNM Digital, Megaphone, Online Marketing Gurus, Marketix Digital, First Page, Sparro, Insil, AdVisible")</f>
        <v>Human Digital, Soup Agency, Supple Digital, Alley Group, Digital Nomads HQ, Rocket Agency, Impressive, Huge, DNM Digital, Megaphone, Online Marketing Gurus, Marketix Digital, First Page, Sparro, Insil, AdVisible</v>
      </c>
      <c r="I67" s="7">
        <f>IFERROR(__xludf.DUMMYFUNCTION("""COMPUTED_VALUE"""),4.0)</f>
        <v>4</v>
      </c>
      <c r="J67" s="7">
        <f>IFERROR(__xludf.DUMMYFUNCTION("""COMPUTED_VALUE"""),0.0)</f>
        <v>0</v>
      </c>
      <c r="K67" s="7">
        <f>IFERROR(__xludf.DUMMYFUNCTION("""COMPUTED_VALUE"""),0.5)</f>
        <v>0.5</v>
      </c>
    </row>
    <row r="68" ht="15.75" customHeight="1">
      <c r="A68" s="6" t="str">
        <f>IFERROR(__xludf.DUMMYFUNCTION("""COMPUTED_VALUE"""),"https://ensun.io/search/ai-marketing/australia")</f>
        <v>https://ensun.io/search/ai-marketing/australia</v>
      </c>
      <c r="B68" s="7" t="str">
        <f>IFERROR(__xludf.DUMMYFUNCTION("""COMPUTED_VALUE"""),"Top 100 AI Marketing Companies in Australia (2026) \| ensun")</f>
        <v>Top 100 AI Marketing Companies in Australia (2026) \| ensun</v>
      </c>
      <c r="C68" s="6" t="str">
        <f>IFERROR(__xludf.DUMMYFUNCTION("""COMPUTED_VALUE"""),"ensun.io")</f>
        <v>ensun.io</v>
      </c>
      <c r="D68" s="7" t="str">
        <f>IFERROR(__xludf.DUMMYFUNCTION("""COMPUTED_VALUE"""),"CATEGORY_PAGE")</f>
        <v>CATEGORY_PAGE</v>
      </c>
      <c r="E68" s="7" t="str">
        <f>IFERROR(__xludf.DUMMYFUNCTION("""COMPUTED_VALUE"""),"OTHER")</f>
        <v>OTHER</v>
      </c>
      <c r="F68" s="7" t="str">
        <f>IFERROR(__xludf.DUMMYFUNCTION("""COMPUTED_VALUE"""),"Category Page")</f>
        <v>Category Page</v>
      </c>
      <c r="G68" s="7" t="b">
        <f>IFERROR(__xludf.DUMMYFUNCTION("""COMPUTED_VALUE"""),FALSE)</f>
        <v>0</v>
      </c>
      <c r="H68" s="7"/>
      <c r="I68" s="7">
        <f>IFERROR(__xludf.DUMMYFUNCTION("""COMPUTED_VALUE"""),4.0)</f>
        <v>4</v>
      </c>
      <c r="J68" s="7">
        <f>IFERROR(__xludf.DUMMYFUNCTION("""COMPUTED_VALUE"""),0.0)</f>
        <v>0</v>
      </c>
      <c r="K68" s="7">
        <f>IFERROR(__xludf.DUMMYFUNCTION("""COMPUTED_VALUE"""),0.0)</f>
        <v>0</v>
      </c>
    </row>
    <row r="69" ht="15.75" customHeight="1">
      <c r="A69" s="6" t="str">
        <f>IFERROR(__xludf.DUMMYFUNCTION("""COMPUTED_VALUE"""),"https://www.50pros.com/hire/digital-marketing/marketing-attribution")</f>
        <v>https://www.50pros.com/hire/digital-marketing/marketing-attribution</v>
      </c>
      <c r="B69" s="7" t="str">
        <f>IFERROR(__xludf.DUMMYFUNCTION("""COMPUTED_VALUE"""),"Top Marketing Attribution Agencies to Hire in June 2026")</f>
        <v>Top Marketing Attribution Agencies to Hire in June 2026</v>
      </c>
      <c r="C69" s="6" t="str">
        <f>IFERROR(__xludf.DUMMYFUNCTION("""COMPUTED_VALUE"""),"50pros.com")</f>
        <v>50pros.com</v>
      </c>
      <c r="D69" s="7" t="str">
        <f>IFERROR(__xludf.DUMMYFUNCTION("""COMPUTED_VALUE"""),"CATEGORY_PAGE")</f>
        <v>CATEGORY_PAGE</v>
      </c>
      <c r="E69" s="7" t="str">
        <f>IFERROR(__xludf.DUMMYFUNCTION("""COMPUTED_VALUE"""),"REFERENCE")</f>
        <v>REFERENCE</v>
      </c>
      <c r="F69" s="7" t="str">
        <f>IFERROR(__xludf.DUMMYFUNCTION("""COMPUTED_VALUE"""),"Category Page")</f>
        <v>Category Page</v>
      </c>
      <c r="G69" s="7" t="b">
        <f>IFERROR(__xludf.DUMMYFUNCTION("""COMPUTED_VALUE"""),FALSE)</f>
        <v>0</v>
      </c>
      <c r="H69" s="7" t="str">
        <f>IFERROR(__xludf.DUMMYFUNCTION("""COMPUTED_VALUE"""),"Huge")</f>
        <v>Huge</v>
      </c>
      <c r="I69" s="7">
        <f>IFERROR(__xludf.DUMMYFUNCTION("""COMPUTED_VALUE"""),3.0)</f>
        <v>3</v>
      </c>
      <c r="J69" s="7">
        <f>IFERROR(__xludf.DUMMYFUNCTION("""COMPUTED_VALUE"""),0.0)</f>
        <v>0</v>
      </c>
      <c r="K69" s="7">
        <f>IFERROR(__xludf.DUMMYFUNCTION("""COMPUTED_VALUE"""),0.33)</f>
        <v>0.33</v>
      </c>
    </row>
    <row r="70" ht="15.75" customHeight="1">
      <c r="A70" s="6" t="str">
        <f>IFERROR(__xludf.DUMMYFUNCTION("""COMPUTED_VALUE"""),"https://agencies.semrush.com/list/display-advertising/australia/enterprise-business/")</f>
        <v>https://agencies.semrush.com/list/display-advertising/australia/enterprise-business/</v>
      </c>
      <c r="B70" s="7" t="str">
        <f>IFERROR(__xludf.DUMMYFUNCTION("""COMPUTED_VALUE"""),"Best Display Ads Agencies for Enterprise Business in Australia 2026 | Semrush")</f>
        <v>Best Display Ads Agencies for Enterprise Business in Australia 2026 | Semrush</v>
      </c>
      <c r="C70" s="6" t="str">
        <f>IFERROR(__xludf.DUMMYFUNCTION("""COMPUTED_VALUE"""),"semrush.com")</f>
        <v>semrush.com</v>
      </c>
      <c r="D70" s="7" t="str">
        <f>IFERROR(__xludf.DUMMYFUNCTION("""COMPUTED_VALUE"""),"CATEGORY_PAGE")</f>
        <v>CATEGORY_PAGE</v>
      </c>
      <c r="E70" s="7" t="str">
        <f>IFERROR(__xludf.DUMMYFUNCTION("""COMPUTED_VALUE"""),"CORPORATE")</f>
        <v>CORPORATE</v>
      </c>
      <c r="F70" s="7" t="str">
        <f>IFERROR(__xludf.DUMMYFUNCTION("""COMPUTED_VALUE"""),"Category Page")</f>
        <v>Category Page</v>
      </c>
      <c r="G70" s="7" t="b">
        <f>IFERROR(__xludf.DUMMYFUNCTION("""COMPUTED_VALUE"""),FALSE)</f>
        <v>0</v>
      </c>
      <c r="H70" s="7"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70" s="7">
        <f>IFERROR(__xludf.DUMMYFUNCTION("""COMPUTED_VALUE"""),3.0)</f>
        <v>3</v>
      </c>
      <c r="J70" s="7">
        <f>IFERROR(__xludf.DUMMYFUNCTION("""COMPUTED_VALUE"""),0.0)</f>
        <v>0</v>
      </c>
      <c r="K70" s="7">
        <f>IFERROR(__xludf.DUMMYFUNCTION("""COMPUTED_VALUE"""),1.0)</f>
        <v>1</v>
      </c>
    </row>
    <row r="71" ht="15.75" customHeight="1">
      <c r="A71" s="6" t="str">
        <f>IFERROR(__xludf.DUMMYFUNCTION("""COMPUTED_VALUE"""),"https://agencies.semrush.com/list/ppc/arts-entertainment/australia/")</f>
        <v>https://agencies.semrush.com/list/ppc/arts-entertainment/australia/</v>
      </c>
      <c r="B71" s="7" t="str">
        <f>IFERROR(__xludf.DUMMYFUNCTION("""COMPUTED_VALUE"""),"Best Media &amp;amp; Entertainment PPC Agencies in Australia 2026 | Semrush")</f>
        <v>Best Media &amp;amp; Entertainment PPC Agencies in Australia 2026 | Semrush</v>
      </c>
      <c r="C71" s="6" t="str">
        <f>IFERROR(__xludf.DUMMYFUNCTION("""COMPUTED_VALUE"""),"semrush.com")</f>
        <v>semrush.com</v>
      </c>
      <c r="D71" s="7" t="str">
        <f>IFERROR(__xludf.DUMMYFUNCTION("""COMPUTED_VALUE"""),"CATEGORY_PAGE")</f>
        <v>CATEGORY_PAGE</v>
      </c>
      <c r="E71" s="7" t="str">
        <f>IFERROR(__xludf.DUMMYFUNCTION("""COMPUTED_VALUE"""),"CORPORATE")</f>
        <v>CORPORATE</v>
      </c>
      <c r="F71" s="7" t="str">
        <f>IFERROR(__xludf.DUMMYFUNCTION("""COMPUTED_VALUE"""),"Category Page")</f>
        <v>Category Page</v>
      </c>
      <c r="G71" s="7" t="b">
        <f>IFERROR(__xludf.DUMMYFUNCTION("""COMPUTED_VALUE"""),FALSE)</f>
        <v>0</v>
      </c>
      <c r="H71" s="7" t="str">
        <f>IFERROR(__xludf.DUMMYFUNCTION("""COMPUTED_VALUE"""),"Supple Digital, Soup Agency, First Page, Online Marketing Gurus, Omnicom Media Group, 80/20 Digital, Measured")</f>
        <v>Supple Digital, Soup Agency, First Page, Online Marketing Gurus, Omnicom Media Group, 80/20 Digital, Measured</v>
      </c>
      <c r="I71" s="7">
        <f>IFERROR(__xludf.DUMMYFUNCTION("""COMPUTED_VALUE"""),3.0)</f>
        <v>3</v>
      </c>
      <c r="J71" s="7">
        <f>IFERROR(__xludf.DUMMYFUNCTION("""COMPUTED_VALUE"""),0.0)</f>
        <v>0</v>
      </c>
      <c r="K71" s="7">
        <f>IFERROR(__xludf.DUMMYFUNCTION("""COMPUTED_VALUE"""),0.0)</f>
        <v>0</v>
      </c>
    </row>
    <row r="72" ht="15.75" customHeight="1">
      <c r="A72" s="6" t="str">
        <f>IFERROR(__xludf.DUMMYFUNCTION("""COMPUTED_VALUE"""),"https://clutch.co/au/agencies/social-media-marketing/tik-tok")</f>
        <v>https://clutch.co/au/agencies/social-media-marketing/tik-tok</v>
      </c>
      <c r="B72" s="7" t="str">
        <f>IFERROR(__xludf.DUMMYFUNCTION("""COMPUTED_VALUE"""),"Top TikTok Advertising Agencies in Australia - Jul 2026 Rankings | Clutch.co")</f>
        <v>Top TikTok Advertising Agencies in Australia - Jul 2026 Rankings | Clutch.co</v>
      </c>
      <c r="C72" s="6" t="str">
        <f>IFERROR(__xludf.DUMMYFUNCTION("""COMPUTED_VALUE"""),"clutch.co")</f>
        <v>clutch.co</v>
      </c>
      <c r="D72" s="7" t="str">
        <f>IFERROR(__xludf.DUMMYFUNCTION("""COMPUTED_VALUE"""),"CATEGORY_PAGE")</f>
        <v>CATEGORY_PAGE</v>
      </c>
      <c r="E72" s="7" t="str">
        <f>IFERROR(__xludf.DUMMYFUNCTION("""COMPUTED_VALUE"""),"CORPORATE")</f>
        <v>CORPORATE</v>
      </c>
      <c r="F72" s="7" t="str">
        <f>IFERROR(__xludf.DUMMYFUNCTION("""COMPUTED_VALUE"""),"Category Page")</f>
        <v>Category Page</v>
      </c>
      <c r="G72" s="7" t="b">
        <f>IFERROR(__xludf.DUMMYFUNCTION("""COMPUTED_VALUE"""),FALSE)</f>
        <v>0</v>
      </c>
      <c r="H72" s="7" t="str">
        <f>IFERROR(__xludf.DUMMYFUNCTION("""COMPUTED_VALUE"""),"Impressive, Digital Nomads HQ, Soup Agency, Emote Digital, Salt &amp; Fuessel, Edge Marketing, Megaphone, Paradox Marketing, Momentum, Bench Media, Reform Digital, Eight Clients")</f>
        <v>Impressive, Digital Nomads HQ, Soup Agency, Emote Digital, Salt &amp; Fuessel, Edge Marketing, Megaphone, Paradox Marketing, Momentum, Bench Media, Reform Digital, Eight Clients</v>
      </c>
      <c r="I72" s="7">
        <f>IFERROR(__xludf.DUMMYFUNCTION("""COMPUTED_VALUE"""),3.0)</f>
        <v>3</v>
      </c>
      <c r="J72" s="7">
        <f>IFERROR(__xludf.DUMMYFUNCTION("""COMPUTED_VALUE"""),0.0)</f>
        <v>0</v>
      </c>
      <c r="K72" s="7">
        <f>IFERROR(__xludf.DUMMYFUNCTION("""COMPUTED_VALUE"""),3.33)</f>
        <v>3.33</v>
      </c>
    </row>
    <row r="73" ht="15.75" customHeight="1">
      <c r="A73" s="6" t="str">
        <f>IFERROR(__xludf.DUMMYFUNCTION("""COMPUTED_VALUE"""),"https://getaiready.com.au/locations/sydney")</f>
        <v>https://getaiready.com.au/locations/sydney</v>
      </c>
      <c r="B73" s="7" t="str">
        <f>IFERROR(__xludf.DUMMYFUNCTION("""COMPUTED_VALUE"""),"AI Consulting Sydney | Databricks Partner NSW | Get AI Ready")</f>
        <v>AI Consulting Sydney | Databricks Partner NSW | Get AI Ready</v>
      </c>
      <c r="C73" s="6" t="str">
        <f>IFERROR(__xludf.DUMMYFUNCTION("""COMPUTED_VALUE"""),"getaiready.com.au")</f>
        <v>getaiready.com.au</v>
      </c>
      <c r="D73" s="7" t="str">
        <f>IFERROR(__xludf.DUMMYFUNCTION("""COMPUTED_VALUE"""),"CATEGORY_PAGE")</f>
        <v>CATEGORY_PAGE</v>
      </c>
      <c r="E73" s="7" t="str">
        <f>IFERROR(__xludf.DUMMYFUNCTION("""COMPUTED_VALUE"""),"CORPORATE")</f>
        <v>CORPORATE</v>
      </c>
      <c r="F73" s="7" t="str">
        <f>IFERROR(__xludf.DUMMYFUNCTION("""COMPUTED_VALUE"""),"Category Page")</f>
        <v>Category Page</v>
      </c>
      <c r="G73" s="7" t="b">
        <f>IFERROR(__xludf.DUMMYFUNCTION("""COMPUTED_VALUE"""),FALSE)</f>
        <v>0</v>
      </c>
      <c r="H73" s="7" t="str">
        <f>IFERROR(__xludf.DUMMYFUNCTION("""COMPUTED_VALUE"""),"Get AI Ready")</f>
        <v>Get AI Ready</v>
      </c>
      <c r="I73" s="7">
        <f>IFERROR(__xludf.DUMMYFUNCTION("""COMPUTED_VALUE"""),3.0)</f>
        <v>3</v>
      </c>
      <c r="J73" s="7">
        <f>IFERROR(__xludf.DUMMYFUNCTION("""COMPUTED_VALUE"""),0.0)</f>
        <v>0</v>
      </c>
      <c r="K73" s="7">
        <f>IFERROR(__xludf.DUMMYFUNCTION("""COMPUTED_VALUE"""),0.33)</f>
        <v>0.33</v>
      </c>
    </row>
    <row r="74" ht="15.75" customHeight="1">
      <c r="A74" s="6" t="str">
        <f>IFERROR(__xludf.DUMMYFUNCTION("""COMPUTED_VALUE"""),"https://www.goodfirms.co/advertising-companies/sydney")</f>
        <v>https://www.goodfirms.co/advertising-companies/sydney</v>
      </c>
      <c r="B74" s="7" t="str">
        <f>IFERROR(__xludf.DUMMYFUNCTION("""COMPUTED_VALUE"""),"Best Advertising Agencies in Sydney - 2026 Reviews | Goodfirms")</f>
        <v>Best Advertising Agencies in Sydney - 2026 Reviews | Goodfirms</v>
      </c>
      <c r="C74" s="6" t="str">
        <f>IFERROR(__xludf.DUMMYFUNCTION("""COMPUTED_VALUE"""),"goodfirms.co")</f>
        <v>goodfirms.co</v>
      </c>
      <c r="D74" s="7" t="str">
        <f>IFERROR(__xludf.DUMMYFUNCTION("""COMPUTED_VALUE"""),"CATEGORY_PAGE")</f>
        <v>CATEGORY_PAGE</v>
      </c>
      <c r="E74" s="7" t="str">
        <f>IFERROR(__xludf.DUMMYFUNCTION("""COMPUTED_VALUE"""),"UGC")</f>
        <v>UGC</v>
      </c>
      <c r="F74" s="7" t="str">
        <f>IFERROR(__xludf.DUMMYFUNCTION("""COMPUTED_VALUE"""),"Category Page")</f>
        <v>Category Page</v>
      </c>
      <c r="G74" s="7" t="b">
        <f>IFERROR(__xludf.DUMMYFUNCTION("""COMPUTED_VALUE"""),FALSE)</f>
        <v>0</v>
      </c>
      <c r="H74" s="7" t="str">
        <f>IFERROR(__xludf.DUMMYFUNCTION("""COMPUTED_VALUE"""),"CUT THRU, BMF, Bench Media, Chello, Edge Marketing")</f>
        <v>CUT THRU, BMF, Bench Media, Chello, Edge Marketing</v>
      </c>
      <c r="I74" s="7">
        <f>IFERROR(__xludf.DUMMYFUNCTION("""COMPUTED_VALUE"""),3.0)</f>
        <v>3</v>
      </c>
      <c r="J74" s="7">
        <f>IFERROR(__xludf.DUMMYFUNCTION("""COMPUTED_VALUE"""),0.0)</f>
        <v>0</v>
      </c>
      <c r="K74" s="7">
        <f>IFERROR(__xludf.DUMMYFUNCTION("""COMPUTED_VALUE"""),0.0)</f>
        <v>0</v>
      </c>
    </row>
    <row r="75" ht="15.75" customHeight="1">
      <c r="A75" s="6" t="str">
        <f>IFERROR(__xludf.DUMMYFUNCTION("""COMPUTED_VALUE"""),"https://www.google.co.uk/intl/en/ads/publisher/partners/find-a-partner/")</f>
        <v>https://www.google.co.uk/intl/en/ads/publisher/partners/find-a-partner/</v>
      </c>
      <c r="B75" s="7" t="str">
        <f>IFERROR(__xludf.DUMMYFUNCTION("""COMPUTED_VALUE"""),"Find a Publishing Partner")</f>
        <v>Find a Publishing Partner</v>
      </c>
      <c r="C75" s="6" t="str">
        <f>IFERROR(__xludf.DUMMYFUNCTION("""COMPUTED_VALUE"""),"google.co.uk")</f>
        <v>google.co.uk</v>
      </c>
      <c r="D75" s="7" t="str">
        <f>IFERROR(__xludf.DUMMYFUNCTION("""COMPUTED_VALUE"""),"CATEGORY_PAGE")</f>
        <v>CATEGORY_PAGE</v>
      </c>
      <c r="E75" s="7" t="str">
        <f>IFERROR(__xludf.DUMMYFUNCTION("""COMPUTED_VALUE"""),"CORPORATE")</f>
        <v>CORPORATE</v>
      </c>
      <c r="F75" s="7" t="str">
        <f>IFERROR(__xludf.DUMMYFUNCTION("""COMPUTED_VALUE"""),"Category Page")</f>
        <v>Category Page</v>
      </c>
      <c r="G75" s="7" t="b">
        <f>IFERROR(__xludf.DUMMYFUNCTION("""COMPUTED_VALUE"""),FALSE)</f>
        <v>0</v>
      </c>
      <c r="H75" s="7"/>
      <c r="I75" s="7">
        <f>IFERROR(__xludf.DUMMYFUNCTION("""COMPUTED_VALUE"""),3.0)</f>
        <v>3</v>
      </c>
      <c r="J75" s="7">
        <f>IFERROR(__xludf.DUMMYFUNCTION("""COMPUTED_VALUE"""),0.0)</f>
        <v>0</v>
      </c>
      <c r="K75" s="7">
        <f>IFERROR(__xludf.DUMMYFUNCTION("""COMPUTED_VALUE"""),0.0)</f>
        <v>0</v>
      </c>
    </row>
    <row r="76" ht="15.75" customHeight="1">
      <c r="A76" s="6" t="str">
        <f>IFERROR(__xludf.DUMMYFUNCTION("""COMPUTED_VALUE"""),"https://www.sortlist.com/s/data-driven-marketing/australia-au")</f>
        <v>https://www.sortlist.com/s/data-driven-marketing/australia-au</v>
      </c>
      <c r="B76" s="7" t="str">
        <f>IFERROR(__xludf.DUMMYFUNCTION("""COMPUTED_VALUE"""),"The 10 Best Data Driven Marketing Agencies in Australia - 2026 Reviews")</f>
        <v>The 10 Best Data Driven Marketing Agencies in Australia - 2026 Reviews</v>
      </c>
      <c r="C76" s="6" t="str">
        <f>IFERROR(__xludf.DUMMYFUNCTION("""COMPUTED_VALUE"""),"sortlist.com")</f>
        <v>sortlist.com</v>
      </c>
      <c r="D76" s="7" t="str">
        <f>IFERROR(__xludf.DUMMYFUNCTION("""COMPUTED_VALUE"""),"CATEGORY_PAGE")</f>
        <v>CATEGORY_PAGE</v>
      </c>
      <c r="E76" s="7" t="str">
        <f>IFERROR(__xludf.DUMMYFUNCTION("""COMPUTED_VALUE"""),"CORPORATE")</f>
        <v>CORPORATE</v>
      </c>
      <c r="F76" s="7" t="str">
        <f>IFERROR(__xludf.DUMMYFUNCTION("""COMPUTED_VALUE"""),"Category Page")</f>
        <v>Category Page</v>
      </c>
      <c r="G76" s="7" t="b">
        <f>IFERROR(__xludf.DUMMYFUNCTION("""COMPUTED_VALUE"""),FALSE)</f>
        <v>0</v>
      </c>
      <c r="H76" s="7" t="str">
        <f>IFERROR(__xludf.DUMMYFUNCTION("""COMPUTED_VALUE"""),"Measured, Earned Media, Clearwater Agency, SIXGUN, Soup Agency, HERO, Ninja Promo")</f>
        <v>Measured, Earned Media, Clearwater Agency, SIXGUN, Soup Agency, HERO, Ninja Promo</v>
      </c>
      <c r="I76" s="7">
        <f>IFERROR(__xludf.DUMMYFUNCTION("""COMPUTED_VALUE"""),3.0)</f>
        <v>3</v>
      </c>
      <c r="J76" s="7">
        <f>IFERROR(__xludf.DUMMYFUNCTION("""COMPUTED_VALUE"""),0.0)</f>
        <v>0</v>
      </c>
      <c r="K76" s="7">
        <f>IFERROR(__xludf.DUMMYFUNCTION("""COMPUTED_VALUE"""),0.0)</f>
        <v>0</v>
      </c>
    </row>
    <row r="77" ht="15.75" customHeight="1">
      <c r="A77" s="6" t="str">
        <f>IFERROR(__xludf.DUMMYFUNCTION("""COMPUTED_VALUE"""),"https://www.sortlist.com/s/paid-media/new-south-wales-nsw-au")</f>
        <v>https://www.sortlist.com/s/paid-media/new-south-wales-nsw-au</v>
      </c>
      <c r="B77" s="7" t="str">
        <f>IFERROR(__xludf.DUMMYFUNCTION("""COMPUTED_VALUE"""),"The 10 Best Paid Media Agencies in New South Wales - 2026 Reviews")</f>
        <v>The 10 Best Paid Media Agencies in New South Wales - 2026 Reviews</v>
      </c>
      <c r="C77" s="6" t="str">
        <f>IFERROR(__xludf.DUMMYFUNCTION("""COMPUTED_VALUE"""),"sortlist.com")</f>
        <v>sortlist.com</v>
      </c>
      <c r="D77" s="7" t="str">
        <f>IFERROR(__xludf.DUMMYFUNCTION("""COMPUTED_VALUE"""),"CATEGORY_PAGE")</f>
        <v>CATEGORY_PAGE</v>
      </c>
      <c r="E77" s="7" t="str">
        <f>IFERROR(__xludf.DUMMYFUNCTION("""COMPUTED_VALUE"""),"CORPORATE")</f>
        <v>CORPORATE</v>
      </c>
      <c r="F77" s="7" t="str">
        <f>IFERROR(__xludf.DUMMYFUNCTION("""COMPUTED_VALUE"""),"Category Page")</f>
        <v>Category Page</v>
      </c>
      <c r="G77" s="7" t="b">
        <f>IFERROR(__xludf.DUMMYFUNCTION("""COMPUTED_VALUE"""),FALSE)</f>
        <v>0</v>
      </c>
      <c r="H77" s="7" t="str">
        <f>IFERROR(__xludf.DUMMYFUNCTION("""COMPUTED_VALUE"""),"Impressive, Supple Digital, CUT THRU, Measured, Earned Media, Clearwater Agency, SIXGUN, Ninja Promo")</f>
        <v>Impressive, Supple Digital, CUT THRU, Measured, Earned Media, Clearwater Agency, SIXGUN, Ninja Promo</v>
      </c>
      <c r="I77" s="7">
        <f>IFERROR(__xludf.DUMMYFUNCTION("""COMPUTED_VALUE"""),3.0)</f>
        <v>3</v>
      </c>
      <c r="J77" s="7">
        <f>IFERROR(__xludf.DUMMYFUNCTION("""COMPUTED_VALUE"""),0.0)</f>
        <v>0</v>
      </c>
      <c r="K77" s="7">
        <f>IFERROR(__xludf.DUMMYFUNCTION("""COMPUTED_VALUE"""),0.0)</f>
        <v>0</v>
      </c>
    </row>
    <row r="78" ht="15.75" customHeight="1">
      <c r="A78" s="6" t="str">
        <f>IFERROR(__xludf.DUMMYFUNCTION("""COMPUTED_VALUE"""),"https://themanifest.com/au/digital-marketing/agencies")</f>
        <v>https://themanifest.com/au/digital-marketing/agencies</v>
      </c>
      <c r="B78" s="7" t="str">
        <f>IFERROR(__xludf.DUMMYFUNCTION("""COMPUTED_VALUE"""),"The Best Digital Marketing Companies in Australia - Jul 2026 | The Manifest")</f>
        <v>The Best Digital Marketing Companies in Australia - Jul 2026 | The Manifest</v>
      </c>
      <c r="C78" s="6" t="str">
        <f>IFERROR(__xludf.DUMMYFUNCTION("""COMPUTED_VALUE"""),"themanifest.com")</f>
        <v>themanifest.com</v>
      </c>
      <c r="D78" s="7" t="str">
        <f>IFERROR(__xludf.DUMMYFUNCTION("""COMPUTED_VALUE"""),"CATEGORY_PAGE")</f>
        <v>CATEGORY_PAGE</v>
      </c>
      <c r="E78" s="7" t="str">
        <f>IFERROR(__xludf.DUMMYFUNCTION("""COMPUTED_VALUE"""),"REFERENCE")</f>
        <v>REFERENCE</v>
      </c>
      <c r="F78" s="7" t="str">
        <f>IFERROR(__xludf.DUMMYFUNCTION("""COMPUTED_VALUE"""),"Category Page")</f>
        <v>Category Page</v>
      </c>
      <c r="G78" s="7" t="b">
        <f>IFERROR(__xludf.DUMMYFUNCTION("""COMPUTED_VALUE"""),FALSE)</f>
        <v>0</v>
      </c>
      <c r="H78" s="7" t="str">
        <f>IFERROR(__xludf.DUMMYFUNCTION("""COMPUTED_VALUE"""),"Digital Nomads HQ, SIXGUN, Megaphone, Paradox Marketing, Marketix Digital, eMarket Experts, Intesols, Soup Agency, Earned Media, Online Marketing Gurus, Rocket Agency, Human Digital, Emote Digital, Farsiight, 80/20 Digital, MyWork, Clearwater Agency, Supp"&amp;"le Digital, StudioHawk, EvenDigit, Alley Group")</f>
        <v>Digital Nomads HQ, SIXGUN, Megaphone, Paradox Marketing, Marketix Digital, eMarket Experts, Intesols, Soup Agency, Earned Media, Online Marketing Gurus, Rocket Agency, Human Digital, Emote Digital, Farsiight, 80/20 Digital, MyWork, Clearwater Agency, Supple Digital, StudioHawk, EvenDigit, Alley Group</v>
      </c>
      <c r="I78" s="7">
        <f>IFERROR(__xludf.DUMMYFUNCTION("""COMPUTED_VALUE"""),3.0)</f>
        <v>3</v>
      </c>
      <c r="J78" s="7">
        <f>IFERROR(__xludf.DUMMYFUNCTION("""COMPUTED_VALUE"""),0.0)</f>
        <v>0</v>
      </c>
      <c r="K78" s="7">
        <f>IFERROR(__xludf.DUMMYFUNCTION("""COMPUTED_VALUE"""),0.0)</f>
        <v>0</v>
      </c>
    </row>
    <row r="79" ht="15.75" customHeight="1">
      <c r="A79" s="6" t="str">
        <f>IFERROR(__xludf.DUMMYFUNCTION("""COMPUTED_VALUE"""),"https://upcity.com/au/creative")</f>
        <v>https://upcity.com/au/creative</v>
      </c>
      <c r="B79" s="7" t="str">
        <f>IFERROR(__xludf.DUMMYFUNCTION("""COMPUTED_VALUE"""),"Top 30 Creative Agencies in Australia - May 2025 Reviews")</f>
        <v>Top 30 Creative Agencies in Australia - May 2025 Reviews</v>
      </c>
      <c r="C79" s="6" t="str">
        <f>IFERROR(__xludf.DUMMYFUNCTION("""COMPUTED_VALUE"""),"upcity.com")</f>
        <v>upcity.com</v>
      </c>
      <c r="D79" s="7" t="str">
        <f>IFERROR(__xludf.DUMMYFUNCTION("""COMPUTED_VALUE"""),"CATEGORY_PAGE")</f>
        <v>CATEGORY_PAGE</v>
      </c>
      <c r="E79" s="7" t="str">
        <f>IFERROR(__xludf.DUMMYFUNCTION("""COMPUTED_VALUE"""),"CORPORATE")</f>
        <v>CORPORATE</v>
      </c>
      <c r="F79" s="7" t="str">
        <f>IFERROR(__xludf.DUMMYFUNCTION("""COMPUTED_VALUE"""),"Category Page")</f>
        <v>Category Page</v>
      </c>
      <c r="G79" s="7" t="b">
        <f>IFERROR(__xludf.DUMMYFUNCTION("""COMPUTED_VALUE"""),FALSE)</f>
        <v>0</v>
      </c>
      <c r="H79" s="7" t="str">
        <f>IFERROR(__xludf.DUMMYFUNCTION("""COMPUTED_VALUE"""),"Omnicom Media Group, Dentsu")</f>
        <v>Omnicom Media Group, Dentsu</v>
      </c>
      <c r="I79" s="7">
        <f>IFERROR(__xludf.DUMMYFUNCTION("""COMPUTED_VALUE"""),3.0)</f>
        <v>3</v>
      </c>
      <c r="J79" s="7">
        <f>IFERROR(__xludf.DUMMYFUNCTION("""COMPUTED_VALUE"""),0.0)</f>
        <v>0</v>
      </c>
      <c r="K79" s="7">
        <f>IFERROR(__xludf.DUMMYFUNCTION("""COMPUTED_VALUE"""),0.0)</f>
        <v>0</v>
      </c>
    </row>
    <row r="80" ht="15.75" customHeight="1">
      <c r="A80" s="6" t="str">
        <f>IFERROR(__xludf.DUMMYFUNCTION("""COMPUTED_VALUE"""),"https://agencies.semrush.com/list/advertising/melbourne/")</f>
        <v>https://agencies.semrush.com/list/advertising/melbourne/</v>
      </c>
      <c r="B80" s="7" t="str">
        <f>IFERROR(__xludf.DUMMYFUNCTION("""COMPUTED_VALUE"""),"Best Advertising Agencies in Melbourne 2026 | Semrush")</f>
        <v>Best Advertising Agencies in Melbourne 2026 | Semrush</v>
      </c>
      <c r="C80" s="6" t="str">
        <f>IFERROR(__xludf.DUMMYFUNCTION("""COMPUTED_VALUE"""),"semrush.com")</f>
        <v>semrush.com</v>
      </c>
      <c r="D80" s="7" t="str">
        <f>IFERROR(__xludf.DUMMYFUNCTION("""COMPUTED_VALUE"""),"CATEGORY_PAGE")</f>
        <v>CATEGORY_PAGE</v>
      </c>
      <c r="E80" s="7" t="str">
        <f>IFERROR(__xludf.DUMMYFUNCTION("""COMPUTED_VALUE"""),"CORPORATE")</f>
        <v>CORPORATE</v>
      </c>
      <c r="F80" s="7" t="str">
        <f>IFERROR(__xludf.DUMMYFUNCTION("""COMPUTED_VALUE"""),"Category Page")</f>
        <v>Category Page</v>
      </c>
      <c r="G80" s="7" t="b">
        <f>IFERROR(__xludf.DUMMYFUNCTION("""COMPUTED_VALUE"""),FALSE)</f>
        <v>0</v>
      </c>
      <c r="H80" s="7" t="str">
        <f>IFERROR(__xludf.DUMMYFUNCTION("""COMPUTED_VALUE"""),"Supple Digital, Soup Agency, First Page, Clearwater Agency, Measured, Earned Media, Impressive, Online Marketing Gurus, Omnicom Media Group, First Page Australia, 80/20 Digital, Salt &amp; Fuessel, Megaphone")</f>
        <v>Supple Digital, Soup Agency, First Page, Clearwater Agency, Measured, Earned Media, Impressive, Online Marketing Gurus, Omnicom Media Group, First Page Australia, 80/20 Digital, Salt &amp; Fuessel, Megaphone</v>
      </c>
      <c r="I80" s="7">
        <f>IFERROR(__xludf.DUMMYFUNCTION("""COMPUTED_VALUE"""),2.0)</f>
        <v>2</v>
      </c>
      <c r="J80" s="7">
        <f>IFERROR(__xludf.DUMMYFUNCTION("""COMPUTED_VALUE"""),0.0)</f>
        <v>0</v>
      </c>
      <c r="K80" s="7">
        <f>IFERROR(__xludf.DUMMYFUNCTION("""COMPUTED_VALUE"""),1.0)</f>
        <v>1</v>
      </c>
    </row>
    <row r="81" ht="15.75" customHeight="1">
      <c r="A81" s="6" t="str">
        <f>IFERROR(__xludf.DUMMYFUNCTION("""COMPUTED_VALUE"""),"https://agencies.semrush.com/list/analytics-data-science/melbourne/")</f>
        <v>https://agencies.semrush.com/list/analytics-data-science/melbourne/</v>
      </c>
      <c r="B81" s="7" t="str">
        <f>IFERROR(__xludf.DUMMYFUNCTION("""COMPUTED_VALUE"""),"Best Data Analytics Services in Melbourne 2026 | Semrush")</f>
        <v>Best Data Analytics Services in Melbourne 2026 | Semrush</v>
      </c>
      <c r="C81" s="6" t="str">
        <f>IFERROR(__xludf.DUMMYFUNCTION("""COMPUTED_VALUE"""),"semrush.com")</f>
        <v>semrush.com</v>
      </c>
      <c r="D81" s="7" t="str">
        <f>IFERROR(__xludf.DUMMYFUNCTION("""COMPUTED_VALUE"""),"CATEGORY_PAGE")</f>
        <v>CATEGORY_PAGE</v>
      </c>
      <c r="E81" s="7" t="str">
        <f>IFERROR(__xludf.DUMMYFUNCTION("""COMPUTED_VALUE"""),"CORPORATE")</f>
        <v>CORPORATE</v>
      </c>
      <c r="F81" s="7" t="str">
        <f>IFERROR(__xludf.DUMMYFUNCTION("""COMPUTED_VALUE"""),"Category Page")</f>
        <v>Category Page</v>
      </c>
      <c r="G81" s="7" t="b">
        <f>IFERROR(__xludf.DUMMYFUNCTION("""COMPUTED_VALUE"""),FALSE)</f>
        <v>0</v>
      </c>
      <c r="H81" s="7"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81" s="7">
        <f>IFERROR(__xludf.DUMMYFUNCTION("""COMPUTED_VALUE"""),2.0)</f>
        <v>2</v>
      </c>
      <c r="J81" s="7">
        <f>IFERROR(__xludf.DUMMYFUNCTION("""COMPUTED_VALUE"""),0.0)</f>
        <v>0</v>
      </c>
      <c r="K81" s="7">
        <f>IFERROR(__xludf.DUMMYFUNCTION("""COMPUTED_VALUE"""),0.0)</f>
        <v>0</v>
      </c>
    </row>
    <row r="82" ht="15.75" customHeight="1">
      <c r="A82" s="6" t="str">
        <f>IFERROR(__xludf.DUMMYFUNCTION("""COMPUTED_VALUE"""),"https://agencies.semrush.com/list/display-advertising/melbourne/small-business/")</f>
        <v>https://agencies.semrush.com/list/display-advertising/melbourne/small-business/</v>
      </c>
      <c r="B82" s="7" t="str">
        <f>IFERROR(__xludf.DUMMYFUNCTION("""COMPUTED_VALUE"""),"Best Display Ads Agencies for Small Business in Melbourne 2026 | Semrush")</f>
        <v>Best Display Ads Agencies for Small Business in Melbourne 2026 | Semrush</v>
      </c>
      <c r="C82" s="6" t="str">
        <f>IFERROR(__xludf.DUMMYFUNCTION("""COMPUTED_VALUE"""),"semrush.com")</f>
        <v>semrush.com</v>
      </c>
      <c r="D82" s="7" t="str">
        <f>IFERROR(__xludf.DUMMYFUNCTION("""COMPUTED_VALUE"""),"CATEGORY_PAGE")</f>
        <v>CATEGORY_PAGE</v>
      </c>
      <c r="E82" s="7" t="str">
        <f>IFERROR(__xludf.DUMMYFUNCTION("""COMPUTED_VALUE"""),"CORPORATE")</f>
        <v>CORPORATE</v>
      </c>
      <c r="F82" s="7" t="str">
        <f>IFERROR(__xludf.DUMMYFUNCTION("""COMPUTED_VALUE"""),"Category Page")</f>
        <v>Category Page</v>
      </c>
      <c r="G82" s="7" t="b">
        <f>IFERROR(__xludf.DUMMYFUNCTION("""COMPUTED_VALUE"""),FALSE)</f>
        <v>0</v>
      </c>
      <c r="H82" s="7" t="str">
        <f>IFERROR(__xludf.DUMMYFUNCTION("""COMPUTED_VALUE"""),"Soup Agency, First Page, Clearwater Agency, Measured, Earned Media, Impressive, Online Marketing Gurus, Omnicom Media Group, First Page Australia, 80/20 Digital, Megaphone, Salt &amp; Fuessel")</f>
        <v>Soup Agency, First Page, Clearwater Agency, Measured, Earned Media, Impressive, Online Marketing Gurus, Omnicom Media Group, First Page Australia, 80/20 Digital, Megaphone, Salt &amp; Fuessel</v>
      </c>
      <c r="I82" s="7">
        <f>IFERROR(__xludf.DUMMYFUNCTION("""COMPUTED_VALUE"""),2.0)</f>
        <v>2</v>
      </c>
      <c r="J82" s="7">
        <f>IFERROR(__xludf.DUMMYFUNCTION("""COMPUTED_VALUE"""),0.0)</f>
        <v>0</v>
      </c>
      <c r="K82" s="7">
        <f>IFERROR(__xludf.DUMMYFUNCTION("""COMPUTED_VALUE"""),1.0)</f>
        <v>1</v>
      </c>
    </row>
    <row r="83" ht="15.75" customHeight="1">
      <c r="A83" s="6" t="str">
        <f>IFERROR(__xludf.DUMMYFUNCTION("""COMPUTED_VALUE"""),"https://agencies.semrush.com/list/facebook-advertising/australia/")</f>
        <v>https://agencies.semrush.com/list/facebook-advertising/australia/</v>
      </c>
      <c r="B83" s="7" t="str">
        <f>IFERROR(__xludf.DUMMYFUNCTION("""COMPUTED_VALUE"""),"Best Facebook Advertising Agencies in Australia 2026 | Semrush")</f>
        <v>Best Facebook Advertising Agencies in Australia 2026 | Semrush</v>
      </c>
      <c r="C83" s="6" t="str">
        <f>IFERROR(__xludf.DUMMYFUNCTION("""COMPUTED_VALUE"""),"semrush.com")</f>
        <v>semrush.com</v>
      </c>
      <c r="D83" s="7" t="str">
        <f>IFERROR(__xludf.DUMMYFUNCTION("""COMPUTED_VALUE"""),"CATEGORY_PAGE")</f>
        <v>CATEGORY_PAGE</v>
      </c>
      <c r="E83" s="7" t="str">
        <f>IFERROR(__xludf.DUMMYFUNCTION("""COMPUTED_VALUE"""),"CORPORATE")</f>
        <v>CORPORATE</v>
      </c>
      <c r="F83" s="7" t="str">
        <f>IFERROR(__xludf.DUMMYFUNCTION("""COMPUTED_VALUE"""),"Category Page")</f>
        <v>Category Page</v>
      </c>
      <c r="G83" s="7" t="b">
        <f>IFERROR(__xludf.DUMMYFUNCTION("""COMPUTED_VALUE"""),FALSE)</f>
        <v>0</v>
      </c>
      <c r="H83" s="7"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I83" s="7">
        <f>IFERROR(__xludf.DUMMYFUNCTION("""COMPUTED_VALUE"""),2.0)</f>
        <v>2</v>
      </c>
      <c r="J83" s="7">
        <f>IFERROR(__xludf.DUMMYFUNCTION("""COMPUTED_VALUE"""),0.0)</f>
        <v>0</v>
      </c>
      <c r="K83" s="7">
        <f>IFERROR(__xludf.DUMMYFUNCTION("""COMPUTED_VALUE"""),0.0)</f>
        <v>0</v>
      </c>
    </row>
    <row r="84" ht="15.75" customHeight="1">
      <c r="A84" s="6" t="str">
        <f>IFERROR(__xludf.DUMMYFUNCTION("""COMPUTED_VALUE"""),"https://agencies.semrush.com/list/machine-learning-and-ai/sydney/")</f>
        <v>https://agencies.semrush.com/list/machine-learning-and-ai/sydney/</v>
      </c>
      <c r="B84" s="7" t="str">
        <f>IFERROR(__xludf.DUMMYFUNCTION("""COMPUTED_VALUE"""),"Best Machine Learning and AI Services in Sydney 2026 | Semrush")</f>
        <v>Best Machine Learning and AI Services in Sydney 2026 | Semrush</v>
      </c>
      <c r="C84" s="6" t="str">
        <f>IFERROR(__xludf.DUMMYFUNCTION("""COMPUTED_VALUE"""),"semrush.com")</f>
        <v>semrush.com</v>
      </c>
      <c r="D84" s="7" t="str">
        <f>IFERROR(__xludf.DUMMYFUNCTION("""COMPUTED_VALUE"""),"CATEGORY_PAGE")</f>
        <v>CATEGORY_PAGE</v>
      </c>
      <c r="E84" s="7" t="str">
        <f>IFERROR(__xludf.DUMMYFUNCTION("""COMPUTED_VALUE"""),"CORPORATE")</f>
        <v>CORPORATE</v>
      </c>
      <c r="F84" s="7" t="str">
        <f>IFERROR(__xludf.DUMMYFUNCTION("""COMPUTED_VALUE"""),"Category Page")</f>
        <v>Category Page</v>
      </c>
      <c r="G84" s="7" t="b">
        <f>IFERROR(__xludf.DUMMYFUNCTION("""COMPUTED_VALUE"""),FALSE)</f>
        <v>0</v>
      </c>
      <c r="H84" s="7" t="str">
        <f>IFERROR(__xludf.DUMMYFUNCTION("""COMPUTED_VALUE"""),"Soup Agency, Online Marketing Gurus, Omnicom Media Group, Earned Media, First Page, Clearwater Agency, Measured, Impressive, 80/20 Digital")</f>
        <v>Soup Agency, Online Marketing Gurus, Omnicom Media Group, Earned Media, First Page, Clearwater Agency, Measured, Impressive, 80/20 Digital</v>
      </c>
      <c r="I84" s="7">
        <f>IFERROR(__xludf.DUMMYFUNCTION("""COMPUTED_VALUE"""),2.0)</f>
        <v>2</v>
      </c>
      <c r="J84" s="7">
        <f>IFERROR(__xludf.DUMMYFUNCTION("""COMPUTED_VALUE"""),0.0)</f>
        <v>0</v>
      </c>
      <c r="K84" s="7">
        <f>IFERROR(__xludf.DUMMYFUNCTION("""COMPUTED_VALUE"""),2.0)</f>
        <v>2</v>
      </c>
    </row>
    <row r="85" ht="15.75" customHeight="1">
      <c r="A85" s="6" t="str">
        <f>IFERROR(__xludf.DUMMYFUNCTION("""COMPUTED_VALUE"""),"https://www.bcg.com/capabilities/artificial-intelligence")</f>
        <v>https://www.bcg.com/capabilities/artificial-intelligence</v>
      </c>
      <c r="B85" s="7" t="str">
        <f>IFERROR(__xludf.DUMMYFUNCTION("""COMPUTED_VALUE"""),"AI @ Scale | AI Consulting and Strategy | BCG")</f>
        <v>AI @ Scale | AI Consulting and Strategy | BCG</v>
      </c>
      <c r="C85" s="6" t="str">
        <f>IFERROR(__xludf.DUMMYFUNCTION("""COMPUTED_VALUE"""),"bcg.com")</f>
        <v>bcg.com</v>
      </c>
      <c r="D85" s="7" t="str">
        <f>IFERROR(__xludf.DUMMYFUNCTION("""COMPUTED_VALUE"""),"CATEGORY_PAGE")</f>
        <v>CATEGORY_PAGE</v>
      </c>
      <c r="E85" s="7" t="str">
        <f>IFERROR(__xludf.DUMMYFUNCTION("""COMPUTED_VALUE"""),"CORPORATE")</f>
        <v>CORPORATE</v>
      </c>
      <c r="F85" s="7" t="str">
        <f>IFERROR(__xludf.DUMMYFUNCTION("""COMPUTED_VALUE"""),"Category Page")</f>
        <v>Category Page</v>
      </c>
      <c r="G85" s="7" t="b">
        <f>IFERROR(__xludf.DUMMYFUNCTION("""COMPUTED_VALUE"""),FALSE)</f>
        <v>0</v>
      </c>
      <c r="H85" s="7"/>
      <c r="I85" s="7">
        <f>IFERROR(__xludf.DUMMYFUNCTION("""COMPUTED_VALUE"""),2.0)</f>
        <v>2</v>
      </c>
      <c r="J85" s="7">
        <f>IFERROR(__xludf.DUMMYFUNCTION("""COMPUTED_VALUE"""),0.0)</f>
        <v>0</v>
      </c>
      <c r="K85" s="7">
        <f>IFERROR(__xludf.DUMMYFUNCTION("""COMPUTED_VALUE"""),1.0)</f>
        <v>1</v>
      </c>
    </row>
    <row r="86" ht="15.75" customHeight="1">
      <c r="A86" s="6" t="str">
        <f>IFERROR(__xludf.DUMMYFUNCTION("""COMPUTED_VALUE"""),"https://clutch.co/au/agencies/creative/melbourne")</f>
        <v>https://clutch.co/au/agencies/creative/melbourne</v>
      </c>
      <c r="B86" s="7" t="str">
        <f>IFERROR(__xludf.DUMMYFUNCTION("""COMPUTED_VALUE"""),"Top Creative Agencies in Melbourne - Jul 2026 Rankings | Clutch.co")</f>
        <v>Top Creative Agencies in Melbourne - Jul 2026 Rankings | Clutch.co</v>
      </c>
      <c r="C86" s="6" t="str">
        <f>IFERROR(__xludf.DUMMYFUNCTION("""COMPUTED_VALUE"""),"clutch.co")</f>
        <v>clutch.co</v>
      </c>
      <c r="D86" s="7" t="str">
        <f>IFERROR(__xludf.DUMMYFUNCTION("""COMPUTED_VALUE"""),"CATEGORY_PAGE")</f>
        <v>CATEGORY_PAGE</v>
      </c>
      <c r="E86" s="7" t="str">
        <f>IFERROR(__xludf.DUMMYFUNCTION("""COMPUTED_VALUE"""),"CORPORATE")</f>
        <v>CORPORATE</v>
      </c>
      <c r="F86" s="7" t="str">
        <f>IFERROR(__xludf.DUMMYFUNCTION("""COMPUTED_VALUE"""),"Category Page")</f>
        <v>Category Page</v>
      </c>
      <c r="G86" s="7" t="b">
        <f>IFERROR(__xludf.DUMMYFUNCTION("""COMPUTED_VALUE"""),FALSE)</f>
        <v>0</v>
      </c>
      <c r="H86" s="7" t="str">
        <f>IFERROR(__xludf.DUMMYFUNCTION("""COMPUTED_VALUE"""),"Impressive")</f>
        <v>Impressive</v>
      </c>
      <c r="I86" s="7">
        <f>IFERROR(__xludf.DUMMYFUNCTION("""COMPUTED_VALUE"""),2.0)</f>
        <v>2</v>
      </c>
      <c r="J86" s="7">
        <f>IFERROR(__xludf.DUMMYFUNCTION("""COMPUTED_VALUE"""),0.0)</f>
        <v>0</v>
      </c>
      <c r="K86" s="7">
        <f>IFERROR(__xludf.DUMMYFUNCTION("""COMPUTED_VALUE"""),0.0)</f>
        <v>0</v>
      </c>
    </row>
    <row r="87" ht="15.75" customHeight="1">
      <c r="A87" s="6" t="str">
        <f>IFERROR(__xludf.DUMMYFUNCTION("""COMPUTED_VALUE"""),"https://clutch.co/au/agencies/market-research")</f>
        <v>https://clutch.co/au/agencies/market-research</v>
      </c>
      <c r="B87" s="7" t="str">
        <f>IFERROR(__xludf.DUMMYFUNCTION("""COMPUTED_VALUE"""),"Top Market Research Companies in Australia - Jul 2026 Rankings | Clutch.co")</f>
        <v>Top Market Research Companies in Australia - Jul 2026 Rankings | Clutch.co</v>
      </c>
      <c r="C87" s="6" t="str">
        <f>IFERROR(__xludf.DUMMYFUNCTION("""COMPUTED_VALUE"""),"clutch.co")</f>
        <v>clutch.co</v>
      </c>
      <c r="D87" s="7" t="str">
        <f>IFERROR(__xludf.DUMMYFUNCTION("""COMPUTED_VALUE"""),"CATEGORY_PAGE")</f>
        <v>CATEGORY_PAGE</v>
      </c>
      <c r="E87" s="7" t="str">
        <f>IFERROR(__xludf.DUMMYFUNCTION("""COMPUTED_VALUE"""),"CORPORATE")</f>
        <v>CORPORATE</v>
      </c>
      <c r="F87" s="7" t="str">
        <f>IFERROR(__xludf.DUMMYFUNCTION("""COMPUTED_VALUE"""),"Category Page")</f>
        <v>Category Page</v>
      </c>
      <c r="G87" s="7" t="b">
        <f>IFERROR(__xludf.DUMMYFUNCTION("""COMPUTED_VALUE"""),FALSE)</f>
        <v>0</v>
      </c>
      <c r="H87" s="7" t="str">
        <f>IFERROR(__xludf.DUMMYFUNCTION("""COMPUTED_VALUE"""),"Impressive, Huge, weDiscover")</f>
        <v>Impressive, Huge, weDiscover</v>
      </c>
      <c r="I87" s="7">
        <f>IFERROR(__xludf.DUMMYFUNCTION("""COMPUTED_VALUE"""),2.0)</f>
        <v>2</v>
      </c>
      <c r="J87" s="7">
        <f>IFERROR(__xludf.DUMMYFUNCTION("""COMPUTED_VALUE"""),0.0)</f>
        <v>0</v>
      </c>
      <c r="K87" s="7">
        <f>IFERROR(__xludf.DUMMYFUNCTION("""COMPUTED_VALUE"""),0.0)</f>
        <v>0</v>
      </c>
    </row>
    <row r="88" ht="15.75" customHeight="1">
      <c r="A88" s="6" t="str">
        <f>IFERROR(__xludf.DUMMYFUNCTION("""COMPUTED_VALUE"""),"https://clutch.co/au/agencies/social-media-marketing/facebook?page=9")</f>
        <v>https://clutch.co/au/agencies/social-media-marketing/facebook?page=9</v>
      </c>
      <c r="B88" s="7" t="str">
        <f>IFERROR(__xludf.DUMMYFUNCTION("""COMPUTED_VALUE"""),"Page 9 - Top Facebook Advertising Agencies in Australia - Jul 2026 Rankings | Clutch.co")</f>
        <v>Page 9 - Top Facebook Advertising Agencies in Australia - Jul 2026 Rankings | Clutch.co</v>
      </c>
      <c r="C88" s="6" t="str">
        <f>IFERROR(__xludf.DUMMYFUNCTION("""COMPUTED_VALUE"""),"clutch.co")</f>
        <v>clutch.co</v>
      </c>
      <c r="D88" s="7" t="str">
        <f>IFERROR(__xludf.DUMMYFUNCTION("""COMPUTED_VALUE"""),"CATEGORY_PAGE")</f>
        <v>CATEGORY_PAGE</v>
      </c>
      <c r="E88" s="7" t="str">
        <f>IFERROR(__xludf.DUMMYFUNCTION("""COMPUTED_VALUE"""),"CORPORATE")</f>
        <v>CORPORATE</v>
      </c>
      <c r="F88" s="7" t="str">
        <f>IFERROR(__xludf.DUMMYFUNCTION("""COMPUTED_VALUE"""),"Category Page")</f>
        <v>Category Page</v>
      </c>
      <c r="G88" s="7" t="b">
        <f>IFERROR(__xludf.DUMMYFUNCTION("""COMPUTED_VALUE"""),FALSE)</f>
        <v>0</v>
      </c>
      <c r="H88" s="7" t="str">
        <f>IFERROR(__xludf.DUMMYFUNCTION("""COMPUTED_VALUE"""),"Impressive, Digital Nomads HQ, SIXGUN, Megaphone, Intesols, Farsiight, Soup Agency, Online Marketing Gurus, Paradox Marketing, Emote Digital, Rocket Agency, Human Digital, Bench Media, Insil, Clearwater Agency, Salt &amp; Fuessel")</f>
        <v>Impressive, Digital Nomads HQ, SIXGUN, Megaphone, Intesols, Farsiight, Soup Agency, Online Marketing Gurus, Paradox Marketing, Emote Digital, Rocket Agency, Human Digital, Bench Media, Insil, Clearwater Agency, Salt &amp; Fuessel</v>
      </c>
      <c r="I88" s="7">
        <f>IFERROR(__xludf.DUMMYFUNCTION("""COMPUTED_VALUE"""),2.0)</f>
        <v>2</v>
      </c>
      <c r="J88" s="7">
        <f>IFERROR(__xludf.DUMMYFUNCTION("""COMPUTED_VALUE"""),0.0)</f>
        <v>0</v>
      </c>
      <c r="K88" s="7">
        <f>IFERROR(__xludf.DUMMYFUNCTION("""COMPUTED_VALUE"""),0.0)</f>
        <v>0</v>
      </c>
    </row>
    <row r="89" ht="15.75" customHeight="1">
      <c r="A89" s="6" t="str">
        <f>IFERROR(__xludf.DUMMYFUNCTION("""COMPUTED_VALUE"""),"https://clutch.co/au/seo-firms")</f>
        <v>https://clutch.co/au/seo-firms</v>
      </c>
      <c r="B89" s="7" t="str">
        <f>IFERROR(__xludf.DUMMYFUNCTION("""COMPUTED_VALUE"""),"Top SEO Companies in Australia - Jul 2026 Rankings | Clutch.co")</f>
        <v>Top SEO Companies in Australia - Jul 2026 Rankings | Clutch.co</v>
      </c>
      <c r="C89" s="6" t="str">
        <f>IFERROR(__xludf.DUMMYFUNCTION("""COMPUTED_VALUE"""),"clutch.co")</f>
        <v>clutch.co</v>
      </c>
      <c r="D89" s="7" t="str">
        <f>IFERROR(__xludf.DUMMYFUNCTION("""COMPUTED_VALUE"""),"CATEGORY_PAGE")</f>
        <v>CATEGORY_PAGE</v>
      </c>
      <c r="E89" s="7" t="str">
        <f>IFERROR(__xludf.DUMMYFUNCTION("""COMPUTED_VALUE"""),"CORPORATE")</f>
        <v>CORPORATE</v>
      </c>
      <c r="F89" s="7" t="str">
        <f>IFERROR(__xludf.DUMMYFUNCTION("""COMPUTED_VALUE"""),"Category Page")</f>
        <v>Category Page</v>
      </c>
      <c r="G89" s="7" t="b">
        <f>IFERROR(__xludf.DUMMYFUNCTION("""COMPUTED_VALUE"""),FALSE)</f>
        <v>0</v>
      </c>
      <c r="H89" s="7" t="str">
        <f>IFERROR(__xludf.DUMMYFUNCTION("""COMPUTED_VALUE"""),"SIXGUN, Clearwater Agency, First Page, Salt &amp; Fuessel, Digital Nomads HQ, Supple Digital, Impressive, StudioHawk, Intesols, Soup Agency, Luminary, Emote Digital, MyWork, 80/20 Digital, Alley Group, EvenDigit, Earned Media, Rocket Agency, DNM Digital, Firs"&amp;"t Page Australia, Edge Marketing, In Marketing We Trust, eMarket Experts")</f>
        <v>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v>
      </c>
      <c r="I89" s="7">
        <f>IFERROR(__xludf.DUMMYFUNCTION("""COMPUTED_VALUE"""),2.0)</f>
        <v>2</v>
      </c>
      <c r="J89" s="7">
        <f>IFERROR(__xludf.DUMMYFUNCTION("""COMPUTED_VALUE"""),0.0)</f>
        <v>0</v>
      </c>
      <c r="K89" s="7">
        <f>IFERROR(__xludf.DUMMYFUNCTION("""COMPUTED_VALUE"""),1.0)</f>
        <v>1</v>
      </c>
    </row>
    <row r="90" ht="15.75" customHeight="1">
      <c r="A90" s="6" t="str">
        <f>IFERROR(__xludf.DUMMYFUNCTION("""COMPUTED_VALUE"""),"https://www.designrush.com/agency/ad-agencies/au/melbourne")</f>
        <v>https://www.designrush.com/agency/ad-agencies/au/melbourne</v>
      </c>
      <c r="B90" s="7" t="str">
        <f>IFERROR(__xludf.DUMMYFUNCTION("""COMPUTED_VALUE"""),"Top Advertising Agencies in Melbourne | 2026")</f>
        <v>Top Advertising Agencies in Melbourne | 2026</v>
      </c>
      <c r="C90" s="6" t="str">
        <f>IFERROR(__xludf.DUMMYFUNCTION("""COMPUTED_VALUE"""),"designrush.com")</f>
        <v>designrush.com</v>
      </c>
      <c r="D90" s="7" t="str">
        <f>IFERROR(__xludf.DUMMYFUNCTION("""COMPUTED_VALUE"""),"CATEGORY_PAGE")</f>
        <v>CATEGORY_PAGE</v>
      </c>
      <c r="E90" s="7" t="str">
        <f>IFERROR(__xludf.DUMMYFUNCTION("""COMPUTED_VALUE"""),"CORPORATE")</f>
        <v>CORPORATE</v>
      </c>
      <c r="F90" s="7" t="str">
        <f>IFERROR(__xludf.DUMMYFUNCTION("""COMPUTED_VALUE"""),"Category Page")</f>
        <v>Category Page</v>
      </c>
      <c r="G90" s="7" t="b">
        <f>IFERROR(__xludf.DUMMYFUNCTION("""COMPUTED_VALUE"""),FALSE)</f>
        <v>0</v>
      </c>
      <c r="H90" s="7" t="str">
        <f>IFERROR(__xludf.DUMMYFUNCTION("""COMPUTED_VALUE"""),"Elephant In The Boardroom, Omnicom Media Group, First Page, First Page Australia, The Monkeys")</f>
        <v>Elephant In The Boardroom, Omnicom Media Group, First Page, First Page Australia, The Monkeys</v>
      </c>
      <c r="I90" s="7">
        <f>IFERROR(__xludf.DUMMYFUNCTION("""COMPUTED_VALUE"""),2.0)</f>
        <v>2</v>
      </c>
      <c r="J90" s="7">
        <f>IFERROR(__xludf.DUMMYFUNCTION("""COMPUTED_VALUE"""),0.0)</f>
        <v>0</v>
      </c>
      <c r="K90" s="7">
        <f>IFERROR(__xludf.DUMMYFUNCTION("""COMPUTED_VALUE"""),0.0)</f>
        <v>0</v>
      </c>
    </row>
    <row r="91" ht="15.75" customHeight="1">
      <c r="A91" s="6" t="str">
        <f>IFERROR(__xludf.DUMMYFUNCTION("""COMPUTED_VALUE"""),"https://www.designrush.com/agency/digital-marketing/analytics")</f>
        <v>https://www.designrush.com/agency/digital-marketing/analytics</v>
      </c>
      <c r="B91" s="7" t="str">
        <f>IFERROR(__xludf.DUMMYFUNCTION("""COMPUTED_VALUE"""),"Top Marketing Analytics Agencies in 2026")</f>
        <v>Top Marketing Analytics Agencies in 2026</v>
      </c>
      <c r="C91" s="6" t="str">
        <f>IFERROR(__xludf.DUMMYFUNCTION("""COMPUTED_VALUE"""),"designrush.com")</f>
        <v>designrush.com</v>
      </c>
      <c r="D91" s="7" t="str">
        <f>IFERROR(__xludf.DUMMYFUNCTION("""COMPUTED_VALUE"""),"CATEGORY_PAGE")</f>
        <v>CATEGORY_PAGE</v>
      </c>
      <c r="E91" s="7" t="str">
        <f>IFERROR(__xludf.DUMMYFUNCTION("""COMPUTED_VALUE"""),"CORPORATE")</f>
        <v>CORPORATE</v>
      </c>
      <c r="F91" s="7" t="str">
        <f>IFERROR(__xludf.DUMMYFUNCTION("""COMPUTED_VALUE"""),"Category Page")</f>
        <v>Category Page</v>
      </c>
      <c r="G91" s="7" t="b">
        <f>IFERROR(__xludf.DUMMYFUNCTION("""COMPUTED_VALUE"""),FALSE)</f>
        <v>0</v>
      </c>
      <c r="H91" s="7" t="str">
        <f>IFERROR(__xludf.DUMMYFUNCTION("""COMPUTED_VALUE"""),"Huge, Supple Digital, Deloitte, Intero Digital")</f>
        <v>Huge, Supple Digital, Deloitte, Intero Digital</v>
      </c>
      <c r="I91" s="7">
        <f>IFERROR(__xludf.DUMMYFUNCTION("""COMPUTED_VALUE"""),2.0)</f>
        <v>2</v>
      </c>
      <c r="J91" s="7">
        <f>IFERROR(__xludf.DUMMYFUNCTION("""COMPUTED_VALUE"""),0.0)</f>
        <v>0</v>
      </c>
      <c r="K91" s="7">
        <f>IFERROR(__xludf.DUMMYFUNCTION("""COMPUTED_VALUE"""),0.0)</f>
        <v>0</v>
      </c>
    </row>
    <row r="92" ht="15.75" customHeight="1">
      <c r="A92" s="6" t="str">
        <f>IFERROR(__xludf.DUMMYFUNCTION("""COMPUTED_VALUE"""),"https://www.designrush.com/agency/paid-media-pay-per-click/au/sydney")</f>
        <v>https://www.designrush.com/agency/paid-media-pay-per-click/au/sydney</v>
      </c>
      <c r="B92" s="7" t="str">
        <f>IFERROR(__xludf.DUMMYFUNCTION("""COMPUTED_VALUE"""),"Top PPC Agencies in Sydney | 2026")</f>
        <v>Top PPC Agencies in Sydney | 2026</v>
      </c>
      <c r="C92" s="6" t="str">
        <f>IFERROR(__xludf.DUMMYFUNCTION("""COMPUTED_VALUE"""),"designrush.com")</f>
        <v>designrush.com</v>
      </c>
      <c r="D92" s="7" t="str">
        <f>IFERROR(__xludf.DUMMYFUNCTION("""COMPUTED_VALUE"""),"CATEGORY_PAGE")</f>
        <v>CATEGORY_PAGE</v>
      </c>
      <c r="E92" s="7" t="str">
        <f>IFERROR(__xludf.DUMMYFUNCTION("""COMPUTED_VALUE"""),"CORPORATE")</f>
        <v>CORPORATE</v>
      </c>
      <c r="F92" s="7" t="str">
        <f>IFERROR(__xludf.DUMMYFUNCTION("""COMPUTED_VALUE"""),"Category Page")</f>
        <v>Category Page</v>
      </c>
      <c r="G92" s="7" t="b">
        <f>IFERROR(__xludf.DUMMYFUNCTION("""COMPUTED_VALUE"""),FALSE)</f>
        <v>0</v>
      </c>
      <c r="H92" s="7" t="str">
        <f>IFERROR(__xludf.DUMMYFUNCTION("""COMPUTED_VALUE"""),"Impressive, Supple Digital, Online Marketing Gurus, Soup Agency, Clearwater Agency, Human Digital")</f>
        <v>Impressive, Supple Digital, Online Marketing Gurus, Soup Agency, Clearwater Agency, Human Digital</v>
      </c>
      <c r="I92" s="7">
        <f>IFERROR(__xludf.DUMMYFUNCTION("""COMPUTED_VALUE"""),2.0)</f>
        <v>2</v>
      </c>
      <c r="J92" s="7">
        <f>IFERROR(__xludf.DUMMYFUNCTION("""COMPUTED_VALUE"""),0.0)</f>
        <v>0</v>
      </c>
      <c r="K92" s="7">
        <f>IFERROR(__xludf.DUMMYFUNCTION("""COMPUTED_VALUE"""),0.0)</f>
        <v>0</v>
      </c>
    </row>
    <row r="93" ht="15.75" customHeight="1">
      <c r="A93" s="6" t="str">
        <f>IFERROR(__xludf.DUMMYFUNCTION("""COMPUTED_VALUE"""),"https://ecosystem.hubspot.com/marketplace/solutions/paid-advertising/australia")</f>
        <v>https://ecosystem.hubspot.com/marketplace/solutions/paid-advertising/australia</v>
      </c>
      <c r="B93" s="7" t="str">
        <f>IFERROR(__xludf.DUMMYFUNCTION("""COMPUTED_VALUE"""),"The 228 Best Paid Advertising Agencies or Service Providers in Australia \| HubSpot")</f>
        <v>The 228 Best Paid Advertising Agencies or Service Providers in Australia \| HubSpot</v>
      </c>
      <c r="C93" s="6" t="str">
        <f>IFERROR(__xludf.DUMMYFUNCTION("""COMPUTED_VALUE"""),"hubspot.com")</f>
        <v>hubspot.com</v>
      </c>
      <c r="D93" s="7" t="str">
        <f>IFERROR(__xludf.DUMMYFUNCTION("""COMPUTED_VALUE"""),"CATEGORY_PAGE")</f>
        <v>CATEGORY_PAGE</v>
      </c>
      <c r="E93" s="7" t="str">
        <f>IFERROR(__xludf.DUMMYFUNCTION("""COMPUTED_VALUE"""),"CORPORATE")</f>
        <v>CORPORATE</v>
      </c>
      <c r="F93" s="7" t="str">
        <f>IFERROR(__xludf.DUMMYFUNCTION("""COMPUTED_VALUE"""),"Category Page")</f>
        <v>Category Page</v>
      </c>
      <c r="G93" s="7" t="b">
        <f>IFERROR(__xludf.DUMMYFUNCTION("""COMPUTED_VALUE"""),FALSE)</f>
        <v>0</v>
      </c>
      <c r="H93" s="7"/>
      <c r="I93" s="7">
        <f>IFERROR(__xludf.DUMMYFUNCTION("""COMPUTED_VALUE"""),2.0)</f>
        <v>2</v>
      </c>
      <c r="J93" s="7">
        <f>IFERROR(__xludf.DUMMYFUNCTION("""COMPUTED_VALUE"""),0.0)</f>
        <v>0</v>
      </c>
      <c r="K93" s="7">
        <f>IFERROR(__xludf.DUMMYFUNCTION("""COMPUTED_VALUE"""),0.0)</f>
        <v>0</v>
      </c>
    </row>
    <row r="94" ht="15.75" customHeight="1">
      <c r="A94" s="6" t="str">
        <f>IFERROR(__xludf.DUMMYFUNCTION("""COMPUTED_VALUE"""),"https://enterprisemarketingportal.google/work-with-partners")</f>
        <v>https://enterprisemarketingportal.google/work-with-partners</v>
      </c>
      <c r="B94" s="7" t="str">
        <f>IFERROR(__xludf.DUMMYFUNCTION("""COMPUTED_VALUE"""),"Work with Partners")</f>
        <v>Work with Partners</v>
      </c>
      <c r="C94" s="7" t="str">
        <f>IFERROR(__xludf.DUMMYFUNCTION("""COMPUTED_VALUE"""),"enterprisemarketingportal.google")</f>
        <v>enterprisemarketingportal.google</v>
      </c>
      <c r="D94" s="7" t="str">
        <f>IFERROR(__xludf.DUMMYFUNCTION("""COMPUTED_VALUE"""),"CATEGORY_PAGE")</f>
        <v>CATEGORY_PAGE</v>
      </c>
      <c r="E94" s="7" t="str">
        <f>IFERROR(__xludf.DUMMYFUNCTION("""COMPUTED_VALUE"""),"CORPORATE")</f>
        <v>CORPORATE</v>
      </c>
      <c r="F94" s="7" t="str">
        <f>IFERROR(__xludf.DUMMYFUNCTION("""COMPUTED_VALUE"""),"Category Page")</f>
        <v>Category Page</v>
      </c>
      <c r="G94" s="7" t="b">
        <f>IFERROR(__xludf.DUMMYFUNCTION("""COMPUTED_VALUE"""),FALSE)</f>
        <v>0</v>
      </c>
      <c r="H94" s="7"/>
      <c r="I94" s="7">
        <f>IFERROR(__xludf.DUMMYFUNCTION("""COMPUTED_VALUE"""),2.0)</f>
        <v>2</v>
      </c>
      <c r="J94" s="7">
        <f>IFERROR(__xludf.DUMMYFUNCTION("""COMPUTED_VALUE"""),0.0)</f>
        <v>0</v>
      </c>
      <c r="K94" s="7">
        <f>IFERROR(__xludf.DUMMYFUNCTION("""COMPUTED_VALUE"""),1.5)</f>
        <v>1.5</v>
      </c>
    </row>
    <row r="95" ht="15.75" customHeight="1">
      <c r="A95" s="6" t="str">
        <f>IFERROR(__xludf.DUMMYFUNCTION("""COMPUTED_VALUE"""),"https://www.goodfirms.co/directory/country/top-digital-marketing-companies/advertising-ppc/australia")</f>
        <v>https://www.goodfirms.co/directory/country/top-digital-marketing-companies/advertising-ppc/australia</v>
      </c>
      <c r="B95" s="7" t="str">
        <f>IFERROR(__xludf.DUMMYFUNCTION("""COMPUTED_VALUE"""),"Top PPC Agencies in Australia - 2026 Reviews | Goodfirms")</f>
        <v>Top PPC Agencies in Australia - 2026 Reviews | Goodfirms</v>
      </c>
      <c r="C95" s="6" t="str">
        <f>IFERROR(__xludf.DUMMYFUNCTION("""COMPUTED_VALUE"""),"goodfirms.co")</f>
        <v>goodfirms.co</v>
      </c>
      <c r="D95" s="7" t="str">
        <f>IFERROR(__xludf.DUMMYFUNCTION("""COMPUTED_VALUE"""),"CATEGORY_PAGE")</f>
        <v>CATEGORY_PAGE</v>
      </c>
      <c r="E95" s="7" t="str">
        <f>IFERROR(__xludf.DUMMYFUNCTION("""COMPUTED_VALUE"""),"UGC")</f>
        <v>UGC</v>
      </c>
      <c r="F95" s="7" t="str">
        <f>IFERROR(__xludf.DUMMYFUNCTION("""COMPUTED_VALUE"""),"Category Page")</f>
        <v>Category Page</v>
      </c>
      <c r="G95" s="7" t="b">
        <f>IFERROR(__xludf.DUMMYFUNCTION("""COMPUTED_VALUE"""),FALSE)</f>
        <v>0</v>
      </c>
      <c r="H95" s="7" t="str">
        <f>IFERROR(__xludf.DUMMYFUNCTION("""COMPUTED_VALUE"""),"Impressive, SIXGUN, eMarket Experts, Elephant In The Boardroom, Digital Nomads HQ, CUT THRU, Emote Digital")</f>
        <v>Impressive, SIXGUN, eMarket Experts, Elephant In The Boardroom, Digital Nomads HQ, CUT THRU, Emote Digital</v>
      </c>
      <c r="I95" s="7">
        <f>IFERROR(__xludf.DUMMYFUNCTION("""COMPUTED_VALUE"""),2.0)</f>
        <v>2</v>
      </c>
      <c r="J95" s="7">
        <f>IFERROR(__xludf.DUMMYFUNCTION("""COMPUTED_VALUE"""),0.0)</f>
        <v>0</v>
      </c>
      <c r="K95" s="7">
        <f>IFERROR(__xludf.DUMMYFUNCTION("""COMPUTED_VALUE"""),0.0)</f>
        <v>0</v>
      </c>
    </row>
    <row r="96" ht="15.75" customHeight="1">
      <c r="A96" s="6" t="str">
        <f>IFERROR(__xludf.DUMMYFUNCTION("""COMPUTED_VALUE"""),"https://marketingplatform.google.com/about/partners/?authuser=1")</f>
        <v>https://marketingplatform.google.com/about/partners/?authuser=1</v>
      </c>
      <c r="B96" s="7" t="str">
        <f>IFERROR(__xludf.DUMMYFUNCTION("""COMPUTED_VALUE"""),"Meet Your New Marketing Partner - Google Marketing Platform Partners")</f>
        <v>Meet Your New Marketing Partner - Google Marketing Platform Partners</v>
      </c>
      <c r="C96" s="6" t="str">
        <f>IFERROR(__xludf.DUMMYFUNCTION("""COMPUTED_VALUE"""),"google.com")</f>
        <v>google.com</v>
      </c>
      <c r="D96" s="7" t="str">
        <f>IFERROR(__xludf.DUMMYFUNCTION("""COMPUTED_VALUE"""),"CATEGORY_PAGE")</f>
        <v>CATEGORY_PAGE</v>
      </c>
      <c r="E96" s="7" t="str">
        <f>IFERROR(__xludf.DUMMYFUNCTION("""COMPUTED_VALUE"""),"OTHER")</f>
        <v>OTHER</v>
      </c>
      <c r="F96" s="7" t="str">
        <f>IFERROR(__xludf.DUMMYFUNCTION("""COMPUTED_VALUE"""),"Category Page")</f>
        <v>Category Page</v>
      </c>
      <c r="G96" s="7" t="b">
        <f>IFERROR(__xludf.DUMMYFUNCTION("""COMPUTED_VALUE"""),FALSE)</f>
        <v>0</v>
      </c>
      <c r="H96" s="7"/>
      <c r="I96" s="7">
        <f>IFERROR(__xludf.DUMMYFUNCTION("""COMPUTED_VALUE"""),2.0)</f>
        <v>2</v>
      </c>
      <c r="J96" s="7">
        <f>IFERROR(__xludf.DUMMYFUNCTION("""COMPUTED_VALUE"""),0.0)</f>
        <v>0</v>
      </c>
      <c r="K96" s="7">
        <f>IFERROR(__xludf.DUMMYFUNCTION("""COMPUTED_VALUE"""),0.0)</f>
        <v>0</v>
      </c>
    </row>
    <row r="97" ht="15.75" customHeight="1">
      <c r="A97" s="6" t="str">
        <f>IFERROR(__xludf.DUMMYFUNCTION("""COMPUTED_VALUE"""),"https://www.sortlist.com/s/artificial-intelligence/sydney-au")</f>
        <v>https://www.sortlist.com/s/artificial-intelligence/sydney-au</v>
      </c>
      <c r="B97" s="7" t="str">
        <f>IFERROR(__xludf.DUMMYFUNCTION("""COMPUTED_VALUE"""),"The 10 Best Artificial Intelligence Agencies in Sydney - 2026 Reviews")</f>
        <v>The 10 Best Artificial Intelligence Agencies in Sydney - 2026 Reviews</v>
      </c>
      <c r="C97" s="6" t="str">
        <f>IFERROR(__xludf.DUMMYFUNCTION("""COMPUTED_VALUE"""),"sortlist.com")</f>
        <v>sortlist.com</v>
      </c>
      <c r="D97" s="7" t="str">
        <f>IFERROR(__xludf.DUMMYFUNCTION("""COMPUTED_VALUE"""),"CATEGORY_PAGE")</f>
        <v>CATEGORY_PAGE</v>
      </c>
      <c r="E97" s="7" t="str">
        <f>IFERROR(__xludf.DUMMYFUNCTION("""COMPUTED_VALUE"""),"CORPORATE")</f>
        <v>CORPORATE</v>
      </c>
      <c r="F97" s="7" t="str">
        <f>IFERROR(__xludf.DUMMYFUNCTION("""COMPUTED_VALUE"""),"Category Page")</f>
        <v>Category Page</v>
      </c>
      <c r="G97" s="7" t="b">
        <f>IFERROR(__xludf.DUMMYFUNCTION("""COMPUTED_VALUE"""),FALSE)</f>
        <v>0</v>
      </c>
      <c r="H97" s="7" t="str">
        <f>IFERROR(__xludf.DUMMYFUNCTION("""COMPUTED_VALUE"""),"Team 400")</f>
        <v>Team 400</v>
      </c>
      <c r="I97" s="7">
        <f>IFERROR(__xludf.DUMMYFUNCTION("""COMPUTED_VALUE"""),2.0)</f>
        <v>2</v>
      </c>
      <c r="J97" s="7">
        <f>IFERROR(__xludf.DUMMYFUNCTION("""COMPUTED_VALUE"""),0.0)</f>
        <v>0</v>
      </c>
      <c r="K97" s="7">
        <f>IFERROR(__xludf.DUMMYFUNCTION("""COMPUTED_VALUE"""),0.0)</f>
        <v>0</v>
      </c>
    </row>
    <row r="98" ht="15.75" customHeight="1">
      <c r="A98" s="6" t="str">
        <f>IFERROR(__xludf.DUMMYFUNCTION("""COMPUTED_VALUE"""),"https://www.sortlist.com/s/sm-analytics/australia-au")</f>
        <v>https://www.sortlist.com/s/sm-analytics/australia-au</v>
      </c>
      <c r="B98" s="7" t="str">
        <f>IFERROR(__xludf.DUMMYFUNCTION("""COMPUTED_VALUE"""),"The 10 Best SM Analytics Consultants in Australia - 2026 Reviews")</f>
        <v>The 10 Best SM Analytics Consultants in Australia - 2026 Reviews</v>
      </c>
      <c r="C98" s="6" t="str">
        <f>IFERROR(__xludf.DUMMYFUNCTION("""COMPUTED_VALUE"""),"sortlist.com")</f>
        <v>sortlist.com</v>
      </c>
      <c r="D98" s="7" t="str">
        <f>IFERROR(__xludf.DUMMYFUNCTION("""COMPUTED_VALUE"""),"CATEGORY_PAGE")</f>
        <v>CATEGORY_PAGE</v>
      </c>
      <c r="E98" s="7" t="str">
        <f>IFERROR(__xludf.DUMMYFUNCTION("""COMPUTED_VALUE"""),"CORPORATE")</f>
        <v>CORPORATE</v>
      </c>
      <c r="F98" s="7" t="str">
        <f>IFERROR(__xludf.DUMMYFUNCTION("""COMPUTED_VALUE"""),"Category Page")</f>
        <v>Category Page</v>
      </c>
      <c r="G98" s="7" t="b">
        <f>IFERROR(__xludf.DUMMYFUNCTION("""COMPUTED_VALUE"""),FALSE)</f>
        <v>0</v>
      </c>
      <c r="H98" s="7" t="str">
        <f>IFERROR(__xludf.DUMMYFUNCTION("""COMPUTED_VALUE"""),"Measured, Earned Media, Clearwater Agency, SIXGUN, Impressive, Digital Nomads HQ")</f>
        <v>Measured, Earned Media, Clearwater Agency, SIXGUN, Impressive, Digital Nomads HQ</v>
      </c>
      <c r="I98" s="7">
        <f>IFERROR(__xludf.DUMMYFUNCTION("""COMPUTED_VALUE"""),2.0)</f>
        <v>2</v>
      </c>
      <c r="J98" s="7">
        <f>IFERROR(__xludf.DUMMYFUNCTION("""COMPUTED_VALUE"""),0.0)</f>
        <v>0</v>
      </c>
      <c r="K98" s="7">
        <f>IFERROR(__xludf.DUMMYFUNCTION("""COMPUTED_VALUE"""),0.0)</f>
        <v>0</v>
      </c>
    </row>
    <row r="99" ht="15.75" customHeight="1">
      <c r="A99" s="6" t="str">
        <f>IFERROR(__xludf.DUMMYFUNCTION("""COMPUTED_VALUE"""),"https://www.thehero.co/work")</f>
        <v>https://www.thehero.co/work</v>
      </c>
      <c r="B99" s="7" t="str">
        <f>IFERROR(__xludf.DUMMYFUNCTION("""COMPUTED_VALUE"""),"Award-winning Creative Campaigns For Real-World Results | AI-Driven Advertising Creativity &amp;amp; Tech")</f>
        <v>Award-winning Creative Campaigns For Real-World Results | AI-Driven Advertising Creativity &amp;amp; Tech</v>
      </c>
      <c r="C99" s="6" t="str">
        <f>IFERROR(__xludf.DUMMYFUNCTION("""COMPUTED_VALUE"""),"thehero.co")</f>
        <v>thehero.co</v>
      </c>
      <c r="D99" s="7" t="str">
        <f>IFERROR(__xludf.DUMMYFUNCTION("""COMPUTED_VALUE"""),"CATEGORY_PAGE")</f>
        <v>CATEGORY_PAGE</v>
      </c>
      <c r="E99" s="7" t="str">
        <f>IFERROR(__xludf.DUMMYFUNCTION("""COMPUTED_VALUE"""),"CORPORATE")</f>
        <v>CORPORATE</v>
      </c>
      <c r="F99" s="7" t="str">
        <f>IFERROR(__xludf.DUMMYFUNCTION("""COMPUTED_VALUE"""),"Category Page")</f>
        <v>Category Page</v>
      </c>
      <c r="G99" s="7" t="b">
        <f>IFERROR(__xludf.DUMMYFUNCTION("""COMPUTED_VALUE"""),FALSE)</f>
        <v>0</v>
      </c>
      <c r="H99" s="7" t="str">
        <f>IFERROR(__xludf.DUMMYFUNCTION("""COMPUTED_VALUE"""),"HERO")</f>
        <v>HERO</v>
      </c>
      <c r="I99" s="7">
        <f>IFERROR(__xludf.DUMMYFUNCTION("""COMPUTED_VALUE"""),2.0)</f>
        <v>2</v>
      </c>
      <c r="J99" s="7">
        <f>IFERROR(__xludf.DUMMYFUNCTION("""COMPUTED_VALUE"""),0.0)</f>
        <v>0</v>
      </c>
      <c r="K99" s="7">
        <f>IFERROR(__xludf.DUMMYFUNCTION("""COMPUTED_VALUE"""),1.5)</f>
        <v>1.5</v>
      </c>
    </row>
    <row r="100" ht="15.75" customHeight="1">
      <c r="A100" s="6" t="str">
        <f>IFERROR(__xludf.DUMMYFUNCTION("""COMPUTED_VALUE"""),"https://www.tridant.com/data-analytics/")</f>
        <v>https://www.tridant.com/data-analytics/</v>
      </c>
      <c r="B100" s="7" t="str">
        <f>IFERROR(__xludf.DUMMYFUNCTION("""COMPUTED_VALUE"""),"Australia's Leading Data Analytics Company - Tridant")</f>
        <v>Australia's Leading Data Analytics Company - Tridant</v>
      </c>
      <c r="C100" s="6" t="str">
        <f>IFERROR(__xludf.DUMMYFUNCTION("""COMPUTED_VALUE"""),"tridant.com")</f>
        <v>tridant.com</v>
      </c>
      <c r="D100" s="7" t="str">
        <f>IFERROR(__xludf.DUMMYFUNCTION("""COMPUTED_VALUE"""),"CATEGORY_PAGE")</f>
        <v>CATEGORY_PAGE</v>
      </c>
      <c r="E100" s="7" t="str">
        <f>IFERROR(__xludf.DUMMYFUNCTION("""COMPUTED_VALUE"""),"CORPORATE")</f>
        <v>CORPORATE</v>
      </c>
      <c r="F100" s="7" t="str">
        <f>IFERROR(__xludf.DUMMYFUNCTION("""COMPUTED_VALUE"""),"Category Page")</f>
        <v>Category Page</v>
      </c>
      <c r="G100" s="7" t="b">
        <f>IFERROR(__xludf.DUMMYFUNCTION("""COMPUTED_VALUE"""),FALSE)</f>
        <v>0</v>
      </c>
      <c r="H100" s="7"/>
      <c r="I100" s="7">
        <f>IFERROR(__xludf.DUMMYFUNCTION("""COMPUTED_VALUE"""),2.0)</f>
        <v>2</v>
      </c>
      <c r="J100" s="7">
        <f>IFERROR(__xludf.DUMMYFUNCTION("""COMPUTED_VALUE"""),0.0)</f>
        <v>0</v>
      </c>
      <c r="K100" s="7">
        <f>IFERROR(__xludf.DUMMYFUNCTION("""COMPUTED_VALUE"""),1.0)</f>
        <v>1</v>
      </c>
    </row>
    <row r="101" ht="15.75" customHeight="1">
      <c r="A101" s="6" t="str">
        <f>IFERROR(__xludf.DUMMYFUNCTION("""COMPUTED_VALUE"""),"https://adma.com.au/resources/author/adma")</f>
        <v>https://adma.com.au/resources/author/adma</v>
      </c>
      <c r="B101" s="7" t="str">
        <f>IFERROR(__xludf.DUMMYFUNCTION("""COMPUTED_VALUE"""),"Resources | ADMA")</f>
        <v>Resources | ADMA</v>
      </c>
      <c r="C101" s="6" t="str">
        <f>IFERROR(__xludf.DUMMYFUNCTION("""COMPUTED_VALUE"""),"adma.com.au")</f>
        <v>adma.com.au</v>
      </c>
      <c r="D101" s="7" t="str">
        <f>IFERROR(__xludf.DUMMYFUNCTION("""COMPUTED_VALUE"""),"CATEGORY_PAGE")</f>
        <v>CATEGORY_PAGE</v>
      </c>
      <c r="E101" s="7" t="str">
        <f>IFERROR(__xludf.DUMMYFUNCTION("""COMPUTED_VALUE"""),"INSTITUTIONAL")</f>
        <v>INSTITUTIONAL</v>
      </c>
      <c r="F101" s="7" t="str">
        <f>IFERROR(__xludf.DUMMYFUNCTION("""COMPUTED_VALUE"""),"Category Page")</f>
        <v>Category Page</v>
      </c>
      <c r="G101" s="7" t="b">
        <f>IFERROR(__xludf.DUMMYFUNCTION("""COMPUTED_VALUE"""),FALSE)</f>
        <v>0</v>
      </c>
      <c r="H101" s="7" t="str">
        <f>IFERROR(__xludf.DUMMYFUNCTION("""COMPUTED_VALUE"""),"In Marketing We Trust, Deloitte, Deloitte Digital, Huge")</f>
        <v>In Marketing We Trust, Deloitte, Deloitte Digital, Huge</v>
      </c>
      <c r="I101" s="7">
        <f>IFERROR(__xludf.DUMMYFUNCTION("""COMPUTED_VALUE"""),1.0)</f>
        <v>1</v>
      </c>
      <c r="J101" s="7">
        <f>IFERROR(__xludf.DUMMYFUNCTION("""COMPUTED_VALUE"""),0.0)</f>
        <v>0</v>
      </c>
      <c r="K101" s="7">
        <f>IFERROR(__xludf.DUMMYFUNCTION("""COMPUTED_VALUE"""),1.0)</f>
        <v>1</v>
      </c>
    </row>
    <row r="102" ht="15.75" customHeight="1">
      <c r="A102" s="6" t="str">
        <f>IFERROR(__xludf.DUMMYFUNCTION("""COMPUTED_VALUE"""),"https://agencies.semrush.com/list/advertising/australia/mid-business/")</f>
        <v>https://agencies.semrush.com/list/advertising/australia/mid-business/</v>
      </c>
      <c r="B102" s="7" t="str">
        <f>IFERROR(__xludf.DUMMYFUNCTION("""COMPUTED_VALUE"""),"Best Advertising Agencies for Mid Business in Australia 2026 | Semrush")</f>
        <v>Best Advertising Agencies for Mid Business in Australia 2026 | Semrush</v>
      </c>
      <c r="C102" s="6" t="str">
        <f>IFERROR(__xludf.DUMMYFUNCTION("""COMPUTED_VALUE"""),"semrush.com")</f>
        <v>semrush.com</v>
      </c>
      <c r="D102" s="7" t="str">
        <f>IFERROR(__xludf.DUMMYFUNCTION("""COMPUTED_VALUE"""),"CATEGORY_PAGE")</f>
        <v>CATEGORY_PAGE</v>
      </c>
      <c r="E102" s="7" t="str">
        <f>IFERROR(__xludf.DUMMYFUNCTION("""COMPUTED_VALUE"""),"CORPORATE")</f>
        <v>CORPORATE</v>
      </c>
      <c r="F102" s="7" t="str">
        <f>IFERROR(__xludf.DUMMYFUNCTION("""COMPUTED_VALUE"""),"Category Page")</f>
        <v>Category Page</v>
      </c>
      <c r="G102" s="7" t="b">
        <f>IFERROR(__xludf.DUMMYFUNCTION("""COMPUTED_VALUE"""),FALSE)</f>
        <v>0</v>
      </c>
      <c r="H102" s="7" t="str">
        <f>IFERROR(__xludf.DUMMYFUNCTION("""COMPUTED_VALUE"""),"Edge Marketing, DNM Digital, Supple Digital, Soup Agency, Momentum, First Page, Clearwater Agency, Measured, Earned Media, Impressive, Online Marketing Gurus, Omnicom Media Group, Click Click Media, First Page Australia")</f>
        <v>Edge Marketing, DNM Digital, Supple Digital, Soup Agency, Momentum, First Page, Clearwater Agency, Measured, Earned Media, Impressive, Online Marketing Gurus, Omnicom Media Group, Click Click Media, First Page Australia</v>
      </c>
      <c r="I102" s="7">
        <f>IFERROR(__xludf.DUMMYFUNCTION("""COMPUTED_VALUE"""),1.0)</f>
        <v>1</v>
      </c>
      <c r="J102" s="7">
        <f>IFERROR(__xludf.DUMMYFUNCTION("""COMPUTED_VALUE"""),0.0)</f>
        <v>0</v>
      </c>
      <c r="K102" s="7">
        <f>IFERROR(__xludf.DUMMYFUNCTION("""COMPUTED_VALUE"""),1.0)</f>
        <v>1</v>
      </c>
    </row>
    <row r="103" ht="15.75" customHeight="1">
      <c r="A103" s="6" t="str">
        <f>IFERROR(__xludf.DUMMYFUNCTION("""COMPUTED_VALUE"""),"https://agencies.semrush.com/list/ai-optimization/australia/enterprise-business/")</f>
        <v>https://agencies.semrush.com/list/ai-optimization/australia/enterprise-business/</v>
      </c>
      <c r="B103" s="7" t="str">
        <f>IFERROR(__xludf.DUMMYFUNCTION("""COMPUTED_VALUE"""),"Best AI Search Optimization Agencies for Enterprise Business in Australia 2026 | Semrush")</f>
        <v>Best AI Search Optimization Agencies for Enterprise Business in Australia 2026 | Semrush</v>
      </c>
      <c r="C103" s="6" t="str">
        <f>IFERROR(__xludf.DUMMYFUNCTION("""COMPUTED_VALUE"""),"semrush.com")</f>
        <v>semrush.com</v>
      </c>
      <c r="D103" s="7" t="str">
        <f>IFERROR(__xludf.DUMMYFUNCTION("""COMPUTED_VALUE"""),"CATEGORY_PAGE")</f>
        <v>CATEGORY_PAGE</v>
      </c>
      <c r="E103" s="7" t="str">
        <f>IFERROR(__xludf.DUMMYFUNCTION("""COMPUTED_VALUE"""),"CORPORATE")</f>
        <v>CORPORATE</v>
      </c>
      <c r="F103" s="7" t="str">
        <f>IFERROR(__xludf.DUMMYFUNCTION("""COMPUTED_VALUE"""),"Category Page")</f>
        <v>Category Page</v>
      </c>
      <c r="G103" s="7" t="b">
        <f>IFERROR(__xludf.DUMMYFUNCTION("""COMPUTED_VALUE"""),FALSE)</f>
        <v>0</v>
      </c>
      <c r="H103" s="7" t="str">
        <f>IFERROR(__xludf.DUMMYFUNCTION("""COMPUTED_VALUE"""),"DNM Digital, First Page, Clearwater Agency, Measured, Earned Media, Online Marketing Gurus, Omnicom Media Group, Huge")</f>
        <v>DNM Digital, First Page, Clearwater Agency, Measured, Earned Media, Online Marketing Gurus, Omnicom Media Group, Huge</v>
      </c>
      <c r="I103" s="7">
        <f>IFERROR(__xludf.DUMMYFUNCTION("""COMPUTED_VALUE"""),1.0)</f>
        <v>1</v>
      </c>
      <c r="J103" s="7">
        <f>IFERROR(__xludf.DUMMYFUNCTION("""COMPUTED_VALUE"""),0.0)</f>
        <v>0</v>
      </c>
      <c r="K103" s="7">
        <f>IFERROR(__xludf.DUMMYFUNCTION("""COMPUTED_VALUE"""),0.0)</f>
        <v>0</v>
      </c>
    </row>
    <row r="104" ht="15.75" customHeight="1">
      <c r="A104" s="6" t="str">
        <f>IFERROR(__xludf.DUMMYFUNCTION("""COMPUTED_VALUE"""),"https://agencies.semrush.com/list/ai-optimization/melbourne/")</f>
        <v>https://agencies.semrush.com/list/ai-optimization/melbourne/</v>
      </c>
      <c r="B104" s="7" t="str">
        <f>IFERROR(__xludf.DUMMYFUNCTION("""COMPUTED_VALUE"""),"Best AI Search Optimization Agencies in Melbourne 2026 | Semrush")</f>
        <v>Best AI Search Optimization Agencies in Melbourne 2026 | Semrush</v>
      </c>
      <c r="C104" s="6" t="str">
        <f>IFERROR(__xludf.DUMMYFUNCTION("""COMPUTED_VALUE"""),"semrush.com")</f>
        <v>semrush.com</v>
      </c>
      <c r="D104" s="7" t="str">
        <f>IFERROR(__xludf.DUMMYFUNCTION("""COMPUTED_VALUE"""),"CATEGORY_PAGE")</f>
        <v>CATEGORY_PAGE</v>
      </c>
      <c r="E104" s="7" t="str">
        <f>IFERROR(__xludf.DUMMYFUNCTION("""COMPUTED_VALUE"""),"CORPORATE")</f>
        <v>CORPORATE</v>
      </c>
      <c r="F104" s="7" t="str">
        <f>IFERROR(__xludf.DUMMYFUNCTION("""COMPUTED_VALUE"""),"Category Page")</f>
        <v>Category Page</v>
      </c>
      <c r="G104" s="7" t="b">
        <f>IFERROR(__xludf.DUMMYFUNCTION("""COMPUTED_VALUE"""),FALSE)</f>
        <v>0</v>
      </c>
      <c r="H104" s="7" t="str">
        <f>IFERROR(__xludf.DUMMYFUNCTION("""COMPUTED_VALUE"""),"First Page, Clearwater Agency, Measured, Earned Media, Online Marketing Gurus, Omnicom Media Group, Edge Marketing, DNM Digital")</f>
        <v>First Page, Clearwater Agency, Measured, Earned Media, Online Marketing Gurus, Omnicom Media Group, Edge Marketing, DNM Digital</v>
      </c>
      <c r="I104" s="7">
        <f>IFERROR(__xludf.DUMMYFUNCTION("""COMPUTED_VALUE"""),1.0)</f>
        <v>1</v>
      </c>
      <c r="J104" s="7">
        <f>IFERROR(__xludf.DUMMYFUNCTION("""COMPUTED_VALUE"""),0.0)</f>
        <v>0</v>
      </c>
      <c r="K104" s="7">
        <f>IFERROR(__xludf.DUMMYFUNCTION("""COMPUTED_VALUE"""),0.0)</f>
        <v>0</v>
      </c>
    </row>
    <row r="105" ht="15.75" customHeight="1">
      <c r="A105" s="6" t="str">
        <f>IFERROR(__xludf.DUMMYFUNCTION("""COMPUTED_VALUE"""),"https://agencies.semrush.com/list/analytics-data-science/sydney/")</f>
        <v>https://agencies.semrush.com/list/analytics-data-science/sydney/</v>
      </c>
      <c r="B105" s="7" t="str">
        <f>IFERROR(__xludf.DUMMYFUNCTION("""COMPUTED_VALUE"""),"Best Data Analytics Services in Sydney 2026 | Semrush")</f>
        <v>Best Data Analytics Services in Sydney 2026 | Semrush</v>
      </c>
      <c r="C105" s="6" t="str">
        <f>IFERROR(__xludf.DUMMYFUNCTION("""COMPUTED_VALUE"""),"semrush.com")</f>
        <v>semrush.com</v>
      </c>
      <c r="D105" s="7" t="str">
        <f>IFERROR(__xludf.DUMMYFUNCTION("""COMPUTED_VALUE"""),"CATEGORY_PAGE")</f>
        <v>CATEGORY_PAGE</v>
      </c>
      <c r="E105" s="7" t="str">
        <f>IFERROR(__xludf.DUMMYFUNCTION("""COMPUTED_VALUE"""),"CORPORATE")</f>
        <v>CORPORATE</v>
      </c>
      <c r="F105" s="7" t="str">
        <f>IFERROR(__xludf.DUMMYFUNCTION("""COMPUTED_VALUE"""),"Category Page")</f>
        <v>Category Page</v>
      </c>
      <c r="G105" s="7" t="b">
        <f>IFERROR(__xludf.DUMMYFUNCTION("""COMPUTED_VALUE"""),FALSE)</f>
        <v>0</v>
      </c>
      <c r="H105" s="7" t="str">
        <f>IFERROR(__xludf.DUMMYFUNCTION("""COMPUTED_VALUE"""),"Soup Agency, Online Marketing Gurus, Omnicom Media Group, Click Click Media, Earned Media, Clearwater Agency, Huge, First Page, Measured, Impressive, 80/20 Digital")</f>
        <v>Soup Agency, Online Marketing Gurus, Omnicom Media Group, Click Click Media, Earned Media, Clearwater Agency, Huge, First Page, Measured, Impressive, 80/20 Digital</v>
      </c>
      <c r="I105" s="7">
        <f>IFERROR(__xludf.DUMMYFUNCTION("""COMPUTED_VALUE"""),1.0)</f>
        <v>1</v>
      </c>
      <c r="J105" s="7">
        <f>IFERROR(__xludf.DUMMYFUNCTION("""COMPUTED_VALUE"""),0.0)</f>
        <v>0</v>
      </c>
      <c r="K105" s="7">
        <f>IFERROR(__xludf.DUMMYFUNCTION("""COMPUTED_VALUE"""),0.0)</f>
        <v>0</v>
      </c>
    </row>
    <row r="106" ht="15.75" customHeight="1">
      <c r="A106" s="6" t="str">
        <f>IFERROR(__xludf.DUMMYFUNCTION("""COMPUTED_VALUE"""),"https://agencies.semrush.com/list/display-advertising/business-professional-services/australia/")</f>
        <v>https://agencies.semrush.com/list/display-advertising/business-professional-services/australia/</v>
      </c>
      <c r="B106" s="7" t="str">
        <f>IFERROR(__xludf.DUMMYFUNCTION("""COMPUTED_VALUE"""),"Best B2B Services Display Ads Agencies in Australia 2026 | Semrush")</f>
        <v>Best B2B Services Display Ads Agencies in Australia 2026 | Semrush</v>
      </c>
      <c r="C106" s="6" t="str">
        <f>IFERROR(__xludf.DUMMYFUNCTION("""COMPUTED_VALUE"""),"semrush.com")</f>
        <v>semrush.com</v>
      </c>
      <c r="D106" s="7" t="str">
        <f>IFERROR(__xludf.DUMMYFUNCTION("""COMPUTED_VALUE"""),"CATEGORY_PAGE")</f>
        <v>CATEGORY_PAGE</v>
      </c>
      <c r="E106" s="7" t="str">
        <f>IFERROR(__xludf.DUMMYFUNCTION("""COMPUTED_VALUE"""),"CORPORATE")</f>
        <v>CORPORATE</v>
      </c>
      <c r="F106" s="7" t="str">
        <f>IFERROR(__xludf.DUMMYFUNCTION("""COMPUTED_VALUE"""),"Category Page")</f>
        <v>Category Page</v>
      </c>
      <c r="G106" s="7" t="b">
        <f>IFERROR(__xludf.DUMMYFUNCTION("""COMPUTED_VALUE"""),FALSE)</f>
        <v>0</v>
      </c>
      <c r="H106" s="7" t="str">
        <f>IFERROR(__xludf.DUMMYFUNCTION("""COMPUTED_VALUE"""),"Soup Agency, First Page, Clearwater Agency, Measured, Earned Media, Impressive, Online Marketing Gurus, Omnicom Media Group, First Page Australia, 80/20 Digital, Megaphone, Bonfire")</f>
        <v>Soup Agency, First Page, Clearwater Agency, Measured, Earned Media, Impressive, Online Marketing Gurus, Omnicom Media Group, First Page Australia, 80/20 Digital, Megaphone, Bonfire</v>
      </c>
      <c r="I106" s="7">
        <f>IFERROR(__xludf.DUMMYFUNCTION("""COMPUTED_VALUE"""),1.0)</f>
        <v>1</v>
      </c>
      <c r="J106" s="7">
        <f>IFERROR(__xludf.DUMMYFUNCTION("""COMPUTED_VALUE"""),0.0)</f>
        <v>0</v>
      </c>
      <c r="K106" s="7">
        <f>IFERROR(__xludf.DUMMYFUNCTION("""COMPUTED_VALUE"""),0.0)</f>
        <v>0</v>
      </c>
    </row>
    <row r="107" ht="15.75" customHeight="1">
      <c r="A107" s="6" t="str">
        <f>IFERROR(__xludf.DUMMYFUNCTION("""COMPUTED_VALUE"""),"https://agencies.semrush.com/list/enterprise-business/australia/")</f>
        <v>https://agencies.semrush.com/list/enterprise-business/australia/</v>
      </c>
      <c r="B107" s="7" t="str">
        <f>IFERROR(__xludf.DUMMYFUNCTION("""COMPUTED_VALUE"""),"Best Digital Marketing Agencies for Enterprise Business in Australia 2026 | Semrush")</f>
        <v>Best Digital Marketing Agencies for Enterprise Business in Australia 2026 | Semrush</v>
      </c>
      <c r="C107" s="6" t="str">
        <f>IFERROR(__xludf.DUMMYFUNCTION("""COMPUTED_VALUE"""),"semrush.com")</f>
        <v>semrush.com</v>
      </c>
      <c r="D107" s="7" t="str">
        <f>IFERROR(__xludf.DUMMYFUNCTION("""COMPUTED_VALUE"""),"CATEGORY_PAGE")</f>
        <v>CATEGORY_PAGE</v>
      </c>
      <c r="E107" s="7" t="str">
        <f>IFERROR(__xludf.DUMMYFUNCTION("""COMPUTED_VALUE"""),"CORPORATE")</f>
        <v>CORPORATE</v>
      </c>
      <c r="F107" s="7" t="str">
        <f>IFERROR(__xludf.DUMMYFUNCTION("""COMPUTED_VALUE"""),"Category Page")</f>
        <v>Category Page</v>
      </c>
      <c r="G107" s="7" t="b">
        <f>IFERROR(__xludf.DUMMYFUNCTION("""COMPUTED_VALUE"""),FALSE)</f>
        <v>0</v>
      </c>
      <c r="H107" s="7" t="str">
        <f>IFERROR(__xludf.DUMMYFUNCTION("""COMPUTED_VALUE"""),"Supple Digital, DNM Digital, Soup Agency, First Page, Clearwater Agency, Measured, Earned Media, Impressive, Online Marketing Gurus, Omnicom Media Group, Human Digital, Click Click Media, StudioHawk, First Page Australia")</f>
        <v>Supple Digital, DNM Digital, Soup Agency, First Page, Clearwater Agency, Measured, Earned Media, Impressive, Online Marketing Gurus, Omnicom Media Group, Human Digital, Click Click Media, StudioHawk, First Page Australia</v>
      </c>
      <c r="I107" s="7">
        <f>IFERROR(__xludf.DUMMYFUNCTION("""COMPUTED_VALUE"""),1.0)</f>
        <v>1</v>
      </c>
      <c r="J107" s="7">
        <f>IFERROR(__xludf.DUMMYFUNCTION("""COMPUTED_VALUE"""),0.0)</f>
        <v>0</v>
      </c>
      <c r="K107" s="7">
        <f>IFERROR(__xludf.DUMMYFUNCTION("""COMPUTED_VALUE"""),0.0)</f>
        <v>0</v>
      </c>
    </row>
    <row r="108" ht="15.75" customHeight="1">
      <c r="A108" s="6" t="str">
        <f>IFERROR(__xludf.DUMMYFUNCTION("""COMPUTED_VALUE"""),"https://agencies.semrush.com/list/market-analysis/australia/")</f>
        <v>https://agencies.semrush.com/list/market-analysis/australia/</v>
      </c>
      <c r="B108" s="7" t="str">
        <f>IFERROR(__xludf.DUMMYFUNCTION("""COMPUTED_VALUE"""),"Best Market Research Companies in Australia 2026 | Semrush")</f>
        <v>Best Market Research Companies in Australia 2026 | Semrush</v>
      </c>
      <c r="C108" s="6" t="str">
        <f>IFERROR(__xludf.DUMMYFUNCTION("""COMPUTED_VALUE"""),"semrush.com")</f>
        <v>semrush.com</v>
      </c>
      <c r="D108" s="7" t="str">
        <f>IFERROR(__xludf.DUMMYFUNCTION("""COMPUTED_VALUE"""),"CATEGORY_PAGE")</f>
        <v>CATEGORY_PAGE</v>
      </c>
      <c r="E108" s="7" t="str">
        <f>IFERROR(__xludf.DUMMYFUNCTION("""COMPUTED_VALUE"""),"CORPORATE")</f>
        <v>CORPORATE</v>
      </c>
      <c r="F108" s="7" t="str">
        <f>IFERROR(__xludf.DUMMYFUNCTION("""COMPUTED_VALUE"""),"Category Page")</f>
        <v>Category Page</v>
      </c>
      <c r="G108" s="7" t="b">
        <f>IFERROR(__xludf.DUMMYFUNCTION("""COMPUTED_VALUE"""),FALSE)</f>
        <v>0</v>
      </c>
      <c r="H108" s="7" t="str">
        <f>IFERROR(__xludf.DUMMYFUNCTION("""COMPUTED_VALUE"""),"Soup Agency, First Page, Clearwater Agency, Measured, Earned Media, Impressive, Online Marketing Gurus, Omnicom Media Group, Human Digital, Click Click Media, 80/20 Digital, Salt &amp; Fuessel, Megaphone")</f>
        <v>Soup Agency, First Page, Clearwater Agency, Measured, Earned Media, Impressive, Online Marketing Gurus, Omnicom Media Group, Human Digital, Click Click Media, 80/20 Digital, Salt &amp; Fuessel, Megaphone</v>
      </c>
      <c r="I108" s="7">
        <f>IFERROR(__xludf.DUMMYFUNCTION("""COMPUTED_VALUE"""),1.0)</f>
        <v>1</v>
      </c>
      <c r="J108" s="7">
        <f>IFERROR(__xludf.DUMMYFUNCTION("""COMPUTED_VALUE"""),0.0)</f>
        <v>0</v>
      </c>
      <c r="K108" s="7">
        <f>IFERROR(__xludf.DUMMYFUNCTION("""COMPUTED_VALUE"""),1.0)</f>
        <v>1</v>
      </c>
    </row>
    <row r="109" ht="15.75" customHeight="1">
      <c r="A109" s="6" t="str">
        <f>IFERROR(__xludf.DUMMYFUNCTION("""COMPUTED_VALUE"""),"https://agencies.semrush.com/list/ppc/brisbane/")</f>
        <v>https://agencies.semrush.com/list/ppc/brisbane/</v>
      </c>
      <c r="B109" s="7" t="str">
        <f>IFERROR(__xludf.DUMMYFUNCTION("""COMPUTED_VALUE"""),"Best PPC Agencies in Brisbane 2026 | Semrush")</f>
        <v>Best PPC Agencies in Brisbane 2026 | Semrush</v>
      </c>
      <c r="C109" s="6" t="str">
        <f>IFERROR(__xludf.DUMMYFUNCTION("""COMPUTED_VALUE"""),"semrush.com")</f>
        <v>semrush.com</v>
      </c>
      <c r="D109" s="7" t="str">
        <f>IFERROR(__xludf.DUMMYFUNCTION("""COMPUTED_VALUE"""),"CATEGORY_PAGE")</f>
        <v>CATEGORY_PAGE</v>
      </c>
      <c r="E109" s="7" t="str">
        <f>IFERROR(__xludf.DUMMYFUNCTION("""COMPUTED_VALUE"""),"CORPORATE")</f>
        <v>CORPORATE</v>
      </c>
      <c r="F109" s="7" t="str">
        <f>IFERROR(__xludf.DUMMYFUNCTION("""COMPUTED_VALUE"""),"Category Page")</f>
        <v>Category Page</v>
      </c>
      <c r="G109" s="7" t="b">
        <f>IFERROR(__xludf.DUMMYFUNCTION("""COMPUTED_VALUE"""),FALSE)</f>
        <v>0</v>
      </c>
      <c r="H109" s="7" t="str">
        <f>IFERROR(__xludf.DUMMYFUNCTION("""COMPUTED_VALUE"""),"Edge Marketing, Supple Digital, Soup Agency, Momentum, DNM Digital, First Page, Clearwater Agency, Measured, Earned Media, Impressive")</f>
        <v>Edge Marketing, Supple Digital, Soup Agency, Momentum, DNM Digital, First Page, Clearwater Agency, Measured, Earned Media, Impressive</v>
      </c>
      <c r="I109" s="7">
        <f>IFERROR(__xludf.DUMMYFUNCTION("""COMPUTED_VALUE"""),1.0)</f>
        <v>1</v>
      </c>
      <c r="J109" s="7">
        <f>IFERROR(__xludf.DUMMYFUNCTION("""COMPUTED_VALUE"""),0.0)</f>
        <v>0</v>
      </c>
      <c r="K109" s="7">
        <f>IFERROR(__xludf.DUMMYFUNCTION("""COMPUTED_VALUE"""),0.0)</f>
        <v>0</v>
      </c>
    </row>
    <row r="110" ht="15.75" customHeight="1">
      <c r="A110" s="6" t="str">
        <f>IFERROR(__xludf.DUMMYFUNCTION("""COMPUTED_VALUE"""),"https://agencies.semrush.com/list/ppc/melbourne/")</f>
        <v>https://agencies.semrush.com/list/ppc/melbourne/</v>
      </c>
      <c r="B110" s="7" t="str">
        <f>IFERROR(__xludf.DUMMYFUNCTION("""COMPUTED_VALUE"""),"Best PPC Agencies in Melbourne 2026 | Semrush")</f>
        <v>Best PPC Agencies in Melbourne 2026 | Semrush</v>
      </c>
      <c r="C110" s="6" t="str">
        <f>IFERROR(__xludf.DUMMYFUNCTION("""COMPUTED_VALUE"""),"semrush.com")</f>
        <v>semrush.com</v>
      </c>
      <c r="D110" s="7" t="str">
        <f>IFERROR(__xludf.DUMMYFUNCTION("""COMPUTED_VALUE"""),"CATEGORY_PAGE")</f>
        <v>CATEGORY_PAGE</v>
      </c>
      <c r="E110" s="7" t="str">
        <f>IFERROR(__xludf.DUMMYFUNCTION("""COMPUTED_VALUE"""),"CORPORATE")</f>
        <v>CORPORATE</v>
      </c>
      <c r="F110" s="7" t="str">
        <f>IFERROR(__xludf.DUMMYFUNCTION("""COMPUTED_VALUE"""),"Category Page")</f>
        <v>Category Page</v>
      </c>
      <c r="G110" s="7" t="b">
        <f>IFERROR(__xludf.DUMMYFUNCTION("""COMPUTED_VALUE"""),FALSE)</f>
        <v>0</v>
      </c>
      <c r="H110" s="7" t="str">
        <f>IFERROR(__xludf.DUMMYFUNCTION("""COMPUTED_VALUE"""),"Supple Digital, Soup Agency, First Page, Clearwater Agency, Measured, Earned Media, Impressive, Online Marketing Gurus, Omnicom Media Group, First Page Australia, 80/20 Digital, Salt &amp; Fuessel, Megaphone, Bonfire")</f>
        <v>Supple Digital, Soup Agency, First Page, Clearwater Agency, Measured, Earned Media, Impressive, Online Marketing Gurus, Omnicom Media Group, First Page Australia, 80/20 Digital, Salt &amp; Fuessel, Megaphone, Bonfire</v>
      </c>
      <c r="I110" s="7">
        <f>IFERROR(__xludf.DUMMYFUNCTION("""COMPUTED_VALUE"""),1.0)</f>
        <v>1</v>
      </c>
      <c r="J110" s="7">
        <f>IFERROR(__xludf.DUMMYFUNCTION("""COMPUTED_VALUE"""),0.0)</f>
        <v>0</v>
      </c>
      <c r="K110" s="7">
        <f>IFERROR(__xludf.DUMMYFUNCTION("""COMPUTED_VALUE"""),0.0)</f>
        <v>0</v>
      </c>
    </row>
    <row r="111" ht="15.75" customHeight="1">
      <c r="A111" s="6" t="str">
        <f>IFERROR(__xludf.DUMMYFUNCTION("""COMPUTED_VALUE"""),"https://agencies.semrush.com/list/programmatic-advertising/australia/mid-business/")</f>
        <v>https://agencies.semrush.com/list/programmatic-advertising/australia/mid-business/</v>
      </c>
      <c r="B111" s="7" t="str">
        <f>IFERROR(__xludf.DUMMYFUNCTION("""COMPUTED_VALUE"""),"Best Programmatic Advertising Agencies for Mid Business in Australia 2026 | Semrush")</f>
        <v>Best Programmatic Advertising Agencies for Mid Business in Australia 2026 | Semrush</v>
      </c>
      <c r="C111" s="6" t="str">
        <f>IFERROR(__xludf.DUMMYFUNCTION("""COMPUTED_VALUE"""),"semrush.com")</f>
        <v>semrush.com</v>
      </c>
      <c r="D111" s="7" t="str">
        <f>IFERROR(__xludf.DUMMYFUNCTION("""COMPUTED_VALUE"""),"CATEGORY_PAGE")</f>
        <v>CATEGORY_PAGE</v>
      </c>
      <c r="E111" s="7" t="str">
        <f>IFERROR(__xludf.DUMMYFUNCTION("""COMPUTED_VALUE"""),"CORPORATE")</f>
        <v>CORPORATE</v>
      </c>
      <c r="F111" s="7" t="str">
        <f>IFERROR(__xludf.DUMMYFUNCTION("""COMPUTED_VALUE"""),"Category Page")</f>
        <v>Category Page</v>
      </c>
      <c r="G111" s="7" t="b">
        <f>IFERROR(__xludf.DUMMYFUNCTION("""COMPUTED_VALUE"""),FALSE)</f>
        <v>0</v>
      </c>
      <c r="H111" s="7"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I111" s="7">
        <f>IFERROR(__xludf.DUMMYFUNCTION("""COMPUTED_VALUE"""),1.0)</f>
        <v>1</v>
      </c>
      <c r="J111" s="7">
        <f>IFERROR(__xludf.DUMMYFUNCTION("""COMPUTED_VALUE"""),0.0)</f>
        <v>0</v>
      </c>
      <c r="K111" s="7">
        <f>IFERROR(__xludf.DUMMYFUNCTION("""COMPUTED_VALUE"""),1.0)</f>
        <v>1</v>
      </c>
    </row>
    <row r="112" ht="15.75" customHeight="1">
      <c r="A112" s="6" t="str">
        <f>IFERROR(__xludf.DUMMYFUNCTION("""COMPUTED_VALUE"""),"https://agencies.semrush.com/list/programmatic-advertising/australia/small-business/")</f>
        <v>https://agencies.semrush.com/list/programmatic-advertising/australia/small-business/</v>
      </c>
      <c r="B112" s="7" t="str">
        <f>IFERROR(__xludf.DUMMYFUNCTION("""COMPUTED_VALUE"""),"Best Programmatic Advertising Agencies for Small Business in Australia 2026 | Semrush")</f>
        <v>Best Programmatic Advertising Agencies for Small Business in Australia 2026 | Semrush</v>
      </c>
      <c r="C112" s="6" t="str">
        <f>IFERROR(__xludf.DUMMYFUNCTION("""COMPUTED_VALUE"""),"semrush.com")</f>
        <v>semrush.com</v>
      </c>
      <c r="D112" s="7" t="str">
        <f>IFERROR(__xludf.DUMMYFUNCTION("""COMPUTED_VALUE"""),"CATEGORY_PAGE")</f>
        <v>CATEGORY_PAGE</v>
      </c>
      <c r="E112" s="7" t="str">
        <f>IFERROR(__xludf.DUMMYFUNCTION("""COMPUTED_VALUE"""),"CORPORATE")</f>
        <v>CORPORATE</v>
      </c>
      <c r="F112" s="7" t="str">
        <f>IFERROR(__xludf.DUMMYFUNCTION("""COMPUTED_VALUE"""),"Category Page")</f>
        <v>Category Page</v>
      </c>
      <c r="G112" s="7" t="b">
        <f>IFERROR(__xludf.DUMMYFUNCTION("""COMPUTED_VALUE"""),FALSE)</f>
        <v>0</v>
      </c>
      <c r="H112" s="7" t="str">
        <f>IFERROR(__xludf.DUMMYFUNCTION("""COMPUTED_VALUE"""),"DNM Digital, Soup Agency, First Page, Impressive, Online Marketing Gurus, Omnicom Media Group, Click Click Media, 80/20 Digital, Salt &amp; Fuessel, Rocket Agency")</f>
        <v>DNM Digital, Soup Agency, First Page, Impressive, Online Marketing Gurus, Omnicom Media Group, Click Click Media, 80/20 Digital, Salt &amp; Fuessel, Rocket Agency</v>
      </c>
      <c r="I112" s="7">
        <f>IFERROR(__xludf.DUMMYFUNCTION("""COMPUTED_VALUE"""),1.0)</f>
        <v>1</v>
      </c>
      <c r="J112" s="7">
        <f>IFERROR(__xludf.DUMMYFUNCTION("""COMPUTED_VALUE"""),0.0)</f>
        <v>0</v>
      </c>
      <c r="K112" s="7">
        <f>IFERROR(__xludf.DUMMYFUNCTION("""COMPUTED_VALUE"""),0.0)</f>
        <v>0</v>
      </c>
    </row>
    <row r="113" ht="15.75" customHeight="1">
      <c r="A113" s="6" t="str">
        <f>IFERROR(__xludf.DUMMYFUNCTION("""COMPUTED_VALUE"""),"https://agencies.semrush.com/list/programmatic-advertising/ecommerce/australia/")</f>
        <v>https://agencies.semrush.com/list/programmatic-advertising/ecommerce/australia/</v>
      </c>
      <c r="B113" s="7" t="str">
        <f>IFERROR(__xludf.DUMMYFUNCTION("""COMPUTED_VALUE"""),"Best Ecommerce Programmatic Advertising Agencies in Australia 2026 | Semrush")</f>
        <v>Best Ecommerce Programmatic Advertising Agencies in Australia 2026 | Semrush</v>
      </c>
      <c r="C113" s="6" t="str">
        <f>IFERROR(__xludf.DUMMYFUNCTION("""COMPUTED_VALUE"""),"semrush.com")</f>
        <v>semrush.com</v>
      </c>
      <c r="D113" s="7" t="str">
        <f>IFERROR(__xludf.DUMMYFUNCTION("""COMPUTED_VALUE"""),"CATEGORY_PAGE")</f>
        <v>CATEGORY_PAGE</v>
      </c>
      <c r="E113" s="7" t="str">
        <f>IFERROR(__xludf.DUMMYFUNCTION("""COMPUTED_VALUE"""),"CORPORATE")</f>
        <v>CORPORATE</v>
      </c>
      <c r="F113" s="7" t="str">
        <f>IFERROR(__xludf.DUMMYFUNCTION("""COMPUTED_VALUE"""),"Category Page")</f>
        <v>Category Page</v>
      </c>
      <c r="G113" s="7" t="b">
        <f>IFERROR(__xludf.DUMMYFUNCTION("""COMPUTED_VALUE"""),FALSE)</f>
        <v>0</v>
      </c>
      <c r="H113" s="7" t="str">
        <f>IFERROR(__xludf.DUMMYFUNCTION("""COMPUTED_VALUE"""),"DNM Digital, Soup Agency, First Page, Impressive, Online Marketing Gurus, Omnicom Media Group, 80/20 Digital, Salt &amp; Fuessel, Bonfire, Rocket Agency, Measured")</f>
        <v>DNM Digital, Soup Agency, First Page, Impressive, Online Marketing Gurus, Omnicom Media Group, 80/20 Digital, Salt &amp; Fuessel, Bonfire, Rocket Agency, Measured</v>
      </c>
      <c r="I113" s="7">
        <f>IFERROR(__xludf.DUMMYFUNCTION("""COMPUTED_VALUE"""),1.0)</f>
        <v>1</v>
      </c>
      <c r="J113" s="7">
        <f>IFERROR(__xludf.DUMMYFUNCTION("""COMPUTED_VALUE"""),0.0)</f>
        <v>0</v>
      </c>
      <c r="K113" s="7">
        <f>IFERROR(__xludf.DUMMYFUNCTION("""COMPUTED_VALUE"""),0.0)</f>
        <v>0</v>
      </c>
    </row>
    <row r="114" ht="15.75" customHeight="1">
      <c r="A114" s="6" t="str">
        <f>IFERROR(__xludf.DUMMYFUNCTION("""COMPUTED_VALUE"""),"https://agencies.semrush.com/list/search-engine-marketing/australia/")</f>
        <v>https://agencies.semrush.com/list/search-engine-marketing/australia/</v>
      </c>
      <c r="B114" s="7" t="str">
        <f>IFERROR(__xludf.DUMMYFUNCTION("""COMPUTED_VALUE"""),"Best Search Engine Marketing Companies in Australia 2026 | Semrush")</f>
        <v>Best Search Engine Marketing Companies in Australia 2026 | Semrush</v>
      </c>
      <c r="C114" s="6" t="str">
        <f>IFERROR(__xludf.DUMMYFUNCTION("""COMPUTED_VALUE"""),"semrush.com")</f>
        <v>semrush.com</v>
      </c>
      <c r="D114" s="7" t="str">
        <f>IFERROR(__xludf.DUMMYFUNCTION("""COMPUTED_VALUE"""),"CATEGORY_PAGE")</f>
        <v>CATEGORY_PAGE</v>
      </c>
      <c r="E114" s="7" t="str">
        <f>IFERROR(__xludf.DUMMYFUNCTION("""COMPUTED_VALUE"""),"CORPORATE")</f>
        <v>CORPORATE</v>
      </c>
      <c r="F114" s="7" t="str">
        <f>IFERROR(__xludf.DUMMYFUNCTION("""COMPUTED_VALUE"""),"Category Page")</f>
        <v>Category Page</v>
      </c>
      <c r="G114" s="7" t="b">
        <f>IFERROR(__xludf.DUMMYFUNCTION("""COMPUTED_VALUE"""),FALSE)</f>
        <v>0</v>
      </c>
      <c r="H114" s="7" t="str">
        <f>IFERROR(__xludf.DUMMYFUNCTION("""COMPUTED_VALUE"""),"Edge Marketing, Momentum, Supple Digital, DNM Digital, Soup Agency, First Page, Clearwater Agency, Measured, Earned Media, Impressive, Online Marketing Gurus, Omnicom Media Group, Click Click Media, StudioHawk, Bench Media")</f>
        <v>Edge Marketing, Momentum, Supple Digital, DNM Digital, Soup Agency, First Page, Clearwater Agency, Measured, Earned Media, Impressive, Online Marketing Gurus, Omnicom Media Group, Click Click Media, StudioHawk, Bench Media</v>
      </c>
      <c r="I114" s="7">
        <f>IFERROR(__xludf.DUMMYFUNCTION("""COMPUTED_VALUE"""),1.0)</f>
        <v>1</v>
      </c>
      <c r="J114" s="7">
        <f>IFERROR(__xludf.DUMMYFUNCTION("""COMPUTED_VALUE"""),0.0)</f>
        <v>0</v>
      </c>
      <c r="K114" s="7">
        <f>IFERROR(__xludf.DUMMYFUNCTION("""COMPUTED_VALUE"""),0.0)</f>
        <v>0</v>
      </c>
    </row>
    <row r="115" ht="15.75" customHeight="1">
      <c r="A115" s="6" t="str">
        <f>IFERROR(__xludf.DUMMYFUNCTION("""COMPUTED_VALUE"""),"https://agencies.semrush.com/list/smm/australia/small-business/")</f>
        <v>https://agencies.semrush.com/list/smm/australia/small-business/</v>
      </c>
      <c r="B115" s="7" t="str">
        <f>IFERROR(__xludf.DUMMYFUNCTION("""COMPUTED_VALUE"""),"Best Social Media Marketing Agencies for Small Business in Australia 2026 | Semrush")</f>
        <v>Best Social Media Marketing Agencies for Small Business in Australia 2026 | Semrush</v>
      </c>
      <c r="C115" s="6" t="str">
        <f>IFERROR(__xludf.DUMMYFUNCTION("""COMPUTED_VALUE"""),"semrush.com")</f>
        <v>semrush.com</v>
      </c>
      <c r="D115" s="7" t="str">
        <f>IFERROR(__xludf.DUMMYFUNCTION("""COMPUTED_VALUE"""),"CATEGORY_PAGE")</f>
        <v>CATEGORY_PAGE</v>
      </c>
      <c r="E115" s="7" t="str">
        <f>IFERROR(__xludf.DUMMYFUNCTION("""COMPUTED_VALUE"""),"CORPORATE")</f>
        <v>CORPORATE</v>
      </c>
      <c r="F115" s="7" t="str">
        <f>IFERROR(__xludf.DUMMYFUNCTION("""COMPUTED_VALUE"""),"Category Page")</f>
        <v>Category Page</v>
      </c>
      <c r="G115" s="7" t="b">
        <f>IFERROR(__xludf.DUMMYFUNCTION("""COMPUTED_VALUE"""),FALSE)</f>
        <v>0</v>
      </c>
      <c r="H115" s="7" t="str">
        <f>IFERROR(__xludf.DUMMYFUNCTION("""COMPUTED_VALUE"""),"Digital Nomads HQ, DNM Digital, Soup Agency, First Page, Clearwater Agency, Measured, Earned Media, Impressive, Online Marketing Gurus, Omnicom Media Group, Click Click Media, 80/20 Digital")</f>
        <v>Digital Nomads HQ, DNM Digital, Soup Agency, First Page, Clearwater Agency, Measured, Earned Media, Impressive, Online Marketing Gurus, Omnicom Media Group, Click Click Media, 80/20 Digital</v>
      </c>
      <c r="I115" s="7">
        <f>IFERROR(__xludf.DUMMYFUNCTION("""COMPUTED_VALUE"""),1.0)</f>
        <v>1</v>
      </c>
      <c r="J115" s="7">
        <f>IFERROR(__xludf.DUMMYFUNCTION("""COMPUTED_VALUE"""),0.0)</f>
        <v>0</v>
      </c>
      <c r="K115" s="7">
        <f>IFERROR(__xludf.DUMMYFUNCTION("""COMPUTED_VALUE"""),0.0)</f>
        <v>0</v>
      </c>
    </row>
    <row r="116" ht="15.75" customHeight="1">
      <c r="A116" s="6" t="str">
        <f>IFERROR(__xludf.DUMMYFUNCTION("""COMPUTED_VALUE"""),"https://agencyvista.com/lists/google-marketing-platform-sales-partners/")</f>
        <v>https://agencyvista.com/lists/google-marketing-platform-sales-partners/</v>
      </c>
      <c r="B116" s="7" t="str">
        <f>IFERROR(__xludf.DUMMYFUNCTION("""COMPUTED_VALUE"""),"Google Marketing Platform Sales Partners. May 2025 Reviews. | Agency Vista")</f>
        <v>Google Marketing Platform Sales Partners. May 2025 Reviews. | Agency Vista</v>
      </c>
      <c r="C116" s="6" t="str">
        <f>IFERROR(__xludf.DUMMYFUNCTION("""COMPUTED_VALUE"""),"agencyvista.com")</f>
        <v>agencyvista.com</v>
      </c>
      <c r="D116" s="7" t="str">
        <f>IFERROR(__xludf.DUMMYFUNCTION("""COMPUTED_VALUE"""),"CATEGORY_PAGE")</f>
        <v>CATEGORY_PAGE</v>
      </c>
      <c r="E116" s="7" t="str">
        <f>IFERROR(__xludf.DUMMYFUNCTION("""COMPUTED_VALUE"""),"CORPORATE")</f>
        <v>CORPORATE</v>
      </c>
      <c r="F116" s="7" t="str">
        <f>IFERROR(__xludf.DUMMYFUNCTION("""COMPUTED_VALUE"""),"Category Page")</f>
        <v>Category Page</v>
      </c>
      <c r="G116" s="7" t="b">
        <f>IFERROR(__xludf.DUMMYFUNCTION("""COMPUTED_VALUE"""),FALSE)</f>
        <v>0</v>
      </c>
      <c r="H116" s="7" t="str">
        <f>IFERROR(__xludf.DUMMYFUNCTION("""COMPUTED_VALUE"""),"Brainlabs, Adswerve, Deloitte Digital, Deloitte, Dentsu, Croud, Making Science")</f>
        <v>Brainlabs, Adswerve, Deloitte Digital, Deloitte, Dentsu, Croud, Making Science</v>
      </c>
      <c r="I116" s="7">
        <f>IFERROR(__xludf.DUMMYFUNCTION("""COMPUTED_VALUE"""),1.0)</f>
        <v>1</v>
      </c>
      <c r="J116" s="7">
        <f>IFERROR(__xludf.DUMMYFUNCTION("""COMPUTED_VALUE"""),0.0)</f>
        <v>0</v>
      </c>
      <c r="K116" s="7">
        <f>IFERROR(__xludf.DUMMYFUNCTION("""COMPUTED_VALUE"""),1.0)</f>
        <v>1</v>
      </c>
    </row>
    <row r="117" ht="15.75" customHeight="1">
      <c r="A117" s="6" t="str">
        <f>IFERROR(__xludf.DUMMYFUNCTION("""COMPUTED_VALUE"""),"https://www.asanalytics.com.au/data-services")</f>
        <v>https://www.asanalytics.com.au/data-services</v>
      </c>
      <c r="B117" s="7" t="str">
        <f>IFERROR(__xludf.DUMMYFUNCTION("""COMPUTED_VALUE"""),"Australian Data Services · Geospatial · Digital Engineering · GIS · BIM · CAD · Drafting &amp;amp; Design · As-builts · Data creation, cleansing, conversion &amp;amp; quality · LiDAR · remote sensing")</f>
        <v>Australian Data Services · Geospatial · Digital Engineering · GIS · BIM · CAD · Drafting &amp;amp; Design · As-builts · Data creation, cleansing, conversion &amp;amp; quality · LiDAR · remote sensing</v>
      </c>
      <c r="C117" s="6" t="str">
        <f>IFERROR(__xludf.DUMMYFUNCTION("""COMPUTED_VALUE"""),"asanalytics.com.au")</f>
        <v>asanalytics.com.au</v>
      </c>
      <c r="D117" s="7" t="str">
        <f>IFERROR(__xludf.DUMMYFUNCTION("""COMPUTED_VALUE"""),"CATEGORY_PAGE")</f>
        <v>CATEGORY_PAGE</v>
      </c>
      <c r="E117" s="7" t="str">
        <f>IFERROR(__xludf.DUMMYFUNCTION("""COMPUTED_VALUE"""),"INSTITUTIONAL")</f>
        <v>INSTITUTIONAL</v>
      </c>
      <c r="F117" s="7" t="str">
        <f>IFERROR(__xludf.DUMMYFUNCTION("""COMPUTED_VALUE"""),"Category Page")</f>
        <v>Category Page</v>
      </c>
      <c r="G117" s="7" t="b">
        <f>IFERROR(__xludf.DUMMYFUNCTION("""COMPUTED_VALUE"""),FALSE)</f>
        <v>0</v>
      </c>
      <c r="H117" s="7"/>
      <c r="I117" s="7">
        <f>IFERROR(__xludf.DUMMYFUNCTION("""COMPUTED_VALUE"""),1.0)</f>
        <v>1</v>
      </c>
      <c r="J117" s="7">
        <f>IFERROR(__xludf.DUMMYFUNCTION("""COMPUTED_VALUE"""),0.0)</f>
        <v>0</v>
      </c>
      <c r="K117" s="7">
        <f>IFERROR(__xludf.DUMMYFUNCTION("""COMPUTED_VALUE"""),1.0)</f>
        <v>1</v>
      </c>
    </row>
    <row r="118" ht="15.75" customHeight="1">
      <c r="A118" s="6" t="str">
        <f>IFERROR(__xludf.DUMMYFUNCTION("""COMPUTED_VALUE"""),"https://clutch.co/agencies/ppc/display")</f>
        <v>https://clutch.co/agencies/ppc/display</v>
      </c>
      <c r="B118" s="7" t="str">
        <f>IFERROR(__xludf.DUMMYFUNCTION("""COMPUTED_VALUE"""),"Top Display Advertising Agencies - Jul 2026 Rankings | Clutch.co")</f>
        <v>Top Display Advertising Agencies - Jul 2026 Rankings | Clutch.co</v>
      </c>
      <c r="C118" s="6" t="str">
        <f>IFERROR(__xludf.DUMMYFUNCTION("""COMPUTED_VALUE"""),"clutch.co")</f>
        <v>clutch.co</v>
      </c>
      <c r="D118" s="7" t="str">
        <f>IFERROR(__xludf.DUMMYFUNCTION("""COMPUTED_VALUE"""),"CATEGORY_PAGE")</f>
        <v>CATEGORY_PAGE</v>
      </c>
      <c r="E118" s="7" t="str">
        <f>IFERROR(__xludf.DUMMYFUNCTION("""COMPUTED_VALUE"""),"CORPORATE")</f>
        <v>CORPORATE</v>
      </c>
      <c r="F118" s="7" t="str">
        <f>IFERROR(__xludf.DUMMYFUNCTION("""COMPUTED_VALUE"""),"Category Page")</f>
        <v>Category Page</v>
      </c>
      <c r="G118" s="7" t="b">
        <f>IFERROR(__xludf.DUMMYFUNCTION("""COMPUTED_VALUE"""),FALSE)</f>
        <v>0</v>
      </c>
      <c r="H118" s="7" t="str">
        <f>IFERROR(__xludf.DUMMYFUNCTION("""COMPUTED_VALUE"""),"EvenDigit, Ninja Promo, Impressive, Intesols, Soup Agency, Salt &amp; Fuessel")</f>
        <v>EvenDigit, Ninja Promo, Impressive, Intesols, Soup Agency, Salt &amp; Fuessel</v>
      </c>
      <c r="I118" s="7">
        <f>IFERROR(__xludf.DUMMYFUNCTION("""COMPUTED_VALUE"""),1.0)</f>
        <v>1</v>
      </c>
      <c r="J118" s="7">
        <f>IFERROR(__xludf.DUMMYFUNCTION("""COMPUTED_VALUE"""),0.0)</f>
        <v>0</v>
      </c>
      <c r="K118" s="7">
        <f>IFERROR(__xludf.DUMMYFUNCTION("""COMPUTED_VALUE"""),0.0)</f>
        <v>0</v>
      </c>
    </row>
    <row r="119" ht="15.75" customHeight="1">
      <c r="A119" s="6" t="str">
        <f>IFERROR(__xludf.DUMMYFUNCTION("""COMPUTED_VALUE"""),"https://clutch.co/au/agencies/branding")</f>
        <v>https://clutch.co/au/agencies/branding</v>
      </c>
      <c r="B119" s="7" t="str">
        <f>IFERROR(__xludf.DUMMYFUNCTION("""COMPUTED_VALUE"""),"Top Branding Agencies in Australia - Jul 2026 Rankings \| Clutch.co")</f>
        <v>Top Branding Agencies in Australia - Jul 2026 Rankings \| Clutch.co</v>
      </c>
      <c r="C119" s="6" t="str">
        <f>IFERROR(__xludf.DUMMYFUNCTION("""COMPUTED_VALUE"""),"clutch.co")</f>
        <v>clutch.co</v>
      </c>
      <c r="D119" s="7" t="str">
        <f>IFERROR(__xludf.DUMMYFUNCTION("""COMPUTED_VALUE"""),"CATEGORY_PAGE")</f>
        <v>CATEGORY_PAGE</v>
      </c>
      <c r="E119" s="7" t="str">
        <f>IFERROR(__xludf.DUMMYFUNCTION("""COMPUTED_VALUE"""),"CORPORATE")</f>
        <v>CORPORATE</v>
      </c>
      <c r="F119" s="7" t="str">
        <f>IFERROR(__xludf.DUMMYFUNCTION("""COMPUTED_VALUE"""),"Category Page")</f>
        <v>Category Page</v>
      </c>
      <c r="G119" s="7" t="b">
        <f>IFERROR(__xludf.DUMMYFUNCTION("""COMPUTED_VALUE"""),FALSE)</f>
        <v>0</v>
      </c>
      <c r="H119" s="7" t="str">
        <f>IFERROR(__xludf.DUMMYFUNCTION("""COMPUTED_VALUE"""),"Chello, CUT THRU, 80/20 Digital, Alley Group, Impressive, Rocket Agency")</f>
        <v>Chello, CUT THRU, 80/20 Digital, Alley Group, Impressive, Rocket Agency</v>
      </c>
      <c r="I119" s="7">
        <f>IFERROR(__xludf.DUMMYFUNCTION("""COMPUTED_VALUE"""),1.0)</f>
        <v>1</v>
      </c>
      <c r="J119" s="7">
        <f>IFERROR(__xludf.DUMMYFUNCTION("""COMPUTED_VALUE"""),0.0)</f>
        <v>0</v>
      </c>
      <c r="K119" s="7">
        <f>IFERROR(__xludf.DUMMYFUNCTION("""COMPUTED_VALUE"""),0.0)</f>
        <v>0</v>
      </c>
    </row>
    <row r="120" ht="15.75" customHeight="1">
      <c r="A120" s="6" t="str">
        <f>IFERROR(__xludf.DUMMYFUNCTION("""COMPUTED_VALUE"""),"https://clutch.co/au/agencies/media-buying/sydney")</f>
        <v>https://clutch.co/au/agencies/media-buying/sydney</v>
      </c>
      <c r="B120" s="7" t="str">
        <f>IFERROR(__xludf.DUMMYFUNCTION("""COMPUTED_VALUE"""),"Top Media Buying Agencies in Sydney - Jul 2026 Rankings | Clutch.co")</f>
        <v>Top Media Buying Agencies in Sydney - Jul 2026 Rankings | Clutch.co</v>
      </c>
      <c r="C120" s="6" t="str">
        <f>IFERROR(__xludf.DUMMYFUNCTION("""COMPUTED_VALUE"""),"clutch.co")</f>
        <v>clutch.co</v>
      </c>
      <c r="D120" s="7" t="str">
        <f>IFERROR(__xludf.DUMMYFUNCTION("""COMPUTED_VALUE"""),"CATEGORY_PAGE")</f>
        <v>CATEGORY_PAGE</v>
      </c>
      <c r="E120" s="7" t="str">
        <f>IFERROR(__xludf.DUMMYFUNCTION("""COMPUTED_VALUE"""),"CORPORATE")</f>
        <v>CORPORATE</v>
      </c>
      <c r="F120" s="7" t="str">
        <f>IFERROR(__xludf.DUMMYFUNCTION("""COMPUTED_VALUE"""),"Category Page")</f>
        <v>Category Page</v>
      </c>
      <c r="G120" s="7" t="b">
        <f>IFERROR(__xludf.DUMMYFUNCTION("""COMPUTED_VALUE"""),FALSE)</f>
        <v>0</v>
      </c>
      <c r="H120" s="7" t="str">
        <f>IFERROR(__xludf.DUMMYFUNCTION("""COMPUTED_VALUE"""),"Impressive, Momentum, Soup Agency, DNM Digital, Bench Media")</f>
        <v>Impressive, Momentum, Soup Agency, DNM Digital, Bench Media</v>
      </c>
      <c r="I120" s="7">
        <f>IFERROR(__xludf.DUMMYFUNCTION("""COMPUTED_VALUE"""),1.0)</f>
        <v>1</v>
      </c>
      <c r="J120" s="7">
        <f>IFERROR(__xludf.DUMMYFUNCTION("""COMPUTED_VALUE"""),0.0)</f>
        <v>0</v>
      </c>
      <c r="K120" s="7">
        <f>IFERROR(__xludf.DUMMYFUNCTION("""COMPUTED_VALUE"""),1.0)</f>
        <v>1</v>
      </c>
    </row>
    <row r="121" ht="15.75" customHeight="1">
      <c r="A121" s="6" t="str">
        <f>IFERROR(__xludf.DUMMYFUNCTION("""COMPUTED_VALUE"""),"https://clutch.co/au/agencies/ppc/brisbane")</f>
        <v>https://clutch.co/au/agencies/ppc/brisbane</v>
      </c>
      <c r="B121" s="7" t="str">
        <f>IFERROR(__xludf.DUMMYFUNCTION("""COMPUTED_VALUE"""),"Top PPC Agencies in Brisbane - Jul 2026 Rankings | Clutch.co")</f>
        <v>Top PPC Agencies in Brisbane - Jul 2026 Rankings | Clutch.co</v>
      </c>
      <c r="C121" s="6" t="str">
        <f>IFERROR(__xludf.DUMMYFUNCTION("""COMPUTED_VALUE"""),"clutch.co")</f>
        <v>clutch.co</v>
      </c>
      <c r="D121" s="7" t="str">
        <f>IFERROR(__xludf.DUMMYFUNCTION("""COMPUTED_VALUE"""),"CATEGORY_PAGE")</f>
        <v>CATEGORY_PAGE</v>
      </c>
      <c r="E121" s="7" t="str">
        <f>IFERROR(__xludf.DUMMYFUNCTION("""COMPUTED_VALUE"""),"CORPORATE")</f>
        <v>CORPORATE</v>
      </c>
      <c r="F121" s="7" t="str">
        <f>IFERROR(__xludf.DUMMYFUNCTION("""COMPUTED_VALUE"""),"Category Page")</f>
        <v>Category Page</v>
      </c>
      <c r="G121" s="7" t="b">
        <f>IFERROR(__xludf.DUMMYFUNCTION("""COMPUTED_VALUE"""),FALSE)</f>
        <v>0</v>
      </c>
      <c r="H121" s="7" t="str">
        <f>IFERROR(__xludf.DUMMYFUNCTION("""COMPUTED_VALUE"""),"Soup Agency, Farsiight, Impressive, MyWork, Supple Digital, Digital Nomads HQ, Edge Marketing, Megaphone, Alpha Digital, Growth Digital")</f>
        <v>Soup Agency, Farsiight, Impressive, MyWork, Supple Digital, Digital Nomads HQ, Edge Marketing, Megaphone, Alpha Digital, Growth Digital</v>
      </c>
      <c r="I121" s="7">
        <f>IFERROR(__xludf.DUMMYFUNCTION("""COMPUTED_VALUE"""),1.0)</f>
        <v>1</v>
      </c>
      <c r="J121" s="7">
        <f>IFERROR(__xludf.DUMMYFUNCTION("""COMPUTED_VALUE"""),0.0)</f>
        <v>0</v>
      </c>
      <c r="K121" s="7">
        <f>IFERROR(__xludf.DUMMYFUNCTION("""COMPUTED_VALUE"""),1.0)</f>
        <v>1</v>
      </c>
    </row>
    <row r="122" ht="15.75" customHeight="1">
      <c r="A122" s="6" t="str">
        <f>IFERROR(__xludf.DUMMYFUNCTION("""COMPUTED_VALUE"""),"https://clutch.co/au/agencies/ppc/google-adwords/sydney")</f>
        <v>https://clutch.co/au/agencies/ppc/google-adwords/sydney</v>
      </c>
      <c r="B122" s="7" t="str">
        <f>IFERROR(__xludf.DUMMYFUNCTION("""COMPUTED_VALUE"""),"Top Adwords PPC Agencies in Sydney - Jul 2026 Rankings \| Clutch.co")</f>
        <v>Top Adwords PPC Agencies in Sydney - Jul 2026 Rankings \| Clutch.co</v>
      </c>
      <c r="C122" s="6" t="str">
        <f>IFERROR(__xludf.DUMMYFUNCTION("""COMPUTED_VALUE"""),"clutch.co")</f>
        <v>clutch.co</v>
      </c>
      <c r="D122" s="7" t="str">
        <f>IFERROR(__xludf.DUMMYFUNCTION("""COMPUTED_VALUE"""),"CATEGORY_PAGE")</f>
        <v>CATEGORY_PAGE</v>
      </c>
      <c r="E122" s="7" t="str">
        <f>IFERROR(__xludf.DUMMYFUNCTION("""COMPUTED_VALUE"""),"CORPORATE")</f>
        <v>CORPORATE</v>
      </c>
      <c r="F122" s="7" t="str">
        <f>IFERROR(__xludf.DUMMYFUNCTION("""COMPUTED_VALUE"""),"Category Page")</f>
        <v>Category Page</v>
      </c>
      <c r="G122" s="7" t="b">
        <f>IFERROR(__xludf.DUMMYFUNCTION("""COMPUTED_VALUE"""),FALSE)</f>
        <v>0</v>
      </c>
      <c r="H122" s="7" t="str">
        <f>IFERROR(__xludf.DUMMYFUNCTION("""COMPUTED_VALUE"""),"Human Digital, Soup Agency, Supple Digital, Digital Nomads HQ, Rocket Agency, DNM Digital, Impressive, Megaphone, Online Marketing Gurus, Marketix Digital, Insil, Sparro, AdVisible, Click Click Media")</f>
        <v>Human Digital, Soup Agency, Supple Digital, Digital Nomads HQ, Rocket Agency, DNM Digital, Impressive, Megaphone, Online Marketing Gurus, Marketix Digital, Insil, Sparro, AdVisible, Click Click Media</v>
      </c>
      <c r="I122" s="7">
        <f>IFERROR(__xludf.DUMMYFUNCTION("""COMPUTED_VALUE"""),1.0)</f>
        <v>1</v>
      </c>
      <c r="J122" s="7">
        <f>IFERROR(__xludf.DUMMYFUNCTION("""COMPUTED_VALUE"""),0.0)</f>
        <v>0</v>
      </c>
      <c r="K122" s="7">
        <f>IFERROR(__xludf.DUMMYFUNCTION("""COMPUTED_VALUE"""),0.0)</f>
        <v>0</v>
      </c>
    </row>
    <row r="123" ht="15.75" customHeight="1">
      <c r="A123" s="6" t="str">
        <f>IFERROR(__xludf.DUMMYFUNCTION("""COMPUTED_VALUE"""),"https://clutch.co/au/agencies/ppc/melbourne")</f>
        <v>https://clutch.co/au/agencies/ppc/melbourne</v>
      </c>
      <c r="B123" s="7" t="str">
        <f>IFERROR(__xludf.DUMMYFUNCTION("""COMPUTED_VALUE"""),"Top PPC Agencies in Melbourne - Jul 2026 Rankings \| Clutch.co")</f>
        <v>Top PPC Agencies in Melbourne - Jul 2026 Rankings \| Clutch.co</v>
      </c>
      <c r="C123" s="6" t="str">
        <f>IFERROR(__xludf.DUMMYFUNCTION("""COMPUTED_VALUE"""),"clutch.co")</f>
        <v>clutch.co</v>
      </c>
      <c r="D123" s="7" t="str">
        <f>IFERROR(__xludf.DUMMYFUNCTION("""COMPUTED_VALUE"""),"CATEGORY_PAGE")</f>
        <v>CATEGORY_PAGE</v>
      </c>
      <c r="E123" s="7" t="str">
        <f>IFERROR(__xludf.DUMMYFUNCTION("""COMPUTED_VALUE"""),"CORPORATE")</f>
        <v>CORPORATE</v>
      </c>
      <c r="F123" s="7" t="str">
        <f>IFERROR(__xludf.DUMMYFUNCTION("""COMPUTED_VALUE"""),"Category Page")</f>
        <v>Category Page</v>
      </c>
      <c r="G123" s="7" t="b">
        <f>IFERROR(__xludf.DUMMYFUNCTION("""COMPUTED_VALUE"""),FALSE)</f>
        <v>0</v>
      </c>
      <c r="H123" s="7" t="str">
        <f>IFERROR(__xludf.DUMMYFUNCTION("""COMPUTED_VALUE"""),"EvenDigit, SIXGUN, Intesols, Impressive, Emote Digital, 80/20 Digital, Supple Digital, Alley Group, Soup Agency, Salt &amp; Fuessel, Digital Nomads HQ, Clearwater Agency, Megaphone, Reform Digital")</f>
        <v>EvenDigit, SIXGUN, Intesols, Impressive, Emote Digital, 80/20 Digital, Supple Digital, Alley Group, Soup Agency, Salt &amp; Fuessel, Digital Nomads HQ, Clearwater Agency, Megaphone, Reform Digital</v>
      </c>
      <c r="I123" s="7">
        <f>IFERROR(__xludf.DUMMYFUNCTION("""COMPUTED_VALUE"""),1.0)</f>
        <v>1</v>
      </c>
      <c r="J123" s="7">
        <f>IFERROR(__xludf.DUMMYFUNCTION("""COMPUTED_VALUE"""),0.0)</f>
        <v>0</v>
      </c>
      <c r="K123" s="7">
        <f>IFERROR(__xludf.DUMMYFUNCTION("""COMPUTED_VALUE"""),0.0)</f>
        <v>0</v>
      </c>
    </row>
    <row r="124" ht="15.75" customHeight="1">
      <c r="A124" s="6" t="str">
        <f>IFERROR(__xludf.DUMMYFUNCTION("""COMPUTED_VALUE"""),"https://clutch.co/au/agencies/ppc?page=2")</f>
        <v>https://clutch.co/au/agencies/ppc?page=2</v>
      </c>
      <c r="B124" s="7" t="str">
        <f>IFERROR(__xludf.DUMMYFUNCTION("""COMPUTED_VALUE"""),"Page 2 - Top PPC Agencies in Australia - Jul 2026 Rankings | Clutch.co")</f>
        <v>Page 2 - Top PPC Agencies in Australia - Jul 2026 Rankings | Clutch.co</v>
      </c>
      <c r="C124" s="6" t="str">
        <f>IFERROR(__xludf.DUMMYFUNCTION("""COMPUTED_VALUE"""),"clutch.co")</f>
        <v>clutch.co</v>
      </c>
      <c r="D124" s="7" t="str">
        <f>IFERROR(__xludf.DUMMYFUNCTION("""COMPUTED_VALUE"""),"CATEGORY_PAGE")</f>
        <v>CATEGORY_PAGE</v>
      </c>
      <c r="E124" s="7" t="str">
        <f>IFERROR(__xludf.DUMMYFUNCTION("""COMPUTED_VALUE"""),"CORPORATE")</f>
        <v>CORPORATE</v>
      </c>
      <c r="F124" s="7" t="str">
        <f>IFERROR(__xludf.DUMMYFUNCTION("""COMPUTED_VALUE"""),"Category Page")</f>
        <v>Category Page</v>
      </c>
      <c r="G124" s="7" t="b">
        <f>IFERROR(__xludf.DUMMYFUNCTION("""COMPUTED_VALUE"""),FALSE)</f>
        <v>0</v>
      </c>
      <c r="H124" s="7" t="str">
        <f>IFERROR(__xludf.DUMMYFUNCTION("""COMPUTED_VALUE"""),"Soup Agency, Impressive, Insil, Reform Digital, AdVisible, Megaphone, Digital Nomads HQ, Farsiight, SIXGUN, Human Digital, Paradox Marketing, Rocket Agency, Online Marketing Gurus, Intesols, MyWork, Emote Digital, Clearwater Agency, Salt &amp; Fuessel, 80/20 "&amp;"Digital, Marketix Digital")</f>
        <v>Soup Agency, Impressive, Insil, Reform Digital, AdVisible, Megaphone, Digital Nomads HQ, Farsiight, SIXGUN, Human Digital, Paradox Marketing, Rocket Agency, Online Marketing Gurus, Intesols, MyWork, Emote Digital, Clearwater Agency, Salt &amp; Fuessel, 80/20 Digital, Marketix Digital</v>
      </c>
      <c r="I124" s="7">
        <f>IFERROR(__xludf.DUMMYFUNCTION("""COMPUTED_VALUE"""),1.0)</f>
        <v>1</v>
      </c>
      <c r="J124" s="7">
        <f>IFERROR(__xludf.DUMMYFUNCTION("""COMPUTED_VALUE"""),0.0)</f>
        <v>0</v>
      </c>
      <c r="K124" s="7">
        <f>IFERROR(__xludf.DUMMYFUNCTION("""COMPUTED_VALUE"""),0.0)</f>
        <v>0</v>
      </c>
    </row>
    <row r="125" ht="15.75" customHeight="1">
      <c r="A125" s="6" t="str">
        <f>IFERROR(__xludf.DUMMYFUNCTION("""COMPUTED_VALUE"""),"https://clutch.co/au/agencies/programmatic/sydney")</f>
        <v>https://clutch.co/au/agencies/programmatic/sydney</v>
      </c>
      <c r="B125" s="7" t="str">
        <f>IFERROR(__xludf.DUMMYFUNCTION("""COMPUTED_VALUE"""),"Top Programmatic Advertising Agencies in Sydney - Jul 2026 Rankings | Clutch.co")</f>
        <v>Top Programmatic Advertising Agencies in Sydney - Jul 2026 Rankings | Clutch.co</v>
      </c>
      <c r="C125" s="6" t="str">
        <f>IFERROR(__xludf.DUMMYFUNCTION("""COMPUTED_VALUE"""),"clutch.co")</f>
        <v>clutch.co</v>
      </c>
      <c r="D125" s="7" t="str">
        <f>IFERROR(__xludf.DUMMYFUNCTION("""COMPUTED_VALUE"""),"CATEGORY_PAGE")</f>
        <v>CATEGORY_PAGE</v>
      </c>
      <c r="E125" s="7" t="str">
        <f>IFERROR(__xludf.DUMMYFUNCTION("""COMPUTED_VALUE"""),"CORPORATE")</f>
        <v>CORPORATE</v>
      </c>
      <c r="F125" s="7" t="str">
        <f>IFERROR(__xludf.DUMMYFUNCTION("""COMPUTED_VALUE"""),"Category Page")</f>
        <v>Category Page</v>
      </c>
      <c r="G125" s="7" t="b">
        <f>IFERROR(__xludf.DUMMYFUNCTION("""COMPUTED_VALUE"""),FALSE)</f>
        <v>0</v>
      </c>
      <c r="H125" s="7" t="str">
        <f>IFERROR(__xludf.DUMMYFUNCTION("""COMPUTED_VALUE"""),"Soup Agency, DNM Digital, In Marketing We Trust, Bench Media, Impressive")</f>
        <v>Soup Agency, DNM Digital, In Marketing We Trust, Bench Media, Impressive</v>
      </c>
      <c r="I125" s="7">
        <f>IFERROR(__xludf.DUMMYFUNCTION("""COMPUTED_VALUE"""),1.0)</f>
        <v>1</v>
      </c>
      <c r="J125" s="7">
        <f>IFERROR(__xludf.DUMMYFUNCTION("""COMPUTED_VALUE"""),0.0)</f>
        <v>0</v>
      </c>
      <c r="K125" s="7">
        <f>IFERROR(__xludf.DUMMYFUNCTION("""COMPUTED_VALUE"""),0.0)</f>
        <v>0</v>
      </c>
    </row>
    <row r="126" ht="15.75" customHeight="1">
      <c r="A126" s="6" t="str">
        <f>IFERROR(__xludf.DUMMYFUNCTION("""COMPUTED_VALUE"""),"https://clutch.co/au/agencies/seo/technical")</f>
        <v>https://clutch.co/au/agencies/seo/technical</v>
      </c>
      <c r="B126" s="7" t="str">
        <f>IFERROR(__xludf.DUMMYFUNCTION("""COMPUTED_VALUE"""),"Top Technical SEO Agencies in Australia - Jul 2026 Rankings | Clutch.co")</f>
        <v>Top Technical SEO Agencies in Australia - Jul 2026 Rankings | Clutch.co</v>
      </c>
      <c r="C126" s="6" t="str">
        <f>IFERROR(__xludf.DUMMYFUNCTION("""COMPUTED_VALUE"""),"clutch.co")</f>
        <v>clutch.co</v>
      </c>
      <c r="D126" s="7" t="str">
        <f>IFERROR(__xludf.DUMMYFUNCTION("""COMPUTED_VALUE"""),"CATEGORY_PAGE")</f>
        <v>CATEGORY_PAGE</v>
      </c>
      <c r="E126" s="7" t="str">
        <f>IFERROR(__xludf.DUMMYFUNCTION("""COMPUTED_VALUE"""),"CORPORATE")</f>
        <v>CORPORATE</v>
      </c>
      <c r="F126" s="7" t="str">
        <f>IFERROR(__xludf.DUMMYFUNCTION("""COMPUTED_VALUE"""),"Category Page")</f>
        <v>Category Page</v>
      </c>
      <c r="G126" s="7" t="b">
        <f>IFERROR(__xludf.DUMMYFUNCTION("""COMPUTED_VALUE"""),FALSE)</f>
        <v>0</v>
      </c>
      <c r="H126" s="7" t="str">
        <f>IFERROR(__xludf.DUMMYFUNCTION("""COMPUTED_VALUE"""),"Intesols, Impressive, StudioHawk, Soup Agency, Luminary, Emote Digital, Salt &amp; Fuessel, EvenDigit, First Page, DNM Digital, Edge Marketing, In Marketing We Trust, eMarket Experts, Marketix Digital, Megaphone, Paradox Marketing, Prosperity Media")</f>
        <v>Intesols, Impressive, StudioHawk, Soup Agency, Luminary, Emote Digital, Salt &amp; Fuessel, EvenDigit, First Page, DNM Digital, Edge Marketing, In Marketing We Trust, eMarket Experts, Marketix Digital, Megaphone, Paradox Marketing, Prosperity Media</v>
      </c>
      <c r="I126" s="7">
        <f>IFERROR(__xludf.DUMMYFUNCTION("""COMPUTED_VALUE"""),1.0)</f>
        <v>1</v>
      </c>
      <c r="J126" s="7">
        <f>IFERROR(__xludf.DUMMYFUNCTION("""COMPUTED_VALUE"""),0.0)</f>
        <v>0</v>
      </c>
      <c r="K126" s="7">
        <f>IFERROR(__xludf.DUMMYFUNCTION("""COMPUTED_VALUE"""),0.0)</f>
        <v>0</v>
      </c>
    </row>
    <row r="127" ht="15.75" customHeight="1">
      <c r="A127" s="6" t="str">
        <f>IFERROR(__xludf.DUMMYFUNCTION("""COMPUTED_VALUE"""),"https://clutch.co/au/agencies/social-media-marketing/facebook/sydney")</f>
        <v>https://clutch.co/au/agencies/social-media-marketing/facebook/sydney</v>
      </c>
      <c r="B127" s="7" t="str">
        <f>IFERROR(__xludf.DUMMYFUNCTION("""COMPUTED_VALUE"""),"Top Facebook Advertising Agencies in Sydney - Jul 2026 Rankings \| Clutch.co")</f>
        <v>Top Facebook Advertising Agencies in Sydney - Jul 2026 Rankings \| Clutch.co</v>
      </c>
      <c r="C127" s="6" t="str">
        <f>IFERROR(__xludf.DUMMYFUNCTION("""COMPUTED_VALUE"""),"clutch.co")</f>
        <v>clutch.co</v>
      </c>
      <c r="D127" s="7" t="str">
        <f>IFERROR(__xludf.DUMMYFUNCTION("""COMPUTED_VALUE"""),"CATEGORY_PAGE")</f>
        <v>CATEGORY_PAGE</v>
      </c>
      <c r="E127" s="7" t="str">
        <f>IFERROR(__xludf.DUMMYFUNCTION("""COMPUTED_VALUE"""),"CORPORATE")</f>
        <v>CORPORATE</v>
      </c>
      <c r="F127" s="7" t="str">
        <f>IFERROR(__xludf.DUMMYFUNCTION("""COMPUTED_VALUE"""),"Category Page")</f>
        <v>Category Page</v>
      </c>
      <c r="G127" s="7" t="b">
        <f>IFERROR(__xludf.DUMMYFUNCTION("""COMPUTED_VALUE"""),FALSE)</f>
        <v>0</v>
      </c>
      <c r="H127" s="7" t="str">
        <f>IFERROR(__xludf.DUMMYFUNCTION("""COMPUTED_VALUE"""),"Soup Agency, Human Digital, Digital Nomads HQ, Rocket Agency, DNM Digital, Impressive, Megaphone, Online Marketing Gurus, Omnicom Media Group, Bench Media, Insil, Huge, AdVisible")</f>
        <v>Soup Agency, Human Digital, Digital Nomads HQ, Rocket Agency, DNM Digital, Impressive, Megaphone, Online Marketing Gurus, Omnicom Media Group, Bench Media, Insil, Huge, AdVisible</v>
      </c>
      <c r="I127" s="7">
        <f>IFERROR(__xludf.DUMMYFUNCTION("""COMPUTED_VALUE"""),1.0)</f>
        <v>1</v>
      </c>
      <c r="J127" s="7">
        <f>IFERROR(__xludf.DUMMYFUNCTION("""COMPUTED_VALUE"""),0.0)</f>
        <v>0</v>
      </c>
      <c r="K127" s="7">
        <f>IFERROR(__xludf.DUMMYFUNCTION("""COMPUTED_VALUE"""),0.0)</f>
        <v>0</v>
      </c>
    </row>
    <row r="128" ht="15.75" customHeight="1">
      <c r="A128" s="6" t="str">
        <f>IFERROR(__xludf.DUMMYFUNCTION("""COMPUTED_VALUE"""),"https://clutch.co/au/agencies/social-media-marketing/facebook?page=6")</f>
        <v>https://clutch.co/au/agencies/social-media-marketing/facebook?page=6</v>
      </c>
      <c r="B128" s="7" t="str">
        <f>IFERROR(__xludf.DUMMYFUNCTION("""COMPUTED_VALUE"""),"Page 6 - Top Facebook Advertising Agencies in Australia - Jul 2026 Rankings \| Clutch.co")</f>
        <v>Page 6 - Top Facebook Advertising Agencies in Australia - Jul 2026 Rankings \| Clutch.co</v>
      </c>
      <c r="C128" s="6" t="str">
        <f>IFERROR(__xludf.DUMMYFUNCTION("""COMPUTED_VALUE"""),"clutch.co")</f>
        <v>clutch.co</v>
      </c>
      <c r="D128" s="7" t="str">
        <f>IFERROR(__xludf.DUMMYFUNCTION("""COMPUTED_VALUE"""),"CATEGORY_PAGE")</f>
        <v>CATEGORY_PAGE</v>
      </c>
      <c r="E128" s="7" t="str">
        <f>IFERROR(__xludf.DUMMYFUNCTION("""COMPUTED_VALUE"""),"CORPORATE")</f>
        <v>CORPORATE</v>
      </c>
      <c r="F128" s="7" t="str">
        <f>IFERROR(__xludf.DUMMYFUNCTION("""COMPUTED_VALUE"""),"Category Page")</f>
        <v>Category Page</v>
      </c>
      <c r="G128" s="7" t="b">
        <f>IFERROR(__xludf.DUMMYFUNCTION("""COMPUTED_VALUE"""),FALSE)</f>
        <v>0</v>
      </c>
      <c r="H128" s="7" t="str">
        <f>IFERROR(__xludf.DUMMYFUNCTION("""COMPUTED_VALUE"""),"Digital Nomads HQ, SIXGUN, Intesols, Farsiight, Soup Agency, Emote Digital, Impressive, Human Digital, Megaphone, Online Marketing Gurus, Paradox Marketing, Rocket Agency, Bench Media, Insil, Clearwater Agency, Salt &amp; Fuessel")</f>
        <v>Digital Nomads HQ, SIXGUN, Intesols, Farsiight, Soup Agency, Emote Digital, Impressive, Human Digital, Megaphone, Online Marketing Gurus, Paradox Marketing, Rocket Agency, Bench Media, Insil, Clearwater Agency, Salt &amp; Fuessel</v>
      </c>
      <c r="I128" s="7">
        <f>IFERROR(__xludf.DUMMYFUNCTION("""COMPUTED_VALUE"""),1.0)</f>
        <v>1</v>
      </c>
      <c r="J128" s="7">
        <f>IFERROR(__xludf.DUMMYFUNCTION("""COMPUTED_VALUE"""),0.0)</f>
        <v>0</v>
      </c>
      <c r="K128" s="7">
        <f>IFERROR(__xludf.DUMMYFUNCTION("""COMPUTED_VALUE"""),0.0)</f>
        <v>0</v>
      </c>
    </row>
    <row r="129" ht="15.75" customHeight="1">
      <c r="A129" s="6" t="str">
        <f>IFERROR(__xludf.DUMMYFUNCTION("""COMPUTED_VALUE"""),"https://clutch.co/au/agencies/social-media-marketing/tik-tok/sydney")</f>
        <v>https://clutch.co/au/agencies/social-media-marketing/tik-tok/sydney</v>
      </c>
      <c r="B129" s="7" t="str">
        <f>IFERROR(__xludf.DUMMYFUNCTION("""COMPUTED_VALUE"""),"Top TikTok Advertising Agencies in Sydney - Jul 2026 Rankings | Clutch.co")</f>
        <v>Top TikTok Advertising Agencies in Sydney - Jul 2026 Rankings | Clutch.co</v>
      </c>
      <c r="C129" s="6" t="str">
        <f>IFERROR(__xludf.DUMMYFUNCTION("""COMPUTED_VALUE"""),"clutch.co")</f>
        <v>clutch.co</v>
      </c>
      <c r="D129" s="7" t="str">
        <f>IFERROR(__xludf.DUMMYFUNCTION("""COMPUTED_VALUE"""),"CATEGORY_PAGE")</f>
        <v>CATEGORY_PAGE</v>
      </c>
      <c r="E129" s="7" t="str">
        <f>IFERROR(__xludf.DUMMYFUNCTION("""COMPUTED_VALUE"""),"CORPORATE")</f>
        <v>CORPORATE</v>
      </c>
      <c r="F129" s="7" t="str">
        <f>IFERROR(__xludf.DUMMYFUNCTION("""COMPUTED_VALUE"""),"Category Page")</f>
        <v>Category Page</v>
      </c>
      <c r="G129" s="7" t="b">
        <f>IFERROR(__xludf.DUMMYFUNCTION("""COMPUTED_VALUE"""),FALSE)</f>
        <v>0</v>
      </c>
      <c r="H129" s="7" t="str">
        <f>IFERROR(__xludf.DUMMYFUNCTION("""COMPUTED_VALUE"""),"Soup Agency, Impressive, Digital Nomads HQ, Megaphone, Bench Media, Eight Clients")</f>
        <v>Soup Agency, Impressive, Digital Nomads HQ, Megaphone, Bench Media, Eight Clients</v>
      </c>
      <c r="I129" s="7">
        <f>IFERROR(__xludf.DUMMYFUNCTION("""COMPUTED_VALUE"""),1.0)</f>
        <v>1</v>
      </c>
      <c r="J129" s="7">
        <f>IFERROR(__xludf.DUMMYFUNCTION("""COMPUTED_VALUE"""),0.0)</f>
        <v>0</v>
      </c>
      <c r="K129" s="7">
        <f>IFERROR(__xludf.DUMMYFUNCTION("""COMPUTED_VALUE"""),3.0)</f>
        <v>3</v>
      </c>
    </row>
    <row r="130" ht="15.75" customHeight="1">
      <c r="A130" s="6" t="str">
        <f>IFERROR(__xludf.DUMMYFUNCTION("""COMPUTED_VALUE"""),"https://clutch.co/au/agencies/social-media-marketing/tik-tok?page=2")</f>
        <v>https://clutch.co/au/agencies/social-media-marketing/tik-tok?page=2</v>
      </c>
      <c r="B130" s="7" t="str">
        <f>IFERROR(__xludf.DUMMYFUNCTION("""COMPUTED_VALUE"""),"Page 2 - Top TikTok Advertising Agencies in Australia - Jul 2026 Rankings | Clutch.co")</f>
        <v>Page 2 - Top TikTok Advertising Agencies in Australia - Jul 2026 Rankings | Clutch.co</v>
      </c>
      <c r="C130" s="6" t="str">
        <f>IFERROR(__xludf.DUMMYFUNCTION("""COMPUTED_VALUE"""),"clutch.co")</f>
        <v>clutch.co</v>
      </c>
      <c r="D130" s="7" t="str">
        <f>IFERROR(__xludf.DUMMYFUNCTION("""COMPUTED_VALUE"""),"CATEGORY_PAGE")</f>
        <v>CATEGORY_PAGE</v>
      </c>
      <c r="E130" s="7" t="str">
        <f>IFERROR(__xludf.DUMMYFUNCTION("""COMPUTED_VALUE"""),"CORPORATE")</f>
        <v>CORPORATE</v>
      </c>
      <c r="F130" s="7" t="str">
        <f>IFERROR(__xludf.DUMMYFUNCTION("""COMPUTED_VALUE"""),"Category Page")</f>
        <v>Category Page</v>
      </c>
      <c r="G130" s="7" t="b">
        <f>IFERROR(__xludf.DUMMYFUNCTION("""COMPUTED_VALUE"""),FALSE)</f>
        <v>0</v>
      </c>
      <c r="H130" s="7" t="str">
        <f>IFERROR(__xludf.DUMMYFUNCTION("""COMPUTED_VALUE"""),"Impressive, Digital Nomads HQ, Megaphone, Soup Agency, Paradox Marketing, Emote Digital, Bench Media, Salt &amp; Fuessel, Reform Digital")</f>
        <v>Impressive, Digital Nomads HQ, Megaphone, Soup Agency, Paradox Marketing, Emote Digital, Bench Media, Salt &amp; Fuessel, Reform Digital</v>
      </c>
      <c r="I130" s="7">
        <f>IFERROR(__xludf.DUMMYFUNCTION("""COMPUTED_VALUE"""),1.0)</f>
        <v>1</v>
      </c>
      <c r="J130" s="7">
        <f>IFERROR(__xludf.DUMMYFUNCTION("""COMPUTED_VALUE"""),0.0)</f>
        <v>0</v>
      </c>
      <c r="K130" s="7">
        <f>IFERROR(__xludf.DUMMYFUNCTION("""COMPUTED_VALUE"""),0.0)</f>
        <v>0</v>
      </c>
    </row>
    <row r="131" ht="15.75" customHeight="1">
      <c r="A131" s="6" t="str">
        <f>IFERROR(__xludf.DUMMYFUNCTION("""COMPUTED_VALUE"""),"https://clutch.co/au/agencies?page=7")</f>
        <v>https://clutch.co/au/agencies?page=7</v>
      </c>
      <c r="B131" s="7" t="str">
        <f>IFERROR(__xludf.DUMMYFUNCTION("""COMPUTED_VALUE"""),"Page 7 - Top Advertising Agencies in Australia - Jul 2026 Rankings | Clutch.co")</f>
        <v>Page 7 - Top Advertising Agencies in Australia - Jul 2026 Rankings | Clutch.co</v>
      </c>
      <c r="C131" s="6" t="str">
        <f>IFERROR(__xludf.DUMMYFUNCTION("""COMPUTED_VALUE"""),"clutch.co")</f>
        <v>clutch.co</v>
      </c>
      <c r="D131" s="7" t="str">
        <f>IFERROR(__xludf.DUMMYFUNCTION("""COMPUTED_VALUE"""),"CATEGORY_PAGE")</f>
        <v>CATEGORY_PAGE</v>
      </c>
      <c r="E131" s="7" t="str">
        <f>IFERROR(__xludf.DUMMYFUNCTION("""COMPUTED_VALUE"""),"CORPORATE")</f>
        <v>CORPORATE</v>
      </c>
      <c r="F131" s="7" t="str">
        <f>IFERROR(__xludf.DUMMYFUNCTION("""COMPUTED_VALUE"""),"Category Page")</f>
        <v>Category Page</v>
      </c>
      <c r="G131" s="7" t="b">
        <f>IFERROR(__xludf.DUMMYFUNCTION("""COMPUTED_VALUE"""),FALSE)</f>
        <v>0</v>
      </c>
      <c r="H131" s="7" t="str">
        <f>IFERROR(__xludf.DUMMYFUNCTION("""COMPUTED_VALUE"""),"Version2, Impressive, weDiscover, Ninja Promo, Loud Days, Chello, Human Digital, Soup Agency, Bench Media, Farsiight, Insil, DNM Digital")</f>
        <v>Version2, Impressive, weDiscover, Ninja Promo, Loud Days, Chello, Human Digital, Soup Agency, Bench Media, Farsiight, Insil, DNM Digital</v>
      </c>
      <c r="I131" s="7">
        <f>IFERROR(__xludf.DUMMYFUNCTION("""COMPUTED_VALUE"""),1.0)</f>
        <v>1</v>
      </c>
      <c r="J131" s="7">
        <f>IFERROR(__xludf.DUMMYFUNCTION("""COMPUTED_VALUE"""),0.0)</f>
        <v>0</v>
      </c>
      <c r="K131" s="7">
        <f>IFERROR(__xludf.DUMMYFUNCTION("""COMPUTED_VALUE"""),0.0)</f>
        <v>0</v>
      </c>
    </row>
    <row r="132" ht="15.75" customHeight="1">
      <c r="A132" s="6" t="str">
        <f>IFERROR(__xludf.DUMMYFUNCTION("""COMPUTED_VALUE"""),"https://www.designrush.com/agency/paid-media-pay-per-click/google-adwords/au")</f>
        <v>https://www.designrush.com/agency/paid-media-pay-per-click/google-adwords/au</v>
      </c>
      <c r="B132" s="7" t="str">
        <f>IFERROR(__xludf.DUMMYFUNCTION("""COMPUTED_VALUE"""),"Top Google Ads Agencies in Australia | 2026")</f>
        <v>Top Google Ads Agencies in Australia | 2026</v>
      </c>
      <c r="C132" s="6" t="str">
        <f>IFERROR(__xludf.DUMMYFUNCTION("""COMPUTED_VALUE"""),"designrush.com")</f>
        <v>designrush.com</v>
      </c>
      <c r="D132" s="7" t="str">
        <f>IFERROR(__xludf.DUMMYFUNCTION("""COMPUTED_VALUE"""),"CATEGORY_PAGE")</f>
        <v>CATEGORY_PAGE</v>
      </c>
      <c r="E132" s="7" t="str">
        <f>IFERROR(__xludf.DUMMYFUNCTION("""COMPUTED_VALUE"""),"CORPORATE")</f>
        <v>CORPORATE</v>
      </c>
      <c r="F132" s="7" t="str">
        <f>IFERROR(__xludf.DUMMYFUNCTION("""COMPUTED_VALUE"""),"Category Page")</f>
        <v>Category Page</v>
      </c>
      <c r="G132" s="7" t="b">
        <f>IFERROR(__xludf.DUMMYFUNCTION("""COMPUTED_VALUE"""),FALSE)</f>
        <v>0</v>
      </c>
      <c r="H132" s="7" t="str">
        <f>IFERROR(__xludf.DUMMYFUNCTION("""COMPUTED_VALUE"""),"Impressive, Supple Digital, eMarket Experts, Online Marketing Gurus, SIXGUN, Digital Nomads HQ")</f>
        <v>Impressive, Supple Digital, eMarket Experts, Online Marketing Gurus, SIXGUN, Digital Nomads HQ</v>
      </c>
      <c r="I132" s="7">
        <f>IFERROR(__xludf.DUMMYFUNCTION("""COMPUTED_VALUE"""),1.0)</f>
        <v>1</v>
      </c>
      <c r="J132" s="7">
        <f>IFERROR(__xludf.DUMMYFUNCTION("""COMPUTED_VALUE"""),0.0)</f>
        <v>0</v>
      </c>
      <c r="K132" s="7">
        <f>IFERROR(__xludf.DUMMYFUNCTION("""COMPUTED_VALUE"""),1.0)</f>
        <v>1</v>
      </c>
    </row>
    <row r="133" ht="15.75" customHeight="1">
      <c r="A133" s="6" t="str">
        <f>IFERROR(__xludf.DUMMYFUNCTION("""COMPUTED_VALUE"""),"https://www.designrush.com/agency/search-engine-optimization/au")</f>
        <v>https://www.designrush.com/agency/search-engine-optimization/au</v>
      </c>
      <c r="B133" s="7" t="str">
        <f>IFERROR(__xludf.DUMMYFUNCTION("""COMPUTED_VALUE"""),"Top SEO Agencies in Australia | 2026")</f>
        <v>Top SEO Agencies in Australia | 2026</v>
      </c>
      <c r="C133" s="6" t="str">
        <f>IFERROR(__xludf.DUMMYFUNCTION("""COMPUTED_VALUE"""),"designrush.com")</f>
        <v>designrush.com</v>
      </c>
      <c r="D133" s="7" t="str">
        <f>IFERROR(__xludf.DUMMYFUNCTION("""COMPUTED_VALUE"""),"CATEGORY_PAGE")</f>
        <v>CATEGORY_PAGE</v>
      </c>
      <c r="E133" s="7" t="str">
        <f>IFERROR(__xludf.DUMMYFUNCTION("""COMPUTED_VALUE"""),"CORPORATE")</f>
        <v>CORPORATE</v>
      </c>
      <c r="F133" s="7" t="str">
        <f>IFERROR(__xludf.DUMMYFUNCTION("""COMPUTED_VALUE"""),"Category Page")</f>
        <v>Category Page</v>
      </c>
      <c r="G133" s="7" t="b">
        <f>IFERROR(__xludf.DUMMYFUNCTION("""COMPUTED_VALUE"""),FALSE)</f>
        <v>0</v>
      </c>
      <c r="H133" s="7" t="str">
        <f>IFERROR(__xludf.DUMMYFUNCTION("""COMPUTED_VALUE"""),"Impressive, First Page, First Page Australia, Supple Digital, eMarket Experts, Online Marketing Gurus, SIXGUN, UR Digital, Digital Nomads HQ, Saatchi &amp; Saatchi")</f>
        <v>Impressive, First Page, First Page Australia, Supple Digital, eMarket Experts, Online Marketing Gurus, SIXGUN, UR Digital, Digital Nomads HQ, Saatchi &amp; Saatchi</v>
      </c>
      <c r="I133" s="7">
        <f>IFERROR(__xludf.DUMMYFUNCTION("""COMPUTED_VALUE"""),1.0)</f>
        <v>1</v>
      </c>
      <c r="J133" s="7">
        <f>IFERROR(__xludf.DUMMYFUNCTION("""COMPUTED_VALUE"""),0.0)</f>
        <v>0</v>
      </c>
      <c r="K133" s="7">
        <f>IFERROR(__xludf.DUMMYFUNCTION("""COMPUTED_VALUE"""),0.0)</f>
        <v>0</v>
      </c>
    </row>
    <row r="134" ht="15.75" customHeight="1">
      <c r="A134" s="6" t="str">
        <f>IFERROR(__xludf.DUMMYFUNCTION("""COMPUTED_VALUE"""),"https://digitalagencynetwork.com/agencies/australia/creative/page/4/")</f>
        <v>https://digitalagencynetwork.com/agencies/australia/creative/page/4/</v>
      </c>
      <c r="B134" s="7" t="str">
        <f>IFERROR(__xludf.DUMMYFUNCTION("""COMPUTED_VALUE"""),"Best Creative Agencies in Australia")</f>
        <v>Best Creative Agencies in Australia</v>
      </c>
      <c r="C134" s="6" t="str">
        <f>IFERROR(__xludf.DUMMYFUNCTION("""COMPUTED_VALUE"""),"digitalagencynetwork.com")</f>
        <v>digitalagencynetwork.com</v>
      </c>
      <c r="D134" s="7" t="str">
        <f>IFERROR(__xludf.DUMMYFUNCTION("""COMPUTED_VALUE"""),"CATEGORY_PAGE")</f>
        <v>CATEGORY_PAGE</v>
      </c>
      <c r="E134" s="7" t="str">
        <f>IFERROR(__xludf.DUMMYFUNCTION("""COMPUTED_VALUE"""),"REFERENCE")</f>
        <v>REFERENCE</v>
      </c>
      <c r="F134" s="7" t="str">
        <f>IFERROR(__xludf.DUMMYFUNCTION("""COMPUTED_VALUE"""),"Category Page")</f>
        <v>Category Page</v>
      </c>
      <c r="G134" s="7" t="b">
        <f>IFERROR(__xludf.DUMMYFUNCTION("""COMPUTED_VALUE"""),FALSE)</f>
        <v>0</v>
      </c>
      <c r="H134" s="7" t="str">
        <f>IFERROR(__xludf.DUMMYFUNCTION("""COMPUTED_VALUE"""),"weDiscover")</f>
        <v>weDiscover</v>
      </c>
      <c r="I134" s="7">
        <f>IFERROR(__xludf.DUMMYFUNCTION("""COMPUTED_VALUE"""),1.0)</f>
        <v>1</v>
      </c>
      <c r="J134" s="7">
        <f>IFERROR(__xludf.DUMMYFUNCTION("""COMPUTED_VALUE"""),0.0)</f>
        <v>0</v>
      </c>
      <c r="K134" s="7">
        <f>IFERROR(__xludf.DUMMYFUNCTION("""COMPUTED_VALUE"""),0.0)</f>
        <v>0</v>
      </c>
    </row>
    <row r="135" ht="15.75" customHeight="1">
      <c r="A135" s="6" t="str">
        <f>IFERROR(__xludf.DUMMYFUNCTION("""COMPUTED_VALUE"""),"https://digitalagencynetwork.com/agencies/sydney/")</f>
        <v>https://digitalagencynetwork.com/agencies/sydney/</v>
      </c>
      <c r="B135" s="7" t="str">
        <f>IFERROR(__xludf.DUMMYFUNCTION("""COMPUTED_VALUE"""),"Best Digital Marketing Agencies in Sydney (2026)")</f>
        <v>Best Digital Marketing Agencies in Sydney (2026)</v>
      </c>
      <c r="C135" s="6" t="str">
        <f>IFERROR(__xludf.DUMMYFUNCTION("""COMPUTED_VALUE"""),"digitalagencynetwork.com")</f>
        <v>digitalagencynetwork.com</v>
      </c>
      <c r="D135" s="7" t="str">
        <f>IFERROR(__xludf.DUMMYFUNCTION("""COMPUTED_VALUE"""),"CATEGORY_PAGE")</f>
        <v>CATEGORY_PAGE</v>
      </c>
      <c r="E135" s="7" t="str">
        <f>IFERROR(__xludf.DUMMYFUNCTION("""COMPUTED_VALUE"""),"REFERENCE")</f>
        <v>REFERENCE</v>
      </c>
      <c r="F135" s="7" t="str">
        <f>IFERROR(__xludf.DUMMYFUNCTION("""COMPUTED_VALUE"""),"Category Page")</f>
        <v>Category Page</v>
      </c>
      <c r="G135" s="7" t="b">
        <f>IFERROR(__xludf.DUMMYFUNCTION("""COMPUTED_VALUE"""),FALSE)</f>
        <v>0</v>
      </c>
      <c r="H135" s="7" t="str">
        <f>IFERROR(__xludf.DUMMYFUNCTION("""COMPUTED_VALUE"""),"Luminary, Supple Digital, Jaywing, In Marketing We Trust, Digital Nomads HQ, Soup Agency, Emote Digital, Human Digital, Online Marketing Gurus, Insil, Zib Digital, Bench Media, AdVisible")</f>
        <v>Luminary, Supple Digital, Jaywing, In Marketing We Trust, Digital Nomads HQ, Soup Agency, Emote Digital, Human Digital, Online Marketing Gurus, Insil, Zib Digital, Bench Media, AdVisible</v>
      </c>
      <c r="I135" s="7">
        <f>IFERROR(__xludf.DUMMYFUNCTION("""COMPUTED_VALUE"""),1.0)</f>
        <v>1</v>
      </c>
      <c r="J135" s="7">
        <f>IFERROR(__xludf.DUMMYFUNCTION("""COMPUTED_VALUE"""),0.0)</f>
        <v>0</v>
      </c>
      <c r="K135" s="7">
        <f>IFERROR(__xludf.DUMMYFUNCTION("""COMPUTED_VALUE"""),1.0)</f>
        <v>1</v>
      </c>
    </row>
    <row r="136" ht="15.75" customHeight="1">
      <c r="A136" s="6" t="str">
        <f>IFERROR(__xludf.DUMMYFUNCTION("""COMPUTED_VALUE"""),"https://elioplus.com/asia-pacific/australia/victoria/melbourne/channel-partners/google")</f>
        <v>https://elioplus.com/asia-pacific/australia/victoria/melbourne/channel-partners/google</v>
      </c>
      <c r="B136" s="7" t="str">
        <f>IFERROR(__xludf.DUMMYFUNCTION("""COMPUTED_VALUE"""),"Best Google partners &amp; resellers in Melbourne \| Elioplus")</f>
        <v>Best Google partners &amp; resellers in Melbourne \| Elioplus</v>
      </c>
      <c r="C136" s="6" t="str">
        <f>IFERROR(__xludf.DUMMYFUNCTION("""COMPUTED_VALUE"""),"elioplus.com")</f>
        <v>elioplus.com</v>
      </c>
      <c r="D136" s="7" t="str">
        <f>IFERROR(__xludf.DUMMYFUNCTION("""COMPUTED_VALUE"""),"CATEGORY_PAGE")</f>
        <v>CATEGORY_PAGE</v>
      </c>
      <c r="E136" s="7" t="str">
        <f>IFERROR(__xludf.DUMMYFUNCTION("""COMPUTED_VALUE"""),"CORPORATE")</f>
        <v>CORPORATE</v>
      </c>
      <c r="F136" s="7" t="str">
        <f>IFERROR(__xludf.DUMMYFUNCTION("""COMPUTED_VALUE"""),"Category Page")</f>
        <v>Category Page</v>
      </c>
      <c r="G136" s="7" t="b">
        <f>IFERROR(__xludf.DUMMYFUNCTION("""COMPUTED_VALUE"""),FALSE)</f>
        <v>0</v>
      </c>
      <c r="H136" s="7" t="str">
        <f>IFERROR(__xludf.DUMMYFUNCTION("""COMPUTED_VALUE"""),"King Kong, Impressive, eMarket Experts")</f>
        <v>King Kong, Impressive, eMarket Experts</v>
      </c>
      <c r="I136" s="7">
        <f>IFERROR(__xludf.DUMMYFUNCTION("""COMPUTED_VALUE"""),1.0)</f>
        <v>1</v>
      </c>
      <c r="J136" s="7">
        <f>IFERROR(__xludf.DUMMYFUNCTION("""COMPUTED_VALUE"""),0.0)</f>
        <v>0</v>
      </c>
      <c r="K136" s="7">
        <f>IFERROR(__xludf.DUMMYFUNCTION("""COMPUTED_VALUE"""),0.0)</f>
        <v>0</v>
      </c>
    </row>
    <row r="137" ht="15.75" customHeight="1">
      <c r="A137" s="6" t="str">
        <f>IFERROR(__xludf.DUMMYFUNCTION("""COMPUTED_VALUE"""),"https://www.goodfirms.co/advertising-companies/creative/melbourne")</f>
        <v>https://www.goodfirms.co/advertising-companies/creative/melbourne</v>
      </c>
      <c r="B137" s="7" t="str">
        <f>IFERROR(__xludf.DUMMYFUNCTION("""COMPUTED_VALUE"""),"Top Creative Agencies in Melbourne - 2026 Reviews | Goodfirms")</f>
        <v>Top Creative Agencies in Melbourne - 2026 Reviews | Goodfirms</v>
      </c>
      <c r="C137" s="6" t="str">
        <f>IFERROR(__xludf.DUMMYFUNCTION("""COMPUTED_VALUE"""),"goodfirms.co")</f>
        <v>goodfirms.co</v>
      </c>
      <c r="D137" s="7" t="str">
        <f>IFERROR(__xludf.DUMMYFUNCTION("""COMPUTED_VALUE"""),"CATEGORY_PAGE")</f>
        <v>CATEGORY_PAGE</v>
      </c>
      <c r="E137" s="7" t="str">
        <f>IFERROR(__xludf.DUMMYFUNCTION("""COMPUTED_VALUE"""),"UGC")</f>
        <v>UGC</v>
      </c>
      <c r="F137" s="7" t="str">
        <f>IFERROR(__xludf.DUMMYFUNCTION("""COMPUTED_VALUE"""),"Category Page")</f>
        <v>Category Page</v>
      </c>
      <c r="G137" s="7" t="b">
        <f>IFERROR(__xludf.DUMMYFUNCTION("""COMPUTED_VALUE"""),FALSE)</f>
        <v>0</v>
      </c>
      <c r="H137" s="7" t="str">
        <f>IFERROR(__xludf.DUMMYFUNCTION("""COMPUTED_VALUE"""),"Uprise Digital, Omnicom Media Group, Digital Movement")</f>
        <v>Uprise Digital, Omnicom Media Group, Digital Movement</v>
      </c>
      <c r="I137" s="7">
        <f>IFERROR(__xludf.DUMMYFUNCTION("""COMPUTED_VALUE"""),1.0)</f>
        <v>1</v>
      </c>
      <c r="J137" s="7">
        <f>IFERROR(__xludf.DUMMYFUNCTION("""COMPUTED_VALUE"""),0.0)</f>
        <v>0</v>
      </c>
      <c r="K137" s="7">
        <f>IFERROR(__xludf.DUMMYFUNCTION("""COMPUTED_VALUE"""),0.0)</f>
        <v>0</v>
      </c>
    </row>
    <row r="138" ht="15.75" customHeight="1">
      <c r="A138" s="6" t="str">
        <f>IFERROR(__xludf.DUMMYFUNCTION("""COMPUTED_VALUE"""),"https://www.goodfirms.co/artificial-intelligence/sydney")</f>
        <v>https://www.goodfirms.co/artificial-intelligence/sydney</v>
      </c>
      <c r="B138" s="7" t="str">
        <f>IFERROR(__xludf.DUMMYFUNCTION("""COMPUTED_VALUE"""),"Top Artificial Intelligence Companies in Sydney - 2026 Reviews | Goodfirms")</f>
        <v>Top Artificial Intelligence Companies in Sydney - 2026 Reviews | Goodfirms</v>
      </c>
      <c r="C138" s="6" t="str">
        <f>IFERROR(__xludf.DUMMYFUNCTION("""COMPUTED_VALUE"""),"goodfirms.co")</f>
        <v>goodfirms.co</v>
      </c>
      <c r="D138" s="7" t="str">
        <f>IFERROR(__xludf.DUMMYFUNCTION("""COMPUTED_VALUE"""),"CATEGORY_PAGE")</f>
        <v>CATEGORY_PAGE</v>
      </c>
      <c r="E138" s="7" t="str">
        <f>IFERROR(__xludf.DUMMYFUNCTION("""COMPUTED_VALUE"""),"UGC")</f>
        <v>UGC</v>
      </c>
      <c r="F138" s="7" t="str">
        <f>IFERROR(__xludf.DUMMYFUNCTION("""COMPUTED_VALUE"""),"Category Page")</f>
        <v>Category Page</v>
      </c>
      <c r="G138" s="7" t="b">
        <f>IFERROR(__xludf.DUMMYFUNCTION("""COMPUTED_VALUE"""),FALSE)</f>
        <v>0</v>
      </c>
      <c r="H138" s="7" t="str">
        <f>IFERROR(__xludf.DUMMYFUNCTION("""COMPUTED_VALUE"""),"Team 400, Impressive, Get AI Ready")</f>
        <v>Team 400, Impressive, Get AI Ready</v>
      </c>
      <c r="I138" s="7">
        <f>IFERROR(__xludf.DUMMYFUNCTION("""COMPUTED_VALUE"""),1.0)</f>
        <v>1</v>
      </c>
      <c r="J138" s="7">
        <f>IFERROR(__xludf.DUMMYFUNCTION("""COMPUTED_VALUE"""),0.0)</f>
        <v>0</v>
      </c>
      <c r="K138" s="7">
        <f>IFERROR(__xludf.DUMMYFUNCTION("""COMPUTED_VALUE"""),0.0)</f>
        <v>0</v>
      </c>
    </row>
    <row r="139" ht="15.75" customHeight="1">
      <c r="A139" s="6" t="str">
        <f>IFERROR(__xludf.DUMMYFUNCTION("""COMPUTED_VALUE"""),"https://www.goodfirms.co/directory/city/top-digital-marketing-companies/advertising-ppc/brisbane")</f>
        <v>https://www.goodfirms.co/directory/city/top-digital-marketing-companies/advertising-ppc/brisbane</v>
      </c>
      <c r="B139" s="7" t="str">
        <f>IFERROR(__xludf.DUMMYFUNCTION("""COMPUTED_VALUE"""),"Top PPC Agencies in Brisbane - 2026 Reviews | Goodfirms")</f>
        <v>Top PPC Agencies in Brisbane - 2026 Reviews | Goodfirms</v>
      </c>
      <c r="C139" s="6" t="str">
        <f>IFERROR(__xludf.DUMMYFUNCTION("""COMPUTED_VALUE"""),"goodfirms.co")</f>
        <v>goodfirms.co</v>
      </c>
      <c r="D139" s="7" t="str">
        <f>IFERROR(__xludf.DUMMYFUNCTION("""COMPUTED_VALUE"""),"CATEGORY_PAGE")</f>
        <v>CATEGORY_PAGE</v>
      </c>
      <c r="E139" s="7" t="str">
        <f>IFERROR(__xludf.DUMMYFUNCTION("""COMPUTED_VALUE"""),"UGC")</f>
        <v>UGC</v>
      </c>
      <c r="F139" s="7" t="str">
        <f>IFERROR(__xludf.DUMMYFUNCTION("""COMPUTED_VALUE"""),"Category Page")</f>
        <v>Category Page</v>
      </c>
      <c r="G139" s="7" t="b">
        <f>IFERROR(__xludf.DUMMYFUNCTION("""COMPUTED_VALUE"""),FALSE)</f>
        <v>0</v>
      </c>
      <c r="H139" s="7" t="str">
        <f>IFERROR(__xludf.DUMMYFUNCTION("""COMPUTED_VALUE"""),"Farsiight, First Page")</f>
        <v>Farsiight, First Page</v>
      </c>
      <c r="I139" s="7">
        <f>IFERROR(__xludf.DUMMYFUNCTION("""COMPUTED_VALUE"""),1.0)</f>
        <v>1</v>
      </c>
      <c r="J139" s="7">
        <f>IFERROR(__xludf.DUMMYFUNCTION("""COMPUTED_VALUE"""),0.0)</f>
        <v>0</v>
      </c>
      <c r="K139" s="7">
        <f>IFERROR(__xludf.DUMMYFUNCTION("""COMPUTED_VALUE"""),0.0)</f>
        <v>0</v>
      </c>
    </row>
    <row r="140" ht="15.75" customHeight="1">
      <c r="A140" s="6" t="str">
        <f>IFERROR(__xludf.DUMMYFUNCTION("""COMPUTED_VALUE"""),"https://www.goodfirms.co/directory/city/top-digital-marketing-companies/media-planning-buying/sydney")</f>
        <v>https://www.goodfirms.co/directory/city/top-digital-marketing-companies/media-planning-buying/sydney</v>
      </c>
      <c r="B140" s="7" t="str">
        <f>IFERROR(__xludf.DUMMYFUNCTION("""COMPUTED_VALUE"""),"Top Media Buying Agencies in Sydney - 2026 Reviews | Goodfirms")</f>
        <v>Top Media Buying Agencies in Sydney - 2026 Reviews | Goodfirms</v>
      </c>
      <c r="C140" s="6" t="str">
        <f>IFERROR(__xludf.DUMMYFUNCTION("""COMPUTED_VALUE"""),"goodfirms.co")</f>
        <v>goodfirms.co</v>
      </c>
      <c r="D140" s="7" t="str">
        <f>IFERROR(__xludf.DUMMYFUNCTION("""COMPUTED_VALUE"""),"CATEGORY_PAGE")</f>
        <v>CATEGORY_PAGE</v>
      </c>
      <c r="E140" s="7" t="str">
        <f>IFERROR(__xludf.DUMMYFUNCTION("""COMPUTED_VALUE"""),"UGC")</f>
        <v>UGC</v>
      </c>
      <c r="F140" s="7" t="str">
        <f>IFERROR(__xludf.DUMMYFUNCTION("""COMPUTED_VALUE"""),"Category Page")</f>
        <v>Category Page</v>
      </c>
      <c r="G140" s="7" t="b">
        <f>IFERROR(__xludf.DUMMYFUNCTION("""COMPUTED_VALUE"""),FALSE)</f>
        <v>0</v>
      </c>
      <c r="H140" s="7" t="str">
        <f>IFERROR(__xludf.DUMMYFUNCTION("""COMPUTED_VALUE"""),"Bench Media, Soup Agency, AdVisible, Impressive, CUT THRU")</f>
        <v>Bench Media, Soup Agency, AdVisible, Impressive, CUT THRU</v>
      </c>
      <c r="I140" s="7">
        <f>IFERROR(__xludf.DUMMYFUNCTION("""COMPUTED_VALUE"""),1.0)</f>
        <v>1</v>
      </c>
      <c r="J140" s="7">
        <f>IFERROR(__xludf.DUMMYFUNCTION("""COMPUTED_VALUE"""),0.0)</f>
        <v>0</v>
      </c>
      <c r="K140" s="7">
        <f>IFERROR(__xludf.DUMMYFUNCTION("""COMPUTED_VALUE"""),0.0)</f>
        <v>0</v>
      </c>
    </row>
    <row r="141" ht="15.75" customHeight="1">
      <c r="A141" s="6" t="str">
        <f>IFERROR(__xludf.DUMMYFUNCTION("""COMPUTED_VALUE"""),"https://www.incremental.com/solutions")</f>
        <v>https://www.incremental.com/solutions</v>
      </c>
      <c r="B141" s="7" t="str">
        <f>IFERROR(__xludf.DUMMYFUNCTION("""COMPUTED_VALUE"""),"Retail Media Incrementality Measurement &amp;amp; Optimization | Incremental — Incremental")</f>
        <v>Retail Media Incrementality Measurement &amp;amp; Optimization | Incremental — Incremental</v>
      </c>
      <c r="C141" s="6" t="str">
        <f>IFERROR(__xludf.DUMMYFUNCTION("""COMPUTED_VALUE"""),"incremental.com")</f>
        <v>incremental.com</v>
      </c>
      <c r="D141" s="7" t="str">
        <f>IFERROR(__xludf.DUMMYFUNCTION("""COMPUTED_VALUE"""),"CATEGORY_PAGE")</f>
        <v>CATEGORY_PAGE</v>
      </c>
      <c r="E141" s="7" t="str">
        <f>IFERROR(__xludf.DUMMYFUNCTION("""COMPUTED_VALUE"""),"CORPORATE")</f>
        <v>CORPORATE</v>
      </c>
      <c r="F141" s="7" t="str">
        <f>IFERROR(__xludf.DUMMYFUNCTION("""COMPUTED_VALUE"""),"Category Page")</f>
        <v>Category Page</v>
      </c>
      <c r="G141" s="7" t="b">
        <f>IFERROR(__xludf.DUMMYFUNCTION("""COMPUTED_VALUE"""),FALSE)</f>
        <v>0</v>
      </c>
      <c r="H141" s="7" t="str">
        <f>IFERROR(__xludf.DUMMYFUNCTION("""COMPUTED_VALUE"""),"WPP")</f>
        <v>WPP</v>
      </c>
      <c r="I141" s="7">
        <f>IFERROR(__xludf.DUMMYFUNCTION("""COMPUTED_VALUE"""),1.0)</f>
        <v>1</v>
      </c>
      <c r="J141" s="7">
        <f>IFERROR(__xludf.DUMMYFUNCTION("""COMPUTED_VALUE"""),0.0)</f>
        <v>0</v>
      </c>
      <c r="K141" s="7">
        <f>IFERROR(__xludf.DUMMYFUNCTION("""COMPUTED_VALUE"""),0.0)</f>
        <v>0</v>
      </c>
    </row>
    <row r="142" ht="15.75" customHeight="1">
      <c r="A142" s="6" t="str">
        <f>IFERROR(__xludf.DUMMYFUNCTION("""COMPUTED_VALUE"""),"https://jacinthsolutions.com.au/blog")</f>
        <v>https://jacinthsolutions.com.au/blog</v>
      </c>
      <c r="B142" s="7" t="str">
        <f>IFERROR(__xludf.DUMMYFUNCTION("""COMPUTED_VALUE"""),"Jacinth Solutions \| AI-Powered Business Infrastructure")</f>
        <v>Jacinth Solutions \| AI-Powered Business Infrastructure</v>
      </c>
      <c r="C142" s="6" t="str">
        <f>IFERROR(__xludf.DUMMYFUNCTION("""COMPUTED_VALUE"""),"jacinthsolutions.com.au")</f>
        <v>jacinthsolutions.com.au</v>
      </c>
      <c r="D142" s="7" t="str">
        <f>IFERROR(__xludf.DUMMYFUNCTION("""COMPUTED_VALUE"""),"CATEGORY_PAGE")</f>
        <v>CATEGORY_PAGE</v>
      </c>
      <c r="E142" s="7" t="str">
        <f>IFERROR(__xludf.DUMMYFUNCTION("""COMPUTED_VALUE"""),"CORPORATE")</f>
        <v>CORPORATE</v>
      </c>
      <c r="F142" s="7" t="str">
        <f>IFERROR(__xludf.DUMMYFUNCTION("""COMPUTED_VALUE"""),"Category Page")</f>
        <v>Category Page</v>
      </c>
      <c r="G142" s="7" t="b">
        <f>IFERROR(__xludf.DUMMYFUNCTION("""COMPUTED_VALUE"""),FALSE)</f>
        <v>0</v>
      </c>
      <c r="H142" s="7" t="str">
        <f>IFERROR(__xludf.DUMMYFUNCTION("""COMPUTED_VALUE"""),"Measured")</f>
        <v>Measured</v>
      </c>
      <c r="I142" s="7">
        <f>IFERROR(__xludf.DUMMYFUNCTION("""COMPUTED_VALUE"""),1.0)</f>
        <v>1</v>
      </c>
      <c r="J142" s="7">
        <f>IFERROR(__xludf.DUMMYFUNCTION("""COMPUTED_VALUE"""),0.0)</f>
        <v>0</v>
      </c>
      <c r="K142" s="7">
        <f>IFERROR(__xludf.DUMMYFUNCTION("""COMPUTED_VALUE"""),1.0)</f>
        <v>1</v>
      </c>
    </row>
    <row r="143" ht="15.75" customHeight="1">
      <c r="A143" s="6" t="str">
        <f>IFERROR(__xludf.DUMMYFUNCTION("""COMPUTED_VALUE"""),"https://marketingcosmos.com/agencies/data-analytics/sydney")</f>
        <v>https://marketingcosmos.com/agencies/data-analytics/sydney</v>
      </c>
      <c r="B143" s="7" t="str">
        <f>IFERROR(__xludf.DUMMYFUNCTION("""COMPUTED_VALUE"""),"TOP Data Analytics Companies in Sydney - Marketing Cosmos")</f>
        <v>TOP Data Analytics Companies in Sydney - Marketing Cosmos</v>
      </c>
      <c r="C143" s="6" t="str">
        <f>IFERROR(__xludf.DUMMYFUNCTION("""COMPUTED_VALUE"""),"marketingcosmos.com")</f>
        <v>marketingcosmos.com</v>
      </c>
      <c r="D143" s="7" t="str">
        <f>IFERROR(__xludf.DUMMYFUNCTION("""COMPUTED_VALUE"""),"CATEGORY_PAGE")</f>
        <v>CATEGORY_PAGE</v>
      </c>
      <c r="E143" s="7" t="str">
        <f>IFERROR(__xludf.DUMMYFUNCTION("""COMPUTED_VALUE"""),"CORPORATE")</f>
        <v>CORPORATE</v>
      </c>
      <c r="F143" s="7" t="str">
        <f>IFERROR(__xludf.DUMMYFUNCTION("""COMPUTED_VALUE"""),"Category Page")</f>
        <v>Category Page</v>
      </c>
      <c r="G143" s="7" t="b">
        <f>IFERROR(__xludf.DUMMYFUNCTION("""COMPUTED_VALUE"""),FALSE)</f>
        <v>0</v>
      </c>
      <c r="H143" s="7" t="str">
        <f>IFERROR(__xludf.DUMMYFUNCTION("""COMPUTED_VALUE"""),"Bonfire, Metric Labs")</f>
        <v>Bonfire, Metric Labs</v>
      </c>
      <c r="I143" s="7">
        <f>IFERROR(__xludf.DUMMYFUNCTION("""COMPUTED_VALUE"""),1.0)</f>
        <v>1</v>
      </c>
      <c r="J143" s="7">
        <f>IFERROR(__xludf.DUMMYFUNCTION("""COMPUTED_VALUE"""),0.0)</f>
        <v>0</v>
      </c>
      <c r="K143" s="7">
        <f>IFERROR(__xludf.DUMMYFUNCTION("""COMPUTED_VALUE"""),0.0)</f>
        <v>0</v>
      </c>
    </row>
    <row r="144" ht="15.75" customHeight="1">
      <c r="A144" s="6" t="str">
        <f>IFERROR(__xludf.DUMMYFUNCTION("""COMPUTED_VALUE"""),"https://marketingcosmos.com/agencies/display-ads/perth")</f>
        <v>https://marketingcosmos.com/agencies/display-ads/perth</v>
      </c>
      <c r="B144" s="7" t="str">
        <f>IFERROR(__xludf.DUMMYFUNCTION("""COMPUTED_VALUE"""),"TOP Display Ads Companies in Perth - Marketing Cosmos")</f>
        <v>TOP Display Ads Companies in Perth - Marketing Cosmos</v>
      </c>
      <c r="C144" s="6" t="str">
        <f>IFERROR(__xludf.DUMMYFUNCTION("""COMPUTED_VALUE"""),"marketingcosmos.com")</f>
        <v>marketingcosmos.com</v>
      </c>
      <c r="D144" s="7" t="str">
        <f>IFERROR(__xludf.DUMMYFUNCTION("""COMPUTED_VALUE"""),"CATEGORY_PAGE")</f>
        <v>CATEGORY_PAGE</v>
      </c>
      <c r="E144" s="7" t="str">
        <f>IFERROR(__xludf.DUMMYFUNCTION("""COMPUTED_VALUE"""),"CORPORATE")</f>
        <v>CORPORATE</v>
      </c>
      <c r="F144" s="7" t="str">
        <f>IFERROR(__xludf.DUMMYFUNCTION("""COMPUTED_VALUE"""),"Category Page")</f>
        <v>Category Page</v>
      </c>
      <c r="G144" s="7" t="b">
        <f>IFERROR(__xludf.DUMMYFUNCTION("""COMPUTED_VALUE"""),FALSE)</f>
        <v>0</v>
      </c>
      <c r="H144" s="7" t="str">
        <f>IFERROR(__xludf.DUMMYFUNCTION("""COMPUTED_VALUE"""),"Bonfire")</f>
        <v>Bonfire</v>
      </c>
      <c r="I144" s="7">
        <f>IFERROR(__xludf.DUMMYFUNCTION("""COMPUTED_VALUE"""),1.0)</f>
        <v>1</v>
      </c>
      <c r="J144" s="7">
        <f>IFERROR(__xludf.DUMMYFUNCTION("""COMPUTED_VALUE"""),0.0)</f>
        <v>0</v>
      </c>
      <c r="K144" s="7">
        <f>IFERROR(__xludf.DUMMYFUNCTION("""COMPUTED_VALUE"""),0.0)</f>
        <v>0</v>
      </c>
    </row>
    <row r="145" ht="15.75" customHeight="1">
      <c r="A145" s="6" t="str">
        <f>IFERROR(__xludf.DUMMYFUNCTION("""COMPUTED_VALUE"""),"https://www.razorfish.com.au/work")</f>
        <v>https://www.razorfish.com.au/work</v>
      </c>
      <c r="B145" s="7" t="str">
        <f>IFERROR(__xludf.DUMMYFUNCTION("""COMPUTED_VALUE"""),"Our Work | Case Studies and Agency Work by Razorfish")</f>
        <v>Our Work | Case Studies and Agency Work by Razorfish</v>
      </c>
      <c r="C145" s="6" t="str">
        <f>IFERROR(__xludf.DUMMYFUNCTION("""COMPUTED_VALUE"""),"razorfish.com.au")</f>
        <v>razorfish.com.au</v>
      </c>
      <c r="D145" s="7" t="str">
        <f>IFERROR(__xludf.DUMMYFUNCTION("""COMPUTED_VALUE"""),"CATEGORY_PAGE")</f>
        <v>CATEGORY_PAGE</v>
      </c>
      <c r="E145" s="7" t="str">
        <f>IFERROR(__xludf.DUMMYFUNCTION("""COMPUTED_VALUE"""),"CORPORATE")</f>
        <v>CORPORATE</v>
      </c>
      <c r="F145" s="7" t="str">
        <f>IFERROR(__xludf.DUMMYFUNCTION("""COMPUTED_VALUE"""),"Category Page")</f>
        <v>Category Page</v>
      </c>
      <c r="G145" s="7" t="b">
        <f>IFERROR(__xludf.DUMMYFUNCTION("""COMPUTED_VALUE"""),FALSE)</f>
        <v>0</v>
      </c>
      <c r="H145" s="7" t="str">
        <f>IFERROR(__xludf.DUMMYFUNCTION("""COMPUTED_VALUE"""),"Publicis Groupe")</f>
        <v>Publicis Groupe</v>
      </c>
      <c r="I145" s="7">
        <f>IFERROR(__xludf.DUMMYFUNCTION("""COMPUTED_VALUE"""),1.0)</f>
        <v>1</v>
      </c>
      <c r="J145" s="7">
        <f>IFERROR(__xludf.DUMMYFUNCTION("""COMPUTED_VALUE"""),0.0)</f>
        <v>0</v>
      </c>
      <c r="K145" s="7">
        <f>IFERROR(__xludf.DUMMYFUNCTION("""COMPUTED_VALUE"""),1.0)</f>
        <v>1</v>
      </c>
    </row>
    <row r="146" ht="15.75" customHeight="1">
      <c r="A146" s="6" t="str">
        <f>IFERROR(__xludf.DUMMYFUNCTION("""COMPUTED_VALUE"""),"https://scopicstudios.com/blog/best-incrementality-testing-tools-2026/")</f>
        <v>https://scopicstudios.com/blog/best-incrementality-testing-tools-2026/</v>
      </c>
      <c r="B146" s="7" t="str">
        <f>IFERROR(__xludf.DUMMYFUNCTION("""COMPUTED_VALUE"""),"8 Best Incrementality Testing Tools for Measurement")</f>
        <v>8 Best Incrementality Testing Tools for Measurement</v>
      </c>
      <c r="C146" s="6" t="str">
        <f>IFERROR(__xludf.DUMMYFUNCTION("""COMPUTED_VALUE"""),"scopicstudios.com")</f>
        <v>scopicstudios.com</v>
      </c>
      <c r="D146" s="7" t="str">
        <f>IFERROR(__xludf.DUMMYFUNCTION("""COMPUTED_VALUE"""),"CATEGORY_PAGE")</f>
        <v>CATEGORY_PAGE</v>
      </c>
      <c r="E146" s="7" t="str">
        <f>IFERROR(__xludf.DUMMYFUNCTION("""COMPUTED_VALUE"""),"CORPORATE")</f>
        <v>CORPORATE</v>
      </c>
      <c r="F146" s="7" t="str">
        <f>IFERROR(__xludf.DUMMYFUNCTION("""COMPUTED_VALUE"""),"Category Page")</f>
        <v>Category Page</v>
      </c>
      <c r="G146" s="7" t="b">
        <f>IFERROR(__xludf.DUMMYFUNCTION("""COMPUTED_VALUE"""),FALSE)</f>
        <v>0</v>
      </c>
      <c r="H146" s="7"/>
      <c r="I146" s="7">
        <f>IFERROR(__xludf.DUMMYFUNCTION("""COMPUTED_VALUE"""),1.0)</f>
        <v>1</v>
      </c>
      <c r="J146" s="7">
        <f>IFERROR(__xludf.DUMMYFUNCTION("""COMPUTED_VALUE"""),0.0)</f>
        <v>0</v>
      </c>
      <c r="K146" s="7">
        <f>IFERROR(__xludf.DUMMYFUNCTION("""COMPUTED_VALUE"""),0.0)</f>
        <v>0</v>
      </c>
    </row>
    <row r="147" ht="15.75" customHeight="1">
      <c r="A147" s="6" t="str">
        <f>IFERROR(__xludf.DUMMYFUNCTION("""COMPUTED_VALUE"""),"https://sd-group.com.au/en/blog")</f>
        <v>https://sd-group.com.au/en/blog</v>
      </c>
      <c r="B147" s="7" t="str">
        <f>IFERROR(__xludf.DUMMYFUNCTION("""COMPUTED_VALUE"""),"Stochastic Dominance Group Pty Ltd :: Blog")</f>
        <v>Stochastic Dominance Group Pty Ltd :: Blog</v>
      </c>
      <c r="C147" s="6" t="str">
        <f>IFERROR(__xludf.DUMMYFUNCTION("""COMPUTED_VALUE"""),"sd-group.com.au")</f>
        <v>sd-group.com.au</v>
      </c>
      <c r="D147" s="7" t="str">
        <f>IFERROR(__xludf.DUMMYFUNCTION("""COMPUTED_VALUE"""),"CATEGORY_PAGE")</f>
        <v>CATEGORY_PAGE</v>
      </c>
      <c r="E147" s="7" t="str">
        <f>IFERROR(__xludf.DUMMYFUNCTION("""COMPUTED_VALUE"""),"CORPORATE")</f>
        <v>CORPORATE</v>
      </c>
      <c r="F147" s="7" t="str">
        <f>IFERROR(__xludf.DUMMYFUNCTION("""COMPUTED_VALUE"""),"Category Page")</f>
        <v>Category Page</v>
      </c>
      <c r="G147" s="7" t="b">
        <f>IFERROR(__xludf.DUMMYFUNCTION("""COMPUTED_VALUE"""),FALSE)</f>
        <v>0</v>
      </c>
      <c r="H147" s="7" t="str">
        <f>IFERROR(__xludf.DUMMYFUNCTION("""COMPUTED_VALUE"""),"PHD")</f>
        <v>PHD</v>
      </c>
      <c r="I147" s="7">
        <f>IFERROR(__xludf.DUMMYFUNCTION("""COMPUTED_VALUE"""),1.0)</f>
        <v>1</v>
      </c>
      <c r="J147" s="7">
        <f>IFERROR(__xludf.DUMMYFUNCTION("""COMPUTED_VALUE"""),0.0)</f>
        <v>0</v>
      </c>
      <c r="K147" s="7">
        <f>IFERROR(__xludf.DUMMYFUNCTION("""COMPUTED_VALUE"""),1.0)</f>
        <v>1</v>
      </c>
    </row>
    <row r="148" ht="15.75" customHeight="1">
      <c r="A148" s="6" t="str">
        <f>IFERROR(__xludf.DUMMYFUNCTION("""COMPUTED_VALUE"""),"https://www.sortlist.com/digital-marketing/australia-au?custom=advertising%2Caustralia-au")</f>
        <v>https://www.sortlist.com/digital-marketing/australia-au?custom=advertising%2Caustralia-au</v>
      </c>
      <c r="B148" s="7" t="str">
        <f>IFERROR(__xludf.DUMMYFUNCTION("""COMPUTED_VALUE"""),"The 10 Best Digital Marketing Agencies in Australia - 2026 Reviews")</f>
        <v>The 10 Best Digital Marketing Agencies in Australia - 2026 Reviews</v>
      </c>
      <c r="C148" s="6" t="str">
        <f>IFERROR(__xludf.DUMMYFUNCTION("""COMPUTED_VALUE"""),"sortlist.com")</f>
        <v>sortlist.com</v>
      </c>
      <c r="D148" s="7" t="str">
        <f>IFERROR(__xludf.DUMMYFUNCTION("""COMPUTED_VALUE"""),"CATEGORY_PAGE")</f>
        <v>CATEGORY_PAGE</v>
      </c>
      <c r="E148" s="7" t="str">
        <f>IFERROR(__xludf.DUMMYFUNCTION("""COMPUTED_VALUE"""),"CORPORATE")</f>
        <v>CORPORATE</v>
      </c>
      <c r="F148" s="7" t="str">
        <f>IFERROR(__xludf.DUMMYFUNCTION("""COMPUTED_VALUE"""),"Category Page")</f>
        <v>Category Page</v>
      </c>
      <c r="G148" s="7" t="b">
        <f>IFERROR(__xludf.DUMMYFUNCTION("""COMPUTED_VALUE"""),FALSE)</f>
        <v>0</v>
      </c>
      <c r="H148" s="7" t="str">
        <f>IFERROR(__xludf.DUMMYFUNCTION("""COMPUTED_VALUE"""),"Measured, Earned Media, Clearwater Agency, Impressive, Supple Digital, Digital Nomads HQ, Soup Agency, HERO, Momentum")</f>
        <v>Measured, Earned Media, Clearwater Agency, Impressive, Supple Digital, Digital Nomads HQ, Soup Agency, HERO, Momentum</v>
      </c>
      <c r="I148" s="7">
        <f>IFERROR(__xludf.DUMMYFUNCTION("""COMPUTED_VALUE"""),1.0)</f>
        <v>1</v>
      </c>
      <c r="J148" s="7">
        <f>IFERROR(__xludf.DUMMYFUNCTION("""COMPUTED_VALUE"""),0.0)</f>
        <v>0</v>
      </c>
      <c r="K148" s="7">
        <f>IFERROR(__xludf.DUMMYFUNCTION("""COMPUTED_VALUE"""),0.0)</f>
        <v>0</v>
      </c>
    </row>
    <row r="149" ht="15.75" customHeight="1">
      <c r="A149" s="6" t="str">
        <f>IFERROR(__xludf.DUMMYFUNCTION("""COMPUTED_VALUE"""),"https://www.sortlist.com/marketing-communication")</f>
        <v>https://www.sortlist.com/marketing-communication</v>
      </c>
      <c r="B149" s="7" t="str">
        <f>IFERROR(__xludf.DUMMYFUNCTION("""COMPUTED_VALUE"""),"The 100 Best Marketing Communication Agencies - 2026 Reviews")</f>
        <v>The 100 Best Marketing Communication Agencies - 2026 Reviews</v>
      </c>
      <c r="C149" s="6" t="str">
        <f>IFERROR(__xludf.DUMMYFUNCTION("""COMPUTED_VALUE"""),"sortlist.com")</f>
        <v>sortlist.com</v>
      </c>
      <c r="D149" s="7" t="str">
        <f>IFERROR(__xludf.DUMMYFUNCTION("""COMPUTED_VALUE"""),"CATEGORY_PAGE")</f>
        <v>CATEGORY_PAGE</v>
      </c>
      <c r="E149" s="7" t="str">
        <f>IFERROR(__xludf.DUMMYFUNCTION("""COMPUTED_VALUE"""),"CORPORATE")</f>
        <v>CORPORATE</v>
      </c>
      <c r="F149" s="7" t="str">
        <f>IFERROR(__xludf.DUMMYFUNCTION("""COMPUTED_VALUE"""),"Category Page")</f>
        <v>Category Page</v>
      </c>
      <c r="G149" s="7" t="b">
        <f>IFERROR(__xludf.DUMMYFUNCTION("""COMPUTED_VALUE"""),FALSE)</f>
        <v>0</v>
      </c>
      <c r="H149" s="7"/>
      <c r="I149" s="7">
        <f>IFERROR(__xludf.DUMMYFUNCTION("""COMPUTED_VALUE"""),1.0)</f>
        <v>1</v>
      </c>
      <c r="J149" s="7">
        <f>IFERROR(__xludf.DUMMYFUNCTION("""COMPUTED_VALUE"""),0.0)</f>
        <v>0</v>
      </c>
      <c r="K149" s="7">
        <f>IFERROR(__xludf.DUMMYFUNCTION("""COMPUTED_VALUE"""),1.0)</f>
        <v>1</v>
      </c>
    </row>
    <row r="150" ht="15.75" customHeight="1">
      <c r="A150" s="6" t="str">
        <f>IFERROR(__xludf.DUMMYFUNCTION("""COMPUTED_VALUE"""),"https://www.sortlist.com/s/display-advertising/new-south-wales-nsw-au")</f>
        <v>https://www.sortlist.com/s/display-advertising/new-south-wales-nsw-au</v>
      </c>
      <c r="B150" s="7" t="str">
        <f>IFERROR(__xludf.DUMMYFUNCTION("""COMPUTED_VALUE"""),"The 10 Best Display Advertising Agencies in New South Wales - 2026 Reviews")</f>
        <v>The 10 Best Display Advertising Agencies in New South Wales - 2026 Reviews</v>
      </c>
      <c r="C150" s="6" t="str">
        <f>IFERROR(__xludf.DUMMYFUNCTION("""COMPUTED_VALUE"""),"sortlist.com")</f>
        <v>sortlist.com</v>
      </c>
      <c r="D150" s="7" t="str">
        <f>IFERROR(__xludf.DUMMYFUNCTION("""COMPUTED_VALUE"""),"CATEGORY_PAGE")</f>
        <v>CATEGORY_PAGE</v>
      </c>
      <c r="E150" s="7" t="str">
        <f>IFERROR(__xludf.DUMMYFUNCTION("""COMPUTED_VALUE"""),"CORPORATE")</f>
        <v>CORPORATE</v>
      </c>
      <c r="F150" s="7" t="str">
        <f>IFERROR(__xludf.DUMMYFUNCTION("""COMPUTED_VALUE"""),"Category Page")</f>
        <v>Category Page</v>
      </c>
      <c r="G150" s="7" t="b">
        <f>IFERROR(__xludf.DUMMYFUNCTION("""COMPUTED_VALUE"""),FALSE)</f>
        <v>0</v>
      </c>
      <c r="H150" s="7" t="str">
        <f>IFERROR(__xludf.DUMMYFUNCTION("""COMPUTED_VALUE"""),"Impressive, Supple Digital, CUT THRU, Measured, Earned Media, Clearwater Agency, SIXGUN, Ninja Promo, Momentum, Soup Agency, HERO, Digital Nomads HQ")</f>
        <v>Impressive, Supple Digital, CUT THRU, Measured, Earned Media, Clearwater Agency, SIXGUN, Ninja Promo, Momentum, Soup Agency, HERO, Digital Nomads HQ</v>
      </c>
      <c r="I150" s="7">
        <f>IFERROR(__xludf.DUMMYFUNCTION("""COMPUTED_VALUE"""),1.0)</f>
        <v>1</v>
      </c>
      <c r="J150" s="7">
        <f>IFERROR(__xludf.DUMMYFUNCTION("""COMPUTED_VALUE"""),0.0)</f>
        <v>0</v>
      </c>
      <c r="K150" s="7">
        <f>IFERROR(__xludf.DUMMYFUNCTION("""COMPUTED_VALUE"""),0.0)</f>
        <v>0</v>
      </c>
    </row>
    <row r="151" ht="15.75" customHeight="1">
      <c r="A151" s="6" t="str">
        <f>IFERROR(__xludf.DUMMYFUNCTION("""COMPUTED_VALUE"""),"https://www.sortlist.com/s/display-advertising/sydney-au")</f>
        <v>https://www.sortlist.com/s/display-advertising/sydney-au</v>
      </c>
      <c r="B151" s="7" t="str">
        <f>IFERROR(__xludf.DUMMYFUNCTION("""COMPUTED_VALUE"""),"The 10 Best Display Advertising Agencies in Sydney - 2026 Reviews")</f>
        <v>The 10 Best Display Advertising Agencies in Sydney - 2026 Reviews</v>
      </c>
      <c r="C151" s="6" t="str">
        <f>IFERROR(__xludf.DUMMYFUNCTION("""COMPUTED_VALUE"""),"sortlist.com")</f>
        <v>sortlist.com</v>
      </c>
      <c r="D151" s="7" t="str">
        <f>IFERROR(__xludf.DUMMYFUNCTION("""COMPUTED_VALUE"""),"CATEGORY_PAGE")</f>
        <v>CATEGORY_PAGE</v>
      </c>
      <c r="E151" s="7" t="str">
        <f>IFERROR(__xludf.DUMMYFUNCTION("""COMPUTED_VALUE"""),"CORPORATE")</f>
        <v>CORPORATE</v>
      </c>
      <c r="F151" s="7" t="str">
        <f>IFERROR(__xludf.DUMMYFUNCTION("""COMPUTED_VALUE"""),"Category Page")</f>
        <v>Category Page</v>
      </c>
      <c r="G151" s="7" t="b">
        <f>IFERROR(__xludf.DUMMYFUNCTION("""COMPUTED_VALUE"""),FALSE)</f>
        <v>0</v>
      </c>
      <c r="H151" s="7" t="str">
        <f>IFERROR(__xludf.DUMMYFUNCTION("""COMPUTED_VALUE"""),"Impressive, Supple Digital, Measured, Earned Media, Clearwater Agency, SIXGUN, Ninja Promo, Momentum, Soup Agency, HERO, Digital Nomads HQ, AdVisible, Alpha Digital")</f>
        <v>Impressive, Supple Digital, Measured, Earned Media, Clearwater Agency, SIXGUN, Ninja Promo, Momentum, Soup Agency, HERO, Digital Nomads HQ, AdVisible, Alpha Digital</v>
      </c>
      <c r="I151" s="7">
        <f>IFERROR(__xludf.DUMMYFUNCTION("""COMPUTED_VALUE"""),1.0)</f>
        <v>1</v>
      </c>
      <c r="J151" s="7">
        <f>IFERROR(__xludf.DUMMYFUNCTION("""COMPUTED_VALUE"""),0.0)</f>
        <v>0</v>
      </c>
      <c r="K151" s="7">
        <f>IFERROR(__xludf.DUMMYFUNCTION("""COMPUTED_VALUE"""),0.0)</f>
        <v>0</v>
      </c>
    </row>
    <row r="152" ht="15.75" customHeight="1">
      <c r="A152" s="6" t="str">
        <f>IFERROR(__xludf.DUMMYFUNCTION("""COMPUTED_VALUE"""),"https://www.sortlist.com/s/display-advertising/western-australia-wa-au")</f>
        <v>https://www.sortlist.com/s/display-advertising/western-australia-wa-au</v>
      </c>
      <c r="B152" s="7" t="str">
        <f>IFERROR(__xludf.DUMMYFUNCTION("""COMPUTED_VALUE"""),"The 10 Best Display Advertising Agencies in Australia - 2026 Reviews")</f>
        <v>The 10 Best Display Advertising Agencies in Australia - 2026 Reviews</v>
      </c>
      <c r="C152" s="6" t="str">
        <f>IFERROR(__xludf.DUMMYFUNCTION("""COMPUTED_VALUE"""),"sortlist.com")</f>
        <v>sortlist.com</v>
      </c>
      <c r="D152" s="7" t="str">
        <f>IFERROR(__xludf.DUMMYFUNCTION("""COMPUTED_VALUE"""),"CATEGORY_PAGE")</f>
        <v>CATEGORY_PAGE</v>
      </c>
      <c r="E152" s="7" t="str">
        <f>IFERROR(__xludf.DUMMYFUNCTION("""COMPUTED_VALUE"""),"CORPORATE")</f>
        <v>CORPORATE</v>
      </c>
      <c r="F152" s="7" t="str">
        <f>IFERROR(__xludf.DUMMYFUNCTION("""COMPUTED_VALUE"""),"Category Page")</f>
        <v>Category Page</v>
      </c>
      <c r="G152" s="7" t="b">
        <f>IFERROR(__xludf.DUMMYFUNCTION("""COMPUTED_VALUE"""),FALSE)</f>
        <v>0</v>
      </c>
      <c r="H152" s="7" t="str">
        <f>IFERROR(__xludf.DUMMYFUNCTION("""COMPUTED_VALUE"""),"Clearwater Agency, Measured, Earned Media, Supple Digital, Impressive, SIXGUN, Soup Agency, HERO, Digital Nomads HQ, Momentum, CUT THRU")</f>
        <v>Clearwater Agency, Measured, Earned Media, Supple Digital, Impressive, SIXGUN, Soup Agency, HERO, Digital Nomads HQ, Momentum, CUT THRU</v>
      </c>
      <c r="I152" s="7">
        <f>IFERROR(__xludf.DUMMYFUNCTION("""COMPUTED_VALUE"""),1.0)</f>
        <v>1</v>
      </c>
      <c r="J152" s="7">
        <f>IFERROR(__xludf.DUMMYFUNCTION("""COMPUTED_VALUE"""),0.0)</f>
        <v>0</v>
      </c>
      <c r="K152" s="7">
        <f>IFERROR(__xludf.DUMMYFUNCTION("""COMPUTED_VALUE"""),0.0)</f>
        <v>0</v>
      </c>
    </row>
    <row r="153" ht="15.75" customHeight="1">
      <c r="A153" s="6" t="str">
        <f>IFERROR(__xludf.DUMMYFUNCTION("""COMPUTED_VALUE"""),"https://www.sortlist.com/s/linkedin-advertising/australia-au")</f>
        <v>https://www.sortlist.com/s/linkedin-advertising/australia-au</v>
      </c>
      <c r="B153" s="7" t="str">
        <f>IFERROR(__xludf.DUMMYFUNCTION("""COMPUTED_VALUE"""),"The 10 Best LinkedIn Ads Agencies in Australia - 2026 Reviews")</f>
        <v>The 10 Best LinkedIn Ads Agencies in Australia - 2026 Reviews</v>
      </c>
      <c r="C153" s="6" t="str">
        <f>IFERROR(__xludf.DUMMYFUNCTION("""COMPUTED_VALUE"""),"sortlist.com")</f>
        <v>sortlist.com</v>
      </c>
      <c r="D153" s="7" t="str">
        <f>IFERROR(__xludf.DUMMYFUNCTION("""COMPUTED_VALUE"""),"CATEGORY_PAGE")</f>
        <v>CATEGORY_PAGE</v>
      </c>
      <c r="E153" s="7" t="str">
        <f>IFERROR(__xludf.DUMMYFUNCTION("""COMPUTED_VALUE"""),"CORPORATE")</f>
        <v>CORPORATE</v>
      </c>
      <c r="F153" s="7" t="str">
        <f>IFERROR(__xludf.DUMMYFUNCTION("""COMPUTED_VALUE"""),"Category Page")</f>
        <v>Category Page</v>
      </c>
      <c r="G153" s="7" t="b">
        <f>IFERROR(__xludf.DUMMYFUNCTION("""COMPUTED_VALUE"""),FALSE)</f>
        <v>0</v>
      </c>
      <c r="H153" s="7" t="str">
        <f>IFERROR(__xludf.DUMMYFUNCTION("""COMPUTED_VALUE"""),"SIXGUN, Impressive, Ninja Promo, AdVisible, 23 Digital")</f>
        <v>SIXGUN, Impressive, Ninja Promo, AdVisible, 23 Digital</v>
      </c>
      <c r="I153" s="7">
        <f>IFERROR(__xludf.DUMMYFUNCTION("""COMPUTED_VALUE"""),1.0)</f>
        <v>1</v>
      </c>
      <c r="J153" s="7">
        <f>IFERROR(__xludf.DUMMYFUNCTION("""COMPUTED_VALUE"""),0.0)</f>
        <v>0</v>
      </c>
      <c r="K153" s="7">
        <f>IFERROR(__xludf.DUMMYFUNCTION("""COMPUTED_VALUE"""),0.0)</f>
        <v>0</v>
      </c>
    </row>
    <row r="154" ht="15.75" customHeight="1">
      <c r="A154" s="6" t="str">
        <f>IFERROR(__xludf.DUMMYFUNCTION("""COMPUTED_VALUE"""),"https://www.sortlist.com/s/performance-marketing/western-australia-wa-au")</f>
        <v>https://www.sortlist.com/s/performance-marketing/western-australia-wa-au</v>
      </c>
      <c r="B154" s="7" t="str">
        <f>IFERROR(__xludf.DUMMYFUNCTION("""COMPUTED_VALUE"""),"The 10 Best Performance Marketing Agencies in Western Australia - 2026 Reviews")</f>
        <v>The 10 Best Performance Marketing Agencies in Western Australia - 2026 Reviews</v>
      </c>
      <c r="C154" s="6" t="str">
        <f>IFERROR(__xludf.DUMMYFUNCTION("""COMPUTED_VALUE"""),"sortlist.com")</f>
        <v>sortlist.com</v>
      </c>
      <c r="D154" s="7" t="str">
        <f>IFERROR(__xludf.DUMMYFUNCTION("""COMPUTED_VALUE"""),"CATEGORY_PAGE")</f>
        <v>CATEGORY_PAGE</v>
      </c>
      <c r="E154" s="7" t="str">
        <f>IFERROR(__xludf.DUMMYFUNCTION("""COMPUTED_VALUE"""),"CORPORATE")</f>
        <v>CORPORATE</v>
      </c>
      <c r="F154" s="7" t="str">
        <f>IFERROR(__xludf.DUMMYFUNCTION("""COMPUTED_VALUE"""),"Category Page")</f>
        <v>Category Page</v>
      </c>
      <c r="G154" s="7" t="b">
        <f>IFERROR(__xludf.DUMMYFUNCTION("""COMPUTED_VALUE"""),FALSE)</f>
        <v>0</v>
      </c>
      <c r="H154" s="7" t="str">
        <f>IFERROR(__xludf.DUMMYFUNCTION("""COMPUTED_VALUE"""),"Measured, Earned Media, Clearwater Agency, SIXGUN, Impressive, Supple Digital, Momentum, Digital Nomads HQ, Soup Agency, HERO, Alpha Digital, 23 Digital")</f>
        <v>Measured, Earned Media, Clearwater Agency, SIXGUN, Impressive, Supple Digital, Momentum, Digital Nomads HQ, Soup Agency, HERO, Alpha Digital, 23 Digital</v>
      </c>
      <c r="I154" s="7">
        <f>IFERROR(__xludf.DUMMYFUNCTION("""COMPUTED_VALUE"""),1.0)</f>
        <v>1</v>
      </c>
      <c r="J154" s="7">
        <f>IFERROR(__xludf.DUMMYFUNCTION("""COMPUTED_VALUE"""),0.0)</f>
        <v>0</v>
      </c>
      <c r="K154" s="7">
        <f>IFERROR(__xludf.DUMMYFUNCTION("""COMPUTED_VALUE"""),0.0)</f>
        <v>0</v>
      </c>
    </row>
    <row r="155" ht="15.75" customHeight="1">
      <c r="A155" s="6" t="str">
        <f>IFERROR(__xludf.DUMMYFUNCTION("""COMPUTED_VALUE"""),"https://www.sortlist.com/s/programmatic-advertising/sydney-au")</f>
        <v>https://www.sortlist.com/s/programmatic-advertising/sydney-au</v>
      </c>
      <c r="B155" s="7" t="str">
        <f>IFERROR(__xludf.DUMMYFUNCTION("""COMPUTED_VALUE"""),"The 10 Best Programmatic Advertising Companies in Sydney - 2026 Reviews")</f>
        <v>The 10 Best Programmatic Advertising Companies in Sydney - 2026 Reviews</v>
      </c>
      <c r="C155" s="6" t="str">
        <f>IFERROR(__xludf.DUMMYFUNCTION("""COMPUTED_VALUE"""),"sortlist.com")</f>
        <v>sortlist.com</v>
      </c>
      <c r="D155" s="7" t="str">
        <f>IFERROR(__xludf.DUMMYFUNCTION("""COMPUTED_VALUE"""),"CATEGORY_PAGE")</f>
        <v>CATEGORY_PAGE</v>
      </c>
      <c r="E155" s="7" t="str">
        <f>IFERROR(__xludf.DUMMYFUNCTION("""COMPUTED_VALUE"""),"CORPORATE")</f>
        <v>CORPORATE</v>
      </c>
      <c r="F155" s="7" t="str">
        <f>IFERROR(__xludf.DUMMYFUNCTION("""COMPUTED_VALUE"""),"Category Page")</f>
        <v>Category Page</v>
      </c>
      <c r="G155" s="7" t="b">
        <f>IFERROR(__xludf.DUMMYFUNCTION("""COMPUTED_VALUE"""),FALSE)</f>
        <v>0</v>
      </c>
      <c r="H155" s="7" t="str">
        <f>IFERROR(__xludf.DUMMYFUNCTION("""COMPUTED_VALUE"""),"Impressive, Supple Digital, Measured, Earned Media, Clearwater Agency, SIXGUN, Soup Agency, HERO, Digital Nomads HQ")</f>
        <v>Impressive, Supple Digital, Measured, Earned Media, Clearwater Agency, SIXGUN, Soup Agency, HERO, Digital Nomads HQ</v>
      </c>
      <c r="I155" s="7">
        <f>IFERROR(__xludf.DUMMYFUNCTION("""COMPUTED_VALUE"""),1.0)</f>
        <v>1</v>
      </c>
      <c r="J155" s="7">
        <f>IFERROR(__xludf.DUMMYFUNCTION("""COMPUTED_VALUE"""),0.0)</f>
        <v>0</v>
      </c>
      <c r="K155" s="7">
        <f>IFERROR(__xludf.DUMMYFUNCTION("""COMPUTED_VALUE"""),0.0)</f>
        <v>0</v>
      </c>
    </row>
    <row r="156" ht="15.75" customHeight="1">
      <c r="A156" s="6" t="str">
        <f>IFERROR(__xludf.DUMMYFUNCTION("""COMPUTED_VALUE"""),"https://www.sortlist.com/s/tiktok-advertising/australia-au")</f>
        <v>https://www.sortlist.com/s/tiktok-advertising/australia-au</v>
      </c>
      <c r="B156" s="7" t="str">
        <f>IFERROR(__xludf.DUMMYFUNCTION("""COMPUTED_VALUE"""),"The 10 Best TikTok Advertising Agencies in Australia - 2026 Reviews")</f>
        <v>The 10 Best TikTok Advertising Agencies in Australia - 2026 Reviews</v>
      </c>
      <c r="C156" s="6" t="str">
        <f>IFERROR(__xludf.DUMMYFUNCTION("""COMPUTED_VALUE"""),"sortlist.com")</f>
        <v>sortlist.com</v>
      </c>
      <c r="D156" s="7" t="str">
        <f>IFERROR(__xludf.DUMMYFUNCTION("""COMPUTED_VALUE"""),"CATEGORY_PAGE")</f>
        <v>CATEGORY_PAGE</v>
      </c>
      <c r="E156" s="7" t="str">
        <f>IFERROR(__xludf.DUMMYFUNCTION("""COMPUTED_VALUE"""),"CORPORATE")</f>
        <v>CORPORATE</v>
      </c>
      <c r="F156" s="7" t="str">
        <f>IFERROR(__xludf.DUMMYFUNCTION("""COMPUTED_VALUE"""),"Category Page")</f>
        <v>Category Page</v>
      </c>
      <c r="G156" s="7" t="b">
        <f>IFERROR(__xludf.DUMMYFUNCTION("""COMPUTED_VALUE"""),FALSE)</f>
        <v>0</v>
      </c>
      <c r="H156" s="7" t="str">
        <f>IFERROR(__xludf.DUMMYFUNCTION("""COMPUTED_VALUE"""),"Soup Agency, HERO, Adcore Elite, 23 Digital")</f>
        <v>Soup Agency, HERO, Adcore Elite, 23 Digital</v>
      </c>
      <c r="I156" s="7">
        <f>IFERROR(__xludf.DUMMYFUNCTION("""COMPUTED_VALUE"""),1.0)</f>
        <v>1</v>
      </c>
      <c r="J156" s="7">
        <f>IFERROR(__xludf.DUMMYFUNCTION("""COMPUTED_VALUE"""),0.0)</f>
        <v>0</v>
      </c>
      <c r="K156" s="7">
        <f>IFERROR(__xludf.DUMMYFUNCTION("""COMPUTED_VALUE"""),0.0)</f>
        <v>0</v>
      </c>
    </row>
    <row r="157" ht="15.75" customHeight="1">
      <c r="A157" s="6" t="str">
        <f>IFERROR(__xludf.DUMMYFUNCTION("""COMPUTED_VALUE"""),"https://www.upgrad.com/au/machine-learning-ai/")</f>
        <v>https://www.upgrad.com/au/machine-learning-ai/</v>
      </c>
      <c r="B157" s="7" t="str">
        <f>IFERROR(__xludf.DUMMYFUNCTION("""COMPUTED_VALUE"""),"Artificial Intelligence &amp;amp; Machine Learning Courses for Australia Learners | upGrad Australia")</f>
        <v>Artificial Intelligence &amp;amp; Machine Learning Courses for Australia Learners | upGrad Australia</v>
      </c>
      <c r="C157" s="6" t="str">
        <f>IFERROR(__xludf.DUMMYFUNCTION("""COMPUTED_VALUE"""),"upgrad.com")</f>
        <v>upgrad.com</v>
      </c>
      <c r="D157" s="7" t="str">
        <f>IFERROR(__xludf.DUMMYFUNCTION("""COMPUTED_VALUE"""),"CATEGORY_PAGE")</f>
        <v>CATEGORY_PAGE</v>
      </c>
      <c r="E157" s="7" t="str">
        <f>IFERROR(__xludf.DUMMYFUNCTION("""COMPUTED_VALUE"""),"CORPORATE")</f>
        <v>CORPORATE</v>
      </c>
      <c r="F157" s="7" t="str">
        <f>IFERROR(__xludf.DUMMYFUNCTION("""COMPUTED_VALUE"""),"Category Page")</f>
        <v>Category Page</v>
      </c>
      <c r="G157" s="7" t="b">
        <f>IFERROR(__xludf.DUMMYFUNCTION("""COMPUTED_VALUE"""),FALSE)</f>
        <v>0</v>
      </c>
      <c r="H157" s="7" t="str">
        <f>IFERROR(__xludf.DUMMYFUNCTION("""COMPUTED_VALUE"""),"PHD")</f>
        <v>PHD</v>
      </c>
      <c r="I157" s="7">
        <f>IFERROR(__xludf.DUMMYFUNCTION("""COMPUTED_VALUE"""),1.0)</f>
        <v>1</v>
      </c>
      <c r="J157" s="7">
        <f>IFERROR(__xludf.DUMMYFUNCTION("""COMPUTED_VALUE"""),0.0)</f>
        <v>0</v>
      </c>
      <c r="K157" s="7">
        <f>IFERROR(__xludf.DUMMYFUNCTION("""COMPUTED_VALUE"""),1.0)</f>
        <v>1</v>
      </c>
    </row>
    <row r="158" ht="15.75" customHeight="1">
      <c r="A158" s="6" t="str">
        <f>IFERROR(__xludf.DUMMYFUNCTION("""COMPUTED_VALUE"""),"https://www.wmtips.com/technologies/marketing-attribution/")</f>
        <v>https://www.wmtips.com/technologies/marketing-attribution/</v>
      </c>
      <c r="B158" s="7" t="str">
        <f>IFERROR(__xludf.DUMMYFUNCTION("""COMPUTED_VALUE"""),"Top 25+ Marketing Attribution Platforms by Market Share (2026)")</f>
        <v>Top 25+ Marketing Attribution Platforms by Market Share (2026)</v>
      </c>
      <c r="C158" s="6" t="str">
        <f>IFERROR(__xludf.DUMMYFUNCTION("""COMPUTED_VALUE"""),"wmtips.com")</f>
        <v>wmtips.com</v>
      </c>
      <c r="D158" s="7" t="str">
        <f>IFERROR(__xludf.DUMMYFUNCTION("""COMPUTED_VALUE"""),"CATEGORY_PAGE")</f>
        <v>CATEGORY_PAGE</v>
      </c>
      <c r="E158" s="7" t="str">
        <f>IFERROR(__xludf.DUMMYFUNCTION("""COMPUTED_VALUE"""),"REFERENCE")</f>
        <v>REFERENCE</v>
      </c>
      <c r="F158" s="7" t="str">
        <f>IFERROR(__xludf.DUMMYFUNCTION("""COMPUTED_VALUE"""),"Category Page")</f>
        <v>Category Page</v>
      </c>
      <c r="G158" s="7" t="b">
        <f>IFERROR(__xludf.DUMMYFUNCTION("""COMPUTED_VALUE"""),FALSE)</f>
        <v>0</v>
      </c>
      <c r="H158" s="7"/>
      <c r="I158" s="7">
        <f>IFERROR(__xludf.DUMMYFUNCTION("""COMPUTED_VALUE"""),1.0)</f>
        <v>1</v>
      </c>
      <c r="J158" s="7">
        <f>IFERROR(__xludf.DUMMYFUNCTION("""COMPUTED_VALUE"""),0.0)</f>
        <v>0</v>
      </c>
      <c r="K158" s="7">
        <f>IFERROR(__xludf.DUMMYFUNCTION("""COMPUTED_VALUE"""),0.0)</f>
        <v>0</v>
      </c>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C83"/>
    <hyperlink r:id="rId164" ref="A84"/>
    <hyperlink r:id="rId165" ref="C84"/>
    <hyperlink r:id="rId166" ref="A85"/>
    <hyperlink r:id="rId167" ref="C85"/>
    <hyperlink r:id="rId168" ref="A86"/>
    <hyperlink r:id="rId169" ref="C86"/>
    <hyperlink r:id="rId170" ref="A87"/>
    <hyperlink r:id="rId171" ref="C87"/>
    <hyperlink r:id="rId172" ref="A88"/>
    <hyperlink r:id="rId173" ref="C88"/>
    <hyperlink r:id="rId174" ref="A89"/>
    <hyperlink r:id="rId175" ref="C89"/>
    <hyperlink r:id="rId176" ref="A90"/>
    <hyperlink r:id="rId177" ref="C90"/>
    <hyperlink r:id="rId178" ref="A91"/>
    <hyperlink r:id="rId179" ref="C91"/>
    <hyperlink r:id="rId180" ref="A92"/>
    <hyperlink r:id="rId181" ref="C92"/>
    <hyperlink r:id="rId182" ref="A93"/>
    <hyperlink r:id="rId183" ref="C93"/>
    <hyperlink r:id="rId184" ref="A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C105"/>
    <hyperlink r:id="rId207" ref="A106"/>
    <hyperlink r:id="rId208" ref="C106"/>
    <hyperlink r:id="rId209" ref="A107"/>
    <hyperlink r:id="rId210" ref="C107"/>
    <hyperlink r:id="rId211" ref="A108"/>
    <hyperlink r:id="rId212" ref="C108"/>
    <hyperlink r:id="rId213" ref="A109"/>
    <hyperlink r:id="rId214" ref="C109"/>
    <hyperlink r:id="rId215" ref="A110"/>
    <hyperlink r:id="rId216" ref="C110"/>
    <hyperlink r:id="rId217" ref="A111"/>
    <hyperlink r:id="rId218" ref="C111"/>
    <hyperlink r:id="rId219" ref="A112"/>
    <hyperlink r:id="rId220" ref="C112"/>
    <hyperlink r:id="rId221" ref="A113"/>
    <hyperlink r:id="rId222" ref="C113"/>
    <hyperlink r:id="rId223" ref="A114"/>
    <hyperlink r:id="rId224" ref="C114"/>
    <hyperlink r:id="rId225" ref="A115"/>
    <hyperlink r:id="rId226" ref="C115"/>
    <hyperlink r:id="rId227" ref="A116"/>
    <hyperlink r:id="rId228" ref="C116"/>
    <hyperlink r:id="rId229" ref="A117"/>
    <hyperlink r:id="rId230" ref="C117"/>
    <hyperlink r:id="rId231" ref="A118"/>
    <hyperlink r:id="rId232" ref="C118"/>
    <hyperlink r:id="rId233" ref="A119"/>
    <hyperlink r:id="rId234" ref="C119"/>
    <hyperlink r:id="rId235" ref="A120"/>
    <hyperlink r:id="rId236" ref="C120"/>
    <hyperlink r:id="rId237" ref="A121"/>
    <hyperlink r:id="rId238" ref="C121"/>
    <hyperlink r:id="rId239" ref="A122"/>
    <hyperlink r:id="rId240" ref="C122"/>
    <hyperlink r:id="rId241" ref="A123"/>
    <hyperlink r:id="rId242" ref="C123"/>
    <hyperlink r:id="rId243" ref="A124"/>
    <hyperlink r:id="rId244" ref="C124"/>
    <hyperlink r:id="rId245" ref="A125"/>
    <hyperlink r:id="rId246" ref="C125"/>
    <hyperlink r:id="rId247" ref="A126"/>
    <hyperlink r:id="rId248" ref="C126"/>
    <hyperlink r:id="rId249" ref="A127"/>
    <hyperlink r:id="rId250" ref="C127"/>
    <hyperlink r:id="rId251" ref="A128"/>
    <hyperlink r:id="rId252" ref="C128"/>
    <hyperlink r:id="rId253" ref="A129"/>
    <hyperlink r:id="rId254" ref="C129"/>
    <hyperlink r:id="rId255" ref="A130"/>
    <hyperlink r:id="rId256" ref="C130"/>
    <hyperlink r:id="rId257" ref="A131"/>
    <hyperlink r:id="rId258" ref="C131"/>
    <hyperlink r:id="rId259" ref="A132"/>
    <hyperlink r:id="rId260" ref="C132"/>
    <hyperlink r:id="rId261" ref="A133"/>
    <hyperlink r:id="rId262" ref="C133"/>
    <hyperlink r:id="rId263" ref="A134"/>
    <hyperlink r:id="rId264" ref="C134"/>
    <hyperlink r:id="rId265" ref="A135"/>
    <hyperlink r:id="rId266" ref="C135"/>
    <hyperlink r:id="rId267" ref="A136"/>
    <hyperlink r:id="rId268" ref="C136"/>
    <hyperlink r:id="rId269" ref="A137"/>
    <hyperlink r:id="rId270" ref="C137"/>
    <hyperlink r:id="rId271" ref="A138"/>
    <hyperlink r:id="rId272" ref="C138"/>
    <hyperlink r:id="rId273" ref="A139"/>
    <hyperlink r:id="rId274" ref="C139"/>
    <hyperlink r:id="rId275" ref="A140"/>
    <hyperlink r:id="rId276" ref="C140"/>
    <hyperlink r:id="rId277" ref="A141"/>
    <hyperlink r:id="rId278" ref="C141"/>
    <hyperlink r:id="rId279" ref="A142"/>
    <hyperlink r:id="rId280" ref="C142"/>
    <hyperlink r:id="rId281" ref="A143"/>
    <hyperlink r:id="rId282" ref="C143"/>
    <hyperlink r:id="rId283" ref="A144"/>
    <hyperlink r:id="rId284" ref="C144"/>
    <hyperlink r:id="rId285" ref="A145"/>
    <hyperlink r:id="rId286" ref="C145"/>
    <hyperlink r:id="rId287" ref="A146"/>
    <hyperlink r:id="rId288" ref="C146"/>
    <hyperlink r:id="rId289" ref="A147"/>
    <hyperlink r:id="rId290" ref="C147"/>
    <hyperlink r:id="rId291" ref="A148"/>
    <hyperlink r:id="rId292" ref="C148"/>
    <hyperlink r:id="rId293" ref="A149"/>
    <hyperlink r:id="rId294" ref="C149"/>
    <hyperlink r:id="rId295" ref="A150"/>
    <hyperlink r:id="rId296" ref="C150"/>
    <hyperlink r:id="rId297" ref="A151"/>
    <hyperlink r:id="rId298" ref="C151"/>
    <hyperlink r:id="rId299" ref="A152"/>
    <hyperlink r:id="rId300" ref="C152"/>
    <hyperlink r:id="rId301" ref="A153"/>
    <hyperlink r:id="rId302" ref="C153"/>
    <hyperlink r:id="rId303" ref="A154"/>
    <hyperlink r:id="rId304" ref="C154"/>
    <hyperlink r:id="rId305" ref="A155"/>
    <hyperlink r:id="rId306" ref="C155"/>
    <hyperlink r:id="rId307" ref="A156"/>
    <hyperlink r:id="rId308" ref="C156"/>
    <hyperlink r:id="rId309" ref="A157"/>
    <hyperlink r:id="rId310" ref="C157"/>
    <hyperlink r:id="rId311" ref="A158"/>
    <hyperlink r:id="rId312" ref="C158"/>
  </hyperlinks>
  <drawing r:id="rId31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LOWER(TRIM(TO_TEXT('PEEC - URLs - All'!D2:D1000)))=""comparison""
  ),
  """"
)"),"https://www.triplewhale.com/blog/best-incrementality-testing-tools")</f>
        <v>https://www.triplewhale.com/blog/best-incrementality-testing-tools</v>
      </c>
      <c r="B2" s="7" t="str">
        <f>IFERROR(__xludf.DUMMYFUNCTION("""COMPUTED_VALUE"""),"The Best Incrementality Testing Tools for Marketers in 2026 | Triple Whale")</f>
        <v>The Best Incrementality Testing Tools for Marketers in 2026 | Triple Whale</v>
      </c>
      <c r="C2" s="6" t="str">
        <f>IFERROR(__xludf.DUMMYFUNCTION("""COMPUTED_VALUE"""),"triplewhale.com")</f>
        <v>triplewhale.com</v>
      </c>
      <c r="D2" s="7" t="str">
        <f>IFERROR(__xludf.DUMMYFUNCTION("""COMPUTED_VALUE"""),"COMPARISON")</f>
        <v>COMPARISON</v>
      </c>
      <c r="E2" s="7" t="str">
        <f>IFERROR(__xludf.DUMMYFUNCTION("""COMPUTED_VALUE"""),"CORPORATE")</f>
        <v>CORPORATE</v>
      </c>
      <c r="F2" s="7" t="str">
        <f>IFERROR(__xludf.DUMMYFUNCTION("""COMPUTED_VALUE"""),"Comparison")</f>
        <v>Comparison</v>
      </c>
      <c r="G2" s="7" t="b">
        <f>IFERROR(__xludf.DUMMYFUNCTION("""COMPUTED_VALUE"""),FALSE)</f>
        <v>0</v>
      </c>
      <c r="H2" s="7" t="str">
        <f>IFERROR(__xludf.DUMMYFUNCTION("""COMPUTED_VALUE"""),"Haus, Measured")</f>
        <v>Haus, Measured</v>
      </c>
      <c r="I2" s="7">
        <f>IFERROR(__xludf.DUMMYFUNCTION("""COMPUTED_VALUE"""),24.0)</f>
        <v>24</v>
      </c>
      <c r="J2" s="7">
        <f>IFERROR(__xludf.DUMMYFUNCTION("""COMPUTED_VALUE"""),0.03)</f>
        <v>0.03</v>
      </c>
      <c r="K2" s="7">
        <f>IFERROR(__xludf.DUMMYFUNCTION("""COMPUTED_VALUE"""),0.58)</f>
        <v>0.58</v>
      </c>
    </row>
    <row r="3" ht="15.75" customHeight="1">
      <c r="A3" s="6" t="str">
        <f>IFERROR(__xludf.DUMMYFUNCTION("""COMPUTED_VALUE"""),"https://sellforte.com/blog/best-incrementality-testing-tools")</f>
        <v>https://sellforte.com/blog/best-incrementality-testing-tools</v>
      </c>
      <c r="B3" s="7" t="str">
        <f>IFERROR(__xludf.DUMMYFUNCTION("""COMPUTED_VALUE"""),"Best Incrementality Testing Tools in 2026: In-depth Vendor Comparison")</f>
        <v>Best Incrementality Testing Tools in 2026: In-depth Vendor Comparison</v>
      </c>
      <c r="C3" s="6" t="str">
        <f>IFERROR(__xludf.DUMMYFUNCTION("""COMPUTED_VALUE"""),"sellforte.com")</f>
        <v>sellforte.com</v>
      </c>
      <c r="D3" s="7" t="str">
        <f>IFERROR(__xludf.DUMMYFUNCTION("""COMPUTED_VALUE"""),"COMPARISON")</f>
        <v>COMPARISON</v>
      </c>
      <c r="E3" s="7" t="str">
        <f>IFERROR(__xludf.DUMMYFUNCTION("""COMPUTED_VALUE"""),"CORPORATE")</f>
        <v>CORPORATE</v>
      </c>
      <c r="F3" s="7" t="str">
        <f>IFERROR(__xludf.DUMMYFUNCTION("""COMPUTED_VALUE"""),"Comparison")</f>
        <v>Comparison</v>
      </c>
      <c r="G3" s="7" t="b">
        <f>IFERROR(__xludf.DUMMYFUNCTION("""COMPUTED_VALUE"""),FALSE)</f>
        <v>0</v>
      </c>
      <c r="H3" s="7" t="str">
        <f>IFERROR(__xludf.DUMMYFUNCTION("""COMPUTED_VALUE"""),"Measured, Haus")</f>
        <v>Measured, Haus</v>
      </c>
      <c r="I3" s="7">
        <f>IFERROR(__xludf.DUMMYFUNCTION("""COMPUTED_VALUE"""),13.0)</f>
        <v>13</v>
      </c>
      <c r="J3" s="7">
        <f>IFERROR(__xludf.DUMMYFUNCTION("""COMPUTED_VALUE"""),0.01)</f>
        <v>0.01</v>
      </c>
      <c r="K3" s="7">
        <f>IFERROR(__xludf.DUMMYFUNCTION("""COMPUTED_VALUE"""),0.46)</f>
        <v>0.46</v>
      </c>
    </row>
    <row r="4" ht="15.75" customHeight="1">
      <c r="A4" s="6" t="str">
        <f>IFERROR(__xludf.DUMMYFUNCTION("""COMPUTED_VALUE"""),"https://www.techradar.com/pro/aeo-vs-seo-whats-the-difference-and-do-you-need-both")</f>
        <v>https://www.techradar.com/pro/aeo-vs-seo-whats-the-difference-and-do-you-need-both</v>
      </c>
      <c r="B4" s="7" t="str">
        <f>IFERROR(__xludf.DUMMYFUNCTION("""COMPUTED_VALUE"""),"AEO vs SEO: What's the difference &amp;amp; do you need both? | TechRadar")</f>
        <v>AEO vs SEO: What's the difference &amp;amp; do you need both? | TechRadar</v>
      </c>
      <c r="C4" s="6" t="str">
        <f>IFERROR(__xludf.DUMMYFUNCTION("""COMPUTED_VALUE"""),"techradar.com")</f>
        <v>techradar.com</v>
      </c>
      <c r="D4" s="7" t="str">
        <f>IFERROR(__xludf.DUMMYFUNCTION("""COMPUTED_VALUE"""),"COMPARISON")</f>
        <v>COMPARISON</v>
      </c>
      <c r="E4" s="7" t="str">
        <f>IFERROR(__xludf.DUMMYFUNCTION("""COMPUTED_VALUE"""),"EDITORIAL")</f>
        <v>EDITORIAL</v>
      </c>
      <c r="F4" s="7" t="str">
        <f>IFERROR(__xludf.DUMMYFUNCTION("""COMPUTED_VALUE"""),"Comparison")</f>
        <v>Comparison</v>
      </c>
      <c r="G4" s="7" t="b">
        <f>IFERROR(__xludf.DUMMYFUNCTION("""COMPUTED_VALUE"""),FALSE)</f>
        <v>0</v>
      </c>
      <c r="H4" s="7" t="str">
        <f>IFERROR(__xludf.DUMMYFUNCTION("""COMPUTED_VALUE"""),"Huge")</f>
        <v>Huge</v>
      </c>
      <c r="I4" s="7">
        <f>IFERROR(__xludf.DUMMYFUNCTION("""COMPUTED_VALUE"""),13.0)</f>
        <v>13</v>
      </c>
      <c r="J4" s="7">
        <f>IFERROR(__xludf.DUMMYFUNCTION("""COMPUTED_VALUE"""),0.01)</f>
        <v>0.01</v>
      </c>
      <c r="K4" s="7">
        <f>IFERROR(__xludf.DUMMYFUNCTION("""COMPUTED_VALUE"""),1.77)</f>
        <v>1.77</v>
      </c>
    </row>
    <row r="5" ht="15.75" customHeight="1">
      <c r="A5" s="6" t="str">
        <f>IFERROR(__xludf.DUMMYFUNCTION("""COMPUTED_VALUE"""),"https://www.shoutdigital.com.au/blog/best-geo-agency-in-melbourne-for-e-commerce-a-direct-comparison-2026/")</f>
        <v>https://www.shoutdigital.com.au/blog/best-geo-agency-in-melbourne-for-e-commerce-a-direct-comparison-2026/</v>
      </c>
      <c r="B5" s="7" t="str">
        <f>IFERROR(__xludf.DUMMYFUNCTION("""COMPUTED_VALUE"""),"Best GEO Agency Melbourne for E-Commerce (2026): Honest Comparison")</f>
        <v>Best GEO Agency Melbourne for E-Commerce (2026): Honest Comparison</v>
      </c>
      <c r="C5" s="6" t="str">
        <f>IFERROR(__xludf.DUMMYFUNCTION("""COMPUTED_VALUE"""),"shoutdigital.com.au")</f>
        <v>shoutdigital.com.au</v>
      </c>
      <c r="D5" s="7" t="str">
        <f>IFERROR(__xludf.DUMMYFUNCTION("""COMPUTED_VALUE"""),"COMPARISON")</f>
        <v>COMPARISON</v>
      </c>
      <c r="E5" s="7" t="str">
        <f>IFERROR(__xludf.DUMMYFUNCTION("""COMPUTED_VALUE"""),"CORPORATE")</f>
        <v>CORPORATE</v>
      </c>
      <c r="F5" s="7" t="str">
        <f>IFERROR(__xludf.DUMMYFUNCTION("""COMPUTED_VALUE"""),"Comparison")</f>
        <v>Comparison</v>
      </c>
      <c r="G5" s="7" t="b">
        <f>IFERROR(__xludf.DUMMYFUNCTION("""COMPUTED_VALUE"""),FALSE)</f>
        <v>0</v>
      </c>
      <c r="H5" s="7" t="str">
        <f>IFERROR(__xludf.DUMMYFUNCTION("""COMPUTED_VALUE"""),"Impressive, Gorilla 360, Salt &amp; Fuessel, UR Digital")</f>
        <v>Impressive, Gorilla 360, Salt &amp; Fuessel, UR Digital</v>
      </c>
      <c r="I5" s="7">
        <f>IFERROR(__xludf.DUMMYFUNCTION("""COMPUTED_VALUE"""),6.0)</f>
        <v>6</v>
      </c>
      <c r="J5" s="7">
        <f>IFERROR(__xludf.DUMMYFUNCTION("""COMPUTED_VALUE"""),0.01)</f>
        <v>0.01</v>
      </c>
      <c r="K5" s="7">
        <f>IFERROR(__xludf.DUMMYFUNCTION("""COMPUTED_VALUE"""),1.33)</f>
        <v>1.33</v>
      </c>
    </row>
    <row r="6" ht="15.75" customHeight="1">
      <c r="A6" s="6" t="str">
        <f>IFERROR(__xludf.DUMMYFUNCTION("""COMPUTED_VALUE"""),"https://roi.com.au/service/performance-marketing-agency-australia-2026/")</f>
        <v>https://roi.com.au/service/performance-marketing-agency-australia-2026/</v>
      </c>
      <c r="B6" s="7" t="str">
        <f>IFERROR(__xludf.DUMMYFUNCTION("""COMPUTED_VALUE"""),"Performance Marketing Agency Australia (2026) | AI Marketing Agency Australia | roi.com.au")</f>
        <v>Performance Marketing Agency Australia (2026) | AI Marketing Agency Australia | roi.com.au</v>
      </c>
      <c r="C6" s="6" t="str">
        <f>IFERROR(__xludf.DUMMYFUNCTION("""COMPUTED_VALUE"""),"roi.com.au")</f>
        <v>roi.com.au</v>
      </c>
      <c r="D6" s="7" t="str">
        <f>IFERROR(__xludf.DUMMYFUNCTION("""COMPUTED_VALUE"""),"COMPARISON")</f>
        <v>COMPARISON</v>
      </c>
      <c r="E6" s="7" t="str">
        <f>IFERROR(__xludf.DUMMYFUNCTION("""COMPUTED_VALUE"""),"CORPORATE")</f>
        <v>CORPORATE</v>
      </c>
      <c r="F6" s="7" t="str">
        <f>IFERROR(__xludf.DUMMYFUNCTION("""COMPUTED_VALUE"""),"Comparison")</f>
        <v>Comparison</v>
      </c>
      <c r="G6" s="7" t="b">
        <f>IFERROR(__xludf.DUMMYFUNCTION("""COMPUTED_VALUE"""),FALSE)</f>
        <v>0</v>
      </c>
      <c r="H6" s="7" t="str">
        <f>IFERROR(__xludf.DUMMYFUNCTION("""COMPUTED_VALUE"""),"ROI Growth Agency")</f>
        <v>ROI Growth Agency</v>
      </c>
      <c r="I6" s="7">
        <f>IFERROR(__xludf.DUMMYFUNCTION("""COMPUTED_VALUE"""),4.0)</f>
        <v>4</v>
      </c>
      <c r="J6" s="7">
        <f>IFERROR(__xludf.DUMMYFUNCTION("""COMPUTED_VALUE"""),0.0)</f>
        <v>0</v>
      </c>
      <c r="K6" s="7">
        <f>IFERROR(__xludf.DUMMYFUNCTION("""COMPUTED_VALUE"""),0.0)</f>
        <v>0</v>
      </c>
    </row>
    <row r="7" ht="15.75" customHeight="1">
      <c r="A7" s="6" t="str">
        <f>IFERROR(__xludf.DUMMYFUNCTION("""COMPUTED_VALUE"""),"https://rix-digital.com/mmm-vs-incrementality")</f>
        <v>https://rix-digital.com/mmm-vs-incrementality</v>
      </c>
      <c r="B7" s="7" t="str">
        <f>IFERROR(__xludf.DUMMYFUNCTION("""COMPUTED_VALUE"""),"MMM vs Incrementality Testing | Rix Digital")</f>
        <v>MMM vs Incrementality Testing | Rix Digital</v>
      </c>
      <c r="C7" s="6" t="str">
        <f>IFERROR(__xludf.DUMMYFUNCTION("""COMPUTED_VALUE"""),"rix-digital.com")</f>
        <v>rix-digital.com</v>
      </c>
      <c r="D7" s="7" t="str">
        <f>IFERROR(__xludf.DUMMYFUNCTION("""COMPUTED_VALUE"""),"COMPARISON")</f>
        <v>COMPARISON</v>
      </c>
      <c r="E7" s="7" t="str">
        <f>IFERROR(__xludf.DUMMYFUNCTION("""COMPUTED_VALUE"""),"CORPORATE")</f>
        <v>CORPORATE</v>
      </c>
      <c r="F7" s="7" t="str">
        <f>IFERROR(__xludf.DUMMYFUNCTION("""COMPUTED_VALUE"""),"Comparison")</f>
        <v>Comparison</v>
      </c>
      <c r="G7" s="7" t="b">
        <f>IFERROR(__xludf.DUMMYFUNCTION("""COMPUTED_VALUE"""),FALSE)</f>
        <v>0</v>
      </c>
      <c r="H7" s="7" t="str">
        <f>IFERROR(__xludf.DUMMYFUNCTION("""COMPUTED_VALUE"""),"Huge")</f>
        <v>Huge</v>
      </c>
      <c r="I7" s="7">
        <f>IFERROR(__xludf.DUMMYFUNCTION("""COMPUTED_VALUE"""),2.0)</f>
        <v>2</v>
      </c>
      <c r="J7" s="7">
        <f>IFERROR(__xludf.DUMMYFUNCTION("""COMPUTED_VALUE"""),0.0)</f>
        <v>0</v>
      </c>
      <c r="K7" s="7">
        <f>IFERROR(__xludf.DUMMYFUNCTION("""COMPUTED_VALUE"""),0.0)</f>
        <v>0</v>
      </c>
    </row>
    <row r="8" ht="15.75" customHeight="1">
      <c r="A8" s="6" t="str">
        <f>IFERROR(__xludf.DUMMYFUNCTION("""COMPUTED_VALUE"""),"https://evolvingdigital.com.au/geo-agency/")</f>
        <v>https://evolvingdigital.com.au/geo-agency/</v>
      </c>
      <c r="B8" s="7" t="str">
        <f>IFERROR(__xludf.DUMMYFUNCTION("""COMPUTED_VALUE"""),"Generative Engine Optimisation Agency | Evolving Digital")</f>
        <v>Generative Engine Optimisation Agency | Evolving Digital</v>
      </c>
      <c r="C8" s="6" t="str">
        <f>IFERROR(__xludf.DUMMYFUNCTION("""COMPUTED_VALUE"""),"evolvingdigital.com.au")</f>
        <v>evolvingdigital.com.au</v>
      </c>
      <c r="D8" s="7" t="str">
        <f>IFERROR(__xludf.DUMMYFUNCTION("""COMPUTED_VALUE"""),"COMPARISON")</f>
        <v>COMPARISON</v>
      </c>
      <c r="E8" s="7" t="str">
        <f>IFERROR(__xludf.DUMMYFUNCTION("""COMPUTED_VALUE"""),"CORPORATE")</f>
        <v>CORPORATE</v>
      </c>
      <c r="F8" s="7" t="str">
        <f>IFERROR(__xludf.DUMMYFUNCTION("""COMPUTED_VALUE"""),"Comparison")</f>
        <v>Comparison</v>
      </c>
      <c r="G8" s="7" t="b">
        <f>IFERROR(__xludf.DUMMYFUNCTION("""COMPUTED_VALUE"""),FALSE)</f>
        <v>0</v>
      </c>
      <c r="H8" s="7"/>
      <c r="I8" s="7">
        <f>IFERROR(__xludf.DUMMYFUNCTION("""COMPUTED_VALUE"""),1.0)</f>
        <v>1</v>
      </c>
      <c r="J8" s="7">
        <f>IFERROR(__xludf.DUMMYFUNCTION("""COMPUTED_VALUE"""),0.0)</f>
        <v>0</v>
      </c>
      <c r="K8" s="7">
        <f>IFERROR(__xludf.DUMMYFUNCTION("""COMPUTED_VALUE"""),2.0)</f>
        <v>2</v>
      </c>
    </row>
    <row r="9" ht="15.75" customHeight="1">
      <c r="A9" s="6" t="str">
        <f>IFERROR(__xludf.DUMMYFUNCTION("""COMPUTED_VALUE"""),"https://improvado.io/blog/multi-touch-attribution-solutions")</f>
        <v>https://improvado.io/blog/multi-touch-attribution-solutions</v>
      </c>
      <c r="B9" s="7" t="str">
        <f>IFERROR(__xludf.DUMMYFUNCTION("""COMPUTED_VALUE"""),"12 Best Multi-Touch Attribution Solutions (2026)")</f>
        <v>12 Best Multi-Touch Attribution Solutions (2026)</v>
      </c>
      <c r="C9" s="6" t="str">
        <f>IFERROR(__xludf.DUMMYFUNCTION("""COMPUTED_VALUE"""),"improvado.io")</f>
        <v>improvado.io</v>
      </c>
      <c r="D9" s="7" t="str">
        <f>IFERROR(__xludf.DUMMYFUNCTION("""COMPUTED_VALUE"""),"COMPARISON")</f>
        <v>COMPARISON</v>
      </c>
      <c r="E9" s="7" t="str">
        <f>IFERROR(__xludf.DUMMYFUNCTION("""COMPUTED_VALUE"""),"CORPORATE")</f>
        <v>CORPORATE</v>
      </c>
      <c r="F9" s="7" t="str">
        <f>IFERROR(__xludf.DUMMYFUNCTION("""COMPUTED_VALUE"""),"Comparison")</f>
        <v>Comparison</v>
      </c>
      <c r="G9" s="7" t="b">
        <f>IFERROR(__xludf.DUMMYFUNCTION("""COMPUTED_VALUE"""),FALSE)</f>
        <v>0</v>
      </c>
      <c r="H9" s="7"/>
      <c r="I9" s="7">
        <f>IFERROR(__xludf.DUMMYFUNCTION("""COMPUTED_VALUE"""),1.0)</f>
        <v>1</v>
      </c>
      <c r="J9" s="7">
        <f>IFERROR(__xludf.DUMMYFUNCTION("""COMPUTED_VALUE"""),0.0)</f>
        <v>0</v>
      </c>
      <c r="K9" s="7">
        <f>IFERROR(__xludf.DUMMYFUNCTION("""COMPUTED_VALUE"""),1.0)</f>
        <v>1</v>
      </c>
    </row>
    <row r="10" ht="15.75" customHeight="1">
      <c r="A10" s="6" t="str">
        <f>IFERROR(__xludf.DUMMYFUNCTION("""COMPUTED_VALUE"""),"https://www.paperstack.com.au/what-is-aeo/#:~:text=This%20means%3A%20%2D%20Users%20are%20asking%20longer%2C,Helps%20your%20content%20surface%20in%20AI%2Ddriven%20answers.")</f>
        <v>https://www.paperstack.com.au/what-is-aeo/#:~:text=This%20means%3A%20%2D%20Users%20are%20asking%20longer%2C,Helps%20your%20content%20surface%20in%20AI%2Ddriven%20answers.</v>
      </c>
      <c r="B10" s="7" t="str">
        <f>IFERROR(__xludf.DUMMYFUNCTION("""COMPUTED_VALUE"""),"What is AEO (Answer Engine Optimisation)? - Paperstack Agency")</f>
        <v>What is AEO (Answer Engine Optimisation)? - Paperstack Agency</v>
      </c>
      <c r="C10" s="6" t="str">
        <f>IFERROR(__xludf.DUMMYFUNCTION("""COMPUTED_VALUE"""),"paperstack.com.au")</f>
        <v>paperstack.com.au</v>
      </c>
      <c r="D10" s="7" t="str">
        <f>IFERROR(__xludf.DUMMYFUNCTION("""COMPUTED_VALUE"""),"COMPARISON")</f>
        <v>COMPARISON</v>
      </c>
      <c r="E10" s="7" t="str">
        <f>IFERROR(__xludf.DUMMYFUNCTION("""COMPUTED_VALUE"""),"CORPORATE")</f>
        <v>CORPORATE</v>
      </c>
      <c r="F10" s="7" t="str">
        <f>IFERROR(__xludf.DUMMYFUNCTION("""COMPUTED_VALUE"""),"Comparison")</f>
        <v>Comparison</v>
      </c>
      <c r="G10" s="7" t="b">
        <f>IFERROR(__xludf.DUMMYFUNCTION("""COMPUTED_VALUE"""),FALSE)</f>
        <v>0</v>
      </c>
      <c r="H10" s="7" t="str">
        <f>IFERROR(__xludf.DUMMYFUNCTION("""COMPUTED_VALUE"""),"Measured")</f>
        <v>Measured</v>
      </c>
      <c r="I10" s="7">
        <f>IFERROR(__xludf.DUMMYFUNCTION("""COMPUTED_VALUE"""),1.0)</f>
        <v>1</v>
      </c>
      <c r="J10" s="7">
        <f>IFERROR(__xludf.DUMMYFUNCTION("""COMPUTED_VALUE"""),0.0)</f>
        <v>0</v>
      </c>
      <c r="K10" s="7">
        <f>IFERROR(__xludf.DUMMYFUNCTION("""COMPUTED_VALUE"""),1.0)</f>
        <v>1</v>
      </c>
    </row>
    <row r="11" ht="15.75" customHeight="1">
      <c r="A11" s="6" t="str">
        <f>IFERROR(__xludf.DUMMYFUNCTION("""COMPUTED_VALUE"""),"https://presenc.ai/compare/measured-vs-haus-vs-statsig")</f>
        <v>https://presenc.ai/compare/measured-vs-haus-vs-statsig</v>
      </c>
      <c r="B11" s="7" t="str">
        <f>IFERROR(__xludf.DUMMYFUNCTION("""COMPUTED_VALUE"""),"Measured vs Haus vs Statsig: Lift Testing Vendors | Presenc AI")</f>
        <v>Measured vs Haus vs Statsig: Lift Testing Vendors | Presenc AI</v>
      </c>
      <c r="C11" s="6" t="str">
        <f>IFERROR(__xludf.DUMMYFUNCTION("""COMPUTED_VALUE"""),"presenc.ai")</f>
        <v>presenc.ai</v>
      </c>
      <c r="D11" s="7" t="str">
        <f>IFERROR(__xludf.DUMMYFUNCTION("""COMPUTED_VALUE"""),"COMPARISON")</f>
        <v>COMPARISON</v>
      </c>
      <c r="E11" s="7" t="str">
        <f>IFERROR(__xludf.DUMMYFUNCTION("""COMPUTED_VALUE"""),"CORPORATE")</f>
        <v>CORPORATE</v>
      </c>
      <c r="F11" s="7" t="str">
        <f>IFERROR(__xludf.DUMMYFUNCTION("""COMPUTED_VALUE"""),"Comparison")</f>
        <v>Comparison</v>
      </c>
      <c r="G11" s="7" t="b">
        <f>IFERROR(__xludf.DUMMYFUNCTION("""COMPUTED_VALUE"""),FALSE)</f>
        <v>0</v>
      </c>
      <c r="H11" s="7" t="str">
        <f>IFERROR(__xludf.DUMMYFUNCTION("""COMPUTED_VALUE"""),"Measured, Haus")</f>
        <v>Measured, Haus</v>
      </c>
      <c r="I11" s="7">
        <f>IFERROR(__xludf.DUMMYFUNCTION("""COMPUTED_VALUE"""),1.0)</f>
        <v>1</v>
      </c>
      <c r="J11" s="7">
        <f>IFERROR(__xludf.DUMMYFUNCTION("""COMPUTED_VALUE"""),0.0)</f>
        <v>0</v>
      </c>
      <c r="K11" s="7">
        <f>IFERROR(__xludf.DUMMYFUNCTION("""COMPUTED_VALUE"""),1.0)</f>
        <v>1</v>
      </c>
    </row>
    <row r="12" ht="15.75" customHeight="1">
      <c r="A12" s="6" t="str">
        <f>IFERROR(__xludf.DUMMYFUNCTION("""COMPUTED_VALUE"""),"https://vtdigital.com.au/seo-strategies-2025-what-aeo-geo-aio-and-sxo-actually-mean/")</f>
        <v>https://vtdigital.com.au/seo-strategies-2025-what-aeo-geo-aio-and-sxo-actually-mean/</v>
      </c>
      <c r="B12" s="7" t="str">
        <f>IFERROR(__xludf.DUMMYFUNCTION("""COMPUTED_VALUE"""),"SEO 2025: AEO, GEO, AIO &amp;amp; SXO for Australian Businesses")</f>
        <v>SEO 2025: AEO, GEO, AIO &amp;amp; SXO for Australian Businesses</v>
      </c>
      <c r="C12" s="6" t="str">
        <f>IFERROR(__xludf.DUMMYFUNCTION("""COMPUTED_VALUE"""),"vtdigital.com.au")</f>
        <v>vtdigital.com.au</v>
      </c>
      <c r="D12" s="7" t="str">
        <f>IFERROR(__xludf.DUMMYFUNCTION("""COMPUTED_VALUE"""),"COMPARISON")</f>
        <v>COMPARISON</v>
      </c>
      <c r="E12" s="7" t="str">
        <f>IFERROR(__xludf.DUMMYFUNCTION("""COMPUTED_VALUE"""),"CORPORATE")</f>
        <v>CORPORATE</v>
      </c>
      <c r="F12" s="7" t="str">
        <f>IFERROR(__xludf.DUMMYFUNCTION("""COMPUTED_VALUE"""),"Comparison")</f>
        <v>Comparison</v>
      </c>
      <c r="G12" s="7" t="b">
        <f>IFERROR(__xludf.DUMMYFUNCTION("""COMPUTED_VALUE"""),FALSE)</f>
        <v>0</v>
      </c>
      <c r="H12" s="7"/>
      <c r="I12" s="7">
        <f>IFERROR(__xludf.DUMMYFUNCTION("""COMPUTED_VALUE"""),1.0)</f>
        <v>1</v>
      </c>
      <c r="J12" s="7">
        <f>IFERROR(__xludf.DUMMYFUNCTION("""COMPUTED_VALUE"""),0.0)</f>
        <v>0</v>
      </c>
      <c r="K12" s="7">
        <f>IFERROR(__xludf.DUMMYFUNCTION("""COMPUTED_VALUE"""),1.0)</f>
        <v>1</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location=":~:text=This%20means%3A%20%2D%20Users%20are%20asking%20longer%2C,Helps%20your%20content%20surface%20in%20AI%2Ddriven%20answers." ref="A10"/>
    <hyperlink r:id="rId17" ref="C10"/>
    <hyperlink r:id="rId18" ref="A11"/>
    <hyperlink r:id="rId19" ref="C11"/>
    <hyperlink r:id="rId20" ref="A12"/>
    <hyperlink r:id="rId21" ref="C12"/>
  </hyperlinks>
  <drawing r:id="rId2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LOWER(TRIM(TO_TEXT('PEEC - URLs - All'!D2:D1000)))=""discussion""
  ),
  """"
)"),"https://www.reddit.com/r/BestInAustralia/comments/1rwwbcw/5_best_digital_marketing_agencies_leveraging_ai/")</f>
        <v>https://www.reddit.com/r/BestInAustralia/comments/1rwwbcw/5_best_digital_marketing_agencies_leveraging_ai/</v>
      </c>
      <c r="B2" s="7" t="str">
        <f>IFERROR(__xludf.DUMMYFUNCTION("""COMPUTED_VALUE"""),"5 Best Digital Marketing Agencies Leveraging AI in Australia (2026 Guide)")</f>
        <v>5 Best Digital Marketing Agencies Leveraging AI in Australia (2026 Guide)</v>
      </c>
      <c r="C2" s="6" t="str">
        <f>IFERROR(__xludf.DUMMYFUNCTION("""COMPUTED_VALUE"""),"reddit.com")</f>
        <v>reddit.com</v>
      </c>
      <c r="D2" s="7" t="str">
        <f>IFERROR(__xludf.DUMMYFUNCTION("""COMPUTED_VALUE"""),"DISCUSSION")</f>
        <v>DISCUSSION</v>
      </c>
      <c r="E2" s="7" t="str">
        <f>IFERROR(__xludf.DUMMYFUNCTION("""COMPUTED_VALUE"""),"UGC")</f>
        <v>UGC</v>
      </c>
      <c r="F2" s="7" t="str">
        <f>IFERROR(__xludf.DUMMYFUNCTION("""COMPUTED_VALUE"""),"Discussion")</f>
        <v>Discussion</v>
      </c>
      <c r="G2" s="7" t="b">
        <f>IFERROR(__xludf.DUMMYFUNCTION("""COMPUTED_VALUE"""),FALSE)</f>
        <v>0</v>
      </c>
      <c r="H2" s="7" t="str">
        <f>IFERROR(__xludf.DUMMYFUNCTION("""COMPUTED_VALUE"""),"Rocket Agency, Marketix Digital, Alley Group, In Marketing We Trust, Digital Nomads HQ")</f>
        <v>Rocket Agency, Marketix Digital, Alley Group, In Marketing We Trust, Digital Nomads HQ</v>
      </c>
      <c r="I2" s="7">
        <f>IFERROR(__xludf.DUMMYFUNCTION("""COMPUTED_VALUE"""),34.0)</f>
        <v>34</v>
      </c>
      <c r="J2" s="7">
        <f>IFERROR(__xludf.DUMMYFUNCTION("""COMPUTED_VALUE"""),0.04)</f>
        <v>0.04</v>
      </c>
      <c r="K2" s="7">
        <f>IFERROR(__xludf.DUMMYFUNCTION("""COMPUTED_VALUE"""),2.21)</f>
        <v>2.21</v>
      </c>
    </row>
    <row r="3" ht="15.75" customHeight="1">
      <c r="A3" s="6" t="str">
        <f>IFERROR(__xludf.DUMMYFUNCTION("""COMPUTED_VALUE"""),"https://www.reddit.com/r/Superframeworks/comments/1twfxf1/10_best_ai_seo_geoaeo_agencies_for_2026_no/")</f>
        <v>https://www.reddit.com/r/Superframeworks/comments/1twfxf1/10_best_ai_seo_geoaeo_agencies_for_2026_no/</v>
      </c>
      <c r="B3" s="7" t="str">
        <f>IFERROR(__xludf.DUMMYFUNCTION("""COMPUTED_VALUE"""),"10 Best AI SEO (GEO/AEO) Agencies for 2026: No Self-Ranking, Verified by Clutch Reviews and Real AI-Citation Proof")</f>
        <v>10 Best AI SEO (GEO/AEO) Agencies for 2026: No Self-Ranking, Verified by Clutch Reviews and Real AI-Citation Proof</v>
      </c>
      <c r="C3" s="6" t="str">
        <f>IFERROR(__xludf.DUMMYFUNCTION("""COMPUTED_VALUE"""),"reddit.com")</f>
        <v>reddit.com</v>
      </c>
      <c r="D3" s="7" t="str">
        <f>IFERROR(__xludf.DUMMYFUNCTION("""COMPUTED_VALUE"""),"DISCUSSION")</f>
        <v>DISCUSSION</v>
      </c>
      <c r="E3" s="7" t="str">
        <f>IFERROR(__xludf.DUMMYFUNCTION("""COMPUTED_VALUE"""),"UGC")</f>
        <v>UGC</v>
      </c>
      <c r="F3" s="7" t="str">
        <f>IFERROR(__xludf.DUMMYFUNCTION("""COMPUTED_VALUE"""),"Discussion")</f>
        <v>Discussion</v>
      </c>
      <c r="G3" s="7" t="b">
        <f>IFERROR(__xludf.DUMMYFUNCTION("""COMPUTED_VALUE"""),FALSE)</f>
        <v>0</v>
      </c>
      <c r="H3" s="7" t="str">
        <f>IFERROR(__xludf.DUMMYFUNCTION("""COMPUTED_VALUE"""),"First Page")</f>
        <v>First Page</v>
      </c>
      <c r="I3" s="7">
        <f>IFERROR(__xludf.DUMMYFUNCTION("""COMPUTED_VALUE"""),15.0)</f>
        <v>15</v>
      </c>
      <c r="J3" s="7">
        <f>IFERROR(__xludf.DUMMYFUNCTION("""COMPUTED_VALUE"""),0.02)</f>
        <v>0.02</v>
      </c>
      <c r="K3" s="7">
        <f>IFERROR(__xludf.DUMMYFUNCTION("""COMPUTED_VALUE"""),1.33)</f>
        <v>1.33</v>
      </c>
    </row>
    <row r="4" ht="15.75" customHeight="1">
      <c r="A4" s="6" t="str">
        <f>IFERROR(__xludf.DUMMYFUNCTION("""COMPUTED_VALUE"""),"https://www.reddit.com/r/agency/comments/1ok212i/performance_marketing_incrementality/")</f>
        <v>https://www.reddit.com/r/agency/comments/1ok212i/performance_marketing_incrementality/</v>
      </c>
      <c r="B4" s="7" t="str">
        <f>IFERROR(__xludf.DUMMYFUNCTION("""COMPUTED_VALUE"""),"Performance Marketing Incrementality")</f>
        <v>Performance Marketing Incrementality</v>
      </c>
      <c r="C4" s="6" t="str">
        <f>IFERROR(__xludf.DUMMYFUNCTION("""COMPUTED_VALUE"""),"reddit.com")</f>
        <v>reddit.com</v>
      </c>
      <c r="D4" s="7" t="str">
        <f>IFERROR(__xludf.DUMMYFUNCTION("""COMPUTED_VALUE"""),"DISCUSSION")</f>
        <v>DISCUSSION</v>
      </c>
      <c r="E4" s="7" t="str">
        <f>IFERROR(__xludf.DUMMYFUNCTION("""COMPUTED_VALUE"""),"UGC")</f>
        <v>UGC</v>
      </c>
      <c r="F4" s="7" t="str">
        <f>IFERROR(__xludf.DUMMYFUNCTION("""COMPUTED_VALUE"""),"Discussion")</f>
        <v>Discussion</v>
      </c>
      <c r="G4" s="7" t="b">
        <f>IFERROR(__xludf.DUMMYFUNCTION("""COMPUTED_VALUE"""),FALSE)</f>
        <v>0</v>
      </c>
      <c r="H4" s="7" t="str">
        <f>IFERROR(__xludf.DUMMYFUNCTION("""COMPUTED_VALUE"""),"Haus, Measured, Workmagic")</f>
        <v>Haus, Measured, Workmagic</v>
      </c>
      <c r="I4" s="7">
        <f>IFERROR(__xludf.DUMMYFUNCTION("""COMPUTED_VALUE"""),9.0)</f>
        <v>9</v>
      </c>
      <c r="J4" s="7">
        <f>IFERROR(__xludf.DUMMYFUNCTION("""COMPUTED_VALUE"""),0.01)</f>
        <v>0.01</v>
      </c>
      <c r="K4" s="7">
        <f>IFERROR(__xludf.DUMMYFUNCTION("""COMPUTED_VALUE"""),1.78)</f>
        <v>1.78</v>
      </c>
    </row>
    <row r="5" ht="15.75" customHeight="1">
      <c r="A5" s="6" t="str">
        <f>IFERROR(__xludf.DUMMYFUNCTION("""COMPUTED_VALUE"""),"https://www.reddit.com/r/ecommerce/comments/1qusfa4/looking_for_best_incrementality_testing_tools/")</f>
        <v>https://www.reddit.com/r/ecommerce/comments/1qusfa4/looking_for_best_incrementality_testing_tools/</v>
      </c>
      <c r="B5" s="7" t="str">
        <f>IFERROR(__xludf.DUMMYFUNCTION("""COMPUTED_VALUE"""),"Looking for best incrementality testing tools (advice/recommendation)")</f>
        <v>Looking for best incrementality testing tools (advice/recommendation)</v>
      </c>
      <c r="C5" s="6" t="str">
        <f>IFERROR(__xludf.DUMMYFUNCTION("""COMPUTED_VALUE"""),"reddit.com")</f>
        <v>reddit.com</v>
      </c>
      <c r="D5" s="7" t="str">
        <f>IFERROR(__xludf.DUMMYFUNCTION("""COMPUTED_VALUE"""),"DISCUSSION")</f>
        <v>DISCUSSION</v>
      </c>
      <c r="E5" s="7" t="str">
        <f>IFERROR(__xludf.DUMMYFUNCTION("""COMPUTED_VALUE"""),"UGC")</f>
        <v>UGC</v>
      </c>
      <c r="F5" s="7" t="str">
        <f>IFERROR(__xludf.DUMMYFUNCTION("""COMPUTED_VALUE"""),"Discussion")</f>
        <v>Discussion</v>
      </c>
      <c r="G5" s="7" t="b">
        <f>IFERROR(__xludf.DUMMYFUNCTION("""COMPUTED_VALUE"""),FALSE)</f>
        <v>0</v>
      </c>
      <c r="H5" s="7" t="str">
        <f>IFERROR(__xludf.DUMMYFUNCTION("""COMPUTED_VALUE"""),"Haus, Lifesight, Measured")</f>
        <v>Haus, Lifesight, Measured</v>
      </c>
      <c r="I5" s="7">
        <f>IFERROR(__xludf.DUMMYFUNCTION("""COMPUTED_VALUE"""),5.0)</f>
        <v>5</v>
      </c>
      <c r="J5" s="7">
        <f>IFERROR(__xludf.DUMMYFUNCTION("""COMPUTED_VALUE"""),0.01)</f>
        <v>0.01</v>
      </c>
      <c r="K5" s="7">
        <f>IFERROR(__xludf.DUMMYFUNCTION("""COMPUTED_VALUE"""),1.0)</f>
        <v>1</v>
      </c>
    </row>
    <row r="6" ht="15.75" customHeight="1">
      <c r="A6" s="6" t="str">
        <f>IFERROR(__xludf.DUMMYFUNCTION("""COMPUTED_VALUE"""),"https://www.reddit.com/r/AskAnAustralian/comments/1kygrc6/advertising_agencies_in_aus/")</f>
        <v>https://www.reddit.com/r/AskAnAustralian/comments/1kygrc6/advertising_agencies_in_aus/</v>
      </c>
      <c r="B6" s="7" t="str">
        <f>IFERROR(__xludf.DUMMYFUNCTION("""COMPUTED_VALUE"""),"Advertising agencies in Aus")</f>
        <v>Advertising agencies in Aus</v>
      </c>
      <c r="C6" s="6" t="str">
        <f>IFERROR(__xludf.DUMMYFUNCTION("""COMPUTED_VALUE"""),"reddit.com")</f>
        <v>reddit.com</v>
      </c>
      <c r="D6" s="7" t="str">
        <f>IFERROR(__xludf.DUMMYFUNCTION("""COMPUTED_VALUE"""),"DISCUSSION")</f>
        <v>DISCUSSION</v>
      </c>
      <c r="E6" s="7" t="str">
        <f>IFERROR(__xludf.DUMMYFUNCTION("""COMPUTED_VALUE"""),"UGC")</f>
        <v>UGC</v>
      </c>
      <c r="F6" s="7" t="str">
        <f>IFERROR(__xludf.DUMMYFUNCTION("""COMPUTED_VALUE"""),"Discussion")</f>
        <v>Discussion</v>
      </c>
      <c r="G6" s="7" t="b">
        <f>IFERROR(__xludf.DUMMYFUNCTION("""COMPUTED_VALUE"""),FALSE)</f>
        <v>0</v>
      </c>
      <c r="H6" s="7" t="str">
        <f>IFERROR(__xludf.DUMMYFUNCTION("""COMPUTED_VALUE"""),"HERO, Thinkerbell")</f>
        <v>HERO, Thinkerbell</v>
      </c>
      <c r="I6" s="7">
        <f>IFERROR(__xludf.DUMMYFUNCTION("""COMPUTED_VALUE"""),4.0)</f>
        <v>4</v>
      </c>
      <c r="J6" s="7">
        <f>IFERROR(__xludf.DUMMYFUNCTION("""COMPUTED_VALUE"""),0.0)</f>
        <v>0</v>
      </c>
      <c r="K6" s="7">
        <f>IFERROR(__xludf.DUMMYFUNCTION("""COMPUTED_VALUE"""),0.75)</f>
        <v>0.75</v>
      </c>
    </row>
    <row r="7" ht="15.75" customHeight="1">
      <c r="A7" s="6" t="str">
        <f>IFERROR(__xludf.DUMMYFUNCTION("""COMPUTED_VALUE"""),"https://www.reddit.com/r/adtech/comments/1u5mwrq/measurement_source_of_truth/")</f>
        <v>https://www.reddit.com/r/adtech/comments/1u5mwrq/measurement_source_of_truth/</v>
      </c>
      <c r="B7" s="7" t="str">
        <f>IFERROR(__xludf.DUMMYFUNCTION("""COMPUTED_VALUE"""),"Measurement source of truth")</f>
        <v>Measurement source of truth</v>
      </c>
      <c r="C7" s="6" t="str">
        <f>IFERROR(__xludf.DUMMYFUNCTION("""COMPUTED_VALUE"""),"reddit.com")</f>
        <v>reddit.com</v>
      </c>
      <c r="D7" s="7" t="str">
        <f>IFERROR(__xludf.DUMMYFUNCTION("""COMPUTED_VALUE"""),"DISCUSSION")</f>
        <v>DISCUSSION</v>
      </c>
      <c r="E7" s="7" t="str">
        <f>IFERROR(__xludf.DUMMYFUNCTION("""COMPUTED_VALUE"""),"UGC")</f>
        <v>UGC</v>
      </c>
      <c r="F7" s="7" t="str">
        <f>IFERROR(__xludf.DUMMYFUNCTION("""COMPUTED_VALUE"""),"Discussion")</f>
        <v>Discussion</v>
      </c>
      <c r="G7" s="7" t="b">
        <f>IFERROR(__xludf.DUMMYFUNCTION("""COMPUTED_VALUE"""),FALSE)</f>
        <v>0</v>
      </c>
      <c r="H7" s="7" t="str">
        <f>IFERROR(__xludf.DUMMYFUNCTION("""COMPUTED_VALUE"""),"Lifesight")</f>
        <v>Lifesight</v>
      </c>
      <c r="I7" s="7">
        <f>IFERROR(__xludf.DUMMYFUNCTION("""COMPUTED_VALUE"""),3.0)</f>
        <v>3</v>
      </c>
      <c r="J7" s="7">
        <f>IFERROR(__xludf.DUMMYFUNCTION("""COMPUTED_VALUE"""),0.0)</f>
        <v>0</v>
      </c>
      <c r="K7" s="7">
        <f>IFERROR(__xludf.DUMMYFUNCTION("""COMPUTED_VALUE"""),1.67)</f>
        <v>1.67</v>
      </c>
    </row>
    <row r="8" ht="15.75" customHeight="1">
      <c r="A8" s="6" t="str">
        <f>IFERROR(__xludf.DUMMYFUNCTION("""COMPUTED_VALUE"""),"https://www.reddit.com/r/MktgSupermarket/comments/1qoc7o0/looking_for_digital_marketing_agencies_in_perth/")</f>
        <v>https://www.reddit.com/r/MktgSupermarket/comments/1qoc7o0/looking_for_digital_marketing_agencies_in_perth/</v>
      </c>
      <c r="B8" s="7" t="str">
        <f>IFERROR(__xludf.DUMMYFUNCTION("""COMPUTED_VALUE"""),"Looking for digital marketing agencies in Perth? Here's a list of 10 options")</f>
        <v>Looking for digital marketing agencies in Perth? Here's a list of 10 options</v>
      </c>
      <c r="C8" s="6" t="str">
        <f>IFERROR(__xludf.DUMMYFUNCTION("""COMPUTED_VALUE"""),"reddit.com")</f>
        <v>reddit.com</v>
      </c>
      <c r="D8" s="7" t="str">
        <f>IFERROR(__xludf.DUMMYFUNCTION("""COMPUTED_VALUE"""),"DISCUSSION")</f>
        <v>DISCUSSION</v>
      </c>
      <c r="E8" s="7" t="str">
        <f>IFERROR(__xludf.DUMMYFUNCTION("""COMPUTED_VALUE"""),"UGC")</f>
        <v>UGC</v>
      </c>
      <c r="F8" s="7" t="str">
        <f>IFERROR(__xludf.DUMMYFUNCTION("""COMPUTED_VALUE"""),"Discussion")</f>
        <v>Discussion</v>
      </c>
      <c r="G8" s="7" t="b">
        <f>IFERROR(__xludf.DUMMYFUNCTION("""COMPUTED_VALUE"""),FALSE)</f>
        <v>0</v>
      </c>
      <c r="H8" s="7" t="str">
        <f>IFERROR(__xludf.DUMMYFUNCTION("""COMPUTED_VALUE"""),"Bonfire")</f>
        <v>Bonfire</v>
      </c>
      <c r="I8" s="7">
        <f>IFERROR(__xludf.DUMMYFUNCTION("""COMPUTED_VALUE"""),2.0)</f>
        <v>2</v>
      </c>
      <c r="J8" s="7">
        <f>IFERROR(__xludf.DUMMYFUNCTION("""COMPUTED_VALUE"""),0.0)</f>
        <v>0</v>
      </c>
      <c r="K8" s="7">
        <f>IFERROR(__xludf.DUMMYFUNCTION("""COMPUTED_VALUE"""),2.0)</f>
        <v>2</v>
      </c>
    </row>
    <row r="9" ht="15.75" customHeight="1">
      <c r="A9" s="6" t="str">
        <f>IFERROR(__xludf.DUMMYFUNCTION("""COMPUTED_VALUE"""),"https://www.reddit.com/r/aeo/comments/1twcbr2/best_aeo_agency_guide_what_to_look_for_in_an/")</f>
        <v>https://www.reddit.com/r/aeo/comments/1twcbr2/best_aeo_agency_guide_what_to_look_for_in_an/</v>
      </c>
      <c r="B9" s="7" t="str">
        <f>IFERROR(__xludf.DUMMYFUNCTION("""COMPUTED_VALUE"""),"Best AEO Agency Guide What to Look for in an Answer Engine Partner?")</f>
        <v>Best AEO Agency Guide What to Look for in an Answer Engine Partner?</v>
      </c>
      <c r="C9" s="6" t="str">
        <f>IFERROR(__xludf.DUMMYFUNCTION("""COMPUTED_VALUE"""),"reddit.com")</f>
        <v>reddit.com</v>
      </c>
      <c r="D9" s="7" t="str">
        <f>IFERROR(__xludf.DUMMYFUNCTION("""COMPUTED_VALUE"""),"DISCUSSION")</f>
        <v>DISCUSSION</v>
      </c>
      <c r="E9" s="7" t="str">
        <f>IFERROR(__xludf.DUMMYFUNCTION("""COMPUTED_VALUE"""),"UGC")</f>
        <v>UGC</v>
      </c>
      <c r="F9" s="7" t="str">
        <f>IFERROR(__xludf.DUMMYFUNCTION("""COMPUTED_VALUE"""),"Discussion")</f>
        <v>Discussion</v>
      </c>
      <c r="G9" s="7" t="b">
        <f>IFERROR(__xludf.DUMMYFUNCTION("""COMPUTED_VALUE"""),FALSE)</f>
        <v>0</v>
      </c>
      <c r="H9" s="7" t="str">
        <f>IFERROR(__xludf.DUMMYFUNCTION("""COMPUTED_VALUE"""),"Huge")</f>
        <v>Huge</v>
      </c>
      <c r="I9" s="7">
        <f>IFERROR(__xludf.DUMMYFUNCTION("""COMPUTED_VALUE"""),2.0)</f>
        <v>2</v>
      </c>
      <c r="J9" s="7">
        <f>IFERROR(__xludf.DUMMYFUNCTION("""COMPUTED_VALUE"""),0.0)</f>
        <v>0</v>
      </c>
      <c r="K9" s="7">
        <f>IFERROR(__xludf.DUMMYFUNCTION("""COMPUTED_VALUE"""),2.0)</f>
        <v>2</v>
      </c>
    </row>
    <row r="10" ht="15.75" customHeight="1">
      <c r="A10" s="6" t="str">
        <f>IFERROR(__xludf.DUMMYFUNCTION("""COMPUTED_VALUE"""),"https://www.reddit.com/r/AIConsultingAustralia/comments/1r3gb5b/who_are_the_top_ai_consulting_companies_in/")</f>
        <v>https://www.reddit.com/r/AIConsultingAustralia/comments/1r3gb5b/who_are_the_top_ai_consulting_companies_in/</v>
      </c>
      <c r="B10" s="7" t="str">
        <f>IFERROR(__xludf.DUMMYFUNCTION("""COMPUTED_VALUE"""),"Who are the top AI Consulting Companies in Australia?")</f>
        <v>Who are the top AI Consulting Companies in Australia?</v>
      </c>
      <c r="C10" s="6" t="str">
        <f>IFERROR(__xludf.DUMMYFUNCTION("""COMPUTED_VALUE"""),"reddit.com")</f>
        <v>reddit.com</v>
      </c>
      <c r="D10" s="7" t="str">
        <f>IFERROR(__xludf.DUMMYFUNCTION("""COMPUTED_VALUE"""),"DISCUSSION")</f>
        <v>DISCUSSION</v>
      </c>
      <c r="E10" s="7" t="str">
        <f>IFERROR(__xludf.DUMMYFUNCTION("""COMPUTED_VALUE"""),"UGC")</f>
        <v>UGC</v>
      </c>
      <c r="F10" s="7" t="str">
        <f>IFERROR(__xludf.DUMMYFUNCTION("""COMPUTED_VALUE"""),"Discussion")</f>
        <v>Discussion</v>
      </c>
      <c r="G10" s="7" t="b">
        <f>IFERROR(__xludf.DUMMYFUNCTION("""COMPUTED_VALUE"""),FALSE)</f>
        <v>0</v>
      </c>
      <c r="H10" s="7" t="str">
        <f>IFERROR(__xludf.DUMMYFUNCTION("""COMPUTED_VALUE"""),"Team 400, Get AI Ready, Impressive")</f>
        <v>Team 400, Get AI Ready, Impressive</v>
      </c>
      <c r="I10" s="7">
        <f>IFERROR(__xludf.DUMMYFUNCTION("""COMPUTED_VALUE"""),1.0)</f>
        <v>1</v>
      </c>
      <c r="J10" s="7">
        <f>IFERROR(__xludf.DUMMYFUNCTION("""COMPUTED_VALUE"""),0.0)</f>
        <v>0</v>
      </c>
      <c r="K10" s="7">
        <f>IFERROR(__xludf.DUMMYFUNCTION("""COMPUTED_VALUE"""),0.0)</f>
        <v>0</v>
      </c>
    </row>
    <row r="11" ht="15.75" customHeight="1">
      <c r="A11" s="6" t="str">
        <f>IFERROR(__xludf.DUMMYFUNCTION("""COMPUTED_VALUE"""),"https://www.reddit.com/r/AskMarketing/comments/1r6neq7/i_run_one_of_australias_top_20_digital_agencies/")</f>
        <v>https://www.reddit.com/r/AskMarketing/comments/1r6neq7/i_run_one_of_australias_top_20_digital_agencies/</v>
      </c>
      <c r="B11" s="7" t="str">
        <f>IFERROR(__xludf.DUMMYFUNCTION("""COMPUTED_VALUE"""),"I run one of Australia's top 20 digital agencies, and I think the model is broken for SMB's")</f>
        <v>I run one of Australia's top 20 digital agencies, and I think the model is broken for SMB's</v>
      </c>
      <c r="C11" s="6" t="str">
        <f>IFERROR(__xludf.DUMMYFUNCTION("""COMPUTED_VALUE"""),"reddit.com")</f>
        <v>reddit.com</v>
      </c>
      <c r="D11" s="7" t="str">
        <f>IFERROR(__xludf.DUMMYFUNCTION("""COMPUTED_VALUE"""),"DISCUSSION")</f>
        <v>DISCUSSION</v>
      </c>
      <c r="E11" s="7" t="str">
        <f>IFERROR(__xludf.DUMMYFUNCTION("""COMPUTED_VALUE"""),"UGC")</f>
        <v>UGC</v>
      </c>
      <c r="F11" s="7" t="str">
        <f>IFERROR(__xludf.DUMMYFUNCTION("""COMPUTED_VALUE"""),"Discussion")</f>
        <v>Discussion</v>
      </c>
      <c r="G11" s="7" t="b">
        <f>IFERROR(__xludf.DUMMYFUNCTION("""COMPUTED_VALUE"""),FALSE)</f>
        <v>0</v>
      </c>
      <c r="H11" s="7" t="str">
        <f>IFERROR(__xludf.DUMMYFUNCTION("""COMPUTED_VALUE"""),"Huge")</f>
        <v>Huge</v>
      </c>
      <c r="I11" s="7">
        <f>IFERROR(__xludf.DUMMYFUNCTION("""COMPUTED_VALUE"""),1.0)</f>
        <v>1</v>
      </c>
      <c r="J11" s="7">
        <f>IFERROR(__xludf.DUMMYFUNCTION("""COMPUTED_VALUE"""),0.0)</f>
        <v>0</v>
      </c>
      <c r="K11" s="7">
        <f>IFERROR(__xludf.DUMMYFUNCTION("""COMPUTED_VALUE"""),0.0)</f>
        <v>0</v>
      </c>
    </row>
    <row r="12" ht="15.75" customHeight="1">
      <c r="A12" s="6" t="str">
        <f>IFERROR(__xludf.DUMMYFUNCTION("""COMPUTED_VALUE"""),"https://www.reddit.com/r/BestInAustralia/comments/1pun446/7_best_seo_agencies_in_melbourne_2026_guide/")</f>
        <v>https://www.reddit.com/r/BestInAustralia/comments/1pun446/7_best_seo_agencies_in_melbourne_2026_guide/</v>
      </c>
      <c r="B12" s="7" t="str">
        <f>IFERROR(__xludf.DUMMYFUNCTION("""COMPUTED_VALUE"""),"7 Best SEO Agencies in Melbourne (2026 Guide)")</f>
        <v>7 Best SEO Agencies in Melbourne (2026 Guide)</v>
      </c>
      <c r="C12" s="6" t="str">
        <f>IFERROR(__xludf.DUMMYFUNCTION("""COMPUTED_VALUE"""),"reddit.com")</f>
        <v>reddit.com</v>
      </c>
      <c r="D12" s="7" t="str">
        <f>IFERROR(__xludf.DUMMYFUNCTION("""COMPUTED_VALUE"""),"DISCUSSION")</f>
        <v>DISCUSSION</v>
      </c>
      <c r="E12" s="7" t="str">
        <f>IFERROR(__xludf.DUMMYFUNCTION("""COMPUTED_VALUE"""),"UGC")</f>
        <v>UGC</v>
      </c>
      <c r="F12" s="7" t="str">
        <f>IFERROR(__xludf.DUMMYFUNCTION("""COMPUTED_VALUE"""),"Discussion")</f>
        <v>Discussion</v>
      </c>
      <c r="G12" s="7" t="b">
        <f>IFERROR(__xludf.DUMMYFUNCTION("""COMPUTED_VALUE"""),FALSE)</f>
        <v>0</v>
      </c>
      <c r="H12" s="7" t="str">
        <f>IFERROR(__xludf.DUMMYFUNCTION("""COMPUTED_VALUE"""),"Impressive, Talons Marketing, StudioHawk, SIXGUN, Supple Digital, Measured, Online Marketing Gurus, Omnicom Media Group")</f>
        <v>Impressive, Talons Marketing, StudioHawk, SIXGUN, Supple Digital, Measured, Online Marketing Gurus, Omnicom Media Group</v>
      </c>
      <c r="I12" s="7">
        <f>IFERROR(__xludf.DUMMYFUNCTION("""COMPUTED_VALUE"""),1.0)</f>
        <v>1</v>
      </c>
      <c r="J12" s="7">
        <f>IFERROR(__xludf.DUMMYFUNCTION("""COMPUTED_VALUE"""),0.0)</f>
        <v>0</v>
      </c>
      <c r="K12" s="7">
        <f>IFERROR(__xludf.DUMMYFUNCTION("""COMPUTED_VALUE"""),2.0)</f>
        <v>2</v>
      </c>
    </row>
    <row r="13" ht="15.75" customHeight="1">
      <c r="A13" s="6" t="str">
        <f>IFERROR(__xludf.DUMMYFUNCTION("""COMPUTED_VALUE"""),"https://www.reddit.com/r/BestInAustralia/comments/1s8fbyv/best_seo_company_in_melbourne_april_2026/")</f>
        <v>https://www.reddit.com/r/BestInAustralia/comments/1s8fbyv/best_seo_company_in_melbourne_april_2026/</v>
      </c>
      <c r="B13" s="7" t="str">
        <f>IFERROR(__xludf.DUMMYFUNCTION("""COMPUTED_VALUE"""),"Best SEO Company In Melbourne April 2026")</f>
        <v>Best SEO Company In Melbourne April 2026</v>
      </c>
      <c r="C13" s="6" t="str">
        <f>IFERROR(__xludf.DUMMYFUNCTION("""COMPUTED_VALUE"""),"reddit.com")</f>
        <v>reddit.com</v>
      </c>
      <c r="D13" s="7" t="str">
        <f>IFERROR(__xludf.DUMMYFUNCTION("""COMPUTED_VALUE"""),"DISCUSSION")</f>
        <v>DISCUSSION</v>
      </c>
      <c r="E13" s="7" t="str">
        <f>IFERROR(__xludf.DUMMYFUNCTION("""COMPUTED_VALUE"""),"UGC")</f>
        <v>UGC</v>
      </c>
      <c r="F13" s="7" t="str">
        <f>IFERROR(__xludf.DUMMYFUNCTION("""COMPUTED_VALUE"""),"Discussion")</f>
        <v>Discussion</v>
      </c>
      <c r="G13" s="7" t="b">
        <f>IFERROR(__xludf.DUMMYFUNCTION("""COMPUTED_VALUE"""),FALSE)</f>
        <v>0</v>
      </c>
      <c r="H13" s="7" t="str">
        <f>IFERROR(__xludf.DUMMYFUNCTION("""COMPUTED_VALUE"""),"StudioHawk, Supple Digital, Bonfire, Clearwater Agency, SIXGUN, Earned Media, Measured, Talons Marketing")</f>
        <v>StudioHawk, Supple Digital, Bonfire, Clearwater Agency, SIXGUN, Earned Media, Measured, Talons Marketing</v>
      </c>
      <c r="I13" s="7">
        <f>IFERROR(__xludf.DUMMYFUNCTION("""COMPUTED_VALUE"""),1.0)</f>
        <v>1</v>
      </c>
      <c r="J13" s="7">
        <f>IFERROR(__xludf.DUMMYFUNCTION("""COMPUTED_VALUE"""),0.0)</f>
        <v>0</v>
      </c>
      <c r="K13" s="7">
        <f>IFERROR(__xludf.DUMMYFUNCTION("""COMPUTED_VALUE"""),1.0)</f>
        <v>1</v>
      </c>
    </row>
    <row r="14" ht="15.75" customHeight="1">
      <c r="A14" s="6" t="str">
        <f>IFERROR(__xludf.DUMMYFUNCTION("""COMPUTED_VALUE"""),"https://www.reddit.com/r/BestInAustralia/comments/1tghlmb/5_best_seo_agencies_in_southbank_2026/")</f>
        <v>https://www.reddit.com/r/BestInAustralia/comments/1tghlmb/5_best_seo_agencies_in_southbank_2026/</v>
      </c>
      <c r="B14" s="7" t="str">
        <f>IFERROR(__xludf.DUMMYFUNCTION("""COMPUTED_VALUE"""),"5 Best SEO Agencies in Southbank 2026")</f>
        <v>5 Best SEO Agencies in Southbank 2026</v>
      </c>
      <c r="C14" s="6" t="str">
        <f>IFERROR(__xludf.DUMMYFUNCTION("""COMPUTED_VALUE"""),"reddit.com")</f>
        <v>reddit.com</v>
      </c>
      <c r="D14" s="7" t="str">
        <f>IFERROR(__xludf.DUMMYFUNCTION("""COMPUTED_VALUE"""),"DISCUSSION")</f>
        <v>DISCUSSION</v>
      </c>
      <c r="E14" s="7" t="str">
        <f>IFERROR(__xludf.DUMMYFUNCTION("""COMPUTED_VALUE"""),"UGC")</f>
        <v>UGC</v>
      </c>
      <c r="F14" s="7" t="str">
        <f>IFERROR(__xludf.DUMMYFUNCTION("""COMPUTED_VALUE"""),"Discussion")</f>
        <v>Discussion</v>
      </c>
      <c r="G14" s="7" t="b">
        <f>IFERROR(__xludf.DUMMYFUNCTION("""COMPUTED_VALUE"""),FALSE)</f>
        <v>0</v>
      </c>
      <c r="H14" s="7" t="str">
        <f>IFERROR(__xludf.DUMMYFUNCTION("""COMPUTED_VALUE"""),"Talons Marketing, StudioHawk, Clearwater Agency, Online Marketing Gurus, Impressive")</f>
        <v>Talons Marketing, StudioHawk, Clearwater Agency, Online Marketing Gurus, Impressive</v>
      </c>
      <c r="I14" s="7">
        <f>IFERROR(__xludf.DUMMYFUNCTION("""COMPUTED_VALUE"""),1.0)</f>
        <v>1</v>
      </c>
      <c r="J14" s="7">
        <f>IFERROR(__xludf.DUMMYFUNCTION("""COMPUTED_VALUE"""),0.0)</f>
        <v>0</v>
      </c>
      <c r="K14" s="7">
        <f>IFERROR(__xludf.DUMMYFUNCTION("""COMPUTED_VALUE"""),1.0)</f>
        <v>1</v>
      </c>
    </row>
    <row r="15" ht="15.75" customHeight="1">
      <c r="A15" s="6" t="str">
        <f>IFERROR(__xludf.DUMMYFUNCTION("""COMPUTED_VALUE"""),"https://www.reddit.com/r/DigitalMarketing/comments/1pd7lti/can_someone_explain_geo_and_aeo_in_a_simple_way/#:~:text=So%20instead%20of%20just%20ranking%20on%20a,even%20on%20platforms%20like%20Google's%20answer%20box.")</f>
        <v>https://www.reddit.com/r/DigitalMarketing/comments/1pd7lti/can_someone_explain_geo_and_aeo_in_a_simple_way/#:~:text=So%20instead%20of%20just%20ranking%20on%20a,even%20on%20platforms%20like%20Google's%20answer%20box.</v>
      </c>
      <c r="B15" s="7" t="str">
        <f>IFERROR(__xludf.DUMMYFUNCTION("""COMPUTED_VALUE"""),"Can someone explain GEO and AEO in a simple way? Trying to understand these newer terms clearly.")</f>
        <v>Can someone explain GEO and AEO in a simple way? Trying to understand these newer terms clearly.</v>
      </c>
      <c r="C15" s="6" t="str">
        <f>IFERROR(__xludf.DUMMYFUNCTION("""COMPUTED_VALUE"""),"reddit.com")</f>
        <v>reddit.com</v>
      </c>
      <c r="D15" s="7" t="str">
        <f>IFERROR(__xludf.DUMMYFUNCTION("""COMPUTED_VALUE"""),"DISCUSSION")</f>
        <v>DISCUSSION</v>
      </c>
      <c r="E15" s="7" t="str">
        <f>IFERROR(__xludf.DUMMYFUNCTION("""COMPUTED_VALUE"""),"UGC")</f>
        <v>UGC</v>
      </c>
      <c r="F15" s="7" t="str">
        <f>IFERROR(__xludf.DUMMYFUNCTION("""COMPUTED_VALUE"""),"Discussion")</f>
        <v>Discussion</v>
      </c>
      <c r="G15" s="7" t="b">
        <f>IFERROR(__xludf.DUMMYFUNCTION("""COMPUTED_VALUE"""),FALSE)</f>
        <v>0</v>
      </c>
      <c r="H15" s="7"/>
      <c r="I15" s="7">
        <f>IFERROR(__xludf.DUMMYFUNCTION("""COMPUTED_VALUE"""),1.0)</f>
        <v>1</v>
      </c>
      <c r="J15" s="7">
        <f>IFERROR(__xludf.DUMMYFUNCTION("""COMPUTED_VALUE"""),0.0)</f>
        <v>0</v>
      </c>
      <c r="K15" s="7">
        <f>IFERROR(__xludf.DUMMYFUNCTION("""COMPUTED_VALUE"""),1.0)</f>
        <v>1</v>
      </c>
    </row>
    <row r="16" ht="15.75" customHeight="1">
      <c r="A16" s="6" t="str">
        <f>IFERROR(__xludf.DUMMYFUNCTION("""COMPUTED_VALUE"""),"https://www.reddit.com/r/DigitalMarketing/comments/1tdo237/which_performance_marketing_agencies_specialize/")</f>
        <v>https://www.reddit.com/r/DigitalMarketing/comments/1tdo237/which_performance_marketing_agencies_specialize/</v>
      </c>
      <c r="B16" s="7" t="str">
        <f>IFERROR(__xludf.DUMMYFUNCTION("""COMPUTED_VALUE"""),"Which performance marketing agencies specialize in driving measurable leads and revenue, not just traffic?")</f>
        <v>Which performance marketing agencies specialize in driving measurable leads and revenue, not just traffic?</v>
      </c>
      <c r="C16" s="6" t="str">
        <f>IFERROR(__xludf.DUMMYFUNCTION("""COMPUTED_VALUE"""),"reddit.com")</f>
        <v>reddit.com</v>
      </c>
      <c r="D16" s="7" t="str">
        <f>IFERROR(__xludf.DUMMYFUNCTION("""COMPUTED_VALUE"""),"DISCUSSION")</f>
        <v>DISCUSSION</v>
      </c>
      <c r="E16" s="7" t="str">
        <f>IFERROR(__xludf.DUMMYFUNCTION("""COMPUTED_VALUE"""),"UGC")</f>
        <v>UGC</v>
      </c>
      <c r="F16" s="7" t="str">
        <f>IFERROR(__xludf.DUMMYFUNCTION("""COMPUTED_VALUE"""),"Discussion")</f>
        <v>Discussion</v>
      </c>
      <c r="G16" s="7" t="b">
        <f>IFERROR(__xludf.DUMMYFUNCTION("""COMPUTED_VALUE"""),FALSE)</f>
        <v>0</v>
      </c>
      <c r="H16" s="7"/>
      <c r="I16" s="7">
        <f>IFERROR(__xludf.DUMMYFUNCTION("""COMPUTED_VALUE"""),1.0)</f>
        <v>1</v>
      </c>
      <c r="J16" s="7">
        <f>IFERROR(__xludf.DUMMYFUNCTION("""COMPUTED_VALUE"""),0.0)</f>
        <v>0</v>
      </c>
      <c r="K16" s="7">
        <f>IFERROR(__xludf.DUMMYFUNCTION("""COMPUTED_VALUE"""),2.0)</f>
        <v>2</v>
      </c>
    </row>
    <row r="17" ht="15.75" customHeight="1">
      <c r="A17" s="6" t="str">
        <f>IFERROR(__xludf.DUMMYFUNCTION("""COMPUTED_VALUE"""),"https://www.reddit.com/r/LLMTraffic/comments/1t44tn7/which_geo_marketing_agencies_are_actually_worth/")</f>
        <v>https://www.reddit.com/r/LLMTraffic/comments/1t44tn7/which_geo_marketing_agencies_are_actually_worth/</v>
      </c>
      <c r="B17" s="7" t="str">
        <f>IFERROR(__xludf.DUMMYFUNCTION("""COMPUTED_VALUE"""),"Which ""GEO marketing"" agencies are actually worth talking to?")</f>
        <v>Which "GEO marketing" agencies are actually worth talking to?</v>
      </c>
      <c r="C17" s="6" t="str">
        <f>IFERROR(__xludf.DUMMYFUNCTION("""COMPUTED_VALUE"""),"reddit.com")</f>
        <v>reddit.com</v>
      </c>
      <c r="D17" s="7" t="str">
        <f>IFERROR(__xludf.DUMMYFUNCTION("""COMPUTED_VALUE"""),"DISCUSSION")</f>
        <v>DISCUSSION</v>
      </c>
      <c r="E17" s="7" t="str">
        <f>IFERROR(__xludf.DUMMYFUNCTION("""COMPUTED_VALUE"""),"UGC")</f>
        <v>UGC</v>
      </c>
      <c r="F17" s="7" t="str">
        <f>IFERROR(__xludf.DUMMYFUNCTION("""COMPUTED_VALUE"""),"Discussion")</f>
        <v>Discussion</v>
      </c>
      <c r="G17" s="7" t="b">
        <f>IFERROR(__xludf.DUMMYFUNCTION("""COMPUTED_VALUE"""),FALSE)</f>
        <v>0</v>
      </c>
      <c r="H17" s="7" t="str">
        <f>IFERROR(__xludf.DUMMYFUNCTION("""COMPUTED_VALUE"""),"Online Marketing Gurus, Earned Media, Measured")</f>
        <v>Online Marketing Gurus, Earned Media, Measured</v>
      </c>
      <c r="I17" s="7">
        <f>IFERROR(__xludf.DUMMYFUNCTION("""COMPUTED_VALUE"""),1.0)</f>
        <v>1</v>
      </c>
      <c r="J17" s="7">
        <f>IFERROR(__xludf.DUMMYFUNCTION("""COMPUTED_VALUE"""),0.0)</f>
        <v>0</v>
      </c>
      <c r="K17" s="7">
        <f>IFERROR(__xludf.DUMMYFUNCTION("""COMPUTED_VALUE"""),2.0)</f>
        <v>2</v>
      </c>
    </row>
    <row r="18" ht="15.75" customHeight="1">
      <c r="A18" s="6" t="str">
        <f>IFERROR(__xludf.DUMMYFUNCTION("""COMPUTED_VALUE"""),"https://www.reddit.com/r/MktgSupermarket/comments/1qom30j/compiled_a_directory_of_25_ai_marketing_agencies/")</f>
        <v>https://www.reddit.com/r/MktgSupermarket/comments/1qom30j/compiled_a_directory_of_25_ai_marketing_agencies/</v>
      </c>
      <c r="B18" s="7" t="str">
        <f>IFERROR(__xludf.DUMMYFUNCTION("""COMPUTED_VALUE"""),"Compiled a directory of 25 AI marketing agencies — here's the breakdown by category")</f>
        <v>Compiled a directory of 25 AI marketing agencies — here's the breakdown by category</v>
      </c>
      <c r="C18" s="6" t="str">
        <f>IFERROR(__xludf.DUMMYFUNCTION("""COMPUTED_VALUE"""),"reddit.com")</f>
        <v>reddit.com</v>
      </c>
      <c r="D18" s="7" t="str">
        <f>IFERROR(__xludf.DUMMYFUNCTION("""COMPUTED_VALUE"""),"DISCUSSION")</f>
        <v>DISCUSSION</v>
      </c>
      <c r="E18" s="7" t="str">
        <f>IFERROR(__xludf.DUMMYFUNCTION("""COMPUTED_VALUE"""),"UGC")</f>
        <v>UGC</v>
      </c>
      <c r="F18" s="7" t="str">
        <f>IFERROR(__xludf.DUMMYFUNCTION("""COMPUTED_VALUE"""),"Discussion")</f>
        <v>Discussion</v>
      </c>
      <c r="G18" s="7" t="b">
        <f>IFERROR(__xludf.DUMMYFUNCTION("""COMPUTED_VALUE"""),FALSE)</f>
        <v>0</v>
      </c>
      <c r="H18" s="7" t="str">
        <f>IFERROR(__xludf.DUMMYFUNCTION("""COMPUTED_VALUE"""),"Ninja Promo")</f>
        <v>Ninja Promo</v>
      </c>
      <c r="I18" s="7">
        <f>IFERROR(__xludf.DUMMYFUNCTION("""COMPUTED_VALUE"""),1.0)</f>
        <v>1</v>
      </c>
      <c r="J18" s="7">
        <f>IFERROR(__xludf.DUMMYFUNCTION("""COMPUTED_VALUE"""),0.0)</f>
        <v>0</v>
      </c>
      <c r="K18" s="7">
        <f>IFERROR(__xludf.DUMMYFUNCTION("""COMPUTED_VALUE"""),1.0)</f>
        <v>1</v>
      </c>
    </row>
    <row r="19" ht="15.75" customHeight="1">
      <c r="A19" s="6" t="str">
        <f>IFERROR(__xludf.DUMMYFUNCTION("""COMPUTED_VALUE"""),"https://www.reddit.com/r/advertising/comments/1d5ypn3")</f>
        <v>https://www.reddit.com/r/advertising/comments/1d5ypn3</v>
      </c>
      <c r="B19" s="7" t="str">
        <f>IFERROR(__xludf.DUMMYFUNCTION("""COMPUTED_VALUE"""),"Creative Ad Agencies in Australia?")</f>
        <v>Creative Ad Agencies in Australia?</v>
      </c>
      <c r="C19" s="6" t="str">
        <f>IFERROR(__xludf.DUMMYFUNCTION("""COMPUTED_VALUE"""),"reddit.com")</f>
        <v>reddit.com</v>
      </c>
      <c r="D19" s="7" t="str">
        <f>IFERROR(__xludf.DUMMYFUNCTION("""COMPUTED_VALUE"""),"DISCUSSION")</f>
        <v>DISCUSSION</v>
      </c>
      <c r="E19" s="7" t="str">
        <f>IFERROR(__xludf.DUMMYFUNCTION("""COMPUTED_VALUE"""),"UGC")</f>
        <v>UGC</v>
      </c>
      <c r="F19" s="7" t="str">
        <f>IFERROR(__xludf.DUMMYFUNCTION("""COMPUTED_VALUE"""),"Discussion")</f>
        <v>Discussion</v>
      </c>
      <c r="G19" s="7" t="b">
        <f>IFERROR(__xludf.DUMMYFUNCTION("""COMPUTED_VALUE"""),FALSE)</f>
        <v>0</v>
      </c>
      <c r="H19" s="7" t="str">
        <f>IFERROR(__xludf.DUMMYFUNCTION("""COMPUTED_VALUE"""),"The Monkeys, Clemenger BBDO, HERO")</f>
        <v>The Monkeys, Clemenger BBDO, HERO</v>
      </c>
      <c r="I19" s="7">
        <f>IFERROR(__xludf.DUMMYFUNCTION("""COMPUTED_VALUE"""),1.0)</f>
        <v>1</v>
      </c>
      <c r="J19" s="7">
        <f>IFERROR(__xludf.DUMMYFUNCTION("""COMPUTED_VALUE"""),0.0)</f>
        <v>0</v>
      </c>
      <c r="K19" s="7">
        <f>IFERROR(__xludf.DUMMYFUNCTION("""COMPUTED_VALUE"""),2.0)</f>
        <v>2</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So%20instead%20of%20just%20ranking%20on%20a,even%20on%20platforms%20like%20Google's%20answer%20box." ref="A15"/>
    <hyperlink r:id="rId27" ref="C15"/>
    <hyperlink r:id="rId28" ref="A16"/>
    <hyperlink r:id="rId29" ref="C16"/>
    <hyperlink r:id="rId30" ref="A17"/>
    <hyperlink r:id="rId31" ref="C17"/>
    <hyperlink r:id="rId32" ref="A18"/>
    <hyperlink r:id="rId33" ref="C18"/>
    <hyperlink r:id="rId34" ref="A19"/>
    <hyperlink r:id="rId35" ref="C19"/>
  </hyperlinks>
  <drawing r:id="rId3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LOWER(TRIM(TO_TEXT('PEEC - URLs - All'!D2:D1000)))=""homepage""
  ),
  """"
)"),"https://sparro.com.au/")</f>
        <v>https://sparro.com.au/</v>
      </c>
      <c r="B2" s="7" t="str">
        <f>IFERROR(__xludf.DUMMYFUNCTION("""COMPUTED_VALUE"""),"Sparro: Award-Winning Digital Marketing Agency")</f>
        <v>Sparro: Award-Winning Digital Marketing Agency</v>
      </c>
      <c r="C2" s="6" t="str">
        <f>IFERROR(__xludf.DUMMYFUNCTION("""COMPUTED_VALUE"""),"sparro.com.au")</f>
        <v>sparro.com.au</v>
      </c>
      <c r="D2" s="7" t="str">
        <f>IFERROR(__xludf.DUMMYFUNCTION("""COMPUTED_VALUE"""),"HOMEPAGE")</f>
        <v>HOMEPAGE</v>
      </c>
      <c r="E2" s="7" t="str">
        <f>IFERROR(__xludf.DUMMYFUNCTION("""COMPUTED_VALUE"""),"COMPETITOR")</f>
        <v>COMPETITOR</v>
      </c>
      <c r="F2" s="7" t="str">
        <f>IFERROR(__xludf.DUMMYFUNCTION("""COMPUTED_VALUE"""),"Homepage")</f>
        <v>Homepage</v>
      </c>
      <c r="G2" s="7" t="b">
        <f>IFERROR(__xludf.DUMMYFUNCTION("""COMPUTED_VALUE"""),FALSE)</f>
        <v>0</v>
      </c>
      <c r="H2" s="7" t="str">
        <f>IFERROR(__xludf.DUMMYFUNCTION("""COMPUTED_VALUE"""),"Sparro, Brainlabs, Huge")</f>
        <v>Sparro, Brainlabs, Huge</v>
      </c>
      <c r="I2" s="7">
        <f>IFERROR(__xludf.DUMMYFUNCTION("""COMPUTED_VALUE"""),44.0)</f>
        <v>44</v>
      </c>
      <c r="J2" s="7">
        <f>IFERROR(__xludf.DUMMYFUNCTION("""COMPUTED_VALUE"""),0.05)</f>
        <v>0.05</v>
      </c>
      <c r="K2" s="7">
        <f>IFERROR(__xludf.DUMMYFUNCTION("""COMPUTED_VALUE"""),1.23)</f>
        <v>1.23</v>
      </c>
    </row>
    <row r="3" ht="15.75" customHeight="1">
      <c r="A3" s="6" t="str">
        <f>IFERROR(__xludf.DUMMYFUNCTION("""COMPUTED_VALUE"""),"https://www.undivided.com.au/")</f>
        <v>https://www.undivided.com.au/</v>
      </c>
      <c r="B3" s="7" t="str">
        <f>IFERROR(__xludf.DUMMYFUNCTION("""COMPUTED_VALUE"""),"Digital Marketing Agency with Guaranteed ROI | UNDIVIDED")</f>
        <v>Digital Marketing Agency with Guaranteed ROI | UNDIVIDED</v>
      </c>
      <c r="C3" s="6" t="str">
        <f>IFERROR(__xludf.DUMMYFUNCTION("""COMPUTED_VALUE"""),"undivided.com.au")</f>
        <v>undivided.com.au</v>
      </c>
      <c r="D3" s="7" t="str">
        <f>IFERROR(__xludf.DUMMYFUNCTION("""COMPUTED_VALUE"""),"HOMEPAGE")</f>
        <v>HOMEPAGE</v>
      </c>
      <c r="E3" s="7" t="str">
        <f>IFERROR(__xludf.DUMMYFUNCTION("""COMPUTED_VALUE"""),"CORPORATE")</f>
        <v>CORPORATE</v>
      </c>
      <c r="F3" s="7" t="str">
        <f>IFERROR(__xludf.DUMMYFUNCTION("""COMPUTED_VALUE"""),"Homepage")</f>
        <v>Homepage</v>
      </c>
      <c r="G3" s="7" t="b">
        <f>IFERROR(__xludf.DUMMYFUNCTION("""COMPUTED_VALUE"""),FALSE)</f>
        <v>0</v>
      </c>
      <c r="H3" s="7" t="str">
        <f>IFERROR(__xludf.DUMMYFUNCTION("""COMPUTED_VALUE"""),"Undivided, Earned Media, Measured")</f>
        <v>Undivided, Earned Media, Measured</v>
      </c>
      <c r="I3" s="7">
        <f>IFERROR(__xludf.DUMMYFUNCTION("""COMPUTED_VALUE"""),41.0)</f>
        <v>41</v>
      </c>
      <c r="J3" s="7">
        <f>IFERROR(__xludf.DUMMYFUNCTION("""COMPUTED_VALUE"""),0.04)</f>
        <v>0.04</v>
      </c>
      <c r="K3" s="7">
        <f>IFERROR(__xludf.DUMMYFUNCTION("""COMPUTED_VALUE"""),1.46)</f>
        <v>1.46</v>
      </c>
    </row>
    <row r="4" ht="15.75" customHeight="1">
      <c r="A4" s="6" t="str">
        <f>IFERROR(__xludf.DUMMYFUNCTION("""COMPUTED_VALUE"""),"https://impressive.com.au/")</f>
        <v>https://impressive.com.au/</v>
      </c>
      <c r="B4" s="7" t="str">
        <f>IFERROR(__xludf.DUMMYFUNCTION("""COMPUTED_VALUE"""),"Impressive Digital: Melbourne's Premium Digital Marketing Agency")</f>
        <v>Impressive Digital: Melbourne's Premium Digital Marketing Agency</v>
      </c>
      <c r="C4" s="6" t="str">
        <f>IFERROR(__xludf.DUMMYFUNCTION("""COMPUTED_VALUE"""),"impressive.com.au")</f>
        <v>impressive.com.au</v>
      </c>
      <c r="D4" s="7" t="str">
        <f>IFERROR(__xludf.DUMMYFUNCTION("""COMPUTED_VALUE"""),"HOMEPAGE")</f>
        <v>HOMEPAGE</v>
      </c>
      <c r="E4" s="7" t="str">
        <f>IFERROR(__xludf.DUMMYFUNCTION("""COMPUTED_VALUE"""),"COMPETITOR")</f>
        <v>COMPETITOR</v>
      </c>
      <c r="F4" s="7" t="str">
        <f>IFERROR(__xludf.DUMMYFUNCTION("""COMPUTED_VALUE"""),"Homepage")</f>
        <v>Homepage</v>
      </c>
      <c r="G4" s="7" t="b">
        <f>IFERROR(__xludf.DUMMYFUNCTION("""COMPUTED_VALUE"""),FALSE)</f>
        <v>0</v>
      </c>
      <c r="H4" s="7" t="str">
        <f>IFERROR(__xludf.DUMMYFUNCTION("""COMPUTED_VALUE"""),"Impressive, Growth Digital, Deloitte")</f>
        <v>Impressive, Growth Digital, Deloitte</v>
      </c>
      <c r="I4" s="7">
        <f>IFERROR(__xludf.DUMMYFUNCTION("""COMPUTED_VALUE"""),38.0)</f>
        <v>38</v>
      </c>
      <c r="J4" s="7">
        <f>IFERROR(__xludf.DUMMYFUNCTION("""COMPUTED_VALUE"""),0.04)</f>
        <v>0.04</v>
      </c>
      <c r="K4" s="7">
        <f>IFERROR(__xludf.DUMMYFUNCTION("""COMPUTED_VALUE"""),1.18)</f>
        <v>1.18</v>
      </c>
    </row>
    <row r="5" ht="15.75" customHeight="1">
      <c r="A5" s="6" t="str">
        <f>IFERROR(__xludf.DUMMYFUNCTION("""COMPUTED_VALUE"""),"https://getaiready.com.au/")</f>
        <v>https://getaiready.com.au/</v>
      </c>
      <c r="B5" s="7" t="str">
        <f>IFERROR(__xludf.DUMMYFUNCTION("""COMPUTED_VALUE"""),"AI Consulting Australia | Enterprise AI Strategy")</f>
        <v>AI Consulting Australia | Enterprise AI Strategy</v>
      </c>
      <c r="C5" s="6" t="str">
        <f>IFERROR(__xludf.DUMMYFUNCTION("""COMPUTED_VALUE"""),"getaiready.com.au")</f>
        <v>getaiready.com.au</v>
      </c>
      <c r="D5" s="7" t="str">
        <f>IFERROR(__xludf.DUMMYFUNCTION("""COMPUTED_VALUE"""),"HOMEPAGE")</f>
        <v>HOMEPAGE</v>
      </c>
      <c r="E5" s="7" t="str">
        <f>IFERROR(__xludf.DUMMYFUNCTION("""COMPUTED_VALUE"""),"CORPORATE")</f>
        <v>CORPORATE</v>
      </c>
      <c r="F5" s="7" t="str">
        <f>IFERROR(__xludf.DUMMYFUNCTION("""COMPUTED_VALUE"""),"Homepage")</f>
        <v>Homepage</v>
      </c>
      <c r="G5" s="7" t="b">
        <f>IFERROR(__xludf.DUMMYFUNCTION("""COMPUTED_VALUE"""),FALSE)</f>
        <v>0</v>
      </c>
      <c r="H5" s="7" t="str">
        <f>IFERROR(__xludf.DUMMYFUNCTION("""COMPUTED_VALUE"""),"Get AI Ready, Momentum")</f>
        <v>Get AI Ready, Momentum</v>
      </c>
      <c r="I5" s="7">
        <f>IFERROR(__xludf.DUMMYFUNCTION("""COMPUTED_VALUE"""),27.0)</f>
        <v>27</v>
      </c>
      <c r="J5" s="7">
        <f>IFERROR(__xludf.DUMMYFUNCTION("""COMPUTED_VALUE"""),0.03)</f>
        <v>0.03</v>
      </c>
      <c r="K5" s="7">
        <f>IFERROR(__xludf.DUMMYFUNCTION("""COMPUTED_VALUE"""),0.85)</f>
        <v>0.85</v>
      </c>
    </row>
    <row r="6" ht="15.75" customHeight="1">
      <c r="A6" s="6" t="str">
        <f>IFERROR(__xludf.DUMMYFUNCTION("""COMPUTED_VALUE"""),"https://metriclabs.com.au/")</f>
        <v>https://metriclabs.com.au/</v>
      </c>
      <c r="B6" s="7" t="str">
        <f>IFERROR(__xludf.DUMMYFUNCTION("""COMPUTED_VALUE"""),"A Data Analytics Agency | Metric Labs")</f>
        <v>A Data Analytics Agency | Metric Labs</v>
      </c>
      <c r="C6" s="6" t="str">
        <f>IFERROR(__xludf.DUMMYFUNCTION("""COMPUTED_VALUE"""),"metriclabs.com.au")</f>
        <v>metriclabs.com.au</v>
      </c>
      <c r="D6" s="7" t="str">
        <f>IFERROR(__xludf.DUMMYFUNCTION("""COMPUTED_VALUE"""),"HOMEPAGE")</f>
        <v>HOMEPAGE</v>
      </c>
      <c r="E6" s="7" t="str">
        <f>IFERROR(__xludf.DUMMYFUNCTION("""COMPUTED_VALUE"""),"COMPETITOR")</f>
        <v>COMPETITOR</v>
      </c>
      <c r="F6" s="7" t="str">
        <f>IFERROR(__xludf.DUMMYFUNCTION("""COMPUTED_VALUE"""),"Homepage")</f>
        <v>Homepage</v>
      </c>
      <c r="G6" s="7" t="b">
        <f>IFERROR(__xludf.DUMMYFUNCTION("""COMPUTED_VALUE"""),FALSE)</f>
        <v>0</v>
      </c>
      <c r="H6" s="7" t="str">
        <f>IFERROR(__xludf.DUMMYFUNCTION("""COMPUTED_VALUE"""),"Metric Labs, Measured")</f>
        <v>Metric Labs, Measured</v>
      </c>
      <c r="I6" s="7">
        <f>IFERROR(__xludf.DUMMYFUNCTION("""COMPUTED_VALUE"""),22.0)</f>
        <v>22</v>
      </c>
      <c r="J6" s="7">
        <f>IFERROR(__xludf.DUMMYFUNCTION("""COMPUTED_VALUE"""),0.02)</f>
        <v>0.02</v>
      </c>
      <c r="K6" s="7">
        <f>IFERROR(__xludf.DUMMYFUNCTION("""COMPUTED_VALUE"""),1.23)</f>
        <v>1.23</v>
      </c>
    </row>
    <row r="7" ht="15.75" customHeight="1">
      <c r="A7" s="6" t="str">
        <f>IFERROR(__xludf.DUMMYFUNCTION("""COMPUTED_VALUE"""),"https://www.ogilvy.com.au/")</f>
        <v>https://www.ogilvy.com.au/</v>
      </c>
      <c r="B7" s="7" t="str">
        <f>IFERROR(__xludf.DUMMYFUNCTION("""COMPUTED_VALUE"""),"Ogilvy Australia")</f>
        <v>Ogilvy Australia</v>
      </c>
      <c r="C7" s="6" t="str">
        <f>IFERROR(__xludf.DUMMYFUNCTION("""COMPUTED_VALUE"""),"ogilvy.com.au")</f>
        <v>ogilvy.com.au</v>
      </c>
      <c r="D7" s="7" t="str">
        <f>IFERROR(__xludf.DUMMYFUNCTION("""COMPUTED_VALUE"""),"HOMEPAGE")</f>
        <v>HOMEPAGE</v>
      </c>
      <c r="E7" s="7" t="str">
        <f>IFERROR(__xludf.DUMMYFUNCTION("""COMPUTED_VALUE"""),"CORPORATE")</f>
        <v>CORPORATE</v>
      </c>
      <c r="F7" s="7" t="str">
        <f>IFERROR(__xludf.DUMMYFUNCTION("""COMPUTED_VALUE"""),"Homepage")</f>
        <v>Homepage</v>
      </c>
      <c r="G7" s="7" t="b">
        <f>IFERROR(__xludf.DUMMYFUNCTION("""COMPUTED_VALUE"""),FALSE)</f>
        <v>0</v>
      </c>
      <c r="H7" s="7" t="str">
        <f>IFERROR(__xludf.DUMMYFUNCTION("""COMPUTED_VALUE"""),"Ogilvy Australia, WPP")</f>
        <v>Ogilvy Australia, WPP</v>
      </c>
      <c r="I7" s="7">
        <f>IFERROR(__xludf.DUMMYFUNCTION("""COMPUTED_VALUE"""),19.0)</f>
        <v>19</v>
      </c>
      <c r="J7" s="7">
        <f>IFERROR(__xludf.DUMMYFUNCTION("""COMPUTED_VALUE"""),0.02)</f>
        <v>0.02</v>
      </c>
      <c r="K7" s="7">
        <f>IFERROR(__xludf.DUMMYFUNCTION("""COMPUTED_VALUE"""),1.16)</f>
        <v>1.16</v>
      </c>
    </row>
    <row r="8" ht="15.75" customHeight="1">
      <c r="A8" s="6" t="str">
        <f>IFERROR(__xludf.DUMMYFUNCTION("""COMPUTED_VALUE"""),"https://digitalsurfer.com.au/ai-seo#:~:text=We've%20spent%2010%2B%20years%20building%20the%20technical,and%20a%20future%2Dfacing%20strategy%20in%20one%20campaign.")</f>
        <v>https://digitalsurfer.com.au/ai-seo#:~:text=We've%20spent%2010%2B%20years%20building%20the%20technical,and%20a%20future%2Dfacing%20strategy%20in%20one%20campaign.</v>
      </c>
      <c r="B8" s="7" t="str">
        <f>IFERROR(__xludf.DUMMYFUNCTION("""COMPUTED_VALUE"""),"AI SEO Agency Services Australia \| Digital Surfer")</f>
        <v>AI SEO Agency Services Australia \| Digital Surfer</v>
      </c>
      <c r="C8" s="6" t="str">
        <f>IFERROR(__xludf.DUMMYFUNCTION("""COMPUTED_VALUE"""),"digitalsurfer.com.au")</f>
        <v>digitalsurfer.com.au</v>
      </c>
      <c r="D8" s="7" t="str">
        <f>IFERROR(__xludf.DUMMYFUNCTION("""COMPUTED_VALUE"""),"HOMEPAGE")</f>
        <v>HOMEPAGE</v>
      </c>
      <c r="E8" s="7" t="str">
        <f>IFERROR(__xludf.DUMMYFUNCTION("""COMPUTED_VALUE"""),"CORPORATE")</f>
        <v>CORPORATE</v>
      </c>
      <c r="F8" s="7" t="str">
        <f>IFERROR(__xludf.DUMMYFUNCTION("""COMPUTED_VALUE"""),"Homepage")</f>
        <v>Homepage</v>
      </c>
      <c r="G8" s="7" t="b">
        <f>IFERROR(__xludf.DUMMYFUNCTION("""COMPUTED_VALUE"""),FALSE)</f>
        <v>0</v>
      </c>
      <c r="H8" s="7"/>
      <c r="I8" s="7">
        <f>IFERROR(__xludf.DUMMYFUNCTION("""COMPUTED_VALUE"""),16.0)</f>
        <v>16</v>
      </c>
      <c r="J8" s="7">
        <f>IFERROR(__xludf.DUMMYFUNCTION("""COMPUTED_VALUE"""),0.02)</f>
        <v>0.02</v>
      </c>
      <c r="K8" s="7">
        <f>IFERROR(__xludf.DUMMYFUNCTION("""COMPUTED_VALUE"""),0.44)</f>
        <v>0.44</v>
      </c>
    </row>
    <row r="9" ht="15.75" customHeight="1">
      <c r="A9" s="6" t="str">
        <f>IFERROR(__xludf.DUMMYFUNCTION("""COMPUTED_VALUE"""),"https://www.ethinos.com.au/")</f>
        <v>https://www.ethinos.com.au/</v>
      </c>
      <c r="B9" s="7" t="str">
        <f>IFERROR(__xludf.DUMMYFUNCTION("""COMPUTED_VALUE"""),"Ethinos | Australia's GEO Agency | Generative Engine Optimisation")</f>
        <v>Ethinos | Australia's GEO Agency | Generative Engine Optimisation</v>
      </c>
      <c r="C9" s="6" t="str">
        <f>IFERROR(__xludf.DUMMYFUNCTION("""COMPUTED_VALUE"""),"ethinos.com.au")</f>
        <v>ethinos.com.au</v>
      </c>
      <c r="D9" s="7" t="str">
        <f>IFERROR(__xludf.DUMMYFUNCTION("""COMPUTED_VALUE"""),"HOMEPAGE")</f>
        <v>HOMEPAGE</v>
      </c>
      <c r="E9" s="7" t="str">
        <f>IFERROR(__xludf.DUMMYFUNCTION("""COMPUTED_VALUE"""),"CORPORATE")</f>
        <v>CORPORATE</v>
      </c>
      <c r="F9" s="7" t="str">
        <f>IFERROR(__xludf.DUMMYFUNCTION("""COMPUTED_VALUE"""),"Homepage")</f>
        <v>Homepage</v>
      </c>
      <c r="G9" s="7" t="b">
        <f>IFERROR(__xludf.DUMMYFUNCTION("""COMPUTED_VALUE"""),FALSE)</f>
        <v>0</v>
      </c>
      <c r="H9" s="7"/>
      <c r="I9" s="7">
        <f>IFERROR(__xludf.DUMMYFUNCTION("""COMPUTED_VALUE"""),14.0)</f>
        <v>14</v>
      </c>
      <c r="J9" s="7">
        <f>IFERROR(__xludf.DUMMYFUNCTION("""COMPUTED_VALUE"""),0.01)</f>
        <v>0.01</v>
      </c>
      <c r="K9" s="7">
        <f>IFERROR(__xludf.DUMMYFUNCTION("""COMPUTED_VALUE"""),1.36)</f>
        <v>1.36</v>
      </c>
    </row>
    <row r="10" ht="15.75" customHeight="1">
      <c r="A10" s="6" t="str">
        <f>IFERROR(__xludf.DUMMYFUNCTION("""COMPUTED_VALUE"""),"https://partnersdirectory.withgoogle.com/")</f>
        <v>https://partnersdirectory.withgoogle.com/</v>
      </c>
      <c r="B10" s="7" t="str">
        <f>IFERROR(__xludf.DUMMYFUNCTION("""COMPUTED_VALUE"""),"Google Partners Directory - Find a Partner for Business Growth")</f>
        <v>Google Partners Directory - Find a Partner for Business Growth</v>
      </c>
      <c r="C10" s="6" t="str">
        <f>IFERROR(__xludf.DUMMYFUNCTION("""COMPUTED_VALUE"""),"withgoogle.com")</f>
        <v>withgoogle.com</v>
      </c>
      <c r="D10" s="7" t="str">
        <f>IFERROR(__xludf.DUMMYFUNCTION("""COMPUTED_VALUE"""),"HOMEPAGE")</f>
        <v>HOMEPAGE</v>
      </c>
      <c r="E10" s="7" t="str">
        <f>IFERROR(__xludf.DUMMYFUNCTION("""COMPUTED_VALUE"""),"CORPORATE")</f>
        <v>CORPORATE</v>
      </c>
      <c r="F10" s="7" t="str">
        <f>IFERROR(__xludf.DUMMYFUNCTION("""COMPUTED_VALUE"""),"Homepage")</f>
        <v>Homepage</v>
      </c>
      <c r="G10" s="7" t="b">
        <f>IFERROR(__xludf.DUMMYFUNCTION("""COMPUTED_VALUE"""),FALSE)</f>
        <v>0</v>
      </c>
      <c r="H10" s="7" t="str">
        <f>IFERROR(__xludf.DUMMYFUNCTION("""COMPUTED_VALUE"""),"HERO, Acadia")</f>
        <v>HERO, Acadia</v>
      </c>
      <c r="I10" s="7">
        <f>IFERROR(__xludf.DUMMYFUNCTION("""COMPUTED_VALUE"""),14.0)</f>
        <v>14</v>
      </c>
      <c r="J10" s="7">
        <f>IFERROR(__xludf.DUMMYFUNCTION("""COMPUTED_VALUE"""),0.01)</f>
        <v>0.01</v>
      </c>
      <c r="K10" s="7">
        <f>IFERROR(__xludf.DUMMYFUNCTION("""COMPUTED_VALUE"""),0.5)</f>
        <v>0.5</v>
      </c>
    </row>
    <row r="11" ht="15.75" customHeight="1">
      <c r="A11" s="6" t="str">
        <f>IFERROR(__xludf.DUMMYFUNCTION("""COMPUTED_VALUE"""),"https://www.airconsulting.ai/")</f>
        <v>https://www.airconsulting.ai/</v>
      </c>
      <c r="B11" s="7"/>
      <c r="C11" s="6" t="str">
        <f>IFERROR(__xludf.DUMMYFUNCTION("""COMPUTED_VALUE"""),"airconsulting.ai")</f>
        <v>airconsulting.ai</v>
      </c>
      <c r="D11" s="7" t="str">
        <f>IFERROR(__xludf.DUMMYFUNCTION("""COMPUTED_VALUE"""),"HOMEPAGE")</f>
        <v>HOMEPAGE</v>
      </c>
      <c r="E11" s="7" t="str">
        <f>IFERROR(__xludf.DUMMYFUNCTION("""COMPUTED_VALUE"""),"CORPORATE")</f>
        <v>CORPORATE</v>
      </c>
      <c r="F11" s="7" t="str">
        <f>IFERROR(__xludf.DUMMYFUNCTION("""COMPUTED_VALUE"""),"Homepage")</f>
        <v>Homepage</v>
      </c>
      <c r="G11" s="7"/>
      <c r="H11" s="7" t="str">
        <f>IFERROR(__xludf.DUMMYFUNCTION("""COMPUTED_VALUE"""),"Unknown")</f>
        <v>Unknown</v>
      </c>
      <c r="I11" s="7">
        <f>IFERROR(__xludf.DUMMYFUNCTION("""COMPUTED_VALUE"""),13.0)</f>
        <v>13</v>
      </c>
      <c r="J11" s="7">
        <f>IFERROR(__xludf.DUMMYFUNCTION("""COMPUTED_VALUE"""),0.01)</f>
        <v>0.01</v>
      </c>
      <c r="K11" s="7">
        <f>IFERROR(__xludf.DUMMYFUNCTION("""COMPUTED_VALUE"""),2.15)</f>
        <v>2.15</v>
      </c>
    </row>
    <row r="12" ht="15.75" customHeight="1">
      <c r="A12" s="6" t="str">
        <f>IFERROR(__xludf.DUMMYFUNCTION("""COMPUTED_VALUE"""),"https://roi.com.au/")</f>
        <v>https://roi.com.au/</v>
      </c>
      <c r="B12" s="7" t="str">
        <f>IFERROR(__xludf.DUMMYFUNCTION("""COMPUTED_VALUE"""),"ROI Growth Agency - Superhuman AI Marketing | AI Marketing Agency Australia | roi.com.au")</f>
        <v>ROI Growth Agency - Superhuman AI Marketing | AI Marketing Agency Australia | roi.com.au</v>
      </c>
      <c r="C12" s="6" t="str">
        <f>IFERROR(__xludf.DUMMYFUNCTION("""COMPUTED_VALUE"""),"roi.com.au")</f>
        <v>roi.com.au</v>
      </c>
      <c r="D12" s="7" t="str">
        <f>IFERROR(__xludf.DUMMYFUNCTION("""COMPUTED_VALUE"""),"HOMEPAGE")</f>
        <v>HOMEPAGE</v>
      </c>
      <c r="E12" s="7" t="str">
        <f>IFERROR(__xludf.DUMMYFUNCTION("""COMPUTED_VALUE"""),"CORPORATE")</f>
        <v>CORPORATE</v>
      </c>
      <c r="F12" s="7" t="str">
        <f>IFERROR(__xludf.DUMMYFUNCTION("""COMPUTED_VALUE"""),"Homepage")</f>
        <v>Homepage</v>
      </c>
      <c r="G12" s="7" t="b">
        <f>IFERROR(__xludf.DUMMYFUNCTION("""COMPUTED_VALUE"""),FALSE)</f>
        <v>0</v>
      </c>
      <c r="H12" s="7" t="str">
        <f>IFERROR(__xludf.DUMMYFUNCTION("""COMPUTED_VALUE"""),"ROI Growth Agency, Deloitte")</f>
        <v>ROI Growth Agency, Deloitte</v>
      </c>
      <c r="I12" s="7">
        <f>IFERROR(__xludf.DUMMYFUNCTION("""COMPUTED_VALUE"""),13.0)</f>
        <v>13</v>
      </c>
      <c r="J12" s="7">
        <f>IFERROR(__xludf.DUMMYFUNCTION("""COMPUTED_VALUE"""),0.01)</f>
        <v>0.01</v>
      </c>
      <c r="K12" s="7">
        <f>IFERROR(__xludf.DUMMYFUNCTION("""COMPUTED_VALUE"""),1.85)</f>
        <v>1.85</v>
      </c>
    </row>
    <row r="13" ht="15.75" customHeight="1">
      <c r="A13" s="6" t="str">
        <f>IFERROR(__xludf.DUMMYFUNCTION("""COMPUTED_VALUE"""),"https://sellforte.com/")</f>
        <v>https://sellforte.com/</v>
      </c>
      <c r="B13" s="7" t="str">
        <f>IFERROR(__xludf.DUMMYFUNCTION("""COMPUTED_VALUE"""),"MMM, Incrementality Testing &amp;amp; Attribution | Sellforte")</f>
        <v>MMM, Incrementality Testing &amp;amp; Attribution | Sellforte</v>
      </c>
      <c r="C13" s="6" t="str">
        <f>IFERROR(__xludf.DUMMYFUNCTION("""COMPUTED_VALUE"""),"sellforte.com")</f>
        <v>sellforte.com</v>
      </c>
      <c r="D13" s="7" t="str">
        <f>IFERROR(__xludf.DUMMYFUNCTION("""COMPUTED_VALUE"""),"HOMEPAGE")</f>
        <v>HOMEPAGE</v>
      </c>
      <c r="E13" s="7" t="str">
        <f>IFERROR(__xludf.DUMMYFUNCTION("""COMPUTED_VALUE"""),"CORPORATE")</f>
        <v>CORPORATE</v>
      </c>
      <c r="F13" s="7" t="str">
        <f>IFERROR(__xludf.DUMMYFUNCTION("""COMPUTED_VALUE"""),"Homepage")</f>
        <v>Homepage</v>
      </c>
      <c r="G13" s="7" t="b">
        <f>IFERROR(__xludf.DUMMYFUNCTION("""COMPUTED_VALUE"""),FALSE)</f>
        <v>0</v>
      </c>
      <c r="H13" s="7" t="str">
        <f>IFERROR(__xludf.DUMMYFUNCTION("""COMPUTED_VALUE"""),"Huge, Measured")</f>
        <v>Huge, Measured</v>
      </c>
      <c r="I13" s="7">
        <f>IFERROR(__xludf.DUMMYFUNCTION("""COMPUTED_VALUE"""),12.0)</f>
        <v>12</v>
      </c>
      <c r="J13" s="7">
        <f>IFERROR(__xludf.DUMMYFUNCTION("""COMPUTED_VALUE"""),0.01)</f>
        <v>0.01</v>
      </c>
      <c r="K13" s="7">
        <f>IFERROR(__xludf.DUMMYFUNCTION("""COMPUTED_VALUE"""),0.5)</f>
        <v>0.5</v>
      </c>
    </row>
    <row r="14" ht="15.75" customHeight="1">
      <c r="A14" s="6" t="str">
        <f>IFERROR(__xludf.DUMMYFUNCTION("""COMPUTED_VALUE"""),"https://topgeoagencies.com/")</f>
        <v>https://topgeoagencies.com/</v>
      </c>
      <c r="B14" s="7" t="str">
        <f>IFERROR(__xludf.DUMMYFUNCTION("""COMPUTED_VALUE"""),"The GEO 250 — Best Generative Engine Optimization (GEO) Agencies | TopGEOAgencies.com")</f>
        <v>The GEO 250 — Best Generative Engine Optimization (GEO) Agencies | TopGEOAgencies.com</v>
      </c>
      <c r="C14" s="6" t="str">
        <f>IFERROR(__xludf.DUMMYFUNCTION("""COMPUTED_VALUE"""),"topgeoagencies.com")</f>
        <v>topgeoagencies.com</v>
      </c>
      <c r="D14" s="7" t="str">
        <f>IFERROR(__xludf.DUMMYFUNCTION("""COMPUTED_VALUE"""),"HOMEPAGE")</f>
        <v>HOMEPAGE</v>
      </c>
      <c r="E14" s="7" t="str">
        <f>IFERROR(__xludf.DUMMYFUNCTION("""COMPUTED_VALUE"""),"CORPORATE")</f>
        <v>CORPORATE</v>
      </c>
      <c r="F14" s="7" t="str">
        <f>IFERROR(__xludf.DUMMYFUNCTION("""COMPUTED_VALUE"""),"Homepage")</f>
        <v>Homepage</v>
      </c>
      <c r="G14" s="7" t="b">
        <f>IFERROR(__xludf.DUMMYFUNCTION("""COMPUTED_VALUE"""),FALSE)</f>
        <v>0</v>
      </c>
      <c r="H14" s="7" t="str">
        <f>IFERROR(__xludf.DUMMYFUNCTION("""COMPUTED_VALUE"""),"First Page")</f>
        <v>First Page</v>
      </c>
      <c r="I14" s="7">
        <f>IFERROR(__xludf.DUMMYFUNCTION("""COMPUTED_VALUE"""),12.0)</f>
        <v>12</v>
      </c>
      <c r="J14" s="7">
        <f>IFERROR(__xludf.DUMMYFUNCTION("""COMPUTED_VALUE"""),0.01)</f>
        <v>0.01</v>
      </c>
      <c r="K14" s="7">
        <f>IFERROR(__xludf.DUMMYFUNCTION("""COMPUTED_VALUE"""),0.0)</f>
        <v>0</v>
      </c>
    </row>
    <row r="15" ht="15.75" customHeight="1">
      <c r="A15" s="6" t="str">
        <f>IFERROR(__xludf.DUMMYFUNCTION("""COMPUTED_VALUE"""),"https://www.alphadigital.com.au/")</f>
        <v>https://www.alphadigital.com.au/</v>
      </c>
      <c r="B15" s="7" t="str">
        <f>IFERROR(__xludf.DUMMYFUNCTION("""COMPUTED_VALUE"""),"Award Winning Digital Marketing Agency Australia: Alpha Digital")</f>
        <v>Award Winning Digital Marketing Agency Australia: Alpha Digital</v>
      </c>
      <c r="C15" s="6" t="str">
        <f>IFERROR(__xludf.DUMMYFUNCTION("""COMPUTED_VALUE"""),"alphadigital.com.au")</f>
        <v>alphadigital.com.au</v>
      </c>
      <c r="D15" s="7" t="str">
        <f>IFERROR(__xludf.DUMMYFUNCTION("""COMPUTED_VALUE"""),"HOMEPAGE")</f>
        <v>HOMEPAGE</v>
      </c>
      <c r="E15" s="7" t="str">
        <f>IFERROR(__xludf.DUMMYFUNCTION("""COMPUTED_VALUE"""),"COMPETITOR")</f>
        <v>COMPETITOR</v>
      </c>
      <c r="F15" s="7" t="str">
        <f>IFERROR(__xludf.DUMMYFUNCTION("""COMPUTED_VALUE"""),"Homepage")</f>
        <v>Homepage</v>
      </c>
      <c r="G15" s="7" t="b">
        <f>IFERROR(__xludf.DUMMYFUNCTION("""COMPUTED_VALUE"""),FALSE)</f>
        <v>0</v>
      </c>
      <c r="H15" s="7" t="str">
        <f>IFERROR(__xludf.DUMMYFUNCTION("""COMPUTED_VALUE"""),"Alpha Digital")</f>
        <v>Alpha Digital</v>
      </c>
      <c r="I15" s="7">
        <f>IFERROR(__xludf.DUMMYFUNCTION("""COMPUTED_VALUE"""),11.0)</f>
        <v>11</v>
      </c>
      <c r="J15" s="7">
        <f>IFERROR(__xludf.DUMMYFUNCTION("""COMPUTED_VALUE"""),0.01)</f>
        <v>0.01</v>
      </c>
      <c r="K15" s="7">
        <f>IFERROR(__xludf.DUMMYFUNCTION("""COMPUTED_VALUE"""),1.09)</f>
        <v>1.09</v>
      </c>
    </row>
    <row r="16" ht="15.75" customHeight="1">
      <c r="A16" s="6" t="str">
        <f>IFERROR(__xludf.DUMMYFUNCTION("""COMPUTED_VALUE"""),"https://aimldigital.com.au/")</f>
        <v>https://aimldigital.com.au/</v>
      </c>
      <c r="B16" s="7" t="str">
        <f>IFERROR(__xludf.DUMMYFUNCTION("""COMPUTED_VALUE"""),"AIML Digital | #1 Digital Marketing Agency Perth")</f>
        <v>AIML Digital | #1 Digital Marketing Agency Perth</v>
      </c>
      <c r="C16" s="6" t="str">
        <f>IFERROR(__xludf.DUMMYFUNCTION("""COMPUTED_VALUE"""),"aimldigital.com.au")</f>
        <v>aimldigital.com.au</v>
      </c>
      <c r="D16" s="7" t="str">
        <f>IFERROR(__xludf.DUMMYFUNCTION("""COMPUTED_VALUE"""),"HOMEPAGE")</f>
        <v>HOMEPAGE</v>
      </c>
      <c r="E16" s="7" t="str">
        <f>IFERROR(__xludf.DUMMYFUNCTION("""COMPUTED_VALUE"""),"CORPORATE")</f>
        <v>CORPORATE</v>
      </c>
      <c r="F16" s="7" t="str">
        <f>IFERROR(__xludf.DUMMYFUNCTION("""COMPUTED_VALUE"""),"Homepage")</f>
        <v>Homepage</v>
      </c>
      <c r="G16" s="7" t="b">
        <f>IFERROR(__xludf.DUMMYFUNCTION("""COMPUTED_VALUE"""),FALSE)</f>
        <v>0</v>
      </c>
      <c r="H16" s="7"/>
      <c r="I16" s="7">
        <f>IFERROR(__xludf.DUMMYFUNCTION("""COMPUTED_VALUE"""),10.0)</f>
        <v>10</v>
      </c>
      <c r="J16" s="7">
        <f>IFERROR(__xludf.DUMMYFUNCTION("""COMPUTED_VALUE"""),0.01)</f>
        <v>0.01</v>
      </c>
      <c r="K16" s="7">
        <f>IFERROR(__xludf.DUMMYFUNCTION("""COMPUTED_VALUE"""),0.9)</f>
        <v>0.9</v>
      </c>
    </row>
    <row r="17" ht="15.75" customHeight="1">
      <c r="A17" s="6" t="str">
        <f>IFERROR(__xludf.DUMMYFUNCTION("""COMPUTED_VALUE"""),"https://www.deducive.com/")</f>
        <v>https://www.deducive.com/</v>
      </c>
      <c r="B17" s="7" t="str">
        <f>IFERROR(__xludf.DUMMYFUNCTION("""COMPUTED_VALUE"""),"Deducive - Decision-Grade Marketing Measurement")</f>
        <v>Deducive - Decision-Grade Marketing Measurement</v>
      </c>
      <c r="C17" s="6" t="str">
        <f>IFERROR(__xludf.DUMMYFUNCTION("""COMPUTED_VALUE"""),"deducive.com")</f>
        <v>deducive.com</v>
      </c>
      <c r="D17" s="7" t="str">
        <f>IFERROR(__xludf.DUMMYFUNCTION("""COMPUTED_VALUE"""),"HOMEPAGE")</f>
        <v>HOMEPAGE</v>
      </c>
      <c r="E17" s="7" t="str">
        <f>IFERROR(__xludf.DUMMYFUNCTION("""COMPUTED_VALUE"""),"CORPORATE")</f>
        <v>CORPORATE</v>
      </c>
      <c r="F17" s="7" t="str">
        <f>IFERROR(__xludf.DUMMYFUNCTION("""COMPUTED_VALUE"""),"Homepage")</f>
        <v>Homepage</v>
      </c>
      <c r="G17" s="7" t="b">
        <f>IFERROR(__xludf.DUMMYFUNCTION("""COMPUTED_VALUE"""),FALSE)</f>
        <v>0</v>
      </c>
      <c r="H17" s="7" t="str">
        <f>IFERROR(__xludf.DUMMYFUNCTION("""COMPUTED_VALUE"""),"PHD")</f>
        <v>PHD</v>
      </c>
      <c r="I17" s="7">
        <f>IFERROR(__xludf.DUMMYFUNCTION("""COMPUTED_VALUE"""),10.0)</f>
        <v>10</v>
      </c>
      <c r="J17" s="7">
        <f>IFERROR(__xludf.DUMMYFUNCTION("""COMPUTED_VALUE"""),0.01)</f>
        <v>0.01</v>
      </c>
      <c r="K17" s="7">
        <f>IFERROR(__xludf.DUMMYFUNCTION("""COMPUTED_VALUE"""),2.1)</f>
        <v>2.1</v>
      </c>
    </row>
    <row r="18" ht="15.75" customHeight="1">
      <c r="A18" s="6" t="str">
        <f>IFERROR(__xludf.DUMMYFUNCTION("""COMPUTED_VALUE"""),"https://www.digitalmindsgroup.com.au/")</f>
        <v>https://www.digitalmindsgroup.com.au/</v>
      </c>
      <c r="B18" s="7" t="str">
        <f>IFERROR(__xludf.DUMMYFUNCTION("""COMPUTED_VALUE"""),"Digital Minds Group")</f>
        <v>Digital Minds Group</v>
      </c>
      <c r="C18" s="6" t="str">
        <f>IFERROR(__xludf.DUMMYFUNCTION("""COMPUTED_VALUE"""),"digitalmindsgroup.com.au")</f>
        <v>digitalmindsgroup.com.au</v>
      </c>
      <c r="D18" s="7" t="str">
        <f>IFERROR(__xludf.DUMMYFUNCTION("""COMPUTED_VALUE"""),"HOMEPAGE")</f>
        <v>HOMEPAGE</v>
      </c>
      <c r="E18" s="7" t="str">
        <f>IFERROR(__xludf.DUMMYFUNCTION("""COMPUTED_VALUE"""),"CORPORATE")</f>
        <v>CORPORATE</v>
      </c>
      <c r="F18" s="7" t="str">
        <f>IFERROR(__xludf.DUMMYFUNCTION("""COMPUTED_VALUE"""),"Homepage")</f>
        <v>Homepage</v>
      </c>
      <c r="G18" s="7" t="b">
        <f>IFERROR(__xludf.DUMMYFUNCTION("""COMPUTED_VALUE"""),FALSE)</f>
        <v>0</v>
      </c>
      <c r="H18" s="7"/>
      <c r="I18" s="7">
        <f>IFERROR(__xludf.DUMMYFUNCTION("""COMPUTED_VALUE"""),10.0)</f>
        <v>10</v>
      </c>
      <c r="J18" s="7">
        <f>IFERROR(__xludf.DUMMYFUNCTION("""COMPUTED_VALUE"""),0.01)</f>
        <v>0.01</v>
      </c>
      <c r="K18" s="7">
        <f>IFERROR(__xludf.DUMMYFUNCTION("""COMPUTED_VALUE"""),1.2)</f>
        <v>1.2</v>
      </c>
    </row>
    <row r="19" ht="15.75" customHeight="1">
      <c r="A19" s="6" t="str">
        <f>IFERROR(__xludf.DUMMYFUNCTION("""COMPUTED_VALUE"""),"https://wearesocial.com/au/")</f>
        <v>https://wearesocial.com/au/</v>
      </c>
      <c r="B19" s="7" t="str">
        <f>IFERROR(__xludf.DUMMYFUNCTION("""COMPUTED_VALUE"""),"Creative Agency - We Are Social Australia")</f>
        <v>Creative Agency - We Are Social Australia</v>
      </c>
      <c r="C19" s="6" t="str">
        <f>IFERROR(__xludf.DUMMYFUNCTION("""COMPUTED_VALUE"""),"wearesocial.com")</f>
        <v>wearesocial.com</v>
      </c>
      <c r="D19" s="7" t="str">
        <f>IFERROR(__xludf.DUMMYFUNCTION("""COMPUTED_VALUE"""),"HOMEPAGE")</f>
        <v>HOMEPAGE</v>
      </c>
      <c r="E19" s="7" t="str">
        <f>IFERROR(__xludf.DUMMYFUNCTION("""COMPUTED_VALUE"""),"COMPETITOR")</f>
        <v>COMPETITOR</v>
      </c>
      <c r="F19" s="7" t="str">
        <f>IFERROR(__xludf.DUMMYFUNCTION("""COMPUTED_VALUE"""),"Homepage")</f>
        <v>Homepage</v>
      </c>
      <c r="G19" s="7" t="b">
        <f>IFERROR(__xludf.DUMMYFUNCTION("""COMPUTED_VALUE"""),FALSE)</f>
        <v>0</v>
      </c>
      <c r="H19" s="7" t="str">
        <f>IFERROR(__xludf.DUMMYFUNCTION("""COMPUTED_VALUE"""),"We Are Social")</f>
        <v>We Are Social</v>
      </c>
      <c r="I19" s="7">
        <f>IFERROR(__xludf.DUMMYFUNCTION("""COMPUTED_VALUE"""),10.0)</f>
        <v>10</v>
      </c>
      <c r="J19" s="7">
        <f>IFERROR(__xludf.DUMMYFUNCTION("""COMPUTED_VALUE"""),0.01)</f>
        <v>0.01</v>
      </c>
      <c r="K19" s="7">
        <f>IFERROR(__xludf.DUMMYFUNCTION("""COMPUTED_VALUE"""),1.0)</f>
        <v>1</v>
      </c>
    </row>
    <row r="20" ht="15.75" customHeight="1">
      <c r="A20" s="6" t="str">
        <f>IFERROR(__xludf.DUMMYFUNCTION("""COMPUTED_VALUE"""),"https://www.measured.com/")</f>
        <v>https://www.measured.com/</v>
      </c>
      <c r="B20" s="7" t="str">
        <f>IFERROR(__xludf.DUMMYFUNCTION("""COMPUTED_VALUE"""),"Measured | Media Effectiveness Platform")</f>
        <v>Measured | Media Effectiveness Platform</v>
      </c>
      <c r="C20" s="6" t="str">
        <f>IFERROR(__xludf.DUMMYFUNCTION("""COMPUTED_VALUE"""),"measured.com")</f>
        <v>measured.com</v>
      </c>
      <c r="D20" s="7" t="str">
        <f>IFERROR(__xludf.DUMMYFUNCTION("""COMPUTED_VALUE"""),"HOMEPAGE")</f>
        <v>HOMEPAGE</v>
      </c>
      <c r="E20" s="7" t="str">
        <f>IFERROR(__xludf.DUMMYFUNCTION("""COMPUTED_VALUE"""),"COMPETITOR")</f>
        <v>COMPETITOR</v>
      </c>
      <c r="F20" s="7" t="str">
        <f>IFERROR(__xludf.DUMMYFUNCTION("""COMPUTED_VALUE"""),"Homepage")</f>
        <v>Homepage</v>
      </c>
      <c r="G20" s="7" t="b">
        <f>IFERROR(__xludf.DUMMYFUNCTION("""COMPUTED_VALUE"""),FALSE)</f>
        <v>0</v>
      </c>
      <c r="H20" s="7" t="str">
        <f>IFERROR(__xludf.DUMMYFUNCTION("""COMPUTED_VALUE"""),"Measured")</f>
        <v>Measured</v>
      </c>
      <c r="I20" s="7">
        <f>IFERROR(__xludf.DUMMYFUNCTION("""COMPUTED_VALUE"""),9.0)</f>
        <v>9</v>
      </c>
      <c r="J20" s="7">
        <f>IFERROR(__xludf.DUMMYFUNCTION("""COMPUTED_VALUE"""),0.01)</f>
        <v>0.01</v>
      </c>
      <c r="K20" s="7">
        <f>IFERROR(__xludf.DUMMYFUNCTION("""COMPUTED_VALUE"""),1.44)</f>
        <v>1.44</v>
      </c>
    </row>
    <row r="21" ht="15.75" customHeight="1">
      <c r="A21" s="6" t="str">
        <f>IFERROR(__xludf.DUMMYFUNCTION("""COMPUTED_VALUE"""),"https://bconic.com/")</f>
        <v>https://bconic.com/</v>
      </c>
      <c r="B21" s="7" t="str">
        <f>IFERROR(__xludf.DUMMYFUNCTION("""COMPUTED_VALUE"""),"Bconic: Independent Marketing Measurement Platform")</f>
        <v>Bconic: Independent Marketing Measurement Platform</v>
      </c>
      <c r="C21" s="6" t="str">
        <f>IFERROR(__xludf.DUMMYFUNCTION("""COMPUTED_VALUE"""),"bconic.com")</f>
        <v>bconic.com</v>
      </c>
      <c r="D21" s="7" t="str">
        <f>IFERROR(__xludf.DUMMYFUNCTION("""COMPUTED_VALUE"""),"HOMEPAGE")</f>
        <v>HOMEPAGE</v>
      </c>
      <c r="E21" s="7" t="str">
        <f>IFERROR(__xludf.DUMMYFUNCTION("""COMPUTED_VALUE"""),"CORPORATE")</f>
        <v>CORPORATE</v>
      </c>
      <c r="F21" s="7" t="str">
        <f>IFERROR(__xludf.DUMMYFUNCTION("""COMPUTED_VALUE"""),"Homepage")</f>
        <v>Homepage</v>
      </c>
      <c r="G21" s="7" t="b">
        <f>IFERROR(__xludf.DUMMYFUNCTION("""COMPUTED_VALUE"""),FALSE)</f>
        <v>0</v>
      </c>
      <c r="H21" s="7" t="str">
        <f>IFERROR(__xludf.DUMMYFUNCTION("""COMPUTED_VALUE"""),"Measured")</f>
        <v>Measured</v>
      </c>
      <c r="I21" s="7">
        <f>IFERROR(__xludf.DUMMYFUNCTION("""COMPUTED_VALUE"""),8.0)</f>
        <v>8</v>
      </c>
      <c r="J21" s="7">
        <f>IFERROR(__xludf.DUMMYFUNCTION("""COMPUTED_VALUE"""),0.01)</f>
        <v>0.01</v>
      </c>
      <c r="K21" s="7">
        <f>IFERROR(__xludf.DUMMYFUNCTION("""COMPUTED_VALUE"""),0.5)</f>
        <v>0.5</v>
      </c>
    </row>
    <row r="22" ht="15.75" customHeight="1">
      <c r="A22" s="6" t="str">
        <f>IFERROR(__xludf.DUMMYFUNCTION("""COMPUTED_VALUE"""),"https://www.bluesensedigital.com.au/")</f>
        <v>https://www.bluesensedigital.com.au/</v>
      </c>
      <c r="B22" s="7" t="str">
        <f>IFERROR(__xludf.DUMMYFUNCTION("""COMPUTED_VALUE"""),"Blue Sense Digital | Performance media, judged by the P&amp;amp;L")</f>
        <v>Blue Sense Digital | Performance media, judged by the P&amp;amp;L</v>
      </c>
      <c r="C22" s="6" t="str">
        <f>IFERROR(__xludf.DUMMYFUNCTION("""COMPUTED_VALUE"""),"bluesensedigital.com.au")</f>
        <v>bluesensedigital.com.au</v>
      </c>
      <c r="D22" s="7" t="str">
        <f>IFERROR(__xludf.DUMMYFUNCTION("""COMPUTED_VALUE"""),"HOMEPAGE")</f>
        <v>HOMEPAGE</v>
      </c>
      <c r="E22" s="7" t="str">
        <f>IFERROR(__xludf.DUMMYFUNCTION("""COMPUTED_VALUE"""),"COMPETITOR")</f>
        <v>COMPETITOR</v>
      </c>
      <c r="F22" s="7" t="str">
        <f>IFERROR(__xludf.DUMMYFUNCTION("""COMPUTED_VALUE"""),"Homepage")</f>
        <v>Homepage</v>
      </c>
      <c r="G22" s="7" t="b">
        <f>IFERROR(__xludf.DUMMYFUNCTION("""COMPUTED_VALUE"""),FALSE)</f>
        <v>0</v>
      </c>
      <c r="H22" s="7" t="str">
        <f>IFERROR(__xludf.DUMMYFUNCTION("""COMPUTED_VALUE"""),"Blue Sense Digital, Measured")</f>
        <v>Blue Sense Digital, Measured</v>
      </c>
      <c r="I22" s="7">
        <f>IFERROR(__xludf.DUMMYFUNCTION("""COMPUTED_VALUE"""),8.0)</f>
        <v>8</v>
      </c>
      <c r="J22" s="7">
        <f>IFERROR(__xludf.DUMMYFUNCTION("""COMPUTED_VALUE"""),0.01)</f>
        <v>0.01</v>
      </c>
      <c r="K22" s="7">
        <f>IFERROR(__xludf.DUMMYFUNCTION("""COMPUTED_VALUE"""),1.0)</f>
        <v>1</v>
      </c>
    </row>
    <row r="23" ht="15.75" customHeight="1">
      <c r="A23" s="6" t="str">
        <f>IFERROR(__xludf.DUMMYFUNCTION("""COMPUTED_VALUE"""),"https://bmf.com.au/")</f>
        <v>https://bmf.com.au/</v>
      </c>
      <c r="B23" s="7" t="str">
        <f>IFERROR(__xludf.DUMMYFUNCTION("""COMPUTED_VALUE"""),"BMF — Australia’s Most Effective Creative Agency")</f>
        <v>BMF — Australia’s Most Effective Creative Agency</v>
      </c>
      <c r="C23" s="6" t="str">
        <f>IFERROR(__xludf.DUMMYFUNCTION("""COMPUTED_VALUE"""),"bmf.com.au")</f>
        <v>bmf.com.au</v>
      </c>
      <c r="D23" s="7" t="str">
        <f>IFERROR(__xludf.DUMMYFUNCTION("""COMPUTED_VALUE"""),"HOMEPAGE")</f>
        <v>HOMEPAGE</v>
      </c>
      <c r="E23" s="7" t="str">
        <f>IFERROR(__xludf.DUMMYFUNCTION("""COMPUTED_VALUE"""),"COMPETITOR")</f>
        <v>COMPETITOR</v>
      </c>
      <c r="F23" s="7" t="str">
        <f>IFERROR(__xludf.DUMMYFUNCTION("""COMPUTED_VALUE"""),"Homepage")</f>
        <v>Homepage</v>
      </c>
      <c r="G23" s="7" t="b">
        <f>IFERROR(__xludf.DUMMYFUNCTION("""COMPUTED_VALUE"""),FALSE)</f>
        <v>0</v>
      </c>
      <c r="H23" s="7" t="str">
        <f>IFERROR(__xludf.DUMMYFUNCTION("""COMPUTED_VALUE"""),"BMF")</f>
        <v>BMF</v>
      </c>
      <c r="I23" s="7">
        <f>IFERROR(__xludf.DUMMYFUNCTION("""COMPUTED_VALUE"""),8.0)</f>
        <v>8</v>
      </c>
      <c r="J23" s="7">
        <f>IFERROR(__xludf.DUMMYFUNCTION("""COMPUTED_VALUE"""),0.01)</f>
        <v>0.01</v>
      </c>
      <c r="K23" s="7">
        <f>IFERROR(__xludf.DUMMYFUNCTION("""COMPUTED_VALUE"""),1.63)</f>
        <v>1.63</v>
      </c>
    </row>
    <row r="24" ht="15.75" customHeight="1">
      <c r="A24" s="6" t="str">
        <f>IFERROR(__xludf.DUMMYFUNCTION("""COMPUTED_VALUE"""),"https://www.generativeengineoptimisation.com.au/")</f>
        <v>https://www.generativeengineoptimisation.com.au/</v>
      </c>
      <c r="B24" s="7" t="str">
        <f>IFERROR(__xludf.DUMMYFUNCTION("""COMPUTED_VALUE"""),"Generative Engine Optimisation Australia — Be Found in the Age of AI")</f>
        <v>Generative Engine Optimisation Australia — Be Found in the Age of AI</v>
      </c>
      <c r="C24" s="6" t="str">
        <f>IFERROR(__xludf.DUMMYFUNCTION("""COMPUTED_VALUE"""),"generativeengineoptimisation.com.au")</f>
        <v>generativeengineoptimisation.com.au</v>
      </c>
      <c r="D24" s="7" t="str">
        <f>IFERROR(__xludf.DUMMYFUNCTION("""COMPUTED_VALUE"""),"HOMEPAGE")</f>
        <v>HOMEPAGE</v>
      </c>
      <c r="E24" s="7" t="str">
        <f>IFERROR(__xludf.DUMMYFUNCTION("""COMPUTED_VALUE"""),"CORPORATE")</f>
        <v>CORPORATE</v>
      </c>
      <c r="F24" s="7" t="str">
        <f>IFERROR(__xludf.DUMMYFUNCTION("""COMPUTED_VALUE"""),"Homepage")</f>
        <v>Homepage</v>
      </c>
      <c r="G24" s="7" t="b">
        <f>IFERROR(__xludf.DUMMYFUNCTION("""COMPUTED_VALUE"""),FALSE)</f>
        <v>0</v>
      </c>
      <c r="H24" s="7" t="str">
        <f>IFERROR(__xludf.DUMMYFUNCTION("""COMPUTED_VALUE"""),"First Page, Huge")</f>
        <v>First Page, Huge</v>
      </c>
      <c r="I24" s="7">
        <f>IFERROR(__xludf.DUMMYFUNCTION("""COMPUTED_VALUE"""),8.0)</f>
        <v>8</v>
      </c>
      <c r="J24" s="7">
        <f>IFERROR(__xludf.DUMMYFUNCTION("""COMPUTED_VALUE"""),0.01)</f>
        <v>0.01</v>
      </c>
      <c r="K24" s="7">
        <f>IFERROR(__xludf.DUMMYFUNCTION("""COMPUTED_VALUE"""),0.0)</f>
        <v>0</v>
      </c>
    </row>
    <row r="25" ht="15.75" customHeight="1">
      <c r="A25" s="6" t="str">
        <f>IFERROR(__xludf.DUMMYFUNCTION("""COMPUTED_VALUE"""),"https://www.andmine.com.au/")</f>
        <v>https://www.andmine.com.au/</v>
      </c>
      <c r="B25" s="7" t="str">
        <f>IFERROR(__xludf.DUMMYFUNCTION("""COMPUTED_VALUE"""),"AndMine™ AI Digital Agency - #1 Melbourne, Sydney, Big AI, Marketing, Technology")</f>
        <v>AndMine™ AI Digital Agency - #1 Melbourne, Sydney, Big AI, Marketing, Technology</v>
      </c>
      <c r="C25" s="6" t="str">
        <f>IFERROR(__xludf.DUMMYFUNCTION("""COMPUTED_VALUE"""),"andmine.com.au")</f>
        <v>andmine.com.au</v>
      </c>
      <c r="D25" s="7" t="str">
        <f>IFERROR(__xludf.DUMMYFUNCTION("""COMPUTED_VALUE"""),"HOMEPAGE")</f>
        <v>HOMEPAGE</v>
      </c>
      <c r="E25" s="7" t="str">
        <f>IFERROR(__xludf.DUMMYFUNCTION("""COMPUTED_VALUE"""),"CORPORATE")</f>
        <v>CORPORATE</v>
      </c>
      <c r="F25" s="7" t="str">
        <f>IFERROR(__xludf.DUMMYFUNCTION("""COMPUTED_VALUE"""),"Homepage")</f>
        <v>Homepage</v>
      </c>
      <c r="G25" s="7" t="b">
        <f>IFERROR(__xludf.DUMMYFUNCTION("""COMPUTED_VALUE"""),FALSE)</f>
        <v>0</v>
      </c>
      <c r="H25" s="7"/>
      <c r="I25" s="7">
        <f>IFERROR(__xludf.DUMMYFUNCTION("""COMPUTED_VALUE"""),7.0)</f>
        <v>7</v>
      </c>
      <c r="J25" s="7">
        <f>IFERROR(__xludf.DUMMYFUNCTION("""COMPUTED_VALUE"""),0.01)</f>
        <v>0.01</v>
      </c>
      <c r="K25" s="7">
        <f>IFERROR(__xludf.DUMMYFUNCTION("""COMPUTED_VALUE"""),1.29)</f>
        <v>1.29</v>
      </c>
    </row>
    <row r="26" ht="15.75" customHeight="1">
      <c r="A26" s="6" t="str">
        <f>IFERROR(__xludf.DUMMYFUNCTION("""COMPUTED_VALUE"""),"https://www.bimodal.io/")</f>
        <v>https://www.bimodal.io/</v>
      </c>
      <c r="B26" s="7" t="str">
        <f>IFERROR(__xludf.DUMMYFUNCTION("""COMPUTED_VALUE"""),"Marketing Science Platform. Experiment, validate, and optimise your marketing with Bimodal")</f>
        <v>Marketing Science Platform. Experiment, validate, and optimise your marketing with Bimodal</v>
      </c>
      <c r="C26" s="6" t="str">
        <f>IFERROR(__xludf.DUMMYFUNCTION("""COMPUTED_VALUE"""),"bimodal.io")</f>
        <v>bimodal.io</v>
      </c>
      <c r="D26" s="7" t="str">
        <f>IFERROR(__xludf.DUMMYFUNCTION("""COMPUTED_VALUE"""),"HOMEPAGE")</f>
        <v>HOMEPAGE</v>
      </c>
      <c r="E26" s="7" t="str">
        <f>IFERROR(__xludf.DUMMYFUNCTION("""COMPUTED_VALUE"""),"CORPORATE")</f>
        <v>CORPORATE</v>
      </c>
      <c r="F26" s="7" t="str">
        <f>IFERROR(__xludf.DUMMYFUNCTION("""COMPUTED_VALUE"""),"Homepage")</f>
        <v>Homepage</v>
      </c>
      <c r="G26" s="7" t="b">
        <f>IFERROR(__xludf.DUMMYFUNCTION("""COMPUTED_VALUE"""),FALSE)</f>
        <v>0</v>
      </c>
      <c r="H26" s="7"/>
      <c r="I26" s="7">
        <f>IFERROR(__xludf.DUMMYFUNCTION("""COMPUTED_VALUE"""),7.0)</f>
        <v>7</v>
      </c>
      <c r="J26" s="7">
        <f>IFERROR(__xludf.DUMMYFUNCTION("""COMPUTED_VALUE"""),0.01)</f>
        <v>0.01</v>
      </c>
      <c r="K26" s="7">
        <f>IFERROR(__xludf.DUMMYFUNCTION("""COMPUTED_VALUE"""),1.14)</f>
        <v>1.14</v>
      </c>
    </row>
    <row r="27" ht="15.75" customHeight="1">
      <c r="A27" s="6" t="str">
        <f>IFERROR(__xludf.DUMMYFUNCTION("""COMPUTED_VALUE"""),"https://pinemarsh.com/")</f>
        <v>https://pinemarsh.com/</v>
      </c>
      <c r="B27" s="7" t="str">
        <f>IFERROR(__xludf.DUMMYFUNCTION("""COMPUTED_VALUE"""),"Pinemarsh — Independent Marketing Measurement")</f>
        <v>Pinemarsh — Independent Marketing Measurement</v>
      </c>
      <c r="C27" s="6" t="str">
        <f>IFERROR(__xludf.DUMMYFUNCTION("""COMPUTED_VALUE"""),"pinemarsh.com")</f>
        <v>pinemarsh.com</v>
      </c>
      <c r="D27" s="7" t="str">
        <f>IFERROR(__xludf.DUMMYFUNCTION("""COMPUTED_VALUE"""),"HOMEPAGE")</f>
        <v>HOMEPAGE</v>
      </c>
      <c r="E27" s="7" t="str">
        <f>IFERROR(__xludf.DUMMYFUNCTION("""COMPUTED_VALUE"""),"CORPORATE")</f>
        <v>CORPORATE</v>
      </c>
      <c r="F27" s="7" t="str">
        <f>IFERROR(__xludf.DUMMYFUNCTION("""COMPUTED_VALUE"""),"Homepage")</f>
        <v>Homepage</v>
      </c>
      <c r="G27" s="7" t="b">
        <f>IFERROR(__xludf.DUMMYFUNCTION("""COMPUTED_VALUE"""),FALSE)</f>
        <v>0</v>
      </c>
      <c r="H27" s="7"/>
      <c r="I27" s="7">
        <f>IFERROR(__xludf.DUMMYFUNCTION("""COMPUTED_VALUE"""),7.0)</f>
        <v>7</v>
      </c>
      <c r="J27" s="7">
        <f>IFERROR(__xludf.DUMMYFUNCTION("""COMPUTED_VALUE"""),0.01)</f>
        <v>0.01</v>
      </c>
      <c r="K27" s="7">
        <f>IFERROR(__xludf.DUMMYFUNCTION("""COMPUTED_VALUE"""),1.86)</f>
        <v>1.86</v>
      </c>
    </row>
    <row r="28" ht="15.75" customHeight="1">
      <c r="A28" s="6" t="str">
        <f>IFERROR(__xludf.DUMMYFUNCTION("""COMPUTED_VALUE"""),"https://revium.com.au/")</f>
        <v>https://revium.com.au/</v>
      </c>
      <c r="B28" s="7" t="str">
        <f>IFERROR(__xludf.DUMMYFUNCTION("""COMPUTED_VALUE"""),"Digital &amp;amp; AI Consulting | Australia's Foremost Digital &amp;amp; AI Consultancy | Revium")</f>
        <v>Digital &amp;amp; AI Consulting | Australia's Foremost Digital &amp;amp; AI Consultancy | Revium</v>
      </c>
      <c r="C28" s="6" t="str">
        <f>IFERROR(__xludf.DUMMYFUNCTION("""COMPUTED_VALUE"""),"revium.com.au")</f>
        <v>revium.com.au</v>
      </c>
      <c r="D28" s="7" t="str">
        <f>IFERROR(__xludf.DUMMYFUNCTION("""COMPUTED_VALUE"""),"HOMEPAGE")</f>
        <v>HOMEPAGE</v>
      </c>
      <c r="E28" s="7" t="str">
        <f>IFERROR(__xludf.DUMMYFUNCTION("""COMPUTED_VALUE"""),"CORPORATE")</f>
        <v>CORPORATE</v>
      </c>
      <c r="F28" s="7" t="str">
        <f>IFERROR(__xludf.DUMMYFUNCTION("""COMPUTED_VALUE"""),"Homepage")</f>
        <v>Homepage</v>
      </c>
      <c r="G28" s="7" t="b">
        <f>IFERROR(__xludf.DUMMYFUNCTION("""COMPUTED_VALUE"""),FALSE)</f>
        <v>0</v>
      </c>
      <c r="H28" s="7"/>
      <c r="I28" s="7">
        <f>IFERROR(__xludf.DUMMYFUNCTION("""COMPUTED_VALUE"""),7.0)</f>
        <v>7</v>
      </c>
      <c r="J28" s="7">
        <f>IFERROR(__xludf.DUMMYFUNCTION("""COMPUTED_VALUE"""),0.01)</f>
        <v>0.01</v>
      </c>
      <c r="K28" s="7">
        <f>IFERROR(__xludf.DUMMYFUNCTION("""COMPUTED_VALUE"""),1.29)</f>
        <v>1.29</v>
      </c>
    </row>
    <row r="29" ht="15.75" customHeight="1">
      <c r="A29" s="6" t="str">
        <f>IFERROR(__xludf.DUMMYFUNCTION("""COMPUTED_VALUE"""),"https://simplyai.com.au/")</f>
        <v>https://simplyai.com.au/</v>
      </c>
      <c r="B29" s="7" t="str">
        <f>IFERROR(__xludf.DUMMYFUNCTION("""COMPUTED_VALUE"""),"SimplyAi - Agentic AI &amp;amp; Data Automation Consulting Australia")</f>
        <v>SimplyAi - Agentic AI &amp;amp; Data Automation Consulting Australia</v>
      </c>
      <c r="C29" s="6" t="str">
        <f>IFERROR(__xludf.DUMMYFUNCTION("""COMPUTED_VALUE"""),"simplyai.com.au")</f>
        <v>simplyai.com.au</v>
      </c>
      <c r="D29" s="7" t="str">
        <f>IFERROR(__xludf.DUMMYFUNCTION("""COMPUTED_VALUE"""),"HOMEPAGE")</f>
        <v>HOMEPAGE</v>
      </c>
      <c r="E29" s="7" t="str">
        <f>IFERROR(__xludf.DUMMYFUNCTION("""COMPUTED_VALUE"""),"CORPORATE")</f>
        <v>CORPORATE</v>
      </c>
      <c r="F29" s="7" t="str">
        <f>IFERROR(__xludf.DUMMYFUNCTION("""COMPUTED_VALUE"""),"Homepage")</f>
        <v>Homepage</v>
      </c>
      <c r="G29" s="7" t="b">
        <f>IFERROR(__xludf.DUMMYFUNCTION("""COMPUTED_VALUE"""),FALSE)</f>
        <v>0</v>
      </c>
      <c r="H29" s="7"/>
      <c r="I29" s="7">
        <f>IFERROR(__xludf.DUMMYFUNCTION("""COMPUTED_VALUE"""),7.0)</f>
        <v>7</v>
      </c>
      <c r="J29" s="7">
        <f>IFERROR(__xludf.DUMMYFUNCTION("""COMPUTED_VALUE"""),0.01)</f>
        <v>0.01</v>
      </c>
      <c r="K29" s="7">
        <f>IFERROR(__xludf.DUMMYFUNCTION("""COMPUTED_VALUE"""),0.29)</f>
        <v>0.29</v>
      </c>
    </row>
    <row r="30" ht="15.75" customHeight="1">
      <c r="A30" s="6" t="str">
        <f>IFERROR(__xludf.DUMMYFUNCTION("""COMPUTED_VALUE"""),"https://www.adcountable.com/")</f>
        <v>https://www.adcountable.com/</v>
      </c>
      <c r="B30" s="7"/>
      <c r="C30" s="6" t="str">
        <f>IFERROR(__xludf.DUMMYFUNCTION("""COMPUTED_VALUE"""),"adcountable.com")</f>
        <v>adcountable.com</v>
      </c>
      <c r="D30" s="7" t="str">
        <f>IFERROR(__xludf.DUMMYFUNCTION("""COMPUTED_VALUE"""),"HOMEPAGE")</f>
        <v>HOMEPAGE</v>
      </c>
      <c r="E30" s="7" t="str">
        <f>IFERROR(__xludf.DUMMYFUNCTION("""COMPUTED_VALUE"""),"CORPORATE")</f>
        <v>CORPORATE</v>
      </c>
      <c r="F30" s="7" t="str">
        <f>IFERROR(__xludf.DUMMYFUNCTION("""COMPUTED_VALUE"""),"Homepage")</f>
        <v>Homepage</v>
      </c>
      <c r="G30" s="7"/>
      <c r="H30" s="7" t="str">
        <f>IFERROR(__xludf.DUMMYFUNCTION("""COMPUTED_VALUE"""),"Unknown")</f>
        <v>Unknown</v>
      </c>
      <c r="I30" s="7">
        <f>IFERROR(__xludf.DUMMYFUNCTION("""COMPUTED_VALUE"""),6.0)</f>
        <v>6</v>
      </c>
      <c r="J30" s="7">
        <f>IFERROR(__xludf.DUMMYFUNCTION("""COMPUTED_VALUE"""),0.01)</f>
        <v>0.01</v>
      </c>
      <c r="K30" s="7">
        <f>IFERROR(__xludf.DUMMYFUNCTION("""COMPUTED_VALUE"""),0.33)</f>
        <v>0.33</v>
      </c>
    </row>
    <row r="31" ht="15.75" customHeight="1">
      <c r="A31" s="6" t="str">
        <f>IFERROR(__xludf.DUMMYFUNCTION("""COMPUTED_VALUE"""),"https://www.getapexanalytics.com/")</f>
        <v>https://www.getapexanalytics.com/</v>
      </c>
      <c r="B31" s="7" t="str">
        <f>IFERROR(__xludf.DUMMYFUNCTION("""COMPUTED_VALUE"""),"Apex Analytics: Marketing Attribution &amp;amp; Incrementality Measurement")</f>
        <v>Apex Analytics: Marketing Attribution &amp;amp; Incrementality Measurement</v>
      </c>
      <c r="C31" s="6" t="str">
        <f>IFERROR(__xludf.DUMMYFUNCTION("""COMPUTED_VALUE"""),"getapexanalytics.com")</f>
        <v>getapexanalytics.com</v>
      </c>
      <c r="D31" s="7" t="str">
        <f>IFERROR(__xludf.DUMMYFUNCTION("""COMPUTED_VALUE"""),"HOMEPAGE")</f>
        <v>HOMEPAGE</v>
      </c>
      <c r="E31" s="7" t="str">
        <f>IFERROR(__xludf.DUMMYFUNCTION("""COMPUTED_VALUE"""),"CORPORATE")</f>
        <v>CORPORATE</v>
      </c>
      <c r="F31" s="7" t="str">
        <f>IFERROR(__xludf.DUMMYFUNCTION("""COMPUTED_VALUE"""),"Homepage")</f>
        <v>Homepage</v>
      </c>
      <c r="G31" s="7" t="b">
        <f>IFERROR(__xludf.DUMMYFUNCTION("""COMPUTED_VALUE"""),FALSE)</f>
        <v>0</v>
      </c>
      <c r="H31" s="7" t="str">
        <f>IFERROR(__xludf.DUMMYFUNCTION("""COMPUTED_VALUE"""),"Measured")</f>
        <v>Measured</v>
      </c>
      <c r="I31" s="7">
        <f>IFERROR(__xludf.DUMMYFUNCTION("""COMPUTED_VALUE"""),6.0)</f>
        <v>6</v>
      </c>
      <c r="J31" s="7">
        <f>IFERROR(__xludf.DUMMYFUNCTION("""COMPUTED_VALUE"""),0.01)</f>
        <v>0.01</v>
      </c>
      <c r="K31" s="7">
        <f>IFERROR(__xludf.DUMMYFUNCTION("""COMPUTED_VALUE"""),0.67)</f>
        <v>0.67</v>
      </c>
    </row>
    <row r="32" ht="15.75" customHeight="1">
      <c r="A32" s="6" t="str">
        <f>IFERROR(__xludf.DUMMYFUNCTION("""COMPUTED_VALUE"""),"https://mantelgroup.com.au/")</f>
        <v>https://mantelgroup.com.au/</v>
      </c>
      <c r="B32" s="7" t="str">
        <f>IFERROR(__xludf.DUMMYFUNCTION("""COMPUTED_VALUE"""),"Mantel | Australia's Tech &amp;amp; AI Consultancy | AI, Data, Cloud &amp;amp; More")</f>
        <v>Mantel | Australia's Tech &amp;amp; AI Consultancy | AI, Data, Cloud &amp;amp; More</v>
      </c>
      <c r="C32" s="6" t="str">
        <f>IFERROR(__xludf.DUMMYFUNCTION("""COMPUTED_VALUE"""),"mantelgroup.com.au")</f>
        <v>mantelgroup.com.au</v>
      </c>
      <c r="D32" s="7" t="str">
        <f>IFERROR(__xludf.DUMMYFUNCTION("""COMPUTED_VALUE"""),"HOMEPAGE")</f>
        <v>HOMEPAGE</v>
      </c>
      <c r="E32" s="7" t="str">
        <f>IFERROR(__xludf.DUMMYFUNCTION("""COMPUTED_VALUE"""),"COMPETITOR")</f>
        <v>COMPETITOR</v>
      </c>
      <c r="F32" s="7" t="str">
        <f>IFERROR(__xludf.DUMMYFUNCTION("""COMPUTED_VALUE"""),"Homepage")</f>
        <v>Homepage</v>
      </c>
      <c r="G32" s="7" t="b">
        <f>IFERROR(__xludf.DUMMYFUNCTION("""COMPUTED_VALUE"""),FALSE)</f>
        <v>0</v>
      </c>
      <c r="H32" s="7" t="str">
        <f>IFERROR(__xludf.DUMMYFUNCTION("""COMPUTED_VALUE"""),"Mantel Group")</f>
        <v>Mantel Group</v>
      </c>
      <c r="I32" s="7">
        <f>IFERROR(__xludf.DUMMYFUNCTION("""COMPUTED_VALUE"""),6.0)</f>
        <v>6</v>
      </c>
      <c r="J32" s="7">
        <f>IFERROR(__xludf.DUMMYFUNCTION("""COMPUTED_VALUE"""),0.01)</f>
        <v>0.01</v>
      </c>
      <c r="K32" s="7">
        <f>IFERROR(__xludf.DUMMYFUNCTION("""COMPUTED_VALUE"""),1.0)</f>
        <v>1</v>
      </c>
    </row>
    <row r="33" ht="15.75" customHeight="1">
      <c r="A33" s="6" t="str">
        <f>IFERROR(__xludf.DUMMYFUNCTION("""COMPUTED_VALUE"""),"https://www.synap.au/")</f>
        <v>https://www.synap.au/</v>
      </c>
      <c r="B33" s="7" t="str">
        <f>IFERROR(__xludf.DUMMYFUNCTION("""COMPUTED_VALUE"""),"AI Consulting Melbourne | Custom AI Agents - Synap")</f>
        <v>AI Consulting Melbourne | Custom AI Agents - Synap</v>
      </c>
      <c r="C33" s="6" t="str">
        <f>IFERROR(__xludf.DUMMYFUNCTION("""COMPUTED_VALUE"""),"synap.au")</f>
        <v>synap.au</v>
      </c>
      <c r="D33" s="7" t="str">
        <f>IFERROR(__xludf.DUMMYFUNCTION("""COMPUTED_VALUE"""),"HOMEPAGE")</f>
        <v>HOMEPAGE</v>
      </c>
      <c r="E33" s="7" t="str">
        <f>IFERROR(__xludf.DUMMYFUNCTION("""COMPUTED_VALUE"""),"CORPORATE")</f>
        <v>CORPORATE</v>
      </c>
      <c r="F33" s="7" t="str">
        <f>IFERROR(__xludf.DUMMYFUNCTION("""COMPUTED_VALUE"""),"Homepage")</f>
        <v>Homepage</v>
      </c>
      <c r="G33" s="7" t="b">
        <f>IFERROR(__xludf.DUMMYFUNCTION("""COMPUTED_VALUE"""),FALSE)</f>
        <v>0</v>
      </c>
      <c r="H33" s="7"/>
      <c r="I33" s="7">
        <f>IFERROR(__xludf.DUMMYFUNCTION("""COMPUTED_VALUE"""),6.0)</f>
        <v>6</v>
      </c>
      <c r="J33" s="7">
        <f>IFERROR(__xludf.DUMMYFUNCTION("""COMPUTED_VALUE"""),0.01)</f>
        <v>0.01</v>
      </c>
      <c r="K33" s="7">
        <f>IFERROR(__xludf.DUMMYFUNCTION("""COMPUTED_VALUE"""),0.0)</f>
        <v>0</v>
      </c>
    </row>
    <row r="34" ht="15.75" customHeight="1">
      <c r="A34" s="6" t="str">
        <f>IFERROR(__xludf.DUMMYFUNCTION("""COMPUTED_VALUE"""),"https://www.airstack.ai/")</f>
        <v>https://www.airstack.ai/</v>
      </c>
      <c r="B34" s="7" t="str">
        <f>IFERROR(__xludf.DUMMYFUNCTION("""COMPUTED_VALUE"""),"AirStack | Australian AI Consultants")</f>
        <v>AirStack | Australian AI Consultants</v>
      </c>
      <c r="C34" s="6" t="str">
        <f>IFERROR(__xludf.DUMMYFUNCTION("""COMPUTED_VALUE"""),"airstack.ai")</f>
        <v>airstack.ai</v>
      </c>
      <c r="D34" s="7" t="str">
        <f>IFERROR(__xludf.DUMMYFUNCTION("""COMPUTED_VALUE"""),"HOMEPAGE")</f>
        <v>HOMEPAGE</v>
      </c>
      <c r="E34" s="7" t="str">
        <f>IFERROR(__xludf.DUMMYFUNCTION("""COMPUTED_VALUE"""),"CORPORATE")</f>
        <v>CORPORATE</v>
      </c>
      <c r="F34" s="7" t="str">
        <f>IFERROR(__xludf.DUMMYFUNCTION("""COMPUTED_VALUE"""),"Homepage")</f>
        <v>Homepage</v>
      </c>
      <c r="G34" s="7" t="b">
        <f>IFERROR(__xludf.DUMMYFUNCTION("""COMPUTED_VALUE"""),FALSE)</f>
        <v>0</v>
      </c>
      <c r="H34" s="7"/>
      <c r="I34" s="7">
        <f>IFERROR(__xludf.DUMMYFUNCTION("""COMPUTED_VALUE"""),5.0)</f>
        <v>5</v>
      </c>
      <c r="J34" s="7">
        <f>IFERROR(__xludf.DUMMYFUNCTION("""COMPUTED_VALUE"""),0.01)</f>
        <v>0.01</v>
      </c>
      <c r="K34" s="7">
        <f>IFERROR(__xludf.DUMMYFUNCTION("""COMPUTED_VALUE"""),2.2)</f>
        <v>2.2</v>
      </c>
    </row>
    <row r="35" ht="15.75" customHeight="1">
      <c r="A35" s="6" t="str">
        <f>IFERROR(__xludf.DUMMYFUNCTION("""COMPUTED_VALUE"""),"https://integralmind.au/")</f>
        <v>https://integralmind.au/</v>
      </c>
      <c r="B35" s="7" t="str">
        <f>IFERROR(__xludf.DUMMYFUNCTION("""COMPUTED_VALUE"""),"AI Consulting Australia | Strategy, Implementation &amp;amp; Managed AI | Integral Mind")</f>
        <v>AI Consulting Australia | Strategy, Implementation &amp;amp; Managed AI | Integral Mind</v>
      </c>
      <c r="C35" s="6" t="str">
        <f>IFERROR(__xludf.DUMMYFUNCTION("""COMPUTED_VALUE"""),"integralmind.au")</f>
        <v>integralmind.au</v>
      </c>
      <c r="D35" s="7" t="str">
        <f>IFERROR(__xludf.DUMMYFUNCTION("""COMPUTED_VALUE"""),"HOMEPAGE")</f>
        <v>HOMEPAGE</v>
      </c>
      <c r="E35" s="7" t="str">
        <f>IFERROR(__xludf.DUMMYFUNCTION("""COMPUTED_VALUE"""),"CORPORATE")</f>
        <v>CORPORATE</v>
      </c>
      <c r="F35" s="7" t="str">
        <f>IFERROR(__xludf.DUMMYFUNCTION("""COMPUTED_VALUE"""),"Homepage")</f>
        <v>Homepage</v>
      </c>
      <c r="G35" s="7" t="b">
        <f>IFERROR(__xludf.DUMMYFUNCTION("""COMPUTED_VALUE"""),FALSE)</f>
        <v>0</v>
      </c>
      <c r="H35" s="7" t="str">
        <f>IFERROR(__xludf.DUMMYFUNCTION("""COMPUTED_VALUE"""),"Impressive")</f>
        <v>Impressive</v>
      </c>
      <c r="I35" s="7">
        <f>IFERROR(__xludf.DUMMYFUNCTION("""COMPUTED_VALUE"""),5.0)</f>
        <v>5</v>
      </c>
      <c r="J35" s="7">
        <f>IFERROR(__xludf.DUMMYFUNCTION("""COMPUTED_VALUE"""),0.01)</f>
        <v>0.01</v>
      </c>
      <c r="K35" s="7">
        <f>IFERROR(__xludf.DUMMYFUNCTION("""COMPUTED_VALUE"""),0.8)</f>
        <v>0.8</v>
      </c>
    </row>
    <row r="36" ht="15.75" customHeight="1">
      <c r="A36" s="6" t="str">
        <f>IFERROR(__xludf.DUMMYFUNCTION("""COMPUTED_VALUE"""),"https://uprisedigital.com.au/aeo/#:~:text=We%20run%20your%20key%20service%20queries%20through,and%20which%20competitors%20are%20currently%20getting%20recommended.")</f>
        <v>https://uprisedigital.com.au/aeo/#:~:text=We%20run%20your%20key%20service%20queries%20through,and%20which%20competitors%20are%20currently%20getting%20recommended.</v>
      </c>
      <c r="B36" s="7" t="str">
        <f>IFERROR(__xludf.DUMMYFUNCTION("""COMPUTED_VALUE"""),"AEO - AI SEO Agency Australia | Rank in ChatGPT &amp;amp; AI Search")</f>
        <v>AEO - AI SEO Agency Australia | Rank in ChatGPT &amp;amp; AI Search</v>
      </c>
      <c r="C36" s="6" t="str">
        <f>IFERROR(__xludf.DUMMYFUNCTION("""COMPUTED_VALUE"""),"uprisedigital.com.au")</f>
        <v>uprisedigital.com.au</v>
      </c>
      <c r="D36" s="7" t="str">
        <f>IFERROR(__xludf.DUMMYFUNCTION("""COMPUTED_VALUE"""),"HOMEPAGE")</f>
        <v>HOMEPAGE</v>
      </c>
      <c r="E36" s="7" t="str">
        <f>IFERROR(__xludf.DUMMYFUNCTION("""COMPUTED_VALUE"""),"COMPETITOR")</f>
        <v>COMPETITOR</v>
      </c>
      <c r="F36" s="7" t="str">
        <f>IFERROR(__xludf.DUMMYFUNCTION("""COMPUTED_VALUE"""),"Homepage")</f>
        <v>Homepage</v>
      </c>
      <c r="G36" s="7" t="b">
        <f>IFERROR(__xludf.DUMMYFUNCTION("""COMPUTED_VALUE"""),FALSE)</f>
        <v>0</v>
      </c>
      <c r="H36" s="7" t="str">
        <f>IFERROR(__xludf.DUMMYFUNCTION("""COMPUTED_VALUE"""),"Uprise Digital, Impressive")</f>
        <v>Uprise Digital, Impressive</v>
      </c>
      <c r="I36" s="7">
        <f>IFERROR(__xludf.DUMMYFUNCTION("""COMPUTED_VALUE"""),5.0)</f>
        <v>5</v>
      </c>
      <c r="J36" s="7">
        <f>IFERROR(__xludf.DUMMYFUNCTION("""COMPUTED_VALUE"""),0.01)</f>
        <v>0.01</v>
      </c>
      <c r="K36" s="7">
        <f>IFERROR(__xludf.DUMMYFUNCTION("""COMPUTED_VALUE"""),1.2)</f>
        <v>1.2</v>
      </c>
    </row>
    <row r="37" ht="15.75" customHeight="1">
      <c r="A37" s="6" t="str">
        <f>IFERROR(__xludf.DUMMYFUNCTION("""COMPUTED_VALUE"""),"https://www.aioptimisation.com.au/")</f>
        <v>https://www.aioptimisation.com.au/</v>
      </c>
      <c r="B37" s="7" t="str">
        <f>IFERROR(__xludf.DUMMYFUNCTION("""COMPUTED_VALUE"""),"AI Inspire")</f>
        <v>AI Inspire</v>
      </c>
      <c r="C37" s="6" t="str">
        <f>IFERROR(__xludf.DUMMYFUNCTION("""COMPUTED_VALUE"""),"aioptimisation.com.au")</f>
        <v>aioptimisation.com.au</v>
      </c>
      <c r="D37" s="7" t="str">
        <f>IFERROR(__xludf.DUMMYFUNCTION("""COMPUTED_VALUE"""),"HOMEPAGE")</f>
        <v>HOMEPAGE</v>
      </c>
      <c r="E37" s="7" t="str">
        <f>IFERROR(__xludf.DUMMYFUNCTION("""COMPUTED_VALUE"""),"CORPORATE")</f>
        <v>CORPORATE</v>
      </c>
      <c r="F37" s="7" t="str">
        <f>IFERROR(__xludf.DUMMYFUNCTION("""COMPUTED_VALUE"""),"Homepage")</f>
        <v>Homepage</v>
      </c>
      <c r="G37" s="7" t="b">
        <f>IFERROR(__xludf.DUMMYFUNCTION("""COMPUTED_VALUE"""),FALSE)</f>
        <v>0</v>
      </c>
      <c r="H37" s="7" t="str">
        <f>IFERROR(__xludf.DUMMYFUNCTION("""COMPUTED_VALUE"""),"Salt &amp; Fuessel")</f>
        <v>Salt &amp; Fuessel</v>
      </c>
      <c r="I37" s="7">
        <f>IFERROR(__xludf.DUMMYFUNCTION("""COMPUTED_VALUE"""),4.0)</f>
        <v>4</v>
      </c>
      <c r="J37" s="7">
        <f>IFERROR(__xludf.DUMMYFUNCTION("""COMPUTED_VALUE"""),0.0)</f>
        <v>0</v>
      </c>
      <c r="K37" s="7">
        <f>IFERROR(__xludf.DUMMYFUNCTION("""COMPUTED_VALUE"""),1.25)</f>
        <v>1.25</v>
      </c>
    </row>
    <row r="38" ht="15.75" customHeight="1">
      <c r="A38" s="6" t="str">
        <f>IFERROR(__xludf.DUMMYFUNCTION("""COMPUTED_VALUE"""),"https://www.bonfire.com.au/")</f>
        <v>https://www.bonfire.com.au/</v>
      </c>
      <c r="B38" s="7" t="str">
        <f>IFERROR(__xludf.DUMMYFUNCTION("""COMPUTED_VALUE"""),"Digital Marketing Agency Perth WA - ROI &amp;amp; Data Driven Performance")</f>
        <v>Digital Marketing Agency Perth WA - ROI &amp;amp; Data Driven Performance</v>
      </c>
      <c r="C38" s="6" t="str">
        <f>IFERROR(__xludf.DUMMYFUNCTION("""COMPUTED_VALUE"""),"bonfire.com.au")</f>
        <v>bonfire.com.au</v>
      </c>
      <c r="D38" s="7" t="str">
        <f>IFERROR(__xludf.DUMMYFUNCTION("""COMPUTED_VALUE"""),"HOMEPAGE")</f>
        <v>HOMEPAGE</v>
      </c>
      <c r="E38" s="7" t="str">
        <f>IFERROR(__xludf.DUMMYFUNCTION("""COMPUTED_VALUE"""),"COMPETITOR")</f>
        <v>COMPETITOR</v>
      </c>
      <c r="F38" s="7" t="str">
        <f>IFERROR(__xludf.DUMMYFUNCTION("""COMPUTED_VALUE"""),"Homepage")</f>
        <v>Homepage</v>
      </c>
      <c r="G38" s="7" t="b">
        <f>IFERROR(__xludf.DUMMYFUNCTION("""COMPUTED_VALUE"""),FALSE)</f>
        <v>0</v>
      </c>
      <c r="H38" s="7" t="str">
        <f>IFERROR(__xludf.DUMMYFUNCTION("""COMPUTED_VALUE"""),"Bonfire")</f>
        <v>Bonfire</v>
      </c>
      <c r="I38" s="7">
        <f>IFERROR(__xludf.DUMMYFUNCTION("""COMPUTED_VALUE"""),4.0)</f>
        <v>4</v>
      </c>
      <c r="J38" s="7">
        <f>IFERROR(__xludf.DUMMYFUNCTION("""COMPUTED_VALUE"""),0.0)</f>
        <v>0</v>
      </c>
      <c r="K38" s="7">
        <f>IFERROR(__xludf.DUMMYFUNCTION("""COMPUTED_VALUE"""),1.5)</f>
        <v>1.5</v>
      </c>
    </row>
    <row r="39" ht="15.75" customHeight="1">
      <c r="A39" s="6" t="str">
        <f>IFERROR(__xludf.DUMMYFUNCTION("""COMPUTED_VALUE"""),"https://www.mkt-sci.com/")</f>
        <v>https://www.mkt-sci.com/</v>
      </c>
      <c r="B39" s="7"/>
      <c r="C39" s="6" t="str">
        <f>IFERROR(__xludf.DUMMYFUNCTION("""COMPUTED_VALUE"""),"mkt-sci.com")</f>
        <v>mkt-sci.com</v>
      </c>
      <c r="D39" s="7" t="str">
        <f>IFERROR(__xludf.DUMMYFUNCTION("""COMPUTED_VALUE"""),"HOMEPAGE")</f>
        <v>HOMEPAGE</v>
      </c>
      <c r="E39" s="7" t="str">
        <f>IFERROR(__xludf.DUMMYFUNCTION("""COMPUTED_VALUE"""),"CORPORATE")</f>
        <v>CORPORATE</v>
      </c>
      <c r="F39" s="7" t="str">
        <f>IFERROR(__xludf.DUMMYFUNCTION("""COMPUTED_VALUE"""),"Homepage")</f>
        <v>Homepage</v>
      </c>
      <c r="G39" s="7"/>
      <c r="H39" s="7" t="str">
        <f>IFERROR(__xludf.DUMMYFUNCTION("""COMPUTED_VALUE"""),"Unknown")</f>
        <v>Unknown</v>
      </c>
      <c r="I39" s="7">
        <f>IFERROR(__xludf.DUMMYFUNCTION("""COMPUTED_VALUE"""),4.0)</f>
        <v>4</v>
      </c>
      <c r="J39" s="7">
        <f>IFERROR(__xludf.DUMMYFUNCTION("""COMPUTED_VALUE"""),0.0)</f>
        <v>0</v>
      </c>
      <c r="K39" s="7">
        <f>IFERROR(__xludf.DUMMYFUNCTION("""COMPUTED_VALUE"""),1.5)</f>
        <v>1.5</v>
      </c>
    </row>
    <row r="40" ht="15.75" customHeight="1">
      <c r="A40" s="6" t="str">
        <f>IFERROR(__xludf.DUMMYFUNCTION("""COMPUTED_VALUE"""),"https://modmetrica.com.au/")</f>
        <v>https://modmetrica.com.au/</v>
      </c>
      <c r="B40" s="7" t="str">
        <f>IFERROR(__xludf.DUMMYFUNCTION("""COMPUTED_VALUE"""),"ModMetrica – Business Marketing Measurement Partner")</f>
        <v>ModMetrica – Business Marketing Measurement Partner</v>
      </c>
      <c r="C40" s="6" t="str">
        <f>IFERROR(__xludf.DUMMYFUNCTION("""COMPUTED_VALUE"""),"modmetrica.com.au")</f>
        <v>modmetrica.com.au</v>
      </c>
      <c r="D40" s="7" t="str">
        <f>IFERROR(__xludf.DUMMYFUNCTION("""COMPUTED_VALUE"""),"HOMEPAGE")</f>
        <v>HOMEPAGE</v>
      </c>
      <c r="E40" s="7" t="str">
        <f>IFERROR(__xludf.DUMMYFUNCTION("""COMPUTED_VALUE"""),"CORPORATE")</f>
        <v>CORPORATE</v>
      </c>
      <c r="F40" s="7" t="str">
        <f>IFERROR(__xludf.DUMMYFUNCTION("""COMPUTED_VALUE"""),"Homepage")</f>
        <v>Homepage</v>
      </c>
      <c r="G40" s="7" t="b">
        <f>IFERROR(__xludf.DUMMYFUNCTION("""COMPUTED_VALUE"""),FALSE)</f>
        <v>0</v>
      </c>
      <c r="H40" s="7"/>
      <c r="I40" s="7">
        <f>IFERROR(__xludf.DUMMYFUNCTION("""COMPUTED_VALUE"""),4.0)</f>
        <v>4</v>
      </c>
      <c r="J40" s="7">
        <f>IFERROR(__xludf.DUMMYFUNCTION("""COMPUTED_VALUE"""),0.0)</f>
        <v>0</v>
      </c>
      <c r="K40" s="7">
        <f>IFERROR(__xludf.DUMMYFUNCTION("""COMPUTED_VALUE"""),2.25)</f>
        <v>2.25</v>
      </c>
    </row>
    <row r="41" ht="15.75" customHeight="1">
      <c r="A41" s="6" t="str">
        <f>IFERROR(__xludf.DUMMYFUNCTION("""COMPUTED_VALUE"""),"https://www.ruleranalytics.com/")</f>
        <v>https://www.ruleranalytics.com/</v>
      </c>
      <c r="B41" s="7" t="str">
        <f>IFERROR(__xludf.DUMMYFUNCTION("""COMPUTED_VALUE"""),"Unified Marketing Measurement, Attribution &amp;amp; AI | Ruler Analytics")</f>
        <v>Unified Marketing Measurement, Attribution &amp;amp; AI | Ruler Analytics</v>
      </c>
      <c r="C41" s="6" t="str">
        <f>IFERROR(__xludf.DUMMYFUNCTION("""COMPUTED_VALUE"""),"ruleranalytics.com")</f>
        <v>ruleranalytics.com</v>
      </c>
      <c r="D41" s="7" t="str">
        <f>IFERROR(__xludf.DUMMYFUNCTION("""COMPUTED_VALUE"""),"HOMEPAGE")</f>
        <v>HOMEPAGE</v>
      </c>
      <c r="E41" s="7" t="str">
        <f>IFERROR(__xludf.DUMMYFUNCTION("""COMPUTED_VALUE"""),"CORPORATE")</f>
        <v>CORPORATE</v>
      </c>
      <c r="F41" s="7" t="str">
        <f>IFERROR(__xludf.DUMMYFUNCTION("""COMPUTED_VALUE"""),"Homepage")</f>
        <v>Homepage</v>
      </c>
      <c r="G41" s="7" t="b">
        <f>IFERROR(__xludf.DUMMYFUNCTION("""COMPUTED_VALUE"""),FALSE)</f>
        <v>0</v>
      </c>
      <c r="H41" s="7"/>
      <c r="I41" s="7">
        <f>IFERROR(__xludf.DUMMYFUNCTION("""COMPUTED_VALUE"""),4.0)</f>
        <v>4</v>
      </c>
      <c r="J41" s="7">
        <f>IFERROR(__xludf.DUMMYFUNCTION("""COMPUTED_VALUE"""),0.0)</f>
        <v>0</v>
      </c>
      <c r="K41" s="7">
        <f>IFERROR(__xludf.DUMMYFUNCTION("""COMPUTED_VALUE"""),0.0)</f>
        <v>0</v>
      </c>
    </row>
    <row r="42" ht="15.75" customHeight="1">
      <c r="A42" s="6" t="str">
        <f>IFERROR(__xludf.DUMMYFUNCTION("""COMPUTED_VALUE"""),"https://skyscale.com.au/")</f>
        <v>https://skyscale.com.au/</v>
      </c>
      <c r="B42" s="7" t="str">
        <f>IFERROR(__xludf.DUMMYFUNCTION("""COMPUTED_VALUE"""),"Melbourne AI SEO &amp;amp; AEO Agency | Boost AI Search Ranking | SkyScale")</f>
        <v>Melbourne AI SEO &amp;amp; AEO Agency | Boost AI Search Ranking | SkyScale</v>
      </c>
      <c r="C42" s="6" t="str">
        <f>IFERROR(__xludf.DUMMYFUNCTION("""COMPUTED_VALUE"""),"skyscale.com.au")</f>
        <v>skyscale.com.au</v>
      </c>
      <c r="D42" s="7" t="str">
        <f>IFERROR(__xludf.DUMMYFUNCTION("""COMPUTED_VALUE"""),"HOMEPAGE")</f>
        <v>HOMEPAGE</v>
      </c>
      <c r="E42" s="7" t="str">
        <f>IFERROR(__xludf.DUMMYFUNCTION("""COMPUTED_VALUE"""),"CORPORATE")</f>
        <v>CORPORATE</v>
      </c>
      <c r="F42" s="7" t="str">
        <f>IFERROR(__xludf.DUMMYFUNCTION("""COMPUTED_VALUE"""),"Homepage")</f>
        <v>Homepage</v>
      </c>
      <c r="G42" s="7" t="b">
        <f>IFERROR(__xludf.DUMMYFUNCTION("""COMPUTED_VALUE"""),FALSE)</f>
        <v>0</v>
      </c>
      <c r="H42" s="7"/>
      <c r="I42" s="7">
        <f>IFERROR(__xludf.DUMMYFUNCTION("""COMPUTED_VALUE"""),4.0)</f>
        <v>4</v>
      </c>
      <c r="J42" s="7">
        <f>IFERROR(__xludf.DUMMYFUNCTION("""COMPUTED_VALUE"""),0.0)</f>
        <v>0</v>
      </c>
      <c r="K42" s="7">
        <f>IFERROR(__xludf.DUMMYFUNCTION("""COMPUTED_VALUE"""),0.75)</f>
        <v>0.75</v>
      </c>
    </row>
    <row r="43" ht="15.75" customHeight="1">
      <c r="A43" s="6" t="str">
        <f>IFERROR(__xludf.DUMMYFUNCTION("""COMPUTED_VALUE"""),"https://www.acam.ai/")</f>
        <v>https://www.acam.ai/</v>
      </c>
      <c r="B43" s="7" t="str">
        <f>IFERROR(__xludf.DUMMYFUNCTION("""COMPUTED_VALUE"""),"ACAM | The Australian Centre for AI in Marketing")</f>
        <v>ACAM | The Australian Centre for AI in Marketing</v>
      </c>
      <c r="C43" s="6" t="str">
        <f>IFERROR(__xludf.DUMMYFUNCTION("""COMPUTED_VALUE"""),"acam.ai")</f>
        <v>acam.ai</v>
      </c>
      <c r="D43" s="7" t="str">
        <f>IFERROR(__xludf.DUMMYFUNCTION("""COMPUTED_VALUE"""),"HOMEPAGE")</f>
        <v>HOMEPAGE</v>
      </c>
      <c r="E43" s="7" t="str">
        <f>IFERROR(__xludf.DUMMYFUNCTION("""COMPUTED_VALUE"""),"CORPORATE")</f>
        <v>CORPORATE</v>
      </c>
      <c r="F43" s="7" t="str">
        <f>IFERROR(__xludf.DUMMYFUNCTION("""COMPUTED_VALUE"""),"Homepage")</f>
        <v>Homepage</v>
      </c>
      <c r="G43" s="7" t="b">
        <f>IFERROR(__xludf.DUMMYFUNCTION("""COMPUTED_VALUE"""),FALSE)</f>
        <v>0</v>
      </c>
      <c r="H43" s="7"/>
      <c r="I43" s="7">
        <f>IFERROR(__xludf.DUMMYFUNCTION("""COMPUTED_VALUE"""),3.0)</f>
        <v>3</v>
      </c>
      <c r="J43" s="7">
        <f>IFERROR(__xludf.DUMMYFUNCTION("""COMPUTED_VALUE"""),0.0)</f>
        <v>0</v>
      </c>
      <c r="K43" s="7">
        <f>IFERROR(__xludf.DUMMYFUNCTION("""COMPUTED_VALUE"""),2.0)</f>
        <v>2</v>
      </c>
    </row>
    <row r="44" ht="15.75" customHeight="1">
      <c r="A44" s="6" t="str">
        <f>IFERROR(__xludf.DUMMYFUNCTION("""COMPUTED_VALUE"""),"https://www.adaptad.com.au/")</f>
        <v>https://www.adaptad.com.au/</v>
      </c>
      <c r="B44" s="7"/>
      <c r="C44" s="6" t="str">
        <f>IFERROR(__xludf.DUMMYFUNCTION("""COMPUTED_VALUE"""),"adaptad.com.au")</f>
        <v>adaptad.com.au</v>
      </c>
      <c r="D44" s="7" t="str">
        <f>IFERROR(__xludf.DUMMYFUNCTION("""COMPUTED_VALUE"""),"HOMEPAGE")</f>
        <v>HOMEPAGE</v>
      </c>
      <c r="E44" s="7" t="str">
        <f>IFERROR(__xludf.DUMMYFUNCTION("""COMPUTED_VALUE"""),"CORPORATE")</f>
        <v>CORPORATE</v>
      </c>
      <c r="F44" s="7" t="str">
        <f>IFERROR(__xludf.DUMMYFUNCTION("""COMPUTED_VALUE"""),"Homepage")</f>
        <v>Homepage</v>
      </c>
      <c r="G44" s="7"/>
      <c r="H44" s="7" t="str">
        <f>IFERROR(__xludf.DUMMYFUNCTION("""COMPUTED_VALUE"""),"Unknown")</f>
        <v>Unknown</v>
      </c>
      <c r="I44" s="7">
        <f>IFERROR(__xludf.DUMMYFUNCTION("""COMPUTED_VALUE"""),3.0)</f>
        <v>3</v>
      </c>
      <c r="J44" s="7">
        <f>IFERROR(__xludf.DUMMYFUNCTION("""COMPUTED_VALUE"""),0.0)</f>
        <v>0</v>
      </c>
      <c r="K44" s="7">
        <f>IFERROR(__xludf.DUMMYFUNCTION("""COMPUTED_VALUE"""),0.67)</f>
        <v>0.67</v>
      </c>
    </row>
    <row r="45" ht="15.75" customHeight="1">
      <c r="A45" s="6" t="str">
        <f>IFERROR(__xludf.DUMMYFUNCTION("""COMPUTED_VALUE"""),"https://www.advancer.com.au/")</f>
        <v>https://www.advancer.com.au/</v>
      </c>
      <c r="B45" s="7" t="str">
        <f>IFERROR(__xludf.DUMMYFUNCTION("""COMPUTED_VALUE"""),"Advancer - The AI Agency | AI Services Brisbane | AI Consulting | Automation | Voice AI | AI Agents")</f>
        <v>Advancer - The AI Agency | AI Services Brisbane | AI Consulting | Automation | Voice AI | AI Agents</v>
      </c>
      <c r="C45" s="6" t="str">
        <f>IFERROR(__xludf.DUMMYFUNCTION("""COMPUTED_VALUE"""),"advancer.com.au")</f>
        <v>advancer.com.au</v>
      </c>
      <c r="D45" s="7" t="str">
        <f>IFERROR(__xludf.DUMMYFUNCTION("""COMPUTED_VALUE"""),"HOMEPAGE")</f>
        <v>HOMEPAGE</v>
      </c>
      <c r="E45" s="7" t="str">
        <f>IFERROR(__xludf.DUMMYFUNCTION("""COMPUTED_VALUE"""),"CORPORATE")</f>
        <v>CORPORATE</v>
      </c>
      <c r="F45" s="7" t="str">
        <f>IFERROR(__xludf.DUMMYFUNCTION("""COMPUTED_VALUE"""),"Homepage")</f>
        <v>Homepage</v>
      </c>
      <c r="G45" s="7" t="b">
        <f>IFERROR(__xludf.DUMMYFUNCTION("""COMPUTED_VALUE"""),FALSE)</f>
        <v>0</v>
      </c>
      <c r="H45" s="7"/>
      <c r="I45" s="7">
        <f>IFERROR(__xludf.DUMMYFUNCTION("""COMPUTED_VALUE"""),3.0)</f>
        <v>3</v>
      </c>
      <c r="J45" s="7">
        <f>IFERROR(__xludf.DUMMYFUNCTION("""COMPUTED_VALUE"""),0.0)</f>
        <v>0</v>
      </c>
      <c r="K45" s="7">
        <f>IFERROR(__xludf.DUMMYFUNCTION("""COMPUTED_VALUE"""),0.67)</f>
        <v>0.67</v>
      </c>
    </row>
    <row r="46" ht="15.75" customHeight="1">
      <c r="A46" s="6" t="str">
        <f>IFERROR(__xludf.DUMMYFUNCTION("""COMPUTED_VALUE"""),"https://www.captovate.com.au/geo#:~:text=How%20Captovate%20Optimises%20Your%20Business%20for%20AI,Strategy.%20Adapting%20for%20voice%20and%20AI%2Ddriven%20queries.")</f>
        <v>https://www.captovate.com.au/geo#:~:text=How%20Captovate%20Optimises%20Your%20Business%20for%20AI,Strategy.%20Adapting%20for%20voice%20and%20AI%2Ddriven%20queries.</v>
      </c>
      <c r="B46" s="7" t="str">
        <f>IFERROR(__xludf.DUMMYFUNCTION("""COMPUTED_VALUE"""),"GEO Services | Captovate AI Digital Marketing Agency")</f>
        <v>GEO Services | Captovate AI Digital Marketing Agency</v>
      </c>
      <c r="C46" s="6" t="str">
        <f>IFERROR(__xludf.DUMMYFUNCTION("""COMPUTED_VALUE"""),"captovate.com.au")</f>
        <v>captovate.com.au</v>
      </c>
      <c r="D46" s="7" t="str">
        <f>IFERROR(__xludf.DUMMYFUNCTION("""COMPUTED_VALUE"""),"HOMEPAGE")</f>
        <v>HOMEPAGE</v>
      </c>
      <c r="E46" s="7" t="str">
        <f>IFERROR(__xludf.DUMMYFUNCTION("""COMPUTED_VALUE"""),"CORPORATE")</f>
        <v>CORPORATE</v>
      </c>
      <c r="F46" s="7" t="str">
        <f>IFERROR(__xludf.DUMMYFUNCTION("""COMPUTED_VALUE"""),"Homepage")</f>
        <v>Homepage</v>
      </c>
      <c r="G46" s="7" t="b">
        <f>IFERROR(__xludf.DUMMYFUNCTION("""COMPUTED_VALUE"""),FALSE)</f>
        <v>0</v>
      </c>
      <c r="H46" s="7"/>
      <c r="I46" s="7">
        <f>IFERROR(__xludf.DUMMYFUNCTION("""COMPUTED_VALUE"""),3.0)</f>
        <v>3</v>
      </c>
      <c r="J46" s="7">
        <f>IFERROR(__xludf.DUMMYFUNCTION("""COMPUTED_VALUE"""),0.0)</f>
        <v>0</v>
      </c>
      <c r="K46" s="7">
        <f>IFERROR(__xludf.DUMMYFUNCTION("""COMPUTED_VALUE"""),1.67)</f>
        <v>1.67</v>
      </c>
    </row>
    <row r="47" ht="15.75" customHeight="1">
      <c r="A47" s="6" t="str">
        <f>IFERROR(__xludf.DUMMYFUNCTION("""COMPUTED_VALUE"""),"https://dimeagency.co/")</f>
        <v>https://dimeagency.co/</v>
      </c>
      <c r="B47" s="7" t="str">
        <f>IFERROR(__xludf.DUMMYFUNCTION("""COMPUTED_VALUE"""),"DIME Agency | Sydney Performance Marketing, Google Ads &amp; Social Ads")</f>
        <v>DIME Agency | Sydney Performance Marketing, Google Ads &amp; Social Ads</v>
      </c>
      <c r="C47" s="6" t="str">
        <f>IFERROR(__xludf.DUMMYFUNCTION("""COMPUTED_VALUE"""),"dimeagency.co")</f>
        <v>dimeagency.co</v>
      </c>
      <c r="D47" s="7" t="str">
        <f>IFERROR(__xludf.DUMMYFUNCTION("""COMPUTED_VALUE"""),"HOMEPAGE")</f>
        <v>HOMEPAGE</v>
      </c>
      <c r="E47" s="7" t="str">
        <f>IFERROR(__xludf.DUMMYFUNCTION("""COMPUTED_VALUE"""),"CORPORATE")</f>
        <v>CORPORATE</v>
      </c>
      <c r="F47" s="7" t="str">
        <f>IFERROR(__xludf.DUMMYFUNCTION("""COMPUTED_VALUE"""),"Homepage")</f>
        <v>Homepage</v>
      </c>
      <c r="G47" s="7" t="b">
        <f>IFERROR(__xludf.DUMMYFUNCTION("""COMPUTED_VALUE"""),FALSE)</f>
        <v>0</v>
      </c>
      <c r="H47" s="7"/>
      <c r="I47" s="7">
        <f>IFERROR(__xludf.DUMMYFUNCTION("""COMPUTED_VALUE"""),3.0)</f>
        <v>3</v>
      </c>
      <c r="J47" s="7">
        <f>IFERROR(__xludf.DUMMYFUNCTION("""COMPUTED_VALUE"""),0.0)</f>
        <v>0</v>
      </c>
      <c r="K47" s="7">
        <f>IFERROR(__xludf.DUMMYFUNCTION("""COMPUTED_VALUE"""),0.0)</f>
        <v>0</v>
      </c>
    </row>
    <row r="48" ht="15.75" customHeight="1">
      <c r="A48" s="6" t="str">
        <f>IFERROR(__xludf.DUMMYFUNCTION("""COMPUTED_VALUE"""),"https://droga5.com.au/")</f>
        <v>https://droga5.com.au/</v>
      </c>
      <c r="B48" s="7"/>
      <c r="C48" s="6" t="str">
        <f>IFERROR(__xludf.DUMMYFUNCTION("""COMPUTED_VALUE"""),"droga5.com.au")</f>
        <v>droga5.com.au</v>
      </c>
      <c r="D48" s="7" t="str">
        <f>IFERROR(__xludf.DUMMYFUNCTION("""COMPUTED_VALUE"""),"HOMEPAGE")</f>
        <v>HOMEPAGE</v>
      </c>
      <c r="E48" s="7" t="str">
        <f>IFERROR(__xludf.DUMMYFUNCTION("""COMPUTED_VALUE"""),"CORPORATE")</f>
        <v>CORPORATE</v>
      </c>
      <c r="F48" s="7" t="str">
        <f>IFERROR(__xludf.DUMMYFUNCTION("""COMPUTED_VALUE"""),"Homepage")</f>
        <v>Homepage</v>
      </c>
      <c r="G48" s="7"/>
      <c r="H48" s="7" t="str">
        <f>IFERROR(__xludf.DUMMYFUNCTION("""COMPUTED_VALUE"""),"Unknown")</f>
        <v>Unknown</v>
      </c>
      <c r="I48" s="7">
        <f>IFERROR(__xludf.DUMMYFUNCTION("""COMPUTED_VALUE"""),3.0)</f>
        <v>3</v>
      </c>
      <c r="J48" s="7">
        <f>IFERROR(__xludf.DUMMYFUNCTION("""COMPUTED_VALUE"""),0.0)</f>
        <v>0</v>
      </c>
      <c r="K48" s="7">
        <f>IFERROR(__xludf.DUMMYFUNCTION("""COMPUTED_VALUE"""),0.67)</f>
        <v>0.67</v>
      </c>
    </row>
    <row r="49" ht="15.75" customHeight="1">
      <c r="A49" s="6" t="str">
        <f>IFERROR(__xludf.DUMMYFUNCTION("""COMPUTED_VALUE"""),"https://firstpage.com.au/seo/#:~:text=Our%20SEO%20strategists%2C%20in%2Dhouse%20web%20developers%20and,SEO.%20%2D%20Shopify%20SEO.%20%2D%20WordPress%20SEO.")</f>
        <v>https://firstpage.com.au/seo/#:~:text=Our%20SEO%20strategists%2C%20in%2Dhouse%20web%20developers%20and,SEO.%20%2D%20Shopify%20SEO.%20%2D%20WordPress%20SEO.</v>
      </c>
      <c r="B49" s="7" t="str">
        <f>IFERROR(__xludf.DUMMYFUNCTION("""COMPUTED_VALUE"""),"SEO Agency Melbourne | Award-Winning SEO Company Australia")</f>
        <v>SEO Agency Melbourne | Award-Winning SEO Company Australia</v>
      </c>
      <c r="C49" s="6" t="str">
        <f>IFERROR(__xludf.DUMMYFUNCTION("""COMPUTED_VALUE"""),"firstpage.com.au")</f>
        <v>firstpage.com.au</v>
      </c>
      <c r="D49" s="7" t="str">
        <f>IFERROR(__xludf.DUMMYFUNCTION("""COMPUTED_VALUE"""),"HOMEPAGE")</f>
        <v>HOMEPAGE</v>
      </c>
      <c r="E49" s="7" t="str">
        <f>IFERROR(__xludf.DUMMYFUNCTION("""COMPUTED_VALUE"""),"COMPETITOR")</f>
        <v>COMPETITOR</v>
      </c>
      <c r="F49" s="7" t="str">
        <f>IFERROR(__xludf.DUMMYFUNCTION("""COMPUTED_VALUE"""),"Homepage")</f>
        <v>Homepage</v>
      </c>
      <c r="G49" s="7" t="b">
        <f>IFERROR(__xludf.DUMMYFUNCTION("""COMPUTED_VALUE"""),FALSE)</f>
        <v>0</v>
      </c>
      <c r="H49" s="7" t="str">
        <f>IFERROR(__xludf.DUMMYFUNCTION("""COMPUTED_VALUE"""),"First Page, Measured, Momentum, First Page Australia")</f>
        <v>First Page, Measured, Momentum, First Page Australia</v>
      </c>
      <c r="I49" s="7">
        <f>IFERROR(__xludf.DUMMYFUNCTION("""COMPUTED_VALUE"""),3.0)</f>
        <v>3</v>
      </c>
      <c r="J49" s="7">
        <f>IFERROR(__xludf.DUMMYFUNCTION("""COMPUTED_VALUE"""),0.0)</f>
        <v>0</v>
      </c>
      <c r="K49" s="7">
        <f>IFERROR(__xludf.DUMMYFUNCTION("""COMPUTED_VALUE"""),2.0)</f>
        <v>2</v>
      </c>
    </row>
    <row r="50" ht="15.75" customHeight="1">
      <c r="A50" s="6" t="str">
        <f>IFERROR(__xludf.DUMMYFUNCTION("""COMPUTED_VALUE"""),"https://hyperdot.com.au/")</f>
        <v>https://hyperdot.com.au/</v>
      </c>
      <c r="B50" s="7" t="str">
        <f>IFERROR(__xludf.DUMMYFUNCTION("""COMPUTED_VALUE"""),"AI SEO Agency Sydney | GEO &amp;amp; AEO Specialists | Hyperdot")</f>
        <v>AI SEO Agency Sydney | GEO &amp;amp; AEO Specialists | Hyperdot</v>
      </c>
      <c r="C50" s="6" t="str">
        <f>IFERROR(__xludf.DUMMYFUNCTION("""COMPUTED_VALUE"""),"hyperdot.com.au")</f>
        <v>hyperdot.com.au</v>
      </c>
      <c r="D50" s="7" t="str">
        <f>IFERROR(__xludf.DUMMYFUNCTION("""COMPUTED_VALUE"""),"HOMEPAGE")</f>
        <v>HOMEPAGE</v>
      </c>
      <c r="E50" s="7" t="str">
        <f>IFERROR(__xludf.DUMMYFUNCTION("""COMPUTED_VALUE"""),"CORPORATE")</f>
        <v>CORPORATE</v>
      </c>
      <c r="F50" s="7" t="str">
        <f>IFERROR(__xludf.DUMMYFUNCTION("""COMPUTED_VALUE"""),"Homepage")</f>
        <v>Homepage</v>
      </c>
      <c r="G50" s="7" t="b">
        <f>IFERROR(__xludf.DUMMYFUNCTION("""COMPUTED_VALUE"""),FALSE)</f>
        <v>0</v>
      </c>
      <c r="H50" s="7" t="str">
        <f>IFERROR(__xludf.DUMMYFUNCTION("""COMPUTED_VALUE"""),"Momentum")</f>
        <v>Momentum</v>
      </c>
      <c r="I50" s="7">
        <f>IFERROR(__xludf.DUMMYFUNCTION("""COMPUTED_VALUE"""),3.0)</f>
        <v>3</v>
      </c>
      <c r="J50" s="7">
        <f>IFERROR(__xludf.DUMMYFUNCTION("""COMPUTED_VALUE"""),0.0)</f>
        <v>0</v>
      </c>
      <c r="K50" s="7">
        <f>IFERROR(__xludf.DUMMYFUNCTION("""COMPUTED_VALUE"""),1.67)</f>
        <v>1.67</v>
      </c>
    </row>
    <row r="51" ht="15.75" customHeight="1">
      <c r="A51" s="6" t="str">
        <f>IFERROR(__xludf.DUMMYFUNCTION("""COMPUTED_VALUE"""),"https://www.incremental.com/")</f>
        <v>https://www.incremental.com/</v>
      </c>
      <c r="B51" s="7" t="str">
        <f>IFERROR(__xludf.DUMMYFUNCTION("""COMPUTED_VALUE"""),"Incremental | Causal Intelligence for Commerce Media")</f>
        <v>Incremental | Causal Intelligence for Commerce Media</v>
      </c>
      <c r="C51" s="6" t="str">
        <f>IFERROR(__xludf.DUMMYFUNCTION("""COMPUTED_VALUE"""),"incremental.com")</f>
        <v>incremental.com</v>
      </c>
      <c r="D51" s="7" t="str">
        <f>IFERROR(__xludf.DUMMYFUNCTION("""COMPUTED_VALUE"""),"HOMEPAGE")</f>
        <v>HOMEPAGE</v>
      </c>
      <c r="E51" s="7" t="str">
        <f>IFERROR(__xludf.DUMMYFUNCTION("""COMPUTED_VALUE"""),"CORPORATE")</f>
        <v>CORPORATE</v>
      </c>
      <c r="F51" s="7" t="str">
        <f>IFERROR(__xludf.DUMMYFUNCTION("""COMPUTED_VALUE"""),"Homepage")</f>
        <v>Homepage</v>
      </c>
      <c r="G51" s="7" t="b">
        <f>IFERROR(__xludf.DUMMYFUNCTION("""COMPUTED_VALUE"""),FALSE)</f>
        <v>0</v>
      </c>
      <c r="H51" s="7"/>
      <c r="I51" s="7">
        <f>IFERROR(__xludf.DUMMYFUNCTION("""COMPUTED_VALUE"""),3.0)</f>
        <v>3</v>
      </c>
      <c r="J51" s="7">
        <f>IFERROR(__xludf.DUMMYFUNCTION("""COMPUTED_VALUE"""),0.0)</f>
        <v>0</v>
      </c>
      <c r="K51" s="7">
        <f>IFERROR(__xludf.DUMMYFUNCTION("""COMPUTED_VALUE"""),0.0)</f>
        <v>0</v>
      </c>
    </row>
    <row r="52" ht="15.75" customHeight="1">
      <c r="A52" s="6" t="str">
        <f>IFERROR(__xludf.DUMMYFUNCTION("""COMPUTED_VALUE"""),"https://www.indigosystems.au/")</f>
        <v>https://www.indigosystems.au/</v>
      </c>
      <c r="B52" s="7"/>
      <c r="C52" s="6" t="str">
        <f>IFERROR(__xludf.DUMMYFUNCTION("""COMPUTED_VALUE"""),"indigosystems.au")</f>
        <v>indigosystems.au</v>
      </c>
      <c r="D52" s="7" t="str">
        <f>IFERROR(__xludf.DUMMYFUNCTION("""COMPUTED_VALUE"""),"HOMEPAGE")</f>
        <v>HOMEPAGE</v>
      </c>
      <c r="E52" s="7" t="str">
        <f>IFERROR(__xludf.DUMMYFUNCTION("""COMPUTED_VALUE"""),"CORPORATE")</f>
        <v>CORPORATE</v>
      </c>
      <c r="F52" s="7" t="str">
        <f>IFERROR(__xludf.DUMMYFUNCTION("""COMPUTED_VALUE"""),"Homepage")</f>
        <v>Homepage</v>
      </c>
      <c r="G52" s="7"/>
      <c r="H52" s="7" t="str">
        <f>IFERROR(__xludf.DUMMYFUNCTION("""COMPUTED_VALUE"""),"Unknown")</f>
        <v>Unknown</v>
      </c>
      <c r="I52" s="7">
        <f>IFERROR(__xludf.DUMMYFUNCTION("""COMPUTED_VALUE"""),3.0)</f>
        <v>3</v>
      </c>
      <c r="J52" s="7">
        <f>IFERROR(__xludf.DUMMYFUNCTION("""COMPUTED_VALUE"""),0.0)</f>
        <v>0</v>
      </c>
      <c r="K52" s="7">
        <f>IFERROR(__xludf.DUMMYFUNCTION("""COMPUTED_VALUE"""),0.67)</f>
        <v>0.67</v>
      </c>
    </row>
    <row r="53" ht="15.75" customHeight="1">
      <c r="A53" s="6" t="str">
        <f>IFERROR(__xludf.DUMMYFUNCTION("""COMPUTED_VALUE"""),"https://www.intelliagent.com.au/")</f>
        <v>https://www.intelliagent.com.au/</v>
      </c>
      <c r="B53" s="7" t="str">
        <f>IFERROR(__xludf.DUMMYFUNCTION("""COMPUTED_VALUE"""),"IntelliAgent — AI Consulting for Australian Businesses")</f>
        <v>IntelliAgent — AI Consulting for Australian Businesses</v>
      </c>
      <c r="C53" s="6" t="str">
        <f>IFERROR(__xludf.DUMMYFUNCTION("""COMPUTED_VALUE"""),"intelliagent.com.au")</f>
        <v>intelliagent.com.au</v>
      </c>
      <c r="D53" s="7" t="str">
        <f>IFERROR(__xludf.DUMMYFUNCTION("""COMPUTED_VALUE"""),"HOMEPAGE")</f>
        <v>HOMEPAGE</v>
      </c>
      <c r="E53" s="7" t="str">
        <f>IFERROR(__xludf.DUMMYFUNCTION("""COMPUTED_VALUE"""),"CORPORATE")</f>
        <v>CORPORATE</v>
      </c>
      <c r="F53" s="7" t="str">
        <f>IFERROR(__xludf.DUMMYFUNCTION("""COMPUTED_VALUE"""),"Homepage")</f>
        <v>Homepage</v>
      </c>
      <c r="G53" s="7" t="b">
        <f>IFERROR(__xludf.DUMMYFUNCTION("""COMPUTED_VALUE"""),FALSE)</f>
        <v>0</v>
      </c>
      <c r="H53" s="7" t="str">
        <f>IFERROR(__xludf.DUMMYFUNCTION("""COMPUTED_VALUE"""),"Measured")</f>
        <v>Measured</v>
      </c>
      <c r="I53" s="7">
        <f>IFERROR(__xludf.DUMMYFUNCTION("""COMPUTED_VALUE"""),3.0)</f>
        <v>3</v>
      </c>
      <c r="J53" s="7">
        <f>IFERROR(__xludf.DUMMYFUNCTION("""COMPUTED_VALUE"""),0.0)</f>
        <v>0</v>
      </c>
      <c r="K53" s="7">
        <f>IFERROR(__xludf.DUMMYFUNCTION("""COMPUTED_VALUE"""),0.67)</f>
        <v>0.67</v>
      </c>
    </row>
    <row r="54" ht="15.75" customHeight="1">
      <c r="A54" s="6" t="str">
        <f>IFERROR(__xludf.DUMMYFUNCTION("""COMPUTED_VALUE"""),"https://lifesight.io/")</f>
        <v>https://lifesight.io/</v>
      </c>
      <c r="B54" s="7" t="str">
        <f>IFERROR(__xludf.DUMMYFUNCTION("""COMPUTED_VALUE"""),"Lifesight | Agentic Unified Marketing Measurement")</f>
        <v>Lifesight | Agentic Unified Marketing Measurement</v>
      </c>
      <c r="C54" s="6" t="str">
        <f>IFERROR(__xludf.DUMMYFUNCTION("""COMPUTED_VALUE"""),"lifesight.io")</f>
        <v>lifesight.io</v>
      </c>
      <c r="D54" s="7" t="str">
        <f>IFERROR(__xludf.DUMMYFUNCTION("""COMPUTED_VALUE"""),"HOMEPAGE")</f>
        <v>HOMEPAGE</v>
      </c>
      <c r="E54" s="7" t="str">
        <f>IFERROR(__xludf.DUMMYFUNCTION("""COMPUTED_VALUE"""),"COMPETITOR")</f>
        <v>COMPETITOR</v>
      </c>
      <c r="F54" s="7" t="str">
        <f>IFERROR(__xludf.DUMMYFUNCTION("""COMPUTED_VALUE"""),"Homepage")</f>
        <v>Homepage</v>
      </c>
      <c r="G54" s="7" t="b">
        <f>IFERROR(__xludf.DUMMYFUNCTION("""COMPUTED_VALUE"""),FALSE)</f>
        <v>0</v>
      </c>
      <c r="H54" s="7" t="str">
        <f>IFERROR(__xludf.DUMMYFUNCTION("""COMPUTED_VALUE"""),"Lifesight, Measured, Haus")</f>
        <v>Lifesight, Measured, Haus</v>
      </c>
      <c r="I54" s="7">
        <f>IFERROR(__xludf.DUMMYFUNCTION("""COMPUTED_VALUE"""),3.0)</f>
        <v>3</v>
      </c>
      <c r="J54" s="7">
        <f>IFERROR(__xludf.DUMMYFUNCTION("""COMPUTED_VALUE"""),0.0)</f>
        <v>0</v>
      </c>
      <c r="K54" s="7">
        <f>IFERROR(__xludf.DUMMYFUNCTION("""COMPUTED_VALUE"""),0.67)</f>
        <v>0.67</v>
      </c>
    </row>
    <row r="55" ht="15.75" customHeight="1">
      <c r="A55" s="6" t="str">
        <f>IFERROR(__xludf.DUMMYFUNCTION("""COMPUTED_VALUE"""),"https://linea-analytics.com/")</f>
        <v>https://linea-analytics.com/</v>
      </c>
      <c r="B55" s="7" t="str">
        <f>IFERROR(__xludf.DUMMYFUNCTION("""COMPUTED_VALUE"""),"Linea Analytics — True Marketing Impact Measurement (Always-on MMM)")</f>
        <v>Linea Analytics — True Marketing Impact Measurement (Always-on MMM)</v>
      </c>
      <c r="C55" s="6" t="str">
        <f>IFERROR(__xludf.DUMMYFUNCTION("""COMPUTED_VALUE"""),"linea-analytics.com")</f>
        <v>linea-analytics.com</v>
      </c>
      <c r="D55" s="7" t="str">
        <f>IFERROR(__xludf.DUMMYFUNCTION("""COMPUTED_VALUE"""),"HOMEPAGE")</f>
        <v>HOMEPAGE</v>
      </c>
      <c r="E55" s="7" t="str">
        <f>IFERROR(__xludf.DUMMYFUNCTION("""COMPUTED_VALUE"""),"CORPORATE")</f>
        <v>CORPORATE</v>
      </c>
      <c r="F55" s="7" t="str">
        <f>IFERROR(__xludf.DUMMYFUNCTION("""COMPUTED_VALUE"""),"Homepage")</f>
        <v>Homepage</v>
      </c>
      <c r="G55" s="7" t="b">
        <f>IFERROR(__xludf.DUMMYFUNCTION("""COMPUTED_VALUE"""),FALSE)</f>
        <v>0</v>
      </c>
      <c r="H55" s="7"/>
      <c r="I55" s="7">
        <f>IFERROR(__xludf.DUMMYFUNCTION("""COMPUTED_VALUE"""),3.0)</f>
        <v>3</v>
      </c>
      <c r="J55" s="7">
        <f>IFERROR(__xludf.DUMMYFUNCTION("""COMPUTED_VALUE"""),0.0)</f>
        <v>0</v>
      </c>
      <c r="K55" s="7">
        <f>IFERROR(__xludf.DUMMYFUNCTION("""COMPUTED_VALUE"""),1.33)</f>
        <v>1.33</v>
      </c>
    </row>
    <row r="56" ht="15.75" customHeight="1">
      <c r="A56" s="6" t="str">
        <f>IFERROR(__xludf.DUMMYFUNCTION("""COMPUTED_VALUE"""),"https://mutinex.co/")</f>
        <v>https://mutinex.co/</v>
      </c>
      <c r="B56" s="7" t="str">
        <f>IFERROR(__xludf.DUMMYFUNCTION("""COMPUTED_VALUE"""),"Mutinex - Beyond Market Mix Modeling")</f>
        <v>Mutinex - Beyond Market Mix Modeling</v>
      </c>
      <c r="C56" s="6" t="str">
        <f>IFERROR(__xludf.DUMMYFUNCTION("""COMPUTED_VALUE"""),"mutinex.co")</f>
        <v>mutinex.co</v>
      </c>
      <c r="D56" s="7" t="str">
        <f>IFERROR(__xludf.DUMMYFUNCTION("""COMPUTED_VALUE"""),"HOMEPAGE")</f>
        <v>HOMEPAGE</v>
      </c>
      <c r="E56" s="7" t="str">
        <f>IFERROR(__xludf.DUMMYFUNCTION("""COMPUTED_VALUE"""),"COMPETITOR")</f>
        <v>COMPETITOR</v>
      </c>
      <c r="F56" s="7" t="str">
        <f>IFERROR(__xludf.DUMMYFUNCTION("""COMPUTED_VALUE"""),"Homepage")</f>
        <v>Homepage</v>
      </c>
      <c r="G56" s="7" t="b">
        <f>IFERROR(__xludf.DUMMYFUNCTION("""COMPUTED_VALUE"""),FALSE)</f>
        <v>0</v>
      </c>
      <c r="H56" s="7" t="str">
        <f>IFERROR(__xludf.DUMMYFUNCTION("""COMPUTED_VALUE"""),"Mutinex")</f>
        <v>Mutinex</v>
      </c>
      <c r="I56" s="7">
        <f>IFERROR(__xludf.DUMMYFUNCTION("""COMPUTED_VALUE"""),3.0)</f>
        <v>3</v>
      </c>
      <c r="J56" s="7">
        <f>IFERROR(__xludf.DUMMYFUNCTION("""COMPUTED_VALUE"""),0.0)</f>
        <v>0</v>
      </c>
      <c r="K56" s="7">
        <f>IFERROR(__xludf.DUMMYFUNCTION("""COMPUTED_VALUE"""),1.0)</f>
        <v>1</v>
      </c>
    </row>
    <row r="57" ht="15.75" customHeight="1">
      <c r="A57" s="6" t="str">
        <f>IFERROR(__xludf.DUMMYFUNCTION("""COMPUTED_VALUE"""),"https://www.paisdigital.com.au/")</f>
        <v>https://www.paisdigital.com.au/</v>
      </c>
      <c r="B57" s="7" t="str">
        <f>IFERROR(__xludf.DUMMYFUNCTION("""COMPUTED_VALUE"""),"Digital Performance Marketing Agency Australia | Pais Digital")</f>
        <v>Digital Performance Marketing Agency Australia | Pais Digital</v>
      </c>
      <c r="C57" s="6" t="str">
        <f>IFERROR(__xludf.DUMMYFUNCTION("""COMPUTED_VALUE"""),"paisdigital.com.au")</f>
        <v>paisdigital.com.au</v>
      </c>
      <c r="D57" s="7" t="str">
        <f>IFERROR(__xludf.DUMMYFUNCTION("""COMPUTED_VALUE"""),"HOMEPAGE")</f>
        <v>HOMEPAGE</v>
      </c>
      <c r="E57" s="7" t="str">
        <f>IFERROR(__xludf.DUMMYFUNCTION("""COMPUTED_VALUE"""),"CORPORATE")</f>
        <v>CORPORATE</v>
      </c>
      <c r="F57" s="7" t="str">
        <f>IFERROR(__xludf.DUMMYFUNCTION("""COMPUTED_VALUE"""),"Homepage")</f>
        <v>Homepage</v>
      </c>
      <c r="G57" s="7" t="b">
        <f>IFERROR(__xludf.DUMMYFUNCTION("""COMPUTED_VALUE"""),FALSE)</f>
        <v>0</v>
      </c>
      <c r="H57" s="7"/>
      <c r="I57" s="7">
        <f>IFERROR(__xludf.DUMMYFUNCTION("""COMPUTED_VALUE"""),3.0)</f>
        <v>3</v>
      </c>
      <c r="J57" s="7">
        <f>IFERROR(__xludf.DUMMYFUNCTION("""COMPUTED_VALUE"""),0.0)</f>
        <v>0</v>
      </c>
      <c r="K57" s="7">
        <f>IFERROR(__xludf.DUMMYFUNCTION("""COMPUTED_VALUE"""),0.67)</f>
        <v>0.67</v>
      </c>
    </row>
    <row r="58" ht="15.75" customHeight="1">
      <c r="A58" s="6" t="str">
        <f>IFERROR(__xludf.DUMMYFUNCTION("""COMPUTED_VALUE"""),"https://performancemarketer.com.au/")</f>
        <v>https://performancemarketer.com.au/</v>
      </c>
      <c r="B58" s="7" t="str">
        <f>IFERROR(__xludf.DUMMYFUNCTION("""COMPUTED_VALUE"""),"Google &amp;amp; Meta Ads, SEO &amp;amp; Conversion Tracking Expert | Performance Marketer")</f>
        <v>Google &amp;amp; Meta Ads, SEO &amp;amp; Conversion Tracking Expert | Performance Marketer</v>
      </c>
      <c r="C58" s="6" t="str">
        <f>IFERROR(__xludf.DUMMYFUNCTION("""COMPUTED_VALUE"""),"performancemarketer.com.au")</f>
        <v>performancemarketer.com.au</v>
      </c>
      <c r="D58" s="7" t="str">
        <f>IFERROR(__xludf.DUMMYFUNCTION("""COMPUTED_VALUE"""),"HOMEPAGE")</f>
        <v>HOMEPAGE</v>
      </c>
      <c r="E58" s="7" t="str">
        <f>IFERROR(__xludf.DUMMYFUNCTION("""COMPUTED_VALUE"""),"CORPORATE")</f>
        <v>CORPORATE</v>
      </c>
      <c r="F58" s="7" t="str">
        <f>IFERROR(__xludf.DUMMYFUNCTION("""COMPUTED_VALUE"""),"Homepage")</f>
        <v>Homepage</v>
      </c>
      <c r="G58" s="7" t="b">
        <f>IFERROR(__xludf.DUMMYFUNCTION("""COMPUTED_VALUE"""),FALSE)</f>
        <v>0</v>
      </c>
      <c r="H58" s="7" t="str">
        <f>IFERROR(__xludf.DUMMYFUNCTION("""COMPUTED_VALUE"""),"Huge, Momentum, Undivided")</f>
        <v>Huge, Momentum, Undivided</v>
      </c>
      <c r="I58" s="7">
        <f>IFERROR(__xludf.DUMMYFUNCTION("""COMPUTED_VALUE"""),3.0)</f>
        <v>3</v>
      </c>
      <c r="J58" s="7">
        <f>IFERROR(__xludf.DUMMYFUNCTION("""COMPUTED_VALUE"""),0.0)</f>
        <v>0</v>
      </c>
      <c r="K58" s="7">
        <f>IFERROR(__xludf.DUMMYFUNCTION("""COMPUTED_VALUE"""),0.0)</f>
        <v>0</v>
      </c>
    </row>
    <row r="59" ht="15.75" customHeight="1">
      <c r="A59" s="6" t="str">
        <f>IFERROR(__xludf.DUMMYFUNCTION("""COMPUTED_VALUE"""),"https://primedaiconsulting.com/")</f>
        <v>https://primedaiconsulting.com/</v>
      </c>
      <c r="B59" s="7" t="str">
        <f>IFERROR(__xludf.DUMMYFUNCTION("""COMPUTED_VALUE"""),"AI Consulting Australia | AI Readiness Assessment | Primed AI")</f>
        <v>AI Consulting Australia | AI Readiness Assessment | Primed AI</v>
      </c>
      <c r="C59" s="6" t="str">
        <f>IFERROR(__xludf.DUMMYFUNCTION("""COMPUTED_VALUE"""),"primedaiconsulting.com")</f>
        <v>primedaiconsulting.com</v>
      </c>
      <c r="D59" s="7" t="str">
        <f>IFERROR(__xludf.DUMMYFUNCTION("""COMPUTED_VALUE"""),"HOMEPAGE")</f>
        <v>HOMEPAGE</v>
      </c>
      <c r="E59" s="7" t="str">
        <f>IFERROR(__xludf.DUMMYFUNCTION("""COMPUTED_VALUE"""),"CORPORATE")</f>
        <v>CORPORATE</v>
      </c>
      <c r="F59" s="7" t="str">
        <f>IFERROR(__xludf.DUMMYFUNCTION("""COMPUTED_VALUE"""),"Homepage")</f>
        <v>Homepage</v>
      </c>
      <c r="G59" s="7" t="b">
        <f>IFERROR(__xludf.DUMMYFUNCTION("""COMPUTED_VALUE"""),FALSE)</f>
        <v>0</v>
      </c>
      <c r="H59" s="7" t="str">
        <f>IFERROR(__xludf.DUMMYFUNCTION("""COMPUTED_VALUE"""),"Absolutely AI, Get AI Ready")</f>
        <v>Absolutely AI, Get AI Ready</v>
      </c>
      <c r="I59" s="7">
        <f>IFERROR(__xludf.DUMMYFUNCTION("""COMPUTED_VALUE"""),3.0)</f>
        <v>3</v>
      </c>
      <c r="J59" s="7">
        <f>IFERROR(__xludf.DUMMYFUNCTION("""COMPUTED_VALUE"""),0.0)</f>
        <v>0</v>
      </c>
      <c r="K59" s="7">
        <f>IFERROR(__xludf.DUMMYFUNCTION("""COMPUTED_VALUE"""),0.67)</f>
        <v>0.67</v>
      </c>
    </row>
    <row r="60" ht="15.75" customHeight="1">
      <c r="A60" s="6" t="str">
        <f>IFERROR(__xludf.DUMMYFUNCTION("""COMPUTED_VALUE"""),"https://searchagency.com.au/")</f>
        <v>https://searchagency.com.au/</v>
      </c>
      <c r="B60" s="7" t="str">
        <f>IFERROR(__xludf.DUMMYFUNCTION("""COMPUTED_VALUE"""),"Search Agency Australia | SEO, AI Search &amp;amp; Digital Marketing")</f>
        <v>Search Agency Australia | SEO, AI Search &amp;amp; Digital Marketing</v>
      </c>
      <c r="C60" s="6" t="str">
        <f>IFERROR(__xludf.DUMMYFUNCTION("""COMPUTED_VALUE"""),"searchagency.com.au")</f>
        <v>searchagency.com.au</v>
      </c>
      <c r="D60" s="7" t="str">
        <f>IFERROR(__xludf.DUMMYFUNCTION("""COMPUTED_VALUE"""),"HOMEPAGE")</f>
        <v>HOMEPAGE</v>
      </c>
      <c r="E60" s="7" t="str">
        <f>IFERROR(__xludf.DUMMYFUNCTION("""COMPUTED_VALUE"""),"CORPORATE")</f>
        <v>CORPORATE</v>
      </c>
      <c r="F60" s="7" t="str">
        <f>IFERROR(__xludf.DUMMYFUNCTION("""COMPUTED_VALUE"""),"Homepage")</f>
        <v>Homepage</v>
      </c>
      <c r="G60" s="7" t="b">
        <f>IFERROR(__xludf.DUMMYFUNCTION("""COMPUTED_VALUE"""),FALSE)</f>
        <v>0</v>
      </c>
      <c r="H60" s="7"/>
      <c r="I60" s="7">
        <f>IFERROR(__xludf.DUMMYFUNCTION("""COMPUTED_VALUE"""),3.0)</f>
        <v>3</v>
      </c>
      <c r="J60" s="7">
        <f>IFERROR(__xludf.DUMMYFUNCTION("""COMPUTED_VALUE"""),0.0)</f>
        <v>0</v>
      </c>
      <c r="K60" s="7">
        <f>IFERROR(__xludf.DUMMYFUNCTION("""COMPUTED_VALUE"""),0.33)</f>
        <v>0.33</v>
      </c>
    </row>
    <row r="61" ht="15.75" customHeight="1">
      <c r="A61" s="6" t="str">
        <f>IFERROR(__xludf.DUMMYFUNCTION("""COMPUTED_VALUE"""),"https://www.tamedmarketing.com.au/")</f>
        <v>https://www.tamedmarketing.com.au/</v>
      </c>
      <c r="B61" s="7" t="str">
        <f>IFERROR(__xludf.DUMMYFUNCTION("""COMPUTED_VALUE"""),"Melbourne Performance Marketing Agency | Tamed Marketing")</f>
        <v>Melbourne Performance Marketing Agency | Tamed Marketing</v>
      </c>
      <c r="C61" s="6" t="str">
        <f>IFERROR(__xludf.DUMMYFUNCTION("""COMPUTED_VALUE"""),"tamedmarketing.com.au")</f>
        <v>tamedmarketing.com.au</v>
      </c>
      <c r="D61" s="7" t="str">
        <f>IFERROR(__xludf.DUMMYFUNCTION("""COMPUTED_VALUE"""),"HOMEPAGE")</f>
        <v>HOMEPAGE</v>
      </c>
      <c r="E61" s="7" t="str">
        <f>IFERROR(__xludf.DUMMYFUNCTION("""COMPUTED_VALUE"""),"CORPORATE")</f>
        <v>CORPORATE</v>
      </c>
      <c r="F61" s="7" t="str">
        <f>IFERROR(__xludf.DUMMYFUNCTION("""COMPUTED_VALUE"""),"Homepage")</f>
        <v>Homepage</v>
      </c>
      <c r="G61" s="7" t="b">
        <f>IFERROR(__xludf.DUMMYFUNCTION("""COMPUTED_VALUE"""),FALSE)</f>
        <v>0</v>
      </c>
      <c r="H61" s="7"/>
      <c r="I61" s="7">
        <f>IFERROR(__xludf.DUMMYFUNCTION("""COMPUTED_VALUE"""),3.0)</f>
        <v>3</v>
      </c>
      <c r="J61" s="7">
        <f>IFERROR(__xludf.DUMMYFUNCTION("""COMPUTED_VALUE"""),0.0)</f>
        <v>0</v>
      </c>
      <c r="K61" s="7">
        <f>IFERROR(__xludf.DUMMYFUNCTION("""COMPUTED_VALUE"""),0.0)</f>
        <v>0</v>
      </c>
    </row>
    <row r="62" ht="15.75" customHeight="1">
      <c r="A62" s="6" t="str">
        <f>IFERROR(__xludf.DUMMYFUNCTION("""COMPUTED_VALUE"""),"https://www.unifida.com.au/")</f>
        <v>https://www.unifida.com.au/</v>
      </c>
      <c r="B62" s="7" t="str">
        <f>IFERROR(__xludf.DUMMYFUNCTION("""COMPUTED_VALUE"""),"UniFida Customer Data Platform + Marketing Attribution")</f>
        <v>UniFida Customer Data Platform + Marketing Attribution</v>
      </c>
      <c r="C62" s="6" t="str">
        <f>IFERROR(__xludf.DUMMYFUNCTION("""COMPUTED_VALUE"""),"unifida.com.au")</f>
        <v>unifida.com.au</v>
      </c>
      <c r="D62" s="7" t="str">
        <f>IFERROR(__xludf.DUMMYFUNCTION("""COMPUTED_VALUE"""),"HOMEPAGE")</f>
        <v>HOMEPAGE</v>
      </c>
      <c r="E62" s="7" t="str">
        <f>IFERROR(__xludf.DUMMYFUNCTION("""COMPUTED_VALUE"""),"CORPORATE")</f>
        <v>CORPORATE</v>
      </c>
      <c r="F62" s="7" t="str">
        <f>IFERROR(__xludf.DUMMYFUNCTION("""COMPUTED_VALUE"""),"Homepage")</f>
        <v>Homepage</v>
      </c>
      <c r="G62" s="7" t="b">
        <f>IFERROR(__xludf.DUMMYFUNCTION("""COMPUTED_VALUE"""),FALSE)</f>
        <v>0</v>
      </c>
      <c r="H62" s="7"/>
      <c r="I62" s="7">
        <f>IFERROR(__xludf.DUMMYFUNCTION("""COMPUTED_VALUE"""),3.0)</f>
        <v>3</v>
      </c>
      <c r="J62" s="7">
        <f>IFERROR(__xludf.DUMMYFUNCTION("""COMPUTED_VALUE"""),0.0)</f>
        <v>0</v>
      </c>
      <c r="K62" s="7">
        <f>IFERROR(__xludf.DUMMYFUNCTION("""COMPUTED_VALUE"""),0.67)</f>
        <v>0.67</v>
      </c>
    </row>
    <row r="63" ht="15.75" customHeight="1">
      <c r="A63" s="6" t="str">
        <f>IFERROR(__xludf.DUMMYFUNCTION("""COMPUTED_VALUE"""),"https://www.aimash.com.au/")</f>
        <v>https://www.aimash.com.au/</v>
      </c>
      <c r="B63" s="7" t="str">
        <f>IFERROR(__xludf.DUMMYFUNCTION("""COMPUTED_VALUE"""),"AI-Powered Marketing Agency in Australia | Aimash")</f>
        <v>AI-Powered Marketing Agency in Australia | Aimash</v>
      </c>
      <c r="C63" s="6" t="str">
        <f>IFERROR(__xludf.DUMMYFUNCTION("""COMPUTED_VALUE"""),"aimash.com.au")</f>
        <v>aimash.com.au</v>
      </c>
      <c r="D63" s="7" t="str">
        <f>IFERROR(__xludf.DUMMYFUNCTION("""COMPUTED_VALUE"""),"HOMEPAGE")</f>
        <v>HOMEPAGE</v>
      </c>
      <c r="E63" s="7" t="str">
        <f>IFERROR(__xludf.DUMMYFUNCTION("""COMPUTED_VALUE"""),"CORPORATE")</f>
        <v>CORPORATE</v>
      </c>
      <c r="F63" s="7" t="str">
        <f>IFERROR(__xludf.DUMMYFUNCTION("""COMPUTED_VALUE"""),"Homepage")</f>
        <v>Homepage</v>
      </c>
      <c r="G63" s="7" t="b">
        <f>IFERROR(__xludf.DUMMYFUNCTION("""COMPUTED_VALUE"""),FALSE)</f>
        <v>0</v>
      </c>
      <c r="H63" s="7" t="str">
        <f>IFERROR(__xludf.DUMMYFUNCTION("""COMPUTED_VALUE"""),"Impressive")</f>
        <v>Impressive</v>
      </c>
      <c r="I63" s="7">
        <f>IFERROR(__xludf.DUMMYFUNCTION("""COMPUTED_VALUE"""),2.0)</f>
        <v>2</v>
      </c>
      <c r="J63" s="7">
        <f>IFERROR(__xludf.DUMMYFUNCTION("""COMPUTED_VALUE"""),0.0)</f>
        <v>0</v>
      </c>
      <c r="K63" s="7">
        <f>IFERROR(__xludf.DUMMYFUNCTION("""COMPUTED_VALUE"""),0.5)</f>
        <v>0.5</v>
      </c>
    </row>
    <row r="64" ht="15.75" customHeight="1">
      <c r="A64" s="6" t="str">
        <f>IFERROR(__xludf.DUMMYFUNCTION("""COMPUTED_VALUE"""),"https://aireadyaudit.com.au/")</f>
        <v>https://aireadyaudit.com.au/</v>
      </c>
      <c r="B64" s="7" t="str">
        <f>IFERROR(__xludf.DUMMYFUNCTION("""COMPUTED_VALUE"""),"AI Readiness, Tools &amp;amp; AI Search Audits | AIReady Australia")</f>
        <v>AI Readiness, Tools &amp;amp; AI Search Audits | AIReady Australia</v>
      </c>
      <c r="C64" s="6" t="str">
        <f>IFERROR(__xludf.DUMMYFUNCTION("""COMPUTED_VALUE"""),"aireadyaudit.com.au")</f>
        <v>aireadyaudit.com.au</v>
      </c>
      <c r="D64" s="7" t="str">
        <f>IFERROR(__xludf.DUMMYFUNCTION("""COMPUTED_VALUE"""),"HOMEPAGE")</f>
        <v>HOMEPAGE</v>
      </c>
      <c r="E64" s="7" t="str">
        <f>IFERROR(__xludf.DUMMYFUNCTION("""COMPUTED_VALUE"""),"CORPORATE")</f>
        <v>CORPORATE</v>
      </c>
      <c r="F64" s="7" t="str">
        <f>IFERROR(__xludf.DUMMYFUNCTION("""COMPUTED_VALUE"""),"Homepage")</f>
        <v>Homepage</v>
      </c>
      <c r="G64" s="7" t="b">
        <f>IFERROR(__xludf.DUMMYFUNCTION("""COMPUTED_VALUE"""),FALSE)</f>
        <v>0</v>
      </c>
      <c r="H64" s="7" t="str">
        <f>IFERROR(__xludf.DUMMYFUNCTION("""COMPUTED_VALUE"""),"Impressive")</f>
        <v>Impressive</v>
      </c>
      <c r="I64" s="7">
        <f>IFERROR(__xludf.DUMMYFUNCTION("""COMPUTED_VALUE"""),2.0)</f>
        <v>2</v>
      </c>
      <c r="J64" s="7">
        <f>IFERROR(__xludf.DUMMYFUNCTION("""COMPUTED_VALUE"""),0.0)</f>
        <v>0</v>
      </c>
      <c r="K64" s="7">
        <f>IFERROR(__xludf.DUMMYFUNCTION("""COMPUTED_VALUE"""),0.0)</f>
        <v>0</v>
      </c>
    </row>
    <row r="65" ht="15.75" customHeight="1">
      <c r="A65" s="6" t="str">
        <f>IFERROR(__xludf.DUMMYFUNCTION("""COMPUTED_VALUE"""),"https://www.betterpeople.com.au/")</f>
        <v>https://www.betterpeople.com.au/</v>
      </c>
      <c r="B65" s="7" t="str">
        <f>IFERROR(__xludf.DUMMYFUNCTION("""COMPUTED_VALUE"""),"Better People - AI, Data and Cloud Training Provider")</f>
        <v>Better People - AI, Data and Cloud Training Provider</v>
      </c>
      <c r="C65" s="6" t="str">
        <f>IFERROR(__xludf.DUMMYFUNCTION("""COMPUTED_VALUE"""),"betterpeople.com.au")</f>
        <v>betterpeople.com.au</v>
      </c>
      <c r="D65" s="7" t="str">
        <f>IFERROR(__xludf.DUMMYFUNCTION("""COMPUTED_VALUE"""),"HOMEPAGE")</f>
        <v>HOMEPAGE</v>
      </c>
      <c r="E65" s="7" t="str">
        <f>IFERROR(__xludf.DUMMYFUNCTION("""COMPUTED_VALUE"""),"CORPORATE")</f>
        <v>CORPORATE</v>
      </c>
      <c r="F65" s="7" t="str">
        <f>IFERROR(__xludf.DUMMYFUNCTION("""COMPUTED_VALUE"""),"Homepage")</f>
        <v>Homepage</v>
      </c>
      <c r="G65" s="7" t="b">
        <f>IFERROR(__xludf.DUMMYFUNCTION("""COMPUTED_VALUE"""),FALSE)</f>
        <v>0</v>
      </c>
      <c r="H65" s="7"/>
      <c r="I65" s="7">
        <f>IFERROR(__xludf.DUMMYFUNCTION("""COMPUTED_VALUE"""),2.0)</f>
        <v>2</v>
      </c>
      <c r="J65" s="7">
        <f>IFERROR(__xludf.DUMMYFUNCTION("""COMPUTED_VALUE"""),0.0)</f>
        <v>0</v>
      </c>
      <c r="K65" s="7">
        <f>IFERROR(__xludf.DUMMYFUNCTION("""COMPUTED_VALUE"""),1.0)</f>
        <v>1</v>
      </c>
    </row>
    <row r="66" ht="15.75" customHeight="1">
      <c r="A66" s="6" t="str">
        <f>IFERROR(__xludf.DUMMYFUNCTION("""COMPUTED_VALUE"""),"https://www.braive.com.au/")</f>
        <v>https://www.braive.com.au/</v>
      </c>
      <c r="B66" s="7" t="str">
        <f>IFERROR(__xludf.DUMMYFUNCTION("""COMPUTED_VALUE"""),"AI Strategy &amp;amp; Automation Agency Australia | BRAIVE")</f>
        <v>AI Strategy &amp;amp; Automation Agency Australia | BRAIVE</v>
      </c>
      <c r="C66" s="6" t="str">
        <f>IFERROR(__xludf.DUMMYFUNCTION("""COMPUTED_VALUE"""),"braive.com.au")</f>
        <v>braive.com.au</v>
      </c>
      <c r="D66" s="7" t="str">
        <f>IFERROR(__xludf.DUMMYFUNCTION("""COMPUTED_VALUE"""),"HOMEPAGE")</f>
        <v>HOMEPAGE</v>
      </c>
      <c r="E66" s="7" t="str">
        <f>IFERROR(__xludf.DUMMYFUNCTION("""COMPUTED_VALUE"""),"CORPORATE")</f>
        <v>CORPORATE</v>
      </c>
      <c r="F66" s="7" t="str">
        <f>IFERROR(__xludf.DUMMYFUNCTION("""COMPUTED_VALUE"""),"Homepage")</f>
        <v>Homepage</v>
      </c>
      <c r="G66" s="7" t="b">
        <f>IFERROR(__xludf.DUMMYFUNCTION("""COMPUTED_VALUE"""),FALSE)</f>
        <v>0</v>
      </c>
      <c r="H66" s="7"/>
      <c r="I66" s="7">
        <f>IFERROR(__xludf.DUMMYFUNCTION("""COMPUTED_VALUE"""),2.0)</f>
        <v>2</v>
      </c>
      <c r="J66" s="7">
        <f>IFERROR(__xludf.DUMMYFUNCTION("""COMPUTED_VALUE"""),0.0)</f>
        <v>0</v>
      </c>
      <c r="K66" s="7">
        <f>IFERROR(__xludf.DUMMYFUNCTION("""COMPUTED_VALUE"""),1.5)</f>
        <v>1.5</v>
      </c>
    </row>
    <row r="67" ht="15.75" customHeight="1">
      <c r="A67" s="6" t="str">
        <f>IFERROR(__xludf.DUMMYFUNCTION("""COMPUTED_VALUE"""),"https://cartermedia.com.au/")</f>
        <v>https://cartermedia.com.au/</v>
      </c>
      <c r="B67" s="7"/>
      <c r="C67" s="6" t="str">
        <f>IFERROR(__xludf.DUMMYFUNCTION("""COMPUTED_VALUE"""),"cartermedia.com.au")</f>
        <v>cartermedia.com.au</v>
      </c>
      <c r="D67" s="7" t="str">
        <f>IFERROR(__xludf.DUMMYFUNCTION("""COMPUTED_VALUE"""),"HOMEPAGE")</f>
        <v>HOMEPAGE</v>
      </c>
      <c r="E67" s="7" t="str">
        <f>IFERROR(__xludf.DUMMYFUNCTION("""COMPUTED_VALUE"""),"CORPORATE")</f>
        <v>CORPORATE</v>
      </c>
      <c r="F67" s="7" t="str">
        <f>IFERROR(__xludf.DUMMYFUNCTION("""COMPUTED_VALUE"""),"Homepage")</f>
        <v>Homepage</v>
      </c>
      <c r="G67" s="7"/>
      <c r="H67" s="7" t="str">
        <f>IFERROR(__xludf.DUMMYFUNCTION("""COMPUTED_VALUE"""),"Unknown")</f>
        <v>Unknown</v>
      </c>
      <c r="I67" s="7">
        <f>IFERROR(__xludf.DUMMYFUNCTION("""COMPUTED_VALUE"""),2.0)</f>
        <v>2</v>
      </c>
      <c r="J67" s="7">
        <f>IFERROR(__xludf.DUMMYFUNCTION("""COMPUTED_VALUE"""),0.0)</f>
        <v>0</v>
      </c>
      <c r="K67" s="7">
        <f>IFERROR(__xludf.DUMMYFUNCTION("""COMPUTED_VALUE"""),0.0)</f>
        <v>0</v>
      </c>
    </row>
    <row r="68" ht="15.75" customHeight="1">
      <c r="A68" s="6" t="str">
        <f>IFERROR(__xludf.DUMMYFUNCTION("""COMPUTED_VALUE"""),"https://www.datasauce.com/")</f>
        <v>https://www.datasauce.com/</v>
      </c>
      <c r="B68" s="7" t="str">
        <f>IFERROR(__xludf.DUMMYFUNCTION("""COMPUTED_VALUE"""),"DataSauce | Digital Performance Marketing Agency")</f>
        <v>DataSauce | Digital Performance Marketing Agency</v>
      </c>
      <c r="C68" s="6" t="str">
        <f>IFERROR(__xludf.DUMMYFUNCTION("""COMPUTED_VALUE"""),"datasauce.com")</f>
        <v>datasauce.com</v>
      </c>
      <c r="D68" s="7" t="str">
        <f>IFERROR(__xludf.DUMMYFUNCTION("""COMPUTED_VALUE"""),"HOMEPAGE")</f>
        <v>HOMEPAGE</v>
      </c>
      <c r="E68" s="7" t="str">
        <f>IFERROR(__xludf.DUMMYFUNCTION("""COMPUTED_VALUE"""),"CORPORATE")</f>
        <v>CORPORATE</v>
      </c>
      <c r="F68" s="7" t="str">
        <f>IFERROR(__xludf.DUMMYFUNCTION("""COMPUTED_VALUE"""),"Homepage")</f>
        <v>Homepage</v>
      </c>
      <c r="G68" s="7" t="b">
        <f>IFERROR(__xludf.DUMMYFUNCTION("""COMPUTED_VALUE"""),FALSE)</f>
        <v>0</v>
      </c>
      <c r="H68" s="7" t="str">
        <f>IFERROR(__xludf.DUMMYFUNCTION("""COMPUTED_VALUE"""),"Momentum, Measured")</f>
        <v>Momentum, Measured</v>
      </c>
      <c r="I68" s="7">
        <f>IFERROR(__xludf.DUMMYFUNCTION("""COMPUTED_VALUE"""),2.0)</f>
        <v>2</v>
      </c>
      <c r="J68" s="7">
        <f>IFERROR(__xludf.DUMMYFUNCTION("""COMPUTED_VALUE"""),0.0)</f>
        <v>0</v>
      </c>
      <c r="K68" s="7">
        <f>IFERROR(__xludf.DUMMYFUNCTION("""COMPUTED_VALUE"""),3.0)</f>
        <v>3</v>
      </c>
    </row>
    <row r="69" ht="15.75" customHeight="1">
      <c r="A69" s="6" t="str">
        <f>IFERROR(__xludf.DUMMYFUNCTION("""COMPUTED_VALUE"""),"https://digitalsearchgroup.com.au/")</f>
        <v>https://digitalsearchgroup.com.au/</v>
      </c>
      <c r="B69" s="7" t="str">
        <f>IFERROR(__xludf.DUMMYFUNCTION("""COMPUTED_VALUE"""),"AI Digital Marketing Agency | #1 Search Marketing Services")</f>
        <v>AI Digital Marketing Agency | #1 Search Marketing Services</v>
      </c>
      <c r="C69" s="6" t="str">
        <f>IFERROR(__xludf.DUMMYFUNCTION("""COMPUTED_VALUE"""),"digitalsearchgroup.com.au")</f>
        <v>digitalsearchgroup.com.au</v>
      </c>
      <c r="D69" s="7" t="str">
        <f>IFERROR(__xludf.DUMMYFUNCTION("""COMPUTED_VALUE"""),"HOMEPAGE")</f>
        <v>HOMEPAGE</v>
      </c>
      <c r="E69" s="7" t="str">
        <f>IFERROR(__xludf.DUMMYFUNCTION("""COMPUTED_VALUE"""),"CORPORATE")</f>
        <v>CORPORATE</v>
      </c>
      <c r="F69" s="7" t="str">
        <f>IFERROR(__xludf.DUMMYFUNCTION("""COMPUTED_VALUE"""),"Homepage")</f>
        <v>Homepage</v>
      </c>
      <c r="G69" s="7" t="b">
        <f>IFERROR(__xludf.DUMMYFUNCTION("""COMPUTED_VALUE"""),FALSE)</f>
        <v>0</v>
      </c>
      <c r="H69" s="7" t="str">
        <f>IFERROR(__xludf.DUMMYFUNCTION("""COMPUTED_VALUE"""),"Online Marketing Gurus, Measured")</f>
        <v>Online Marketing Gurus, Measured</v>
      </c>
      <c r="I69" s="7">
        <f>IFERROR(__xludf.DUMMYFUNCTION("""COMPUTED_VALUE"""),2.0)</f>
        <v>2</v>
      </c>
      <c r="J69" s="7">
        <f>IFERROR(__xludf.DUMMYFUNCTION("""COMPUTED_VALUE"""),0.0)</f>
        <v>0</v>
      </c>
      <c r="K69" s="7">
        <f>IFERROR(__xludf.DUMMYFUNCTION("""COMPUTED_VALUE"""),0.5)</f>
        <v>0.5</v>
      </c>
    </row>
    <row r="70" ht="15.75" customHeight="1">
      <c r="A70" s="6" t="str">
        <f>IFERROR(__xludf.DUMMYFUNCTION("""COMPUTED_VALUE"""),"https://www.dilate.com.au/")</f>
        <v>https://www.dilate.com.au/</v>
      </c>
      <c r="B70" s="7" t="str">
        <f>IFERROR(__xludf.DUMMYFUNCTION("""COMPUTED_VALUE"""),"Full-Service Digital Marketing Agency Perth | Dilate Digital")</f>
        <v>Full-Service Digital Marketing Agency Perth | Dilate Digital</v>
      </c>
      <c r="C70" s="6" t="str">
        <f>IFERROR(__xludf.DUMMYFUNCTION("""COMPUTED_VALUE"""),"dilate.com.au")</f>
        <v>dilate.com.au</v>
      </c>
      <c r="D70" s="7" t="str">
        <f>IFERROR(__xludf.DUMMYFUNCTION("""COMPUTED_VALUE"""),"HOMEPAGE")</f>
        <v>HOMEPAGE</v>
      </c>
      <c r="E70" s="7" t="str">
        <f>IFERROR(__xludf.DUMMYFUNCTION("""COMPUTED_VALUE"""),"CORPORATE")</f>
        <v>CORPORATE</v>
      </c>
      <c r="F70" s="7" t="str">
        <f>IFERROR(__xludf.DUMMYFUNCTION("""COMPUTED_VALUE"""),"Homepage")</f>
        <v>Homepage</v>
      </c>
      <c r="G70" s="7" t="b">
        <f>IFERROR(__xludf.DUMMYFUNCTION("""COMPUTED_VALUE"""),FALSE)</f>
        <v>0</v>
      </c>
      <c r="H70" s="7" t="str">
        <f>IFERROR(__xludf.DUMMYFUNCTION("""COMPUTED_VALUE"""),"Huge, Momentum")</f>
        <v>Huge, Momentum</v>
      </c>
      <c r="I70" s="7">
        <f>IFERROR(__xludf.DUMMYFUNCTION("""COMPUTED_VALUE"""),2.0)</f>
        <v>2</v>
      </c>
      <c r="J70" s="7">
        <f>IFERROR(__xludf.DUMMYFUNCTION("""COMPUTED_VALUE"""),0.0)</f>
        <v>0</v>
      </c>
      <c r="K70" s="7">
        <f>IFERROR(__xludf.DUMMYFUNCTION("""COMPUTED_VALUE"""),0.0)</f>
        <v>0</v>
      </c>
    </row>
    <row r="71" ht="15.75" customHeight="1">
      <c r="A71" s="6" t="str">
        <f>IFERROR(__xludf.DUMMYFUNCTION("""COMPUTED_VALUE"""),"https://flowworks.com.au/")</f>
        <v>https://flowworks.com.au/</v>
      </c>
      <c r="B71" s="7" t="str">
        <f>IFERROR(__xludf.DUMMYFUNCTION("""COMPUTED_VALUE"""),"FlowWorks | AI Consulting &amp;amp; Automation Australia")</f>
        <v>FlowWorks | AI Consulting &amp;amp; Automation Australia</v>
      </c>
      <c r="C71" s="6" t="str">
        <f>IFERROR(__xludf.DUMMYFUNCTION("""COMPUTED_VALUE"""),"flowworks.com.au")</f>
        <v>flowworks.com.au</v>
      </c>
      <c r="D71" s="7" t="str">
        <f>IFERROR(__xludf.DUMMYFUNCTION("""COMPUTED_VALUE"""),"HOMEPAGE")</f>
        <v>HOMEPAGE</v>
      </c>
      <c r="E71" s="7" t="str">
        <f>IFERROR(__xludf.DUMMYFUNCTION("""COMPUTED_VALUE"""),"CORPORATE")</f>
        <v>CORPORATE</v>
      </c>
      <c r="F71" s="7" t="str">
        <f>IFERROR(__xludf.DUMMYFUNCTION("""COMPUTED_VALUE"""),"Homepage")</f>
        <v>Homepage</v>
      </c>
      <c r="G71" s="7" t="b">
        <f>IFERROR(__xludf.DUMMYFUNCTION("""COMPUTED_VALUE"""),FALSE)</f>
        <v>0</v>
      </c>
      <c r="H71" s="7"/>
      <c r="I71" s="7">
        <f>IFERROR(__xludf.DUMMYFUNCTION("""COMPUTED_VALUE"""),2.0)</f>
        <v>2</v>
      </c>
      <c r="J71" s="7">
        <f>IFERROR(__xludf.DUMMYFUNCTION("""COMPUTED_VALUE"""),0.0)</f>
        <v>0</v>
      </c>
      <c r="K71" s="7">
        <f>IFERROR(__xludf.DUMMYFUNCTION("""COMPUTED_VALUE"""),0.0)</f>
        <v>0</v>
      </c>
    </row>
    <row r="72" ht="15.75" customHeight="1">
      <c r="A72" s="6" t="str">
        <f>IFERROR(__xludf.DUMMYFUNCTION("""COMPUTED_VALUE"""),"https://www.growaidigital.com.au/")</f>
        <v>https://www.growaidigital.com.au/</v>
      </c>
      <c r="B72" s="7"/>
      <c r="C72" s="6" t="str">
        <f>IFERROR(__xludf.DUMMYFUNCTION("""COMPUTED_VALUE"""),"growaidigital.com.au")</f>
        <v>growaidigital.com.au</v>
      </c>
      <c r="D72" s="7" t="str">
        <f>IFERROR(__xludf.DUMMYFUNCTION("""COMPUTED_VALUE"""),"HOMEPAGE")</f>
        <v>HOMEPAGE</v>
      </c>
      <c r="E72" s="7" t="str">
        <f>IFERROR(__xludf.DUMMYFUNCTION("""COMPUTED_VALUE"""),"CORPORATE")</f>
        <v>CORPORATE</v>
      </c>
      <c r="F72" s="7" t="str">
        <f>IFERROR(__xludf.DUMMYFUNCTION("""COMPUTED_VALUE"""),"Homepage")</f>
        <v>Homepage</v>
      </c>
      <c r="G72" s="7"/>
      <c r="H72" s="7" t="str">
        <f>IFERROR(__xludf.DUMMYFUNCTION("""COMPUTED_VALUE"""),"Unknown")</f>
        <v>Unknown</v>
      </c>
      <c r="I72" s="7">
        <f>IFERROR(__xludf.DUMMYFUNCTION("""COMPUTED_VALUE"""),2.0)</f>
        <v>2</v>
      </c>
      <c r="J72" s="7">
        <f>IFERROR(__xludf.DUMMYFUNCTION("""COMPUTED_VALUE"""),0.0)</f>
        <v>0</v>
      </c>
      <c r="K72" s="7">
        <f>IFERROR(__xludf.DUMMYFUNCTION("""COMPUTED_VALUE"""),0.0)</f>
        <v>0</v>
      </c>
    </row>
    <row r="73" ht="15.75" customHeight="1">
      <c r="A73" s="6" t="str">
        <f>IFERROR(__xludf.DUMMYFUNCTION("""COMPUTED_VALUE"""),"https://inmarketingwetrust.com.au/")</f>
        <v>https://inmarketingwetrust.com.au/</v>
      </c>
      <c r="B73" s="7" t="str">
        <f>IFERROR(__xludf.DUMMYFUNCTION("""COMPUTED_VALUE"""),"Data &amp;amp; Analytics, AI &amp;amp; Agentic, Measurement - In Marketing We Trust")</f>
        <v>Data &amp;amp; Analytics, AI &amp;amp; Agentic, Measurement - In Marketing We Trust</v>
      </c>
      <c r="C73" s="6" t="str">
        <f>IFERROR(__xludf.DUMMYFUNCTION("""COMPUTED_VALUE"""),"inmarketingwetrust.com.au")</f>
        <v>inmarketingwetrust.com.au</v>
      </c>
      <c r="D73" s="7" t="str">
        <f>IFERROR(__xludf.DUMMYFUNCTION("""COMPUTED_VALUE"""),"HOMEPAGE")</f>
        <v>HOMEPAGE</v>
      </c>
      <c r="E73" s="7" t="str">
        <f>IFERROR(__xludf.DUMMYFUNCTION("""COMPUTED_VALUE"""),"COMPETITOR")</f>
        <v>COMPETITOR</v>
      </c>
      <c r="F73" s="7" t="str">
        <f>IFERROR(__xludf.DUMMYFUNCTION("""COMPUTED_VALUE"""),"Homepage")</f>
        <v>Homepage</v>
      </c>
      <c r="G73" s="7" t="b">
        <f>IFERROR(__xludf.DUMMYFUNCTION("""COMPUTED_VALUE"""),FALSE)</f>
        <v>0</v>
      </c>
      <c r="H73" s="7" t="str">
        <f>IFERROR(__xludf.DUMMYFUNCTION("""COMPUTED_VALUE"""),"In Marketing We Trust")</f>
        <v>In Marketing We Trust</v>
      </c>
      <c r="I73" s="7">
        <f>IFERROR(__xludf.DUMMYFUNCTION("""COMPUTED_VALUE"""),2.0)</f>
        <v>2</v>
      </c>
      <c r="J73" s="7">
        <f>IFERROR(__xludf.DUMMYFUNCTION("""COMPUTED_VALUE"""),0.0)</f>
        <v>0</v>
      </c>
      <c r="K73" s="7">
        <f>IFERROR(__xludf.DUMMYFUNCTION("""COMPUTED_VALUE"""),1.0)</f>
        <v>1</v>
      </c>
    </row>
    <row r="74" ht="15.75" customHeight="1">
      <c r="A74" s="6" t="str">
        <f>IFERROR(__xludf.DUMMYFUNCTION("""COMPUTED_VALUE"""),"https://meaningfulsocialclub.com/#:~:text=We'll%20be%20sure%20to%20boost%20your%20key,team%20but%20need%20some%20coaching%20or%20strategy%3F")</f>
        <v>https://meaningfulsocialclub.com/#:~:text=We'll%20be%20sure%20to%20boost%20your%20key,team%20but%20need%20some%20coaching%20or%20strategy%3F</v>
      </c>
      <c r="B74" s="7" t="str">
        <f>IFERROR(__xludf.DUMMYFUNCTION("""COMPUTED_VALUE"""),"Social Media Agency Melbourne")</f>
        <v>Social Media Agency Melbourne</v>
      </c>
      <c r="C74" s="6" t="str">
        <f>IFERROR(__xludf.DUMMYFUNCTION("""COMPUTED_VALUE"""),"meaningfulsocialclub.com")</f>
        <v>meaningfulsocialclub.com</v>
      </c>
      <c r="D74" s="7" t="str">
        <f>IFERROR(__xludf.DUMMYFUNCTION("""COMPUTED_VALUE"""),"HOMEPAGE")</f>
        <v>HOMEPAGE</v>
      </c>
      <c r="E74" s="7" t="str">
        <f>IFERROR(__xludf.DUMMYFUNCTION("""COMPUTED_VALUE"""),"CORPORATE")</f>
        <v>CORPORATE</v>
      </c>
      <c r="F74" s="7" t="str">
        <f>IFERROR(__xludf.DUMMYFUNCTION("""COMPUTED_VALUE"""),"Homepage")</f>
        <v>Homepage</v>
      </c>
      <c r="G74" s="7" t="b">
        <f>IFERROR(__xludf.DUMMYFUNCTION("""COMPUTED_VALUE"""),FALSE)</f>
        <v>0</v>
      </c>
      <c r="H74" s="7" t="str">
        <f>IFERROR(__xludf.DUMMYFUNCTION("""COMPUTED_VALUE"""),"Huge")</f>
        <v>Huge</v>
      </c>
      <c r="I74" s="7">
        <f>IFERROR(__xludf.DUMMYFUNCTION("""COMPUTED_VALUE"""),2.0)</f>
        <v>2</v>
      </c>
      <c r="J74" s="7">
        <f>IFERROR(__xludf.DUMMYFUNCTION("""COMPUTED_VALUE"""),0.0)</f>
        <v>0</v>
      </c>
      <c r="K74" s="7">
        <f>IFERROR(__xludf.DUMMYFUNCTION("""COMPUTED_VALUE"""),1.0)</f>
        <v>1</v>
      </c>
    </row>
    <row r="75" ht="15.75" customHeight="1">
      <c r="A75" s="6" t="str">
        <f>IFERROR(__xludf.DUMMYFUNCTION("""COMPUTED_VALUE"""),"https://mindanchorai.com.au/")</f>
        <v>https://mindanchorai.com.au/</v>
      </c>
      <c r="B75" s="7" t="str">
        <f>IFERROR(__xludf.DUMMYFUNCTION("""COMPUTED_VALUE"""),"MindAnchor-AI Consulting — AI Governance for Regulated Australian SMEs")</f>
        <v>MindAnchor-AI Consulting — AI Governance for Regulated Australian SMEs</v>
      </c>
      <c r="C75" s="6" t="str">
        <f>IFERROR(__xludf.DUMMYFUNCTION("""COMPUTED_VALUE"""),"mindanchorai.com.au")</f>
        <v>mindanchorai.com.au</v>
      </c>
      <c r="D75" s="7" t="str">
        <f>IFERROR(__xludf.DUMMYFUNCTION("""COMPUTED_VALUE"""),"HOMEPAGE")</f>
        <v>HOMEPAGE</v>
      </c>
      <c r="E75" s="7" t="str">
        <f>IFERROR(__xludf.DUMMYFUNCTION("""COMPUTED_VALUE"""),"CORPORATE")</f>
        <v>CORPORATE</v>
      </c>
      <c r="F75" s="7" t="str">
        <f>IFERROR(__xludf.DUMMYFUNCTION("""COMPUTED_VALUE"""),"Homepage")</f>
        <v>Homepage</v>
      </c>
      <c r="G75" s="7" t="b">
        <f>IFERROR(__xludf.DUMMYFUNCTION("""COMPUTED_VALUE"""),FALSE)</f>
        <v>0</v>
      </c>
      <c r="H75" s="7"/>
      <c r="I75" s="7">
        <f>IFERROR(__xludf.DUMMYFUNCTION("""COMPUTED_VALUE"""),2.0)</f>
        <v>2</v>
      </c>
      <c r="J75" s="7">
        <f>IFERROR(__xludf.DUMMYFUNCTION("""COMPUTED_VALUE"""),0.0)</f>
        <v>0</v>
      </c>
      <c r="K75" s="7">
        <f>IFERROR(__xludf.DUMMYFUNCTION("""COMPUTED_VALUE"""),0.0)</f>
        <v>0</v>
      </c>
    </row>
    <row r="76" ht="15.75" customHeight="1">
      <c r="A76" s="6" t="str">
        <f>IFERROR(__xludf.DUMMYFUNCTION("""COMPUTED_VALUE"""),"https://navigatortech.com.au/")</f>
        <v>https://navigatortech.com.au/</v>
      </c>
      <c r="B76" s="7" t="str">
        <f>IFERROR(__xludf.DUMMYFUNCTION("""COMPUTED_VALUE"""),"Microsoft 365 &amp;amp; AI Readiness Specialist | Copilot, Power Platform &amp;amp; ICT Strategy | Sunshine Coast &amp;amp; Brisbane | Navigator Technology")</f>
        <v>Microsoft 365 &amp;amp; AI Readiness Specialist | Copilot, Power Platform &amp;amp; ICT Strategy | Sunshine Coast &amp;amp; Brisbane | Navigator Technology</v>
      </c>
      <c r="C76" s="6" t="str">
        <f>IFERROR(__xludf.DUMMYFUNCTION("""COMPUTED_VALUE"""),"navigatortech.com.au")</f>
        <v>navigatortech.com.au</v>
      </c>
      <c r="D76" s="7" t="str">
        <f>IFERROR(__xludf.DUMMYFUNCTION("""COMPUTED_VALUE"""),"HOMEPAGE")</f>
        <v>HOMEPAGE</v>
      </c>
      <c r="E76" s="7" t="str">
        <f>IFERROR(__xludf.DUMMYFUNCTION("""COMPUTED_VALUE"""),"CORPORATE")</f>
        <v>CORPORATE</v>
      </c>
      <c r="F76" s="7" t="str">
        <f>IFERROR(__xludf.DUMMYFUNCTION("""COMPUTED_VALUE"""),"Homepage")</f>
        <v>Homepage</v>
      </c>
      <c r="G76" s="7" t="b">
        <f>IFERROR(__xludf.DUMMYFUNCTION("""COMPUTED_VALUE"""),FALSE)</f>
        <v>0</v>
      </c>
      <c r="H76" s="7"/>
      <c r="I76" s="7">
        <f>IFERROR(__xludf.DUMMYFUNCTION("""COMPUTED_VALUE"""),2.0)</f>
        <v>2</v>
      </c>
      <c r="J76" s="7">
        <f>IFERROR(__xludf.DUMMYFUNCTION("""COMPUTED_VALUE"""),0.0)</f>
        <v>0</v>
      </c>
      <c r="K76" s="7">
        <f>IFERROR(__xludf.DUMMYFUNCTION("""COMPUTED_VALUE"""),0.0)</f>
        <v>0</v>
      </c>
    </row>
    <row r="77" ht="15.75" customHeight="1">
      <c r="A77" s="6" t="str">
        <f>IFERROR(__xludf.DUMMYFUNCTION("""COMPUTED_VALUE"""),"https://www.ngis.com.au/")</f>
        <v>https://www.ngis.com.au/</v>
      </c>
      <c r="B77" s="7" t="str">
        <f>IFERROR(__xludf.DUMMYFUNCTION("""COMPUTED_VALUE"""),"NGIS | Impact through Geospatial")</f>
        <v>NGIS | Impact through Geospatial</v>
      </c>
      <c r="C77" s="6" t="str">
        <f>IFERROR(__xludf.DUMMYFUNCTION("""COMPUTED_VALUE"""),"ngis.com.au")</f>
        <v>ngis.com.au</v>
      </c>
      <c r="D77" s="7" t="str">
        <f>IFERROR(__xludf.DUMMYFUNCTION("""COMPUTED_VALUE"""),"HOMEPAGE")</f>
        <v>HOMEPAGE</v>
      </c>
      <c r="E77" s="7" t="str">
        <f>IFERROR(__xludf.DUMMYFUNCTION("""COMPUTED_VALUE"""),"CORPORATE")</f>
        <v>CORPORATE</v>
      </c>
      <c r="F77" s="7" t="str">
        <f>IFERROR(__xludf.DUMMYFUNCTION("""COMPUTED_VALUE"""),"Homepage")</f>
        <v>Homepage</v>
      </c>
      <c r="G77" s="7" t="b">
        <f>IFERROR(__xludf.DUMMYFUNCTION("""COMPUTED_VALUE"""),FALSE)</f>
        <v>0</v>
      </c>
      <c r="H77" s="7"/>
      <c r="I77" s="7">
        <f>IFERROR(__xludf.DUMMYFUNCTION("""COMPUTED_VALUE"""),2.0)</f>
        <v>2</v>
      </c>
      <c r="J77" s="7">
        <f>IFERROR(__xludf.DUMMYFUNCTION("""COMPUTED_VALUE"""),0.0)</f>
        <v>0</v>
      </c>
      <c r="K77" s="7">
        <f>IFERROR(__xludf.DUMMYFUNCTION("""COMPUTED_VALUE"""),1.5)</f>
        <v>1.5</v>
      </c>
    </row>
    <row r="78" ht="15.75" customHeight="1">
      <c r="A78" s="6" t="str">
        <f>IFERROR(__xludf.DUMMYFUNCTION("""COMPUTED_VALUE"""),"https://www.onlinemarketinggurus.com.au/")</f>
        <v>https://www.onlinemarketinggurus.com.au/</v>
      </c>
      <c r="B78" s="7" t="str">
        <f>IFERROR(__xludf.DUMMYFUNCTION("""COMPUTED_VALUE"""),"Digital Marketing Agency Australia | 60+ Awards Won")</f>
        <v>Digital Marketing Agency Australia | 60+ Awards Won</v>
      </c>
      <c r="C78" s="6" t="str">
        <f>IFERROR(__xludf.DUMMYFUNCTION("""COMPUTED_VALUE"""),"onlinemarketinggurus.com.au")</f>
        <v>onlinemarketinggurus.com.au</v>
      </c>
      <c r="D78" s="7" t="str">
        <f>IFERROR(__xludf.DUMMYFUNCTION("""COMPUTED_VALUE"""),"HOMEPAGE")</f>
        <v>HOMEPAGE</v>
      </c>
      <c r="E78" s="7" t="str">
        <f>IFERROR(__xludf.DUMMYFUNCTION("""COMPUTED_VALUE"""),"COMPETITOR")</f>
        <v>COMPETITOR</v>
      </c>
      <c r="F78" s="7" t="str">
        <f>IFERROR(__xludf.DUMMYFUNCTION("""COMPUTED_VALUE"""),"Homepage")</f>
        <v>Homepage</v>
      </c>
      <c r="G78" s="7" t="b">
        <f>IFERROR(__xludf.DUMMYFUNCTION("""COMPUTED_VALUE"""),FALSE)</f>
        <v>0</v>
      </c>
      <c r="H78" s="7" t="str">
        <f>IFERROR(__xludf.DUMMYFUNCTION("""COMPUTED_VALUE"""),"Online Marketing Gurus, Omnicom Media Group")</f>
        <v>Online Marketing Gurus, Omnicom Media Group</v>
      </c>
      <c r="I78" s="7">
        <f>IFERROR(__xludf.DUMMYFUNCTION("""COMPUTED_VALUE"""),2.0)</f>
        <v>2</v>
      </c>
      <c r="J78" s="7">
        <f>IFERROR(__xludf.DUMMYFUNCTION("""COMPUTED_VALUE"""),0.0)</f>
        <v>0</v>
      </c>
      <c r="K78" s="7">
        <f>IFERROR(__xludf.DUMMYFUNCTION("""COMPUTED_VALUE"""),0.5)</f>
        <v>0.5</v>
      </c>
    </row>
    <row r="79" ht="15.75" customHeight="1">
      <c r="A79" s="6" t="str">
        <f>IFERROR(__xludf.DUMMYFUNCTION("""COMPUTED_VALUE"""),"https://rankmefirst.ai/")</f>
        <v>https://rankmefirst.ai/</v>
      </c>
      <c r="B79" s="7" t="str">
        <f>IFERROR(__xludf.DUMMYFUNCTION("""COMPUTED_VALUE"""),"RankMeFirst.ai | GEO &amp;amp; AI SEO Agency Melbourne")</f>
        <v>RankMeFirst.ai | GEO &amp;amp; AI SEO Agency Melbourne</v>
      </c>
      <c r="C79" s="6" t="str">
        <f>IFERROR(__xludf.DUMMYFUNCTION("""COMPUTED_VALUE"""),"rankmefirst.ai")</f>
        <v>rankmefirst.ai</v>
      </c>
      <c r="D79" s="7" t="str">
        <f>IFERROR(__xludf.DUMMYFUNCTION("""COMPUTED_VALUE"""),"HOMEPAGE")</f>
        <v>HOMEPAGE</v>
      </c>
      <c r="E79" s="7" t="str">
        <f>IFERROR(__xludf.DUMMYFUNCTION("""COMPUTED_VALUE"""),"CORPORATE")</f>
        <v>CORPORATE</v>
      </c>
      <c r="F79" s="7" t="str">
        <f>IFERROR(__xludf.DUMMYFUNCTION("""COMPUTED_VALUE"""),"Homepage")</f>
        <v>Homepage</v>
      </c>
      <c r="G79" s="7" t="b">
        <f>IFERROR(__xludf.DUMMYFUNCTION("""COMPUTED_VALUE"""),FALSE)</f>
        <v>0</v>
      </c>
      <c r="H79" s="7"/>
      <c r="I79" s="7">
        <f>IFERROR(__xludf.DUMMYFUNCTION("""COMPUTED_VALUE"""),2.0)</f>
        <v>2</v>
      </c>
      <c r="J79" s="7">
        <f>IFERROR(__xludf.DUMMYFUNCTION("""COMPUTED_VALUE"""),0.0)</f>
        <v>0</v>
      </c>
      <c r="K79" s="7">
        <f>IFERROR(__xludf.DUMMYFUNCTION("""COMPUTED_VALUE"""),1.0)</f>
        <v>1</v>
      </c>
    </row>
    <row r="80" ht="15.75" customHeight="1">
      <c r="A80" s="6" t="str">
        <f>IFERROR(__xludf.DUMMYFUNCTION("""COMPUTED_VALUE"""),"https://www.reloadmedia.com.au/")</f>
        <v>https://www.reloadmedia.com.au/</v>
      </c>
      <c r="B80" s="7" t="str">
        <f>IFERROR(__xludf.DUMMYFUNCTION("""COMPUTED_VALUE"""),"Reload Media | Independent Media &amp;amp; Performance Agency Australia")</f>
        <v>Reload Media | Independent Media &amp;amp; Performance Agency Australia</v>
      </c>
      <c r="C80" s="6" t="str">
        <f>IFERROR(__xludf.DUMMYFUNCTION("""COMPUTED_VALUE"""),"reloadmedia.com.au")</f>
        <v>reloadmedia.com.au</v>
      </c>
      <c r="D80" s="7" t="str">
        <f>IFERROR(__xludf.DUMMYFUNCTION("""COMPUTED_VALUE"""),"HOMEPAGE")</f>
        <v>HOMEPAGE</v>
      </c>
      <c r="E80" s="7" t="str">
        <f>IFERROR(__xludf.DUMMYFUNCTION("""COMPUTED_VALUE"""),"COMPETITOR")</f>
        <v>COMPETITOR</v>
      </c>
      <c r="F80" s="7" t="str">
        <f>IFERROR(__xludf.DUMMYFUNCTION("""COMPUTED_VALUE"""),"Homepage")</f>
        <v>Homepage</v>
      </c>
      <c r="G80" s="7" t="b">
        <f>IFERROR(__xludf.DUMMYFUNCTION("""COMPUTED_VALUE"""),FALSE)</f>
        <v>0</v>
      </c>
      <c r="H80" s="7" t="str">
        <f>IFERROR(__xludf.DUMMYFUNCTION("""COMPUTED_VALUE"""),"Reload Media")</f>
        <v>Reload Media</v>
      </c>
      <c r="I80" s="7">
        <f>IFERROR(__xludf.DUMMYFUNCTION("""COMPUTED_VALUE"""),2.0)</f>
        <v>2</v>
      </c>
      <c r="J80" s="7">
        <f>IFERROR(__xludf.DUMMYFUNCTION("""COMPUTED_VALUE"""),0.0)</f>
        <v>0</v>
      </c>
      <c r="K80" s="7">
        <f>IFERROR(__xludf.DUMMYFUNCTION("""COMPUTED_VALUE"""),0.5)</f>
        <v>0.5</v>
      </c>
    </row>
    <row r="81" ht="15.75" customHeight="1">
      <c r="A81" s="6" t="str">
        <f>IFERROR(__xludf.DUMMYFUNCTION("""COMPUTED_VALUE"""),"https://www.scalemaster.com.au/")</f>
        <v>https://www.scalemaster.com.au/</v>
      </c>
      <c r="B81" s="7"/>
      <c r="C81" s="6" t="str">
        <f>IFERROR(__xludf.DUMMYFUNCTION("""COMPUTED_VALUE"""),"scalemaster.com.au")</f>
        <v>scalemaster.com.au</v>
      </c>
      <c r="D81" s="7" t="str">
        <f>IFERROR(__xludf.DUMMYFUNCTION("""COMPUTED_VALUE"""),"HOMEPAGE")</f>
        <v>HOMEPAGE</v>
      </c>
      <c r="E81" s="7" t="str">
        <f>IFERROR(__xludf.DUMMYFUNCTION("""COMPUTED_VALUE"""),"CORPORATE")</f>
        <v>CORPORATE</v>
      </c>
      <c r="F81" s="7" t="str">
        <f>IFERROR(__xludf.DUMMYFUNCTION("""COMPUTED_VALUE"""),"Homepage")</f>
        <v>Homepage</v>
      </c>
      <c r="G81" s="7"/>
      <c r="H81" s="7" t="str">
        <f>IFERROR(__xludf.DUMMYFUNCTION("""COMPUTED_VALUE"""),"Unknown")</f>
        <v>Unknown</v>
      </c>
      <c r="I81" s="7">
        <f>IFERROR(__xludf.DUMMYFUNCTION("""COMPUTED_VALUE"""),2.0)</f>
        <v>2</v>
      </c>
      <c r="J81" s="7">
        <f>IFERROR(__xludf.DUMMYFUNCTION("""COMPUTED_VALUE"""),0.0)</f>
        <v>0</v>
      </c>
      <c r="K81" s="7">
        <f>IFERROR(__xludf.DUMMYFUNCTION("""COMPUTED_VALUE"""),1.0)</f>
        <v>1</v>
      </c>
    </row>
    <row r="82" ht="15.75" customHeight="1">
      <c r="A82" s="6" t="str">
        <f>IFERROR(__xludf.DUMMYFUNCTION("""COMPUTED_VALUE"""),"https://thinkerbell.com/")</f>
        <v>https://thinkerbell.com/</v>
      </c>
      <c r="B82" s="7" t="str">
        <f>IFERROR(__xludf.DUMMYFUNCTION("""COMPUTED_VALUE"""),"Thinkerbell | Creative Company")</f>
        <v>Thinkerbell | Creative Company</v>
      </c>
      <c r="C82" s="6" t="str">
        <f>IFERROR(__xludf.DUMMYFUNCTION("""COMPUTED_VALUE"""),"thinkerbell.com")</f>
        <v>thinkerbell.com</v>
      </c>
      <c r="D82" s="7" t="str">
        <f>IFERROR(__xludf.DUMMYFUNCTION("""COMPUTED_VALUE"""),"HOMEPAGE")</f>
        <v>HOMEPAGE</v>
      </c>
      <c r="E82" s="7" t="str">
        <f>IFERROR(__xludf.DUMMYFUNCTION("""COMPUTED_VALUE"""),"COMPETITOR")</f>
        <v>COMPETITOR</v>
      </c>
      <c r="F82" s="7" t="str">
        <f>IFERROR(__xludf.DUMMYFUNCTION("""COMPUTED_VALUE"""),"Homepage")</f>
        <v>Homepage</v>
      </c>
      <c r="G82" s="7" t="b">
        <f>IFERROR(__xludf.DUMMYFUNCTION("""COMPUTED_VALUE"""),FALSE)</f>
        <v>0</v>
      </c>
      <c r="H82" s="7" t="str">
        <f>IFERROR(__xludf.DUMMYFUNCTION("""COMPUTED_VALUE"""),"Thinkerbell, Measured, WPP")</f>
        <v>Thinkerbell, Measured, WPP</v>
      </c>
      <c r="I82" s="7">
        <f>IFERROR(__xludf.DUMMYFUNCTION("""COMPUTED_VALUE"""),2.0)</f>
        <v>2</v>
      </c>
      <c r="J82" s="7">
        <f>IFERROR(__xludf.DUMMYFUNCTION("""COMPUTED_VALUE"""),0.0)</f>
        <v>0</v>
      </c>
      <c r="K82" s="7">
        <f>IFERROR(__xludf.DUMMYFUNCTION("""COMPUTED_VALUE"""),1.0)</f>
        <v>1</v>
      </c>
    </row>
    <row r="83" ht="15.75" customHeight="1">
      <c r="A83" s="6" t="str">
        <f>IFERROR(__xludf.DUMMYFUNCTION("""COMPUTED_VALUE"""),"https://addaptive.com.au/")</f>
        <v>https://addaptive.com.au/</v>
      </c>
      <c r="B83" s="7" t="str">
        <f>IFERROR(__xludf.DUMMYFUNCTION("""COMPUTED_VALUE"""),"Addaptive | AI Capability for Mid-Market Business")</f>
        <v>Addaptive | AI Capability for Mid-Market Business</v>
      </c>
      <c r="C83" s="6" t="str">
        <f>IFERROR(__xludf.DUMMYFUNCTION("""COMPUTED_VALUE"""),"addaptive.com.au")</f>
        <v>addaptive.com.au</v>
      </c>
      <c r="D83" s="7" t="str">
        <f>IFERROR(__xludf.DUMMYFUNCTION("""COMPUTED_VALUE"""),"HOMEPAGE")</f>
        <v>HOMEPAGE</v>
      </c>
      <c r="E83" s="7" t="str">
        <f>IFERROR(__xludf.DUMMYFUNCTION("""COMPUTED_VALUE"""),"CORPORATE")</f>
        <v>CORPORATE</v>
      </c>
      <c r="F83" s="7" t="str">
        <f>IFERROR(__xludf.DUMMYFUNCTION("""COMPUTED_VALUE"""),"Homepage")</f>
        <v>Homepage</v>
      </c>
      <c r="G83" s="7" t="b">
        <f>IFERROR(__xludf.DUMMYFUNCTION("""COMPUTED_VALUE"""),FALSE)</f>
        <v>0</v>
      </c>
      <c r="H83" s="7"/>
      <c r="I83" s="7">
        <f>IFERROR(__xludf.DUMMYFUNCTION("""COMPUTED_VALUE"""),1.0)</f>
        <v>1</v>
      </c>
      <c r="J83" s="7">
        <f>IFERROR(__xludf.DUMMYFUNCTION("""COMPUTED_VALUE"""),0.0)</f>
        <v>0</v>
      </c>
      <c r="K83" s="7">
        <f>IFERROR(__xludf.DUMMYFUNCTION("""COMPUTED_VALUE"""),0.0)</f>
        <v>0</v>
      </c>
    </row>
    <row r="84" ht="15.75" customHeight="1">
      <c r="A84" s="6" t="str">
        <f>IFERROR(__xludf.DUMMYFUNCTION("""COMPUTED_VALUE"""),"https://www.adelaidemetrics.com/#:~:text=Adelaide%20%E2%80%94%20Attention%20Metrics%20for%20Digital%20Media.,Request%20a%20demo.%20Get%20free%20attention%20guides.")</f>
        <v>https://www.adelaidemetrics.com/#:~:text=Adelaide%20%E2%80%94%20Attention%20Metrics%20for%20Digital%20Media.,Request%20a%20demo.%20Get%20free%20attention%20guides.</v>
      </c>
      <c r="B84" s="7" t="str">
        <f>IFERROR(__xludf.DUMMYFUNCTION("""COMPUTED_VALUE"""),"Adelaide — Attention Metrics for Digital Media")</f>
        <v>Adelaide — Attention Metrics for Digital Media</v>
      </c>
      <c r="C84" s="6" t="str">
        <f>IFERROR(__xludf.DUMMYFUNCTION("""COMPUTED_VALUE"""),"adelaidemetrics.com")</f>
        <v>adelaidemetrics.com</v>
      </c>
      <c r="D84" s="7" t="str">
        <f>IFERROR(__xludf.DUMMYFUNCTION("""COMPUTED_VALUE"""),"HOMEPAGE")</f>
        <v>HOMEPAGE</v>
      </c>
      <c r="E84" s="7" t="str">
        <f>IFERROR(__xludf.DUMMYFUNCTION("""COMPUTED_VALUE"""),"CORPORATE")</f>
        <v>CORPORATE</v>
      </c>
      <c r="F84" s="7" t="str">
        <f>IFERROR(__xludf.DUMMYFUNCTION("""COMPUTED_VALUE"""),"Homepage")</f>
        <v>Homepage</v>
      </c>
      <c r="G84" s="7" t="b">
        <f>IFERROR(__xludf.DUMMYFUNCTION("""COMPUTED_VALUE"""),FALSE)</f>
        <v>0</v>
      </c>
      <c r="H84" s="7"/>
      <c r="I84" s="7">
        <f>IFERROR(__xludf.DUMMYFUNCTION("""COMPUTED_VALUE"""),1.0)</f>
        <v>1</v>
      </c>
      <c r="J84" s="7">
        <f>IFERROR(__xludf.DUMMYFUNCTION("""COMPUTED_VALUE"""),0.0)</f>
        <v>0</v>
      </c>
      <c r="K84" s="7">
        <f>IFERROR(__xludf.DUMMYFUNCTION("""COMPUTED_VALUE"""),1.0)</f>
        <v>1</v>
      </c>
    </row>
    <row r="85" ht="15.75" customHeight="1">
      <c r="A85" s="6" t="str">
        <f>IFERROR(__xludf.DUMMYFUNCTION("""COMPUTED_VALUE"""),"https://agentum.com.au/")</f>
        <v>https://agentum.com.au/</v>
      </c>
      <c r="B85" s="7" t="str">
        <f>IFERROR(__xludf.DUMMYFUNCTION("""COMPUTED_VALUE"""),"Agentum | AI Consulting &amp;amp; Intelligent Platforms | Australia")</f>
        <v>Agentum | AI Consulting &amp;amp; Intelligent Platforms | Australia</v>
      </c>
      <c r="C85" s="6" t="str">
        <f>IFERROR(__xludf.DUMMYFUNCTION("""COMPUTED_VALUE"""),"agentum.com.au")</f>
        <v>agentum.com.au</v>
      </c>
      <c r="D85" s="7" t="str">
        <f>IFERROR(__xludf.DUMMYFUNCTION("""COMPUTED_VALUE"""),"HOMEPAGE")</f>
        <v>HOMEPAGE</v>
      </c>
      <c r="E85" s="7" t="str">
        <f>IFERROR(__xludf.DUMMYFUNCTION("""COMPUTED_VALUE"""),"CORPORATE")</f>
        <v>CORPORATE</v>
      </c>
      <c r="F85" s="7" t="str">
        <f>IFERROR(__xludf.DUMMYFUNCTION("""COMPUTED_VALUE"""),"Homepage")</f>
        <v>Homepage</v>
      </c>
      <c r="G85" s="7" t="b">
        <f>IFERROR(__xludf.DUMMYFUNCTION("""COMPUTED_VALUE"""),FALSE)</f>
        <v>0</v>
      </c>
      <c r="H85" s="7"/>
      <c r="I85" s="7">
        <f>IFERROR(__xludf.DUMMYFUNCTION("""COMPUTED_VALUE"""),1.0)</f>
        <v>1</v>
      </c>
      <c r="J85" s="7">
        <f>IFERROR(__xludf.DUMMYFUNCTION("""COMPUTED_VALUE"""),0.0)</f>
        <v>0</v>
      </c>
      <c r="K85" s="7">
        <f>IFERROR(__xludf.DUMMYFUNCTION("""COMPUTED_VALUE"""),0.0)</f>
        <v>0</v>
      </c>
    </row>
    <row r="86" ht="15.75" customHeight="1">
      <c r="A86" s="6" t="str">
        <f>IFERROR(__xludf.DUMMYFUNCTION("""COMPUTED_VALUE"""),"https://aiavenue.com.au/")</f>
        <v>https://aiavenue.com.au/</v>
      </c>
      <c r="B86" s="7" t="str">
        <f>IFERROR(__xludf.DUMMYFUNCTION("""COMPUTED_VALUE"""),"AI Training and Consulting Australia | AI Avenue")</f>
        <v>AI Training and Consulting Australia | AI Avenue</v>
      </c>
      <c r="C86" s="6" t="str">
        <f>IFERROR(__xludf.DUMMYFUNCTION("""COMPUTED_VALUE"""),"aiavenue.com.au")</f>
        <v>aiavenue.com.au</v>
      </c>
      <c r="D86" s="7" t="str">
        <f>IFERROR(__xludf.DUMMYFUNCTION("""COMPUTED_VALUE"""),"HOMEPAGE")</f>
        <v>HOMEPAGE</v>
      </c>
      <c r="E86" s="7" t="str">
        <f>IFERROR(__xludf.DUMMYFUNCTION("""COMPUTED_VALUE"""),"CORPORATE")</f>
        <v>CORPORATE</v>
      </c>
      <c r="F86" s="7" t="str">
        <f>IFERROR(__xludf.DUMMYFUNCTION("""COMPUTED_VALUE"""),"Homepage")</f>
        <v>Homepage</v>
      </c>
      <c r="G86" s="7" t="b">
        <f>IFERROR(__xludf.DUMMYFUNCTION("""COMPUTED_VALUE"""),FALSE)</f>
        <v>0</v>
      </c>
      <c r="H86" s="7" t="str">
        <f>IFERROR(__xludf.DUMMYFUNCTION("""COMPUTED_VALUE"""),"Momentum, Get AI Ready")</f>
        <v>Momentum, Get AI Ready</v>
      </c>
      <c r="I86" s="7">
        <f>IFERROR(__xludf.DUMMYFUNCTION("""COMPUTED_VALUE"""),1.0)</f>
        <v>1</v>
      </c>
      <c r="J86" s="7">
        <f>IFERROR(__xludf.DUMMYFUNCTION("""COMPUTED_VALUE"""),0.0)</f>
        <v>0</v>
      </c>
      <c r="K86" s="7">
        <f>IFERROR(__xludf.DUMMYFUNCTION("""COMPUTED_VALUE"""),1.0)</f>
        <v>1</v>
      </c>
    </row>
    <row r="87" ht="15.75" customHeight="1">
      <c r="A87" s="6" t="str">
        <f>IFERROR(__xludf.DUMMYFUNCTION("""COMPUTED_VALUE"""),"https://aiconsultinggroup.com.au")</f>
        <v>https://aiconsultinggroup.com.au</v>
      </c>
      <c r="B87" s="7" t="str">
        <f>IFERROR(__xludf.DUMMYFUNCTION("""COMPUTED_VALUE"""),"Boost Your ROI with Expert AI &amp;amp; ML Solutions | AI Consulting")</f>
        <v>Boost Your ROI with Expert AI &amp;amp; ML Solutions | AI Consulting</v>
      </c>
      <c r="C87" s="6" t="str">
        <f>IFERROR(__xludf.DUMMYFUNCTION("""COMPUTED_VALUE"""),"aiconsultinggroup.com.au")</f>
        <v>aiconsultinggroup.com.au</v>
      </c>
      <c r="D87" s="7" t="str">
        <f>IFERROR(__xludf.DUMMYFUNCTION("""COMPUTED_VALUE"""),"HOMEPAGE")</f>
        <v>HOMEPAGE</v>
      </c>
      <c r="E87" s="7" t="str">
        <f>IFERROR(__xludf.DUMMYFUNCTION("""COMPUTED_VALUE"""),"CORPORATE")</f>
        <v>CORPORATE</v>
      </c>
      <c r="F87" s="7" t="str">
        <f>IFERROR(__xludf.DUMMYFUNCTION("""COMPUTED_VALUE"""),"Homepage")</f>
        <v>Homepage</v>
      </c>
      <c r="G87" s="7" t="b">
        <f>IFERROR(__xludf.DUMMYFUNCTION("""COMPUTED_VALUE"""),FALSE)</f>
        <v>0</v>
      </c>
      <c r="H87" s="7" t="str">
        <f>IFERROR(__xludf.DUMMYFUNCTION("""COMPUTED_VALUE"""),"Momentum")</f>
        <v>Momentum</v>
      </c>
      <c r="I87" s="7">
        <f>IFERROR(__xludf.DUMMYFUNCTION("""COMPUTED_VALUE"""),1.0)</f>
        <v>1</v>
      </c>
      <c r="J87" s="7">
        <f>IFERROR(__xludf.DUMMYFUNCTION("""COMPUTED_VALUE"""),0.0)</f>
        <v>0</v>
      </c>
      <c r="K87" s="7">
        <f>IFERROR(__xludf.DUMMYFUNCTION("""COMPUTED_VALUE"""),0.0)</f>
        <v>0</v>
      </c>
    </row>
    <row r="88" ht="15.75" customHeight="1">
      <c r="A88" s="6" t="str">
        <f>IFERROR(__xludf.DUMMYFUNCTION("""COMPUTED_VALUE"""),"https://aify.com.au/")</f>
        <v>https://aify.com.au/</v>
      </c>
      <c r="B88" s="7" t="str">
        <f>IFERROR(__xludf.DUMMYFUNCTION("""COMPUTED_VALUE"""),"Home - aify")</f>
        <v>Home - aify</v>
      </c>
      <c r="C88" s="6" t="str">
        <f>IFERROR(__xludf.DUMMYFUNCTION("""COMPUTED_VALUE"""),"aify.com.au")</f>
        <v>aify.com.au</v>
      </c>
      <c r="D88" s="7" t="str">
        <f>IFERROR(__xludf.DUMMYFUNCTION("""COMPUTED_VALUE"""),"HOMEPAGE")</f>
        <v>HOMEPAGE</v>
      </c>
      <c r="E88" s="7" t="str">
        <f>IFERROR(__xludf.DUMMYFUNCTION("""COMPUTED_VALUE"""),"CORPORATE")</f>
        <v>CORPORATE</v>
      </c>
      <c r="F88" s="7" t="str">
        <f>IFERROR(__xludf.DUMMYFUNCTION("""COMPUTED_VALUE"""),"Homepage")</f>
        <v>Homepage</v>
      </c>
      <c r="G88" s="7" t="b">
        <f>IFERROR(__xludf.DUMMYFUNCTION("""COMPUTED_VALUE"""),FALSE)</f>
        <v>0</v>
      </c>
      <c r="H88" s="7" t="str">
        <f>IFERROR(__xludf.DUMMYFUNCTION("""COMPUTED_VALUE"""),"Measured")</f>
        <v>Measured</v>
      </c>
      <c r="I88" s="7">
        <f>IFERROR(__xludf.DUMMYFUNCTION("""COMPUTED_VALUE"""),1.0)</f>
        <v>1</v>
      </c>
      <c r="J88" s="7">
        <f>IFERROR(__xludf.DUMMYFUNCTION("""COMPUTED_VALUE"""),0.0)</f>
        <v>0</v>
      </c>
      <c r="K88" s="7">
        <f>IFERROR(__xludf.DUMMYFUNCTION("""COMPUTED_VALUE"""),1.0)</f>
        <v>1</v>
      </c>
    </row>
    <row r="89" ht="15.75" customHeight="1">
      <c r="A89" s="6" t="str">
        <f>IFERROR(__xludf.DUMMYFUNCTION("""COMPUTED_VALUE"""),"https://aistrategyconsulting.com.au/")</f>
        <v>https://aistrategyconsulting.com.au/</v>
      </c>
      <c r="B89" s="7" t="str">
        <f>IFERROR(__xludf.DUMMYFUNCTION("""COMPUTED_VALUE"""),"AI Strategy Consulting | AI Training &amp;amp; Implementation")</f>
        <v>AI Strategy Consulting | AI Training &amp;amp; Implementation</v>
      </c>
      <c r="C89" s="6" t="str">
        <f>IFERROR(__xludf.DUMMYFUNCTION("""COMPUTED_VALUE"""),"aistrategyconsulting.com.au")</f>
        <v>aistrategyconsulting.com.au</v>
      </c>
      <c r="D89" s="7" t="str">
        <f>IFERROR(__xludf.DUMMYFUNCTION("""COMPUTED_VALUE"""),"HOMEPAGE")</f>
        <v>HOMEPAGE</v>
      </c>
      <c r="E89" s="7" t="str">
        <f>IFERROR(__xludf.DUMMYFUNCTION("""COMPUTED_VALUE"""),"CORPORATE")</f>
        <v>CORPORATE</v>
      </c>
      <c r="F89" s="7" t="str">
        <f>IFERROR(__xludf.DUMMYFUNCTION("""COMPUTED_VALUE"""),"Homepage")</f>
        <v>Homepage</v>
      </c>
      <c r="G89" s="7" t="b">
        <f>IFERROR(__xludf.DUMMYFUNCTION("""COMPUTED_VALUE"""),FALSE)</f>
        <v>0</v>
      </c>
      <c r="H89" s="7"/>
      <c r="I89" s="7">
        <f>IFERROR(__xludf.DUMMYFUNCTION("""COMPUTED_VALUE"""),1.0)</f>
        <v>1</v>
      </c>
      <c r="J89" s="7">
        <f>IFERROR(__xludf.DUMMYFUNCTION("""COMPUTED_VALUE"""),0.0)</f>
        <v>0</v>
      </c>
      <c r="K89" s="7">
        <f>IFERROR(__xludf.DUMMYFUNCTION("""COMPUTED_VALUE"""),1.0)</f>
        <v>1</v>
      </c>
    </row>
    <row r="90" ht="15.75" customHeight="1">
      <c r="A90" s="6" t="str">
        <f>IFERROR(__xludf.DUMMYFUNCTION("""COMPUTED_VALUE"""),"https://alleygroup.com.au/")</f>
        <v>https://alleygroup.com.au/</v>
      </c>
      <c r="B90" s="7" t="str">
        <f>IFERROR(__xludf.DUMMYFUNCTION("""COMPUTED_VALUE"""),"Digital Marketing Agency Sydney &amp;amp; Melbourne - Alley Group")</f>
        <v>Digital Marketing Agency Sydney &amp;amp; Melbourne - Alley Group</v>
      </c>
      <c r="C90" s="6" t="str">
        <f>IFERROR(__xludf.DUMMYFUNCTION("""COMPUTED_VALUE"""),"alleygroup.com.au")</f>
        <v>alleygroup.com.au</v>
      </c>
      <c r="D90" s="7" t="str">
        <f>IFERROR(__xludf.DUMMYFUNCTION("""COMPUTED_VALUE"""),"HOMEPAGE")</f>
        <v>HOMEPAGE</v>
      </c>
      <c r="E90" s="7" t="str">
        <f>IFERROR(__xludf.DUMMYFUNCTION("""COMPUTED_VALUE"""),"COMPETITOR")</f>
        <v>COMPETITOR</v>
      </c>
      <c r="F90" s="7" t="str">
        <f>IFERROR(__xludf.DUMMYFUNCTION("""COMPUTED_VALUE"""),"Homepage")</f>
        <v>Homepage</v>
      </c>
      <c r="G90" s="7" t="b">
        <f>IFERROR(__xludf.DUMMYFUNCTION("""COMPUTED_VALUE"""),FALSE)</f>
        <v>0</v>
      </c>
      <c r="H90" s="7" t="str">
        <f>IFERROR(__xludf.DUMMYFUNCTION("""COMPUTED_VALUE"""),"Alley Group, Impressive")</f>
        <v>Alley Group, Impressive</v>
      </c>
      <c r="I90" s="7">
        <f>IFERROR(__xludf.DUMMYFUNCTION("""COMPUTED_VALUE"""),1.0)</f>
        <v>1</v>
      </c>
      <c r="J90" s="7">
        <f>IFERROR(__xludf.DUMMYFUNCTION("""COMPUTED_VALUE"""),0.0)</f>
        <v>0</v>
      </c>
      <c r="K90" s="7">
        <f>IFERROR(__xludf.DUMMYFUNCTION("""COMPUTED_VALUE"""),1.0)</f>
        <v>1</v>
      </c>
    </row>
    <row r="91" ht="15.75" customHeight="1">
      <c r="A91" s="6" t="str">
        <f>IFERROR(__xludf.DUMMYFUNCTION("""COMPUTED_VALUE"""),"https://allgeo.com.au/")</f>
        <v>https://allgeo.com.au/</v>
      </c>
      <c r="B91" s="7" t="str">
        <f>IFERROR(__xludf.DUMMYFUNCTION("""COMPUTED_VALUE"""),"Geotechnical &amp;amp; Environmental Engineering Services Sydney | Alliance Geotechnical")</f>
        <v>Geotechnical &amp;amp; Environmental Engineering Services Sydney | Alliance Geotechnical</v>
      </c>
      <c r="C91" s="6" t="str">
        <f>IFERROR(__xludf.DUMMYFUNCTION("""COMPUTED_VALUE"""),"allgeo.com.au")</f>
        <v>allgeo.com.au</v>
      </c>
      <c r="D91" s="7" t="str">
        <f>IFERROR(__xludf.DUMMYFUNCTION("""COMPUTED_VALUE"""),"HOMEPAGE")</f>
        <v>HOMEPAGE</v>
      </c>
      <c r="E91" s="7" t="str">
        <f>IFERROR(__xludf.DUMMYFUNCTION("""COMPUTED_VALUE"""),"CORPORATE")</f>
        <v>CORPORATE</v>
      </c>
      <c r="F91" s="7" t="str">
        <f>IFERROR(__xludf.DUMMYFUNCTION("""COMPUTED_VALUE"""),"Homepage")</f>
        <v>Homepage</v>
      </c>
      <c r="G91" s="7" t="b">
        <f>IFERROR(__xludf.DUMMYFUNCTION("""COMPUTED_VALUE"""),FALSE)</f>
        <v>0</v>
      </c>
      <c r="H91" s="7"/>
      <c r="I91" s="7">
        <f>IFERROR(__xludf.DUMMYFUNCTION("""COMPUTED_VALUE"""),1.0)</f>
        <v>1</v>
      </c>
      <c r="J91" s="7">
        <f>IFERROR(__xludf.DUMMYFUNCTION("""COMPUTED_VALUE"""),0.0)</f>
        <v>0</v>
      </c>
      <c r="K91" s="7">
        <f>IFERROR(__xludf.DUMMYFUNCTION("""COMPUTED_VALUE"""),2.0)</f>
        <v>2</v>
      </c>
    </row>
    <row r="92" ht="15.75" customHeight="1">
      <c r="A92" s="6" t="str">
        <f>IFERROR(__xludf.DUMMYFUNCTION("""COMPUTED_VALUE"""),"https://analyticpartners.com/#:~:text=%E2%80%9CGlobal%20enterprises%20looking%20to%20get%20started%20with,more.%20Our%20Hands%2Don%20Approach%20to%20Smarter%20Decisioning.")</f>
        <v>https://analyticpartners.com/#:~:text=%E2%80%9CGlobal%20enterprises%20looking%20to%20get%20started%20with,more.%20Our%20Hands%2Don%20Approach%20to%20Smarter%20Decisioning.</v>
      </c>
      <c r="B92" s="7" t="str">
        <f>IFERROR(__xludf.DUMMYFUNCTION("""COMPUTED_VALUE"""),"Marketing Measurement &amp;amp; Commercial Analytics | Analytic Partners")</f>
        <v>Marketing Measurement &amp;amp; Commercial Analytics | Analytic Partners</v>
      </c>
      <c r="C92" s="6" t="str">
        <f>IFERROR(__xludf.DUMMYFUNCTION("""COMPUTED_VALUE"""),"analyticpartners.com")</f>
        <v>analyticpartners.com</v>
      </c>
      <c r="D92" s="7" t="str">
        <f>IFERROR(__xludf.DUMMYFUNCTION("""COMPUTED_VALUE"""),"HOMEPAGE")</f>
        <v>HOMEPAGE</v>
      </c>
      <c r="E92" s="7" t="str">
        <f>IFERROR(__xludf.DUMMYFUNCTION("""COMPUTED_VALUE"""),"COMPETITOR")</f>
        <v>COMPETITOR</v>
      </c>
      <c r="F92" s="7" t="str">
        <f>IFERROR(__xludf.DUMMYFUNCTION("""COMPUTED_VALUE"""),"Homepage")</f>
        <v>Homepage</v>
      </c>
      <c r="G92" s="7" t="b">
        <f>IFERROR(__xludf.DUMMYFUNCTION("""COMPUTED_VALUE"""),FALSE)</f>
        <v>0</v>
      </c>
      <c r="H92" s="7" t="str">
        <f>IFERROR(__xludf.DUMMYFUNCTION("""COMPUTED_VALUE"""),"Analytic Partners")</f>
        <v>Analytic Partners</v>
      </c>
      <c r="I92" s="7">
        <f>IFERROR(__xludf.DUMMYFUNCTION("""COMPUTED_VALUE"""),1.0)</f>
        <v>1</v>
      </c>
      <c r="J92" s="7">
        <f>IFERROR(__xludf.DUMMYFUNCTION("""COMPUTED_VALUE"""),0.0)</f>
        <v>0</v>
      </c>
      <c r="K92" s="7">
        <f>IFERROR(__xludf.DUMMYFUNCTION("""COMPUTED_VALUE"""),2.0)</f>
        <v>2</v>
      </c>
    </row>
    <row r="93" ht="15.75" customHeight="1">
      <c r="A93" s="6" t="str">
        <f>IFERROR(__xludf.DUMMYFUNCTION("""COMPUTED_VALUE"""),"https://www.asanalytics.com.au/")</f>
        <v>https://www.asanalytics.com.au/</v>
      </c>
      <c r="B93" s="7" t="str">
        <f>IFERROR(__xludf.DUMMYFUNCTION("""COMPUTED_VALUE"""),"Australian Spatial Analytics · Geospatial and Engineering data services · Careers for young neurodivergent adults")</f>
        <v>Australian Spatial Analytics · Geospatial and Engineering data services · Careers for young neurodivergent adults</v>
      </c>
      <c r="C93" s="6" t="str">
        <f>IFERROR(__xludf.DUMMYFUNCTION("""COMPUTED_VALUE"""),"asanalytics.com.au")</f>
        <v>asanalytics.com.au</v>
      </c>
      <c r="D93" s="7" t="str">
        <f>IFERROR(__xludf.DUMMYFUNCTION("""COMPUTED_VALUE"""),"HOMEPAGE")</f>
        <v>HOMEPAGE</v>
      </c>
      <c r="E93" s="7" t="str">
        <f>IFERROR(__xludf.DUMMYFUNCTION("""COMPUTED_VALUE"""),"INSTITUTIONAL")</f>
        <v>INSTITUTIONAL</v>
      </c>
      <c r="F93" s="7" t="str">
        <f>IFERROR(__xludf.DUMMYFUNCTION("""COMPUTED_VALUE"""),"Homepage")</f>
        <v>Homepage</v>
      </c>
      <c r="G93" s="7" t="b">
        <f>IFERROR(__xludf.DUMMYFUNCTION("""COMPUTED_VALUE"""),FALSE)</f>
        <v>0</v>
      </c>
      <c r="H93" s="7"/>
      <c r="I93" s="7">
        <f>IFERROR(__xludf.DUMMYFUNCTION("""COMPUTED_VALUE"""),1.0)</f>
        <v>1</v>
      </c>
      <c r="J93" s="7">
        <f>IFERROR(__xludf.DUMMYFUNCTION("""COMPUTED_VALUE"""),0.0)</f>
        <v>0</v>
      </c>
      <c r="K93" s="7">
        <f>IFERROR(__xludf.DUMMYFUNCTION("""COMPUTED_VALUE"""),1.0)</f>
        <v>1</v>
      </c>
    </row>
    <row r="94" ht="15.75" customHeight="1">
      <c r="A94" s="6" t="str">
        <f>IFERROR(__xludf.DUMMYFUNCTION("""COMPUTED_VALUE"""),"https://au.bmgww.com/")</f>
        <v>https://au.bmgww.com/</v>
      </c>
      <c r="B94" s="7" t="str">
        <f>IFERROR(__xludf.DUMMYFUNCTION("""COMPUTED_VALUE"""),"Ecommerce Marketing Agency Melbourne &amp;amp; Sydney | Beyond Media Global")</f>
        <v>Ecommerce Marketing Agency Melbourne &amp;amp; Sydney | Beyond Media Global</v>
      </c>
      <c r="C94" s="6" t="str">
        <f>IFERROR(__xludf.DUMMYFUNCTION("""COMPUTED_VALUE"""),"bmgww.com")</f>
        <v>bmgww.com</v>
      </c>
      <c r="D94" s="7" t="str">
        <f>IFERROR(__xludf.DUMMYFUNCTION("""COMPUTED_VALUE"""),"HOMEPAGE")</f>
        <v>HOMEPAGE</v>
      </c>
      <c r="E94" s="7" t="str">
        <f>IFERROR(__xludf.DUMMYFUNCTION("""COMPUTED_VALUE"""),"CORPORATE")</f>
        <v>CORPORATE</v>
      </c>
      <c r="F94" s="7" t="str">
        <f>IFERROR(__xludf.DUMMYFUNCTION("""COMPUTED_VALUE"""),"Homepage")</f>
        <v>Homepage</v>
      </c>
      <c r="G94" s="7" t="b">
        <f>IFERROR(__xludf.DUMMYFUNCTION("""COMPUTED_VALUE"""),FALSE)</f>
        <v>0</v>
      </c>
      <c r="H94" s="7" t="str">
        <f>IFERROR(__xludf.DUMMYFUNCTION("""COMPUTED_VALUE"""),"Momentum")</f>
        <v>Momentum</v>
      </c>
      <c r="I94" s="7">
        <f>IFERROR(__xludf.DUMMYFUNCTION("""COMPUTED_VALUE"""),1.0)</f>
        <v>1</v>
      </c>
      <c r="J94" s="7">
        <f>IFERROR(__xludf.DUMMYFUNCTION("""COMPUTED_VALUE"""),0.0)</f>
        <v>0</v>
      </c>
      <c r="K94" s="7">
        <f>IFERROR(__xludf.DUMMYFUNCTION("""COMPUTED_VALUE"""),2.0)</f>
        <v>2</v>
      </c>
    </row>
    <row r="95" ht="15.75" customHeight="1">
      <c r="A95" s="6" t="str">
        <f>IFERROR(__xludf.DUMMYFUNCTION("""COMPUTED_VALUE"""),"https://www.ausasiaonline.com.au/ai-seo/")</f>
        <v>https://www.ausasiaonline.com.au/ai-seo/</v>
      </c>
      <c r="B95" s="7" t="str">
        <f>IFERROR(__xludf.DUMMYFUNCTION("""COMPUTED_VALUE"""),"AI SEO Agency Australia | Rank on AI Engines")</f>
        <v>AI SEO Agency Australia | Rank on AI Engines</v>
      </c>
      <c r="C95" s="6" t="str">
        <f>IFERROR(__xludf.DUMMYFUNCTION("""COMPUTED_VALUE"""),"ausasiaonline.com.au")</f>
        <v>ausasiaonline.com.au</v>
      </c>
      <c r="D95" s="7" t="str">
        <f>IFERROR(__xludf.DUMMYFUNCTION("""COMPUTED_VALUE"""),"HOMEPAGE")</f>
        <v>HOMEPAGE</v>
      </c>
      <c r="E95" s="7" t="str">
        <f>IFERROR(__xludf.DUMMYFUNCTION("""COMPUTED_VALUE"""),"EDITORIAL")</f>
        <v>EDITORIAL</v>
      </c>
      <c r="F95" s="7" t="str">
        <f>IFERROR(__xludf.DUMMYFUNCTION("""COMPUTED_VALUE"""),"Homepage")</f>
        <v>Homepage</v>
      </c>
      <c r="G95" s="7" t="b">
        <f>IFERROR(__xludf.DUMMYFUNCTION("""COMPUTED_VALUE"""),FALSE)</f>
        <v>0</v>
      </c>
      <c r="H95" s="7"/>
      <c r="I95" s="7">
        <f>IFERROR(__xludf.DUMMYFUNCTION("""COMPUTED_VALUE"""),1.0)</f>
        <v>1</v>
      </c>
      <c r="J95" s="7">
        <f>IFERROR(__xludf.DUMMYFUNCTION("""COMPUTED_VALUE"""),0.0)</f>
        <v>0</v>
      </c>
      <c r="K95" s="7">
        <f>IFERROR(__xludf.DUMMYFUNCTION("""COMPUTED_VALUE"""),0.0)</f>
        <v>0</v>
      </c>
    </row>
    <row r="96" ht="15.75" customHeight="1">
      <c r="A96" s="6" t="str">
        <f>IFERROR(__xludf.DUMMYFUNCTION("""COMPUTED_VALUE"""),"https://www.ausgeotest.com.au/")</f>
        <v>https://www.ausgeotest.com.au/</v>
      </c>
      <c r="B96" s="7" t="str">
        <f>IFERROR(__xludf.DUMMYFUNCTION("""COMPUTED_VALUE"""),"Australian Geotechnical Testing | AGT Expert Geotechnical Testing Australia Wide")</f>
        <v>Australian Geotechnical Testing | AGT Expert Geotechnical Testing Australia Wide</v>
      </c>
      <c r="C96" s="6" t="str">
        <f>IFERROR(__xludf.DUMMYFUNCTION("""COMPUTED_VALUE"""),"ausgeotest.com.au")</f>
        <v>ausgeotest.com.au</v>
      </c>
      <c r="D96" s="7" t="str">
        <f>IFERROR(__xludf.DUMMYFUNCTION("""COMPUTED_VALUE"""),"HOMEPAGE")</f>
        <v>HOMEPAGE</v>
      </c>
      <c r="E96" s="7" t="str">
        <f>IFERROR(__xludf.DUMMYFUNCTION("""COMPUTED_VALUE"""),"CORPORATE")</f>
        <v>CORPORATE</v>
      </c>
      <c r="F96" s="7" t="str">
        <f>IFERROR(__xludf.DUMMYFUNCTION("""COMPUTED_VALUE"""),"Homepage")</f>
        <v>Homepage</v>
      </c>
      <c r="G96" s="7" t="b">
        <f>IFERROR(__xludf.DUMMYFUNCTION("""COMPUTED_VALUE"""),FALSE)</f>
        <v>0</v>
      </c>
      <c r="H96" s="7"/>
      <c r="I96" s="7">
        <f>IFERROR(__xludf.DUMMYFUNCTION("""COMPUTED_VALUE"""),1.0)</f>
        <v>1</v>
      </c>
      <c r="J96" s="7">
        <f>IFERROR(__xludf.DUMMYFUNCTION("""COMPUTED_VALUE"""),0.0)</f>
        <v>0</v>
      </c>
      <c r="K96" s="7">
        <f>IFERROR(__xludf.DUMMYFUNCTION("""COMPUTED_VALUE"""),0.0)</f>
        <v>0</v>
      </c>
    </row>
    <row r="97" ht="15.75" customHeight="1">
      <c r="A97" s="6" t="str">
        <f>IFERROR(__xludf.DUMMYFUNCTION("""COMPUTED_VALUE"""),"https://bestanswerengineoptimizationservices.com/")</f>
        <v>https://bestanswerengineoptimizationservices.com/</v>
      </c>
      <c r="B97" s="7" t="str">
        <f>IFERROR(__xludf.DUMMYFUNCTION("""COMPUTED_VALUE"""),"Best Answer Engine Optimization Services - Best Answer Engine Optimization Services")</f>
        <v>Best Answer Engine Optimization Services - Best Answer Engine Optimization Services</v>
      </c>
      <c r="C97" s="6" t="str">
        <f>IFERROR(__xludf.DUMMYFUNCTION("""COMPUTED_VALUE"""),"bestanswerengineoptimizationservices.com")</f>
        <v>bestanswerengineoptimizationservices.com</v>
      </c>
      <c r="D97" s="7" t="str">
        <f>IFERROR(__xludf.DUMMYFUNCTION("""COMPUTED_VALUE"""),"HOMEPAGE")</f>
        <v>HOMEPAGE</v>
      </c>
      <c r="E97" s="7" t="str">
        <f>IFERROR(__xludf.DUMMYFUNCTION("""COMPUTED_VALUE"""),"CORPORATE")</f>
        <v>CORPORATE</v>
      </c>
      <c r="F97" s="7" t="str">
        <f>IFERROR(__xludf.DUMMYFUNCTION("""COMPUTED_VALUE"""),"Homepage")</f>
        <v>Homepage</v>
      </c>
      <c r="G97" s="7" t="b">
        <f>IFERROR(__xludf.DUMMYFUNCTION("""COMPUTED_VALUE"""),FALSE)</f>
        <v>0</v>
      </c>
      <c r="H97" s="7"/>
      <c r="I97" s="7">
        <f>IFERROR(__xludf.DUMMYFUNCTION("""COMPUTED_VALUE"""),1.0)</f>
        <v>1</v>
      </c>
      <c r="J97" s="7">
        <f>IFERROR(__xludf.DUMMYFUNCTION("""COMPUTED_VALUE"""),0.0)</f>
        <v>0</v>
      </c>
      <c r="K97" s="7">
        <f>IFERROR(__xludf.DUMMYFUNCTION("""COMPUTED_VALUE"""),0.0)</f>
        <v>0</v>
      </c>
    </row>
    <row r="98" ht="15.75" customHeight="1">
      <c r="A98" s="6" t="str">
        <f>IFERROR(__xludf.DUMMYFUNCTION("""COMPUTED_VALUE"""),"https://caffeinate.com.au/")</f>
        <v>https://caffeinate.com.au/</v>
      </c>
      <c r="B98" s="7" t="str">
        <f>IFERROR(__xludf.DUMMYFUNCTION("""COMPUTED_VALUE"""),"AI-First Digital Marketing Agency Perth | Caffeinate Digital")</f>
        <v>AI-First Digital Marketing Agency Perth | Caffeinate Digital</v>
      </c>
      <c r="C98" s="6" t="str">
        <f>IFERROR(__xludf.DUMMYFUNCTION("""COMPUTED_VALUE"""),"caffeinate.com.au")</f>
        <v>caffeinate.com.au</v>
      </c>
      <c r="D98" s="7" t="str">
        <f>IFERROR(__xludf.DUMMYFUNCTION("""COMPUTED_VALUE"""),"HOMEPAGE")</f>
        <v>HOMEPAGE</v>
      </c>
      <c r="E98" s="7" t="str">
        <f>IFERROR(__xludf.DUMMYFUNCTION("""COMPUTED_VALUE"""),"CORPORATE")</f>
        <v>CORPORATE</v>
      </c>
      <c r="F98" s="7" t="str">
        <f>IFERROR(__xludf.DUMMYFUNCTION("""COMPUTED_VALUE"""),"Homepage")</f>
        <v>Homepage</v>
      </c>
      <c r="G98" s="7" t="b">
        <f>IFERROR(__xludf.DUMMYFUNCTION("""COMPUTED_VALUE"""),FALSE)</f>
        <v>0</v>
      </c>
      <c r="H98" s="7" t="str">
        <f>IFERROR(__xludf.DUMMYFUNCTION("""COMPUTED_VALUE"""),"HERO, Measured")</f>
        <v>HERO, Measured</v>
      </c>
      <c r="I98" s="7">
        <f>IFERROR(__xludf.DUMMYFUNCTION("""COMPUTED_VALUE"""),1.0)</f>
        <v>1</v>
      </c>
      <c r="J98" s="7">
        <f>IFERROR(__xludf.DUMMYFUNCTION("""COMPUTED_VALUE"""),0.0)</f>
        <v>0</v>
      </c>
      <c r="K98" s="7">
        <f>IFERROR(__xludf.DUMMYFUNCTION("""COMPUTED_VALUE"""),2.0)</f>
        <v>2</v>
      </c>
    </row>
    <row r="99" ht="15.75" customHeight="1">
      <c r="A99" s="6" t="str">
        <f>IFERROR(__xludf.DUMMYFUNCTION("""COMPUTED_VALUE"""),"https://choosedigital.com.au/")</f>
        <v>https://choosedigital.com.au/</v>
      </c>
      <c r="B99" s="7" t="str">
        <f>IFERROR(__xludf.DUMMYFUNCTION("""COMPUTED_VALUE"""),"CHOOSE Digital: Australia’s Premier Digital Marketing Agency")</f>
        <v>CHOOSE Digital: Australia’s Premier Digital Marketing Agency</v>
      </c>
      <c r="C99" s="6" t="str">
        <f>IFERROR(__xludf.DUMMYFUNCTION("""COMPUTED_VALUE"""),"choosedigital.com.au")</f>
        <v>choosedigital.com.au</v>
      </c>
      <c r="D99" s="7" t="str">
        <f>IFERROR(__xludf.DUMMYFUNCTION("""COMPUTED_VALUE"""),"HOMEPAGE")</f>
        <v>HOMEPAGE</v>
      </c>
      <c r="E99" s="7" t="str">
        <f>IFERROR(__xludf.DUMMYFUNCTION("""COMPUTED_VALUE"""),"CORPORATE")</f>
        <v>CORPORATE</v>
      </c>
      <c r="F99" s="7" t="str">
        <f>IFERROR(__xludf.DUMMYFUNCTION("""COMPUTED_VALUE"""),"Homepage")</f>
        <v>Homepage</v>
      </c>
      <c r="G99" s="7" t="b">
        <f>IFERROR(__xludf.DUMMYFUNCTION("""COMPUTED_VALUE"""),FALSE)</f>
        <v>0</v>
      </c>
      <c r="H99" s="7"/>
      <c r="I99" s="7">
        <f>IFERROR(__xludf.DUMMYFUNCTION("""COMPUTED_VALUE"""),1.0)</f>
        <v>1</v>
      </c>
      <c r="J99" s="7">
        <f>IFERROR(__xludf.DUMMYFUNCTION("""COMPUTED_VALUE"""),0.0)</f>
        <v>0</v>
      </c>
      <c r="K99" s="7">
        <f>IFERROR(__xludf.DUMMYFUNCTION("""COMPUTED_VALUE"""),0.0)</f>
        <v>0</v>
      </c>
    </row>
    <row r="100" ht="15.75" customHeight="1">
      <c r="A100" s="6" t="str">
        <f>IFERROR(__xludf.DUMMYFUNCTION("""COMPUTED_VALUE"""),"https://www.circana.com/au#:~:text=Streamline%20and%20strengthen%20for%20more%20efficient%20operations,marketing%20investments%20across%20all%20channels%20and%20touchpoints.")</f>
        <v>https://www.circana.com/au#:~:text=Streamline%20and%20strengthen%20for%20more%20efficient%20operations,marketing%20investments%20across%20all%20channels%20and%20touchpoints.</v>
      </c>
      <c r="B100" s="7" t="str">
        <f>IFERROR(__xludf.DUMMYFUNCTION("""COMPUTED_VALUE"""),"Transforming Complexity into Clarity with Circana")</f>
        <v>Transforming Complexity into Clarity with Circana</v>
      </c>
      <c r="C100" s="6" t="str">
        <f>IFERROR(__xludf.DUMMYFUNCTION("""COMPUTED_VALUE"""),"circana.com")</f>
        <v>circana.com</v>
      </c>
      <c r="D100" s="7" t="str">
        <f>IFERROR(__xludf.DUMMYFUNCTION("""COMPUTED_VALUE"""),"HOMEPAGE")</f>
        <v>HOMEPAGE</v>
      </c>
      <c r="E100" s="7" t="str">
        <f>IFERROR(__xludf.DUMMYFUNCTION("""COMPUTED_VALUE"""),"CORPORATE")</f>
        <v>CORPORATE</v>
      </c>
      <c r="F100" s="7" t="str">
        <f>IFERROR(__xludf.DUMMYFUNCTION("""COMPUTED_VALUE"""),"Homepage")</f>
        <v>Homepage</v>
      </c>
      <c r="G100" s="7" t="b">
        <f>IFERROR(__xludf.DUMMYFUNCTION("""COMPUTED_VALUE"""),FALSE)</f>
        <v>0</v>
      </c>
      <c r="H100" s="7"/>
      <c r="I100" s="7">
        <f>IFERROR(__xludf.DUMMYFUNCTION("""COMPUTED_VALUE"""),1.0)</f>
        <v>1</v>
      </c>
      <c r="J100" s="7">
        <f>IFERROR(__xludf.DUMMYFUNCTION("""COMPUTED_VALUE"""),0.0)</f>
        <v>0</v>
      </c>
      <c r="K100" s="7">
        <f>IFERROR(__xludf.DUMMYFUNCTION("""COMPUTED_VALUE"""),2.0)</f>
        <v>2</v>
      </c>
    </row>
    <row r="101" ht="15.75" customHeight="1">
      <c r="A101" s="6" t="str">
        <f>IFERROR(__xludf.DUMMYFUNCTION("""COMPUTED_VALUE"""),"https://clemengerbbdo.com/")</f>
        <v>https://clemengerbbdo.com/</v>
      </c>
      <c r="B101" s="7" t="str">
        <f>IFERROR(__xludf.DUMMYFUNCTION("""COMPUTED_VALUE"""),"ClemengerBBDO Australia")</f>
        <v>ClemengerBBDO Australia</v>
      </c>
      <c r="C101" s="6" t="str">
        <f>IFERROR(__xludf.DUMMYFUNCTION("""COMPUTED_VALUE"""),"clemengerbbdo.com")</f>
        <v>clemengerbbdo.com</v>
      </c>
      <c r="D101" s="7" t="str">
        <f>IFERROR(__xludf.DUMMYFUNCTION("""COMPUTED_VALUE"""),"HOMEPAGE")</f>
        <v>HOMEPAGE</v>
      </c>
      <c r="E101" s="7" t="str">
        <f>IFERROR(__xludf.DUMMYFUNCTION("""COMPUTED_VALUE"""),"COMPETITOR")</f>
        <v>COMPETITOR</v>
      </c>
      <c r="F101" s="7" t="str">
        <f>IFERROR(__xludf.DUMMYFUNCTION("""COMPUTED_VALUE"""),"Homepage")</f>
        <v>Homepage</v>
      </c>
      <c r="G101" s="7" t="b">
        <f>IFERROR(__xludf.DUMMYFUNCTION("""COMPUTED_VALUE"""),FALSE)</f>
        <v>0</v>
      </c>
      <c r="H101" s="7" t="str">
        <f>IFERROR(__xludf.DUMMYFUNCTION("""COMPUTED_VALUE"""),"Clemenger BBDO")</f>
        <v>Clemenger BBDO</v>
      </c>
      <c r="I101" s="7">
        <f>IFERROR(__xludf.DUMMYFUNCTION("""COMPUTED_VALUE"""),1.0)</f>
        <v>1</v>
      </c>
      <c r="J101" s="7">
        <f>IFERROR(__xludf.DUMMYFUNCTION("""COMPUTED_VALUE"""),0.0)</f>
        <v>0</v>
      </c>
      <c r="K101" s="7">
        <f>IFERROR(__xludf.DUMMYFUNCTION("""COMPUTED_VALUE"""),1.0)</f>
        <v>1</v>
      </c>
    </row>
    <row r="102" ht="15.75" customHeight="1">
      <c r="A102" s="6" t="str">
        <f>IFERROR(__xludf.DUMMYFUNCTION("""COMPUTED_VALUE"""),"https://www.clickedon.co/")</f>
        <v>https://www.clickedon.co/</v>
      </c>
      <c r="B102" s="7" t="str">
        <f>IFERROR(__xludf.DUMMYFUNCTION("""COMPUTED_VALUE"""),"AI Marketing Agency Sydney | ClickedOn | ClickedOn")</f>
        <v>AI Marketing Agency Sydney | ClickedOn | ClickedOn</v>
      </c>
      <c r="C102" s="6" t="str">
        <f>IFERROR(__xludf.DUMMYFUNCTION("""COMPUTED_VALUE"""),"clickedon.co")</f>
        <v>clickedon.co</v>
      </c>
      <c r="D102" s="7" t="str">
        <f>IFERROR(__xludf.DUMMYFUNCTION("""COMPUTED_VALUE"""),"HOMEPAGE")</f>
        <v>HOMEPAGE</v>
      </c>
      <c r="E102" s="7" t="str">
        <f>IFERROR(__xludf.DUMMYFUNCTION("""COMPUTED_VALUE"""),"CORPORATE")</f>
        <v>CORPORATE</v>
      </c>
      <c r="F102" s="7" t="str">
        <f>IFERROR(__xludf.DUMMYFUNCTION("""COMPUTED_VALUE"""),"Homepage")</f>
        <v>Homepage</v>
      </c>
      <c r="G102" s="7" t="b">
        <f>IFERROR(__xludf.DUMMYFUNCTION("""COMPUTED_VALUE"""),FALSE)</f>
        <v>0</v>
      </c>
      <c r="H102" s="7"/>
      <c r="I102" s="7">
        <f>IFERROR(__xludf.DUMMYFUNCTION("""COMPUTED_VALUE"""),1.0)</f>
        <v>1</v>
      </c>
      <c r="J102" s="7">
        <f>IFERROR(__xludf.DUMMYFUNCTION("""COMPUTED_VALUE"""),0.0)</f>
        <v>0</v>
      </c>
      <c r="K102" s="7">
        <f>IFERROR(__xludf.DUMMYFUNCTION("""COMPUTED_VALUE"""),0.0)</f>
        <v>0</v>
      </c>
    </row>
    <row r="103" ht="15.75" customHeight="1">
      <c r="A103" s="6" t="str">
        <f>IFERROR(__xludf.DUMMYFUNCTION("""COMPUTED_VALUE"""),"https://cmwgeosciences.com/")</f>
        <v>https://cmwgeosciences.com/</v>
      </c>
      <c r="B103" s="7" t="str">
        <f>IFERROR(__xludf.DUMMYFUNCTION("""COMPUTED_VALUE"""),"Geotechnical Engineers | CMW Geosciences")</f>
        <v>Geotechnical Engineers | CMW Geosciences</v>
      </c>
      <c r="C103" s="6" t="str">
        <f>IFERROR(__xludf.DUMMYFUNCTION("""COMPUTED_VALUE"""),"cmwgeosciences.com")</f>
        <v>cmwgeosciences.com</v>
      </c>
      <c r="D103" s="7" t="str">
        <f>IFERROR(__xludf.DUMMYFUNCTION("""COMPUTED_VALUE"""),"HOMEPAGE")</f>
        <v>HOMEPAGE</v>
      </c>
      <c r="E103" s="7" t="str">
        <f>IFERROR(__xludf.DUMMYFUNCTION("""COMPUTED_VALUE"""),"CORPORATE")</f>
        <v>CORPORATE</v>
      </c>
      <c r="F103" s="7" t="str">
        <f>IFERROR(__xludf.DUMMYFUNCTION("""COMPUTED_VALUE"""),"Homepage")</f>
        <v>Homepage</v>
      </c>
      <c r="G103" s="7" t="b">
        <f>IFERROR(__xludf.DUMMYFUNCTION("""COMPUTED_VALUE"""),FALSE)</f>
        <v>0</v>
      </c>
      <c r="H103" s="7"/>
      <c r="I103" s="7">
        <f>IFERROR(__xludf.DUMMYFUNCTION("""COMPUTED_VALUE"""),1.0)</f>
        <v>1</v>
      </c>
      <c r="J103" s="7">
        <f>IFERROR(__xludf.DUMMYFUNCTION("""COMPUTED_VALUE"""),0.0)</f>
        <v>0</v>
      </c>
      <c r="K103" s="7">
        <f>IFERROR(__xludf.DUMMYFUNCTION("""COMPUTED_VALUE"""),2.0)</f>
        <v>2</v>
      </c>
    </row>
    <row r="104" ht="15.75" customHeight="1">
      <c r="A104" s="6" t="str">
        <f>IFERROR(__xludf.DUMMYFUNCTION("""COMPUTED_VALUE"""),"https://digitalmoose.com.au/")</f>
        <v>https://digitalmoose.com.au/</v>
      </c>
      <c r="B104" s="7" t="str">
        <f>IFERROR(__xludf.DUMMYFUNCTION("""COMPUTED_VALUE"""),"Digital Moose | Digital Marketing &amp;amp; Advertising Agency Australia")</f>
        <v>Digital Moose | Digital Marketing &amp;amp; Advertising Agency Australia</v>
      </c>
      <c r="C104" s="6" t="str">
        <f>IFERROR(__xludf.DUMMYFUNCTION("""COMPUTED_VALUE"""),"digitalmoose.com.au")</f>
        <v>digitalmoose.com.au</v>
      </c>
      <c r="D104" s="7" t="str">
        <f>IFERROR(__xludf.DUMMYFUNCTION("""COMPUTED_VALUE"""),"HOMEPAGE")</f>
        <v>HOMEPAGE</v>
      </c>
      <c r="E104" s="7" t="str">
        <f>IFERROR(__xludf.DUMMYFUNCTION("""COMPUTED_VALUE"""),"CORPORATE")</f>
        <v>CORPORATE</v>
      </c>
      <c r="F104" s="7" t="str">
        <f>IFERROR(__xludf.DUMMYFUNCTION("""COMPUTED_VALUE"""),"Homepage")</f>
        <v>Homepage</v>
      </c>
      <c r="G104" s="7" t="b">
        <f>IFERROR(__xludf.DUMMYFUNCTION("""COMPUTED_VALUE"""),FALSE)</f>
        <v>0</v>
      </c>
      <c r="H104" s="7" t="str">
        <f>IFERROR(__xludf.DUMMYFUNCTION("""COMPUTED_VALUE"""),"HERO, Measured, Momentum")</f>
        <v>HERO, Measured, Momentum</v>
      </c>
      <c r="I104" s="7">
        <f>IFERROR(__xludf.DUMMYFUNCTION("""COMPUTED_VALUE"""),1.0)</f>
        <v>1</v>
      </c>
      <c r="J104" s="7">
        <f>IFERROR(__xludf.DUMMYFUNCTION("""COMPUTED_VALUE"""),0.0)</f>
        <v>0</v>
      </c>
      <c r="K104" s="7">
        <f>IFERROR(__xludf.DUMMYFUNCTION("""COMPUTED_VALUE"""),1.0)</f>
        <v>1</v>
      </c>
    </row>
    <row r="105" ht="15.75" customHeight="1">
      <c r="A105" s="6" t="str">
        <f>IFERROR(__xludf.DUMMYFUNCTION("""COMPUTED_VALUE"""),"https://digitalnomadshq.com.au/ai-seo/")</f>
        <v>https://digitalnomadshq.com.au/ai-seo/</v>
      </c>
      <c r="B105" s="7" t="str">
        <f>IFERROR(__xludf.DUMMYFUNCTION("""COMPUTED_VALUE"""),"AI SEO &amp;amp; GEO Services Australia | Digital Nomads HQ")</f>
        <v>AI SEO &amp;amp; GEO Services Australia | Digital Nomads HQ</v>
      </c>
      <c r="C105" s="6" t="str">
        <f>IFERROR(__xludf.DUMMYFUNCTION("""COMPUTED_VALUE"""),"digitalnomadshq.com.au")</f>
        <v>digitalnomadshq.com.au</v>
      </c>
      <c r="D105" s="7" t="str">
        <f>IFERROR(__xludf.DUMMYFUNCTION("""COMPUTED_VALUE"""),"HOMEPAGE")</f>
        <v>HOMEPAGE</v>
      </c>
      <c r="E105" s="7" t="str">
        <f>IFERROR(__xludf.DUMMYFUNCTION("""COMPUTED_VALUE"""),"COMPETITOR")</f>
        <v>COMPETITOR</v>
      </c>
      <c r="F105" s="7" t="str">
        <f>IFERROR(__xludf.DUMMYFUNCTION("""COMPUTED_VALUE"""),"Homepage")</f>
        <v>Homepage</v>
      </c>
      <c r="G105" s="7" t="b">
        <f>IFERROR(__xludf.DUMMYFUNCTION("""COMPUTED_VALUE"""),FALSE)</f>
        <v>0</v>
      </c>
      <c r="H105" s="7" t="str">
        <f>IFERROR(__xludf.DUMMYFUNCTION("""COMPUTED_VALUE"""),"Digital Nomads HQ, Team 400, Huge, Measured")</f>
        <v>Digital Nomads HQ, Team 400, Huge, Measured</v>
      </c>
      <c r="I105" s="7">
        <f>IFERROR(__xludf.DUMMYFUNCTION("""COMPUTED_VALUE"""),1.0)</f>
        <v>1</v>
      </c>
      <c r="J105" s="7">
        <f>IFERROR(__xludf.DUMMYFUNCTION("""COMPUTED_VALUE"""),0.0)</f>
        <v>0</v>
      </c>
      <c r="K105" s="7">
        <f>IFERROR(__xludf.DUMMYFUNCTION("""COMPUTED_VALUE"""),0.0)</f>
        <v>0</v>
      </c>
    </row>
    <row r="106" ht="15.75" customHeight="1">
      <c r="A106" s="6" t="str">
        <f>IFERROR(__xludf.DUMMYFUNCTION("""COMPUTED_VALUE"""),"https://www.douglaspartners.com.au/")</f>
        <v>https://www.douglaspartners.com.au/</v>
      </c>
      <c r="B106" s="7" t="str">
        <f>IFERROR(__xludf.DUMMYFUNCTION("""COMPUTED_VALUE"""),"Geotechnical Engineering Consultants Australia | Douglas Partners")</f>
        <v>Geotechnical Engineering Consultants Australia | Douglas Partners</v>
      </c>
      <c r="C106" s="6" t="str">
        <f>IFERROR(__xludf.DUMMYFUNCTION("""COMPUTED_VALUE"""),"douglaspartners.com.au")</f>
        <v>douglaspartners.com.au</v>
      </c>
      <c r="D106" s="7" t="str">
        <f>IFERROR(__xludf.DUMMYFUNCTION("""COMPUTED_VALUE"""),"HOMEPAGE")</f>
        <v>HOMEPAGE</v>
      </c>
      <c r="E106" s="7" t="str">
        <f>IFERROR(__xludf.DUMMYFUNCTION("""COMPUTED_VALUE"""),"CORPORATE")</f>
        <v>CORPORATE</v>
      </c>
      <c r="F106" s="7" t="str">
        <f>IFERROR(__xludf.DUMMYFUNCTION("""COMPUTED_VALUE"""),"Homepage")</f>
        <v>Homepage</v>
      </c>
      <c r="G106" s="7" t="b">
        <f>IFERROR(__xludf.DUMMYFUNCTION("""COMPUTED_VALUE"""),FALSE)</f>
        <v>0</v>
      </c>
      <c r="H106" s="7"/>
      <c r="I106" s="7">
        <f>IFERROR(__xludf.DUMMYFUNCTION("""COMPUTED_VALUE"""),1.0)</f>
        <v>1</v>
      </c>
      <c r="J106" s="7">
        <f>IFERROR(__xludf.DUMMYFUNCTION("""COMPUTED_VALUE"""),0.0)</f>
        <v>0</v>
      </c>
      <c r="K106" s="7">
        <f>IFERROR(__xludf.DUMMYFUNCTION("""COMPUTED_VALUE"""),2.0)</f>
        <v>2</v>
      </c>
    </row>
    <row r="107" ht="15.75" customHeight="1">
      <c r="A107" s="6" t="str">
        <f>IFERROR(__xludf.DUMMYFUNCTION("""COMPUTED_VALUE"""),"https://www.elephantroom.com.au/")</f>
        <v>https://www.elephantroom.com.au/</v>
      </c>
      <c r="B107" s="7" t="str">
        <f>IFERROR(__xludf.DUMMYFUNCTION("""COMPUTED_VALUE"""),"eCommerce Paid Media Growth Agency | Elephant Room")</f>
        <v>eCommerce Paid Media Growth Agency | Elephant Room</v>
      </c>
      <c r="C107" s="6" t="str">
        <f>IFERROR(__xludf.DUMMYFUNCTION("""COMPUTED_VALUE"""),"elephantroom.com.au")</f>
        <v>elephantroom.com.au</v>
      </c>
      <c r="D107" s="7" t="str">
        <f>IFERROR(__xludf.DUMMYFUNCTION("""COMPUTED_VALUE"""),"HOMEPAGE")</f>
        <v>HOMEPAGE</v>
      </c>
      <c r="E107" s="7" t="str">
        <f>IFERROR(__xludf.DUMMYFUNCTION("""COMPUTED_VALUE"""),"CORPORATE")</f>
        <v>CORPORATE</v>
      </c>
      <c r="F107" s="7" t="str">
        <f>IFERROR(__xludf.DUMMYFUNCTION("""COMPUTED_VALUE"""),"Homepage")</f>
        <v>Homepage</v>
      </c>
      <c r="G107" s="7" t="b">
        <f>IFERROR(__xludf.DUMMYFUNCTION("""COMPUTED_VALUE"""),FALSE)</f>
        <v>0</v>
      </c>
      <c r="H107" s="7"/>
      <c r="I107" s="7">
        <f>IFERROR(__xludf.DUMMYFUNCTION("""COMPUTED_VALUE"""),1.0)</f>
        <v>1</v>
      </c>
      <c r="J107" s="7">
        <f>IFERROR(__xludf.DUMMYFUNCTION("""COMPUTED_VALUE"""),0.0)</f>
        <v>0</v>
      </c>
      <c r="K107" s="7">
        <f>IFERROR(__xludf.DUMMYFUNCTION("""COMPUTED_VALUE"""),1.0)</f>
        <v>1</v>
      </c>
    </row>
    <row r="108" ht="15.75" customHeight="1">
      <c r="A108" s="6" t="str">
        <f>IFERROR(__xludf.DUMMYFUNCTION("""COMPUTED_VALUE"""),"https://www.engineroom.com.au/")</f>
        <v>https://www.engineroom.com.au/</v>
      </c>
      <c r="B108" s="7" t="str">
        <f>IFERROR(__xludf.DUMMYFUNCTION("""COMPUTED_VALUE"""),"EngineRoom | Innovative Growth Marketing &amp;amp; Digital Solutions")</f>
        <v>EngineRoom | Innovative Growth Marketing &amp;amp; Digital Solutions</v>
      </c>
      <c r="C108" s="6" t="str">
        <f>IFERROR(__xludf.DUMMYFUNCTION("""COMPUTED_VALUE"""),"engineroom.com.au")</f>
        <v>engineroom.com.au</v>
      </c>
      <c r="D108" s="7" t="str">
        <f>IFERROR(__xludf.DUMMYFUNCTION("""COMPUTED_VALUE"""),"HOMEPAGE")</f>
        <v>HOMEPAGE</v>
      </c>
      <c r="E108" s="7" t="str">
        <f>IFERROR(__xludf.DUMMYFUNCTION("""COMPUTED_VALUE"""),"CORPORATE")</f>
        <v>CORPORATE</v>
      </c>
      <c r="F108" s="7" t="str">
        <f>IFERROR(__xludf.DUMMYFUNCTION("""COMPUTED_VALUE"""),"Homepage")</f>
        <v>Homepage</v>
      </c>
      <c r="G108" s="7" t="b">
        <f>IFERROR(__xludf.DUMMYFUNCTION("""COMPUTED_VALUE"""),FALSE)</f>
        <v>0</v>
      </c>
      <c r="H108" s="7"/>
      <c r="I108" s="7">
        <f>IFERROR(__xludf.DUMMYFUNCTION("""COMPUTED_VALUE"""),1.0)</f>
        <v>1</v>
      </c>
      <c r="J108" s="7">
        <f>IFERROR(__xludf.DUMMYFUNCTION("""COMPUTED_VALUE"""),0.0)</f>
        <v>0</v>
      </c>
      <c r="K108" s="7">
        <f>IFERROR(__xludf.DUMMYFUNCTION("""COMPUTED_VALUE"""),1.0)</f>
        <v>1</v>
      </c>
    </row>
    <row r="109" ht="15.75" customHeight="1">
      <c r="A109" s="6" t="str">
        <f>IFERROR(__xludf.DUMMYFUNCTION("""COMPUTED_VALUE"""),"https://firstpage.com.au/ai-seo/")</f>
        <v>https://firstpage.com.au/ai-seo/</v>
      </c>
      <c r="B109" s="7" t="str">
        <f>IFERROR(__xludf.DUMMYFUNCTION("""COMPUTED_VALUE"""),"AI SEO Agency Australia – Boost AI Search Rankings")</f>
        <v>AI SEO Agency Australia – Boost AI Search Rankings</v>
      </c>
      <c r="C109" s="6" t="str">
        <f>IFERROR(__xludf.DUMMYFUNCTION("""COMPUTED_VALUE"""),"firstpage.com.au")</f>
        <v>firstpage.com.au</v>
      </c>
      <c r="D109" s="7" t="str">
        <f>IFERROR(__xludf.DUMMYFUNCTION("""COMPUTED_VALUE"""),"HOMEPAGE")</f>
        <v>HOMEPAGE</v>
      </c>
      <c r="E109" s="7" t="str">
        <f>IFERROR(__xludf.DUMMYFUNCTION("""COMPUTED_VALUE"""),"COMPETITOR")</f>
        <v>COMPETITOR</v>
      </c>
      <c r="F109" s="7" t="str">
        <f>IFERROR(__xludf.DUMMYFUNCTION("""COMPUTED_VALUE"""),"Homepage")</f>
        <v>Homepage</v>
      </c>
      <c r="G109" s="7" t="b">
        <f>IFERROR(__xludf.DUMMYFUNCTION("""COMPUTED_VALUE"""),FALSE)</f>
        <v>0</v>
      </c>
      <c r="H109" s="7" t="str">
        <f>IFERROR(__xludf.DUMMYFUNCTION("""COMPUTED_VALUE"""),"First Page, Huge, First Page Australia")</f>
        <v>First Page, Huge, First Page Australia</v>
      </c>
      <c r="I109" s="7">
        <f>IFERROR(__xludf.DUMMYFUNCTION("""COMPUTED_VALUE"""),1.0)</f>
        <v>1</v>
      </c>
      <c r="J109" s="7">
        <f>IFERROR(__xludf.DUMMYFUNCTION("""COMPUTED_VALUE"""),0.0)</f>
        <v>0</v>
      </c>
      <c r="K109" s="7">
        <f>IFERROR(__xludf.DUMMYFUNCTION("""COMPUTED_VALUE"""),1.0)</f>
        <v>1</v>
      </c>
    </row>
    <row r="110" ht="15.75" customHeight="1">
      <c r="A110" s="6" t="str">
        <f>IFERROR(__xludf.DUMMYFUNCTION("""COMPUTED_VALUE"""),"https://fivestones.net/")</f>
        <v>https://fivestones.net/</v>
      </c>
      <c r="B110" s="7" t="str">
        <f>IFERROR(__xludf.DUMMYFUNCTION("""COMPUTED_VALUE"""),"FiveStones - your trusted ad tech solutions partner")</f>
        <v>FiveStones - your trusted ad tech solutions partner</v>
      </c>
      <c r="C110" s="6" t="str">
        <f>IFERROR(__xludf.DUMMYFUNCTION("""COMPUTED_VALUE"""),"fivestones.net")</f>
        <v>fivestones.net</v>
      </c>
      <c r="D110" s="7" t="str">
        <f>IFERROR(__xludf.DUMMYFUNCTION("""COMPUTED_VALUE"""),"HOMEPAGE")</f>
        <v>HOMEPAGE</v>
      </c>
      <c r="E110" s="7" t="str">
        <f>IFERROR(__xludf.DUMMYFUNCTION("""COMPUTED_VALUE"""),"CORPORATE")</f>
        <v>CORPORATE</v>
      </c>
      <c r="F110" s="7" t="str">
        <f>IFERROR(__xludf.DUMMYFUNCTION("""COMPUTED_VALUE"""),"Homepage")</f>
        <v>Homepage</v>
      </c>
      <c r="G110" s="7" t="b">
        <f>IFERROR(__xludf.DUMMYFUNCTION("""COMPUTED_VALUE"""),FALSE)</f>
        <v>0</v>
      </c>
      <c r="H110" s="7"/>
      <c r="I110" s="7">
        <f>IFERROR(__xludf.DUMMYFUNCTION("""COMPUTED_VALUE"""),1.0)</f>
        <v>1</v>
      </c>
      <c r="J110" s="7">
        <f>IFERROR(__xludf.DUMMYFUNCTION("""COMPUTED_VALUE"""),0.0)</f>
        <v>0</v>
      </c>
      <c r="K110" s="7">
        <f>IFERROR(__xludf.DUMMYFUNCTION("""COMPUTED_VALUE"""),1.0)</f>
        <v>1</v>
      </c>
    </row>
    <row r="111" ht="15.75" customHeight="1">
      <c r="A111" s="6" t="str">
        <f>IFERROR(__xludf.DUMMYFUNCTION("""COMPUTED_VALUE"""),"https://www.flurodigital.com/")</f>
        <v>https://www.flurodigital.com/</v>
      </c>
      <c r="B111" s="7" t="str">
        <f>IFERROR(__xludf.DUMMYFUNCTION("""COMPUTED_VALUE"""),"Fluro Digital - Australian Peformance Agency")</f>
        <v>Fluro Digital - Australian Peformance Agency</v>
      </c>
      <c r="C111" s="6" t="str">
        <f>IFERROR(__xludf.DUMMYFUNCTION("""COMPUTED_VALUE"""),"flurodigital.com")</f>
        <v>flurodigital.com</v>
      </c>
      <c r="D111" s="7" t="str">
        <f>IFERROR(__xludf.DUMMYFUNCTION("""COMPUTED_VALUE"""),"HOMEPAGE")</f>
        <v>HOMEPAGE</v>
      </c>
      <c r="E111" s="7" t="str">
        <f>IFERROR(__xludf.DUMMYFUNCTION("""COMPUTED_VALUE"""),"CORPORATE")</f>
        <v>CORPORATE</v>
      </c>
      <c r="F111" s="7" t="str">
        <f>IFERROR(__xludf.DUMMYFUNCTION("""COMPUTED_VALUE"""),"Homepage")</f>
        <v>Homepage</v>
      </c>
      <c r="G111" s="7" t="b">
        <f>IFERROR(__xludf.DUMMYFUNCTION("""COMPUTED_VALUE"""),FALSE)</f>
        <v>0</v>
      </c>
      <c r="H111" s="7"/>
      <c r="I111" s="7">
        <f>IFERROR(__xludf.DUMMYFUNCTION("""COMPUTED_VALUE"""),1.0)</f>
        <v>1</v>
      </c>
      <c r="J111" s="7">
        <f>IFERROR(__xludf.DUMMYFUNCTION("""COMPUTED_VALUE"""),0.0)</f>
        <v>0</v>
      </c>
      <c r="K111" s="7">
        <f>IFERROR(__xludf.DUMMYFUNCTION("""COMPUTED_VALUE"""),2.0)</f>
        <v>2</v>
      </c>
    </row>
    <row r="112" ht="15.75" customHeight="1">
      <c r="A112" s="6" t="str">
        <f>IFERROR(__xludf.DUMMYFUNCTION("""COMPUTED_VALUE"""),"https://www.gbg-group.com.au/")</f>
        <v>https://www.gbg-group.com.au/</v>
      </c>
      <c r="B112" s="7" t="str">
        <f>IFERROR(__xludf.DUMMYFUNCTION("""COMPUTED_VALUE"""),"GBG Group – Australia’s Leading Geophysical Consultancy")</f>
        <v>GBG Group – Australia’s Leading Geophysical Consultancy</v>
      </c>
      <c r="C112" s="6" t="str">
        <f>IFERROR(__xludf.DUMMYFUNCTION("""COMPUTED_VALUE"""),"gbg-group.com.au")</f>
        <v>gbg-group.com.au</v>
      </c>
      <c r="D112" s="7" t="str">
        <f>IFERROR(__xludf.DUMMYFUNCTION("""COMPUTED_VALUE"""),"HOMEPAGE")</f>
        <v>HOMEPAGE</v>
      </c>
      <c r="E112" s="7" t="str">
        <f>IFERROR(__xludf.DUMMYFUNCTION("""COMPUTED_VALUE"""),"CORPORATE")</f>
        <v>CORPORATE</v>
      </c>
      <c r="F112" s="7" t="str">
        <f>IFERROR(__xludf.DUMMYFUNCTION("""COMPUTED_VALUE"""),"Homepage")</f>
        <v>Homepage</v>
      </c>
      <c r="G112" s="7" t="b">
        <f>IFERROR(__xludf.DUMMYFUNCTION("""COMPUTED_VALUE"""),FALSE)</f>
        <v>0</v>
      </c>
      <c r="H112" s="7"/>
      <c r="I112" s="7">
        <f>IFERROR(__xludf.DUMMYFUNCTION("""COMPUTED_VALUE"""),1.0)</f>
        <v>1</v>
      </c>
      <c r="J112" s="7">
        <f>IFERROR(__xludf.DUMMYFUNCTION("""COMPUTED_VALUE"""),0.0)</f>
        <v>0</v>
      </c>
      <c r="K112" s="7">
        <f>IFERROR(__xludf.DUMMYFUNCTION("""COMPUTED_VALUE"""),2.0)</f>
        <v>2</v>
      </c>
    </row>
    <row r="113" ht="15.75" customHeight="1">
      <c r="A113" s="6" t="str">
        <f>IFERROR(__xludf.DUMMYFUNCTION("""COMPUTED_VALUE"""),"http://geoconsultants.com.au/")</f>
        <v>http://geoconsultants.com.au/</v>
      </c>
      <c r="B113" s="7" t="str">
        <f>IFERROR(__xludf.DUMMYFUNCTION("""COMPUTED_VALUE"""),"Geotechnical Consultants Australia Pty Ltd (GCA) - Consistent, Professional and Reliable")</f>
        <v>Geotechnical Consultants Australia Pty Ltd (GCA) - Consistent, Professional and Reliable</v>
      </c>
      <c r="C113" s="6" t="str">
        <f>IFERROR(__xludf.DUMMYFUNCTION("""COMPUTED_VALUE"""),"geoconsultants.com.au")</f>
        <v>geoconsultants.com.au</v>
      </c>
      <c r="D113" s="7" t="str">
        <f>IFERROR(__xludf.DUMMYFUNCTION("""COMPUTED_VALUE"""),"HOMEPAGE")</f>
        <v>HOMEPAGE</v>
      </c>
      <c r="E113" s="7" t="str">
        <f>IFERROR(__xludf.DUMMYFUNCTION("""COMPUTED_VALUE"""),"CORPORATE")</f>
        <v>CORPORATE</v>
      </c>
      <c r="F113" s="7" t="str">
        <f>IFERROR(__xludf.DUMMYFUNCTION("""COMPUTED_VALUE"""),"Homepage")</f>
        <v>Homepage</v>
      </c>
      <c r="G113" s="7" t="b">
        <f>IFERROR(__xludf.DUMMYFUNCTION("""COMPUTED_VALUE"""),FALSE)</f>
        <v>0</v>
      </c>
      <c r="H113" s="7"/>
      <c r="I113" s="7">
        <f>IFERROR(__xludf.DUMMYFUNCTION("""COMPUTED_VALUE"""),1.0)</f>
        <v>1</v>
      </c>
      <c r="J113" s="7">
        <f>IFERROR(__xludf.DUMMYFUNCTION("""COMPUTED_VALUE"""),0.0)</f>
        <v>0</v>
      </c>
      <c r="K113" s="7">
        <f>IFERROR(__xludf.DUMMYFUNCTION("""COMPUTED_VALUE"""),1.0)</f>
        <v>1</v>
      </c>
    </row>
    <row r="114" ht="15.75" customHeight="1">
      <c r="A114" s="6" t="str">
        <f>IFERROR(__xludf.DUMMYFUNCTION("""COMPUTED_VALUE"""),"https://geodigital.com.au/")</f>
        <v>https://geodigital.com.au/</v>
      </c>
      <c r="B114" s="7" t="str">
        <f>IFERROR(__xludf.DUMMYFUNCTION("""COMPUTED_VALUE"""),"GEO Digital | Digital Marketing Company | Leading AEO, GEO Agency")</f>
        <v>GEO Digital | Digital Marketing Company | Leading AEO, GEO Agency</v>
      </c>
      <c r="C114" s="6" t="str">
        <f>IFERROR(__xludf.DUMMYFUNCTION("""COMPUTED_VALUE"""),"geodigital.com.au")</f>
        <v>geodigital.com.au</v>
      </c>
      <c r="D114" s="7" t="str">
        <f>IFERROR(__xludf.DUMMYFUNCTION("""COMPUTED_VALUE"""),"HOMEPAGE")</f>
        <v>HOMEPAGE</v>
      </c>
      <c r="E114" s="7" t="str">
        <f>IFERROR(__xludf.DUMMYFUNCTION("""COMPUTED_VALUE"""),"CORPORATE")</f>
        <v>CORPORATE</v>
      </c>
      <c r="F114" s="7" t="str">
        <f>IFERROR(__xludf.DUMMYFUNCTION("""COMPUTED_VALUE"""),"Homepage")</f>
        <v>Homepage</v>
      </c>
      <c r="G114" s="7" t="b">
        <f>IFERROR(__xludf.DUMMYFUNCTION("""COMPUTED_VALUE"""),FALSE)</f>
        <v>0</v>
      </c>
      <c r="H114" s="7"/>
      <c r="I114" s="7">
        <f>IFERROR(__xludf.DUMMYFUNCTION("""COMPUTED_VALUE"""),1.0)</f>
        <v>1</v>
      </c>
      <c r="J114" s="7">
        <f>IFERROR(__xludf.DUMMYFUNCTION("""COMPUTED_VALUE"""),0.0)</f>
        <v>0</v>
      </c>
      <c r="K114" s="7">
        <f>IFERROR(__xludf.DUMMYFUNCTION("""COMPUTED_VALUE"""),1.0)</f>
        <v>1</v>
      </c>
    </row>
    <row r="115" ht="15.75" customHeight="1">
      <c r="A115" s="6" t="str">
        <f>IFERROR(__xludf.DUMMYFUNCTION("""COMPUTED_VALUE"""),"https://ggconsultants.com.au/")</f>
        <v>https://ggconsultants.com.au/</v>
      </c>
      <c r="B115" s="7" t="str">
        <f>IFERROR(__xludf.DUMMYFUNCTION("""COMPUTED_VALUE"""),"GGC – Geotechnical and Geological Consultants")</f>
        <v>GGC – Geotechnical and Geological Consultants</v>
      </c>
      <c r="C115" s="6" t="str">
        <f>IFERROR(__xludf.DUMMYFUNCTION("""COMPUTED_VALUE"""),"ggconsultants.com.au")</f>
        <v>ggconsultants.com.au</v>
      </c>
      <c r="D115" s="7" t="str">
        <f>IFERROR(__xludf.DUMMYFUNCTION("""COMPUTED_VALUE"""),"HOMEPAGE")</f>
        <v>HOMEPAGE</v>
      </c>
      <c r="E115" s="7" t="str">
        <f>IFERROR(__xludf.DUMMYFUNCTION("""COMPUTED_VALUE"""),"CORPORATE")</f>
        <v>CORPORATE</v>
      </c>
      <c r="F115" s="7" t="str">
        <f>IFERROR(__xludf.DUMMYFUNCTION("""COMPUTED_VALUE"""),"Homepage")</f>
        <v>Homepage</v>
      </c>
      <c r="G115" s="7" t="b">
        <f>IFERROR(__xludf.DUMMYFUNCTION("""COMPUTED_VALUE"""),FALSE)</f>
        <v>0</v>
      </c>
      <c r="H115" s="7"/>
      <c r="I115" s="7">
        <f>IFERROR(__xludf.DUMMYFUNCTION("""COMPUTED_VALUE"""),1.0)</f>
        <v>1</v>
      </c>
      <c r="J115" s="7">
        <f>IFERROR(__xludf.DUMMYFUNCTION("""COMPUTED_VALUE"""),0.0)</f>
        <v>0</v>
      </c>
      <c r="K115" s="7">
        <f>IFERROR(__xludf.DUMMYFUNCTION("""COMPUTED_VALUE"""),2.0)</f>
        <v>2</v>
      </c>
    </row>
    <row r="116" ht="15.75" customHeight="1">
      <c r="A116" s="6" t="str">
        <f>IFERROR(__xludf.DUMMYFUNCTION("""COMPUTED_VALUE"""),"https://gmp.incubeta.com/")</f>
        <v>https://gmp.incubeta.com/</v>
      </c>
      <c r="B116" s="7" t="str">
        <f>IFERROR(__xludf.DUMMYFUNCTION("""COMPUTED_VALUE"""),"Incubeta | GMP Growth Lab")</f>
        <v>Incubeta | GMP Growth Lab</v>
      </c>
      <c r="C116" s="6" t="str">
        <f>IFERROR(__xludf.DUMMYFUNCTION("""COMPUTED_VALUE"""),"incubeta.com")</f>
        <v>incubeta.com</v>
      </c>
      <c r="D116" s="7" t="str">
        <f>IFERROR(__xludf.DUMMYFUNCTION("""COMPUTED_VALUE"""),"HOMEPAGE")</f>
        <v>HOMEPAGE</v>
      </c>
      <c r="E116" s="7" t="str">
        <f>IFERROR(__xludf.DUMMYFUNCTION("""COMPUTED_VALUE"""),"OWN")</f>
        <v>OWN</v>
      </c>
      <c r="F116" s="7" t="str">
        <f>IFERROR(__xludf.DUMMYFUNCTION("""COMPUTED_VALUE"""),"Homepage")</f>
        <v>Homepage</v>
      </c>
      <c r="G116" s="7" t="b">
        <f>IFERROR(__xludf.DUMMYFUNCTION("""COMPUTED_VALUE"""),TRUE)</f>
        <v>1</v>
      </c>
      <c r="H116" s="7" t="str">
        <f>IFERROR(__xludf.DUMMYFUNCTION("""COMPUTED_VALUE"""),"Incubeta")</f>
        <v>Incubeta</v>
      </c>
      <c r="I116" s="7">
        <f>IFERROR(__xludf.DUMMYFUNCTION("""COMPUTED_VALUE"""),1.0)</f>
        <v>1</v>
      </c>
      <c r="J116" s="7">
        <f>IFERROR(__xludf.DUMMYFUNCTION("""COMPUTED_VALUE"""),0.0)</f>
        <v>0</v>
      </c>
      <c r="K116" s="7">
        <f>IFERROR(__xludf.DUMMYFUNCTION("""COMPUTED_VALUE"""),2.0)</f>
        <v>2</v>
      </c>
    </row>
    <row r="117" ht="15.75" customHeight="1">
      <c r="A117" s="6" t="str">
        <f>IFERROR(__xludf.DUMMYFUNCTION("""COMPUTED_VALUE"""),"https://gorilla360.com.au/geo/")</f>
        <v>https://gorilla360.com.au/geo/</v>
      </c>
      <c r="B117" s="7" t="str">
        <f>IFERROR(__xludf.DUMMYFUNCTION("""COMPUTED_VALUE"""),"GEO Agency Australia [Future Proof Your Business]")</f>
        <v>GEO Agency Australia [Future Proof Your Business]</v>
      </c>
      <c r="C117" s="6" t="str">
        <f>IFERROR(__xludf.DUMMYFUNCTION("""COMPUTED_VALUE"""),"gorilla360.com.au")</f>
        <v>gorilla360.com.au</v>
      </c>
      <c r="D117" s="7" t="str">
        <f>IFERROR(__xludf.DUMMYFUNCTION("""COMPUTED_VALUE"""),"HOMEPAGE")</f>
        <v>HOMEPAGE</v>
      </c>
      <c r="E117" s="7" t="str">
        <f>IFERROR(__xludf.DUMMYFUNCTION("""COMPUTED_VALUE"""),"COMPETITOR")</f>
        <v>COMPETITOR</v>
      </c>
      <c r="F117" s="7" t="str">
        <f>IFERROR(__xludf.DUMMYFUNCTION("""COMPUTED_VALUE"""),"Homepage")</f>
        <v>Homepage</v>
      </c>
      <c r="G117" s="7" t="b">
        <f>IFERROR(__xludf.DUMMYFUNCTION("""COMPUTED_VALUE"""),FALSE)</f>
        <v>0</v>
      </c>
      <c r="H117" s="7" t="str">
        <f>IFERROR(__xludf.DUMMYFUNCTION("""COMPUTED_VALUE"""),"Gorilla 360, Momentum")</f>
        <v>Gorilla 360, Momentum</v>
      </c>
      <c r="I117" s="7">
        <f>IFERROR(__xludf.DUMMYFUNCTION("""COMPUTED_VALUE"""),1.0)</f>
        <v>1</v>
      </c>
      <c r="J117" s="7">
        <f>IFERROR(__xludf.DUMMYFUNCTION("""COMPUTED_VALUE"""),0.0)</f>
        <v>0</v>
      </c>
      <c r="K117" s="7">
        <f>IFERROR(__xludf.DUMMYFUNCTION("""COMPUTED_VALUE"""),2.0)</f>
        <v>2</v>
      </c>
    </row>
    <row r="118" ht="15.75" customHeight="1">
      <c r="A118" s="6" t="str">
        <f>IFERROR(__xludf.DUMMYFUNCTION("""COMPUTED_VALUE"""),"https://hindsight.com.au/")</f>
        <v>https://hindsight.com.au/</v>
      </c>
      <c r="B118" s="7" t="str">
        <f>IFERROR(__xludf.DUMMYFUNCTION("""COMPUTED_VALUE"""),"Hindsight Creative | Creative Branding Studio | Creative Agency")</f>
        <v>Hindsight Creative | Creative Branding Studio | Creative Agency</v>
      </c>
      <c r="C118" s="6" t="str">
        <f>IFERROR(__xludf.DUMMYFUNCTION("""COMPUTED_VALUE"""),"hindsight.com.au")</f>
        <v>hindsight.com.au</v>
      </c>
      <c r="D118" s="7" t="str">
        <f>IFERROR(__xludf.DUMMYFUNCTION("""COMPUTED_VALUE"""),"HOMEPAGE")</f>
        <v>HOMEPAGE</v>
      </c>
      <c r="E118" s="7" t="str">
        <f>IFERROR(__xludf.DUMMYFUNCTION("""COMPUTED_VALUE"""),"CORPORATE")</f>
        <v>CORPORATE</v>
      </c>
      <c r="F118" s="7" t="str">
        <f>IFERROR(__xludf.DUMMYFUNCTION("""COMPUTED_VALUE"""),"Homepage")</f>
        <v>Homepage</v>
      </c>
      <c r="G118" s="7" t="b">
        <f>IFERROR(__xludf.DUMMYFUNCTION("""COMPUTED_VALUE"""),FALSE)</f>
        <v>0</v>
      </c>
      <c r="H118" s="7"/>
      <c r="I118" s="7">
        <f>IFERROR(__xludf.DUMMYFUNCTION("""COMPUTED_VALUE"""),1.0)</f>
        <v>1</v>
      </c>
      <c r="J118" s="7">
        <f>IFERROR(__xludf.DUMMYFUNCTION("""COMPUTED_VALUE"""),0.0)</f>
        <v>0</v>
      </c>
      <c r="K118" s="7">
        <f>IFERROR(__xludf.DUMMYFUNCTION("""COMPUTED_VALUE"""),0.0)</f>
        <v>0</v>
      </c>
    </row>
    <row r="119" ht="15.75" customHeight="1">
      <c r="A119" s="6" t="str">
        <f>IFERROR(__xludf.DUMMYFUNCTION("""COMPUTED_VALUE"""),"https://www.humanova.com.au/")</f>
        <v>https://www.humanova.com.au/</v>
      </c>
      <c r="B119" s="7"/>
      <c r="C119" s="6" t="str">
        <f>IFERROR(__xludf.DUMMYFUNCTION("""COMPUTED_VALUE"""),"humanova.com.au")</f>
        <v>humanova.com.au</v>
      </c>
      <c r="D119" s="7" t="str">
        <f>IFERROR(__xludf.DUMMYFUNCTION("""COMPUTED_VALUE"""),"HOMEPAGE")</f>
        <v>HOMEPAGE</v>
      </c>
      <c r="E119" s="7" t="str">
        <f>IFERROR(__xludf.DUMMYFUNCTION("""COMPUTED_VALUE"""),"CORPORATE")</f>
        <v>CORPORATE</v>
      </c>
      <c r="F119" s="7" t="str">
        <f>IFERROR(__xludf.DUMMYFUNCTION("""COMPUTED_VALUE"""),"Homepage")</f>
        <v>Homepage</v>
      </c>
      <c r="G119" s="7"/>
      <c r="H119" s="7" t="str">
        <f>IFERROR(__xludf.DUMMYFUNCTION("""COMPUTED_VALUE"""),"Unknown")</f>
        <v>Unknown</v>
      </c>
      <c r="I119" s="7">
        <f>IFERROR(__xludf.DUMMYFUNCTION("""COMPUTED_VALUE"""),1.0)</f>
        <v>1</v>
      </c>
      <c r="J119" s="7">
        <f>IFERROR(__xludf.DUMMYFUNCTION("""COMPUTED_VALUE"""),0.0)</f>
        <v>0</v>
      </c>
      <c r="K119" s="7">
        <f>IFERROR(__xludf.DUMMYFUNCTION("""COMPUTED_VALUE"""),2.0)</f>
        <v>2</v>
      </c>
    </row>
    <row r="120" ht="15.75" customHeight="1">
      <c r="A120" s="6" t="str">
        <f>IFERROR(__xludf.DUMMYFUNCTION("""COMPUTED_VALUE"""),"https://impressive.com.au/ppc/")</f>
        <v>https://impressive.com.au/ppc/</v>
      </c>
      <c r="B120" s="7" t="str">
        <f>IFERROR(__xludf.DUMMYFUNCTION("""COMPUTED_VALUE"""),"Google Ads Agency Melbourne | PPC Management | Impressive")</f>
        <v>Google Ads Agency Melbourne | PPC Management | Impressive</v>
      </c>
      <c r="C120" s="6" t="str">
        <f>IFERROR(__xludf.DUMMYFUNCTION("""COMPUTED_VALUE"""),"impressive.com.au")</f>
        <v>impressive.com.au</v>
      </c>
      <c r="D120" s="7" t="str">
        <f>IFERROR(__xludf.DUMMYFUNCTION("""COMPUTED_VALUE"""),"HOMEPAGE")</f>
        <v>HOMEPAGE</v>
      </c>
      <c r="E120" s="7" t="str">
        <f>IFERROR(__xludf.DUMMYFUNCTION("""COMPUTED_VALUE"""),"COMPETITOR")</f>
        <v>COMPETITOR</v>
      </c>
      <c r="F120" s="7" t="str">
        <f>IFERROR(__xludf.DUMMYFUNCTION("""COMPUTED_VALUE"""),"Homepage")</f>
        <v>Homepage</v>
      </c>
      <c r="G120" s="7" t="b">
        <f>IFERROR(__xludf.DUMMYFUNCTION("""COMPUTED_VALUE"""),FALSE)</f>
        <v>0</v>
      </c>
      <c r="H120" s="7" t="str">
        <f>IFERROR(__xludf.DUMMYFUNCTION("""COMPUTED_VALUE"""),"Impressive, Measured, First Page, Deloitte")</f>
        <v>Impressive, Measured, First Page, Deloitte</v>
      </c>
      <c r="I120" s="7">
        <f>IFERROR(__xludf.DUMMYFUNCTION("""COMPUTED_VALUE"""),1.0)</f>
        <v>1</v>
      </c>
      <c r="J120" s="7">
        <f>IFERROR(__xludf.DUMMYFUNCTION("""COMPUTED_VALUE"""),0.0)</f>
        <v>0</v>
      </c>
      <c r="K120" s="7">
        <f>IFERROR(__xludf.DUMMYFUNCTION("""COMPUTED_VALUE"""),2.0)</f>
        <v>2</v>
      </c>
    </row>
    <row r="121" ht="15.75" customHeight="1">
      <c r="A121" s="6" t="str">
        <f>IFERROR(__xludf.DUMMYFUNCTION("""COMPUTED_VALUE"""),"https://www.indexandomarketing.com/en/")</f>
        <v>https://www.indexandomarketing.com/en/</v>
      </c>
      <c r="B121" s="7" t="str">
        <f>IFERROR(__xludf.DUMMYFUNCTION("""COMPUTED_VALUE"""),"International marketing agency | Indexando Marketing")</f>
        <v>International marketing agency | Indexando Marketing</v>
      </c>
      <c r="C121" s="6" t="str">
        <f>IFERROR(__xludf.DUMMYFUNCTION("""COMPUTED_VALUE"""),"indexandomarketing.com")</f>
        <v>indexandomarketing.com</v>
      </c>
      <c r="D121" s="7" t="str">
        <f>IFERROR(__xludf.DUMMYFUNCTION("""COMPUTED_VALUE"""),"HOMEPAGE")</f>
        <v>HOMEPAGE</v>
      </c>
      <c r="E121" s="7" t="str">
        <f>IFERROR(__xludf.DUMMYFUNCTION("""COMPUTED_VALUE"""),"CORPORATE")</f>
        <v>CORPORATE</v>
      </c>
      <c r="F121" s="7" t="str">
        <f>IFERROR(__xludf.DUMMYFUNCTION("""COMPUTED_VALUE"""),"Homepage")</f>
        <v>Homepage</v>
      </c>
      <c r="G121" s="7" t="b">
        <f>IFERROR(__xludf.DUMMYFUNCTION("""COMPUTED_VALUE"""),FALSE)</f>
        <v>0</v>
      </c>
      <c r="H121" s="7"/>
      <c r="I121" s="7">
        <f>IFERROR(__xludf.DUMMYFUNCTION("""COMPUTED_VALUE"""),1.0)</f>
        <v>1</v>
      </c>
      <c r="J121" s="7">
        <f>IFERROR(__xludf.DUMMYFUNCTION("""COMPUTED_VALUE"""),0.0)</f>
        <v>0</v>
      </c>
      <c r="K121" s="7">
        <f>IFERROR(__xludf.DUMMYFUNCTION("""COMPUTED_VALUE"""),1.0)</f>
        <v>1</v>
      </c>
    </row>
    <row r="122" ht="15.75" customHeight="1">
      <c r="A122" s="6" t="str">
        <f>IFERROR(__xludf.DUMMYFUNCTION("""COMPUTED_VALUE"""),"https://infokus.com.au/")</f>
        <v>https://infokus.com.au/</v>
      </c>
      <c r="B122" s="7" t="str">
        <f>IFERROR(__xludf.DUMMYFUNCTION("""COMPUTED_VALUE"""),"AI Marketing Agency for Professional Services | Infokus")</f>
        <v>AI Marketing Agency for Professional Services | Infokus</v>
      </c>
      <c r="C122" s="6" t="str">
        <f>IFERROR(__xludf.DUMMYFUNCTION("""COMPUTED_VALUE"""),"infokus.com.au")</f>
        <v>infokus.com.au</v>
      </c>
      <c r="D122" s="7" t="str">
        <f>IFERROR(__xludf.DUMMYFUNCTION("""COMPUTED_VALUE"""),"HOMEPAGE")</f>
        <v>HOMEPAGE</v>
      </c>
      <c r="E122" s="7" t="str">
        <f>IFERROR(__xludf.DUMMYFUNCTION("""COMPUTED_VALUE"""),"CORPORATE")</f>
        <v>CORPORATE</v>
      </c>
      <c r="F122" s="7" t="str">
        <f>IFERROR(__xludf.DUMMYFUNCTION("""COMPUTED_VALUE"""),"Homepage")</f>
        <v>Homepage</v>
      </c>
      <c r="G122" s="7" t="b">
        <f>IFERROR(__xludf.DUMMYFUNCTION("""COMPUTED_VALUE"""),FALSE)</f>
        <v>0</v>
      </c>
      <c r="H122" s="7"/>
      <c r="I122" s="7">
        <f>IFERROR(__xludf.DUMMYFUNCTION("""COMPUTED_VALUE"""),1.0)</f>
        <v>1</v>
      </c>
      <c r="J122" s="7">
        <f>IFERROR(__xludf.DUMMYFUNCTION("""COMPUTED_VALUE"""),0.0)</f>
        <v>0</v>
      </c>
      <c r="K122" s="7">
        <f>IFERROR(__xludf.DUMMYFUNCTION("""COMPUTED_VALUE"""),2.0)</f>
        <v>2</v>
      </c>
    </row>
    <row r="123" ht="15.75" customHeight="1">
      <c r="A123" s="6" t="str">
        <f>IFERROR(__xludf.DUMMYFUNCTION("""COMPUTED_VALUE"""),"https://www.jbedigital.com.au/ai-seo/")</f>
        <v>https://www.jbedigital.com.au/ai-seo/</v>
      </c>
      <c r="B123" s="7" t="str">
        <f>IFERROR(__xludf.DUMMYFUNCTION("""COMPUTED_VALUE"""),"Answer Engine Optimisation Agency | AEO &amp;amp; GEO AI Marketing")</f>
        <v>Answer Engine Optimisation Agency | AEO &amp;amp; GEO AI Marketing</v>
      </c>
      <c r="C123" s="6" t="str">
        <f>IFERROR(__xludf.DUMMYFUNCTION("""COMPUTED_VALUE"""),"jbedigital.com.au")</f>
        <v>jbedigital.com.au</v>
      </c>
      <c r="D123" s="7" t="str">
        <f>IFERROR(__xludf.DUMMYFUNCTION("""COMPUTED_VALUE"""),"HOMEPAGE")</f>
        <v>HOMEPAGE</v>
      </c>
      <c r="E123" s="7" t="str">
        <f>IFERROR(__xludf.DUMMYFUNCTION("""COMPUTED_VALUE"""),"CORPORATE")</f>
        <v>CORPORATE</v>
      </c>
      <c r="F123" s="7" t="str">
        <f>IFERROR(__xludf.DUMMYFUNCTION("""COMPUTED_VALUE"""),"Homepage")</f>
        <v>Homepage</v>
      </c>
      <c r="G123" s="7" t="b">
        <f>IFERROR(__xludf.DUMMYFUNCTION("""COMPUTED_VALUE"""),FALSE)</f>
        <v>0</v>
      </c>
      <c r="H123" s="7"/>
      <c r="I123" s="7">
        <f>IFERROR(__xludf.DUMMYFUNCTION("""COMPUTED_VALUE"""),1.0)</f>
        <v>1</v>
      </c>
      <c r="J123" s="7">
        <f>IFERROR(__xludf.DUMMYFUNCTION("""COMPUTED_VALUE"""),0.0)</f>
        <v>0</v>
      </c>
      <c r="K123" s="7">
        <f>IFERROR(__xludf.DUMMYFUNCTION("""COMPUTED_VALUE"""),0.0)</f>
        <v>0</v>
      </c>
    </row>
    <row r="124" ht="15.75" customHeight="1">
      <c r="A124" s="6" t="str">
        <f>IFERROR(__xludf.DUMMYFUNCTION("""COMPUTED_VALUE"""),"https://kingkong.co/au/")</f>
        <v>https://kingkong.co/au/</v>
      </c>
      <c r="B124" s="7" t="str">
        <f>IFERROR(__xludf.DUMMYFUNCTION("""COMPUTED_VALUE"""),"King Kong® | Direct-Response Digital Marketing Agency")</f>
        <v>King Kong® | Direct-Response Digital Marketing Agency</v>
      </c>
      <c r="C124" s="6" t="str">
        <f>IFERROR(__xludf.DUMMYFUNCTION("""COMPUTED_VALUE"""),"kingkong.co")</f>
        <v>kingkong.co</v>
      </c>
      <c r="D124" s="7" t="str">
        <f>IFERROR(__xludf.DUMMYFUNCTION("""COMPUTED_VALUE"""),"HOMEPAGE")</f>
        <v>HOMEPAGE</v>
      </c>
      <c r="E124" s="7" t="str">
        <f>IFERROR(__xludf.DUMMYFUNCTION("""COMPUTED_VALUE"""),"COMPETITOR")</f>
        <v>COMPETITOR</v>
      </c>
      <c r="F124" s="7" t="str">
        <f>IFERROR(__xludf.DUMMYFUNCTION("""COMPUTED_VALUE"""),"Homepage")</f>
        <v>Homepage</v>
      </c>
      <c r="G124" s="7" t="b">
        <f>IFERROR(__xludf.DUMMYFUNCTION("""COMPUTED_VALUE"""),FALSE)</f>
        <v>0</v>
      </c>
      <c r="H124" s="7" t="str">
        <f>IFERROR(__xludf.DUMMYFUNCTION("""COMPUTED_VALUE"""),"King Kong, HERO, Huge")</f>
        <v>King Kong, HERO, Huge</v>
      </c>
      <c r="I124" s="7">
        <f>IFERROR(__xludf.DUMMYFUNCTION("""COMPUTED_VALUE"""),1.0)</f>
        <v>1</v>
      </c>
      <c r="J124" s="7">
        <f>IFERROR(__xludf.DUMMYFUNCTION("""COMPUTED_VALUE"""),0.0)</f>
        <v>0</v>
      </c>
      <c r="K124" s="7">
        <f>IFERROR(__xludf.DUMMYFUNCTION("""COMPUTED_VALUE"""),1.0)</f>
        <v>1</v>
      </c>
    </row>
    <row r="125" ht="15.75" customHeight="1">
      <c r="A125" s="6" t="str">
        <f>IFERROR(__xludf.DUMMYFUNCTION("""COMPUTED_VALUE"""),"https://kwasi.com/")</f>
        <v>https://kwasi.com/</v>
      </c>
      <c r="B125" s="7" t="str">
        <f>IFERROR(__xludf.DUMMYFUNCTION("""COMPUTED_VALUE"""),"Kwasi | Growth &amp;amp; Performance Marketing Agency In Australia")</f>
        <v>Kwasi | Growth &amp;amp; Performance Marketing Agency In Australia</v>
      </c>
      <c r="C125" s="6" t="str">
        <f>IFERROR(__xludf.DUMMYFUNCTION("""COMPUTED_VALUE"""),"kwasi.com")</f>
        <v>kwasi.com</v>
      </c>
      <c r="D125" s="7" t="str">
        <f>IFERROR(__xludf.DUMMYFUNCTION("""COMPUTED_VALUE"""),"HOMEPAGE")</f>
        <v>HOMEPAGE</v>
      </c>
      <c r="E125" s="7" t="str">
        <f>IFERROR(__xludf.DUMMYFUNCTION("""COMPUTED_VALUE"""),"CORPORATE")</f>
        <v>CORPORATE</v>
      </c>
      <c r="F125" s="7" t="str">
        <f>IFERROR(__xludf.DUMMYFUNCTION("""COMPUTED_VALUE"""),"Homepage")</f>
        <v>Homepage</v>
      </c>
      <c r="G125" s="7" t="b">
        <f>IFERROR(__xludf.DUMMYFUNCTION("""COMPUTED_VALUE"""),FALSE)</f>
        <v>0</v>
      </c>
      <c r="H125" s="7"/>
      <c r="I125" s="7">
        <f>IFERROR(__xludf.DUMMYFUNCTION("""COMPUTED_VALUE"""),1.0)</f>
        <v>1</v>
      </c>
      <c r="J125" s="7">
        <f>IFERROR(__xludf.DUMMYFUNCTION("""COMPUTED_VALUE"""),0.0)</f>
        <v>0</v>
      </c>
      <c r="K125" s="7">
        <f>IFERROR(__xludf.DUMMYFUNCTION("""COMPUTED_VALUE"""),2.0)</f>
        <v>2</v>
      </c>
    </row>
    <row r="126" ht="15.75" customHeight="1">
      <c r="A126" s="6" t="str">
        <f>IFERROR(__xludf.DUMMYFUNCTION("""COMPUTED_VALUE"""),"https://leaddigital.com.au/")</f>
        <v>https://leaddigital.com.au/</v>
      </c>
      <c r="B126" s="7" t="str">
        <f>IFERROR(__xludf.DUMMYFUNCTION("""COMPUTED_VALUE"""),"Lead Digital | AI SEO Digital Marketing Agency Australia")</f>
        <v>Lead Digital | AI SEO Digital Marketing Agency Australia</v>
      </c>
      <c r="C126" s="6" t="str">
        <f>IFERROR(__xludf.DUMMYFUNCTION("""COMPUTED_VALUE"""),"leaddigital.com.au")</f>
        <v>leaddigital.com.au</v>
      </c>
      <c r="D126" s="7" t="str">
        <f>IFERROR(__xludf.DUMMYFUNCTION("""COMPUTED_VALUE"""),"HOMEPAGE")</f>
        <v>HOMEPAGE</v>
      </c>
      <c r="E126" s="7" t="str">
        <f>IFERROR(__xludf.DUMMYFUNCTION("""COMPUTED_VALUE"""),"CORPORATE")</f>
        <v>CORPORATE</v>
      </c>
      <c r="F126" s="7" t="str">
        <f>IFERROR(__xludf.DUMMYFUNCTION("""COMPUTED_VALUE"""),"Homepage")</f>
        <v>Homepage</v>
      </c>
      <c r="G126" s="7" t="b">
        <f>IFERROR(__xludf.DUMMYFUNCTION("""COMPUTED_VALUE"""),FALSE)</f>
        <v>0</v>
      </c>
      <c r="H126" s="7"/>
      <c r="I126" s="7">
        <f>IFERROR(__xludf.DUMMYFUNCTION("""COMPUTED_VALUE"""),1.0)</f>
        <v>1</v>
      </c>
      <c r="J126" s="7">
        <f>IFERROR(__xludf.DUMMYFUNCTION("""COMPUTED_VALUE"""),0.0)</f>
        <v>0</v>
      </c>
      <c r="K126" s="7">
        <f>IFERROR(__xludf.DUMMYFUNCTION("""COMPUTED_VALUE"""),0.0)</f>
        <v>0</v>
      </c>
    </row>
    <row r="127" ht="15.75" customHeight="1">
      <c r="A127" s="6" t="str">
        <f>IFERROR(__xludf.DUMMYFUNCTION("""COMPUTED_VALUE"""),"https://leadsnow.ai/")</f>
        <v>https://leadsnow.ai/</v>
      </c>
      <c r="B127" s="7" t="str">
        <f>IFERROR(__xludf.DUMMYFUNCTION("""COMPUTED_VALUE"""),"Leads Now AI | Pay-Per-Result Marketing &amp;amp; Sales Via AI")</f>
        <v>Leads Now AI | Pay-Per-Result Marketing &amp;amp; Sales Via AI</v>
      </c>
      <c r="C127" s="6" t="str">
        <f>IFERROR(__xludf.DUMMYFUNCTION("""COMPUTED_VALUE"""),"leadsnow.ai")</f>
        <v>leadsnow.ai</v>
      </c>
      <c r="D127" s="7" t="str">
        <f>IFERROR(__xludf.DUMMYFUNCTION("""COMPUTED_VALUE"""),"HOMEPAGE")</f>
        <v>HOMEPAGE</v>
      </c>
      <c r="E127" s="7" t="str">
        <f>IFERROR(__xludf.DUMMYFUNCTION("""COMPUTED_VALUE"""),"COMPETITOR")</f>
        <v>COMPETITOR</v>
      </c>
      <c r="F127" s="7" t="str">
        <f>IFERROR(__xludf.DUMMYFUNCTION("""COMPUTED_VALUE"""),"Homepage")</f>
        <v>Homepage</v>
      </c>
      <c r="G127" s="7" t="b">
        <f>IFERROR(__xludf.DUMMYFUNCTION("""COMPUTED_VALUE"""),FALSE)</f>
        <v>0</v>
      </c>
      <c r="H127" s="7" t="str">
        <f>IFERROR(__xludf.DUMMYFUNCTION("""COMPUTED_VALUE"""),"LeadsNow.ai, Measured")</f>
        <v>LeadsNow.ai, Measured</v>
      </c>
      <c r="I127" s="7">
        <f>IFERROR(__xludf.DUMMYFUNCTION("""COMPUTED_VALUE"""),1.0)</f>
        <v>1</v>
      </c>
      <c r="J127" s="7">
        <f>IFERROR(__xludf.DUMMYFUNCTION("""COMPUTED_VALUE"""),0.0)</f>
        <v>0</v>
      </c>
      <c r="K127" s="7">
        <f>IFERROR(__xludf.DUMMYFUNCTION("""COMPUTED_VALUE"""),1.0)</f>
        <v>1</v>
      </c>
    </row>
    <row r="128" ht="15.75" customHeight="1">
      <c r="A128" s="6" t="str">
        <f>IFERROR(__xludf.DUMMYFUNCTION("""COMPUTED_VALUE"""),"https://liftlab.com/")</f>
        <v>https://liftlab.com/</v>
      </c>
      <c r="B128" s="7" t="str">
        <f>IFERROR(__xludf.DUMMYFUNCTION("""COMPUTED_VALUE"""),"Agile MMM &amp;amp; Incrementality Testing Built for Growth Leaders | LiftLab")</f>
        <v>Agile MMM &amp;amp; Incrementality Testing Built for Growth Leaders | LiftLab</v>
      </c>
      <c r="C128" s="6" t="str">
        <f>IFERROR(__xludf.DUMMYFUNCTION("""COMPUTED_VALUE"""),"liftlab.com")</f>
        <v>liftlab.com</v>
      </c>
      <c r="D128" s="7" t="str">
        <f>IFERROR(__xludf.DUMMYFUNCTION("""COMPUTED_VALUE"""),"HOMEPAGE")</f>
        <v>HOMEPAGE</v>
      </c>
      <c r="E128" s="7" t="str">
        <f>IFERROR(__xludf.DUMMYFUNCTION("""COMPUTED_VALUE"""),"COMPETITOR")</f>
        <v>COMPETITOR</v>
      </c>
      <c r="F128" s="7" t="str">
        <f>IFERROR(__xludf.DUMMYFUNCTION("""COMPUTED_VALUE"""),"Homepage")</f>
        <v>Homepage</v>
      </c>
      <c r="G128" s="7" t="b">
        <f>IFERROR(__xludf.DUMMYFUNCTION("""COMPUTED_VALUE"""),FALSE)</f>
        <v>0</v>
      </c>
      <c r="H128" s="7" t="str">
        <f>IFERROR(__xludf.DUMMYFUNCTION("""COMPUTED_VALUE"""),"LiftLab")</f>
        <v>LiftLab</v>
      </c>
      <c r="I128" s="7">
        <f>IFERROR(__xludf.DUMMYFUNCTION("""COMPUTED_VALUE"""),1.0)</f>
        <v>1</v>
      </c>
      <c r="J128" s="7">
        <f>IFERROR(__xludf.DUMMYFUNCTION("""COMPUTED_VALUE"""),0.0)</f>
        <v>0</v>
      </c>
      <c r="K128" s="7">
        <f>IFERROR(__xludf.DUMMYFUNCTION("""COMPUTED_VALUE"""),0.0)</f>
        <v>0</v>
      </c>
    </row>
    <row r="129" ht="15.75" customHeight="1">
      <c r="A129" s="6" t="str">
        <f>IFERROR(__xludf.DUMMYFUNCTION("""COMPUTED_VALUE"""),"https://www.lovesdata.com/")</f>
        <v>https://www.lovesdata.com/</v>
      </c>
      <c r="B129" s="7" t="str">
        <f>IFERROR(__xludf.DUMMYFUNCTION("""COMPUTED_VALUE"""),"Loves Data – Learn Google Analytics, Google Ads &amp;amp; More")</f>
        <v>Loves Data – Learn Google Analytics, Google Ads &amp;amp; More</v>
      </c>
      <c r="C129" s="6" t="str">
        <f>IFERROR(__xludf.DUMMYFUNCTION("""COMPUTED_VALUE"""),"lovesdata.com")</f>
        <v>lovesdata.com</v>
      </c>
      <c r="D129" s="7" t="str">
        <f>IFERROR(__xludf.DUMMYFUNCTION("""COMPUTED_VALUE"""),"HOMEPAGE")</f>
        <v>HOMEPAGE</v>
      </c>
      <c r="E129" s="7" t="str">
        <f>IFERROR(__xludf.DUMMYFUNCTION("""COMPUTED_VALUE"""),"COMPETITOR")</f>
        <v>COMPETITOR</v>
      </c>
      <c r="F129" s="7" t="str">
        <f>IFERROR(__xludf.DUMMYFUNCTION("""COMPUTED_VALUE"""),"Homepage")</f>
        <v>Homepage</v>
      </c>
      <c r="G129" s="7" t="b">
        <f>IFERROR(__xludf.DUMMYFUNCTION("""COMPUTED_VALUE"""),FALSE)</f>
        <v>0</v>
      </c>
      <c r="H129" s="7" t="str">
        <f>IFERROR(__xludf.DUMMYFUNCTION("""COMPUTED_VALUE"""),"Loves Data")</f>
        <v>Loves Data</v>
      </c>
      <c r="I129" s="7">
        <f>IFERROR(__xludf.DUMMYFUNCTION("""COMPUTED_VALUE"""),1.0)</f>
        <v>1</v>
      </c>
      <c r="J129" s="7">
        <f>IFERROR(__xludf.DUMMYFUNCTION("""COMPUTED_VALUE"""),0.0)</f>
        <v>0</v>
      </c>
      <c r="K129" s="7">
        <f>IFERROR(__xludf.DUMMYFUNCTION("""COMPUTED_VALUE"""),1.0)</f>
        <v>1</v>
      </c>
    </row>
    <row r="130" ht="15.75" customHeight="1">
      <c r="A130" s="6" t="str">
        <f>IFERROR(__xludf.DUMMYFUNCTION("""COMPUTED_VALUE"""),"https://makeitbigmedia.com/")</f>
        <v>https://makeitbigmedia.com/</v>
      </c>
      <c r="B130" s="7" t="str">
        <f>IFERROR(__xludf.DUMMYFUNCTION("""COMPUTED_VALUE"""),"Make It Big Media | SEO, AI Marketing &amp;amp; Business Automation | Melbourne, Australia")</f>
        <v>Make It Big Media | SEO, AI Marketing &amp;amp; Business Automation | Melbourne, Australia</v>
      </c>
      <c r="C130" s="6" t="str">
        <f>IFERROR(__xludf.DUMMYFUNCTION("""COMPUTED_VALUE"""),"makeitbigmedia.com")</f>
        <v>makeitbigmedia.com</v>
      </c>
      <c r="D130" s="7" t="str">
        <f>IFERROR(__xludf.DUMMYFUNCTION("""COMPUTED_VALUE"""),"HOMEPAGE")</f>
        <v>HOMEPAGE</v>
      </c>
      <c r="E130" s="7" t="str">
        <f>IFERROR(__xludf.DUMMYFUNCTION("""COMPUTED_VALUE"""),"CORPORATE")</f>
        <v>CORPORATE</v>
      </c>
      <c r="F130" s="7" t="str">
        <f>IFERROR(__xludf.DUMMYFUNCTION("""COMPUTED_VALUE"""),"Homepage")</f>
        <v>Homepage</v>
      </c>
      <c r="G130" s="7" t="b">
        <f>IFERROR(__xludf.DUMMYFUNCTION("""COMPUTED_VALUE"""),FALSE)</f>
        <v>0</v>
      </c>
      <c r="H130" s="7"/>
      <c r="I130" s="7">
        <f>IFERROR(__xludf.DUMMYFUNCTION("""COMPUTED_VALUE"""),1.0)</f>
        <v>1</v>
      </c>
      <c r="J130" s="7">
        <f>IFERROR(__xludf.DUMMYFUNCTION("""COMPUTED_VALUE"""),0.0)</f>
        <v>0</v>
      </c>
      <c r="K130" s="7">
        <f>IFERROR(__xludf.DUMMYFUNCTION("""COMPUTED_VALUE"""),2.0)</f>
        <v>2</v>
      </c>
    </row>
    <row r="131" ht="15.75" customHeight="1">
      <c r="A131" s="6" t="str">
        <f>IFERROR(__xludf.DUMMYFUNCTION("""COMPUTED_VALUE"""),"https://mammothgeospatial.com/")</f>
        <v>https://mammothgeospatial.com/</v>
      </c>
      <c r="B131" s="7" t="str">
        <f>IFERROR(__xludf.DUMMYFUNCTION("""COMPUTED_VALUE"""),"Mammoth Geospatial | Leading open source GIS and QGIS provider, based in Perth, Australia")</f>
        <v>Mammoth Geospatial | Leading open source GIS and QGIS provider, based in Perth, Australia</v>
      </c>
      <c r="C131" s="6" t="str">
        <f>IFERROR(__xludf.DUMMYFUNCTION("""COMPUTED_VALUE"""),"mammothgeospatial.com")</f>
        <v>mammothgeospatial.com</v>
      </c>
      <c r="D131" s="7" t="str">
        <f>IFERROR(__xludf.DUMMYFUNCTION("""COMPUTED_VALUE"""),"HOMEPAGE")</f>
        <v>HOMEPAGE</v>
      </c>
      <c r="E131" s="7" t="str">
        <f>IFERROR(__xludf.DUMMYFUNCTION("""COMPUTED_VALUE"""),"CORPORATE")</f>
        <v>CORPORATE</v>
      </c>
      <c r="F131" s="7" t="str">
        <f>IFERROR(__xludf.DUMMYFUNCTION("""COMPUTED_VALUE"""),"Homepage")</f>
        <v>Homepage</v>
      </c>
      <c r="G131" s="7" t="b">
        <f>IFERROR(__xludf.DUMMYFUNCTION("""COMPUTED_VALUE"""),FALSE)</f>
        <v>0</v>
      </c>
      <c r="H131" s="7"/>
      <c r="I131" s="7">
        <f>IFERROR(__xludf.DUMMYFUNCTION("""COMPUTED_VALUE"""),1.0)</f>
        <v>1</v>
      </c>
      <c r="J131" s="7">
        <f>IFERROR(__xludf.DUMMYFUNCTION("""COMPUTED_VALUE"""),0.0)</f>
        <v>0</v>
      </c>
      <c r="K131" s="7">
        <f>IFERROR(__xludf.DUMMYFUNCTION("""COMPUTED_VALUE"""),1.0)</f>
        <v>1</v>
      </c>
    </row>
    <row r="132" ht="15.75" customHeight="1">
      <c r="A132" s="6" t="str">
        <f>IFERROR(__xludf.DUMMYFUNCTION("""COMPUTED_VALUE"""),"https://www.marketingattribution.com/")</f>
        <v>https://www.marketingattribution.com/</v>
      </c>
      <c r="B132" s="7" t="str">
        <f>IFERROR(__xludf.DUMMYFUNCTION("""COMPUTED_VALUE"""),"Know What Works | Marketing Attribution")</f>
        <v>Know What Works | Marketing Attribution</v>
      </c>
      <c r="C132" s="6" t="str">
        <f>IFERROR(__xludf.DUMMYFUNCTION("""COMPUTED_VALUE"""),"marketingattribution.com")</f>
        <v>marketingattribution.com</v>
      </c>
      <c r="D132" s="7" t="str">
        <f>IFERROR(__xludf.DUMMYFUNCTION("""COMPUTED_VALUE"""),"HOMEPAGE")</f>
        <v>HOMEPAGE</v>
      </c>
      <c r="E132" s="7" t="str">
        <f>IFERROR(__xludf.DUMMYFUNCTION("""COMPUTED_VALUE"""),"CORPORATE")</f>
        <v>CORPORATE</v>
      </c>
      <c r="F132" s="7" t="str">
        <f>IFERROR(__xludf.DUMMYFUNCTION("""COMPUTED_VALUE"""),"Homepage")</f>
        <v>Homepage</v>
      </c>
      <c r="G132" s="7" t="b">
        <f>IFERROR(__xludf.DUMMYFUNCTION("""COMPUTED_VALUE"""),FALSE)</f>
        <v>0</v>
      </c>
      <c r="H132" s="7"/>
      <c r="I132" s="7">
        <f>IFERROR(__xludf.DUMMYFUNCTION("""COMPUTED_VALUE"""),1.0)</f>
        <v>1</v>
      </c>
      <c r="J132" s="7">
        <f>IFERROR(__xludf.DUMMYFUNCTION("""COMPUTED_VALUE"""),0.0)</f>
        <v>0</v>
      </c>
      <c r="K132" s="7">
        <f>IFERROR(__xludf.DUMMYFUNCTION("""COMPUTED_VALUE"""),4.0)</f>
        <v>4</v>
      </c>
    </row>
    <row r="133" ht="15.75" customHeight="1">
      <c r="A133" s="6" t="str">
        <f>IFERROR(__xludf.DUMMYFUNCTION("""COMPUTED_VALUE"""),"https://www.marketingattributionsoftware.com/")</f>
        <v>https://www.marketingattributionsoftware.com/</v>
      </c>
      <c r="B133" s="7" t="str">
        <f>IFERROR(__xludf.DUMMYFUNCTION("""COMPUTED_VALUE"""),"Best Marketing Attribution Software 2026 — Full Comparison of 18 Tools")</f>
        <v>Best Marketing Attribution Software 2026 — Full Comparison of 18 Tools</v>
      </c>
      <c r="C133" s="6" t="str">
        <f>IFERROR(__xludf.DUMMYFUNCTION("""COMPUTED_VALUE"""),"marketingattributionsoftware.com")</f>
        <v>marketingattributionsoftware.com</v>
      </c>
      <c r="D133" s="7" t="str">
        <f>IFERROR(__xludf.DUMMYFUNCTION("""COMPUTED_VALUE"""),"HOMEPAGE")</f>
        <v>HOMEPAGE</v>
      </c>
      <c r="E133" s="7" t="str">
        <f>IFERROR(__xludf.DUMMYFUNCTION("""COMPUTED_VALUE"""),"EDITORIAL")</f>
        <v>EDITORIAL</v>
      </c>
      <c r="F133" s="7" t="str">
        <f>IFERROR(__xludf.DUMMYFUNCTION("""COMPUTED_VALUE"""),"Homepage")</f>
        <v>Homepage</v>
      </c>
      <c r="G133" s="7" t="b">
        <f>IFERROR(__xludf.DUMMYFUNCTION("""COMPUTED_VALUE"""),FALSE)</f>
        <v>0</v>
      </c>
      <c r="H133" s="7" t="str">
        <f>IFERROR(__xludf.DUMMYFUNCTION("""COMPUTED_VALUE"""),"Huge")</f>
        <v>Huge</v>
      </c>
      <c r="I133" s="7">
        <f>IFERROR(__xludf.DUMMYFUNCTION("""COMPUTED_VALUE"""),1.0)</f>
        <v>1</v>
      </c>
      <c r="J133" s="7">
        <f>IFERROR(__xludf.DUMMYFUNCTION("""COMPUTED_VALUE"""),0.0)</f>
        <v>0</v>
      </c>
      <c r="K133" s="7">
        <f>IFERROR(__xludf.DUMMYFUNCTION("""COMPUTED_VALUE"""),0.0)</f>
        <v>0</v>
      </c>
    </row>
    <row r="134" ht="15.75" customHeight="1">
      <c r="A134" s="6" t="str">
        <f>IFERROR(__xludf.DUMMYFUNCTION("""COMPUTED_VALUE"""),"https://methodworks.com.au/")</f>
        <v>https://methodworks.com.au/</v>
      </c>
      <c r="B134" s="7" t="str">
        <f>IFERROR(__xludf.DUMMYFUNCTION("""COMPUTED_VALUE"""),"MethodWorks | AI Readiness Program for Australian Mid-Market")</f>
        <v>MethodWorks | AI Readiness Program for Australian Mid-Market</v>
      </c>
      <c r="C134" s="6" t="str">
        <f>IFERROR(__xludf.DUMMYFUNCTION("""COMPUTED_VALUE"""),"methodworks.com.au")</f>
        <v>methodworks.com.au</v>
      </c>
      <c r="D134" s="7" t="str">
        <f>IFERROR(__xludf.DUMMYFUNCTION("""COMPUTED_VALUE"""),"HOMEPAGE")</f>
        <v>HOMEPAGE</v>
      </c>
      <c r="E134" s="7" t="str">
        <f>IFERROR(__xludf.DUMMYFUNCTION("""COMPUTED_VALUE"""),"CORPORATE")</f>
        <v>CORPORATE</v>
      </c>
      <c r="F134" s="7" t="str">
        <f>IFERROR(__xludf.DUMMYFUNCTION("""COMPUTED_VALUE"""),"Homepage")</f>
        <v>Homepage</v>
      </c>
      <c r="G134" s="7" t="b">
        <f>IFERROR(__xludf.DUMMYFUNCTION("""COMPUTED_VALUE"""),FALSE)</f>
        <v>0</v>
      </c>
      <c r="H134" s="7" t="str">
        <f>IFERROR(__xludf.DUMMYFUNCTION("""COMPUTED_VALUE"""),"Momentum, Measured")</f>
        <v>Momentum, Measured</v>
      </c>
      <c r="I134" s="7">
        <f>IFERROR(__xludf.DUMMYFUNCTION("""COMPUTED_VALUE"""),1.0)</f>
        <v>1</v>
      </c>
      <c r="J134" s="7">
        <f>IFERROR(__xludf.DUMMYFUNCTION("""COMPUTED_VALUE"""),0.0)</f>
        <v>0</v>
      </c>
      <c r="K134" s="7">
        <f>IFERROR(__xludf.DUMMYFUNCTION("""COMPUTED_VALUE"""),0.0)</f>
        <v>0</v>
      </c>
    </row>
    <row r="135" ht="15.75" customHeight="1">
      <c r="A135" s="6" t="str">
        <f>IFERROR(__xludf.DUMMYFUNCTION("""COMPUTED_VALUE"""),"https://www.mi-3.com.au/")</f>
        <v>https://www.mi-3.com.au/</v>
      </c>
      <c r="B135" s="7" t="str">
        <f>IFERROR(__xludf.DUMMYFUNCTION("""COMPUTED_VALUE"""),"Welcome to Mi3 | Mi3")</f>
        <v>Welcome to Mi3 | Mi3</v>
      </c>
      <c r="C135" s="6" t="str">
        <f>IFERROR(__xludf.DUMMYFUNCTION("""COMPUTED_VALUE"""),"mi-3.com.au")</f>
        <v>mi-3.com.au</v>
      </c>
      <c r="D135" s="7" t="str">
        <f>IFERROR(__xludf.DUMMYFUNCTION("""COMPUTED_VALUE"""),"HOMEPAGE")</f>
        <v>HOMEPAGE</v>
      </c>
      <c r="E135" s="7" t="str">
        <f>IFERROR(__xludf.DUMMYFUNCTION("""COMPUTED_VALUE"""),"CORPORATE")</f>
        <v>CORPORATE</v>
      </c>
      <c r="F135" s="7" t="str">
        <f>IFERROR(__xludf.DUMMYFUNCTION("""COMPUTED_VALUE"""),"Homepage")</f>
        <v>Homepage</v>
      </c>
      <c r="G135" s="7" t="b">
        <f>IFERROR(__xludf.DUMMYFUNCTION("""COMPUTED_VALUE"""),FALSE)</f>
        <v>0</v>
      </c>
      <c r="H135" s="7" t="str">
        <f>IFERROR(__xludf.DUMMYFUNCTION("""COMPUTED_VALUE"""),"WPP, In Marketing We Trust, Mutinex")</f>
        <v>WPP, In Marketing We Trust, Mutinex</v>
      </c>
      <c r="I135" s="7">
        <f>IFERROR(__xludf.DUMMYFUNCTION("""COMPUTED_VALUE"""),1.0)</f>
        <v>1</v>
      </c>
      <c r="J135" s="7">
        <f>IFERROR(__xludf.DUMMYFUNCTION("""COMPUTED_VALUE"""),0.0)</f>
        <v>0</v>
      </c>
      <c r="K135" s="7">
        <f>IFERROR(__xludf.DUMMYFUNCTION("""COMPUTED_VALUE"""),1.0)</f>
        <v>1</v>
      </c>
    </row>
    <row r="136" ht="15.75" customHeight="1">
      <c r="A136" s="6" t="str">
        <f>IFERROR(__xludf.DUMMYFUNCTION("""COMPUTED_VALUE"""),"https://mooning.com/")</f>
        <v>https://mooning.com/</v>
      </c>
      <c r="B136" s="7" t="str">
        <f>IFERROR(__xludf.DUMMYFUNCTION("""COMPUTED_VALUE"""),"Mooning — AI Marketing Agency | Creative Intelligence for Ambitious Brands")</f>
        <v>Mooning — AI Marketing Agency | Creative Intelligence for Ambitious Brands</v>
      </c>
      <c r="C136" s="6" t="str">
        <f>IFERROR(__xludf.DUMMYFUNCTION("""COMPUTED_VALUE"""),"mooning.com")</f>
        <v>mooning.com</v>
      </c>
      <c r="D136" s="7" t="str">
        <f>IFERROR(__xludf.DUMMYFUNCTION("""COMPUTED_VALUE"""),"HOMEPAGE")</f>
        <v>HOMEPAGE</v>
      </c>
      <c r="E136" s="7" t="str">
        <f>IFERROR(__xludf.DUMMYFUNCTION("""COMPUTED_VALUE"""),"CORPORATE")</f>
        <v>CORPORATE</v>
      </c>
      <c r="F136" s="7" t="str">
        <f>IFERROR(__xludf.DUMMYFUNCTION("""COMPUTED_VALUE"""),"Homepage")</f>
        <v>Homepage</v>
      </c>
      <c r="G136" s="7" t="b">
        <f>IFERROR(__xludf.DUMMYFUNCTION("""COMPUTED_VALUE"""),FALSE)</f>
        <v>0</v>
      </c>
      <c r="H136" s="7"/>
      <c r="I136" s="7">
        <f>IFERROR(__xludf.DUMMYFUNCTION("""COMPUTED_VALUE"""),1.0)</f>
        <v>1</v>
      </c>
      <c r="J136" s="7">
        <f>IFERROR(__xludf.DUMMYFUNCTION("""COMPUTED_VALUE"""),0.0)</f>
        <v>0</v>
      </c>
      <c r="K136" s="7">
        <f>IFERROR(__xludf.DUMMYFUNCTION("""COMPUTED_VALUE"""),1.0)</f>
        <v>1</v>
      </c>
    </row>
    <row r="137" ht="15.75" customHeight="1">
      <c r="A137" s="6" t="str">
        <f>IFERROR(__xludf.DUMMYFUNCTION("""COMPUTED_VALUE"""),"https://www.ogilvypr.com.au/")</f>
        <v>https://www.ogilvypr.com.au/</v>
      </c>
      <c r="B137" s="7" t="str">
        <f>IFERROR(__xludf.DUMMYFUNCTION("""COMPUTED_VALUE"""),"Ogilvy PR")</f>
        <v>Ogilvy PR</v>
      </c>
      <c r="C137" s="6" t="str">
        <f>IFERROR(__xludf.DUMMYFUNCTION("""COMPUTED_VALUE"""),"ogilvypr.com.au")</f>
        <v>ogilvypr.com.au</v>
      </c>
      <c r="D137" s="7" t="str">
        <f>IFERROR(__xludf.DUMMYFUNCTION("""COMPUTED_VALUE"""),"HOMEPAGE")</f>
        <v>HOMEPAGE</v>
      </c>
      <c r="E137" s="7" t="str">
        <f>IFERROR(__xludf.DUMMYFUNCTION("""COMPUTED_VALUE"""),"CORPORATE")</f>
        <v>CORPORATE</v>
      </c>
      <c r="F137" s="7" t="str">
        <f>IFERROR(__xludf.DUMMYFUNCTION("""COMPUTED_VALUE"""),"Homepage")</f>
        <v>Homepage</v>
      </c>
      <c r="G137" s="7" t="b">
        <f>IFERROR(__xludf.DUMMYFUNCTION("""COMPUTED_VALUE"""),FALSE)</f>
        <v>0</v>
      </c>
      <c r="H137" s="7" t="str">
        <f>IFERROR(__xludf.DUMMYFUNCTION("""COMPUTED_VALUE"""),"WPP")</f>
        <v>WPP</v>
      </c>
      <c r="I137" s="7">
        <f>IFERROR(__xludf.DUMMYFUNCTION("""COMPUTED_VALUE"""),1.0)</f>
        <v>1</v>
      </c>
      <c r="J137" s="7">
        <f>IFERROR(__xludf.DUMMYFUNCTION("""COMPUTED_VALUE"""),0.0)</f>
        <v>0</v>
      </c>
      <c r="K137" s="7">
        <f>IFERROR(__xludf.DUMMYFUNCTION("""COMPUTED_VALUE"""),1.0)</f>
        <v>1</v>
      </c>
    </row>
    <row r="138" ht="15.75" customHeight="1">
      <c r="A138" s="6" t="str">
        <f>IFERROR(__xludf.DUMMYFUNCTION("""COMPUTED_VALUE"""),"https://paramark.com/")</f>
        <v>https://paramark.com/</v>
      </c>
      <c r="B138" s="7" t="str">
        <f>IFERROR(__xludf.DUMMYFUNCTION("""COMPUTED_VALUE"""),"Paramark - Incrementality Measurement Redefined")</f>
        <v>Paramark - Incrementality Measurement Redefined</v>
      </c>
      <c r="C138" s="6" t="str">
        <f>IFERROR(__xludf.DUMMYFUNCTION("""COMPUTED_VALUE"""),"paramark.com")</f>
        <v>paramark.com</v>
      </c>
      <c r="D138" s="7" t="str">
        <f>IFERROR(__xludf.DUMMYFUNCTION("""COMPUTED_VALUE"""),"HOMEPAGE")</f>
        <v>HOMEPAGE</v>
      </c>
      <c r="E138" s="7" t="str">
        <f>IFERROR(__xludf.DUMMYFUNCTION("""COMPUTED_VALUE"""),"CORPORATE")</f>
        <v>CORPORATE</v>
      </c>
      <c r="F138" s="7" t="str">
        <f>IFERROR(__xludf.DUMMYFUNCTION("""COMPUTED_VALUE"""),"Homepage")</f>
        <v>Homepage</v>
      </c>
      <c r="G138" s="7" t="b">
        <f>IFERROR(__xludf.DUMMYFUNCTION("""COMPUTED_VALUE"""),FALSE)</f>
        <v>0</v>
      </c>
      <c r="H138" s="7" t="str">
        <f>IFERROR(__xludf.DUMMYFUNCTION("""COMPUTED_VALUE"""),"Measured, Haus")</f>
        <v>Measured, Haus</v>
      </c>
      <c r="I138" s="7">
        <f>IFERROR(__xludf.DUMMYFUNCTION("""COMPUTED_VALUE"""),1.0)</f>
        <v>1</v>
      </c>
      <c r="J138" s="7">
        <f>IFERROR(__xludf.DUMMYFUNCTION("""COMPUTED_VALUE"""),0.0)</f>
        <v>0</v>
      </c>
      <c r="K138" s="7">
        <f>IFERROR(__xludf.DUMMYFUNCTION("""COMPUTED_VALUE"""),2.0)</f>
        <v>2</v>
      </c>
    </row>
    <row r="139" ht="15.75" customHeight="1">
      <c r="A139" s="6" t="str">
        <f>IFERROR(__xludf.DUMMYFUNCTION("""COMPUTED_VALUE"""),"https://www.performics.com/au/")</f>
        <v>https://www.performics.com/au/</v>
      </c>
      <c r="B139" s="7"/>
      <c r="C139" s="6" t="str">
        <f>IFERROR(__xludf.DUMMYFUNCTION("""COMPUTED_VALUE"""),"performics.com")</f>
        <v>performics.com</v>
      </c>
      <c r="D139" s="7" t="str">
        <f>IFERROR(__xludf.DUMMYFUNCTION("""COMPUTED_VALUE"""),"HOMEPAGE")</f>
        <v>HOMEPAGE</v>
      </c>
      <c r="E139" s="7" t="str">
        <f>IFERROR(__xludf.DUMMYFUNCTION("""COMPUTED_VALUE"""),"CORPORATE")</f>
        <v>CORPORATE</v>
      </c>
      <c r="F139" s="7" t="str">
        <f>IFERROR(__xludf.DUMMYFUNCTION("""COMPUTED_VALUE"""),"Homepage")</f>
        <v>Homepage</v>
      </c>
      <c r="G139" s="7" t="b">
        <f>IFERROR(__xludf.DUMMYFUNCTION("""COMPUTED_VALUE"""),FALSE)</f>
        <v>0</v>
      </c>
      <c r="H139" s="7" t="str">
        <f>IFERROR(__xludf.DUMMYFUNCTION("""COMPUTED_VALUE"""),"Publicis Groupe")</f>
        <v>Publicis Groupe</v>
      </c>
      <c r="I139" s="7">
        <f>IFERROR(__xludf.DUMMYFUNCTION("""COMPUTED_VALUE"""),1.0)</f>
        <v>1</v>
      </c>
      <c r="J139" s="7">
        <f>IFERROR(__xludf.DUMMYFUNCTION("""COMPUTED_VALUE"""),0.0)</f>
        <v>0</v>
      </c>
      <c r="K139" s="7">
        <f>IFERROR(__xludf.DUMMYFUNCTION("""COMPUTED_VALUE"""),3.0)</f>
        <v>3</v>
      </c>
    </row>
    <row r="140" ht="15.75" customHeight="1">
      <c r="A140" s="6" t="str">
        <f>IFERROR(__xludf.DUMMYFUNCTION("""COMPUTED_VALUE"""),"https://purealanalytics.co.uk/")</f>
        <v>https://purealanalytics.co.uk/</v>
      </c>
      <c r="B140" s="7" t="str">
        <f>IFERROR(__xludf.DUMMYFUNCTION("""COMPUTED_VALUE"""),"Pureal Analytics — Marketing measurement, modelled properly")</f>
        <v>Pureal Analytics — Marketing measurement, modelled properly</v>
      </c>
      <c r="C140" s="6" t="str">
        <f>IFERROR(__xludf.DUMMYFUNCTION("""COMPUTED_VALUE"""),"purealanalytics.co.uk")</f>
        <v>purealanalytics.co.uk</v>
      </c>
      <c r="D140" s="7" t="str">
        <f>IFERROR(__xludf.DUMMYFUNCTION("""COMPUTED_VALUE"""),"HOMEPAGE")</f>
        <v>HOMEPAGE</v>
      </c>
      <c r="E140" s="7" t="str">
        <f>IFERROR(__xludf.DUMMYFUNCTION("""COMPUTED_VALUE"""),"CORPORATE")</f>
        <v>CORPORATE</v>
      </c>
      <c r="F140" s="7" t="str">
        <f>IFERROR(__xludf.DUMMYFUNCTION("""COMPUTED_VALUE"""),"Homepage")</f>
        <v>Homepage</v>
      </c>
      <c r="G140" s="7" t="b">
        <f>IFERROR(__xludf.DUMMYFUNCTION("""COMPUTED_VALUE"""),FALSE)</f>
        <v>0</v>
      </c>
      <c r="H140" s="7"/>
      <c r="I140" s="7">
        <f>IFERROR(__xludf.DUMMYFUNCTION("""COMPUTED_VALUE"""),1.0)</f>
        <v>1</v>
      </c>
      <c r="J140" s="7">
        <f>IFERROR(__xludf.DUMMYFUNCTION("""COMPUTED_VALUE"""),0.0)</f>
        <v>0</v>
      </c>
      <c r="K140" s="7">
        <f>IFERROR(__xludf.DUMMYFUNCTION("""COMPUTED_VALUE"""),0.0)</f>
        <v>0</v>
      </c>
    </row>
    <row r="141" ht="15.75" customHeight="1">
      <c r="A141" s="6" t="str">
        <f>IFERROR(__xludf.DUMMYFUNCTION("""COMPUTED_VALUE"""),"https://puroai.com.au/")</f>
        <v>https://puroai.com.au/</v>
      </c>
      <c r="B141" s="7" t="str">
        <f>IFERROR(__xludf.DUMMYFUNCTION("""COMPUTED_VALUE"""),"Puro — AI Consulting for Australian SMEs")</f>
        <v>Puro — AI Consulting for Australian SMEs</v>
      </c>
      <c r="C141" s="6" t="str">
        <f>IFERROR(__xludf.DUMMYFUNCTION("""COMPUTED_VALUE"""),"puroai.com.au")</f>
        <v>puroai.com.au</v>
      </c>
      <c r="D141" s="7" t="str">
        <f>IFERROR(__xludf.DUMMYFUNCTION("""COMPUTED_VALUE"""),"HOMEPAGE")</f>
        <v>HOMEPAGE</v>
      </c>
      <c r="E141" s="7" t="str">
        <f>IFERROR(__xludf.DUMMYFUNCTION("""COMPUTED_VALUE"""),"CORPORATE")</f>
        <v>CORPORATE</v>
      </c>
      <c r="F141" s="7" t="str">
        <f>IFERROR(__xludf.DUMMYFUNCTION("""COMPUTED_VALUE"""),"Homepage")</f>
        <v>Homepage</v>
      </c>
      <c r="G141" s="7" t="b">
        <f>IFERROR(__xludf.DUMMYFUNCTION("""COMPUTED_VALUE"""),FALSE)</f>
        <v>0</v>
      </c>
      <c r="H141" s="7"/>
      <c r="I141" s="7">
        <f>IFERROR(__xludf.DUMMYFUNCTION("""COMPUTED_VALUE"""),1.0)</f>
        <v>1</v>
      </c>
      <c r="J141" s="7">
        <f>IFERROR(__xludf.DUMMYFUNCTION("""COMPUTED_VALUE"""),0.0)</f>
        <v>0</v>
      </c>
      <c r="K141" s="7">
        <f>IFERROR(__xludf.DUMMYFUNCTION("""COMPUTED_VALUE"""),1.0)</f>
        <v>1</v>
      </c>
    </row>
    <row r="142" ht="15.75" customHeight="1">
      <c r="A142" s="6" t="str">
        <f>IFERROR(__xludf.DUMMYFUNCTION("""COMPUTED_VALUE"""),"https://rocketagency.com.au/")</f>
        <v>https://rocketagency.com.au/</v>
      </c>
      <c r="B142" s="7" t="str">
        <f>IFERROR(__xludf.DUMMYFUNCTION("""COMPUTED_VALUE"""),"Digital Marketing Agency | 30+ Awards Won | Rocket")</f>
        <v>Digital Marketing Agency | 30+ Awards Won | Rocket</v>
      </c>
      <c r="C142" s="6" t="str">
        <f>IFERROR(__xludf.DUMMYFUNCTION("""COMPUTED_VALUE"""),"rocketagency.com.au")</f>
        <v>rocketagency.com.au</v>
      </c>
      <c r="D142" s="7" t="str">
        <f>IFERROR(__xludf.DUMMYFUNCTION("""COMPUTED_VALUE"""),"HOMEPAGE")</f>
        <v>HOMEPAGE</v>
      </c>
      <c r="E142" s="7" t="str">
        <f>IFERROR(__xludf.DUMMYFUNCTION("""COMPUTED_VALUE"""),"COMPETITOR")</f>
        <v>COMPETITOR</v>
      </c>
      <c r="F142" s="7" t="str">
        <f>IFERROR(__xludf.DUMMYFUNCTION("""COMPUTED_VALUE"""),"Homepage")</f>
        <v>Homepage</v>
      </c>
      <c r="G142" s="7" t="b">
        <f>IFERROR(__xludf.DUMMYFUNCTION("""COMPUTED_VALUE"""),FALSE)</f>
        <v>0</v>
      </c>
      <c r="H142" s="7" t="str">
        <f>IFERROR(__xludf.DUMMYFUNCTION("""COMPUTED_VALUE"""),"Rocket Agency, HERO")</f>
        <v>Rocket Agency, HERO</v>
      </c>
      <c r="I142" s="7">
        <f>IFERROR(__xludf.DUMMYFUNCTION("""COMPUTED_VALUE"""),1.0)</f>
        <v>1</v>
      </c>
      <c r="J142" s="7">
        <f>IFERROR(__xludf.DUMMYFUNCTION("""COMPUTED_VALUE"""),0.0)</f>
        <v>0</v>
      </c>
      <c r="K142" s="7">
        <f>IFERROR(__xludf.DUMMYFUNCTION("""COMPUTED_VALUE"""),1.0)</f>
        <v>1</v>
      </c>
    </row>
    <row r="143" ht="15.75" customHeight="1">
      <c r="A143" s="6" t="str">
        <f>IFERROR(__xludf.DUMMYFUNCTION("""COMPUTED_VALUE"""),"https://savvyaustralia.com/")</f>
        <v>https://savvyaustralia.com/</v>
      </c>
      <c r="B143" s="7" t="str">
        <f>IFERROR(__xludf.DUMMYFUNCTION("""COMPUTED_VALUE"""),"AI Coaching for Australian Businesses | Severino Murze")</f>
        <v>AI Coaching for Australian Businesses | Severino Murze</v>
      </c>
      <c r="C143" s="6" t="str">
        <f>IFERROR(__xludf.DUMMYFUNCTION("""COMPUTED_VALUE"""),"savvyaustralia.com")</f>
        <v>savvyaustralia.com</v>
      </c>
      <c r="D143" s="7" t="str">
        <f>IFERROR(__xludf.DUMMYFUNCTION("""COMPUTED_VALUE"""),"HOMEPAGE")</f>
        <v>HOMEPAGE</v>
      </c>
      <c r="E143" s="7" t="str">
        <f>IFERROR(__xludf.DUMMYFUNCTION("""COMPUTED_VALUE"""),"CORPORATE")</f>
        <v>CORPORATE</v>
      </c>
      <c r="F143" s="7" t="str">
        <f>IFERROR(__xludf.DUMMYFUNCTION("""COMPUTED_VALUE"""),"Homepage")</f>
        <v>Homepage</v>
      </c>
      <c r="G143" s="7" t="b">
        <f>IFERROR(__xludf.DUMMYFUNCTION("""COMPUTED_VALUE"""),FALSE)</f>
        <v>0</v>
      </c>
      <c r="H143" s="7"/>
      <c r="I143" s="7">
        <f>IFERROR(__xludf.DUMMYFUNCTION("""COMPUTED_VALUE"""),1.0)</f>
        <v>1</v>
      </c>
      <c r="J143" s="7">
        <f>IFERROR(__xludf.DUMMYFUNCTION("""COMPUTED_VALUE"""),0.0)</f>
        <v>0</v>
      </c>
      <c r="K143" s="7">
        <f>IFERROR(__xludf.DUMMYFUNCTION("""COMPUTED_VALUE"""),0.0)</f>
        <v>0</v>
      </c>
    </row>
    <row r="144" ht="15.75" customHeight="1">
      <c r="A144" s="6" t="str">
        <f>IFERROR(__xludf.DUMMYFUNCTION("""COMPUTED_VALUE"""),"https://www.segments.com.au/")</f>
        <v>https://www.segments.com.au/</v>
      </c>
      <c r="B144" s="7" t="str">
        <f>IFERROR(__xludf.DUMMYFUNCTION("""COMPUTED_VALUE"""),"Home Page | Segments")</f>
        <v>Home Page | Segments</v>
      </c>
      <c r="C144" s="6" t="str">
        <f>IFERROR(__xludf.DUMMYFUNCTION("""COMPUTED_VALUE"""),"segments.com.au")</f>
        <v>segments.com.au</v>
      </c>
      <c r="D144" s="7" t="str">
        <f>IFERROR(__xludf.DUMMYFUNCTION("""COMPUTED_VALUE"""),"HOMEPAGE")</f>
        <v>HOMEPAGE</v>
      </c>
      <c r="E144" s="7" t="str">
        <f>IFERROR(__xludf.DUMMYFUNCTION("""COMPUTED_VALUE"""),"CORPORATE")</f>
        <v>CORPORATE</v>
      </c>
      <c r="F144" s="7" t="str">
        <f>IFERROR(__xludf.DUMMYFUNCTION("""COMPUTED_VALUE"""),"Homepage")</f>
        <v>Homepage</v>
      </c>
      <c r="G144" s="7" t="b">
        <f>IFERROR(__xludf.DUMMYFUNCTION("""COMPUTED_VALUE"""),FALSE)</f>
        <v>0</v>
      </c>
      <c r="H144" s="7" t="str">
        <f>IFERROR(__xludf.DUMMYFUNCTION("""COMPUTED_VALUE"""),"Edge Marketing")</f>
        <v>Edge Marketing</v>
      </c>
      <c r="I144" s="7">
        <f>IFERROR(__xludf.DUMMYFUNCTION("""COMPUTED_VALUE"""),1.0)</f>
        <v>1</v>
      </c>
      <c r="J144" s="7">
        <f>IFERROR(__xludf.DUMMYFUNCTION("""COMPUTED_VALUE"""),0.0)</f>
        <v>0</v>
      </c>
      <c r="K144" s="7">
        <f>IFERROR(__xludf.DUMMYFUNCTION("""COMPUTED_VALUE"""),3.0)</f>
        <v>3</v>
      </c>
    </row>
    <row r="145" ht="15.75" customHeight="1">
      <c r="A145" s="6" t="str">
        <f>IFERROR(__xludf.DUMMYFUNCTION("""COMPUTED_VALUE"""),"https://sensedatalab.com.au/")</f>
        <v>https://sensedatalab.com.au/</v>
      </c>
      <c r="B145" s="7" t="str">
        <f>IFERROR(__xludf.DUMMYFUNCTION("""COMPUTED_VALUE"""),"GA4, GTM &amp;amp; Measurement Strategy Australia | Sense Data Lab")</f>
        <v>GA4, GTM &amp;amp; Measurement Strategy Australia | Sense Data Lab</v>
      </c>
      <c r="C145" s="6" t="str">
        <f>IFERROR(__xludf.DUMMYFUNCTION("""COMPUTED_VALUE"""),"sensedatalab.com.au")</f>
        <v>sensedatalab.com.au</v>
      </c>
      <c r="D145" s="7" t="str">
        <f>IFERROR(__xludf.DUMMYFUNCTION("""COMPUTED_VALUE"""),"HOMEPAGE")</f>
        <v>HOMEPAGE</v>
      </c>
      <c r="E145" s="7" t="str">
        <f>IFERROR(__xludf.DUMMYFUNCTION("""COMPUTED_VALUE"""),"CORPORATE")</f>
        <v>CORPORATE</v>
      </c>
      <c r="F145" s="7" t="str">
        <f>IFERROR(__xludf.DUMMYFUNCTION("""COMPUTED_VALUE"""),"Homepage")</f>
        <v>Homepage</v>
      </c>
      <c r="G145" s="7" t="b">
        <f>IFERROR(__xludf.DUMMYFUNCTION("""COMPUTED_VALUE"""),FALSE)</f>
        <v>0</v>
      </c>
      <c r="H145" s="7"/>
      <c r="I145" s="7">
        <f>IFERROR(__xludf.DUMMYFUNCTION("""COMPUTED_VALUE"""),1.0)</f>
        <v>1</v>
      </c>
      <c r="J145" s="7">
        <f>IFERROR(__xludf.DUMMYFUNCTION("""COMPUTED_VALUE"""),0.0)</f>
        <v>0</v>
      </c>
      <c r="K145" s="7">
        <f>IFERROR(__xludf.DUMMYFUNCTION("""COMPUTED_VALUE"""),0.0)</f>
        <v>0</v>
      </c>
    </row>
    <row r="146" ht="15.75" customHeight="1">
      <c r="A146" s="6" t="str">
        <f>IFERROR(__xludf.DUMMYFUNCTION("""COMPUTED_VALUE"""),"https://www.slalom.com/us/en#:~:text=Slalom%20is%20a%20fiercely%20human,consulting%20that%20drives%20real%20impact")</f>
        <v>https://www.slalom.com/us/en#:~:text=Slalom%20is%20a%20fiercely%20human,consulting%20that%20drives%20real%20impact</v>
      </c>
      <c r="B146" s="7" t="str">
        <f>IFERROR(__xludf.DUMMYFUNCTION("""COMPUTED_VALUE"""),"Business consulting firm &amp;amp; AI consulting firm | Slalom")</f>
        <v>Business consulting firm &amp;amp; AI consulting firm | Slalom</v>
      </c>
      <c r="C146" s="6" t="str">
        <f>IFERROR(__xludf.DUMMYFUNCTION("""COMPUTED_VALUE"""),"slalom.com")</f>
        <v>slalom.com</v>
      </c>
      <c r="D146" s="7" t="str">
        <f>IFERROR(__xludf.DUMMYFUNCTION("""COMPUTED_VALUE"""),"HOMEPAGE")</f>
        <v>HOMEPAGE</v>
      </c>
      <c r="E146" s="7" t="str">
        <f>IFERROR(__xludf.DUMMYFUNCTION("""COMPUTED_VALUE"""),"CORPORATE")</f>
        <v>CORPORATE</v>
      </c>
      <c r="F146" s="7" t="str">
        <f>IFERROR(__xludf.DUMMYFUNCTION("""COMPUTED_VALUE"""),"Homepage")</f>
        <v>Homepage</v>
      </c>
      <c r="G146" s="7" t="b">
        <f>IFERROR(__xludf.DUMMYFUNCTION("""COMPUTED_VALUE"""),FALSE)</f>
        <v>0</v>
      </c>
      <c r="H146" s="7" t="str">
        <f>IFERROR(__xludf.DUMMYFUNCTION("""COMPUTED_VALUE"""),"Momentum")</f>
        <v>Momentum</v>
      </c>
      <c r="I146" s="7">
        <f>IFERROR(__xludf.DUMMYFUNCTION("""COMPUTED_VALUE"""),1.0)</f>
        <v>1</v>
      </c>
      <c r="J146" s="7">
        <f>IFERROR(__xludf.DUMMYFUNCTION("""COMPUTED_VALUE"""),0.0)</f>
        <v>0</v>
      </c>
      <c r="K146" s="7">
        <f>IFERROR(__xludf.DUMMYFUNCTION("""COMPUTED_VALUE"""),1.0)</f>
        <v>1</v>
      </c>
    </row>
    <row r="147" ht="15.75" customHeight="1">
      <c r="A147" s="6" t="str">
        <f>IFERROR(__xludf.DUMMYFUNCTION("""COMPUTED_VALUE"""),"https://www.smartinc.com/")</f>
        <v>https://www.smartinc.com/</v>
      </c>
      <c r="B147" s="7" t="str">
        <f>IFERROR(__xludf.DUMMYFUNCTION("""COMPUTED_VALUE"""),"SMART | A Smarter Strategic and Creative Agency | Sydney, Melbourne, Brisbane | Top Ad Talent For Best Advertising Results")</f>
        <v>SMART | A Smarter Strategic and Creative Agency | Sydney, Melbourne, Brisbane | Top Ad Talent For Best Advertising Results</v>
      </c>
      <c r="C147" s="6" t="str">
        <f>IFERROR(__xludf.DUMMYFUNCTION("""COMPUTED_VALUE"""),"smartinc.com")</f>
        <v>smartinc.com</v>
      </c>
      <c r="D147" s="7" t="str">
        <f>IFERROR(__xludf.DUMMYFUNCTION("""COMPUTED_VALUE"""),"HOMEPAGE")</f>
        <v>HOMEPAGE</v>
      </c>
      <c r="E147" s="7" t="str">
        <f>IFERROR(__xludf.DUMMYFUNCTION("""COMPUTED_VALUE"""),"CORPORATE")</f>
        <v>CORPORATE</v>
      </c>
      <c r="F147" s="7" t="str">
        <f>IFERROR(__xludf.DUMMYFUNCTION("""COMPUTED_VALUE"""),"Homepage")</f>
        <v>Homepage</v>
      </c>
      <c r="G147" s="7" t="b">
        <f>IFERROR(__xludf.DUMMYFUNCTION("""COMPUTED_VALUE"""),FALSE)</f>
        <v>0</v>
      </c>
      <c r="H147" s="7"/>
      <c r="I147" s="7">
        <f>IFERROR(__xludf.DUMMYFUNCTION("""COMPUTED_VALUE"""),1.0)</f>
        <v>1</v>
      </c>
      <c r="J147" s="7">
        <f>IFERROR(__xludf.DUMMYFUNCTION("""COMPUTED_VALUE"""),0.0)</f>
        <v>0</v>
      </c>
      <c r="K147" s="7">
        <f>IFERROR(__xludf.DUMMYFUNCTION("""COMPUTED_VALUE"""),0.0)</f>
        <v>0</v>
      </c>
    </row>
    <row r="148" ht="15.75" customHeight="1">
      <c r="A148" s="6" t="str">
        <f>IFERROR(__xludf.DUMMYFUNCTION("""COMPUTED_VALUE"""),"https://www.stellaheystella.com/")</f>
        <v>https://www.stellaheystella.com/</v>
      </c>
      <c r="B148" s="7" t="str">
        <f>IFERROR(__xludf.DUMMYFUNCTION("""COMPUTED_VALUE"""),"Stella: Know what’s causing growth. Know what to do next.")</f>
        <v>Stella: Know what’s causing growth. Know what to do next.</v>
      </c>
      <c r="C148" s="6" t="str">
        <f>IFERROR(__xludf.DUMMYFUNCTION("""COMPUTED_VALUE"""),"stellaheystella.com")</f>
        <v>stellaheystella.com</v>
      </c>
      <c r="D148" s="7" t="str">
        <f>IFERROR(__xludf.DUMMYFUNCTION("""COMPUTED_VALUE"""),"HOMEPAGE")</f>
        <v>HOMEPAGE</v>
      </c>
      <c r="E148" s="7" t="str">
        <f>IFERROR(__xludf.DUMMYFUNCTION("""COMPUTED_VALUE"""),"CORPORATE")</f>
        <v>CORPORATE</v>
      </c>
      <c r="F148" s="7" t="str">
        <f>IFERROR(__xludf.DUMMYFUNCTION("""COMPUTED_VALUE"""),"Homepage")</f>
        <v>Homepage</v>
      </c>
      <c r="G148" s="7" t="b">
        <f>IFERROR(__xludf.DUMMYFUNCTION("""COMPUTED_VALUE"""),FALSE)</f>
        <v>0</v>
      </c>
      <c r="H148" s="7" t="str">
        <f>IFERROR(__xludf.DUMMYFUNCTION("""COMPUTED_VALUE"""),"PHD")</f>
        <v>PHD</v>
      </c>
      <c r="I148" s="7">
        <f>IFERROR(__xludf.DUMMYFUNCTION("""COMPUTED_VALUE"""),1.0)</f>
        <v>1</v>
      </c>
      <c r="J148" s="7">
        <f>IFERROR(__xludf.DUMMYFUNCTION("""COMPUTED_VALUE"""),0.0)</f>
        <v>0</v>
      </c>
      <c r="K148" s="7">
        <f>IFERROR(__xludf.DUMMYFUNCTION("""COMPUTED_VALUE"""),0.0)</f>
        <v>0</v>
      </c>
    </row>
    <row r="149" ht="15.75" customHeight="1">
      <c r="A149" s="6" t="str">
        <f>IFERROR(__xludf.DUMMYFUNCTION("""COMPUTED_VALUE"""),"https://strategicai.marketing/")</f>
        <v>https://strategicai.marketing/</v>
      </c>
      <c r="B149" s="7" t="str">
        <f>IFERROR(__xludf.DUMMYFUNCTION("""COMPUTED_VALUE"""),"Strategic AI Marketing — AI Consultancy Sydney $1–10M")</f>
        <v>Strategic AI Marketing — AI Consultancy Sydney $1–10M</v>
      </c>
      <c r="C149" s="7" t="str">
        <f>IFERROR(__xludf.DUMMYFUNCTION("""COMPUTED_VALUE"""),"strategicai.marketing")</f>
        <v>strategicai.marketing</v>
      </c>
      <c r="D149" s="7" t="str">
        <f>IFERROR(__xludf.DUMMYFUNCTION("""COMPUTED_VALUE"""),"HOMEPAGE")</f>
        <v>HOMEPAGE</v>
      </c>
      <c r="E149" s="7" t="str">
        <f>IFERROR(__xludf.DUMMYFUNCTION("""COMPUTED_VALUE"""),"CORPORATE")</f>
        <v>CORPORATE</v>
      </c>
      <c r="F149" s="7" t="str">
        <f>IFERROR(__xludf.DUMMYFUNCTION("""COMPUTED_VALUE"""),"Homepage")</f>
        <v>Homepage</v>
      </c>
      <c r="G149" s="7" t="b">
        <f>IFERROR(__xludf.DUMMYFUNCTION("""COMPUTED_VALUE"""),FALSE)</f>
        <v>0</v>
      </c>
      <c r="H149" s="7" t="str">
        <f>IFERROR(__xludf.DUMMYFUNCTION("""COMPUTED_VALUE"""),"Momentum")</f>
        <v>Momentum</v>
      </c>
      <c r="I149" s="7">
        <f>IFERROR(__xludf.DUMMYFUNCTION("""COMPUTED_VALUE"""),1.0)</f>
        <v>1</v>
      </c>
      <c r="J149" s="7">
        <f>IFERROR(__xludf.DUMMYFUNCTION("""COMPUTED_VALUE"""),0.0)</f>
        <v>0</v>
      </c>
      <c r="K149" s="7">
        <f>IFERROR(__xludf.DUMMYFUNCTION("""COMPUTED_VALUE"""),0.0)</f>
        <v>0</v>
      </c>
    </row>
    <row r="150" ht="15.75" customHeight="1">
      <c r="A150" s="6" t="str">
        <f>IFERROR(__xludf.DUMMYFUNCTION("""COMPUTED_VALUE"""),"https://studiohawk.com.au/#:~:text=No%20generalists%20here%2C%20just%20a,rewriting%20the%20SEO%20agency%20playbook.")</f>
        <v>https://studiohawk.com.au/#:~:text=No%20generalists%20here%2C%20just%20a,rewriting%20the%20SEO%20agency%20playbook.</v>
      </c>
      <c r="B150" s="7" t="str">
        <f>IFERROR(__xludf.DUMMYFUNCTION("""COMPUTED_VALUE"""),"StudioHawk | Specialist SEO Agency Australia")</f>
        <v>StudioHawk | Specialist SEO Agency Australia</v>
      </c>
      <c r="C150" s="6" t="str">
        <f>IFERROR(__xludf.DUMMYFUNCTION("""COMPUTED_VALUE"""),"studiohawk.com.au")</f>
        <v>studiohawk.com.au</v>
      </c>
      <c r="D150" s="7" t="str">
        <f>IFERROR(__xludf.DUMMYFUNCTION("""COMPUTED_VALUE"""),"HOMEPAGE")</f>
        <v>HOMEPAGE</v>
      </c>
      <c r="E150" s="7" t="str">
        <f>IFERROR(__xludf.DUMMYFUNCTION("""COMPUTED_VALUE"""),"COMPETITOR")</f>
        <v>COMPETITOR</v>
      </c>
      <c r="F150" s="7" t="str">
        <f>IFERROR(__xludf.DUMMYFUNCTION("""COMPUTED_VALUE"""),"Homepage")</f>
        <v>Homepage</v>
      </c>
      <c r="G150" s="7" t="b">
        <f>IFERROR(__xludf.DUMMYFUNCTION("""COMPUTED_VALUE"""),FALSE)</f>
        <v>0</v>
      </c>
      <c r="H150" s="7" t="str">
        <f>IFERROR(__xludf.DUMMYFUNCTION("""COMPUTED_VALUE"""),"StudioHawk, First Page, Measured")</f>
        <v>StudioHawk, First Page, Measured</v>
      </c>
      <c r="I150" s="7">
        <f>IFERROR(__xludf.DUMMYFUNCTION("""COMPUTED_VALUE"""),1.0)</f>
        <v>1</v>
      </c>
      <c r="J150" s="7">
        <f>IFERROR(__xludf.DUMMYFUNCTION("""COMPUTED_VALUE"""),0.0)</f>
        <v>0</v>
      </c>
      <c r="K150" s="7">
        <f>IFERROR(__xludf.DUMMYFUNCTION("""COMPUTED_VALUE"""),1.0)</f>
        <v>1</v>
      </c>
    </row>
    <row r="151" ht="15.75" customHeight="1">
      <c r="A151" s="6" t="str">
        <f>IFERROR(__xludf.DUMMYFUNCTION("""COMPUTED_VALUE"""),"https://summitguard.com.au/")</f>
        <v>https://summitguard.com.au/</v>
      </c>
      <c r="B151" s="7" t="str">
        <f>IFERROR(__xludf.DUMMYFUNCTION("""COMPUTED_VALUE"""),"Summit Guard | AI Governance Consulting for Australian Business")</f>
        <v>Summit Guard | AI Governance Consulting for Australian Business</v>
      </c>
      <c r="C151" s="6" t="str">
        <f>IFERROR(__xludf.DUMMYFUNCTION("""COMPUTED_VALUE"""),"summitguard.com.au")</f>
        <v>summitguard.com.au</v>
      </c>
      <c r="D151" s="7" t="str">
        <f>IFERROR(__xludf.DUMMYFUNCTION("""COMPUTED_VALUE"""),"HOMEPAGE")</f>
        <v>HOMEPAGE</v>
      </c>
      <c r="E151" s="7" t="str">
        <f>IFERROR(__xludf.DUMMYFUNCTION("""COMPUTED_VALUE"""),"CORPORATE")</f>
        <v>CORPORATE</v>
      </c>
      <c r="F151" s="7" t="str">
        <f>IFERROR(__xludf.DUMMYFUNCTION("""COMPUTED_VALUE"""),"Homepage")</f>
        <v>Homepage</v>
      </c>
      <c r="G151" s="7" t="b">
        <f>IFERROR(__xludf.DUMMYFUNCTION("""COMPUTED_VALUE"""),FALSE)</f>
        <v>0</v>
      </c>
      <c r="H151" s="7"/>
      <c r="I151" s="7">
        <f>IFERROR(__xludf.DUMMYFUNCTION("""COMPUTED_VALUE"""),1.0)</f>
        <v>1</v>
      </c>
      <c r="J151" s="7">
        <f>IFERROR(__xludf.DUMMYFUNCTION("""COMPUTED_VALUE"""),0.0)</f>
        <v>0</v>
      </c>
      <c r="K151" s="7">
        <f>IFERROR(__xludf.DUMMYFUNCTION("""COMPUTED_VALUE"""),2.0)</f>
        <v>2</v>
      </c>
    </row>
    <row r="152" ht="15.75" customHeight="1">
      <c r="A152" s="6" t="str">
        <f>IFERROR(__xludf.DUMMYFUNCTION("""COMPUTED_VALUE"""),"https://team400.ai/")</f>
        <v>https://team400.ai/</v>
      </c>
      <c r="B152" s="7" t="str">
        <f>IFERROR(__xludf.DUMMYFUNCTION("""COMPUTED_VALUE"""),"AI Agency, AI Consultants, AI Agent Builders | Sydney Brisbane Melbourne | AI Agency, .NET, React | Team 400")</f>
        <v>AI Agency, AI Consultants, AI Agent Builders | Sydney Brisbane Melbourne | AI Agency, .NET, React | Team 400</v>
      </c>
      <c r="C152" s="6" t="str">
        <f>IFERROR(__xludf.DUMMYFUNCTION("""COMPUTED_VALUE"""),"team400.ai")</f>
        <v>team400.ai</v>
      </c>
      <c r="D152" s="7" t="str">
        <f>IFERROR(__xludf.DUMMYFUNCTION("""COMPUTED_VALUE"""),"HOMEPAGE")</f>
        <v>HOMEPAGE</v>
      </c>
      <c r="E152" s="7" t="str">
        <f>IFERROR(__xludf.DUMMYFUNCTION("""COMPUTED_VALUE"""),"CORPORATE")</f>
        <v>CORPORATE</v>
      </c>
      <c r="F152" s="7" t="str">
        <f>IFERROR(__xludf.DUMMYFUNCTION("""COMPUTED_VALUE"""),"Homepage")</f>
        <v>Homepage</v>
      </c>
      <c r="G152" s="7" t="b">
        <f>IFERROR(__xludf.DUMMYFUNCTION("""COMPUTED_VALUE"""),FALSE)</f>
        <v>0</v>
      </c>
      <c r="H152" s="7" t="str">
        <f>IFERROR(__xludf.DUMMYFUNCTION("""COMPUTED_VALUE"""),"Huge, Team 400")</f>
        <v>Huge, Team 400</v>
      </c>
      <c r="I152" s="7">
        <f>IFERROR(__xludf.DUMMYFUNCTION("""COMPUTED_VALUE"""),1.0)</f>
        <v>1</v>
      </c>
      <c r="J152" s="7">
        <f>IFERROR(__xludf.DUMMYFUNCTION("""COMPUTED_VALUE"""),0.0)</f>
        <v>0</v>
      </c>
      <c r="K152" s="7">
        <f>IFERROR(__xludf.DUMMYFUNCTION("""COMPUTED_VALUE"""),2.0)</f>
        <v>2</v>
      </c>
    </row>
    <row r="153" ht="15.75" customHeight="1">
      <c r="A153" s="6" t="str">
        <f>IFERROR(__xludf.DUMMYFUNCTION("""COMPUTED_VALUE"""),"https://www.thehero.co/")</f>
        <v>https://www.thehero.co/</v>
      </c>
      <c r="B153" s="7" t="str">
        <f>IFERROR(__xludf.DUMMYFUNCTION("""COMPUTED_VALUE"""),"HERO | Sydney, Melbourne &amp;amp; Brisbane")</f>
        <v>HERO | Sydney, Melbourne &amp;amp; Brisbane</v>
      </c>
      <c r="C153" s="6" t="str">
        <f>IFERROR(__xludf.DUMMYFUNCTION("""COMPUTED_VALUE"""),"thehero.co")</f>
        <v>thehero.co</v>
      </c>
      <c r="D153" s="7" t="str">
        <f>IFERROR(__xludf.DUMMYFUNCTION("""COMPUTED_VALUE"""),"HOMEPAGE")</f>
        <v>HOMEPAGE</v>
      </c>
      <c r="E153" s="7" t="str">
        <f>IFERROR(__xludf.DUMMYFUNCTION("""COMPUTED_VALUE"""),"CORPORATE")</f>
        <v>CORPORATE</v>
      </c>
      <c r="F153" s="7" t="str">
        <f>IFERROR(__xludf.DUMMYFUNCTION("""COMPUTED_VALUE"""),"Homepage")</f>
        <v>Homepage</v>
      </c>
      <c r="G153" s="7" t="b">
        <f>IFERROR(__xludf.DUMMYFUNCTION("""COMPUTED_VALUE"""),FALSE)</f>
        <v>0</v>
      </c>
      <c r="H153" s="7" t="str">
        <f>IFERROR(__xludf.DUMMYFUNCTION("""COMPUTED_VALUE"""),"HERO")</f>
        <v>HERO</v>
      </c>
      <c r="I153" s="7">
        <f>IFERROR(__xludf.DUMMYFUNCTION("""COMPUTED_VALUE"""),1.0)</f>
        <v>1</v>
      </c>
      <c r="J153" s="7">
        <f>IFERROR(__xludf.DUMMYFUNCTION("""COMPUTED_VALUE"""),0.0)</f>
        <v>0</v>
      </c>
      <c r="K153" s="7">
        <f>IFERROR(__xludf.DUMMYFUNCTION("""COMPUTED_VALUE"""),0.0)</f>
        <v>0</v>
      </c>
    </row>
    <row r="154" ht="15.75" customHeight="1">
      <c r="A154" s="6" t="str">
        <f>IFERROR(__xludf.DUMMYFUNCTION("""COMPUTED_VALUE"""),"https://www.thehypesociety.com.au/#:~:text=Australia's%20Best%20Performance%20Creative%20Agency,Our%20strategies%20incorporate%20the")</f>
        <v>https://www.thehypesociety.com.au/#:~:text=Australia's%20Best%20Performance%20Creative%20Agency,Our%20strategies%20incorporate%20the</v>
      </c>
      <c r="B154" s="7" t="str">
        <f>IFERROR(__xludf.DUMMYFUNCTION("""COMPUTED_VALUE"""),"Top Creative Agency in Melbourne 2026 | TheHypeSociety")</f>
        <v>Top Creative Agency in Melbourne 2026 | TheHypeSociety</v>
      </c>
      <c r="C154" s="6" t="str">
        <f>IFERROR(__xludf.DUMMYFUNCTION("""COMPUTED_VALUE"""),"thehypesociety.com.au")</f>
        <v>thehypesociety.com.au</v>
      </c>
      <c r="D154" s="7" t="str">
        <f>IFERROR(__xludf.DUMMYFUNCTION("""COMPUTED_VALUE"""),"HOMEPAGE")</f>
        <v>HOMEPAGE</v>
      </c>
      <c r="E154" s="7" t="str">
        <f>IFERROR(__xludf.DUMMYFUNCTION("""COMPUTED_VALUE"""),"CORPORATE")</f>
        <v>CORPORATE</v>
      </c>
      <c r="F154" s="7" t="str">
        <f>IFERROR(__xludf.DUMMYFUNCTION("""COMPUTED_VALUE"""),"Homepage")</f>
        <v>Homepage</v>
      </c>
      <c r="G154" s="7" t="b">
        <f>IFERROR(__xludf.DUMMYFUNCTION("""COMPUTED_VALUE"""),FALSE)</f>
        <v>0</v>
      </c>
      <c r="H154" s="7"/>
      <c r="I154" s="7">
        <f>IFERROR(__xludf.DUMMYFUNCTION("""COMPUTED_VALUE"""),1.0)</f>
        <v>1</v>
      </c>
      <c r="J154" s="7">
        <f>IFERROR(__xludf.DUMMYFUNCTION("""COMPUTED_VALUE"""),0.0)</f>
        <v>0</v>
      </c>
      <c r="K154" s="7">
        <f>IFERROR(__xludf.DUMMYFUNCTION("""COMPUTED_VALUE"""),1.0)</f>
        <v>1</v>
      </c>
    </row>
    <row r="155" ht="15.75" customHeight="1">
      <c r="A155" s="6" t="str">
        <f>IFERROR(__xludf.DUMMYFUNCTION("""COMPUTED_VALUE"""),"https://thinkcreativeagency.com.au")</f>
        <v>https://thinkcreativeagency.com.au</v>
      </c>
      <c r="B155" s="7" t="str">
        <f>IFERROR(__xludf.DUMMYFUNCTION("""COMPUTED_VALUE"""),"Creative Agency Sydney | Think Creative")</f>
        <v>Creative Agency Sydney | Think Creative</v>
      </c>
      <c r="C155" s="6" t="str">
        <f>IFERROR(__xludf.DUMMYFUNCTION("""COMPUTED_VALUE"""),"thinkcreativeagency.com.au")</f>
        <v>thinkcreativeagency.com.au</v>
      </c>
      <c r="D155" s="7" t="str">
        <f>IFERROR(__xludf.DUMMYFUNCTION("""COMPUTED_VALUE"""),"HOMEPAGE")</f>
        <v>HOMEPAGE</v>
      </c>
      <c r="E155" s="7" t="str">
        <f>IFERROR(__xludf.DUMMYFUNCTION("""COMPUTED_VALUE"""),"CORPORATE")</f>
        <v>CORPORATE</v>
      </c>
      <c r="F155" s="7" t="str">
        <f>IFERROR(__xludf.DUMMYFUNCTION("""COMPUTED_VALUE"""),"Homepage")</f>
        <v>Homepage</v>
      </c>
      <c r="G155" s="7" t="b">
        <f>IFERROR(__xludf.DUMMYFUNCTION("""COMPUTED_VALUE"""),FALSE)</f>
        <v>0</v>
      </c>
      <c r="H155" s="7" t="str">
        <f>IFERROR(__xludf.DUMMYFUNCTION("""COMPUTED_VALUE"""),"Measured")</f>
        <v>Measured</v>
      </c>
      <c r="I155" s="7">
        <f>IFERROR(__xludf.DUMMYFUNCTION("""COMPUTED_VALUE"""),1.0)</f>
        <v>1</v>
      </c>
      <c r="J155" s="7">
        <f>IFERROR(__xludf.DUMMYFUNCTION("""COMPUTED_VALUE"""),0.0)</f>
        <v>0</v>
      </c>
      <c r="K155" s="7">
        <f>IFERROR(__xludf.DUMMYFUNCTION("""COMPUTED_VALUE"""),0.0)</f>
        <v>0</v>
      </c>
    </row>
    <row r="156" ht="15.75" customHeight="1">
      <c r="A156" s="6" t="str">
        <f>IFERROR(__xludf.DUMMYFUNCTION("""COMPUTED_VALUE"""),"https://uprisedigital.com.au/ai-seo/#:~:text=Home%20%E2%80%BA%20AI%20SEO,Perplexity%20is%20becoming%20increasingly%20important.")</f>
        <v>https://uprisedigital.com.au/ai-seo/#:~:text=Home%20%E2%80%BA%20AI%20SEO,Perplexity%20is%20becoming%20increasingly%20important.</v>
      </c>
      <c r="B156" s="7" t="str">
        <f>IFERROR(__xludf.DUMMYFUNCTION("""COMPUTED_VALUE"""),"Leading AI SEO Agency Australia | AI Search Visibility")</f>
        <v>Leading AI SEO Agency Australia | AI Search Visibility</v>
      </c>
      <c r="C156" s="6" t="str">
        <f>IFERROR(__xludf.DUMMYFUNCTION("""COMPUTED_VALUE"""),"uprisedigital.com.au")</f>
        <v>uprisedigital.com.au</v>
      </c>
      <c r="D156" s="7" t="str">
        <f>IFERROR(__xludf.DUMMYFUNCTION("""COMPUTED_VALUE"""),"HOMEPAGE")</f>
        <v>HOMEPAGE</v>
      </c>
      <c r="E156" s="7" t="str">
        <f>IFERROR(__xludf.DUMMYFUNCTION("""COMPUTED_VALUE"""),"COMPETITOR")</f>
        <v>COMPETITOR</v>
      </c>
      <c r="F156" s="7" t="str">
        <f>IFERROR(__xludf.DUMMYFUNCTION("""COMPUTED_VALUE"""),"Homepage")</f>
        <v>Homepage</v>
      </c>
      <c r="G156" s="7" t="b">
        <f>IFERROR(__xludf.DUMMYFUNCTION("""COMPUTED_VALUE"""),FALSE)</f>
        <v>0</v>
      </c>
      <c r="H156" s="7" t="str">
        <f>IFERROR(__xludf.DUMMYFUNCTION("""COMPUTED_VALUE"""),"Uprise Digital, Impressive")</f>
        <v>Uprise Digital, Impressive</v>
      </c>
      <c r="I156" s="7">
        <f>IFERROR(__xludf.DUMMYFUNCTION("""COMPUTED_VALUE"""),1.0)</f>
        <v>1</v>
      </c>
      <c r="J156" s="7">
        <f>IFERROR(__xludf.DUMMYFUNCTION("""COMPUTED_VALUE"""),0.0)</f>
        <v>0</v>
      </c>
      <c r="K156" s="7">
        <f>IFERROR(__xludf.DUMMYFUNCTION("""COMPUTED_VALUE"""),1.0)</f>
        <v>1</v>
      </c>
    </row>
    <row r="157" ht="15.75" customHeight="1">
      <c r="A157" s="6" t="str">
        <f>IFERROR(__xludf.DUMMYFUNCTION("""COMPUTED_VALUE"""),"https://urbanbased.com.au/")</f>
        <v>https://urbanbased.com.au/</v>
      </c>
      <c r="B157" s="7" t="str">
        <f>IFERROR(__xludf.DUMMYFUNCTION("""COMPUTED_VALUE"""),"Digital Performance Marketing Agency in Australia | Urban Based")</f>
        <v>Digital Performance Marketing Agency in Australia | Urban Based</v>
      </c>
      <c r="C157" s="6" t="str">
        <f>IFERROR(__xludf.DUMMYFUNCTION("""COMPUTED_VALUE"""),"urbanbased.com.au")</f>
        <v>urbanbased.com.au</v>
      </c>
      <c r="D157" s="7" t="str">
        <f>IFERROR(__xludf.DUMMYFUNCTION("""COMPUTED_VALUE"""),"HOMEPAGE")</f>
        <v>HOMEPAGE</v>
      </c>
      <c r="E157" s="7" t="str">
        <f>IFERROR(__xludf.DUMMYFUNCTION("""COMPUTED_VALUE"""),"CORPORATE")</f>
        <v>CORPORATE</v>
      </c>
      <c r="F157" s="7" t="str">
        <f>IFERROR(__xludf.DUMMYFUNCTION("""COMPUTED_VALUE"""),"Homepage")</f>
        <v>Homepage</v>
      </c>
      <c r="G157" s="7" t="b">
        <f>IFERROR(__xludf.DUMMYFUNCTION("""COMPUTED_VALUE"""),FALSE)</f>
        <v>0</v>
      </c>
      <c r="H157" s="7"/>
      <c r="I157" s="7">
        <f>IFERROR(__xludf.DUMMYFUNCTION("""COMPUTED_VALUE"""),1.0)</f>
        <v>1</v>
      </c>
      <c r="J157" s="7">
        <f>IFERROR(__xludf.DUMMYFUNCTION("""COMPUTED_VALUE"""),0.0)</f>
        <v>0</v>
      </c>
      <c r="K157" s="7">
        <f>IFERROR(__xludf.DUMMYFUNCTION("""COMPUTED_VALUE"""),0.0)</f>
        <v>0</v>
      </c>
    </row>
    <row r="158" ht="15.75" customHeight="1">
      <c r="A158" s="6" t="str">
        <f>IFERROR(__xludf.DUMMYFUNCTION("""COMPUTED_VALUE"""),"https://www.v2.ai/")</f>
        <v>https://www.v2.ai/</v>
      </c>
      <c r="B158" s="7" t="str">
        <f>IFERROR(__xludf.DUMMYFUNCTION("""COMPUTED_VALUE"""),"V2 AI | Enterprise AI Consultancy Australia APAC")</f>
        <v>V2 AI | Enterprise AI Consultancy Australia APAC</v>
      </c>
      <c r="C158" s="6" t="str">
        <f>IFERROR(__xludf.DUMMYFUNCTION("""COMPUTED_VALUE"""),"v2.ai")</f>
        <v>v2.ai</v>
      </c>
      <c r="D158" s="7" t="str">
        <f>IFERROR(__xludf.DUMMYFUNCTION("""COMPUTED_VALUE"""),"HOMEPAGE")</f>
        <v>HOMEPAGE</v>
      </c>
      <c r="E158" s="7" t="str">
        <f>IFERROR(__xludf.DUMMYFUNCTION("""COMPUTED_VALUE"""),"CORPORATE")</f>
        <v>CORPORATE</v>
      </c>
      <c r="F158" s="7" t="str">
        <f>IFERROR(__xludf.DUMMYFUNCTION("""COMPUTED_VALUE"""),"Homepage")</f>
        <v>Homepage</v>
      </c>
      <c r="G158" s="7" t="b">
        <f>IFERROR(__xludf.DUMMYFUNCTION("""COMPUTED_VALUE"""),FALSE)</f>
        <v>0</v>
      </c>
      <c r="H158" s="7"/>
      <c r="I158" s="7">
        <f>IFERROR(__xludf.DUMMYFUNCTION("""COMPUTED_VALUE"""),1.0)</f>
        <v>1</v>
      </c>
      <c r="J158" s="7">
        <f>IFERROR(__xludf.DUMMYFUNCTION("""COMPUTED_VALUE"""),0.0)</f>
        <v>0</v>
      </c>
      <c r="K158" s="7">
        <f>IFERROR(__xludf.DUMMYFUNCTION("""COMPUTED_VALUE"""),1.0)</f>
        <v>1</v>
      </c>
    </row>
    <row r="159" ht="15.75" customHeight="1">
      <c r="A159" s="6" t="str">
        <f>IFERROR(__xludf.DUMMYFUNCTION("""COMPUTED_VALUE"""),"https://www.vonnimedia.com.au/")</f>
        <v>https://www.vonnimedia.com.au/</v>
      </c>
      <c r="B159" s="7"/>
      <c r="C159" s="6" t="str">
        <f>IFERROR(__xludf.DUMMYFUNCTION("""COMPUTED_VALUE"""),"vonnimedia.com.au")</f>
        <v>vonnimedia.com.au</v>
      </c>
      <c r="D159" s="7" t="str">
        <f>IFERROR(__xludf.DUMMYFUNCTION("""COMPUTED_VALUE"""),"HOMEPAGE")</f>
        <v>HOMEPAGE</v>
      </c>
      <c r="E159" s="7" t="str">
        <f>IFERROR(__xludf.DUMMYFUNCTION("""COMPUTED_VALUE"""),"CORPORATE")</f>
        <v>CORPORATE</v>
      </c>
      <c r="F159" s="7" t="str">
        <f>IFERROR(__xludf.DUMMYFUNCTION("""COMPUTED_VALUE"""),"Homepage")</f>
        <v>Homepage</v>
      </c>
      <c r="G159" s="7"/>
      <c r="H159" s="7" t="str">
        <f>IFERROR(__xludf.DUMMYFUNCTION("""COMPUTED_VALUE"""),"Unknown")</f>
        <v>Unknown</v>
      </c>
      <c r="I159" s="7">
        <f>IFERROR(__xludf.DUMMYFUNCTION("""COMPUTED_VALUE"""),1.0)</f>
        <v>1</v>
      </c>
      <c r="J159" s="7">
        <f>IFERROR(__xludf.DUMMYFUNCTION("""COMPUTED_VALUE"""),0.0)</f>
        <v>0</v>
      </c>
      <c r="K159" s="7">
        <f>IFERROR(__xludf.DUMMYFUNCTION("""COMPUTED_VALUE"""),1.0)</f>
        <v>1</v>
      </c>
    </row>
    <row r="160" ht="15.75" customHeight="1">
      <c r="A160" s="6" t="str">
        <f>IFERROR(__xludf.DUMMYFUNCTION("""COMPUTED_VALUE"""),"https://www.webplanners.com.au/ai-seo/geo")</f>
        <v>https://www.webplanners.com.au/ai-seo/geo</v>
      </c>
      <c r="B160" s="7" t="str">
        <f>IFERROR(__xludf.DUMMYFUNCTION("""COMPUTED_VALUE"""),"Melbourne’s Leading GEO Company | Rank on ChatGPT, Claude, Gemini")</f>
        <v>Melbourne’s Leading GEO Company | Rank on ChatGPT, Claude, Gemini</v>
      </c>
      <c r="C160" s="6" t="str">
        <f>IFERROR(__xludf.DUMMYFUNCTION("""COMPUTED_VALUE"""),"webplanners.com.au")</f>
        <v>webplanners.com.au</v>
      </c>
      <c r="D160" s="7" t="str">
        <f>IFERROR(__xludf.DUMMYFUNCTION("""COMPUTED_VALUE"""),"HOMEPAGE")</f>
        <v>HOMEPAGE</v>
      </c>
      <c r="E160" s="7" t="str">
        <f>IFERROR(__xludf.DUMMYFUNCTION("""COMPUTED_VALUE"""),"CORPORATE")</f>
        <v>CORPORATE</v>
      </c>
      <c r="F160" s="7" t="str">
        <f>IFERROR(__xludf.DUMMYFUNCTION("""COMPUTED_VALUE"""),"Homepage")</f>
        <v>Homepage</v>
      </c>
      <c r="G160" s="7" t="b">
        <f>IFERROR(__xludf.DUMMYFUNCTION("""COMPUTED_VALUE"""),FALSE)</f>
        <v>0</v>
      </c>
      <c r="H160" s="7"/>
      <c r="I160" s="7">
        <f>IFERROR(__xludf.DUMMYFUNCTION("""COMPUTED_VALUE"""),1.0)</f>
        <v>1</v>
      </c>
      <c r="J160" s="7">
        <f>IFERROR(__xludf.DUMMYFUNCTION("""COMPUTED_VALUE"""),0.0)</f>
        <v>0</v>
      </c>
      <c r="K160" s="7">
        <f>IFERROR(__xludf.DUMMYFUNCTION("""COMPUTED_VALUE"""),0.0)</f>
        <v>0</v>
      </c>
    </row>
    <row r="161" ht="15.75" customHeight="1">
      <c r="A161" s="6" t="str">
        <f>IFERROR(__xludf.DUMMYFUNCTION("""COMPUTED_VALUE"""),"https://webprofits.com.au/")</f>
        <v>https://webprofits.com.au/</v>
      </c>
      <c r="B161" s="7" t="str">
        <f>IFERROR(__xludf.DUMMYFUNCTION("""COMPUTED_VALUE"""),"Webprofits | Performance Marketing Agency for Ecommerce &amp;amp; Lead Gen")</f>
        <v>Webprofits | Performance Marketing Agency for Ecommerce &amp;amp; Lead Gen</v>
      </c>
      <c r="C161" s="6" t="str">
        <f>IFERROR(__xludf.DUMMYFUNCTION("""COMPUTED_VALUE"""),"webprofits.com.au")</f>
        <v>webprofits.com.au</v>
      </c>
      <c r="D161" s="7" t="str">
        <f>IFERROR(__xludf.DUMMYFUNCTION("""COMPUTED_VALUE"""),"HOMEPAGE")</f>
        <v>HOMEPAGE</v>
      </c>
      <c r="E161" s="7" t="str">
        <f>IFERROR(__xludf.DUMMYFUNCTION("""COMPUTED_VALUE"""),"COMPETITOR")</f>
        <v>COMPETITOR</v>
      </c>
      <c r="F161" s="7" t="str">
        <f>IFERROR(__xludf.DUMMYFUNCTION("""COMPUTED_VALUE"""),"Homepage")</f>
        <v>Homepage</v>
      </c>
      <c r="G161" s="7" t="b">
        <f>IFERROR(__xludf.DUMMYFUNCTION("""COMPUTED_VALUE"""),FALSE)</f>
        <v>0</v>
      </c>
      <c r="H161" s="7" t="str">
        <f>IFERROR(__xludf.DUMMYFUNCTION("""COMPUTED_VALUE"""),"Webprofits")</f>
        <v>Webprofits</v>
      </c>
      <c r="I161" s="7">
        <f>IFERROR(__xludf.DUMMYFUNCTION("""COMPUTED_VALUE"""),1.0)</f>
        <v>1</v>
      </c>
      <c r="J161" s="7">
        <f>IFERROR(__xludf.DUMMYFUNCTION("""COMPUTED_VALUE"""),0.0)</f>
        <v>0</v>
      </c>
      <c r="K161" s="7">
        <f>IFERROR(__xludf.DUMMYFUNCTION("""COMPUTED_VALUE"""),0.0)</f>
        <v>0</v>
      </c>
    </row>
    <row r="162" ht="15.75" customHeight="1">
      <c r="A162" s="6" t="str">
        <f>IFERROR(__xludf.DUMMYFUNCTION("""COMPUTED_VALUE"""),"https://websavvy.com.au/")</f>
        <v>https://websavvy.com.au/</v>
      </c>
      <c r="B162" s="7" t="str">
        <f>IFERROR(__xludf.DUMMYFUNCTION("""COMPUTED_VALUE"""),"WebSavvy | Melbourne’s Premier Digital Marketing Agency")</f>
        <v>WebSavvy | Melbourne’s Premier Digital Marketing Agency</v>
      </c>
      <c r="C162" s="6" t="str">
        <f>IFERROR(__xludf.DUMMYFUNCTION("""COMPUTED_VALUE"""),"websavvy.com.au")</f>
        <v>websavvy.com.au</v>
      </c>
      <c r="D162" s="7" t="str">
        <f>IFERROR(__xludf.DUMMYFUNCTION("""COMPUTED_VALUE"""),"HOMEPAGE")</f>
        <v>HOMEPAGE</v>
      </c>
      <c r="E162" s="7" t="str">
        <f>IFERROR(__xludf.DUMMYFUNCTION("""COMPUTED_VALUE"""),"COMPETITOR")</f>
        <v>COMPETITOR</v>
      </c>
      <c r="F162" s="7" t="str">
        <f>IFERROR(__xludf.DUMMYFUNCTION("""COMPUTED_VALUE"""),"Homepage")</f>
        <v>Homepage</v>
      </c>
      <c r="G162" s="7" t="b">
        <f>IFERROR(__xludf.DUMMYFUNCTION("""COMPUTED_VALUE"""),FALSE)</f>
        <v>0</v>
      </c>
      <c r="H162" s="7" t="str">
        <f>IFERROR(__xludf.DUMMYFUNCTION("""COMPUTED_VALUE"""),"WebSavvy")</f>
        <v>WebSavvy</v>
      </c>
      <c r="I162" s="7">
        <f>IFERROR(__xludf.DUMMYFUNCTION("""COMPUTED_VALUE"""),1.0)</f>
        <v>1</v>
      </c>
      <c r="J162" s="7">
        <f>IFERROR(__xludf.DUMMYFUNCTION("""COMPUTED_VALUE"""),0.0)</f>
        <v>0</v>
      </c>
      <c r="K162" s="7">
        <f>IFERROR(__xludf.DUMMYFUNCTION("""COMPUTED_VALUE"""),1.0)</f>
        <v>1</v>
      </c>
    </row>
    <row r="163" ht="15.75" customHeight="1">
      <c r="A163" s="6" t="str">
        <f>IFERROR(__xludf.DUMMYFUNCTION("""COMPUTED_VALUE"""),"https://www.werankle.com/en")</f>
        <v>https://www.werankle.com/en</v>
      </c>
      <c r="B163" s="7" t="str">
        <f>IFERROR(__xludf.DUMMYFUNCTION("""COMPUTED_VALUE"""),"WeRankle — GEO Agency | Generative Engine Optimization")</f>
        <v>WeRankle — GEO Agency | Generative Engine Optimization</v>
      </c>
      <c r="C163" s="6" t="str">
        <f>IFERROR(__xludf.DUMMYFUNCTION("""COMPUTED_VALUE"""),"werankle.com")</f>
        <v>werankle.com</v>
      </c>
      <c r="D163" s="7" t="str">
        <f>IFERROR(__xludf.DUMMYFUNCTION("""COMPUTED_VALUE"""),"HOMEPAGE")</f>
        <v>HOMEPAGE</v>
      </c>
      <c r="E163" s="7" t="str">
        <f>IFERROR(__xludf.DUMMYFUNCTION("""COMPUTED_VALUE"""),"CORPORATE")</f>
        <v>CORPORATE</v>
      </c>
      <c r="F163" s="7" t="str">
        <f>IFERROR(__xludf.DUMMYFUNCTION("""COMPUTED_VALUE"""),"Homepage")</f>
        <v>Homepage</v>
      </c>
      <c r="G163" s="7" t="b">
        <f>IFERROR(__xludf.DUMMYFUNCTION("""COMPUTED_VALUE"""),FALSE)</f>
        <v>0</v>
      </c>
      <c r="H163" s="7" t="str">
        <f>IFERROR(__xludf.DUMMYFUNCTION("""COMPUTED_VALUE"""),"Measured")</f>
        <v>Measured</v>
      </c>
      <c r="I163" s="7">
        <f>IFERROR(__xludf.DUMMYFUNCTION("""COMPUTED_VALUE"""),1.0)</f>
        <v>1</v>
      </c>
      <c r="J163" s="7">
        <f>IFERROR(__xludf.DUMMYFUNCTION("""COMPUTED_VALUE"""),0.0)</f>
        <v>0</v>
      </c>
      <c r="K163" s="7">
        <f>IFERROR(__xludf.DUMMYFUNCTION("""COMPUTED_VALUE"""),0.0)</f>
        <v>0</v>
      </c>
    </row>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location=":~:text=We've%20spent%2010%2B%20years%20building%20the%20technical,and%20a%20future%2Dfacing%20strategy%20in%20one%20campaign."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location=":~:text=We%20run%20your%20key%20service%20queries%20through,and%20which%20competitors%20are%20currently%20getting%20recommended."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location=":~:text=How%20Captovate%20Optimises%20Your%20Business%20for%20AI,Strategy.%20Adapting%20for%20voice%20and%20AI%2Ddriven%20queries." ref="A46"/>
    <hyperlink r:id="rId89" ref="C46"/>
    <hyperlink r:id="rId90" ref="A47"/>
    <hyperlink r:id="rId91" ref="C47"/>
    <hyperlink r:id="rId92" ref="A48"/>
    <hyperlink r:id="rId93" ref="C48"/>
    <hyperlink r:id="rId94" location=":~:text=Our%20SEO%20strategists%2C%20in%2Dhouse%20web%20developers%20and,SEO.%20%2D%20Shopify%20SEO.%20%2D%20WordPress%20SEO."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location=":~:text=We'll%20be%20sure%20to%20boost%20your%20key,team%20but%20need%20some%20coaching%20or%20strategy%3F"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C83"/>
    <hyperlink r:id="rId164" location=":~:text=Adelaide%20%E2%80%94%20Attention%20Metrics%20for%20Digital%20Media.,Request%20a%20demo.%20Get%20free%20attention%20guides." ref="A84"/>
    <hyperlink r:id="rId165" ref="C84"/>
    <hyperlink r:id="rId166" ref="A85"/>
    <hyperlink r:id="rId167" ref="C85"/>
    <hyperlink r:id="rId168" ref="A86"/>
    <hyperlink r:id="rId169" ref="C86"/>
    <hyperlink r:id="rId170" ref="A87"/>
    <hyperlink r:id="rId171" ref="C87"/>
    <hyperlink r:id="rId172" ref="A88"/>
    <hyperlink r:id="rId173" ref="C88"/>
    <hyperlink r:id="rId174" ref="A89"/>
    <hyperlink r:id="rId175" ref="C89"/>
    <hyperlink r:id="rId176" ref="A90"/>
    <hyperlink r:id="rId177" ref="C90"/>
    <hyperlink r:id="rId178" ref="A91"/>
    <hyperlink r:id="rId179" ref="C91"/>
    <hyperlink r:id="rId180" location=":~:text=%E2%80%9CGlobal%20enterprises%20looking%20to%20get%20started%20with,more.%20Our%20Hands%2Don%20Approach%20to%20Smarter%20Decisioning." ref="A92"/>
    <hyperlink r:id="rId181" ref="C92"/>
    <hyperlink r:id="rId182" ref="A93"/>
    <hyperlink r:id="rId183" ref="C93"/>
    <hyperlink r:id="rId184" ref="A94"/>
    <hyperlink r:id="rId185" ref="C94"/>
    <hyperlink r:id="rId186" ref="A95"/>
    <hyperlink r:id="rId187" ref="C95"/>
    <hyperlink r:id="rId188" ref="A96"/>
    <hyperlink r:id="rId189" ref="C96"/>
    <hyperlink r:id="rId190" ref="A97"/>
    <hyperlink r:id="rId191" ref="C97"/>
    <hyperlink r:id="rId192" ref="A98"/>
    <hyperlink r:id="rId193" ref="C98"/>
    <hyperlink r:id="rId194" ref="A99"/>
    <hyperlink r:id="rId195" ref="C99"/>
    <hyperlink r:id="rId196" location=":~:text=Streamline%20and%20strengthen%20for%20more%20efficient%20operations,marketing%20investments%20across%20all%20channels%20and%20touchpoints." ref="A100"/>
    <hyperlink r:id="rId197" ref="C100"/>
    <hyperlink r:id="rId198" ref="A101"/>
    <hyperlink r:id="rId199" ref="C101"/>
    <hyperlink r:id="rId200" ref="A102"/>
    <hyperlink r:id="rId201" ref="C102"/>
    <hyperlink r:id="rId202" ref="A103"/>
    <hyperlink r:id="rId203" ref="C103"/>
    <hyperlink r:id="rId204" ref="A104"/>
    <hyperlink r:id="rId205" ref="C104"/>
    <hyperlink r:id="rId206" ref="A105"/>
    <hyperlink r:id="rId207" ref="C105"/>
    <hyperlink r:id="rId208" ref="A106"/>
    <hyperlink r:id="rId209" ref="C106"/>
    <hyperlink r:id="rId210" ref="A107"/>
    <hyperlink r:id="rId211" ref="C107"/>
    <hyperlink r:id="rId212" ref="A108"/>
    <hyperlink r:id="rId213" ref="C108"/>
    <hyperlink r:id="rId214" ref="A109"/>
    <hyperlink r:id="rId215" ref="C109"/>
    <hyperlink r:id="rId216" ref="A110"/>
    <hyperlink r:id="rId217" ref="C110"/>
    <hyperlink r:id="rId218" ref="A111"/>
    <hyperlink r:id="rId219" ref="C111"/>
    <hyperlink r:id="rId220" ref="A112"/>
    <hyperlink r:id="rId221" ref="C112"/>
    <hyperlink r:id="rId222" ref="A113"/>
    <hyperlink r:id="rId223" ref="C113"/>
    <hyperlink r:id="rId224" ref="A114"/>
    <hyperlink r:id="rId225" ref="C114"/>
    <hyperlink r:id="rId226" ref="A115"/>
    <hyperlink r:id="rId227" ref="C115"/>
    <hyperlink r:id="rId228" ref="A116"/>
    <hyperlink r:id="rId229" ref="C116"/>
    <hyperlink r:id="rId230" ref="A117"/>
    <hyperlink r:id="rId231" ref="C117"/>
    <hyperlink r:id="rId232" ref="A118"/>
    <hyperlink r:id="rId233" ref="C118"/>
    <hyperlink r:id="rId234" ref="A119"/>
    <hyperlink r:id="rId235" ref="C119"/>
    <hyperlink r:id="rId236" ref="A120"/>
    <hyperlink r:id="rId237" ref="C120"/>
    <hyperlink r:id="rId238" ref="A121"/>
    <hyperlink r:id="rId239" ref="C121"/>
    <hyperlink r:id="rId240" ref="A122"/>
    <hyperlink r:id="rId241" ref="C122"/>
    <hyperlink r:id="rId242" ref="A123"/>
    <hyperlink r:id="rId243" ref="C123"/>
    <hyperlink r:id="rId244" ref="A124"/>
    <hyperlink r:id="rId245" ref="C124"/>
    <hyperlink r:id="rId246" ref="A125"/>
    <hyperlink r:id="rId247" ref="C125"/>
    <hyperlink r:id="rId248" ref="A126"/>
    <hyperlink r:id="rId249" ref="C126"/>
    <hyperlink r:id="rId250" ref="A127"/>
    <hyperlink r:id="rId251" ref="C127"/>
    <hyperlink r:id="rId252" ref="A128"/>
    <hyperlink r:id="rId253" ref="C128"/>
    <hyperlink r:id="rId254" ref="A129"/>
    <hyperlink r:id="rId255" ref="C129"/>
    <hyperlink r:id="rId256" ref="A130"/>
    <hyperlink r:id="rId257" ref="C130"/>
    <hyperlink r:id="rId258" ref="A131"/>
    <hyperlink r:id="rId259" ref="C131"/>
    <hyperlink r:id="rId260" ref="A132"/>
    <hyperlink r:id="rId261" ref="C132"/>
    <hyperlink r:id="rId262" ref="A133"/>
    <hyperlink r:id="rId263" ref="C133"/>
    <hyperlink r:id="rId264" ref="A134"/>
    <hyperlink r:id="rId265" ref="C134"/>
    <hyperlink r:id="rId266" ref="A135"/>
    <hyperlink r:id="rId267" ref="C135"/>
    <hyperlink r:id="rId268" ref="A136"/>
    <hyperlink r:id="rId269" ref="C136"/>
    <hyperlink r:id="rId270" ref="A137"/>
    <hyperlink r:id="rId271" ref="C137"/>
    <hyperlink r:id="rId272" ref="A138"/>
    <hyperlink r:id="rId273" ref="C138"/>
    <hyperlink r:id="rId274" ref="A139"/>
    <hyperlink r:id="rId275" ref="C139"/>
    <hyperlink r:id="rId276" ref="A140"/>
    <hyperlink r:id="rId277" ref="C140"/>
    <hyperlink r:id="rId278" ref="A141"/>
    <hyperlink r:id="rId279" ref="C141"/>
    <hyperlink r:id="rId280" ref="A142"/>
    <hyperlink r:id="rId281" ref="C142"/>
    <hyperlink r:id="rId282" ref="A143"/>
    <hyperlink r:id="rId283" ref="C143"/>
    <hyperlink r:id="rId284" ref="A144"/>
    <hyperlink r:id="rId285" ref="C144"/>
    <hyperlink r:id="rId286" ref="A145"/>
    <hyperlink r:id="rId287" ref="C145"/>
    <hyperlink r:id="rId288" location=":~:text=Slalom%20is%20a%20fiercely%20human,consulting%20that%20drives%20real%20impact" ref="A146"/>
    <hyperlink r:id="rId289" ref="C146"/>
    <hyperlink r:id="rId290" ref="A147"/>
    <hyperlink r:id="rId291" ref="C147"/>
    <hyperlink r:id="rId292" ref="A148"/>
    <hyperlink r:id="rId293" ref="C148"/>
    <hyperlink r:id="rId294" ref="A149"/>
    <hyperlink r:id="rId295" location=":~:text=No%20generalists%20here%2C%20just%20a,rewriting%20the%20SEO%20agency%20playbook." ref="A150"/>
    <hyperlink r:id="rId296" ref="C150"/>
    <hyperlink r:id="rId297" ref="A151"/>
    <hyperlink r:id="rId298" ref="C151"/>
    <hyperlink r:id="rId299" ref="A152"/>
    <hyperlink r:id="rId300" ref="C152"/>
    <hyperlink r:id="rId301" ref="A153"/>
    <hyperlink r:id="rId302" ref="C153"/>
    <hyperlink r:id="rId303" location=":~:text=Australia's%20Best%20Performance%20Creative%20Agency,Our%20strategies%20incorporate%20the" ref="A154"/>
    <hyperlink r:id="rId304" ref="C154"/>
    <hyperlink r:id="rId305" ref="A155"/>
    <hyperlink r:id="rId306" ref="C155"/>
    <hyperlink r:id="rId307" location=":~:text=Home%20%E2%80%BA%20AI%20SEO,Perplexity%20is%20becoming%20increasingly%20important." ref="A156"/>
    <hyperlink r:id="rId308" ref="C156"/>
    <hyperlink r:id="rId309" ref="A157"/>
    <hyperlink r:id="rId310" ref="C157"/>
    <hyperlink r:id="rId311" ref="A158"/>
    <hyperlink r:id="rId312" ref="C158"/>
    <hyperlink r:id="rId313" ref="A159"/>
    <hyperlink r:id="rId314" ref="C159"/>
    <hyperlink r:id="rId315" ref="A160"/>
    <hyperlink r:id="rId316" ref="C160"/>
    <hyperlink r:id="rId317" ref="A161"/>
    <hyperlink r:id="rId318" ref="C161"/>
    <hyperlink r:id="rId319" ref="A162"/>
    <hyperlink r:id="rId320" ref="C162"/>
    <hyperlink r:id="rId321" ref="A163"/>
    <hyperlink r:id="rId322" ref="C163"/>
  </hyperlinks>
  <drawing r:id="rId32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LOWER(TRIM(TO_TEXT('PEEC - URLs - All'!D2:D1000)))=""HOW_TO_GUIDE""
  ),
  """"
)"),"https://www.stellaheystella.com/blog/incrementality-testing-platforms-the-complete-guide-to-measuring-true-marketing-impact-2025")</f>
        <v>https://www.stellaheystella.com/blog/incrementality-testing-platforms-the-complete-guide-to-measuring-true-marketing-impact-2025</v>
      </c>
      <c r="B2" s="7" t="str">
        <f>IFERROR(__xludf.DUMMYFUNCTION("""COMPUTED_VALUE"""),"Incrementality Testing Platforms: The Complete Guide to Measuring True Marketing Impact (2025) | Stella")</f>
        <v>Incrementality Testing Platforms: The Complete Guide to Measuring True Marketing Impact (2025) | Stella</v>
      </c>
      <c r="C2" s="6" t="str">
        <f>IFERROR(__xludf.DUMMYFUNCTION("""COMPUTED_VALUE"""),"stellaheystella.com")</f>
        <v>stellaheystella.com</v>
      </c>
      <c r="D2" s="7" t="str">
        <f>IFERROR(__xludf.DUMMYFUNCTION("""COMPUTED_VALUE"""),"HOW_TO_GUIDE")</f>
        <v>HOW_TO_GUIDE</v>
      </c>
      <c r="E2" s="7" t="str">
        <f>IFERROR(__xludf.DUMMYFUNCTION("""COMPUTED_VALUE"""),"CORPORATE")</f>
        <v>CORPORATE</v>
      </c>
      <c r="F2" s="7" t="str">
        <f>IFERROR(__xludf.DUMMYFUNCTION("""COMPUTED_VALUE"""),"How-To Guide")</f>
        <v>How-To Guide</v>
      </c>
      <c r="G2" s="7" t="b">
        <f>IFERROR(__xludf.DUMMYFUNCTION("""COMPUTED_VALUE"""),FALSE)</f>
        <v>0</v>
      </c>
      <c r="H2" s="7" t="str">
        <f>IFERROR(__xludf.DUMMYFUNCTION("""COMPUTED_VALUE"""),"Measured, Haus")</f>
        <v>Measured, Haus</v>
      </c>
      <c r="I2" s="7">
        <f>IFERROR(__xludf.DUMMYFUNCTION("""COMPUTED_VALUE"""),11.0)</f>
        <v>11</v>
      </c>
      <c r="J2" s="7">
        <f>IFERROR(__xludf.DUMMYFUNCTION("""COMPUTED_VALUE"""),0.01)</f>
        <v>0.01</v>
      </c>
      <c r="K2" s="7">
        <f>IFERROR(__xludf.DUMMYFUNCTION("""COMPUTED_VALUE"""),0.0)</f>
        <v>0</v>
      </c>
    </row>
    <row r="3" ht="15.75" customHeight="1">
      <c r="A3" s="6" t="str">
        <f>IFERROR(__xludf.DUMMYFUNCTION("""COMPUTED_VALUE"""),"https://blog.applabx.com/top-10-best-geo-agencies-in-australia-in-2026/")</f>
        <v>https://blog.applabx.com/top-10-best-geo-agencies-in-australia-in-2026/</v>
      </c>
      <c r="B3" s="7" t="str">
        <f>IFERROR(__xludf.DUMMYFUNCTION("""COMPUTED_VALUE"""),"Top 10 Best GEO Agencies in Australia in 2026")</f>
        <v>Top 10 Best GEO Agencies in Australia in 2026</v>
      </c>
      <c r="C3" s="6" t="str">
        <f>IFERROR(__xludf.DUMMYFUNCTION("""COMPUTED_VALUE"""),"applabx.com")</f>
        <v>applabx.com</v>
      </c>
      <c r="D3" s="7" t="str">
        <f>IFERROR(__xludf.DUMMYFUNCTION("""COMPUTED_VALUE"""),"HOW_TO_GUIDE")</f>
        <v>HOW_TO_GUIDE</v>
      </c>
      <c r="E3" s="7" t="str">
        <f>IFERROR(__xludf.DUMMYFUNCTION("""COMPUTED_VALUE"""),"UGC")</f>
        <v>UGC</v>
      </c>
      <c r="F3" s="7" t="str">
        <f>IFERROR(__xludf.DUMMYFUNCTION("""COMPUTED_VALUE"""),"How-To Guide")</f>
        <v>How-To Guide</v>
      </c>
      <c r="G3" s="7" t="b">
        <f>IFERROR(__xludf.DUMMYFUNCTION("""COMPUTED_VALUE"""),FALSE)</f>
        <v>0</v>
      </c>
      <c r="H3" s="7" t="str">
        <f>IFERROR(__xludf.DUMMYFUNCTION("""COMPUTED_VALUE"""),"StudioHawk, Online Marketing Gurus, Intesols, Supple Digital, Digital Nomads HQ, Emote Digital, Omnicom Media Group, First Page, Measured, HERO")</f>
        <v>StudioHawk, Online Marketing Gurus, Intesols, Supple Digital, Digital Nomads HQ, Emote Digital, Omnicom Media Group, First Page, Measured, HERO</v>
      </c>
      <c r="I3" s="7">
        <f>IFERROR(__xludf.DUMMYFUNCTION("""COMPUTED_VALUE"""),10.0)</f>
        <v>10</v>
      </c>
      <c r="J3" s="7">
        <f>IFERROR(__xludf.DUMMYFUNCTION("""COMPUTED_VALUE"""),0.01)</f>
        <v>0.01</v>
      </c>
      <c r="K3" s="7">
        <f>IFERROR(__xludf.DUMMYFUNCTION("""COMPUTED_VALUE"""),0.0)</f>
        <v>0</v>
      </c>
    </row>
    <row r="4" ht="15.75" customHeight="1">
      <c r="A4" s="6" t="str">
        <f>IFERROR(__xludf.DUMMYFUNCTION("""COMPUTED_VALUE"""),"https://promoguy.nl/blog/2026/02/12/incrementality-testing-for-marketing-promotion/")</f>
        <v>https://promoguy.nl/blog/2026/02/12/incrementality-testing-for-marketing-promotion/</v>
      </c>
      <c r="B4" s="7" t="str">
        <f>IFERROR(__xludf.DUMMYFUNCTION("""COMPUTED_VALUE"""),"Incrementality Testing For Marketing &amp;amp; Promotion - Promoguy Digital Marketing Agency")</f>
        <v>Incrementality Testing For Marketing &amp;amp; Promotion - Promoguy Digital Marketing Agency</v>
      </c>
      <c r="C4" s="6" t="str">
        <f>IFERROR(__xludf.DUMMYFUNCTION("""COMPUTED_VALUE"""),"promoguy.nl")</f>
        <v>promoguy.nl</v>
      </c>
      <c r="D4" s="7" t="str">
        <f>IFERROR(__xludf.DUMMYFUNCTION("""COMPUTED_VALUE"""),"HOW_TO_GUIDE")</f>
        <v>HOW_TO_GUIDE</v>
      </c>
      <c r="E4" s="7" t="str">
        <f>IFERROR(__xludf.DUMMYFUNCTION("""COMPUTED_VALUE"""),"CORPORATE")</f>
        <v>CORPORATE</v>
      </c>
      <c r="F4" s="7" t="str">
        <f>IFERROR(__xludf.DUMMYFUNCTION("""COMPUTED_VALUE"""),"How-To Guide")</f>
        <v>How-To Guide</v>
      </c>
      <c r="G4" s="7" t="b">
        <f>IFERROR(__xludf.DUMMYFUNCTION("""COMPUTED_VALUE"""),FALSE)</f>
        <v>0</v>
      </c>
      <c r="H4" s="7" t="str">
        <f>IFERROR(__xludf.DUMMYFUNCTION("""COMPUTED_VALUE"""),"Lifesight, Haus, Measured, Workmagic, LiftLab")</f>
        <v>Lifesight, Haus, Measured, Workmagic, LiftLab</v>
      </c>
      <c r="I4" s="7">
        <f>IFERROR(__xludf.DUMMYFUNCTION("""COMPUTED_VALUE"""),9.0)</f>
        <v>9</v>
      </c>
      <c r="J4" s="7">
        <f>IFERROR(__xludf.DUMMYFUNCTION("""COMPUTED_VALUE"""),0.01)</f>
        <v>0.01</v>
      </c>
      <c r="K4" s="7">
        <f>IFERROR(__xludf.DUMMYFUNCTION("""COMPUTED_VALUE"""),0.56)</f>
        <v>0.56</v>
      </c>
    </row>
    <row r="5" ht="15.75" customHeight="1">
      <c r="A5" s="6" t="str">
        <f>IFERROR(__xludf.DUMMYFUNCTION("""COMPUTED_VALUE"""),"https://www.latentview.com/glossary/incrementality-testing/")</f>
        <v>https://www.latentview.com/glossary/incrementality-testing/</v>
      </c>
      <c r="B5" s="7" t="str">
        <f>IFERROR(__xludf.DUMMYFUNCTION("""COMPUTED_VALUE"""),"What Is Incrementality Testing? Purpose, Best Practices &amp;amp; Frameworks")</f>
        <v>What Is Incrementality Testing? Purpose, Best Practices &amp;amp; Frameworks</v>
      </c>
      <c r="C5" s="6" t="str">
        <f>IFERROR(__xludf.DUMMYFUNCTION("""COMPUTED_VALUE"""),"latentview.com")</f>
        <v>latentview.com</v>
      </c>
      <c r="D5" s="7" t="str">
        <f>IFERROR(__xludf.DUMMYFUNCTION("""COMPUTED_VALUE"""),"HOW_TO_GUIDE")</f>
        <v>HOW_TO_GUIDE</v>
      </c>
      <c r="E5" s="7" t="str">
        <f>IFERROR(__xludf.DUMMYFUNCTION("""COMPUTED_VALUE"""),"CORPORATE")</f>
        <v>CORPORATE</v>
      </c>
      <c r="F5" s="7" t="str">
        <f>IFERROR(__xludf.DUMMYFUNCTION("""COMPUTED_VALUE"""),"How-To Guide")</f>
        <v>How-To Guide</v>
      </c>
      <c r="G5" s="7" t="b">
        <f>IFERROR(__xludf.DUMMYFUNCTION("""COMPUTED_VALUE"""),FALSE)</f>
        <v>0</v>
      </c>
      <c r="H5" s="7" t="str">
        <f>IFERROR(__xludf.DUMMYFUNCTION("""COMPUTED_VALUE"""),"Measured, Haus")</f>
        <v>Measured, Haus</v>
      </c>
      <c r="I5" s="7">
        <f>IFERROR(__xludf.DUMMYFUNCTION("""COMPUTED_VALUE"""),7.0)</f>
        <v>7</v>
      </c>
      <c r="J5" s="7">
        <f>IFERROR(__xludf.DUMMYFUNCTION("""COMPUTED_VALUE"""),0.01)</f>
        <v>0.01</v>
      </c>
      <c r="K5" s="7">
        <f>IFERROR(__xludf.DUMMYFUNCTION("""COMPUTED_VALUE"""),1.43)</f>
        <v>1.43</v>
      </c>
    </row>
    <row r="6" ht="15.75" customHeight="1">
      <c r="A6" s="6" t="str">
        <f>IFERROR(__xludf.DUMMYFUNCTION("""COMPUTED_VALUE"""),"https://roi.com.au/service/digital-marketing-agency-australia-2026/")</f>
        <v>https://roi.com.au/service/digital-marketing-agency-australia-2026/</v>
      </c>
      <c r="B6" s="7" t="str">
        <f>IFERROR(__xludf.DUMMYFUNCTION("""COMPUTED_VALUE"""),"Digital Marketing Agency Australia (2026) | AI Marketing Agency Australia | roi.com.au")</f>
        <v>Digital Marketing Agency Australia (2026) | AI Marketing Agency Australia | roi.com.au</v>
      </c>
      <c r="C6" s="6" t="str">
        <f>IFERROR(__xludf.DUMMYFUNCTION("""COMPUTED_VALUE"""),"roi.com.au")</f>
        <v>roi.com.au</v>
      </c>
      <c r="D6" s="7" t="str">
        <f>IFERROR(__xludf.DUMMYFUNCTION("""COMPUTED_VALUE"""),"HOW_TO_GUIDE")</f>
        <v>HOW_TO_GUIDE</v>
      </c>
      <c r="E6" s="7" t="str">
        <f>IFERROR(__xludf.DUMMYFUNCTION("""COMPUTED_VALUE"""),"CORPORATE")</f>
        <v>CORPORATE</v>
      </c>
      <c r="F6" s="7" t="str">
        <f>IFERROR(__xludf.DUMMYFUNCTION("""COMPUTED_VALUE"""),"How-To Guide")</f>
        <v>How-To Guide</v>
      </c>
      <c r="G6" s="7" t="b">
        <f>IFERROR(__xludf.DUMMYFUNCTION("""COMPUTED_VALUE"""),FALSE)</f>
        <v>0</v>
      </c>
      <c r="H6" s="7" t="str">
        <f>IFERROR(__xludf.DUMMYFUNCTION("""COMPUTED_VALUE"""),"Growth Digital, ROI Growth Agency")</f>
        <v>Growth Digital, ROI Growth Agency</v>
      </c>
      <c r="I6" s="7">
        <f>IFERROR(__xludf.DUMMYFUNCTION("""COMPUTED_VALUE"""),7.0)</f>
        <v>7</v>
      </c>
      <c r="J6" s="7">
        <f>IFERROR(__xludf.DUMMYFUNCTION("""COMPUTED_VALUE"""),0.01)</f>
        <v>0.01</v>
      </c>
      <c r="K6" s="7">
        <f>IFERROR(__xludf.DUMMYFUNCTION("""COMPUTED_VALUE"""),1.14)</f>
        <v>1.14</v>
      </c>
    </row>
    <row r="7" ht="15.75" customHeight="1">
      <c r="A7" s="6" t="str">
        <f>IFERROR(__xludf.DUMMYFUNCTION("""COMPUTED_VALUE"""),"https://www.rightsideup.com/blog/guide-to-marketing-incrementality-testing")</f>
        <v>https://www.rightsideup.com/blog/guide-to-marketing-incrementality-testing</v>
      </c>
      <c r="B7" s="7" t="str">
        <f>IFERROR(__xludf.DUMMYFUNCTION("""COMPUTED_VALUE"""),"Marketing Incrementality Testing: A Complete Guide to Measuring What Matters")</f>
        <v>Marketing Incrementality Testing: A Complete Guide to Measuring What Matters</v>
      </c>
      <c r="C7" s="6" t="str">
        <f>IFERROR(__xludf.DUMMYFUNCTION("""COMPUTED_VALUE"""),"rightsideup.com")</f>
        <v>rightsideup.com</v>
      </c>
      <c r="D7" s="7" t="str">
        <f>IFERROR(__xludf.DUMMYFUNCTION("""COMPUTED_VALUE"""),"HOW_TO_GUIDE")</f>
        <v>HOW_TO_GUIDE</v>
      </c>
      <c r="E7" s="7" t="str">
        <f>IFERROR(__xludf.DUMMYFUNCTION("""COMPUTED_VALUE"""),"CORPORATE")</f>
        <v>CORPORATE</v>
      </c>
      <c r="F7" s="7" t="str">
        <f>IFERROR(__xludf.DUMMYFUNCTION("""COMPUTED_VALUE"""),"How-To Guide")</f>
        <v>How-To Guide</v>
      </c>
      <c r="G7" s="7" t="b">
        <f>IFERROR(__xludf.DUMMYFUNCTION("""COMPUTED_VALUE"""),FALSE)</f>
        <v>0</v>
      </c>
      <c r="H7" s="7" t="str">
        <f>IFERROR(__xludf.DUMMYFUNCTION("""COMPUTED_VALUE"""),"Measured")</f>
        <v>Measured</v>
      </c>
      <c r="I7" s="7">
        <f>IFERROR(__xludf.DUMMYFUNCTION("""COMPUTED_VALUE"""),6.0)</f>
        <v>6</v>
      </c>
      <c r="J7" s="7">
        <f>IFERROR(__xludf.DUMMYFUNCTION("""COMPUTED_VALUE"""),0.01)</f>
        <v>0.01</v>
      </c>
      <c r="K7" s="7">
        <f>IFERROR(__xludf.DUMMYFUNCTION("""COMPUTED_VALUE"""),0.0)</f>
        <v>0</v>
      </c>
    </row>
    <row r="8" ht="15.75" customHeight="1">
      <c r="A8" s="6" t="str">
        <f>IFERROR(__xludf.DUMMYFUNCTION("""COMPUTED_VALUE"""),"https://amplitude.com/explore/experiment/incrementality-testing")</f>
        <v>https://amplitude.com/explore/experiment/incrementality-testing</v>
      </c>
      <c r="B8" s="7" t="str">
        <f>IFERROR(__xludf.DUMMYFUNCTION("""COMPUTED_VALUE"""),"What Is Incrementality Testing for Modern Marketers")</f>
        <v>What Is Incrementality Testing for Modern Marketers</v>
      </c>
      <c r="C8" s="6" t="str">
        <f>IFERROR(__xludf.DUMMYFUNCTION("""COMPUTED_VALUE"""),"amplitude.com")</f>
        <v>amplitude.com</v>
      </c>
      <c r="D8" s="7" t="str">
        <f>IFERROR(__xludf.DUMMYFUNCTION("""COMPUTED_VALUE"""),"HOW_TO_GUIDE")</f>
        <v>HOW_TO_GUIDE</v>
      </c>
      <c r="E8" s="7" t="str">
        <f>IFERROR(__xludf.DUMMYFUNCTION("""COMPUTED_VALUE"""),"CORPORATE")</f>
        <v>CORPORATE</v>
      </c>
      <c r="F8" s="7" t="str">
        <f>IFERROR(__xludf.DUMMYFUNCTION("""COMPUTED_VALUE"""),"How-To Guide")</f>
        <v>How-To Guide</v>
      </c>
      <c r="G8" s="7" t="b">
        <f>IFERROR(__xludf.DUMMYFUNCTION("""COMPUTED_VALUE"""),FALSE)</f>
        <v>0</v>
      </c>
      <c r="H8" s="7"/>
      <c r="I8" s="7">
        <f>IFERROR(__xludf.DUMMYFUNCTION("""COMPUTED_VALUE"""),4.0)</f>
        <v>4</v>
      </c>
      <c r="J8" s="7">
        <f>IFERROR(__xludf.DUMMYFUNCTION("""COMPUTED_VALUE"""),0.0)</f>
        <v>0</v>
      </c>
      <c r="K8" s="7">
        <f>IFERROR(__xludf.DUMMYFUNCTION("""COMPUTED_VALUE"""),1.0)</f>
        <v>1</v>
      </c>
    </row>
    <row r="9" ht="15.75" customHeight="1">
      <c r="A9" s="6" t="str">
        <f>IFERROR(__xludf.DUMMYFUNCTION("""COMPUTED_VALUE"""),"https://www.techradar.com/pro/how-to-use-an-aeo-tool-for-your-small-business")</f>
        <v>https://www.techradar.com/pro/how-to-use-an-aeo-tool-for-your-small-business</v>
      </c>
      <c r="B9" s="7" t="str">
        <f>IFERROR(__xludf.DUMMYFUNCTION("""COMPUTED_VALUE"""),"How to use an AEO tool for your small business | TechRadar")</f>
        <v>How to use an AEO tool for your small business | TechRadar</v>
      </c>
      <c r="C9" s="6" t="str">
        <f>IFERROR(__xludf.DUMMYFUNCTION("""COMPUTED_VALUE"""),"techradar.com")</f>
        <v>techradar.com</v>
      </c>
      <c r="D9" s="7" t="str">
        <f>IFERROR(__xludf.DUMMYFUNCTION("""COMPUTED_VALUE"""),"HOW_TO_GUIDE")</f>
        <v>HOW_TO_GUIDE</v>
      </c>
      <c r="E9" s="7" t="str">
        <f>IFERROR(__xludf.DUMMYFUNCTION("""COMPUTED_VALUE"""),"EDITORIAL")</f>
        <v>EDITORIAL</v>
      </c>
      <c r="F9" s="7" t="str">
        <f>IFERROR(__xludf.DUMMYFUNCTION("""COMPUTED_VALUE"""),"How-To Guide")</f>
        <v>How-To Guide</v>
      </c>
      <c r="G9" s="7" t="b">
        <f>IFERROR(__xludf.DUMMYFUNCTION("""COMPUTED_VALUE"""),FALSE)</f>
        <v>0</v>
      </c>
      <c r="H9" s="7" t="str">
        <f>IFERROR(__xludf.DUMMYFUNCTION("""COMPUTED_VALUE"""),"Huge")</f>
        <v>Huge</v>
      </c>
      <c r="I9" s="7">
        <f>IFERROR(__xludf.DUMMYFUNCTION("""COMPUTED_VALUE"""),4.0)</f>
        <v>4</v>
      </c>
      <c r="J9" s="7">
        <f>IFERROR(__xludf.DUMMYFUNCTION("""COMPUTED_VALUE"""),0.0)</f>
        <v>0</v>
      </c>
      <c r="K9" s="7">
        <f>IFERROR(__xludf.DUMMYFUNCTION("""COMPUTED_VALUE"""),1.5)</f>
        <v>1.5</v>
      </c>
    </row>
    <row r="10" ht="15.75" customHeight="1">
      <c r="A10" s="6" t="str">
        <f>IFERROR(__xludf.DUMMYFUNCTION("""COMPUTED_VALUE"""),"https://3pdigital.com.au/blog/how-to-choose-an-analytics-agency-australia")</f>
        <v>https://3pdigital.com.au/blog/how-to-choose-an-analytics-agency-australia</v>
      </c>
      <c r="B10" s="7" t="str">
        <f>IFERROR(__xludf.DUMMYFUNCTION("""COMPUTED_VALUE"""),"How to Choose an Analytics Agency in Australia: What to Look For in 2026")</f>
        <v>How to Choose an Analytics Agency in Australia: What to Look For in 2026</v>
      </c>
      <c r="C10" s="6" t="str">
        <f>IFERROR(__xludf.DUMMYFUNCTION("""COMPUTED_VALUE"""),"3pdigital.com.au")</f>
        <v>3pdigital.com.au</v>
      </c>
      <c r="D10" s="7" t="str">
        <f>IFERROR(__xludf.DUMMYFUNCTION("""COMPUTED_VALUE"""),"HOW_TO_GUIDE")</f>
        <v>HOW_TO_GUIDE</v>
      </c>
      <c r="E10" s="7" t="str">
        <f>IFERROR(__xludf.DUMMYFUNCTION("""COMPUTED_VALUE"""),"CORPORATE")</f>
        <v>CORPORATE</v>
      </c>
      <c r="F10" s="7" t="str">
        <f>IFERROR(__xludf.DUMMYFUNCTION("""COMPUTED_VALUE"""),"How-To Guide")</f>
        <v>How-To Guide</v>
      </c>
      <c r="G10" s="7" t="b">
        <f>IFERROR(__xludf.DUMMYFUNCTION("""COMPUTED_VALUE"""),FALSE)</f>
        <v>0</v>
      </c>
      <c r="H10" s="7"/>
      <c r="I10" s="7">
        <f>IFERROR(__xludf.DUMMYFUNCTION("""COMPUTED_VALUE"""),3.0)</f>
        <v>3</v>
      </c>
      <c r="J10" s="7">
        <f>IFERROR(__xludf.DUMMYFUNCTION("""COMPUTED_VALUE"""),0.0)</f>
        <v>0</v>
      </c>
      <c r="K10" s="7">
        <f>IFERROR(__xludf.DUMMYFUNCTION("""COMPUTED_VALUE"""),0.0)</f>
        <v>0</v>
      </c>
    </row>
    <row r="11" ht="15.75" customHeight="1">
      <c r="A11" s="6" t="str">
        <f>IFERROR(__xludf.DUMMYFUNCTION("""COMPUTED_VALUE"""),"https://3pdigital.com.au/blog/paid-media-agency-australia-what-to-look-for-and-how-to-choose")</f>
        <v>https://3pdigital.com.au/blog/paid-media-agency-australia-what-to-look-for-and-how-to-choose</v>
      </c>
      <c r="B11" s="7"/>
      <c r="C11" s="6" t="str">
        <f>IFERROR(__xludf.DUMMYFUNCTION("""COMPUTED_VALUE"""),"3pdigital.com.au")</f>
        <v>3pdigital.com.au</v>
      </c>
      <c r="D11" s="7" t="str">
        <f>IFERROR(__xludf.DUMMYFUNCTION("""COMPUTED_VALUE"""),"HOW_TO_GUIDE")</f>
        <v>HOW_TO_GUIDE</v>
      </c>
      <c r="E11" s="7" t="str">
        <f>IFERROR(__xludf.DUMMYFUNCTION("""COMPUTED_VALUE"""),"CORPORATE")</f>
        <v>CORPORATE</v>
      </c>
      <c r="F11" s="7" t="str">
        <f>IFERROR(__xludf.DUMMYFUNCTION("""COMPUTED_VALUE"""),"How-To Guide")</f>
        <v>How-To Guide</v>
      </c>
      <c r="G11" s="7" t="b">
        <f>IFERROR(__xludf.DUMMYFUNCTION("""COMPUTED_VALUE"""),FALSE)</f>
        <v>0</v>
      </c>
      <c r="H11" s="7"/>
      <c r="I11" s="7">
        <f>IFERROR(__xludf.DUMMYFUNCTION("""COMPUTED_VALUE"""),3.0)</f>
        <v>3</v>
      </c>
      <c r="J11" s="7">
        <f>IFERROR(__xludf.DUMMYFUNCTION("""COMPUTED_VALUE"""),0.0)</f>
        <v>0</v>
      </c>
      <c r="K11" s="7">
        <f>IFERROR(__xludf.DUMMYFUNCTION("""COMPUTED_VALUE"""),1.0)</f>
        <v>1</v>
      </c>
    </row>
    <row r="12" ht="15.75" customHeight="1">
      <c r="A12" s="6" t="str">
        <f>IFERROR(__xludf.DUMMYFUNCTION("""COMPUTED_VALUE"""),"https://digitalagencynetwork.com/agencies/australia/industry/it-technology/")</f>
        <v>https://digitalagencynetwork.com/agencies/australia/industry/it-technology/</v>
      </c>
      <c r="B12" s="7" t="str">
        <f>IFERROR(__xludf.DUMMYFUNCTION("""COMPUTED_VALUE"""),"Top Technology Marketing Agencies in Australia (2026)")</f>
        <v>Top Technology Marketing Agencies in Australia (2026)</v>
      </c>
      <c r="C12" s="6" t="str">
        <f>IFERROR(__xludf.DUMMYFUNCTION("""COMPUTED_VALUE"""),"digitalagencynetwork.com")</f>
        <v>digitalagencynetwork.com</v>
      </c>
      <c r="D12" s="7" t="str">
        <f>IFERROR(__xludf.DUMMYFUNCTION("""COMPUTED_VALUE"""),"HOW_TO_GUIDE")</f>
        <v>HOW_TO_GUIDE</v>
      </c>
      <c r="E12" s="7" t="str">
        <f>IFERROR(__xludf.DUMMYFUNCTION("""COMPUTED_VALUE"""),"REFERENCE")</f>
        <v>REFERENCE</v>
      </c>
      <c r="F12" s="7" t="str">
        <f>IFERROR(__xludf.DUMMYFUNCTION("""COMPUTED_VALUE"""),"How-To Guide")</f>
        <v>How-To Guide</v>
      </c>
      <c r="G12" s="7" t="b">
        <f>IFERROR(__xludf.DUMMYFUNCTION("""COMPUTED_VALUE"""),FALSE)</f>
        <v>0</v>
      </c>
      <c r="H12" s="7" t="str">
        <f>IFERROR(__xludf.DUMMYFUNCTION("""COMPUTED_VALUE"""),"Clearwater Agency, Digital Nomads HQ, Emote Digital, Impressive")</f>
        <v>Clearwater Agency, Digital Nomads HQ, Emote Digital, Impressive</v>
      </c>
      <c r="I12" s="7">
        <f>IFERROR(__xludf.DUMMYFUNCTION("""COMPUTED_VALUE"""),3.0)</f>
        <v>3</v>
      </c>
      <c r="J12" s="7">
        <f>IFERROR(__xludf.DUMMYFUNCTION("""COMPUTED_VALUE"""),0.0)</f>
        <v>0</v>
      </c>
      <c r="K12" s="7">
        <f>IFERROR(__xludf.DUMMYFUNCTION("""COMPUTED_VALUE"""),0.0)</f>
        <v>0</v>
      </c>
    </row>
    <row r="13" ht="15.75" customHeight="1">
      <c r="A13" s="6" t="str">
        <f>IFERROR(__xludf.DUMMYFUNCTION("""COMPUTED_VALUE"""),"https://agenticmarketingpro.com/incrementality-testing/")</f>
        <v>https://agenticmarketingpro.com/incrementality-testing/</v>
      </c>
      <c r="B13" s="7" t="str">
        <f>IFERROR(__xludf.DUMMYFUNCTION("""COMPUTED_VALUE"""),"Modern Incrementality Testing: Moving the Needle in 2026")</f>
        <v>Modern Incrementality Testing: Moving the Needle in 2026</v>
      </c>
      <c r="C13" s="6" t="str">
        <f>IFERROR(__xludf.DUMMYFUNCTION("""COMPUTED_VALUE"""),"agenticmarketingpro.com")</f>
        <v>agenticmarketingpro.com</v>
      </c>
      <c r="D13" s="7" t="str">
        <f>IFERROR(__xludf.DUMMYFUNCTION("""COMPUTED_VALUE"""),"HOW_TO_GUIDE")</f>
        <v>HOW_TO_GUIDE</v>
      </c>
      <c r="E13" s="7" t="str">
        <f>IFERROR(__xludf.DUMMYFUNCTION("""COMPUTED_VALUE"""),"CORPORATE")</f>
        <v>CORPORATE</v>
      </c>
      <c r="F13" s="7" t="str">
        <f>IFERROR(__xludf.DUMMYFUNCTION("""COMPUTED_VALUE"""),"How-To Guide")</f>
        <v>How-To Guide</v>
      </c>
      <c r="G13" s="7" t="b">
        <f>IFERROR(__xludf.DUMMYFUNCTION("""COMPUTED_VALUE"""),FALSE)</f>
        <v>0</v>
      </c>
      <c r="H13" s="7"/>
      <c r="I13" s="7">
        <f>IFERROR(__xludf.DUMMYFUNCTION("""COMPUTED_VALUE"""),1.0)</f>
        <v>1</v>
      </c>
      <c r="J13" s="7">
        <f>IFERROR(__xludf.DUMMYFUNCTION("""COMPUTED_VALUE"""),0.0)</f>
        <v>0</v>
      </c>
      <c r="K13" s="7">
        <f>IFERROR(__xludf.DUMMYFUNCTION("""COMPUTED_VALUE"""),0.0)</f>
        <v>0</v>
      </c>
    </row>
    <row r="14" ht="15.75" customHeight="1">
      <c r="A14" s="6" t="str">
        <f>IFERROR(__xludf.DUMMYFUNCTION("""COMPUTED_VALUE"""),"https://aipivot.com.au/blog/how-to-choose-ai-seo-agency-australia")</f>
        <v>https://aipivot.com.au/blog/how-to-choose-ai-seo-agency-australia</v>
      </c>
      <c r="B14" s="7" t="str">
        <f>IFERROR(__xludf.DUMMYFUNCTION("""COMPUTED_VALUE"""),"How to Choose an AI SEO Agency in Australia (2026) | AI Pivot Toolbox")</f>
        <v>How to Choose an AI SEO Agency in Australia (2026) | AI Pivot Toolbox</v>
      </c>
      <c r="C14" s="6" t="str">
        <f>IFERROR(__xludf.DUMMYFUNCTION("""COMPUTED_VALUE"""),"aipivot.com.au")</f>
        <v>aipivot.com.au</v>
      </c>
      <c r="D14" s="7" t="str">
        <f>IFERROR(__xludf.DUMMYFUNCTION("""COMPUTED_VALUE"""),"HOW_TO_GUIDE")</f>
        <v>HOW_TO_GUIDE</v>
      </c>
      <c r="E14" s="7" t="str">
        <f>IFERROR(__xludf.DUMMYFUNCTION("""COMPUTED_VALUE"""),"CORPORATE")</f>
        <v>CORPORATE</v>
      </c>
      <c r="F14" s="7" t="str">
        <f>IFERROR(__xludf.DUMMYFUNCTION("""COMPUTED_VALUE"""),"How-To Guide")</f>
        <v>How-To Guide</v>
      </c>
      <c r="G14" s="7" t="b">
        <f>IFERROR(__xludf.DUMMYFUNCTION("""COMPUTED_VALUE"""),FALSE)</f>
        <v>0</v>
      </c>
      <c r="H14" s="7" t="str">
        <f>IFERROR(__xludf.DUMMYFUNCTION("""COMPUTED_VALUE"""),"Deloitte")</f>
        <v>Deloitte</v>
      </c>
      <c r="I14" s="7">
        <f>IFERROR(__xludf.DUMMYFUNCTION("""COMPUTED_VALUE"""),1.0)</f>
        <v>1</v>
      </c>
      <c r="J14" s="7">
        <f>IFERROR(__xludf.DUMMYFUNCTION("""COMPUTED_VALUE"""),0.0)</f>
        <v>0</v>
      </c>
      <c r="K14" s="7">
        <f>IFERROR(__xludf.DUMMYFUNCTION("""COMPUTED_VALUE"""),1.0)</f>
        <v>1</v>
      </c>
    </row>
    <row r="15" ht="15.75" customHeight="1">
      <c r="A15" s="6" t="str">
        <f>IFERROR(__xludf.DUMMYFUNCTION("""COMPUTED_VALUE"""),"https://brightwaterdigital.com.au/blog/what-is-aeo#:~:text=Create%20dedicated%20FAQ%20pages%20or%20blog%20posts,your%20listings%20and%20make%20them%20identical%20everywhere.")</f>
        <v>https://brightwaterdigital.com.au/blog/what-is-aeo#:~:text=Create%20dedicated%20FAQ%20pages%20or%20blog%20posts,your%20listings%20and%20make%20them%20identical%20everywhere.</v>
      </c>
      <c r="B15" s="7" t="str">
        <f>IFERROR(__xludf.DUMMYFUNCTION("""COMPUTED_VALUE"""),"What Is Answer Engine Optimisation (AEO) and Why Australian Businesses Need It Now | Brightwater Digital")</f>
        <v>What Is Answer Engine Optimisation (AEO) and Why Australian Businesses Need It Now | Brightwater Digital</v>
      </c>
      <c r="C15" s="6" t="str">
        <f>IFERROR(__xludf.DUMMYFUNCTION("""COMPUTED_VALUE"""),"brightwaterdigital.com.au")</f>
        <v>brightwaterdigital.com.au</v>
      </c>
      <c r="D15" s="7" t="str">
        <f>IFERROR(__xludf.DUMMYFUNCTION("""COMPUTED_VALUE"""),"HOW_TO_GUIDE")</f>
        <v>HOW_TO_GUIDE</v>
      </c>
      <c r="E15" s="7" t="str">
        <f>IFERROR(__xludf.DUMMYFUNCTION("""COMPUTED_VALUE"""),"CORPORATE")</f>
        <v>CORPORATE</v>
      </c>
      <c r="F15" s="7" t="str">
        <f>IFERROR(__xludf.DUMMYFUNCTION("""COMPUTED_VALUE"""),"How-To Guide")</f>
        <v>How-To Guide</v>
      </c>
      <c r="G15" s="7" t="b">
        <f>IFERROR(__xludf.DUMMYFUNCTION("""COMPUTED_VALUE"""),FALSE)</f>
        <v>0</v>
      </c>
      <c r="H15" s="7"/>
      <c r="I15" s="7">
        <f>IFERROR(__xludf.DUMMYFUNCTION("""COMPUTED_VALUE"""),1.0)</f>
        <v>1</v>
      </c>
      <c r="J15" s="7">
        <f>IFERROR(__xludf.DUMMYFUNCTION("""COMPUTED_VALUE"""),0.0)</f>
        <v>0</v>
      </c>
      <c r="K15" s="7">
        <f>IFERROR(__xludf.DUMMYFUNCTION("""COMPUTED_VALUE"""),1.0)</f>
        <v>1</v>
      </c>
    </row>
    <row r="16" ht="15.75" customHeight="1">
      <c r="A16" s="6" t="str">
        <f>IFERROR(__xludf.DUMMYFUNCTION("""COMPUTED_VALUE"""),"https://codiant.ai/blog/how-to-choose-the-right-ai-consulting-company-in-australia/")</f>
        <v>https://codiant.ai/blog/how-to-choose-the-right-ai-consulting-company-in-australia/</v>
      </c>
      <c r="B16" s="7" t="str">
        <f>IFERROR(__xludf.DUMMYFUNCTION("""COMPUTED_VALUE"""),"How to Choose an AI Consulting Partner in Australia")</f>
        <v>How to Choose an AI Consulting Partner in Australia</v>
      </c>
      <c r="C16" s="6" t="str">
        <f>IFERROR(__xludf.DUMMYFUNCTION("""COMPUTED_VALUE"""),"codiant.ai")</f>
        <v>codiant.ai</v>
      </c>
      <c r="D16" s="7" t="str">
        <f>IFERROR(__xludf.DUMMYFUNCTION("""COMPUTED_VALUE"""),"HOW_TO_GUIDE")</f>
        <v>HOW_TO_GUIDE</v>
      </c>
      <c r="E16" s="7" t="str">
        <f>IFERROR(__xludf.DUMMYFUNCTION("""COMPUTED_VALUE"""),"CORPORATE")</f>
        <v>CORPORATE</v>
      </c>
      <c r="F16" s="7" t="str">
        <f>IFERROR(__xludf.DUMMYFUNCTION("""COMPUTED_VALUE"""),"How-To Guide")</f>
        <v>How-To Guide</v>
      </c>
      <c r="G16" s="7" t="b">
        <f>IFERROR(__xludf.DUMMYFUNCTION("""COMPUTED_VALUE"""),FALSE)</f>
        <v>0</v>
      </c>
      <c r="H16" s="7" t="str">
        <f>IFERROR(__xludf.DUMMYFUNCTION("""COMPUTED_VALUE"""),"Impressive")</f>
        <v>Impressive</v>
      </c>
      <c r="I16" s="7">
        <f>IFERROR(__xludf.DUMMYFUNCTION("""COMPUTED_VALUE"""),1.0)</f>
        <v>1</v>
      </c>
      <c r="J16" s="7">
        <f>IFERROR(__xludf.DUMMYFUNCTION("""COMPUTED_VALUE"""),0.0)</f>
        <v>0</v>
      </c>
      <c r="K16" s="7">
        <f>IFERROR(__xludf.DUMMYFUNCTION("""COMPUTED_VALUE"""),1.0)</f>
        <v>1</v>
      </c>
    </row>
    <row r="17" ht="15.75" customHeight="1">
      <c r="A17" s="6" t="str">
        <f>IFERROR(__xludf.DUMMYFUNCTION("""COMPUTED_VALUE"""),"https://www.designrush.com/agency/paid-media-pay-per-click/au")</f>
        <v>https://www.designrush.com/agency/paid-media-pay-per-click/au</v>
      </c>
      <c r="B17" s="7" t="str">
        <f>IFERROR(__xludf.DUMMYFUNCTION("""COMPUTED_VALUE"""),"Top PPC Services in Australia | 2026")</f>
        <v>Top PPC Services in Australia | 2026</v>
      </c>
      <c r="C17" s="6" t="str">
        <f>IFERROR(__xludf.DUMMYFUNCTION("""COMPUTED_VALUE"""),"designrush.com")</f>
        <v>designrush.com</v>
      </c>
      <c r="D17" s="7" t="str">
        <f>IFERROR(__xludf.DUMMYFUNCTION("""COMPUTED_VALUE"""),"HOW_TO_GUIDE")</f>
        <v>HOW_TO_GUIDE</v>
      </c>
      <c r="E17" s="7" t="str">
        <f>IFERROR(__xludf.DUMMYFUNCTION("""COMPUTED_VALUE"""),"CORPORATE")</f>
        <v>CORPORATE</v>
      </c>
      <c r="F17" s="7" t="str">
        <f>IFERROR(__xludf.DUMMYFUNCTION("""COMPUTED_VALUE"""),"How-To Guide")</f>
        <v>How-To Guide</v>
      </c>
      <c r="G17" s="7" t="b">
        <f>IFERROR(__xludf.DUMMYFUNCTION("""COMPUTED_VALUE"""),FALSE)</f>
        <v>0</v>
      </c>
      <c r="H17" s="7" t="str">
        <f>IFERROR(__xludf.DUMMYFUNCTION("""COMPUTED_VALUE"""),"Impressive, Supple Digital, eMarket Experts, Online Marketing Gurus, SIXGUN, Digital Nomads HQ, Soup Agency, 80/20 Digital")</f>
        <v>Impressive, Supple Digital, eMarket Experts, Online Marketing Gurus, SIXGUN, Digital Nomads HQ, Soup Agency, 80/20 Digital</v>
      </c>
      <c r="I17" s="7">
        <f>IFERROR(__xludf.DUMMYFUNCTION("""COMPUTED_VALUE"""),1.0)</f>
        <v>1</v>
      </c>
      <c r="J17" s="7">
        <f>IFERROR(__xludf.DUMMYFUNCTION("""COMPUTED_VALUE"""),0.0)</f>
        <v>0</v>
      </c>
      <c r="K17" s="7">
        <f>IFERROR(__xludf.DUMMYFUNCTION("""COMPUTED_VALUE"""),0.0)</f>
        <v>0</v>
      </c>
    </row>
    <row r="18" ht="15.75" customHeight="1">
      <c r="A18" s="6" t="str">
        <f>IFERROR(__xludf.DUMMYFUNCTION("""COMPUTED_VALUE"""),"https://fusepointinsights.com/blog/mastering-incrementality-testing/")</f>
        <v>https://fusepointinsights.com/blog/mastering-incrementality-testing/</v>
      </c>
      <c r="B18" s="7" t="str">
        <f>IFERROR(__xludf.DUMMYFUNCTION("""COMPUTED_VALUE"""),"Incrementality Testing: How to Measure Incremental Lift and Optimize Spend | fusepoint")</f>
        <v>Incrementality Testing: How to Measure Incremental Lift and Optimize Spend | fusepoint</v>
      </c>
      <c r="C18" s="6" t="str">
        <f>IFERROR(__xludf.DUMMYFUNCTION("""COMPUTED_VALUE"""),"fusepointinsights.com")</f>
        <v>fusepointinsights.com</v>
      </c>
      <c r="D18" s="7" t="str">
        <f>IFERROR(__xludf.DUMMYFUNCTION("""COMPUTED_VALUE"""),"HOW_TO_GUIDE")</f>
        <v>HOW_TO_GUIDE</v>
      </c>
      <c r="E18" s="7" t="str">
        <f>IFERROR(__xludf.DUMMYFUNCTION("""COMPUTED_VALUE"""),"CORPORATE")</f>
        <v>CORPORATE</v>
      </c>
      <c r="F18" s="7" t="str">
        <f>IFERROR(__xludf.DUMMYFUNCTION("""COMPUTED_VALUE"""),"How-To Guide")</f>
        <v>How-To Guide</v>
      </c>
      <c r="G18" s="7" t="b">
        <f>IFERROR(__xludf.DUMMYFUNCTION("""COMPUTED_VALUE"""),FALSE)</f>
        <v>0</v>
      </c>
      <c r="H18" s="7" t="str">
        <f>IFERROR(__xludf.DUMMYFUNCTION("""COMPUTED_VALUE"""),"Measured, Power Digital")</f>
        <v>Measured, Power Digital</v>
      </c>
      <c r="I18" s="7">
        <f>IFERROR(__xludf.DUMMYFUNCTION("""COMPUTED_VALUE"""),1.0)</f>
        <v>1</v>
      </c>
      <c r="J18" s="7">
        <f>IFERROR(__xludf.DUMMYFUNCTION("""COMPUTED_VALUE"""),0.0)</f>
        <v>0</v>
      </c>
      <c r="K18" s="7">
        <f>IFERROR(__xludf.DUMMYFUNCTION("""COMPUTED_VALUE"""),1.0)</f>
        <v>1</v>
      </c>
    </row>
    <row r="19" ht="15.75" customHeight="1">
      <c r="A19" s="6" t="str">
        <f>IFERROR(__xludf.DUMMYFUNCTION("""COMPUTED_VALUE"""),"https://www.louddays.com/performance-marketing-agency-australia-guide/")</f>
        <v>https://www.louddays.com/performance-marketing-agency-australia-guide/</v>
      </c>
      <c r="B19" s="7" t="str">
        <f>IFERROR(__xludf.DUMMYFUNCTION("""COMPUTED_VALUE"""),"How to Choose a Performance Marketing Agency in Australia")</f>
        <v>How to Choose a Performance Marketing Agency in Australia</v>
      </c>
      <c r="C19" s="6" t="str">
        <f>IFERROR(__xludf.DUMMYFUNCTION("""COMPUTED_VALUE"""),"louddays.com")</f>
        <v>louddays.com</v>
      </c>
      <c r="D19" s="7" t="str">
        <f>IFERROR(__xludf.DUMMYFUNCTION("""COMPUTED_VALUE"""),"HOW_TO_GUIDE")</f>
        <v>HOW_TO_GUIDE</v>
      </c>
      <c r="E19" s="7" t="str">
        <f>IFERROR(__xludf.DUMMYFUNCTION("""COMPUTED_VALUE"""),"COMPETITOR")</f>
        <v>COMPETITOR</v>
      </c>
      <c r="F19" s="7" t="str">
        <f>IFERROR(__xludf.DUMMYFUNCTION("""COMPUTED_VALUE"""),"How-To Guide")</f>
        <v>How-To Guide</v>
      </c>
      <c r="G19" s="7" t="b">
        <f>IFERROR(__xludf.DUMMYFUNCTION("""COMPUTED_VALUE"""),FALSE)</f>
        <v>0</v>
      </c>
      <c r="H19" s="7" t="str">
        <f>IFERROR(__xludf.DUMMYFUNCTION("""COMPUTED_VALUE"""),"Loud Days, Momentum")</f>
        <v>Loud Days, Momentum</v>
      </c>
      <c r="I19" s="7">
        <f>IFERROR(__xludf.DUMMYFUNCTION("""COMPUTED_VALUE"""),1.0)</f>
        <v>1</v>
      </c>
      <c r="J19" s="7">
        <f>IFERROR(__xludf.DUMMYFUNCTION("""COMPUTED_VALUE"""),0.0)</f>
        <v>0</v>
      </c>
      <c r="K19" s="7">
        <f>IFERROR(__xludf.DUMMYFUNCTION("""COMPUTED_VALUE"""),1.0)</f>
        <v>1</v>
      </c>
    </row>
    <row r="20" ht="15.75" customHeight="1">
      <c r="A20" s="6" t="str">
        <f>IFERROR(__xludf.DUMMYFUNCTION("""COMPUTED_VALUE"""),"https://mass-analytics.com/marketing-mix-modeling-blogs/how-geo-experiments-measure-incrementality/")</f>
        <v>https://mass-analytics.com/marketing-mix-modeling-blogs/how-geo-experiments-measure-incrementality/</v>
      </c>
      <c r="B20" s="7" t="str">
        <f>IFERROR(__xludf.DUMMYFUNCTION("""COMPUTED_VALUE"""),"How Geo Experiments Measure Incrementality -")</f>
        <v>How Geo Experiments Measure Incrementality -</v>
      </c>
      <c r="C20" s="6" t="str">
        <f>IFERROR(__xludf.DUMMYFUNCTION("""COMPUTED_VALUE"""),"mass-analytics.com")</f>
        <v>mass-analytics.com</v>
      </c>
      <c r="D20" s="7" t="str">
        <f>IFERROR(__xludf.DUMMYFUNCTION("""COMPUTED_VALUE"""),"HOW_TO_GUIDE")</f>
        <v>HOW_TO_GUIDE</v>
      </c>
      <c r="E20" s="7" t="str">
        <f>IFERROR(__xludf.DUMMYFUNCTION("""COMPUTED_VALUE"""),"CORPORATE")</f>
        <v>CORPORATE</v>
      </c>
      <c r="F20" s="7" t="str">
        <f>IFERROR(__xludf.DUMMYFUNCTION("""COMPUTED_VALUE"""),"How-To Guide")</f>
        <v>How-To Guide</v>
      </c>
      <c r="G20" s="7" t="b">
        <f>IFERROR(__xludf.DUMMYFUNCTION("""COMPUTED_VALUE"""),FALSE)</f>
        <v>0</v>
      </c>
      <c r="H20" s="7" t="str">
        <f>IFERROR(__xludf.DUMMYFUNCTION("""COMPUTED_VALUE"""),"Measured")</f>
        <v>Measured</v>
      </c>
      <c r="I20" s="7">
        <f>IFERROR(__xludf.DUMMYFUNCTION("""COMPUTED_VALUE"""),1.0)</f>
        <v>1</v>
      </c>
      <c r="J20" s="7">
        <f>IFERROR(__xludf.DUMMYFUNCTION("""COMPUTED_VALUE"""),0.0)</f>
        <v>0</v>
      </c>
      <c r="K20" s="7">
        <f>IFERROR(__xludf.DUMMYFUNCTION("""COMPUTED_VALUE"""),0.0)</f>
        <v>0</v>
      </c>
    </row>
    <row r="21" ht="15.75" customHeight="1">
      <c r="A21" s="6" t="str">
        <f>IFERROR(__xludf.DUMMYFUNCTION("""COMPUTED_VALUE"""),"https://matomo.org/blog/2024/03/incrementality-testing/")</f>
        <v>https://matomo.org/blog/2024/03/incrementality-testing/</v>
      </c>
      <c r="B21" s="7" t="str">
        <f>IFERROR(__xludf.DUMMYFUNCTION("""COMPUTED_VALUE"""),"Incrementality Testing: Quick-Start Guide (With Calculations) - Analytics Platform - Matomo")</f>
        <v>Incrementality Testing: Quick-Start Guide (With Calculations) - Analytics Platform - Matomo</v>
      </c>
      <c r="C21" s="6" t="str">
        <f>IFERROR(__xludf.DUMMYFUNCTION("""COMPUTED_VALUE"""),"matomo.org")</f>
        <v>matomo.org</v>
      </c>
      <c r="D21" s="7" t="str">
        <f>IFERROR(__xludf.DUMMYFUNCTION("""COMPUTED_VALUE"""),"HOW_TO_GUIDE")</f>
        <v>HOW_TO_GUIDE</v>
      </c>
      <c r="E21" s="7" t="str">
        <f>IFERROR(__xludf.DUMMYFUNCTION("""COMPUTED_VALUE"""),"INSTITUTIONAL")</f>
        <v>INSTITUTIONAL</v>
      </c>
      <c r="F21" s="7" t="str">
        <f>IFERROR(__xludf.DUMMYFUNCTION("""COMPUTED_VALUE"""),"How-To Guide")</f>
        <v>How-To Guide</v>
      </c>
      <c r="G21" s="7" t="b">
        <f>IFERROR(__xludf.DUMMYFUNCTION("""COMPUTED_VALUE"""),FALSE)</f>
        <v>0</v>
      </c>
      <c r="H21" s="7"/>
      <c r="I21" s="7">
        <f>IFERROR(__xludf.DUMMYFUNCTION("""COMPUTED_VALUE"""),1.0)</f>
        <v>1</v>
      </c>
      <c r="J21" s="7">
        <f>IFERROR(__xludf.DUMMYFUNCTION("""COMPUTED_VALUE"""),0.0)</f>
        <v>0</v>
      </c>
      <c r="K21" s="7">
        <f>IFERROR(__xludf.DUMMYFUNCTION("""COMPUTED_VALUE"""),0.0)</f>
        <v>0</v>
      </c>
    </row>
    <row r="22" ht="15.75" customHeight="1">
      <c r="A22" s="6" t="str">
        <f>IFERROR(__xludf.DUMMYFUNCTION("""COMPUTED_VALUE"""),"https://metriclabs.com.au/ga4-ecommerce-tracking/")</f>
        <v>https://metriclabs.com.au/ga4-ecommerce-tracking/</v>
      </c>
      <c r="B22" s="7" t="str">
        <f>IFERROR(__xludf.DUMMYFUNCTION("""COMPUTED_VALUE"""),"Google Analytics 4 ecommerce tracking | Metric Labs")</f>
        <v>Google Analytics 4 ecommerce tracking | Metric Labs</v>
      </c>
      <c r="C22" s="6" t="str">
        <f>IFERROR(__xludf.DUMMYFUNCTION("""COMPUTED_VALUE"""),"metriclabs.com.au")</f>
        <v>metriclabs.com.au</v>
      </c>
      <c r="D22" s="7" t="str">
        <f>IFERROR(__xludf.DUMMYFUNCTION("""COMPUTED_VALUE"""),"HOW_TO_GUIDE")</f>
        <v>HOW_TO_GUIDE</v>
      </c>
      <c r="E22" s="7" t="str">
        <f>IFERROR(__xludf.DUMMYFUNCTION("""COMPUTED_VALUE"""),"COMPETITOR")</f>
        <v>COMPETITOR</v>
      </c>
      <c r="F22" s="7" t="str">
        <f>IFERROR(__xludf.DUMMYFUNCTION("""COMPUTED_VALUE"""),"How-To Guide")</f>
        <v>How-To Guide</v>
      </c>
      <c r="G22" s="7" t="b">
        <f>IFERROR(__xludf.DUMMYFUNCTION("""COMPUTED_VALUE"""),FALSE)</f>
        <v>0</v>
      </c>
      <c r="H22" s="7" t="str">
        <f>IFERROR(__xludf.DUMMYFUNCTION("""COMPUTED_VALUE"""),"Metric Labs")</f>
        <v>Metric Labs</v>
      </c>
      <c r="I22" s="7">
        <f>IFERROR(__xludf.DUMMYFUNCTION("""COMPUTED_VALUE"""),1.0)</f>
        <v>1</v>
      </c>
      <c r="J22" s="7">
        <f>IFERROR(__xludf.DUMMYFUNCTION("""COMPUTED_VALUE"""),0.0)</f>
        <v>0</v>
      </c>
      <c r="K22" s="7">
        <f>IFERROR(__xludf.DUMMYFUNCTION("""COMPUTED_VALUE"""),1.0)</f>
        <v>1</v>
      </c>
    </row>
    <row r="23" ht="15.75" customHeight="1">
      <c r="A23" s="6" t="str">
        <f>IFERROR(__xludf.DUMMYFUNCTION("""COMPUTED_VALUE"""),"https://www.roboticmarketer.com/how-ai-marketing-consultants-boost-productivity-and-roi/")</f>
        <v>https://www.roboticmarketer.com/how-ai-marketing-consultants-boost-productivity-and-roi/</v>
      </c>
      <c r="B23" s="7" t="str">
        <f>IFERROR(__xludf.DUMMYFUNCTION("""COMPUTED_VALUE"""),"How AI Marketing Consultants Boost Success for Businesses?")</f>
        <v>How AI Marketing Consultants Boost Success for Businesses?</v>
      </c>
      <c r="C23" s="6" t="str">
        <f>IFERROR(__xludf.DUMMYFUNCTION("""COMPUTED_VALUE"""),"roboticmarketer.com")</f>
        <v>roboticmarketer.com</v>
      </c>
      <c r="D23" s="7" t="str">
        <f>IFERROR(__xludf.DUMMYFUNCTION("""COMPUTED_VALUE"""),"HOW_TO_GUIDE")</f>
        <v>HOW_TO_GUIDE</v>
      </c>
      <c r="E23" s="7" t="str">
        <f>IFERROR(__xludf.DUMMYFUNCTION("""COMPUTED_VALUE"""),"CORPORATE")</f>
        <v>CORPORATE</v>
      </c>
      <c r="F23" s="7" t="str">
        <f>IFERROR(__xludf.DUMMYFUNCTION("""COMPUTED_VALUE"""),"How-To Guide")</f>
        <v>How-To Guide</v>
      </c>
      <c r="G23" s="7" t="b">
        <f>IFERROR(__xludf.DUMMYFUNCTION("""COMPUTED_VALUE"""),FALSE)</f>
        <v>0</v>
      </c>
      <c r="H23" s="7" t="str">
        <f>IFERROR(__xludf.DUMMYFUNCTION("""COMPUTED_VALUE"""),"Impressive")</f>
        <v>Impressive</v>
      </c>
      <c r="I23" s="7">
        <f>IFERROR(__xludf.DUMMYFUNCTION("""COMPUTED_VALUE"""),1.0)</f>
        <v>1</v>
      </c>
      <c r="J23" s="7">
        <f>IFERROR(__xludf.DUMMYFUNCTION("""COMPUTED_VALUE"""),0.0)</f>
        <v>0</v>
      </c>
      <c r="K23" s="7">
        <f>IFERROR(__xludf.DUMMYFUNCTION("""COMPUTED_VALUE"""),1.0)</f>
        <v>1</v>
      </c>
    </row>
    <row r="24" ht="15.75" customHeight="1">
      <c r="A24" s="6" t="str">
        <f>IFERROR(__xludf.DUMMYFUNCTION("""COMPUTED_VALUE"""),"https://studioandcomarketing.com.au/what-is-geo-in-digital-marketing-and-how-does-it-impact-seo/")</f>
        <v>https://studioandcomarketing.com.au/what-is-geo-in-digital-marketing-and-how-does-it-impact-seo/</v>
      </c>
      <c r="B24" s="7" t="str">
        <f>IFERROR(__xludf.DUMMYFUNCTION("""COMPUTED_VALUE"""),"What is GEO in digital marketing and how does it impact SEO? - Studio &amp;amp; Co Marketing")</f>
        <v>What is GEO in digital marketing and how does it impact SEO? - Studio &amp;amp; Co Marketing</v>
      </c>
      <c r="C24" s="6" t="str">
        <f>IFERROR(__xludf.DUMMYFUNCTION("""COMPUTED_VALUE"""),"studioandcomarketing.com.au")</f>
        <v>studioandcomarketing.com.au</v>
      </c>
      <c r="D24" s="7" t="str">
        <f>IFERROR(__xludf.DUMMYFUNCTION("""COMPUTED_VALUE"""),"HOW_TO_GUIDE")</f>
        <v>HOW_TO_GUIDE</v>
      </c>
      <c r="E24" s="7" t="str">
        <f>IFERROR(__xludf.DUMMYFUNCTION("""COMPUTED_VALUE"""),"CORPORATE")</f>
        <v>CORPORATE</v>
      </c>
      <c r="F24" s="7" t="str">
        <f>IFERROR(__xludf.DUMMYFUNCTION("""COMPUTED_VALUE"""),"How-To Guide")</f>
        <v>How-To Guide</v>
      </c>
      <c r="G24" s="7" t="b">
        <f>IFERROR(__xludf.DUMMYFUNCTION("""COMPUTED_VALUE"""),FALSE)</f>
        <v>0</v>
      </c>
      <c r="H24" s="7"/>
      <c r="I24" s="7">
        <f>IFERROR(__xludf.DUMMYFUNCTION("""COMPUTED_VALUE"""),1.0)</f>
        <v>1</v>
      </c>
      <c r="J24" s="7">
        <f>IFERROR(__xludf.DUMMYFUNCTION("""COMPUTED_VALUE"""),0.0)</f>
        <v>0</v>
      </c>
      <c r="K24" s="7">
        <f>IFERROR(__xludf.DUMMYFUNCTION("""COMPUTED_VALUE"""),1.0)</f>
        <v>1</v>
      </c>
    </row>
    <row r="25" ht="15.75" customHeight="1">
      <c r="A25" s="6" t="str">
        <f>IFERROR(__xludf.DUMMYFUNCTION("""COMPUTED_VALUE"""),"https://www.triplewhale.com/blog/incrementality-testing-methods")</f>
        <v>https://www.triplewhale.com/blog/incrementality-testing-methods</v>
      </c>
      <c r="B25" s="7" t="str">
        <f>IFERROR(__xludf.DUMMYFUNCTION("""COMPUTED_VALUE"""),"A Guide to Incrementality Testing Methods: Different Ways to Measure True Marketing Impact | Triple Whale")</f>
        <v>A Guide to Incrementality Testing Methods: Different Ways to Measure True Marketing Impact | Triple Whale</v>
      </c>
      <c r="C25" s="6" t="str">
        <f>IFERROR(__xludf.DUMMYFUNCTION("""COMPUTED_VALUE"""),"triplewhale.com")</f>
        <v>triplewhale.com</v>
      </c>
      <c r="D25" s="7" t="str">
        <f>IFERROR(__xludf.DUMMYFUNCTION("""COMPUTED_VALUE"""),"HOW_TO_GUIDE")</f>
        <v>HOW_TO_GUIDE</v>
      </c>
      <c r="E25" s="7" t="str">
        <f>IFERROR(__xludf.DUMMYFUNCTION("""COMPUTED_VALUE"""),"CORPORATE")</f>
        <v>CORPORATE</v>
      </c>
      <c r="F25" s="7" t="str">
        <f>IFERROR(__xludf.DUMMYFUNCTION("""COMPUTED_VALUE"""),"How-To Guide")</f>
        <v>How-To Guide</v>
      </c>
      <c r="G25" s="7" t="b">
        <f>IFERROR(__xludf.DUMMYFUNCTION("""COMPUTED_VALUE"""),FALSE)</f>
        <v>0</v>
      </c>
      <c r="H25" s="7"/>
      <c r="I25" s="7">
        <f>IFERROR(__xludf.DUMMYFUNCTION("""COMPUTED_VALUE"""),1.0)</f>
        <v>1</v>
      </c>
      <c r="J25" s="7">
        <f>IFERROR(__xludf.DUMMYFUNCTION("""COMPUTED_VALUE"""),0.0)</f>
        <v>0</v>
      </c>
      <c r="K25" s="7">
        <f>IFERROR(__xludf.DUMMYFUNCTION("""COMPUTED_VALUE"""),1.0)</f>
        <v>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Create%20dedicated%20FAQ%20pages%20or%20blog%20posts,your%20listings%20and%20make%20them%20identical%20everywhere."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s>
  <drawing r:id="rId4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LOWER(TRIM(TO_TEXT('PEEC - URLs - All'!D2:D1000)))=""listicle""
  ),
  """"
)"),"https://www.23digital.com.au/top-13-full-service-digital-marketing-agencies-in-australia/")</f>
        <v>https://www.23digital.com.au/top-13-full-service-digital-marketing-agencies-in-australia/</v>
      </c>
      <c r="B2" s="7" t="str">
        <f>IFERROR(__xludf.DUMMYFUNCTION("""COMPUTED_VALUE"""),"Top 13 Full-Service Digital Marketing Agencies in Australia")</f>
        <v>Top 13 Full-Service Digital Marketing Agencies in Australia</v>
      </c>
      <c r="C2" s="6" t="str">
        <f>IFERROR(__xludf.DUMMYFUNCTION("""COMPUTED_VALUE"""),"23digital.com.au")</f>
        <v>23digital.com.au</v>
      </c>
      <c r="D2" s="7" t="str">
        <f>IFERROR(__xludf.DUMMYFUNCTION("""COMPUTED_VALUE"""),"LISTICLE")</f>
        <v>LISTICLE</v>
      </c>
      <c r="E2" s="7" t="str">
        <f>IFERROR(__xludf.DUMMYFUNCTION("""COMPUTED_VALUE"""),"COMPETITOR")</f>
        <v>COMPETITOR</v>
      </c>
      <c r="F2" s="7" t="str">
        <f>IFERROR(__xludf.DUMMYFUNCTION("""COMPUTED_VALUE"""),"Listicle")</f>
        <v>Listicle</v>
      </c>
      <c r="G2" s="7" t="b">
        <f>IFERROR(__xludf.DUMMYFUNCTION("""COMPUTED_VALUE"""),FALSE)</f>
        <v>0</v>
      </c>
      <c r="H2" s="7" t="str">
        <f>IFERROR(__xludf.DUMMYFUNCTION("""COMPUTED_VALUE"""),"23 Digital, Digital Nomads HQ, Megaphone, Rocket Agency, Emote Digital, Clearwater Agency, Earned Media, Soup Agency, Impressive, Reef Digital Agency, Webprofits, King Kong, Sparro, Brainlabs, Farsiight")</f>
        <v>23 Digital, Digital Nomads HQ, Megaphone, Rocket Agency, Emote Digital, Clearwater Agency, Earned Media, Soup Agency, Impressive, Reef Digital Agency, Webprofits, King Kong, Sparro, Brainlabs, Farsiight</v>
      </c>
      <c r="I2" s="7">
        <f>IFERROR(__xludf.DUMMYFUNCTION("""COMPUTED_VALUE"""),121.0)</f>
        <v>121</v>
      </c>
      <c r="J2" s="7">
        <f>IFERROR(__xludf.DUMMYFUNCTION("""COMPUTED_VALUE"""),0.13)</f>
        <v>0.13</v>
      </c>
      <c r="K2" s="7">
        <f>IFERROR(__xludf.DUMMYFUNCTION("""COMPUTED_VALUE"""),1.1)</f>
        <v>1.1</v>
      </c>
    </row>
    <row r="3" ht="15.75" customHeight="1">
      <c r="A3" s="6" t="str">
        <f>IFERROR(__xludf.DUMMYFUNCTION("""COMPUTED_VALUE"""),"https://digitalnomadshq.com.au/blog/top-digital-marketing-agencies/")</f>
        <v>https://digitalnomadshq.com.au/blog/top-digital-marketing-agencies/</v>
      </c>
      <c r="B3" s="7" t="str">
        <f>IFERROR(__xludf.DUMMYFUNCTION("""COMPUTED_VALUE"""),"Top Digital Marketing Agencies in Australia (2026)")</f>
        <v>Top Digital Marketing Agencies in Australia (2026)</v>
      </c>
      <c r="C3" s="6" t="str">
        <f>IFERROR(__xludf.DUMMYFUNCTION("""COMPUTED_VALUE"""),"digitalnomadshq.com.au")</f>
        <v>digitalnomadshq.com.au</v>
      </c>
      <c r="D3" s="7" t="str">
        <f>IFERROR(__xludf.DUMMYFUNCTION("""COMPUTED_VALUE"""),"LISTICLE")</f>
        <v>LISTICLE</v>
      </c>
      <c r="E3" s="7" t="str">
        <f>IFERROR(__xludf.DUMMYFUNCTION("""COMPUTED_VALUE"""),"COMPETITOR")</f>
        <v>COMPETITOR</v>
      </c>
      <c r="F3" s="7" t="str">
        <f>IFERROR(__xludf.DUMMYFUNCTION("""COMPUTED_VALUE"""),"Listicle")</f>
        <v>Listicle</v>
      </c>
      <c r="G3" s="7" t="b">
        <f>IFERROR(__xludf.DUMMYFUNCTION("""COMPUTED_VALUE"""),FALSE)</f>
        <v>0</v>
      </c>
      <c r="H3" s="7" t="str">
        <f>IFERROR(__xludf.DUMMYFUNCTION("""COMPUTED_VALUE"""),"Digital Nomads HQ, Sparro, CUT THRU, Megaphone, Farsiight, Saatchi &amp; Saatchi, Alpha Digital, Rocket Agency, Brainlabs, XPON")</f>
        <v>Digital Nomads HQ, Sparro, CUT THRU, Megaphone, Farsiight, Saatchi &amp; Saatchi, Alpha Digital, Rocket Agency, Brainlabs, XPON</v>
      </c>
      <c r="I3" s="7">
        <f>IFERROR(__xludf.DUMMYFUNCTION("""COMPUTED_VALUE"""),99.0)</f>
        <v>99</v>
      </c>
      <c r="J3" s="7">
        <f>IFERROR(__xludf.DUMMYFUNCTION("""COMPUTED_VALUE"""),0.1)</f>
        <v>0.1</v>
      </c>
      <c r="K3" s="7">
        <f>IFERROR(__xludf.DUMMYFUNCTION("""COMPUTED_VALUE"""),1.31)</f>
        <v>1.31</v>
      </c>
    </row>
    <row r="4" ht="15.75" customHeight="1">
      <c r="A4" s="6" t="str">
        <f>IFERROR(__xludf.DUMMYFUNCTION("""COMPUTED_VALUE"""),"https://www.adcore.com/blog/top-10-digital-marketing-agencies-in-australia/")</f>
        <v>https://www.adcore.com/blog/top-10-digital-marketing-agencies-in-australia/</v>
      </c>
      <c r="B4" s="7" t="str">
        <f>IFERROR(__xludf.DUMMYFUNCTION("""COMPUTED_VALUE"""),"Top 10 Digital Marketing Agencies in Australia [2026] | Adcore Blog")</f>
        <v>Top 10 Digital Marketing Agencies in Australia [2026] | Adcore Blog</v>
      </c>
      <c r="C4" s="6" t="str">
        <f>IFERROR(__xludf.DUMMYFUNCTION("""COMPUTED_VALUE"""),"adcore.com")</f>
        <v>adcore.com</v>
      </c>
      <c r="D4" s="7" t="str">
        <f>IFERROR(__xludf.DUMMYFUNCTION("""COMPUTED_VALUE"""),"LISTICLE")</f>
        <v>LISTICLE</v>
      </c>
      <c r="E4" s="7" t="str">
        <f>IFERROR(__xludf.DUMMYFUNCTION("""COMPUTED_VALUE"""),"COMPETITOR")</f>
        <v>COMPETITOR</v>
      </c>
      <c r="F4" s="7" t="str">
        <f>IFERROR(__xludf.DUMMYFUNCTION("""COMPUTED_VALUE"""),"Listicle")</f>
        <v>Listicle</v>
      </c>
      <c r="G4" s="7" t="b">
        <f>IFERROR(__xludf.DUMMYFUNCTION("""COMPUTED_VALUE"""),FALSE)</f>
        <v>0</v>
      </c>
      <c r="H4" s="7" t="str">
        <f>IFERROR(__xludf.DUMMYFUNCTION("""COMPUTED_VALUE"""),"Adcore Elite, Momentum, First Page, First Page Australia, Sparro, Clearwater Agency, Impressive, Alpha Digital, Digital Nomads HQ, Megaphone, Farsiight, Soup Agency")</f>
        <v>Adcore Elite, Momentum, First Page, First Page Australia, Sparro, Clearwater Agency, Impressive, Alpha Digital, Digital Nomads HQ, Megaphone, Farsiight, Soup Agency</v>
      </c>
      <c r="I4" s="7">
        <f>IFERROR(__xludf.DUMMYFUNCTION("""COMPUTED_VALUE"""),86.0)</f>
        <v>86</v>
      </c>
      <c r="J4" s="7">
        <f>IFERROR(__xludf.DUMMYFUNCTION("""COMPUTED_VALUE"""),0.09)</f>
        <v>0.09</v>
      </c>
      <c r="K4" s="7">
        <f>IFERROR(__xludf.DUMMYFUNCTION("""COMPUTED_VALUE"""),1.44)</f>
        <v>1.44</v>
      </c>
    </row>
    <row r="5" ht="15.75" customHeight="1">
      <c r="A5" s="6" t="str">
        <f>IFERROR(__xludf.DUMMYFUNCTION("""COMPUTED_VALUE"""),"https://leadsnow.ai/best-ai-marketing-agencies-australia/")</f>
        <v>https://leadsnow.ai/best-ai-marketing-agencies-australia/</v>
      </c>
      <c r="B5" s="7" t="str">
        <f>IFERROR(__xludf.DUMMYFUNCTION("""COMPUTED_VALUE"""),"Best AI Marketing Agencies in Australia (2026) - Leads Now AI")</f>
        <v>Best AI Marketing Agencies in Australia (2026) - Leads Now AI</v>
      </c>
      <c r="C5" s="6" t="str">
        <f>IFERROR(__xludf.DUMMYFUNCTION("""COMPUTED_VALUE"""),"leadsnow.ai")</f>
        <v>leadsnow.ai</v>
      </c>
      <c r="D5" s="7" t="str">
        <f>IFERROR(__xludf.DUMMYFUNCTION("""COMPUTED_VALUE"""),"LISTICLE")</f>
        <v>LISTICLE</v>
      </c>
      <c r="E5" s="7" t="str">
        <f>IFERROR(__xludf.DUMMYFUNCTION("""COMPUTED_VALUE"""),"COMPETITOR")</f>
        <v>COMPETITOR</v>
      </c>
      <c r="F5" s="7" t="str">
        <f>IFERROR(__xludf.DUMMYFUNCTION("""COMPUTED_VALUE"""),"Listicle")</f>
        <v>Listicle</v>
      </c>
      <c r="G5" s="7" t="b">
        <f>IFERROR(__xludf.DUMMYFUNCTION("""COMPUTED_VALUE"""),FALSE)</f>
        <v>0</v>
      </c>
      <c r="H5" s="7" t="str">
        <f>IFERROR(__xludf.DUMMYFUNCTION("""COMPUTED_VALUE"""),"LeadsNow.ai, King Kong, Megaphone, Omnicom Media Group, Online Marketing Gurus, XPON, Alpha Digital, Rocket Agency, Absolutely AI, Bushnote")</f>
        <v>LeadsNow.ai, King Kong, Megaphone, Omnicom Media Group, Online Marketing Gurus, XPON, Alpha Digital, Rocket Agency, Absolutely AI, Bushnote</v>
      </c>
      <c r="I5" s="7">
        <f>IFERROR(__xludf.DUMMYFUNCTION("""COMPUTED_VALUE"""),71.0)</f>
        <v>71</v>
      </c>
      <c r="J5" s="7">
        <f>IFERROR(__xludf.DUMMYFUNCTION("""COMPUTED_VALUE"""),0.07)</f>
        <v>0.07</v>
      </c>
      <c r="K5" s="7">
        <f>IFERROR(__xludf.DUMMYFUNCTION("""COMPUTED_VALUE"""),1.45)</f>
        <v>1.45</v>
      </c>
    </row>
    <row r="6" ht="15.75" customHeight="1">
      <c r="A6" s="6" t="str">
        <f>IFERROR(__xludf.DUMMYFUNCTION("""COMPUTED_VALUE"""),"https://www.theardor.com.au/top-digital-marketing-agencies-in-australia/")</f>
        <v>https://www.theardor.com.au/top-digital-marketing-agencies-in-australia/</v>
      </c>
      <c r="B6" s="7" t="str">
        <f>IFERROR(__xludf.DUMMYFUNCTION("""COMPUTED_VALUE"""),"We Reviewed 160 Digital Marketing Agencies in Australia: 13 Passed")</f>
        <v>We Reviewed 160 Digital Marketing Agencies in Australia: 13 Passed</v>
      </c>
      <c r="C6" s="6" t="str">
        <f>IFERROR(__xludf.DUMMYFUNCTION("""COMPUTED_VALUE"""),"theardor.com.au")</f>
        <v>theardor.com.au</v>
      </c>
      <c r="D6" s="7" t="str">
        <f>IFERROR(__xludf.DUMMYFUNCTION("""COMPUTED_VALUE"""),"LISTICLE")</f>
        <v>LISTICLE</v>
      </c>
      <c r="E6" s="7" t="str">
        <f>IFERROR(__xludf.DUMMYFUNCTION("""COMPUTED_VALUE"""),"CORPORATE")</f>
        <v>CORPORATE</v>
      </c>
      <c r="F6" s="7" t="str">
        <f>IFERROR(__xludf.DUMMYFUNCTION("""COMPUTED_VALUE"""),"Listicle")</f>
        <v>Listicle</v>
      </c>
      <c r="G6" s="7" t="b">
        <f>IFERROR(__xludf.DUMMYFUNCTION("""COMPUTED_VALUE"""),FALSE)</f>
        <v>0</v>
      </c>
      <c r="H6" s="7" t="str">
        <f>IFERROR(__xludf.DUMMYFUNCTION("""COMPUTED_VALUE"""),"Ninja Promo, Digital Nomads HQ, Sparro, Megaphone, Farsiight, Saatchi &amp; Saatchi, Brainlabs, Publicis Groupe")</f>
        <v>Ninja Promo, Digital Nomads HQ, Sparro, Megaphone, Farsiight, Saatchi &amp; Saatchi, Brainlabs, Publicis Groupe</v>
      </c>
      <c r="I6" s="7">
        <f>IFERROR(__xludf.DUMMYFUNCTION("""COMPUTED_VALUE"""),66.0)</f>
        <v>66</v>
      </c>
      <c r="J6" s="7">
        <f>IFERROR(__xludf.DUMMYFUNCTION("""COMPUTED_VALUE"""),0.07)</f>
        <v>0.07</v>
      </c>
      <c r="K6" s="7">
        <f>IFERROR(__xludf.DUMMYFUNCTION("""COMPUTED_VALUE"""),1.97)</f>
        <v>1.97</v>
      </c>
    </row>
    <row r="7" ht="15.75" customHeight="1">
      <c r="A7" s="6" t="str">
        <f>IFERROR(__xludf.DUMMYFUNCTION("""COMPUTED_VALUE"""),"https://talonsmarketing.com.au/6-best-aeo-agencies-australia/")</f>
        <v>https://talonsmarketing.com.au/6-best-aeo-agencies-australia/</v>
      </c>
      <c r="B7" s="7" t="str">
        <f>IFERROR(__xludf.DUMMYFUNCTION("""COMPUTED_VALUE"""),"6 Best AEO Agencies in Australia for 2026 - Talons Marketing")</f>
        <v>6 Best AEO Agencies in Australia for 2026 - Talons Marketing</v>
      </c>
      <c r="C7" s="6" t="str">
        <f>IFERROR(__xludf.DUMMYFUNCTION("""COMPUTED_VALUE"""),"talonsmarketing.com.au")</f>
        <v>talonsmarketing.com.au</v>
      </c>
      <c r="D7" s="7" t="str">
        <f>IFERROR(__xludf.DUMMYFUNCTION("""COMPUTED_VALUE"""),"LISTICLE")</f>
        <v>LISTICLE</v>
      </c>
      <c r="E7" s="7" t="str">
        <f>IFERROR(__xludf.DUMMYFUNCTION("""COMPUTED_VALUE"""),"COMPETITOR")</f>
        <v>COMPETITOR</v>
      </c>
      <c r="F7" s="7" t="str">
        <f>IFERROR(__xludf.DUMMYFUNCTION("""COMPUTED_VALUE"""),"Listicle")</f>
        <v>Listicle</v>
      </c>
      <c r="G7" s="7" t="b">
        <f>IFERROR(__xludf.DUMMYFUNCTION("""COMPUTED_VALUE"""),FALSE)</f>
        <v>0</v>
      </c>
      <c r="H7" s="7" t="str">
        <f>IFERROR(__xludf.DUMMYFUNCTION("""COMPUTED_VALUE"""),"Talons Marketing, In Marketing We Trust, Prosperity Media, Webprofits, Rocket Agency, Digital Nomads HQ")</f>
        <v>Talons Marketing, In Marketing We Trust, Prosperity Media, Webprofits, Rocket Agency, Digital Nomads HQ</v>
      </c>
      <c r="I7" s="7">
        <f>IFERROR(__xludf.DUMMYFUNCTION("""COMPUTED_VALUE"""),55.0)</f>
        <v>55</v>
      </c>
      <c r="J7" s="7">
        <f>IFERROR(__xludf.DUMMYFUNCTION("""COMPUTED_VALUE"""),0.06)</f>
        <v>0.06</v>
      </c>
      <c r="K7" s="7">
        <f>IFERROR(__xludf.DUMMYFUNCTION("""COMPUTED_VALUE"""),2.02)</f>
        <v>2.02</v>
      </c>
    </row>
    <row r="8" ht="15.75" customHeight="1">
      <c r="A8" s="6" t="str">
        <f>IFERROR(__xludf.DUMMYFUNCTION("""COMPUTED_VALUE"""),"https://talonsmarketing.com.au/8-best-generative-engine-optimisation-geo-agencies-australia/")</f>
        <v>https://talonsmarketing.com.au/8-best-generative-engine-optimisation-geo-agencies-australia/</v>
      </c>
      <c r="B8" s="7" t="str">
        <f>IFERROR(__xludf.DUMMYFUNCTION("""COMPUTED_VALUE"""),"8 Best Generative Engine Optimisation (GEO) Agencies in Australia for 2026 - Talons Marketing")</f>
        <v>8 Best Generative Engine Optimisation (GEO) Agencies in Australia for 2026 - Talons Marketing</v>
      </c>
      <c r="C8" s="6" t="str">
        <f>IFERROR(__xludf.DUMMYFUNCTION("""COMPUTED_VALUE"""),"talonsmarketing.com.au")</f>
        <v>talonsmarketing.com.au</v>
      </c>
      <c r="D8" s="7" t="str">
        <f>IFERROR(__xludf.DUMMYFUNCTION("""COMPUTED_VALUE"""),"LISTICLE")</f>
        <v>LISTICLE</v>
      </c>
      <c r="E8" s="7" t="str">
        <f>IFERROR(__xludf.DUMMYFUNCTION("""COMPUTED_VALUE"""),"COMPETITOR")</f>
        <v>COMPETITOR</v>
      </c>
      <c r="F8" s="7" t="str">
        <f>IFERROR(__xludf.DUMMYFUNCTION("""COMPUTED_VALUE"""),"Listicle")</f>
        <v>Listicle</v>
      </c>
      <c r="G8" s="7" t="b">
        <f>IFERROR(__xludf.DUMMYFUNCTION("""COMPUTED_VALUE"""),FALSE)</f>
        <v>0</v>
      </c>
      <c r="H8" s="7" t="str">
        <f>IFERROR(__xludf.DUMMYFUNCTION("""COMPUTED_VALUE"""),"Talons Marketing, In Marketing We Trust, Megantic, Prosperity Media, Webprofits, Rocket Agency, Digital Nomads HQ")</f>
        <v>Talons Marketing, In Marketing We Trust, Megantic, Prosperity Media, Webprofits, Rocket Agency, Digital Nomads HQ</v>
      </c>
      <c r="I8" s="7">
        <f>IFERROR(__xludf.DUMMYFUNCTION("""COMPUTED_VALUE"""),53.0)</f>
        <v>53</v>
      </c>
      <c r="J8" s="7">
        <f>IFERROR(__xludf.DUMMYFUNCTION("""COMPUTED_VALUE"""),0.06)</f>
        <v>0.06</v>
      </c>
      <c r="K8" s="7">
        <f>IFERROR(__xludf.DUMMYFUNCTION("""COMPUTED_VALUE"""),1.7)</f>
        <v>1.7</v>
      </c>
    </row>
    <row r="9" ht="15.75" customHeight="1">
      <c r="A9" s="6" t="str">
        <f>IFERROR(__xludf.DUMMYFUNCTION("""COMPUTED_VALUE"""),"https://www.formulate.com.au/articles/best-ai-seo-agencies-in-australia-2026/#:~:text=This%20sits%20alongside%20a%20mature%20technical%20SEO,of%20the%20discipline.%20%2D%20Jaywing.%20Best%20for.")</f>
        <v>https://www.formulate.com.au/articles/best-ai-seo-agencies-in-australia-2026/#:~:text=This%20sits%20alongside%20a%20mature%20technical%20SEO,of%20the%20discipline.%20%2D%20Jaywing.%20Best%20for.</v>
      </c>
      <c r="B9" s="7" t="str">
        <f>IFERROR(__xludf.DUMMYFUNCTION("""COMPUTED_VALUE"""),"Best AI SEO Agencies in Australia (2026) &amp;#8211; Formulate Design Blog")</f>
        <v>Best AI SEO Agencies in Australia (2026) &amp;#8211; Formulate Design Blog</v>
      </c>
      <c r="C9" s="6" t="str">
        <f>IFERROR(__xludf.DUMMYFUNCTION("""COMPUTED_VALUE"""),"formulate.com.au")</f>
        <v>formulate.com.au</v>
      </c>
      <c r="D9" s="7" t="str">
        <f>IFERROR(__xludf.DUMMYFUNCTION("""COMPUTED_VALUE"""),"LISTICLE")</f>
        <v>LISTICLE</v>
      </c>
      <c r="E9" s="7" t="str">
        <f>IFERROR(__xludf.DUMMYFUNCTION("""COMPUTED_VALUE"""),"EDITORIAL")</f>
        <v>EDITORIAL</v>
      </c>
      <c r="F9" s="7" t="str">
        <f>IFERROR(__xludf.DUMMYFUNCTION("""COMPUTED_VALUE"""),"Listicle")</f>
        <v>Listicle</v>
      </c>
      <c r="G9" s="7" t="b">
        <f>IFERROR(__xludf.DUMMYFUNCTION("""COMPUTED_VALUE"""),FALSE)</f>
        <v>0</v>
      </c>
      <c r="H9" s="7" t="str">
        <f>IFERROR(__xludf.DUMMYFUNCTION("""COMPUTED_VALUE"""),"Prosperity Media, Jaywing")</f>
        <v>Prosperity Media, Jaywing</v>
      </c>
      <c r="I9" s="7">
        <f>IFERROR(__xludf.DUMMYFUNCTION("""COMPUTED_VALUE"""),51.0)</f>
        <v>51</v>
      </c>
      <c r="J9" s="7">
        <f>IFERROR(__xludf.DUMMYFUNCTION("""COMPUTED_VALUE"""),0.05)</f>
        <v>0.05</v>
      </c>
      <c r="K9" s="7">
        <f>IFERROR(__xludf.DUMMYFUNCTION("""COMPUTED_VALUE"""),2.14)</f>
        <v>2.14</v>
      </c>
    </row>
    <row r="10" ht="15.75" customHeight="1">
      <c r="A10" s="6" t="str">
        <f>IFERROR(__xludf.DUMMYFUNCTION("""COMPUTED_VALUE"""),"https://intelligentresourcing.co/blogs/best-aeo-agencies-australia")</f>
        <v>https://intelligentresourcing.co/blogs/best-aeo-agencies-australia</v>
      </c>
      <c r="B10" s="7" t="str">
        <f>IFERROR(__xludf.DUMMYFUNCTION("""COMPUTED_VALUE"""),"Best GEO and AEO Agencies in Australia 2026: Not Doing Traditional SEO")</f>
        <v>Best GEO and AEO Agencies in Australia 2026: Not Doing Traditional SEO</v>
      </c>
      <c r="C10" s="6" t="str">
        <f>IFERROR(__xludf.DUMMYFUNCTION("""COMPUTED_VALUE"""),"intelligentresourcing.co")</f>
        <v>intelligentresourcing.co</v>
      </c>
      <c r="D10" s="7" t="str">
        <f>IFERROR(__xludf.DUMMYFUNCTION("""COMPUTED_VALUE"""),"LISTICLE")</f>
        <v>LISTICLE</v>
      </c>
      <c r="E10" s="7" t="str">
        <f>IFERROR(__xludf.DUMMYFUNCTION("""COMPUTED_VALUE"""),"CORPORATE")</f>
        <v>CORPORATE</v>
      </c>
      <c r="F10" s="7" t="str">
        <f>IFERROR(__xludf.DUMMYFUNCTION("""COMPUTED_VALUE"""),"Listicle")</f>
        <v>Listicle</v>
      </c>
      <c r="G10" s="7" t="b">
        <f>IFERROR(__xludf.DUMMYFUNCTION("""COMPUTED_VALUE"""),FALSE)</f>
        <v>0</v>
      </c>
      <c r="H10" s="7" t="str">
        <f>IFERROR(__xludf.DUMMYFUNCTION("""COMPUTED_VALUE"""),"Intelligent Resourcing, ROI Growth Agency, Luminary, Covert, UR Digital, Ziff Digital, Digital Nomads HQ, In Marketing We Trust")</f>
        <v>Intelligent Resourcing, ROI Growth Agency, Luminary, Covert, UR Digital, Ziff Digital, Digital Nomads HQ, In Marketing We Trust</v>
      </c>
      <c r="I10" s="7">
        <f>IFERROR(__xludf.DUMMYFUNCTION("""COMPUTED_VALUE"""),49.0)</f>
        <v>49</v>
      </c>
      <c r="J10" s="7">
        <f>IFERROR(__xludf.DUMMYFUNCTION("""COMPUTED_VALUE"""),0.05)</f>
        <v>0.05</v>
      </c>
      <c r="K10" s="7">
        <f>IFERROR(__xludf.DUMMYFUNCTION("""COMPUTED_VALUE"""),1.43)</f>
        <v>1.43</v>
      </c>
    </row>
    <row r="11" ht="15.75" customHeight="1">
      <c r="A11" s="6" t="str">
        <f>IFERROR(__xludf.DUMMYFUNCTION("""COMPUTED_VALUE"""),"https://theredrepublic.com/top-5-best-advertising-agencies-australia-2026/")</f>
        <v>https://theredrepublic.com/top-5-best-advertising-agencies-australia-2026/</v>
      </c>
      <c r="B11" s="7" t="str">
        <f>IFERROR(__xludf.DUMMYFUNCTION("""COMPUTED_VALUE"""),"Our Top 5: The Best Creative Advertising Agencies Leading Australia into 2026 | The Red Republic")</f>
        <v>Our Top 5: The Best Creative Advertising Agencies Leading Australia into 2026 | The Red Republic</v>
      </c>
      <c r="C11" s="6" t="str">
        <f>IFERROR(__xludf.DUMMYFUNCTION("""COMPUTED_VALUE"""),"theredrepublic.com")</f>
        <v>theredrepublic.com</v>
      </c>
      <c r="D11" s="7" t="str">
        <f>IFERROR(__xludf.DUMMYFUNCTION("""COMPUTED_VALUE"""),"LISTICLE")</f>
        <v>LISTICLE</v>
      </c>
      <c r="E11" s="7" t="str">
        <f>IFERROR(__xludf.DUMMYFUNCTION("""COMPUTED_VALUE"""),"COMPETITOR")</f>
        <v>COMPETITOR</v>
      </c>
      <c r="F11" s="7" t="str">
        <f>IFERROR(__xludf.DUMMYFUNCTION("""COMPUTED_VALUE"""),"Listicle")</f>
        <v>Listicle</v>
      </c>
      <c r="G11" s="7" t="b">
        <f>IFERROR(__xludf.DUMMYFUNCTION("""COMPUTED_VALUE"""),FALSE)</f>
        <v>0</v>
      </c>
      <c r="H11" s="7" t="str">
        <f>IFERROR(__xludf.DUMMYFUNCTION("""COMPUTED_VALUE"""),"The Red Republic, HERO")</f>
        <v>The Red Republic, HERO</v>
      </c>
      <c r="I11" s="7">
        <f>IFERROR(__xludf.DUMMYFUNCTION("""COMPUTED_VALUE"""),44.0)</f>
        <v>44</v>
      </c>
      <c r="J11" s="7">
        <f>IFERROR(__xludf.DUMMYFUNCTION("""COMPUTED_VALUE"""),0.05)</f>
        <v>0.05</v>
      </c>
      <c r="K11" s="7">
        <f>IFERROR(__xludf.DUMMYFUNCTION("""COMPUTED_VALUE"""),1.57)</f>
        <v>1.57</v>
      </c>
    </row>
    <row r="12" ht="15.75" customHeight="1">
      <c r="A12" s="6" t="str">
        <f>IFERROR(__xludf.DUMMYFUNCTION("""COMPUTED_VALUE"""),"https://www.bushnote.com/articles/best-aeo-agencies-in-australia-in-2026")</f>
        <v>https://www.bushnote.com/articles/best-aeo-agencies-in-australia-in-2026</v>
      </c>
      <c r="B12" s="7" t="str">
        <f>IFERROR(__xludf.DUMMYFUNCTION("""COMPUTED_VALUE"""),"Australia's Best AEO Agencies for AI Search 2026")</f>
        <v>Australia's Best AEO Agencies for AI Search 2026</v>
      </c>
      <c r="C12" s="6" t="str">
        <f>IFERROR(__xludf.DUMMYFUNCTION("""COMPUTED_VALUE"""),"bushnote.com")</f>
        <v>bushnote.com</v>
      </c>
      <c r="D12" s="7" t="str">
        <f>IFERROR(__xludf.DUMMYFUNCTION("""COMPUTED_VALUE"""),"LISTICLE")</f>
        <v>LISTICLE</v>
      </c>
      <c r="E12" s="7" t="str">
        <f>IFERROR(__xludf.DUMMYFUNCTION("""COMPUTED_VALUE"""),"COMPETITOR")</f>
        <v>COMPETITOR</v>
      </c>
      <c r="F12" s="7" t="str">
        <f>IFERROR(__xludf.DUMMYFUNCTION("""COMPUTED_VALUE"""),"Listicle")</f>
        <v>Listicle</v>
      </c>
      <c r="G12" s="7" t="b">
        <f>IFERROR(__xludf.DUMMYFUNCTION("""COMPUTED_VALUE"""),FALSE)</f>
        <v>0</v>
      </c>
      <c r="H12" s="7" t="str">
        <f>IFERROR(__xludf.DUMMYFUNCTION("""COMPUTED_VALUE"""),"Measured, Bushnote, Luminary, StudioHawk, Online Marketing Gurus")</f>
        <v>Measured, Bushnote, Luminary, StudioHawk, Online Marketing Gurus</v>
      </c>
      <c r="I12" s="7">
        <f>IFERROR(__xludf.DUMMYFUNCTION("""COMPUTED_VALUE"""),41.0)</f>
        <v>41</v>
      </c>
      <c r="J12" s="7">
        <f>IFERROR(__xludf.DUMMYFUNCTION("""COMPUTED_VALUE"""),0.04)</f>
        <v>0.04</v>
      </c>
      <c r="K12" s="7">
        <f>IFERROR(__xludf.DUMMYFUNCTION("""COMPUTED_VALUE"""),1.34)</f>
        <v>1.34</v>
      </c>
    </row>
    <row r="13" ht="15.75" customHeight="1">
      <c r="A13" s="6" t="str">
        <f>IFERROR(__xludf.DUMMYFUNCTION("""COMPUTED_VALUE"""),"https://ninjapromo.io/top-digital-marketing-agencies-in-australia")</f>
        <v>https://ninjapromo.io/top-digital-marketing-agencies-in-australia</v>
      </c>
      <c r="B13" s="7" t="str">
        <f>IFERROR(__xludf.DUMMYFUNCTION("""COMPUTED_VALUE"""),"Top 12 Digital Marketing Agencies in Australia for 2026")</f>
        <v>Top 12 Digital Marketing Agencies in Australia for 2026</v>
      </c>
      <c r="C13" s="6" t="str">
        <f>IFERROR(__xludf.DUMMYFUNCTION("""COMPUTED_VALUE"""),"ninjapromo.io")</f>
        <v>ninjapromo.io</v>
      </c>
      <c r="D13" s="7" t="str">
        <f>IFERROR(__xludf.DUMMYFUNCTION("""COMPUTED_VALUE"""),"LISTICLE")</f>
        <v>LISTICLE</v>
      </c>
      <c r="E13" s="7" t="str">
        <f>IFERROR(__xludf.DUMMYFUNCTION("""COMPUTED_VALUE"""),"COMPETITOR")</f>
        <v>COMPETITOR</v>
      </c>
      <c r="F13" s="7" t="str">
        <f>IFERROR(__xludf.DUMMYFUNCTION("""COMPUTED_VALUE"""),"Listicle")</f>
        <v>Listicle</v>
      </c>
      <c r="G13" s="7" t="b">
        <f>IFERROR(__xludf.DUMMYFUNCTION("""COMPUTED_VALUE"""),FALSE)</f>
        <v>0</v>
      </c>
      <c r="H13" s="7" t="str">
        <f>IFERROR(__xludf.DUMMYFUNCTION("""COMPUTED_VALUE"""),"Ninja Promo, 23 Digital, PHD, Clearwater Agency, Alpha Digital, XPON, Impressive, Measured, Emote Digital, Gorilla 360, Earned Media")</f>
        <v>Ninja Promo, 23 Digital, PHD, Clearwater Agency, Alpha Digital, XPON, Impressive, Measured, Emote Digital, Gorilla 360, Earned Media</v>
      </c>
      <c r="I13" s="7">
        <f>IFERROR(__xludf.DUMMYFUNCTION("""COMPUTED_VALUE"""),39.0)</f>
        <v>39</v>
      </c>
      <c r="J13" s="7">
        <f>IFERROR(__xludf.DUMMYFUNCTION("""COMPUTED_VALUE"""),0.04)</f>
        <v>0.04</v>
      </c>
      <c r="K13" s="7">
        <f>IFERROR(__xludf.DUMMYFUNCTION("""COMPUTED_VALUE"""),1.31)</f>
        <v>1.31</v>
      </c>
    </row>
    <row r="14" ht="15.75" customHeight="1">
      <c r="A14" s="6" t="str">
        <f>IFERROR(__xludf.DUMMYFUNCTION("""COMPUTED_VALUE"""),"https://impressive.com.au/best-ai-seo-agencies-melbourne/")</f>
        <v>https://impressive.com.au/best-ai-seo-agencies-melbourne/</v>
      </c>
      <c r="B14" s="7" t="str">
        <f>IFERROR(__xludf.DUMMYFUNCTION("""COMPUTED_VALUE"""),"Best AI SEO Agencies in Melbourne: 2026 Guide")</f>
        <v>Best AI SEO Agencies in Melbourne: 2026 Guide</v>
      </c>
      <c r="C14" s="6" t="str">
        <f>IFERROR(__xludf.DUMMYFUNCTION("""COMPUTED_VALUE"""),"impressive.com.au")</f>
        <v>impressive.com.au</v>
      </c>
      <c r="D14" s="7" t="str">
        <f>IFERROR(__xludf.DUMMYFUNCTION("""COMPUTED_VALUE"""),"LISTICLE")</f>
        <v>LISTICLE</v>
      </c>
      <c r="E14" s="7" t="str">
        <f>IFERROR(__xludf.DUMMYFUNCTION("""COMPUTED_VALUE"""),"COMPETITOR")</f>
        <v>COMPETITOR</v>
      </c>
      <c r="F14" s="7" t="str">
        <f>IFERROR(__xludf.DUMMYFUNCTION("""COMPUTED_VALUE"""),"Listicle")</f>
        <v>Listicle</v>
      </c>
      <c r="G14" s="7" t="b">
        <f>IFERROR(__xludf.DUMMYFUNCTION("""COMPUTED_VALUE"""),FALSE)</f>
        <v>0</v>
      </c>
      <c r="H14" s="7" t="str">
        <f>IFERROR(__xludf.DUMMYFUNCTION("""COMPUTED_VALUE"""),"Impressive, Salt &amp; Fuessel, Predicta Digital, Luminary, Rocket Agency, Prosperity Media, Earned Media, Bonfire")</f>
        <v>Impressive, Salt &amp; Fuessel, Predicta Digital, Luminary, Rocket Agency, Prosperity Media, Earned Media, Bonfire</v>
      </c>
      <c r="I14" s="7">
        <f>IFERROR(__xludf.DUMMYFUNCTION("""COMPUTED_VALUE"""),38.0)</f>
        <v>38</v>
      </c>
      <c r="J14" s="7">
        <f>IFERROR(__xludf.DUMMYFUNCTION("""COMPUTED_VALUE"""),0.04)</f>
        <v>0.04</v>
      </c>
      <c r="K14" s="7">
        <f>IFERROR(__xludf.DUMMYFUNCTION("""COMPUTED_VALUE"""),1.45)</f>
        <v>1.45</v>
      </c>
    </row>
    <row r="15" ht="15.75" customHeight="1">
      <c r="A15" s="6" t="str">
        <f>IFERROR(__xludf.DUMMYFUNCTION("""COMPUTED_VALUE"""),"https://www.thehero.co/news/top-10-best-ad-agency-in-australia-leading-sydney-melbourne-brisbane")</f>
        <v>https://www.thehero.co/news/top-10-best-ad-agency-in-australia-leading-sydney-melbourne-brisbane</v>
      </c>
      <c r="B15" s="7" t="str">
        <f>IFERROR(__xludf.DUMMYFUNCTION("""COMPUTED_VALUE"""),"HERO Tops Best Creative Ad Agency Hot List for Australia, Across Sydney, Melbourne and Brisbane")</f>
        <v>HERO Tops Best Creative Ad Agency Hot List for Australia, Across Sydney, Melbourne and Brisbane</v>
      </c>
      <c r="C15" s="6" t="str">
        <f>IFERROR(__xludf.DUMMYFUNCTION("""COMPUTED_VALUE"""),"thehero.co")</f>
        <v>thehero.co</v>
      </c>
      <c r="D15" s="7" t="str">
        <f>IFERROR(__xludf.DUMMYFUNCTION("""COMPUTED_VALUE"""),"LISTICLE")</f>
        <v>LISTICLE</v>
      </c>
      <c r="E15" s="7" t="str">
        <f>IFERROR(__xludf.DUMMYFUNCTION("""COMPUTED_VALUE"""),"CORPORATE")</f>
        <v>CORPORATE</v>
      </c>
      <c r="F15" s="7" t="str">
        <f>IFERROR(__xludf.DUMMYFUNCTION("""COMPUTED_VALUE"""),"Listicle")</f>
        <v>Listicle</v>
      </c>
      <c r="G15" s="7" t="b">
        <f>IFERROR(__xludf.DUMMYFUNCTION("""COMPUTED_VALUE"""),FALSE)</f>
        <v>0</v>
      </c>
      <c r="H15" s="7" t="str">
        <f>IFERROR(__xludf.DUMMYFUNCTION("""COMPUTED_VALUE"""),"HERO, Momentum")</f>
        <v>HERO, Momentum</v>
      </c>
      <c r="I15" s="7">
        <f>IFERROR(__xludf.DUMMYFUNCTION("""COMPUTED_VALUE"""),37.0)</f>
        <v>37</v>
      </c>
      <c r="J15" s="7">
        <f>IFERROR(__xludf.DUMMYFUNCTION("""COMPUTED_VALUE"""),0.04)</f>
        <v>0.04</v>
      </c>
      <c r="K15" s="7">
        <f>IFERROR(__xludf.DUMMYFUNCTION("""COMPUTED_VALUE"""),0.65)</f>
        <v>0.65</v>
      </c>
    </row>
    <row r="16" ht="15.75" customHeight="1">
      <c r="A16" s="6" t="str">
        <f>IFERROR(__xludf.DUMMYFUNCTION("""COMPUTED_VALUE"""),"https://digitalnomadshq.com.au/blog/best-aeo-answer-engine-optimisation-agencies/")</f>
        <v>https://digitalnomadshq.com.au/blog/best-aeo-answer-engine-optimisation-agencies/</v>
      </c>
      <c r="B16" s="7" t="str">
        <f>IFERROR(__xludf.DUMMYFUNCTION("""COMPUTED_VALUE"""),"Best AEO (Answer Engine Optimisation) Agencies 2026")</f>
        <v>Best AEO (Answer Engine Optimisation) Agencies 2026</v>
      </c>
      <c r="C16" s="6" t="str">
        <f>IFERROR(__xludf.DUMMYFUNCTION("""COMPUTED_VALUE"""),"digitalnomadshq.com.au")</f>
        <v>digitalnomadshq.com.au</v>
      </c>
      <c r="D16" s="7" t="str">
        <f>IFERROR(__xludf.DUMMYFUNCTION("""COMPUTED_VALUE"""),"LISTICLE")</f>
        <v>LISTICLE</v>
      </c>
      <c r="E16" s="7" t="str">
        <f>IFERROR(__xludf.DUMMYFUNCTION("""COMPUTED_VALUE"""),"COMPETITOR")</f>
        <v>COMPETITOR</v>
      </c>
      <c r="F16" s="7" t="str">
        <f>IFERROR(__xludf.DUMMYFUNCTION("""COMPUTED_VALUE"""),"Listicle")</f>
        <v>Listicle</v>
      </c>
      <c r="G16" s="7" t="b">
        <f>IFERROR(__xludf.DUMMYFUNCTION("""COMPUTED_VALUE"""),FALSE)</f>
        <v>0</v>
      </c>
      <c r="H16" s="7" t="str">
        <f>IFERROR(__xludf.DUMMYFUNCTION("""COMPUTED_VALUE"""),"Digital Nomads HQ")</f>
        <v>Digital Nomads HQ</v>
      </c>
      <c r="I16" s="7">
        <f>IFERROR(__xludf.DUMMYFUNCTION("""COMPUTED_VALUE"""),33.0)</f>
        <v>33</v>
      </c>
      <c r="J16" s="7">
        <f>IFERROR(__xludf.DUMMYFUNCTION("""COMPUTED_VALUE"""),0.03)</f>
        <v>0.03</v>
      </c>
      <c r="K16" s="7">
        <f>IFERROR(__xludf.DUMMYFUNCTION("""COMPUTED_VALUE"""),0.45)</f>
        <v>0.45</v>
      </c>
    </row>
    <row r="17" ht="15.75" customHeight="1">
      <c r="A17" s="6" t="str">
        <f>IFERROR(__xludf.DUMMYFUNCTION("""COMPUTED_VALUE"""),"https://business.localsearch.com.au/blog/top-digital-marketing-agencies-australia-2026")</f>
        <v>https://business.localsearch.com.au/blog/top-digital-marketing-agencies-australia-2026</v>
      </c>
      <c r="B17" s="7" t="str">
        <f>IFERROR(__xludf.DUMMYFUNCTION("""COMPUTED_VALUE"""),"The Top 10 Digital Marketing Agencies in Australia for 2026: Our Honest Take")</f>
        <v>The Top 10 Digital Marketing Agencies in Australia for 2026: Our Honest Take</v>
      </c>
      <c r="C17" s="6" t="str">
        <f>IFERROR(__xludf.DUMMYFUNCTION("""COMPUTED_VALUE"""),"localsearch.com.au")</f>
        <v>localsearch.com.au</v>
      </c>
      <c r="D17" s="7" t="str">
        <f>IFERROR(__xludf.DUMMYFUNCTION("""COMPUTED_VALUE"""),"LISTICLE")</f>
        <v>LISTICLE</v>
      </c>
      <c r="E17" s="7" t="str">
        <f>IFERROR(__xludf.DUMMYFUNCTION("""COMPUTED_VALUE"""),"REFERENCE")</f>
        <v>REFERENCE</v>
      </c>
      <c r="F17" s="7" t="str">
        <f>IFERROR(__xludf.DUMMYFUNCTION("""COMPUTED_VALUE"""),"Listicle")</f>
        <v>Listicle</v>
      </c>
      <c r="G17" s="7" t="b">
        <f>IFERROR(__xludf.DUMMYFUNCTION("""COMPUTED_VALUE"""),FALSE)</f>
        <v>0</v>
      </c>
      <c r="H17" s="7" t="str">
        <f>IFERROR(__xludf.DUMMYFUNCTION("""COMPUTED_VALUE"""),"Sparro, Brainlabs, King Kong, Online Marketing Gurus, Omnicom Media Group, First Page, StudioHawk, Prosperity Media, Clearwater Agency, SIXGUN, Measured")</f>
        <v>Sparro, Brainlabs, King Kong, Online Marketing Gurus, Omnicom Media Group, First Page, StudioHawk, Prosperity Media, Clearwater Agency, SIXGUN, Measured</v>
      </c>
      <c r="I17" s="7">
        <f>IFERROR(__xludf.DUMMYFUNCTION("""COMPUTED_VALUE"""),31.0)</f>
        <v>31</v>
      </c>
      <c r="J17" s="7">
        <f>IFERROR(__xludf.DUMMYFUNCTION("""COMPUTED_VALUE"""),0.03)</f>
        <v>0.03</v>
      </c>
      <c r="K17" s="7">
        <f>IFERROR(__xludf.DUMMYFUNCTION("""COMPUTED_VALUE"""),1.26)</f>
        <v>1.26</v>
      </c>
    </row>
    <row r="18" ht="15.75" customHeight="1">
      <c r="A18" s="6" t="str">
        <f>IFERROR(__xludf.DUMMYFUNCTION("""COMPUTED_VALUE"""),"https://sourceforge.net/software/incrementality-testing/australia/")</f>
        <v>https://sourceforge.net/software/incrementality-testing/australia/</v>
      </c>
      <c r="B18" s="7" t="str">
        <f>IFERROR(__xludf.DUMMYFUNCTION("""COMPUTED_VALUE"""),"Best Incrementality Testing Tools in Australia of 2026 - Reviews &amp;amp; Comparison")</f>
        <v>Best Incrementality Testing Tools in Australia of 2026 - Reviews &amp;amp; Comparison</v>
      </c>
      <c r="C18" s="6" t="str">
        <f>IFERROR(__xludf.DUMMYFUNCTION("""COMPUTED_VALUE"""),"sourceforge.net")</f>
        <v>sourceforge.net</v>
      </c>
      <c r="D18" s="7" t="str">
        <f>IFERROR(__xludf.DUMMYFUNCTION("""COMPUTED_VALUE"""),"LISTICLE")</f>
        <v>LISTICLE</v>
      </c>
      <c r="E18" s="7" t="str">
        <f>IFERROR(__xludf.DUMMYFUNCTION("""COMPUTED_VALUE"""),"OTHER")</f>
        <v>OTHER</v>
      </c>
      <c r="F18" s="7" t="str">
        <f>IFERROR(__xludf.DUMMYFUNCTION("""COMPUTED_VALUE"""),"Listicle")</f>
        <v>Listicle</v>
      </c>
      <c r="G18" s="7" t="b">
        <f>IFERROR(__xludf.DUMMYFUNCTION("""COMPUTED_VALUE"""),FALSE)</f>
        <v>0</v>
      </c>
      <c r="H18" s="7" t="str">
        <f>IFERROR(__xludf.DUMMYFUNCTION("""COMPUTED_VALUE"""),"Measured, Lifesight, Workmagic, Haus, Analytic Partners")</f>
        <v>Measured, Lifesight, Workmagic, Haus, Analytic Partners</v>
      </c>
      <c r="I18" s="7">
        <f>IFERROR(__xludf.DUMMYFUNCTION("""COMPUTED_VALUE"""),31.0)</f>
        <v>31</v>
      </c>
      <c r="J18" s="7">
        <f>IFERROR(__xludf.DUMMYFUNCTION("""COMPUTED_VALUE"""),0.03)</f>
        <v>0.03</v>
      </c>
      <c r="K18" s="7">
        <f>IFERROR(__xludf.DUMMYFUNCTION("""COMPUTED_VALUE"""),1.32)</f>
        <v>1.32</v>
      </c>
    </row>
    <row r="19" ht="15.75" customHeight="1">
      <c r="A19" s="6" t="str">
        <f>IFERROR(__xludf.DUMMYFUNCTION("""COMPUTED_VALUE"""),"https://thatware.co/top-10-ai-search-companies-in-australia/")</f>
        <v>https://thatware.co/top-10-ai-search-companies-in-australia/</v>
      </c>
      <c r="B19" s="7" t="str">
        <f>IFERROR(__xludf.DUMMYFUNCTION("""COMPUTED_VALUE"""),"Top AI Search Optimisation Companies Australia | 10 Best AI Firms")</f>
        <v>Top AI Search Optimisation Companies Australia | 10 Best AI Firms</v>
      </c>
      <c r="C19" s="6" t="str">
        <f>IFERROR(__xludf.DUMMYFUNCTION("""COMPUTED_VALUE"""),"thatware.co")</f>
        <v>thatware.co</v>
      </c>
      <c r="D19" s="7" t="str">
        <f>IFERROR(__xludf.DUMMYFUNCTION("""COMPUTED_VALUE"""),"LISTICLE")</f>
        <v>LISTICLE</v>
      </c>
      <c r="E19" s="7" t="str">
        <f>IFERROR(__xludf.DUMMYFUNCTION("""COMPUTED_VALUE"""),"CORPORATE")</f>
        <v>CORPORATE</v>
      </c>
      <c r="F19" s="7" t="str">
        <f>IFERROR(__xludf.DUMMYFUNCTION("""COMPUTED_VALUE"""),"Listicle")</f>
        <v>Listicle</v>
      </c>
      <c r="G19" s="7" t="b">
        <f>IFERROR(__xludf.DUMMYFUNCTION("""COMPUTED_VALUE"""),FALSE)</f>
        <v>0</v>
      </c>
      <c r="H19" s="7" t="str">
        <f>IFERROR(__xludf.DUMMYFUNCTION("""COMPUTED_VALUE"""),"StudioHawk, Intesols, Gorilla 360, Supple Digital, Predicta Digital, ROI Growth Agency, Digital Nomads HQ")</f>
        <v>StudioHawk, Intesols, Gorilla 360, Supple Digital, Predicta Digital, ROI Growth Agency, Digital Nomads HQ</v>
      </c>
      <c r="I19" s="7">
        <f>IFERROR(__xludf.DUMMYFUNCTION("""COMPUTED_VALUE"""),31.0)</f>
        <v>31</v>
      </c>
      <c r="J19" s="7">
        <f>IFERROR(__xludf.DUMMYFUNCTION("""COMPUTED_VALUE"""),0.03)</f>
        <v>0.03</v>
      </c>
      <c r="K19" s="7">
        <f>IFERROR(__xludf.DUMMYFUNCTION("""COMPUTED_VALUE"""),0.29)</f>
        <v>0.29</v>
      </c>
    </row>
    <row r="20" ht="15.75" customHeight="1">
      <c r="A20" s="6" t="str">
        <f>IFERROR(__xludf.DUMMYFUNCTION("""COMPUTED_VALUE"""),"https://mediaplusdigital.co/au/geo-agencies-in-australia/")</f>
        <v>https://mediaplusdigital.co/au/geo-agencies-in-australia/</v>
      </c>
      <c r="B20" s="7" t="str">
        <f>IFERROR(__xludf.DUMMYFUNCTION("""COMPUTED_VALUE"""),"Top 10 GEO Agencies in Australia (2026) - MPD Australia")</f>
        <v>Top 10 GEO Agencies in Australia (2026) - MPD Australia</v>
      </c>
      <c r="C20" s="6" t="str">
        <f>IFERROR(__xludf.DUMMYFUNCTION("""COMPUTED_VALUE"""),"mediaplusdigital.co")</f>
        <v>mediaplusdigital.co</v>
      </c>
      <c r="D20" s="7" t="str">
        <f>IFERROR(__xludf.DUMMYFUNCTION("""COMPUTED_VALUE"""),"LISTICLE")</f>
        <v>LISTICLE</v>
      </c>
      <c r="E20" s="7" t="str">
        <f>IFERROR(__xludf.DUMMYFUNCTION("""COMPUTED_VALUE"""),"CORPORATE")</f>
        <v>CORPORATE</v>
      </c>
      <c r="F20" s="7" t="str">
        <f>IFERROR(__xludf.DUMMYFUNCTION("""COMPUTED_VALUE"""),"Listicle")</f>
        <v>Listicle</v>
      </c>
      <c r="G20" s="7" t="b">
        <f>IFERROR(__xludf.DUMMYFUNCTION("""COMPUTED_VALUE"""),FALSE)</f>
        <v>0</v>
      </c>
      <c r="H20" s="7" t="str">
        <f>IFERROR(__xludf.DUMMYFUNCTION("""COMPUTED_VALUE"""),"Online Marketing Gurus, StudioHawk, Bushnote, Prosperity Media, Impressive, Webprofits, Megantic, Digital Nomads HQ, Intesols, Omnicom Media Group")</f>
        <v>Online Marketing Gurus, StudioHawk, Bushnote, Prosperity Media, Impressive, Webprofits, Megantic, Digital Nomads HQ, Intesols, Omnicom Media Group</v>
      </c>
      <c r="I20" s="7">
        <f>IFERROR(__xludf.DUMMYFUNCTION("""COMPUTED_VALUE"""),30.0)</f>
        <v>30</v>
      </c>
      <c r="J20" s="7">
        <f>IFERROR(__xludf.DUMMYFUNCTION("""COMPUTED_VALUE"""),0.03)</f>
        <v>0.03</v>
      </c>
      <c r="K20" s="7">
        <f>IFERROR(__xludf.DUMMYFUNCTION("""COMPUTED_VALUE"""),1.53)</f>
        <v>1.53</v>
      </c>
    </row>
    <row r="21" ht="15.75" customHeight="1">
      <c r="A21" s="6" t="str">
        <f>IFERROR(__xludf.DUMMYFUNCTION("""COMPUTED_VALUE"""),"https://talonsmarketing.com.au/10-best-ai-seo-agencies-in-australia/")</f>
        <v>https://talonsmarketing.com.au/10-best-ai-seo-agencies-in-australia/</v>
      </c>
      <c r="B21" s="7" t="str">
        <f>IFERROR(__xludf.DUMMYFUNCTION("""COMPUTED_VALUE"""),"10 Best AI SEO Agencies in Australia (2026 Guide) - Talons Marketing")</f>
        <v>10 Best AI SEO Agencies in Australia (2026 Guide) - Talons Marketing</v>
      </c>
      <c r="C21" s="6" t="str">
        <f>IFERROR(__xludf.DUMMYFUNCTION("""COMPUTED_VALUE"""),"talonsmarketing.com.au")</f>
        <v>talonsmarketing.com.au</v>
      </c>
      <c r="D21" s="7" t="str">
        <f>IFERROR(__xludf.DUMMYFUNCTION("""COMPUTED_VALUE"""),"LISTICLE")</f>
        <v>LISTICLE</v>
      </c>
      <c r="E21" s="7" t="str">
        <f>IFERROR(__xludf.DUMMYFUNCTION("""COMPUTED_VALUE"""),"COMPETITOR")</f>
        <v>COMPETITOR</v>
      </c>
      <c r="F21" s="7" t="str">
        <f>IFERROR(__xludf.DUMMYFUNCTION("""COMPUTED_VALUE"""),"Listicle")</f>
        <v>Listicle</v>
      </c>
      <c r="G21" s="7" t="b">
        <f>IFERROR(__xludf.DUMMYFUNCTION("""COMPUTED_VALUE"""),FALSE)</f>
        <v>0</v>
      </c>
      <c r="H21" s="7" t="str">
        <f>IFERROR(__xludf.DUMMYFUNCTION("""COMPUTED_VALUE"""),"Talons Marketing, eMarket Experts, Supple Digital, Salt &amp; Fuessel, SIXGUN, Intesols, Clearwater Agency, Online Marketing Gurus, First Page, Digital Nomads HQ")</f>
        <v>Talons Marketing, eMarket Experts, Supple Digital, Salt &amp; Fuessel, SIXGUN, Intesols, Clearwater Agency, Online Marketing Gurus, First Page, Digital Nomads HQ</v>
      </c>
      <c r="I21" s="7">
        <f>IFERROR(__xludf.DUMMYFUNCTION("""COMPUTED_VALUE"""),30.0)</f>
        <v>30</v>
      </c>
      <c r="J21" s="7">
        <f>IFERROR(__xludf.DUMMYFUNCTION("""COMPUTED_VALUE"""),0.03)</f>
        <v>0.03</v>
      </c>
      <c r="K21" s="7">
        <f>IFERROR(__xludf.DUMMYFUNCTION("""COMPUTED_VALUE"""),1.1)</f>
        <v>1.1</v>
      </c>
    </row>
    <row r="22" ht="15.75" customHeight="1">
      <c r="A22" s="6" t="str">
        <f>IFERROR(__xludf.DUMMYFUNCTION("""COMPUTED_VALUE"""),"https://thatware.co/top-10-aeo-companies-in-australia/")</f>
        <v>https://thatware.co/top-10-aeo-companies-in-australia/</v>
      </c>
      <c r="B22" s="7" t="str">
        <f>IFERROR(__xludf.DUMMYFUNCTION("""COMPUTED_VALUE"""),"Top AEO Companies in Australia \| 10 Best Australia AEO Firms")</f>
        <v>Top AEO Companies in Australia \| 10 Best Australia AEO Firms</v>
      </c>
      <c r="C22" s="6" t="str">
        <f>IFERROR(__xludf.DUMMYFUNCTION("""COMPUTED_VALUE"""),"thatware.co")</f>
        <v>thatware.co</v>
      </c>
      <c r="D22" s="7" t="str">
        <f>IFERROR(__xludf.DUMMYFUNCTION("""COMPUTED_VALUE"""),"LISTICLE")</f>
        <v>LISTICLE</v>
      </c>
      <c r="E22" s="7" t="str">
        <f>IFERROR(__xludf.DUMMYFUNCTION("""COMPUTED_VALUE"""),"CORPORATE")</f>
        <v>CORPORATE</v>
      </c>
      <c r="F22" s="7" t="str">
        <f>IFERROR(__xludf.DUMMYFUNCTION("""COMPUTED_VALUE"""),"Listicle")</f>
        <v>Listicle</v>
      </c>
      <c r="G22" s="7" t="b">
        <f>IFERROR(__xludf.DUMMYFUNCTION("""COMPUTED_VALUE"""),FALSE)</f>
        <v>0</v>
      </c>
      <c r="H22" s="7"/>
      <c r="I22" s="7">
        <f>IFERROR(__xludf.DUMMYFUNCTION("""COMPUTED_VALUE"""),30.0)</f>
        <v>30</v>
      </c>
      <c r="J22" s="7">
        <f>IFERROR(__xludf.DUMMYFUNCTION("""COMPUTED_VALUE"""),0.03)</f>
        <v>0.03</v>
      </c>
      <c r="K22" s="7">
        <f>IFERROR(__xludf.DUMMYFUNCTION("""COMPUTED_VALUE"""),0.47)</f>
        <v>0.47</v>
      </c>
    </row>
    <row r="23" ht="15.75" customHeight="1">
      <c r="A23" s="6" t="str">
        <f>IFERROR(__xludf.DUMMYFUNCTION("""COMPUTED_VALUE"""),"https://leadsnow.ai/best-ai-seo-aeo-agencies-australia/")</f>
        <v>https://leadsnow.ai/best-ai-seo-aeo-agencies-australia/</v>
      </c>
      <c r="B23" s="7" t="str">
        <f>IFERROR(__xludf.DUMMYFUNCTION("""COMPUTED_VALUE"""),"Best AI SEO &amp;amp; Answer Engine Optimisation (AEO) Agencies in Australia (2026) - Leads Now AI")</f>
        <v>Best AI SEO &amp;amp; Answer Engine Optimisation (AEO) Agencies in Australia (2026) - Leads Now AI</v>
      </c>
      <c r="C23" s="6" t="str">
        <f>IFERROR(__xludf.DUMMYFUNCTION("""COMPUTED_VALUE"""),"leadsnow.ai")</f>
        <v>leadsnow.ai</v>
      </c>
      <c r="D23" s="7" t="str">
        <f>IFERROR(__xludf.DUMMYFUNCTION("""COMPUTED_VALUE"""),"LISTICLE")</f>
        <v>LISTICLE</v>
      </c>
      <c r="E23" s="7" t="str">
        <f>IFERROR(__xludf.DUMMYFUNCTION("""COMPUTED_VALUE"""),"COMPETITOR")</f>
        <v>COMPETITOR</v>
      </c>
      <c r="F23" s="7" t="str">
        <f>IFERROR(__xludf.DUMMYFUNCTION("""COMPUTED_VALUE"""),"Listicle")</f>
        <v>Listicle</v>
      </c>
      <c r="G23" s="7" t="b">
        <f>IFERROR(__xludf.DUMMYFUNCTION("""COMPUTED_VALUE"""),FALSE)</f>
        <v>0</v>
      </c>
      <c r="H23" s="7" t="str">
        <f>IFERROR(__xludf.DUMMYFUNCTION("""COMPUTED_VALUE"""),"LeadsNow.ai, Earned Media, StudioHawk, Omnicom Media Group, Uprise Digital, HERO, Online Marketing Gurus, Megantic")</f>
        <v>LeadsNow.ai, Earned Media, StudioHawk, Omnicom Media Group, Uprise Digital, HERO, Online Marketing Gurus, Megantic</v>
      </c>
      <c r="I23" s="7">
        <f>IFERROR(__xludf.DUMMYFUNCTION("""COMPUTED_VALUE"""),29.0)</f>
        <v>29</v>
      </c>
      <c r="J23" s="7">
        <f>IFERROR(__xludf.DUMMYFUNCTION("""COMPUTED_VALUE"""),0.03)</f>
        <v>0.03</v>
      </c>
      <c r="K23" s="7">
        <f>IFERROR(__xludf.DUMMYFUNCTION("""COMPUTED_VALUE"""),1.62)</f>
        <v>1.62</v>
      </c>
    </row>
    <row r="24" ht="15.75" customHeight="1">
      <c r="A24" s="6" t="str">
        <f>IFERROR(__xludf.DUMMYFUNCTION("""COMPUTED_VALUE"""),"https://marginmedia.com.au/our-blog/top-digital-marketing-agencies-australia#:~:text=Their%20team%20takes%20an%20evidence%2Dbased%20approach%2C%20using,%26%20PPC%2C%20CRO%2C%20digital%20strategy%2C%20content%20optimisation.")</f>
        <v>https://marginmedia.com.au/our-blog/top-digital-marketing-agencies-australia#:~:text=Their%20team%20takes%20an%20evidence%2Dbased%20approach%2C%20using,%26%20PPC%2C%20CRO%2C%20digital%20strategy%2C%20content%20optimisation.</v>
      </c>
      <c r="B24" s="7" t="str">
        <f>IFERROR(__xludf.DUMMYFUNCTION("""COMPUTED_VALUE"""),"Top 15 Digital Marketing Agencies in Australia for 2026")</f>
        <v>Top 15 Digital Marketing Agencies in Australia for 2026</v>
      </c>
      <c r="C24" s="6" t="str">
        <f>IFERROR(__xludf.DUMMYFUNCTION("""COMPUTED_VALUE"""),"marginmedia.com.au")</f>
        <v>marginmedia.com.au</v>
      </c>
      <c r="D24" s="7" t="str">
        <f>IFERROR(__xludf.DUMMYFUNCTION("""COMPUTED_VALUE"""),"LISTICLE")</f>
        <v>LISTICLE</v>
      </c>
      <c r="E24" s="7" t="str">
        <f>IFERROR(__xludf.DUMMYFUNCTION("""COMPUTED_VALUE"""),"CORPORATE")</f>
        <v>CORPORATE</v>
      </c>
      <c r="F24" s="7" t="str">
        <f>IFERROR(__xludf.DUMMYFUNCTION("""COMPUTED_VALUE"""),"Listicle")</f>
        <v>Listicle</v>
      </c>
      <c r="G24" s="7" t="b">
        <f>IFERROR(__xludf.DUMMYFUNCTION("""COMPUTED_VALUE"""),FALSE)</f>
        <v>0</v>
      </c>
      <c r="H24" s="7" t="str">
        <f>IFERROR(__xludf.DUMMYFUNCTION("""COMPUTED_VALUE"""),"Clearwater Agency, Reef Digital Agency, Zib Digital, Rocket Agency, AdVisible, Sparro, Emote Digital, Momentum")</f>
        <v>Clearwater Agency, Reef Digital Agency, Zib Digital, Rocket Agency, AdVisible, Sparro, Emote Digital, Momentum</v>
      </c>
      <c r="I24" s="7">
        <f>IFERROR(__xludf.DUMMYFUNCTION("""COMPUTED_VALUE"""),29.0)</f>
        <v>29</v>
      </c>
      <c r="J24" s="7">
        <f>IFERROR(__xludf.DUMMYFUNCTION("""COMPUTED_VALUE"""),0.03)</f>
        <v>0.03</v>
      </c>
      <c r="K24" s="7">
        <f>IFERROR(__xludf.DUMMYFUNCTION("""COMPUTED_VALUE"""),0.97)</f>
        <v>0.97</v>
      </c>
    </row>
    <row r="25" ht="15.75" customHeight="1">
      <c r="A25" s="6" t="str">
        <f>IFERROR(__xludf.DUMMYFUNCTION("""COMPUTED_VALUE"""),"https://www.smartosc.com/top-10-ai-marketing-agency-in-australia/")</f>
        <v>https://www.smartosc.com/top-10-ai-marketing-agency-in-australia/</v>
      </c>
      <c r="B25" s="7" t="str">
        <f>IFERROR(__xludf.DUMMYFUNCTION("""COMPUTED_VALUE"""),"Top 10 AI Marketing Agencies in Australia Driving Data-Led Growth - SmartOSC")</f>
        <v>Top 10 AI Marketing Agencies in Australia Driving Data-Led Growth - SmartOSC</v>
      </c>
      <c r="C25" s="6" t="str">
        <f>IFERROR(__xludf.DUMMYFUNCTION("""COMPUTED_VALUE"""),"smartosc.com")</f>
        <v>smartosc.com</v>
      </c>
      <c r="D25" s="7" t="str">
        <f>IFERROR(__xludf.DUMMYFUNCTION("""COMPUTED_VALUE"""),"LISTICLE")</f>
        <v>LISTICLE</v>
      </c>
      <c r="E25" s="7" t="str">
        <f>IFERROR(__xludf.DUMMYFUNCTION("""COMPUTED_VALUE"""),"COMPETITOR")</f>
        <v>COMPETITOR</v>
      </c>
      <c r="F25" s="7" t="str">
        <f>IFERROR(__xludf.DUMMYFUNCTION("""COMPUTED_VALUE"""),"Listicle")</f>
        <v>Listicle</v>
      </c>
      <c r="G25" s="7" t="b">
        <f>IFERROR(__xludf.DUMMYFUNCTION("""COMPUTED_VALUE"""),FALSE)</f>
        <v>0</v>
      </c>
      <c r="H25" s="7" t="str">
        <f>IFERROR(__xludf.DUMMYFUNCTION("""COMPUTED_VALUE"""),"SmartOSC, Eight Clients, Clearwater Agency, Supple Digital, Emote Digital, King Kong, Bench Media")</f>
        <v>SmartOSC, Eight Clients, Clearwater Agency, Supple Digital, Emote Digital, King Kong, Bench Media</v>
      </c>
      <c r="I25" s="7">
        <f>IFERROR(__xludf.DUMMYFUNCTION("""COMPUTED_VALUE"""),29.0)</f>
        <v>29</v>
      </c>
      <c r="J25" s="7">
        <f>IFERROR(__xludf.DUMMYFUNCTION("""COMPUTED_VALUE"""),0.03)</f>
        <v>0.03</v>
      </c>
      <c r="K25" s="7">
        <f>IFERROR(__xludf.DUMMYFUNCTION("""COMPUTED_VALUE"""),1.07)</f>
        <v>1.07</v>
      </c>
    </row>
    <row r="26" ht="15.75" customHeight="1">
      <c r="A26" s="6" t="str">
        <f>IFERROR(__xludf.DUMMYFUNCTION("""COMPUTED_VALUE"""),"https://www.globalgenie.com.au/top-digital-marketing-agencies-in-australia/")</f>
        <v>https://www.globalgenie.com.au/top-digital-marketing-agencies-in-australia/</v>
      </c>
      <c r="B26" s="7" t="str">
        <f>IFERROR(__xludf.DUMMYFUNCTION("""COMPUTED_VALUE"""),"Top 7 Digital Marketing Agencies in Australia (2026 Rankings)")</f>
        <v>Top 7 Digital Marketing Agencies in Australia (2026 Rankings)</v>
      </c>
      <c r="C26" s="6" t="str">
        <f>IFERROR(__xludf.DUMMYFUNCTION("""COMPUTED_VALUE"""),"globalgenie.com.au")</f>
        <v>globalgenie.com.au</v>
      </c>
      <c r="D26" s="7" t="str">
        <f>IFERROR(__xludf.DUMMYFUNCTION("""COMPUTED_VALUE"""),"LISTICLE")</f>
        <v>LISTICLE</v>
      </c>
      <c r="E26" s="7" t="str">
        <f>IFERROR(__xludf.DUMMYFUNCTION("""COMPUTED_VALUE"""),"CORPORATE")</f>
        <v>CORPORATE</v>
      </c>
      <c r="F26" s="7" t="str">
        <f>IFERROR(__xludf.DUMMYFUNCTION("""COMPUTED_VALUE"""),"Listicle")</f>
        <v>Listicle</v>
      </c>
      <c r="G26" s="7" t="b">
        <f>IFERROR(__xludf.DUMMYFUNCTION("""COMPUTED_VALUE"""),FALSE)</f>
        <v>0</v>
      </c>
      <c r="H26" s="7" t="str">
        <f>IFERROR(__xludf.DUMMYFUNCTION("""COMPUTED_VALUE"""),"Emote Digital, Intero Digital, Impressive, King Kong, MyWork")</f>
        <v>Emote Digital, Intero Digital, Impressive, King Kong, MyWork</v>
      </c>
      <c r="I26" s="7">
        <f>IFERROR(__xludf.DUMMYFUNCTION("""COMPUTED_VALUE"""),27.0)</f>
        <v>27</v>
      </c>
      <c r="J26" s="7">
        <f>IFERROR(__xludf.DUMMYFUNCTION("""COMPUTED_VALUE"""),0.03)</f>
        <v>0.03</v>
      </c>
      <c r="K26" s="7">
        <f>IFERROR(__xludf.DUMMYFUNCTION("""COMPUTED_VALUE"""),0.81)</f>
        <v>0.81</v>
      </c>
    </row>
    <row r="27" ht="15.75" customHeight="1">
      <c r="A27" s="6" t="str">
        <f>IFERROR(__xludf.DUMMYFUNCTION("""COMPUTED_VALUE"""),"https://www.measured.com/faq/best-incrementality-testing-companies-software-for-marketing-2026/")</f>
        <v>https://www.measured.com/faq/best-incrementality-testing-companies-software-for-marketing-2026/</v>
      </c>
      <c r="B27" s="7" t="str">
        <f>IFERROR(__xludf.DUMMYFUNCTION("""COMPUTED_VALUE"""),"Best Incrementality Testing Companies &amp;amp; Software for Marketing (2026)")</f>
        <v>Best Incrementality Testing Companies &amp;amp; Software for Marketing (2026)</v>
      </c>
      <c r="C27" s="6" t="str">
        <f>IFERROR(__xludf.DUMMYFUNCTION("""COMPUTED_VALUE"""),"measured.com")</f>
        <v>measured.com</v>
      </c>
      <c r="D27" s="7" t="str">
        <f>IFERROR(__xludf.DUMMYFUNCTION("""COMPUTED_VALUE"""),"LISTICLE")</f>
        <v>LISTICLE</v>
      </c>
      <c r="E27" s="7" t="str">
        <f>IFERROR(__xludf.DUMMYFUNCTION("""COMPUTED_VALUE"""),"COMPETITOR")</f>
        <v>COMPETITOR</v>
      </c>
      <c r="F27" s="7" t="str">
        <f>IFERROR(__xludf.DUMMYFUNCTION("""COMPUTED_VALUE"""),"Listicle")</f>
        <v>Listicle</v>
      </c>
      <c r="G27" s="7" t="b">
        <f>IFERROR(__xludf.DUMMYFUNCTION("""COMPUTED_VALUE"""),FALSE)</f>
        <v>0</v>
      </c>
      <c r="H27" s="7" t="str">
        <f>IFERROR(__xludf.DUMMYFUNCTION("""COMPUTED_VALUE"""),"Measured, Haus, Analytic Partners")</f>
        <v>Measured, Haus, Analytic Partners</v>
      </c>
      <c r="I27" s="7">
        <f>IFERROR(__xludf.DUMMYFUNCTION("""COMPUTED_VALUE"""),27.0)</f>
        <v>27</v>
      </c>
      <c r="J27" s="7">
        <f>IFERROR(__xludf.DUMMYFUNCTION("""COMPUTED_VALUE"""),0.03)</f>
        <v>0.03</v>
      </c>
      <c r="K27" s="7">
        <f>IFERROR(__xludf.DUMMYFUNCTION("""COMPUTED_VALUE"""),2.0)</f>
        <v>2</v>
      </c>
    </row>
    <row r="28" ht="15.75" customHeight="1">
      <c r="A28" s="6" t="str">
        <f>IFERROR(__xludf.DUMMYFUNCTION("""COMPUTED_VALUE"""),"https://lengreo.com/australia-aeo-geo-llmo-companies/")</f>
        <v>https://lengreo.com/australia-aeo-geo-llmo-companies/</v>
      </c>
      <c r="B28" s="7" t="str">
        <f>IFERROR(__xludf.DUMMYFUNCTION("""COMPUTED_VALUE"""),"7 Best Australia's Companies for AEO, GEO, and LLMO (2026)")</f>
        <v>7 Best Australia's Companies for AEO, GEO, and LLMO (2026)</v>
      </c>
      <c r="C28" s="6" t="str">
        <f>IFERROR(__xludf.DUMMYFUNCTION("""COMPUTED_VALUE"""),"lengreo.com")</f>
        <v>lengreo.com</v>
      </c>
      <c r="D28" s="7" t="str">
        <f>IFERROR(__xludf.DUMMYFUNCTION("""COMPUTED_VALUE"""),"LISTICLE")</f>
        <v>LISTICLE</v>
      </c>
      <c r="E28" s="7" t="str">
        <f>IFERROR(__xludf.DUMMYFUNCTION("""COMPUTED_VALUE"""),"CORPORATE")</f>
        <v>CORPORATE</v>
      </c>
      <c r="F28" s="7" t="str">
        <f>IFERROR(__xludf.DUMMYFUNCTION("""COMPUTED_VALUE"""),"Listicle")</f>
        <v>Listicle</v>
      </c>
      <c r="G28" s="7" t="b">
        <f>IFERROR(__xludf.DUMMYFUNCTION("""COMPUTED_VALUE"""),FALSE)</f>
        <v>0</v>
      </c>
      <c r="H28" s="7" t="str">
        <f>IFERROR(__xludf.DUMMYFUNCTION("""COMPUTED_VALUE"""),"Salt &amp; Fuessel, Luminary")</f>
        <v>Salt &amp; Fuessel, Luminary</v>
      </c>
      <c r="I28" s="7">
        <f>IFERROR(__xludf.DUMMYFUNCTION("""COMPUTED_VALUE"""),26.0)</f>
        <v>26</v>
      </c>
      <c r="J28" s="7">
        <f>IFERROR(__xludf.DUMMYFUNCTION("""COMPUTED_VALUE"""),0.03)</f>
        <v>0.03</v>
      </c>
      <c r="K28" s="7">
        <f>IFERROR(__xludf.DUMMYFUNCTION("""COMPUTED_VALUE"""),0.0)</f>
        <v>0</v>
      </c>
    </row>
    <row r="29" ht="15.75" customHeight="1">
      <c r="A29" s="6" t="str">
        <f>IFERROR(__xludf.DUMMYFUNCTION("""COMPUTED_VALUE"""),"https://www.purshology.com/2026/07/8-top-ai-driven-marketing-agencies-redefining-search-in-australia/")</f>
        <v>https://www.purshology.com/2026/07/8-top-ai-driven-marketing-agencies-redefining-search-in-australia/</v>
      </c>
      <c r="B29" s="7" t="str">
        <f>IFERROR(__xludf.DUMMYFUNCTION("""COMPUTED_VALUE"""),"8-Top AI-Driven Marketing Agencies Redefining Search in Australia - purshoLOGY")</f>
        <v>8-Top AI-Driven Marketing Agencies Redefining Search in Australia - purshoLOGY</v>
      </c>
      <c r="C29" s="6" t="str">
        <f>IFERROR(__xludf.DUMMYFUNCTION("""COMPUTED_VALUE"""),"purshology.com")</f>
        <v>purshology.com</v>
      </c>
      <c r="D29" s="7" t="str">
        <f>IFERROR(__xludf.DUMMYFUNCTION("""COMPUTED_VALUE"""),"LISTICLE")</f>
        <v>LISTICLE</v>
      </c>
      <c r="E29" s="7" t="str">
        <f>IFERROR(__xludf.DUMMYFUNCTION("""COMPUTED_VALUE"""),"EDITORIAL")</f>
        <v>EDITORIAL</v>
      </c>
      <c r="F29" s="7" t="str">
        <f>IFERROR(__xludf.DUMMYFUNCTION("""COMPUTED_VALUE"""),"Listicle")</f>
        <v>Listicle</v>
      </c>
      <c r="G29" s="7" t="b">
        <f>IFERROR(__xludf.DUMMYFUNCTION("""COMPUTED_VALUE"""),FALSE)</f>
        <v>0</v>
      </c>
      <c r="H29" s="7" t="str">
        <f>IFERROR(__xludf.DUMMYFUNCTION("""COMPUTED_VALUE"""),"Measured, NP Digital Australia, SIXGUN, StudioHawk, Online Marketing Gurus, Rocket Agency, First Page, First Page Australia, Digital Nomads HQ")</f>
        <v>Measured, NP Digital Australia, SIXGUN, StudioHawk, Online Marketing Gurus, Rocket Agency, First Page, First Page Australia, Digital Nomads HQ</v>
      </c>
      <c r="I29" s="7">
        <f>IFERROR(__xludf.DUMMYFUNCTION("""COMPUTED_VALUE"""),26.0)</f>
        <v>26</v>
      </c>
      <c r="J29" s="7">
        <f>IFERROR(__xludf.DUMMYFUNCTION("""COMPUTED_VALUE"""),0.03)</f>
        <v>0.03</v>
      </c>
      <c r="K29" s="7">
        <f>IFERROR(__xludf.DUMMYFUNCTION("""COMPUTED_VALUE"""),1.15)</f>
        <v>1.15</v>
      </c>
    </row>
    <row r="30" ht="15.75" customHeight="1">
      <c r="A30" s="6" t="str">
        <f>IFERROR(__xludf.DUMMYFUNCTION("""COMPUTED_VALUE"""),"https://thatware.co/top-10-geo-companies-in-australia/")</f>
        <v>https://thatware.co/top-10-geo-companies-in-australia/</v>
      </c>
      <c r="B30" s="7" t="str">
        <f>IFERROR(__xludf.DUMMYFUNCTION("""COMPUTED_VALUE"""),"Top GEO Companies in Australia | 10 Best Australia GEO Firms")</f>
        <v>Top GEO Companies in Australia | 10 Best Australia GEO Firms</v>
      </c>
      <c r="C30" s="6" t="str">
        <f>IFERROR(__xludf.DUMMYFUNCTION("""COMPUTED_VALUE"""),"thatware.co")</f>
        <v>thatware.co</v>
      </c>
      <c r="D30" s="7" t="str">
        <f>IFERROR(__xludf.DUMMYFUNCTION("""COMPUTED_VALUE"""),"LISTICLE")</f>
        <v>LISTICLE</v>
      </c>
      <c r="E30" s="7" t="str">
        <f>IFERROR(__xludf.DUMMYFUNCTION("""COMPUTED_VALUE"""),"CORPORATE")</f>
        <v>CORPORATE</v>
      </c>
      <c r="F30" s="7" t="str">
        <f>IFERROR(__xludf.DUMMYFUNCTION("""COMPUTED_VALUE"""),"Listicle")</f>
        <v>Listicle</v>
      </c>
      <c r="G30" s="7" t="b">
        <f>IFERROR(__xludf.DUMMYFUNCTION("""COMPUTED_VALUE"""),FALSE)</f>
        <v>0</v>
      </c>
      <c r="H30" s="7" t="str">
        <f>IFERROR(__xludf.DUMMYFUNCTION("""COMPUTED_VALUE"""),"Luminary, Intesols, Predicta Digital, PK SEO, Prosperity Media")</f>
        <v>Luminary, Intesols, Predicta Digital, PK SEO, Prosperity Media</v>
      </c>
      <c r="I30" s="7">
        <f>IFERROR(__xludf.DUMMYFUNCTION("""COMPUTED_VALUE"""),26.0)</f>
        <v>26</v>
      </c>
      <c r="J30" s="7">
        <f>IFERROR(__xludf.DUMMYFUNCTION("""COMPUTED_VALUE"""),0.03)</f>
        <v>0.03</v>
      </c>
      <c r="K30" s="7">
        <f>IFERROR(__xludf.DUMMYFUNCTION("""COMPUTED_VALUE"""),0.62)</f>
        <v>0.62</v>
      </c>
    </row>
    <row r="31" ht="15.75" customHeight="1">
      <c r="A31" s="6" t="str">
        <f>IFERROR(__xludf.DUMMYFUNCTION("""COMPUTED_VALUE"""),"https://uprisedigital.com.au/blog/social-media-agencies-melbourne/")</f>
        <v>https://uprisedigital.com.au/blog/social-media-agencies-melbourne/</v>
      </c>
      <c r="B31" s="7" t="str">
        <f>IFERROR(__xludf.DUMMYFUNCTION("""COMPUTED_VALUE"""),"Top 15 Social Media Marketing Agencies in Melbourne (2026)")</f>
        <v>Top 15 Social Media Marketing Agencies in Melbourne (2026)</v>
      </c>
      <c r="C31" s="6" t="str">
        <f>IFERROR(__xludf.DUMMYFUNCTION("""COMPUTED_VALUE"""),"uprisedigital.com.au")</f>
        <v>uprisedigital.com.au</v>
      </c>
      <c r="D31" s="7" t="str">
        <f>IFERROR(__xludf.DUMMYFUNCTION("""COMPUTED_VALUE"""),"LISTICLE")</f>
        <v>LISTICLE</v>
      </c>
      <c r="E31" s="7" t="str">
        <f>IFERROR(__xludf.DUMMYFUNCTION("""COMPUTED_VALUE"""),"COMPETITOR")</f>
        <v>COMPETITOR</v>
      </c>
      <c r="F31" s="7" t="str">
        <f>IFERROR(__xludf.DUMMYFUNCTION("""COMPUTED_VALUE"""),"Listicle")</f>
        <v>Listicle</v>
      </c>
      <c r="G31" s="7" t="b">
        <f>IFERROR(__xludf.DUMMYFUNCTION("""COMPUTED_VALUE"""),FALSE)</f>
        <v>0</v>
      </c>
      <c r="H31" s="7" t="str">
        <f>IFERROR(__xludf.DUMMYFUNCTION("""COMPUTED_VALUE"""),"Uprise Digital, Soup Agency, Megaphone, EvenDigit, Emote Digital, Salt &amp; Fuessel, Digital Nomads HQ, Clearwater Agency, Intesols, Ninja Promo, Alley Group")</f>
        <v>Uprise Digital, Soup Agency, Megaphone, EvenDigit, Emote Digital, Salt &amp; Fuessel, Digital Nomads HQ, Clearwater Agency, Intesols, Ninja Promo, Alley Group</v>
      </c>
      <c r="I31" s="7">
        <f>IFERROR(__xludf.DUMMYFUNCTION("""COMPUTED_VALUE"""),26.0)</f>
        <v>26</v>
      </c>
      <c r="J31" s="7">
        <f>IFERROR(__xludf.DUMMYFUNCTION("""COMPUTED_VALUE"""),0.03)</f>
        <v>0.03</v>
      </c>
      <c r="K31" s="7">
        <f>IFERROR(__xludf.DUMMYFUNCTION("""COMPUTED_VALUE"""),1.12)</f>
        <v>1.12</v>
      </c>
    </row>
    <row r="32" ht="15.75" customHeight="1">
      <c r="A32" s="6" t="str">
        <f>IFERROR(__xludf.DUMMYFUNCTION("""COMPUTED_VALUE"""),"https://www.undivided.com.au/blog/top-5-digital-agencies-in-australia")</f>
        <v>https://www.undivided.com.au/blog/top-5-digital-agencies-in-australia</v>
      </c>
      <c r="B32" s="7" t="str">
        <f>IFERROR(__xludf.DUMMYFUNCTION("""COMPUTED_VALUE"""),"Top 5 Digital Agencies in Australia")</f>
        <v>Top 5 Digital Agencies in Australia</v>
      </c>
      <c r="C32" s="6" t="str">
        <f>IFERROR(__xludf.DUMMYFUNCTION("""COMPUTED_VALUE"""),"undivided.com.au")</f>
        <v>undivided.com.au</v>
      </c>
      <c r="D32" s="7" t="str">
        <f>IFERROR(__xludf.DUMMYFUNCTION("""COMPUTED_VALUE"""),"LISTICLE")</f>
        <v>LISTICLE</v>
      </c>
      <c r="E32" s="7" t="str">
        <f>IFERROR(__xludf.DUMMYFUNCTION("""COMPUTED_VALUE"""),"CORPORATE")</f>
        <v>CORPORATE</v>
      </c>
      <c r="F32" s="7" t="str">
        <f>IFERROR(__xludf.DUMMYFUNCTION("""COMPUTED_VALUE"""),"Listicle")</f>
        <v>Listicle</v>
      </c>
      <c r="G32" s="7" t="b">
        <f>IFERROR(__xludf.DUMMYFUNCTION("""COMPUTED_VALUE"""),FALSE)</f>
        <v>0</v>
      </c>
      <c r="H32" s="7" t="str">
        <f>IFERROR(__xludf.DUMMYFUNCTION("""COMPUTED_VALUE"""),"Undivided, Sparro, Jaywing, King Kong, Impressive, Earned Media, Measured")</f>
        <v>Undivided, Sparro, Jaywing, King Kong, Impressive, Earned Media, Measured</v>
      </c>
      <c r="I32" s="7">
        <f>IFERROR(__xludf.DUMMYFUNCTION("""COMPUTED_VALUE"""),25.0)</f>
        <v>25</v>
      </c>
      <c r="J32" s="7">
        <f>IFERROR(__xludf.DUMMYFUNCTION("""COMPUTED_VALUE"""),0.03)</f>
        <v>0.03</v>
      </c>
      <c r="K32" s="7">
        <f>IFERROR(__xludf.DUMMYFUNCTION("""COMPUTED_VALUE"""),1.16)</f>
        <v>1.16</v>
      </c>
    </row>
    <row r="33" ht="15.75" customHeight="1">
      <c r="A33" s="6" t="str">
        <f>IFERROR(__xludf.DUMMYFUNCTION("""COMPUTED_VALUE"""),"https://www.bushnote.com/articles/best-ai-search-agency-australia")</f>
        <v>https://www.bushnote.com/articles/best-ai-search-agency-australia</v>
      </c>
      <c r="B33" s="7" t="str">
        <f>IFERROR(__xludf.DUMMYFUNCTION("""COMPUTED_VALUE"""),"Best AI Search Agency Australia | AEO and GEO Experts (2026)")</f>
        <v>Best AI Search Agency Australia | AEO and GEO Experts (2026)</v>
      </c>
      <c r="C33" s="6" t="str">
        <f>IFERROR(__xludf.DUMMYFUNCTION("""COMPUTED_VALUE"""),"bushnote.com")</f>
        <v>bushnote.com</v>
      </c>
      <c r="D33" s="7" t="str">
        <f>IFERROR(__xludf.DUMMYFUNCTION("""COMPUTED_VALUE"""),"LISTICLE")</f>
        <v>LISTICLE</v>
      </c>
      <c r="E33" s="7" t="str">
        <f>IFERROR(__xludf.DUMMYFUNCTION("""COMPUTED_VALUE"""),"COMPETITOR")</f>
        <v>COMPETITOR</v>
      </c>
      <c r="F33" s="7" t="str">
        <f>IFERROR(__xludf.DUMMYFUNCTION("""COMPUTED_VALUE"""),"Listicle")</f>
        <v>Listicle</v>
      </c>
      <c r="G33" s="7" t="b">
        <f>IFERROR(__xludf.DUMMYFUNCTION("""COMPUTED_VALUE"""),FALSE)</f>
        <v>0</v>
      </c>
      <c r="H33" s="7" t="str">
        <f>IFERROR(__xludf.DUMMYFUNCTION("""COMPUTED_VALUE"""),"Bushnote, Luminary, Rocket Agency, Covert, Intesols")</f>
        <v>Bushnote, Luminary, Rocket Agency, Covert, Intesols</v>
      </c>
      <c r="I33" s="7">
        <f>IFERROR(__xludf.DUMMYFUNCTION("""COMPUTED_VALUE"""),24.0)</f>
        <v>24</v>
      </c>
      <c r="J33" s="7">
        <f>IFERROR(__xludf.DUMMYFUNCTION("""COMPUTED_VALUE"""),0.03)</f>
        <v>0.03</v>
      </c>
      <c r="K33" s="7">
        <f>IFERROR(__xludf.DUMMYFUNCTION("""COMPUTED_VALUE"""),2.13)</f>
        <v>2.13</v>
      </c>
    </row>
    <row r="34" ht="15.75" customHeight="1">
      <c r="A34" s="6" t="str">
        <f>IFERROR(__xludf.DUMMYFUNCTION("""COMPUTED_VALUE"""),"https://raw.studio/blog/top-10-creative-design-agencies-in-australia-in-2026/#:~:text=Luminary%20is%20one%20of%20the%20most%20established,where%20UX%2C%20accessibility%2C%20and%20governance%20are%20critical.")</f>
        <v>https://raw.studio/blog/top-10-creative-design-agencies-in-australia-in-2026/#:~:text=Luminary%20is%20one%20of%20the%20most%20established,where%20UX%2C%20accessibility%2C%20and%20governance%20are%20critical.</v>
      </c>
      <c r="B34" s="7" t="str">
        <f>IFERROR(__xludf.DUMMYFUNCTION("""COMPUTED_VALUE"""),"Top 10 Creative Design Agencies in Australia in 2026 | Raw.Studio")</f>
        <v>Top 10 Creative Design Agencies in Australia in 2026 | Raw.Studio</v>
      </c>
      <c r="C34" s="7" t="str">
        <f>IFERROR(__xludf.DUMMYFUNCTION("""COMPUTED_VALUE"""),"raw.studio")</f>
        <v>raw.studio</v>
      </c>
      <c r="D34" s="7" t="str">
        <f>IFERROR(__xludf.DUMMYFUNCTION("""COMPUTED_VALUE"""),"LISTICLE")</f>
        <v>LISTICLE</v>
      </c>
      <c r="E34" s="7" t="str">
        <f>IFERROR(__xludf.DUMMYFUNCTION("""COMPUTED_VALUE"""),"CORPORATE")</f>
        <v>CORPORATE</v>
      </c>
      <c r="F34" s="7" t="str">
        <f>IFERROR(__xludf.DUMMYFUNCTION("""COMPUTED_VALUE"""),"Listicle")</f>
        <v>Listicle</v>
      </c>
      <c r="G34" s="7" t="b">
        <f>IFERROR(__xludf.DUMMYFUNCTION("""COMPUTED_VALUE"""),FALSE)</f>
        <v>0</v>
      </c>
      <c r="H34" s="7" t="str">
        <f>IFERROR(__xludf.DUMMYFUNCTION("""COMPUTED_VALUE"""),"RAW Studio, CUT THRU, Digital Nomads HQ, Luminary, HERO")</f>
        <v>RAW Studio, CUT THRU, Digital Nomads HQ, Luminary, HERO</v>
      </c>
      <c r="I34" s="7">
        <f>IFERROR(__xludf.DUMMYFUNCTION("""COMPUTED_VALUE"""),24.0)</f>
        <v>24</v>
      </c>
      <c r="J34" s="7">
        <f>IFERROR(__xludf.DUMMYFUNCTION("""COMPUTED_VALUE"""),0.03)</f>
        <v>0.03</v>
      </c>
      <c r="K34" s="7">
        <f>IFERROR(__xludf.DUMMYFUNCTION("""COMPUTED_VALUE"""),1.83)</f>
        <v>1.83</v>
      </c>
    </row>
    <row r="35" ht="15.75" customHeight="1">
      <c r="A35" s="6" t="str">
        <f>IFERROR(__xludf.DUMMYFUNCTION("""COMPUTED_VALUE"""),"https://www.inbeat.co/articles/top-marketing-agencies-australia/")</f>
        <v>https://www.inbeat.co/articles/top-marketing-agencies-australia/</v>
      </c>
      <c r="B35" s="7" t="str">
        <f>IFERROR(__xludf.DUMMYFUNCTION("""COMPUTED_VALUE"""),"Top 31 Marketing Agencies in Australia for Collaboration in 2025")</f>
        <v>Top 31 Marketing Agencies in Australia for Collaboration in 2025</v>
      </c>
      <c r="C35" s="6" t="str">
        <f>IFERROR(__xludf.DUMMYFUNCTION("""COMPUTED_VALUE"""),"inbeat.co")</f>
        <v>inbeat.co</v>
      </c>
      <c r="D35" s="7" t="str">
        <f>IFERROR(__xludf.DUMMYFUNCTION("""COMPUTED_VALUE"""),"LISTICLE")</f>
        <v>LISTICLE</v>
      </c>
      <c r="E35" s="7" t="str">
        <f>IFERROR(__xludf.DUMMYFUNCTION("""COMPUTED_VALUE"""),"CORPORATE")</f>
        <v>CORPORATE</v>
      </c>
      <c r="F35" s="7" t="str">
        <f>IFERROR(__xludf.DUMMYFUNCTION("""COMPUTED_VALUE"""),"Listicle")</f>
        <v>Listicle</v>
      </c>
      <c r="G35" s="7" t="b">
        <f>IFERROR(__xludf.DUMMYFUNCTION("""COMPUTED_VALUE"""),FALSE)</f>
        <v>0</v>
      </c>
      <c r="H35" s="7" t="str">
        <f>IFERROR(__xludf.DUMMYFUNCTION("""COMPUTED_VALUE"""),"Sparro, King Kong, Earned Media, Alpha Digital, First Page, First Page Australia, Megaphone, Zib Digital, Soup Agency, Emote Digital, Online Marketing Gurus, Ogilvy Australia, Eight Clients, Resolution Digital, Impressive")</f>
        <v>Sparro, King Kong, Earned Media, Alpha Digital, First Page, First Page Australia, Megaphone, Zib Digital, Soup Agency, Emote Digital, Online Marketing Gurus, Ogilvy Australia, Eight Clients, Resolution Digital, Impressive</v>
      </c>
      <c r="I35" s="7">
        <f>IFERROR(__xludf.DUMMYFUNCTION("""COMPUTED_VALUE"""),23.0)</f>
        <v>23</v>
      </c>
      <c r="J35" s="7">
        <f>IFERROR(__xludf.DUMMYFUNCTION("""COMPUTED_VALUE"""),0.02)</f>
        <v>0.02</v>
      </c>
      <c r="K35" s="7">
        <f>IFERROR(__xludf.DUMMYFUNCTION("""COMPUTED_VALUE"""),0.13)</f>
        <v>0.13</v>
      </c>
    </row>
    <row r="36" ht="15.75" customHeight="1">
      <c r="A36" s="6" t="str">
        <f>IFERROR(__xludf.DUMMYFUNCTION("""COMPUTED_VALUE"""),"https://metapress.com/the-6-best-australian-agencies-for-navigating-the-ai-search-era/")</f>
        <v>https://metapress.com/the-6-best-australian-agencies-for-navigating-the-ai-search-era/</v>
      </c>
      <c r="B36" s="7" t="str">
        <f>IFERROR(__xludf.DUMMYFUNCTION("""COMPUTED_VALUE"""),"The 6 Best Australian Agencies for Navigating the AI Search Era")</f>
        <v>The 6 Best Australian Agencies for Navigating the AI Search Era</v>
      </c>
      <c r="C36" s="6" t="str">
        <f>IFERROR(__xludf.DUMMYFUNCTION("""COMPUTED_VALUE"""),"metapress.com")</f>
        <v>metapress.com</v>
      </c>
      <c r="D36" s="7" t="str">
        <f>IFERROR(__xludf.DUMMYFUNCTION("""COMPUTED_VALUE"""),"LISTICLE")</f>
        <v>LISTICLE</v>
      </c>
      <c r="E36" s="7" t="str">
        <f>IFERROR(__xludf.DUMMYFUNCTION("""COMPUTED_VALUE"""),"EDITORIAL")</f>
        <v>EDITORIAL</v>
      </c>
      <c r="F36" s="7" t="str">
        <f>IFERROR(__xludf.DUMMYFUNCTION("""COMPUTED_VALUE"""),"Listicle")</f>
        <v>Listicle</v>
      </c>
      <c r="G36" s="7" t="b">
        <f>IFERROR(__xludf.DUMMYFUNCTION("""COMPUTED_VALUE"""),FALSE)</f>
        <v>0</v>
      </c>
      <c r="H36" s="7" t="str">
        <f>IFERROR(__xludf.DUMMYFUNCTION("""COMPUTED_VALUE"""),"NP Digital Australia, Impressive, Megantic, Emote Digital, Soup Agency")</f>
        <v>NP Digital Australia, Impressive, Megantic, Emote Digital, Soup Agency</v>
      </c>
      <c r="I36" s="7">
        <f>IFERROR(__xludf.DUMMYFUNCTION("""COMPUTED_VALUE"""),23.0)</f>
        <v>23</v>
      </c>
      <c r="J36" s="7">
        <f>IFERROR(__xludf.DUMMYFUNCTION("""COMPUTED_VALUE"""),0.02)</f>
        <v>0.02</v>
      </c>
      <c r="K36" s="7">
        <f>IFERROR(__xludf.DUMMYFUNCTION("""COMPUTED_VALUE"""),1.78)</f>
        <v>1.78</v>
      </c>
    </row>
    <row r="37" ht="15.75" customHeight="1">
      <c r="A37" s="6" t="str">
        <f>IFERROR(__xludf.DUMMYFUNCTION("""COMPUTED_VALUE"""),"https://clickclickbangbang.com.au/google-display-advertising-companies/")</f>
        <v>https://clickclickbangbang.com.au/google-display-advertising-companies/</v>
      </c>
      <c r="B37" s="7" t="str">
        <f>IFERROR(__xludf.DUMMYFUNCTION("""COMPUTED_VALUE"""),"Top google display advertising companies in Australia (2025)")</f>
        <v>Top google display advertising companies in Australia (2025)</v>
      </c>
      <c r="C37" s="6" t="str">
        <f>IFERROR(__xludf.DUMMYFUNCTION("""COMPUTED_VALUE"""),"clickclickbangbang.com.au")</f>
        <v>clickclickbangbang.com.au</v>
      </c>
      <c r="D37" s="7" t="str">
        <f>IFERROR(__xludf.DUMMYFUNCTION("""COMPUTED_VALUE"""),"LISTICLE")</f>
        <v>LISTICLE</v>
      </c>
      <c r="E37" s="7" t="str">
        <f>IFERROR(__xludf.DUMMYFUNCTION("""COMPUTED_VALUE"""),"CORPORATE")</f>
        <v>CORPORATE</v>
      </c>
      <c r="F37" s="7" t="str">
        <f>IFERROR(__xludf.DUMMYFUNCTION("""COMPUTED_VALUE"""),"Listicle")</f>
        <v>Listicle</v>
      </c>
      <c r="G37" s="7" t="b">
        <f>IFERROR(__xludf.DUMMYFUNCTION("""COMPUTED_VALUE"""),FALSE)</f>
        <v>0</v>
      </c>
      <c r="H37" s="7" t="str">
        <f>IFERROR(__xludf.DUMMYFUNCTION("""COMPUTED_VALUE"""),"Reload Media, WebSavvy, Sparro, Brainlabs, Megaphone, Impressive")</f>
        <v>Reload Media, WebSavvy, Sparro, Brainlabs, Megaphone, Impressive</v>
      </c>
      <c r="I37" s="7">
        <f>IFERROR(__xludf.DUMMYFUNCTION("""COMPUTED_VALUE"""),22.0)</f>
        <v>22</v>
      </c>
      <c r="J37" s="7">
        <f>IFERROR(__xludf.DUMMYFUNCTION("""COMPUTED_VALUE"""),0.02)</f>
        <v>0.02</v>
      </c>
      <c r="K37" s="7">
        <f>IFERROR(__xludf.DUMMYFUNCTION("""COMPUTED_VALUE"""),1.18)</f>
        <v>1.18</v>
      </c>
    </row>
    <row r="38" ht="15.75" customHeight="1">
      <c r="A38" s="6" t="str">
        <f>IFERROR(__xludf.DUMMYFUNCTION("""COMPUTED_VALUE"""),"https://noirandblanco.com/best-digital-marketing-agencies-in-australia/")</f>
        <v>https://noirandblanco.com/best-digital-marketing-agencies-in-australia/</v>
      </c>
      <c r="B38" s="7" t="str">
        <f>IFERROR(__xludf.DUMMYFUNCTION("""COMPUTED_VALUE"""),"11 Best Digital Marketing Agencies in Australia")</f>
        <v>11 Best Digital Marketing Agencies in Australia</v>
      </c>
      <c r="C38" s="6" t="str">
        <f>IFERROR(__xludf.DUMMYFUNCTION("""COMPUTED_VALUE"""),"noirandblanco.com")</f>
        <v>noirandblanco.com</v>
      </c>
      <c r="D38" s="7" t="str">
        <f>IFERROR(__xludf.DUMMYFUNCTION("""COMPUTED_VALUE"""),"LISTICLE")</f>
        <v>LISTICLE</v>
      </c>
      <c r="E38" s="7" t="str">
        <f>IFERROR(__xludf.DUMMYFUNCTION("""COMPUTED_VALUE"""),"CORPORATE")</f>
        <v>CORPORATE</v>
      </c>
      <c r="F38" s="7" t="str">
        <f>IFERROR(__xludf.DUMMYFUNCTION("""COMPUTED_VALUE"""),"Listicle")</f>
        <v>Listicle</v>
      </c>
      <c r="G38" s="7" t="b">
        <f>IFERROR(__xludf.DUMMYFUNCTION("""COMPUTED_VALUE"""),FALSE)</f>
        <v>0</v>
      </c>
      <c r="H38" s="7" t="str">
        <f>IFERROR(__xludf.DUMMYFUNCTION("""COMPUTED_VALUE"""),"Supple Digital, Alley Group, 80/20 Digital, Earned Media")</f>
        <v>Supple Digital, Alley Group, 80/20 Digital, Earned Media</v>
      </c>
      <c r="I38" s="7">
        <f>IFERROR(__xludf.DUMMYFUNCTION("""COMPUTED_VALUE"""),21.0)</f>
        <v>21</v>
      </c>
      <c r="J38" s="7">
        <f>IFERROR(__xludf.DUMMYFUNCTION("""COMPUTED_VALUE"""),0.02)</f>
        <v>0.02</v>
      </c>
      <c r="K38" s="7">
        <f>IFERROR(__xludf.DUMMYFUNCTION("""COMPUTED_VALUE"""),0.52)</f>
        <v>0.52</v>
      </c>
    </row>
    <row r="39" ht="15.75" customHeight="1">
      <c r="A39" s="6" t="str">
        <f>IFERROR(__xludf.DUMMYFUNCTION("""COMPUTED_VALUE"""),"https://vanguardian.com.au/digital-marketing-agencies-australia/")</f>
        <v>https://vanguardian.com.au/digital-marketing-agencies-australia/</v>
      </c>
      <c r="B39" s="7" t="str">
        <f>IFERROR(__xludf.DUMMYFUNCTION("""COMPUTED_VALUE"""),"20 Leading Digital Marketing Agencies In Australia For 2026")</f>
        <v>20 Leading Digital Marketing Agencies In Australia For 2026</v>
      </c>
      <c r="C39" s="6" t="str">
        <f>IFERROR(__xludf.DUMMYFUNCTION("""COMPUTED_VALUE"""),"vanguardian.com.au")</f>
        <v>vanguardian.com.au</v>
      </c>
      <c r="D39" s="7" t="str">
        <f>IFERROR(__xludf.DUMMYFUNCTION("""COMPUTED_VALUE"""),"LISTICLE")</f>
        <v>LISTICLE</v>
      </c>
      <c r="E39" s="7" t="str">
        <f>IFERROR(__xludf.DUMMYFUNCTION("""COMPUTED_VALUE"""),"CORPORATE")</f>
        <v>CORPORATE</v>
      </c>
      <c r="F39" s="7" t="str">
        <f>IFERROR(__xludf.DUMMYFUNCTION("""COMPUTED_VALUE"""),"Listicle")</f>
        <v>Listicle</v>
      </c>
      <c r="G39" s="7" t="b">
        <f>IFERROR(__xludf.DUMMYFUNCTION("""COMPUTED_VALUE"""),FALSE)</f>
        <v>0</v>
      </c>
      <c r="H39" s="7" t="str">
        <f>IFERROR(__xludf.DUMMYFUNCTION("""COMPUTED_VALUE"""),"Sparro, Blue Sense Digital")</f>
        <v>Sparro, Blue Sense Digital</v>
      </c>
      <c r="I39" s="7">
        <f>IFERROR(__xludf.DUMMYFUNCTION("""COMPUTED_VALUE"""),21.0)</f>
        <v>21</v>
      </c>
      <c r="J39" s="7">
        <f>IFERROR(__xludf.DUMMYFUNCTION("""COMPUTED_VALUE"""),0.02)</f>
        <v>0.02</v>
      </c>
      <c r="K39" s="7">
        <f>IFERROR(__xludf.DUMMYFUNCTION("""COMPUTED_VALUE"""),0.86)</f>
        <v>0.86</v>
      </c>
    </row>
    <row r="40" ht="15.75" customHeight="1">
      <c r="A40" s="6" t="str">
        <f>IFERROR(__xludf.DUMMYFUNCTION("""COMPUTED_VALUE"""),"https://www.caribbeannationalweekly.com/posts/top-generative-engine-optimisation-geo-agencies-for-australian-brands")</f>
        <v>https://www.caribbeannationalweekly.com/posts/top-generative-engine-optimisation-geo-agencies-for-australian-brands</v>
      </c>
      <c r="B40" s="7" t="str">
        <f>IFERROR(__xludf.DUMMYFUNCTION("""COMPUTED_VALUE"""),"Top Generative Engine Optimisation Agencies for Brands")</f>
        <v>Top Generative Engine Optimisation Agencies for Brands</v>
      </c>
      <c r="C40" s="6" t="str">
        <f>IFERROR(__xludf.DUMMYFUNCTION("""COMPUTED_VALUE"""),"caribbeannationalweekly.com")</f>
        <v>caribbeannationalweekly.com</v>
      </c>
      <c r="D40" s="7" t="str">
        <f>IFERROR(__xludf.DUMMYFUNCTION("""COMPUTED_VALUE"""),"LISTICLE")</f>
        <v>LISTICLE</v>
      </c>
      <c r="E40" s="7" t="str">
        <f>IFERROR(__xludf.DUMMYFUNCTION("""COMPUTED_VALUE"""),"EDITORIAL")</f>
        <v>EDITORIAL</v>
      </c>
      <c r="F40" s="7" t="str">
        <f>IFERROR(__xludf.DUMMYFUNCTION("""COMPUTED_VALUE"""),"Listicle")</f>
        <v>Listicle</v>
      </c>
      <c r="G40" s="7" t="b">
        <f>IFERROR(__xludf.DUMMYFUNCTION("""COMPUTED_VALUE"""),FALSE)</f>
        <v>0</v>
      </c>
      <c r="H40" s="7" t="str">
        <f>IFERROR(__xludf.DUMMYFUNCTION("""COMPUTED_VALUE"""),"NP Digital Australia, StudioHawk, Impressive, Prosperity Media, Rocket Agency, Reef Digital Agency, Webprofits, Farsiight, Alpha Digital")</f>
        <v>NP Digital Australia, StudioHawk, Impressive, Prosperity Media, Rocket Agency, Reef Digital Agency, Webprofits, Farsiight, Alpha Digital</v>
      </c>
      <c r="I40" s="7">
        <f>IFERROR(__xludf.DUMMYFUNCTION("""COMPUTED_VALUE"""),20.0)</f>
        <v>20</v>
      </c>
      <c r="J40" s="7">
        <f>IFERROR(__xludf.DUMMYFUNCTION("""COMPUTED_VALUE"""),0.02)</f>
        <v>0.02</v>
      </c>
      <c r="K40" s="7">
        <f>IFERROR(__xludf.DUMMYFUNCTION("""COMPUTED_VALUE"""),0.45)</f>
        <v>0.45</v>
      </c>
    </row>
    <row r="41" ht="15.75" customHeight="1">
      <c r="A41" s="6" t="str">
        <f>IFERROR(__xludf.DUMMYFUNCTION("""COMPUTED_VALUE"""),"https://edisonai.au/insights/top-ai-consulting-firms-australia#:~:text=Quick%20answer.%20Australia's%20best%20AI%20consulting%20firm,for%20secure%20Microsoft%20365%20and%20Copilot%20adoption.")</f>
        <v>https://edisonai.au/insights/top-ai-consulting-firms-australia#:~:text=Quick%20answer.%20Australia's%20best%20AI%20consulting%20firm,for%20secure%20Microsoft%20365%20and%20Copilot%20adoption.</v>
      </c>
      <c r="B41" s="7" t="str">
        <f>IFERROR(__xludf.DUMMYFUNCTION("""COMPUTED_VALUE"""),"Top 7 AI Consulting Firms in Australia (2026) \| Edison AI")</f>
        <v>Top 7 AI Consulting Firms in Australia (2026) \| Edison AI</v>
      </c>
      <c r="C41" s="6" t="str">
        <f>IFERROR(__xludf.DUMMYFUNCTION("""COMPUTED_VALUE"""),"edisonai.au")</f>
        <v>edisonai.au</v>
      </c>
      <c r="D41" s="7" t="str">
        <f>IFERROR(__xludf.DUMMYFUNCTION("""COMPUTED_VALUE"""),"LISTICLE")</f>
        <v>LISTICLE</v>
      </c>
      <c r="E41" s="7" t="str">
        <f>IFERROR(__xludf.DUMMYFUNCTION("""COMPUTED_VALUE"""),"CORPORATE")</f>
        <v>CORPORATE</v>
      </c>
      <c r="F41" s="7" t="str">
        <f>IFERROR(__xludf.DUMMYFUNCTION("""COMPUTED_VALUE"""),"Listicle")</f>
        <v>Listicle</v>
      </c>
      <c r="G41" s="7" t="b">
        <f>IFERROR(__xludf.DUMMYFUNCTION("""COMPUTED_VALUE"""),FALSE)</f>
        <v>0</v>
      </c>
      <c r="H41" s="7" t="str">
        <f>IFERROR(__xludf.DUMMYFUNCTION("""COMPUTED_VALUE"""),"Edison AI, Deloitte, KPMG, Mantel Group, Momentum, Measured")</f>
        <v>Edison AI, Deloitte, KPMG, Mantel Group, Momentum, Measured</v>
      </c>
      <c r="I41" s="7">
        <f>IFERROR(__xludf.DUMMYFUNCTION("""COMPUTED_VALUE"""),20.0)</f>
        <v>20</v>
      </c>
      <c r="J41" s="7">
        <f>IFERROR(__xludf.DUMMYFUNCTION("""COMPUTED_VALUE"""),0.02)</f>
        <v>0.02</v>
      </c>
      <c r="K41" s="7">
        <f>IFERROR(__xludf.DUMMYFUNCTION("""COMPUTED_VALUE"""),2.35)</f>
        <v>2.35</v>
      </c>
    </row>
    <row r="42" ht="15.75" customHeight="1">
      <c r="A42" s="6" t="str">
        <f>IFERROR(__xludf.DUMMYFUNCTION("""COMPUTED_VALUE"""),"https://findcreatives.com.au/journal/top-creative-agencies-in-australia")</f>
        <v>https://findcreatives.com.au/journal/top-creative-agencies-in-australia</v>
      </c>
      <c r="B42" s="7" t="str">
        <f>IFERROR(__xludf.DUMMYFUNCTION("""COMPUTED_VALUE"""),"Top Creative Agencies in Australia | Find Creatives")</f>
        <v>Top Creative Agencies in Australia | Find Creatives</v>
      </c>
      <c r="C42" s="6" t="str">
        <f>IFERROR(__xludf.DUMMYFUNCTION("""COMPUTED_VALUE"""),"findcreatives.com.au")</f>
        <v>findcreatives.com.au</v>
      </c>
      <c r="D42" s="7" t="str">
        <f>IFERROR(__xludf.DUMMYFUNCTION("""COMPUTED_VALUE"""),"LISTICLE")</f>
        <v>LISTICLE</v>
      </c>
      <c r="E42" s="7" t="str">
        <f>IFERROR(__xludf.DUMMYFUNCTION("""COMPUTED_VALUE"""),"CORPORATE")</f>
        <v>CORPORATE</v>
      </c>
      <c r="F42" s="7" t="str">
        <f>IFERROR(__xludf.DUMMYFUNCTION("""COMPUTED_VALUE"""),"Listicle")</f>
        <v>Listicle</v>
      </c>
      <c r="G42" s="7" t="b">
        <f>IFERROR(__xludf.DUMMYFUNCTION("""COMPUTED_VALUE"""),FALSE)</f>
        <v>0</v>
      </c>
      <c r="H42" s="7" t="str">
        <f>IFERROR(__xludf.DUMMYFUNCTION("""COMPUTED_VALUE"""),"Chello")</f>
        <v>Chello</v>
      </c>
      <c r="I42" s="7">
        <f>IFERROR(__xludf.DUMMYFUNCTION("""COMPUTED_VALUE"""),20.0)</f>
        <v>20</v>
      </c>
      <c r="J42" s="7">
        <f>IFERROR(__xludf.DUMMYFUNCTION("""COMPUTED_VALUE"""),0.02)</f>
        <v>0.02</v>
      </c>
      <c r="K42" s="7">
        <f>IFERROR(__xludf.DUMMYFUNCTION("""COMPUTED_VALUE"""),1.05)</f>
        <v>1.05</v>
      </c>
    </row>
    <row r="43" ht="15.75" customHeight="1">
      <c r="A43" s="6" t="str">
        <f>IFERROR(__xludf.DUMMYFUNCTION("""COMPUTED_VALUE"""),"https://titanblue.com.au/best-seo-agency-australia/")</f>
        <v>https://titanblue.com.au/best-seo-agency-australia/</v>
      </c>
      <c r="B43" s="7" t="str">
        <f>IFERROR(__xludf.DUMMYFUNCTION("""COMPUTED_VALUE"""),"7 Of The Best SEO Agency Australia Picks For 2026")</f>
        <v>7 Of The Best SEO Agency Australia Picks For 2026</v>
      </c>
      <c r="C43" s="6" t="str">
        <f>IFERROR(__xludf.DUMMYFUNCTION("""COMPUTED_VALUE"""),"titanblue.com.au")</f>
        <v>titanblue.com.au</v>
      </c>
      <c r="D43" s="7" t="str">
        <f>IFERROR(__xludf.DUMMYFUNCTION("""COMPUTED_VALUE"""),"LISTICLE")</f>
        <v>LISTICLE</v>
      </c>
      <c r="E43" s="7" t="str">
        <f>IFERROR(__xludf.DUMMYFUNCTION("""COMPUTED_VALUE"""),"CORPORATE")</f>
        <v>CORPORATE</v>
      </c>
      <c r="F43" s="7" t="str">
        <f>IFERROR(__xludf.DUMMYFUNCTION("""COMPUTED_VALUE"""),"Listicle")</f>
        <v>Listicle</v>
      </c>
      <c r="G43" s="7" t="b">
        <f>IFERROR(__xludf.DUMMYFUNCTION("""COMPUTED_VALUE"""),FALSE)</f>
        <v>0</v>
      </c>
      <c r="H43" s="7" t="str">
        <f>IFERROR(__xludf.DUMMYFUNCTION("""COMPUTED_VALUE"""),"StudioHawk, Prosperity Media, Rocket Agency, Safari Digital, Online Marketing Gurus, Omnicom Media Group, Megantic")</f>
        <v>StudioHawk, Prosperity Media, Rocket Agency, Safari Digital, Online Marketing Gurus, Omnicom Media Group, Megantic</v>
      </c>
      <c r="I43" s="7">
        <f>IFERROR(__xludf.DUMMYFUNCTION("""COMPUTED_VALUE"""),20.0)</f>
        <v>20</v>
      </c>
      <c r="J43" s="7">
        <f>IFERROR(__xludf.DUMMYFUNCTION("""COMPUTED_VALUE"""),0.02)</f>
        <v>0.02</v>
      </c>
      <c r="K43" s="7">
        <f>IFERROR(__xludf.DUMMYFUNCTION("""COMPUTED_VALUE"""),0.3)</f>
        <v>0.3</v>
      </c>
    </row>
    <row r="44" ht="15.75" customHeight="1">
      <c r="A44" s="6" t="str">
        <f>IFERROR(__xludf.DUMMYFUNCTION("""COMPUTED_VALUE"""),"https://conquerradigital.com.au/top-10-programmatic-ads-agencies-in-the-australia/")</f>
        <v>https://conquerradigital.com.au/top-10-programmatic-ads-agencies-in-the-australia/</v>
      </c>
      <c r="B44" s="7" t="str">
        <f>IFERROR(__xludf.DUMMYFUNCTION("""COMPUTED_VALUE"""),"Top 10 Programmatic Ads Agencies In The Australia | Conquerra Digital")</f>
        <v>Top 10 Programmatic Ads Agencies In The Australia | Conquerra Digital</v>
      </c>
      <c r="C44" s="6" t="str">
        <f>IFERROR(__xludf.DUMMYFUNCTION("""COMPUTED_VALUE"""),"conquerradigital.com.au")</f>
        <v>conquerradigital.com.au</v>
      </c>
      <c r="D44" s="7" t="str">
        <f>IFERROR(__xludf.DUMMYFUNCTION("""COMPUTED_VALUE"""),"LISTICLE")</f>
        <v>LISTICLE</v>
      </c>
      <c r="E44" s="7" t="str">
        <f>IFERROR(__xludf.DUMMYFUNCTION("""COMPUTED_VALUE"""),"CORPORATE")</f>
        <v>CORPORATE</v>
      </c>
      <c r="F44" s="7" t="str">
        <f>IFERROR(__xludf.DUMMYFUNCTION("""COMPUTED_VALUE"""),"Listicle")</f>
        <v>Listicle</v>
      </c>
      <c r="G44" s="7" t="b">
        <f>IFERROR(__xludf.DUMMYFUNCTION("""COMPUTED_VALUE"""),FALSE)</f>
        <v>0</v>
      </c>
      <c r="H44" s="7" t="str">
        <f>IFERROR(__xludf.DUMMYFUNCTION("""COMPUTED_VALUE"""),"Soup Agency, Bench Media, Rocket Agency, Megaphone, Resolution Digital, WebSavvy, Clearwater Agency, Momentum")</f>
        <v>Soup Agency, Bench Media, Rocket Agency, Megaphone, Resolution Digital, WebSavvy, Clearwater Agency, Momentum</v>
      </c>
      <c r="I44" s="7">
        <f>IFERROR(__xludf.DUMMYFUNCTION("""COMPUTED_VALUE"""),19.0)</f>
        <v>19</v>
      </c>
      <c r="J44" s="7">
        <f>IFERROR(__xludf.DUMMYFUNCTION("""COMPUTED_VALUE"""),0.02)</f>
        <v>0.02</v>
      </c>
      <c r="K44" s="7">
        <f>IFERROR(__xludf.DUMMYFUNCTION("""COMPUTED_VALUE"""),1.58)</f>
        <v>1.58</v>
      </c>
    </row>
    <row r="45" ht="15.75" customHeight="1">
      <c r="A45" s="6" t="str">
        <f>IFERROR(__xludf.DUMMYFUNCTION("""COMPUTED_VALUE"""),"https://www.airanklab.com/blog/best-ai-seo-agencies-australia")</f>
        <v>https://www.airanklab.com/blog/best-ai-seo-agencies-australia</v>
      </c>
      <c r="B45" s="7" t="str">
        <f>IFERROR(__xludf.DUMMYFUNCTION("""COMPUTED_VALUE"""),"7 Best AI SEO Agencies in Australia 2026: Ranked | AI Rank Lab - Free SEO, AEO &amp;amp; GEO Analyzer")</f>
        <v>7 Best AI SEO Agencies in Australia 2026: Ranked | AI Rank Lab - Free SEO, AEO &amp;amp; GEO Analyzer</v>
      </c>
      <c r="C45" s="6" t="str">
        <f>IFERROR(__xludf.DUMMYFUNCTION("""COMPUTED_VALUE"""),"airanklab.com")</f>
        <v>airanklab.com</v>
      </c>
      <c r="D45" s="7" t="str">
        <f>IFERROR(__xludf.DUMMYFUNCTION("""COMPUTED_VALUE"""),"LISTICLE")</f>
        <v>LISTICLE</v>
      </c>
      <c r="E45" s="7" t="str">
        <f>IFERROR(__xludf.DUMMYFUNCTION("""COMPUTED_VALUE"""),"OTHER")</f>
        <v>OTHER</v>
      </c>
      <c r="F45" s="7" t="str">
        <f>IFERROR(__xludf.DUMMYFUNCTION("""COMPUTED_VALUE"""),"Listicle")</f>
        <v>Listicle</v>
      </c>
      <c r="G45" s="7" t="b">
        <f>IFERROR(__xludf.DUMMYFUNCTION("""COMPUTED_VALUE"""),FALSE)</f>
        <v>0</v>
      </c>
      <c r="H45" s="7" t="str">
        <f>IFERROR(__xludf.DUMMYFUNCTION("""COMPUTED_VALUE"""),"HERO, Supple Digital, StudioHawk, First Page")</f>
        <v>HERO, Supple Digital, StudioHawk, First Page</v>
      </c>
      <c r="I45" s="7">
        <f>IFERROR(__xludf.DUMMYFUNCTION("""COMPUTED_VALUE"""),18.0)</f>
        <v>18</v>
      </c>
      <c r="J45" s="7">
        <f>IFERROR(__xludf.DUMMYFUNCTION("""COMPUTED_VALUE"""),0.02)</f>
        <v>0.02</v>
      </c>
      <c r="K45" s="7">
        <f>IFERROR(__xludf.DUMMYFUNCTION("""COMPUTED_VALUE"""),0.78)</f>
        <v>0.78</v>
      </c>
    </row>
    <row r="46" ht="15.75" customHeight="1">
      <c r="A46" s="6" t="str">
        <f>IFERROR(__xludf.DUMMYFUNCTION("""COMPUTED_VALUE"""),"https://www.cometly.com/post/marketing-incrementality-testing-tools")</f>
        <v>https://www.cometly.com/post/marketing-incrementality-testing-tools</v>
      </c>
      <c r="B46" s="7" t="str">
        <f>IFERROR(__xludf.DUMMYFUNCTION("""COMPUTED_VALUE"""),"9 Best Marketing Incrementality Testing Tools 2026")</f>
        <v>9 Best Marketing Incrementality Testing Tools 2026</v>
      </c>
      <c r="C46" s="6" t="str">
        <f>IFERROR(__xludf.DUMMYFUNCTION("""COMPUTED_VALUE"""),"cometly.com")</f>
        <v>cometly.com</v>
      </c>
      <c r="D46" s="7" t="str">
        <f>IFERROR(__xludf.DUMMYFUNCTION("""COMPUTED_VALUE"""),"LISTICLE")</f>
        <v>LISTICLE</v>
      </c>
      <c r="E46" s="7" t="str">
        <f>IFERROR(__xludf.DUMMYFUNCTION("""COMPUTED_VALUE"""),"CORPORATE")</f>
        <v>CORPORATE</v>
      </c>
      <c r="F46" s="7" t="str">
        <f>IFERROR(__xludf.DUMMYFUNCTION("""COMPUTED_VALUE"""),"Listicle")</f>
        <v>Listicle</v>
      </c>
      <c r="G46" s="7" t="b">
        <f>IFERROR(__xludf.DUMMYFUNCTION("""COMPUTED_VALUE"""),FALSE)</f>
        <v>0</v>
      </c>
      <c r="H46" s="7" t="str">
        <f>IFERROR(__xludf.DUMMYFUNCTION("""COMPUTED_VALUE"""),"Measured, Lifesight, Haus")</f>
        <v>Measured, Lifesight, Haus</v>
      </c>
      <c r="I46" s="7">
        <f>IFERROR(__xludf.DUMMYFUNCTION("""COMPUTED_VALUE"""),18.0)</f>
        <v>18</v>
      </c>
      <c r="J46" s="7">
        <f>IFERROR(__xludf.DUMMYFUNCTION("""COMPUTED_VALUE"""),0.02)</f>
        <v>0.02</v>
      </c>
      <c r="K46" s="7">
        <f>IFERROR(__xludf.DUMMYFUNCTION("""COMPUTED_VALUE"""),0.67)</f>
        <v>0.67</v>
      </c>
    </row>
    <row r="47" ht="15.75" customHeight="1">
      <c r="A47" s="6" t="str">
        <f>IFERROR(__xludf.DUMMYFUNCTION("""COMPUTED_VALUE"""),"https://newsfromperth.com/business/our-top-7-ai-geo-generative-engine-optimisation-agencies-in-australia/")</f>
        <v>https://newsfromperth.com/business/our-top-7-ai-geo-generative-engine-optimisation-agencies-in-australia/</v>
      </c>
      <c r="B47" s="7" t="str">
        <f>IFERROR(__xludf.DUMMYFUNCTION("""COMPUTED_VALUE"""),"Our Top 7 AI GEO (Generative Engine Optimisation) Agencies in Australia – News from Perth")</f>
        <v>Our Top 7 AI GEO (Generative Engine Optimisation) Agencies in Australia – News from Perth</v>
      </c>
      <c r="C47" s="6" t="str">
        <f>IFERROR(__xludf.DUMMYFUNCTION("""COMPUTED_VALUE"""),"newsfromperth.com")</f>
        <v>newsfromperth.com</v>
      </c>
      <c r="D47" s="7" t="str">
        <f>IFERROR(__xludf.DUMMYFUNCTION("""COMPUTED_VALUE"""),"LISTICLE")</f>
        <v>LISTICLE</v>
      </c>
      <c r="E47" s="7" t="str">
        <f>IFERROR(__xludf.DUMMYFUNCTION("""COMPUTED_VALUE"""),"EDITORIAL")</f>
        <v>EDITORIAL</v>
      </c>
      <c r="F47" s="7" t="str">
        <f>IFERROR(__xludf.DUMMYFUNCTION("""COMPUTED_VALUE"""),"Listicle")</f>
        <v>Listicle</v>
      </c>
      <c r="G47" s="7" t="b">
        <f>IFERROR(__xludf.DUMMYFUNCTION("""COMPUTED_VALUE"""),FALSE)</f>
        <v>0</v>
      </c>
      <c r="H47" s="7"/>
      <c r="I47" s="7">
        <f>IFERROR(__xludf.DUMMYFUNCTION("""COMPUTED_VALUE"""),18.0)</f>
        <v>18</v>
      </c>
      <c r="J47" s="7">
        <f>IFERROR(__xludf.DUMMYFUNCTION("""COMPUTED_VALUE"""),0.02)</f>
        <v>0.02</v>
      </c>
      <c r="K47" s="7">
        <f>IFERROR(__xludf.DUMMYFUNCTION("""COMPUTED_VALUE"""),0.61)</f>
        <v>0.61</v>
      </c>
    </row>
    <row r="48" ht="15.75" customHeight="1">
      <c r="A48" s="6" t="str">
        <f>IFERROR(__xludf.DUMMYFUNCTION("""COMPUTED_VALUE"""),"https://programminginsider.com/the-10-best-agencies-for-seo-and-geo-visibility-in-australia/")</f>
        <v>https://programminginsider.com/the-10-best-agencies-for-seo-and-geo-visibility-in-australia/</v>
      </c>
      <c r="B48" s="7" t="str">
        <f>IFERROR(__xludf.DUMMYFUNCTION("""COMPUTED_VALUE"""),"The 10 Best Agencies for SEO and GEO Visibility in Australia - Programming Insider")</f>
        <v>The 10 Best Agencies for SEO and GEO Visibility in Australia - Programming Insider</v>
      </c>
      <c r="C48" s="6" t="str">
        <f>IFERROR(__xludf.DUMMYFUNCTION("""COMPUTED_VALUE"""),"programminginsider.com")</f>
        <v>programminginsider.com</v>
      </c>
      <c r="D48" s="7" t="str">
        <f>IFERROR(__xludf.DUMMYFUNCTION("""COMPUTED_VALUE"""),"LISTICLE")</f>
        <v>LISTICLE</v>
      </c>
      <c r="E48" s="7" t="str">
        <f>IFERROR(__xludf.DUMMYFUNCTION("""COMPUTED_VALUE"""),"EDITORIAL")</f>
        <v>EDITORIAL</v>
      </c>
      <c r="F48" s="7" t="str">
        <f>IFERROR(__xludf.DUMMYFUNCTION("""COMPUTED_VALUE"""),"Listicle")</f>
        <v>Listicle</v>
      </c>
      <c r="G48" s="7" t="b">
        <f>IFERROR(__xludf.DUMMYFUNCTION("""COMPUTED_VALUE"""),FALSE)</f>
        <v>0</v>
      </c>
      <c r="H48" s="7" t="str">
        <f>IFERROR(__xludf.DUMMYFUNCTION("""COMPUTED_VALUE"""),"NP Digital Australia, Zib Digital, Safari Digital, Megantic, 80/20 Digital, Click Click Media, Digital Nomads HQ")</f>
        <v>NP Digital Australia, Zib Digital, Safari Digital, Megantic, 80/20 Digital, Click Click Media, Digital Nomads HQ</v>
      </c>
      <c r="I48" s="7">
        <f>IFERROR(__xludf.DUMMYFUNCTION("""COMPUTED_VALUE"""),17.0)</f>
        <v>17</v>
      </c>
      <c r="J48" s="7">
        <f>IFERROR(__xludf.DUMMYFUNCTION("""COMPUTED_VALUE"""),0.02)</f>
        <v>0.02</v>
      </c>
      <c r="K48" s="7">
        <f>IFERROR(__xludf.DUMMYFUNCTION("""COMPUTED_VALUE"""),1.53)</f>
        <v>1.53</v>
      </c>
    </row>
    <row r="49" ht="15.75" customHeight="1">
      <c r="A49" s="6" t="str">
        <f>IFERROR(__xludf.DUMMYFUNCTION("""COMPUTED_VALUE"""),"https://mentionfirst.ai/best-ai-seo-agencies-in-australia-the-2026-rankings/")</f>
        <v>https://mentionfirst.ai/best-ai-seo-agencies-in-australia-the-2026-rankings/</v>
      </c>
      <c r="B49" s="7" t="str">
        <f>IFERROR(__xludf.DUMMYFUNCTION("""COMPUTED_VALUE"""),"Best AI SEO Agencies in Australia: The 2026 Rankings - Mention First AI")</f>
        <v>Best AI SEO Agencies in Australia: The 2026 Rankings - Mention First AI</v>
      </c>
      <c r="C49" s="6" t="str">
        <f>IFERROR(__xludf.DUMMYFUNCTION("""COMPUTED_VALUE"""),"mentionfirst.ai")</f>
        <v>mentionfirst.ai</v>
      </c>
      <c r="D49" s="7" t="str">
        <f>IFERROR(__xludf.DUMMYFUNCTION("""COMPUTED_VALUE"""),"LISTICLE")</f>
        <v>LISTICLE</v>
      </c>
      <c r="E49" s="7" t="str">
        <f>IFERROR(__xludf.DUMMYFUNCTION("""COMPUTED_VALUE"""),"CORPORATE")</f>
        <v>CORPORATE</v>
      </c>
      <c r="F49" s="7" t="str">
        <f>IFERROR(__xludf.DUMMYFUNCTION("""COMPUTED_VALUE"""),"Listicle")</f>
        <v>Listicle</v>
      </c>
      <c r="G49" s="7" t="b">
        <f>IFERROR(__xludf.DUMMYFUNCTION("""COMPUTED_VALUE"""),FALSE)</f>
        <v>0</v>
      </c>
      <c r="H49" s="7" t="str">
        <f>IFERROR(__xludf.DUMMYFUNCTION("""COMPUTED_VALUE"""),"Online Marketing Gurus, Omnicom Media Group, Digital Nomads HQ, Supple Digital, Emote Digital")</f>
        <v>Online Marketing Gurus, Omnicom Media Group, Digital Nomads HQ, Supple Digital, Emote Digital</v>
      </c>
      <c r="I49" s="7">
        <f>IFERROR(__xludf.DUMMYFUNCTION("""COMPUTED_VALUE"""),16.0)</f>
        <v>16</v>
      </c>
      <c r="J49" s="7">
        <f>IFERROR(__xludf.DUMMYFUNCTION("""COMPUTED_VALUE"""),0.02)</f>
        <v>0.02</v>
      </c>
      <c r="K49" s="7">
        <f>IFERROR(__xludf.DUMMYFUNCTION("""COMPUTED_VALUE"""),1.25)</f>
        <v>1.25</v>
      </c>
    </row>
    <row r="50" ht="15.75" customHeight="1">
      <c r="A50" s="6" t="str">
        <f>IFERROR(__xludf.DUMMYFUNCTION("""COMPUTED_VALUE"""),"https://www.smartosc.com/top-10-ai-consulting-firms-in-australia/")</f>
        <v>https://www.smartosc.com/top-10-ai-consulting-firms-in-australia/</v>
      </c>
      <c r="B50" s="7" t="str">
        <f>IFERROR(__xludf.DUMMYFUNCTION("""COMPUTED_VALUE"""),"Top 10 AI Consulting Firms in Australia for Enterprise Transformation - SmartOSC")</f>
        <v>Top 10 AI Consulting Firms in Australia for Enterprise Transformation - SmartOSC</v>
      </c>
      <c r="C50" s="6" t="str">
        <f>IFERROR(__xludf.DUMMYFUNCTION("""COMPUTED_VALUE"""),"smartosc.com")</f>
        <v>smartosc.com</v>
      </c>
      <c r="D50" s="7" t="str">
        <f>IFERROR(__xludf.DUMMYFUNCTION("""COMPUTED_VALUE"""),"LISTICLE")</f>
        <v>LISTICLE</v>
      </c>
      <c r="E50" s="7" t="str">
        <f>IFERROR(__xludf.DUMMYFUNCTION("""COMPUTED_VALUE"""),"COMPETITOR")</f>
        <v>COMPETITOR</v>
      </c>
      <c r="F50" s="7" t="str">
        <f>IFERROR(__xludf.DUMMYFUNCTION("""COMPUTED_VALUE"""),"Listicle")</f>
        <v>Listicle</v>
      </c>
      <c r="G50" s="7" t="b">
        <f>IFERROR(__xludf.DUMMYFUNCTION("""COMPUTED_VALUE"""),FALSE)</f>
        <v>0</v>
      </c>
      <c r="H50" s="7" t="str">
        <f>IFERROR(__xludf.DUMMYFUNCTION("""COMPUTED_VALUE"""),"SmartOSC, Deloitte, KPMG")</f>
        <v>SmartOSC, Deloitte, KPMG</v>
      </c>
      <c r="I50" s="7">
        <f>IFERROR(__xludf.DUMMYFUNCTION("""COMPUTED_VALUE"""),16.0)</f>
        <v>16</v>
      </c>
      <c r="J50" s="7">
        <f>IFERROR(__xludf.DUMMYFUNCTION("""COMPUTED_VALUE"""),0.02)</f>
        <v>0.02</v>
      </c>
      <c r="K50" s="7">
        <f>IFERROR(__xludf.DUMMYFUNCTION("""COMPUTED_VALUE"""),0.31)</f>
        <v>0.31</v>
      </c>
    </row>
    <row r="51" ht="15.75" customHeight="1">
      <c r="A51" s="6" t="str">
        <f>IFERROR(__xludf.DUMMYFUNCTION("""COMPUTED_VALUE"""),"https://superbcompanies.com/categories/creative-agencies-in-australia/")</f>
        <v>https://superbcompanies.com/categories/creative-agencies-in-australia/</v>
      </c>
      <c r="B51" s="7" t="str">
        <f>IFERROR(__xludf.DUMMYFUNCTION("""COMPUTED_VALUE"""),"Top 100 Creative Agencies in Australia - Jul 2026 | Ranking | SuperbCompanies")</f>
        <v>Top 100 Creative Agencies in Australia - Jul 2026 | Ranking | SuperbCompanies</v>
      </c>
      <c r="C51" s="6" t="str">
        <f>IFERROR(__xludf.DUMMYFUNCTION("""COMPUTED_VALUE"""),"superbcompanies.com")</f>
        <v>superbcompanies.com</v>
      </c>
      <c r="D51" s="7" t="str">
        <f>IFERROR(__xludf.DUMMYFUNCTION("""COMPUTED_VALUE"""),"LISTICLE")</f>
        <v>LISTICLE</v>
      </c>
      <c r="E51" s="7" t="str">
        <f>IFERROR(__xludf.DUMMYFUNCTION("""COMPUTED_VALUE"""),"REFERENCE")</f>
        <v>REFERENCE</v>
      </c>
      <c r="F51" s="7" t="str">
        <f>IFERROR(__xludf.DUMMYFUNCTION("""COMPUTED_VALUE"""),"Listicle")</f>
        <v>Listicle</v>
      </c>
      <c r="G51" s="7" t="b">
        <f>IFERROR(__xludf.DUMMYFUNCTION("""COMPUTED_VALUE"""),FALSE)</f>
        <v>0</v>
      </c>
      <c r="H51" s="7" t="str">
        <f>IFERROR(__xludf.DUMMYFUNCTION("""COMPUTED_VALUE"""),"Emote Digital, Luminary, Impressive")</f>
        <v>Emote Digital, Luminary, Impressive</v>
      </c>
      <c r="I51" s="7">
        <f>IFERROR(__xludf.DUMMYFUNCTION("""COMPUTED_VALUE"""),16.0)</f>
        <v>16</v>
      </c>
      <c r="J51" s="7">
        <f>IFERROR(__xludf.DUMMYFUNCTION("""COMPUTED_VALUE"""),0.02)</f>
        <v>0.02</v>
      </c>
      <c r="K51" s="7">
        <f>IFERROR(__xludf.DUMMYFUNCTION("""COMPUTED_VALUE"""),0.0)</f>
        <v>0</v>
      </c>
    </row>
    <row r="52" ht="15.75" customHeight="1">
      <c r="A52" s="6" t="str">
        <f>IFERROR(__xludf.DUMMYFUNCTION("""COMPUTED_VALUE"""),"https://mediaplusdigital.co/au/top-digital-media-agencies-in-australia/")</f>
        <v>https://mediaplusdigital.co/au/top-digital-media-agencies-in-australia/</v>
      </c>
      <c r="B52" s="7" t="str">
        <f>IFERROR(__xludf.DUMMYFUNCTION("""COMPUTED_VALUE"""),"Top 10 Digital Media Agencies in Australia (2026): Compared by Specialisation - MPD Australia")</f>
        <v>Top 10 Digital Media Agencies in Australia (2026): Compared by Specialisation - MPD Australia</v>
      </c>
      <c r="C52" s="6" t="str">
        <f>IFERROR(__xludf.DUMMYFUNCTION("""COMPUTED_VALUE"""),"mediaplusdigital.co")</f>
        <v>mediaplusdigital.co</v>
      </c>
      <c r="D52" s="7" t="str">
        <f>IFERROR(__xludf.DUMMYFUNCTION("""COMPUTED_VALUE"""),"LISTICLE")</f>
        <v>LISTICLE</v>
      </c>
      <c r="E52" s="7" t="str">
        <f>IFERROR(__xludf.DUMMYFUNCTION("""COMPUTED_VALUE"""),"CORPORATE")</f>
        <v>CORPORATE</v>
      </c>
      <c r="F52" s="7" t="str">
        <f>IFERROR(__xludf.DUMMYFUNCTION("""COMPUTED_VALUE"""),"Listicle")</f>
        <v>Listicle</v>
      </c>
      <c r="G52" s="7" t="b">
        <f>IFERROR(__xludf.DUMMYFUNCTION("""COMPUTED_VALUE"""),FALSE)</f>
        <v>0</v>
      </c>
      <c r="H52" s="7" t="str">
        <f>IFERROR(__xludf.DUMMYFUNCTION("""COMPUTED_VALUE"""),"OMD, EssenceMediacom, WPP, Wavemaker, Sparro, Brainlabs, Impressive, King Kong, Rocket Agency, Megaphone, Clearwater Agency, Luminary, Measured, Momentum")</f>
        <v>OMD, EssenceMediacom, WPP, Wavemaker, Sparro, Brainlabs, Impressive, King Kong, Rocket Agency, Megaphone, Clearwater Agency, Luminary, Measured, Momentum</v>
      </c>
      <c r="I52" s="7">
        <f>IFERROR(__xludf.DUMMYFUNCTION("""COMPUTED_VALUE"""),15.0)</f>
        <v>15</v>
      </c>
      <c r="J52" s="7">
        <f>IFERROR(__xludf.DUMMYFUNCTION("""COMPUTED_VALUE"""),0.02)</f>
        <v>0.02</v>
      </c>
      <c r="K52" s="7">
        <f>IFERROR(__xludf.DUMMYFUNCTION("""COMPUTED_VALUE"""),0.47)</f>
        <v>0.47</v>
      </c>
    </row>
    <row r="53" ht="15.75" customHeight="1">
      <c r="A53" s="6" t="str">
        <f>IFERROR(__xludf.DUMMYFUNCTION("""COMPUTED_VALUE"""),"https://omnieclipse.ai/au/blog/best-aeo-agencies-australia-2026")</f>
        <v>https://omnieclipse.ai/au/blog/best-aeo-agencies-australia-2026</v>
      </c>
      <c r="B53" s="7" t="str">
        <f>IFERROR(__xludf.DUMMYFUNCTION("""COMPUTED_VALUE"""),"Best AEO Agencies in Australia for 2026 | Omni Eclipse")</f>
        <v>Best AEO Agencies in Australia for 2026 | Omni Eclipse</v>
      </c>
      <c r="C53" s="6" t="str">
        <f>IFERROR(__xludf.DUMMYFUNCTION("""COMPUTED_VALUE"""),"omnieclipse.ai")</f>
        <v>omnieclipse.ai</v>
      </c>
      <c r="D53" s="7" t="str">
        <f>IFERROR(__xludf.DUMMYFUNCTION("""COMPUTED_VALUE"""),"LISTICLE")</f>
        <v>LISTICLE</v>
      </c>
      <c r="E53" s="7" t="str">
        <f>IFERROR(__xludf.DUMMYFUNCTION("""COMPUTED_VALUE"""),"CORPORATE")</f>
        <v>CORPORATE</v>
      </c>
      <c r="F53" s="7" t="str">
        <f>IFERROR(__xludf.DUMMYFUNCTION("""COMPUTED_VALUE"""),"Listicle")</f>
        <v>Listicle</v>
      </c>
      <c r="G53" s="7" t="b">
        <f>IFERROR(__xludf.DUMMYFUNCTION("""COMPUTED_VALUE"""),FALSE)</f>
        <v>0</v>
      </c>
      <c r="H53" s="7" t="str">
        <f>IFERROR(__xludf.DUMMYFUNCTION("""COMPUTED_VALUE"""),"Omni Eclipse, Talons Marketing, Luminary, Intesols, Brainlabs, Bushnote")</f>
        <v>Omni Eclipse, Talons Marketing, Luminary, Intesols, Brainlabs, Bushnote</v>
      </c>
      <c r="I53" s="7">
        <f>IFERROR(__xludf.DUMMYFUNCTION("""COMPUTED_VALUE"""),15.0)</f>
        <v>15</v>
      </c>
      <c r="J53" s="7">
        <f>IFERROR(__xludf.DUMMYFUNCTION("""COMPUTED_VALUE"""),0.02)</f>
        <v>0.02</v>
      </c>
      <c r="K53" s="7">
        <f>IFERROR(__xludf.DUMMYFUNCTION("""COMPUTED_VALUE"""),2.4)</f>
        <v>2.4</v>
      </c>
    </row>
    <row r="54" ht="15.75" customHeight="1">
      <c r="A54" s="6" t="str">
        <f>IFERROR(__xludf.DUMMYFUNCTION("""COMPUTED_VALUE"""),"https://www.bushnote.com/articles/best-10-aeo-agencies-in-australia-to-promote-b2c-companies-in-2026")</f>
        <v>https://www.bushnote.com/articles/best-10-aeo-agencies-in-australia-to-promote-b2c-companies-in-2026</v>
      </c>
      <c r="B54" s="7" t="str">
        <f>IFERROR(__xludf.DUMMYFUNCTION("""COMPUTED_VALUE"""),"Best 10 AEO Agencies in Australia for B2C Brands (2026)")</f>
        <v>Best 10 AEO Agencies in Australia for B2C Brands (2026)</v>
      </c>
      <c r="C54" s="6" t="str">
        <f>IFERROR(__xludf.DUMMYFUNCTION("""COMPUTED_VALUE"""),"bushnote.com")</f>
        <v>bushnote.com</v>
      </c>
      <c r="D54" s="7" t="str">
        <f>IFERROR(__xludf.DUMMYFUNCTION("""COMPUTED_VALUE"""),"LISTICLE")</f>
        <v>LISTICLE</v>
      </c>
      <c r="E54" s="7" t="str">
        <f>IFERROR(__xludf.DUMMYFUNCTION("""COMPUTED_VALUE"""),"COMPETITOR")</f>
        <v>COMPETITOR</v>
      </c>
      <c r="F54" s="7" t="str">
        <f>IFERROR(__xludf.DUMMYFUNCTION("""COMPUTED_VALUE"""),"Listicle")</f>
        <v>Listicle</v>
      </c>
      <c r="G54" s="7" t="b">
        <f>IFERROR(__xludf.DUMMYFUNCTION("""COMPUTED_VALUE"""),FALSE)</f>
        <v>0</v>
      </c>
      <c r="H54" s="7" t="str">
        <f>IFERROR(__xludf.DUMMYFUNCTION("""COMPUTED_VALUE"""),"Bushnote, Online Marketing Gurus, Omnicom Media Group, Prosperity Media, Rocket Agency, StudioHawk, Marketix Digital")</f>
        <v>Bushnote, Online Marketing Gurus, Omnicom Media Group, Prosperity Media, Rocket Agency, StudioHawk, Marketix Digital</v>
      </c>
      <c r="I54" s="7">
        <f>IFERROR(__xludf.DUMMYFUNCTION("""COMPUTED_VALUE"""),14.0)</f>
        <v>14</v>
      </c>
      <c r="J54" s="7">
        <f>IFERROR(__xludf.DUMMYFUNCTION("""COMPUTED_VALUE"""),0.01)</f>
        <v>0.01</v>
      </c>
      <c r="K54" s="7">
        <f>IFERROR(__xludf.DUMMYFUNCTION("""COMPUTED_VALUE"""),0.0)</f>
        <v>0</v>
      </c>
    </row>
    <row r="55" ht="15.75" customHeight="1">
      <c r="A55" s="6" t="str">
        <f>IFERROR(__xludf.DUMMYFUNCTION("""COMPUTED_VALUE"""),"https://www.digitalreference.co/design-professionals/best-creative-agencies-in-australia")</f>
        <v>https://www.digitalreference.co/design-professionals/best-creative-agencies-in-australia</v>
      </c>
      <c r="B55" s="7" t="str">
        <f>IFERROR(__xludf.DUMMYFUNCTION("""COMPUTED_VALUE"""),"Best Creative Agencies &amp;amp; Creative Firms in Australia")</f>
        <v>Best Creative Agencies &amp;amp; Creative Firms in Australia</v>
      </c>
      <c r="C55" s="6" t="str">
        <f>IFERROR(__xludf.DUMMYFUNCTION("""COMPUTED_VALUE"""),"digitalreference.co")</f>
        <v>digitalreference.co</v>
      </c>
      <c r="D55" s="7" t="str">
        <f>IFERROR(__xludf.DUMMYFUNCTION("""COMPUTED_VALUE"""),"LISTICLE")</f>
        <v>LISTICLE</v>
      </c>
      <c r="E55" s="7" t="str">
        <f>IFERROR(__xludf.DUMMYFUNCTION("""COMPUTED_VALUE"""),"UGC")</f>
        <v>UGC</v>
      </c>
      <c r="F55" s="7" t="str">
        <f>IFERROR(__xludf.DUMMYFUNCTION("""COMPUTED_VALUE"""),"Listicle")</f>
        <v>Listicle</v>
      </c>
      <c r="G55" s="7" t="b">
        <f>IFERROR(__xludf.DUMMYFUNCTION("""COMPUTED_VALUE"""),FALSE)</f>
        <v>0</v>
      </c>
      <c r="H55" s="7"/>
      <c r="I55" s="7">
        <f>IFERROR(__xludf.DUMMYFUNCTION("""COMPUTED_VALUE"""),14.0)</f>
        <v>14</v>
      </c>
      <c r="J55" s="7">
        <f>IFERROR(__xludf.DUMMYFUNCTION("""COMPUTED_VALUE"""),0.01)</f>
        <v>0.01</v>
      </c>
      <c r="K55" s="7">
        <f>IFERROR(__xludf.DUMMYFUNCTION("""COMPUTED_VALUE"""),0.14)</f>
        <v>0.14</v>
      </c>
    </row>
    <row r="56" ht="15.75" customHeight="1">
      <c r="A56" s="6" t="str">
        <f>IFERROR(__xludf.DUMMYFUNCTION("""COMPUTED_VALUE"""),"https://hikemytraffic.com/ai-digital-marketing-services-in-australia/")</f>
        <v>https://hikemytraffic.com/ai-digital-marketing-services-in-australia/</v>
      </c>
      <c r="B56" s="7" t="str">
        <f>IFERROR(__xludf.DUMMYFUNCTION("""COMPUTED_VALUE"""),"12 Best AI-Powered Digital Marketing Services in Australia (2026)")</f>
        <v>12 Best AI-Powered Digital Marketing Services in Australia (2026)</v>
      </c>
      <c r="C56" s="6" t="str">
        <f>IFERROR(__xludf.DUMMYFUNCTION("""COMPUTED_VALUE"""),"hikemytraffic.com")</f>
        <v>hikemytraffic.com</v>
      </c>
      <c r="D56" s="7" t="str">
        <f>IFERROR(__xludf.DUMMYFUNCTION("""COMPUTED_VALUE"""),"LISTICLE")</f>
        <v>LISTICLE</v>
      </c>
      <c r="E56" s="7" t="str">
        <f>IFERROR(__xludf.DUMMYFUNCTION("""COMPUTED_VALUE"""),"CORPORATE")</f>
        <v>CORPORATE</v>
      </c>
      <c r="F56" s="7" t="str">
        <f>IFERROR(__xludf.DUMMYFUNCTION("""COMPUTED_VALUE"""),"Listicle")</f>
        <v>Listicle</v>
      </c>
      <c r="G56" s="7" t="b">
        <f>IFERROR(__xludf.DUMMYFUNCTION("""COMPUTED_VALUE"""),FALSE)</f>
        <v>0</v>
      </c>
      <c r="H56" s="7" t="str">
        <f>IFERROR(__xludf.DUMMYFUNCTION("""COMPUTED_VALUE"""),"OMD, Rocket Agency, Digital Movement, First Page, Emote Digital")</f>
        <v>OMD, Rocket Agency, Digital Movement, First Page, Emote Digital</v>
      </c>
      <c r="I56" s="7">
        <f>IFERROR(__xludf.DUMMYFUNCTION("""COMPUTED_VALUE"""),14.0)</f>
        <v>14</v>
      </c>
      <c r="J56" s="7">
        <f>IFERROR(__xludf.DUMMYFUNCTION("""COMPUTED_VALUE"""),0.01)</f>
        <v>0.01</v>
      </c>
      <c r="K56" s="7">
        <f>IFERROR(__xludf.DUMMYFUNCTION("""COMPUTED_VALUE"""),0.14)</f>
        <v>0.14</v>
      </c>
    </row>
    <row r="57" ht="15.75" customHeight="1">
      <c r="A57" s="6" t="str">
        <f>IFERROR(__xludf.DUMMYFUNCTION("""COMPUTED_VALUE"""),"https://www.redpandas.com.au/blog/best-paid-media-agencies-in-australia-an-unbiased-review/")</f>
        <v>https://www.redpandas.com.au/blog/best-paid-media-agencies-in-australia-an-unbiased-review/</v>
      </c>
      <c r="B57" s="7" t="str">
        <f>IFERROR(__xludf.DUMMYFUNCTION("""COMPUTED_VALUE"""),"Best Paid Media Agencies in Australia: An Unbiased Review&amp;nbsp; | RedPandas Digital")</f>
        <v>Best Paid Media Agencies in Australia: An Unbiased Review&amp;nbsp; | RedPandas Digital</v>
      </c>
      <c r="C57" s="6" t="str">
        <f>IFERROR(__xludf.DUMMYFUNCTION("""COMPUTED_VALUE"""),"redpandas.com.au")</f>
        <v>redpandas.com.au</v>
      </c>
      <c r="D57" s="7" t="str">
        <f>IFERROR(__xludf.DUMMYFUNCTION("""COMPUTED_VALUE"""),"LISTICLE")</f>
        <v>LISTICLE</v>
      </c>
      <c r="E57" s="7" t="str">
        <f>IFERROR(__xludf.DUMMYFUNCTION("""COMPUTED_VALUE"""),"OTHER")</f>
        <v>OTHER</v>
      </c>
      <c r="F57" s="7" t="str">
        <f>IFERROR(__xludf.DUMMYFUNCTION("""COMPUTED_VALUE"""),"Listicle")</f>
        <v>Listicle</v>
      </c>
      <c r="G57" s="7" t="b">
        <f>IFERROR(__xludf.DUMMYFUNCTION("""COMPUTED_VALUE"""),FALSE)</f>
        <v>0</v>
      </c>
      <c r="H57" s="7" t="str">
        <f>IFERROR(__xludf.DUMMYFUNCTION("""COMPUTED_VALUE"""),"Megaphone")</f>
        <v>Megaphone</v>
      </c>
      <c r="I57" s="7">
        <f>IFERROR(__xludf.DUMMYFUNCTION("""COMPUTED_VALUE"""),14.0)</f>
        <v>14</v>
      </c>
      <c r="J57" s="7">
        <f>IFERROR(__xludf.DUMMYFUNCTION("""COMPUTED_VALUE"""),0.01)</f>
        <v>0.01</v>
      </c>
      <c r="K57" s="7">
        <f>IFERROR(__xludf.DUMMYFUNCTION("""COMPUTED_VALUE"""),0.14)</f>
        <v>0.14</v>
      </c>
    </row>
    <row r="58" ht="15.75" customHeight="1">
      <c r="A58" s="6" t="str">
        <f>IFERROR(__xludf.DUMMYFUNCTION("""COMPUTED_VALUE"""),"https://skyscale.com.au/blogs/best-aeo-agencies-melbourne-2025")</f>
        <v>https://skyscale.com.au/blogs/best-aeo-agencies-melbourne-2025</v>
      </c>
      <c r="B58" s="7" t="str">
        <f>IFERROR(__xludf.DUMMYFUNCTION("""COMPUTED_VALUE"""),"Best AEO Agencies in Melbourne: How to Choose the Right Partner")</f>
        <v>Best AEO Agencies in Melbourne: How to Choose the Right Partner</v>
      </c>
      <c r="C58" s="6" t="str">
        <f>IFERROR(__xludf.DUMMYFUNCTION("""COMPUTED_VALUE"""),"skyscale.com.au")</f>
        <v>skyscale.com.au</v>
      </c>
      <c r="D58" s="7" t="str">
        <f>IFERROR(__xludf.DUMMYFUNCTION("""COMPUTED_VALUE"""),"LISTICLE")</f>
        <v>LISTICLE</v>
      </c>
      <c r="E58" s="7" t="str">
        <f>IFERROR(__xludf.DUMMYFUNCTION("""COMPUTED_VALUE"""),"CORPORATE")</f>
        <v>CORPORATE</v>
      </c>
      <c r="F58" s="7" t="str">
        <f>IFERROR(__xludf.DUMMYFUNCTION("""COMPUTED_VALUE"""),"Listicle")</f>
        <v>Listicle</v>
      </c>
      <c r="G58" s="7" t="b">
        <f>IFERROR(__xludf.DUMMYFUNCTION("""COMPUTED_VALUE"""),FALSE)</f>
        <v>0</v>
      </c>
      <c r="H58" s="7" t="str">
        <f>IFERROR(__xludf.DUMMYFUNCTION("""COMPUTED_VALUE"""),"Digital Nomads HQ")</f>
        <v>Digital Nomads HQ</v>
      </c>
      <c r="I58" s="7">
        <f>IFERROR(__xludf.DUMMYFUNCTION("""COMPUTED_VALUE"""),14.0)</f>
        <v>14</v>
      </c>
      <c r="J58" s="7">
        <f>IFERROR(__xludf.DUMMYFUNCTION("""COMPUTED_VALUE"""),0.01)</f>
        <v>0.01</v>
      </c>
      <c r="K58" s="7">
        <f>IFERROR(__xludf.DUMMYFUNCTION("""COMPUTED_VALUE"""),0.5)</f>
        <v>0.5</v>
      </c>
    </row>
    <row r="59" ht="15.75" customHeight="1">
      <c r="A59" s="6" t="str">
        <f>IFERROR(__xludf.DUMMYFUNCTION("""COMPUTED_VALUE"""),"https://www.adbeacon.com/19-best-marketing-attribution-software-solutions-in-2026/")</f>
        <v>https://www.adbeacon.com/19-best-marketing-attribution-software-solutions-in-2026/</v>
      </c>
      <c r="B59" s="7" t="str">
        <f>IFERROR(__xludf.DUMMYFUNCTION("""COMPUTED_VALUE"""),"19 Best Marketing Attribution Software Solutions in 2026 | AdBeacon")</f>
        <v>19 Best Marketing Attribution Software Solutions in 2026 | AdBeacon</v>
      </c>
      <c r="C59" s="6" t="str">
        <f>IFERROR(__xludf.DUMMYFUNCTION("""COMPUTED_VALUE"""),"adbeacon.com")</f>
        <v>adbeacon.com</v>
      </c>
      <c r="D59" s="7" t="str">
        <f>IFERROR(__xludf.DUMMYFUNCTION("""COMPUTED_VALUE"""),"LISTICLE")</f>
        <v>LISTICLE</v>
      </c>
      <c r="E59" s="7" t="str">
        <f>IFERROR(__xludf.DUMMYFUNCTION("""COMPUTED_VALUE"""),"CORPORATE")</f>
        <v>CORPORATE</v>
      </c>
      <c r="F59" s="7" t="str">
        <f>IFERROR(__xludf.DUMMYFUNCTION("""COMPUTED_VALUE"""),"Listicle")</f>
        <v>Listicle</v>
      </c>
      <c r="G59" s="7" t="b">
        <f>IFERROR(__xludf.DUMMYFUNCTION("""COMPUTED_VALUE"""),FALSE)</f>
        <v>0</v>
      </c>
      <c r="H59" s="7"/>
      <c r="I59" s="7">
        <f>IFERROR(__xludf.DUMMYFUNCTION("""COMPUTED_VALUE"""),13.0)</f>
        <v>13</v>
      </c>
      <c r="J59" s="7">
        <f>IFERROR(__xludf.DUMMYFUNCTION("""COMPUTED_VALUE"""),0.01)</f>
        <v>0.01</v>
      </c>
      <c r="K59" s="7">
        <f>IFERROR(__xludf.DUMMYFUNCTION("""COMPUTED_VALUE"""),0.54)</f>
        <v>0.54</v>
      </c>
    </row>
    <row r="60" ht="15.75" customHeight="1">
      <c r="A60" s="6" t="str">
        <f>IFERROR(__xludf.DUMMYFUNCTION("""COMPUTED_VALUE"""),"https://www.adbeacon.com/7-best-marketing-attribution-tools-compared-2026/")</f>
        <v>https://www.adbeacon.com/7-best-marketing-attribution-tools-compared-2026/</v>
      </c>
      <c r="B60" s="7" t="str">
        <f>IFERROR(__xludf.DUMMYFUNCTION("""COMPUTED_VALUE"""),"7 Best Marketing Attribution Tools Compared (2026) | AdBeacon")</f>
        <v>7 Best Marketing Attribution Tools Compared (2026) | AdBeacon</v>
      </c>
      <c r="C60" s="6" t="str">
        <f>IFERROR(__xludf.DUMMYFUNCTION("""COMPUTED_VALUE"""),"adbeacon.com")</f>
        <v>adbeacon.com</v>
      </c>
      <c r="D60" s="7" t="str">
        <f>IFERROR(__xludf.DUMMYFUNCTION("""COMPUTED_VALUE"""),"LISTICLE")</f>
        <v>LISTICLE</v>
      </c>
      <c r="E60" s="7" t="str">
        <f>IFERROR(__xludf.DUMMYFUNCTION("""COMPUTED_VALUE"""),"CORPORATE")</f>
        <v>CORPORATE</v>
      </c>
      <c r="F60" s="7" t="str">
        <f>IFERROR(__xludf.DUMMYFUNCTION("""COMPUTED_VALUE"""),"Listicle")</f>
        <v>Listicle</v>
      </c>
      <c r="G60" s="7" t="b">
        <f>IFERROR(__xludf.DUMMYFUNCTION("""COMPUTED_VALUE"""),FALSE)</f>
        <v>0</v>
      </c>
      <c r="H60" s="7"/>
      <c r="I60" s="7">
        <f>IFERROR(__xludf.DUMMYFUNCTION("""COMPUTED_VALUE"""),13.0)</f>
        <v>13</v>
      </c>
      <c r="J60" s="7">
        <f>IFERROR(__xludf.DUMMYFUNCTION("""COMPUTED_VALUE"""),0.01)</f>
        <v>0.01</v>
      </c>
      <c r="K60" s="7">
        <f>IFERROR(__xludf.DUMMYFUNCTION("""COMPUTED_VALUE"""),0.15)</f>
        <v>0.15</v>
      </c>
    </row>
    <row r="61" ht="15.75" customHeight="1">
      <c r="A61" s="6" t="str">
        <f>IFERROR(__xludf.DUMMYFUNCTION("""COMPUTED_VALUE"""),"https://www.bushnote.com/articles/top-ai-marketing-agencies-australia-2025-f19a3")</f>
        <v>https://www.bushnote.com/articles/top-ai-marketing-agencies-australia-2025-f19a3</v>
      </c>
      <c r="B61" s="7" t="str">
        <f>IFERROR(__xludf.DUMMYFUNCTION("""COMPUTED_VALUE"""),"Top AI Marketing Agencies Australia 2025")</f>
        <v>Top AI Marketing Agencies Australia 2025</v>
      </c>
      <c r="C61" s="6" t="str">
        <f>IFERROR(__xludf.DUMMYFUNCTION("""COMPUTED_VALUE"""),"bushnote.com")</f>
        <v>bushnote.com</v>
      </c>
      <c r="D61" s="7" t="str">
        <f>IFERROR(__xludf.DUMMYFUNCTION("""COMPUTED_VALUE"""),"LISTICLE")</f>
        <v>LISTICLE</v>
      </c>
      <c r="E61" s="7" t="str">
        <f>IFERROR(__xludf.DUMMYFUNCTION("""COMPUTED_VALUE"""),"COMPETITOR")</f>
        <v>COMPETITOR</v>
      </c>
      <c r="F61" s="7" t="str">
        <f>IFERROR(__xludf.DUMMYFUNCTION("""COMPUTED_VALUE"""),"Listicle")</f>
        <v>Listicle</v>
      </c>
      <c r="G61" s="7" t="b">
        <f>IFERROR(__xludf.DUMMYFUNCTION("""COMPUTED_VALUE"""),FALSE)</f>
        <v>0</v>
      </c>
      <c r="H61" s="7" t="str">
        <f>IFERROR(__xludf.DUMMYFUNCTION("""COMPUTED_VALUE"""),"Bushnote, Deloitte Digital, Deloitte, Accenture Song")</f>
        <v>Bushnote, Deloitte Digital, Deloitte, Accenture Song</v>
      </c>
      <c r="I61" s="7">
        <f>IFERROR(__xludf.DUMMYFUNCTION("""COMPUTED_VALUE"""),13.0)</f>
        <v>13</v>
      </c>
      <c r="J61" s="7">
        <f>IFERROR(__xludf.DUMMYFUNCTION("""COMPUTED_VALUE"""),0.01)</f>
        <v>0.01</v>
      </c>
      <c r="K61" s="7">
        <f>IFERROR(__xludf.DUMMYFUNCTION("""COMPUTED_VALUE"""),0.69)</f>
        <v>0.69</v>
      </c>
    </row>
    <row r="62" ht="15.75" customHeight="1">
      <c r="A62" s="6" t="str">
        <f>IFERROR(__xludf.DUMMYFUNCTION("""COMPUTED_VALUE"""),"https://www.cometly.com/post/marketing-attribution-consultant-services")</f>
        <v>https://www.cometly.com/post/marketing-attribution-consultant-services</v>
      </c>
      <c r="B62" s="7" t="str">
        <f>IFERROR(__xludf.DUMMYFUNCTION("""COMPUTED_VALUE"""),"Best Marketing Attribution Consultant Services 2026")</f>
        <v>Best Marketing Attribution Consultant Services 2026</v>
      </c>
      <c r="C62" s="6" t="str">
        <f>IFERROR(__xludf.DUMMYFUNCTION("""COMPUTED_VALUE"""),"cometly.com")</f>
        <v>cometly.com</v>
      </c>
      <c r="D62" s="7" t="str">
        <f>IFERROR(__xludf.DUMMYFUNCTION("""COMPUTED_VALUE"""),"LISTICLE")</f>
        <v>LISTICLE</v>
      </c>
      <c r="E62" s="7" t="str">
        <f>IFERROR(__xludf.DUMMYFUNCTION("""COMPUTED_VALUE"""),"CORPORATE")</f>
        <v>CORPORATE</v>
      </c>
      <c r="F62" s="7" t="str">
        <f>IFERROR(__xludf.DUMMYFUNCTION("""COMPUTED_VALUE"""),"Listicle")</f>
        <v>Listicle</v>
      </c>
      <c r="G62" s="7" t="b">
        <f>IFERROR(__xludf.DUMMYFUNCTION("""COMPUTED_VALUE"""),FALSE)</f>
        <v>0</v>
      </c>
      <c r="H62" s="7" t="str">
        <f>IFERROR(__xludf.DUMMYFUNCTION("""COMPUTED_VALUE"""),"Measured")</f>
        <v>Measured</v>
      </c>
      <c r="I62" s="7">
        <f>IFERROR(__xludf.DUMMYFUNCTION("""COMPUTED_VALUE"""),13.0)</f>
        <v>13</v>
      </c>
      <c r="J62" s="7">
        <f>IFERROR(__xludf.DUMMYFUNCTION("""COMPUTED_VALUE"""),0.01)</f>
        <v>0.01</v>
      </c>
      <c r="K62" s="7">
        <f>IFERROR(__xludf.DUMMYFUNCTION("""COMPUTED_VALUE"""),0.46)</f>
        <v>0.46</v>
      </c>
    </row>
    <row r="63" ht="15.75" customHeight="1">
      <c r="A63" s="6" t="str">
        <f>IFERROR(__xludf.DUMMYFUNCTION("""COMPUTED_VALUE"""),"https://www.cometly.com/post/marketing-attribution-platform-for-agencies")</f>
        <v>https://www.cometly.com/post/marketing-attribution-platform-for-agencies</v>
      </c>
      <c r="B63" s="7" t="str">
        <f>IFERROR(__xludf.DUMMYFUNCTION("""COMPUTED_VALUE"""),"Best Marketing Attribution Platform For Agencies 2026")</f>
        <v>Best Marketing Attribution Platform For Agencies 2026</v>
      </c>
      <c r="C63" s="6" t="str">
        <f>IFERROR(__xludf.DUMMYFUNCTION("""COMPUTED_VALUE"""),"cometly.com")</f>
        <v>cometly.com</v>
      </c>
      <c r="D63" s="7" t="str">
        <f>IFERROR(__xludf.DUMMYFUNCTION("""COMPUTED_VALUE"""),"LISTICLE")</f>
        <v>LISTICLE</v>
      </c>
      <c r="E63" s="7" t="str">
        <f>IFERROR(__xludf.DUMMYFUNCTION("""COMPUTED_VALUE"""),"CORPORATE")</f>
        <v>CORPORATE</v>
      </c>
      <c r="F63" s="7" t="str">
        <f>IFERROR(__xludf.DUMMYFUNCTION("""COMPUTED_VALUE"""),"Listicle")</f>
        <v>Listicle</v>
      </c>
      <c r="G63" s="7" t="b">
        <f>IFERROR(__xludf.DUMMYFUNCTION("""COMPUTED_VALUE"""),FALSE)</f>
        <v>0</v>
      </c>
      <c r="H63" s="7" t="str">
        <f>IFERROR(__xludf.DUMMYFUNCTION("""COMPUTED_VALUE"""),"Impressive")</f>
        <v>Impressive</v>
      </c>
      <c r="I63" s="7">
        <f>IFERROR(__xludf.DUMMYFUNCTION("""COMPUTED_VALUE"""),13.0)</f>
        <v>13</v>
      </c>
      <c r="J63" s="7">
        <f>IFERROR(__xludf.DUMMYFUNCTION("""COMPUTED_VALUE"""),0.01)</f>
        <v>0.01</v>
      </c>
      <c r="K63" s="7">
        <f>IFERROR(__xludf.DUMMYFUNCTION("""COMPUTED_VALUE"""),1.46)</f>
        <v>1.46</v>
      </c>
    </row>
    <row r="64" ht="15.75" customHeight="1">
      <c r="A64" s="6" t="str">
        <f>IFERROR(__xludf.DUMMYFUNCTION("""COMPUTED_VALUE"""),"https://digitaldigest.au/best-digital-marketing-agencies/")</f>
        <v>https://digitaldigest.au/best-digital-marketing-agencies/</v>
      </c>
      <c r="B64" s="7"/>
      <c r="C64" s="6" t="str">
        <f>IFERROR(__xludf.DUMMYFUNCTION("""COMPUTED_VALUE"""),"digitaldigest.au")</f>
        <v>digitaldigest.au</v>
      </c>
      <c r="D64" s="7" t="str">
        <f>IFERROR(__xludf.DUMMYFUNCTION("""COMPUTED_VALUE"""),"LISTICLE")</f>
        <v>LISTICLE</v>
      </c>
      <c r="E64" s="7" t="str">
        <f>IFERROR(__xludf.DUMMYFUNCTION("""COMPUTED_VALUE"""),"EDITORIAL")</f>
        <v>EDITORIAL</v>
      </c>
      <c r="F64" s="7" t="str">
        <f>IFERROR(__xludf.DUMMYFUNCTION("""COMPUTED_VALUE"""),"Listicle")</f>
        <v>Listicle</v>
      </c>
      <c r="G64" s="7" t="b">
        <f>IFERROR(__xludf.DUMMYFUNCTION("""COMPUTED_VALUE"""),FALSE)</f>
        <v>0</v>
      </c>
      <c r="H64" s="7" t="str">
        <f>IFERROR(__xludf.DUMMYFUNCTION("""COMPUTED_VALUE"""),"AdVisible, Digital Nomads HQ, Impressive, Sparro, Brainlabs, Online Marketing Gurus, Megaphone, King Kong, StudioHawk, Rocket Agency, Clearwater Agency, Emote Digital, Human Digital")</f>
        <v>AdVisible, Digital Nomads HQ, Impressive, Sparro, Brainlabs, Online Marketing Gurus, Megaphone, King Kong, StudioHawk, Rocket Agency, Clearwater Agency, Emote Digital, Human Digital</v>
      </c>
      <c r="I64" s="7">
        <f>IFERROR(__xludf.DUMMYFUNCTION("""COMPUTED_VALUE"""),13.0)</f>
        <v>13</v>
      </c>
      <c r="J64" s="7">
        <f>IFERROR(__xludf.DUMMYFUNCTION("""COMPUTED_VALUE"""),0.01)</f>
        <v>0.01</v>
      </c>
      <c r="K64" s="7">
        <f>IFERROR(__xludf.DUMMYFUNCTION("""COMPUTED_VALUE"""),0.08)</f>
        <v>0.08</v>
      </c>
    </row>
    <row r="65" ht="15.75" customHeight="1">
      <c r="A65" s="6" t="str">
        <f>IFERROR(__xludf.DUMMYFUNCTION("""COMPUTED_VALUE"""),"https://godigitalalpha.com/best-performance-marketing-services-in-australia-2025/")</f>
        <v>https://godigitalalpha.com/best-performance-marketing-services-in-australia-2025/</v>
      </c>
      <c r="B65" s="7" t="str">
        <f>IFERROR(__xludf.DUMMYFUNCTION("""COMPUTED_VALUE"""),"Best Performance Marketing Services in Australia | Go Digital Alpha")</f>
        <v>Best Performance Marketing Services in Australia | Go Digital Alpha</v>
      </c>
      <c r="C65" s="6" t="str">
        <f>IFERROR(__xludf.DUMMYFUNCTION("""COMPUTED_VALUE"""),"godigitalalpha.com")</f>
        <v>godigitalalpha.com</v>
      </c>
      <c r="D65" s="7" t="str">
        <f>IFERROR(__xludf.DUMMYFUNCTION("""COMPUTED_VALUE"""),"LISTICLE")</f>
        <v>LISTICLE</v>
      </c>
      <c r="E65" s="7" t="str">
        <f>IFERROR(__xludf.DUMMYFUNCTION("""COMPUTED_VALUE"""),"CORPORATE")</f>
        <v>CORPORATE</v>
      </c>
      <c r="F65" s="7" t="str">
        <f>IFERROR(__xludf.DUMMYFUNCTION("""COMPUTED_VALUE"""),"Listicle")</f>
        <v>Listicle</v>
      </c>
      <c r="G65" s="7" t="b">
        <f>IFERROR(__xludf.DUMMYFUNCTION("""COMPUTED_VALUE"""),FALSE)</f>
        <v>0</v>
      </c>
      <c r="H65" s="7" t="str">
        <f>IFERROR(__xludf.DUMMYFUNCTION("""COMPUTED_VALUE"""),"Reload Media, Megaphone, First Page, First Page Australia, Rocket Agency, Clearwater Agency, Sparro")</f>
        <v>Reload Media, Megaphone, First Page, First Page Australia, Rocket Agency, Clearwater Agency, Sparro</v>
      </c>
      <c r="I65" s="7">
        <f>IFERROR(__xludf.DUMMYFUNCTION("""COMPUTED_VALUE"""),13.0)</f>
        <v>13</v>
      </c>
      <c r="J65" s="7">
        <f>IFERROR(__xludf.DUMMYFUNCTION("""COMPUTED_VALUE"""),0.01)</f>
        <v>0.01</v>
      </c>
      <c r="K65" s="7">
        <f>IFERROR(__xludf.DUMMYFUNCTION("""COMPUTED_VALUE"""),1.62)</f>
        <v>1.62</v>
      </c>
    </row>
    <row r="66" ht="15.75" customHeight="1">
      <c r="A66" s="6" t="str">
        <f>IFERROR(__xludf.DUMMYFUNCTION("""COMPUTED_VALUE"""),"https://www.hockeystack.com/blog-posts/best-marketing-attribution-software")</f>
        <v>https://www.hockeystack.com/blog-posts/best-marketing-attribution-software</v>
      </c>
      <c r="B66" s="7" t="str">
        <f>IFERROR(__xludf.DUMMYFUNCTION("""COMPUTED_VALUE"""),"19 Best Marketing Attribution Software Solutions Reviewed for 2026")</f>
        <v>19 Best Marketing Attribution Software Solutions Reviewed for 2026</v>
      </c>
      <c r="C66" s="6" t="str">
        <f>IFERROR(__xludf.DUMMYFUNCTION("""COMPUTED_VALUE"""),"hockeystack.com")</f>
        <v>hockeystack.com</v>
      </c>
      <c r="D66" s="7" t="str">
        <f>IFERROR(__xludf.DUMMYFUNCTION("""COMPUTED_VALUE"""),"LISTICLE")</f>
        <v>LISTICLE</v>
      </c>
      <c r="E66" s="7" t="str">
        <f>IFERROR(__xludf.DUMMYFUNCTION("""COMPUTED_VALUE"""),"CORPORATE")</f>
        <v>CORPORATE</v>
      </c>
      <c r="F66" s="7" t="str">
        <f>IFERROR(__xludf.DUMMYFUNCTION("""COMPUTED_VALUE"""),"Listicle")</f>
        <v>Listicle</v>
      </c>
      <c r="G66" s="7" t="b">
        <f>IFERROR(__xludf.DUMMYFUNCTION("""COMPUTED_VALUE"""),FALSE)</f>
        <v>0</v>
      </c>
      <c r="H66" s="7"/>
      <c r="I66" s="7">
        <f>IFERROR(__xludf.DUMMYFUNCTION("""COMPUTED_VALUE"""),13.0)</f>
        <v>13</v>
      </c>
      <c r="J66" s="7">
        <f>IFERROR(__xludf.DUMMYFUNCTION("""COMPUTED_VALUE"""),0.01)</f>
        <v>0.01</v>
      </c>
      <c r="K66" s="7">
        <f>IFERROR(__xludf.DUMMYFUNCTION("""COMPUTED_VALUE"""),0.0)</f>
        <v>0</v>
      </c>
    </row>
    <row r="67" ht="15.75" customHeight="1">
      <c r="A67" s="6" t="str">
        <f>IFERROR(__xludf.DUMMYFUNCTION("""COMPUTED_VALUE"""),"https://oski.site/blog/ai-consulting-companies-australia/")</f>
        <v>https://oski.site/blog/ai-consulting-companies-australia/</v>
      </c>
      <c r="B67" s="7" t="str">
        <f>IFERROR(__xludf.DUMMYFUNCTION("""COMPUTED_VALUE"""),"Top AI Consulting Companies in Australia 2026")</f>
        <v>Top AI Consulting Companies in Australia 2026</v>
      </c>
      <c r="C67" s="7" t="str">
        <f>IFERROR(__xludf.DUMMYFUNCTION("""COMPUTED_VALUE"""),"oski.site")</f>
        <v>oski.site</v>
      </c>
      <c r="D67" s="7" t="str">
        <f>IFERROR(__xludf.DUMMYFUNCTION("""COMPUTED_VALUE"""),"LISTICLE")</f>
        <v>LISTICLE</v>
      </c>
      <c r="E67" s="7" t="str">
        <f>IFERROR(__xludf.DUMMYFUNCTION("""COMPUTED_VALUE"""),"OTHER")</f>
        <v>OTHER</v>
      </c>
      <c r="F67" s="7" t="str">
        <f>IFERROR(__xludf.DUMMYFUNCTION("""COMPUTED_VALUE"""),"Listicle")</f>
        <v>Listicle</v>
      </c>
      <c r="G67" s="7" t="b">
        <f>IFERROR(__xludf.DUMMYFUNCTION("""COMPUTED_VALUE"""),FALSE)</f>
        <v>0</v>
      </c>
      <c r="H67" s="7" t="str">
        <f>IFERROR(__xludf.DUMMYFUNCTION("""COMPUTED_VALUE"""),"PHD")</f>
        <v>PHD</v>
      </c>
      <c r="I67" s="7">
        <f>IFERROR(__xludf.DUMMYFUNCTION("""COMPUTED_VALUE"""),13.0)</f>
        <v>13</v>
      </c>
      <c r="J67" s="7">
        <f>IFERROR(__xludf.DUMMYFUNCTION("""COMPUTED_VALUE"""),0.01)</f>
        <v>0.01</v>
      </c>
      <c r="K67" s="7">
        <f>IFERROR(__xludf.DUMMYFUNCTION("""COMPUTED_VALUE"""),0.23)</f>
        <v>0.23</v>
      </c>
    </row>
    <row r="68" ht="15.75" customHeight="1">
      <c r="A68" s="6" t="str">
        <f>IFERROR(__xludf.DUMMYFUNCTION("""COMPUTED_VALUE"""),"https://www.salesmate.io/blog/marketing-attribution-software/")</f>
        <v>https://www.salesmate.io/blog/marketing-attribution-software/</v>
      </c>
      <c r="B68" s="7" t="str">
        <f>IFERROR(__xludf.DUMMYFUNCTION("""COMPUTED_VALUE"""),"11 Best Marketing Attribution Software (2026 Guide)")</f>
        <v>11 Best Marketing Attribution Software (2026 Guide)</v>
      </c>
      <c r="C68" s="6" t="str">
        <f>IFERROR(__xludf.DUMMYFUNCTION("""COMPUTED_VALUE"""),"salesmate.io")</f>
        <v>salesmate.io</v>
      </c>
      <c r="D68" s="7" t="str">
        <f>IFERROR(__xludf.DUMMYFUNCTION("""COMPUTED_VALUE"""),"LISTICLE")</f>
        <v>LISTICLE</v>
      </c>
      <c r="E68" s="7" t="str">
        <f>IFERROR(__xludf.DUMMYFUNCTION("""COMPUTED_VALUE"""),"CORPORATE")</f>
        <v>CORPORATE</v>
      </c>
      <c r="F68" s="7" t="str">
        <f>IFERROR(__xludf.DUMMYFUNCTION("""COMPUTED_VALUE"""),"Listicle")</f>
        <v>Listicle</v>
      </c>
      <c r="G68" s="7" t="b">
        <f>IFERROR(__xludf.DUMMYFUNCTION("""COMPUTED_VALUE"""),FALSE)</f>
        <v>0</v>
      </c>
      <c r="H68" s="7"/>
      <c r="I68" s="7">
        <f>IFERROR(__xludf.DUMMYFUNCTION("""COMPUTED_VALUE"""),13.0)</f>
        <v>13</v>
      </c>
      <c r="J68" s="7">
        <f>IFERROR(__xludf.DUMMYFUNCTION("""COMPUTED_VALUE"""),0.01)</f>
        <v>0.01</v>
      </c>
      <c r="K68" s="7">
        <f>IFERROR(__xludf.DUMMYFUNCTION("""COMPUTED_VALUE"""),0.38)</f>
        <v>0.38</v>
      </c>
    </row>
    <row r="69" ht="15.75" customHeight="1">
      <c r="A69" s="6" t="str">
        <f>IFERROR(__xludf.DUMMYFUNCTION("""COMPUTED_VALUE"""),"https://team400.ai/blog/2026-04-top-ai-consultants-australia")</f>
        <v>https://team400.ai/blog/2026-04-top-ai-consultants-australia</v>
      </c>
      <c r="B69" s="7" t="str">
        <f>IFERROR(__xludf.DUMMYFUNCTION("""COMPUTED_VALUE"""),"Top AI Consultants in Australia (2026) | Team 400 Blog")</f>
        <v>Top AI Consultants in Australia (2026) | Team 400 Blog</v>
      </c>
      <c r="C69" s="6" t="str">
        <f>IFERROR(__xludf.DUMMYFUNCTION("""COMPUTED_VALUE"""),"team400.ai")</f>
        <v>team400.ai</v>
      </c>
      <c r="D69" s="7" t="str">
        <f>IFERROR(__xludf.DUMMYFUNCTION("""COMPUTED_VALUE"""),"LISTICLE")</f>
        <v>LISTICLE</v>
      </c>
      <c r="E69" s="7" t="str">
        <f>IFERROR(__xludf.DUMMYFUNCTION("""COMPUTED_VALUE"""),"CORPORATE")</f>
        <v>CORPORATE</v>
      </c>
      <c r="F69" s="7" t="str">
        <f>IFERROR(__xludf.DUMMYFUNCTION("""COMPUTED_VALUE"""),"Listicle")</f>
        <v>Listicle</v>
      </c>
      <c r="G69" s="7" t="b">
        <f>IFERROR(__xludf.DUMMYFUNCTION("""COMPUTED_VALUE"""),FALSE)</f>
        <v>0</v>
      </c>
      <c r="H69" s="7" t="str">
        <f>IFERROR(__xludf.DUMMYFUNCTION("""COMPUTED_VALUE"""),"Team 400, KPMG, Deloitte")</f>
        <v>Team 400, KPMG, Deloitte</v>
      </c>
      <c r="I69" s="7">
        <f>IFERROR(__xludf.DUMMYFUNCTION("""COMPUTED_VALUE"""),13.0)</f>
        <v>13</v>
      </c>
      <c r="J69" s="7">
        <f>IFERROR(__xludf.DUMMYFUNCTION("""COMPUTED_VALUE"""),0.01)</f>
        <v>0.01</v>
      </c>
      <c r="K69" s="7">
        <f>IFERROR(__xludf.DUMMYFUNCTION("""COMPUTED_VALUE"""),0.85)</f>
        <v>0.85</v>
      </c>
    </row>
    <row r="70" ht="15.75" customHeight="1">
      <c r="A70" s="6" t="str">
        <f>IFERROR(__xludf.DUMMYFUNCTION("""COMPUTED_VALUE"""),"https://www.topseobrands.com/au/best-display-advertising-firms-in-australia")</f>
        <v>https://www.topseobrands.com/au/best-display-advertising-firms-in-australia</v>
      </c>
      <c r="B70" s="7" t="str">
        <f>IFERROR(__xludf.DUMMYFUNCTION("""COMPUTED_VALUE"""),"Best Display Advertising Firms in Australia | Top SEO Brands")</f>
        <v>Best Display Advertising Firms in Australia | Top SEO Brands</v>
      </c>
      <c r="C70" s="6" t="str">
        <f>IFERROR(__xludf.DUMMYFUNCTION("""COMPUTED_VALUE"""),"topseobrands.com")</f>
        <v>topseobrands.com</v>
      </c>
      <c r="D70" s="7" t="str">
        <f>IFERROR(__xludf.DUMMYFUNCTION("""COMPUTED_VALUE"""),"LISTICLE")</f>
        <v>LISTICLE</v>
      </c>
      <c r="E70" s="7" t="str">
        <f>IFERROR(__xludf.DUMMYFUNCTION("""COMPUTED_VALUE"""),"REFERENCE")</f>
        <v>REFERENCE</v>
      </c>
      <c r="F70" s="7" t="str">
        <f>IFERROR(__xludf.DUMMYFUNCTION("""COMPUTED_VALUE"""),"Listicle")</f>
        <v>Listicle</v>
      </c>
      <c r="G70" s="7" t="b">
        <f>IFERROR(__xludf.DUMMYFUNCTION("""COMPUTED_VALUE"""),FALSE)</f>
        <v>0</v>
      </c>
      <c r="H70" s="7" t="str">
        <f>IFERROR(__xludf.DUMMYFUNCTION("""COMPUTED_VALUE"""),"Intesols, Impressive")</f>
        <v>Intesols, Impressive</v>
      </c>
      <c r="I70" s="7">
        <f>IFERROR(__xludf.DUMMYFUNCTION("""COMPUTED_VALUE"""),13.0)</f>
        <v>13</v>
      </c>
      <c r="J70" s="7">
        <f>IFERROR(__xludf.DUMMYFUNCTION("""COMPUTED_VALUE"""),0.01)</f>
        <v>0.01</v>
      </c>
      <c r="K70" s="7">
        <f>IFERROR(__xludf.DUMMYFUNCTION("""COMPUTED_VALUE"""),0.23)</f>
        <v>0.23</v>
      </c>
    </row>
    <row r="71" ht="15.75" customHeight="1">
      <c r="A71" s="6" t="str">
        <f>IFERROR(__xludf.DUMMYFUNCTION("""COMPUTED_VALUE"""),"https://auratechinsights.medium.com/top-10-ai-development-and-consulting-companies-in-australia-7093eee60fbe")</f>
        <v>https://auratechinsights.medium.com/top-10-ai-development-and-consulting-companies-in-australia-7093eee60fbe</v>
      </c>
      <c r="B71" s="7" t="str">
        <f>IFERROR(__xludf.DUMMYFUNCTION("""COMPUTED_VALUE"""),"Top 10 AI Development and Consulting Companies in Australia | by Aura Tech Insights | Medium")</f>
        <v>Top 10 AI Development and Consulting Companies in Australia | by Aura Tech Insights | Medium</v>
      </c>
      <c r="C71" s="6" t="str">
        <f>IFERROR(__xludf.DUMMYFUNCTION("""COMPUTED_VALUE"""),"medium.com")</f>
        <v>medium.com</v>
      </c>
      <c r="D71" s="7" t="str">
        <f>IFERROR(__xludf.DUMMYFUNCTION("""COMPUTED_VALUE"""),"LISTICLE")</f>
        <v>LISTICLE</v>
      </c>
      <c r="E71" s="7" t="str">
        <f>IFERROR(__xludf.DUMMYFUNCTION("""COMPUTED_VALUE"""),"UGC")</f>
        <v>UGC</v>
      </c>
      <c r="F71" s="7" t="str">
        <f>IFERROR(__xludf.DUMMYFUNCTION("""COMPUTED_VALUE"""),"Listicle")</f>
        <v>Listicle</v>
      </c>
      <c r="G71" s="7" t="b">
        <f>IFERROR(__xludf.DUMMYFUNCTION("""COMPUTED_VALUE"""),FALSE)</f>
        <v>0</v>
      </c>
      <c r="H71" s="7" t="str">
        <f>IFERROR(__xludf.DUMMYFUNCTION("""COMPUTED_VALUE"""),"Momentum")</f>
        <v>Momentum</v>
      </c>
      <c r="I71" s="7">
        <f>IFERROR(__xludf.DUMMYFUNCTION("""COMPUTED_VALUE"""),12.0)</f>
        <v>12</v>
      </c>
      <c r="J71" s="7">
        <f>IFERROR(__xludf.DUMMYFUNCTION("""COMPUTED_VALUE"""),0.01)</f>
        <v>0.01</v>
      </c>
      <c r="K71" s="7">
        <f>IFERROR(__xludf.DUMMYFUNCTION("""COMPUTED_VALUE"""),0.08)</f>
        <v>0.08</v>
      </c>
    </row>
    <row r="72" ht="15.75" customHeight="1">
      <c r="A72" s="6" t="str">
        <f>IFERROR(__xludf.DUMMYFUNCTION("""COMPUTED_VALUE"""),"https://www.bbe.io/top-ranked-best-advertising-agency-leaders-australia-2026-sydney-melbourne-brisbane")</f>
        <v>https://www.bbe.io/top-ranked-best-advertising-agency-leaders-australia-2026-sydney-melbourne-brisbane</v>
      </c>
      <c r="B72" s="7" t="str">
        <f>IFERROR(__xludf.DUMMYFUNCTION("""COMPUTED_VALUE"""),"The BBE Best: The Best Creative Leaders of the Top Advertising Agencies in Australia")</f>
        <v>The BBE Best: The Best Creative Leaders of the Top Advertising Agencies in Australia</v>
      </c>
      <c r="C72" s="6" t="str">
        <f>IFERROR(__xludf.DUMMYFUNCTION("""COMPUTED_VALUE"""),"bbe.io")</f>
        <v>bbe.io</v>
      </c>
      <c r="D72" s="7" t="str">
        <f>IFERROR(__xludf.DUMMYFUNCTION("""COMPUTED_VALUE"""),"LISTICLE")</f>
        <v>LISTICLE</v>
      </c>
      <c r="E72" s="7" t="str">
        <f>IFERROR(__xludf.DUMMYFUNCTION("""COMPUTED_VALUE"""),"CORPORATE")</f>
        <v>CORPORATE</v>
      </c>
      <c r="F72" s="7" t="str">
        <f>IFERROR(__xludf.DUMMYFUNCTION("""COMPUTED_VALUE"""),"Listicle")</f>
        <v>Listicle</v>
      </c>
      <c r="G72" s="7" t="b">
        <f>IFERROR(__xludf.DUMMYFUNCTION("""COMPUTED_VALUE"""),FALSE)</f>
        <v>0</v>
      </c>
      <c r="H72" s="7" t="str">
        <f>IFERROR(__xludf.DUMMYFUNCTION("""COMPUTED_VALUE"""),"HERO, VML")</f>
        <v>HERO, VML</v>
      </c>
      <c r="I72" s="7">
        <f>IFERROR(__xludf.DUMMYFUNCTION("""COMPUTED_VALUE"""),12.0)</f>
        <v>12</v>
      </c>
      <c r="J72" s="7">
        <f>IFERROR(__xludf.DUMMYFUNCTION("""COMPUTED_VALUE"""),0.01)</f>
        <v>0.01</v>
      </c>
      <c r="K72" s="7">
        <f>IFERROR(__xludf.DUMMYFUNCTION("""COMPUTED_VALUE"""),1.0)</f>
        <v>1</v>
      </c>
    </row>
    <row r="73" ht="15.75" customHeight="1">
      <c r="A73" s="6" t="str">
        <f>IFERROR(__xludf.DUMMYFUNCTION("""COMPUTED_VALUE"""),"https://www.hashmeta.ai/en/blog/top-10-best-ai-marketing-agencies-in-australia-expert-comparison-guide")</f>
        <v>https://www.hashmeta.ai/en/blog/top-10-best-ai-marketing-agencies-in-australia-expert-comparison-guide</v>
      </c>
      <c r="B73" s="7" t="str">
        <f>IFERROR(__xludf.DUMMYFUNCTION("""COMPUTED_VALUE"""),"Top 10 Best AI Marketing Agencies in Australia: Expert Comparison Guide | Hashmeta AI Marketing Blog")</f>
        <v>Top 10 Best AI Marketing Agencies in Australia: Expert Comparison Guide | Hashmeta AI Marketing Blog</v>
      </c>
      <c r="C73" s="6" t="str">
        <f>IFERROR(__xludf.DUMMYFUNCTION("""COMPUTED_VALUE"""),"hashmeta.ai")</f>
        <v>hashmeta.ai</v>
      </c>
      <c r="D73" s="7" t="str">
        <f>IFERROR(__xludf.DUMMYFUNCTION("""COMPUTED_VALUE"""),"LISTICLE")</f>
        <v>LISTICLE</v>
      </c>
      <c r="E73" s="7" t="str">
        <f>IFERROR(__xludf.DUMMYFUNCTION("""COMPUTED_VALUE"""),"CORPORATE")</f>
        <v>CORPORATE</v>
      </c>
      <c r="F73" s="7" t="str">
        <f>IFERROR(__xludf.DUMMYFUNCTION("""COMPUTED_VALUE"""),"Listicle")</f>
        <v>Listicle</v>
      </c>
      <c r="G73" s="7" t="b">
        <f>IFERROR(__xludf.DUMMYFUNCTION("""COMPUTED_VALUE"""),FALSE)</f>
        <v>0</v>
      </c>
      <c r="H73" s="7" t="str">
        <f>IFERROR(__xludf.DUMMYFUNCTION("""COMPUTED_VALUE"""),"Rocket Agency, Zib Digital, King Kong, Reef Digital Agency, Impressive, Absolutely AI")</f>
        <v>Rocket Agency, Zib Digital, King Kong, Reef Digital Agency, Impressive, Absolutely AI</v>
      </c>
      <c r="I73" s="7">
        <f>IFERROR(__xludf.DUMMYFUNCTION("""COMPUTED_VALUE"""),12.0)</f>
        <v>12</v>
      </c>
      <c r="J73" s="7">
        <f>IFERROR(__xludf.DUMMYFUNCTION("""COMPUTED_VALUE"""),0.01)</f>
        <v>0.01</v>
      </c>
      <c r="K73" s="7">
        <f>IFERROR(__xludf.DUMMYFUNCTION("""COMPUTED_VALUE"""),0.92)</f>
        <v>0.92</v>
      </c>
    </row>
    <row r="74" ht="15.75" customHeight="1">
      <c r="A74" s="6" t="str">
        <f>IFERROR(__xludf.DUMMYFUNCTION("""COMPUTED_VALUE"""),"https://inbeat.agency/blog/top-marketing-measurement-and-analytics-companies")</f>
        <v>https://inbeat.agency/blog/top-marketing-measurement-and-analytics-companies</v>
      </c>
      <c r="B74" s="7" t="str">
        <f>IFERROR(__xludf.DUMMYFUNCTION("""COMPUTED_VALUE"""),"Top 15 Marketing Measurement and Analytics Firms Unlocking ROI Clarity in 2026 - inBeat Agency")</f>
        <v>Top 15 Marketing Measurement and Analytics Firms Unlocking ROI Clarity in 2026 - inBeat Agency</v>
      </c>
      <c r="C74" s="7" t="str">
        <f>IFERROR(__xludf.DUMMYFUNCTION("""COMPUTED_VALUE"""),"inbeat.agency")</f>
        <v>inbeat.agency</v>
      </c>
      <c r="D74" s="7" t="str">
        <f>IFERROR(__xludf.DUMMYFUNCTION("""COMPUTED_VALUE"""),"LISTICLE")</f>
        <v>LISTICLE</v>
      </c>
      <c r="E74" s="7" t="str">
        <f>IFERROR(__xludf.DUMMYFUNCTION("""COMPUTED_VALUE"""),"CORPORATE")</f>
        <v>CORPORATE</v>
      </c>
      <c r="F74" s="7" t="str">
        <f>IFERROR(__xludf.DUMMYFUNCTION("""COMPUTED_VALUE"""),"Listicle")</f>
        <v>Listicle</v>
      </c>
      <c r="G74" s="7" t="b">
        <f>IFERROR(__xludf.DUMMYFUNCTION("""COMPUTED_VALUE"""),FALSE)</f>
        <v>0</v>
      </c>
      <c r="H74" s="7" t="str">
        <f>IFERROR(__xludf.DUMMYFUNCTION("""COMPUTED_VALUE"""),"Measured")</f>
        <v>Measured</v>
      </c>
      <c r="I74" s="7">
        <f>IFERROR(__xludf.DUMMYFUNCTION("""COMPUTED_VALUE"""),12.0)</f>
        <v>12</v>
      </c>
      <c r="J74" s="7">
        <f>IFERROR(__xludf.DUMMYFUNCTION("""COMPUTED_VALUE"""),0.01)</f>
        <v>0.01</v>
      </c>
      <c r="K74" s="7">
        <f>IFERROR(__xludf.DUMMYFUNCTION("""COMPUTED_VALUE"""),1.5)</f>
        <v>1.5</v>
      </c>
    </row>
    <row r="75" ht="15.75" customHeight="1">
      <c r="A75" s="6" t="str">
        <f>IFERROR(__xludf.DUMMYFUNCTION("""COMPUTED_VALUE"""),"https://www.savit.au/top-social-media-marketing-agencies-in-australia-for-2026-whos-building-brands-that-actually-sell/")</f>
        <v>https://www.savit.au/top-social-media-marketing-agencies-in-australia-for-2026-whos-building-brands-that-actually-sell/</v>
      </c>
      <c r="B75" s="7" t="str">
        <f>IFERROR(__xludf.DUMMYFUNCTION("""COMPUTED_VALUE"""),"Top Social Media Marketing Agencies in Australia 2026")</f>
        <v>Top Social Media Marketing Agencies in Australia 2026</v>
      </c>
      <c r="C75" s="6" t="str">
        <f>IFERROR(__xludf.DUMMYFUNCTION("""COMPUTED_VALUE"""),"savit.au")</f>
        <v>savit.au</v>
      </c>
      <c r="D75" s="7" t="str">
        <f>IFERROR(__xludf.DUMMYFUNCTION("""COMPUTED_VALUE"""),"LISTICLE")</f>
        <v>LISTICLE</v>
      </c>
      <c r="E75" s="7" t="str">
        <f>IFERROR(__xludf.DUMMYFUNCTION("""COMPUTED_VALUE"""),"OTHER")</f>
        <v>OTHER</v>
      </c>
      <c r="F75" s="7" t="str">
        <f>IFERROR(__xludf.DUMMYFUNCTION("""COMPUTED_VALUE"""),"Listicle")</f>
        <v>Listicle</v>
      </c>
      <c r="G75" s="7" t="b">
        <f>IFERROR(__xludf.DUMMYFUNCTION("""COMPUTED_VALUE"""),FALSE)</f>
        <v>0</v>
      </c>
      <c r="H75" s="7" t="str">
        <f>IFERROR(__xludf.DUMMYFUNCTION("""COMPUTED_VALUE"""),"We Are Social, Impressive, Soup Agency, Megaphone, Supple Digital")</f>
        <v>We Are Social, Impressive, Soup Agency, Megaphone, Supple Digital</v>
      </c>
      <c r="I75" s="7">
        <f>IFERROR(__xludf.DUMMYFUNCTION("""COMPUTED_VALUE"""),12.0)</f>
        <v>12</v>
      </c>
      <c r="J75" s="7">
        <f>IFERROR(__xludf.DUMMYFUNCTION("""COMPUTED_VALUE"""),0.01)</f>
        <v>0.01</v>
      </c>
      <c r="K75" s="7">
        <f>IFERROR(__xludf.DUMMYFUNCTION("""COMPUTED_VALUE"""),2.17)</f>
        <v>2.17</v>
      </c>
    </row>
    <row r="76" ht="15.75" customHeight="1">
      <c r="A76" s="6" t="str">
        <f>IFERROR(__xludf.DUMMYFUNCTION("""COMPUTED_VALUE"""),"https://segmentstream.com/blog/articles/top-10-incrementality-testing-tools")</f>
        <v>https://segmentstream.com/blog/articles/top-10-incrementality-testing-tools</v>
      </c>
      <c r="B76" s="7" t="str">
        <f>IFERROR(__xludf.DUMMYFUNCTION("""COMPUTED_VALUE"""),"10 Best Incrementality Testing Tools (2026) — SegmentStream")</f>
        <v>10 Best Incrementality Testing Tools (2026) — SegmentStream</v>
      </c>
      <c r="C76" s="6" t="str">
        <f>IFERROR(__xludf.DUMMYFUNCTION("""COMPUTED_VALUE"""),"segmentstream.com")</f>
        <v>segmentstream.com</v>
      </c>
      <c r="D76" s="7" t="str">
        <f>IFERROR(__xludf.DUMMYFUNCTION("""COMPUTED_VALUE"""),"LISTICLE")</f>
        <v>LISTICLE</v>
      </c>
      <c r="E76" s="7" t="str">
        <f>IFERROR(__xludf.DUMMYFUNCTION("""COMPUTED_VALUE"""),"CORPORATE")</f>
        <v>CORPORATE</v>
      </c>
      <c r="F76" s="7" t="str">
        <f>IFERROR(__xludf.DUMMYFUNCTION("""COMPUTED_VALUE"""),"Listicle")</f>
        <v>Listicle</v>
      </c>
      <c r="G76" s="7" t="b">
        <f>IFERROR(__xludf.DUMMYFUNCTION("""COMPUTED_VALUE"""),FALSE)</f>
        <v>0</v>
      </c>
      <c r="H76" s="7" t="str">
        <f>IFERROR(__xludf.DUMMYFUNCTION("""COMPUTED_VALUE"""),"Measured, Haus, Lifesight, Workmagic, LiftLab")</f>
        <v>Measured, Haus, Lifesight, Workmagic, LiftLab</v>
      </c>
      <c r="I76" s="7">
        <f>IFERROR(__xludf.DUMMYFUNCTION("""COMPUTED_VALUE"""),12.0)</f>
        <v>12</v>
      </c>
      <c r="J76" s="7">
        <f>IFERROR(__xludf.DUMMYFUNCTION("""COMPUTED_VALUE"""),0.01)</f>
        <v>0.01</v>
      </c>
      <c r="K76" s="7">
        <f>IFERROR(__xludf.DUMMYFUNCTION("""COMPUTED_VALUE"""),2.0)</f>
        <v>2</v>
      </c>
    </row>
    <row r="77" ht="15.75" customHeight="1">
      <c r="A77" s="6" t="str">
        <f>IFERROR(__xludf.DUMMYFUNCTION("""COMPUTED_VALUE"""),"https://themanifest.com/au/programmatic/agencies")</f>
        <v>https://themanifest.com/au/programmatic/agencies</v>
      </c>
      <c r="B77" s="7" t="str">
        <f>IFERROR(__xludf.DUMMYFUNCTION("""COMPUTED_VALUE"""),"Top-Rated Programmatic Advertising &amp;amp; RTB Platforms for Retail, Automotive, Travel in Australia, Sydney, Melbourne | Vetted &amp;amp; Reviewed July 2026 | The Manifest")</f>
        <v>Top-Rated Programmatic Advertising &amp;amp; RTB Platforms for Retail, Automotive, Travel in Australia, Sydney, Melbourne | Vetted &amp;amp; Reviewed July 2026 | The Manifest</v>
      </c>
      <c r="C77" s="6" t="str">
        <f>IFERROR(__xludf.DUMMYFUNCTION("""COMPUTED_VALUE"""),"themanifest.com")</f>
        <v>themanifest.com</v>
      </c>
      <c r="D77" s="7" t="str">
        <f>IFERROR(__xludf.DUMMYFUNCTION("""COMPUTED_VALUE"""),"LISTICLE")</f>
        <v>LISTICLE</v>
      </c>
      <c r="E77" s="7" t="str">
        <f>IFERROR(__xludf.DUMMYFUNCTION("""COMPUTED_VALUE"""),"REFERENCE")</f>
        <v>REFERENCE</v>
      </c>
      <c r="F77" s="7" t="str">
        <f>IFERROR(__xludf.DUMMYFUNCTION("""COMPUTED_VALUE"""),"Listicle")</f>
        <v>Listicle</v>
      </c>
      <c r="G77" s="7" t="b">
        <f>IFERROR(__xludf.DUMMYFUNCTION("""COMPUTED_VALUE"""),FALSE)</f>
        <v>0</v>
      </c>
      <c r="H77" s="7" t="str">
        <f>IFERROR(__xludf.DUMMYFUNCTION("""COMPUTED_VALUE"""),"Soup Agency, Bench Media, DNM Digital, In Marketing We Trust")</f>
        <v>Soup Agency, Bench Media, DNM Digital, In Marketing We Trust</v>
      </c>
      <c r="I77" s="7">
        <f>IFERROR(__xludf.DUMMYFUNCTION("""COMPUTED_VALUE"""),12.0)</f>
        <v>12</v>
      </c>
      <c r="J77" s="7">
        <f>IFERROR(__xludf.DUMMYFUNCTION("""COMPUTED_VALUE"""),0.01)</f>
        <v>0.01</v>
      </c>
      <c r="K77" s="7">
        <f>IFERROR(__xludf.DUMMYFUNCTION("""COMPUTED_VALUE"""),0.42)</f>
        <v>0.42</v>
      </c>
    </row>
    <row r="78" ht="15.75" customHeight="1">
      <c r="A78" s="6" t="str">
        <f>IFERROR(__xludf.DUMMYFUNCTION("""COMPUTED_VALUE"""),"https://www.youtube.com/watch?v=ZaxGzqO8OCk")</f>
        <v>https://www.youtube.com/watch?v=ZaxGzqO8OCk</v>
      </c>
      <c r="B78" s="7" t="str">
        <f>IFERROR(__xludf.DUMMYFUNCTION("""COMPUTED_VALUE"""),"What Are the Best Generative Engine Optimization (GEO) Agencies in Australia?")</f>
        <v>What Are the Best Generative Engine Optimization (GEO) Agencies in Australia?</v>
      </c>
      <c r="C78" s="6" t="str">
        <f>IFERROR(__xludf.DUMMYFUNCTION("""COMPUTED_VALUE"""),"youtube.com")</f>
        <v>youtube.com</v>
      </c>
      <c r="D78" s="7" t="str">
        <f>IFERROR(__xludf.DUMMYFUNCTION("""COMPUTED_VALUE"""),"LISTICLE")</f>
        <v>LISTICLE</v>
      </c>
      <c r="E78" s="7" t="str">
        <f>IFERROR(__xludf.DUMMYFUNCTION("""COMPUTED_VALUE"""),"UGC")</f>
        <v>UGC</v>
      </c>
      <c r="F78" s="7" t="str">
        <f>IFERROR(__xludf.DUMMYFUNCTION("""COMPUTED_VALUE"""),"Listicle")</f>
        <v>Listicle</v>
      </c>
      <c r="G78" s="7" t="b">
        <f>IFERROR(__xludf.DUMMYFUNCTION("""COMPUTED_VALUE"""),FALSE)</f>
        <v>0</v>
      </c>
      <c r="H78" s="7" t="str">
        <f>IFERROR(__xludf.DUMMYFUNCTION("""COMPUTED_VALUE"""),"Brainlabs")</f>
        <v>Brainlabs</v>
      </c>
      <c r="I78" s="7">
        <f>IFERROR(__xludf.DUMMYFUNCTION("""COMPUTED_VALUE"""),12.0)</f>
        <v>12</v>
      </c>
      <c r="J78" s="7">
        <f>IFERROR(__xludf.DUMMYFUNCTION("""COMPUTED_VALUE"""),0.01)</f>
        <v>0.01</v>
      </c>
      <c r="K78" s="7">
        <f>IFERROR(__xludf.DUMMYFUNCTION("""COMPUTED_VALUE"""),0.92)</f>
        <v>0.92</v>
      </c>
    </row>
    <row r="79" ht="15.75" customHeight="1">
      <c r="A79" s="6" t="str">
        <f>IFERROR(__xludf.DUMMYFUNCTION("""COMPUTED_VALUE"""),"https://www.cleveraussie.com/best-creative-agencies-australia/")</f>
        <v>https://www.cleveraussie.com/best-creative-agencies-australia/</v>
      </c>
      <c r="B79" s="7" t="str">
        <f>IFERROR(__xludf.DUMMYFUNCTION("""COMPUTED_VALUE"""),"Australia’s 5 Creative Agencies That’ve Got What It Takes [2026 ]")</f>
        <v>Australia’s 5 Creative Agencies That’ve Got What It Takes [2026 ]</v>
      </c>
      <c r="C79" s="6" t="str">
        <f>IFERROR(__xludf.DUMMYFUNCTION("""COMPUTED_VALUE"""),"cleveraussie.com")</f>
        <v>cleveraussie.com</v>
      </c>
      <c r="D79" s="7" t="str">
        <f>IFERROR(__xludf.DUMMYFUNCTION("""COMPUTED_VALUE"""),"LISTICLE")</f>
        <v>LISTICLE</v>
      </c>
      <c r="E79" s="7" t="str">
        <f>IFERROR(__xludf.DUMMYFUNCTION("""COMPUTED_VALUE"""),"OTHER")</f>
        <v>OTHER</v>
      </c>
      <c r="F79" s="7" t="str">
        <f>IFERROR(__xludf.DUMMYFUNCTION("""COMPUTED_VALUE"""),"Listicle")</f>
        <v>Listicle</v>
      </c>
      <c r="G79" s="7" t="b">
        <f>IFERROR(__xludf.DUMMYFUNCTION("""COMPUTED_VALUE"""),FALSE)</f>
        <v>0</v>
      </c>
      <c r="H79" s="7" t="str">
        <f>IFERROR(__xludf.DUMMYFUNCTION("""COMPUTED_VALUE"""),"Rocket Agency, Momentum, Impressive")</f>
        <v>Rocket Agency, Momentum, Impressive</v>
      </c>
      <c r="I79" s="7">
        <f>IFERROR(__xludf.DUMMYFUNCTION("""COMPUTED_VALUE"""),11.0)</f>
        <v>11</v>
      </c>
      <c r="J79" s="7">
        <f>IFERROR(__xludf.DUMMYFUNCTION("""COMPUTED_VALUE"""),0.01)</f>
        <v>0.01</v>
      </c>
      <c r="K79" s="7">
        <f>IFERROR(__xludf.DUMMYFUNCTION("""COMPUTED_VALUE"""),0.0)</f>
        <v>0</v>
      </c>
    </row>
    <row r="80" ht="15.75" customHeight="1">
      <c r="A80" s="6" t="str">
        <f>IFERROR(__xludf.DUMMYFUNCTION("""COMPUTED_VALUE"""),"https://digitaldigest.au/google-ads-agencies/")</f>
        <v>https://digitaldigest.au/google-ads-agencies/</v>
      </c>
      <c r="B80" s="7" t="str">
        <f>IFERROR(__xludf.DUMMYFUNCTION("""COMPUTED_VALUE"""),"13 Best Google Ads Agencies Australia 2025 | Expert Reviews")</f>
        <v>13 Best Google Ads Agencies Australia 2025 | Expert Reviews</v>
      </c>
      <c r="C80" s="6" t="str">
        <f>IFERROR(__xludf.DUMMYFUNCTION("""COMPUTED_VALUE"""),"digitaldigest.au")</f>
        <v>digitaldigest.au</v>
      </c>
      <c r="D80" s="7" t="str">
        <f>IFERROR(__xludf.DUMMYFUNCTION("""COMPUTED_VALUE"""),"LISTICLE")</f>
        <v>LISTICLE</v>
      </c>
      <c r="E80" s="7" t="str">
        <f>IFERROR(__xludf.DUMMYFUNCTION("""COMPUTED_VALUE"""),"EDITORIAL")</f>
        <v>EDITORIAL</v>
      </c>
      <c r="F80" s="7" t="str">
        <f>IFERROR(__xludf.DUMMYFUNCTION("""COMPUTED_VALUE"""),"Listicle")</f>
        <v>Listicle</v>
      </c>
      <c r="G80" s="7" t="b">
        <f>IFERROR(__xludf.DUMMYFUNCTION("""COMPUTED_VALUE"""),FALSE)</f>
        <v>0</v>
      </c>
      <c r="H80" s="7" t="str">
        <f>IFERROR(__xludf.DUMMYFUNCTION("""COMPUTED_VALUE"""),"Huge, Digital Nomads HQ, Impressive, Online Marketing Gurus, Omnicom Media Group, Megaphone, Farsiight, Paradox Marketing, Human Digital, CUT THRU, Emote Digital, DNM Digital, First Page")</f>
        <v>Huge, Digital Nomads HQ, Impressive, Online Marketing Gurus, Omnicom Media Group, Megaphone, Farsiight, Paradox Marketing, Human Digital, CUT THRU, Emote Digital, DNM Digital, First Page</v>
      </c>
      <c r="I80" s="7">
        <f>IFERROR(__xludf.DUMMYFUNCTION("""COMPUTED_VALUE"""),11.0)</f>
        <v>11</v>
      </c>
      <c r="J80" s="7">
        <f>IFERROR(__xludf.DUMMYFUNCTION("""COMPUTED_VALUE"""),0.01)</f>
        <v>0.01</v>
      </c>
      <c r="K80" s="7">
        <f>IFERROR(__xludf.DUMMYFUNCTION("""COMPUTED_VALUE"""),0.36)</f>
        <v>0.36</v>
      </c>
    </row>
    <row r="81" ht="15.75" customHeight="1">
      <c r="A81" s="6" t="str">
        <f>IFERROR(__xludf.DUMMYFUNCTION("""COMPUTED_VALUE"""),"https://edisonai.au/insights/best-ai-consulting-firms-in-australia")</f>
        <v>https://edisonai.au/insights/best-ai-consulting-firms-in-australia</v>
      </c>
      <c r="B81" s="7" t="str">
        <f>IFERROR(__xludf.DUMMYFUNCTION("""COMPUTED_VALUE"""),"Best AI Consulting Firms in Australia (2026) \| Edison AI")</f>
        <v>Best AI Consulting Firms in Australia (2026) \| Edison AI</v>
      </c>
      <c r="C81" s="6" t="str">
        <f>IFERROR(__xludf.DUMMYFUNCTION("""COMPUTED_VALUE"""),"edisonai.au")</f>
        <v>edisonai.au</v>
      </c>
      <c r="D81" s="7" t="str">
        <f>IFERROR(__xludf.DUMMYFUNCTION("""COMPUTED_VALUE"""),"LISTICLE")</f>
        <v>LISTICLE</v>
      </c>
      <c r="E81" s="7" t="str">
        <f>IFERROR(__xludf.DUMMYFUNCTION("""COMPUTED_VALUE"""),"CORPORATE")</f>
        <v>CORPORATE</v>
      </c>
      <c r="F81" s="7" t="str">
        <f>IFERROR(__xludf.DUMMYFUNCTION("""COMPUTED_VALUE"""),"Listicle")</f>
        <v>Listicle</v>
      </c>
      <c r="G81" s="7" t="b">
        <f>IFERROR(__xludf.DUMMYFUNCTION("""COMPUTED_VALUE"""),FALSE)</f>
        <v>0</v>
      </c>
      <c r="H81" s="7" t="str">
        <f>IFERROR(__xludf.DUMMYFUNCTION("""COMPUTED_VALUE"""),"Edison AI, Deloitte, KPMG, Measured, Impressive")</f>
        <v>Edison AI, Deloitte, KPMG, Measured, Impressive</v>
      </c>
      <c r="I81" s="7">
        <f>IFERROR(__xludf.DUMMYFUNCTION("""COMPUTED_VALUE"""),11.0)</f>
        <v>11</v>
      </c>
      <c r="J81" s="7">
        <f>IFERROR(__xludf.DUMMYFUNCTION("""COMPUTED_VALUE"""),0.01)</f>
        <v>0.01</v>
      </c>
      <c r="K81" s="7">
        <f>IFERROR(__xludf.DUMMYFUNCTION("""COMPUTED_VALUE"""),1.0)</f>
        <v>1</v>
      </c>
    </row>
    <row r="82" ht="15.75" customHeight="1">
      <c r="A82" s="6" t="str">
        <f>IFERROR(__xludf.DUMMYFUNCTION("""COMPUTED_VALUE"""),"https://growthmanager.ai/best-geo-agency")</f>
        <v>https://growthmanager.ai/best-geo-agency</v>
      </c>
      <c r="B82" s="7" t="str">
        <f>IFERROR(__xludf.DUMMYFUNCTION("""COMPUTED_VALUE"""),"Best GEO agencies in 2026, reviewed and ranked")</f>
        <v>Best GEO agencies in 2026, reviewed and ranked</v>
      </c>
      <c r="C82" s="6" t="str">
        <f>IFERROR(__xludf.DUMMYFUNCTION("""COMPUTED_VALUE"""),"growthmanager.ai")</f>
        <v>growthmanager.ai</v>
      </c>
      <c r="D82" s="7" t="str">
        <f>IFERROR(__xludf.DUMMYFUNCTION("""COMPUTED_VALUE"""),"LISTICLE")</f>
        <v>LISTICLE</v>
      </c>
      <c r="E82" s="7" t="str">
        <f>IFERROR(__xludf.DUMMYFUNCTION("""COMPUTED_VALUE"""),"CORPORATE")</f>
        <v>CORPORATE</v>
      </c>
      <c r="F82" s="7" t="str">
        <f>IFERROR(__xludf.DUMMYFUNCTION("""COMPUTED_VALUE"""),"Listicle")</f>
        <v>Listicle</v>
      </c>
      <c r="G82" s="7" t="b">
        <f>IFERROR(__xludf.DUMMYFUNCTION("""COMPUTED_VALUE"""),FALSE)</f>
        <v>0</v>
      </c>
      <c r="H82" s="7" t="str">
        <f>IFERROR(__xludf.DUMMYFUNCTION("""COMPUTED_VALUE"""),"Momentum")</f>
        <v>Momentum</v>
      </c>
      <c r="I82" s="7">
        <f>IFERROR(__xludf.DUMMYFUNCTION("""COMPUTED_VALUE"""),11.0)</f>
        <v>11</v>
      </c>
      <c r="J82" s="7">
        <f>IFERROR(__xludf.DUMMYFUNCTION("""COMPUTED_VALUE"""),0.01)</f>
        <v>0.01</v>
      </c>
      <c r="K82" s="7">
        <f>IFERROR(__xludf.DUMMYFUNCTION("""COMPUTED_VALUE"""),0.73)</f>
        <v>0.73</v>
      </c>
    </row>
    <row r="83" ht="15.75" customHeight="1">
      <c r="A83" s="6" t="str">
        <f>IFERROR(__xludf.DUMMYFUNCTION("""COMPUTED_VALUE"""),"https://www.mayple.com/resources/social-media-marketing/social-media-agencies-australia")</f>
        <v>https://www.mayple.com/resources/social-media-marketing/social-media-agencies-australia</v>
      </c>
      <c r="B83" s="7" t="str">
        <f>IFERROR(__xludf.DUMMYFUNCTION("""COMPUTED_VALUE"""),"Top 7 Social Media Agencies in Australia")</f>
        <v>Top 7 Social Media Agencies in Australia</v>
      </c>
      <c r="C83" s="6" t="str">
        <f>IFERROR(__xludf.DUMMYFUNCTION("""COMPUTED_VALUE"""),"mayple.com")</f>
        <v>mayple.com</v>
      </c>
      <c r="D83" s="7" t="str">
        <f>IFERROR(__xludf.DUMMYFUNCTION("""COMPUTED_VALUE"""),"LISTICLE")</f>
        <v>LISTICLE</v>
      </c>
      <c r="E83" s="7" t="str">
        <f>IFERROR(__xludf.DUMMYFUNCTION("""COMPUTED_VALUE"""),"CORPORATE")</f>
        <v>CORPORATE</v>
      </c>
      <c r="F83" s="7" t="str">
        <f>IFERROR(__xludf.DUMMYFUNCTION("""COMPUTED_VALUE"""),"Listicle")</f>
        <v>Listicle</v>
      </c>
      <c r="G83" s="7" t="b">
        <f>IFERROR(__xludf.DUMMYFUNCTION("""COMPUTED_VALUE"""),FALSE)</f>
        <v>0</v>
      </c>
      <c r="H83" s="7" t="str">
        <f>IFERROR(__xludf.DUMMYFUNCTION("""COMPUTED_VALUE"""),"Impressive")</f>
        <v>Impressive</v>
      </c>
      <c r="I83" s="7">
        <f>IFERROR(__xludf.DUMMYFUNCTION("""COMPUTED_VALUE"""),11.0)</f>
        <v>11</v>
      </c>
      <c r="J83" s="7">
        <f>IFERROR(__xludf.DUMMYFUNCTION("""COMPUTED_VALUE"""),0.01)</f>
        <v>0.01</v>
      </c>
      <c r="K83" s="7">
        <f>IFERROR(__xludf.DUMMYFUNCTION("""COMPUTED_VALUE"""),0.45)</f>
        <v>0.45</v>
      </c>
    </row>
    <row r="84" ht="15.75" customHeight="1">
      <c r="A84" s="6" t="str">
        <f>IFERROR(__xludf.DUMMYFUNCTION("""COMPUTED_VALUE"""),"https://thedigitalelevator.com/blog/best-generative-engine-optimization-geo-agencies/")</f>
        <v>https://thedigitalelevator.com/blog/best-generative-engine-optimization-geo-agencies/</v>
      </c>
      <c r="B84" s="7" t="str">
        <f>IFERROR(__xludf.DUMMYFUNCTION("""COMPUTED_VALUE"""),"The 12 Best Generative Engine Optimization (GEO) Agencies of 2026 | Digital Elevator")</f>
        <v>The 12 Best Generative Engine Optimization (GEO) Agencies of 2026 | Digital Elevator</v>
      </c>
      <c r="C84" s="6" t="str">
        <f>IFERROR(__xludf.DUMMYFUNCTION("""COMPUTED_VALUE"""),"thedigitalelevator.com")</f>
        <v>thedigitalelevator.com</v>
      </c>
      <c r="D84" s="7" t="str">
        <f>IFERROR(__xludf.DUMMYFUNCTION("""COMPUTED_VALUE"""),"LISTICLE")</f>
        <v>LISTICLE</v>
      </c>
      <c r="E84" s="7" t="str">
        <f>IFERROR(__xludf.DUMMYFUNCTION("""COMPUTED_VALUE"""),"CORPORATE")</f>
        <v>CORPORATE</v>
      </c>
      <c r="F84" s="7" t="str">
        <f>IFERROR(__xludf.DUMMYFUNCTION("""COMPUTED_VALUE"""),"Listicle")</f>
        <v>Listicle</v>
      </c>
      <c r="G84" s="7" t="b">
        <f>IFERROR(__xludf.DUMMYFUNCTION("""COMPUTED_VALUE"""),FALSE)</f>
        <v>0</v>
      </c>
      <c r="H84" s="7" t="str">
        <f>IFERROR(__xludf.DUMMYFUNCTION("""COMPUTED_VALUE"""),"Intero Digital")</f>
        <v>Intero Digital</v>
      </c>
      <c r="I84" s="7">
        <f>IFERROR(__xludf.DUMMYFUNCTION("""COMPUTED_VALUE"""),11.0)</f>
        <v>11</v>
      </c>
      <c r="J84" s="7">
        <f>IFERROR(__xludf.DUMMYFUNCTION("""COMPUTED_VALUE"""),0.01)</f>
        <v>0.01</v>
      </c>
      <c r="K84" s="7">
        <f>IFERROR(__xludf.DUMMYFUNCTION("""COMPUTED_VALUE"""),0.0)</f>
        <v>0</v>
      </c>
    </row>
    <row r="85" ht="15.75" customHeight="1">
      <c r="A85" s="6" t="str">
        <f>IFERROR(__xludf.DUMMYFUNCTION("""COMPUTED_VALUE"""),"https://aeoagencyservices.com/Blog-Page/best-aeo-agency-in-australia-top-answer-engine-optimization-companies")</f>
        <v>https://aeoagencyservices.com/Blog-Page/best-aeo-agency-in-australia-top-answer-engine-optimization-companies</v>
      </c>
      <c r="B85" s="7" t="str">
        <f>IFERROR(__xludf.DUMMYFUNCTION("""COMPUTED_VALUE"""),"Best AEO Agency in Australia: 14 Top Answer Engine Optimization Companies - Web Of Picasso")</f>
        <v>Best AEO Agency in Australia: 14 Top Answer Engine Optimization Companies - Web Of Picasso</v>
      </c>
      <c r="C85" s="6" t="str">
        <f>IFERROR(__xludf.DUMMYFUNCTION("""COMPUTED_VALUE"""),"aeoagencyservices.com")</f>
        <v>aeoagencyservices.com</v>
      </c>
      <c r="D85" s="7" t="str">
        <f>IFERROR(__xludf.DUMMYFUNCTION("""COMPUTED_VALUE"""),"LISTICLE")</f>
        <v>LISTICLE</v>
      </c>
      <c r="E85" s="7" t="str">
        <f>IFERROR(__xludf.DUMMYFUNCTION("""COMPUTED_VALUE"""),"CORPORATE")</f>
        <v>CORPORATE</v>
      </c>
      <c r="F85" s="7" t="str">
        <f>IFERROR(__xludf.DUMMYFUNCTION("""COMPUTED_VALUE"""),"Listicle")</f>
        <v>Listicle</v>
      </c>
      <c r="G85" s="7" t="b">
        <f>IFERROR(__xludf.DUMMYFUNCTION("""COMPUTED_VALUE"""),FALSE)</f>
        <v>0</v>
      </c>
      <c r="H85" s="7" t="str">
        <f>IFERROR(__xludf.DUMMYFUNCTION("""COMPUTED_VALUE"""),"Digital Nomads HQ, First Page, First Page Australia, StudioHawk, Prosperity Media, Safari Digital, Supple Digital, Online Marketing Gurus, Earned Media, Impressive, Omnicom Media Group, Momentum")</f>
        <v>Digital Nomads HQ, First Page, First Page Australia, StudioHawk, Prosperity Media, Safari Digital, Supple Digital, Online Marketing Gurus, Earned Media, Impressive, Omnicom Media Group, Momentum</v>
      </c>
      <c r="I85" s="7">
        <f>IFERROR(__xludf.DUMMYFUNCTION("""COMPUTED_VALUE"""),10.0)</f>
        <v>10</v>
      </c>
      <c r="J85" s="7">
        <f>IFERROR(__xludf.DUMMYFUNCTION("""COMPUTED_VALUE"""),0.01)</f>
        <v>0.01</v>
      </c>
      <c r="K85" s="7">
        <f>IFERROR(__xludf.DUMMYFUNCTION("""COMPUTED_VALUE"""),0.2)</f>
        <v>0.2</v>
      </c>
    </row>
    <row r="86" ht="15.75" customHeight="1">
      <c r="A86" s="6" t="str">
        <f>IFERROR(__xludf.DUMMYFUNCTION("""COMPUTED_VALUE"""),"https://builtin.com/articles/digital-marketing-company-australia")</f>
        <v>https://builtin.com/articles/digital-marketing-company-australia</v>
      </c>
      <c r="B86" s="7" t="str">
        <f>IFERROR(__xludf.DUMMYFUNCTION("""COMPUTED_VALUE"""),"21 Digital Marketing Companies in Australia to Know | Built In")</f>
        <v>21 Digital Marketing Companies in Australia to Know | Built In</v>
      </c>
      <c r="C86" s="6" t="str">
        <f>IFERROR(__xludf.DUMMYFUNCTION("""COMPUTED_VALUE"""),"builtin.com")</f>
        <v>builtin.com</v>
      </c>
      <c r="D86" s="7" t="str">
        <f>IFERROR(__xludf.DUMMYFUNCTION("""COMPUTED_VALUE"""),"LISTICLE")</f>
        <v>LISTICLE</v>
      </c>
      <c r="E86" s="7" t="str">
        <f>IFERROR(__xludf.DUMMYFUNCTION("""COMPUTED_VALUE"""),"UGC")</f>
        <v>UGC</v>
      </c>
      <c r="F86" s="7" t="str">
        <f>IFERROR(__xludf.DUMMYFUNCTION("""COMPUTED_VALUE"""),"Listicle")</f>
        <v>Listicle</v>
      </c>
      <c r="G86" s="7" t="b">
        <f>IFERROR(__xludf.DUMMYFUNCTION("""COMPUTED_VALUE"""),FALSE)</f>
        <v>0</v>
      </c>
      <c r="H86" s="7" t="str">
        <f>IFERROR(__xludf.DUMMYFUNCTION("""COMPUTED_VALUE"""),"Rocket Agency, Megaphone, Online Marketing Gurus, Clearwater Agency, StudioHawk, Soup Agency, Emote Digital, Omnicom Media Group, AdVisible, Human Digital")</f>
        <v>Rocket Agency, Megaphone, Online Marketing Gurus, Clearwater Agency, StudioHawk, Soup Agency, Emote Digital, Omnicom Media Group, AdVisible, Human Digital</v>
      </c>
      <c r="I86" s="7">
        <f>IFERROR(__xludf.DUMMYFUNCTION("""COMPUTED_VALUE"""),10.0)</f>
        <v>10</v>
      </c>
      <c r="J86" s="7">
        <f>IFERROR(__xludf.DUMMYFUNCTION("""COMPUTED_VALUE"""),0.01)</f>
        <v>0.01</v>
      </c>
      <c r="K86" s="7">
        <f>IFERROR(__xludf.DUMMYFUNCTION("""COMPUTED_VALUE"""),0.3)</f>
        <v>0.3</v>
      </c>
    </row>
    <row r="87" ht="15.75" customHeight="1">
      <c r="A87" s="6" t="str">
        <f>IFERROR(__xludf.DUMMYFUNCTION("""COMPUTED_VALUE"""),"https://www.bushnote.com/articles/best-10-aeo-agencies-in-australia-to-promote-b2b-companies-in-2026")</f>
        <v>https://www.bushnote.com/articles/best-10-aeo-agencies-in-australia-to-promote-b2b-companies-in-2026</v>
      </c>
      <c r="B87" s="7" t="str">
        <f>IFERROR(__xludf.DUMMYFUNCTION("""COMPUTED_VALUE"""),"Best 10 AEO Agencies in Australia for B2B Companies (2026)")</f>
        <v>Best 10 AEO Agencies in Australia for B2B Companies (2026)</v>
      </c>
      <c r="C87" s="6" t="str">
        <f>IFERROR(__xludf.DUMMYFUNCTION("""COMPUTED_VALUE"""),"bushnote.com")</f>
        <v>bushnote.com</v>
      </c>
      <c r="D87" s="7" t="str">
        <f>IFERROR(__xludf.DUMMYFUNCTION("""COMPUTED_VALUE"""),"LISTICLE")</f>
        <v>LISTICLE</v>
      </c>
      <c r="E87" s="7" t="str">
        <f>IFERROR(__xludf.DUMMYFUNCTION("""COMPUTED_VALUE"""),"COMPETITOR")</f>
        <v>COMPETITOR</v>
      </c>
      <c r="F87" s="7" t="str">
        <f>IFERROR(__xludf.DUMMYFUNCTION("""COMPUTED_VALUE"""),"Listicle")</f>
        <v>Listicle</v>
      </c>
      <c r="G87" s="7" t="b">
        <f>IFERROR(__xludf.DUMMYFUNCTION("""COMPUTED_VALUE"""),FALSE)</f>
        <v>0</v>
      </c>
      <c r="H87" s="7" t="str">
        <f>IFERROR(__xludf.DUMMYFUNCTION("""COMPUTED_VALUE"""),"Luminary, Bushnote, Prosperity Media, Online Marketing Gurus")</f>
        <v>Luminary, Bushnote, Prosperity Media, Online Marketing Gurus</v>
      </c>
      <c r="I87" s="7">
        <f>IFERROR(__xludf.DUMMYFUNCTION("""COMPUTED_VALUE"""),10.0)</f>
        <v>10</v>
      </c>
      <c r="J87" s="7">
        <f>IFERROR(__xludf.DUMMYFUNCTION("""COMPUTED_VALUE"""),0.01)</f>
        <v>0.01</v>
      </c>
      <c r="K87" s="7">
        <f>IFERROR(__xludf.DUMMYFUNCTION("""COMPUTED_VALUE"""),0.2)</f>
        <v>0.2</v>
      </c>
    </row>
    <row r="88" ht="15.75" customHeight="1">
      <c r="A88" s="6" t="str">
        <f>IFERROR(__xludf.DUMMYFUNCTION("""COMPUTED_VALUE"""),"https://www.cometly.com/post/marketing-attribution-tools-for-agencies")</f>
        <v>https://www.cometly.com/post/marketing-attribution-tools-for-agencies</v>
      </c>
      <c r="B88" s="7" t="str">
        <f>IFERROR(__xludf.DUMMYFUNCTION("""COMPUTED_VALUE"""),"Best Marketing Attribution Tools For Agencies 2026")</f>
        <v>Best Marketing Attribution Tools For Agencies 2026</v>
      </c>
      <c r="C88" s="6" t="str">
        <f>IFERROR(__xludf.DUMMYFUNCTION("""COMPUTED_VALUE"""),"cometly.com")</f>
        <v>cometly.com</v>
      </c>
      <c r="D88" s="7" t="str">
        <f>IFERROR(__xludf.DUMMYFUNCTION("""COMPUTED_VALUE"""),"LISTICLE")</f>
        <v>LISTICLE</v>
      </c>
      <c r="E88" s="7" t="str">
        <f>IFERROR(__xludf.DUMMYFUNCTION("""COMPUTED_VALUE"""),"CORPORATE")</f>
        <v>CORPORATE</v>
      </c>
      <c r="F88" s="7" t="str">
        <f>IFERROR(__xludf.DUMMYFUNCTION("""COMPUTED_VALUE"""),"Listicle")</f>
        <v>Listicle</v>
      </c>
      <c r="G88" s="7" t="b">
        <f>IFERROR(__xludf.DUMMYFUNCTION("""COMPUTED_VALUE"""),FALSE)</f>
        <v>0</v>
      </c>
      <c r="H88" s="7"/>
      <c r="I88" s="7">
        <f>IFERROR(__xludf.DUMMYFUNCTION("""COMPUTED_VALUE"""),10.0)</f>
        <v>10</v>
      </c>
      <c r="J88" s="7">
        <f>IFERROR(__xludf.DUMMYFUNCTION("""COMPUTED_VALUE"""),0.01)</f>
        <v>0.01</v>
      </c>
      <c r="K88" s="7">
        <f>IFERROR(__xludf.DUMMYFUNCTION("""COMPUTED_VALUE"""),0.1)</f>
        <v>0.1</v>
      </c>
    </row>
    <row r="89" ht="15.75" customHeight="1">
      <c r="A89" s="6" t="str">
        <f>IFERROR(__xludf.DUMMYFUNCTION("""COMPUTED_VALUE"""),"https://www.designrush.com/agency/social-media-marketing/au")</f>
        <v>https://www.designrush.com/agency/social-media-marketing/au</v>
      </c>
      <c r="B89" s="7" t="str">
        <f>IFERROR(__xludf.DUMMYFUNCTION("""COMPUTED_VALUE"""),"Top Social Media Marketing Agencies in Australia | 2026")</f>
        <v>Top Social Media Marketing Agencies in Australia | 2026</v>
      </c>
      <c r="C89" s="6" t="str">
        <f>IFERROR(__xludf.DUMMYFUNCTION("""COMPUTED_VALUE"""),"designrush.com")</f>
        <v>designrush.com</v>
      </c>
      <c r="D89" s="7" t="str">
        <f>IFERROR(__xludf.DUMMYFUNCTION("""COMPUTED_VALUE"""),"LISTICLE")</f>
        <v>LISTICLE</v>
      </c>
      <c r="E89" s="7" t="str">
        <f>IFERROR(__xludf.DUMMYFUNCTION("""COMPUTED_VALUE"""),"CORPORATE")</f>
        <v>CORPORATE</v>
      </c>
      <c r="F89" s="7" t="str">
        <f>IFERROR(__xludf.DUMMYFUNCTION("""COMPUTED_VALUE"""),"Listicle")</f>
        <v>Listicle</v>
      </c>
      <c r="G89" s="7" t="b">
        <f>IFERROR(__xludf.DUMMYFUNCTION("""COMPUTED_VALUE"""),FALSE)</f>
        <v>0</v>
      </c>
      <c r="H89" s="7" t="str">
        <f>IFERROR(__xludf.DUMMYFUNCTION("""COMPUTED_VALUE"""),"Supple Digital, eMarket Experts, Online Marketing Gurus, SIXGUN, Digital Nomads HQ, Impressive, Deloitte, HERO")</f>
        <v>Supple Digital, eMarket Experts, Online Marketing Gurus, SIXGUN, Digital Nomads HQ, Impressive, Deloitte, HERO</v>
      </c>
      <c r="I89" s="7">
        <f>IFERROR(__xludf.DUMMYFUNCTION("""COMPUTED_VALUE"""),10.0)</f>
        <v>10</v>
      </c>
      <c r="J89" s="7">
        <f>IFERROR(__xludf.DUMMYFUNCTION("""COMPUTED_VALUE"""),0.01)</f>
        <v>0.01</v>
      </c>
      <c r="K89" s="7">
        <f>IFERROR(__xludf.DUMMYFUNCTION("""COMPUTED_VALUE"""),0.1)</f>
        <v>0.1</v>
      </c>
    </row>
    <row r="90" ht="15.75" customHeight="1">
      <c r="A90" s="6" t="str">
        <f>IFERROR(__xludf.DUMMYFUNCTION("""COMPUTED_VALUE"""),"https://digitalnomadshq.com.au/blog/google-ads-companies/")</f>
        <v>https://digitalnomadshq.com.au/blog/google-ads-companies/</v>
      </c>
      <c r="B90" s="7" t="str">
        <f>IFERROR(__xludf.DUMMYFUNCTION("""COMPUTED_VALUE"""),"Top 10 Google Ads Companies in Australia [2026 Updated]")</f>
        <v>Top 10 Google Ads Companies in Australia [2026 Updated]</v>
      </c>
      <c r="C90" s="6" t="str">
        <f>IFERROR(__xludf.DUMMYFUNCTION("""COMPUTED_VALUE"""),"digitalnomadshq.com.au")</f>
        <v>digitalnomadshq.com.au</v>
      </c>
      <c r="D90" s="7" t="str">
        <f>IFERROR(__xludf.DUMMYFUNCTION("""COMPUTED_VALUE"""),"LISTICLE")</f>
        <v>LISTICLE</v>
      </c>
      <c r="E90" s="7" t="str">
        <f>IFERROR(__xludf.DUMMYFUNCTION("""COMPUTED_VALUE"""),"COMPETITOR")</f>
        <v>COMPETITOR</v>
      </c>
      <c r="F90" s="7" t="str">
        <f>IFERROR(__xludf.DUMMYFUNCTION("""COMPUTED_VALUE"""),"Listicle")</f>
        <v>Listicle</v>
      </c>
      <c r="G90" s="7" t="b">
        <f>IFERROR(__xludf.DUMMYFUNCTION("""COMPUTED_VALUE"""),FALSE)</f>
        <v>0</v>
      </c>
      <c r="H90" s="7" t="str">
        <f>IFERROR(__xludf.DUMMYFUNCTION("""COMPUTED_VALUE"""),"Digital Nomads HQ, Clearwater Agency, Online Marketing Gurus, eMarket Experts, Megaphone, SearchMax, Supple Digital, Earned Media, Omnicom Media Group")</f>
        <v>Digital Nomads HQ, Clearwater Agency, Online Marketing Gurus, eMarket Experts, Megaphone, SearchMax, Supple Digital, Earned Media, Omnicom Media Group</v>
      </c>
      <c r="I90" s="7">
        <f>IFERROR(__xludf.DUMMYFUNCTION("""COMPUTED_VALUE"""),10.0)</f>
        <v>10</v>
      </c>
      <c r="J90" s="7">
        <f>IFERROR(__xludf.DUMMYFUNCTION("""COMPUTED_VALUE"""),0.01)</f>
        <v>0.01</v>
      </c>
      <c r="K90" s="7">
        <f>IFERROR(__xludf.DUMMYFUNCTION("""COMPUTED_VALUE"""),0.5)</f>
        <v>0.5</v>
      </c>
    </row>
    <row r="91" ht="15.75" customHeight="1">
      <c r="A91" s="6" t="str">
        <f>IFERROR(__xludf.DUMMYFUNCTION("""COMPUTED_VALUE"""),"https://www.loudface.co/blog/best-aeo-agencies-2026")</f>
        <v>https://www.loudface.co/blog/best-aeo-agencies-2026</v>
      </c>
      <c r="B91" s="7" t="str">
        <f>IFERROR(__xludf.DUMMYFUNCTION("""COMPUTED_VALUE"""),"Best AEO &amp;amp; AI Search Agencies in 2026 (Ranked) | LoudFace")</f>
        <v>Best AEO &amp;amp; AI Search Agencies in 2026 (Ranked) | LoudFace</v>
      </c>
      <c r="C91" s="6" t="str">
        <f>IFERROR(__xludf.DUMMYFUNCTION("""COMPUTED_VALUE"""),"loudface.co")</f>
        <v>loudface.co</v>
      </c>
      <c r="D91" s="7" t="str">
        <f>IFERROR(__xludf.DUMMYFUNCTION("""COMPUTED_VALUE"""),"LISTICLE")</f>
        <v>LISTICLE</v>
      </c>
      <c r="E91" s="7" t="str">
        <f>IFERROR(__xludf.DUMMYFUNCTION("""COMPUTED_VALUE"""),"CORPORATE")</f>
        <v>CORPORATE</v>
      </c>
      <c r="F91" s="7" t="str">
        <f>IFERROR(__xludf.DUMMYFUNCTION("""COMPUTED_VALUE"""),"Listicle")</f>
        <v>Listicle</v>
      </c>
      <c r="G91" s="7" t="b">
        <f>IFERROR(__xludf.DUMMYFUNCTION("""COMPUTED_VALUE"""),FALSE)</f>
        <v>0</v>
      </c>
      <c r="H91" s="7" t="str">
        <f>IFERROR(__xludf.DUMMYFUNCTION("""COMPUTED_VALUE"""),"First Page, Measured, Earned Media")</f>
        <v>First Page, Measured, Earned Media</v>
      </c>
      <c r="I91" s="7">
        <f>IFERROR(__xludf.DUMMYFUNCTION("""COMPUTED_VALUE"""),10.0)</f>
        <v>10</v>
      </c>
      <c r="J91" s="7">
        <f>IFERROR(__xludf.DUMMYFUNCTION("""COMPUTED_VALUE"""),0.01)</f>
        <v>0.01</v>
      </c>
      <c r="K91" s="7">
        <f>IFERROR(__xludf.DUMMYFUNCTION("""COMPUTED_VALUE"""),0.4)</f>
        <v>0.4</v>
      </c>
    </row>
    <row r="92" ht="15.75" customHeight="1">
      <c r="A92" s="6" t="str">
        <f>IFERROR(__xludf.DUMMYFUNCTION("""COMPUTED_VALUE"""),"https://vocal.media/01/australia-s-leading-performance-marketing-services")</f>
        <v>https://vocal.media/01/australia-s-leading-performance-marketing-services</v>
      </c>
      <c r="B92" s="7" t="str">
        <f>IFERROR(__xludf.DUMMYFUNCTION("""COMPUTED_VALUE"""),"Australia's Leading Performance Marketing Services | 01")</f>
        <v>Australia's Leading Performance Marketing Services | 01</v>
      </c>
      <c r="C92" s="7" t="str">
        <f>IFERROR(__xludf.DUMMYFUNCTION("""COMPUTED_VALUE"""),"vocal.media")</f>
        <v>vocal.media</v>
      </c>
      <c r="D92" s="7" t="str">
        <f>IFERROR(__xludf.DUMMYFUNCTION("""COMPUTED_VALUE"""),"LISTICLE")</f>
        <v>LISTICLE</v>
      </c>
      <c r="E92" s="7" t="str">
        <f>IFERROR(__xludf.DUMMYFUNCTION("""COMPUTED_VALUE"""),"UGC")</f>
        <v>UGC</v>
      </c>
      <c r="F92" s="7" t="str">
        <f>IFERROR(__xludf.DUMMYFUNCTION("""COMPUTED_VALUE"""),"Listicle")</f>
        <v>Listicle</v>
      </c>
      <c r="G92" s="7" t="b">
        <f>IFERROR(__xludf.DUMMYFUNCTION("""COMPUTED_VALUE"""),FALSE)</f>
        <v>0</v>
      </c>
      <c r="H92" s="7" t="str">
        <f>IFERROR(__xludf.DUMMYFUNCTION("""COMPUTED_VALUE"""),"Reload Media, Megaphone")</f>
        <v>Reload Media, Megaphone</v>
      </c>
      <c r="I92" s="7">
        <f>IFERROR(__xludf.DUMMYFUNCTION("""COMPUTED_VALUE"""),10.0)</f>
        <v>10</v>
      </c>
      <c r="J92" s="7">
        <f>IFERROR(__xludf.DUMMYFUNCTION("""COMPUTED_VALUE"""),0.01)</f>
        <v>0.01</v>
      </c>
      <c r="K92" s="7">
        <f>IFERROR(__xludf.DUMMYFUNCTION("""COMPUTED_VALUE"""),0.8)</f>
        <v>0.8</v>
      </c>
    </row>
    <row r="93" ht="15.75" customHeight="1">
      <c r="A93" s="6" t="str">
        <f>IFERROR(__xludf.DUMMYFUNCTION("""COMPUTED_VALUE"""),"https://agrtech.com.au/ai/top-10-best-geo-optimization-agencies-in-the-world/")</f>
        <v>https://agrtech.com.au/ai/top-10-best-geo-optimization-agencies-in-the-world/</v>
      </c>
      <c r="B93" s="7" t="str">
        <f>IFERROR(__xludf.DUMMYFUNCTION("""COMPUTED_VALUE"""),"Top GEO Optimization Agencies in the World 2026")</f>
        <v>Top GEO Optimization Agencies in the World 2026</v>
      </c>
      <c r="C93" s="6" t="str">
        <f>IFERROR(__xludf.DUMMYFUNCTION("""COMPUTED_VALUE"""),"agrtech.com.au")</f>
        <v>agrtech.com.au</v>
      </c>
      <c r="D93" s="7" t="str">
        <f>IFERROR(__xludf.DUMMYFUNCTION("""COMPUTED_VALUE"""),"LISTICLE")</f>
        <v>LISTICLE</v>
      </c>
      <c r="E93" s="7" t="str">
        <f>IFERROR(__xludf.DUMMYFUNCTION("""COMPUTED_VALUE"""),"CORPORATE")</f>
        <v>CORPORATE</v>
      </c>
      <c r="F93" s="7" t="str">
        <f>IFERROR(__xludf.DUMMYFUNCTION("""COMPUTED_VALUE"""),"Listicle")</f>
        <v>Listicle</v>
      </c>
      <c r="G93" s="7" t="b">
        <f>IFERROR(__xludf.DUMMYFUNCTION("""COMPUTED_VALUE"""),FALSE)</f>
        <v>0</v>
      </c>
      <c r="H93" s="7" t="str">
        <f>IFERROR(__xludf.DUMMYFUNCTION("""COMPUTED_VALUE"""),"Intero Digital, First Page, Earned Media")</f>
        <v>Intero Digital, First Page, Earned Media</v>
      </c>
      <c r="I93" s="7">
        <f>IFERROR(__xludf.DUMMYFUNCTION("""COMPUTED_VALUE"""),9.0)</f>
        <v>9</v>
      </c>
      <c r="J93" s="7">
        <f>IFERROR(__xludf.DUMMYFUNCTION("""COMPUTED_VALUE"""),0.01)</f>
        <v>0.01</v>
      </c>
      <c r="K93" s="7">
        <f>IFERROR(__xludf.DUMMYFUNCTION("""COMPUTED_VALUE"""),0.0)</f>
        <v>0</v>
      </c>
    </row>
    <row r="94" ht="15.75" customHeight="1">
      <c r="A94" s="6" t="str">
        <f>IFERROR(__xludf.DUMMYFUNCTION("""COMPUTED_VALUE"""),"https://www.bushletter.com/best-aeo-agencies-australia-2026-ai-engine-test/")</f>
        <v>https://www.bushletter.com/best-aeo-agencies-australia-2026-ai-engine-test/</v>
      </c>
      <c r="B94" s="7" t="str">
        <f>IFERROR(__xludf.DUMMYFUNCTION("""COMPUTED_VALUE"""),"Best AEO agencies in Australia for 2026: we asked four AI engines who they cite")</f>
        <v>Best AEO agencies in Australia for 2026: we asked four AI engines who they cite</v>
      </c>
      <c r="C94" s="6" t="str">
        <f>IFERROR(__xludf.DUMMYFUNCTION("""COMPUTED_VALUE"""),"bushletter.com")</f>
        <v>bushletter.com</v>
      </c>
      <c r="D94" s="7" t="str">
        <f>IFERROR(__xludf.DUMMYFUNCTION("""COMPUTED_VALUE"""),"LISTICLE")</f>
        <v>LISTICLE</v>
      </c>
      <c r="E94" s="7" t="str">
        <f>IFERROR(__xludf.DUMMYFUNCTION("""COMPUTED_VALUE"""),"EDITORIAL")</f>
        <v>EDITORIAL</v>
      </c>
      <c r="F94" s="7" t="str">
        <f>IFERROR(__xludf.DUMMYFUNCTION("""COMPUTED_VALUE"""),"Listicle")</f>
        <v>Listicle</v>
      </c>
      <c r="G94" s="7" t="b">
        <f>IFERROR(__xludf.DUMMYFUNCTION("""COMPUTED_VALUE"""),FALSE)</f>
        <v>0</v>
      </c>
      <c r="H94" s="7" t="str">
        <f>IFERROR(__xludf.DUMMYFUNCTION("""COMPUTED_VALUE"""),"Bushnote, Reload Media, StudioHawk, Prosperity Media, Webprofits, Impressive")</f>
        <v>Bushnote, Reload Media, StudioHawk, Prosperity Media, Webprofits, Impressive</v>
      </c>
      <c r="I94" s="7">
        <f>IFERROR(__xludf.DUMMYFUNCTION("""COMPUTED_VALUE"""),9.0)</f>
        <v>9</v>
      </c>
      <c r="J94" s="7">
        <f>IFERROR(__xludf.DUMMYFUNCTION("""COMPUTED_VALUE"""),0.01)</f>
        <v>0.01</v>
      </c>
      <c r="K94" s="7">
        <f>IFERROR(__xludf.DUMMYFUNCTION("""COMPUTED_VALUE"""),4.0)</f>
        <v>4</v>
      </c>
    </row>
    <row r="95" ht="15.75" customHeight="1">
      <c r="A95" s="6" t="str">
        <f>IFERROR(__xludf.DUMMYFUNCTION("""COMPUTED_VALUE"""),"https://www.bushletter.com/the-10-best-aeo-agencies-for-australian-financial-services-firms-in-2026/")</f>
        <v>https://www.bushletter.com/the-10-best-aeo-agencies-for-australian-financial-services-firms-in-2026/</v>
      </c>
      <c r="B95" s="7" t="str">
        <f>IFERROR(__xludf.DUMMYFUNCTION("""COMPUTED_VALUE"""),"Best AEO agencies for Australian financial services 2026")</f>
        <v>Best AEO agencies for Australian financial services 2026</v>
      </c>
      <c r="C95" s="6" t="str">
        <f>IFERROR(__xludf.DUMMYFUNCTION("""COMPUTED_VALUE"""),"bushletter.com")</f>
        <v>bushletter.com</v>
      </c>
      <c r="D95" s="7" t="str">
        <f>IFERROR(__xludf.DUMMYFUNCTION("""COMPUTED_VALUE"""),"LISTICLE")</f>
        <v>LISTICLE</v>
      </c>
      <c r="E95" s="7" t="str">
        <f>IFERROR(__xludf.DUMMYFUNCTION("""COMPUTED_VALUE"""),"EDITORIAL")</f>
        <v>EDITORIAL</v>
      </c>
      <c r="F95" s="7" t="str">
        <f>IFERROR(__xludf.DUMMYFUNCTION("""COMPUTED_VALUE"""),"Listicle")</f>
        <v>Listicle</v>
      </c>
      <c r="G95" s="7" t="b">
        <f>IFERROR(__xludf.DUMMYFUNCTION("""COMPUTED_VALUE"""),FALSE)</f>
        <v>0</v>
      </c>
      <c r="H95" s="7" t="str">
        <f>IFERROR(__xludf.DUMMYFUNCTION("""COMPUTED_VALUE"""),"Bushnote, Luminary, Webprofits, Impressive, Online Marketing Gurus, Omnicom Media Group")</f>
        <v>Bushnote, Luminary, Webprofits, Impressive, Online Marketing Gurus, Omnicom Media Group</v>
      </c>
      <c r="I95" s="7">
        <f>IFERROR(__xludf.DUMMYFUNCTION("""COMPUTED_VALUE"""),9.0)</f>
        <v>9</v>
      </c>
      <c r="J95" s="7">
        <f>IFERROR(__xludf.DUMMYFUNCTION("""COMPUTED_VALUE"""),0.01)</f>
        <v>0.01</v>
      </c>
      <c r="K95" s="7">
        <f>IFERROR(__xludf.DUMMYFUNCTION("""COMPUTED_VALUE"""),1.44)</f>
        <v>1.44</v>
      </c>
    </row>
    <row r="96" ht="15.75" customHeight="1">
      <c r="A96" s="6" t="str">
        <f>IFERROR(__xludf.DUMMYFUNCTION("""COMPUTED_VALUE"""),"https://www.bushnote.com/articles/top-ai-marketing-agencies-australia-2025")</f>
        <v>https://www.bushnote.com/articles/top-ai-marketing-agencies-australia-2025</v>
      </c>
      <c r="B96" s="7" t="str">
        <f>IFERROR(__xludf.DUMMYFUNCTION("""COMPUTED_VALUE"""),"Top AI Marketing Agencies Australia 2025: Strategic Shift")</f>
        <v>Top AI Marketing Agencies Australia 2025: Strategic Shift</v>
      </c>
      <c r="C96" s="6" t="str">
        <f>IFERROR(__xludf.DUMMYFUNCTION("""COMPUTED_VALUE"""),"bushnote.com")</f>
        <v>bushnote.com</v>
      </c>
      <c r="D96" s="7" t="str">
        <f>IFERROR(__xludf.DUMMYFUNCTION("""COMPUTED_VALUE"""),"LISTICLE")</f>
        <v>LISTICLE</v>
      </c>
      <c r="E96" s="7" t="str">
        <f>IFERROR(__xludf.DUMMYFUNCTION("""COMPUTED_VALUE"""),"COMPETITOR")</f>
        <v>COMPETITOR</v>
      </c>
      <c r="F96" s="7" t="str">
        <f>IFERROR(__xludf.DUMMYFUNCTION("""COMPUTED_VALUE"""),"Listicle")</f>
        <v>Listicle</v>
      </c>
      <c r="G96" s="7" t="b">
        <f>IFERROR(__xludf.DUMMYFUNCTION("""COMPUTED_VALUE"""),FALSE)</f>
        <v>0</v>
      </c>
      <c r="H96" s="7" t="str">
        <f>IFERROR(__xludf.DUMMYFUNCTION("""COMPUTED_VALUE"""),"Bushnote")</f>
        <v>Bushnote</v>
      </c>
      <c r="I96" s="7">
        <f>IFERROR(__xludf.DUMMYFUNCTION("""COMPUTED_VALUE"""),9.0)</f>
        <v>9</v>
      </c>
      <c r="J96" s="7">
        <f>IFERROR(__xludf.DUMMYFUNCTION("""COMPUTED_VALUE"""),0.01)</f>
        <v>0.01</v>
      </c>
      <c r="K96" s="7">
        <f>IFERROR(__xludf.DUMMYFUNCTION("""COMPUTED_VALUE"""),0.0)</f>
        <v>0</v>
      </c>
    </row>
    <row r="97" ht="15.75" customHeight="1">
      <c r="A97" s="6" t="str">
        <f>IFERROR(__xludf.DUMMYFUNCTION("""COMPUTED_VALUE"""),"https://www.designrush.com/agency/digital-marketing/au")</f>
        <v>https://www.designrush.com/agency/digital-marketing/au</v>
      </c>
      <c r="B97" s="7" t="str">
        <f>IFERROR(__xludf.DUMMYFUNCTION("""COMPUTED_VALUE"""),"Top Digital Marketing Agencies in Australia | 2026")</f>
        <v>Top Digital Marketing Agencies in Australia | 2026</v>
      </c>
      <c r="C97" s="6" t="str">
        <f>IFERROR(__xludf.DUMMYFUNCTION("""COMPUTED_VALUE"""),"designrush.com")</f>
        <v>designrush.com</v>
      </c>
      <c r="D97" s="7" t="str">
        <f>IFERROR(__xludf.DUMMYFUNCTION("""COMPUTED_VALUE"""),"LISTICLE")</f>
        <v>LISTICLE</v>
      </c>
      <c r="E97" s="7" t="str">
        <f>IFERROR(__xludf.DUMMYFUNCTION("""COMPUTED_VALUE"""),"CORPORATE")</f>
        <v>CORPORATE</v>
      </c>
      <c r="F97" s="7" t="str">
        <f>IFERROR(__xludf.DUMMYFUNCTION("""COMPUTED_VALUE"""),"Listicle")</f>
        <v>Listicle</v>
      </c>
      <c r="G97" s="7" t="b">
        <f>IFERROR(__xludf.DUMMYFUNCTION("""COMPUTED_VALUE"""),FALSE)</f>
        <v>0</v>
      </c>
      <c r="H97" s="7" t="str">
        <f>IFERROR(__xludf.DUMMYFUNCTION("""COMPUTED_VALUE"""),"First Page, First Page Australia, Impressive, Deloitte, Supple Digital, eMarket Experts, Online Marketing Gurus, SIXGUN, Digital Nomads HQ, 23 Digital")</f>
        <v>First Page, First Page Australia, Impressive, Deloitte, Supple Digital, eMarket Experts, Online Marketing Gurus, SIXGUN, Digital Nomads HQ, 23 Digital</v>
      </c>
      <c r="I97" s="7">
        <f>IFERROR(__xludf.DUMMYFUNCTION("""COMPUTED_VALUE"""),9.0)</f>
        <v>9</v>
      </c>
      <c r="J97" s="7">
        <f>IFERROR(__xludf.DUMMYFUNCTION("""COMPUTED_VALUE"""),0.01)</f>
        <v>0.01</v>
      </c>
      <c r="K97" s="7">
        <f>IFERROR(__xludf.DUMMYFUNCTION("""COMPUTED_VALUE"""),0.44)</f>
        <v>0.44</v>
      </c>
    </row>
    <row r="98" ht="15.75" customHeight="1">
      <c r="A98" s="6" t="str">
        <f>IFERROR(__xludf.DUMMYFUNCTION("""COMPUTED_VALUE"""),"https://digitaldigest.au/ai-seo-agencies/")</f>
        <v>https://digitaldigest.au/ai-seo-agencies/</v>
      </c>
      <c r="B98" s="7" t="str">
        <f>IFERROR(__xludf.DUMMYFUNCTION("""COMPUTED_VALUE"""),"9 Best AI SEO Agencies in Australia (2026)")</f>
        <v>9 Best AI SEO Agencies in Australia (2026)</v>
      </c>
      <c r="C98" s="6" t="str">
        <f>IFERROR(__xludf.DUMMYFUNCTION("""COMPUTED_VALUE"""),"digitaldigest.au")</f>
        <v>digitaldigest.au</v>
      </c>
      <c r="D98" s="7" t="str">
        <f>IFERROR(__xludf.DUMMYFUNCTION("""COMPUTED_VALUE"""),"LISTICLE")</f>
        <v>LISTICLE</v>
      </c>
      <c r="E98" s="7" t="str">
        <f>IFERROR(__xludf.DUMMYFUNCTION("""COMPUTED_VALUE"""),"EDITORIAL")</f>
        <v>EDITORIAL</v>
      </c>
      <c r="F98" s="7" t="str">
        <f>IFERROR(__xludf.DUMMYFUNCTION("""COMPUTED_VALUE"""),"Listicle")</f>
        <v>Listicle</v>
      </c>
      <c r="G98" s="7" t="b">
        <f>IFERROR(__xludf.DUMMYFUNCTION("""COMPUTED_VALUE"""),FALSE)</f>
        <v>0</v>
      </c>
      <c r="H98" s="7" t="str">
        <f>IFERROR(__xludf.DUMMYFUNCTION("""COMPUTED_VALUE"""),"Digital Nomads HQ, Prosperity Media, StudioHawk, Impressive, Luminary, Intesols")</f>
        <v>Digital Nomads HQ, Prosperity Media, StudioHawk, Impressive, Luminary, Intesols</v>
      </c>
      <c r="I98" s="7">
        <f>IFERROR(__xludf.DUMMYFUNCTION("""COMPUTED_VALUE"""),9.0)</f>
        <v>9</v>
      </c>
      <c r="J98" s="7">
        <f>IFERROR(__xludf.DUMMYFUNCTION("""COMPUTED_VALUE"""),0.01)</f>
        <v>0.01</v>
      </c>
      <c r="K98" s="7">
        <f>IFERROR(__xludf.DUMMYFUNCTION("""COMPUTED_VALUE"""),2.78)</f>
        <v>2.78</v>
      </c>
    </row>
    <row r="99" ht="15.75" customHeight="1">
      <c r="A99" s="6" t="str">
        <f>IFERROR(__xludf.DUMMYFUNCTION("""COMPUTED_VALUE"""),"https://digitaldigest.au/best-social-media-agencies/")</f>
        <v>https://digitaldigest.au/best-social-media-agencies/</v>
      </c>
      <c r="B99" s="7" t="str">
        <f>IFERROR(__xludf.DUMMYFUNCTION("""COMPUTED_VALUE"""),"15 Best Social Media Agencies in 2025 (With Reviews)")</f>
        <v>15 Best Social Media Agencies in 2025 (With Reviews)</v>
      </c>
      <c r="C99" s="6" t="str">
        <f>IFERROR(__xludf.DUMMYFUNCTION("""COMPUTED_VALUE"""),"digitaldigest.au")</f>
        <v>digitaldigest.au</v>
      </c>
      <c r="D99" s="7" t="str">
        <f>IFERROR(__xludf.DUMMYFUNCTION("""COMPUTED_VALUE"""),"LISTICLE")</f>
        <v>LISTICLE</v>
      </c>
      <c r="E99" s="7" t="str">
        <f>IFERROR(__xludf.DUMMYFUNCTION("""COMPUTED_VALUE"""),"EDITORIAL")</f>
        <v>EDITORIAL</v>
      </c>
      <c r="F99" s="7" t="str">
        <f>IFERROR(__xludf.DUMMYFUNCTION("""COMPUTED_VALUE"""),"Listicle")</f>
        <v>Listicle</v>
      </c>
      <c r="G99" s="7" t="b">
        <f>IFERROR(__xludf.DUMMYFUNCTION("""COMPUTED_VALUE"""),FALSE)</f>
        <v>0</v>
      </c>
      <c r="H99" s="7" t="str">
        <f>IFERROR(__xludf.DUMMYFUNCTION("""COMPUTED_VALUE"""),"Impressive, Online Marketing Gurus, Omnicom Media Group, Deloitte, Soup Agency, Farsiight, Megaphone, Paradox Marketing, Emote Digital, Human Digital, DNM Digital, Rocket Agency, Clearwater Agency, Earned Media")</f>
        <v>Impressive, Online Marketing Gurus, Omnicom Media Group, Deloitte, Soup Agency, Farsiight, Megaphone, Paradox Marketing, Emote Digital, Human Digital, DNM Digital, Rocket Agency, Clearwater Agency, Earned Media</v>
      </c>
      <c r="I99" s="7">
        <f>IFERROR(__xludf.DUMMYFUNCTION("""COMPUTED_VALUE"""),9.0)</f>
        <v>9</v>
      </c>
      <c r="J99" s="7">
        <f>IFERROR(__xludf.DUMMYFUNCTION("""COMPUTED_VALUE"""),0.01)</f>
        <v>0.01</v>
      </c>
      <c r="K99" s="7">
        <f>IFERROR(__xludf.DUMMYFUNCTION("""COMPUTED_VALUE"""),0.11)</f>
        <v>0.11</v>
      </c>
    </row>
    <row r="100" ht="15.75" customHeight="1">
      <c r="A100" s="6" t="str">
        <f>IFERROR(__xludf.DUMMYFUNCTION("""COMPUTED_VALUE"""),"https://www.exaltgrowth.com/generative-engine-optimization/top-australian-saas-geo-agencies")</f>
        <v>https://www.exaltgrowth.com/generative-engine-optimization/top-australian-saas-geo-agencies</v>
      </c>
      <c r="B100" s="7" t="str">
        <f>IFERROR(__xludf.DUMMYFUNCTION("""COMPUTED_VALUE"""),"Top 10 Australian SaaS GEO Agencies in 2026")</f>
        <v>Top 10 Australian SaaS GEO Agencies in 2026</v>
      </c>
      <c r="C100" s="6" t="str">
        <f>IFERROR(__xludf.DUMMYFUNCTION("""COMPUTED_VALUE"""),"exaltgrowth.com")</f>
        <v>exaltgrowth.com</v>
      </c>
      <c r="D100" s="7" t="str">
        <f>IFERROR(__xludf.DUMMYFUNCTION("""COMPUTED_VALUE"""),"LISTICLE")</f>
        <v>LISTICLE</v>
      </c>
      <c r="E100" s="7" t="str">
        <f>IFERROR(__xludf.DUMMYFUNCTION("""COMPUTED_VALUE"""),"CORPORATE")</f>
        <v>CORPORATE</v>
      </c>
      <c r="F100" s="7" t="str">
        <f>IFERROR(__xludf.DUMMYFUNCTION("""COMPUTED_VALUE"""),"Listicle")</f>
        <v>Listicle</v>
      </c>
      <c r="G100" s="7" t="b">
        <f>IFERROR(__xludf.DUMMYFUNCTION("""COMPUTED_VALUE"""),FALSE)</f>
        <v>0</v>
      </c>
      <c r="H100" s="7" t="str">
        <f>IFERROR(__xludf.DUMMYFUNCTION("""COMPUTED_VALUE"""),"Prosperity Media, First Page, Impressive, StudioHawk, Luminary, Predicta Digital, Earned Media")</f>
        <v>Prosperity Media, First Page, Impressive, StudioHawk, Luminary, Predicta Digital, Earned Media</v>
      </c>
      <c r="I100" s="7">
        <f>IFERROR(__xludf.DUMMYFUNCTION("""COMPUTED_VALUE"""),9.0)</f>
        <v>9</v>
      </c>
      <c r="J100" s="7">
        <f>IFERROR(__xludf.DUMMYFUNCTION("""COMPUTED_VALUE"""),0.01)</f>
        <v>0.01</v>
      </c>
      <c r="K100" s="7">
        <f>IFERROR(__xludf.DUMMYFUNCTION("""COMPUTED_VALUE"""),0.78)</f>
        <v>0.78</v>
      </c>
    </row>
    <row r="101" ht="15.75" customHeight="1">
      <c r="A101" s="6" t="str">
        <f>IFERROR(__xludf.DUMMYFUNCTION("""COMPUTED_VALUE"""),"https://www.hashtag.net.au/news/technology/146815-top-agencies-using-ai-to-improve-search-visibility-for-australian-brands")</f>
        <v>https://www.hashtag.net.au/news/technology/146815-top-agencies-using-ai-to-improve-search-visibility-for-australian-brands</v>
      </c>
      <c r="B101" s="7" t="str">
        <f>IFERROR(__xludf.DUMMYFUNCTION("""COMPUTED_VALUE"""),"Top Agencies Using AI to Improve Search Visibility for Australian Brands")</f>
        <v>Top Agencies Using AI to Improve Search Visibility for Australian Brands</v>
      </c>
      <c r="C101" s="6" t="str">
        <f>IFERROR(__xludf.DUMMYFUNCTION("""COMPUTED_VALUE"""),"hashtag.net.au")</f>
        <v>hashtag.net.au</v>
      </c>
      <c r="D101" s="7" t="str">
        <f>IFERROR(__xludf.DUMMYFUNCTION("""COMPUTED_VALUE"""),"LISTICLE")</f>
        <v>LISTICLE</v>
      </c>
      <c r="E101" s="7" t="str">
        <f>IFERROR(__xludf.DUMMYFUNCTION("""COMPUTED_VALUE"""),"CORPORATE")</f>
        <v>CORPORATE</v>
      </c>
      <c r="F101" s="7" t="str">
        <f>IFERROR(__xludf.DUMMYFUNCTION("""COMPUTED_VALUE"""),"Listicle")</f>
        <v>Listicle</v>
      </c>
      <c r="G101" s="7" t="b">
        <f>IFERROR(__xludf.DUMMYFUNCTION("""COMPUTED_VALUE"""),FALSE)</f>
        <v>0</v>
      </c>
      <c r="H101" s="7" t="str">
        <f>IFERROR(__xludf.DUMMYFUNCTION("""COMPUTED_VALUE"""),"NP Digital Australia, Impressive, Safari Digital, Clearwater Agency, King Kong, Emote Digital, Soup Agency, Prosperity Media, Measured")</f>
        <v>NP Digital Australia, Impressive, Safari Digital, Clearwater Agency, King Kong, Emote Digital, Soup Agency, Prosperity Media, Measured</v>
      </c>
      <c r="I101" s="7">
        <f>IFERROR(__xludf.DUMMYFUNCTION("""COMPUTED_VALUE"""),9.0)</f>
        <v>9</v>
      </c>
      <c r="J101" s="7">
        <f>IFERROR(__xludf.DUMMYFUNCTION("""COMPUTED_VALUE"""),0.01)</f>
        <v>0.01</v>
      </c>
      <c r="K101" s="7">
        <f>IFERROR(__xludf.DUMMYFUNCTION("""COMPUTED_VALUE"""),1.22)</f>
        <v>1.22</v>
      </c>
    </row>
    <row r="102" ht="15.75" customHeight="1">
      <c r="A102" s="6" t="str">
        <f>IFERROR(__xludf.DUMMYFUNCTION("""COMPUTED_VALUE"""),"https://itprofiles.com/services/ppc/australia")</f>
        <v>https://itprofiles.com/services/ppc/australia</v>
      </c>
      <c r="B102" s="7" t="str">
        <f>IFERROR(__xludf.DUMMYFUNCTION("""COMPUTED_VALUE"""),"Official Jul 2026 Rankings: Top PPC Companies in Australia | ITProfiles")</f>
        <v>Official Jul 2026 Rankings: Top PPC Companies in Australia | ITProfiles</v>
      </c>
      <c r="C102" s="6" t="str">
        <f>IFERROR(__xludf.DUMMYFUNCTION("""COMPUTED_VALUE"""),"itprofiles.com")</f>
        <v>itprofiles.com</v>
      </c>
      <c r="D102" s="7" t="str">
        <f>IFERROR(__xludf.DUMMYFUNCTION("""COMPUTED_VALUE"""),"LISTICLE")</f>
        <v>LISTICLE</v>
      </c>
      <c r="E102" s="7" t="str">
        <f>IFERROR(__xludf.DUMMYFUNCTION("""COMPUTED_VALUE"""),"REFERENCE")</f>
        <v>REFERENCE</v>
      </c>
      <c r="F102" s="7" t="str">
        <f>IFERROR(__xludf.DUMMYFUNCTION("""COMPUTED_VALUE"""),"Listicle")</f>
        <v>Listicle</v>
      </c>
      <c r="G102" s="7" t="b">
        <f>IFERROR(__xludf.DUMMYFUNCTION("""COMPUTED_VALUE"""),FALSE)</f>
        <v>0</v>
      </c>
      <c r="H102" s="7" t="str">
        <f>IFERROR(__xludf.DUMMYFUNCTION("""COMPUTED_VALUE"""),"Soup Agency, Digital Nomads HQ, Farsiight, Clearwater Agency, eMarket Experts, DNM Digital, Marketix Digital, SIXGUN, Insil, Sparro, Reform Digital, Edge Marketing")</f>
        <v>Soup Agency, Digital Nomads HQ, Farsiight, Clearwater Agency, eMarket Experts, DNM Digital, Marketix Digital, SIXGUN, Insil, Sparro, Reform Digital, Edge Marketing</v>
      </c>
      <c r="I102" s="7">
        <f>IFERROR(__xludf.DUMMYFUNCTION("""COMPUTED_VALUE"""),9.0)</f>
        <v>9</v>
      </c>
      <c r="J102" s="7">
        <f>IFERROR(__xludf.DUMMYFUNCTION("""COMPUTED_VALUE"""),0.01)</f>
        <v>0.01</v>
      </c>
      <c r="K102" s="7">
        <f>IFERROR(__xludf.DUMMYFUNCTION("""COMPUTED_VALUE"""),0.0)</f>
        <v>0</v>
      </c>
    </row>
    <row r="103" ht="15.75" customHeight="1">
      <c r="A103" s="6" t="str">
        <f>IFERROR(__xludf.DUMMYFUNCTION("""COMPUTED_VALUE"""),"https://www.position.digital/blog/top-geo-agencies/")</f>
        <v>https://www.position.digital/blog/top-geo-agencies/</v>
      </c>
      <c r="B103" s="7" t="str">
        <f>IFERROR(__xludf.DUMMYFUNCTION("""COMPUTED_VALUE"""),"Top 13 Generative Engine Optimization (GEO) Agencies in 2026")</f>
        <v>Top 13 Generative Engine Optimization (GEO) Agencies in 2026</v>
      </c>
      <c r="C103" s="7" t="str">
        <f>IFERROR(__xludf.DUMMYFUNCTION("""COMPUTED_VALUE"""),"position.digital")</f>
        <v>position.digital</v>
      </c>
      <c r="D103" s="7" t="str">
        <f>IFERROR(__xludf.DUMMYFUNCTION("""COMPUTED_VALUE"""),"LISTICLE")</f>
        <v>LISTICLE</v>
      </c>
      <c r="E103" s="7" t="str">
        <f>IFERROR(__xludf.DUMMYFUNCTION("""COMPUTED_VALUE"""),"CORPORATE")</f>
        <v>CORPORATE</v>
      </c>
      <c r="F103" s="7" t="str">
        <f>IFERROR(__xludf.DUMMYFUNCTION("""COMPUTED_VALUE"""),"Listicle")</f>
        <v>Listicle</v>
      </c>
      <c r="G103" s="7" t="b">
        <f>IFERROR(__xludf.DUMMYFUNCTION("""COMPUTED_VALUE"""),FALSE)</f>
        <v>0</v>
      </c>
      <c r="H103" s="7" t="str">
        <f>IFERROR(__xludf.DUMMYFUNCTION("""COMPUTED_VALUE"""),"Huge, First Page, Earned Media")</f>
        <v>Huge, First Page, Earned Media</v>
      </c>
      <c r="I103" s="7">
        <f>IFERROR(__xludf.DUMMYFUNCTION("""COMPUTED_VALUE"""),9.0)</f>
        <v>9</v>
      </c>
      <c r="J103" s="7">
        <f>IFERROR(__xludf.DUMMYFUNCTION("""COMPUTED_VALUE"""),0.01)</f>
        <v>0.01</v>
      </c>
      <c r="K103" s="7">
        <f>IFERROR(__xludf.DUMMYFUNCTION("""COMPUTED_VALUE"""),0.0)</f>
        <v>0</v>
      </c>
    </row>
    <row r="104" ht="15.75" customHeight="1">
      <c r="A104" s="6" t="str">
        <f>IFERROR(__xludf.DUMMYFUNCTION("""COMPUTED_VALUE"""),"https://soupagency.com.au/blog/top-digital-marketing-agencies/#:~:text=Soup%20is%20a%20strong%20fit%20for%20businesses,connecting%20those%20channels%20across%20the%20customer%20journey.")</f>
        <v>https://soupagency.com.au/blog/top-digital-marketing-agencies/#:~:text=Soup%20is%20a%20strong%20fit%20for%20businesses,connecting%20those%20channels%20across%20the%20customer%20journey.</v>
      </c>
      <c r="B104" s="7" t="str">
        <f>IFERROR(__xludf.DUMMYFUNCTION("""COMPUTED_VALUE"""),"Top Digital Marketing Agencies in Australia: Options Worth Considering - SOUP Agency")</f>
        <v>Top Digital Marketing Agencies in Australia: Options Worth Considering - SOUP Agency</v>
      </c>
      <c r="C104" s="6" t="str">
        <f>IFERROR(__xludf.DUMMYFUNCTION("""COMPUTED_VALUE"""),"soupagency.com.au")</f>
        <v>soupagency.com.au</v>
      </c>
      <c r="D104" s="7" t="str">
        <f>IFERROR(__xludf.DUMMYFUNCTION("""COMPUTED_VALUE"""),"LISTICLE")</f>
        <v>LISTICLE</v>
      </c>
      <c r="E104" s="7" t="str">
        <f>IFERROR(__xludf.DUMMYFUNCTION("""COMPUTED_VALUE"""),"COMPETITOR")</f>
        <v>COMPETITOR</v>
      </c>
      <c r="F104" s="7" t="str">
        <f>IFERROR(__xludf.DUMMYFUNCTION("""COMPUTED_VALUE"""),"Listicle")</f>
        <v>Listicle</v>
      </c>
      <c r="G104" s="7" t="b">
        <f>IFERROR(__xludf.DUMMYFUNCTION("""COMPUTED_VALUE"""),FALSE)</f>
        <v>0</v>
      </c>
      <c r="H104" s="7" t="str">
        <f>IFERROR(__xludf.DUMMYFUNCTION("""COMPUTED_VALUE"""),"Soup Agency, Measured, Momentum")</f>
        <v>Soup Agency, Measured, Momentum</v>
      </c>
      <c r="I104" s="7">
        <f>IFERROR(__xludf.DUMMYFUNCTION("""COMPUTED_VALUE"""),9.0)</f>
        <v>9</v>
      </c>
      <c r="J104" s="7">
        <f>IFERROR(__xludf.DUMMYFUNCTION("""COMPUTED_VALUE"""),0.01)</f>
        <v>0.01</v>
      </c>
      <c r="K104" s="7">
        <f>IFERROR(__xludf.DUMMYFUNCTION("""COMPUTED_VALUE"""),1.22)</f>
        <v>1.22</v>
      </c>
    </row>
    <row r="105" ht="15.75" customHeight="1">
      <c r="A105" s="6" t="str">
        <f>IFERROR(__xludf.DUMMYFUNCTION("""COMPUTED_VALUE"""),"https://theredrepublic.com/top-10-best-advertising-agencies-leading-australia-2025/")</f>
        <v>https://theredrepublic.com/top-10-best-advertising-agencies-leading-australia-2025/</v>
      </c>
      <c r="B105" s="7" t="str">
        <f>IFERROR(__xludf.DUMMYFUNCTION("""COMPUTED_VALUE"""),"Our Top 5: The Best Creative Advertising Agencies Leading Australia in 2025 | The Red Republic")</f>
        <v>Our Top 5: The Best Creative Advertising Agencies Leading Australia in 2025 | The Red Republic</v>
      </c>
      <c r="C105" s="6" t="str">
        <f>IFERROR(__xludf.DUMMYFUNCTION("""COMPUTED_VALUE"""),"theredrepublic.com")</f>
        <v>theredrepublic.com</v>
      </c>
      <c r="D105" s="7" t="str">
        <f>IFERROR(__xludf.DUMMYFUNCTION("""COMPUTED_VALUE"""),"LISTICLE")</f>
        <v>LISTICLE</v>
      </c>
      <c r="E105" s="7" t="str">
        <f>IFERROR(__xludf.DUMMYFUNCTION("""COMPUTED_VALUE"""),"COMPETITOR")</f>
        <v>COMPETITOR</v>
      </c>
      <c r="F105" s="7" t="str">
        <f>IFERROR(__xludf.DUMMYFUNCTION("""COMPUTED_VALUE"""),"Listicle")</f>
        <v>Listicle</v>
      </c>
      <c r="G105" s="7" t="b">
        <f>IFERROR(__xludf.DUMMYFUNCTION("""COMPUTED_VALUE"""),FALSE)</f>
        <v>0</v>
      </c>
      <c r="H105" s="7" t="str">
        <f>IFERROR(__xludf.DUMMYFUNCTION("""COMPUTED_VALUE"""),"The Red Republic, HERO")</f>
        <v>The Red Republic, HERO</v>
      </c>
      <c r="I105" s="7">
        <f>IFERROR(__xludf.DUMMYFUNCTION("""COMPUTED_VALUE"""),9.0)</f>
        <v>9</v>
      </c>
      <c r="J105" s="7">
        <f>IFERROR(__xludf.DUMMYFUNCTION("""COMPUTED_VALUE"""),0.01)</f>
        <v>0.01</v>
      </c>
      <c r="K105" s="7">
        <f>IFERROR(__xludf.DUMMYFUNCTION("""COMPUTED_VALUE"""),0.11)</f>
        <v>0.11</v>
      </c>
    </row>
    <row r="106" ht="15.75" customHeight="1">
      <c r="A106" s="6" t="str">
        <f>IFERROR(__xludf.DUMMYFUNCTION("""COMPUTED_VALUE"""),"https://www.upliftgtm.com/blog/best-aeo-agencies")</f>
        <v>https://www.upliftgtm.com/blog/best-aeo-agencies</v>
      </c>
      <c r="B106" s="7" t="str">
        <f>IFERROR(__xludf.DUMMYFUNCTION("""COMPUTED_VALUE"""),"Best AEO Agencies 2026: Top 12 Answer Engine Optimization Firms")</f>
        <v>Best AEO Agencies 2026: Top 12 Answer Engine Optimization Firms</v>
      </c>
      <c r="C106" s="6" t="str">
        <f>IFERROR(__xludf.DUMMYFUNCTION("""COMPUTED_VALUE"""),"upliftgtm.com")</f>
        <v>upliftgtm.com</v>
      </c>
      <c r="D106" s="7" t="str">
        <f>IFERROR(__xludf.DUMMYFUNCTION("""COMPUTED_VALUE"""),"LISTICLE")</f>
        <v>LISTICLE</v>
      </c>
      <c r="E106" s="7" t="str">
        <f>IFERROR(__xludf.DUMMYFUNCTION("""COMPUTED_VALUE"""),"CORPORATE")</f>
        <v>CORPORATE</v>
      </c>
      <c r="F106" s="7" t="str">
        <f>IFERROR(__xludf.DUMMYFUNCTION("""COMPUTED_VALUE"""),"Listicle")</f>
        <v>Listicle</v>
      </c>
      <c r="G106" s="7" t="b">
        <f>IFERROR(__xludf.DUMMYFUNCTION("""COMPUTED_VALUE"""),FALSE)</f>
        <v>0</v>
      </c>
      <c r="H106" s="7" t="str">
        <f>IFERROR(__xludf.DUMMYFUNCTION("""COMPUTED_VALUE"""),"Measured")</f>
        <v>Measured</v>
      </c>
      <c r="I106" s="7">
        <f>IFERROR(__xludf.DUMMYFUNCTION("""COMPUTED_VALUE"""),9.0)</f>
        <v>9</v>
      </c>
      <c r="J106" s="7">
        <f>IFERROR(__xludf.DUMMYFUNCTION("""COMPUTED_VALUE"""),0.01)</f>
        <v>0.01</v>
      </c>
      <c r="K106" s="7">
        <f>IFERROR(__xludf.DUMMYFUNCTION("""COMPUTED_VALUE"""),0.0)</f>
        <v>0</v>
      </c>
    </row>
    <row r="107" ht="15.75" customHeight="1">
      <c r="A107" s="6" t="str">
        <f>IFERROR(__xludf.DUMMYFUNCTION("""COMPUTED_VALUE"""),"https://uprisedigital.com.au/blog/best-google-ads-agencies-sydney/")</f>
        <v>https://uprisedigital.com.au/blog/best-google-ads-agencies-sydney/</v>
      </c>
      <c r="B107" s="7" t="str">
        <f>IFERROR(__xludf.DUMMYFUNCTION("""COMPUTED_VALUE"""),"8 Best Google Ads Agencies in Sydney (2026) - Uprise Digital")</f>
        <v>8 Best Google Ads Agencies in Sydney (2026) - Uprise Digital</v>
      </c>
      <c r="C107" s="6" t="str">
        <f>IFERROR(__xludf.DUMMYFUNCTION("""COMPUTED_VALUE"""),"uprisedigital.com.au")</f>
        <v>uprisedigital.com.au</v>
      </c>
      <c r="D107" s="7" t="str">
        <f>IFERROR(__xludf.DUMMYFUNCTION("""COMPUTED_VALUE"""),"LISTICLE")</f>
        <v>LISTICLE</v>
      </c>
      <c r="E107" s="7" t="str">
        <f>IFERROR(__xludf.DUMMYFUNCTION("""COMPUTED_VALUE"""),"COMPETITOR")</f>
        <v>COMPETITOR</v>
      </c>
      <c r="F107" s="7" t="str">
        <f>IFERROR(__xludf.DUMMYFUNCTION("""COMPUTED_VALUE"""),"Listicle")</f>
        <v>Listicle</v>
      </c>
      <c r="G107" s="7" t="b">
        <f>IFERROR(__xludf.DUMMYFUNCTION("""COMPUTED_VALUE"""),FALSE)</f>
        <v>0</v>
      </c>
      <c r="H107" s="7" t="str">
        <f>IFERROR(__xludf.DUMMYFUNCTION("""COMPUTED_VALUE"""),"Uprise Digital, Rocket Agency, AdVisible, Online Marketing Gurus, Gorilla 360, Omnicom Media Group")</f>
        <v>Uprise Digital, Rocket Agency, AdVisible, Online Marketing Gurus, Gorilla 360, Omnicom Media Group</v>
      </c>
      <c r="I107" s="7">
        <f>IFERROR(__xludf.DUMMYFUNCTION("""COMPUTED_VALUE"""),9.0)</f>
        <v>9</v>
      </c>
      <c r="J107" s="7">
        <f>IFERROR(__xludf.DUMMYFUNCTION("""COMPUTED_VALUE"""),0.01)</f>
        <v>0.01</v>
      </c>
      <c r="K107" s="7">
        <f>IFERROR(__xludf.DUMMYFUNCTION("""COMPUTED_VALUE"""),1.33)</f>
        <v>1.33</v>
      </c>
    </row>
    <row r="108" ht="15.75" customHeight="1">
      <c r="A108" s="6" t="str">
        <f>IFERROR(__xludf.DUMMYFUNCTION("""COMPUTED_VALUE"""),"https://www.bushnote.com/articles/best-digital-marketing-agency-for-ai-search-australia")</f>
        <v>https://www.bushnote.com/articles/best-digital-marketing-agency-for-ai-search-australia</v>
      </c>
      <c r="B108" s="7" t="str">
        <f>IFERROR(__xludf.DUMMYFUNCTION("""COMPUTED_VALUE"""),"Best Digital Marketing Agencies for AI Search in Australia")</f>
        <v>Best Digital Marketing Agencies for AI Search in Australia</v>
      </c>
      <c r="C108" s="6" t="str">
        <f>IFERROR(__xludf.DUMMYFUNCTION("""COMPUTED_VALUE"""),"bushnote.com")</f>
        <v>bushnote.com</v>
      </c>
      <c r="D108" s="7" t="str">
        <f>IFERROR(__xludf.DUMMYFUNCTION("""COMPUTED_VALUE"""),"LISTICLE")</f>
        <v>LISTICLE</v>
      </c>
      <c r="E108" s="7" t="str">
        <f>IFERROR(__xludf.DUMMYFUNCTION("""COMPUTED_VALUE"""),"COMPETITOR")</f>
        <v>COMPETITOR</v>
      </c>
      <c r="F108" s="7" t="str">
        <f>IFERROR(__xludf.DUMMYFUNCTION("""COMPUTED_VALUE"""),"Listicle")</f>
        <v>Listicle</v>
      </c>
      <c r="G108" s="7" t="b">
        <f>IFERROR(__xludf.DUMMYFUNCTION("""COMPUTED_VALUE"""),FALSE)</f>
        <v>0</v>
      </c>
      <c r="H108" s="7" t="str">
        <f>IFERROR(__xludf.DUMMYFUNCTION("""COMPUTED_VALUE"""),"Bushnote, Sparro, Resolution Digital, Reload Media")</f>
        <v>Bushnote, Sparro, Resolution Digital, Reload Media</v>
      </c>
      <c r="I108" s="7">
        <f>IFERROR(__xludf.DUMMYFUNCTION("""COMPUTED_VALUE"""),8.0)</f>
        <v>8</v>
      </c>
      <c r="J108" s="7">
        <f>IFERROR(__xludf.DUMMYFUNCTION("""COMPUTED_VALUE"""),0.01)</f>
        <v>0.01</v>
      </c>
      <c r="K108" s="7">
        <f>IFERROR(__xludf.DUMMYFUNCTION("""COMPUTED_VALUE"""),1.13)</f>
        <v>1.13</v>
      </c>
    </row>
    <row r="109" ht="15.75" customHeight="1">
      <c r="A109" s="6" t="str">
        <f>IFERROR(__xludf.DUMMYFUNCTION("""COMPUTED_VALUE"""),"https://clicksgeek.com/marketing-attribution-tracking-services/")</f>
        <v>https://clicksgeek.com/marketing-attribution-tracking-services/</v>
      </c>
      <c r="B109" s="7" t="str">
        <f>IFERROR(__xludf.DUMMYFUNCTION("""COMPUTED_VALUE"""),"9 Best Marketing Attribution Tracking Services 2026")</f>
        <v>9 Best Marketing Attribution Tracking Services 2026</v>
      </c>
      <c r="C109" s="6" t="str">
        <f>IFERROR(__xludf.DUMMYFUNCTION("""COMPUTED_VALUE"""),"clicksgeek.com")</f>
        <v>clicksgeek.com</v>
      </c>
      <c r="D109" s="7" t="str">
        <f>IFERROR(__xludf.DUMMYFUNCTION("""COMPUTED_VALUE"""),"LISTICLE")</f>
        <v>LISTICLE</v>
      </c>
      <c r="E109" s="7" t="str">
        <f>IFERROR(__xludf.DUMMYFUNCTION("""COMPUTED_VALUE"""),"CORPORATE")</f>
        <v>CORPORATE</v>
      </c>
      <c r="F109" s="7" t="str">
        <f>IFERROR(__xludf.DUMMYFUNCTION("""COMPUTED_VALUE"""),"Listicle")</f>
        <v>Listicle</v>
      </c>
      <c r="G109" s="7" t="b">
        <f>IFERROR(__xludf.DUMMYFUNCTION("""COMPUTED_VALUE"""),FALSE)</f>
        <v>0</v>
      </c>
      <c r="H109" s="7" t="str">
        <f>IFERROR(__xludf.DUMMYFUNCTION("""COMPUTED_VALUE"""),"Measured")</f>
        <v>Measured</v>
      </c>
      <c r="I109" s="7">
        <f>IFERROR(__xludf.DUMMYFUNCTION("""COMPUTED_VALUE"""),8.0)</f>
        <v>8</v>
      </c>
      <c r="J109" s="7">
        <f>IFERROR(__xludf.DUMMYFUNCTION("""COMPUTED_VALUE"""),0.01)</f>
        <v>0.01</v>
      </c>
      <c r="K109" s="7">
        <f>IFERROR(__xludf.DUMMYFUNCTION("""COMPUTED_VALUE"""),0.0)</f>
        <v>0</v>
      </c>
    </row>
    <row r="110" ht="15.75" customHeight="1">
      <c r="A110" s="6" t="str">
        <f>IFERROR(__xludf.DUMMYFUNCTION("""COMPUTED_VALUE"""),"https://directiveconsulting.com/blog/best-geo-agencies/")</f>
        <v>https://directiveconsulting.com/blog/best-geo-agencies/</v>
      </c>
      <c r="B110" s="7" t="str">
        <f>IFERROR(__xludf.DUMMYFUNCTION("""COMPUTED_VALUE"""),"25 Best GEO Agencies For B2B - Directive")</f>
        <v>25 Best GEO Agencies For B2B - Directive</v>
      </c>
      <c r="C110" s="6" t="str">
        <f>IFERROR(__xludf.DUMMYFUNCTION("""COMPUTED_VALUE"""),"directiveconsulting.com")</f>
        <v>directiveconsulting.com</v>
      </c>
      <c r="D110" s="7" t="str">
        <f>IFERROR(__xludf.DUMMYFUNCTION("""COMPUTED_VALUE"""),"LISTICLE")</f>
        <v>LISTICLE</v>
      </c>
      <c r="E110" s="7" t="str">
        <f>IFERROR(__xludf.DUMMYFUNCTION("""COMPUTED_VALUE"""),"CORPORATE")</f>
        <v>CORPORATE</v>
      </c>
      <c r="F110" s="7" t="str">
        <f>IFERROR(__xludf.DUMMYFUNCTION("""COMPUTED_VALUE"""),"Listicle")</f>
        <v>Listicle</v>
      </c>
      <c r="G110" s="7" t="b">
        <f>IFERROR(__xludf.DUMMYFUNCTION("""COMPUTED_VALUE"""),FALSE)</f>
        <v>0</v>
      </c>
      <c r="H110" s="7" t="str">
        <f>IFERROR(__xludf.DUMMYFUNCTION("""COMPUTED_VALUE"""),"Earned Media, Intero Digital, First Page, Deloitte")</f>
        <v>Earned Media, Intero Digital, First Page, Deloitte</v>
      </c>
      <c r="I110" s="7">
        <f>IFERROR(__xludf.DUMMYFUNCTION("""COMPUTED_VALUE"""),8.0)</f>
        <v>8</v>
      </c>
      <c r="J110" s="7">
        <f>IFERROR(__xludf.DUMMYFUNCTION("""COMPUTED_VALUE"""),0.01)</f>
        <v>0.01</v>
      </c>
      <c r="K110" s="7">
        <f>IFERROR(__xludf.DUMMYFUNCTION("""COMPUTED_VALUE"""),0.0)</f>
        <v>0</v>
      </c>
    </row>
    <row r="111" ht="15.75" customHeight="1">
      <c r="A111" s="6" t="str">
        <f>IFERROR(__xludf.DUMMYFUNCTION("""COMPUTED_VALUE"""),"https://govanator.com/best-performance-marketing-services-in-australia/")</f>
        <v>https://govanator.com/best-performance-marketing-services-in-australia/</v>
      </c>
      <c r="B111" s="7" t="str">
        <f>IFERROR(__xludf.DUMMYFUNCTION("""COMPUTED_VALUE"""),"Best Performance Marketing Services in Australia")</f>
        <v>Best Performance Marketing Services in Australia</v>
      </c>
      <c r="C111" s="6" t="str">
        <f>IFERROR(__xludf.DUMMYFUNCTION("""COMPUTED_VALUE"""),"govanator.com")</f>
        <v>govanator.com</v>
      </c>
      <c r="D111" s="7" t="str">
        <f>IFERROR(__xludf.DUMMYFUNCTION("""COMPUTED_VALUE"""),"LISTICLE")</f>
        <v>LISTICLE</v>
      </c>
      <c r="E111" s="7" t="str">
        <f>IFERROR(__xludf.DUMMYFUNCTION("""COMPUTED_VALUE"""),"OTHER")</f>
        <v>OTHER</v>
      </c>
      <c r="F111" s="7" t="str">
        <f>IFERROR(__xludf.DUMMYFUNCTION("""COMPUTED_VALUE"""),"Listicle")</f>
        <v>Listicle</v>
      </c>
      <c r="G111" s="7" t="b">
        <f>IFERROR(__xludf.DUMMYFUNCTION("""COMPUTED_VALUE"""),FALSE)</f>
        <v>0</v>
      </c>
      <c r="H111" s="7" t="str">
        <f>IFERROR(__xludf.DUMMYFUNCTION("""COMPUTED_VALUE"""),"Digital Nomads HQ, Clearwater Agency, Online Marketing Gurus, eMarket Experts, Megaphone, SearchMax, Supple Digital, Reload Media, Webprofits, Alpha Digital, Rocket Agency, Impressive, Zib Digital")</f>
        <v>Digital Nomads HQ, Clearwater Agency, Online Marketing Gurus, eMarket Experts, Megaphone, SearchMax, Supple Digital, Reload Media, Webprofits, Alpha Digital, Rocket Agency, Impressive, Zib Digital</v>
      </c>
      <c r="I111" s="7">
        <f>IFERROR(__xludf.DUMMYFUNCTION("""COMPUTED_VALUE"""),8.0)</f>
        <v>8</v>
      </c>
      <c r="J111" s="7">
        <f>IFERROR(__xludf.DUMMYFUNCTION("""COMPUTED_VALUE"""),0.01)</f>
        <v>0.01</v>
      </c>
      <c r="K111" s="7">
        <f>IFERROR(__xludf.DUMMYFUNCTION("""COMPUTED_VALUE"""),0.25)</f>
        <v>0.25</v>
      </c>
    </row>
    <row r="112" ht="15.75" customHeight="1">
      <c r="A112" s="6" t="str">
        <f>IFERROR(__xludf.DUMMYFUNCTION("""COMPUTED_VALUE"""),"https://www.gtm8020.com/blog/best-aeo-agencies")</f>
        <v>https://www.gtm8020.com/blog/best-aeo-agencies</v>
      </c>
      <c r="B112" s="7" t="str">
        <f>IFERROR(__xludf.DUMMYFUNCTION("""COMPUTED_VALUE"""),"Best AEO Agencies - 2026 — GTM 8020")</f>
        <v>Best AEO Agencies - 2026 — GTM 8020</v>
      </c>
      <c r="C112" s="6" t="str">
        <f>IFERROR(__xludf.DUMMYFUNCTION("""COMPUTED_VALUE"""),"gtm8020.com")</f>
        <v>gtm8020.com</v>
      </c>
      <c r="D112" s="7" t="str">
        <f>IFERROR(__xludf.DUMMYFUNCTION("""COMPUTED_VALUE"""),"LISTICLE")</f>
        <v>LISTICLE</v>
      </c>
      <c r="E112" s="7" t="str">
        <f>IFERROR(__xludf.DUMMYFUNCTION("""COMPUTED_VALUE"""),"OTHER")</f>
        <v>OTHER</v>
      </c>
      <c r="F112" s="7" t="str">
        <f>IFERROR(__xludf.DUMMYFUNCTION("""COMPUTED_VALUE"""),"Listicle")</f>
        <v>Listicle</v>
      </c>
      <c r="G112" s="7" t="b">
        <f>IFERROR(__xludf.DUMMYFUNCTION("""COMPUTED_VALUE"""),FALSE)</f>
        <v>0</v>
      </c>
      <c r="H112" s="7" t="str">
        <f>IFERROR(__xludf.DUMMYFUNCTION("""COMPUTED_VALUE"""),"Momentum")</f>
        <v>Momentum</v>
      </c>
      <c r="I112" s="7">
        <f>IFERROR(__xludf.DUMMYFUNCTION("""COMPUTED_VALUE"""),8.0)</f>
        <v>8</v>
      </c>
      <c r="J112" s="7">
        <f>IFERROR(__xludf.DUMMYFUNCTION("""COMPUTED_VALUE"""),0.01)</f>
        <v>0.01</v>
      </c>
      <c r="K112" s="7">
        <f>IFERROR(__xludf.DUMMYFUNCTION("""COMPUTED_VALUE"""),0.0)</f>
        <v>0</v>
      </c>
    </row>
    <row r="113" ht="15.75" customHeight="1">
      <c r="A113" s="6" t="str">
        <f>IFERROR(__xludf.DUMMYFUNCTION("""COMPUTED_VALUE"""),"https://www.linkedin.com/pulse/top-data-analytics-services-australia-vanator-assist-dcjvf?trk=public_post")</f>
        <v>https://www.linkedin.com/pulse/top-data-analytics-services-australia-vanator-assist-dcjvf?trk=public_post</v>
      </c>
      <c r="B113" s="7" t="str">
        <f>IFERROR(__xludf.DUMMYFUNCTION("""COMPUTED_VALUE"""),"Top Data Analytics Services in Australia")</f>
        <v>Top Data Analytics Services in Australia</v>
      </c>
      <c r="C113" s="6" t="str">
        <f>IFERROR(__xludf.DUMMYFUNCTION("""COMPUTED_VALUE"""),"linkedin.com")</f>
        <v>linkedin.com</v>
      </c>
      <c r="D113" s="7" t="str">
        <f>IFERROR(__xludf.DUMMYFUNCTION("""COMPUTED_VALUE"""),"LISTICLE")</f>
        <v>LISTICLE</v>
      </c>
      <c r="E113" s="7" t="str">
        <f>IFERROR(__xludf.DUMMYFUNCTION("""COMPUTED_VALUE"""),"UGC")</f>
        <v>UGC</v>
      </c>
      <c r="F113" s="7" t="str">
        <f>IFERROR(__xludf.DUMMYFUNCTION("""COMPUTED_VALUE"""),"Listicle")</f>
        <v>Listicle</v>
      </c>
      <c r="G113" s="7" t="b">
        <f>IFERROR(__xludf.DUMMYFUNCTION("""COMPUTED_VALUE"""),FALSE)</f>
        <v>0</v>
      </c>
      <c r="H113" s="7"/>
      <c r="I113" s="7">
        <f>IFERROR(__xludf.DUMMYFUNCTION("""COMPUTED_VALUE"""),8.0)</f>
        <v>8</v>
      </c>
      <c r="J113" s="7">
        <f>IFERROR(__xludf.DUMMYFUNCTION("""COMPUTED_VALUE"""),0.01)</f>
        <v>0.01</v>
      </c>
      <c r="K113" s="7">
        <f>IFERROR(__xludf.DUMMYFUNCTION("""COMPUTED_VALUE"""),0.0)</f>
        <v>0</v>
      </c>
    </row>
    <row r="114" ht="15.75" customHeight="1">
      <c r="A114" s="6" t="str">
        <f>IFERROR(__xludf.DUMMYFUNCTION("""COMPUTED_VALUE"""),"https://omnieclipse.ai/blog/best-aeo-agencies-australia-2026")</f>
        <v>https://omnieclipse.ai/blog/best-aeo-agencies-australia-2026</v>
      </c>
      <c r="B114" s="7" t="str">
        <f>IFERROR(__xludf.DUMMYFUNCTION("""COMPUTED_VALUE"""),"Best AEO Agencies in Australia for 2026 | Omni Eclipse")</f>
        <v>Best AEO Agencies in Australia for 2026 | Omni Eclipse</v>
      </c>
      <c r="C114" s="6" t="str">
        <f>IFERROR(__xludf.DUMMYFUNCTION("""COMPUTED_VALUE"""),"omnieclipse.ai")</f>
        <v>omnieclipse.ai</v>
      </c>
      <c r="D114" s="7" t="str">
        <f>IFERROR(__xludf.DUMMYFUNCTION("""COMPUTED_VALUE"""),"LISTICLE")</f>
        <v>LISTICLE</v>
      </c>
      <c r="E114" s="7" t="str">
        <f>IFERROR(__xludf.DUMMYFUNCTION("""COMPUTED_VALUE"""),"CORPORATE")</f>
        <v>CORPORATE</v>
      </c>
      <c r="F114" s="7" t="str">
        <f>IFERROR(__xludf.DUMMYFUNCTION("""COMPUTED_VALUE"""),"Listicle")</f>
        <v>Listicle</v>
      </c>
      <c r="G114" s="7" t="b">
        <f>IFERROR(__xludf.DUMMYFUNCTION("""COMPUTED_VALUE"""),FALSE)</f>
        <v>0</v>
      </c>
      <c r="H114" s="7" t="str">
        <f>IFERROR(__xludf.DUMMYFUNCTION("""COMPUTED_VALUE"""),"Omni Eclipse, Talons Marketing, Luminary, Intesols, Brainlabs, Bushnote")</f>
        <v>Omni Eclipse, Talons Marketing, Luminary, Intesols, Brainlabs, Bushnote</v>
      </c>
      <c r="I114" s="7">
        <f>IFERROR(__xludf.DUMMYFUNCTION("""COMPUTED_VALUE"""),8.0)</f>
        <v>8</v>
      </c>
      <c r="J114" s="7">
        <f>IFERROR(__xludf.DUMMYFUNCTION("""COMPUTED_VALUE"""),0.01)</f>
        <v>0.01</v>
      </c>
      <c r="K114" s="7">
        <f>IFERROR(__xludf.DUMMYFUNCTION("""COMPUTED_VALUE"""),0.0)</f>
        <v>0</v>
      </c>
    </row>
    <row r="115" ht="15.75" customHeight="1">
      <c r="A115" s="6" t="str">
        <f>IFERROR(__xludf.DUMMYFUNCTION("""COMPUTED_VALUE"""),"https://rokitupmedia.com.au/top-10-affordable-media-agencies-in-australia-for-small-businesses/")</f>
        <v>https://rokitupmedia.com.au/top-10-affordable-media-agencies-in-australia-for-small-businesses/</v>
      </c>
      <c r="B115" s="7" t="str">
        <f>IFERROR(__xludf.DUMMYFUNCTION("""COMPUTED_VALUE"""),"Top 10 Affordable Media Agencies in Australia for Small Businesses - Rokitup Media")</f>
        <v>Top 10 Affordable Media Agencies in Australia for Small Businesses - Rokitup Media</v>
      </c>
      <c r="C115" s="6" t="str">
        <f>IFERROR(__xludf.DUMMYFUNCTION("""COMPUTED_VALUE"""),"rokitupmedia.com.au")</f>
        <v>rokitupmedia.com.au</v>
      </c>
      <c r="D115" s="7" t="str">
        <f>IFERROR(__xludf.DUMMYFUNCTION("""COMPUTED_VALUE"""),"LISTICLE")</f>
        <v>LISTICLE</v>
      </c>
      <c r="E115" s="7" t="str">
        <f>IFERROR(__xludf.DUMMYFUNCTION("""COMPUTED_VALUE"""),"CORPORATE")</f>
        <v>CORPORATE</v>
      </c>
      <c r="F115" s="7" t="str">
        <f>IFERROR(__xludf.DUMMYFUNCTION("""COMPUTED_VALUE"""),"Listicle")</f>
        <v>Listicle</v>
      </c>
      <c r="G115" s="7" t="b">
        <f>IFERROR(__xludf.DUMMYFUNCTION("""COMPUTED_VALUE"""),FALSE)</f>
        <v>0</v>
      </c>
      <c r="H115" s="7" t="str">
        <f>IFERROR(__xludf.DUMMYFUNCTION("""COMPUTED_VALUE"""),"Zib Digital, Emote Digital, Rocket Agency, King Kong")</f>
        <v>Zib Digital, Emote Digital, Rocket Agency, King Kong</v>
      </c>
      <c r="I115" s="7">
        <f>IFERROR(__xludf.DUMMYFUNCTION("""COMPUTED_VALUE"""),8.0)</f>
        <v>8</v>
      </c>
      <c r="J115" s="7">
        <f>IFERROR(__xludf.DUMMYFUNCTION("""COMPUTED_VALUE"""),0.01)</f>
        <v>0.01</v>
      </c>
      <c r="K115" s="7">
        <f>IFERROR(__xludf.DUMMYFUNCTION("""COMPUTED_VALUE"""),0.63)</f>
        <v>0.63</v>
      </c>
    </row>
    <row r="116" ht="15.75" customHeight="1">
      <c r="A116" s="6" t="str">
        <f>IFERROR(__xludf.DUMMYFUNCTION("""COMPUTED_VALUE"""),"https://www.silverbackstrategies.com/lists/best-geo-agencies-generative-engine-optimization-in-2026-ranked-reviewed/")</f>
        <v>https://www.silverbackstrategies.com/lists/best-geo-agencies-generative-engine-optimization-in-2026-ranked-reviewed/</v>
      </c>
      <c r="B116" s="7" t="str">
        <f>IFERROR(__xludf.DUMMYFUNCTION("""COMPUTED_VALUE"""),"Best GEO Agencies (Generative Engine Optimization) in 2026 (Ranked &amp;amp; Reviewed) | Silverback Strategies")</f>
        <v>Best GEO Agencies (Generative Engine Optimization) in 2026 (Ranked &amp;amp; Reviewed) | Silverback Strategies</v>
      </c>
      <c r="C116" s="6" t="str">
        <f>IFERROR(__xludf.DUMMYFUNCTION("""COMPUTED_VALUE"""),"silverbackstrategies.com")</f>
        <v>silverbackstrategies.com</v>
      </c>
      <c r="D116" s="7" t="str">
        <f>IFERROR(__xludf.DUMMYFUNCTION("""COMPUTED_VALUE"""),"LISTICLE")</f>
        <v>LISTICLE</v>
      </c>
      <c r="E116" s="7" t="str">
        <f>IFERROR(__xludf.DUMMYFUNCTION("""COMPUTED_VALUE"""),"CORPORATE")</f>
        <v>CORPORATE</v>
      </c>
      <c r="F116" s="7" t="str">
        <f>IFERROR(__xludf.DUMMYFUNCTION("""COMPUTED_VALUE"""),"Listicle")</f>
        <v>Listicle</v>
      </c>
      <c r="G116" s="7" t="b">
        <f>IFERROR(__xludf.DUMMYFUNCTION("""COMPUTED_VALUE"""),FALSE)</f>
        <v>0</v>
      </c>
      <c r="H116" s="7" t="str">
        <f>IFERROR(__xludf.DUMMYFUNCTION("""COMPUTED_VALUE"""),"Measured")</f>
        <v>Measured</v>
      </c>
      <c r="I116" s="7">
        <f>IFERROR(__xludf.DUMMYFUNCTION("""COMPUTED_VALUE"""),8.0)</f>
        <v>8</v>
      </c>
      <c r="J116" s="7">
        <f>IFERROR(__xludf.DUMMYFUNCTION("""COMPUTED_VALUE"""),0.01)</f>
        <v>0.01</v>
      </c>
      <c r="K116" s="7">
        <f>IFERROR(__xludf.DUMMYFUNCTION("""COMPUTED_VALUE"""),0.0)</f>
        <v>0</v>
      </c>
    </row>
    <row r="117" ht="15.75" customHeight="1">
      <c r="A117" s="6" t="str">
        <f>IFERROR(__xludf.DUMMYFUNCTION("""COMPUTED_VALUE"""),"https://www.bbe.io/top-10-best-advertising-agency-leaders-australia-2025-sydney-melbourne-brisbane")</f>
        <v>https://www.bbe.io/top-10-best-advertising-agency-leaders-australia-2025-sydney-melbourne-brisbane</v>
      </c>
      <c r="B117" s="7" t="str">
        <f>IFERROR(__xludf.DUMMYFUNCTION("""COMPUTED_VALUE"""),"The BBE Best: The Best Creative Leaders of the Top Advertising Agencies in Australia")</f>
        <v>The BBE Best: The Best Creative Leaders of the Top Advertising Agencies in Australia</v>
      </c>
      <c r="C117" s="6" t="str">
        <f>IFERROR(__xludf.DUMMYFUNCTION("""COMPUTED_VALUE"""),"bbe.io")</f>
        <v>bbe.io</v>
      </c>
      <c r="D117" s="7" t="str">
        <f>IFERROR(__xludf.DUMMYFUNCTION("""COMPUTED_VALUE"""),"LISTICLE")</f>
        <v>LISTICLE</v>
      </c>
      <c r="E117" s="7" t="str">
        <f>IFERROR(__xludf.DUMMYFUNCTION("""COMPUTED_VALUE"""),"CORPORATE")</f>
        <v>CORPORATE</v>
      </c>
      <c r="F117" s="7" t="str">
        <f>IFERROR(__xludf.DUMMYFUNCTION("""COMPUTED_VALUE"""),"Listicle")</f>
        <v>Listicle</v>
      </c>
      <c r="G117" s="7" t="b">
        <f>IFERROR(__xludf.DUMMYFUNCTION("""COMPUTED_VALUE"""),FALSE)</f>
        <v>0</v>
      </c>
      <c r="H117" s="7" t="str">
        <f>IFERROR(__xludf.DUMMYFUNCTION("""COMPUTED_VALUE"""),"HERO, VML")</f>
        <v>HERO, VML</v>
      </c>
      <c r="I117" s="7">
        <f>IFERROR(__xludf.DUMMYFUNCTION("""COMPUTED_VALUE"""),7.0)</f>
        <v>7</v>
      </c>
      <c r="J117" s="7">
        <f>IFERROR(__xludf.DUMMYFUNCTION("""COMPUTED_VALUE"""),0.01)</f>
        <v>0.01</v>
      </c>
      <c r="K117" s="7">
        <f>IFERROR(__xludf.DUMMYFUNCTION("""COMPUTED_VALUE"""),0.0)</f>
        <v>0</v>
      </c>
    </row>
    <row r="118" ht="15.75" customHeight="1">
      <c r="A118" s="6" t="str">
        <f>IFERROR(__xludf.DUMMYFUNCTION("""COMPUTED_VALUE"""),"https://www.bushnote.com/articles/best-10-aeo-agencies-in-australia-to-promote-b2b-saas-companies-in-2026")</f>
        <v>https://www.bushnote.com/articles/best-10-aeo-agencies-in-australia-to-promote-b2b-saas-companies-in-2026</v>
      </c>
      <c r="B118" s="7" t="str">
        <f>IFERROR(__xludf.DUMMYFUNCTION("""COMPUTED_VALUE"""),"Best 10 AEO Agencies in Australia for B2B SaaS in 2026")</f>
        <v>Best 10 AEO Agencies in Australia for B2B SaaS in 2026</v>
      </c>
      <c r="C118" s="6" t="str">
        <f>IFERROR(__xludf.DUMMYFUNCTION("""COMPUTED_VALUE"""),"bushnote.com")</f>
        <v>bushnote.com</v>
      </c>
      <c r="D118" s="7" t="str">
        <f>IFERROR(__xludf.DUMMYFUNCTION("""COMPUTED_VALUE"""),"LISTICLE")</f>
        <v>LISTICLE</v>
      </c>
      <c r="E118" s="7" t="str">
        <f>IFERROR(__xludf.DUMMYFUNCTION("""COMPUTED_VALUE"""),"COMPETITOR")</f>
        <v>COMPETITOR</v>
      </c>
      <c r="F118" s="7" t="str">
        <f>IFERROR(__xludf.DUMMYFUNCTION("""COMPUTED_VALUE"""),"Listicle")</f>
        <v>Listicle</v>
      </c>
      <c r="G118" s="7" t="b">
        <f>IFERROR(__xludf.DUMMYFUNCTION("""COMPUTED_VALUE"""),FALSE)</f>
        <v>0</v>
      </c>
      <c r="H118" s="7" t="str">
        <f>IFERROR(__xludf.DUMMYFUNCTION("""COMPUTED_VALUE"""),"Bushnote, Webprofits, StudioHawk, Prosperity Media, Impressive, Luminary, Salt &amp; Fuessel")</f>
        <v>Bushnote, Webprofits, StudioHawk, Prosperity Media, Impressive, Luminary, Salt &amp; Fuessel</v>
      </c>
      <c r="I118" s="7">
        <f>IFERROR(__xludf.DUMMYFUNCTION("""COMPUTED_VALUE"""),7.0)</f>
        <v>7</v>
      </c>
      <c r="J118" s="7">
        <f>IFERROR(__xludf.DUMMYFUNCTION("""COMPUTED_VALUE"""),0.01)</f>
        <v>0.01</v>
      </c>
      <c r="K118" s="7">
        <f>IFERROR(__xludf.DUMMYFUNCTION("""COMPUTED_VALUE"""),0.29)</f>
        <v>0.29</v>
      </c>
    </row>
    <row r="119" ht="15.75" customHeight="1">
      <c r="A119" s="6" t="str">
        <f>IFERROR(__xludf.DUMMYFUNCTION("""COMPUTED_VALUE"""),"https://influencermarketinghub.com/social-media-marketing-agencies-australia/")</f>
        <v>https://influencermarketinghub.com/social-media-marketing-agencies-australia/</v>
      </c>
      <c r="B119" s="7" t="str">
        <f>IFERROR(__xludf.DUMMYFUNCTION("""COMPUTED_VALUE"""),"Top 13 Social Media Marketing Agencies in Australia")</f>
        <v>Top 13 Social Media Marketing Agencies in Australia</v>
      </c>
      <c r="C119" s="6" t="str">
        <f>IFERROR(__xludf.DUMMYFUNCTION("""COMPUTED_VALUE"""),"influencermarketinghub.com")</f>
        <v>influencermarketinghub.com</v>
      </c>
      <c r="D119" s="7" t="str">
        <f>IFERROR(__xludf.DUMMYFUNCTION("""COMPUTED_VALUE"""),"LISTICLE")</f>
        <v>LISTICLE</v>
      </c>
      <c r="E119" s="7" t="str">
        <f>IFERROR(__xludf.DUMMYFUNCTION("""COMPUTED_VALUE"""),"REFERENCE")</f>
        <v>REFERENCE</v>
      </c>
      <c r="F119" s="7" t="str">
        <f>IFERROR(__xludf.DUMMYFUNCTION("""COMPUTED_VALUE"""),"Listicle")</f>
        <v>Listicle</v>
      </c>
      <c r="G119" s="7" t="b">
        <f>IFERROR(__xludf.DUMMYFUNCTION("""COMPUTED_VALUE"""),FALSE)</f>
        <v>0</v>
      </c>
      <c r="H119" s="7" t="str">
        <f>IFERROR(__xludf.DUMMYFUNCTION("""COMPUTED_VALUE"""),"Megaphone, Farsiight, Emote Digital, Sparro")</f>
        <v>Megaphone, Farsiight, Emote Digital, Sparro</v>
      </c>
      <c r="I119" s="7">
        <f>IFERROR(__xludf.DUMMYFUNCTION("""COMPUTED_VALUE"""),7.0)</f>
        <v>7</v>
      </c>
      <c r="J119" s="7">
        <f>IFERROR(__xludf.DUMMYFUNCTION("""COMPUTED_VALUE"""),0.01)</f>
        <v>0.01</v>
      </c>
      <c r="K119" s="7">
        <f>IFERROR(__xludf.DUMMYFUNCTION("""COMPUTED_VALUE"""),2.14)</f>
        <v>2.14</v>
      </c>
    </row>
    <row r="120" ht="15.75" customHeight="1">
      <c r="A120" s="6" t="str">
        <f>IFERROR(__xludf.DUMMYFUNCTION("""COMPUTED_VALUE"""),"https://www.mayple.com/resources/googleadvertising/google-ads-agencies-australia")</f>
        <v>https://www.mayple.com/resources/googleadvertising/google-ads-agencies-australia</v>
      </c>
      <c r="B120" s="7" t="str">
        <f>IFERROR(__xludf.DUMMYFUNCTION("""COMPUTED_VALUE"""),"5 Best Google Ads Agencies in Australia for Local...")</f>
        <v>5 Best Google Ads Agencies in Australia for Local...</v>
      </c>
      <c r="C120" s="6" t="str">
        <f>IFERROR(__xludf.DUMMYFUNCTION("""COMPUTED_VALUE"""),"mayple.com")</f>
        <v>mayple.com</v>
      </c>
      <c r="D120" s="7" t="str">
        <f>IFERROR(__xludf.DUMMYFUNCTION("""COMPUTED_VALUE"""),"LISTICLE")</f>
        <v>LISTICLE</v>
      </c>
      <c r="E120" s="7" t="str">
        <f>IFERROR(__xludf.DUMMYFUNCTION("""COMPUTED_VALUE"""),"CORPORATE")</f>
        <v>CORPORATE</v>
      </c>
      <c r="F120" s="7" t="str">
        <f>IFERROR(__xludf.DUMMYFUNCTION("""COMPUTED_VALUE"""),"Listicle")</f>
        <v>Listicle</v>
      </c>
      <c r="G120" s="7" t="b">
        <f>IFERROR(__xludf.DUMMYFUNCTION("""COMPUTED_VALUE"""),FALSE)</f>
        <v>0</v>
      </c>
      <c r="H120" s="7" t="str">
        <f>IFERROR(__xludf.DUMMYFUNCTION("""COMPUTED_VALUE"""),"Impressive")</f>
        <v>Impressive</v>
      </c>
      <c r="I120" s="7">
        <f>IFERROR(__xludf.DUMMYFUNCTION("""COMPUTED_VALUE"""),7.0)</f>
        <v>7</v>
      </c>
      <c r="J120" s="7">
        <f>IFERROR(__xludf.DUMMYFUNCTION("""COMPUTED_VALUE"""),0.01)</f>
        <v>0.01</v>
      </c>
      <c r="K120" s="7">
        <f>IFERROR(__xludf.DUMMYFUNCTION("""COMPUTED_VALUE"""),0.29)</f>
        <v>0.29</v>
      </c>
    </row>
    <row r="121" ht="15.75" customHeight="1">
      <c r="A121" s="6" t="str">
        <f>IFERROR(__xludf.DUMMYFUNCTION("""COMPUTED_VALUE"""),"https://onelittleweb.com/top-agencies/top-performance-marketing-agencies/")</f>
        <v>https://onelittleweb.com/top-agencies/top-performance-marketing-agencies/</v>
      </c>
      <c r="B121" s="7" t="str">
        <f>IFERROR(__xludf.DUMMYFUNCTION("""COMPUTED_VALUE"""),"Top Performance Marketing Agencies 2026 – Ranked &amp;amp; Reviewed")</f>
        <v>Top Performance Marketing Agencies 2026 – Ranked &amp;amp; Reviewed</v>
      </c>
      <c r="C121" s="6" t="str">
        <f>IFERROR(__xludf.DUMMYFUNCTION("""COMPUTED_VALUE"""),"onelittleweb.com")</f>
        <v>onelittleweb.com</v>
      </c>
      <c r="D121" s="7" t="str">
        <f>IFERROR(__xludf.DUMMYFUNCTION("""COMPUTED_VALUE"""),"LISTICLE")</f>
        <v>LISTICLE</v>
      </c>
      <c r="E121" s="7" t="str">
        <f>IFERROR(__xludf.DUMMYFUNCTION("""COMPUTED_VALUE"""),"CORPORATE")</f>
        <v>CORPORATE</v>
      </c>
      <c r="F121" s="7" t="str">
        <f>IFERROR(__xludf.DUMMYFUNCTION("""COMPUTED_VALUE"""),"Listicle")</f>
        <v>Listicle</v>
      </c>
      <c r="G121" s="7" t="b">
        <f>IFERROR(__xludf.DUMMYFUNCTION("""COMPUTED_VALUE"""),FALSE)</f>
        <v>0</v>
      </c>
      <c r="H121" s="7" t="str">
        <f>IFERROR(__xludf.DUMMYFUNCTION("""COMPUTED_VALUE"""),"Supple Digital")</f>
        <v>Supple Digital</v>
      </c>
      <c r="I121" s="7">
        <f>IFERROR(__xludf.DUMMYFUNCTION("""COMPUTED_VALUE"""),7.0)</f>
        <v>7</v>
      </c>
      <c r="J121" s="7">
        <f>IFERROR(__xludf.DUMMYFUNCTION("""COMPUTED_VALUE"""),0.01)</f>
        <v>0.01</v>
      </c>
      <c r="K121" s="7">
        <f>IFERROR(__xludf.DUMMYFUNCTION("""COMPUTED_VALUE"""),0.0)</f>
        <v>0</v>
      </c>
    </row>
    <row r="122" ht="15.75" customHeight="1">
      <c r="A122" s="6" t="str">
        <f>IFERROR(__xludf.DUMMYFUNCTION("""COMPUTED_VALUE"""),"https://talonsmarketing.com.au/10-best-chatgpt-optimisation-agencies-australia/")</f>
        <v>https://talonsmarketing.com.au/10-best-chatgpt-optimisation-agencies-australia/</v>
      </c>
      <c r="B122" s="7" t="str">
        <f>IFERROR(__xludf.DUMMYFUNCTION("""COMPUTED_VALUE"""),"10 Best ChatGPT Optimisation Agencies in Australia (2026) - Talons Marketing")</f>
        <v>10 Best ChatGPT Optimisation Agencies in Australia (2026) - Talons Marketing</v>
      </c>
      <c r="C122" s="6" t="str">
        <f>IFERROR(__xludf.DUMMYFUNCTION("""COMPUTED_VALUE"""),"talonsmarketing.com.au")</f>
        <v>talonsmarketing.com.au</v>
      </c>
      <c r="D122" s="7" t="str">
        <f>IFERROR(__xludf.DUMMYFUNCTION("""COMPUTED_VALUE"""),"LISTICLE")</f>
        <v>LISTICLE</v>
      </c>
      <c r="E122" s="7" t="str">
        <f>IFERROR(__xludf.DUMMYFUNCTION("""COMPUTED_VALUE"""),"COMPETITOR")</f>
        <v>COMPETITOR</v>
      </c>
      <c r="F122" s="7" t="str">
        <f>IFERROR(__xludf.DUMMYFUNCTION("""COMPUTED_VALUE"""),"Listicle")</f>
        <v>Listicle</v>
      </c>
      <c r="G122" s="7" t="b">
        <f>IFERROR(__xludf.DUMMYFUNCTION("""COMPUTED_VALUE"""),FALSE)</f>
        <v>0</v>
      </c>
      <c r="H122" s="7" t="str">
        <f>IFERROR(__xludf.DUMMYFUNCTION("""COMPUTED_VALUE"""),"Talons Marketing, StudioHawk, Intesols, Online Marketing Gurus, Alley Group, Huge, Measured")</f>
        <v>Talons Marketing, StudioHawk, Intesols, Online Marketing Gurus, Alley Group, Huge, Measured</v>
      </c>
      <c r="I122" s="7">
        <f>IFERROR(__xludf.DUMMYFUNCTION("""COMPUTED_VALUE"""),7.0)</f>
        <v>7</v>
      </c>
      <c r="J122" s="7">
        <f>IFERROR(__xludf.DUMMYFUNCTION("""COMPUTED_VALUE"""),0.01)</f>
        <v>0.01</v>
      </c>
      <c r="K122" s="7">
        <f>IFERROR(__xludf.DUMMYFUNCTION("""COMPUTED_VALUE"""),1.14)</f>
        <v>1.14</v>
      </c>
    </row>
    <row r="123" ht="15.75" customHeight="1">
      <c r="A123" s="6" t="str">
        <f>IFERROR(__xludf.DUMMYFUNCTION("""COMPUTED_VALUE"""),"https://themanifest.com/au/media-buying/agencies")</f>
        <v>https://themanifest.com/au/media-buying/agencies</v>
      </c>
      <c r="B123" s="7" t="str">
        <f>IFERROR(__xludf.DUMMYFUNCTION("""COMPUTED_VALUE"""),"The Best Media Planning and Buying Companies in Australia - Jul 2026 | The Manifest")</f>
        <v>The Best Media Planning and Buying Companies in Australia - Jul 2026 | The Manifest</v>
      </c>
      <c r="C123" s="6" t="str">
        <f>IFERROR(__xludf.DUMMYFUNCTION("""COMPUTED_VALUE"""),"themanifest.com")</f>
        <v>themanifest.com</v>
      </c>
      <c r="D123" s="7" t="str">
        <f>IFERROR(__xludf.DUMMYFUNCTION("""COMPUTED_VALUE"""),"LISTICLE")</f>
        <v>LISTICLE</v>
      </c>
      <c r="E123" s="7" t="str">
        <f>IFERROR(__xludf.DUMMYFUNCTION("""COMPUTED_VALUE"""),"REFERENCE")</f>
        <v>REFERENCE</v>
      </c>
      <c r="F123" s="7" t="str">
        <f>IFERROR(__xludf.DUMMYFUNCTION("""COMPUTED_VALUE"""),"Listicle")</f>
        <v>Listicle</v>
      </c>
      <c r="G123" s="7" t="b">
        <f>IFERROR(__xludf.DUMMYFUNCTION("""COMPUTED_VALUE"""),FALSE)</f>
        <v>0</v>
      </c>
      <c r="H123" s="7" t="str">
        <f>IFERROR(__xludf.DUMMYFUNCTION("""COMPUTED_VALUE"""),"Soup Agency, Bench Media, DNM Digital, MK Media")</f>
        <v>Soup Agency, Bench Media, DNM Digital, MK Media</v>
      </c>
      <c r="I123" s="7">
        <f>IFERROR(__xludf.DUMMYFUNCTION("""COMPUTED_VALUE"""),7.0)</f>
        <v>7</v>
      </c>
      <c r="J123" s="7">
        <f>IFERROR(__xludf.DUMMYFUNCTION("""COMPUTED_VALUE"""),0.01)</f>
        <v>0.01</v>
      </c>
      <c r="K123" s="7">
        <f>IFERROR(__xludf.DUMMYFUNCTION("""COMPUTED_VALUE"""),0.0)</f>
        <v>0</v>
      </c>
    </row>
    <row r="124" ht="15.75" customHeight="1">
      <c r="A124" s="6" t="str">
        <f>IFERROR(__xludf.DUMMYFUNCTION("""COMPUTED_VALUE"""),"https://virtualadagency.com.au/best-digital-marketing-companies/")</f>
        <v>https://virtualadagency.com.au/best-digital-marketing-companies/</v>
      </c>
      <c r="B124" s="7" t="str">
        <f>IFERROR(__xludf.DUMMYFUNCTION("""COMPUTED_VALUE"""),"Finding the 7 Best Digital Marketing Companies in Australia for 2026")</f>
        <v>Finding the 7 Best Digital Marketing Companies in Australia for 2026</v>
      </c>
      <c r="C124" s="6" t="str">
        <f>IFERROR(__xludf.DUMMYFUNCTION("""COMPUTED_VALUE"""),"virtualadagency.com.au")</f>
        <v>virtualadagency.com.au</v>
      </c>
      <c r="D124" s="7" t="str">
        <f>IFERROR(__xludf.DUMMYFUNCTION("""COMPUTED_VALUE"""),"LISTICLE")</f>
        <v>LISTICLE</v>
      </c>
      <c r="E124" s="7" t="str">
        <f>IFERROR(__xludf.DUMMYFUNCTION("""COMPUTED_VALUE"""),"CORPORATE")</f>
        <v>CORPORATE</v>
      </c>
      <c r="F124" s="7" t="str">
        <f>IFERROR(__xludf.DUMMYFUNCTION("""COMPUTED_VALUE"""),"Listicle")</f>
        <v>Listicle</v>
      </c>
      <c r="G124" s="7" t="b">
        <f>IFERROR(__xludf.DUMMYFUNCTION("""COMPUTED_VALUE"""),FALSE)</f>
        <v>0</v>
      </c>
      <c r="H124" s="7" t="str">
        <f>IFERROR(__xludf.DUMMYFUNCTION("""COMPUTED_VALUE"""),"Online Marketing Gurus, Omnicom Media Group, Sparro, Brainlabs, Reload Media, Impressive, Rocket Agency, King Kong")</f>
        <v>Online Marketing Gurus, Omnicom Media Group, Sparro, Brainlabs, Reload Media, Impressive, Rocket Agency, King Kong</v>
      </c>
      <c r="I124" s="7">
        <f>IFERROR(__xludf.DUMMYFUNCTION("""COMPUTED_VALUE"""),7.0)</f>
        <v>7</v>
      </c>
      <c r="J124" s="7">
        <f>IFERROR(__xludf.DUMMYFUNCTION("""COMPUTED_VALUE"""),0.01)</f>
        <v>0.01</v>
      </c>
      <c r="K124" s="7">
        <f>IFERROR(__xludf.DUMMYFUNCTION("""COMPUTED_VALUE"""),0.86)</f>
        <v>0.86</v>
      </c>
    </row>
    <row r="125" ht="15.75" customHeight="1">
      <c r="A125" s="6" t="str">
        <f>IFERROR(__xludf.DUMMYFUNCTION("""COMPUTED_VALUE"""),"https://www.bbe.io/top-10-advertising-agencies-2026-melbourne-sydney-brisbane")</f>
        <v>https://www.bbe.io/top-10-advertising-agencies-2026-melbourne-sydney-brisbane</v>
      </c>
      <c r="B125" s="7" t="str">
        <f>IFERROR(__xludf.DUMMYFUNCTION("""COMPUTED_VALUE"""),"BBE Agency | Better Brand Experiences | Strategy, Creative, Digital, Brand, Performance Marketing Agency")</f>
        <v>BBE Agency | Better Brand Experiences | Strategy, Creative, Digital, Brand, Performance Marketing Agency</v>
      </c>
      <c r="C125" s="6" t="str">
        <f>IFERROR(__xludf.DUMMYFUNCTION("""COMPUTED_VALUE"""),"bbe.io")</f>
        <v>bbe.io</v>
      </c>
      <c r="D125" s="7" t="str">
        <f>IFERROR(__xludf.DUMMYFUNCTION("""COMPUTED_VALUE"""),"LISTICLE")</f>
        <v>LISTICLE</v>
      </c>
      <c r="E125" s="7" t="str">
        <f>IFERROR(__xludf.DUMMYFUNCTION("""COMPUTED_VALUE"""),"CORPORATE")</f>
        <v>CORPORATE</v>
      </c>
      <c r="F125" s="7" t="str">
        <f>IFERROR(__xludf.DUMMYFUNCTION("""COMPUTED_VALUE"""),"Listicle")</f>
        <v>Listicle</v>
      </c>
      <c r="G125" s="7" t="b">
        <f>IFERROR(__xludf.DUMMYFUNCTION("""COMPUTED_VALUE"""),FALSE)</f>
        <v>0</v>
      </c>
      <c r="H125" s="7"/>
      <c r="I125" s="7">
        <f>IFERROR(__xludf.DUMMYFUNCTION("""COMPUTED_VALUE"""),6.0)</f>
        <v>6</v>
      </c>
      <c r="J125" s="7">
        <f>IFERROR(__xludf.DUMMYFUNCTION("""COMPUTED_VALUE"""),0.01)</f>
        <v>0.01</v>
      </c>
      <c r="K125" s="7">
        <f>IFERROR(__xludf.DUMMYFUNCTION("""COMPUTED_VALUE"""),0.0)</f>
        <v>0</v>
      </c>
    </row>
    <row r="126" ht="15.75" customHeight="1">
      <c r="A126" s="6" t="str">
        <f>IFERROR(__xludf.DUMMYFUNCTION("""COMPUTED_VALUE"""),"https://clickclickbangbang.com.au/social-media-marketing-firms/")</f>
        <v>https://clickclickbangbang.com.au/social-media-marketing-firms/</v>
      </c>
      <c r="B126" s="7" t="str">
        <f>IFERROR(__xludf.DUMMYFUNCTION("""COMPUTED_VALUE"""),"Top 7 Social Media Marketing Firms for 2026")</f>
        <v>Top 7 Social Media Marketing Firms for 2026</v>
      </c>
      <c r="C126" s="6" t="str">
        <f>IFERROR(__xludf.DUMMYFUNCTION("""COMPUTED_VALUE"""),"clickclickbangbang.com.au")</f>
        <v>clickclickbangbang.com.au</v>
      </c>
      <c r="D126" s="7" t="str">
        <f>IFERROR(__xludf.DUMMYFUNCTION("""COMPUTED_VALUE"""),"LISTICLE")</f>
        <v>LISTICLE</v>
      </c>
      <c r="E126" s="7" t="str">
        <f>IFERROR(__xludf.DUMMYFUNCTION("""COMPUTED_VALUE"""),"CORPORATE")</f>
        <v>CORPORATE</v>
      </c>
      <c r="F126" s="7" t="str">
        <f>IFERROR(__xludf.DUMMYFUNCTION("""COMPUTED_VALUE"""),"Listicle")</f>
        <v>Listicle</v>
      </c>
      <c r="G126" s="7" t="b">
        <f>IFERROR(__xludf.DUMMYFUNCTION("""COMPUTED_VALUE"""),FALSE)</f>
        <v>0</v>
      </c>
      <c r="H126" s="7" t="str">
        <f>IFERROR(__xludf.DUMMYFUNCTION("""COMPUTED_VALUE"""),"Momentum, Megaphone, Reload Media, Sparro, Brainlabs")</f>
        <v>Momentum, Megaphone, Reload Media, Sparro, Brainlabs</v>
      </c>
      <c r="I126" s="7">
        <f>IFERROR(__xludf.DUMMYFUNCTION("""COMPUTED_VALUE"""),6.0)</f>
        <v>6</v>
      </c>
      <c r="J126" s="7">
        <f>IFERROR(__xludf.DUMMYFUNCTION("""COMPUTED_VALUE"""),0.01)</f>
        <v>0.01</v>
      </c>
      <c r="K126" s="7">
        <f>IFERROR(__xludf.DUMMYFUNCTION("""COMPUTED_VALUE"""),0.5)</f>
        <v>0.5</v>
      </c>
    </row>
    <row r="127" ht="15.75" customHeight="1">
      <c r="A127" s="6" t="str">
        <f>IFERROR(__xludf.DUMMYFUNCTION("""COMPUTED_VALUE"""),"https://conquerradigital.com.au/top-10-digital-marketing-agencies-in-australia/")</f>
        <v>https://conquerradigital.com.au/top-10-digital-marketing-agencies-in-australia/</v>
      </c>
      <c r="B127" s="7" t="str">
        <f>IFERROR(__xludf.DUMMYFUNCTION("""COMPUTED_VALUE"""),"Top 10 Digital Marketing Agencies In Australia | Conquerra Digital")</f>
        <v>Top 10 Digital Marketing Agencies In Australia | Conquerra Digital</v>
      </c>
      <c r="C127" s="6" t="str">
        <f>IFERROR(__xludf.DUMMYFUNCTION("""COMPUTED_VALUE"""),"conquerradigital.com.au")</f>
        <v>conquerradigital.com.au</v>
      </c>
      <c r="D127" s="7" t="str">
        <f>IFERROR(__xludf.DUMMYFUNCTION("""COMPUTED_VALUE"""),"LISTICLE")</f>
        <v>LISTICLE</v>
      </c>
      <c r="E127" s="7" t="str">
        <f>IFERROR(__xludf.DUMMYFUNCTION("""COMPUTED_VALUE"""),"CORPORATE")</f>
        <v>CORPORATE</v>
      </c>
      <c r="F127" s="7" t="str">
        <f>IFERROR(__xludf.DUMMYFUNCTION("""COMPUTED_VALUE"""),"Listicle")</f>
        <v>Listicle</v>
      </c>
      <c r="G127" s="7" t="b">
        <f>IFERROR(__xludf.DUMMYFUNCTION("""COMPUTED_VALUE"""),FALSE)</f>
        <v>0</v>
      </c>
      <c r="H127" s="7" t="str">
        <f>IFERROR(__xludf.DUMMYFUNCTION("""COMPUTED_VALUE"""),"King Kong, Online Marketing Gurus, Clearwater Agency, Sparro, First Page, Alpha Digital, Webprofits, Bushnote, Omnicom Media Group, Momentum")</f>
        <v>King Kong, Online Marketing Gurus, Clearwater Agency, Sparro, First Page, Alpha Digital, Webprofits, Bushnote, Omnicom Media Group, Momentum</v>
      </c>
      <c r="I127" s="7">
        <f>IFERROR(__xludf.DUMMYFUNCTION("""COMPUTED_VALUE"""),6.0)</f>
        <v>6</v>
      </c>
      <c r="J127" s="7">
        <f>IFERROR(__xludf.DUMMYFUNCTION("""COMPUTED_VALUE"""),0.01)</f>
        <v>0.01</v>
      </c>
      <c r="K127" s="7">
        <f>IFERROR(__xludf.DUMMYFUNCTION("""COMPUTED_VALUE"""),0.33)</f>
        <v>0.33</v>
      </c>
    </row>
    <row r="128" ht="15.75" customHeight="1">
      <c r="A128" s="6" t="str">
        <f>IFERROR(__xludf.DUMMYFUNCTION("""COMPUTED_VALUE"""),"https://corporatedesignsolutions.com.au/top-10-generative-engine-optimisation-agencies-western-australia/")</f>
        <v>https://corporatedesignsolutions.com.au/top-10-generative-engine-optimisation-agencies-western-australia/</v>
      </c>
      <c r="B128" s="7" t="str">
        <f>IFERROR(__xludf.DUMMYFUNCTION("""COMPUTED_VALUE"""),"Our Top 10 AI GEO (Generative Engine Optimisation) Agencies in Western Australia 2025 Rankings – corporatedesignsolutions.com.au")</f>
        <v>Our Top 10 AI GEO (Generative Engine Optimisation) Agencies in Western Australia 2025 Rankings – corporatedesignsolutions.com.au</v>
      </c>
      <c r="C128" s="6" t="str">
        <f>IFERROR(__xludf.DUMMYFUNCTION("""COMPUTED_VALUE"""),"corporatedesignsolutions.com.au")</f>
        <v>corporatedesignsolutions.com.au</v>
      </c>
      <c r="D128" s="7" t="str">
        <f>IFERROR(__xludf.DUMMYFUNCTION("""COMPUTED_VALUE"""),"LISTICLE")</f>
        <v>LISTICLE</v>
      </c>
      <c r="E128" s="7" t="str">
        <f>IFERROR(__xludf.DUMMYFUNCTION("""COMPUTED_VALUE"""),"CORPORATE")</f>
        <v>CORPORATE</v>
      </c>
      <c r="F128" s="7" t="str">
        <f>IFERROR(__xludf.DUMMYFUNCTION("""COMPUTED_VALUE"""),"Listicle")</f>
        <v>Listicle</v>
      </c>
      <c r="G128" s="7" t="b">
        <f>IFERROR(__xludf.DUMMYFUNCTION("""COMPUTED_VALUE"""),FALSE)</f>
        <v>0</v>
      </c>
      <c r="H128" s="7" t="str">
        <f>IFERROR(__xludf.DUMMYFUNCTION("""COMPUTED_VALUE"""),"StudioHawk")</f>
        <v>StudioHawk</v>
      </c>
      <c r="I128" s="7">
        <f>IFERROR(__xludf.DUMMYFUNCTION("""COMPUTED_VALUE"""),6.0)</f>
        <v>6</v>
      </c>
      <c r="J128" s="7">
        <f>IFERROR(__xludf.DUMMYFUNCTION("""COMPUTED_VALUE"""),0.01)</f>
        <v>0.01</v>
      </c>
      <c r="K128" s="7">
        <f>IFERROR(__xludf.DUMMYFUNCTION("""COMPUTED_VALUE"""),0.33)</f>
        <v>0.33</v>
      </c>
    </row>
    <row r="129" ht="15.75" customHeight="1">
      <c r="A129" s="6" t="str">
        <f>IFERROR(__xludf.DUMMYFUNCTION("""COMPUTED_VALUE"""),"https://fastlanerecruit.com/blog/top-20-digital-marketing-companies-in-australia/")</f>
        <v>https://fastlanerecruit.com/blog/top-20-digital-marketing-companies-in-australia/</v>
      </c>
      <c r="B129" s="7" t="str">
        <f>IFERROR(__xludf.DUMMYFUNCTION("""COMPUTED_VALUE"""),"Top Digital Marketing Agencies Australia 2026")</f>
        <v>Top Digital Marketing Agencies Australia 2026</v>
      </c>
      <c r="C129" s="6" t="str">
        <f>IFERROR(__xludf.DUMMYFUNCTION("""COMPUTED_VALUE"""),"fastlanerecruit.com")</f>
        <v>fastlanerecruit.com</v>
      </c>
      <c r="D129" s="7" t="str">
        <f>IFERROR(__xludf.DUMMYFUNCTION("""COMPUTED_VALUE"""),"LISTICLE")</f>
        <v>LISTICLE</v>
      </c>
      <c r="E129" s="7" t="str">
        <f>IFERROR(__xludf.DUMMYFUNCTION("""COMPUTED_VALUE"""),"CORPORATE")</f>
        <v>CORPORATE</v>
      </c>
      <c r="F129" s="7" t="str">
        <f>IFERROR(__xludf.DUMMYFUNCTION("""COMPUTED_VALUE"""),"Listicle")</f>
        <v>Listicle</v>
      </c>
      <c r="G129" s="7" t="b">
        <f>IFERROR(__xludf.DUMMYFUNCTION("""COMPUTED_VALUE"""),FALSE)</f>
        <v>0</v>
      </c>
      <c r="H129" s="7" t="str">
        <f>IFERROR(__xludf.DUMMYFUNCTION("""COMPUTED_VALUE"""),"Clearwater Agency, Soup Agency, Luminary, Farsiight, Digital Nomads HQ, SIXGUN, Human Digital, Intesols, 80/20 Digital, Salt &amp; Fuessel, Emote Digital, StudioHawk, King Kong, Megaphone, KPMG")</f>
        <v>Clearwater Agency, Soup Agency, Luminary, Farsiight, Digital Nomads HQ, SIXGUN, Human Digital, Intesols, 80/20 Digital, Salt &amp; Fuessel, Emote Digital, StudioHawk, King Kong, Megaphone, KPMG</v>
      </c>
      <c r="I129" s="7">
        <f>IFERROR(__xludf.DUMMYFUNCTION("""COMPUTED_VALUE"""),6.0)</f>
        <v>6</v>
      </c>
      <c r="J129" s="7">
        <f>IFERROR(__xludf.DUMMYFUNCTION("""COMPUTED_VALUE"""),0.01)</f>
        <v>0.01</v>
      </c>
      <c r="K129" s="7">
        <f>IFERROR(__xludf.DUMMYFUNCTION("""COMPUTED_VALUE"""),1.33)</f>
        <v>1.33</v>
      </c>
    </row>
    <row r="130" ht="15.75" customHeight="1">
      <c r="A130" s="6" t="str">
        <f>IFERROR(__xludf.DUMMYFUNCTION("""COMPUTED_VALUE"""),"https://hikemytraffic.com/ai-digital-marketing-agencies-in-australia/")</f>
        <v>https://hikemytraffic.com/ai-digital-marketing-agencies-in-australia/</v>
      </c>
      <c r="B130" s="7" t="str">
        <f>IFERROR(__xludf.DUMMYFUNCTION("""COMPUTED_VALUE"""),"Top 7 AI Digital Marketing Agencies in Australia")</f>
        <v>Top 7 AI Digital Marketing Agencies in Australia</v>
      </c>
      <c r="C130" s="6" t="str">
        <f>IFERROR(__xludf.DUMMYFUNCTION("""COMPUTED_VALUE"""),"hikemytraffic.com")</f>
        <v>hikemytraffic.com</v>
      </c>
      <c r="D130" s="7" t="str">
        <f>IFERROR(__xludf.DUMMYFUNCTION("""COMPUTED_VALUE"""),"LISTICLE")</f>
        <v>LISTICLE</v>
      </c>
      <c r="E130" s="7" t="str">
        <f>IFERROR(__xludf.DUMMYFUNCTION("""COMPUTED_VALUE"""),"CORPORATE")</f>
        <v>CORPORATE</v>
      </c>
      <c r="F130" s="7" t="str">
        <f>IFERROR(__xludf.DUMMYFUNCTION("""COMPUTED_VALUE"""),"Listicle")</f>
        <v>Listicle</v>
      </c>
      <c r="G130" s="7" t="b">
        <f>IFERROR(__xludf.DUMMYFUNCTION("""COMPUTED_VALUE"""),FALSE)</f>
        <v>0</v>
      </c>
      <c r="H130" s="7" t="str">
        <f>IFERROR(__xludf.DUMMYFUNCTION("""COMPUTED_VALUE"""),"Alley Group, Bench Media")</f>
        <v>Alley Group, Bench Media</v>
      </c>
      <c r="I130" s="7">
        <f>IFERROR(__xludf.DUMMYFUNCTION("""COMPUTED_VALUE"""),6.0)</f>
        <v>6</v>
      </c>
      <c r="J130" s="7">
        <f>IFERROR(__xludf.DUMMYFUNCTION("""COMPUTED_VALUE"""),0.01)</f>
        <v>0.01</v>
      </c>
      <c r="K130" s="7">
        <f>IFERROR(__xludf.DUMMYFUNCTION("""COMPUTED_VALUE"""),0.0)</f>
        <v>0</v>
      </c>
    </row>
    <row r="131" ht="15.75" customHeight="1">
      <c r="A131" s="6" t="str">
        <f>IFERROR(__xludf.DUMMYFUNCTION("""COMPUTED_VALUE"""),"https://hustlemarketers.com/best-google-ads-agency-australia/")</f>
        <v>https://hustlemarketers.com/best-google-ads-agency-australia/</v>
      </c>
      <c r="B131" s="7" t="str">
        <f>IFERROR(__xludf.DUMMYFUNCTION("""COMPUTED_VALUE"""),"Best Google Ads Agency in Australia 2026: 12 Picks")</f>
        <v>Best Google Ads Agency in Australia 2026: 12 Picks</v>
      </c>
      <c r="C131" s="6" t="str">
        <f>IFERROR(__xludf.DUMMYFUNCTION("""COMPUTED_VALUE"""),"hustlemarketers.com")</f>
        <v>hustlemarketers.com</v>
      </c>
      <c r="D131" s="7" t="str">
        <f>IFERROR(__xludf.DUMMYFUNCTION("""COMPUTED_VALUE"""),"LISTICLE")</f>
        <v>LISTICLE</v>
      </c>
      <c r="E131" s="7" t="str">
        <f>IFERROR(__xludf.DUMMYFUNCTION("""COMPUTED_VALUE"""),"CORPORATE")</f>
        <v>CORPORATE</v>
      </c>
      <c r="F131" s="7" t="str">
        <f>IFERROR(__xludf.DUMMYFUNCTION("""COMPUTED_VALUE"""),"Listicle")</f>
        <v>Listicle</v>
      </c>
      <c r="G131" s="7" t="b">
        <f>IFERROR(__xludf.DUMMYFUNCTION("""COMPUTED_VALUE"""),FALSE)</f>
        <v>0</v>
      </c>
      <c r="H131" s="7" t="str">
        <f>IFERROR(__xludf.DUMMYFUNCTION("""COMPUTED_VALUE"""),"Online Marketing Gurus, Rocket Agency, Megaphone, Clearwater Agency, Omnicom Media Group, Digital Nomads HQ, Farsiight, Alpha Digital")</f>
        <v>Online Marketing Gurus, Rocket Agency, Megaphone, Clearwater Agency, Omnicom Media Group, Digital Nomads HQ, Farsiight, Alpha Digital</v>
      </c>
      <c r="I131" s="7">
        <f>IFERROR(__xludf.DUMMYFUNCTION("""COMPUTED_VALUE"""),6.0)</f>
        <v>6</v>
      </c>
      <c r="J131" s="7">
        <f>IFERROR(__xludf.DUMMYFUNCTION("""COMPUTED_VALUE"""),0.01)</f>
        <v>0.01</v>
      </c>
      <c r="K131" s="7">
        <f>IFERROR(__xludf.DUMMYFUNCTION("""COMPUTED_VALUE"""),0.17)</f>
        <v>0.17</v>
      </c>
    </row>
    <row r="132" ht="15.75" customHeight="1">
      <c r="A132" s="6" t="str">
        <f>IFERROR(__xludf.DUMMYFUNCTION("""COMPUTED_VALUE"""),"https://www.icreativez.com/marketing-companies-by-country/premier-digital-marketing-agencies-australia-2026.html")</f>
        <v>https://www.icreativez.com/marketing-companies-by-country/premier-digital-marketing-agencies-australia-2026.html</v>
      </c>
      <c r="B132" s="7" t="str">
        <f>IFERROR(__xludf.DUMMYFUNCTION("""COMPUTED_VALUE"""),"10 Premier Digital Marketing Agencies in Australia | Enterprise Choice 2026")</f>
        <v>10 Premier Digital Marketing Agencies in Australia | Enterprise Choice 2026</v>
      </c>
      <c r="C132" s="6" t="str">
        <f>IFERROR(__xludf.DUMMYFUNCTION("""COMPUTED_VALUE"""),"icreativez.com")</f>
        <v>icreativez.com</v>
      </c>
      <c r="D132" s="7" t="str">
        <f>IFERROR(__xludf.DUMMYFUNCTION("""COMPUTED_VALUE"""),"LISTICLE")</f>
        <v>LISTICLE</v>
      </c>
      <c r="E132" s="7" t="str">
        <f>IFERROR(__xludf.DUMMYFUNCTION("""COMPUTED_VALUE"""),"OTHER")</f>
        <v>OTHER</v>
      </c>
      <c r="F132" s="7" t="str">
        <f>IFERROR(__xludf.DUMMYFUNCTION("""COMPUTED_VALUE"""),"Listicle")</f>
        <v>Listicle</v>
      </c>
      <c r="G132" s="7" t="b">
        <f>IFERROR(__xludf.DUMMYFUNCTION("""COMPUTED_VALUE"""),FALSE)</f>
        <v>0</v>
      </c>
      <c r="H132" s="7" t="str">
        <f>IFERROR(__xludf.DUMMYFUNCTION("""COMPUTED_VALUE"""),"SearchMax, First Page")</f>
        <v>SearchMax, First Page</v>
      </c>
      <c r="I132" s="7">
        <f>IFERROR(__xludf.DUMMYFUNCTION("""COMPUTED_VALUE"""),6.0)</f>
        <v>6</v>
      </c>
      <c r="J132" s="7">
        <f>IFERROR(__xludf.DUMMYFUNCTION("""COMPUTED_VALUE"""),0.01)</f>
        <v>0.01</v>
      </c>
      <c r="K132" s="7">
        <f>IFERROR(__xludf.DUMMYFUNCTION("""COMPUTED_VALUE"""),0.33)</f>
        <v>0.33</v>
      </c>
    </row>
    <row r="133" ht="15.75" customHeight="1">
      <c r="A133" s="6" t="str">
        <f>IFERROR(__xludf.DUMMYFUNCTION("""COMPUTED_VALUE"""),"https://lengreo.com/australia-perth-aeo-geo-llmo-companies/")</f>
        <v>https://lengreo.com/australia-perth-aeo-geo-llmo-companies/</v>
      </c>
      <c r="B133" s="7" t="str">
        <f>IFERROR(__xludf.DUMMYFUNCTION("""COMPUTED_VALUE"""),"Top 6 AEO, GEO and LLMO Companies in Perth, Australia (2026)")</f>
        <v>Top 6 AEO, GEO and LLMO Companies in Perth, Australia (2026)</v>
      </c>
      <c r="C133" s="6" t="str">
        <f>IFERROR(__xludf.DUMMYFUNCTION("""COMPUTED_VALUE"""),"lengreo.com")</f>
        <v>lengreo.com</v>
      </c>
      <c r="D133" s="7" t="str">
        <f>IFERROR(__xludf.DUMMYFUNCTION("""COMPUTED_VALUE"""),"LISTICLE")</f>
        <v>LISTICLE</v>
      </c>
      <c r="E133" s="7" t="str">
        <f>IFERROR(__xludf.DUMMYFUNCTION("""COMPUTED_VALUE"""),"CORPORATE")</f>
        <v>CORPORATE</v>
      </c>
      <c r="F133" s="7" t="str">
        <f>IFERROR(__xludf.DUMMYFUNCTION("""COMPUTED_VALUE"""),"Listicle")</f>
        <v>Listicle</v>
      </c>
      <c r="G133" s="7" t="b">
        <f>IFERROR(__xludf.DUMMYFUNCTION("""COMPUTED_VALUE"""),FALSE)</f>
        <v>0</v>
      </c>
      <c r="H133" s="7"/>
      <c r="I133" s="7">
        <f>IFERROR(__xludf.DUMMYFUNCTION("""COMPUTED_VALUE"""),6.0)</f>
        <v>6</v>
      </c>
      <c r="J133" s="7">
        <f>IFERROR(__xludf.DUMMYFUNCTION("""COMPUTED_VALUE"""),0.01)</f>
        <v>0.01</v>
      </c>
      <c r="K133" s="7">
        <f>IFERROR(__xludf.DUMMYFUNCTION("""COMPUTED_VALUE"""),1.0)</f>
        <v>1</v>
      </c>
    </row>
    <row r="134" ht="15.75" customHeight="1">
      <c r="A134" s="6" t="str">
        <f>IFERROR(__xludf.DUMMYFUNCTION("""COMPUTED_VALUE"""),"https://www.linkedin.com/pulse/digital-marketing-agencies-australia-abhinav-puri-oeg4f")</f>
        <v>https://www.linkedin.com/pulse/digital-marketing-agencies-australia-abhinav-puri-oeg4f</v>
      </c>
      <c r="B134" s="7" t="str">
        <f>IFERROR(__xludf.DUMMYFUNCTION("""COMPUTED_VALUE"""),"Top 12 Digital Marketing Agencies in Australia 2025")</f>
        <v>Top 12 Digital Marketing Agencies in Australia 2025</v>
      </c>
      <c r="C134" s="6" t="str">
        <f>IFERROR(__xludf.DUMMYFUNCTION("""COMPUTED_VALUE"""),"linkedin.com")</f>
        <v>linkedin.com</v>
      </c>
      <c r="D134" s="7" t="str">
        <f>IFERROR(__xludf.DUMMYFUNCTION("""COMPUTED_VALUE"""),"LISTICLE")</f>
        <v>LISTICLE</v>
      </c>
      <c r="E134" s="7" t="str">
        <f>IFERROR(__xludf.DUMMYFUNCTION("""COMPUTED_VALUE"""),"UGC")</f>
        <v>UGC</v>
      </c>
      <c r="F134" s="7" t="str">
        <f>IFERROR(__xludf.DUMMYFUNCTION("""COMPUTED_VALUE"""),"Listicle")</f>
        <v>Listicle</v>
      </c>
      <c r="G134" s="7" t="b">
        <f>IFERROR(__xludf.DUMMYFUNCTION("""COMPUTED_VALUE"""),FALSE)</f>
        <v>0</v>
      </c>
      <c r="H134" s="7" t="str">
        <f>IFERROR(__xludf.DUMMYFUNCTION("""COMPUTED_VALUE"""),"Digital Nomads HQ, Impressive, Sparro, King Kong, Megaphone, Emote Digital")</f>
        <v>Digital Nomads HQ, Impressive, Sparro, King Kong, Megaphone, Emote Digital</v>
      </c>
      <c r="I134" s="7">
        <f>IFERROR(__xludf.DUMMYFUNCTION("""COMPUTED_VALUE"""),6.0)</f>
        <v>6</v>
      </c>
      <c r="J134" s="7">
        <f>IFERROR(__xludf.DUMMYFUNCTION("""COMPUTED_VALUE"""),0.01)</f>
        <v>0.01</v>
      </c>
      <c r="K134" s="7">
        <f>IFERROR(__xludf.DUMMYFUNCTION("""COMPUTED_VALUE"""),0.17)</f>
        <v>0.17</v>
      </c>
    </row>
    <row r="135" ht="15.75" customHeight="1">
      <c r="A135" s="6" t="str">
        <f>IFERROR(__xludf.DUMMYFUNCTION("""COMPUTED_VALUE"""),"https://www.loudface.co/blog/best-aeo-agencies-b2b-saas-2026")</f>
        <v>https://www.loudface.co/blog/best-aeo-agencies-b2b-saas-2026</v>
      </c>
      <c r="B135" s="7" t="str">
        <f>IFERROR(__xludf.DUMMYFUNCTION("""COMPUTED_VALUE"""),"Best AEO &amp;amp; GEO Agencies for B2B SaaS in 2026 | LoudFace")</f>
        <v>Best AEO &amp;amp; GEO Agencies for B2B SaaS in 2026 | LoudFace</v>
      </c>
      <c r="C135" s="6" t="str">
        <f>IFERROR(__xludf.DUMMYFUNCTION("""COMPUTED_VALUE"""),"loudface.co")</f>
        <v>loudface.co</v>
      </c>
      <c r="D135" s="7" t="str">
        <f>IFERROR(__xludf.DUMMYFUNCTION("""COMPUTED_VALUE"""),"LISTICLE")</f>
        <v>LISTICLE</v>
      </c>
      <c r="E135" s="7" t="str">
        <f>IFERROR(__xludf.DUMMYFUNCTION("""COMPUTED_VALUE"""),"CORPORATE")</f>
        <v>CORPORATE</v>
      </c>
      <c r="F135" s="7" t="str">
        <f>IFERROR(__xludf.DUMMYFUNCTION("""COMPUTED_VALUE"""),"Listicle")</f>
        <v>Listicle</v>
      </c>
      <c r="G135" s="7" t="b">
        <f>IFERROR(__xludf.DUMMYFUNCTION("""COMPUTED_VALUE"""),FALSE)</f>
        <v>0</v>
      </c>
      <c r="H135" s="7" t="str">
        <f>IFERROR(__xludf.DUMMYFUNCTION("""COMPUTED_VALUE"""),"Earned Media, First Page")</f>
        <v>Earned Media, First Page</v>
      </c>
      <c r="I135" s="7">
        <f>IFERROR(__xludf.DUMMYFUNCTION("""COMPUTED_VALUE"""),6.0)</f>
        <v>6</v>
      </c>
      <c r="J135" s="7">
        <f>IFERROR(__xludf.DUMMYFUNCTION("""COMPUTED_VALUE"""),0.01)</f>
        <v>0.01</v>
      </c>
      <c r="K135" s="7">
        <f>IFERROR(__xludf.DUMMYFUNCTION("""COMPUTED_VALUE"""),0.0)</f>
        <v>0</v>
      </c>
    </row>
    <row r="136" ht="15.75" customHeight="1">
      <c r="A136" s="6" t="str">
        <f>IFERROR(__xludf.DUMMYFUNCTION("""COMPUTED_VALUE"""),"https://www.measured.com/faq/best-incrementality-testing-companies-software-for-marketing-2025/")</f>
        <v>https://www.measured.com/faq/best-incrementality-testing-companies-software-for-marketing-2025/</v>
      </c>
      <c r="B136" s="7" t="str">
        <f>IFERROR(__xludf.DUMMYFUNCTION("""COMPUTED_VALUE"""),"Best Incrementality Testing Companies &amp; Software for Marketing (2026)")</f>
        <v>Best Incrementality Testing Companies &amp; Software for Marketing (2026)</v>
      </c>
      <c r="C136" s="6" t="str">
        <f>IFERROR(__xludf.DUMMYFUNCTION("""COMPUTED_VALUE"""),"measured.com")</f>
        <v>measured.com</v>
      </c>
      <c r="D136" s="7" t="str">
        <f>IFERROR(__xludf.DUMMYFUNCTION("""COMPUTED_VALUE"""),"LISTICLE")</f>
        <v>LISTICLE</v>
      </c>
      <c r="E136" s="7" t="str">
        <f>IFERROR(__xludf.DUMMYFUNCTION("""COMPUTED_VALUE"""),"COMPETITOR")</f>
        <v>COMPETITOR</v>
      </c>
      <c r="F136" s="7" t="str">
        <f>IFERROR(__xludf.DUMMYFUNCTION("""COMPUTED_VALUE"""),"Listicle")</f>
        <v>Listicle</v>
      </c>
      <c r="G136" s="7" t="b">
        <f>IFERROR(__xludf.DUMMYFUNCTION("""COMPUTED_VALUE"""),FALSE)</f>
        <v>0</v>
      </c>
      <c r="H136" s="7" t="str">
        <f>IFERROR(__xludf.DUMMYFUNCTION("""COMPUTED_VALUE"""),"Measured, Haus, Analytic Partners")</f>
        <v>Measured, Haus, Analytic Partners</v>
      </c>
      <c r="I136" s="7">
        <f>IFERROR(__xludf.DUMMYFUNCTION("""COMPUTED_VALUE"""),6.0)</f>
        <v>6</v>
      </c>
      <c r="J136" s="7">
        <f>IFERROR(__xludf.DUMMYFUNCTION("""COMPUTED_VALUE"""),0.01)</f>
        <v>0.01</v>
      </c>
      <c r="K136" s="7">
        <f>IFERROR(__xludf.DUMMYFUNCTION("""COMPUTED_VALUE"""),0.67)</f>
        <v>0.67</v>
      </c>
    </row>
    <row r="137" ht="15.75" customHeight="1">
      <c r="A137" s="6" t="str">
        <f>IFERROR(__xludf.DUMMYFUNCTION("""COMPUTED_VALUE"""),"https://syntermedia.ai/blog/best-attribution-software-marketing-teams")</f>
        <v>https://syntermedia.ai/blog/best-attribution-software-marketing-teams</v>
      </c>
      <c r="B137" s="7" t="str">
        <f>IFERROR(__xludf.DUMMYFUNCTION("""COMPUTED_VALUE"""),"10 Best Attribution Software for Marketing Teams (2026 Compared) | Synter")</f>
        <v>10 Best Attribution Software for Marketing Teams (2026 Compared) | Synter</v>
      </c>
      <c r="C137" s="6" t="str">
        <f>IFERROR(__xludf.DUMMYFUNCTION("""COMPUTED_VALUE"""),"syntermedia.ai")</f>
        <v>syntermedia.ai</v>
      </c>
      <c r="D137" s="7" t="str">
        <f>IFERROR(__xludf.DUMMYFUNCTION("""COMPUTED_VALUE"""),"LISTICLE")</f>
        <v>LISTICLE</v>
      </c>
      <c r="E137" s="7" t="str">
        <f>IFERROR(__xludf.DUMMYFUNCTION("""COMPUTED_VALUE"""),"CORPORATE")</f>
        <v>CORPORATE</v>
      </c>
      <c r="F137" s="7" t="str">
        <f>IFERROR(__xludf.DUMMYFUNCTION("""COMPUTED_VALUE"""),"Listicle")</f>
        <v>Listicle</v>
      </c>
      <c r="G137" s="7" t="b">
        <f>IFERROR(__xludf.DUMMYFUNCTION("""COMPUTED_VALUE"""),FALSE)</f>
        <v>0</v>
      </c>
      <c r="H137" s="7"/>
      <c r="I137" s="7">
        <f>IFERROR(__xludf.DUMMYFUNCTION("""COMPUTED_VALUE"""),6.0)</f>
        <v>6</v>
      </c>
      <c r="J137" s="7">
        <f>IFERROR(__xludf.DUMMYFUNCTION("""COMPUTED_VALUE"""),0.01)</f>
        <v>0.01</v>
      </c>
      <c r="K137" s="7">
        <f>IFERROR(__xludf.DUMMYFUNCTION("""COMPUTED_VALUE"""),0.0)</f>
        <v>0</v>
      </c>
    </row>
    <row r="138" ht="15.75" customHeight="1">
      <c r="A138" s="6" t="str">
        <f>IFERROR(__xludf.DUMMYFUNCTION("""COMPUTED_VALUE"""),"https://team400.ai/blog/2026-02-choosing-ai-consultants-australia-guide")</f>
        <v>https://team400.ai/blog/2026-02-choosing-ai-consultants-australia-guide</v>
      </c>
      <c r="B138" s="7" t="str">
        <f>IFERROR(__xludf.DUMMYFUNCTION("""COMPUTED_VALUE"""),"Choosing AI Consultants in Australia: Brisbane, Sydney and Melbourne | Team 400 Blog")</f>
        <v>Choosing AI Consultants in Australia: Brisbane, Sydney and Melbourne | Team 400 Blog</v>
      </c>
      <c r="C138" s="6" t="str">
        <f>IFERROR(__xludf.DUMMYFUNCTION("""COMPUTED_VALUE"""),"team400.ai")</f>
        <v>team400.ai</v>
      </c>
      <c r="D138" s="7" t="str">
        <f>IFERROR(__xludf.DUMMYFUNCTION("""COMPUTED_VALUE"""),"LISTICLE")</f>
        <v>LISTICLE</v>
      </c>
      <c r="E138" s="7" t="str">
        <f>IFERROR(__xludf.DUMMYFUNCTION("""COMPUTED_VALUE"""),"CORPORATE")</f>
        <v>CORPORATE</v>
      </c>
      <c r="F138" s="7" t="str">
        <f>IFERROR(__xludf.DUMMYFUNCTION("""COMPUTED_VALUE"""),"Listicle")</f>
        <v>Listicle</v>
      </c>
      <c r="G138" s="7" t="b">
        <f>IFERROR(__xludf.DUMMYFUNCTION("""COMPUTED_VALUE"""),FALSE)</f>
        <v>0</v>
      </c>
      <c r="H138" s="7" t="str">
        <f>IFERROR(__xludf.DUMMYFUNCTION("""COMPUTED_VALUE"""),"Team 400")</f>
        <v>Team 400</v>
      </c>
      <c r="I138" s="7">
        <f>IFERROR(__xludf.DUMMYFUNCTION("""COMPUTED_VALUE"""),6.0)</f>
        <v>6</v>
      </c>
      <c r="J138" s="7">
        <f>IFERROR(__xludf.DUMMYFUNCTION("""COMPUTED_VALUE"""),0.01)</f>
        <v>0.01</v>
      </c>
      <c r="K138" s="7">
        <f>IFERROR(__xludf.DUMMYFUNCTION("""COMPUTED_VALUE"""),0.17)</f>
        <v>0.17</v>
      </c>
    </row>
    <row r="139" ht="15.75" customHeight="1">
      <c r="A139" s="6" t="str">
        <f>IFERROR(__xludf.DUMMYFUNCTION("""COMPUTED_VALUE"""),"https://xpon.ai/resources/how-to-choose-a-google-marketing-platform-partner-australia/")</f>
        <v>https://xpon.ai/resources/how-to-choose-a-google-marketing-platform-partner-australia/</v>
      </c>
      <c r="B139" s="7" t="str">
        <f>IFERROR(__xludf.DUMMYFUNCTION("""COMPUTED_VALUE"""),"How to Choose a Google Marketing Platform Partner in Australia | XPON")</f>
        <v>How to Choose a Google Marketing Platform Partner in Australia | XPON</v>
      </c>
      <c r="C139" s="6" t="str">
        <f>IFERROR(__xludf.DUMMYFUNCTION("""COMPUTED_VALUE"""),"xpon.ai")</f>
        <v>xpon.ai</v>
      </c>
      <c r="D139" s="7" t="str">
        <f>IFERROR(__xludf.DUMMYFUNCTION("""COMPUTED_VALUE"""),"LISTICLE")</f>
        <v>LISTICLE</v>
      </c>
      <c r="E139" s="7" t="str">
        <f>IFERROR(__xludf.DUMMYFUNCTION("""COMPUTED_VALUE"""),"COMPETITOR")</f>
        <v>COMPETITOR</v>
      </c>
      <c r="F139" s="7" t="str">
        <f>IFERROR(__xludf.DUMMYFUNCTION("""COMPUTED_VALUE"""),"Listicle")</f>
        <v>Listicle</v>
      </c>
      <c r="G139" s="7" t="b">
        <f>IFERROR(__xludf.DUMMYFUNCTION("""COMPUTED_VALUE"""),FALSE)</f>
        <v>0</v>
      </c>
      <c r="H139" s="7" t="str">
        <f>IFERROR(__xludf.DUMMYFUNCTION("""COMPUTED_VALUE"""),"XPON, WPP, Dentsu")</f>
        <v>XPON, WPP, Dentsu</v>
      </c>
      <c r="I139" s="7">
        <f>IFERROR(__xludf.DUMMYFUNCTION("""COMPUTED_VALUE"""),6.0)</f>
        <v>6</v>
      </c>
      <c r="J139" s="7">
        <f>IFERROR(__xludf.DUMMYFUNCTION("""COMPUTED_VALUE"""),0.01)</f>
        <v>0.01</v>
      </c>
      <c r="K139" s="7">
        <f>IFERROR(__xludf.DUMMYFUNCTION("""COMPUTED_VALUE"""),0.33)</f>
        <v>0.33</v>
      </c>
    </row>
    <row r="140" ht="15.75" customHeight="1">
      <c r="A140" s="6" t="str">
        <f>IFERROR(__xludf.DUMMYFUNCTION("""COMPUTED_VALUE"""),"https://www.bushletter.com/the-10-best-aeo-agencies-for-australian-law-firms-in-2026/")</f>
        <v>https://www.bushletter.com/the-10-best-aeo-agencies-for-australian-law-firms-in-2026/</v>
      </c>
      <c r="B140" s="7" t="str">
        <f>IFERROR(__xludf.DUMMYFUNCTION("""COMPUTED_VALUE"""),"Best AEO agencies for Australian law firms 2026")</f>
        <v>Best AEO agencies for Australian law firms 2026</v>
      </c>
      <c r="C140" s="6" t="str">
        <f>IFERROR(__xludf.DUMMYFUNCTION("""COMPUTED_VALUE"""),"bushletter.com")</f>
        <v>bushletter.com</v>
      </c>
      <c r="D140" s="7" t="str">
        <f>IFERROR(__xludf.DUMMYFUNCTION("""COMPUTED_VALUE"""),"LISTICLE")</f>
        <v>LISTICLE</v>
      </c>
      <c r="E140" s="7" t="str">
        <f>IFERROR(__xludf.DUMMYFUNCTION("""COMPUTED_VALUE"""),"EDITORIAL")</f>
        <v>EDITORIAL</v>
      </c>
      <c r="F140" s="7" t="str">
        <f>IFERROR(__xludf.DUMMYFUNCTION("""COMPUTED_VALUE"""),"Listicle")</f>
        <v>Listicle</v>
      </c>
      <c r="G140" s="7" t="b">
        <f>IFERROR(__xludf.DUMMYFUNCTION("""COMPUTED_VALUE"""),FALSE)</f>
        <v>0</v>
      </c>
      <c r="H140" s="7" t="str">
        <f>IFERROR(__xludf.DUMMYFUNCTION("""COMPUTED_VALUE"""),"Bushnote, Uprise Digital, Webprofits")</f>
        <v>Bushnote, Uprise Digital, Webprofits</v>
      </c>
      <c r="I140" s="7">
        <f>IFERROR(__xludf.DUMMYFUNCTION("""COMPUTED_VALUE"""),5.0)</f>
        <v>5</v>
      </c>
      <c r="J140" s="7">
        <f>IFERROR(__xludf.DUMMYFUNCTION("""COMPUTED_VALUE"""),0.01)</f>
        <v>0.01</v>
      </c>
      <c r="K140" s="7">
        <f>IFERROR(__xludf.DUMMYFUNCTION("""COMPUTED_VALUE"""),0.2)</f>
        <v>0.2</v>
      </c>
    </row>
    <row r="141" ht="15.75" customHeight="1">
      <c r="A141" s="6" t="str">
        <f>IFERROR(__xludf.DUMMYFUNCTION("""COMPUTED_VALUE"""),"https://capedigital.com.au/post/top-10-digital-marketing-agency-in-australia")</f>
        <v>https://capedigital.com.au/post/top-10-digital-marketing-agency-in-australia</v>
      </c>
      <c r="B141" s="7" t="str">
        <f>IFERROR(__xludf.DUMMYFUNCTION("""COMPUTED_VALUE"""),"Cape Digital | Top 10 Digital Marketing Agencies in Australia")</f>
        <v>Cape Digital | Top 10 Digital Marketing Agencies in Australia</v>
      </c>
      <c r="C141" s="6" t="str">
        <f>IFERROR(__xludf.DUMMYFUNCTION("""COMPUTED_VALUE"""),"capedigital.com.au")</f>
        <v>capedigital.com.au</v>
      </c>
      <c r="D141" s="7" t="str">
        <f>IFERROR(__xludf.DUMMYFUNCTION("""COMPUTED_VALUE"""),"LISTICLE")</f>
        <v>LISTICLE</v>
      </c>
      <c r="E141" s="7" t="str">
        <f>IFERROR(__xludf.DUMMYFUNCTION("""COMPUTED_VALUE"""),"CORPORATE")</f>
        <v>CORPORATE</v>
      </c>
      <c r="F141" s="7" t="str">
        <f>IFERROR(__xludf.DUMMYFUNCTION("""COMPUTED_VALUE"""),"Listicle")</f>
        <v>Listicle</v>
      </c>
      <c r="G141" s="7" t="b">
        <f>IFERROR(__xludf.DUMMYFUNCTION("""COMPUTED_VALUE"""),FALSE)</f>
        <v>0</v>
      </c>
      <c r="H141" s="7" t="str">
        <f>IFERROR(__xludf.DUMMYFUNCTION("""COMPUTED_VALUE"""),"Rocket Agency, Impressive, King Kong, Digital Movement")</f>
        <v>Rocket Agency, Impressive, King Kong, Digital Movement</v>
      </c>
      <c r="I141" s="7">
        <f>IFERROR(__xludf.DUMMYFUNCTION("""COMPUTED_VALUE"""),5.0)</f>
        <v>5</v>
      </c>
      <c r="J141" s="7">
        <f>IFERROR(__xludf.DUMMYFUNCTION("""COMPUTED_VALUE"""),0.01)</f>
        <v>0.01</v>
      </c>
      <c r="K141" s="7">
        <f>IFERROR(__xludf.DUMMYFUNCTION("""COMPUTED_VALUE"""),0.0)</f>
        <v>0</v>
      </c>
    </row>
    <row r="142" ht="15.75" customHeight="1">
      <c r="A142" s="6" t="str">
        <f>IFERROR(__xludf.DUMMYFUNCTION("""COMPUTED_VALUE"""),"https://www.exaltgrowth.com/generative-engine-optimization/top-sydney-saas-geo-agencies")</f>
        <v>https://www.exaltgrowth.com/generative-engine-optimization/top-sydney-saas-geo-agencies</v>
      </c>
      <c r="B142" s="7" t="str">
        <f>IFERROR(__xludf.DUMMYFUNCTION("""COMPUTED_VALUE"""),"Top 8 Sydney SaaS GEO Agencies in 2026")</f>
        <v>Top 8 Sydney SaaS GEO Agencies in 2026</v>
      </c>
      <c r="C142" s="6" t="str">
        <f>IFERROR(__xludf.DUMMYFUNCTION("""COMPUTED_VALUE"""),"exaltgrowth.com")</f>
        <v>exaltgrowth.com</v>
      </c>
      <c r="D142" s="7" t="str">
        <f>IFERROR(__xludf.DUMMYFUNCTION("""COMPUTED_VALUE"""),"LISTICLE")</f>
        <v>LISTICLE</v>
      </c>
      <c r="E142" s="7" t="str">
        <f>IFERROR(__xludf.DUMMYFUNCTION("""COMPUTED_VALUE"""),"CORPORATE")</f>
        <v>CORPORATE</v>
      </c>
      <c r="F142" s="7" t="str">
        <f>IFERROR(__xludf.DUMMYFUNCTION("""COMPUTED_VALUE"""),"Listicle")</f>
        <v>Listicle</v>
      </c>
      <c r="G142" s="7" t="b">
        <f>IFERROR(__xludf.DUMMYFUNCTION("""COMPUTED_VALUE"""),FALSE)</f>
        <v>0</v>
      </c>
      <c r="H142" s="7" t="str">
        <f>IFERROR(__xludf.DUMMYFUNCTION("""COMPUTED_VALUE"""),"Prosperity Media, Impressive, Soup Agency, PK SEO, Earned Media, Marketix Digital")</f>
        <v>Prosperity Media, Impressive, Soup Agency, PK SEO, Earned Media, Marketix Digital</v>
      </c>
      <c r="I142" s="7">
        <f>IFERROR(__xludf.DUMMYFUNCTION("""COMPUTED_VALUE"""),5.0)</f>
        <v>5</v>
      </c>
      <c r="J142" s="7">
        <f>IFERROR(__xludf.DUMMYFUNCTION("""COMPUTED_VALUE"""),0.01)</f>
        <v>0.01</v>
      </c>
      <c r="K142" s="7">
        <f>IFERROR(__xludf.DUMMYFUNCTION("""COMPUTED_VALUE"""),1.6)</f>
        <v>1.6</v>
      </c>
    </row>
    <row r="143" ht="15.75" customHeight="1">
      <c r="A143" s="6" t="str">
        <f>IFERROR(__xludf.DUMMYFUNCTION("""COMPUTED_VALUE"""),"https://frankdigital.agency/google-ads/google-display-advertising-companies/")</f>
        <v>https://frankdigital.agency/google-ads/google-display-advertising-companies/</v>
      </c>
      <c r="B143" s="7" t="str">
        <f>IFERROR(__xludf.DUMMYFUNCTION("""COMPUTED_VALUE"""),"7 Top Google Display Advertising Companies in Australia for 2025")</f>
        <v>7 Top Google Display Advertising Companies in Australia for 2025</v>
      </c>
      <c r="C143" s="7" t="str">
        <f>IFERROR(__xludf.DUMMYFUNCTION("""COMPUTED_VALUE"""),"frankdigital.agency")</f>
        <v>frankdigital.agency</v>
      </c>
      <c r="D143" s="7" t="str">
        <f>IFERROR(__xludf.DUMMYFUNCTION("""COMPUTED_VALUE"""),"LISTICLE")</f>
        <v>LISTICLE</v>
      </c>
      <c r="E143" s="7" t="str">
        <f>IFERROR(__xludf.DUMMYFUNCTION("""COMPUTED_VALUE"""),"CORPORATE")</f>
        <v>CORPORATE</v>
      </c>
      <c r="F143" s="7" t="str">
        <f>IFERROR(__xludf.DUMMYFUNCTION("""COMPUTED_VALUE"""),"Listicle")</f>
        <v>Listicle</v>
      </c>
      <c r="G143" s="7" t="b">
        <f>IFERROR(__xludf.DUMMYFUNCTION("""COMPUTED_VALUE"""),FALSE)</f>
        <v>0</v>
      </c>
      <c r="H143" s="7" t="str">
        <f>IFERROR(__xludf.DUMMYFUNCTION("""COMPUTED_VALUE"""),"Rocket Agency, SearchMax")</f>
        <v>Rocket Agency, SearchMax</v>
      </c>
      <c r="I143" s="7">
        <f>IFERROR(__xludf.DUMMYFUNCTION("""COMPUTED_VALUE"""),5.0)</f>
        <v>5</v>
      </c>
      <c r="J143" s="7">
        <f>IFERROR(__xludf.DUMMYFUNCTION("""COMPUTED_VALUE"""),0.01)</f>
        <v>0.01</v>
      </c>
      <c r="K143" s="7">
        <f>IFERROR(__xludf.DUMMYFUNCTION("""COMPUTED_VALUE"""),0.0)</f>
        <v>0</v>
      </c>
    </row>
    <row r="144" ht="15.75" customHeight="1">
      <c r="A144" s="6" t="str">
        <f>IFERROR(__xludf.DUMMYFUNCTION("""COMPUTED_VALUE"""),"https://www.hashmeta.ai/en/blog/top-10-ai-agencies-in-australia-expert-guide-to-choosing-your-ai-marketing-partner")</f>
        <v>https://www.hashmeta.ai/en/blog/top-10-ai-agencies-in-australia-expert-guide-to-choosing-your-ai-marketing-partner</v>
      </c>
      <c r="B144" s="7" t="str">
        <f>IFERROR(__xludf.DUMMYFUNCTION("""COMPUTED_VALUE"""),"Top 10 AI Agencies in Australia: Expert Guide to Choosing Your AI Marketing Partner | Hashmeta AI Marketing Blog")</f>
        <v>Top 10 AI Agencies in Australia: Expert Guide to Choosing Your AI Marketing Partner | Hashmeta AI Marketing Blog</v>
      </c>
      <c r="C144" s="6" t="str">
        <f>IFERROR(__xludf.DUMMYFUNCTION("""COMPUTED_VALUE"""),"hashmeta.ai")</f>
        <v>hashmeta.ai</v>
      </c>
      <c r="D144" s="7" t="str">
        <f>IFERROR(__xludf.DUMMYFUNCTION("""COMPUTED_VALUE"""),"LISTICLE")</f>
        <v>LISTICLE</v>
      </c>
      <c r="E144" s="7" t="str">
        <f>IFERROR(__xludf.DUMMYFUNCTION("""COMPUTED_VALUE"""),"CORPORATE")</f>
        <v>CORPORATE</v>
      </c>
      <c r="F144" s="7" t="str">
        <f>IFERROR(__xludf.DUMMYFUNCTION("""COMPUTED_VALUE"""),"Listicle")</f>
        <v>Listicle</v>
      </c>
      <c r="G144" s="7" t="b">
        <f>IFERROR(__xludf.DUMMYFUNCTION("""COMPUTED_VALUE"""),FALSE)</f>
        <v>0</v>
      </c>
      <c r="H144" s="7" t="str">
        <f>IFERROR(__xludf.DUMMYFUNCTION("""COMPUTED_VALUE"""),"Emote Digital, Impressive")</f>
        <v>Emote Digital, Impressive</v>
      </c>
      <c r="I144" s="7">
        <f>IFERROR(__xludf.DUMMYFUNCTION("""COMPUTED_VALUE"""),5.0)</f>
        <v>5</v>
      </c>
      <c r="J144" s="7">
        <f>IFERROR(__xludf.DUMMYFUNCTION("""COMPUTED_VALUE"""),0.01)</f>
        <v>0.01</v>
      </c>
      <c r="K144" s="7">
        <f>IFERROR(__xludf.DUMMYFUNCTION("""COMPUTED_VALUE"""),0.4)</f>
        <v>0.4</v>
      </c>
    </row>
    <row r="145" ht="15.75" customHeight="1">
      <c r="A145" s="6" t="str">
        <f>IFERROR(__xludf.DUMMYFUNCTION("""COMPUTED_VALUE"""),"https://www.haus.io/blog/choosing-the-best-incrementality-testing-tool")</f>
        <v>https://www.haus.io/blog/choosing-the-best-incrementality-testing-tool</v>
      </c>
      <c r="B145" s="7" t="str">
        <f>IFERROR(__xludf.DUMMYFUNCTION("""COMPUTED_VALUE"""),"Incrementality Testing: How to Choose the Best Tool")</f>
        <v>Incrementality Testing: How to Choose the Best Tool</v>
      </c>
      <c r="C145" s="6" t="str">
        <f>IFERROR(__xludf.DUMMYFUNCTION("""COMPUTED_VALUE"""),"haus.io")</f>
        <v>haus.io</v>
      </c>
      <c r="D145" s="7" t="str">
        <f>IFERROR(__xludf.DUMMYFUNCTION("""COMPUTED_VALUE"""),"LISTICLE")</f>
        <v>LISTICLE</v>
      </c>
      <c r="E145" s="7" t="str">
        <f>IFERROR(__xludf.DUMMYFUNCTION("""COMPUTED_VALUE"""),"COMPETITOR")</f>
        <v>COMPETITOR</v>
      </c>
      <c r="F145" s="7" t="str">
        <f>IFERROR(__xludf.DUMMYFUNCTION("""COMPUTED_VALUE"""),"Listicle")</f>
        <v>Listicle</v>
      </c>
      <c r="G145" s="7" t="b">
        <f>IFERROR(__xludf.DUMMYFUNCTION("""COMPUTED_VALUE"""),FALSE)</f>
        <v>0</v>
      </c>
      <c r="H145" s="7" t="str">
        <f>IFERROR(__xludf.DUMMYFUNCTION("""COMPUTED_VALUE"""),"Haus, PHD")</f>
        <v>Haus, PHD</v>
      </c>
      <c r="I145" s="7">
        <f>IFERROR(__xludf.DUMMYFUNCTION("""COMPUTED_VALUE"""),5.0)</f>
        <v>5</v>
      </c>
      <c r="J145" s="7">
        <f>IFERROR(__xludf.DUMMYFUNCTION("""COMPUTED_VALUE"""),0.01)</f>
        <v>0.01</v>
      </c>
      <c r="K145" s="7">
        <f>IFERROR(__xludf.DUMMYFUNCTION("""COMPUTED_VALUE"""),1.2)</f>
        <v>1.2</v>
      </c>
    </row>
    <row r="146" ht="15.75" customHeight="1">
      <c r="A146" s="6" t="str">
        <f>IFERROR(__xludf.DUMMYFUNCTION("""COMPUTED_VALUE"""),"https://homerdigitalmarketing.com/pay-per-click-agency/")</f>
        <v>https://homerdigitalmarketing.com/pay-per-click-agency/</v>
      </c>
      <c r="B146" s="7" t="str">
        <f>IFERROR(__xludf.DUMMYFUNCTION("""COMPUTED_VALUE"""),"Top 12 Pay Per Click Agency Options in Australia for 2024 - Homer Digital Marketing")</f>
        <v>Top 12 Pay Per Click Agency Options in Australia for 2024 - Homer Digital Marketing</v>
      </c>
      <c r="C146" s="6" t="str">
        <f>IFERROR(__xludf.DUMMYFUNCTION("""COMPUTED_VALUE"""),"homerdigitalmarketing.com")</f>
        <v>homerdigitalmarketing.com</v>
      </c>
      <c r="D146" s="7" t="str">
        <f>IFERROR(__xludf.DUMMYFUNCTION("""COMPUTED_VALUE"""),"LISTICLE")</f>
        <v>LISTICLE</v>
      </c>
      <c r="E146" s="7" t="str">
        <f>IFERROR(__xludf.DUMMYFUNCTION("""COMPUTED_VALUE"""),"CORPORATE")</f>
        <v>CORPORATE</v>
      </c>
      <c r="F146" s="7" t="str">
        <f>IFERROR(__xludf.DUMMYFUNCTION("""COMPUTED_VALUE"""),"Listicle")</f>
        <v>Listicle</v>
      </c>
      <c r="G146" s="7" t="b">
        <f>IFERROR(__xludf.DUMMYFUNCTION("""COMPUTED_VALUE"""),FALSE)</f>
        <v>0</v>
      </c>
      <c r="H146" s="7" t="str">
        <f>IFERROR(__xludf.DUMMYFUNCTION("""COMPUTED_VALUE"""),"WebSavvy, Sparro, Brainlabs, Reload Media, Alpha Digital, Bonfire, Rocket Agency, Impressive, Clearwater Agency, Click Click Media")</f>
        <v>WebSavvy, Sparro, Brainlabs, Reload Media, Alpha Digital, Bonfire, Rocket Agency, Impressive, Clearwater Agency, Click Click Media</v>
      </c>
      <c r="I146" s="7">
        <f>IFERROR(__xludf.DUMMYFUNCTION("""COMPUTED_VALUE"""),5.0)</f>
        <v>5</v>
      </c>
      <c r="J146" s="7">
        <f>IFERROR(__xludf.DUMMYFUNCTION("""COMPUTED_VALUE"""),0.01)</f>
        <v>0.01</v>
      </c>
      <c r="K146" s="7">
        <f>IFERROR(__xludf.DUMMYFUNCTION("""COMPUTED_VALUE"""),0.6)</f>
        <v>0.6</v>
      </c>
    </row>
    <row r="147" ht="15.75" customHeight="1">
      <c r="A147" s="6" t="str">
        <f>IFERROR(__xludf.DUMMYFUNCTION("""COMPUTED_VALUE"""),"https://inbeat.agency/blog/top-digital-marketing-agencies-sydney")</f>
        <v>https://inbeat.agency/blog/top-digital-marketing-agencies-sydney</v>
      </c>
      <c r="B147" s="7" t="str">
        <f>IFERROR(__xludf.DUMMYFUNCTION("""COMPUTED_VALUE"""),"Best 30+ Digital Marketing Agencies in Sydney – Reviewed in June 2025 - inBeat Agency")</f>
        <v>Best 30+ Digital Marketing Agencies in Sydney – Reviewed in June 2025 - inBeat Agency</v>
      </c>
      <c r="C147" s="7" t="str">
        <f>IFERROR(__xludf.DUMMYFUNCTION("""COMPUTED_VALUE"""),"inbeat.agency")</f>
        <v>inbeat.agency</v>
      </c>
      <c r="D147" s="7" t="str">
        <f>IFERROR(__xludf.DUMMYFUNCTION("""COMPUTED_VALUE"""),"LISTICLE")</f>
        <v>LISTICLE</v>
      </c>
      <c r="E147" s="7" t="str">
        <f>IFERROR(__xludf.DUMMYFUNCTION("""COMPUTED_VALUE"""),"CORPORATE")</f>
        <v>CORPORATE</v>
      </c>
      <c r="F147" s="7" t="str">
        <f>IFERROR(__xludf.DUMMYFUNCTION("""COMPUTED_VALUE"""),"Listicle")</f>
        <v>Listicle</v>
      </c>
      <c r="G147" s="7" t="b">
        <f>IFERROR(__xludf.DUMMYFUNCTION("""COMPUTED_VALUE"""),FALSE)</f>
        <v>0</v>
      </c>
      <c r="H147" s="7" t="str">
        <f>IFERROR(__xludf.DUMMYFUNCTION("""COMPUTED_VALUE"""),"Rocket Agency, AdVisible, Impressive, Soup Agency, Bench Media, 23 Digital, Zib Digital, Gorilla 360, Resolution Digital, Supple Digital, Alpha Digital, Bonfire, Reef Digital Agency")</f>
        <v>Rocket Agency, AdVisible, Impressive, Soup Agency, Bench Media, 23 Digital, Zib Digital, Gorilla 360, Resolution Digital, Supple Digital, Alpha Digital, Bonfire, Reef Digital Agency</v>
      </c>
      <c r="I147" s="7">
        <f>IFERROR(__xludf.DUMMYFUNCTION("""COMPUTED_VALUE"""),5.0)</f>
        <v>5</v>
      </c>
      <c r="J147" s="7">
        <f>IFERROR(__xludf.DUMMYFUNCTION("""COMPUTED_VALUE"""),0.01)</f>
        <v>0.01</v>
      </c>
      <c r="K147" s="7">
        <f>IFERROR(__xludf.DUMMYFUNCTION("""COMPUTED_VALUE"""),0.0)</f>
        <v>0</v>
      </c>
    </row>
    <row r="148" ht="15.75" customHeight="1">
      <c r="A148" s="6" t="str">
        <f>IFERROR(__xludf.DUMMYFUNCTION("""COMPUTED_VALUE"""),"https://inbeat.agency/blog/top-marketing-analytics-agencies")</f>
        <v>https://inbeat.agency/blog/top-marketing-analytics-agencies</v>
      </c>
      <c r="B148" s="7" t="str">
        <f>IFERROR(__xludf.DUMMYFUNCTION("""COMPUTED_VALUE"""),"Top 15 Marketing Analytics Agencies Defining 2026 - inBeat Agency")</f>
        <v>Top 15 Marketing Analytics Agencies Defining 2026 - inBeat Agency</v>
      </c>
      <c r="C148" s="7" t="str">
        <f>IFERROR(__xludf.DUMMYFUNCTION("""COMPUTED_VALUE"""),"inbeat.agency")</f>
        <v>inbeat.agency</v>
      </c>
      <c r="D148" s="7" t="str">
        <f>IFERROR(__xludf.DUMMYFUNCTION("""COMPUTED_VALUE"""),"LISTICLE")</f>
        <v>LISTICLE</v>
      </c>
      <c r="E148" s="7" t="str">
        <f>IFERROR(__xludf.DUMMYFUNCTION("""COMPUTED_VALUE"""),"CORPORATE")</f>
        <v>CORPORATE</v>
      </c>
      <c r="F148" s="7" t="str">
        <f>IFERROR(__xludf.DUMMYFUNCTION("""COMPUTED_VALUE"""),"Listicle")</f>
        <v>Listicle</v>
      </c>
      <c r="G148" s="7" t="b">
        <f>IFERROR(__xludf.DUMMYFUNCTION("""COMPUTED_VALUE"""),FALSE)</f>
        <v>0</v>
      </c>
      <c r="H148" s="7" t="str">
        <f>IFERROR(__xludf.DUMMYFUNCTION("""COMPUTED_VALUE"""),"PHD, Momentum")</f>
        <v>PHD, Momentum</v>
      </c>
      <c r="I148" s="7">
        <f>IFERROR(__xludf.DUMMYFUNCTION("""COMPUTED_VALUE"""),5.0)</f>
        <v>5</v>
      </c>
      <c r="J148" s="7">
        <f>IFERROR(__xludf.DUMMYFUNCTION("""COMPUTED_VALUE"""),0.01)</f>
        <v>0.01</v>
      </c>
      <c r="K148" s="7">
        <f>IFERROR(__xludf.DUMMYFUNCTION("""COMPUTED_VALUE"""),0.0)</f>
        <v>0</v>
      </c>
    </row>
    <row r="149" ht="15.75" customHeight="1">
      <c r="A149" s="6" t="str">
        <f>IFERROR(__xludf.DUMMYFUNCTION("""COMPUTED_VALUE"""),"https://www.linkedin.com/pulse/top-ai-seo-agencies-australia-watch-year-shivanshi-rai-dpy2c")</f>
        <v>https://www.linkedin.com/pulse/top-ai-seo-agencies-australia-watch-year-shivanshi-rai-dpy2c</v>
      </c>
      <c r="B149" s="7" t="str">
        <f>IFERROR(__xludf.DUMMYFUNCTION("""COMPUTED_VALUE"""),"Top AI SEO Agencies in Australia to Watch This Year")</f>
        <v>Top AI SEO Agencies in Australia to Watch This Year</v>
      </c>
      <c r="C149" s="6" t="str">
        <f>IFERROR(__xludf.DUMMYFUNCTION("""COMPUTED_VALUE"""),"linkedin.com")</f>
        <v>linkedin.com</v>
      </c>
      <c r="D149" s="7" t="str">
        <f>IFERROR(__xludf.DUMMYFUNCTION("""COMPUTED_VALUE"""),"LISTICLE")</f>
        <v>LISTICLE</v>
      </c>
      <c r="E149" s="7" t="str">
        <f>IFERROR(__xludf.DUMMYFUNCTION("""COMPUTED_VALUE"""),"UGC")</f>
        <v>UGC</v>
      </c>
      <c r="F149" s="7" t="str">
        <f>IFERROR(__xludf.DUMMYFUNCTION("""COMPUTED_VALUE"""),"Listicle")</f>
        <v>Listicle</v>
      </c>
      <c r="G149" s="7" t="b">
        <f>IFERROR(__xludf.DUMMYFUNCTION("""COMPUTED_VALUE"""),FALSE)</f>
        <v>0</v>
      </c>
      <c r="H149" s="7" t="str">
        <f>IFERROR(__xludf.DUMMYFUNCTION("""COMPUTED_VALUE"""),"Supple Digital, Digital Nomads HQ, StudioHawk, First Page, First Page Australia, Online Marketing Gurus, Clearwater Agency, Megaphone")</f>
        <v>Supple Digital, Digital Nomads HQ, StudioHawk, First Page, First Page Australia, Online Marketing Gurus, Clearwater Agency, Megaphone</v>
      </c>
      <c r="I149" s="7">
        <f>IFERROR(__xludf.DUMMYFUNCTION("""COMPUTED_VALUE"""),5.0)</f>
        <v>5</v>
      </c>
      <c r="J149" s="7">
        <f>IFERROR(__xludf.DUMMYFUNCTION("""COMPUTED_VALUE"""),0.01)</f>
        <v>0.01</v>
      </c>
      <c r="K149" s="7">
        <f>IFERROR(__xludf.DUMMYFUNCTION("""COMPUTED_VALUE"""),1.0)</f>
        <v>1</v>
      </c>
    </row>
    <row r="150" ht="15.75" customHeight="1">
      <c r="A150" s="6" t="str">
        <f>IFERROR(__xludf.DUMMYFUNCTION("""COMPUTED_VALUE"""),"https://metaflow.life/blog/best-aeo-agencies-2026")</f>
        <v>https://metaflow.life/blog/best-aeo-agencies-2026</v>
      </c>
      <c r="B150" s="7"/>
      <c r="C150" s="7" t="str">
        <f>IFERROR(__xludf.DUMMYFUNCTION("""COMPUTED_VALUE"""),"metaflow.life")</f>
        <v>metaflow.life</v>
      </c>
      <c r="D150" s="7" t="str">
        <f>IFERROR(__xludf.DUMMYFUNCTION("""COMPUTED_VALUE"""),"LISTICLE")</f>
        <v>LISTICLE</v>
      </c>
      <c r="E150" s="7" t="str">
        <f>IFERROR(__xludf.DUMMYFUNCTION("""COMPUTED_VALUE"""),"OTHER")</f>
        <v>OTHER</v>
      </c>
      <c r="F150" s="7" t="str">
        <f>IFERROR(__xludf.DUMMYFUNCTION("""COMPUTED_VALUE"""),"Listicle")</f>
        <v>Listicle</v>
      </c>
      <c r="G150" s="7" t="b">
        <f>IFERROR(__xludf.DUMMYFUNCTION("""COMPUTED_VALUE"""),FALSE)</f>
        <v>0</v>
      </c>
      <c r="H150" s="7" t="str">
        <f>IFERROR(__xludf.DUMMYFUNCTION("""COMPUTED_VALUE"""),"First Page, Mindshare")</f>
        <v>First Page, Mindshare</v>
      </c>
      <c r="I150" s="7">
        <f>IFERROR(__xludf.DUMMYFUNCTION("""COMPUTED_VALUE"""),5.0)</f>
        <v>5</v>
      </c>
      <c r="J150" s="7">
        <f>IFERROR(__xludf.DUMMYFUNCTION("""COMPUTED_VALUE"""),0.01)</f>
        <v>0.01</v>
      </c>
      <c r="K150" s="7">
        <f>IFERROR(__xludf.DUMMYFUNCTION("""COMPUTED_VALUE"""),0.0)</f>
        <v>0</v>
      </c>
    </row>
    <row r="151" ht="15.75" customHeight="1">
      <c r="A151" s="6" t="str">
        <f>IFERROR(__xludf.DUMMYFUNCTION("""COMPUTED_VALUE"""),"https://omegaadvertising.com.au/top-5-digital-marketing-agencies-in-australia-for-ai-seo/")</f>
        <v>https://omegaadvertising.com.au/top-5-digital-marketing-agencies-in-australia-for-ai-seo/</v>
      </c>
      <c r="B151" s="7" t="str">
        <f>IFERROR(__xludf.DUMMYFUNCTION("""COMPUTED_VALUE"""),"Top 5 Digital Marketing Agencies in Australia for AI SEO – Omega Advertising")</f>
        <v>Top 5 Digital Marketing Agencies in Australia for AI SEO – Omega Advertising</v>
      </c>
      <c r="C151" s="6" t="str">
        <f>IFERROR(__xludf.DUMMYFUNCTION("""COMPUTED_VALUE"""),"omegaadvertising.com.au")</f>
        <v>omegaadvertising.com.au</v>
      </c>
      <c r="D151" s="7" t="str">
        <f>IFERROR(__xludf.DUMMYFUNCTION("""COMPUTED_VALUE"""),"LISTICLE")</f>
        <v>LISTICLE</v>
      </c>
      <c r="E151" s="7" t="str">
        <f>IFERROR(__xludf.DUMMYFUNCTION("""COMPUTED_VALUE"""),"CORPORATE")</f>
        <v>CORPORATE</v>
      </c>
      <c r="F151" s="7" t="str">
        <f>IFERROR(__xludf.DUMMYFUNCTION("""COMPUTED_VALUE"""),"Listicle")</f>
        <v>Listicle</v>
      </c>
      <c r="G151" s="7" t="b">
        <f>IFERROR(__xludf.DUMMYFUNCTION("""COMPUTED_VALUE"""),FALSE)</f>
        <v>0</v>
      </c>
      <c r="H151" s="7"/>
      <c r="I151" s="7">
        <f>IFERROR(__xludf.DUMMYFUNCTION("""COMPUTED_VALUE"""),5.0)</f>
        <v>5</v>
      </c>
      <c r="J151" s="7">
        <f>IFERROR(__xludf.DUMMYFUNCTION("""COMPUTED_VALUE"""),0.01)</f>
        <v>0.01</v>
      </c>
      <c r="K151" s="7">
        <f>IFERROR(__xludf.DUMMYFUNCTION("""COMPUTED_VALUE"""),0.0)</f>
        <v>0</v>
      </c>
    </row>
    <row r="152" ht="15.75" customHeight="1">
      <c r="A152" s="6" t="str">
        <f>IFERROR(__xludf.DUMMYFUNCTION("""COMPUTED_VALUE"""),"https://prosperitymedia.com.au/the-6-best-seo-agencies-in-sydney-2026/#:~:text=Recognisable%20clients%3A%20PepsiCo%2C%20St.%20George%20Bank%2C%20IAG%2C,at%20the%202018%20SEMrush%20Search%20Marketing%20Awards.")</f>
        <v>https://prosperitymedia.com.au/the-6-best-seo-agencies-in-sydney-2026/#:~:text=Recognisable%20clients%3A%20PepsiCo%2C%20St.%20George%20Bank%2C%20IAG%2C,at%20the%202018%20SEMrush%20Search%20Marketing%20Awards.</v>
      </c>
      <c r="B152" s="7" t="str">
        <f>IFERROR(__xludf.DUMMYFUNCTION("""COMPUTED_VALUE"""),"The 6 Best SEO Agencies in Sydney 2026 - Prosperity Media")</f>
        <v>The 6 Best SEO Agencies in Sydney 2026 - Prosperity Media</v>
      </c>
      <c r="C152" s="6" t="str">
        <f>IFERROR(__xludf.DUMMYFUNCTION("""COMPUTED_VALUE"""),"prosperitymedia.com.au")</f>
        <v>prosperitymedia.com.au</v>
      </c>
      <c r="D152" s="7" t="str">
        <f>IFERROR(__xludf.DUMMYFUNCTION("""COMPUTED_VALUE"""),"LISTICLE")</f>
        <v>LISTICLE</v>
      </c>
      <c r="E152" s="7" t="str">
        <f>IFERROR(__xludf.DUMMYFUNCTION("""COMPUTED_VALUE"""),"COMPETITOR")</f>
        <v>COMPETITOR</v>
      </c>
      <c r="F152" s="7" t="str">
        <f>IFERROR(__xludf.DUMMYFUNCTION("""COMPUTED_VALUE"""),"Listicle")</f>
        <v>Listicle</v>
      </c>
      <c r="G152" s="7" t="b">
        <f>IFERROR(__xludf.DUMMYFUNCTION("""COMPUTED_VALUE"""),FALSE)</f>
        <v>0</v>
      </c>
      <c r="H152" s="7" t="str">
        <f>IFERROR(__xludf.DUMMYFUNCTION("""COMPUTED_VALUE"""),"Prosperity Media, Jaywing, Undivided, Measured")</f>
        <v>Prosperity Media, Jaywing, Undivided, Measured</v>
      </c>
      <c r="I152" s="7">
        <f>IFERROR(__xludf.DUMMYFUNCTION("""COMPUTED_VALUE"""),5.0)</f>
        <v>5</v>
      </c>
      <c r="J152" s="7">
        <f>IFERROR(__xludf.DUMMYFUNCTION("""COMPUTED_VALUE"""),0.01)</f>
        <v>0.01</v>
      </c>
      <c r="K152" s="7">
        <f>IFERROR(__xludf.DUMMYFUNCTION("""COMPUTED_VALUE"""),1.2)</f>
        <v>1.2</v>
      </c>
    </row>
    <row r="153" ht="15.75" customHeight="1">
      <c r="A153" s="6" t="str">
        <f>IFERROR(__xludf.DUMMYFUNCTION("""COMPUTED_VALUE"""),"https://raw.studio/blog/top-branding-agencies-in-australia-in-2026/#:~:text=FutureBrand%20takes%20a%20highly%20strategic,Key%20strengths%3A")</f>
        <v>https://raw.studio/blog/top-branding-agencies-in-australia-in-2026/#:~:text=FutureBrand%20takes%20a%20highly%20strategic,Key%20strengths%3A</v>
      </c>
      <c r="B153" s="7" t="str">
        <f>IFERROR(__xludf.DUMMYFUNCTION("""COMPUTED_VALUE"""),"Top Branding Agencies in Australia in 2026 | Raw.Studio")</f>
        <v>Top Branding Agencies in Australia in 2026 | Raw.Studio</v>
      </c>
      <c r="C153" s="7" t="str">
        <f>IFERROR(__xludf.DUMMYFUNCTION("""COMPUTED_VALUE"""),"raw.studio")</f>
        <v>raw.studio</v>
      </c>
      <c r="D153" s="7" t="str">
        <f>IFERROR(__xludf.DUMMYFUNCTION("""COMPUTED_VALUE"""),"LISTICLE")</f>
        <v>LISTICLE</v>
      </c>
      <c r="E153" s="7" t="str">
        <f>IFERROR(__xludf.DUMMYFUNCTION("""COMPUTED_VALUE"""),"CORPORATE")</f>
        <v>CORPORATE</v>
      </c>
      <c r="F153" s="7" t="str">
        <f>IFERROR(__xludf.DUMMYFUNCTION("""COMPUTED_VALUE"""),"Listicle")</f>
        <v>Listicle</v>
      </c>
      <c r="G153" s="7" t="b">
        <f>IFERROR(__xludf.DUMMYFUNCTION("""COMPUTED_VALUE"""),FALSE)</f>
        <v>0</v>
      </c>
      <c r="H153" s="7" t="str">
        <f>IFERROR(__xludf.DUMMYFUNCTION("""COMPUTED_VALUE"""),"RAW Studio, CUT THRU")</f>
        <v>RAW Studio, CUT THRU</v>
      </c>
      <c r="I153" s="7">
        <f>IFERROR(__xludf.DUMMYFUNCTION("""COMPUTED_VALUE"""),5.0)</f>
        <v>5</v>
      </c>
      <c r="J153" s="7">
        <f>IFERROR(__xludf.DUMMYFUNCTION("""COMPUTED_VALUE"""),0.01)</f>
        <v>0.01</v>
      </c>
      <c r="K153" s="7">
        <f>IFERROR(__xludf.DUMMYFUNCTION("""COMPUTED_VALUE"""),1.2)</f>
        <v>1.2</v>
      </c>
    </row>
    <row r="154" ht="15.75" customHeight="1">
      <c r="A154" s="6" t="str">
        <f>IFERROR(__xludf.DUMMYFUNCTION("""COMPUTED_VALUE"""),"https://www.redpandas.com.au/all/best-paid-media-agencies-in-australia-an-unbiased-review/")</f>
        <v>https://www.redpandas.com.au/all/best-paid-media-agencies-in-australia-an-unbiased-review/</v>
      </c>
      <c r="B154" s="7" t="str">
        <f>IFERROR(__xludf.DUMMYFUNCTION("""COMPUTED_VALUE"""),"Best Paid Media Agencies in Australia: An Unbiased Review&amp;nbsp; | RedPandas Digital")</f>
        <v>Best Paid Media Agencies in Australia: An Unbiased Review&amp;nbsp; | RedPandas Digital</v>
      </c>
      <c r="C154" s="6" t="str">
        <f>IFERROR(__xludf.DUMMYFUNCTION("""COMPUTED_VALUE"""),"redpandas.com.au")</f>
        <v>redpandas.com.au</v>
      </c>
      <c r="D154" s="7" t="str">
        <f>IFERROR(__xludf.DUMMYFUNCTION("""COMPUTED_VALUE"""),"LISTICLE")</f>
        <v>LISTICLE</v>
      </c>
      <c r="E154" s="7" t="str">
        <f>IFERROR(__xludf.DUMMYFUNCTION("""COMPUTED_VALUE"""),"OTHER")</f>
        <v>OTHER</v>
      </c>
      <c r="F154" s="7" t="str">
        <f>IFERROR(__xludf.DUMMYFUNCTION("""COMPUTED_VALUE"""),"Listicle")</f>
        <v>Listicle</v>
      </c>
      <c r="G154" s="7" t="b">
        <f>IFERROR(__xludf.DUMMYFUNCTION("""COMPUTED_VALUE"""),FALSE)</f>
        <v>0</v>
      </c>
      <c r="H154" s="7" t="str">
        <f>IFERROR(__xludf.DUMMYFUNCTION("""COMPUTED_VALUE"""),"Megaphone")</f>
        <v>Megaphone</v>
      </c>
      <c r="I154" s="7">
        <f>IFERROR(__xludf.DUMMYFUNCTION("""COMPUTED_VALUE"""),5.0)</f>
        <v>5</v>
      </c>
      <c r="J154" s="7">
        <f>IFERROR(__xludf.DUMMYFUNCTION("""COMPUTED_VALUE"""),0.01)</f>
        <v>0.01</v>
      </c>
      <c r="K154" s="7">
        <f>IFERROR(__xludf.DUMMYFUNCTION("""COMPUTED_VALUE"""),1.4)</f>
        <v>1.4</v>
      </c>
    </row>
    <row r="155" ht="15.75" customHeight="1">
      <c r="A155" s="6" t="str">
        <f>IFERROR(__xludf.DUMMYFUNCTION("""COMPUTED_VALUE"""),"https://www.savit.au/the-best-ppc-agencies-in-australia-2026-where-to-spend-your-google-ads-budget/")</f>
        <v>https://www.savit.au/the-best-ppc-agencies-in-australia-2026-where-to-spend-your-google-ads-budget/</v>
      </c>
      <c r="B155" s="7" t="str">
        <f>IFERROR(__xludf.DUMMYFUNCTION("""COMPUTED_VALUE"""),"Top PPC Agencies in Australia for 2026")</f>
        <v>Top PPC Agencies in Australia for 2026</v>
      </c>
      <c r="C155" s="6" t="str">
        <f>IFERROR(__xludf.DUMMYFUNCTION("""COMPUTED_VALUE"""),"savit.au")</f>
        <v>savit.au</v>
      </c>
      <c r="D155" s="7" t="str">
        <f>IFERROR(__xludf.DUMMYFUNCTION("""COMPUTED_VALUE"""),"LISTICLE")</f>
        <v>LISTICLE</v>
      </c>
      <c r="E155" s="7" t="str">
        <f>IFERROR(__xludf.DUMMYFUNCTION("""COMPUTED_VALUE"""),"OTHER")</f>
        <v>OTHER</v>
      </c>
      <c r="F155" s="7" t="str">
        <f>IFERROR(__xludf.DUMMYFUNCTION("""COMPUTED_VALUE"""),"Listicle")</f>
        <v>Listicle</v>
      </c>
      <c r="G155" s="7" t="b">
        <f>IFERROR(__xludf.DUMMYFUNCTION("""COMPUTED_VALUE"""),FALSE)</f>
        <v>0</v>
      </c>
      <c r="H155" s="7" t="str">
        <f>IFERROR(__xludf.DUMMYFUNCTION("""COMPUTED_VALUE"""),"Online Marketing Gurus, Omnicom Media Group, First Page, First Page Australia, Impressive, Supple Digital, StudioHawk")</f>
        <v>Online Marketing Gurus, Omnicom Media Group, First Page, First Page Australia, Impressive, Supple Digital, StudioHawk</v>
      </c>
      <c r="I155" s="7">
        <f>IFERROR(__xludf.DUMMYFUNCTION("""COMPUTED_VALUE"""),5.0)</f>
        <v>5</v>
      </c>
      <c r="J155" s="7">
        <f>IFERROR(__xludf.DUMMYFUNCTION("""COMPUTED_VALUE"""),0.01)</f>
        <v>0.01</v>
      </c>
      <c r="K155" s="7">
        <f>IFERROR(__xludf.DUMMYFUNCTION("""COMPUTED_VALUE"""),0.2)</f>
        <v>0.2</v>
      </c>
    </row>
    <row r="156" ht="15.75" customHeight="1">
      <c r="A156" s="6" t="str">
        <f>IFERROR(__xludf.DUMMYFUNCTION("""COMPUTED_VALUE"""),"https://segmentstream.com/blog/articles/best-attribution-tools")</f>
        <v>https://segmentstream.com/blog/articles/best-attribution-tools</v>
      </c>
      <c r="B156" s="7" t="str">
        <f>IFERROR(__xludf.DUMMYFUNCTION("""COMPUTED_VALUE"""),"10 Best Marketing Attribution Tools &amp;amp; Platforms (2026) — SegmentStream")</f>
        <v>10 Best Marketing Attribution Tools &amp;amp; Platforms (2026) — SegmentStream</v>
      </c>
      <c r="C156" s="6" t="str">
        <f>IFERROR(__xludf.DUMMYFUNCTION("""COMPUTED_VALUE"""),"segmentstream.com")</f>
        <v>segmentstream.com</v>
      </c>
      <c r="D156" s="7" t="str">
        <f>IFERROR(__xludf.DUMMYFUNCTION("""COMPUTED_VALUE"""),"LISTICLE")</f>
        <v>LISTICLE</v>
      </c>
      <c r="E156" s="7" t="str">
        <f>IFERROR(__xludf.DUMMYFUNCTION("""COMPUTED_VALUE"""),"CORPORATE")</f>
        <v>CORPORATE</v>
      </c>
      <c r="F156" s="7" t="str">
        <f>IFERROR(__xludf.DUMMYFUNCTION("""COMPUTED_VALUE"""),"Listicle")</f>
        <v>Listicle</v>
      </c>
      <c r="G156" s="7" t="b">
        <f>IFERROR(__xludf.DUMMYFUNCTION("""COMPUTED_VALUE"""),FALSE)</f>
        <v>0</v>
      </c>
      <c r="H156" s="7" t="str">
        <f>IFERROR(__xludf.DUMMYFUNCTION("""COMPUTED_VALUE"""),"Measured, Impressive")</f>
        <v>Measured, Impressive</v>
      </c>
      <c r="I156" s="7">
        <f>IFERROR(__xludf.DUMMYFUNCTION("""COMPUTED_VALUE"""),5.0)</f>
        <v>5</v>
      </c>
      <c r="J156" s="7">
        <f>IFERROR(__xludf.DUMMYFUNCTION("""COMPUTED_VALUE"""),0.01)</f>
        <v>0.01</v>
      </c>
      <c r="K156" s="7">
        <f>IFERROR(__xludf.DUMMYFUNCTION("""COMPUTED_VALUE"""),0.2)</f>
        <v>0.2</v>
      </c>
    </row>
    <row r="157" ht="15.75" customHeight="1">
      <c r="A157" s="6" t="str">
        <f>IFERROR(__xludf.DUMMYFUNCTION("""COMPUTED_VALUE"""),"https://www.theardor.com.au/google-ads-agencies-in-australia/")</f>
        <v>https://www.theardor.com.au/google-ads-agencies-in-australia/</v>
      </c>
      <c r="B157" s="7" t="str">
        <f>IFERROR(__xludf.DUMMYFUNCTION("""COMPUTED_VALUE"""),"11 Best Google Ads (Adwords) Agencies in Australia (2026)")</f>
        <v>11 Best Google Ads (Adwords) Agencies in Australia (2026)</v>
      </c>
      <c r="C157" s="6" t="str">
        <f>IFERROR(__xludf.DUMMYFUNCTION("""COMPUTED_VALUE"""),"theardor.com.au")</f>
        <v>theardor.com.au</v>
      </c>
      <c r="D157" s="7" t="str">
        <f>IFERROR(__xludf.DUMMYFUNCTION("""COMPUTED_VALUE"""),"LISTICLE")</f>
        <v>LISTICLE</v>
      </c>
      <c r="E157" s="7" t="str">
        <f>IFERROR(__xludf.DUMMYFUNCTION("""COMPUTED_VALUE"""),"CORPORATE")</f>
        <v>CORPORATE</v>
      </c>
      <c r="F157" s="7" t="str">
        <f>IFERROR(__xludf.DUMMYFUNCTION("""COMPUTED_VALUE"""),"Listicle")</f>
        <v>Listicle</v>
      </c>
      <c r="G157" s="7" t="b">
        <f>IFERROR(__xludf.DUMMYFUNCTION("""COMPUTED_VALUE"""),FALSE)</f>
        <v>0</v>
      </c>
      <c r="H157" s="7" t="str">
        <f>IFERROR(__xludf.DUMMYFUNCTION("""COMPUTED_VALUE"""),"Digital Nomads HQ, Clearwater Agency, Online Marketing Gurus, eMarket Experts, Megaphone, Supple Digital, SearchMax, Omnicom Media Group")</f>
        <v>Digital Nomads HQ, Clearwater Agency, Online Marketing Gurus, eMarket Experts, Megaphone, Supple Digital, SearchMax, Omnicom Media Group</v>
      </c>
      <c r="I157" s="7">
        <f>IFERROR(__xludf.DUMMYFUNCTION("""COMPUTED_VALUE"""),5.0)</f>
        <v>5</v>
      </c>
      <c r="J157" s="7">
        <f>IFERROR(__xludf.DUMMYFUNCTION("""COMPUTED_VALUE"""),0.01)</f>
        <v>0.01</v>
      </c>
      <c r="K157" s="7">
        <f>IFERROR(__xludf.DUMMYFUNCTION("""COMPUTED_VALUE"""),1.8)</f>
        <v>1.8</v>
      </c>
    </row>
    <row r="158" ht="15.75" customHeight="1">
      <c r="A158" s="6" t="str">
        <f>IFERROR(__xludf.DUMMYFUNCTION("""COMPUTED_VALUE"""),"https://vulbmedia.com/top-creative-agencies-in-sydney/")</f>
        <v>https://vulbmedia.com/top-creative-agencies-in-sydney/</v>
      </c>
      <c r="B158" s="7" t="str">
        <f>IFERROR(__xludf.DUMMYFUNCTION("""COMPUTED_VALUE"""),"Top Creative Agencies in Sydney (2025) | Vulb Media Insights – Vulb Media")</f>
        <v>Top Creative Agencies in Sydney (2025) | Vulb Media Insights – Vulb Media</v>
      </c>
      <c r="C158" s="6" t="str">
        <f>IFERROR(__xludf.DUMMYFUNCTION("""COMPUTED_VALUE"""),"vulbmedia.com")</f>
        <v>vulbmedia.com</v>
      </c>
      <c r="D158" s="7" t="str">
        <f>IFERROR(__xludf.DUMMYFUNCTION("""COMPUTED_VALUE"""),"LISTICLE")</f>
        <v>LISTICLE</v>
      </c>
      <c r="E158" s="7" t="str">
        <f>IFERROR(__xludf.DUMMYFUNCTION("""COMPUTED_VALUE"""),"CORPORATE")</f>
        <v>CORPORATE</v>
      </c>
      <c r="F158" s="7" t="str">
        <f>IFERROR(__xludf.DUMMYFUNCTION("""COMPUTED_VALUE"""),"Listicle")</f>
        <v>Listicle</v>
      </c>
      <c r="G158" s="7" t="b">
        <f>IFERROR(__xludf.DUMMYFUNCTION("""COMPUTED_VALUE"""),FALSE)</f>
        <v>0</v>
      </c>
      <c r="H158" s="7" t="str">
        <f>IFERROR(__xludf.DUMMYFUNCTION("""COMPUTED_VALUE"""),"HERO")</f>
        <v>HERO</v>
      </c>
      <c r="I158" s="7">
        <f>IFERROR(__xludf.DUMMYFUNCTION("""COMPUTED_VALUE"""),5.0)</f>
        <v>5</v>
      </c>
      <c r="J158" s="7">
        <f>IFERROR(__xludf.DUMMYFUNCTION("""COMPUTED_VALUE"""),0.01)</f>
        <v>0.01</v>
      </c>
      <c r="K158" s="7">
        <f>IFERROR(__xludf.DUMMYFUNCTION("""COMPUTED_VALUE"""),0.0)</f>
        <v>0</v>
      </c>
    </row>
    <row r="159" ht="15.75" customHeight="1">
      <c r="A159" s="6" t="str">
        <f>IFERROR(__xludf.DUMMYFUNCTION("""COMPUTED_VALUE"""),"https://apacsearchawards.com/2025/07/07/top-20-award-winning-apac-marketing-agencies/")</f>
        <v>https://apacsearchawards.com/2025/07/07/top-20-award-winning-apac-marketing-agencies/</v>
      </c>
      <c r="B159" s="7" t="str">
        <f>IFERROR(__xludf.DUMMYFUNCTION("""COMPUTED_VALUE"""),"Top 20 Award Winning Agencies (and two others to note) | APAC Search Awards")</f>
        <v>Top 20 Award Winning Agencies (and two others to note) | APAC Search Awards</v>
      </c>
      <c r="C159" s="6" t="str">
        <f>IFERROR(__xludf.DUMMYFUNCTION("""COMPUTED_VALUE"""),"apacsearchawards.com")</f>
        <v>apacsearchawards.com</v>
      </c>
      <c r="D159" s="7" t="str">
        <f>IFERROR(__xludf.DUMMYFUNCTION("""COMPUTED_VALUE"""),"LISTICLE")</f>
        <v>LISTICLE</v>
      </c>
      <c r="E159" s="7" t="str">
        <f>IFERROR(__xludf.DUMMYFUNCTION("""COMPUTED_VALUE"""),"INSTITUTIONAL")</f>
        <v>INSTITUTIONAL</v>
      </c>
      <c r="F159" s="7" t="str">
        <f>IFERROR(__xludf.DUMMYFUNCTION("""COMPUTED_VALUE"""),"Listicle")</f>
        <v>Listicle</v>
      </c>
      <c r="G159" s="7" t="b">
        <f>IFERROR(__xludf.DUMMYFUNCTION("""COMPUTED_VALUE"""),FALSE)</f>
        <v>0</v>
      </c>
      <c r="H159" s="7" t="str">
        <f>IFERROR(__xludf.DUMMYFUNCTION("""COMPUTED_VALUE"""),"Megantic, Prosperity Media, Rocket Agency, StudioHawk, Impressive, Adcore Elite, Clearwater Agency, Jaywing, SIXGUN, AdVisible")</f>
        <v>Megantic, Prosperity Media, Rocket Agency, StudioHawk, Impressive, Adcore Elite, Clearwater Agency, Jaywing, SIXGUN, AdVisible</v>
      </c>
      <c r="I159" s="7">
        <f>IFERROR(__xludf.DUMMYFUNCTION("""COMPUTED_VALUE"""),4.0)</f>
        <v>4</v>
      </c>
      <c r="J159" s="7">
        <f>IFERROR(__xludf.DUMMYFUNCTION("""COMPUTED_VALUE"""),0.0)</f>
        <v>0</v>
      </c>
      <c r="K159" s="7">
        <f>IFERROR(__xludf.DUMMYFUNCTION("""COMPUTED_VALUE"""),1.25)</f>
        <v>1.25</v>
      </c>
    </row>
    <row r="160" ht="15.75" customHeight="1">
      <c r="A160" s="6" t="str">
        <f>IFERROR(__xludf.DUMMYFUNCTION("""COMPUTED_VALUE"""),"https://builtinmelbourne.com/articles/digital-marketing-companies-melbourne")</f>
        <v>https://builtinmelbourne.com/articles/digital-marketing-companies-melbourne</v>
      </c>
      <c r="B160" s="7" t="str">
        <f>IFERROR(__xludf.DUMMYFUNCTION("""COMPUTED_VALUE"""),"20 Top Digital Marketing Companies in Melbourne | Built In Melbourne")</f>
        <v>20 Top Digital Marketing Companies in Melbourne | Built In Melbourne</v>
      </c>
      <c r="C160" s="6" t="str">
        <f>IFERROR(__xludf.DUMMYFUNCTION("""COMPUTED_VALUE"""),"builtinmelbourne.com")</f>
        <v>builtinmelbourne.com</v>
      </c>
      <c r="D160" s="7" t="str">
        <f>IFERROR(__xludf.DUMMYFUNCTION("""COMPUTED_VALUE"""),"LISTICLE")</f>
        <v>LISTICLE</v>
      </c>
      <c r="E160" s="7" t="str">
        <f>IFERROR(__xludf.DUMMYFUNCTION("""COMPUTED_VALUE"""),"UGC")</f>
        <v>UGC</v>
      </c>
      <c r="F160" s="7" t="str">
        <f>IFERROR(__xludf.DUMMYFUNCTION("""COMPUTED_VALUE"""),"Listicle")</f>
        <v>Listicle</v>
      </c>
      <c r="G160" s="7" t="b">
        <f>IFERROR(__xludf.DUMMYFUNCTION("""COMPUTED_VALUE"""),FALSE)</f>
        <v>0</v>
      </c>
      <c r="H160" s="7" t="str">
        <f>IFERROR(__xludf.DUMMYFUNCTION("""COMPUTED_VALUE"""),"Emote Digital, Megaphone, Salt &amp; Fuessel, Ogilvy Australia, King Kong, Dentsu")</f>
        <v>Emote Digital, Megaphone, Salt &amp; Fuessel, Ogilvy Australia, King Kong, Dentsu</v>
      </c>
      <c r="I160" s="7">
        <f>IFERROR(__xludf.DUMMYFUNCTION("""COMPUTED_VALUE"""),4.0)</f>
        <v>4</v>
      </c>
      <c r="J160" s="7">
        <f>IFERROR(__xludf.DUMMYFUNCTION("""COMPUTED_VALUE"""),0.0)</f>
        <v>0</v>
      </c>
      <c r="K160" s="7">
        <f>IFERROR(__xludf.DUMMYFUNCTION("""COMPUTED_VALUE"""),0.75)</f>
        <v>0.75</v>
      </c>
    </row>
    <row r="161" ht="15.75" customHeight="1">
      <c r="A161" s="6" t="str">
        <f>IFERROR(__xludf.DUMMYFUNCTION("""COMPUTED_VALUE"""),"https://www.bushletter.com/top-10-aeo-agencies-sydney-nsw-2026/")</f>
        <v>https://www.bushletter.com/top-10-aeo-agencies-sydney-nsw-2026/</v>
      </c>
      <c r="B161" s="7" t="str">
        <f>IFERROR(__xludf.DUMMYFUNCTION("""COMPUTED_VALUE"""),"9 AEO agencies in Sydney for 2026 | Bushletter")</f>
        <v>9 AEO agencies in Sydney for 2026 | Bushletter</v>
      </c>
      <c r="C161" s="6" t="str">
        <f>IFERROR(__xludf.DUMMYFUNCTION("""COMPUTED_VALUE"""),"bushletter.com")</f>
        <v>bushletter.com</v>
      </c>
      <c r="D161" s="7" t="str">
        <f>IFERROR(__xludf.DUMMYFUNCTION("""COMPUTED_VALUE"""),"LISTICLE")</f>
        <v>LISTICLE</v>
      </c>
      <c r="E161" s="7" t="str">
        <f>IFERROR(__xludf.DUMMYFUNCTION("""COMPUTED_VALUE"""),"EDITORIAL")</f>
        <v>EDITORIAL</v>
      </c>
      <c r="F161" s="7" t="str">
        <f>IFERROR(__xludf.DUMMYFUNCTION("""COMPUTED_VALUE"""),"Listicle")</f>
        <v>Listicle</v>
      </c>
      <c r="G161" s="7" t="b">
        <f>IFERROR(__xludf.DUMMYFUNCTION("""COMPUTED_VALUE"""),FALSE)</f>
        <v>0</v>
      </c>
      <c r="H161" s="7" t="str">
        <f>IFERROR(__xludf.DUMMYFUNCTION("""COMPUTED_VALUE"""),"Bushnote, Soup Agency")</f>
        <v>Bushnote, Soup Agency</v>
      </c>
      <c r="I161" s="7">
        <f>IFERROR(__xludf.DUMMYFUNCTION("""COMPUTED_VALUE"""),4.0)</f>
        <v>4</v>
      </c>
      <c r="J161" s="7">
        <f>IFERROR(__xludf.DUMMYFUNCTION("""COMPUTED_VALUE"""),0.0)</f>
        <v>0</v>
      </c>
      <c r="K161" s="7">
        <f>IFERROR(__xludf.DUMMYFUNCTION("""COMPUTED_VALUE"""),1.0)</f>
        <v>1</v>
      </c>
    </row>
    <row r="162" ht="15.75" customHeight="1">
      <c r="A162" s="6" t="str">
        <f>IFERROR(__xludf.DUMMYFUNCTION("""COMPUTED_VALUE"""),"https://www.bushnote.com/articles/best-digital-marketing-agencies-australia-2025")</f>
        <v>https://www.bushnote.com/articles/best-digital-marketing-agencies-australia-2025</v>
      </c>
      <c r="B162" s="7" t="str">
        <f>IFERROR(__xludf.DUMMYFUNCTION("""COMPUTED_VALUE"""),"Australia's Top 15 Digital Marketing Agencies 2025")</f>
        <v>Australia's Top 15 Digital Marketing Agencies 2025</v>
      </c>
      <c r="C162" s="6" t="str">
        <f>IFERROR(__xludf.DUMMYFUNCTION("""COMPUTED_VALUE"""),"bushnote.com")</f>
        <v>bushnote.com</v>
      </c>
      <c r="D162" s="7" t="str">
        <f>IFERROR(__xludf.DUMMYFUNCTION("""COMPUTED_VALUE"""),"LISTICLE")</f>
        <v>LISTICLE</v>
      </c>
      <c r="E162" s="7" t="str">
        <f>IFERROR(__xludf.DUMMYFUNCTION("""COMPUTED_VALUE"""),"COMPETITOR")</f>
        <v>COMPETITOR</v>
      </c>
      <c r="F162" s="7" t="str">
        <f>IFERROR(__xludf.DUMMYFUNCTION("""COMPUTED_VALUE"""),"Listicle")</f>
        <v>Listicle</v>
      </c>
      <c r="G162" s="7" t="b">
        <f>IFERROR(__xludf.DUMMYFUNCTION("""COMPUTED_VALUE"""),FALSE)</f>
        <v>0</v>
      </c>
      <c r="H162" s="7" t="str">
        <f>IFERROR(__xludf.DUMMYFUNCTION("""COMPUTED_VALUE"""),"Bushnote, Thinkerbell, Measured, The Monkeys, Accenture Song, Sparro, Webprofits, King Kong, Alpha Digital, Emote Digital, Deloitte Digital, Deloitte")</f>
        <v>Bushnote, Thinkerbell, Measured, The Monkeys, Accenture Song, Sparro, Webprofits, King Kong, Alpha Digital, Emote Digital, Deloitte Digital, Deloitte</v>
      </c>
      <c r="I162" s="7">
        <f>IFERROR(__xludf.DUMMYFUNCTION("""COMPUTED_VALUE"""),4.0)</f>
        <v>4</v>
      </c>
      <c r="J162" s="7">
        <f>IFERROR(__xludf.DUMMYFUNCTION("""COMPUTED_VALUE"""),0.0)</f>
        <v>0</v>
      </c>
      <c r="K162" s="7">
        <f>IFERROR(__xludf.DUMMYFUNCTION("""COMPUTED_VALUE"""),4.25)</f>
        <v>4.25</v>
      </c>
    </row>
    <row r="163" ht="15.75" customHeight="1">
      <c r="A163" s="6" t="str">
        <f>IFERROR(__xludf.DUMMYFUNCTION("""COMPUTED_VALUE"""),"https://www.bushnote.com/articles/leading-media-buying-agencies-australia")</f>
        <v>https://www.bushnote.com/articles/leading-media-buying-agencies-australia</v>
      </c>
      <c r="B163" s="7" t="str">
        <f>IFERROR(__xludf.DUMMYFUNCTION("""COMPUTED_VALUE"""),"Australia's Top 10 Media Buying Agencies: 2024 Guide")</f>
        <v>Australia's Top 10 Media Buying Agencies: 2024 Guide</v>
      </c>
      <c r="C163" s="6" t="str">
        <f>IFERROR(__xludf.DUMMYFUNCTION("""COMPUTED_VALUE"""),"bushnote.com")</f>
        <v>bushnote.com</v>
      </c>
      <c r="D163" s="7" t="str">
        <f>IFERROR(__xludf.DUMMYFUNCTION("""COMPUTED_VALUE"""),"LISTICLE")</f>
        <v>LISTICLE</v>
      </c>
      <c r="E163" s="7" t="str">
        <f>IFERROR(__xludf.DUMMYFUNCTION("""COMPUTED_VALUE"""),"COMPETITOR")</f>
        <v>COMPETITOR</v>
      </c>
      <c r="F163" s="7" t="str">
        <f>IFERROR(__xludf.DUMMYFUNCTION("""COMPUTED_VALUE"""),"Listicle")</f>
        <v>Listicle</v>
      </c>
      <c r="G163" s="7" t="b">
        <f>IFERROR(__xludf.DUMMYFUNCTION("""COMPUTED_VALUE"""),FALSE)</f>
        <v>0</v>
      </c>
      <c r="H163" s="7" t="str">
        <f>IFERROR(__xludf.DUMMYFUNCTION("""COMPUTED_VALUE"""),"Bushnote, Deloitte, OMD, PHD, EssenceMediacom, GroupM, Publicis Groupe")</f>
        <v>Bushnote, Deloitte, OMD, PHD, EssenceMediacom, GroupM, Publicis Groupe</v>
      </c>
      <c r="I163" s="7">
        <f>IFERROR(__xludf.DUMMYFUNCTION("""COMPUTED_VALUE"""),4.0)</f>
        <v>4</v>
      </c>
      <c r="J163" s="7">
        <f>IFERROR(__xludf.DUMMYFUNCTION("""COMPUTED_VALUE"""),0.0)</f>
        <v>0</v>
      </c>
      <c r="K163" s="7">
        <f>IFERROR(__xludf.DUMMYFUNCTION("""COMPUTED_VALUE"""),0.5)</f>
        <v>0.5</v>
      </c>
    </row>
    <row r="164" ht="15.75" customHeight="1">
      <c r="A164" s="6" t="str">
        <f>IFERROR(__xludf.DUMMYFUNCTION("""COMPUTED_VALUE"""),"https://conquerradigital.com.au/top-10-programmatic-ads-agencies-in-brisbane/")</f>
        <v>https://conquerradigital.com.au/top-10-programmatic-ads-agencies-in-brisbane/</v>
      </c>
      <c r="B164" s="7" t="str">
        <f>IFERROR(__xludf.DUMMYFUNCTION("""COMPUTED_VALUE"""),"Top 10 Programmatic Ads Agencies In Brisbane | Conquerra Digital")</f>
        <v>Top 10 Programmatic Ads Agencies In Brisbane | Conquerra Digital</v>
      </c>
      <c r="C164" s="6" t="str">
        <f>IFERROR(__xludf.DUMMYFUNCTION("""COMPUTED_VALUE"""),"conquerradigital.com.au")</f>
        <v>conquerradigital.com.au</v>
      </c>
      <c r="D164" s="7" t="str">
        <f>IFERROR(__xludf.DUMMYFUNCTION("""COMPUTED_VALUE"""),"LISTICLE")</f>
        <v>LISTICLE</v>
      </c>
      <c r="E164" s="7" t="str">
        <f>IFERROR(__xludf.DUMMYFUNCTION("""COMPUTED_VALUE"""),"CORPORATE")</f>
        <v>CORPORATE</v>
      </c>
      <c r="F164" s="7" t="str">
        <f>IFERROR(__xludf.DUMMYFUNCTION("""COMPUTED_VALUE"""),"Listicle")</f>
        <v>Listicle</v>
      </c>
      <c r="G164" s="7" t="b">
        <f>IFERROR(__xludf.DUMMYFUNCTION("""COMPUTED_VALUE"""),FALSE)</f>
        <v>0</v>
      </c>
      <c r="H164" s="7" t="str">
        <f>IFERROR(__xludf.DUMMYFUNCTION("""COMPUTED_VALUE"""),"Soup Agency, Alpha Digital, Digital Nomads HQ, Momentum")</f>
        <v>Soup Agency, Alpha Digital, Digital Nomads HQ, Momentum</v>
      </c>
      <c r="I164" s="7">
        <f>IFERROR(__xludf.DUMMYFUNCTION("""COMPUTED_VALUE"""),4.0)</f>
        <v>4</v>
      </c>
      <c r="J164" s="7">
        <f>IFERROR(__xludf.DUMMYFUNCTION("""COMPUTED_VALUE"""),0.0)</f>
        <v>0</v>
      </c>
      <c r="K164" s="7">
        <f>IFERROR(__xludf.DUMMYFUNCTION("""COMPUTED_VALUE"""),1.0)</f>
        <v>1</v>
      </c>
    </row>
    <row r="165" ht="15.75" customHeight="1">
      <c r="A165" s="6" t="str">
        <f>IFERROR(__xludf.DUMMYFUNCTION("""COMPUTED_VALUE"""),"https://www.digitalreference.co/insights/marketing-professionals/best-digital-marketing-agencies-companies-in-australia")</f>
        <v>https://www.digitalreference.co/insights/marketing-professionals/best-digital-marketing-agencies-companies-in-australia</v>
      </c>
      <c r="B165" s="7" t="str">
        <f>IFERROR(__xludf.DUMMYFUNCTION("""COMPUTED_VALUE"""),"Best Digital Marketing Agencies &amp;amp; Digital Marketing Firms in Australia")</f>
        <v>Best Digital Marketing Agencies &amp;amp; Digital Marketing Firms in Australia</v>
      </c>
      <c r="C165" s="6" t="str">
        <f>IFERROR(__xludf.DUMMYFUNCTION("""COMPUTED_VALUE"""),"digitalreference.co")</f>
        <v>digitalreference.co</v>
      </c>
      <c r="D165" s="7" t="str">
        <f>IFERROR(__xludf.DUMMYFUNCTION("""COMPUTED_VALUE"""),"LISTICLE")</f>
        <v>LISTICLE</v>
      </c>
      <c r="E165" s="7" t="str">
        <f>IFERROR(__xludf.DUMMYFUNCTION("""COMPUTED_VALUE"""),"UGC")</f>
        <v>UGC</v>
      </c>
      <c r="F165" s="7" t="str">
        <f>IFERROR(__xludf.DUMMYFUNCTION("""COMPUTED_VALUE"""),"Listicle")</f>
        <v>Listicle</v>
      </c>
      <c r="G165" s="7" t="b">
        <f>IFERROR(__xludf.DUMMYFUNCTION("""COMPUTED_VALUE"""),FALSE)</f>
        <v>0</v>
      </c>
      <c r="H165" s="7" t="str">
        <f>IFERROR(__xludf.DUMMYFUNCTION("""COMPUTED_VALUE"""),"Digital Movement, Momentum, Digital Nomads HQ, Online Marketing Gurus, Omnicom Media Group")</f>
        <v>Digital Movement, Momentum, Digital Nomads HQ, Online Marketing Gurus, Omnicom Media Group</v>
      </c>
      <c r="I165" s="7">
        <f>IFERROR(__xludf.DUMMYFUNCTION("""COMPUTED_VALUE"""),4.0)</f>
        <v>4</v>
      </c>
      <c r="J165" s="7">
        <f>IFERROR(__xludf.DUMMYFUNCTION("""COMPUTED_VALUE"""),0.0)</f>
        <v>0</v>
      </c>
      <c r="K165" s="7">
        <f>IFERROR(__xludf.DUMMYFUNCTION("""COMPUTED_VALUE"""),0.0)</f>
        <v>0</v>
      </c>
    </row>
    <row r="166" ht="15.75" customHeight="1">
      <c r="A166" s="6" t="str">
        <f>IFERROR(__xludf.DUMMYFUNCTION("""COMPUTED_VALUE"""),"https://edisonai.au/insights/best-ai-consultants-for-small-business-australia")</f>
        <v>https://edisonai.au/insights/best-ai-consultants-for-small-business-australia</v>
      </c>
      <c r="B166" s="7" t="str">
        <f>IFERROR(__xludf.DUMMYFUNCTION("""COMPUTED_VALUE"""),"Best AI Consultants for Small Business Australia (2026) \| Edison AI")</f>
        <v>Best AI Consultants for Small Business Australia (2026) \| Edison AI</v>
      </c>
      <c r="C166" s="6" t="str">
        <f>IFERROR(__xludf.DUMMYFUNCTION("""COMPUTED_VALUE"""),"edisonai.au")</f>
        <v>edisonai.au</v>
      </c>
      <c r="D166" s="7" t="str">
        <f>IFERROR(__xludf.DUMMYFUNCTION("""COMPUTED_VALUE"""),"LISTICLE")</f>
        <v>LISTICLE</v>
      </c>
      <c r="E166" s="7" t="str">
        <f>IFERROR(__xludf.DUMMYFUNCTION("""COMPUTED_VALUE"""),"CORPORATE")</f>
        <v>CORPORATE</v>
      </c>
      <c r="F166" s="7" t="str">
        <f>IFERROR(__xludf.DUMMYFUNCTION("""COMPUTED_VALUE"""),"Listicle")</f>
        <v>Listicle</v>
      </c>
      <c r="G166" s="7" t="b">
        <f>IFERROR(__xludf.DUMMYFUNCTION("""COMPUTED_VALUE"""),FALSE)</f>
        <v>0</v>
      </c>
      <c r="H166" s="7" t="str">
        <f>IFERROR(__xludf.DUMMYFUNCTION("""COMPUTED_VALUE"""),"Edison AI, Mantel Group, Momentum, Measured")</f>
        <v>Edison AI, Mantel Group, Momentum, Measured</v>
      </c>
      <c r="I166" s="7">
        <f>IFERROR(__xludf.DUMMYFUNCTION("""COMPUTED_VALUE"""),4.0)</f>
        <v>4</v>
      </c>
      <c r="J166" s="7">
        <f>IFERROR(__xludf.DUMMYFUNCTION("""COMPUTED_VALUE"""),0.0)</f>
        <v>0</v>
      </c>
      <c r="K166" s="7">
        <f>IFERROR(__xludf.DUMMYFUNCTION("""COMPUTED_VALUE"""),0.75)</f>
        <v>0.75</v>
      </c>
    </row>
    <row r="167" ht="15.75" customHeight="1">
      <c r="A167" s="6" t="str">
        <f>IFERROR(__xludf.DUMMYFUNCTION("""COMPUTED_VALUE"""),"https://leadsnow.ai/best-high-ticket-marketing-agencies-australia/")</f>
        <v>https://leadsnow.ai/best-high-ticket-marketing-agencies-australia/</v>
      </c>
      <c r="B167" s="7" t="str">
        <f>IFERROR(__xludf.DUMMYFUNCTION("""COMPUTED_VALUE"""),"Best High-Ticket Marketing Agencies in Australia (2026) - Leads Now AI")</f>
        <v>Best High-Ticket Marketing Agencies in Australia (2026) - Leads Now AI</v>
      </c>
      <c r="C167" s="6" t="str">
        <f>IFERROR(__xludf.DUMMYFUNCTION("""COMPUTED_VALUE"""),"leadsnow.ai")</f>
        <v>leadsnow.ai</v>
      </c>
      <c r="D167" s="7" t="str">
        <f>IFERROR(__xludf.DUMMYFUNCTION("""COMPUTED_VALUE"""),"LISTICLE")</f>
        <v>LISTICLE</v>
      </c>
      <c r="E167" s="7" t="str">
        <f>IFERROR(__xludf.DUMMYFUNCTION("""COMPUTED_VALUE"""),"COMPETITOR")</f>
        <v>COMPETITOR</v>
      </c>
      <c r="F167" s="7" t="str">
        <f>IFERROR(__xludf.DUMMYFUNCTION("""COMPUTED_VALUE"""),"Listicle")</f>
        <v>Listicle</v>
      </c>
      <c r="G167" s="7" t="b">
        <f>IFERROR(__xludf.DUMMYFUNCTION("""COMPUTED_VALUE"""),FALSE)</f>
        <v>0</v>
      </c>
      <c r="H167" s="7" t="str">
        <f>IFERROR(__xludf.DUMMYFUNCTION("""COMPUTED_VALUE"""),"LeadsNow.ai, King Kong, Megaphone, Omnicom Media Group, Online Marketing Gurus, Webprofits, Sparro, Brainlabs, Rocket Agency")</f>
        <v>LeadsNow.ai, King Kong, Megaphone, Omnicom Media Group, Online Marketing Gurus, Webprofits, Sparro, Brainlabs, Rocket Agency</v>
      </c>
      <c r="I167" s="7">
        <f>IFERROR(__xludf.DUMMYFUNCTION("""COMPUTED_VALUE"""),4.0)</f>
        <v>4</v>
      </c>
      <c r="J167" s="7">
        <f>IFERROR(__xludf.DUMMYFUNCTION("""COMPUTED_VALUE"""),0.0)</f>
        <v>0</v>
      </c>
      <c r="K167" s="7">
        <f>IFERROR(__xludf.DUMMYFUNCTION("""COMPUTED_VALUE"""),1.25)</f>
        <v>1.25</v>
      </c>
    </row>
    <row r="168" ht="15.75" customHeight="1">
      <c r="A168" s="6" t="str">
        <f>IFERROR(__xludf.DUMMYFUNCTION("""COMPUTED_VALUE"""),"https://leadsrx.com/resource/35-marketing-attribution-software-companies/")</f>
        <v>https://leadsrx.com/resource/35-marketing-attribution-software-companies/</v>
      </c>
      <c r="B168" s="7" t="str">
        <f>IFERROR(__xludf.DUMMYFUNCTION("""COMPUTED_VALUE"""),"35 Best Marketing Attribution Software For You to Consider")</f>
        <v>35 Best Marketing Attribution Software For You to Consider</v>
      </c>
      <c r="C168" s="6" t="str">
        <f>IFERROR(__xludf.DUMMYFUNCTION("""COMPUTED_VALUE"""),"leadsrx.com")</f>
        <v>leadsrx.com</v>
      </c>
      <c r="D168" s="7" t="str">
        <f>IFERROR(__xludf.DUMMYFUNCTION("""COMPUTED_VALUE"""),"LISTICLE")</f>
        <v>LISTICLE</v>
      </c>
      <c r="E168" s="7" t="str">
        <f>IFERROR(__xludf.DUMMYFUNCTION("""COMPUTED_VALUE"""),"UGC")</f>
        <v>UGC</v>
      </c>
      <c r="F168" s="7" t="str">
        <f>IFERROR(__xludf.DUMMYFUNCTION("""COMPUTED_VALUE"""),"Listicle")</f>
        <v>Listicle</v>
      </c>
      <c r="G168" s="7" t="b">
        <f>IFERROR(__xludf.DUMMYFUNCTION("""COMPUTED_VALUE"""),FALSE)</f>
        <v>0</v>
      </c>
      <c r="H168" s="7" t="str">
        <f>IFERROR(__xludf.DUMMYFUNCTION("""COMPUTED_VALUE"""),"Measured, Huge")</f>
        <v>Measured, Huge</v>
      </c>
      <c r="I168" s="7">
        <f>IFERROR(__xludf.DUMMYFUNCTION("""COMPUTED_VALUE"""),4.0)</f>
        <v>4</v>
      </c>
      <c r="J168" s="7">
        <f>IFERROR(__xludf.DUMMYFUNCTION("""COMPUTED_VALUE"""),0.0)</f>
        <v>0</v>
      </c>
      <c r="K168" s="7">
        <f>IFERROR(__xludf.DUMMYFUNCTION("""COMPUTED_VALUE"""),0.25)</f>
        <v>0.25</v>
      </c>
    </row>
    <row r="169" ht="15.75" customHeight="1">
      <c r="A169" s="6" t="str">
        <f>IFERROR(__xludf.DUMMYFUNCTION("""COMPUTED_VALUE"""),"https://lengreo.com/australia-brisbane-aeo-geo-llmo-companies/")</f>
        <v>https://lengreo.com/australia-brisbane-aeo-geo-llmo-companies/</v>
      </c>
      <c r="B169" s="7" t="str">
        <f>IFERROR(__xludf.DUMMYFUNCTION("""COMPUTED_VALUE"""),"6 Best AEO, GEO &amp;amp; LLMO Companies in Brisbane, Australia (2026)")</f>
        <v>6 Best AEO, GEO &amp;amp; LLMO Companies in Brisbane, Australia (2026)</v>
      </c>
      <c r="C169" s="6" t="str">
        <f>IFERROR(__xludf.DUMMYFUNCTION("""COMPUTED_VALUE"""),"lengreo.com")</f>
        <v>lengreo.com</v>
      </c>
      <c r="D169" s="7" t="str">
        <f>IFERROR(__xludf.DUMMYFUNCTION("""COMPUTED_VALUE"""),"LISTICLE")</f>
        <v>LISTICLE</v>
      </c>
      <c r="E169" s="7" t="str">
        <f>IFERROR(__xludf.DUMMYFUNCTION("""COMPUTED_VALUE"""),"CORPORATE")</f>
        <v>CORPORATE</v>
      </c>
      <c r="F169" s="7" t="str">
        <f>IFERROR(__xludf.DUMMYFUNCTION("""COMPUTED_VALUE"""),"Listicle")</f>
        <v>Listicle</v>
      </c>
      <c r="G169" s="7" t="b">
        <f>IFERROR(__xludf.DUMMYFUNCTION("""COMPUTED_VALUE"""),FALSE)</f>
        <v>0</v>
      </c>
      <c r="H169" s="7" t="str">
        <f>IFERROR(__xludf.DUMMYFUNCTION("""COMPUTED_VALUE"""),"Supple Digital, StudioHawk")</f>
        <v>Supple Digital, StudioHawk</v>
      </c>
      <c r="I169" s="7">
        <f>IFERROR(__xludf.DUMMYFUNCTION("""COMPUTED_VALUE"""),4.0)</f>
        <v>4</v>
      </c>
      <c r="J169" s="7">
        <f>IFERROR(__xludf.DUMMYFUNCTION("""COMPUTED_VALUE"""),0.0)</f>
        <v>0</v>
      </c>
      <c r="K169" s="7">
        <f>IFERROR(__xludf.DUMMYFUNCTION("""COMPUTED_VALUE"""),1.5)</f>
        <v>1.5</v>
      </c>
    </row>
    <row r="170" ht="15.75" customHeight="1">
      <c r="A170" s="6" t="str">
        <f>IFERROR(__xludf.DUMMYFUNCTION("""COMPUTED_VALUE"""),"https://nogood.io/blog/performance-marketing-agencies/")</f>
        <v>https://nogood.io/blog/performance-marketing-agencies/</v>
      </c>
      <c r="B170" s="7" t="str">
        <f>IFERROR(__xludf.DUMMYFUNCTION("""COMPUTED_VALUE"""),"Top Performance Marketing Agencies in 2026 | NoGood")</f>
        <v>Top Performance Marketing Agencies in 2026 | NoGood</v>
      </c>
      <c r="C170" s="6" t="str">
        <f>IFERROR(__xludf.DUMMYFUNCTION("""COMPUTED_VALUE"""),"nogood.io")</f>
        <v>nogood.io</v>
      </c>
      <c r="D170" s="7" t="str">
        <f>IFERROR(__xludf.DUMMYFUNCTION("""COMPUTED_VALUE"""),"LISTICLE")</f>
        <v>LISTICLE</v>
      </c>
      <c r="E170" s="7" t="str">
        <f>IFERROR(__xludf.DUMMYFUNCTION("""COMPUTED_VALUE"""),"CORPORATE")</f>
        <v>CORPORATE</v>
      </c>
      <c r="F170" s="7" t="str">
        <f>IFERROR(__xludf.DUMMYFUNCTION("""COMPUTED_VALUE"""),"Listicle")</f>
        <v>Listicle</v>
      </c>
      <c r="G170" s="7" t="b">
        <f>IFERROR(__xludf.DUMMYFUNCTION("""COMPUTED_VALUE"""),FALSE)</f>
        <v>0</v>
      </c>
      <c r="H170" s="7" t="str">
        <f>IFERROR(__xludf.DUMMYFUNCTION("""COMPUTED_VALUE"""),"Power Digital, Intero Digital, Measured, Earned Media, Huge")</f>
        <v>Power Digital, Intero Digital, Measured, Earned Media, Huge</v>
      </c>
      <c r="I170" s="7">
        <f>IFERROR(__xludf.DUMMYFUNCTION("""COMPUTED_VALUE"""),4.0)</f>
        <v>4</v>
      </c>
      <c r="J170" s="7">
        <f>IFERROR(__xludf.DUMMYFUNCTION("""COMPUTED_VALUE"""),0.0)</f>
        <v>0</v>
      </c>
      <c r="K170" s="7">
        <f>IFERROR(__xludf.DUMMYFUNCTION("""COMPUTED_VALUE"""),0.0)</f>
        <v>0</v>
      </c>
    </row>
    <row r="171" ht="15.75" customHeight="1">
      <c r="A171" s="6" t="str">
        <f>IFERROR(__xludf.DUMMYFUNCTION("""COMPUTED_VALUE"""),"https://orm-tech.com/blog/best-marketing-attribution-software/")</f>
        <v>https://orm-tech.com/blog/best-marketing-attribution-software/</v>
      </c>
      <c r="B171" s="7" t="str">
        <f>IFERROR(__xludf.DUMMYFUNCTION("""COMPUTED_VALUE"""),"9 Best Marketing Attribution Software for B2B (2026) | ORM")</f>
        <v>9 Best Marketing Attribution Software for B2B (2026) | ORM</v>
      </c>
      <c r="C171" s="6" t="str">
        <f>IFERROR(__xludf.DUMMYFUNCTION("""COMPUTED_VALUE"""),"orm-tech.com")</f>
        <v>orm-tech.com</v>
      </c>
      <c r="D171" s="7" t="str">
        <f>IFERROR(__xludf.DUMMYFUNCTION("""COMPUTED_VALUE"""),"LISTICLE")</f>
        <v>LISTICLE</v>
      </c>
      <c r="E171" s="7" t="str">
        <f>IFERROR(__xludf.DUMMYFUNCTION("""COMPUTED_VALUE"""),"CORPORATE")</f>
        <v>CORPORATE</v>
      </c>
      <c r="F171" s="7" t="str">
        <f>IFERROR(__xludf.DUMMYFUNCTION("""COMPUTED_VALUE"""),"Listicle")</f>
        <v>Listicle</v>
      </c>
      <c r="G171" s="7" t="b">
        <f>IFERROR(__xludf.DUMMYFUNCTION("""COMPUTED_VALUE"""),FALSE)</f>
        <v>0</v>
      </c>
      <c r="H171" s="7"/>
      <c r="I171" s="7">
        <f>IFERROR(__xludf.DUMMYFUNCTION("""COMPUTED_VALUE"""),4.0)</f>
        <v>4</v>
      </c>
      <c r="J171" s="7">
        <f>IFERROR(__xludf.DUMMYFUNCTION("""COMPUTED_VALUE"""),0.0)</f>
        <v>0</v>
      </c>
      <c r="K171" s="7">
        <f>IFERROR(__xludf.DUMMYFUNCTION("""COMPUTED_VALUE"""),0.5)</f>
        <v>0.5</v>
      </c>
    </row>
    <row r="172" ht="15.75" customHeight="1">
      <c r="A172" s="6" t="str">
        <f>IFERROR(__xludf.DUMMYFUNCTION("""COMPUTED_VALUE"""),"https://tdsaustralia.com.au/top-50-brand-design-agencies-australia/")</f>
        <v>https://tdsaustralia.com.au/top-50-brand-design-agencies-australia/</v>
      </c>
      <c r="B172" s="7" t="str">
        <f>IFERROR(__xludf.DUMMYFUNCTION("""COMPUTED_VALUE"""),"Top 50 Branding Agencies in Australia (April 2026) | Ranked by Experts | TDS Australia")</f>
        <v>Top 50 Branding Agencies in Australia (April 2026) | Ranked by Experts | TDS Australia</v>
      </c>
      <c r="C172" s="6" t="str">
        <f>IFERROR(__xludf.DUMMYFUNCTION("""COMPUTED_VALUE"""),"tdsaustralia.com.au")</f>
        <v>tdsaustralia.com.au</v>
      </c>
      <c r="D172" s="7" t="str">
        <f>IFERROR(__xludf.DUMMYFUNCTION("""COMPUTED_VALUE"""),"LISTICLE")</f>
        <v>LISTICLE</v>
      </c>
      <c r="E172" s="7" t="str">
        <f>IFERROR(__xludf.DUMMYFUNCTION("""COMPUTED_VALUE"""),"CORPORATE")</f>
        <v>CORPORATE</v>
      </c>
      <c r="F172" s="7" t="str">
        <f>IFERROR(__xludf.DUMMYFUNCTION("""COMPUTED_VALUE"""),"Listicle")</f>
        <v>Listicle</v>
      </c>
      <c r="G172" s="7" t="b">
        <f>IFERROR(__xludf.DUMMYFUNCTION("""COMPUTED_VALUE"""),FALSE)</f>
        <v>0</v>
      </c>
      <c r="H172" s="7" t="str">
        <f>IFERROR(__xludf.DUMMYFUNCTION("""COMPUTED_VALUE"""),"Hulsbosch, CUT THRU, Chello, RAW Studio, Digital Nomads HQ, Soup Agency, WPP")</f>
        <v>Hulsbosch, CUT THRU, Chello, RAW Studio, Digital Nomads HQ, Soup Agency, WPP</v>
      </c>
      <c r="I172" s="7">
        <f>IFERROR(__xludf.DUMMYFUNCTION("""COMPUTED_VALUE"""),4.0)</f>
        <v>4</v>
      </c>
      <c r="J172" s="7">
        <f>IFERROR(__xludf.DUMMYFUNCTION("""COMPUTED_VALUE"""),0.0)</f>
        <v>0</v>
      </c>
      <c r="K172" s="7">
        <f>IFERROR(__xludf.DUMMYFUNCTION("""COMPUTED_VALUE"""),2.0)</f>
        <v>2</v>
      </c>
    </row>
    <row r="173" ht="15.75" customHeight="1">
      <c r="A173" s="6" t="str">
        <f>IFERROR(__xludf.DUMMYFUNCTION("""COMPUTED_VALUE"""),"https://theredrepublic.com/australias-top-10-best-ad-agencies-leading-creative-and-advertising/")</f>
        <v>https://theredrepublic.com/australias-top-10-best-ad-agencies-leading-creative-and-advertising/</v>
      </c>
      <c r="B173" s="7" t="str">
        <f>IFERROR(__xludf.DUMMYFUNCTION("""COMPUTED_VALUE"""),"Australia's Top 5 Best Ad Agencies for Creative and Advertising | The Red Republic")</f>
        <v>Australia's Top 5 Best Ad Agencies for Creative and Advertising | The Red Republic</v>
      </c>
      <c r="C173" s="6" t="str">
        <f>IFERROR(__xludf.DUMMYFUNCTION("""COMPUTED_VALUE"""),"theredrepublic.com")</f>
        <v>theredrepublic.com</v>
      </c>
      <c r="D173" s="7" t="str">
        <f>IFERROR(__xludf.DUMMYFUNCTION("""COMPUTED_VALUE"""),"LISTICLE")</f>
        <v>LISTICLE</v>
      </c>
      <c r="E173" s="7" t="str">
        <f>IFERROR(__xludf.DUMMYFUNCTION("""COMPUTED_VALUE"""),"COMPETITOR")</f>
        <v>COMPETITOR</v>
      </c>
      <c r="F173" s="7" t="str">
        <f>IFERROR(__xludf.DUMMYFUNCTION("""COMPUTED_VALUE"""),"Listicle")</f>
        <v>Listicle</v>
      </c>
      <c r="G173" s="7" t="b">
        <f>IFERROR(__xludf.DUMMYFUNCTION("""COMPUTED_VALUE"""),FALSE)</f>
        <v>0</v>
      </c>
      <c r="H173" s="7" t="str">
        <f>IFERROR(__xludf.DUMMYFUNCTION("""COMPUTED_VALUE"""),"The Red Republic, HERO")</f>
        <v>The Red Republic, HERO</v>
      </c>
      <c r="I173" s="7">
        <f>IFERROR(__xludf.DUMMYFUNCTION("""COMPUTED_VALUE"""),4.0)</f>
        <v>4</v>
      </c>
      <c r="J173" s="7">
        <f>IFERROR(__xludf.DUMMYFUNCTION("""COMPUTED_VALUE"""),0.0)</f>
        <v>0</v>
      </c>
      <c r="K173" s="7">
        <f>IFERROR(__xludf.DUMMYFUNCTION("""COMPUTED_VALUE"""),2.0)</f>
        <v>2</v>
      </c>
    </row>
    <row r="174" ht="15.75" customHeight="1">
      <c r="A174" s="6" t="str">
        <f>IFERROR(__xludf.DUMMYFUNCTION("""COMPUTED_VALUE"""),"https://uprisedigital.com.au/blog/best-solar-marketing-agencies-in-australia/")</f>
        <v>https://uprisedigital.com.au/blog/best-solar-marketing-agencies-in-australia/</v>
      </c>
      <c r="B174" s="7" t="str">
        <f>IFERROR(__xludf.DUMMYFUNCTION("""COMPUTED_VALUE"""),"The 10 Best Solar Marketing Agencies in Australia (2026) - Uprise Digital")</f>
        <v>The 10 Best Solar Marketing Agencies in Australia (2026) - Uprise Digital</v>
      </c>
      <c r="C174" s="6" t="str">
        <f>IFERROR(__xludf.DUMMYFUNCTION("""COMPUTED_VALUE"""),"uprisedigital.com.au")</f>
        <v>uprisedigital.com.au</v>
      </c>
      <c r="D174" s="7" t="str">
        <f>IFERROR(__xludf.DUMMYFUNCTION("""COMPUTED_VALUE"""),"LISTICLE")</f>
        <v>LISTICLE</v>
      </c>
      <c r="E174" s="7" t="str">
        <f>IFERROR(__xludf.DUMMYFUNCTION("""COMPUTED_VALUE"""),"COMPETITOR")</f>
        <v>COMPETITOR</v>
      </c>
      <c r="F174" s="7" t="str">
        <f>IFERROR(__xludf.DUMMYFUNCTION("""COMPUTED_VALUE"""),"Listicle")</f>
        <v>Listicle</v>
      </c>
      <c r="G174" s="7" t="b">
        <f>IFERROR(__xludf.DUMMYFUNCTION("""COMPUTED_VALUE"""),FALSE)</f>
        <v>0</v>
      </c>
      <c r="H174" s="7" t="str">
        <f>IFERROR(__xludf.DUMMYFUNCTION("""COMPUTED_VALUE"""),"Uprise Digital, Megaphone, Online Marketing Gurus, Omnicom Media Group, Digital Nomads HQ, StudioHawk, Sparro, King Kong")</f>
        <v>Uprise Digital, Megaphone, Online Marketing Gurus, Omnicom Media Group, Digital Nomads HQ, StudioHawk, Sparro, King Kong</v>
      </c>
      <c r="I174" s="7">
        <f>IFERROR(__xludf.DUMMYFUNCTION("""COMPUTED_VALUE"""),4.0)</f>
        <v>4</v>
      </c>
      <c r="J174" s="7">
        <f>IFERROR(__xludf.DUMMYFUNCTION("""COMPUTED_VALUE"""),0.0)</f>
        <v>0</v>
      </c>
      <c r="K174" s="7">
        <f>IFERROR(__xludf.DUMMYFUNCTION("""COMPUTED_VALUE"""),1.0)</f>
        <v>1</v>
      </c>
    </row>
    <row r="175" ht="15.75" customHeight="1">
      <c r="A175" s="6" t="str">
        <f>IFERROR(__xludf.DUMMYFUNCTION("""COMPUTED_VALUE"""),"https://worldmetrics.org/service/melbourne-marketing/")</f>
        <v>https://worldmetrics.org/service/melbourne-marketing/</v>
      </c>
      <c r="B175" s="7" t="str">
        <f>IFERROR(__xludf.DUMMYFUNCTION("""COMPUTED_VALUE"""),"Top 10 Best Melbourne Marketing Services | Ranked for 2026")</f>
        <v>Top 10 Best Melbourne Marketing Services | Ranked for 2026</v>
      </c>
      <c r="C175" s="6" t="str">
        <f>IFERROR(__xludf.DUMMYFUNCTION("""COMPUTED_VALUE"""),"worldmetrics.org")</f>
        <v>worldmetrics.org</v>
      </c>
      <c r="D175" s="7" t="str">
        <f>IFERROR(__xludf.DUMMYFUNCTION("""COMPUTED_VALUE"""),"LISTICLE")</f>
        <v>LISTICLE</v>
      </c>
      <c r="E175" s="7" t="str">
        <f>IFERROR(__xludf.DUMMYFUNCTION("""COMPUTED_VALUE"""),"REFERENCE")</f>
        <v>REFERENCE</v>
      </c>
      <c r="F175" s="7" t="str">
        <f>IFERROR(__xludf.DUMMYFUNCTION("""COMPUTED_VALUE"""),"Listicle")</f>
        <v>Listicle</v>
      </c>
      <c r="G175" s="7" t="b">
        <f>IFERROR(__xludf.DUMMYFUNCTION("""COMPUTED_VALUE"""),FALSE)</f>
        <v>0</v>
      </c>
      <c r="H175" s="7" t="str">
        <f>IFERROR(__xludf.DUMMYFUNCTION("""COMPUTED_VALUE"""),"Webprofits, WPP, Deloitte Digital, Deloitte, KPMG")</f>
        <v>Webprofits, WPP, Deloitte Digital, Deloitte, KPMG</v>
      </c>
      <c r="I175" s="7">
        <f>IFERROR(__xludf.DUMMYFUNCTION("""COMPUTED_VALUE"""),4.0)</f>
        <v>4</v>
      </c>
      <c r="J175" s="7">
        <f>IFERROR(__xludf.DUMMYFUNCTION("""COMPUTED_VALUE"""),0.0)</f>
        <v>0</v>
      </c>
      <c r="K175" s="7">
        <f>IFERROR(__xludf.DUMMYFUNCTION("""COMPUTED_VALUE"""),1.25)</f>
        <v>1.25</v>
      </c>
    </row>
    <row r="176" ht="15.75" customHeight="1">
      <c r="A176" s="6" t="str">
        <f>IFERROR(__xludf.DUMMYFUNCTION("""COMPUTED_VALUE"""),"https://zyppy.com/companies/c/marketing-attribution/")</f>
        <v>https://zyppy.com/companies/c/marketing-attribution/</v>
      </c>
      <c r="B176" s="7" t="str">
        <f>IFERROR(__xludf.DUMMYFUNCTION("""COMPUTED_VALUE"""),"Top Marketing Attribution Companies - July 2026")</f>
        <v>Top Marketing Attribution Companies - July 2026</v>
      </c>
      <c r="C176" s="6" t="str">
        <f>IFERROR(__xludf.DUMMYFUNCTION("""COMPUTED_VALUE"""),"zyppy.com")</f>
        <v>zyppy.com</v>
      </c>
      <c r="D176" s="7" t="str">
        <f>IFERROR(__xludf.DUMMYFUNCTION("""COMPUTED_VALUE"""),"LISTICLE")</f>
        <v>LISTICLE</v>
      </c>
      <c r="E176" s="7" t="str">
        <f>IFERROR(__xludf.DUMMYFUNCTION("""COMPUTED_VALUE"""),"CORPORATE")</f>
        <v>CORPORATE</v>
      </c>
      <c r="F176" s="7" t="str">
        <f>IFERROR(__xludf.DUMMYFUNCTION("""COMPUTED_VALUE"""),"Listicle")</f>
        <v>Listicle</v>
      </c>
      <c r="G176" s="7" t="b">
        <f>IFERROR(__xludf.DUMMYFUNCTION("""COMPUTED_VALUE"""),FALSE)</f>
        <v>0</v>
      </c>
      <c r="H176" s="7"/>
      <c r="I176" s="7">
        <f>IFERROR(__xludf.DUMMYFUNCTION("""COMPUTED_VALUE"""),4.0)</f>
        <v>4</v>
      </c>
      <c r="J176" s="7">
        <f>IFERROR(__xludf.DUMMYFUNCTION("""COMPUTED_VALUE"""),0.0)</f>
        <v>0</v>
      </c>
      <c r="K176" s="7">
        <f>IFERROR(__xludf.DUMMYFUNCTION("""COMPUTED_VALUE"""),0.0)</f>
        <v>0</v>
      </c>
    </row>
    <row r="177" ht="15.75" customHeight="1">
      <c r="A177" s="6" t="str">
        <f>IFERROR(__xludf.DUMMYFUNCTION("""COMPUTED_VALUE"""),"https://aivy.com.au/resources/best-ai-marketing-tools-australia/")</f>
        <v>https://aivy.com.au/resources/best-ai-marketing-tools-australia/</v>
      </c>
      <c r="B177" s="7" t="str">
        <f>IFERROR(__xludf.DUMMYFUNCTION("""COMPUTED_VALUE"""),"Best AI Tools for Marketing in Australia (2026 Guide)")</f>
        <v>Best AI Tools for Marketing in Australia (2026 Guide)</v>
      </c>
      <c r="C177" s="6" t="str">
        <f>IFERROR(__xludf.DUMMYFUNCTION("""COMPUTED_VALUE"""),"aivy.com.au")</f>
        <v>aivy.com.au</v>
      </c>
      <c r="D177" s="7" t="str">
        <f>IFERROR(__xludf.DUMMYFUNCTION("""COMPUTED_VALUE"""),"LISTICLE")</f>
        <v>LISTICLE</v>
      </c>
      <c r="E177" s="7" t="str">
        <f>IFERROR(__xludf.DUMMYFUNCTION("""COMPUTED_VALUE"""),"CORPORATE")</f>
        <v>CORPORATE</v>
      </c>
      <c r="F177" s="7" t="str">
        <f>IFERROR(__xludf.DUMMYFUNCTION("""COMPUTED_VALUE"""),"Listicle")</f>
        <v>Listicle</v>
      </c>
      <c r="G177" s="7" t="b">
        <f>IFERROR(__xludf.DUMMYFUNCTION("""COMPUTED_VALUE"""),FALSE)</f>
        <v>0</v>
      </c>
      <c r="H177" s="7"/>
      <c r="I177" s="7">
        <f>IFERROR(__xludf.DUMMYFUNCTION("""COMPUTED_VALUE"""),3.0)</f>
        <v>3</v>
      </c>
      <c r="J177" s="7">
        <f>IFERROR(__xludf.DUMMYFUNCTION("""COMPUTED_VALUE"""),0.0)</f>
        <v>0</v>
      </c>
      <c r="K177" s="7">
        <f>IFERROR(__xludf.DUMMYFUNCTION("""COMPUTED_VALUE"""),0.0)</f>
        <v>0</v>
      </c>
    </row>
    <row r="178" ht="15.75" customHeight="1">
      <c r="A178" s="6" t="str">
        <f>IFERROR(__xludf.DUMMYFUNCTION("""COMPUTED_VALUE"""),"https://aivy.com.au/resources/best-ai-search-engine-optimisation-tools-australia/")</f>
        <v>https://aivy.com.au/resources/best-ai-search-engine-optimisation-tools-australia/</v>
      </c>
      <c r="B178" s="7" t="str">
        <f>IFERROR(__xludf.DUMMYFUNCTION("""COMPUTED_VALUE"""),"Best AI search engine optimisation tools (Australia 2026)")</f>
        <v>Best AI search engine optimisation tools (Australia 2026)</v>
      </c>
      <c r="C178" s="6" t="str">
        <f>IFERROR(__xludf.DUMMYFUNCTION("""COMPUTED_VALUE"""),"aivy.com.au")</f>
        <v>aivy.com.au</v>
      </c>
      <c r="D178" s="7" t="str">
        <f>IFERROR(__xludf.DUMMYFUNCTION("""COMPUTED_VALUE"""),"LISTICLE")</f>
        <v>LISTICLE</v>
      </c>
      <c r="E178" s="7" t="str">
        <f>IFERROR(__xludf.DUMMYFUNCTION("""COMPUTED_VALUE"""),"CORPORATE")</f>
        <v>CORPORATE</v>
      </c>
      <c r="F178" s="7" t="str">
        <f>IFERROR(__xludf.DUMMYFUNCTION("""COMPUTED_VALUE"""),"Listicle")</f>
        <v>Listicle</v>
      </c>
      <c r="G178" s="7" t="b">
        <f>IFERROR(__xludf.DUMMYFUNCTION("""COMPUTED_VALUE"""),FALSE)</f>
        <v>0</v>
      </c>
      <c r="H178" s="7" t="str">
        <f>IFERROR(__xludf.DUMMYFUNCTION("""COMPUTED_VALUE"""),"Measured")</f>
        <v>Measured</v>
      </c>
      <c r="I178" s="7">
        <f>IFERROR(__xludf.DUMMYFUNCTION("""COMPUTED_VALUE"""),3.0)</f>
        <v>3</v>
      </c>
      <c r="J178" s="7">
        <f>IFERROR(__xludf.DUMMYFUNCTION("""COMPUTED_VALUE"""),0.0)</f>
        <v>0</v>
      </c>
      <c r="K178" s="7">
        <f>IFERROR(__xludf.DUMMYFUNCTION("""COMPUTED_VALUE"""),0.0)</f>
        <v>0</v>
      </c>
    </row>
    <row r="179" ht="15.75" customHeight="1">
      <c r="A179" s="6" t="str">
        <f>IFERROR(__xludf.DUMMYFUNCTION("""COMPUTED_VALUE"""),"https://www.bandt.com.au/bts-ones-to-watch-creative-agencies-2/")</f>
        <v>https://www.bandt.com.au/bts-ones-to-watch-creative-agencies-2/</v>
      </c>
      <c r="B179" s="7" t="str">
        <f>IFERROR(__xludf.DUMMYFUNCTION("""COMPUTED_VALUE"""),"B&amp;amp;T's Ones To Watch: Creative Agencies - B&amp;amp;T")</f>
        <v>B&amp;amp;T's Ones To Watch: Creative Agencies - B&amp;amp;T</v>
      </c>
      <c r="C179" s="6" t="str">
        <f>IFERROR(__xludf.DUMMYFUNCTION("""COMPUTED_VALUE"""),"bandt.com.au")</f>
        <v>bandt.com.au</v>
      </c>
      <c r="D179" s="7" t="str">
        <f>IFERROR(__xludf.DUMMYFUNCTION("""COMPUTED_VALUE"""),"LISTICLE")</f>
        <v>LISTICLE</v>
      </c>
      <c r="E179" s="7" t="str">
        <f>IFERROR(__xludf.DUMMYFUNCTION("""COMPUTED_VALUE"""),"EDITORIAL")</f>
        <v>EDITORIAL</v>
      </c>
      <c r="F179" s="7" t="str">
        <f>IFERROR(__xludf.DUMMYFUNCTION("""COMPUTED_VALUE"""),"Listicle")</f>
        <v>Listicle</v>
      </c>
      <c r="G179" s="7" t="b">
        <f>IFERROR(__xludf.DUMMYFUNCTION("""COMPUTED_VALUE"""),FALSE)</f>
        <v>0</v>
      </c>
      <c r="H179" s="7" t="str">
        <f>IFERROR(__xludf.DUMMYFUNCTION("""COMPUTED_VALUE"""),"WPP, Clemenger BBDO, Impressive, The Monkeys, Deloitte Digital, Deloitte")</f>
        <v>WPP, Clemenger BBDO, Impressive, The Monkeys, Deloitte Digital, Deloitte</v>
      </c>
      <c r="I179" s="7">
        <f>IFERROR(__xludf.DUMMYFUNCTION("""COMPUTED_VALUE"""),3.0)</f>
        <v>3</v>
      </c>
      <c r="J179" s="7">
        <f>IFERROR(__xludf.DUMMYFUNCTION("""COMPUTED_VALUE"""),0.0)</f>
        <v>0</v>
      </c>
      <c r="K179" s="7">
        <f>IFERROR(__xludf.DUMMYFUNCTION("""COMPUTED_VALUE"""),0.0)</f>
        <v>0</v>
      </c>
    </row>
    <row r="180" ht="15.75" customHeight="1">
      <c r="A180" s="6" t="str">
        <f>IFERROR(__xludf.DUMMYFUNCTION("""COMPUTED_VALUE"""),"https://www.bushnote.com/articles/best-digital-marketing-agency-australia-2025")</f>
        <v>https://www.bushnote.com/articles/best-digital-marketing-agency-australia-2025</v>
      </c>
      <c r="B180" s="7" t="str">
        <f>IFERROR(__xludf.DUMMYFUNCTION("""COMPUTED_VALUE"""),"Top 12 Digital Agencies Australia 2025: SEO, PPC, Social")</f>
        <v>Top 12 Digital Agencies Australia 2025: SEO, PPC, Social</v>
      </c>
      <c r="C180" s="6" t="str">
        <f>IFERROR(__xludf.DUMMYFUNCTION("""COMPUTED_VALUE"""),"bushnote.com")</f>
        <v>bushnote.com</v>
      </c>
      <c r="D180" s="7" t="str">
        <f>IFERROR(__xludf.DUMMYFUNCTION("""COMPUTED_VALUE"""),"LISTICLE")</f>
        <v>LISTICLE</v>
      </c>
      <c r="E180" s="7" t="str">
        <f>IFERROR(__xludf.DUMMYFUNCTION("""COMPUTED_VALUE"""),"COMPETITOR")</f>
        <v>COMPETITOR</v>
      </c>
      <c r="F180" s="7" t="str">
        <f>IFERROR(__xludf.DUMMYFUNCTION("""COMPUTED_VALUE"""),"Listicle")</f>
        <v>Listicle</v>
      </c>
      <c r="G180" s="7" t="b">
        <f>IFERROR(__xludf.DUMMYFUNCTION("""COMPUTED_VALUE"""),FALSE)</f>
        <v>0</v>
      </c>
      <c r="H180" s="7" t="str">
        <f>IFERROR(__xludf.DUMMYFUNCTION("""COMPUTED_VALUE"""),"Bushnote, Online Marketing Gurus, Omnicom Media Group, Sparro, Reload Media, King Kong, Alpha Digital, Rocket Agency, Impressive, Webprofits")</f>
        <v>Bushnote, Online Marketing Gurus, Omnicom Media Group, Sparro, Reload Media, King Kong, Alpha Digital, Rocket Agency, Impressive, Webprofits</v>
      </c>
      <c r="I180" s="7">
        <f>IFERROR(__xludf.DUMMYFUNCTION("""COMPUTED_VALUE"""),3.0)</f>
        <v>3</v>
      </c>
      <c r="J180" s="7">
        <f>IFERROR(__xludf.DUMMYFUNCTION("""COMPUTED_VALUE"""),0.0)</f>
        <v>0</v>
      </c>
      <c r="K180" s="7">
        <f>IFERROR(__xludf.DUMMYFUNCTION("""COMPUTED_VALUE"""),0.67)</f>
        <v>0.67</v>
      </c>
    </row>
    <row r="181" ht="15.75" customHeight="1">
      <c r="A181" s="6" t="str">
        <f>IFERROR(__xludf.DUMMYFUNCTION("""COMPUTED_VALUE"""),"https://clickclickbangbang.com.au/best-facebook-ads-agency/")</f>
        <v>https://clickclickbangbang.com.au/best-facebook-ads-agency/</v>
      </c>
      <c r="B181" s="7" t="str">
        <f>IFERROR(__xludf.DUMMYFUNCTION("""COMPUTED_VALUE"""),"7 Best Facebook Ads Agency Picks for Australian Businesses in 2026")</f>
        <v>7 Best Facebook Ads Agency Picks for Australian Businesses in 2026</v>
      </c>
      <c r="C181" s="6" t="str">
        <f>IFERROR(__xludf.DUMMYFUNCTION("""COMPUTED_VALUE"""),"clickclickbangbang.com.au")</f>
        <v>clickclickbangbang.com.au</v>
      </c>
      <c r="D181" s="7" t="str">
        <f>IFERROR(__xludf.DUMMYFUNCTION("""COMPUTED_VALUE"""),"LISTICLE")</f>
        <v>LISTICLE</v>
      </c>
      <c r="E181" s="7" t="str">
        <f>IFERROR(__xludf.DUMMYFUNCTION("""COMPUTED_VALUE"""),"CORPORATE")</f>
        <v>CORPORATE</v>
      </c>
      <c r="F181" s="7" t="str">
        <f>IFERROR(__xludf.DUMMYFUNCTION("""COMPUTED_VALUE"""),"Listicle")</f>
        <v>Listicle</v>
      </c>
      <c r="G181" s="7" t="b">
        <f>IFERROR(__xludf.DUMMYFUNCTION("""COMPUTED_VALUE"""),FALSE)</f>
        <v>0</v>
      </c>
      <c r="H181" s="7" t="str">
        <f>IFERROR(__xludf.DUMMYFUNCTION("""COMPUTED_VALUE"""),"Megaphone, Online Marketing Gurus, Deloitte, Omnicom Media Group, Rocket Agency, Reload Media, King Kong")</f>
        <v>Megaphone, Online Marketing Gurus, Deloitte, Omnicom Media Group, Rocket Agency, Reload Media, King Kong</v>
      </c>
      <c r="I181" s="7">
        <f>IFERROR(__xludf.DUMMYFUNCTION("""COMPUTED_VALUE"""),3.0)</f>
        <v>3</v>
      </c>
      <c r="J181" s="7">
        <f>IFERROR(__xludf.DUMMYFUNCTION("""COMPUTED_VALUE"""),0.0)</f>
        <v>0</v>
      </c>
      <c r="K181" s="7">
        <f>IFERROR(__xludf.DUMMYFUNCTION("""COMPUTED_VALUE"""),1.0)</f>
        <v>1</v>
      </c>
    </row>
    <row r="182" ht="15.75" customHeight="1">
      <c r="A182" s="6" t="str">
        <f>IFERROR(__xludf.DUMMYFUNCTION("""COMPUTED_VALUE"""),"https://clickclickbangbang.com.au/ppc-management-companies/")</f>
        <v>https://clickclickbangbang.com.au/ppc-management-companies/</v>
      </c>
      <c r="B182" s="7" t="str">
        <f>IFERROR(__xludf.DUMMYFUNCTION("""COMPUTED_VALUE"""),"Top 12 PPC Management Companies in Australia for 2025")</f>
        <v>Top 12 PPC Management Companies in Australia for 2025</v>
      </c>
      <c r="C182" s="6" t="str">
        <f>IFERROR(__xludf.DUMMYFUNCTION("""COMPUTED_VALUE"""),"clickclickbangbang.com.au")</f>
        <v>clickclickbangbang.com.au</v>
      </c>
      <c r="D182" s="7" t="str">
        <f>IFERROR(__xludf.DUMMYFUNCTION("""COMPUTED_VALUE"""),"LISTICLE")</f>
        <v>LISTICLE</v>
      </c>
      <c r="E182" s="7" t="str">
        <f>IFERROR(__xludf.DUMMYFUNCTION("""COMPUTED_VALUE"""),"CORPORATE")</f>
        <v>CORPORATE</v>
      </c>
      <c r="F182" s="7" t="str">
        <f>IFERROR(__xludf.DUMMYFUNCTION("""COMPUTED_VALUE"""),"Listicle")</f>
        <v>Listicle</v>
      </c>
      <c r="G182" s="7" t="b">
        <f>IFERROR(__xludf.DUMMYFUNCTION("""COMPUTED_VALUE"""),FALSE)</f>
        <v>0</v>
      </c>
      <c r="H182" s="7" t="str">
        <f>IFERROR(__xludf.DUMMYFUNCTION("""COMPUTED_VALUE"""),"Sparro, Brainlabs, WebSavvy, Reload Media, Online Marketing Gurus, Omnicom Media Group, Impressive, Rocket Agency")</f>
        <v>Sparro, Brainlabs, WebSavvy, Reload Media, Online Marketing Gurus, Omnicom Media Group, Impressive, Rocket Agency</v>
      </c>
      <c r="I182" s="7">
        <f>IFERROR(__xludf.DUMMYFUNCTION("""COMPUTED_VALUE"""),3.0)</f>
        <v>3</v>
      </c>
      <c r="J182" s="7">
        <f>IFERROR(__xludf.DUMMYFUNCTION("""COMPUTED_VALUE"""),0.0)</f>
        <v>0</v>
      </c>
      <c r="K182" s="7">
        <f>IFERROR(__xludf.DUMMYFUNCTION("""COMPUTED_VALUE"""),0.33)</f>
        <v>0.33</v>
      </c>
    </row>
    <row r="183" ht="15.75" customHeight="1">
      <c r="A183" s="6" t="str">
        <f>IFERROR(__xludf.DUMMYFUNCTION("""COMPUTED_VALUE"""),"https://www.designrush.com/agency/digital-agencies/au")</f>
        <v>https://www.designrush.com/agency/digital-agencies/au</v>
      </c>
      <c r="B183" s="7" t="str">
        <f>IFERROR(__xludf.DUMMYFUNCTION("""COMPUTED_VALUE"""),"Top Digital Agencies in Australia | 2026")</f>
        <v>Top Digital Agencies in Australia | 2026</v>
      </c>
      <c r="C183" s="6" t="str">
        <f>IFERROR(__xludf.DUMMYFUNCTION("""COMPUTED_VALUE"""),"designrush.com")</f>
        <v>designrush.com</v>
      </c>
      <c r="D183" s="7" t="str">
        <f>IFERROR(__xludf.DUMMYFUNCTION("""COMPUTED_VALUE"""),"LISTICLE")</f>
        <v>LISTICLE</v>
      </c>
      <c r="E183" s="7" t="str">
        <f>IFERROR(__xludf.DUMMYFUNCTION("""COMPUTED_VALUE"""),"CORPORATE")</f>
        <v>CORPORATE</v>
      </c>
      <c r="F183" s="7" t="str">
        <f>IFERROR(__xludf.DUMMYFUNCTION("""COMPUTED_VALUE"""),"Listicle")</f>
        <v>Listicle</v>
      </c>
      <c r="G183" s="7" t="b">
        <f>IFERROR(__xludf.DUMMYFUNCTION("""COMPUTED_VALUE"""),FALSE)</f>
        <v>0</v>
      </c>
      <c r="H183" s="7" t="str">
        <f>IFERROR(__xludf.DUMMYFUNCTION("""COMPUTED_VALUE"""),"Impressive, Digital Nomads HQ, 80/20 Digital, Luminary, Edge Marketing")</f>
        <v>Impressive, Digital Nomads HQ, 80/20 Digital, Luminary, Edge Marketing</v>
      </c>
      <c r="I183" s="7">
        <f>IFERROR(__xludf.DUMMYFUNCTION("""COMPUTED_VALUE"""),3.0)</f>
        <v>3</v>
      </c>
      <c r="J183" s="7">
        <f>IFERROR(__xludf.DUMMYFUNCTION("""COMPUTED_VALUE"""),0.0)</f>
        <v>0</v>
      </c>
      <c r="K183" s="7">
        <f>IFERROR(__xludf.DUMMYFUNCTION("""COMPUTED_VALUE"""),0.0)</f>
        <v>0</v>
      </c>
    </row>
    <row r="184" ht="15.75" customHeight="1">
      <c r="A184" s="6" t="str">
        <f>IFERROR(__xludf.DUMMYFUNCTION("""COMPUTED_VALUE"""),"https://www.designrush.com/agency/paid-media-pay-per-click/au/melbourne")</f>
        <v>https://www.designrush.com/agency/paid-media-pay-per-click/au/melbourne</v>
      </c>
      <c r="B184" s="7" t="str">
        <f>IFERROR(__xludf.DUMMYFUNCTION("""COMPUTED_VALUE"""),"Top PPC Agencies in Melbourne | 2026")</f>
        <v>Top PPC Agencies in Melbourne | 2026</v>
      </c>
      <c r="C184" s="6" t="str">
        <f>IFERROR(__xludf.DUMMYFUNCTION("""COMPUTED_VALUE"""),"designrush.com")</f>
        <v>designrush.com</v>
      </c>
      <c r="D184" s="7" t="str">
        <f>IFERROR(__xludf.DUMMYFUNCTION("""COMPUTED_VALUE"""),"LISTICLE")</f>
        <v>LISTICLE</v>
      </c>
      <c r="E184" s="7" t="str">
        <f>IFERROR(__xludf.DUMMYFUNCTION("""COMPUTED_VALUE"""),"CORPORATE")</f>
        <v>CORPORATE</v>
      </c>
      <c r="F184" s="7" t="str">
        <f>IFERROR(__xludf.DUMMYFUNCTION("""COMPUTED_VALUE"""),"Listicle")</f>
        <v>Listicle</v>
      </c>
      <c r="G184" s="7" t="b">
        <f>IFERROR(__xludf.DUMMYFUNCTION("""COMPUTED_VALUE"""),FALSE)</f>
        <v>0</v>
      </c>
      <c r="H184" s="7" t="str">
        <f>IFERROR(__xludf.DUMMYFUNCTION("""COMPUTED_VALUE"""),"eMarket Experts, First Page, Supple Digital, Online Marketing Gurus, SIXGUN, Predicta Digital, First Page Australia, Impressive")</f>
        <v>eMarket Experts, First Page, Supple Digital, Online Marketing Gurus, SIXGUN, Predicta Digital, First Page Australia, Impressive</v>
      </c>
      <c r="I184" s="7">
        <f>IFERROR(__xludf.DUMMYFUNCTION("""COMPUTED_VALUE"""),3.0)</f>
        <v>3</v>
      </c>
      <c r="J184" s="7">
        <f>IFERROR(__xludf.DUMMYFUNCTION("""COMPUTED_VALUE"""),0.0)</f>
        <v>0</v>
      </c>
      <c r="K184" s="7">
        <f>IFERROR(__xludf.DUMMYFUNCTION("""COMPUTED_VALUE"""),0.0)</f>
        <v>0</v>
      </c>
    </row>
    <row r="185" ht="15.75" customHeight="1">
      <c r="A185" s="6" t="str">
        <f>IFERROR(__xludf.DUMMYFUNCTION("""COMPUTED_VALUE"""),"https://edisonai.au/insights/top-ai-agencies-in-australia")</f>
        <v>https://edisonai.au/insights/top-ai-agencies-in-australia</v>
      </c>
      <c r="B185" s="7" t="str">
        <f>IFERROR(__xludf.DUMMYFUNCTION("""COMPUTED_VALUE"""),"Top AI Agencies in Australia (2026 Guide) \| Edison AI")</f>
        <v>Top AI Agencies in Australia (2026 Guide) \| Edison AI</v>
      </c>
      <c r="C185" s="6" t="str">
        <f>IFERROR(__xludf.DUMMYFUNCTION("""COMPUTED_VALUE"""),"edisonai.au")</f>
        <v>edisonai.au</v>
      </c>
      <c r="D185" s="7" t="str">
        <f>IFERROR(__xludf.DUMMYFUNCTION("""COMPUTED_VALUE"""),"LISTICLE")</f>
        <v>LISTICLE</v>
      </c>
      <c r="E185" s="7" t="str">
        <f>IFERROR(__xludf.DUMMYFUNCTION("""COMPUTED_VALUE"""),"CORPORATE")</f>
        <v>CORPORATE</v>
      </c>
      <c r="F185" s="7" t="str">
        <f>IFERROR(__xludf.DUMMYFUNCTION("""COMPUTED_VALUE"""),"Listicle")</f>
        <v>Listicle</v>
      </c>
      <c r="G185" s="7" t="b">
        <f>IFERROR(__xludf.DUMMYFUNCTION("""COMPUTED_VALUE"""),FALSE)</f>
        <v>0</v>
      </c>
      <c r="H185" s="7" t="str">
        <f>IFERROR(__xludf.DUMMYFUNCTION("""COMPUTED_VALUE"""),"Edison AI, Impressive, Measured")</f>
        <v>Edison AI, Impressive, Measured</v>
      </c>
      <c r="I185" s="7">
        <f>IFERROR(__xludf.DUMMYFUNCTION("""COMPUTED_VALUE"""),3.0)</f>
        <v>3</v>
      </c>
      <c r="J185" s="7">
        <f>IFERROR(__xludf.DUMMYFUNCTION("""COMPUTED_VALUE"""),0.0)</f>
        <v>0</v>
      </c>
      <c r="K185" s="7">
        <f>IFERROR(__xludf.DUMMYFUNCTION("""COMPUTED_VALUE"""),0.0)</f>
        <v>0</v>
      </c>
    </row>
    <row r="186" ht="15.75" customHeight="1">
      <c r="A186" s="6" t="str">
        <f>IFERROR(__xludf.DUMMYFUNCTION("""COMPUTED_VALUE"""),"https://enterprisemonkey.com.au/top-10-ai-consulting-firms-melbourne-2026-complete-guide/")</f>
        <v>https://enterprisemonkey.com.au/top-10-ai-consulting-firms-melbourne-2026-complete-guide/</v>
      </c>
      <c r="B186" s="7" t="str">
        <f>IFERROR(__xludf.DUMMYFUNCTION("""COMPUTED_VALUE"""),"Top 10 AI Consulting Firms in Melbourne (2026): The Complete Guide | Web, App &amp;amp; Software Development Company in Melbourne &amp;amp; Geelong.")</f>
        <v>Top 10 AI Consulting Firms in Melbourne (2026): The Complete Guide | Web, App &amp;amp; Software Development Company in Melbourne &amp;amp; Geelong.</v>
      </c>
      <c r="C186" s="6" t="str">
        <f>IFERROR(__xludf.DUMMYFUNCTION("""COMPUTED_VALUE"""),"enterprisemonkey.com.au")</f>
        <v>enterprisemonkey.com.au</v>
      </c>
      <c r="D186" s="7" t="str">
        <f>IFERROR(__xludf.DUMMYFUNCTION("""COMPUTED_VALUE"""),"LISTICLE")</f>
        <v>LISTICLE</v>
      </c>
      <c r="E186" s="7" t="str">
        <f>IFERROR(__xludf.DUMMYFUNCTION("""COMPUTED_VALUE"""),"CORPORATE")</f>
        <v>CORPORATE</v>
      </c>
      <c r="F186" s="7" t="str">
        <f>IFERROR(__xludf.DUMMYFUNCTION("""COMPUTED_VALUE"""),"Listicle")</f>
        <v>Listicle</v>
      </c>
      <c r="G186" s="7" t="b">
        <f>IFERROR(__xludf.DUMMYFUNCTION("""COMPUTED_VALUE"""),FALSE)</f>
        <v>0</v>
      </c>
      <c r="H186" s="7" t="str">
        <f>IFERROR(__xludf.DUMMYFUNCTION("""COMPUTED_VALUE"""),"Deloitte, Team 400, Impressive, Measured")</f>
        <v>Deloitte, Team 400, Impressive, Measured</v>
      </c>
      <c r="I186" s="7">
        <f>IFERROR(__xludf.DUMMYFUNCTION("""COMPUTED_VALUE"""),3.0)</f>
        <v>3</v>
      </c>
      <c r="J186" s="7">
        <f>IFERROR(__xludf.DUMMYFUNCTION("""COMPUTED_VALUE"""),0.0)</f>
        <v>0</v>
      </c>
      <c r="K186" s="7">
        <f>IFERROR(__xludf.DUMMYFUNCTION("""COMPUTED_VALUE"""),1.67)</f>
        <v>1.67</v>
      </c>
    </row>
    <row r="187" ht="15.75" customHeight="1">
      <c r="A187" s="6" t="str">
        <f>IFERROR(__xludf.DUMMYFUNCTION("""COMPUTED_VALUE"""),"https://gaper.io/best-aeo-agencies")</f>
        <v>https://gaper.io/best-aeo-agencies</v>
      </c>
      <c r="B187" s="7" t="str">
        <f>IFERROR(__xludf.DUMMYFUNCTION("""COMPUTED_VALUE"""),"Best AEO Agencies in 2026: Answer Engine Optimization Shortlist · Gaper")</f>
        <v>Best AEO Agencies in 2026: Answer Engine Optimization Shortlist · Gaper</v>
      </c>
      <c r="C187" s="6" t="str">
        <f>IFERROR(__xludf.DUMMYFUNCTION("""COMPUTED_VALUE"""),"gaper.io")</f>
        <v>gaper.io</v>
      </c>
      <c r="D187" s="7" t="str">
        <f>IFERROR(__xludf.DUMMYFUNCTION("""COMPUTED_VALUE"""),"LISTICLE")</f>
        <v>LISTICLE</v>
      </c>
      <c r="E187" s="7" t="str">
        <f>IFERROR(__xludf.DUMMYFUNCTION("""COMPUTED_VALUE"""),"CORPORATE")</f>
        <v>CORPORATE</v>
      </c>
      <c r="F187" s="7" t="str">
        <f>IFERROR(__xludf.DUMMYFUNCTION("""COMPUTED_VALUE"""),"Listicle")</f>
        <v>Listicle</v>
      </c>
      <c r="G187" s="7" t="b">
        <f>IFERROR(__xludf.DUMMYFUNCTION("""COMPUTED_VALUE"""),FALSE)</f>
        <v>0</v>
      </c>
      <c r="H187" s="7"/>
      <c r="I187" s="7">
        <f>IFERROR(__xludf.DUMMYFUNCTION("""COMPUTED_VALUE"""),3.0)</f>
        <v>3</v>
      </c>
      <c r="J187" s="7">
        <f>IFERROR(__xludf.DUMMYFUNCTION("""COMPUTED_VALUE"""),0.0)</f>
        <v>0</v>
      </c>
      <c r="K187" s="7">
        <f>IFERROR(__xludf.DUMMYFUNCTION("""COMPUTED_VALUE"""),0.0)</f>
        <v>0</v>
      </c>
    </row>
    <row r="188" ht="15.75" customHeight="1">
      <c r="A188" s="6" t="str">
        <f>IFERROR(__xludf.DUMMYFUNCTION("""COMPUTED_VALUE"""),"https://www.hashmeta.ai/zh/blog/top-10-ai-agencies-in-australia-expert-guide-to-choosing-your-ai-marketing-partner")</f>
        <v>https://www.hashmeta.ai/zh/blog/top-10-ai-agencies-in-australia-expert-guide-to-choosing-your-ai-marketing-partner</v>
      </c>
      <c r="B188" s="7" t="str">
        <f>IFERROR(__xludf.DUMMYFUNCTION("""COMPUTED_VALUE"""),"Top 10 AI Agencies in Australia: Expert Guide to Choosing Your AI Marketing Partner | Hashmeta AI Marketing Blog")</f>
        <v>Top 10 AI Agencies in Australia: Expert Guide to Choosing Your AI Marketing Partner | Hashmeta AI Marketing Blog</v>
      </c>
      <c r="C188" s="6" t="str">
        <f>IFERROR(__xludf.DUMMYFUNCTION("""COMPUTED_VALUE"""),"hashmeta.ai")</f>
        <v>hashmeta.ai</v>
      </c>
      <c r="D188" s="7" t="str">
        <f>IFERROR(__xludf.DUMMYFUNCTION("""COMPUTED_VALUE"""),"LISTICLE")</f>
        <v>LISTICLE</v>
      </c>
      <c r="E188" s="7" t="str">
        <f>IFERROR(__xludf.DUMMYFUNCTION("""COMPUTED_VALUE"""),"CORPORATE")</f>
        <v>CORPORATE</v>
      </c>
      <c r="F188" s="7" t="str">
        <f>IFERROR(__xludf.DUMMYFUNCTION("""COMPUTED_VALUE"""),"Listicle")</f>
        <v>Listicle</v>
      </c>
      <c r="G188" s="7" t="b">
        <f>IFERROR(__xludf.DUMMYFUNCTION("""COMPUTED_VALUE"""),FALSE)</f>
        <v>0</v>
      </c>
      <c r="H188" s="7" t="str">
        <f>IFERROR(__xludf.DUMMYFUNCTION("""COMPUTED_VALUE"""),"Emote Digital, Impressive")</f>
        <v>Emote Digital, Impressive</v>
      </c>
      <c r="I188" s="7">
        <f>IFERROR(__xludf.DUMMYFUNCTION("""COMPUTED_VALUE"""),3.0)</f>
        <v>3</v>
      </c>
      <c r="J188" s="7">
        <f>IFERROR(__xludf.DUMMYFUNCTION("""COMPUTED_VALUE"""),0.0)</f>
        <v>0</v>
      </c>
      <c r="K188" s="7">
        <f>IFERROR(__xludf.DUMMYFUNCTION("""COMPUTED_VALUE"""),0.0)</f>
        <v>0</v>
      </c>
    </row>
    <row r="189" ht="15.75" customHeight="1">
      <c r="A189" s="6" t="str">
        <f>IFERROR(__xludf.DUMMYFUNCTION("""COMPUTED_VALUE"""),"https://inbeat.agency/blog/top-ppc-agencies-sydney")</f>
        <v>https://inbeat.agency/blog/top-ppc-agencies-sydney</v>
      </c>
      <c r="B189" s="7" t="str">
        <f>IFERROR(__xludf.DUMMYFUNCTION("""COMPUTED_VALUE"""),"Top 31 PPC Agencies in Sydney (Tried and Tested in January 2025) - inBeat Agency")</f>
        <v>Top 31 PPC Agencies in Sydney (Tried and Tested in January 2025) - inBeat Agency</v>
      </c>
      <c r="C189" s="7" t="str">
        <f>IFERROR(__xludf.DUMMYFUNCTION("""COMPUTED_VALUE"""),"inbeat.agency")</f>
        <v>inbeat.agency</v>
      </c>
      <c r="D189" s="7" t="str">
        <f>IFERROR(__xludf.DUMMYFUNCTION("""COMPUTED_VALUE"""),"LISTICLE")</f>
        <v>LISTICLE</v>
      </c>
      <c r="E189" s="7" t="str">
        <f>IFERROR(__xludf.DUMMYFUNCTION("""COMPUTED_VALUE"""),"CORPORATE")</f>
        <v>CORPORATE</v>
      </c>
      <c r="F189" s="7" t="str">
        <f>IFERROR(__xludf.DUMMYFUNCTION("""COMPUTED_VALUE"""),"Listicle")</f>
        <v>Listicle</v>
      </c>
      <c r="G189" s="7" t="b">
        <f>IFERROR(__xludf.DUMMYFUNCTION("""COMPUTED_VALUE"""),FALSE)</f>
        <v>0</v>
      </c>
      <c r="H189" s="7" t="str">
        <f>IFERROR(__xludf.DUMMYFUNCTION("""COMPUTED_VALUE"""),"Marketix Digital, Metric Labs, Online Marketing Gurus, Rocket Agency, King Kong, 23 Digital, Jaywing")</f>
        <v>Marketix Digital, Metric Labs, Online Marketing Gurus, Rocket Agency, King Kong, 23 Digital, Jaywing</v>
      </c>
      <c r="I189" s="7">
        <f>IFERROR(__xludf.DUMMYFUNCTION("""COMPUTED_VALUE"""),3.0)</f>
        <v>3</v>
      </c>
      <c r="J189" s="7">
        <f>IFERROR(__xludf.DUMMYFUNCTION("""COMPUTED_VALUE"""),0.0)</f>
        <v>0</v>
      </c>
      <c r="K189" s="7">
        <f>IFERROR(__xludf.DUMMYFUNCTION("""COMPUTED_VALUE"""),0.0)</f>
        <v>0</v>
      </c>
    </row>
    <row r="190" ht="15.75" customHeight="1">
      <c r="A190" s="6" t="str">
        <f>IFERROR(__xludf.DUMMYFUNCTION("""COMPUTED_VALUE"""),"https://www.miniloop.ai/blog/best-geo-agencies")</f>
        <v>https://www.miniloop.ai/blog/best-geo-agencies</v>
      </c>
      <c r="B190" s="7" t="str">
        <f>IFERROR(__xludf.DUMMYFUNCTION("""COMPUTED_VALUE"""),"Best GEO Agencies 2026: Generative Engine Optimization Companies")</f>
        <v>Best GEO Agencies 2026: Generative Engine Optimization Companies</v>
      </c>
      <c r="C190" s="6" t="str">
        <f>IFERROR(__xludf.DUMMYFUNCTION("""COMPUTED_VALUE"""),"miniloop.ai")</f>
        <v>miniloop.ai</v>
      </c>
      <c r="D190" s="7" t="str">
        <f>IFERROR(__xludf.DUMMYFUNCTION("""COMPUTED_VALUE"""),"LISTICLE")</f>
        <v>LISTICLE</v>
      </c>
      <c r="E190" s="7" t="str">
        <f>IFERROR(__xludf.DUMMYFUNCTION("""COMPUTED_VALUE"""),"CORPORATE")</f>
        <v>CORPORATE</v>
      </c>
      <c r="F190" s="7" t="str">
        <f>IFERROR(__xludf.DUMMYFUNCTION("""COMPUTED_VALUE"""),"Listicle")</f>
        <v>Listicle</v>
      </c>
      <c r="G190" s="7" t="b">
        <f>IFERROR(__xludf.DUMMYFUNCTION("""COMPUTED_VALUE"""),FALSE)</f>
        <v>0</v>
      </c>
      <c r="H190" s="7" t="str">
        <f>IFERROR(__xludf.DUMMYFUNCTION("""COMPUTED_VALUE"""),"Impressive, Intero Digital")</f>
        <v>Impressive, Intero Digital</v>
      </c>
      <c r="I190" s="7">
        <f>IFERROR(__xludf.DUMMYFUNCTION("""COMPUTED_VALUE"""),3.0)</f>
        <v>3</v>
      </c>
      <c r="J190" s="7">
        <f>IFERROR(__xludf.DUMMYFUNCTION("""COMPUTED_VALUE"""),0.0)</f>
        <v>0</v>
      </c>
      <c r="K190" s="7">
        <f>IFERROR(__xludf.DUMMYFUNCTION("""COMPUTED_VALUE"""),0.0)</f>
        <v>0</v>
      </c>
    </row>
    <row r="191" ht="15.75" customHeight="1">
      <c r="A191" s="6" t="str">
        <f>IFERROR(__xludf.DUMMYFUNCTION("""COMPUTED_VALUE"""),"https://nettyawards.com/a-look-at-australias-top-digital-agencies-in-2025/")</f>
        <v>https://nettyawards.com/a-look-at-australias-top-digital-agencies-in-2025/</v>
      </c>
      <c r="B191" s="7" t="str">
        <f>IFERROR(__xludf.DUMMYFUNCTION("""COMPUTED_VALUE"""),"A Look at Australia’s Top Digital Agencies in 2025 - Netty Awards")</f>
        <v>A Look at Australia’s Top Digital Agencies in 2025 - Netty Awards</v>
      </c>
      <c r="C191" s="6" t="str">
        <f>IFERROR(__xludf.DUMMYFUNCTION("""COMPUTED_VALUE"""),"nettyawards.com")</f>
        <v>nettyawards.com</v>
      </c>
      <c r="D191" s="7" t="str">
        <f>IFERROR(__xludf.DUMMYFUNCTION("""COMPUTED_VALUE"""),"LISTICLE")</f>
        <v>LISTICLE</v>
      </c>
      <c r="E191" s="7" t="str">
        <f>IFERROR(__xludf.DUMMYFUNCTION("""COMPUTED_VALUE"""),"CORPORATE")</f>
        <v>CORPORATE</v>
      </c>
      <c r="F191" s="7" t="str">
        <f>IFERROR(__xludf.DUMMYFUNCTION("""COMPUTED_VALUE"""),"Listicle")</f>
        <v>Listicle</v>
      </c>
      <c r="G191" s="7" t="b">
        <f>IFERROR(__xludf.DUMMYFUNCTION("""COMPUTED_VALUE"""),FALSE)</f>
        <v>0</v>
      </c>
      <c r="H191" s="7" t="str">
        <f>IFERROR(__xludf.DUMMYFUNCTION("""COMPUTED_VALUE"""),"Megaphone, Measured")</f>
        <v>Megaphone, Measured</v>
      </c>
      <c r="I191" s="7">
        <f>IFERROR(__xludf.DUMMYFUNCTION("""COMPUTED_VALUE"""),3.0)</f>
        <v>3</v>
      </c>
      <c r="J191" s="7">
        <f>IFERROR(__xludf.DUMMYFUNCTION("""COMPUTED_VALUE"""),0.0)</f>
        <v>0</v>
      </c>
      <c r="K191" s="7">
        <f>IFERROR(__xludf.DUMMYFUNCTION("""COMPUTED_VALUE"""),1.67)</f>
        <v>1.67</v>
      </c>
    </row>
    <row r="192" ht="15.75" customHeight="1">
      <c r="A192" s="6" t="str">
        <f>IFERROR(__xludf.DUMMYFUNCTION("""COMPUTED_VALUE"""),"https://www.ocmsolution.com/digital-agencies-in-sydney/")</f>
        <v>https://www.ocmsolution.com/digital-agencies-in-sydney/</v>
      </c>
      <c r="B192" s="7" t="str">
        <f>IFERROR(__xludf.DUMMYFUNCTION("""COMPUTED_VALUE"""),"Top 10 Best Digital Agencies &amp;amp; Marketing Companies in Sydney, Australia – OCM Solution – Best Change Management Solution, Content, Services")</f>
        <v>Top 10 Best Digital Agencies &amp;amp; Marketing Companies in Sydney, Australia – OCM Solution – Best Change Management Solution, Content, Services</v>
      </c>
      <c r="C192" s="6" t="str">
        <f>IFERROR(__xludf.DUMMYFUNCTION("""COMPUTED_VALUE"""),"ocmsolution.com")</f>
        <v>ocmsolution.com</v>
      </c>
      <c r="D192" s="7" t="str">
        <f>IFERROR(__xludf.DUMMYFUNCTION("""COMPUTED_VALUE"""),"LISTICLE")</f>
        <v>LISTICLE</v>
      </c>
      <c r="E192" s="7" t="str">
        <f>IFERROR(__xludf.DUMMYFUNCTION("""COMPUTED_VALUE"""),"CORPORATE")</f>
        <v>CORPORATE</v>
      </c>
      <c r="F192" s="7" t="str">
        <f>IFERROR(__xludf.DUMMYFUNCTION("""COMPUTED_VALUE"""),"Listicle")</f>
        <v>Listicle</v>
      </c>
      <c r="G192" s="7" t="b">
        <f>IFERROR(__xludf.DUMMYFUNCTION("""COMPUTED_VALUE"""),FALSE)</f>
        <v>0</v>
      </c>
      <c r="H192" s="7" t="str">
        <f>IFERROR(__xludf.DUMMYFUNCTION("""COMPUTED_VALUE"""),"AdVisible, Sparro, We Are Social, Rocket Agency, Impressive")</f>
        <v>AdVisible, Sparro, We Are Social, Rocket Agency, Impressive</v>
      </c>
      <c r="I192" s="7">
        <f>IFERROR(__xludf.DUMMYFUNCTION("""COMPUTED_VALUE"""),3.0)</f>
        <v>3</v>
      </c>
      <c r="J192" s="7">
        <f>IFERROR(__xludf.DUMMYFUNCTION("""COMPUTED_VALUE"""),0.0)</f>
        <v>0</v>
      </c>
      <c r="K192" s="7">
        <f>IFERROR(__xludf.DUMMYFUNCTION("""COMPUTED_VALUE"""),1.0)</f>
        <v>1</v>
      </c>
    </row>
    <row r="193" ht="15.75" customHeight="1">
      <c r="A193" s="6" t="str">
        <f>IFERROR(__xludf.DUMMYFUNCTION("""COMPUTED_VALUE"""),"https://outgrow.co/blog/advertising-agencies-australia")</f>
        <v>https://outgrow.co/blog/advertising-agencies-australia</v>
      </c>
      <c r="B193" s="7" t="str">
        <f>IFERROR(__xludf.DUMMYFUNCTION("""COMPUTED_VALUE"""),"Top 14 Advertising Agencies in Australia You Must Know")</f>
        <v>Top 14 Advertising Agencies in Australia You Must Know</v>
      </c>
      <c r="C193" s="6" t="str">
        <f>IFERROR(__xludf.DUMMYFUNCTION("""COMPUTED_VALUE"""),"outgrow.co")</f>
        <v>outgrow.co</v>
      </c>
      <c r="D193" s="7" t="str">
        <f>IFERROR(__xludf.DUMMYFUNCTION("""COMPUTED_VALUE"""),"LISTICLE")</f>
        <v>LISTICLE</v>
      </c>
      <c r="E193" s="7" t="str">
        <f>IFERROR(__xludf.DUMMYFUNCTION("""COMPUTED_VALUE"""),"CORPORATE")</f>
        <v>CORPORATE</v>
      </c>
      <c r="F193" s="7" t="str">
        <f>IFERROR(__xludf.DUMMYFUNCTION("""COMPUTED_VALUE"""),"Listicle")</f>
        <v>Listicle</v>
      </c>
      <c r="G193" s="7" t="b">
        <f>IFERROR(__xludf.DUMMYFUNCTION("""COMPUTED_VALUE"""),FALSE)</f>
        <v>0</v>
      </c>
      <c r="H193" s="7" t="str">
        <f>IFERROR(__xludf.DUMMYFUNCTION("""COMPUTED_VALUE"""),"Saatchi &amp; Saatchi, Dentsu, Ogilvy Australia, DDB Australia, Intesols")</f>
        <v>Saatchi &amp; Saatchi, Dentsu, Ogilvy Australia, DDB Australia, Intesols</v>
      </c>
      <c r="I193" s="7">
        <f>IFERROR(__xludf.DUMMYFUNCTION("""COMPUTED_VALUE"""),3.0)</f>
        <v>3</v>
      </c>
      <c r="J193" s="7">
        <f>IFERROR(__xludf.DUMMYFUNCTION("""COMPUTED_VALUE"""),0.0)</f>
        <v>0</v>
      </c>
      <c r="K193" s="7">
        <f>IFERROR(__xludf.DUMMYFUNCTION("""COMPUTED_VALUE"""),1.0)</f>
        <v>1</v>
      </c>
    </row>
    <row r="194" ht="15.75" customHeight="1">
      <c r="A194" s="6" t="str">
        <f>IFERROR(__xludf.DUMMYFUNCTION("""COMPUTED_VALUE"""),"https://seocompare.co.uk/ai-search-agencies-australia/")</f>
        <v>https://seocompare.co.uk/ai-search-agencies-australia/</v>
      </c>
      <c r="B194" s="7" t="str">
        <f>IFERROR(__xludf.DUMMYFUNCTION("""COMPUTED_VALUE"""),"4 Best AI Search Agencies Australia - 2026 Guide | SEOCompare")</f>
        <v>4 Best AI Search Agencies Australia - 2026 Guide | SEOCompare</v>
      </c>
      <c r="C194" s="6" t="str">
        <f>IFERROR(__xludf.DUMMYFUNCTION("""COMPUTED_VALUE"""),"seocompare.co.uk")</f>
        <v>seocompare.co.uk</v>
      </c>
      <c r="D194" s="7" t="str">
        <f>IFERROR(__xludf.DUMMYFUNCTION("""COMPUTED_VALUE"""),"LISTICLE")</f>
        <v>LISTICLE</v>
      </c>
      <c r="E194" s="7" t="str">
        <f>IFERROR(__xludf.DUMMYFUNCTION("""COMPUTED_VALUE"""),"EDITORIAL")</f>
        <v>EDITORIAL</v>
      </c>
      <c r="F194" s="7" t="str">
        <f>IFERROR(__xludf.DUMMYFUNCTION("""COMPUTED_VALUE"""),"Listicle")</f>
        <v>Listicle</v>
      </c>
      <c r="G194" s="7" t="b">
        <f>IFERROR(__xludf.DUMMYFUNCTION("""COMPUTED_VALUE"""),FALSE)</f>
        <v>0</v>
      </c>
      <c r="H194" s="7" t="str">
        <f>IFERROR(__xludf.DUMMYFUNCTION("""COMPUTED_VALUE"""),"First Page")</f>
        <v>First Page</v>
      </c>
      <c r="I194" s="7">
        <f>IFERROR(__xludf.DUMMYFUNCTION("""COMPUTED_VALUE"""),3.0)</f>
        <v>3</v>
      </c>
      <c r="J194" s="7">
        <f>IFERROR(__xludf.DUMMYFUNCTION("""COMPUTED_VALUE"""),0.0)</f>
        <v>0</v>
      </c>
      <c r="K194" s="7">
        <f>IFERROR(__xludf.DUMMYFUNCTION("""COMPUTED_VALUE"""),0.0)</f>
        <v>0</v>
      </c>
    </row>
    <row r="195" ht="15.75" customHeight="1">
      <c r="A195" s="6" t="str">
        <f>IFERROR(__xludf.DUMMYFUNCTION("""COMPUTED_VALUE"""),"https://www.smartosc.com/ai-consulting-services-in-australia/")</f>
        <v>https://www.smartosc.com/ai-consulting-services-in-australia/</v>
      </c>
      <c r="B195" s="7" t="str">
        <f>IFERROR(__xludf.DUMMYFUNCTION("""COMPUTED_VALUE"""),"Top-Rated AI Consulting Services Used by Australian Businesses - SmartOSC")</f>
        <v>Top-Rated AI Consulting Services Used by Australian Businesses - SmartOSC</v>
      </c>
      <c r="C195" s="6" t="str">
        <f>IFERROR(__xludf.DUMMYFUNCTION("""COMPUTED_VALUE"""),"smartosc.com")</f>
        <v>smartosc.com</v>
      </c>
      <c r="D195" s="7" t="str">
        <f>IFERROR(__xludf.DUMMYFUNCTION("""COMPUTED_VALUE"""),"LISTICLE")</f>
        <v>LISTICLE</v>
      </c>
      <c r="E195" s="7" t="str">
        <f>IFERROR(__xludf.DUMMYFUNCTION("""COMPUTED_VALUE"""),"COMPETITOR")</f>
        <v>COMPETITOR</v>
      </c>
      <c r="F195" s="7" t="str">
        <f>IFERROR(__xludf.DUMMYFUNCTION("""COMPUTED_VALUE"""),"Listicle")</f>
        <v>Listicle</v>
      </c>
      <c r="G195" s="7" t="b">
        <f>IFERROR(__xludf.DUMMYFUNCTION("""COMPUTED_VALUE"""),FALSE)</f>
        <v>0</v>
      </c>
      <c r="H195" s="7" t="str">
        <f>IFERROR(__xludf.DUMMYFUNCTION("""COMPUTED_VALUE"""),"SmartOSC, Deloitte")</f>
        <v>SmartOSC, Deloitte</v>
      </c>
      <c r="I195" s="7">
        <f>IFERROR(__xludf.DUMMYFUNCTION("""COMPUTED_VALUE"""),3.0)</f>
        <v>3</v>
      </c>
      <c r="J195" s="7">
        <f>IFERROR(__xludf.DUMMYFUNCTION("""COMPUTED_VALUE"""),0.0)</f>
        <v>0</v>
      </c>
      <c r="K195" s="7">
        <f>IFERROR(__xludf.DUMMYFUNCTION("""COMPUTED_VALUE"""),0.67)</f>
        <v>0.67</v>
      </c>
    </row>
    <row r="196" ht="15.75" customHeight="1">
      <c r="A196" s="6" t="str">
        <f>IFERROR(__xludf.DUMMYFUNCTION("""COMPUTED_VALUE"""),"https://techbullion.com/top-australian-geo-agencies-helping-brands-appear-in-ai-generated-answers/")</f>
        <v>https://techbullion.com/top-australian-geo-agencies-helping-brands-appear-in-ai-generated-answers/</v>
      </c>
      <c r="B196" s="7" t="str">
        <f>IFERROR(__xludf.DUMMYFUNCTION("""COMPUTED_VALUE"""),"Top Australian GEO Agencies Helping Brands Appear in AI-Generated Answers - TechBullion")</f>
        <v>Top Australian GEO Agencies Helping Brands Appear in AI-Generated Answers - TechBullion</v>
      </c>
      <c r="C196" s="6" t="str">
        <f>IFERROR(__xludf.DUMMYFUNCTION("""COMPUTED_VALUE"""),"techbullion.com")</f>
        <v>techbullion.com</v>
      </c>
      <c r="D196" s="7" t="str">
        <f>IFERROR(__xludf.DUMMYFUNCTION("""COMPUTED_VALUE"""),"LISTICLE")</f>
        <v>LISTICLE</v>
      </c>
      <c r="E196" s="7" t="str">
        <f>IFERROR(__xludf.DUMMYFUNCTION("""COMPUTED_VALUE"""),"EDITORIAL")</f>
        <v>EDITORIAL</v>
      </c>
      <c r="F196" s="7" t="str">
        <f>IFERROR(__xludf.DUMMYFUNCTION("""COMPUTED_VALUE"""),"Listicle")</f>
        <v>Listicle</v>
      </c>
      <c r="G196" s="7" t="b">
        <f>IFERROR(__xludf.DUMMYFUNCTION("""COMPUTED_VALUE"""),FALSE)</f>
        <v>0</v>
      </c>
      <c r="H196" s="7" t="str">
        <f>IFERROR(__xludf.DUMMYFUNCTION("""COMPUTED_VALUE"""),"NP Digital Australia, Soup Agency, Reef Digital Agency, First Page, First Page Australia, King Kong, Megantic, StudioHawk, Clearwater Agency")</f>
        <v>NP Digital Australia, Soup Agency, Reef Digital Agency, First Page, First Page Australia, King Kong, Megantic, StudioHawk, Clearwater Agency</v>
      </c>
      <c r="I196" s="7">
        <f>IFERROR(__xludf.DUMMYFUNCTION("""COMPUTED_VALUE"""),3.0)</f>
        <v>3</v>
      </c>
      <c r="J196" s="7">
        <f>IFERROR(__xludf.DUMMYFUNCTION("""COMPUTED_VALUE"""),0.0)</f>
        <v>0</v>
      </c>
      <c r="K196" s="7">
        <f>IFERROR(__xludf.DUMMYFUNCTION("""COMPUTED_VALUE"""),0.0)</f>
        <v>0</v>
      </c>
    </row>
    <row r="197" ht="15.75" customHeight="1">
      <c r="A197" s="6" t="str">
        <f>IFERROR(__xludf.DUMMYFUNCTION("""COMPUTED_VALUE"""),"https://themanifest.com/au/digital-marketing/agencies?page=1")</f>
        <v>https://themanifest.com/au/digital-marketing/agencies?page=1</v>
      </c>
      <c r="B197" s="7" t="str">
        <f>IFERROR(__xludf.DUMMYFUNCTION("""COMPUTED_VALUE"""),"The Best Digital Marketing Companies in Australia - Jul 2026 | The Manifest")</f>
        <v>The Best Digital Marketing Companies in Australia - Jul 2026 | The Manifest</v>
      </c>
      <c r="C197" s="6" t="str">
        <f>IFERROR(__xludf.DUMMYFUNCTION("""COMPUTED_VALUE"""),"themanifest.com")</f>
        <v>themanifest.com</v>
      </c>
      <c r="D197" s="7" t="str">
        <f>IFERROR(__xludf.DUMMYFUNCTION("""COMPUTED_VALUE"""),"LISTICLE")</f>
        <v>LISTICLE</v>
      </c>
      <c r="E197" s="7" t="str">
        <f>IFERROR(__xludf.DUMMYFUNCTION("""COMPUTED_VALUE"""),"REFERENCE")</f>
        <v>REFERENCE</v>
      </c>
      <c r="F197" s="7" t="str">
        <f>IFERROR(__xludf.DUMMYFUNCTION("""COMPUTED_VALUE"""),"Listicle")</f>
        <v>Listicle</v>
      </c>
      <c r="G197" s="7" t="b">
        <f>IFERROR(__xludf.DUMMYFUNCTION("""COMPUTED_VALUE"""),FALSE)</f>
        <v>0</v>
      </c>
      <c r="H197" s="7" t="str">
        <f>IFERROR(__xludf.DUMMYFUNCTION("""COMPUTED_VALUE"""),"Salt &amp; Fuessel, Impressive, Insil, Luminary, Sparro, Reform Digital, Digital Nomads HQ, EvenDigit, Alley Group, SIXGUN, MyWork")</f>
        <v>Salt &amp; Fuessel, Impressive, Insil, Luminary, Sparro, Reform Digital, Digital Nomads HQ, EvenDigit, Alley Group, SIXGUN, MyWork</v>
      </c>
      <c r="I197" s="7">
        <f>IFERROR(__xludf.DUMMYFUNCTION("""COMPUTED_VALUE"""),3.0)</f>
        <v>3</v>
      </c>
      <c r="J197" s="7">
        <f>IFERROR(__xludf.DUMMYFUNCTION("""COMPUTED_VALUE"""),0.0)</f>
        <v>0</v>
      </c>
      <c r="K197" s="7">
        <f>IFERROR(__xludf.DUMMYFUNCTION("""COMPUTED_VALUE"""),0.0)</f>
        <v>0</v>
      </c>
    </row>
    <row r="198" ht="15.75" customHeight="1">
      <c r="A198" s="6" t="str">
        <f>IFERROR(__xludf.DUMMYFUNCTION("""COMPUTED_VALUE"""),"https://www.usercall.co/post/top-20-market-research-companies-in-australia-2025#:~:text=10.%20Bastion%20Insights%20%E2%80%93%20Cremorne.%20They%20combine,FMCG%2C%20this%20niche%20firm%20provides%20unmatched%20expertise.")</f>
        <v>https://www.usercall.co/post/top-20-market-research-companies-in-australia-2025#:~:text=10.%20Bastion%20Insights%20%E2%80%93%20Cremorne.%20They%20combine,FMCG%2C%20this%20niche%20firm%20provides%20unmatched%20expertise.</v>
      </c>
      <c r="B198" s="7" t="str">
        <f>IFERROR(__xludf.DUMMYFUNCTION("""COMPUTED_VALUE"""),"Top 20 Market Research Companies in Australia (Who to Hire in 2026)")</f>
        <v>Top 20 Market Research Companies in Australia (Who to Hire in 2026)</v>
      </c>
      <c r="C198" s="6" t="str">
        <f>IFERROR(__xludf.DUMMYFUNCTION("""COMPUTED_VALUE"""),"usercall.co")</f>
        <v>usercall.co</v>
      </c>
      <c r="D198" s="7" t="str">
        <f>IFERROR(__xludf.DUMMYFUNCTION("""COMPUTED_VALUE"""),"LISTICLE")</f>
        <v>LISTICLE</v>
      </c>
      <c r="E198" s="7" t="str">
        <f>IFERROR(__xludf.DUMMYFUNCTION("""COMPUTED_VALUE"""),"CORPORATE")</f>
        <v>CORPORATE</v>
      </c>
      <c r="F198" s="7" t="str">
        <f>IFERROR(__xludf.DUMMYFUNCTION("""COMPUTED_VALUE"""),"Listicle")</f>
        <v>Listicle</v>
      </c>
      <c r="G198" s="7" t="b">
        <f>IFERROR(__xludf.DUMMYFUNCTION("""COMPUTED_VALUE"""),FALSE)</f>
        <v>0</v>
      </c>
      <c r="H198" s="7" t="str">
        <f>IFERROR(__xludf.DUMMYFUNCTION("""COMPUTED_VALUE"""),"weDiscover")</f>
        <v>weDiscover</v>
      </c>
      <c r="I198" s="7">
        <f>IFERROR(__xludf.DUMMYFUNCTION("""COMPUTED_VALUE"""),3.0)</f>
        <v>3</v>
      </c>
      <c r="J198" s="7">
        <f>IFERROR(__xludf.DUMMYFUNCTION("""COMPUTED_VALUE"""),0.0)</f>
        <v>0</v>
      </c>
      <c r="K198" s="7">
        <f>IFERROR(__xludf.DUMMYFUNCTION("""COMPUTED_VALUE"""),1.33)</f>
        <v>1.33</v>
      </c>
    </row>
    <row r="199" ht="15.75" customHeight="1">
      <c r="A199" s="6" t="str">
        <f>IFERROR(__xludf.DUMMYFUNCTION("""COMPUTED_VALUE"""),"https://www.warc.com/en/rankings/creative-100")</f>
        <v>https://www.warc.com/en/rankings/creative-100</v>
      </c>
      <c r="B199" s="7" t="str">
        <f>IFERROR(__xludf.DUMMYFUNCTION("""COMPUTED_VALUE"""),"Creative 100 Overview")</f>
        <v>Creative 100 Overview</v>
      </c>
      <c r="C199" s="6" t="str">
        <f>IFERROR(__xludf.DUMMYFUNCTION("""COMPUTED_VALUE"""),"warc.com")</f>
        <v>warc.com</v>
      </c>
      <c r="D199" s="7" t="str">
        <f>IFERROR(__xludf.DUMMYFUNCTION("""COMPUTED_VALUE"""),"LISTICLE")</f>
        <v>LISTICLE</v>
      </c>
      <c r="E199" s="7" t="str">
        <f>IFERROR(__xludf.DUMMYFUNCTION("""COMPUTED_VALUE"""),"REFERENCE")</f>
        <v>REFERENCE</v>
      </c>
      <c r="F199" s="7" t="str">
        <f>IFERROR(__xludf.DUMMYFUNCTION("""COMPUTED_VALUE"""),"Listicle")</f>
        <v>Listicle</v>
      </c>
      <c r="G199" s="7" t="b">
        <f>IFERROR(__xludf.DUMMYFUNCTION("""COMPUTED_VALUE"""),FALSE)</f>
        <v>0</v>
      </c>
      <c r="H199" s="7" t="str">
        <f>IFERROR(__xludf.DUMMYFUNCTION("""COMPUTED_VALUE"""),"WPP, VML")</f>
        <v>WPP, VML</v>
      </c>
      <c r="I199" s="7">
        <f>IFERROR(__xludf.DUMMYFUNCTION("""COMPUTED_VALUE"""),3.0)</f>
        <v>3</v>
      </c>
      <c r="J199" s="7">
        <f>IFERROR(__xludf.DUMMYFUNCTION("""COMPUTED_VALUE"""),0.0)</f>
        <v>0</v>
      </c>
      <c r="K199" s="7">
        <f>IFERROR(__xludf.DUMMYFUNCTION("""COMPUTED_VALUE"""),0.67)</f>
        <v>0.67</v>
      </c>
    </row>
    <row r="200" ht="15.75" customHeight="1">
      <c r="A200" s="6" t="str">
        <f>IFERROR(__xludf.DUMMYFUNCTION("""COMPUTED_VALUE"""),"https://zipdo.co/service/attribution/")</f>
        <v>https://zipdo.co/service/attribution/</v>
      </c>
      <c r="B200" s="7" t="str">
        <f>IFERROR(__xludf.DUMMYFUNCTION("""COMPUTED_VALUE"""),"Top 10 Best Attribution Services (2026 Expert Review)")</f>
        <v>Top 10 Best Attribution Services (2026 Expert Review)</v>
      </c>
      <c r="C200" s="6" t="str">
        <f>IFERROR(__xludf.DUMMYFUNCTION("""COMPUTED_VALUE"""),"zipdo.co")</f>
        <v>zipdo.co</v>
      </c>
      <c r="D200" s="7" t="str">
        <f>IFERROR(__xludf.DUMMYFUNCTION("""COMPUTED_VALUE"""),"LISTICLE")</f>
        <v>LISTICLE</v>
      </c>
      <c r="E200" s="7" t="str">
        <f>IFERROR(__xludf.DUMMYFUNCTION("""COMPUTED_VALUE"""),"REFERENCE")</f>
        <v>REFERENCE</v>
      </c>
      <c r="F200" s="7" t="str">
        <f>IFERROR(__xludf.DUMMYFUNCTION("""COMPUTED_VALUE"""),"Listicle")</f>
        <v>Listicle</v>
      </c>
      <c r="G200" s="7" t="b">
        <f>IFERROR(__xludf.DUMMYFUNCTION("""COMPUTED_VALUE"""),FALSE)</f>
        <v>0</v>
      </c>
      <c r="H200" s="7" t="str">
        <f>IFERROR(__xludf.DUMMYFUNCTION("""COMPUTED_VALUE"""),"Deloitte, WPP, Publicis Media, Publicis Groupe")</f>
        <v>Deloitte, WPP, Publicis Media, Publicis Groupe</v>
      </c>
      <c r="I200" s="7">
        <f>IFERROR(__xludf.DUMMYFUNCTION("""COMPUTED_VALUE"""),3.0)</f>
        <v>3</v>
      </c>
      <c r="J200" s="7">
        <f>IFERROR(__xludf.DUMMYFUNCTION("""COMPUTED_VALUE"""),0.0)</f>
        <v>0</v>
      </c>
      <c r="K200" s="7">
        <f>IFERROR(__xludf.DUMMYFUNCTION("""COMPUTED_VALUE"""),0.0)</f>
        <v>0</v>
      </c>
    </row>
    <row r="201" ht="15.75" customHeight="1">
      <c r="A201" s="6" t="str">
        <f>IFERROR(__xludf.DUMMYFUNCTION("""COMPUTED_VALUE"""),"https://www.adnews.com.au/news/the-adnews-agency-of-the-year-award-2025-winners-revealed")</f>
        <v>https://www.adnews.com.au/news/the-adnews-agency-of-the-year-award-2025-winners-revealed</v>
      </c>
      <c r="B201" s="7" t="str">
        <f>IFERROR(__xludf.DUMMYFUNCTION("""COMPUTED_VALUE"""),"The AdNews Agency of the Year Award 2025 winners revealed - AdNews")</f>
        <v>The AdNews Agency of the Year Award 2025 winners revealed - AdNews</v>
      </c>
      <c r="C201" s="6" t="str">
        <f>IFERROR(__xludf.DUMMYFUNCTION("""COMPUTED_VALUE"""),"adnews.com.au")</f>
        <v>adnews.com.au</v>
      </c>
      <c r="D201" s="7" t="str">
        <f>IFERROR(__xludf.DUMMYFUNCTION("""COMPUTED_VALUE"""),"LISTICLE")</f>
        <v>LISTICLE</v>
      </c>
      <c r="E201" s="7" t="str">
        <f>IFERROR(__xludf.DUMMYFUNCTION("""COMPUTED_VALUE"""),"EDITORIAL")</f>
        <v>EDITORIAL</v>
      </c>
      <c r="F201" s="7" t="str">
        <f>IFERROR(__xludf.DUMMYFUNCTION("""COMPUTED_VALUE"""),"Listicle")</f>
        <v>Listicle</v>
      </c>
      <c r="G201" s="7" t="b">
        <f>IFERROR(__xludf.DUMMYFUNCTION("""COMPUTED_VALUE"""),FALSE)</f>
        <v>0</v>
      </c>
      <c r="H201" s="7" t="str">
        <f>IFERROR(__xludf.DUMMYFUNCTION("""COMPUTED_VALUE"""),"BMF, Accenture Song, Howatson+Company, Thinkerbell, Mindshare, PHD, HERO, Reload Media, Saatchi &amp; Saatchi, OMD, Wavemaker, Dentsu, VML, Clemenger BBDO, WPP")</f>
        <v>BMF, Accenture Song, Howatson+Company, Thinkerbell, Mindshare, PHD, HERO, Reload Media, Saatchi &amp; Saatchi, OMD, Wavemaker, Dentsu, VML, Clemenger BBDO, WPP</v>
      </c>
      <c r="I201" s="7">
        <f>IFERROR(__xludf.DUMMYFUNCTION("""COMPUTED_VALUE"""),2.0)</f>
        <v>2</v>
      </c>
      <c r="J201" s="7">
        <f>IFERROR(__xludf.DUMMYFUNCTION("""COMPUTED_VALUE"""),0.0)</f>
        <v>0</v>
      </c>
      <c r="K201" s="7">
        <f>IFERROR(__xludf.DUMMYFUNCTION("""COMPUTED_VALUE"""),3.0)</f>
        <v>3</v>
      </c>
    </row>
    <row r="202" ht="15.75" customHeight="1">
      <c r="A202" s="6" t="str">
        <f>IFERROR(__xludf.DUMMYFUNCTION("""COMPUTED_VALUE"""),"https://analyzify.com/hub/digital-marketing-agencies-in-au")</f>
        <v>https://analyzify.com/hub/digital-marketing-agencies-in-au</v>
      </c>
      <c r="B202" s="7" t="str">
        <f>IFERROR(__xludf.DUMMYFUNCTION("""COMPUTED_VALUE"""),"Top 12 Digital Marketing Agencies In Australia | Analyzify")</f>
        <v>Top 12 Digital Marketing Agencies In Australia | Analyzify</v>
      </c>
      <c r="C202" s="6" t="str">
        <f>IFERROR(__xludf.DUMMYFUNCTION("""COMPUTED_VALUE"""),"analyzify.com")</f>
        <v>analyzify.com</v>
      </c>
      <c r="D202" s="7" t="str">
        <f>IFERROR(__xludf.DUMMYFUNCTION("""COMPUTED_VALUE"""),"LISTICLE")</f>
        <v>LISTICLE</v>
      </c>
      <c r="E202" s="7" t="str">
        <f>IFERROR(__xludf.DUMMYFUNCTION("""COMPUTED_VALUE"""),"CORPORATE")</f>
        <v>CORPORATE</v>
      </c>
      <c r="F202" s="7" t="str">
        <f>IFERROR(__xludf.DUMMYFUNCTION("""COMPUTED_VALUE"""),"Listicle")</f>
        <v>Listicle</v>
      </c>
      <c r="G202" s="7" t="b">
        <f>IFERROR(__xludf.DUMMYFUNCTION("""COMPUTED_VALUE"""),FALSE)</f>
        <v>0</v>
      </c>
      <c r="H202" s="7" t="str">
        <f>IFERROR(__xludf.DUMMYFUNCTION("""COMPUTED_VALUE"""),"Digital Nomads HQ, Megaphone, Insil, AdVisible, Reef Digital Agency")</f>
        <v>Digital Nomads HQ, Megaphone, Insil, AdVisible, Reef Digital Agency</v>
      </c>
      <c r="I202" s="7">
        <f>IFERROR(__xludf.DUMMYFUNCTION("""COMPUTED_VALUE"""),2.0)</f>
        <v>2</v>
      </c>
      <c r="J202" s="7">
        <f>IFERROR(__xludf.DUMMYFUNCTION("""COMPUTED_VALUE"""),0.0)</f>
        <v>0</v>
      </c>
      <c r="K202" s="7">
        <f>IFERROR(__xludf.DUMMYFUNCTION("""COMPUTED_VALUE"""),0.5)</f>
        <v>0.5</v>
      </c>
    </row>
    <row r="203" ht="15.75" customHeight="1">
      <c r="A203" s="6" t="str">
        <f>IFERROR(__xludf.DUMMYFUNCTION("""COMPUTED_VALUE"""),"https://anirup.com/top-10-google-ads-agency-australia/")</f>
        <v>https://anirup.com/top-10-google-ads-agency-australia/</v>
      </c>
      <c r="B203" s="7" t="str">
        <f>IFERROR(__xludf.DUMMYFUNCTION("""COMPUTED_VALUE"""),"Top 10 Google Ads Agency In Australia 2026 | Melbourne &amp;amp; Sydney")</f>
        <v>Top 10 Google Ads Agency In Australia 2026 | Melbourne &amp;amp; Sydney</v>
      </c>
      <c r="C203" s="6" t="str">
        <f>IFERROR(__xludf.DUMMYFUNCTION("""COMPUTED_VALUE"""),"anirup.com")</f>
        <v>anirup.com</v>
      </c>
      <c r="D203" s="7" t="str">
        <f>IFERROR(__xludf.DUMMYFUNCTION("""COMPUTED_VALUE"""),"LISTICLE")</f>
        <v>LISTICLE</v>
      </c>
      <c r="E203" s="7" t="str">
        <f>IFERROR(__xludf.DUMMYFUNCTION("""COMPUTED_VALUE"""),"CORPORATE")</f>
        <v>CORPORATE</v>
      </c>
      <c r="F203" s="7" t="str">
        <f>IFERROR(__xludf.DUMMYFUNCTION("""COMPUTED_VALUE"""),"Listicle")</f>
        <v>Listicle</v>
      </c>
      <c r="G203" s="7" t="b">
        <f>IFERROR(__xludf.DUMMYFUNCTION("""COMPUTED_VALUE"""),FALSE)</f>
        <v>0</v>
      </c>
      <c r="H203" s="7" t="str">
        <f>IFERROR(__xludf.DUMMYFUNCTION("""COMPUTED_VALUE"""),"Digital Nomads HQ, Clearwater Agency, Megaphone, Online Marketing Gurus, Omnicom Media Group, eMarket Experts, Supple Digital")</f>
        <v>Digital Nomads HQ, Clearwater Agency, Megaphone, Online Marketing Gurus, Omnicom Media Group, eMarket Experts, Supple Digital</v>
      </c>
      <c r="I203" s="7">
        <f>IFERROR(__xludf.DUMMYFUNCTION("""COMPUTED_VALUE"""),2.0)</f>
        <v>2</v>
      </c>
      <c r="J203" s="7">
        <f>IFERROR(__xludf.DUMMYFUNCTION("""COMPUTED_VALUE"""),0.0)</f>
        <v>0</v>
      </c>
      <c r="K203" s="7">
        <f>IFERROR(__xludf.DUMMYFUNCTION("""COMPUTED_VALUE"""),0.0)</f>
        <v>0</v>
      </c>
    </row>
    <row r="204" ht="15.75" customHeight="1">
      <c r="A204" s="6" t="str">
        <f>IFERROR(__xludf.DUMMYFUNCTION("""COMPUTED_VALUE"""),"https://avenuegroupaus.com.au/top-seo-companies-in-australia/#:~:text=Megantic.%20One%20of%20the%20few%20e%2Dcommerce%2Doriented%20SEO,E%2Dcommerce%20SEO%20is%20a%20very%20specific%20field.")</f>
        <v>https://avenuegroupaus.com.au/top-seo-companies-in-australia/#:~:text=Megantic.%20One%20of%20the%20few%20e%2Dcommerce%2Doriented%20SEO,E%2Dcommerce%20SEO%20is%20a%20very%20specific%20field.</v>
      </c>
      <c r="B204" s="7" t="str">
        <f>IFERROR(__xludf.DUMMYFUNCTION("""COMPUTED_VALUE"""),"Top 10 SEO Companies in Australia to Consider in 2026")</f>
        <v>Top 10 SEO Companies in Australia to Consider in 2026</v>
      </c>
      <c r="C204" s="6" t="str">
        <f>IFERROR(__xludf.DUMMYFUNCTION("""COMPUTED_VALUE"""),"avenuegroupaus.com.au")</f>
        <v>avenuegroupaus.com.au</v>
      </c>
      <c r="D204" s="7" t="str">
        <f>IFERROR(__xludf.DUMMYFUNCTION("""COMPUTED_VALUE"""),"LISTICLE")</f>
        <v>LISTICLE</v>
      </c>
      <c r="E204" s="7" t="str">
        <f>IFERROR(__xludf.DUMMYFUNCTION("""COMPUTED_VALUE"""),"CORPORATE")</f>
        <v>CORPORATE</v>
      </c>
      <c r="F204" s="7" t="str">
        <f>IFERROR(__xludf.DUMMYFUNCTION("""COMPUTED_VALUE"""),"Listicle")</f>
        <v>Listicle</v>
      </c>
      <c r="G204" s="7" t="b">
        <f>IFERROR(__xludf.DUMMYFUNCTION("""COMPUTED_VALUE"""),FALSE)</f>
        <v>0</v>
      </c>
      <c r="H204" s="7" t="str">
        <f>IFERROR(__xludf.DUMMYFUNCTION("""COMPUTED_VALUE"""),"First Page, Prosperity Media, SIXGUN, Megantic")</f>
        <v>First Page, Prosperity Media, SIXGUN, Megantic</v>
      </c>
      <c r="I204" s="7">
        <f>IFERROR(__xludf.DUMMYFUNCTION("""COMPUTED_VALUE"""),2.0)</f>
        <v>2</v>
      </c>
      <c r="J204" s="7">
        <f>IFERROR(__xludf.DUMMYFUNCTION("""COMPUTED_VALUE"""),0.0)</f>
        <v>0</v>
      </c>
      <c r="K204" s="7">
        <f>IFERROR(__xludf.DUMMYFUNCTION("""COMPUTED_VALUE"""),1.5)</f>
        <v>1.5</v>
      </c>
    </row>
    <row r="205" ht="15.75" customHeight="1">
      <c r="A205" s="6" t="str">
        <f>IFERROR(__xludf.DUMMYFUNCTION("""COMPUTED_VALUE"""),"https://avidtrak.com/resource/best-market-attribution-software")</f>
        <v>https://avidtrak.com/resource/best-market-attribution-software</v>
      </c>
      <c r="B205" s="7" t="str">
        <f>IFERROR(__xludf.DUMMYFUNCTION("""COMPUTED_VALUE"""),"9 Best Marketing Attribution Software for Agencies")</f>
        <v>9 Best Marketing Attribution Software for Agencies</v>
      </c>
      <c r="C205" s="6" t="str">
        <f>IFERROR(__xludf.DUMMYFUNCTION("""COMPUTED_VALUE"""),"avidtrak.com")</f>
        <v>avidtrak.com</v>
      </c>
      <c r="D205" s="7" t="str">
        <f>IFERROR(__xludf.DUMMYFUNCTION("""COMPUTED_VALUE"""),"LISTICLE")</f>
        <v>LISTICLE</v>
      </c>
      <c r="E205" s="7" t="str">
        <f>IFERROR(__xludf.DUMMYFUNCTION("""COMPUTED_VALUE"""),"CORPORATE")</f>
        <v>CORPORATE</v>
      </c>
      <c r="F205" s="7" t="str">
        <f>IFERROR(__xludf.DUMMYFUNCTION("""COMPUTED_VALUE"""),"Listicle")</f>
        <v>Listicle</v>
      </c>
      <c r="G205" s="7" t="b">
        <f>IFERROR(__xludf.DUMMYFUNCTION("""COMPUTED_VALUE"""),FALSE)</f>
        <v>0</v>
      </c>
      <c r="H205" s="7"/>
      <c r="I205" s="7">
        <f>IFERROR(__xludf.DUMMYFUNCTION("""COMPUTED_VALUE"""),2.0)</f>
        <v>2</v>
      </c>
      <c r="J205" s="7">
        <f>IFERROR(__xludf.DUMMYFUNCTION("""COMPUTED_VALUE"""),0.0)</f>
        <v>0</v>
      </c>
      <c r="K205" s="7">
        <f>IFERROR(__xludf.DUMMYFUNCTION("""COMPUTED_VALUE"""),0.0)</f>
        <v>0</v>
      </c>
    </row>
    <row r="206" ht="15.75" customHeight="1">
      <c r="A206" s="6" t="str">
        <f>IFERROR(__xludf.DUMMYFUNCTION("""COMPUTED_VALUE"""),"https://www.bbe.io/top-10-most-innovative-australian-ad-agencies-and-best-creative-campaigns/")</f>
        <v>https://www.bbe.io/top-10-most-innovative-australian-ad-agencies-and-best-creative-campaigns/</v>
      </c>
      <c r="B206" s="7" t="str">
        <f>IFERROR(__xludf.DUMMYFUNCTION("""COMPUTED_VALUE"""),"BBE Agency | Better Brand Experiences | Strategy, Creative, Digital, Brand, Performance Marketing Agency")</f>
        <v>BBE Agency | Better Brand Experiences | Strategy, Creative, Digital, Brand, Performance Marketing Agency</v>
      </c>
      <c r="C206" s="6" t="str">
        <f>IFERROR(__xludf.DUMMYFUNCTION("""COMPUTED_VALUE"""),"bbe.io")</f>
        <v>bbe.io</v>
      </c>
      <c r="D206" s="7" t="str">
        <f>IFERROR(__xludf.DUMMYFUNCTION("""COMPUTED_VALUE"""),"LISTICLE")</f>
        <v>LISTICLE</v>
      </c>
      <c r="E206" s="7" t="str">
        <f>IFERROR(__xludf.DUMMYFUNCTION("""COMPUTED_VALUE"""),"CORPORATE")</f>
        <v>CORPORATE</v>
      </c>
      <c r="F206" s="7" t="str">
        <f>IFERROR(__xludf.DUMMYFUNCTION("""COMPUTED_VALUE"""),"Listicle")</f>
        <v>Listicle</v>
      </c>
      <c r="G206" s="7" t="b">
        <f>IFERROR(__xludf.DUMMYFUNCTION("""COMPUTED_VALUE"""),FALSE)</f>
        <v>0</v>
      </c>
      <c r="H206" s="7"/>
      <c r="I206" s="7">
        <f>IFERROR(__xludf.DUMMYFUNCTION("""COMPUTED_VALUE"""),2.0)</f>
        <v>2</v>
      </c>
      <c r="J206" s="7">
        <f>IFERROR(__xludf.DUMMYFUNCTION("""COMPUTED_VALUE"""),0.0)</f>
        <v>0</v>
      </c>
      <c r="K206" s="7">
        <f>IFERROR(__xludf.DUMMYFUNCTION("""COMPUTED_VALUE"""),0.0)</f>
        <v>0</v>
      </c>
    </row>
    <row r="207" ht="15.75" customHeight="1">
      <c r="A207" s="6" t="str">
        <f>IFERROR(__xludf.DUMMYFUNCTION("""COMPUTED_VALUE"""),"https://bestforexapp.com/best-ai-marketing-agency-australia-2026-2/")</f>
        <v>https://bestforexapp.com/best-ai-marketing-agency-australia-2026-2/</v>
      </c>
      <c r="B207" s="7" t="str">
        <f>IFERROR(__xludf.DUMMYFUNCTION("""COMPUTED_VALUE"""),"Who Runs Australia’s AI Marketing Scene in 2026? - Best Forex App")</f>
        <v>Who Runs Australia’s AI Marketing Scene in 2026? - Best Forex App</v>
      </c>
      <c r="C207" s="6" t="str">
        <f>IFERROR(__xludf.DUMMYFUNCTION("""COMPUTED_VALUE"""),"bestforexapp.com")</f>
        <v>bestforexapp.com</v>
      </c>
      <c r="D207" s="7" t="str">
        <f>IFERROR(__xludf.DUMMYFUNCTION("""COMPUTED_VALUE"""),"LISTICLE")</f>
        <v>LISTICLE</v>
      </c>
      <c r="E207" s="7" t="str">
        <f>IFERROR(__xludf.DUMMYFUNCTION("""COMPUTED_VALUE"""),"EDITORIAL")</f>
        <v>EDITORIAL</v>
      </c>
      <c r="F207" s="7" t="str">
        <f>IFERROR(__xludf.DUMMYFUNCTION("""COMPUTED_VALUE"""),"Listicle")</f>
        <v>Listicle</v>
      </c>
      <c r="G207" s="7" t="b">
        <f>IFERROR(__xludf.DUMMYFUNCTION("""COMPUTED_VALUE"""),FALSE)</f>
        <v>0</v>
      </c>
      <c r="H207" s="7"/>
      <c r="I207" s="7">
        <f>IFERROR(__xludf.DUMMYFUNCTION("""COMPUTED_VALUE"""),2.0)</f>
        <v>2</v>
      </c>
      <c r="J207" s="7">
        <f>IFERROR(__xludf.DUMMYFUNCTION("""COMPUTED_VALUE"""),0.0)</f>
        <v>0</v>
      </c>
      <c r="K207" s="7">
        <f>IFERROR(__xludf.DUMMYFUNCTION("""COMPUTED_VALUE"""),0.0)</f>
        <v>0</v>
      </c>
    </row>
    <row r="208" ht="15.75" customHeight="1">
      <c r="A208" s="6" t="str">
        <f>IFERROR(__xludf.DUMMYFUNCTION("""COMPUTED_VALUE"""),"https://bondipages.com/best-marketing-in-australia/")</f>
        <v>https://bondipages.com/best-marketing-in-australia/</v>
      </c>
      <c r="B208" s="7" t="str">
        <f>IFERROR(__xludf.DUMMYFUNCTION("""COMPUTED_VALUE"""),"Best Marketing in Australia: 7 Agencies That Actually Deliver (2026)")</f>
        <v>Best Marketing in Australia: 7 Agencies That Actually Deliver (2026)</v>
      </c>
      <c r="C208" s="6" t="str">
        <f>IFERROR(__xludf.DUMMYFUNCTION("""COMPUTED_VALUE"""),"bondipages.com")</f>
        <v>bondipages.com</v>
      </c>
      <c r="D208" s="7" t="str">
        <f>IFERROR(__xludf.DUMMYFUNCTION("""COMPUTED_VALUE"""),"LISTICLE")</f>
        <v>LISTICLE</v>
      </c>
      <c r="E208" s="7" t="str">
        <f>IFERROR(__xludf.DUMMYFUNCTION("""COMPUTED_VALUE"""),"REFERENCE")</f>
        <v>REFERENCE</v>
      </c>
      <c r="F208" s="7" t="str">
        <f>IFERROR(__xludf.DUMMYFUNCTION("""COMPUTED_VALUE"""),"Listicle")</f>
        <v>Listicle</v>
      </c>
      <c r="G208" s="7" t="b">
        <f>IFERROR(__xludf.DUMMYFUNCTION("""COMPUTED_VALUE"""),FALSE)</f>
        <v>0</v>
      </c>
      <c r="H208" s="7" t="str">
        <f>IFERROR(__xludf.DUMMYFUNCTION("""COMPUTED_VALUE"""),"Digital Nomads HQ, Sparro, Megaphone, First Page, Momentum")</f>
        <v>Digital Nomads HQ, Sparro, Megaphone, First Page, Momentum</v>
      </c>
      <c r="I208" s="7">
        <f>IFERROR(__xludf.DUMMYFUNCTION("""COMPUTED_VALUE"""),2.0)</f>
        <v>2</v>
      </c>
      <c r="J208" s="7">
        <f>IFERROR(__xludf.DUMMYFUNCTION("""COMPUTED_VALUE"""),0.0)</f>
        <v>0</v>
      </c>
      <c r="K208" s="7">
        <f>IFERROR(__xludf.DUMMYFUNCTION("""COMPUTED_VALUE"""),0.0)</f>
        <v>0</v>
      </c>
    </row>
    <row r="209" ht="15.75" customHeight="1">
      <c r="A209" s="6" t="str">
        <f>IFERROR(__xludf.DUMMYFUNCTION("""COMPUTED_VALUE"""),"https://builtinsydney.au/articles/digital-marketing-companies-sydney")</f>
        <v>https://builtinsydney.au/articles/digital-marketing-companies-sydney</v>
      </c>
      <c r="B209" s="7" t="str">
        <f>IFERROR(__xludf.DUMMYFUNCTION("""COMPUTED_VALUE"""),"20 Top Digital Marketing Companies in Sydney | Built In Sydney")</f>
        <v>20 Top Digital Marketing Companies in Sydney | Built In Sydney</v>
      </c>
      <c r="C209" s="6" t="str">
        <f>IFERROR(__xludf.DUMMYFUNCTION("""COMPUTED_VALUE"""),"builtinsydney.au")</f>
        <v>builtinsydney.au</v>
      </c>
      <c r="D209" s="7" t="str">
        <f>IFERROR(__xludf.DUMMYFUNCTION("""COMPUTED_VALUE"""),"LISTICLE")</f>
        <v>LISTICLE</v>
      </c>
      <c r="E209" s="7" t="str">
        <f>IFERROR(__xludf.DUMMYFUNCTION("""COMPUTED_VALUE"""),"EDITORIAL")</f>
        <v>EDITORIAL</v>
      </c>
      <c r="F209" s="7" t="str">
        <f>IFERROR(__xludf.DUMMYFUNCTION("""COMPUTED_VALUE"""),"Listicle")</f>
        <v>Listicle</v>
      </c>
      <c r="G209" s="7" t="b">
        <f>IFERROR(__xludf.DUMMYFUNCTION("""COMPUTED_VALUE"""),FALSE)</f>
        <v>0</v>
      </c>
      <c r="H209" s="7" t="str">
        <f>IFERROR(__xludf.DUMMYFUNCTION("""COMPUTED_VALUE"""),"AdVisible, Soup Agency, Human Digital, Webprofits")</f>
        <v>AdVisible, Soup Agency, Human Digital, Webprofits</v>
      </c>
      <c r="I209" s="7">
        <f>IFERROR(__xludf.DUMMYFUNCTION("""COMPUTED_VALUE"""),2.0)</f>
        <v>2</v>
      </c>
      <c r="J209" s="7">
        <f>IFERROR(__xludf.DUMMYFUNCTION("""COMPUTED_VALUE"""),0.0)</f>
        <v>0</v>
      </c>
      <c r="K209" s="7">
        <f>IFERROR(__xludf.DUMMYFUNCTION("""COMPUTED_VALUE"""),0.0)</f>
        <v>0</v>
      </c>
    </row>
    <row r="210" ht="15.75" customHeight="1">
      <c r="A210" s="6" t="str">
        <f>IFERROR(__xludf.DUMMYFUNCTION("""COMPUTED_VALUE"""),"https://builtinsydney.au/articles/marketing-companies-sydney")</f>
        <v>https://builtinsydney.au/articles/marketing-companies-sydney</v>
      </c>
      <c r="B210" s="7" t="str">
        <f>IFERROR(__xludf.DUMMYFUNCTION("""COMPUTED_VALUE"""),"20 Marketing Companies in Sydney to Know | Built In Sydney")</f>
        <v>20 Marketing Companies in Sydney to Know | Built In Sydney</v>
      </c>
      <c r="C210" s="6" t="str">
        <f>IFERROR(__xludf.DUMMYFUNCTION("""COMPUTED_VALUE"""),"builtinsydney.au")</f>
        <v>builtinsydney.au</v>
      </c>
      <c r="D210" s="7" t="str">
        <f>IFERROR(__xludf.DUMMYFUNCTION("""COMPUTED_VALUE"""),"LISTICLE")</f>
        <v>LISTICLE</v>
      </c>
      <c r="E210" s="7" t="str">
        <f>IFERROR(__xludf.DUMMYFUNCTION("""COMPUTED_VALUE"""),"EDITORIAL")</f>
        <v>EDITORIAL</v>
      </c>
      <c r="F210" s="7" t="str">
        <f>IFERROR(__xludf.DUMMYFUNCTION("""COMPUTED_VALUE"""),"Listicle")</f>
        <v>Listicle</v>
      </c>
      <c r="G210" s="7" t="b">
        <f>IFERROR(__xludf.DUMMYFUNCTION("""COMPUTED_VALUE"""),FALSE)</f>
        <v>0</v>
      </c>
      <c r="H210" s="7" t="str">
        <f>IFERROR(__xludf.DUMMYFUNCTION("""COMPUTED_VALUE"""),"Rocket Agency, Bench Media")</f>
        <v>Rocket Agency, Bench Media</v>
      </c>
      <c r="I210" s="7">
        <f>IFERROR(__xludf.DUMMYFUNCTION("""COMPUTED_VALUE"""),2.0)</f>
        <v>2</v>
      </c>
      <c r="J210" s="7">
        <f>IFERROR(__xludf.DUMMYFUNCTION("""COMPUTED_VALUE"""),0.0)</f>
        <v>0</v>
      </c>
      <c r="K210" s="7">
        <f>IFERROR(__xludf.DUMMYFUNCTION("""COMPUTED_VALUE"""),0.5)</f>
        <v>0.5</v>
      </c>
    </row>
    <row r="211" ht="15.75" customHeight="1">
      <c r="A211" s="6" t="str">
        <f>IFERROR(__xludf.DUMMYFUNCTION("""COMPUTED_VALUE"""),"https://conquerradigital.com.au/top-10-programmatic-ads-agencies-in-melbourne/")</f>
        <v>https://conquerradigital.com.au/top-10-programmatic-ads-agencies-in-melbourne/</v>
      </c>
      <c r="B211" s="7" t="str">
        <f>IFERROR(__xludf.DUMMYFUNCTION("""COMPUTED_VALUE"""),"Top 10 Programmatic Ads Agencies In Melbourne | Conquerra Digital")</f>
        <v>Top 10 Programmatic Ads Agencies In Melbourne | Conquerra Digital</v>
      </c>
      <c r="C211" s="6" t="str">
        <f>IFERROR(__xludf.DUMMYFUNCTION("""COMPUTED_VALUE"""),"conquerradigital.com.au")</f>
        <v>conquerradigital.com.au</v>
      </c>
      <c r="D211" s="7" t="str">
        <f>IFERROR(__xludf.DUMMYFUNCTION("""COMPUTED_VALUE"""),"LISTICLE")</f>
        <v>LISTICLE</v>
      </c>
      <c r="E211" s="7" t="str">
        <f>IFERROR(__xludf.DUMMYFUNCTION("""COMPUTED_VALUE"""),"CORPORATE")</f>
        <v>CORPORATE</v>
      </c>
      <c r="F211" s="7" t="str">
        <f>IFERROR(__xludf.DUMMYFUNCTION("""COMPUTED_VALUE"""),"Listicle")</f>
        <v>Listicle</v>
      </c>
      <c r="G211" s="7" t="b">
        <f>IFERROR(__xludf.DUMMYFUNCTION("""COMPUTED_VALUE"""),FALSE)</f>
        <v>0</v>
      </c>
      <c r="H211" s="7" t="str">
        <f>IFERROR(__xludf.DUMMYFUNCTION("""COMPUTED_VALUE"""),"Megaphone, Rocket Agency, Soup Agency, Bench Media, WebSavvy, Resolution Digital, Momentum")</f>
        <v>Megaphone, Rocket Agency, Soup Agency, Bench Media, WebSavvy, Resolution Digital, Momentum</v>
      </c>
      <c r="I211" s="7">
        <f>IFERROR(__xludf.DUMMYFUNCTION("""COMPUTED_VALUE"""),2.0)</f>
        <v>2</v>
      </c>
      <c r="J211" s="7">
        <f>IFERROR(__xludf.DUMMYFUNCTION("""COMPUTED_VALUE"""),0.0)</f>
        <v>0</v>
      </c>
      <c r="K211" s="7">
        <f>IFERROR(__xludf.DUMMYFUNCTION("""COMPUTED_VALUE"""),1.0)</f>
        <v>1</v>
      </c>
    </row>
    <row r="212" ht="15.75" customHeight="1">
      <c r="A212" s="6" t="str">
        <f>IFERROR(__xludf.DUMMYFUNCTION("""COMPUTED_VALUE"""),"https://digitalnomadshq.com.au/blog/best-seo-agencies/")</f>
        <v>https://digitalnomadshq.com.au/blog/best-seo-agencies/</v>
      </c>
      <c r="B212" s="7" t="str">
        <f>IFERROR(__xludf.DUMMYFUNCTION("""COMPUTED_VALUE"""),"Best SEO Agencies in Australia [Updated 2026]")</f>
        <v>Best SEO Agencies in Australia [Updated 2026]</v>
      </c>
      <c r="C212" s="6" t="str">
        <f>IFERROR(__xludf.DUMMYFUNCTION("""COMPUTED_VALUE"""),"digitalnomadshq.com.au")</f>
        <v>digitalnomadshq.com.au</v>
      </c>
      <c r="D212" s="7" t="str">
        <f>IFERROR(__xludf.DUMMYFUNCTION("""COMPUTED_VALUE"""),"LISTICLE")</f>
        <v>LISTICLE</v>
      </c>
      <c r="E212" s="7" t="str">
        <f>IFERROR(__xludf.DUMMYFUNCTION("""COMPUTED_VALUE"""),"COMPETITOR")</f>
        <v>COMPETITOR</v>
      </c>
      <c r="F212" s="7" t="str">
        <f>IFERROR(__xludf.DUMMYFUNCTION("""COMPUTED_VALUE"""),"Listicle")</f>
        <v>Listicle</v>
      </c>
      <c r="G212" s="7" t="b">
        <f>IFERROR(__xludf.DUMMYFUNCTION("""COMPUTED_VALUE"""),FALSE)</f>
        <v>0</v>
      </c>
      <c r="H212" s="7" t="str">
        <f>IFERROR(__xludf.DUMMYFUNCTION("""COMPUTED_VALUE"""),"Digital Nomads HQ, StudioHawk, Online Marketing Gurus, Gorilla 360, Supple Digital, Safari Digital, Clearwater Agency, Impressive, Omnicom Media Group")</f>
        <v>Digital Nomads HQ, StudioHawk, Online Marketing Gurus, Gorilla 360, Supple Digital, Safari Digital, Clearwater Agency, Impressive, Omnicom Media Group</v>
      </c>
      <c r="I212" s="7">
        <f>IFERROR(__xludf.DUMMYFUNCTION("""COMPUTED_VALUE"""),2.0)</f>
        <v>2</v>
      </c>
      <c r="J212" s="7">
        <f>IFERROR(__xludf.DUMMYFUNCTION("""COMPUTED_VALUE"""),0.0)</f>
        <v>0</v>
      </c>
      <c r="K212" s="7">
        <f>IFERROR(__xludf.DUMMYFUNCTION("""COMPUTED_VALUE"""),0.5)</f>
        <v>0.5</v>
      </c>
    </row>
    <row r="213" ht="15.75" customHeight="1">
      <c r="A213" s="6" t="str">
        <f>IFERROR(__xludf.DUMMYFUNCTION("""COMPUTED_VALUE"""),"https://digitalnomadshq.com.au/blog/search-engine-marketing-agencies/")</f>
        <v>https://digitalnomadshq.com.au/blog/search-engine-marketing-agencies/</v>
      </c>
      <c r="B213" s="7" t="str">
        <f>IFERROR(__xludf.DUMMYFUNCTION("""COMPUTED_VALUE"""),"Top 10 Search Engine Marketing Agencies in Australia 2026")</f>
        <v>Top 10 Search Engine Marketing Agencies in Australia 2026</v>
      </c>
      <c r="C213" s="6" t="str">
        <f>IFERROR(__xludf.DUMMYFUNCTION("""COMPUTED_VALUE"""),"digitalnomadshq.com.au")</f>
        <v>digitalnomadshq.com.au</v>
      </c>
      <c r="D213" s="7" t="str">
        <f>IFERROR(__xludf.DUMMYFUNCTION("""COMPUTED_VALUE"""),"LISTICLE")</f>
        <v>LISTICLE</v>
      </c>
      <c r="E213" s="7" t="str">
        <f>IFERROR(__xludf.DUMMYFUNCTION("""COMPUTED_VALUE"""),"COMPETITOR")</f>
        <v>COMPETITOR</v>
      </c>
      <c r="F213" s="7" t="str">
        <f>IFERROR(__xludf.DUMMYFUNCTION("""COMPUTED_VALUE"""),"Listicle")</f>
        <v>Listicle</v>
      </c>
      <c r="G213" s="7" t="b">
        <f>IFERROR(__xludf.DUMMYFUNCTION("""COMPUTED_VALUE"""),FALSE)</f>
        <v>0</v>
      </c>
      <c r="H213" s="7" t="str">
        <f>IFERROR(__xludf.DUMMYFUNCTION("""COMPUTED_VALUE"""),"Digital Nomads HQ, Online Marketing Gurus, Supple Digital, eMarket Experts, Rocket Agency, Omnicom Media Group")</f>
        <v>Digital Nomads HQ, Online Marketing Gurus, Supple Digital, eMarket Experts, Rocket Agency, Omnicom Media Group</v>
      </c>
      <c r="I213" s="7">
        <f>IFERROR(__xludf.DUMMYFUNCTION("""COMPUTED_VALUE"""),2.0)</f>
        <v>2</v>
      </c>
      <c r="J213" s="7">
        <f>IFERROR(__xludf.DUMMYFUNCTION("""COMPUTED_VALUE"""),0.0)</f>
        <v>0</v>
      </c>
      <c r="K213" s="7">
        <f>IFERROR(__xludf.DUMMYFUNCTION("""COMPUTED_VALUE"""),1.0)</f>
        <v>1</v>
      </c>
    </row>
    <row r="214" ht="15.75" customHeight="1">
      <c r="A214" s="6" t="str">
        <f>IFERROR(__xludf.DUMMYFUNCTION("""COMPUTED_VALUE"""),"https://www.elsner.com.au/top-10-seo-agencies-australia-2026/")</f>
        <v>https://www.elsner.com.au/top-10-seo-agencies-australia-2026/</v>
      </c>
      <c r="B214" s="7" t="str">
        <f>IFERROR(__xludf.DUMMYFUNCTION("""COMPUTED_VALUE"""),"Top 10 SEO Agencies in Australia 2026 | Results &amp;amp; Expertise")</f>
        <v>Top 10 SEO Agencies in Australia 2026 | Results &amp;amp; Expertise</v>
      </c>
      <c r="C214" s="6" t="str">
        <f>IFERROR(__xludf.DUMMYFUNCTION("""COMPUTED_VALUE"""),"elsner.com.au")</f>
        <v>elsner.com.au</v>
      </c>
      <c r="D214" s="7" t="str">
        <f>IFERROR(__xludf.DUMMYFUNCTION("""COMPUTED_VALUE"""),"LISTICLE")</f>
        <v>LISTICLE</v>
      </c>
      <c r="E214" s="7" t="str">
        <f>IFERROR(__xludf.DUMMYFUNCTION("""COMPUTED_VALUE"""),"CORPORATE")</f>
        <v>CORPORATE</v>
      </c>
      <c r="F214" s="7" t="str">
        <f>IFERROR(__xludf.DUMMYFUNCTION("""COMPUTED_VALUE"""),"Listicle")</f>
        <v>Listicle</v>
      </c>
      <c r="G214" s="7" t="b">
        <f>IFERROR(__xludf.DUMMYFUNCTION("""COMPUTED_VALUE"""),FALSE)</f>
        <v>0</v>
      </c>
      <c r="H214" s="7" t="str">
        <f>IFERROR(__xludf.DUMMYFUNCTION("""COMPUTED_VALUE"""),"StudioHawk, Prosperity Media, Clearwater Agency, Reef Digital Agency")</f>
        <v>StudioHawk, Prosperity Media, Clearwater Agency, Reef Digital Agency</v>
      </c>
      <c r="I214" s="7">
        <f>IFERROR(__xludf.DUMMYFUNCTION("""COMPUTED_VALUE"""),2.0)</f>
        <v>2</v>
      </c>
      <c r="J214" s="7">
        <f>IFERROR(__xludf.DUMMYFUNCTION("""COMPUTED_VALUE"""),0.0)</f>
        <v>0</v>
      </c>
      <c r="K214" s="7">
        <f>IFERROR(__xludf.DUMMYFUNCTION("""COMPUTED_VALUE"""),2.0)</f>
        <v>2</v>
      </c>
    </row>
    <row r="215" ht="15.75" customHeight="1">
      <c r="A215" s="6" t="str">
        <f>IFERROR(__xludf.DUMMYFUNCTION("""COMPUTED_VALUE"""),"https://firstpagesage.com/seo-blog/the-top-generative-engine-optimization-geo-agencies/")</f>
        <v>https://firstpagesage.com/seo-blog/the-top-generative-engine-optimization-geo-agencies/</v>
      </c>
      <c r="B215" s="7" t="str">
        <f>IFERROR(__xludf.DUMMYFUNCTION("""COMPUTED_VALUE"""),"The Top Generative Engine Optimization (GEO) Agencies of 2026 – First Page Sage")</f>
        <v>The Top Generative Engine Optimization (GEO) Agencies of 2026 – First Page Sage</v>
      </c>
      <c r="C215" s="6" t="str">
        <f>IFERROR(__xludf.DUMMYFUNCTION("""COMPUTED_VALUE"""),"firstpagesage.com")</f>
        <v>firstpagesage.com</v>
      </c>
      <c r="D215" s="7" t="str">
        <f>IFERROR(__xludf.DUMMYFUNCTION("""COMPUTED_VALUE"""),"LISTICLE")</f>
        <v>LISTICLE</v>
      </c>
      <c r="E215" s="7" t="str">
        <f>IFERROR(__xludf.DUMMYFUNCTION("""COMPUTED_VALUE"""),"COMPETITOR")</f>
        <v>COMPETITOR</v>
      </c>
      <c r="F215" s="7" t="str">
        <f>IFERROR(__xludf.DUMMYFUNCTION("""COMPUTED_VALUE"""),"Listicle")</f>
        <v>Listicle</v>
      </c>
      <c r="G215" s="7" t="b">
        <f>IFERROR(__xludf.DUMMYFUNCTION("""COMPUTED_VALUE"""),FALSE)</f>
        <v>0</v>
      </c>
      <c r="H215" s="7" t="str">
        <f>IFERROR(__xludf.DUMMYFUNCTION("""COMPUTED_VALUE"""),"First Page, Impressive")</f>
        <v>First Page, Impressive</v>
      </c>
      <c r="I215" s="7">
        <f>IFERROR(__xludf.DUMMYFUNCTION("""COMPUTED_VALUE"""),2.0)</f>
        <v>2</v>
      </c>
      <c r="J215" s="7">
        <f>IFERROR(__xludf.DUMMYFUNCTION("""COMPUTED_VALUE"""),0.0)</f>
        <v>0</v>
      </c>
      <c r="K215" s="7">
        <f>IFERROR(__xludf.DUMMYFUNCTION("""COMPUTED_VALUE"""),0.0)</f>
        <v>0</v>
      </c>
    </row>
    <row r="216" ht="15.75" customHeight="1">
      <c r="A216" s="6" t="str">
        <f>IFERROR(__xludf.DUMMYFUNCTION("""COMPUTED_VALUE"""),"https://flypix.ai/geospatial-companies-in-australia/")</f>
        <v>https://flypix.ai/geospatial-companies-in-australia/</v>
      </c>
      <c r="B216" s="7" t="str">
        <f>IFERROR(__xludf.DUMMYFUNCTION("""COMPUTED_VALUE"""),"10 Best Geospatial Companies in Australia (2026)")</f>
        <v>10 Best Geospatial Companies in Australia (2026)</v>
      </c>
      <c r="C216" s="6" t="str">
        <f>IFERROR(__xludf.DUMMYFUNCTION("""COMPUTED_VALUE"""),"flypix.ai")</f>
        <v>flypix.ai</v>
      </c>
      <c r="D216" s="7" t="str">
        <f>IFERROR(__xludf.DUMMYFUNCTION("""COMPUTED_VALUE"""),"LISTICLE")</f>
        <v>LISTICLE</v>
      </c>
      <c r="E216" s="7" t="str">
        <f>IFERROR(__xludf.DUMMYFUNCTION("""COMPUTED_VALUE"""),"CORPORATE")</f>
        <v>CORPORATE</v>
      </c>
      <c r="F216" s="7" t="str">
        <f>IFERROR(__xludf.DUMMYFUNCTION("""COMPUTED_VALUE"""),"Listicle")</f>
        <v>Listicle</v>
      </c>
      <c r="G216" s="7" t="b">
        <f>IFERROR(__xludf.DUMMYFUNCTION("""COMPUTED_VALUE"""),FALSE)</f>
        <v>0</v>
      </c>
      <c r="H216" s="7"/>
      <c r="I216" s="7">
        <f>IFERROR(__xludf.DUMMYFUNCTION("""COMPUTED_VALUE"""),2.0)</f>
        <v>2</v>
      </c>
      <c r="J216" s="7">
        <f>IFERROR(__xludf.DUMMYFUNCTION("""COMPUTED_VALUE"""),0.0)</f>
        <v>0</v>
      </c>
      <c r="K216" s="7">
        <f>IFERROR(__xludf.DUMMYFUNCTION("""COMPUTED_VALUE"""),2.0)</f>
        <v>2</v>
      </c>
    </row>
    <row r="217" ht="15.75" customHeight="1">
      <c r="A217" s="6" t="str">
        <f>IFERROR(__xludf.DUMMYFUNCTION("""COMPUTED_VALUE"""),"https://gdaybroadcast.com.au/marketing-agencies-in-melbourne/")</f>
        <v>https://gdaybroadcast.com.au/marketing-agencies-in-melbourne/</v>
      </c>
      <c r="B217" s="7" t="str">
        <f>IFERROR(__xludf.DUMMYFUNCTION("""COMPUTED_VALUE"""),"Top 10 Marketing Agencies in Melbourne - G'Day Broadcast")</f>
        <v>Top 10 Marketing Agencies in Melbourne - G'Day Broadcast</v>
      </c>
      <c r="C217" s="6" t="str">
        <f>IFERROR(__xludf.DUMMYFUNCTION("""COMPUTED_VALUE"""),"gdaybroadcast.com.au")</f>
        <v>gdaybroadcast.com.au</v>
      </c>
      <c r="D217" s="7" t="str">
        <f>IFERROR(__xludf.DUMMYFUNCTION("""COMPUTED_VALUE"""),"LISTICLE")</f>
        <v>LISTICLE</v>
      </c>
      <c r="E217" s="7" t="str">
        <f>IFERROR(__xludf.DUMMYFUNCTION("""COMPUTED_VALUE"""),"CORPORATE")</f>
        <v>CORPORATE</v>
      </c>
      <c r="F217" s="7" t="str">
        <f>IFERROR(__xludf.DUMMYFUNCTION("""COMPUTED_VALUE"""),"Listicle")</f>
        <v>Listicle</v>
      </c>
      <c r="G217" s="7" t="b">
        <f>IFERROR(__xludf.DUMMYFUNCTION("""COMPUTED_VALUE"""),FALSE)</f>
        <v>0</v>
      </c>
      <c r="H217" s="7" t="str">
        <f>IFERROR(__xludf.DUMMYFUNCTION("""COMPUTED_VALUE"""),"Clearwater Agency, Impressive, Emote Digital, Megaphone, Luminary, Online Marketing Gurus, Elephant In The Boardroom")</f>
        <v>Clearwater Agency, Impressive, Emote Digital, Megaphone, Luminary, Online Marketing Gurus, Elephant In The Boardroom</v>
      </c>
      <c r="I217" s="7">
        <f>IFERROR(__xludf.DUMMYFUNCTION("""COMPUTED_VALUE"""),2.0)</f>
        <v>2</v>
      </c>
      <c r="J217" s="7">
        <f>IFERROR(__xludf.DUMMYFUNCTION("""COMPUTED_VALUE"""),0.0)</f>
        <v>0</v>
      </c>
      <c r="K217" s="7">
        <f>IFERROR(__xludf.DUMMYFUNCTION("""COMPUTED_VALUE"""),0.5)</f>
        <v>0.5</v>
      </c>
    </row>
    <row r="218" ht="15.75" customHeight="1">
      <c r="A218" s="6" t="str">
        <f>IFERROR(__xludf.DUMMYFUNCTION("""COMPUTED_VALUE"""),"https://www.growthspreeofficial.com/blogs/best-b2b-saas-agencies-cross-channel-attribution-2026")</f>
        <v>https://www.growthspreeofficial.com/blogs/best-b2b-saas-agencies-cross-channel-attribution-2026</v>
      </c>
      <c r="B218" s="7" t="str">
        <f>IFERROR(__xludf.DUMMYFUNCTION("""COMPUTED_VALUE"""),"The Best B2B SaaS Cross-Channel Attribution Agencies (2026)")</f>
        <v>The Best B2B SaaS Cross-Channel Attribution Agencies (2026)</v>
      </c>
      <c r="C218" s="6" t="str">
        <f>IFERROR(__xludf.DUMMYFUNCTION("""COMPUTED_VALUE"""),"growthspreeofficial.com")</f>
        <v>growthspreeofficial.com</v>
      </c>
      <c r="D218" s="7" t="str">
        <f>IFERROR(__xludf.DUMMYFUNCTION("""COMPUTED_VALUE"""),"LISTICLE")</f>
        <v>LISTICLE</v>
      </c>
      <c r="E218" s="7" t="str">
        <f>IFERROR(__xludf.DUMMYFUNCTION("""COMPUTED_VALUE"""),"CORPORATE")</f>
        <v>CORPORATE</v>
      </c>
      <c r="F218" s="7" t="str">
        <f>IFERROR(__xludf.DUMMYFUNCTION("""COMPUTED_VALUE"""),"Listicle")</f>
        <v>Listicle</v>
      </c>
      <c r="G218" s="7" t="b">
        <f>IFERROR(__xludf.DUMMYFUNCTION("""COMPUTED_VALUE"""),FALSE)</f>
        <v>0</v>
      </c>
      <c r="H218" s="7" t="str">
        <f>IFERROR(__xludf.DUMMYFUNCTION("""COMPUTED_VALUE"""),"First Page")</f>
        <v>First Page</v>
      </c>
      <c r="I218" s="7">
        <f>IFERROR(__xludf.DUMMYFUNCTION("""COMPUTED_VALUE"""),2.0)</f>
        <v>2</v>
      </c>
      <c r="J218" s="7">
        <f>IFERROR(__xludf.DUMMYFUNCTION("""COMPUTED_VALUE"""),0.0)</f>
        <v>0</v>
      </c>
      <c r="K218" s="7">
        <f>IFERROR(__xludf.DUMMYFUNCTION("""COMPUTED_VALUE"""),0.0)</f>
        <v>0</v>
      </c>
    </row>
    <row r="219" ht="15.75" customHeight="1">
      <c r="A219" s="6" t="str">
        <f>IFERROR(__xludf.DUMMYFUNCTION("""COMPUTED_VALUE"""),"https://improvado.io/blog/choosing-marketing-attribution-software")</f>
        <v>https://improvado.io/blog/choosing-marketing-attribution-software</v>
      </c>
      <c r="B219" s="7" t="str">
        <f>IFERROR(__xludf.DUMMYFUNCTION("""COMPUTED_VALUE"""),"Marketing Attribution Software Guide 2026 | Improvado")</f>
        <v>Marketing Attribution Software Guide 2026 | Improvado</v>
      </c>
      <c r="C219" s="6" t="str">
        <f>IFERROR(__xludf.DUMMYFUNCTION("""COMPUTED_VALUE"""),"improvado.io")</f>
        <v>improvado.io</v>
      </c>
      <c r="D219" s="7" t="str">
        <f>IFERROR(__xludf.DUMMYFUNCTION("""COMPUTED_VALUE"""),"LISTICLE")</f>
        <v>LISTICLE</v>
      </c>
      <c r="E219" s="7" t="str">
        <f>IFERROR(__xludf.DUMMYFUNCTION("""COMPUTED_VALUE"""),"CORPORATE")</f>
        <v>CORPORATE</v>
      </c>
      <c r="F219" s="7" t="str">
        <f>IFERROR(__xludf.DUMMYFUNCTION("""COMPUTED_VALUE"""),"Listicle")</f>
        <v>Listicle</v>
      </c>
      <c r="G219" s="7" t="b">
        <f>IFERROR(__xludf.DUMMYFUNCTION("""COMPUTED_VALUE"""),FALSE)</f>
        <v>0</v>
      </c>
      <c r="H219" s="7" t="str">
        <f>IFERROR(__xludf.DUMMYFUNCTION("""COMPUTED_VALUE"""),"Measured, weDiscover")</f>
        <v>Measured, weDiscover</v>
      </c>
      <c r="I219" s="7">
        <f>IFERROR(__xludf.DUMMYFUNCTION("""COMPUTED_VALUE"""),2.0)</f>
        <v>2</v>
      </c>
      <c r="J219" s="7">
        <f>IFERROR(__xludf.DUMMYFUNCTION("""COMPUTED_VALUE"""),0.0)</f>
        <v>0</v>
      </c>
      <c r="K219" s="7">
        <f>IFERROR(__xludf.DUMMYFUNCTION("""COMPUTED_VALUE"""),0.0)</f>
        <v>0</v>
      </c>
    </row>
    <row r="220" ht="15.75" customHeight="1">
      <c r="A220" s="6" t="str">
        <f>IFERROR(__xludf.DUMMYFUNCTION("""COMPUTED_VALUE"""),"https://www.intelegain.com/top-10-ai-development-and-consulting-companies-in-australia/")</f>
        <v>https://www.intelegain.com/top-10-ai-development-and-consulting-companies-in-australia/</v>
      </c>
      <c r="B220" s="7" t="str">
        <f>IFERROR(__xludf.DUMMYFUNCTION("""COMPUTED_VALUE"""),"Top 10 AI Development and Consulting Companies in Australia")</f>
        <v>Top 10 AI Development and Consulting Companies in Australia</v>
      </c>
      <c r="C220" s="6" t="str">
        <f>IFERROR(__xludf.DUMMYFUNCTION("""COMPUTED_VALUE"""),"intelegain.com")</f>
        <v>intelegain.com</v>
      </c>
      <c r="D220" s="7" t="str">
        <f>IFERROR(__xludf.DUMMYFUNCTION("""COMPUTED_VALUE"""),"LISTICLE")</f>
        <v>LISTICLE</v>
      </c>
      <c r="E220" s="7" t="str">
        <f>IFERROR(__xludf.DUMMYFUNCTION("""COMPUTED_VALUE"""),"CORPORATE")</f>
        <v>CORPORATE</v>
      </c>
      <c r="F220" s="7" t="str">
        <f>IFERROR(__xludf.DUMMYFUNCTION("""COMPUTED_VALUE"""),"Listicle")</f>
        <v>Listicle</v>
      </c>
      <c r="G220" s="7" t="b">
        <f>IFERROR(__xludf.DUMMYFUNCTION("""COMPUTED_VALUE"""),FALSE)</f>
        <v>0</v>
      </c>
      <c r="H220" s="7" t="str">
        <f>IFERROR(__xludf.DUMMYFUNCTION("""COMPUTED_VALUE"""),"Huge, Momentum")</f>
        <v>Huge, Momentum</v>
      </c>
      <c r="I220" s="7">
        <f>IFERROR(__xludf.DUMMYFUNCTION("""COMPUTED_VALUE"""),2.0)</f>
        <v>2</v>
      </c>
      <c r="J220" s="7">
        <f>IFERROR(__xludf.DUMMYFUNCTION("""COMPUTED_VALUE"""),0.0)</f>
        <v>0</v>
      </c>
      <c r="K220" s="7">
        <f>IFERROR(__xludf.DUMMYFUNCTION("""COMPUTED_VALUE"""),0.0)</f>
        <v>0</v>
      </c>
    </row>
    <row r="221" ht="15.75" customHeight="1">
      <c r="A221" s="6" t="str">
        <f>IFERROR(__xludf.DUMMYFUNCTION("""COMPUTED_VALUE"""),"https://lbbonline.com/news/a-to-z-aunz-indies-2025")</f>
        <v>https://lbbonline.com/news/a-to-z-aunz-indies-2025</v>
      </c>
      <c r="B221" s="7" t="str">
        <f>IFERROR(__xludf.DUMMYFUNCTION("""COMPUTED_VALUE"""),"An A to Z of the 70+ AUNZ Indies You Need To Know About | LBBOnline")</f>
        <v>An A to Z of the 70+ AUNZ Indies You Need To Know About | LBBOnline</v>
      </c>
      <c r="C221" s="6" t="str">
        <f>IFERROR(__xludf.DUMMYFUNCTION("""COMPUTED_VALUE"""),"lbbonline.com")</f>
        <v>lbbonline.com</v>
      </c>
      <c r="D221" s="7" t="str">
        <f>IFERROR(__xludf.DUMMYFUNCTION("""COMPUTED_VALUE"""),"LISTICLE")</f>
        <v>LISTICLE</v>
      </c>
      <c r="E221" s="7" t="str">
        <f>IFERROR(__xludf.DUMMYFUNCTION("""COMPUTED_VALUE"""),"REFERENCE")</f>
        <v>REFERENCE</v>
      </c>
      <c r="F221" s="7" t="str">
        <f>IFERROR(__xludf.DUMMYFUNCTION("""COMPUTED_VALUE"""),"Listicle")</f>
        <v>Listicle</v>
      </c>
      <c r="G221" s="7" t="b">
        <f>IFERROR(__xludf.DUMMYFUNCTION("""COMPUTED_VALUE"""),FALSE)</f>
        <v>0</v>
      </c>
      <c r="H221" s="7" t="str">
        <f>IFERROR(__xludf.DUMMYFUNCTION("""COMPUTED_VALUE"""),"Momentum, Bear Meets Eagle On Fire, HERO, Ogilvy Australia, Accenture Song, Howatson+Company, The Monkeys, Dentsu, Thinkerbell, We Are Social")</f>
        <v>Momentum, Bear Meets Eagle On Fire, HERO, Ogilvy Australia, Accenture Song, Howatson+Company, The Monkeys, Dentsu, Thinkerbell, We Are Social</v>
      </c>
      <c r="I221" s="7">
        <f>IFERROR(__xludf.DUMMYFUNCTION("""COMPUTED_VALUE"""),2.0)</f>
        <v>2</v>
      </c>
      <c r="J221" s="7">
        <f>IFERROR(__xludf.DUMMYFUNCTION("""COMPUTED_VALUE"""),0.0)</f>
        <v>0</v>
      </c>
      <c r="K221" s="7">
        <f>IFERROR(__xludf.DUMMYFUNCTION("""COMPUTED_VALUE"""),0.0)</f>
        <v>0</v>
      </c>
    </row>
    <row r="222" ht="15.75" customHeight="1">
      <c r="A222" s="6" t="str">
        <f>IFERROR(__xludf.DUMMYFUNCTION("""COMPUTED_VALUE"""),"https://leadsnow.ai/best-pay-per-result-marketing-agencies-australia-2026/")</f>
        <v>https://leadsnow.ai/best-pay-per-result-marketing-agencies-australia-2026/</v>
      </c>
      <c r="B222" s="7" t="str">
        <f>IFERROR(__xludf.DUMMYFUNCTION("""COMPUTED_VALUE"""),"Best Pay-Per-Result Marketing Agencies in Australia (2026) | LeadsNow AI")</f>
        <v>Best Pay-Per-Result Marketing Agencies in Australia (2026) | LeadsNow AI</v>
      </c>
      <c r="C222" s="6" t="str">
        <f>IFERROR(__xludf.DUMMYFUNCTION("""COMPUTED_VALUE"""),"leadsnow.ai")</f>
        <v>leadsnow.ai</v>
      </c>
      <c r="D222" s="7" t="str">
        <f>IFERROR(__xludf.DUMMYFUNCTION("""COMPUTED_VALUE"""),"LISTICLE")</f>
        <v>LISTICLE</v>
      </c>
      <c r="E222" s="7" t="str">
        <f>IFERROR(__xludf.DUMMYFUNCTION("""COMPUTED_VALUE"""),"COMPETITOR")</f>
        <v>COMPETITOR</v>
      </c>
      <c r="F222" s="7" t="str">
        <f>IFERROR(__xludf.DUMMYFUNCTION("""COMPUTED_VALUE"""),"Listicle")</f>
        <v>Listicle</v>
      </c>
      <c r="G222" s="7" t="b">
        <f>IFERROR(__xludf.DUMMYFUNCTION("""COMPUTED_VALUE"""),FALSE)</f>
        <v>0</v>
      </c>
      <c r="H222" s="6" t="str">
        <f>IFERROR(__xludf.DUMMYFUNCTION("""COMPUTED_VALUE"""),"LeadsNow.ai")</f>
        <v>LeadsNow.ai</v>
      </c>
      <c r="I222" s="7">
        <f>IFERROR(__xludf.DUMMYFUNCTION("""COMPUTED_VALUE"""),2.0)</f>
        <v>2</v>
      </c>
      <c r="J222" s="7">
        <f>IFERROR(__xludf.DUMMYFUNCTION("""COMPUTED_VALUE"""),0.0)</f>
        <v>0</v>
      </c>
      <c r="K222" s="7">
        <f>IFERROR(__xludf.DUMMYFUNCTION("""COMPUTED_VALUE"""),1.0)</f>
        <v>1</v>
      </c>
    </row>
    <row r="223" ht="15.75" customHeight="1">
      <c r="A223" s="6" t="str">
        <f>IFERROR(__xludf.DUMMYFUNCTION("""COMPUTED_VALUE"""),"https://www.linkedin.com/pulse/best-performance-marketing-services-australia-vanator-assist-jhjyc")</f>
        <v>https://www.linkedin.com/pulse/best-performance-marketing-services-australia-vanator-assist-jhjyc</v>
      </c>
      <c r="B223" s="7" t="str">
        <f>IFERROR(__xludf.DUMMYFUNCTION("""COMPUTED_VALUE"""),"Best Performance Marketing Services in Australia")</f>
        <v>Best Performance Marketing Services in Australia</v>
      </c>
      <c r="C223" s="6" t="str">
        <f>IFERROR(__xludf.DUMMYFUNCTION("""COMPUTED_VALUE"""),"linkedin.com")</f>
        <v>linkedin.com</v>
      </c>
      <c r="D223" s="7" t="str">
        <f>IFERROR(__xludf.DUMMYFUNCTION("""COMPUTED_VALUE"""),"LISTICLE")</f>
        <v>LISTICLE</v>
      </c>
      <c r="E223" s="7" t="str">
        <f>IFERROR(__xludf.DUMMYFUNCTION("""COMPUTED_VALUE"""),"UGC")</f>
        <v>UGC</v>
      </c>
      <c r="F223" s="7" t="str">
        <f>IFERROR(__xludf.DUMMYFUNCTION("""COMPUTED_VALUE"""),"Listicle")</f>
        <v>Listicle</v>
      </c>
      <c r="G223" s="7" t="b">
        <f>IFERROR(__xludf.DUMMYFUNCTION("""COMPUTED_VALUE"""),FALSE)</f>
        <v>0</v>
      </c>
      <c r="H223" s="7" t="str">
        <f>IFERROR(__xludf.DUMMYFUNCTION("""COMPUTED_VALUE"""),"Digital Nomads HQ, Clearwater Agency, Online Marketing Gurus")</f>
        <v>Digital Nomads HQ, Clearwater Agency, Online Marketing Gurus</v>
      </c>
      <c r="I223" s="7">
        <f>IFERROR(__xludf.DUMMYFUNCTION("""COMPUTED_VALUE"""),2.0)</f>
        <v>2</v>
      </c>
      <c r="J223" s="7">
        <f>IFERROR(__xludf.DUMMYFUNCTION("""COMPUTED_VALUE"""),0.0)</f>
        <v>0</v>
      </c>
      <c r="K223" s="7">
        <f>IFERROR(__xludf.DUMMYFUNCTION("""COMPUTED_VALUE"""),1.0)</f>
        <v>1</v>
      </c>
    </row>
    <row r="224" ht="15.75" customHeight="1">
      <c r="A224" s="6" t="str">
        <f>IFERROR(__xludf.DUMMYFUNCTION("""COMPUTED_VALUE"""),"https://madebyevoke.com/blog/top-branding-agencies-melbourne")</f>
        <v>https://madebyevoke.com/blog/top-branding-agencies-melbourne</v>
      </c>
      <c r="B224" s="7" t="str">
        <f>IFERROR(__xludf.DUMMYFUNCTION("""COMPUTED_VALUE"""),"Top 10 Branding Agencies in Melbourne, Australia (2026) — Ranked | Evoke Studio")</f>
        <v>Top 10 Branding Agencies in Melbourne, Australia (2026) — Ranked | Evoke Studio</v>
      </c>
      <c r="C224" s="6" t="str">
        <f>IFERROR(__xludf.DUMMYFUNCTION("""COMPUTED_VALUE"""),"madebyevoke.com")</f>
        <v>madebyevoke.com</v>
      </c>
      <c r="D224" s="7" t="str">
        <f>IFERROR(__xludf.DUMMYFUNCTION("""COMPUTED_VALUE"""),"LISTICLE")</f>
        <v>LISTICLE</v>
      </c>
      <c r="E224" s="7" t="str">
        <f>IFERROR(__xludf.DUMMYFUNCTION("""COMPUTED_VALUE"""),"CORPORATE")</f>
        <v>CORPORATE</v>
      </c>
      <c r="F224" s="7" t="str">
        <f>IFERROR(__xludf.DUMMYFUNCTION("""COMPUTED_VALUE"""),"Listicle")</f>
        <v>Listicle</v>
      </c>
      <c r="G224" s="7" t="b">
        <f>IFERROR(__xludf.DUMMYFUNCTION("""COMPUTED_VALUE"""),FALSE)</f>
        <v>0</v>
      </c>
      <c r="H224" s="7" t="str">
        <f>IFERROR(__xludf.DUMMYFUNCTION("""COMPUTED_VALUE"""),"Clemenger BBDO, Ogilvy Australia, DDB Australia")</f>
        <v>Clemenger BBDO, Ogilvy Australia, DDB Australia</v>
      </c>
      <c r="I224" s="7">
        <f>IFERROR(__xludf.DUMMYFUNCTION("""COMPUTED_VALUE"""),2.0)</f>
        <v>2</v>
      </c>
      <c r="J224" s="7">
        <f>IFERROR(__xludf.DUMMYFUNCTION("""COMPUTED_VALUE"""),0.0)</f>
        <v>0</v>
      </c>
      <c r="K224" s="7">
        <f>IFERROR(__xludf.DUMMYFUNCTION("""COMPUTED_VALUE"""),2.5)</f>
        <v>2.5</v>
      </c>
    </row>
    <row r="225" ht="15.75" customHeight="1">
      <c r="A225" s="6" t="str">
        <f>IFERROR(__xludf.DUMMYFUNCTION("""COMPUTED_VALUE"""),"https://www.mediaweek.com.au/creative-agency-50-power-list-2023/")</f>
        <v>https://www.mediaweek.com.au/creative-agency-50-power-list-2023/</v>
      </c>
      <c r="B225" s="7" t="str">
        <f>IFERROR(__xludf.DUMMYFUNCTION("""COMPUTED_VALUE"""),"Creative Agency 50 Power List: 2023 \| Mediaweek")</f>
        <v>Creative Agency 50 Power List: 2023 \| Mediaweek</v>
      </c>
      <c r="C225" s="6" t="str">
        <f>IFERROR(__xludf.DUMMYFUNCTION("""COMPUTED_VALUE"""),"mediaweek.com.au")</f>
        <v>mediaweek.com.au</v>
      </c>
      <c r="D225" s="7" t="str">
        <f>IFERROR(__xludf.DUMMYFUNCTION("""COMPUTED_VALUE"""),"LISTICLE")</f>
        <v>LISTICLE</v>
      </c>
      <c r="E225" s="7" t="str">
        <f>IFERROR(__xludf.DUMMYFUNCTION("""COMPUTED_VALUE"""),"EDITORIAL")</f>
        <v>EDITORIAL</v>
      </c>
      <c r="F225" s="7" t="str">
        <f>IFERROR(__xludf.DUMMYFUNCTION("""COMPUTED_VALUE"""),"Listicle")</f>
        <v>Listicle</v>
      </c>
      <c r="G225" s="7" t="b">
        <f>IFERROR(__xludf.DUMMYFUNCTION("""COMPUTED_VALUE"""),FALSE)</f>
        <v>0</v>
      </c>
      <c r="H225" s="7" t="str">
        <f>IFERROR(__xludf.DUMMYFUNCTION("""COMPUTED_VALUE"""),"HERO")</f>
        <v>HERO</v>
      </c>
      <c r="I225" s="7">
        <f>IFERROR(__xludf.DUMMYFUNCTION("""COMPUTED_VALUE"""),2.0)</f>
        <v>2</v>
      </c>
      <c r="J225" s="7">
        <f>IFERROR(__xludf.DUMMYFUNCTION("""COMPUTED_VALUE"""),0.0)</f>
        <v>0</v>
      </c>
      <c r="K225" s="7">
        <f>IFERROR(__xludf.DUMMYFUNCTION("""COMPUTED_VALUE"""),0.0)</f>
        <v>0</v>
      </c>
    </row>
    <row r="226" ht="15.75" customHeight="1">
      <c r="A226" s="6"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226" s="7" t="str">
        <f>IFERROR(__xludf.DUMMYFUNCTION("""COMPUTED_VALUE"""),"15 Best Answer Engine Optimization Agencies: AEO Insights Company Rankings for 2026")</f>
        <v>15 Best Answer Engine Optimization Agencies: AEO Insights Company Rankings for 2026</v>
      </c>
      <c r="C226" s="6" t="str">
        <f>IFERROR(__xludf.DUMMYFUNCTION("""COMPUTED_VALUE"""),"modernmarketingpartners.com")</f>
        <v>modernmarketingpartners.com</v>
      </c>
      <c r="D226" s="7" t="str">
        <f>IFERROR(__xludf.DUMMYFUNCTION("""COMPUTED_VALUE"""),"LISTICLE")</f>
        <v>LISTICLE</v>
      </c>
      <c r="E226" s="7" t="str">
        <f>IFERROR(__xludf.DUMMYFUNCTION("""COMPUTED_VALUE"""),"CORPORATE")</f>
        <v>CORPORATE</v>
      </c>
      <c r="F226" s="7" t="str">
        <f>IFERROR(__xludf.DUMMYFUNCTION("""COMPUTED_VALUE"""),"Listicle")</f>
        <v>Listicle</v>
      </c>
      <c r="G226" s="7" t="b">
        <f>IFERROR(__xludf.DUMMYFUNCTION("""COMPUTED_VALUE"""),FALSE)</f>
        <v>0</v>
      </c>
      <c r="H226" s="7" t="str">
        <f>IFERROR(__xludf.DUMMYFUNCTION("""COMPUTED_VALUE"""),"First Page, Earned Media")</f>
        <v>First Page, Earned Media</v>
      </c>
      <c r="I226" s="7">
        <f>IFERROR(__xludf.DUMMYFUNCTION("""COMPUTED_VALUE"""),2.0)</f>
        <v>2</v>
      </c>
      <c r="J226" s="7">
        <f>IFERROR(__xludf.DUMMYFUNCTION("""COMPUTED_VALUE"""),0.0)</f>
        <v>0</v>
      </c>
      <c r="K226" s="7">
        <f>IFERROR(__xludf.DUMMYFUNCTION("""COMPUTED_VALUE"""),0.0)</f>
        <v>0</v>
      </c>
    </row>
    <row r="227" ht="15.75" customHeight="1">
      <c r="A227" s="6" t="str">
        <f>IFERROR(__xludf.DUMMYFUNCTION("""COMPUTED_VALUE"""),"https://printvideoweb.com.au/blog/30-best-digital-marketing-agencies-in-australia/")</f>
        <v>https://printvideoweb.com.au/blog/30-best-digital-marketing-agencies-in-australia/</v>
      </c>
      <c r="B227" s="7" t="str">
        <f>IFERROR(__xludf.DUMMYFUNCTION("""COMPUTED_VALUE"""),"Top 30 Digital Marketing Agencies in Australia for 2025")</f>
        <v>Top 30 Digital Marketing Agencies in Australia for 2025</v>
      </c>
      <c r="C227" s="6" t="str">
        <f>IFERROR(__xludf.DUMMYFUNCTION("""COMPUTED_VALUE"""),"printvideoweb.com.au")</f>
        <v>printvideoweb.com.au</v>
      </c>
      <c r="D227" s="7" t="str">
        <f>IFERROR(__xludf.DUMMYFUNCTION("""COMPUTED_VALUE"""),"LISTICLE")</f>
        <v>LISTICLE</v>
      </c>
      <c r="E227" s="7" t="str">
        <f>IFERROR(__xludf.DUMMYFUNCTION("""COMPUTED_VALUE"""),"CORPORATE")</f>
        <v>CORPORATE</v>
      </c>
      <c r="F227" s="7" t="str">
        <f>IFERROR(__xludf.DUMMYFUNCTION("""COMPUTED_VALUE"""),"Listicle")</f>
        <v>Listicle</v>
      </c>
      <c r="G227" s="7" t="b">
        <f>IFERROR(__xludf.DUMMYFUNCTION("""COMPUTED_VALUE"""),FALSE)</f>
        <v>0</v>
      </c>
      <c r="H227" s="7"/>
      <c r="I227" s="7">
        <f>IFERROR(__xludf.DUMMYFUNCTION("""COMPUTED_VALUE"""),2.0)</f>
        <v>2</v>
      </c>
      <c r="J227" s="7">
        <f>IFERROR(__xludf.DUMMYFUNCTION("""COMPUTED_VALUE"""),0.0)</f>
        <v>0</v>
      </c>
      <c r="K227" s="7">
        <f>IFERROR(__xludf.DUMMYFUNCTION("""COMPUTED_VALUE"""),0.0)</f>
        <v>0</v>
      </c>
    </row>
    <row r="228" ht="15.75" customHeight="1">
      <c r="A228" s="6" t="str">
        <f>IFERROR(__xludf.DUMMYFUNCTION("""COMPUTED_VALUE"""),"https://sandlabs.com.au/blog/top-ai-consulting-companies-australia")</f>
        <v>https://sandlabs.com.au/blog/top-ai-consulting-companies-australia</v>
      </c>
      <c r="B228" s="7" t="str">
        <f>IFERROR(__xludf.DUMMYFUNCTION("""COMPUTED_VALUE"""),"Top 10 AI Consulting Companies in Australia (2026) - Sandlabs")</f>
        <v>Top 10 AI Consulting Companies in Australia (2026) - Sandlabs</v>
      </c>
      <c r="C228" s="6" t="str">
        <f>IFERROR(__xludf.DUMMYFUNCTION("""COMPUTED_VALUE"""),"sandlabs.com.au")</f>
        <v>sandlabs.com.au</v>
      </c>
      <c r="D228" s="7" t="str">
        <f>IFERROR(__xludf.DUMMYFUNCTION("""COMPUTED_VALUE"""),"LISTICLE")</f>
        <v>LISTICLE</v>
      </c>
      <c r="E228" s="7" t="str">
        <f>IFERROR(__xludf.DUMMYFUNCTION("""COMPUTED_VALUE"""),"CORPORATE")</f>
        <v>CORPORATE</v>
      </c>
      <c r="F228" s="7" t="str">
        <f>IFERROR(__xludf.DUMMYFUNCTION("""COMPUTED_VALUE"""),"Listicle")</f>
        <v>Listicle</v>
      </c>
      <c r="G228" s="7" t="b">
        <f>IFERROR(__xludf.DUMMYFUNCTION("""COMPUTED_VALUE"""),FALSE)</f>
        <v>0</v>
      </c>
      <c r="H228" s="7" t="str">
        <f>IFERROR(__xludf.DUMMYFUNCTION("""COMPUTED_VALUE"""),"Mantel Group")</f>
        <v>Mantel Group</v>
      </c>
      <c r="I228" s="7">
        <f>IFERROR(__xludf.DUMMYFUNCTION("""COMPUTED_VALUE"""),2.0)</f>
        <v>2</v>
      </c>
      <c r="J228" s="7">
        <f>IFERROR(__xludf.DUMMYFUNCTION("""COMPUTED_VALUE"""),0.0)</f>
        <v>0</v>
      </c>
      <c r="K228" s="7">
        <f>IFERROR(__xludf.DUMMYFUNCTION("""COMPUTED_VALUE"""),0.5)</f>
        <v>0.5</v>
      </c>
    </row>
    <row r="229" ht="15.75" customHeight="1">
      <c r="A229" s="6" t="str">
        <f>IFERROR(__xludf.DUMMYFUNCTION("""COMPUTED_VALUE"""),"https://www.seoworks.com/lists/best-aeo-answer-engine-optimisation-agencies/")</f>
        <v>https://www.seoworks.com/lists/best-aeo-answer-engine-optimisation-agencies/</v>
      </c>
      <c r="B229" s="7" t="str">
        <f>IFERROR(__xludf.DUMMYFUNCTION("""COMPUTED_VALUE"""),"20 Best Answer Engine Optimisation (AEO) Agencies (2026) | The SEO Works")</f>
        <v>20 Best Answer Engine Optimisation (AEO) Agencies (2026) | The SEO Works</v>
      </c>
      <c r="C229" s="6" t="str">
        <f>IFERROR(__xludf.DUMMYFUNCTION("""COMPUTED_VALUE"""),"seoworks.com")</f>
        <v>seoworks.com</v>
      </c>
      <c r="D229" s="7" t="str">
        <f>IFERROR(__xludf.DUMMYFUNCTION("""COMPUTED_VALUE"""),"LISTICLE")</f>
        <v>LISTICLE</v>
      </c>
      <c r="E229" s="7" t="str">
        <f>IFERROR(__xludf.DUMMYFUNCTION("""COMPUTED_VALUE"""),"CORPORATE")</f>
        <v>CORPORATE</v>
      </c>
      <c r="F229" s="7" t="str">
        <f>IFERROR(__xludf.DUMMYFUNCTION("""COMPUTED_VALUE"""),"Listicle")</f>
        <v>Listicle</v>
      </c>
      <c r="G229" s="7" t="b">
        <f>IFERROR(__xludf.DUMMYFUNCTION("""COMPUTED_VALUE"""),FALSE)</f>
        <v>0</v>
      </c>
      <c r="H229" s="7" t="str">
        <f>IFERROR(__xludf.DUMMYFUNCTION("""COMPUTED_VALUE"""),"Measured, Brainlabs")</f>
        <v>Measured, Brainlabs</v>
      </c>
      <c r="I229" s="7">
        <f>IFERROR(__xludf.DUMMYFUNCTION("""COMPUTED_VALUE"""),2.0)</f>
        <v>2</v>
      </c>
      <c r="J229" s="7">
        <f>IFERROR(__xludf.DUMMYFUNCTION("""COMPUTED_VALUE"""),0.0)</f>
        <v>0</v>
      </c>
      <c r="K229" s="7">
        <f>IFERROR(__xludf.DUMMYFUNCTION("""COMPUTED_VALUE"""),0.0)</f>
        <v>0</v>
      </c>
    </row>
    <row r="230" ht="15.75" customHeight="1">
      <c r="A230" s="6" t="str">
        <f>IFERROR(__xludf.DUMMYFUNCTION("""COMPUTED_VALUE"""),"https://www.smartosc.com/why-choose-digital-marketing-and-data-analytics-services-australia/")</f>
        <v>https://www.smartosc.com/why-choose-digital-marketing-and-data-analytics-services-australia/</v>
      </c>
      <c r="B230" s="7" t="str">
        <f>IFERROR(__xludf.DUMMYFUNCTION("""COMPUTED_VALUE"""),"Why Choose Digital Marketing and Data Analytics Services Australia - SmartOSC")</f>
        <v>Why Choose Digital Marketing and Data Analytics Services Australia - SmartOSC</v>
      </c>
      <c r="C230" s="6" t="str">
        <f>IFERROR(__xludf.DUMMYFUNCTION("""COMPUTED_VALUE"""),"smartosc.com")</f>
        <v>smartosc.com</v>
      </c>
      <c r="D230" s="7" t="str">
        <f>IFERROR(__xludf.DUMMYFUNCTION("""COMPUTED_VALUE"""),"LISTICLE")</f>
        <v>LISTICLE</v>
      </c>
      <c r="E230" s="7" t="str">
        <f>IFERROR(__xludf.DUMMYFUNCTION("""COMPUTED_VALUE"""),"COMPETITOR")</f>
        <v>COMPETITOR</v>
      </c>
      <c r="F230" s="7" t="str">
        <f>IFERROR(__xludf.DUMMYFUNCTION("""COMPUTED_VALUE"""),"Listicle")</f>
        <v>Listicle</v>
      </c>
      <c r="G230" s="7" t="b">
        <f>IFERROR(__xludf.DUMMYFUNCTION("""COMPUTED_VALUE"""),FALSE)</f>
        <v>0</v>
      </c>
      <c r="H230" s="7" t="str">
        <f>IFERROR(__xludf.DUMMYFUNCTION("""COMPUTED_VALUE"""),"SmartOSC, Impressive, First Page, Deloitte Digital, Deloitte, Megaphone, Bonfire, Rocket Agency, Luminary")</f>
        <v>SmartOSC, Impressive, First Page, Deloitte Digital, Deloitte, Megaphone, Bonfire, Rocket Agency, Luminary</v>
      </c>
      <c r="I230" s="7">
        <f>IFERROR(__xludf.DUMMYFUNCTION("""COMPUTED_VALUE"""),2.0)</f>
        <v>2</v>
      </c>
      <c r="J230" s="7">
        <f>IFERROR(__xludf.DUMMYFUNCTION("""COMPUTED_VALUE"""),0.0)</f>
        <v>0</v>
      </c>
      <c r="K230" s="7">
        <f>IFERROR(__xludf.DUMMYFUNCTION("""COMPUTED_VALUE"""),0.0)</f>
        <v>0</v>
      </c>
    </row>
    <row r="231" ht="15.75" customHeight="1">
      <c r="A231" s="6" t="str">
        <f>IFERROR(__xludf.DUMMYFUNCTION("""COMPUTED_VALUE"""),"https://socialchameleon.com/top-25-digital-marketing-agencies-in-australia/")</f>
        <v>https://socialchameleon.com/top-25-digital-marketing-agencies-in-australia/</v>
      </c>
      <c r="B231" s="7" t="str">
        <f>IFERROR(__xludf.DUMMYFUNCTION("""COMPUTED_VALUE"""),"25 Best Digital Marketing Agencies Australia 2025 | Social Chameleon")</f>
        <v>25 Best Digital Marketing Agencies Australia 2025 | Social Chameleon</v>
      </c>
      <c r="C231" s="6" t="str">
        <f>IFERROR(__xludf.DUMMYFUNCTION("""COMPUTED_VALUE"""),"socialchameleon.com")</f>
        <v>socialchameleon.com</v>
      </c>
      <c r="D231" s="7" t="str">
        <f>IFERROR(__xludf.DUMMYFUNCTION("""COMPUTED_VALUE"""),"LISTICLE")</f>
        <v>LISTICLE</v>
      </c>
      <c r="E231" s="7" t="str">
        <f>IFERROR(__xludf.DUMMYFUNCTION("""COMPUTED_VALUE"""),"CORPORATE")</f>
        <v>CORPORATE</v>
      </c>
      <c r="F231" s="7" t="str">
        <f>IFERROR(__xludf.DUMMYFUNCTION("""COMPUTED_VALUE"""),"Listicle")</f>
        <v>Listicle</v>
      </c>
      <c r="G231" s="7" t="b">
        <f>IFERROR(__xludf.DUMMYFUNCTION("""COMPUTED_VALUE"""),FALSE)</f>
        <v>0</v>
      </c>
      <c r="H231" s="7" t="str">
        <f>IFERROR(__xludf.DUMMYFUNCTION("""COMPUTED_VALUE"""),"Huge, Salt &amp; Fuessel, Megaphone, Digital Movement, Alpha Digital")</f>
        <v>Huge, Salt &amp; Fuessel, Megaphone, Digital Movement, Alpha Digital</v>
      </c>
      <c r="I231" s="7">
        <f>IFERROR(__xludf.DUMMYFUNCTION("""COMPUTED_VALUE"""),2.0)</f>
        <v>2</v>
      </c>
      <c r="J231" s="7">
        <f>IFERROR(__xludf.DUMMYFUNCTION("""COMPUTED_VALUE"""),0.0)</f>
        <v>0</v>
      </c>
      <c r="K231" s="7">
        <f>IFERROR(__xludf.DUMMYFUNCTION("""COMPUTED_VALUE"""),1.5)</f>
        <v>1.5</v>
      </c>
    </row>
    <row r="232" ht="15.75" customHeight="1">
      <c r="A232" s="6" t="str">
        <f>IFERROR(__xludf.DUMMYFUNCTION("""COMPUTED_VALUE"""),"https://www.techyflavors.com/2026/07/top-ai-driven-seo-agencies-in-australia.html")</f>
        <v>https://www.techyflavors.com/2026/07/top-ai-driven-seo-agencies-in-australia.html</v>
      </c>
      <c r="B232" s="7" t="str">
        <f>IFERROR(__xludf.DUMMYFUNCTION("""COMPUTED_VALUE"""),"Top AI-Driven SEO Agencies in Australia for Enterprise Companies")</f>
        <v>Top AI-Driven SEO Agencies in Australia for Enterprise Companies</v>
      </c>
      <c r="C232" s="6" t="str">
        <f>IFERROR(__xludf.DUMMYFUNCTION("""COMPUTED_VALUE"""),"techyflavors.com")</f>
        <v>techyflavors.com</v>
      </c>
      <c r="D232" s="7" t="str">
        <f>IFERROR(__xludf.DUMMYFUNCTION("""COMPUTED_VALUE"""),"LISTICLE")</f>
        <v>LISTICLE</v>
      </c>
      <c r="E232" s="7" t="str">
        <f>IFERROR(__xludf.DUMMYFUNCTION("""COMPUTED_VALUE"""),"EDITORIAL")</f>
        <v>EDITORIAL</v>
      </c>
      <c r="F232" s="7" t="str">
        <f>IFERROR(__xludf.DUMMYFUNCTION("""COMPUTED_VALUE"""),"Listicle")</f>
        <v>Listicle</v>
      </c>
      <c r="G232" s="7" t="b">
        <f>IFERROR(__xludf.DUMMYFUNCTION("""COMPUTED_VALUE"""),FALSE)</f>
        <v>0</v>
      </c>
      <c r="H232" s="7" t="str">
        <f>IFERROR(__xludf.DUMMYFUNCTION("""COMPUTED_VALUE"""),"NP Digital Australia, Zib Digital, Prosperity Media, 80/20 Digital, Safari Digital, Measured")</f>
        <v>NP Digital Australia, Zib Digital, Prosperity Media, 80/20 Digital, Safari Digital, Measured</v>
      </c>
      <c r="I232" s="7">
        <f>IFERROR(__xludf.DUMMYFUNCTION("""COMPUTED_VALUE"""),2.0)</f>
        <v>2</v>
      </c>
      <c r="J232" s="7">
        <f>IFERROR(__xludf.DUMMYFUNCTION("""COMPUTED_VALUE"""),0.0)</f>
        <v>0</v>
      </c>
      <c r="K232" s="7">
        <f>IFERROR(__xludf.DUMMYFUNCTION("""COMPUTED_VALUE"""),0.0)</f>
        <v>0</v>
      </c>
    </row>
    <row r="233" ht="15.75" customHeight="1">
      <c r="A233" s="6" t="str">
        <f>IFERROR(__xludf.DUMMYFUNCTION("""COMPUTED_VALUE"""),"https://thatware.co/top-10-seo-companies-in-australia/")</f>
        <v>https://thatware.co/top-10-seo-companies-in-australia/</v>
      </c>
      <c r="B233" s="7" t="str">
        <f>IFERROR(__xludf.DUMMYFUNCTION("""COMPUTED_VALUE"""),"Top SEO Companies in Australia | 10 Best Australia SEO Firms")</f>
        <v>Top SEO Companies in Australia | 10 Best Australia SEO Firms</v>
      </c>
      <c r="C233" s="6" t="str">
        <f>IFERROR(__xludf.DUMMYFUNCTION("""COMPUTED_VALUE"""),"thatware.co")</f>
        <v>thatware.co</v>
      </c>
      <c r="D233" s="7" t="str">
        <f>IFERROR(__xludf.DUMMYFUNCTION("""COMPUTED_VALUE"""),"LISTICLE")</f>
        <v>LISTICLE</v>
      </c>
      <c r="E233" s="7" t="str">
        <f>IFERROR(__xludf.DUMMYFUNCTION("""COMPUTED_VALUE"""),"CORPORATE")</f>
        <v>CORPORATE</v>
      </c>
      <c r="F233" s="7" t="str">
        <f>IFERROR(__xludf.DUMMYFUNCTION("""COMPUTED_VALUE"""),"Listicle")</f>
        <v>Listicle</v>
      </c>
      <c r="G233" s="7" t="b">
        <f>IFERROR(__xludf.DUMMYFUNCTION("""COMPUTED_VALUE"""),FALSE)</f>
        <v>0</v>
      </c>
      <c r="H233" s="7" t="str">
        <f>IFERROR(__xludf.DUMMYFUNCTION("""COMPUTED_VALUE"""),"Ninja Promo, Supple Digital, Safari Digital, Digital Nomads HQ, Clearwater Agency, Gorilla 360, Measured, Zib Digital")</f>
        <v>Ninja Promo, Supple Digital, Safari Digital, Digital Nomads HQ, Clearwater Agency, Gorilla 360, Measured, Zib Digital</v>
      </c>
      <c r="I233" s="7">
        <f>IFERROR(__xludf.DUMMYFUNCTION("""COMPUTED_VALUE"""),2.0)</f>
        <v>2</v>
      </c>
      <c r="J233" s="7">
        <f>IFERROR(__xludf.DUMMYFUNCTION("""COMPUTED_VALUE"""),0.0)</f>
        <v>0</v>
      </c>
      <c r="K233" s="7">
        <f>IFERROR(__xludf.DUMMYFUNCTION("""COMPUTED_VALUE"""),1.5)</f>
        <v>1.5</v>
      </c>
    </row>
    <row r="234" ht="15.75" customHeight="1">
      <c r="A234" s="6" t="str">
        <f>IFERROR(__xludf.DUMMYFUNCTION("""COMPUTED_VALUE"""),"https://themanifest.com/au/social-media/tiktok/agencies")</f>
        <v>https://themanifest.com/au/social-media/tiktok/agencies</v>
      </c>
      <c r="B234" s="7" t="str">
        <f>IFERROR(__xludf.DUMMYFUNCTION("""COMPUTED_VALUE"""),"The Best TikTok Advertising Companies in Australia - Jul 2026 | The Manifest")</f>
        <v>The Best TikTok Advertising Companies in Australia - Jul 2026 | The Manifest</v>
      </c>
      <c r="C234" s="6" t="str">
        <f>IFERROR(__xludf.DUMMYFUNCTION("""COMPUTED_VALUE"""),"themanifest.com")</f>
        <v>themanifest.com</v>
      </c>
      <c r="D234" s="7" t="str">
        <f>IFERROR(__xludf.DUMMYFUNCTION("""COMPUTED_VALUE"""),"LISTICLE")</f>
        <v>LISTICLE</v>
      </c>
      <c r="E234" s="7" t="str">
        <f>IFERROR(__xludf.DUMMYFUNCTION("""COMPUTED_VALUE"""),"REFERENCE")</f>
        <v>REFERENCE</v>
      </c>
      <c r="F234" s="7" t="str">
        <f>IFERROR(__xludf.DUMMYFUNCTION("""COMPUTED_VALUE"""),"Listicle")</f>
        <v>Listicle</v>
      </c>
      <c r="G234" s="7" t="b">
        <f>IFERROR(__xludf.DUMMYFUNCTION("""COMPUTED_VALUE"""),FALSE)</f>
        <v>0</v>
      </c>
      <c r="H234" s="7" t="str">
        <f>IFERROR(__xludf.DUMMYFUNCTION("""COMPUTED_VALUE"""),"Digital Nomads HQ, Megaphone, Soup Agency, Paradox Marketing, Emote Digital, Bench Media, Salt &amp; Fuessel, Reform Digital")</f>
        <v>Digital Nomads HQ, Megaphone, Soup Agency, Paradox Marketing, Emote Digital, Bench Media, Salt &amp; Fuessel, Reform Digital</v>
      </c>
      <c r="I234" s="7">
        <f>IFERROR(__xludf.DUMMYFUNCTION("""COMPUTED_VALUE"""),2.0)</f>
        <v>2</v>
      </c>
      <c r="J234" s="7">
        <f>IFERROR(__xludf.DUMMYFUNCTION("""COMPUTED_VALUE"""),0.0)</f>
        <v>0</v>
      </c>
      <c r="K234" s="7">
        <f>IFERROR(__xludf.DUMMYFUNCTION("""COMPUTED_VALUE"""),0.0)</f>
        <v>0</v>
      </c>
    </row>
    <row r="235" ht="15.75" customHeight="1">
      <c r="A235" s="6" t="str">
        <f>IFERROR(__xludf.DUMMYFUNCTION("""COMPUTED_VALUE"""),"https://www.upliftgtm.com/blog/best-geo-agencies")</f>
        <v>https://www.upliftgtm.com/blog/best-geo-agencies</v>
      </c>
      <c r="B235" s="7" t="str">
        <f>IFERROR(__xludf.DUMMYFUNCTION("""COMPUTED_VALUE"""),"Best GEO Agencies 2026: Top 12 Generative Engine Optimization Firms")</f>
        <v>Best GEO Agencies 2026: Top 12 Generative Engine Optimization Firms</v>
      </c>
      <c r="C235" s="6" t="str">
        <f>IFERROR(__xludf.DUMMYFUNCTION("""COMPUTED_VALUE"""),"upliftgtm.com")</f>
        <v>upliftgtm.com</v>
      </c>
      <c r="D235" s="7" t="str">
        <f>IFERROR(__xludf.DUMMYFUNCTION("""COMPUTED_VALUE"""),"LISTICLE")</f>
        <v>LISTICLE</v>
      </c>
      <c r="E235" s="7" t="str">
        <f>IFERROR(__xludf.DUMMYFUNCTION("""COMPUTED_VALUE"""),"CORPORATE")</f>
        <v>CORPORATE</v>
      </c>
      <c r="F235" s="7" t="str">
        <f>IFERROR(__xludf.DUMMYFUNCTION("""COMPUTED_VALUE"""),"Listicle")</f>
        <v>Listicle</v>
      </c>
      <c r="G235" s="7" t="b">
        <f>IFERROR(__xludf.DUMMYFUNCTION("""COMPUTED_VALUE"""),FALSE)</f>
        <v>0</v>
      </c>
      <c r="H235" s="7"/>
      <c r="I235" s="7">
        <f>IFERROR(__xludf.DUMMYFUNCTION("""COMPUTED_VALUE"""),2.0)</f>
        <v>2</v>
      </c>
      <c r="J235" s="7">
        <f>IFERROR(__xludf.DUMMYFUNCTION("""COMPUTED_VALUE"""),0.0)</f>
        <v>0</v>
      </c>
      <c r="K235" s="7">
        <f>IFERROR(__xludf.DUMMYFUNCTION("""COMPUTED_VALUE"""),0.0)</f>
        <v>0</v>
      </c>
    </row>
    <row r="236" ht="15.75" customHeight="1">
      <c r="A236" s="6" t="str">
        <f>IFERROR(__xludf.DUMMYFUNCTION("""COMPUTED_VALUE"""),"https://xpon.ai/resources/best-ai-marketing-tools-for-2025/")</f>
        <v>https://xpon.ai/resources/best-ai-marketing-tools-for-2025/</v>
      </c>
      <c r="B236" s="7" t="str">
        <f>IFERROR(__xludf.DUMMYFUNCTION("""COMPUTED_VALUE"""),"Best AI Marketing Tools 2026: Australia &amp;amp; NZ Guide | XPON")</f>
        <v>Best AI Marketing Tools 2026: Australia &amp;amp; NZ Guide | XPON</v>
      </c>
      <c r="C236" s="6" t="str">
        <f>IFERROR(__xludf.DUMMYFUNCTION("""COMPUTED_VALUE"""),"xpon.ai")</f>
        <v>xpon.ai</v>
      </c>
      <c r="D236" s="7" t="str">
        <f>IFERROR(__xludf.DUMMYFUNCTION("""COMPUTED_VALUE"""),"LISTICLE")</f>
        <v>LISTICLE</v>
      </c>
      <c r="E236" s="7" t="str">
        <f>IFERROR(__xludf.DUMMYFUNCTION("""COMPUTED_VALUE"""),"COMPETITOR")</f>
        <v>COMPETITOR</v>
      </c>
      <c r="F236" s="7" t="str">
        <f>IFERROR(__xludf.DUMMYFUNCTION("""COMPUTED_VALUE"""),"Listicle")</f>
        <v>Listicle</v>
      </c>
      <c r="G236" s="7" t="b">
        <f>IFERROR(__xludf.DUMMYFUNCTION("""COMPUTED_VALUE"""),FALSE)</f>
        <v>0</v>
      </c>
      <c r="H236" s="7" t="str">
        <f>IFERROR(__xludf.DUMMYFUNCTION("""COMPUTED_VALUE"""),"XPON")</f>
        <v>XPON</v>
      </c>
      <c r="I236" s="7">
        <f>IFERROR(__xludf.DUMMYFUNCTION("""COMPUTED_VALUE"""),2.0)</f>
        <v>2</v>
      </c>
      <c r="J236" s="7">
        <f>IFERROR(__xludf.DUMMYFUNCTION("""COMPUTED_VALUE"""),0.0)</f>
        <v>0</v>
      </c>
      <c r="K236" s="7">
        <f>IFERROR(__xludf.DUMMYFUNCTION("""COMPUTED_VALUE"""),0.5)</f>
        <v>0.5</v>
      </c>
    </row>
    <row r="237" ht="15.75" customHeight="1">
      <c r="A237" s="6" t="str">
        <f>IFERROR(__xludf.DUMMYFUNCTION("""COMPUTED_VALUE"""),"https://www.youfinddigital.com/blog/best-geo-agency-for-ai-search.html")</f>
        <v>https://www.youfinddigital.com/blog/best-geo-agency-for-ai-search.html</v>
      </c>
      <c r="B237" s="7" t="str">
        <f>IFERROR(__xludf.DUMMYFUNCTION("""COMPUTED_VALUE"""),"15 Best GEO Agencies in 2026 | Top Generative Engine Optimization Firms")</f>
        <v>15 Best GEO Agencies in 2026 | Top Generative Engine Optimization Firms</v>
      </c>
      <c r="C237" s="6" t="str">
        <f>IFERROR(__xludf.DUMMYFUNCTION("""COMPUTED_VALUE"""),"youfinddigital.com")</f>
        <v>youfinddigital.com</v>
      </c>
      <c r="D237" s="7" t="str">
        <f>IFERROR(__xludf.DUMMYFUNCTION("""COMPUTED_VALUE"""),"LISTICLE")</f>
        <v>LISTICLE</v>
      </c>
      <c r="E237" s="7" t="str">
        <f>IFERROR(__xludf.DUMMYFUNCTION("""COMPUTED_VALUE"""),"CORPORATE")</f>
        <v>CORPORATE</v>
      </c>
      <c r="F237" s="7" t="str">
        <f>IFERROR(__xludf.DUMMYFUNCTION("""COMPUTED_VALUE"""),"Listicle")</f>
        <v>Listicle</v>
      </c>
      <c r="G237" s="7" t="b">
        <f>IFERROR(__xludf.DUMMYFUNCTION("""COMPUTED_VALUE"""),FALSE)</f>
        <v>0</v>
      </c>
      <c r="H237" s="7" t="str">
        <f>IFERROR(__xludf.DUMMYFUNCTION("""COMPUTED_VALUE"""),"Intero Digital, First Page")</f>
        <v>Intero Digital, First Page</v>
      </c>
      <c r="I237" s="7">
        <f>IFERROR(__xludf.DUMMYFUNCTION("""COMPUTED_VALUE"""),2.0)</f>
        <v>2</v>
      </c>
      <c r="J237" s="7">
        <f>IFERROR(__xludf.DUMMYFUNCTION("""COMPUTED_VALUE"""),0.0)</f>
        <v>0</v>
      </c>
      <c r="K237" s="7">
        <f>IFERROR(__xludf.DUMMYFUNCTION("""COMPUTED_VALUE"""),0.0)</f>
        <v>0</v>
      </c>
    </row>
    <row r="238" ht="15.75" customHeight="1">
      <c r="A238" s="6" t="str">
        <f>IFERROR(__xludf.DUMMYFUNCTION("""COMPUTED_VALUE"""),"https://www.youtube.com/watch?v=3y6n2-qGxnE")</f>
        <v>https://www.youtube.com/watch?v=3y6n2-qGxnE</v>
      </c>
      <c r="B238" s="7" t="str">
        <f>IFERROR(__xludf.DUMMYFUNCTION("""COMPUTED_VALUE"""),"12 Best AI Digital Marketing Services in Australia | Solve Traffic &amp; Sales Problems in 2026")</f>
        <v>12 Best AI Digital Marketing Services in Australia | Solve Traffic &amp; Sales Problems in 2026</v>
      </c>
      <c r="C238" s="6" t="str">
        <f>IFERROR(__xludf.DUMMYFUNCTION("""COMPUTED_VALUE"""),"youtube.com")</f>
        <v>youtube.com</v>
      </c>
      <c r="D238" s="7" t="str">
        <f>IFERROR(__xludf.DUMMYFUNCTION("""COMPUTED_VALUE"""),"LISTICLE")</f>
        <v>LISTICLE</v>
      </c>
      <c r="E238" s="7" t="str">
        <f>IFERROR(__xludf.DUMMYFUNCTION("""COMPUTED_VALUE"""),"UGC")</f>
        <v>UGC</v>
      </c>
      <c r="F238" s="7" t="str">
        <f>IFERROR(__xludf.DUMMYFUNCTION("""COMPUTED_VALUE"""),"Listicle")</f>
        <v>Listicle</v>
      </c>
      <c r="G238" s="7" t="b">
        <f>IFERROR(__xludf.DUMMYFUNCTION("""COMPUTED_VALUE"""),FALSE)</f>
        <v>0</v>
      </c>
      <c r="H238" s="7" t="str">
        <f>IFERROR(__xludf.DUMMYFUNCTION("""COMPUTED_VALUE"""),"OMD, Rocket Agency, Digital Movement, First Page, Emote Digital")</f>
        <v>OMD, Rocket Agency, Digital Movement, First Page, Emote Digital</v>
      </c>
      <c r="I238" s="7">
        <f>IFERROR(__xludf.DUMMYFUNCTION("""COMPUTED_VALUE"""),2.0)</f>
        <v>2</v>
      </c>
      <c r="J238" s="7">
        <f>IFERROR(__xludf.DUMMYFUNCTION("""COMPUTED_VALUE"""),0.0)</f>
        <v>0</v>
      </c>
      <c r="K238" s="7">
        <f>IFERROR(__xludf.DUMMYFUNCTION("""COMPUTED_VALUE"""),2.0)</f>
        <v>2</v>
      </c>
    </row>
    <row r="239" ht="15.75" customHeight="1">
      <c r="A239" s="6" t="str">
        <f>IFERROR(__xludf.DUMMYFUNCTION("""COMPUTED_VALUE"""),"https://zipdo.co/service/marketing-attribution/")</f>
        <v>https://zipdo.co/service/marketing-attribution/</v>
      </c>
      <c r="B239" s="7" t="str">
        <f>IFERROR(__xludf.DUMMYFUNCTION("""COMPUTED_VALUE"""),"Top 10 Best Marketing Attribution Services | Top Picks 2026")</f>
        <v>Top 10 Best Marketing Attribution Services | Top Picks 2026</v>
      </c>
      <c r="C239" s="6" t="str">
        <f>IFERROR(__xludf.DUMMYFUNCTION("""COMPUTED_VALUE"""),"zipdo.co")</f>
        <v>zipdo.co</v>
      </c>
      <c r="D239" s="7" t="str">
        <f>IFERROR(__xludf.DUMMYFUNCTION("""COMPUTED_VALUE"""),"LISTICLE")</f>
        <v>LISTICLE</v>
      </c>
      <c r="E239" s="7" t="str">
        <f>IFERROR(__xludf.DUMMYFUNCTION("""COMPUTED_VALUE"""),"REFERENCE")</f>
        <v>REFERENCE</v>
      </c>
      <c r="F239" s="7" t="str">
        <f>IFERROR(__xludf.DUMMYFUNCTION("""COMPUTED_VALUE"""),"Listicle")</f>
        <v>Listicle</v>
      </c>
      <c r="G239" s="7" t="b">
        <f>IFERROR(__xludf.DUMMYFUNCTION("""COMPUTED_VALUE"""),FALSE)</f>
        <v>0</v>
      </c>
      <c r="H239" s="7" t="str">
        <f>IFERROR(__xludf.DUMMYFUNCTION("""COMPUTED_VALUE"""),"Deloitte")</f>
        <v>Deloitte</v>
      </c>
      <c r="I239" s="7">
        <f>IFERROR(__xludf.DUMMYFUNCTION("""COMPUTED_VALUE"""),2.0)</f>
        <v>2</v>
      </c>
      <c r="J239" s="7">
        <f>IFERROR(__xludf.DUMMYFUNCTION("""COMPUTED_VALUE"""),0.0)</f>
        <v>0</v>
      </c>
      <c r="K239" s="7">
        <f>IFERROR(__xludf.DUMMYFUNCTION("""COMPUTED_VALUE"""),0.0)</f>
        <v>0</v>
      </c>
    </row>
    <row r="240" ht="15.75" customHeight="1">
      <c r="A240" s="6" t="str">
        <f>IFERROR(__xludf.DUMMYFUNCTION("""COMPUTED_VALUE"""),"https://6sense.com/blog/best-account-based-marketing-platforms/")</f>
        <v>https://6sense.com/blog/best-account-based-marketing-platforms/</v>
      </c>
      <c r="B240" s="7" t="str">
        <f>IFERROR(__xludf.DUMMYFUNCTION("""COMPUTED_VALUE"""),"Best Account Based Marketing Platforms | 6sense")</f>
        <v>Best Account Based Marketing Platforms | 6sense</v>
      </c>
      <c r="C240" s="6" t="str">
        <f>IFERROR(__xludf.DUMMYFUNCTION("""COMPUTED_VALUE"""),"6sense.com")</f>
        <v>6sense.com</v>
      </c>
      <c r="D240" s="7" t="str">
        <f>IFERROR(__xludf.DUMMYFUNCTION("""COMPUTED_VALUE"""),"LISTICLE")</f>
        <v>LISTICLE</v>
      </c>
      <c r="E240" s="7" t="str">
        <f>IFERROR(__xludf.DUMMYFUNCTION("""COMPUTED_VALUE"""),"CORPORATE")</f>
        <v>CORPORATE</v>
      </c>
      <c r="F240" s="7" t="str">
        <f>IFERROR(__xludf.DUMMYFUNCTION("""COMPUTED_VALUE"""),"Listicle")</f>
        <v>Listicle</v>
      </c>
      <c r="G240" s="7" t="b">
        <f>IFERROR(__xludf.DUMMYFUNCTION("""COMPUTED_VALUE"""),FALSE)</f>
        <v>0</v>
      </c>
      <c r="H240" s="7"/>
      <c r="I240" s="7">
        <f>IFERROR(__xludf.DUMMYFUNCTION("""COMPUTED_VALUE"""),1.0)</f>
        <v>1</v>
      </c>
      <c r="J240" s="7">
        <f>IFERROR(__xludf.DUMMYFUNCTION("""COMPUTED_VALUE"""),0.0)</f>
        <v>0</v>
      </c>
      <c r="K240" s="7">
        <f>IFERROR(__xludf.DUMMYFUNCTION("""COMPUTED_VALUE"""),1.0)</f>
        <v>1</v>
      </c>
    </row>
    <row r="241" ht="15.75" customHeight="1">
      <c r="A241" s="6" t="str">
        <f>IFERROR(__xludf.DUMMYFUNCTION("""COMPUTED_VALUE"""),"https://aamax.co/blog/top-10-best-digital-marketing-companies-in-australia")</f>
        <v>https://aamax.co/blog/top-10-best-digital-marketing-companies-in-australia</v>
      </c>
      <c r="B241" s="7" t="str">
        <f>IFERROR(__xludf.DUMMYFUNCTION("""COMPUTED_VALUE"""),"Top 10 Best Digital Marketing Companies in Australia")</f>
        <v>Top 10 Best Digital Marketing Companies in Australia</v>
      </c>
      <c r="C241" s="6" t="str">
        <f>IFERROR(__xludf.DUMMYFUNCTION("""COMPUTED_VALUE"""),"aamax.co")</f>
        <v>aamax.co</v>
      </c>
      <c r="D241" s="7" t="str">
        <f>IFERROR(__xludf.DUMMYFUNCTION("""COMPUTED_VALUE"""),"LISTICLE")</f>
        <v>LISTICLE</v>
      </c>
      <c r="E241" s="7" t="str">
        <f>IFERROR(__xludf.DUMMYFUNCTION("""COMPUTED_VALUE"""),"CORPORATE")</f>
        <v>CORPORATE</v>
      </c>
      <c r="F241" s="7" t="str">
        <f>IFERROR(__xludf.DUMMYFUNCTION("""COMPUTED_VALUE"""),"Listicle")</f>
        <v>Listicle</v>
      </c>
      <c r="G241" s="7" t="b">
        <f>IFERROR(__xludf.DUMMYFUNCTION("""COMPUTED_VALUE"""),FALSE)</f>
        <v>0</v>
      </c>
      <c r="H241" s="7" t="str">
        <f>IFERROR(__xludf.DUMMYFUNCTION("""COMPUTED_VALUE"""),"WPP, Dentsu, Resolution Digital, Sparro, StudioHawk, Webprofits, Online Marketing Gurus")</f>
        <v>WPP, Dentsu, Resolution Digital, Sparro, StudioHawk, Webprofits, Online Marketing Gurus</v>
      </c>
      <c r="I241" s="7">
        <f>IFERROR(__xludf.DUMMYFUNCTION("""COMPUTED_VALUE"""),1.0)</f>
        <v>1</v>
      </c>
      <c r="J241" s="7">
        <f>IFERROR(__xludf.DUMMYFUNCTION("""COMPUTED_VALUE"""),0.0)</f>
        <v>0</v>
      </c>
      <c r="K241" s="7">
        <f>IFERROR(__xludf.DUMMYFUNCTION("""COMPUTED_VALUE"""),1.0)</f>
        <v>1</v>
      </c>
    </row>
    <row r="242" ht="15.75" customHeight="1">
      <c r="A242" s="6" t="str">
        <f>IFERROR(__xludf.DUMMYFUNCTION("""COMPUTED_VALUE"""),"https://www.adcore.com/blog/5-best-digital-marketing-agencies-in-melbourne/")</f>
        <v>https://www.adcore.com/blog/5-best-digital-marketing-agencies-in-melbourne/</v>
      </c>
      <c r="B242" s="7" t="str">
        <f>IFERROR(__xludf.DUMMYFUNCTION("""COMPUTED_VALUE"""),"5 Best Digital Marketing Agencies in Melbourne [2026] | Adcore Blog")</f>
        <v>5 Best Digital Marketing Agencies in Melbourne [2026] | Adcore Blog</v>
      </c>
      <c r="C242" s="6" t="str">
        <f>IFERROR(__xludf.DUMMYFUNCTION("""COMPUTED_VALUE"""),"adcore.com")</f>
        <v>adcore.com</v>
      </c>
      <c r="D242" s="7" t="str">
        <f>IFERROR(__xludf.DUMMYFUNCTION("""COMPUTED_VALUE"""),"LISTICLE")</f>
        <v>LISTICLE</v>
      </c>
      <c r="E242" s="7" t="str">
        <f>IFERROR(__xludf.DUMMYFUNCTION("""COMPUTED_VALUE"""),"COMPETITOR")</f>
        <v>COMPETITOR</v>
      </c>
      <c r="F242" s="7" t="str">
        <f>IFERROR(__xludf.DUMMYFUNCTION("""COMPUTED_VALUE"""),"Listicle")</f>
        <v>Listicle</v>
      </c>
      <c r="G242" s="7" t="b">
        <f>IFERROR(__xludf.DUMMYFUNCTION("""COMPUTED_VALUE"""),FALSE)</f>
        <v>0</v>
      </c>
      <c r="H242" s="7" t="str">
        <f>IFERROR(__xludf.DUMMYFUNCTION("""COMPUTED_VALUE"""),"Adcore Elite, Online Marketing Gurus, Clearwater Agency, Digital Movement")</f>
        <v>Adcore Elite, Online Marketing Gurus, Clearwater Agency, Digital Movement</v>
      </c>
      <c r="I242" s="7">
        <f>IFERROR(__xludf.DUMMYFUNCTION("""COMPUTED_VALUE"""),1.0)</f>
        <v>1</v>
      </c>
      <c r="J242" s="7">
        <f>IFERROR(__xludf.DUMMYFUNCTION("""COMPUTED_VALUE"""),0.0)</f>
        <v>0</v>
      </c>
      <c r="K242" s="7">
        <f>IFERROR(__xludf.DUMMYFUNCTION("""COMPUTED_VALUE"""),1.0)</f>
        <v>1</v>
      </c>
    </row>
    <row r="243" ht="15.75" customHeight="1">
      <c r="A243" s="6" t="str">
        <f>IFERROR(__xludf.DUMMYFUNCTION("""COMPUTED_VALUE"""),"https://www.adnews.com.au/news/aimco-s-2025-winners-revealed")</f>
        <v>https://www.adnews.com.au/news/aimco-s-2025-winners-revealed</v>
      </c>
      <c r="B243" s="7" t="str">
        <f>IFERROR(__xludf.DUMMYFUNCTION("""COMPUTED_VALUE"""),"AiMCO's 2025 winners revealed - AdNews")</f>
        <v>AiMCO's 2025 winners revealed - AdNews</v>
      </c>
      <c r="C243" s="6" t="str">
        <f>IFERROR(__xludf.DUMMYFUNCTION("""COMPUTED_VALUE"""),"adnews.com.au")</f>
        <v>adnews.com.au</v>
      </c>
      <c r="D243" s="7" t="str">
        <f>IFERROR(__xludf.DUMMYFUNCTION("""COMPUTED_VALUE"""),"LISTICLE")</f>
        <v>LISTICLE</v>
      </c>
      <c r="E243" s="7" t="str">
        <f>IFERROR(__xludf.DUMMYFUNCTION("""COMPUTED_VALUE"""),"EDITORIAL")</f>
        <v>EDITORIAL</v>
      </c>
      <c r="F243" s="7" t="str">
        <f>IFERROR(__xludf.DUMMYFUNCTION("""COMPUTED_VALUE"""),"Listicle")</f>
        <v>Listicle</v>
      </c>
      <c r="G243" s="7" t="b">
        <f>IFERROR(__xludf.DUMMYFUNCTION("""COMPUTED_VALUE"""),FALSE)</f>
        <v>0</v>
      </c>
      <c r="H243" s="7" t="str">
        <f>IFERROR(__xludf.DUMMYFUNCTION("""COMPUTED_VALUE"""),"Wavemaker, WPP, HERO, Omnicom Media Group, EssenceMediacom, Mindshare")</f>
        <v>Wavemaker, WPP, HERO, Omnicom Media Group, EssenceMediacom, Mindshare</v>
      </c>
      <c r="I243" s="7">
        <f>IFERROR(__xludf.DUMMYFUNCTION("""COMPUTED_VALUE"""),1.0)</f>
        <v>1</v>
      </c>
      <c r="J243" s="7">
        <f>IFERROR(__xludf.DUMMYFUNCTION("""COMPUTED_VALUE"""),0.0)</f>
        <v>0</v>
      </c>
      <c r="K243" s="7">
        <f>IFERROR(__xludf.DUMMYFUNCTION("""COMPUTED_VALUE"""),0.0)</f>
        <v>0</v>
      </c>
    </row>
    <row r="244" ht="15.75" customHeight="1">
      <c r="A244" s="6" t="str">
        <f>IFERROR(__xludf.DUMMYFUNCTION("""COMPUTED_VALUE"""),"https://www.alphaapexgroup.com/blog/top-ai-consulting-firms")</f>
        <v>https://www.alphaapexgroup.com/blog/top-ai-consulting-firms</v>
      </c>
      <c r="B244" s="7"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244" s="6" t="str">
        <f>IFERROR(__xludf.DUMMYFUNCTION("""COMPUTED_VALUE"""),"alphaapexgroup.com")</f>
        <v>alphaapexgroup.com</v>
      </c>
      <c r="D244" s="7" t="str">
        <f>IFERROR(__xludf.DUMMYFUNCTION("""COMPUTED_VALUE"""),"LISTICLE")</f>
        <v>LISTICLE</v>
      </c>
      <c r="E244" s="7" t="str">
        <f>IFERROR(__xludf.DUMMYFUNCTION("""COMPUTED_VALUE"""),"CORPORATE")</f>
        <v>CORPORATE</v>
      </c>
      <c r="F244" s="7" t="str">
        <f>IFERROR(__xludf.DUMMYFUNCTION("""COMPUTED_VALUE"""),"Listicle")</f>
        <v>Listicle</v>
      </c>
      <c r="G244" s="7" t="b">
        <f>IFERROR(__xludf.DUMMYFUNCTION("""COMPUTED_VALUE"""),FALSE)</f>
        <v>0</v>
      </c>
      <c r="H244" s="7" t="str">
        <f>IFERROR(__xludf.DUMMYFUNCTION("""COMPUTED_VALUE"""),"Deloitte, Impressive")</f>
        <v>Deloitte, Impressive</v>
      </c>
      <c r="I244" s="7">
        <f>IFERROR(__xludf.DUMMYFUNCTION("""COMPUTED_VALUE"""),1.0)</f>
        <v>1</v>
      </c>
      <c r="J244" s="7">
        <f>IFERROR(__xludf.DUMMYFUNCTION("""COMPUTED_VALUE"""),0.0)</f>
        <v>0</v>
      </c>
      <c r="K244" s="7">
        <f>IFERROR(__xludf.DUMMYFUNCTION("""COMPUTED_VALUE"""),1.0)</f>
        <v>1</v>
      </c>
    </row>
    <row r="245" ht="15.75" customHeight="1">
      <c r="A245" s="6" t="str">
        <f>IFERROR(__xludf.DUMMYFUNCTION("""COMPUTED_VALUE"""),"https://arc.dev/employer-blog/social-media-agencies/")</f>
        <v>https://arc.dev/employer-blog/social-media-agencies/</v>
      </c>
      <c r="B245" s="7" t="str">
        <f>IFERROR(__xludf.DUMMYFUNCTION("""COMPUTED_VALUE"""),"Top 22 Social Media Agencies for Tech Companies in 2025")</f>
        <v>Top 22 Social Media Agencies for Tech Companies in 2025</v>
      </c>
      <c r="C245" s="7" t="str">
        <f>IFERROR(__xludf.DUMMYFUNCTION("""COMPUTED_VALUE"""),"arc.dev")</f>
        <v>arc.dev</v>
      </c>
      <c r="D245" s="7" t="str">
        <f>IFERROR(__xludf.DUMMYFUNCTION("""COMPUTED_VALUE"""),"LISTICLE")</f>
        <v>LISTICLE</v>
      </c>
      <c r="E245" s="7" t="str">
        <f>IFERROR(__xludf.DUMMYFUNCTION("""COMPUTED_VALUE"""),"CORPORATE")</f>
        <v>CORPORATE</v>
      </c>
      <c r="F245" s="7" t="str">
        <f>IFERROR(__xludf.DUMMYFUNCTION("""COMPUTED_VALUE"""),"Listicle")</f>
        <v>Listicle</v>
      </c>
      <c r="G245" s="7" t="b">
        <f>IFERROR(__xludf.DUMMYFUNCTION("""COMPUTED_VALUE"""),FALSE)</f>
        <v>0</v>
      </c>
      <c r="H245" s="7" t="str">
        <f>IFERROR(__xludf.DUMMYFUNCTION("""COMPUTED_VALUE"""),"Momentum, KPMG, Online Marketing Gurus, Omnicom Media Group, Power Digital, Impressive, Soup Agency")</f>
        <v>Momentum, KPMG, Online Marketing Gurus, Omnicom Media Group, Power Digital, Impressive, Soup Agency</v>
      </c>
      <c r="I245" s="7">
        <f>IFERROR(__xludf.DUMMYFUNCTION("""COMPUTED_VALUE"""),1.0)</f>
        <v>1</v>
      </c>
      <c r="J245" s="7">
        <f>IFERROR(__xludf.DUMMYFUNCTION("""COMPUTED_VALUE"""),0.0)</f>
        <v>0</v>
      </c>
      <c r="K245" s="7">
        <f>IFERROR(__xludf.DUMMYFUNCTION("""COMPUTED_VALUE"""),0.0)</f>
        <v>0</v>
      </c>
    </row>
    <row r="246" ht="15.75" customHeight="1">
      <c r="A246" s="6" t="str">
        <f>IFERROR(__xludf.DUMMYFUNCTION("""COMPUTED_VALUE"""),"https://www.bandt.com.au/bts-ones-to-watch-creative-agencies/")</f>
        <v>https://www.bandt.com.au/bts-ones-to-watch-creative-agencies/</v>
      </c>
      <c r="B246" s="7" t="str">
        <f>IFERROR(__xludf.DUMMYFUNCTION("""COMPUTED_VALUE"""),"B&amp;amp;T's Ones To Watch: Creative Agencies - B&amp;amp;T")</f>
        <v>B&amp;amp;T's Ones To Watch: Creative Agencies - B&amp;amp;T</v>
      </c>
      <c r="C246" s="6" t="str">
        <f>IFERROR(__xludf.DUMMYFUNCTION("""COMPUTED_VALUE"""),"bandt.com.au")</f>
        <v>bandt.com.au</v>
      </c>
      <c r="D246" s="7" t="str">
        <f>IFERROR(__xludf.DUMMYFUNCTION("""COMPUTED_VALUE"""),"LISTICLE")</f>
        <v>LISTICLE</v>
      </c>
      <c r="E246" s="7" t="str">
        <f>IFERROR(__xludf.DUMMYFUNCTION("""COMPUTED_VALUE"""),"EDITORIAL")</f>
        <v>EDITORIAL</v>
      </c>
      <c r="F246" s="7" t="str">
        <f>IFERROR(__xludf.DUMMYFUNCTION("""COMPUTED_VALUE"""),"Listicle")</f>
        <v>Listicle</v>
      </c>
      <c r="G246" s="7" t="b">
        <f>IFERROR(__xludf.DUMMYFUNCTION("""COMPUTED_VALUE"""),FALSE)</f>
        <v>0</v>
      </c>
      <c r="H246" s="7" t="str">
        <f>IFERROR(__xludf.DUMMYFUNCTION("""COMPUTED_VALUE"""),"WPP, Saatchi &amp; Saatchi, Impressive, BMF, The Monkeys, Accenture Song, Howatson+Company, DDB Australia, Bear Meets Eagle On Fire, OMD")</f>
        <v>WPP, Saatchi &amp; Saatchi, Impressive, BMF, The Monkeys, Accenture Song, Howatson+Company, DDB Australia, Bear Meets Eagle On Fire, OMD</v>
      </c>
      <c r="I246" s="7">
        <f>IFERROR(__xludf.DUMMYFUNCTION("""COMPUTED_VALUE"""),1.0)</f>
        <v>1</v>
      </c>
      <c r="J246" s="7">
        <f>IFERROR(__xludf.DUMMYFUNCTION("""COMPUTED_VALUE"""),0.0)</f>
        <v>0</v>
      </c>
      <c r="K246" s="7">
        <f>IFERROR(__xludf.DUMMYFUNCTION("""COMPUTED_VALUE"""),3.0)</f>
        <v>3</v>
      </c>
    </row>
    <row r="247" ht="15.75" customHeight="1">
      <c r="A247" s="6" t="str">
        <f>IFERROR(__xludf.DUMMYFUNCTION("""COMPUTED_VALUE"""),"https://www.bandt.com.au/special-bts-agency-scorecard-2026/")</f>
        <v>https://www.bandt.com.au/special-bts-agency-scorecard-2026/</v>
      </c>
      <c r="B247" s="7" t="str">
        <f>IFERROR(__xludf.DUMMYFUNCTION("""COMPUTED_VALUE"""),"Special: B&amp;amp;T's Agency Scorecard 2026 - B&amp;amp;T")</f>
        <v>Special: B&amp;amp;T's Agency Scorecard 2026 - B&amp;amp;T</v>
      </c>
      <c r="C247" s="6" t="str">
        <f>IFERROR(__xludf.DUMMYFUNCTION("""COMPUTED_VALUE"""),"bandt.com.au")</f>
        <v>bandt.com.au</v>
      </c>
      <c r="D247" s="7" t="str">
        <f>IFERROR(__xludf.DUMMYFUNCTION("""COMPUTED_VALUE"""),"LISTICLE")</f>
        <v>LISTICLE</v>
      </c>
      <c r="E247" s="7" t="str">
        <f>IFERROR(__xludf.DUMMYFUNCTION("""COMPUTED_VALUE"""),"EDITORIAL")</f>
        <v>EDITORIAL</v>
      </c>
      <c r="F247" s="7" t="str">
        <f>IFERROR(__xludf.DUMMYFUNCTION("""COMPUTED_VALUE"""),"Listicle")</f>
        <v>Listicle</v>
      </c>
      <c r="G247" s="7" t="b">
        <f>IFERROR(__xludf.DUMMYFUNCTION("""COMPUTED_VALUE"""),FALSE)</f>
        <v>0</v>
      </c>
      <c r="H247" s="7" t="str">
        <f>IFERROR(__xludf.DUMMYFUNCTION("""COMPUTED_VALUE"""),"WPP, Earned Media")</f>
        <v>WPP, Earned Media</v>
      </c>
      <c r="I247" s="7">
        <f>IFERROR(__xludf.DUMMYFUNCTION("""COMPUTED_VALUE"""),1.0)</f>
        <v>1</v>
      </c>
      <c r="J247" s="7">
        <f>IFERROR(__xludf.DUMMYFUNCTION("""COMPUTED_VALUE"""),0.0)</f>
        <v>0</v>
      </c>
      <c r="K247" s="7">
        <f>IFERROR(__xludf.DUMMYFUNCTION("""COMPUTED_VALUE"""),2.0)</f>
        <v>2</v>
      </c>
    </row>
    <row r="248" ht="15.75" customHeight="1">
      <c r="A248" s="6" t="str">
        <f>IFERROR(__xludf.DUMMYFUNCTION("""COMPUTED_VALUE"""),"https://bestgeoagency.com.au/guides/8-best-geo-agencies-for-b2b-and-expert-led-companies/")</f>
        <v>https://bestgeoagency.com.au/guides/8-best-geo-agencies-for-b2b-and-expert-led-companies/</v>
      </c>
      <c r="B248" s="7" t="str">
        <f>IFERROR(__xludf.DUMMYFUNCTION("""COMPUTED_VALUE"""),"8 Best GEO Agencies for B2B and Expert-Led Companies | Best GEO Agency")</f>
        <v>8 Best GEO Agencies for B2B and Expert-Led Companies | Best GEO Agency</v>
      </c>
      <c r="C248" s="6" t="str">
        <f>IFERROR(__xludf.DUMMYFUNCTION("""COMPUTED_VALUE"""),"bestgeoagency.com.au")</f>
        <v>bestgeoagency.com.au</v>
      </c>
      <c r="D248" s="7" t="str">
        <f>IFERROR(__xludf.DUMMYFUNCTION("""COMPUTED_VALUE"""),"LISTICLE")</f>
        <v>LISTICLE</v>
      </c>
      <c r="E248" s="7" t="str">
        <f>IFERROR(__xludf.DUMMYFUNCTION("""COMPUTED_VALUE"""),"CORPORATE")</f>
        <v>CORPORATE</v>
      </c>
      <c r="F248" s="7" t="str">
        <f>IFERROR(__xludf.DUMMYFUNCTION("""COMPUTED_VALUE"""),"Listicle")</f>
        <v>Listicle</v>
      </c>
      <c r="G248" s="7" t="b">
        <f>IFERROR(__xludf.DUMMYFUNCTION("""COMPUTED_VALUE"""),FALSE)</f>
        <v>0</v>
      </c>
      <c r="H248" s="7" t="str">
        <f>IFERROR(__xludf.DUMMYFUNCTION("""COMPUTED_VALUE"""),"Prosperity Media, Online Marketing Gurus, StudioHawk, Reload Media, King Kong, Luminary, Momentum")</f>
        <v>Prosperity Media, Online Marketing Gurus, StudioHawk, Reload Media, King Kong, Luminary, Momentum</v>
      </c>
      <c r="I248" s="7">
        <f>IFERROR(__xludf.DUMMYFUNCTION("""COMPUTED_VALUE"""),1.0)</f>
        <v>1</v>
      </c>
      <c r="J248" s="7">
        <f>IFERROR(__xludf.DUMMYFUNCTION("""COMPUTED_VALUE"""),0.0)</f>
        <v>0</v>
      </c>
      <c r="K248" s="7">
        <f>IFERROR(__xludf.DUMMYFUNCTION("""COMPUTED_VALUE"""),0.0)</f>
        <v>0</v>
      </c>
    </row>
    <row r="249" ht="15.75" customHeight="1">
      <c r="A249" s="6" t="str">
        <f>IFERROR(__xludf.DUMMYFUNCTION("""COMPUTED_VALUE"""),"https://birdeye.com/blog/social-media-marketing-companies-australia/")</f>
        <v>https://birdeye.com/blog/social-media-marketing-companies-australia/</v>
      </c>
      <c r="B249" s="7" t="str">
        <f>IFERROR(__xludf.DUMMYFUNCTION("""COMPUTED_VALUE"""),"Social Media Marketing Companies in Australia vs Birdeye Social AI")</f>
        <v>Social Media Marketing Companies in Australia vs Birdeye Social AI</v>
      </c>
      <c r="C249" s="6" t="str">
        <f>IFERROR(__xludf.DUMMYFUNCTION("""COMPUTED_VALUE"""),"birdeye.com")</f>
        <v>birdeye.com</v>
      </c>
      <c r="D249" s="7" t="str">
        <f>IFERROR(__xludf.DUMMYFUNCTION("""COMPUTED_VALUE"""),"LISTICLE")</f>
        <v>LISTICLE</v>
      </c>
      <c r="E249" s="7" t="str">
        <f>IFERROR(__xludf.DUMMYFUNCTION("""COMPUTED_VALUE"""),"CORPORATE")</f>
        <v>CORPORATE</v>
      </c>
      <c r="F249" s="7" t="str">
        <f>IFERROR(__xludf.DUMMYFUNCTION("""COMPUTED_VALUE"""),"Listicle")</f>
        <v>Listicle</v>
      </c>
      <c r="G249" s="7" t="b">
        <f>IFERROR(__xludf.DUMMYFUNCTION("""COMPUTED_VALUE"""),FALSE)</f>
        <v>0</v>
      </c>
      <c r="H249" s="7" t="str">
        <f>IFERROR(__xludf.DUMMYFUNCTION("""COMPUTED_VALUE"""),"Megaphone, Clearwater Agency, Soup Agency")</f>
        <v>Megaphone, Clearwater Agency, Soup Agency</v>
      </c>
      <c r="I249" s="7">
        <f>IFERROR(__xludf.DUMMYFUNCTION("""COMPUTED_VALUE"""),1.0)</f>
        <v>1</v>
      </c>
      <c r="J249" s="7">
        <f>IFERROR(__xludf.DUMMYFUNCTION("""COMPUTED_VALUE"""),0.0)</f>
        <v>0</v>
      </c>
      <c r="K249" s="7">
        <f>IFERROR(__xludf.DUMMYFUNCTION("""COMPUTED_VALUE"""),1.0)</f>
        <v>1</v>
      </c>
    </row>
    <row r="250" ht="15.75" customHeight="1">
      <c r="A250" s="6" t="str">
        <f>IFERROR(__xludf.DUMMYFUNCTION("""COMPUTED_VALUE"""),"https://www.bushletter.com/best-digital-marketing-media-buying-agencies-australia-2026/")</f>
        <v>https://www.bushletter.com/best-digital-marketing-media-buying-agencies-australia-2026/</v>
      </c>
      <c r="B250" s="7" t="str">
        <f>IFERROR(__xludf.DUMMYFUNCTION("""COMPUTED_VALUE"""),"Best Digital Marketing &amp;amp; Media Buying Agencies 2026")</f>
        <v>Best Digital Marketing &amp;amp; Media Buying Agencies 2026</v>
      </c>
      <c r="C250" s="6" t="str">
        <f>IFERROR(__xludf.DUMMYFUNCTION("""COMPUTED_VALUE"""),"bushletter.com")</f>
        <v>bushletter.com</v>
      </c>
      <c r="D250" s="7" t="str">
        <f>IFERROR(__xludf.DUMMYFUNCTION("""COMPUTED_VALUE"""),"LISTICLE")</f>
        <v>LISTICLE</v>
      </c>
      <c r="E250" s="7" t="str">
        <f>IFERROR(__xludf.DUMMYFUNCTION("""COMPUTED_VALUE"""),"EDITORIAL")</f>
        <v>EDITORIAL</v>
      </c>
      <c r="F250" s="7" t="str">
        <f>IFERROR(__xludf.DUMMYFUNCTION("""COMPUTED_VALUE"""),"Listicle")</f>
        <v>Listicle</v>
      </c>
      <c r="G250" s="7" t="b">
        <f>IFERROR(__xludf.DUMMYFUNCTION("""COMPUTED_VALUE"""),FALSE)</f>
        <v>0</v>
      </c>
      <c r="H250" s="7" t="str">
        <f>IFERROR(__xludf.DUMMYFUNCTION("""COMPUTED_VALUE"""),"Bushnote, Sparro, Measured, King Kong, Resolution Digital, Webprofits")</f>
        <v>Bushnote, Sparro, Measured, King Kong, Resolution Digital, Webprofits</v>
      </c>
      <c r="I250" s="7">
        <f>IFERROR(__xludf.DUMMYFUNCTION("""COMPUTED_VALUE"""),1.0)</f>
        <v>1</v>
      </c>
      <c r="J250" s="7">
        <f>IFERROR(__xludf.DUMMYFUNCTION("""COMPUTED_VALUE"""),0.0)</f>
        <v>0</v>
      </c>
      <c r="K250" s="7">
        <f>IFERROR(__xludf.DUMMYFUNCTION("""COMPUTED_VALUE"""),2.0)</f>
        <v>2</v>
      </c>
    </row>
    <row r="251" ht="15.75" customHeight="1">
      <c r="A251" s="6" t="str">
        <f>IFERROR(__xludf.DUMMYFUNCTION("""COMPUTED_VALUE"""),"https://www.bushnote.com/articles/top-ai-search-agencies-sydney-generative-engine-optimisation")</f>
        <v>https://www.bushnote.com/articles/top-ai-search-agencies-sydney-generative-engine-optimisation</v>
      </c>
      <c r="B251" s="7" t="str">
        <f>IFERROR(__xludf.DUMMYFUNCTION("""COMPUTED_VALUE"""),"Sydney's Top 5 AI Search Agencies: Future of Marketing")</f>
        <v>Sydney's Top 5 AI Search Agencies: Future of Marketing</v>
      </c>
      <c r="C251" s="6" t="str">
        <f>IFERROR(__xludf.DUMMYFUNCTION("""COMPUTED_VALUE"""),"bushnote.com")</f>
        <v>bushnote.com</v>
      </c>
      <c r="D251" s="7" t="str">
        <f>IFERROR(__xludf.DUMMYFUNCTION("""COMPUTED_VALUE"""),"LISTICLE")</f>
        <v>LISTICLE</v>
      </c>
      <c r="E251" s="7" t="str">
        <f>IFERROR(__xludf.DUMMYFUNCTION("""COMPUTED_VALUE"""),"COMPETITOR")</f>
        <v>COMPETITOR</v>
      </c>
      <c r="F251" s="7" t="str">
        <f>IFERROR(__xludf.DUMMYFUNCTION("""COMPUTED_VALUE"""),"Listicle")</f>
        <v>Listicle</v>
      </c>
      <c r="G251" s="7" t="b">
        <f>IFERROR(__xludf.DUMMYFUNCTION("""COMPUTED_VALUE"""),FALSE)</f>
        <v>0</v>
      </c>
      <c r="H251" s="7" t="str">
        <f>IFERROR(__xludf.DUMMYFUNCTION("""COMPUTED_VALUE"""),"Bushnote, Luminary")</f>
        <v>Bushnote, Luminary</v>
      </c>
      <c r="I251" s="7">
        <f>IFERROR(__xludf.DUMMYFUNCTION("""COMPUTED_VALUE"""),1.0)</f>
        <v>1</v>
      </c>
      <c r="J251" s="7">
        <f>IFERROR(__xludf.DUMMYFUNCTION("""COMPUTED_VALUE"""),0.0)</f>
        <v>0</v>
      </c>
      <c r="K251" s="7">
        <f>IFERROR(__xludf.DUMMYFUNCTION("""COMPUTED_VALUE"""),0.0)</f>
        <v>0</v>
      </c>
    </row>
    <row r="252" ht="15.75" customHeight="1">
      <c r="A252" s="6" t="str">
        <f>IFERROR(__xludf.DUMMYFUNCTION("""COMPUTED_VALUE"""),"https://www.bushnote.com/articles/top-ai-search-optimisation-agencies-australia-2026")</f>
        <v>https://www.bushnote.com/articles/top-ai-search-optimisation-agencies-australia-2026</v>
      </c>
      <c r="B252" s="7" t="str">
        <f>IFERROR(__xludf.DUMMYFUNCTION("""COMPUTED_VALUE"""),"Top 10 AI Search Optimisation Agencies in Australia 2026")</f>
        <v>Top 10 AI Search Optimisation Agencies in Australia 2026</v>
      </c>
      <c r="C252" s="6" t="str">
        <f>IFERROR(__xludf.DUMMYFUNCTION("""COMPUTED_VALUE"""),"bushnote.com")</f>
        <v>bushnote.com</v>
      </c>
      <c r="D252" s="7" t="str">
        <f>IFERROR(__xludf.DUMMYFUNCTION("""COMPUTED_VALUE"""),"LISTICLE")</f>
        <v>LISTICLE</v>
      </c>
      <c r="E252" s="7" t="str">
        <f>IFERROR(__xludf.DUMMYFUNCTION("""COMPUTED_VALUE"""),"COMPETITOR")</f>
        <v>COMPETITOR</v>
      </c>
      <c r="F252" s="7" t="str">
        <f>IFERROR(__xludf.DUMMYFUNCTION("""COMPUTED_VALUE"""),"Listicle")</f>
        <v>Listicle</v>
      </c>
      <c r="G252" s="7" t="b">
        <f>IFERROR(__xludf.DUMMYFUNCTION("""COMPUTED_VALUE"""),FALSE)</f>
        <v>0</v>
      </c>
      <c r="H252" s="7" t="str">
        <f>IFERROR(__xludf.DUMMYFUNCTION("""COMPUTED_VALUE"""),"Bushnote, StudioHawk, Prosperity Media, Digital Nomads HQ, Online Marketing Gurus, First Page, Measured, Impressive, Rocket Agency, Gorilla 360, Salt &amp; Fuessel")</f>
        <v>Bushnote, StudioHawk, Prosperity Media, Digital Nomads HQ, Online Marketing Gurus, First Page, Measured, Impressive, Rocket Agency, Gorilla 360, Salt &amp; Fuessel</v>
      </c>
      <c r="I252" s="7">
        <f>IFERROR(__xludf.DUMMYFUNCTION("""COMPUTED_VALUE"""),1.0)</f>
        <v>1</v>
      </c>
      <c r="J252" s="7">
        <f>IFERROR(__xludf.DUMMYFUNCTION("""COMPUTED_VALUE"""),0.0)</f>
        <v>0</v>
      </c>
      <c r="K252" s="7">
        <f>IFERROR(__xludf.DUMMYFUNCTION("""COMPUTED_VALUE"""),0.0)</f>
        <v>0</v>
      </c>
    </row>
    <row r="253" ht="15.75" customHeight="1">
      <c r="A253" s="6" t="str">
        <f>IFERROR(__xludf.DUMMYFUNCTION("""COMPUTED_VALUE"""),"https://calypsodesigns.com.au/top-10-google-ads-management-agencies-in-australia-a-2026/")</f>
        <v>https://calypsodesigns.com.au/top-10-google-ads-management-agencies-in-australia-a-2026/</v>
      </c>
      <c r="B253" s="7" t="str">
        <f>IFERROR(__xludf.DUMMYFUNCTION("""COMPUTED_VALUE"""),"Top 10 Google Ads Management Agencies in Australia: A 2026 Complete Guide – Calypso Designs")</f>
        <v>Top 10 Google Ads Management Agencies in Australia: A 2026 Complete Guide – Calypso Designs</v>
      </c>
      <c r="C253" s="6" t="str">
        <f>IFERROR(__xludf.DUMMYFUNCTION("""COMPUTED_VALUE"""),"calypsodesigns.com.au")</f>
        <v>calypsodesigns.com.au</v>
      </c>
      <c r="D253" s="7" t="str">
        <f>IFERROR(__xludf.DUMMYFUNCTION("""COMPUTED_VALUE"""),"LISTICLE")</f>
        <v>LISTICLE</v>
      </c>
      <c r="E253" s="7" t="str">
        <f>IFERROR(__xludf.DUMMYFUNCTION("""COMPUTED_VALUE"""),"CORPORATE")</f>
        <v>CORPORATE</v>
      </c>
      <c r="F253" s="7" t="str">
        <f>IFERROR(__xludf.DUMMYFUNCTION("""COMPUTED_VALUE"""),"Listicle")</f>
        <v>Listicle</v>
      </c>
      <c r="G253" s="7" t="b">
        <f>IFERROR(__xludf.DUMMYFUNCTION("""COMPUTED_VALUE"""),FALSE)</f>
        <v>0</v>
      </c>
      <c r="H253" s="7" t="str">
        <f>IFERROR(__xludf.DUMMYFUNCTION("""COMPUTED_VALUE"""),"Impressive")</f>
        <v>Impressive</v>
      </c>
      <c r="I253" s="7">
        <f>IFERROR(__xludf.DUMMYFUNCTION("""COMPUTED_VALUE"""),1.0)</f>
        <v>1</v>
      </c>
      <c r="J253" s="7">
        <f>IFERROR(__xludf.DUMMYFUNCTION("""COMPUTED_VALUE"""),0.0)</f>
        <v>0</v>
      </c>
      <c r="K253" s="7">
        <f>IFERROR(__xludf.DUMMYFUNCTION("""COMPUTED_VALUE"""),0.0)</f>
        <v>0</v>
      </c>
    </row>
    <row r="254" ht="15.75" customHeight="1">
      <c r="A254" s="6" t="str">
        <f>IFERROR(__xludf.DUMMYFUNCTION("""COMPUTED_VALUE"""),"https://campaignbrief.com/bestads-rankings-which-are-the-top-australian-ad-agencies-and-clients-of-the-decade/")</f>
        <v>https://campaignbrief.com/bestads-rankings-which-are-the-top-australian-ad-agencies-and-clients-of-the-decade/</v>
      </c>
      <c r="B254" s="7" t="str">
        <f>IFERROR(__xludf.DUMMYFUNCTION("""COMPUTED_VALUE"""),"Bestads Rankings: Which are the Top Australian ad agencies and clients of the decade? – Campaign Brief")</f>
        <v>Bestads Rankings: Which are the Top Australian ad agencies and clients of the decade? – Campaign Brief</v>
      </c>
      <c r="C254" s="6" t="str">
        <f>IFERROR(__xludf.DUMMYFUNCTION("""COMPUTED_VALUE"""),"campaignbrief.com")</f>
        <v>campaignbrief.com</v>
      </c>
      <c r="D254" s="7" t="str">
        <f>IFERROR(__xludf.DUMMYFUNCTION("""COMPUTED_VALUE"""),"LISTICLE")</f>
        <v>LISTICLE</v>
      </c>
      <c r="E254" s="7" t="str">
        <f>IFERROR(__xludf.DUMMYFUNCTION("""COMPUTED_VALUE"""),"EDITORIAL")</f>
        <v>EDITORIAL</v>
      </c>
      <c r="F254" s="7" t="str">
        <f>IFERROR(__xludf.DUMMYFUNCTION("""COMPUTED_VALUE"""),"Listicle")</f>
        <v>Listicle</v>
      </c>
      <c r="G254" s="7" t="b">
        <f>IFERROR(__xludf.DUMMYFUNCTION("""COMPUTED_VALUE"""),FALSE)</f>
        <v>0</v>
      </c>
      <c r="H254" s="7" t="str">
        <f>IFERROR(__xludf.DUMMYFUNCTION("""COMPUTED_VALUE"""),"Clemenger BBDO, The Monkeys, BMF")</f>
        <v>Clemenger BBDO, The Monkeys, BMF</v>
      </c>
      <c r="I254" s="7">
        <f>IFERROR(__xludf.DUMMYFUNCTION("""COMPUTED_VALUE"""),1.0)</f>
        <v>1</v>
      </c>
      <c r="J254" s="7">
        <f>IFERROR(__xludf.DUMMYFUNCTION("""COMPUTED_VALUE"""),0.0)</f>
        <v>0</v>
      </c>
      <c r="K254" s="7">
        <f>IFERROR(__xludf.DUMMYFUNCTION("""COMPUTED_VALUE"""),0.0)</f>
        <v>0</v>
      </c>
    </row>
    <row r="255" ht="15.75" customHeight="1">
      <c r="A255" s="6" t="str">
        <f>IFERROR(__xludf.DUMMYFUNCTION("""COMPUTED_VALUE"""),"https://cantydigital.com.au/top-10-australian-amazon-marketing-agencies/")</f>
        <v>https://cantydigital.com.au/top-10-australian-amazon-marketing-agencies/</v>
      </c>
      <c r="B255" s="7" t="str">
        <f>IFERROR(__xludf.DUMMYFUNCTION("""COMPUTED_VALUE"""),"Top 10 Australian Amazon Marketing Agencies | Canty Digital")</f>
        <v>Top 10 Australian Amazon Marketing Agencies | Canty Digital</v>
      </c>
      <c r="C255" s="6" t="str">
        <f>IFERROR(__xludf.DUMMYFUNCTION("""COMPUTED_VALUE"""),"cantydigital.com.au")</f>
        <v>cantydigital.com.au</v>
      </c>
      <c r="D255" s="7" t="str">
        <f>IFERROR(__xludf.DUMMYFUNCTION("""COMPUTED_VALUE"""),"LISTICLE")</f>
        <v>LISTICLE</v>
      </c>
      <c r="E255" s="7" t="str">
        <f>IFERROR(__xludf.DUMMYFUNCTION("""COMPUTED_VALUE"""),"CORPORATE")</f>
        <v>CORPORATE</v>
      </c>
      <c r="F255" s="7" t="str">
        <f>IFERROR(__xludf.DUMMYFUNCTION("""COMPUTED_VALUE"""),"Listicle")</f>
        <v>Listicle</v>
      </c>
      <c r="G255" s="7" t="b">
        <f>IFERROR(__xludf.DUMMYFUNCTION("""COMPUTED_VALUE"""),FALSE)</f>
        <v>0</v>
      </c>
      <c r="H255" s="7" t="str">
        <f>IFERROR(__xludf.DUMMYFUNCTION("""COMPUTED_VALUE"""),"Megaphone, Clearwater Agency, Soup Agency, Digital Nomads HQ")</f>
        <v>Megaphone, Clearwater Agency, Soup Agency, Digital Nomads HQ</v>
      </c>
      <c r="I255" s="7">
        <f>IFERROR(__xludf.DUMMYFUNCTION("""COMPUTED_VALUE"""),1.0)</f>
        <v>1</v>
      </c>
      <c r="J255" s="7">
        <f>IFERROR(__xludf.DUMMYFUNCTION("""COMPUTED_VALUE"""),0.0)</f>
        <v>0</v>
      </c>
      <c r="K255" s="7">
        <f>IFERROR(__xludf.DUMMYFUNCTION("""COMPUTED_VALUE"""),1.0)</f>
        <v>1</v>
      </c>
    </row>
    <row r="256" ht="15.75" customHeight="1">
      <c r="A256" s="6" t="str">
        <f>IFERROR(__xludf.DUMMYFUNCTION("""COMPUTED_VALUE"""),"https://clickclickbangbang.com.au/best-google-ads-manager/")</f>
        <v>https://clickclickbangbang.com.au/best-google-ads-manager/</v>
      </c>
      <c r="B256" s="7" t="str">
        <f>IFERROR(__xludf.DUMMYFUNCTION("""COMPUTED_VALUE"""),"7 Best Google Ads Managers in Australia for 2026")</f>
        <v>7 Best Google Ads Managers in Australia for 2026</v>
      </c>
      <c r="C256" s="6" t="str">
        <f>IFERROR(__xludf.DUMMYFUNCTION("""COMPUTED_VALUE"""),"clickclickbangbang.com.au")</f>
        <v>clickclickbangbang.com.au</v>
      </c>
      <c r="D256" s="7" t="str">
        <f>IFERROR(__xludf.DUMMYFUNCTION("""COMPUTED_VALUE"""),"LISTICLE")</f>
        <v>LISTICLE</v>
      </c>
      <c r="E256" s="7" t="str">
        <f>IFERROR(__xludf.DUMMYFUNCTION("""COMPUTED_VALUE"""),"CORPORATE")</f>
        <v>CORPORATE</v>
      </c>
      <c r="F256" s="7" t="str">
        <f>IFERROR(__xludf.DUMMYFUNCTION("""COMPUTED_VALUE"""),"Listicle")</f>
        <v>Listicle</v>
      </c>
      <c r="G256" s="7" t="b">
        <f>IFERROR(__xludf.DUMMYFUNCTION("""COMPUTED_VALUE"""),FALSE)</f>
        <v>0</v>
      </c>
      <c r="H256" s="7" t="str">
        <f>IFERROR(__xludf.DUMMYFUNCTION("""COMPUTED_VALUE"""),"Sparro, Brainlabs, WebSavvy, Rocket Agency, Reload Media, Online Marketing Gurus, Omnicom Media Group, Megaphone")</f>
        <v>Sparro, Brainlabs, WebSavvy, Rocket Agency, Reload Media, Online Marketing Gurus, Omnicom Media Group, Megaphone</v>
      </c>
      <c r="I256" s="7">
        <f>IFERROR(__xludf.DUMMYFUNCTION("""COMPUTED_VALUE"""),1.0)</f>
        <v>1</v>
      </c>
      <c r="J256" s="7">
        <f>IFERROR(__xludf.DUMMYFUNCTION("""COMPUTED_VALUE"""),0.0)</f>
        <v>0</v>
      </c>
      <c r="K256" s="7">
        <f>IFERROR(__xludf.DUMMYFUNCTION("""COMPUTED_VALUE"""),1.0)</f>
        <v>1</v>
      </c>
    </row>
    <row r="257" ht="15.75" customHeight="1">
      <c r="A257" s="6" t="str">
        <f>IFERROR(__xludf.DUMMYFUNCTION("""COMPUTED_VALUE"""),"https://www.cometly.com/post/multi-touch-attribution-platform")</f>
        <v>https://www.cometly.com/post/multi-touch-attribution-platform</v>
      </c>
      <c r="B257" s="7" t="str">
        <f>IFERROR(__xludf.DUMMYFUNCTION("""COMPUTED_VALUE"""),"9 Best Multi Touch Attribution Platforms 2026 Guide")</f>
        <v>9 Best Multi Touch Attribution Platforms 2026 Guide</v>
      </c>
      <c r="C257" s="6" t="str">
        <f>IFERROR(__xludf.DUMMYFUNCTION("""COMPUTED_VALUE"""),"cometly.com")</f>
        <v>cometly.com</v>
      </c>
      <c r="D257" s="7" t="str">
        <f>IFERROR(__xludf.DUMMYFUNCTION("""COMPUTED_VALUE"""),"LISTICLE")</f>
        <v>LISTICLE</v>
      </c>
      <c r="E257" s="7" t="str">
        <f>IFERROR(__xludf.DUMMYFUNCTION("""COMPUTED_VALUE"""),"CORPORATE")</f>
        <v>CORPORATE</v>
      </c>
      <c r="F257" s="7" t="str">
        <f>IFERROR(__xludf.DUMMYFUNCTION("""COMPUTED_VALUE"""),"Listicle")</f>
        <v>Listicle</v>
      </c>
      <c r="G257" s="7" t="b">
        <f>IFERROR(__xludf.DUMMYFUNCTION("""COMPUTED_VALUE"""),FALSE)</f>
        <v>0</v>
      </c>
      <c r="H257" s="7" t="str">
        <f>IFERROR(__xludf.DUMMYFUNCTION("""COMPUTED_VALUE"""),"Measured")</f>
        <v>Measured</v>
      </c>
      <c r="I257" s="7">
        <f>IFERROR(__xludf.DUMMYFUNCTION("""COMPUTED_VALUE"""),1.0)</f>
        <v>1</v>
      </c>
      <c r="J257" s="7">
        <f>IFERROR(__xludf.DUMMYFUNCTION("""COMPUTED_VALUE"""),0.0)</f>
        <v>0</v>
      </c>
      <c r="K257" s="7">
        <f>IFERROR(__xludf.DUMMYFUNCTION("""COMPUTED_VALUE"""),1.0)</f>
        <v>1</v>
      </c>
    </row>
    <row r="258" ht="15.75" customHeight="1">
      <c r="A258" s="6" t="str">
        <f>IFERROR(__xludf.DUMMYFUNCTION("""COMPUTED_VALUE"""),"https://conquerradigital.com.au/top-9-programmatic-ads-agencies-in-adelaide/")</f>
        <v>https://conquerradigital.com.au/top-9-programmatic-ads-agencies-in-adelaide/</v>
      </c>
      <c r="B258" s="7" t="str">
        <f>IFERROR(__xludf.DUMMYFUNCTION("""COMPUTED_VALUE"""),"Top 9 Programmatic Ads Agencies In Adelaide | Conquerra Digital")</f>
        <v>Top 9 Programmatic Ads Agencies In Adelaide | Conquerra Digital</v>
      </c>
      <c r="C258" s="6" t="str">
        <f>IFERROR(__xludf.DUMMYFUNCTION("""COMPUTED_VALUE"""),"conquerradigital.com.au")</f>
        <v>conquerradigital.com.au</v>
      </c>
      <c r="D258" s="7" t="str">
        <f>IFERROR(__xludf.DUMMYFUNCTION("""COMPUTED_VALUE"""),"LISTICLE")</f>
        <v>LISTICLE</v>
      </c>
      <c r="E258" s="7" t="str">
        <f>IFERROR(__xludf.DUMMYFUNCTION("""COMPUTED_VALUE"""),"CORPORATE")</f>
        <v>CORPORATE</v>
      </c>
      <c r="F258" s="7" t="str">
        <f>IFERROR(__xludf.DUMMYFUNCTION("""COMPUTED_VALUE"""),"Listicle")</f>
        <v>Listicle</v>
      </c>
      <c r="G258" s="7" t="b">
        <f>IFERROR(__xludf.DUMMYFUNCTION("""COMPUTED_VALUE"""),FALSE)</f>
        <v>0</v>
      </c>
      <c r="H258" s="7" t="str">
        <f>IFERROR(__xludf.DUMMYFUNCTION("""COMPUTED_VALUE"""),"OMD, Momentum")</f>
        <v>OMD, Momentum</v>
      </c>
      <c r="I258" s="7">
        <f>IFERROR(__xludf.DUMMYFUNCTION("""COMPUTED_VALUE"""),1.0)</f>
        <v>1</v>
      </c>
      <c r="J258" s="7">
        <f>IFERROR(__xludf.DUMMYFUNCTION("""COMPUTED_VALUE"""),0.0)</f>
        <v>0</v>
      </c>
      <c r="K258" s="7">
        <f>IFERROR(__xludf.DUMMYFUNCTION("""COMPUTED_VALUE"""),0.0)</f>
        <v>0</v>
      </c>
    </row>
    <row r="259" ht="15.75" customHeight="1">
      <c r="A259" s="6" t="str">
        <f>IFERROR(__xludf.DUMMYFUNCTION("""COMPUTED_VALUE"""),"https://www.darkroomagency.com/observatory/the-12-top-rated-paid-media-agencies-this-year")</f>
        <v>https://www.darkroomagency.com/observatory/the-12-top-rated-paid-media-agencies-this-year</v>
      </c>
      <c r="B259" s="7" t="str">
        <f>IFERROR(__xludf.DUMMYFUNCTION("""COMPUTED_VALUE"""),"Top-Rated Paid Media Agencies for Scalable Growth")</f>
        <v>Top-Rated Paid Media Agencies for Scalable Growth</v>
      </c>
      <c r="C259" s="6" t="str">
        <f>IFERROR(__xludf.DUMMYFUNCTION("""COMPUTED_VALUE"""),"darkroomagency.com")</f>
        <v>darkroomagency.com</v>
      </c>
      <c r="D259" s="7" t="str">
        <f>IFERROR(__xludf.DUMMYFUNCTION("""COMPUTED_VALUE"""),"LISTICLE")</f>
        <v>LISTICLE</v>
      </c>
      <c r="E259" s="7" t="str">
        <f>IFERROR(__xludf.DUMMYFUNCTION("""COMPUTED_VALUE"""),"CORPORATE")</f>
        <v>CORPORATE</v>
      </c>
      <c r="F259" s="7" t="str">
        <f>IFERROR(__xludf.DUMMYFUNCTION("""COMPUTED_VALUE"""),"Listicle")</f>
        <v>Listicle</v>
      </c>
      <c r="G259" s="7" t="b">
        <f>IFERROR(__xludf.DUMMYFUNCTION("""COMPUTED_VALUE"""),FALSE)</f>
        <v>0</v>
      </c>
      <c r="H259" s="7" t="str">
        <f>IFERROR(__xludf.DUMMYFUNCTION("""COMPUTED_VALUE"""),"Tinuiti, Power Digital, Impressive")</f>
        <v>Tinuiti, Power Digital, Impressive</v>
      </c>
      <c r="I259" s="7">
        <f>IFERROR(__xludf.DUMMYFUNCTION("""COMPUTED_VALUE"""),1.0)</f>
        <v>1</v>
      </c>
      <c r="J259" s="7">
        <f>IFERROR(__xludf.DUMMYFUNCTION("""COMPUTED_VALUE"""),0.0)</f>
        <v>0</v>
      </c>
      <c r="K259" s="7">
        <f>IFERROR(__xludf.DUMMYFUNCTION("""COMPUTED_VALUE"""),1.0)</f>
        <v>1</v>
      </c>
    </row>
    <row r="260" ht="15.75" customHeight="1">
      <c r="A260" s="6" t="str">
        <f>IFERROR(__xludf.DUMMYFUNCTION("""COMPUTED_VALUE"""),"https://designmagazine.com.au/best-australian-design-studios/")</f>
        <v>https://designmagazine.com.au/best-australian-design-studios/</v>
      </c>
      <c r="B260" s="7" t="str">
        <f>IFERROR(__xludf.DUMMYFUNCTION("""COMPUTED_VALUE"""),"Best Australian Design Studios 2026: An Editorial Roundup")</f>
        <v>Best Australian Design Studios 2026: An Editorial Roundup</v>
      </c>
      <c r="C260" s="6" t="str">
        <f>IFERROR(__xludf.DUMMYFUNCTION("""COMPUTED_VALUE"""),"designmagazine.com.au")</f>
        <v>designmagazine.com.au</v>
      </c>
      <c r="D260" s="7" t="str">
        <f>IFERROR(__xludf.DUMMYFUNCTION("""COMPUTED_VALUE"""),"LISTICLE")</f>
        <v>LISTICLE</v>
      </c>
      <c r="E260" s="7" t="str">
        <f>IFERROR(__xludf.DUMMYFUNCTION("""COMPUTED_VALUE"""),"EDITORIAL")</f>
        <v>EDITORIAL</v>
      </c>
      <c r="F260" s="7" t="str">
        <f>IFERROR(__xludf.DUMMYFUNCTION("""COMPUTED_VALUE"""),"Listicle")</f>
        <v>Listicle</v>
      </c>
      <c r="G260" s="7" t="b">
        <f>IFERROR(__xludf.DUMMYFUNCTION("""COMPUTED_VALUE"""),FALSE)</f>
        <v>0</v>
      </c>
      <c r="H260" s="7" t="str">
        <f>IFERROR(__xludf.DUMMYFUNCTION("""COMPUTED_VALUE"""),"Hulsbosch, CUT THRU")</f>
        <v>Hulsbosch, CUT THRU</v>
      </c>
      <c r="I260" s="7">
        <f>IFERROR(__xludf.DUMMYFUNCTION("""COMPUTED_VALUE"""),1.0)</f>
        <v>1</v>
      </c>
      <c r="J260" s="7">
        <f>IFERROR(__xludf.DUMMYFUNCTION("""COMPUTED_VALUE"""),0.0)</f>
        <v>0</v>
      </c>
      <c r="K260" s="7">
        <f>IFERROR(__xludf.DUMMYFUNCTION("""COMPUTED_VALUE"""),0.0)</f>
        <v>0</v>
      </c>
    </row>
    <row r="261" ht="15.75" customHeight="1">
      <c r="A261" s="6" t="str">
        <f>IFERROR(__xludf.DUMMYFUNCTION("""COMPUTED_VALUE"""),"https://www.designrush.com/agency/conversion-optimization/au")</f>
        <v>https://www.designrush.com/agency/conversion-optimization/au</v>
      </c>
      <c r="B261" s="7" t="str">
        <f>IFERROR(__xludf.DUMMYFUNCTION("""COMPUTED_VALUE"""),"Top Conversion Rate Optimization Services in Australia | 2026")</f>
        <v>Top Conversion Rate Optimization Services in Australia | 2026</v>
      </c>
      <c r="C261" s="6" t="str">
        <f>IFERROR(__xludf.DUMMYFUNCTION("""COMPUTED_VALUE"""),"designrush.com")</f>
        <v>designrush.com</v>
      </c>
      <c r="D261" s="7" t="str">
        <f>IFERROR(__xludf.DUMMYFUNCTION("""COMPUTED_VALUE"""),"LISTICLE")</f>
        <v>LISTICLE</v>
      </c>
      <c r="E261" s="7" t="str">
        <f>IFERROR(__xludf.DUMMYFUNCTION("""COMPUTED_VALUE"""),"CORPORATE")</f>
        <v>CORPORATE</v>
      </c>
      <c r="F261" s="7" t="str">
        <f>IFERROR(__xludf.DUMMYFUNCTION("""COMPUTED_VALUE"""),"Listicle")</f>
        <v>Listicle</v>
      </c>
      <c r="G261" s="7" t="b">
        <f>IFERROR(__xludf.DUMMYFUNCTION("""COMPUTED_VALUE"""),FALSE)</f>
        <v>0</v>
      </c>
      <c r="H261" s="7" t="str">
        <f>IFERROR(__xludf.DUMMYFUNCTION("""COMPUTED_VALUE"""),"Impressive, Deloitte, eMarket Experts, SIXGUN, In Marketing We Trust, Luminary, Soup Agency, Growth Digital, Digitxl")</f>
        <v>Impressive, Deloitte, eMarket Experts, SIXGUN, In Marketing We Trust, Luminary, Soup Agency, Growth Digital, Digitxl</v>
      </c>
      <c r="I261" s="7">
        <f>IFERROR(__xludf.DUMMYFUNCTION("""COMPUTED_VALUE"""),1.0)</f>
        <v>1</v>
      </c>
      <c r="J261" s="7">
        <f>IFERROR(__xludf.DUMMYFUNCTION("""COMPUTED_VALUE"""),0.0)</f>
        <v>0</v>
      </c>
      <c r="K261" s="7">
        <f>IFERROR(__xludf.DUMMYFUNCTION("""COMPUTED_VALUE"""),1.0)</f>
        <v>1</v>
      </c>
    </row>
    <row r="262" ht="15.75" customHeight="1">
      <c r="A262" s="6" t="str">
        <f>IFERROR(__xludf.DUMMYFUNCTION("""COMPUTED_VALUE"""),"https://digitaldigest.au/social-media-marketing-companies/")</f>
        <v>https://digitaldigest.au/social-media-marketing-companies/</v>
      </c>
      <c r="B262" s="7" t="str">
        <f>IFERROR(__xludf.DUMMYFUNCTION("""COMPUTED_VALUE"""),"15 Best Social Media Marketing Companies in Australia 2025")</f>
        <v>15 Best Social Media Marketing Companies in Australia 2025</v>
      </c>
      <c r="C262" s="6" t="str">
        <f>IFERROR(__xludf.DUMMYFUNCTION("""COMPUTED_VALUE"""),"digitaldigest.au")</f>
        <v>digitaldigest.au</v>
      </c>
      <c r="D262" s="7" t="str">
        <f>IFERROR(__xludf.DUMMYFUNCTION("""COMPUTED_VALUE"""),"LISTICLE")</f>
        <v>LISTICLE</v>
      </c>
      <c r="E262" s="7" t="str">
        <f>IFERROR(__xludf.DUMMYFUNCTION("""COMPUTED_VALUE"""),"EDITORIAL")</f>
        <v>EDITORIAL</v>
      </c>
      <c r="F262" s="7" t="str">
        <f>IFERROR(__xludf.DUMMYFUNCTION("""COMPUTED_VALUE"""),"Listicle")</f>
        <v>Listicle</v>
      </c>
      <c r="G262" s="7" t="b">
        <f>IFERROR(__xludf.DUMMYFUNCTION("""COMPUTED_VALUE"""),FALSE)</f>
        <v>0</v>
      </c>
      <c r="H262" s="7" t="str">
        <f>IFERROR(__xludf.DUMMYFUNCTION("""COMPUTED_VALUE"""),"Digital Nomads HQ, Online Marketing Gurus, Omnicom Media Group, Impressive, Soup Agency, Megaphone, Farsiight, Paradox Marketing, Emote Digital, Rocket Agency, Clearwater Agency")</f>
        <v>Digital Nomads HQ, Online Marketing Gurus, Omnicom Media Group, Impressive, Soup Agency, Megaphone, Farsiight, Paradox Marketing, Emote Digital, Rocket Agency, Clearwater Agency</v>
      </c>
      <c r="I262" s="7">
        <f>IFERROR(__xludf.DUMMYFUNCTION("""COMPUTED_VALUE"""),1.0)</f>
        <v>1</v>
      </c>
      <c r="J262" s="7">
        <f>IFERROR(__xludf.DUMMYFUNCTION("""COMPUTED_VALUE"""),0.0)</f>
        <v>0</v>
      </c>
      <c r="K262" s="7">
        <f>IFERROR(__xludf.DUMMYFUNCTION("""COMPUTED_VALUE"""),0.0)</f>
        <v>0</v>
      </c>
    </row>
    <row r="263" ht="15.75" customHeight="1">
      <c r="A263" s="6" t="str">
        <f>IFERROR(__xludf.DUMMYFUNCTION("""COMPUTED_VALUE"""),"https://digitalmarketingsupermarket.com/blog/best-ai-marketing-agencies/")</f>
        <v>https://digitalmarketingsupermarket.com/blog/best-ai-marketing-agencies/</v>
      </c>
      <c r="B263" s="7"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263" s="6" t="str">
        <f>IFERROR(__xludf.DUMMYFUNCTION("""COMPUTED_VALUE"""),"digitalmarketingsupermarket.com")</f>
        <v>digitalmarketingsupermarket.com</v>
      </c>
      <c r="D263" s="7" t="str">
        <f>IFERROR(__xludf.DUMMYFUNCTION("""COMPUTED_VALUE"""),"LISTICLE")</f>
        <v>LISTICLE</v>
      </c>
      <c r="E263" s="7" t="str">
        <f>IFERROR(__xludf.DUMMYFUNCTION("""COMPUTED_VALUE"""),"REFERENCE")</f>
        <v>REFERENCE</v>
      </c>
      <c r="F263" s="7" t="str">
        <f>IFERROR(__xludf.DUMMYFUNCTION("""COMPUTED_VALUE"""),"Listicle")</f>
        <v>Listicle</v>
      </c>
      <c r="G263" s="7" t="b">
        <f>IFERROR(__xludf.DUMMYFUNCTION("""COMPUTED_VALUE"""),FALSE)</f>
        <v>0</v>
      </c>
      <c r="H263" s="7" t="str">
        <f>IFERROR(__xludf.DUMMYFUNCTION("""COMPUTED_VALUE"""),"Impressive, Ninja Promo")</f>
        <v>Impressive, Ninja Promo</v>
      </c>
      <c r="I263" s="7">
        <f>IFERROR(__xludf.DUMMYFUNCTION("""COMPUTED_VALUE"""),1.0)</f>
        <v>1</v>
      </c>
      <c r="J263" s="7">
        <f>IFERROR(__xludf.DUMMYFUNCTION("""COMPUTED_VALUE"""),0.0)</f>
        <v>0</v>
      </c>
      <c r="K263" s="7">
        <f>IFERROR(__xludf.DUMMYFUNCTION("""COMPUTED_VALUE"""),0.0)</f>
        <v>0</v>
      </c>
    </row>
    <row r="264" ht="15.75" customHeight="1">
      <c r="A264" s="6" t="str">
        <f>IFERROR(__xludf.DUMMYFUNCTION("""COMPUTED_VALUE"""),"https://digitalmarketingsupermarket.com/blog/best-ai-marketing-agencies-2026/")</f>
        <v>https://digitalmarketingsupermarket.com/blog/best-ai-marketing-agencies-2026/</v>
      </c>
      <c r="B264" s="7" t="str">
        <f>IFERROR(__xludf.DUMMYFUNCTION("""COMPUTED_VALUE"""),"Best AI Marketing Agencies: The Definitive 2026 Guide to Finding Your Perfect Partner - Digital Marketing Supermarket")</f>
        <v>Best AI Marketing Agencies: The Definitive 2026 Guide to Finding Your Perfect Partner - Digital Marketing Supermarket</v>
      </c>
      <c r="C264" s="6" t="str">
        <f>IFERROR(__xludf.DUMMYFUNCTION("""COMPUTED_VALUE"""),"digitalmarketingsupermarket.com")</f>
        <v>digitalmarketingsupermarket.com</v>
      </c>
      <c r="D264" s="7" t="str">
        <f>IFERROR(__xludf.DUMMYFUNCTION("""COMPUTED_VALUE"""),"LISTICLE")</f>
        <v>LISTICLE</v>
      </c>
      <c r="E264" s="7" t="str">
        <f>IFERROR(__xludf.DUMMYFUNCTION("""COMPUTED_VALUE"""),"REFERENCE")</f>
        <v>REFERENCE</v>
      </c>
      <c r="F264" s="7" t="str">
        <f>IFERROR(__xludf.DUMMYFUNCTION("""COMPUTED_VALUE"""),"Listicle")</f>
        <v>Listicle</v>
      </c>
      <c r="G264" s="7" t="b">
        <f>IFERROR(__xludf.DUMMYFUNCTION("""COMPUTED_VALUE"""),FALSE)</f>
        <v>0</v>
      </c>
      <c r="H264" s="7" t="str">
        <f>IFERROR(__xludf.DUMMYFUNCTION("""COMPUTED_VALUE"""),"Impressive, Ninja Promo")</f>
        <v>Impressive, Ninja Promo</v>
      </c>
      <c r="I264" s="7">
        <f>IFERROR(__xludf.DUMMYFUNCTION("""COMPUTED_VALUE"""),1.0)</f>
        <v>1</v>
      </c>
      <c r="J264" s="7">
        <f>IFERROR(__xludf.DUMMYFUNCTION("""COMPUTED_VALUE"""),0.0)</f>
        <v>0</v>
      </c>
      <c r="K264" s="7">
        <f>IFERROR(__xludf.DUMMYFUNCTION("""COMPUTED_VALUE"""),0.0)</f>
        <v>0</v>
      </c>
    </row>
    <row r="265" ht="15.75" customHeight="1">
      <c r="A265" s="6" t="str">
        <f>IFERROR(__xludf.DUMMYFUNCTION("""COMPUTED_VALUE"""),"https://digitalmarketingsupermarket.com/blog/digital-marketing-agencies-in-perth/")</f>
        <v>https://digitalmarketingsupermarket.com/blog/digital-marketing-agencies-in-perth/</v>
      </c>
      <c r="B265" s="7" t="str">
        <f>IFERROR(__xludf.DUMMYFUNCTION("""COMPUTED_VALUE"""),"Digital Marketing Agencies in Perth: Your Complete Guide to Finding the Right Partner in 2025 - Digital Marketing Supermarket")</f>
        <v>Digital Marketing Agencies in Perth: Your Complete Guide to Finding the Right Partner in 2025 - Digital Marketing Supermarket</v>
      </c>
      <c r="C265" s="6" t="str">
        <f>IFERROR(__xludf.DUMMYFUNCTION("""COMPUTED_VALUE"""),"digitalmarketingsupermarket.com")</f>
        <v>digitalmarketingsupermarket.com</v>
      </c>
      <c r="D265" s="7" t="str">
        <f>IFERROR(__xludf.DUMMYFUNCTION("""COMPUTED_VALUE"""),"LISTICLE")</f>
        <v>LISTICLE</v>
      </c>
      <c r="E265" s="7" t="str">
        <f>IFERROR(__xludf.DUMMYFUNCTION("""COMPUTED_VALUE"""),"REFERENCE")</f>
        <v>REFERENCE</v>
      </c>
      <c r="F265" s="7" t="str">
        <f>IFERROR(__xludf.DUMMYFUNCTION("""COMPUTED_VALUE"""),"Listicle")</f>
        <v>Listicle</v>
      </c>
      <c r="G265" s="7" t="b">
        <f>IFERROR(__xludf.DUMMYFUNCTION("""COMPUTED_VALUE"""),FALSE)</f>
        <v>0</v>
      </c>
      <c r="H265" s="7" t="str">
        <f>IFERROR(__xludf.DUMMYFUNCTION("""COMPUTED_VALUE"""),"Bonfire, Impressive, First Page, Huge")</f>
        <v>Bonfire, Impressive, First Page, Huge</v>
      </c>
      <c r="I265" s="7">
        <f>IFERROR(__xludf.DUMMYFUNCTION("""COMPUTED_VALUE"""),1.0)</f>
        <v>1</v>
      </c>
      <c r="J265" s="7">
        <f>IFERROR(__xludf.DUMMYFUNCTION("""COMPUTED_VALUE"""),0.0)</f>
        <v>0</v>
      </c>
      <c r="K265" s="7">
        <f>IFERROR(__xludf.DUMMYFUNCTION("""COMPUTED_VALUE"""),0.0)</f>
        <v>0</v>
      </c>
    </row>
    <row r="266" ht="15.75" customHeight="1">
      <c r="A266" s="6" t="str">
        <f>IFERROR(__xludf.DUMMYFUNCTION("""COMPUTED_VALUE"""),"https://digitalnomadshq.com.au/blog/best-graphic-design-companies/")</f>
        <v>https://digitalnomadshq.com.au/blog/best-graphic-design-companies/</v>
      </c>
      <c r="B266" s="7" t="str">
        <f>IFERROR(__xludf.DUMMYFUNCTION("""COMPUTED_VALUE"""),"15 Best Graphic Design Companies in Australia (2026)")</f>
        <v>15 Best Graphic Design Companies in Australia (2026)</v>
      </c>
      <c r="C266" s="6" t="str">
        <f>IFERROR(__xludf.DUMMYFUNCTION("""COMPUTED_VALUE"""),"digitalnomadshq.com.au")</f>
        <v>digitalnomadshq.com.au</v>
      </c>
      <c r="D266" s="7" t="str">
        <f>IFERROR(__xludf.DUMMYFUNCTION("""COMPUTED_VALUE"""),"LISTICLE")</f>
        <v>LISTICLE</v>
      </c>
      <c r="E266" s="7" t="str">
        <f>IFERROR(__xludf.DUMMYFUNCTION("""COMPUTED_VALUE"""),"COMPETITOR")</f>
        <v>COMPETITOR</v>
      </c>
      <c r="F266" s="7" t="str">
        <f>IFERROR(__xludf.DUMMYFUNCTION("""COMPUTED_VALUE"""),"Listicle")</f>
        <v>Listicle</v>
      </c>
      <c r="G266" s="7" t="b">
        <f>IFERROR(__xludf.DUMMYFUNCTION("""COMPUTED_VALUE"""),FALSE)</f>
        <v>0</v>
      </c>
      <c r="H266" s="7" t="str">
        <f>IFERROR(__xludf.DUMMYFUNCTION("""COMPUTED_VALUE"""),"Digital Nomads HQ, CUT THRU, Soup Agency, Farsiight, Clearwater Agency")</f>
        <v>Digital Nomads HQ, CUT THRU, Soup Agency, Farsiight, Clearwater Agency</v>
      </c>
      <c r="I266" s="7">
        <f>IFERROR(__xludf.DUMMYFUNCTION("""COMPUTED_VALUE"""),1.0)</f>
        <v>1</v>
      </c>
      <c r="J266" s="7">
        <f>IFERROR(__xludf.DUMMYFUNCTION("""COMPUTED_VALUE"""),0.0)</f>
        <v>0</v>
      </c>
      <c r="K266" s="7">
        <f>IFERROR(__xludf.DUMMYFUNCTION("""COMPUTED_VALUE"""),1.0)</f>
        <v>1</v>
      </c>
    </row>
    <row r="267" ht="15.75" customHeight="1">
      <c r="A267" s="6" t="str">
        <f>IFERROR(__xludf.DUMMYFUNCTION("""COMPUTED_VALUE"""),"https://digitalnomadshq.com.au/blog/best-ppc-agency/")</f>
        <v>https://digitalnomadshq.com.au/blog/best-ppc-agency/</v>
      </c>
      <c r="B267" s="7" t="str">
        <f>IFERROR(__xludf.DUMMYFUNCTION("""COMPUTED_VALUE"""),"Best PPC Agencies in Australia (Updated 2026)")</f>
        <v>Best PPC Agencies in Australia (Updated 2026)</v>
      </c>
      <c r="C267" s="6" t="str">
        <f>IFERROR(__xludf.DUMMYFUNCTION("""COMPUTED_VALUE"""),"digitalnomadshq.com.au")</f>
        <v>digitalnomadshq.com.au</v>
      </c>
      <c r="D267" s="7" t="str">
        <f>IFERROR(__xludf.DUMMYFUNCTION("""COMPUTED_VALUE"""),"LISTICLE")</f>
        <v>LISTICLE</v>
      </c>
      <c r="E267" s="7" t="str">
        <f>IFERROR(__xludf.DUMMYFUNCTION("""COMPUTED_VALUE"""),"COMPETITOR")</f>
        <v>COMPETITOR</v>
      </c>
      <c r="F267" s="7" t="str">
        <f>IFERROR(__xludf.DUMMYFUNCTION("""COMPUTED_VALUE"""),"Listicle")</f>
        <v>Listicle</v>
      </c>
      <c r="G267" s="7" t="b">
        <f>IFERROR(__xludf.DUMMYFUNCTION("""COMPUTED_VALUE"""),FALSE)</f>
        <v>0</v>
      </c>
      <c r="H267" s="7" t="str">
        <f>IFERROR(__xludf.DUMMYFUNCTION("""COMPUTED_VALUE"""),"Digital Nomads HQ, Megaphone, Soup Agency, Farsiight, Gorilla 360, Impressive, Huge")</f>
        <v>Digital Nomads HQ, Megaphone, Soup Agency, Farsiight, Gorilla 360, Impressive, Huge</v>
      </c>
      <c r="I267" s="7">
        <f>IFERROR(__xludf.DUMMYFUNCTION("""COMPUTED_VALUE"""),1.0)</f>
        <v>1</v>
      </c>
      <c r="J267" s="7">
        <f>IFERROR(__xludf.DUMMYFUNCTION("""COMPUTED_VALUE"""),0.0)</f>
        <v>0</v>
      </c>
      <c r="K267" s="7">
        <f>IFERROR(__xludf.DUMMYFUNCTION("""COMPUTED_VALUE"""),1.0)</f>
        <v>1</v>
      </c>
    </row>
    <row r="268" ht="15.75" customHeight="1">
      <c r="A268" s="6" t="str">
        <f>IFERROR(__xludf.DUMMYFUNCTION("""COMPUTED_VALUE"""),"https://digitalnomadshq.com.au/blog/pr-firms/")</f>
        <v>https://digitalnomadshq.com.au/blog/pr-firms/</v>
      </c>
      <c r="B268" s="7" t="str">
        <f>IFERROR(__xludf.DUMMYFUNCTION("""COMPUTED_VALUE"""),"14 Best PR Firms in Australia - Find Your PR Agency...")</f>
        <v>14 Best PR Firms in Australia - Find Your PR Agency...</v>
      </c>
      <c r="C268" s="6" t="str">
        <f>IFERROR(__xludf.DUMMYFUNCTION("""COMPUTED_VALUE"""),"digitalnomadshq.com.au")</f>
        <v>digitalnomadshq.com.au</v>
      </c>
      <c r="D268" s="7" t="str">
        <f>IFERROR(__xludf.DUMMYFUNCTION("""COMPUTED_VALUE"""),"LISTICLE")</f>
        <v>LISTICLE</v>
      </c>
      <c r="E268" s="7" t="str">
        <f>IFERROR(__xludf.DUMMYFUNCTION("""COMPUTED_VALUE"""),"COMPETITOR")</f>
        <v>COMPETITOR</v>
      </c>
      <c r="F268" s="7" t="str">
        <f>IFERROR(__xludf.DUMMYFUNCTION("""COMPUTED_VALUE"""),"Listicle")</f>
        <v>Listicle</v>
      </c>
      <c r="G268" s="7" t="b">
        <f>IFERROR(__xludf.DUMMYFUNCTION("""COMPUTED_VALUE"""),FALSE)</f>
        <v>0</v>
      </c>
      <c r="H268" s="7" t="str">
        <f>IFERROR(__xludf.DUMMYFUNCTION("""COMPUTED_VALUE"""),"Digital Nomads HQ, WPP, Impressive")</f>
        <v>Digital Nomads HQ, WPP, Impressive</v>
      </c>
      <c r="I268" s="7">
        <f>IFERROR(__xludf.DUMMYFUNCTION("""COMPUTED_VALUE"""),1.0)</f>
        <v>1</v>
      </c>
      <c r="J268" s="7">
        <f>IFERROR(__xludf.DUMMYFUNCTION("""COMPUTED_VALUE"""),0.0)</f>
        <v>0</v>
      </c>
      <c r="K268" s="7">
        <f>IFERROR(__xludf.DUMMYFUNCTION("""COMPUTED_VALUE"""),0.0)</f>
        <v>0</v>
      </c>
    </row>
    <row r="269" ht="15.75" customHeight="1">
      <c r="A269" s="6" t="str">
        <f>IFERROR(__xludf.DUMMYFUNCTION("""COMPUTED_VALUE"""),"https://digitalnomadshq.com.au/blog/social-media-companies/")</f>
        <v>https://digitalnomadshq.com.au/blog/social-media-companies/</v>
      </c>
      <c r="B269" s="7" t="str">
        <f>IFERROR(__xludf.DUMMYFUNCTION("""COMPUTED_VALUE"""),"Top Social Media Marketing Companies in Australia in 2026")</f>
        <v>Top Social Media Marketing Companies in Australia in 2026</v>
      </c>
      <c r="C269" s="6" t="str">
        <f>IFERROR(__xludf.DUMMYFUNCTION("""COMPUTED_VALUE"""),"digitalnomadshq.com.au")</f>
        <v>digitalnomadshq.com.au</v>
      </c>
      <c r="D269" s="7" t="str">
        <f>IFERROR(__xludf.DUMMYFUNCTION("""COMPUTED_VALUE"""),"LISTICLE")</f>
        <v>LISTICLE</v>
      </c>
      <c r="E269" s="7" t="str">
        <f>IFERROR(__xludf.DUMMYFUNCTION("""COMPUTED_VALUE"""),"COMPETITOR")</f>
        <v>COMPETITOR</v>
      </c>
      <c r="F269" s="7" t="str">
        <f>IFERROR(__xludf.DUMMYFUNCTION("""COMPUTED_VALUE"""),"Listicle")</f>
        <v>Listicle</v>
      </c>
      <c r="G269" s="7" t="b">
        <f>IFERROR(__xludf.DUMMYFUNCTION("""COMPUTED_VALUE"""),FALSE)</f>
        <v>0</v>
      </c>
      <c r="H269" s="7" t="str">
        <f>IFERROR(__xludf.DUMMYFUNCTION("""COMPUTED_VALUE"""),"Digital Nomads HQ, Online Marketing Gurus, Clearwater Agency, Paradox Marketing, Megaphone, Bench Media, Omnicom Media Group, Earned Media")</f>
        <v>Digital Nomads HQ, Online Marketing Gurus, Clearwater Agency, Paradox Marketing, Megaphone, Bench Media, Omnicom Media Group, Earned Media</v>
      </c>
      <c r="I269" s="7">
        <f>IFERROR(__xludf.DUMMYFUNCTION("""COMPUTED_VALUE"""),1.0)</f>
        <v>1</v>
      </c>
      <c r="J269" s="7">
        <f>IFERROR(__xludf.DUMMYFUNCTION("""COMPUTED_VALUE"""),0.0)</f>
        <v>0</v>
      </c>
      <c r="K269" s="7">
        <f>IFERROR(__xludf.DUMMYFUNCTION("""COMPUTED_VALUE"""),1.0)</f>
        <v>1</v>
      </c>
    </row>
    <row r="270" ht="15.75" customHeight="1">
      <c r="A270" s="6" t="str">
        <f>IFERROR(__xludf.DUMMYFUNCTION("""COMPUTED_VALUE"""),"https://edisonai.au/insights/top-ai-implementation-agencies-australia")</f>
        <v>https://edisonai.au/insights/top-ai-implementation-agencies-australia</v>
      </c>
      <c r="B270" s="7" t="str">
        <f>IFERROR(__xludf.DUMMYFUNCTION("""COMPUTED_VALUE"""),"Top 7 AI Implementation Agencies in Australia (2026) \| Edison AI")</f>
        <v>Top 7 AI Implementation Agencies in Australia (2026) \| Edison AI</v>
      </c>
      <c r="C270" s="6" t="str">
        <f>IFERROR(__xludf.DUMMYFUNCTION("""COMPUTED_VALUE"""),"edisonai.au")</f>
        <v>edisonai.au</v>
      </c>
      <c r="D270" s="7" t="str">
        <f>IFERROR(__xludf.DUMMYFUNCTION("""COMPUTED_VALUE"""),"LISTICLE")</f>
        <v>LISTICLE</v>
      </c>
      <c r="E270" s="7" t="str">
        <f>IFERROR(__xludf.DUMMYFUNCTION("""COMPUTED_VALUE"""),"CORPORATE")</f>
        <v>CORPORATE</v>
      </c>
      <c r="F270" s="7" t="str">
        <f>IFERROR(__xludf.DUMMYFUNCTION("""COMPUTED_VALUE"""),"Listicle")</f>
        <v>Listicle</v>
      </c>
      <c r="G270" s="7" t="b">
        <f>IFERROR(__xludf.DUMMYFUNCTION("""COMPUTED_VALUE"""),FALSE)</f>
        <v>0</v>
      </c>
      <c r="H270" s="7" t="str">
        <f>IFERROR(__xludf.DUMMYFUNCTION("""COMPUTED_VALUE"""),"Edison AI, Mantel Group, Momentum, Measured")</f>
        <v>Edison AI, Mantel Group, Momentum, Measured</v>
      </c>
      <c r="I270" s="7">
        <f>IFERROR(__xludf.DUMMYFUNCTION("""COMPUTED_VALUE"""),1.0)</f>
        <v>1</v>
      </c>
      <c r="J270" s="7">
        <f>IFERROR(__xludf.DUMMYFUNCTION("""COMPUTED_VALUE"""),0.0)</f>
        <v>0</v>
      </c>
      <c r="K270" s="7">
        <f>IFERROR(__xludf.DUMMYFUNCTION("""COMPUTED_VALUE"""),1.0)</f>
        <v>1</v>
      </c>
    </row>
    <row r="271" ht="15.75" customHeight="1">
      <c r="A271" s="6" t="str">
        <f>IFERROR(__xludf.DUMMYFUNCTION("""COMPUTED_VALUE"""),"https://firstpagesage.com/seo-blog/the-top-answer-engine-optimization-aeo-companies/")</f>
        <v>https://firstpagesage.com/seo-blog/the-top-answer-engine-optimization-aeo-companies/</v>
      </c>
      <c r="B271" s="7" t="str">
        <f>IFERROR(__xludf.DUMMYFUNCTION("""COMPUTED_VALUE"""),"The Top Answer Engine Optimization (AEO) Companies of 2026 – First Page Sage")</f>
        <v>The Top Answer Engine Optimization (AEO) Companies of 2026 – First Page Sage</v>
      </c>
      <c r="C271" s="6" t="str">
        <f>IFERROR(__xludf.DUMMYFUNCTION("""COMPUTED_VALUE"""),"firstpagesage.com")</f>
        <v>firstpagesage.com</v>
      </c>
      <c r="D271" s="7" t="str">
        <f>IFERROR(__xludf.DUMMYFUNCTION("""COMPUTED_VALUE"""),"LISTICLE")</f>
        <v>LISTICLE</v>
      </c>
      <c r="E271" s="7" t="str">
        <f>IFERROR(__xludf.DUMMYFUNCTION("""COMPUTED_VALUE"""),"COMPETITOR")</f>
        <v>COMPETITOR</v>
      </c>
      <c r="F271" s="7" t="str">
        <f>IFERROR(__xludf.DUMMYFUNCTION("""COMPUTED_VALUE"""),"Listicle")</f>
        <v>Listicle</v>
      </c>
      <c r="G271" s="7" t="b">
        <f>IFERROR(__xludf.DUMMYFUNCTION("""COMPUTED_VALUE"""),FALSE)</f>
        <v>0</v>
      </c>
      <c r="H271" s="7" t="str">
        <f>IFERROR(__xludf.DUMMYFUNCTION("""COMPUTED_VALUE"""),"First Page, Earned Media")</f>
        <v>First Page, Earned Media</v>
      </c>
      <c r="I271" s="7">
        <f>IFERROR(__xludf.DUMMYFUNCTION("""COMPUTED_VALUE"""),1.0)</f>
        <v>1</v>
      </c>
      <c r="J271" s="7">
        <f>IFERROR(__xludf.DUMMYFUNCTION("""COMPUTED_VALUE"""),0.0)</f>
        <v>0</v>
      </c>
      <c r="K271" s="7">
        <f>IFERROR(__xludf.DUMMYFUNCTION("""COMPUTED_VALUE"""),0.0)</f>
        <v>0</v>
      </c>
    </row>
    <row r="272" ht="15.75" customHeight="1">
      <c r="A272" s="6" t="str">
        <f>IFERROR(__xludf.DUMMYFUNCTION("""COMPUTED_VALUE"""),"https://www.formulate.com.au/articles/top-seven-seo-agencies-in-melbourne/")</f>
        <v>https://www.formulate.com.au/articles/top-seven-seo-agencies-in-melbourne/</v>
      </c>
      <c r="B272" s="7" t="str">
        <f>IFERROR(__xludf.DUMMYFUNCTION("""COMPUTED_VALUE"""),"Top Seven SEO Agencies in Melbourne &amp;#8211; Formulate Design Blog")</f>
        <v>Top Seven SEO Agencies in Melbourne &amp;#8211; Formulate Design Blog</v>
      </c>
      <c r="C272" s="6" t="str">
        <f>IFERROR(__xludf.DUMMYFUNCTION("""COMPUTED_VALUE"""),"formulate.com.au")</f>
        <v>formulate.com.au</v>
      </c>
      <c r="D272" s="7" t="str">
        <f>IFERROR(__xludf.DUMMYFUNCTION("""COMPUTED_VALUE"""),"LISTICLE")</f>
        <v>LISTICLE</v>
      </c>
      <c r="E272" s="7" t="str">
        <f>IFERROR(__xludf.DUMMYFUNCTION("""COMPUTED_VALUE"""),"EDITORIAL")</f>
        <v>EDITORIAL</v>
      </c>
      <c r="F272" s="7" t="str">
        <f>IFERROR(__xludf.DUMMYFUNCTION("""COMPUTED_VALUE"""),"Listicle")</f>
        <v>Listicle</v>
      </c>
      <c r="G272" s="7" t="b">
        <f>IFERROR(__xludf.DUMMYFUNCTION("""COMPUTED_VALUE"""),FALSE)</f>
        <v>0</v>
      </c>
      <c r="H272" s="7" t="str">
        <f>IFERROR(__xludf.DUMMYFUNCTION("""COMPUTED_VALUE"""),"Alley Group, Prosperity Media, Luminary, First Page")</f>
        <v>Alley Group, Prosperity Media, Luminary, First Page</v>
      </c>
      <c r="I272" s="7">
        <f>IFERROR(__xludf.DUMMYFUNCTION("""COMPUTED_VALUE"""),1.0)</f>
        <v>1</v>
      </c>
      <c r="J272" s="7">
        <f>IFERROR(__xludf.DUMMYFUNCTION("""COMPUTED_VALUE"""),0.0)</f>
        <v>0</v>
      </c>
      <c r="K272" s="7">
        <f>IFERROR(__xludf.DUMMYFUNCTION("""COMPUTED_VALUE"""),1.0)</f>
        <v>1</v>
      </c>
    </row>
    <row r="273" ht="15.75" customHeight="1">
      <c r="A273" s="6" t="str">
        <f>IFERROR(__xludf.DUMMYFUNCTION("""COMPUTED_VALUE"""),"https://gcmag.com.au/how-to-choose-an-ai-seo-agency-in-australia/")</f>
        <v>https://gcmag.com.au/how-to-choose-an-ai-seo-agency-in-australia/</v>
      </c>
      <c r="B273" s="7" t="str">
        <f>IFERROR(__xludf.DUMMYFUNCTION("""COMPUTED_VALUE"""),"How to Choose an AI SEO Agency in Australia")</f>
        <v>How to Choose an AI SEO Agency in Australia</v>
      </c>
      <c r="C273" s="6" t="str">
        <f>IFERROR(__xludf.DUMMYFUNCTION("""COMPUTED_VALUE"""),"gcmag.com.au")</f>
        <v>gcmag.com.au</v>
      </c>
      <c r="D273" s="7" t="str">
        <f>IFERROR(__xludf.DUMMYFUNCTION("""COMPUTED_VALUE"""),"LISTICLE")</f>
        <v>LISTICLE</v>
      </c>
      <c r="E273" s="7" t="str">
        <f>IFERROR(__xludf.DUMMYFUNCTION("""COMPUTED_VALUE"""),"EDITORIAL")</f>
        <v>EDITORIAL</v>
      </c>
      <c r="F273" s="7" t="str">
        <f>IFERROR(__xludf.DUMMYFUNCTION("""COMPUTED_VALUE"""),"Listicle")</f>
        <v>Listicle</v>
      </c>
      <c r="G273" s="7" t="b">
        <f>IFERROR(__xludf.DUMMYFUNCTION("""COMPUTED_VALUE"""),FALSE)</f>
        <v>0</v>
      </c>
      <c r="H273" s="7" t="str">
        <f>IFERROR(__xludf.DUMMYFUNCTION("""COMPUTED_VALUE"""),"NP Digital Australia, King Kong, Online Marketing Gurus, Omnicom Media Group, Supple Digital, Alpha Digital, Farsiight, 80/20 Digital, First Page, First Page Australia, Soup Agency, Measured, Earned Media, Impressive")</f>
        <v>NP Digital Australia, King Kong, Online Marketing Gurus, Omnicom Media Group, Supple Digital, Alpha Digital, Farsiight, 80/20 Digital, First Page, First Page Australia, Soup Agency, Measured, Earned Media, Impressive</v>
      </c>
      <c r="I273" s="7">
        <f>IFERROR(__xludf.DUMMYFUNCTION("""COMPUTED_VALUE"""),1.0)</f>
        <v>1</v>
      </c>
      <c r="J273" s="7">
        <f>IFERROR(__xludf.DUMMYFUNCTION("""COMPUTED_VALUE"""),0.0)</f>
        <v>0</v>
      </c>
      <c r="K273" s="7">
        <f>IFERROR(__xludf.DUMMYFUNCTION("""COMPUTED_VALUE"""),0.0)</f>
        <v>0</v>
      </c>
    </row>
    <row r="274" ht="15.75" customHeight="1">
      <c r="A274" s="6" t="str">
        <f>IFERROR(__xludf.DUMMYFUNCTION("""COMPUTED_VALUE"""),"https://gemfind.com/blogs/digital-marketing/google-marketing-partner")</f>
        <v>https://gemfind.com/blogs/digital-marketing/google-marketing-partner</v>
      </c>
      <c r="B274" s="7" t="str">
        <f>IFERROR(__xludf.DUMMYFUNCTION("""COMPUTED_VALUE"""),"Your Guide to Google Marketing Partners: Finding the Right Fit")</f>
        <v>Your Guide to Google Marketing Partners: Finding the Right Fit</v>
      </c>
      <c r="C274" s="6" t="str">
        <f>IFERROR(__xludf.DUMMYFUNCTION("""COMPUTED_VALUE"""),"gemfind.com")</f>
        <v>gemfind.com</v>
      </c>
      <c r="D274" s="7" t="str">
        <f>IFERROR(__xludf.DUMMYFUNCTION("""COMPUTED_VALUE"""),"LISTICLE")</f>
        <v>LISTICLE</v>
      </c>
      <c r="E274" s="7" t="str">
        <f>IFERROR(__xludf.DUMMYFUNCTION("""COMPUTED_VALUE"""),"CORPORATE")</f>
        <v>CORPORATE</v>
      </c>
      <c r="F274" s="7" t="str">
        <f>IFERROR(__xludf.DUMMYFUNCTION("""COMPUTED_VALUE"""),"Listicle")</f>
        <v>Listicle</v>
      </c>
      <c r="G274" s="7" t="b">
        <f>IFERROR(__xludf.DUMMYFUNCTION("""COMPUTED_VALUE"""),FALSE)</f>
        <v>0</v>
      </c>
      <c r="H274" s="7" t="str">
        <f>IFERROR(__xludf.DUMMYFUNCTION("""COMPUTED_VALUE"""),"XPON")</f>
        <v>XPON</v>
      </c>
      <c r="I274" s="7">
        <f>IFERROR(__xludf.DUMMYFUNCTION("""COMPUTED_VALUE"""),1.0)</f>
        <v>1</v>
      </c>
      <c r="J274" s="7">
        <f>IFERROR(__xludf.DUMMYFUNCTION("""COMPUTED_VALUE"""),0.0)</f>
        <v>0</v>
      </c>
      <c r="K274" s="7">
        <f>IFERROR(__xludf.DUMMYFUNCTION("""COMPUTED_VALUE"""),1.0)</f>
        <v>1</v>
      </c>
    </row>
    <row r="275" ht="15.75" customHeight="1">
      <c r="A275" s="6" t="str">
        <f>IFERROR(__xludf.DUMMYFUNCTION("""COMPUTED_VALUE"""),"https://www.growth-hackers.net/best-analytics-marketing-agencies/")</f>
        <v>https://www.growth-hackers.net/best-analytics-marketing-agencies/</v>
      </c>
      <c r="B275" s="7" t="str">
        <f>IFERROR(__xludf.DUMMYFUNCTION("""COMPUTED_VALUE"""),"Top 11 Analytics Marketing Agencies in 2026 | Hire the Best Analytics Marketing Agency | Growth Hackers")</f>
        <v>Top 11 Analytics Marketing Agencies in 2026 | Hire the Best Analytics Marketing Agency | Growth Hackers</v>
      </c>
      <c r="C275" s="6" t="str">
        <f>IFERROR(__xludf.DUMMYFUNCTION("""COMPUTED_VALUE"""),"growth-hackers.net")</f>
        <v>growth-hackers.net</v>
      </c>
      <c r="D275" s="7" t="str">
        <f>IFERROR(__xludf.DUMMYFUNCTION("""COMPUTED_VALUE"""),"LISTICLE")</f>
        <v>LISTICLE</v>
      </c>
      <c r="E275" s="7" t="str">
        <f>IFERROR(__xludf.DUMMYFUNCTION("""COMPUTED_VALUE"""),"CORPORATE")</f>
        <v>CORPORATE</v>
      </c>
      <c r="F275" s="7" t="str">
        <f>IFERROR(__xludf.DUMMYFUNCTION("""COMPUTED_VALUE"""),"Listicle")</f>
        <v>Listicle</v>
      </c>
      <c r="G275" s="7" t="b">
        <f>IFERROR(__xludf.DUMMYFUNCTION("""COMPUTED_VALUE"""),FALSE)</f>
        <v>0</v>
      </c>
      <c r="H275" s="7" t="str">
        <f>IFERROR(__xludf.DUMMYFUNCTION("""COMPUTED_VALUE"""),"Loves Data")</f>
        <v>Loves Data</v>
      </c>
      <c r="I275" s="7">
        <f>IFERROR(__xludf.DUMMYFUNCTION("""COMPUTED_VALUE"""),1.0)</f>
        <v>1</v>
      </c>
      <c r="J275" s="7">
        <f>IFERROR(__xludf.DUMMYFUNCTION("""COMPUTED_VALUE"""),0.0)</f>
        <v>0</v>
      </c>
      <c r="K275" s="7">
        <f>IFERROR(__xludf.DUMMYFUNCTION("""COMPUTED_VALUE"""),0.0)</f>
        <v>0</v>
      </c>
    </row>
    <row r="276" ht="15.75" customHeight="1">
      <c r="A276" s="6" t="str">
        <f>IFERROR(__xludf.DUMMYFUNCTION("""COMPUTED_VALUE"""),"https://hikemytraffic.com/ai-digital-marketing-companies-in-australia/")</f>
        <v>https://hikemytraffic.com/ai-digital-marketing-companies-in-australia/</v>
      </c>
      <c r="B276" s="7" t="str">
        <f>IFERROR(__xludf.DUMMYFUNCTION("""COMPUTED_VALUE"""),"Top 10 AI Digital Marketing Companies in Australia 2026")</f>
        <v>Top 10 AI Digital Marketing Companies in Australia 2026</v>
      </c>
      <c r="C276" s="6" t="str">
        <f>IFERROR(__xludf.DUMMYFUNCTION("""COMPUTED_VALUE"""),"hikemytraffic.com")</f>
        <v>hikemytraffic.com</v>
      </c>
      <c r="D276" s="7" t="str">
        <f>IFERROR(__xludf.DUMMYFUNCTION("""COMPUTED_VALUE"""),"LISTICLE")</f>
        <v>LISTICLE</v>
      </c>
      <c r="E276" s="7" t="str">
        <f>IFERROR(__xludf.DUMMYFUNCTION("""COMPUTED_VALUE"""),"CORPORATE")</f>
        <v>CORPORATE</v>
      </c>
      <c r="F276" s="7" t="str">
        <f>IFERROR(__xludf.DUMMYFUNCTION("""COMPUTED_VALUE"""),"Listicle")</f>
        <v>Listicle</v>
      </c>
      <c r="G276" s="7" t="b">
        <f>IFERROR(__xludf.DUMMYFUNCTION("""COMPUTED_VALUE"""),FALSE)</f>
        <v>0</v>
      </c>
      <c r="H276" s="7"/>
      <c r="I276" s="7">
        <f>IFERROR(__xludf.DUMMYFUNCTION("""COMPUTED_VALUE"""),1.0)</f>
        <v>1</v>
      </c>
      <c r="J276" s="7">
        <f>IFERROR(__xludf.DUMMYFUNCTION("""COMPUTED_VALUE"""),0.0)</f>
        <v>0</v>
      </c>
      <c r="K276" s="7">
        <f>IFERROR(__xludf.DUMMYFUNCTION("""COMPUTED_VALUE"""),1.0)</f>
        <v>1</v>
      </c>
    </row>
    <row r="277" ht="15.75" customHeight="1">
      <c r="A277" s="6" t="str">
        <f>IFERROR(__xludf.DUMMYFUNCTION("""COMPUTED_VALUE"""),"https://www.hirewithnear.com/blog/graphic-designer-recruitment-agencies")</f>
        <v>https://www.hirewithnear.com/blog/graphic-designer-recruitment-agencies</v>
      </c>
      <c r="B277" s="7" t="str">
        <f>IFERROR(__xludf.DUMMYFUNCTION("""COMPUTED_VALUE"""),"Graphic Design Recruitment Agency: 10 Top Picks for 2026")</f>
        <v>Graphic Design Recruitment Agency: 10 Top Picks for 2026</v>
      </c>
      <c r="C277" s="6" t="str">
        <f>IFERROR(__xludf.DUMMYFUNCTION("""COMPUTED_VALUE"""),"hirewithnear.com")</f>
        <v>hirewithnear.com</v>
      </c>
      <c r="D277" s="7" t="str">
        <f>IFERROR(__xludf.DUMMYFUNCTION("""COMPUTED_VALUE"""),"LISTICLE")</f>
        <v>LISTICLE</v>
      </c>
      <c r="E277" s="7" t="str">
        <f>IFERROR(__xludf.DUMMYFUNCTION("""COMPUTED_VALUE"""),"CORPORATE")</f>
        <v>CORPORATE</v>
      </c>
      <c r="F277" s="7" t="str">
        <f>IFERROR(__xludf.DUMMYFUNCTION("""COMPUTED_VALUE"""),"Listicle")</f>
        <v>Listicle</v>
      </c>
      <c r="G277" s="7" t="b">
        <f>IFERROR(__xludf.DUMMYFUNCTION("""COMPUTED_VALUE"""),FALSE)</f>
        <v>0</v>
      </c>
      <c r="H277" s="7"/>
      <c r="I277" s="7">
        <f>IFERROR(__xludf.DUMMYFUNCTION("""COMPUTED_VALUE"""),1.0)</f>
        <v>1</v>
      </c>
      <c r="J277" s="7">
        <f>IFERROR(__xludf.DUMMYFUNCTION("""COMPUTED_VALUE"""),0.0)</f>
        <v>0</v>
      </c>
      <c r="K277" s="7">
        <f>IFERROR(__xludf.DUMMYFUNCTION("""COMPUTED_VALUE"""),1.0)</f>
        <v>1</v>
      </c>
    </row>
    <row r="278" ht="15.75" customHeight="1">
      <c r="A278" s="6" t="str">
        <f>IFERROR(__xludf.DUMMYFUNCTION("""COMPUTED_VALUE"""),"https://homerdigitalmarketing.com/instagram-ads-agency/")</f>
        <v>https://homerdigitalmarketing.com/instagram-ads-agency/</v>
      </c>
      <c r="B278" s="7" t="str">
        <f>IFERROR(__xludf.DUMMYFUNCTION("""COMPUTED_VALUE"""),"12 Best Instagram Ads Agencies in Australia (2026 Guide)")</f>
        <v>12 Best Instagram Ads Agencies in Australia (2026 Guide)</v>
      </c>
      <c r="C278" s="6" t="str">
        <f>IFERROR(__xludf.DUMMYFUNCTION("""COMPUTED_VALUE"""),"homerdigitalmarketing.com")</f>
        <v>homerdigitalmarketing.com</v>
      </c>
      <c r="D278" s="7" t="str">
        <f>IFERROR(__xludf.DUMMYFUNCTION("""COMPUTED_VALUE"""),"LISTICLE")</f>
        <v>LISTICLE</v>
      </c>
      <c r="E278" s="7" t="str">
        <f>IFERROR(__xludf.DUMMYFUNCTION("""COMPUTED_VALUE"""),"CORPORATE")</f>
        <v>CORPORATE</v>
      </c>
      <c r="F278" s="7" t="str">
        <f>IFERROR(__xludf.DUMMYFUNCTION("""COMPUTED_VALUE"""),"Listicle")</f>
        <v>Listicle</v>
      </c>
      <c r="G278" s="7" t="b">
        <f>IFERROR(__xludf.DUMMYFUNCTION("""COMPUTED_VALUE"""),FALSE)</f>
        <v>0</v>
      </c>
      <c r="H278" s="7" t="str">
        <f>IFERROR(__xludf.DUMMYFUNCTION("""COMPUTED_VALUE"""),"Megaphone, Impressive, Online Marketing Gurus, Omnicom Media Group, Rocket Agency, Alpha Digital, Clearwater Agency, WebSavvy, Sparro, Brainlabs, Metric Labs, Click Click Media")</f>
        <v>Megaphone, Impressive, Online Marketing Gurus, Omnicom Media Group, Rocket Agency, Alpha Digital, Clearwater Agency, WebSavvy, Sparro, Brainlabs, Metric Labs, Click Click Media</v>
      </c>
      <c r="I278" s="7">
        <f>IFERROR(__xludf.DUMMYFUNCTION("""COMPUTED_VALUE"""),1.0)</f>
        <v>1</v>
      </c>
      <c r="J278" s="7">
        <f>IFERROR(__xludf.DUMMYFUNCTION("""COMPUTED_VALUE"""),0.0)</f>
        <v>0</v>
      </c>
      <c r="K278" s="7">
        <f>IFERROR(__xludf.DUMMYFUNCTION("""COMPUTED_VALUE"""),0.0)</f>
        <v>0</v>
      </c>
    </row>
    <row r="279" ht="15.75" customHeight="1">
      <c r="A279" s="6" t="str">
        <f>IFERROR(__xludf.DUMMYFUNCTION("""COMPUTED_VALUE"""),"https://homerdigitalmarketing.com/lead-gen-agency/")</f>
        <v>https://homerdigitalmarketing.com/lead-gen-agency/</v>
      </c>
      <c r="B279" s="7" t="str">
        <f>IFERROR(__xludf.DUMMYFUNCTION("""COMPUTED_VALUE"""),"6 Best Lead Gen Agencies in Australia for Service Businesses (2026 Guide)")</f>
        <v>6 Best Lead Gen Agencies in Australia for Service Businesses (2026 Guide)</v>
      </c>
      <c r="C279" s="6" t="str">
        <f>IFERROR(__xludf.DUMMYFUNCTION("""COMPUTED_VALUE"""),"homerdigitalmarketing.com")</f>
        <v>homerdigitalmarketing.com</v>
      </c>
      <c r="D279" s="7" t="str">
        <f>IFERROR(__xludf.DUMMYFUNCTION("""COMPUTED_VALUE"""),"LISTICLE")</f>
        <v>LISTICLE</v>
      </c>
      <c r="E279" s="7" t="str">
        <f>IFERROR(__xludf.DUMMYFUNCTION("""COMPUTED_VALUE"""),"CORPORATE")</f>
        <v>CORPORATE</v>
      </c>
      <c r="F279" s="7" t="str">
        <f>IFERROR(__xludf.DUMMYFUNCTION("""COMPUTED_VALUE"""),"Listicle")</f>
        <v>Listicle</v>
      </c>
      <c r="G279" s="7" t="b">
        <f>IFERROR(__xludf.DUMMYFUNCTION("""COMPUTED_VALUE"""),FALSE)</f>
        <v>0</v>
      </c>
      <c r="H279" s="7" t="str">
        <f>IFERROR(__xludf.DUMMYFUNCTION("""COMPUTED_VALUE"""),"King Kong")</f>
        <v>King Kong</v>
      </c>
      <c r="I279" s="7">
        <f>IFERROR(__xludf.DUMMYFUNCTION("""COMPUTED_VALUE"""),1.0)</f>
        <v>1</v>
      </c>
      <c r="J279" s="7">
        <f>IFERROR(__xludf.DUMMYFUNCTION("""COMPUTED_VALUE"""),0.0)</f>
        <v>0</v>
      </c>
      <c r="K279" s="7">
        <f>IFERROR(__xludf.DUMMYFUNCTION("""COMPUTED_VALUE"""),1.0)</f>
        <v>1</v>
      </c>
    </row>
    <row r="280" ht="15.75" customHeight="1">
      <c r="A280" s="6" t="str">
        <f>IFERROR(__xludf.DUMMYFUNCTION("""COMPUTED_VALUE"""),"https://www.i4s.au/best-ppc-agency-in-2025/")</f>
        <v>https://www.i4s.au/best-ppc-agency-in-2025/</v>
      </c>
      <c r="B280" s="7" t="str">
        <f>IFERROR(__xludf.DUMMYFUNCTION("""COMPUTED_VALUE"""),"Best PPC Agency in 2025| I4S")</f>
        <v>Best PPC Agency in 2025| I4S</v>
      </c>
      <c r="C280" s="6" t="str">
        <f>IFERROR(__xludf.DUMMYFUNCTION("""COMPUTED_VALUE"""),"i4s.au")</f>
        <v>i4s.au</v>
      </c>
      <c r="D280" s="7" t="str">
        <f>IFERROR(__xludf.DUMMYFUNCTION("""COMPUTED_VALUE"""),"LISTICLE")</f>
        <v>LISTICLE</v>
      </c>
      <c r="E280" s="7" t="str">
        <f>IFERROR(__xludf.DUMMYFUNCTION("""COMPUTED_VALUE"""),"CORPORATE")</f>
        <v>CORPORATE</v>
      </c>
      <c r="F280" s="7" t="str">
        <f>IFERROR(__xludf.DUMMYFUNCTION("""COMPUTED_VALUE"""),"Listicle")</f>
        <v>Listicle</v>
      </c>
      <c r="G280" s="7" t="b">
        <f>IFERROR(__xludf.DUMMYFUNCTION("""COMPUTED_VALUE"""),FALSE)</f>
        <v>0</v>
      </c>
      <c r="H280" s="7" t="str">
        <f>IFERROR(__xludf.DUMMYFUNCTION("""COMPUTED_VALUE"""),"Impressive, WebSavvy, Online Marketing Gurus, Omnicom Media Group, Reload Media")</f>
        <v>Impressive, WebSavvy, Online Marketing Gurus, Omnicom Media Group, Reload Media</v>
      </c>
      <c r="I280" s="7">
        <f>IFERROR(__xludf.DUMMYFUNCTION("""COMPUTED_VALUE"""),1.0)</f>
        <v>1</v>
      </c>
      <c r="J280" s="7">
        <f>IFERROR(__xludf.DUMMYFUNCTION("""COMPUTED_VALUE"""),0.0)</f>
        <v>0</v>
      </c>
      <c r="K280" s="7">
        <f>IFERROR(__xludf.DUMMYFUNCTION("""COMPUTED_VALUE"""),0.0)</f>
        <v>0</v>
      </c>
    </row>
    <row r="281" ht="15.75" customHeight="1">
      <c r="A281" s="6" t="str">
        <f>IFERROR(__xludf.DUMMYFUNCTION("""COMPUTED_VALUE"""),"https://www.influencer-hero.com/agencies/best-influencer-marketing-agencies-australia")</f>
        <v>https://www.influencer-hero.com/agencies/best-influencer-marketing-agencies-australia</v>
      </c>
      <c r="B281" s="7" t="str">
        <f>IFERROR(__xludf.DUMMYFUNCTION("""COMPUTED_VALUE"""),"Best Influencer Marketing Agencies in Australia")</f>
        <v>Best Influencer Marketing Agencies in Australia</v>
      </c>
      <c r="C281" s="6" t="str">
        <f>IFERROR(__xludf.DUMMYFUNCTION("""COMPUTED_VALUE"""),"influencer-hero.com")</f>
        <v>influencer-hero.com</v>
      </c>
      <c r="D281" s="7" t="str">
        <f>IFERROR(__xludf.DUMMYFUNCTION("""COMPUTED_VALUE"""),"LISTICLE")</f>
        <v>LISTICLE</v>
      </c>
      <c r="E281" s="7" t="str">
        <f>IFERROR(__xludf.DUMMYFUNCTION("""COMPUTED_VALUE"""),"CORPORATE")</f>
        <v>CORPORATE</v>
      </c>
      <c r="F281" s="7" t="str">
        <f>IFERROR(__xludf.DUMMYFUNCTION("""COMPUTED_VALUE"""),"Listicle")</f>
        <v>Listicle</v>
      </c>
      <c r="G281" s="7" t="b">
        <f>IFERROR(__xludf.DUMMYFUNCTION("""COMPUTED_VALUE"""),FALSE)</f>
        <v>0</v>
      </c>
      <c r="H281" s="7" t="str">
        <f>IFERROR(__xludf.DUMMYFUNCTION("""COMPUTED_VALUE"""),"HERO, Emote Digital, Earned Media")</f>
        <v>HERO, Emote Digital, Earned Media</v>
      </c>
      <c r="I281" s="7">
        <f>IFERROR(__xludf.DUMMYFUNCTION("""COMPUTED_VALUE"""),1.0)</f>
        <v>1</v>
      </c>
      <c r="J281" s="7">
        <f>IFERROR(__xludf.DUMMYFUNCTION("""COMPUTED_VALUE"""),0.0)</f>
        <v>0</v>
      </c>
      <c r="K281" s="7">
        <f>IFERROR(__xludf.DUMMYFUNCTION("""COMPUTED_VALUE"""),1.0)</f>
        <v>1</v>
      </c>
    </row>
    <row r="282" ht="15.75" customHeight="1">
      <c r="A282" s="6" t="str">
        <f>IFERROR(__xludf.DUMMYFUNCTION("""COMPUTED_VALUE"""),"https://influencermarketinghub.com/digital-marketing-agency-australia/")</f>
        <v>https://influencermarketinghub.com/digital-marketing-agency-australia/</v>
      </c>
      <c r="B282" s="7" t="str">
        <f>IFERROR(__xludf.DUMMYFUNCTION("""COMPUTED_VALUE"""),"Top 13 Digital Marketing Agencies in Australia")</f>
        <v>Top 13 Digital Marketing Agencies in Australia</v>
      </c>
      <c r="C282" s="6" t="str">
        <f>IFERROR(__xludf.DUMMYFUNCTION("""COMPUTED_VALUE"""),"influencermarketinghub.com")</f>
        <v>influencermarketinghub.com</v>
      </c>
      <c r="D282" s="7" t="str">
        <f>IFERROR(__xludf.DUMMYFUNCTION("""COMPUTED_VALUE"""),"LISTICLE")</f>
        <v>LISTICLE</v>
      </c>
      <c r="E282" s="7" t="str">
        <f>IFERROR(__xludf.DUMMYFUNCTION("""COMPUTED_VALUE"""),"REFERENCE")</f>
        <v>REFERENCE</v>
      </c>
      <c r="F282" s="7" t="str">
        <f>IFERROR(__xludf.DUMMYFUNCTION("""COMPUTED_VALUE"""),"Listicle")</f>
        <v>Listicle</v>
      </c>
      <c r="G282" s="7" t="b">
        <f>IFERROR(__xludf.DUMMYFUNCTION("""COMPUTED_VALUE"""),FALSE)</f>
        <v>0</v>
      </c>
      <c r="H282" s="7" t="str">
        <f>IFERROR(__xludf.DUMMYFUNCTION("""COMPUTED_VALUE"""),"Reef Digital Agency, Edge Marketing, AdVisible, Clearwater Agency, Insil")</f>
        <v>Reef Digital Agency, Edge Marketing, AdVisible, Clearwater Agency, Insil</v>
      </c>
      <c r="I282" s="7">
        <f>IFERROR(__xludf.DUMMYFUNCTION("""COMPUTED_VALUE"""),1.0)</f>
        <v>1</v>
      </c>
      <c r="J282" s="7">
        <f>IFERROR(__xludf.DUMMYFUNCTION("""COMPUTED_VALUE"""),0.0)</f>
        <v>0</v>
      </c>
      <c r="K282" s="7">
        <f>IFERROR(__xludf.DUMMYFUNCTION("""COMPUTED_VALUE"""),1.0)</f>
        <v>1</v>
      </c>
    </row>
    <row r="283" ht="15.75" customHeight="1">
      <c r="A283" s="6" t="str">
        <f>IFERROR(__xludf.DUMMYFUNCTION("""COMPUTED_VALUE"""),"https://intelligentresourcing.co/blogs/top-gtm-engineering-agencies-australia")</f>
        <v>https://intelligentresourcing.co/blogs/top-gtm-engineering-agencies-australia</v>
      </c>
      <c r="B283" s="7" t="str">
        <f>IFERROR(__xludf.DUMMYFUNCTION("""COMPUTED_VALUE"""),"Top GTM Engineering Agencies in Australia 2026")</f>
        <v>Top GTM Engineering Agencies in Australia 2026</v>
      </c>
      <c r="C283" s="6" t="str">
        <f>IFERROR(__xludf.DUMMYFUNCTION("""COMPUTED_VALUE"""),"intelligentresourcing.co")</f>
        <v>intelligentresourcing.co</v>
      </c>
      <c r="D283" s="7" t="str">
        <f>IFERROR(__xludf.DUMMYFUNCTION("""COMPUTED_VALUE"""),"LISTICLE")</f>
        <v>LISTICLE</v>
      </c>
      <c r="E283" s="7" t="str">
        <f>IFERROR(__xludf.DUMMYFUNCTION("""COMPUTED_VALUE"""),"CORPORATE")</f>
        <v>CORPORATE</v>
      </c>
      <c r="F283" s="7" t="str">
        <f>IFERROR(__xludf.DUMMYFUNCTION("""COMPUTED_VALUE"""),"Listicle")</f>
        <v>Listicle</v>
      </c>
      <c r="G283" s="7" t="b">
        <f>IFERROR(__xludf.DUMMYFUNCTION("""COMPUTED_VALUE"""),FALSE)</f>
        <v>0</v>
      </c>
      <c r="H283" s="7" t="str">
        <f>IFERROR(__xludf.DUMMYFUNCTION("""COMPUTED_VALUE"""),"Intelligent Resourcing, Measured")</f>
        <v>Intelligent Resourcing, Measured</v>
      </c>
      <c r="I283" s="7">
        <f>IFERROR(__xludf.DUMMYFUNCTION("""COMPUTED_VALUE"""),1.0)</f>
        <v>1</v>
      </c>
      <c r="J283" s="7">
        <f>IFERROR(__xludf.DUMMYFUNCTION("""COMPUTED_VALUE"""),0.0)</f>
        <v>0</v>
      </c>
      <c r="K283" s="7">
        <f>IFERROR(__xludf.DUMMYFUNCTION("""COMPUTED_VALUE"""),0.0)</f>
        <v>0</v>
      </c>
    </row>
    <row r="284" ht="15.75" customHeight="1">
      <c r="A284" s="6" t="str">
        <f>IFERROR(__xludf.DUMMYFUNCTION("""COMPUTED_VALUE"""),"https://www.interteammarketing.com/blog/best-b2b-ppc-agencies")</f>
        <v>https://www.interteammarketing.com/blog/best-b2b-ppc-agencies</v>
      </c>
      <c r="B284" s="7" t="str">
        <f>IFERROR(__xludf.DUMMYFUNCTION("""COMPUTED_VALUE"""),"10 Best B2B PPC Agencies for High-Growth Companies [2026]")</f>
        <v>10 Best B2B PPC Agencies for High-Growth Companies [2026]</v>
      </c>
      <c r="C284" s="6" t="str">
        <f>IFERROR(__xludf.DUMMYFUNCTION("""COMPUTED_VALUE"""),"interteammarketing.com")</f>
        <v>interteammarketing.com</v>
      </c>
      <c r="D284" s="7" t="str">
        <f>IFERROR(__xludf.DUMMYFUNCTION("""COMPUTED_VALUE"""),"LISTICLE")</f>
        <v>LISTICLE</v>
      </c>
      <c r="E284" s="7" t="str">
        <f>IFERROR(__xludf.DUMMYFUNCTION("""COMPUTED_VALUE"""),"CORPORATE")</f>
        <v>CORPORATE</v>
      </c>
      <c r="F284" s="7" t="str">
        <f>IFERROR(__xludf.DUMMYFUNCTION("""COMPUTED_VALUE"""),"Listicle")</f>
        <v>Listicle</v>
      </c>
      <c r="G284" s="7" t="b">
        <f>IFERROR(__xludf.DUMMYFUNCTION("""COMPUTED_VALUE"""),FALSE)</f>
        <v>0</v>
      </c>
      <c r="H284" s="7" t="str">
        <f>IFERROR(__xludf.DUMMYFUNCTION("""COMPUTED_VALUE"""),"Ninja Promo")</f>
        <v>Ninja Promo</v>
      </c>
      <c r="I284" s="7">
        <f>IFERROR(__xludf.DUMMYFUNCTION("""COMPUTED_VALUE"""),1.0)</f>
        <v>1</v>
      </c>
      <c r="J284" s="7">
        <f>IFERROR(__xludf.DUMMYFUNCTION("""COMPUTED_VALUE"""),0.0)</f>
        <v>0</v>
      </c>
      <c r="K284" s="7">
        <f>IFERROR(__xludf.DUMMYFUNCTION("""COMPUTED_VALUE"""),1.0)</f>
        <v>1</v>
      </c>
    </row>
    <row r="285" ht="15.75" customHeight="1">
      <c r="A285" s="6" t="str">
        <f>IFERROR(__xludf.DUMMYFUNCTION("""COMPUTED_VALUE"""),"https://invademarketing.com/top-rated-digital-marketing-agencies-australia/")</f>
        <v>https://invademarketing.com/top-rated-digital-marketing-agencies-australia/</v>
      </c>
      <c r="B285" s="7" t="str">
        <f>IFERROR(__xludf.DUMMYFUNCTION("""COMPUTED_VALUE"""),"Top-Rated Digital Marketing Agencies Australia | Grow Online")</f>
        <v>Top-Rated Digital Marketing Agencies Australia | Grow Online</v>
      </c>
      <c r="C285" s="6" t="str">
        <f>IFERROR(__xludf.DUMMYFUNCTION("""COMPUTED_VALUE"""),"invademarketing.com")</f>
        <v>invademarketing.com</v>
      </c>
      <c r="D285" s="7" t="str">
        <f>IFERROR(__xludf.DUMMYFUNCTION("""COMPUTED_VALUE"""),"LISTICLE")</f>
        <v>LISTICLE</v>
      </c>
      <c r="E285" s="7" t="str">
        <f>IFERROR(__xludf.DUMMYFUNCTION("""COMPUTED_VALUE"""),"CORPORATE")</f>
        <v>CORPORATE</v>
      </c>
      <c r="F285" s="7" t="str">
        <f>IFERROR(__xludf.DUMMYFUNCTION("""COMPUTED_VALUE"""),"Listicle")</f>
        <v>Listicle</v>
      </c>
      <c r="G285" s="7" t="b">
        <f>IFERROR(__xludf.DUMMYFUNCTION("""COMPUTED_VALUE"""),FALSE)</f>
        <v>0</v>
      </c>
      <c r="H285" s="7"/>
      <c r="I285" s="7">
        <f>IFERROR(__xludf.DUMMYFUNCTION("""COMPUTED_VALUE"""),1.0)</f>
        <v>1</v>
      </c>
      <c r="J285" s="7">
        <f>IFERROR(__xludf.DUMMYFUNCTION("""COMPUTED_VALUE"""),0.0)</f>
        <v>0</v>
      </c>
      <c r="K285" s="7">
        <f>IFERROR(__xludf.DUMMYFUNCTION("""COMPUTED_VALUE"""),1.0)</f>
        <v>1</v>
      </c>
    </row>
    <row r="286" ht="15.75" customHeight="1">
      <c r="A286" s="6" t="str">
        <f>IFERROR(__xludf.DUMMYFUNCTION("""COMPUTED_VALUE"""),"https://itprofiles.com/services/advertising-marketing/melbourne")</f>
        <v>https://itprofiles.com/services/advertising-marketing/melbourne</v>
      </c>
      <c r="B286" s="7" t="str">
        <f>IFERROR(__xludf.DUMMYFUNCTION("""COMPUTED_VALUE"""),"Melbourne Marketing Market Leaders Ranked – Jul 2026 Edition | ITProfiles")</f>
        <v>Melbourne Marketing Market Leaders Ranked – Jul 2026 Edition | ITProfiles</v>
      </c>
      <c r="C286" s="6" t="str">
        <f>IFERROR(__xludf.DUMMYFUNCTION("""COMPUTED_VALUE"""),"itprofiles.com")</f>
        <v>itprofiles.com</v>
      </c>
      <c r="D286" s="7" t="str">
        <f>IFERROR(__xludf.DUMMYFUNCTION("""COMPUTED_VALUE"""),"LISTICLE")</f>
        <v>LISTICLE</v>
      </c>
      <c r="E286" s="7" t="str">
        <f>IFERROR(__xludf.DUMMYFUNCTION("""COMPUTED_VALUE"""),"REFERENCE")</f>
        <v>REFERENCE</v>
      </c>
      <c r="F286" s="7" t="str">
        <f>IFERROR(__xludf.DUMMYFUNCTION("""COMPUTED_VALUE"""),"Listicle")</f>
        <v>Listicle</v>
      </c>
      <c r="G286" s="7" t="b">
        <f>IFERROR(__xludf.DUMMYFUNCTION("""COMPUTED_VALUE"""),FALSE)</f>
        <v>0</v>
      </c>
      <c r="H286" s="7" t="str">
        <f>IFERROR(__xludf.DUMMYFUNCTION("""COMPUTED_VALUE"""),"Momentum, eMarket Experts, Clemenger BBDO")</f>
        <v>Momentum, eMarket Experts, Clemenger BBDO</v>
      </c>
      <c r="I286" s="7">
        <f>IFERROR(__xludf.DUMMYFUNCTION("""COMPUTED_VALUE"""),1.0)</f>
        <v>1</v>
      </c>
      <c r="J286" s="7">
        <f>IFERROR(__xludf.DUMMYFUNCTION("""COMPUTED_VALUE"""),0.0)</f>
        <v>0</v>
      </c>
      <c r="K286" s="7">
        <f>IFERROR(__xludf.DUMMYFUNCTION("""COMPUTED_VALUE"""),0.0)</f>
        <v>0</v>
      </c>
    </row>
    <row r="287" ht="15.75" customHeight="1">
      <c r="A287" s="6" t="str">
        <f>IFERROR(__xludf.DUMMYFUNCTION("""COMPUTED_VALUE"""),"https://kamexa.ai/top-5-ai-agencies-in-queensland-2025-kamexa-leads-brisbane-gold-coast/")</f>
        <v>https://kamexa.ai/top-5-ai-agencies-in-queensland-2025-kamexa-leads-brisbane-gold-coast/</v>
      </c>
      <c r="B287" s="7" t="str">
        <f>IFERROR(__xludf.DUMMYFUNCTION("""COMPUTED_VALUE"""),"Top 5 AI Agencies in Queensland 2025: Kamexa Leads Brisbane &amp;amp; Gold Coast - Kamexa AI")</f>
        <v>Top 5 AI Agencies in Queensland 2025: Kamexa Leads Brisbane &amp;amp; Gold Coast - Kamexa AI</v>
      </c>
      <c r="C287" s="6" t="str">
        <f>IFERROR(__xludf.DUMMYFUNCTION("""COMPUTED_VALUE"""),"kamexa.ai")</f>
        <v>kamexa.ai</v>
      </c>
      <c r="D287" s="7" t="str">
        <f>IFERROR(__xludf.DUMMYFUNCTION("""COMPUTED_VALUE"""),"LISTICLE")</f>
        <v>LISTICLE</v>
      </c>
      <c r="E287" s="7" t="str">
        <f>IFERROR(__xludf.DUMMYFUNCTION("""COMPUTED_VALUE"""),"CORPORATE")</f>
        <v>CORPORATE</v>
      </c>
      <c r="F287" s="7" t="str">
        <f>IFERROR(__xludf.DUMMYFUNCTION("""COMPUTED_VALUE"""),"Listicle")</f>
        <v>Listicle</v>
      </c>
      <c r="G287" s="7" t="b">
        <f>IFERROR(__xludf.DUMMYFUNCTION("""COMPUTED_VALUE"""),FALSE)</f>
        <v>0</v>
      </c>
      <c r="H287" s="7" t="str">
        <f>IFERROR(__xludf.DUMMYFUNCTION("""COMPUTED_VALUE"""),"Momentum")</f>
        <v>Momentum</v>
      </c>
      <c r="I287" s="7">
        <f>IFERROR(__xludf.DUMMYFUNCTION("""COMPUTED_VALUE"""),1.0)</f>
        <v>1</v>
      </c>
      <c r="J287" s="7">
        <f>IFERROR(__xludf.DUMMYFUNCTION("""COMPUTED_VALUE"""),0.0)</f>
        <v>0</v>
      </c>
      <c r="K287" s="7">
        <f>IFERROR(__xludf.DUMMYFUNCTION("""COMPUTED_VALUE"""),0.0)</f>
        <v>0</v>
      </c>
    </row>
    <row r="288" ht="15.75" customHeight="1">
      <c r="A288" s="6" t="str">
        <f>IFERROR(__xludf.DUMMYFUNCTION("""COMPUTED_VALUE"""),"https://kersai.com/best-ai-companies-in-australia-for-business-transformation/")</f>
        <v>https://kersai.com/best-ai-companies-in-australia-for-business-transformation/</v>
      </c>
      <c r="B288" s="7" t="str">
        <f>IFERROR(__xludf.DUMMYFUNCTION("""COMPUTED_VALUE"""),"Best AI Companies in Australia for Business Transformation | KERSAI")</f>
        <v>Best AI Companies in Australia for Business Transformation | KERSAI</v>
      </c>
      <c r="C288" s="6" t="str">
        <f>IFERROR(__xludf.DUMMYFUNCTION("""COMPUTED_VALUE"""),"kersai.com")</f>
        <v>kersai.com</v>
      </c>
      <c r="D288" s="7" t="str">
        <f>IFERROR(__xludf.DUMMYFUNCTION("""COMPUTED_VALUE"""),"LISTICLE")</f>
        <v>LISTICLE</v>
      </c>
      <c r="E288" s="7" t="str">
        <f>IFERROR(__xludf.DUMMYFUNCTION("""COMPUTED_VALUE"""),"CORPORATE")</f>
        <v>CORPORATE</v>
      </c>
      <c r="F288" s="7" t="str">
        <f>IFERROR(__xludf.DUMMYFUNCTION("""COMPUTED_VALUE"""),"Listicle")</f>
        <v>Listicle</v>
      </c>
      <c r="G288" s="7" t="b">
        <f>IFERROR(__xludf.DUMMYFUNCTION("""COMPUTED_VALUE"""),FALSE)</f>
        <v>0</v>
      </c>
      <c r="H288" s="7" t="str">
        <f>IFERROR(__xludf.DUMMYFUNCTION("""COMPUTED_VALUE"""),"Impressive")</f>
        <v>Impressive</v>
      </c>
      <c r="I288" s="7">
        <f>IFERROR(__xludf.DUMMYFUNCTION("""COMPUTED_VALUE"""),1.0)</f>
        <v>1</v>
      </c>
      <c r="J288" s="7">
        <f>IFERROR(__xludf.DUMMYFUNCTION("""COMPUTED_VALUE"""),0.0)</f>
        <v>0</v>
      </c>
      <c r="K288" s="7">
        <f>IFERROR(__xludf.DUMMYFUNCTION("""COMPUTED_VALUE"""),0.0)</f>
        <v>0</v>
      </c>
    </row>
    <row r="289" ht="15.75" customHeight="1">
      <c r="A289" s="6" t="str">
        <f>IFERROR(__xludf.DUMMYFUNCTION("""COMPUTED_VALUE"""),"https://keyspace.com.au/most-recommended-google-ads-agencies-in-australia/")</f>
        <v>https://keyspace.com.au/most-recommended-google-ads-agencies-in-australia/</v>
      </c>
      <c r="B289" s="7" t="str">
        <f>IFERROR(__xludf.DUMMYFUNCTION("""COMPUTED_VALUE"""),"Most Recommended Google Ads Agencies in Australia – Key Space")</f>
        <v>Most Recommended Google Ads Agencies in Australia – Key Space</v>
      </c>
      <c r="C289" s="6" t="str">
        <f>IFERROR(__xludf.DUMMYFUNCTION("""COMPUTED_VALUE"""),"keyspace.com.au")</f>
        <v>keyspace.com.au</v>
      </c>
      <c r="D289" s="7" t="str">
        <f>IFERROR(__xludf.DUMMYFUNCTION("""COMPUTED_VALUE"""),"LISTICLE")</f>
        <v>LISTICLE</v>
      </c>
      <c r="E289" s="7" t="str">
        <f>IFERROR(__xludf.DUMMYFUNCTION("""COMPUTED_VALUE"""),"CORPORATE")</f>
        <v>CORPORATE</v>
      </c>
      <c r="F289" s="7" t="str">
        <f>IFERROR(__xludf.DUMMYFUNCTION("""COMPUTED_VALUE"""),"Listicle")</f>
        <v>Listicle</v>
      </c>
      <c r="G289" s="7" t="b">
        <f>IFERROR(__xludf.DUMMYFUNCTION("""COMPUTED_VALUE"""),FALSE)</f>
        <v>0</v>
      </c>
      <c r="H289" s="7" t="str">
        <f>IFERROR(__xludf.DUMMYFUNCTION("""COMPUTED_VALUE"""),"Impressive, SearchMax")</f>
        <v>Impressive, SearchMax</v>
      </c>
      <c r="I289" s="7">
        <f>IFERROR(__xludf.DUMMYFUNCTION("""COMPUTED_VALUE"""),1.0)</f>
        <v>1</v>
      </c>
      <c r="J289" s="7">
        <f>IFERROR(__xludf.DUMMYFUNCTION("""COMPUTED_VALUE"""),0.0)</f>
        <v>0</v>
      </c>
      <c r="K289" s="7">
        <f>IFERROR(__xludf.DUMMYFUNCTION("""COMPUTED_VALUE"""),0.0)</f>
        <v>0</v>
      </c>
    </row>
    <row r="290" ht="15.75" customHeight="1">
      <c r="A290" s="6" t="str">
        <f>IFERROR(__xludf.DUMMYFUNCTION("""COMPUTED_VALUE"""),"https://www.mayple.com/resources/paid-advertising/ppc-agencies-australia")</f>
        <v>https://www.mayple.com/resources/paid-advertising/ppc-agencies-australia</v>
      </c>
      <c r="B290" s="7" t="str">
        <f>IFERROR(__xludf.DUMMYFUNCTION("""COMPUTED_VALUE"""),"Top 6 PPC Agencies in Australia to Hire in 2026")</f>
        <v>Top 6 PPC Agencies in Australia to Hire in 2026</v>
      </c>
      <c r="C290" s="6" t="str">
        <f>IFERROR(__xludf.DUMMYFUNCTION("""COMPUTED_VALUE"""),"mayple.com")</f>
        <v>mayple.com</v>
      </c>
      <c r="D290" s="7" t="str">
        <f>IFERROR(__xludf.DUMMYFUNCTION("""COMPUTED_VALUE"""),"LISTICLE")</f>
        <v>LISTICLE</v>
      </c>
      <c r="E290" s="7" t="str">
        <f>IFERROR(__xludf.DUMMYFUNCTION("""COMPUTED_VALUE"""),"CORPORATE")</f>
        <v>CORPORATE</v>
      </c>
      <c r="F290" s="7" t="str">
        <f>IFERROR(__xludf.DUMMYFUNCTION("""COMPUTED_VALUE"""),"Listicle")</f>
        <v>Listicle</v>
      </c>
      <c r="G290" s="7" t="b">
        <f>IFERROR(__xludf.DUMMYFUNCTION("""COMPUTED_VALUE"""),FALSE)</f>
        <v>0</v>
      </c>
      <c r="H290" s="7" t="str">
        <f>IFERROR(__xludf.DUMMYFUNCTION("""COMPUTED_VALUE"""),"Impressive")</f>
        <v>Impressive</v>
      </c>
      <c r="I290" s="7">
        <f>IFERROR(__xludf.DUMMYFUNCTION("""COMPUTED_VALUE"""),1.0)</f>
        <v>1</v>
      </c>
      <c r="J290" s="7">
        <f>IFERROR(__xludf.DUMMYFUNCTION("""COMPUTED_VALUE"""),0.0)</f>
        <v>0</v>
      </c>
      <c r="K290" s="7">
        <f>IFERROR(__xludf.DUMMYFUNCTION("""COMPUTED_VALUE"""),1.0)</f>
        <v>1</v>
      </c>
    </row>
    <row r="291" ht="15.75" customHeight="1">
      <c r="A291" s="6" t="str">
        <f>IFERROR(__xludf.DUMMYFUNCTION("""COMPUTED_VALUE"""),"https://mediaplusdigital.co/au/best-social-media-marketing-agencies-in-australia/")</f>
        <v>https://mediaplusdigital.co/au/best-social-media-marketing-agencies-in-australia/</v>
      </c>
      <c r="B291" s="7" t="str">
        <f>IFERROR(__xludf.DUMMYFUNCTION("""COMPUTED_VALUE"""),"10 Best Social Media Marketing Agencies in Australia (2026 Guide) - MPD Australia")</f>
        <v>10 Best Social Media Marketing Agencies in Australia (2026 Guide) - MPD Australia</v>
      </c>
      <c r="C291" s="6" t="str">
        <f>IFERROR(__xludf.DUMMYFUNCTION("""COMPUTED_VALUE"""),"mediaplusdigital.co")</f>
        <v>mediaplusdigital.co</v>
      </c>
      <c r="D291" s="7" t="str">
        <f>IFERROR(__xludf.DUMMYFUNCTION("""COMPUTED_VALUE"""),"LISTICLE")</f>
        <v>LISTICLE</v>
      </c>
      <c r="E291" s="7" t="str">
        <f>IFERROR(__xludf.DUMMYFUNCTION("""COMPUTED_VALUE"""),"CORPORATE")</f>
        <v>CORPORATE</v>
      </c>
      <c r="F291" s="7" t="str">
        <f>IFERROR(__xludf.DUMMYFUNCTION("""COMPUTED_VALUE"""),"Listicle")</f>
        <v>Listicle</v>
      </c>
      <c r="G291" s="7" t="b">
        <f>IFERROR(__xludf.DUMMYFUNCTION("""COMPUTED_VALUE"""),FALSE)</f>
        <v>0</v>
      </c>
      <c r="H291" s="7" t="str">
        <f>IFERROR(__xludf.DUMMYFUNCTION("""COMPUTED_VALUE"""),"King Kong, Reload Media")</f>
        <v>King Kong, Reload Media</v>
      </c>
      <c r="I291" s="7">
        <f>IFERROR(__xludf.DUMMYFUNCTION("""COMPUTED_VALUE"""),1.0)</f>
        <v>1</v>
      </c>
      <c r="J291" s="7">
        <f>IFERROR(__xludf.DUMMYFUNCTION("""COMPUTED_VALUE"""),0.0)</f>
        <v>0</v>
      </c>
      <c r="K291" s="7">
        <f>IFERROR(__xludf.DUMMYFUNCTION("""COMPUTED_VALUE"""),0.0)</f>
        <v>0</v>
      </c>
    </row>
    <row r="292" ht="15.75" customHeight="1">
      <c r="A292" s="6" t="str">
        <f>IFERROR(__xludf.DUMMYFUNCTION("""COMPUTED_VALUE"""),"https://mediaplusdigital.co/au/digital-marketing-agencies-in-australia/")</f>
        <v>https://mediaplusdigital.co/au/digital-marketing-agencies-in-australia/</v>
      </c>
      <c r="B292" s="7" t="str">
        <f>IFERROR(__xludf.DUMMYFUNCTION("""COMPUTED_VALUE"""),"Top 10 Digital Marketing Agencies in Australia (2026 Guide) - MPD Australia")</f>
        <v>Top 10 Digital Marketing Agencies in Australia (2026 Guide) - MPD Australia</v>
      </c>
      <c r="C292" s="6" t="str">
        <f>IFERROR(__xludf.DUMMYFUNCTION("""COMPUTED_VALUE"""),"mediaplusdigital.co")</f>
        <v>mediaplusdigital.co</v>
      </c>
      <c r="D292" s="7" t="str">
        <f>IFERROR(__xludf.DUMMYFUNCTION("""COMPUTED_VALUE"""),"LISTICLE")</f>
        <v>LISTICLE</v>
      </c>
      <c r="E292" s="7" t="str">
        <f>IFERROR(__xludf.DUMMYFUNCTION("""COMPUTED_VALUE"""),"CORPORATE")</f>
        <v>CORPORATE</v>
      </c>
      <c r="F292" s="7" t="str">
        <f>IFERROR(__xludf.DUMMYFUNCTION("""COMPUTED_VALUE"""),"Listicle")</f>
        <v>Listicle</v>
      </c>
      <c r="G292" s="7" t="b">
        <f>IFERROR(__xludf.DUMMYFUNCTION("""COMPUTED_VALUE"""),FALSE)</f>
        <v>0</v>
      </c>
      <c r="H292" s="7" t="str">
        <f>IFERROR(__xludf.DUMMYFUNCTION("""COMPUTED_VALUE"""),"Online Marketing Gurus, Supple Digital, First Page, First Page Australia, Megaphone, Clearwater Agency, Impressive, Digital Nomads HQ")</f>
        <v>Online Marketing Gurus, Supple Digital, First Page, First Page Australia, Megaphone, Clearwater Agency, Impressive, Digital Nomads HQ</v>
      </c>
      <c r="I292" s="7">
        <f>IFERROR(__xludf.DUMMYFUNCTION("""COMPUTED_VALUE"""),1.0)</f>
        <v>1</v>
      </c>
      <c r="J292" s="7">
        <f>IFERROR(__xludf.DUMMYFUNCTION("""COMPUTED_VALUE"""),0.0)</f>
        <v>0</v>
      </c>
      <c r="K292" s="7">
        <f>IFERROR(__xludf.DUMMYFUNCTION("""COMPUTED_VALUE"""),0.0)</f>
        <v>0</v>
      </c>
    </row>
    <row r="293" ht="15.75" customHeight="1">
      <c r="A293" s="6" t="str">
        <f>IFERROR(__xludf.DUMMYFUNCTION("""COMPUTED_VALUE"""),"https://megaphone.com.au/27-best-apps-for-marketing/")</f>
        <v>https://megaphone.com.au/27-best-apps-for-marketing/</v>
      </c>
      <c r="B293" s="7" t="str">
        <f>IFERROR(__xludf.DUMMYFUNCTION("""COMPUTED_VALUE"""),"The 27 Best Apps for Marketing Your Business in 2022")</f>
        <v>The 27 Best Apps for Marketing Your Business in 2022</v>
      </c>
      <c r="C293" s="6" t="str">
        <f>IFERROR(__xludf.DUMMYFUNCTION("""COMPUTED_VALUE"""),"megaphone.com.au")</f>
        <v>megaphone.com.au</v>
      </c>
      <c r="D293" s="7" t="str">
        <f>IFERROR(__xludf.DUMMYFUNCTION("""COMPUTED_VALUE"""),"LISTICLE")</f>
        <v>LISTICLE</v>
      </c>
      <c r="E293" s="7" t="str">
        <f>IFERROR(__xludf.DUMMYFUNCTION("""COMPUTED_VALUE"""),"COMPETITOR")</f>
        <v>COMPETITOR</v>
      </c>
      <c r="F293" s="7" t="str">
        <f>IFERROR(__xludf.DUMMYFUNCTION("""COMPUTED_VALUE"""),"Listicle")</f>
        <v>Listicle</v>
      </c>
      <c r="G293" s="7" t="b">
        <f>IFERROR(__xludf.DUMMYFUNCTION("""COMPUTED_VALUE"""),FALSE)</f>
        <v>0</v>
      </c>
      <c r="H293" s="7" t="str">
        <f>IFERROR(__xludf.DUMMYFUNCTION("""COMPUTED_VALUE"""),"Megaphone, Huge")</f>
        <v>Megaphone, Huge</v>
      </c>
      <c r="I293" s="7">
        <f>IFERROR(__xludf.DUMMYFUNCTION("""COMPUTED_VALUE"""),1.0)</f>
        <v>1</v>
      </c>
      <c r="J293" s="7">
        <f>IFERROR(__xludf.DUMMYFUNCTION("""COMPUTED_VALUE"""),0.0)</f>
        <v>0</v>
      </c>
      <c r="K293" s="7">
        <f>IFERROR(__xludf.DUMMYFUNCTION("""COMPUTED_VALUE"""),1.0)</f>
        <v>1</v>
      </c>
    </row>
    <row r="294" ht="15.75" customHeight="1">
      <c r="A294" s="6" t="str">
        <f>IFERROR(__xludf.DUMMYFUNCTION("""COMPUTED_VALUE"""),"https://mentionfirst.ai/what-are-the-best-ai-seo-companies-in-australia-and-how-to-choose-one/")</f>
        <v>https://mentionfirst.ai/what-are-the-best-ai-seo-companies-in-australia-and-how-to-choose-one/</v>
      </c>
      <c r="B294" s="7" t="str">
        <f>IFERROR(__xludf.DUMMYFUNCTION("""COMPUTED_VALUE"""),"What are the best AI SEO companies in Australia and how to choose one? - Mention First AI")</f>
        <v>What are the best AI SEO companies in Australia and how to choose one? - Mention First AI</v>
      </c>
      <c r="C294" s="6" t="str">
        <f>IFERROR(__xludf.DUMMYFUNCTION("""COMPUTED_VALUE"""),"mentionfirst.ai")</f>
        <v>mentionfirst.ai</v>
      </c>
      <c r="D294" s="7" t="str">
        <f>IFERROR(__xludf.DUMMYFUNCTION("""COMPUTED_VALUE"""),"LISTICLE")</f>
        <v>LISTICLE</v>
      </c>
      <c r="E294" s="7" t="str">
        <f>IFERROR(__xludf.DUMMYFUNCTION("""COMPUTED_VALUE"""),"CORPORATE")</f>
        <v>CORPORATE</v>
      </c>
      <c r="F294" s="7" t="str">
        <f>IFERROR(__xludf.DUMMYFUNCTION("""COMPUTED_VALUE"""),"Listicle")</f>
        <v>Listicle</v>
      </c>
      <c r="G294" s="7" t="b">
        <f>IFERROR(__xludf.DUMMYFUNCTION("""COMPUTED_VALUE"""),FALSE)</f>
        <v>0</v>
      </c>
      <c r="H294" s="7" t="str">
        <f>IFERROR(__xludf.DUMMYFUNCTION("""COMPUTED_VALUE"""),"PK SEO, StudioHawk, Supple Digital")</f>
        <v>PK SEO, StudioHawk, Supple Digital</v>
      </c>
      <c r="I294" s="7">
        <f>IFERROR(__xludf.DUMMYFUNCTION("""COMPUTED_VALUE"""),1.0)</f>
        <v>1</v>
      </c>
      <c r="J294" s="7">
        <f>IFERROR(__xludf.DUMMYFUNCTION("""COMPUTED_VALUE"""),0.0)</f>
        <v>0</v>
      </c>
      <c r="K294" s="7">
        <f>IFERROR(__xludf.DUMMYFUNCTION("""COMPUTED_VALUE"""),6.0)</f>
        <v>6</v>
      </c>
    </row>
    <row r="295" ht="15.75" customHeight="1">
      <c r="A295" s="6" t="str">
        <f>IFERROR(__xludf.DUMMYFUNCTION("""COMPUTED_VALUE"""),"https://www.mida.so/cro-agency/country/australia#:~:text=Their%20focus%20on%20thorough%20upfront,Perth%2C%20Australia")</f>
        <v>https://www.mida.so/cro-agency/country/australia#:~:text=Their%20focus%20on%20thorough%20upfront,Perth%2C%20Australia</v>
      </c>
      <c r="B295" s="7" t="str">
        <f>IFERROR(__xludf.DUMMYFUNCTION("""COMPUTED_VALUE"""),"Top 8 CRO Agencies in Australia (2026) | Mida")</f>
        <v>Top 8 CRO Agencies in Australia (2026) | Mida</v>
      </c>
      <c r="C295" s="6" t="str">
        <f>IFERROR(__xludf.DUMMYFUNCTION("""COMPUTED_VALUE"""),"mida.so")</f>
        <v>mida.so</v>
      </c>
      <c r="D295" s="7" t="str">
        <f>IFERROR(__xludf.DUMMYFUNCTION("""COMPUTED_VALUE"""),"LISTICLE")</f>
        <v>LISTICLE</v>
      </c>
      <c r="E295" s="7" t="str">
        <f>IFERROR(__xludf.DUMMYFUNCTION("""COMPUTED_VALUE"""),"CORPORATE")</f>
        <v>CORPORATE</v>
      </c>
      <c r="F295" s="7" t="str">
        <f>IFERROR(__xludf.DUMMYFUNCTION("""COMPUTED_VALUE"""),"Listicle")</f>
        <v>Listicle</v>
      </c>
      <c r="G295" s="7" t="b">
        <f>IFERROR(__xludf.DUMMYFUNCTION("""COMPUTED_VALUE"""),FALSE)</f>
        <v>0</v>
      </c>
      <c r="H295" s="7"/>
      <c r="I295" s="7">
        <f>IFERROR(__xludf.DUMMYFUNCTION("""COMPUTED_VALUE"""),1.0)</f>
        <v>1</v>
      </c>
      <c r="J295" s="7">
        <f>IFERROR(__xludf.DUMMYFUNCTION("""COMPUTED_VALUE"""),0.0)</f>
        <v>0</v>
      </c>
      <c r="K295" s="7">
        <f>IFERROR(__xludf.DUMMYFUNCTION("""COMPUTED_VALUE"""),1.0)</f>
        <v>1</v>
      </c>
    </row>
    <row r="296" ht="15.75" customHeight="1">
      <c r="A296" s="6" t="str">
        <f>IFERROR(__xludf.DUMMYFUNCTION("""COMPUTED_VALUE"""),"https://www.munro.agency/insights/top-marketing-companies-in-the-world/")</f>
        <v>https://www.munro.agency/insights/top-marketing-companies-in-the-world/</v>
      </c>
      <c r="B296" s="7" t="str">
        <f>IFERROR(__xludf.DUMMYFUNCTION("""COMPUTED_VALUE"""),"Top 50 Marketing Companies in the World Ranked by Revenue - The Munro Agency")</f>
        <v>Top 50 Marketing Companies in the World Ranked by Revenue - The Munro Agency</v>
      </c>
      <c r="C296" s="7" t="str">
        <f>IFERROR(__xludf.DUMMYFUNCTION("""COMPUTED_VALUE"""),"munro.agency")</f>
        <v>munro.agency</v>
      </c>
      <c r="D296" s="7" t="str">
        <f>IFERROR(__xludf.DUMMYFUNCTION("""COMPUTED_VALUE"""),"LISTICLE")</f>
        <v>LISTICLE</v>
      </c>
      <c r="E296" s="7" t="str">
        <f>IFERROR(__xludf.DUMMYFUNCTION("""COMPUTED_VALUE"""),"CORPORATE")</f>
        <v>CORPORATE</v>
      </c>
      <c r="F296" s="7" t="str">
        <f>IFERROR(__xludf.DUMMYFUNCTION("""COMPUTED_VALUE"""),"Listicle")</f>
        <v>Listicle</v>
      </c>
      <c r="G296" s="7" t="b">
        <f>IFERROR(__xludf.DUMMYFUNCTION("""COMPUTED_VALUE"""),FALSE)</f>
        <v>0</v>
      </c>
      <c r="H296" s="7" t="str">
        <f>IFERROR(__xludf.DUMMYFUNCTION("""COMPUTED_VALUE"""),"Croud, Saatchi &amp; Saatchi, VML, Mindshare, WPP, Earned Media, Dentsu, Publicis Groupe, Accenture Song, Deloitte Digital, Deloitte, KPMG")</f>
        <v>Croud, Saatchi &amp; Saatchi, VML, Mindshare, WPP, Earned Media, Dentsu, Publicis Groupe, Accenture Song, Deloitte Digital, Deloitte, KPMG</v>
      </c>
      <c r="I296" s="7">
        <f>IFERROR(__xludf.DUMMYFUNCTION("""COMPUTED_VALUE"""),1.0)</f>
        <v>1</v>
      </c>
      <c r="J296" s="7">
        <f>IFERROR(__xludf.DUMMYFUNCTION("""COMPUTED_VALUE"""),0.0)</f>
        <v>0</v>
      </c>
      <c r="K296" s="7">
        <f>IFERROR(__xludf.DUMMYFUNCTION("""COMPUTED_VALUE"""),1.0)</f>
        <v>1</v>
      </c>
    </row>
    <row r="297" ht="15.75" customHeight="1">
      <c r="A297" s="6" t="str">
        <f>IFERROR(__xludf.DUMMYFUNCTION("""COMPUTED_VALUE"""),"https://newsroom.tiktok.com/en-au/australias-most-creative-brands-and-agencies-crowned-at-the-2025-tiktok-ad-awards")</f>
        <v>https://newsroom.tiktok.com/en-au/australias-most-creative-brands-and-agencies-crowned-at-the-2025-tiktok-ad-awards</v>
      </c>
      <c r="B297" s="7" t="str">
        <f>IFERROR(__xludf.DUMMYFUNCTION("""COMPUTED_VALUE"""),"Australia's most creative brands and agencies crowned at the 2025 TikTok Ad Awards - Newsroom \| TikTok")</f>
        <v>Australia's most creative brands and agencies crowned at the 2025 TikTok Ad Awards - Newsroom \| TikTok</v>
      </c>
      <c r="C297" s="6" t="str">
        <f>IFERROR(__xludf.DUMMYFUNCTION("""COMPUTED_VALUE"""),"tiktok.com")</f>
        <v>tiktok.com</v>
      </c>
      <c r="D297" s="7" t="str">
        <f>IFERROR(__xludf.DUMMYFUNCTION("""COMPUTED_VALUE"""),"LISTICLE")</f>
        <v>LISTICLE</v>
      </c>
      <c r="E297" s="7" t="str">
        <f>IFERROR(__xludf.DUMMYFUNCTION("""COMPUTED_VALUE"""),"UGC")</f>
        <v>UGC</v>
      </c>
      <c r="F297" s="7" t="str">
        <f>IFERROR(__xludf.DUMMYFUNCTION("""COMPUTED_VALUE"""),"Listicle")</f>
        <v>Listicle</v>
      </c>
      <c r="G297" s="7" t="b">
        <f>IFERROR(__xludf.DUMMYFUNCTION("""COMPUTED_VALUE"""),FALSE)</f>
        <v>0</v>
      </c>
      <c r="H297" s="7" t="str">
        <f>IFERROR(__xludf.DUMMYFUNCTION("""COMPUTED_VALUE"""),"Lifesight")</f>
        <v>Lifesight</v>
      </c>
      <c r="I297" s="7">
        <f>IFERROR(__xludf.DUMMYFUNCTION("""COMPUTED_VALUE"""),1.0)</f>
        <v>1</v>
      </c>
      <c r="J297" s="7">
        <f>IFERROR(__xludf.DUMMYFUNCTION("""COMPUTED_VALUE"""),0.0)</f>
        <v>0</v>
      </c>
      <c r="K297" s="7">
        <f>IFERROR(__xludf.DUMMYFUNCTION("""COMPUTED_VALUE"""),1.0)</f>
        <v>1</v>
      </c>
    </row>
    <row r="298" ht="15.75" customHeight="1">
      <c r="A298" s="6" t="str">
        <f>IFERROR(__xludf.DUMMYFUNCTION("""COMPUTED_VALUE"""),"https://noirandblanco.com/best-digital-marketing-agencies-in-melbourne/")</f>
        <v>https://noirandblanco.com/best-digital-marketing-agencies-in-melbourne/</v>
      </c>
      <c r="B298" s="7" t="str">
        <f>IFERROR(__xludf.DUMMYFUNCTION("""COMPUTED_VALUE"""),"11 Best Digital Marketing Agencies in Melbourne")</f>
        <v>11 Best Digital Marketing Agencies in Melbourne</v>
      </c>
      <c r="C298" s="6" t="str">
        <f>IFERROR(__xludf.DUMMYFUNCTION("""COMPUTED_VALUE"""),"noirandblanco.com")</f>
        <v>noirandblanco.com</v>
      </c>
      <c r="D298" s="7" t="str">
        <f>IFERROR(__xludf.DUMMYFUNCTION("""COMPUTED_VALUE"""),"LISTICLE")</f>
        <v>LISTICLE</v>
      </c>
      <c r="E298" s="7" t="str">
        <f>IFERROR(__xludf.DUMMYFUNCTION("""COMPUTED_VALUE"""),"CORPORATE")</f>
        <v>CORPORATE</v>
      </c>
      <c r="F298" s="7" t="str">
        <f>IFERROR(__xludf.DUMMYFUNCTION("""COMPUTED_VALUE"""),"Listicle")</f>
        <v>Listicle</v>
      </c>
      <c r="G298" s="7" t="b">
        <f>IFERROR(__xludf.DUMMYFUNCTION("""COMPUTED_VALUE"""),FALSE)</f>
        <v>0</v>
      </c>
      <c r="H298" s="7" t="str">
        <f>IFERROR(__xludf.DUMMYFUNCTION("""COMPUTED_VALUE"""),"Supple Digital, Alley Group, 80/20 Digital, Earned Media, First Page, Soup Agency")</f>
        <v>Supple Digital, Alley Group, 80/20 Digital, Earned Media, First Page, Soup Agency</v>
      </c>
      <c r="I298" s="7">
        <f>IFERROR(__xludf.DUMMYFUNCTION("""COMPUTED_VALUE"""),1.0)</f>
        <v>1</v>
      </c>
      <c r="J298" s="7">
        <f>IFERROR(__xludf.DUMMYFUNCTION("""COMPUTED_VALUE"""),0.0)</f>
        <v>0</v>
      </c>
      <c r="K298" s="7">
        <f>IFERROR(__xludf.DUMMYFUNCTION("""COMPUTED_VALUE"""),1.0)</f>
        <v>1</v>
      </c>
    </row>
    <row r="299" ht="15.75" customHeight="1">
      <c r="A299" s="6" t="str">
        <f>IFERROR(__xludf.DUMMYFUNCTION("""COMPUTED_VALUE"""),"https://www.nutshell.com/blog/top-geo-agencies")</f>
        <v>https://www.nutshell.com/blog/top-geo-agencies</v>
      </c>
      <c r="B299" s="7" t="str">
        <f>IFERROR(__xludf.DUMMYFUNCTION("""COMPUTED_VALUE"""),"The 10 Top GEO Agencies of 2026 (Reviewed)")</f>
        <v>The 10 Top GEO Agencies of 2026 (Reviewed)</v>
      </c>
      <c r="C299" s="6" t="str">
        <f>IFERROR(__xludf.DUMMYFUNCTION("""COMPUTED_VALUE"""),"nutshell.com")</f>
        <v>nutshell.com</v>
      </c>
      <c r="D299" s="7" t="str">
        <f>IFERROR(__xludf.DUMMYFUNCTION("""COMPUTED_VALUE"""),"LISTICLE")</f>
        <v>LISTICLE</v>
      </c>
      <c r="E299" s="7" t="str">
        <f>IFERROR(__xludf.DUMMYFUNCTION("""COMPUTED_VALUE"""),"CORPORATE")</f>
        <v>CORPORATE</v>
      </c>
      <c r="F299" s="7" t="str">
        <f>IFERROR(__xludf.DUMMYFUNCTION("""COMPUTED_VALUE"""),"Listicle")</f>
        <v>Listicle</v>
      </c>
      <c r="G299" s="7" t="b">
        <f>IFERROR(__xludf.DUMMYFUNCTION("""COMPUTED_VALUE"""),FALSE)</f>
        <v>0</v>
      </c>
      <c r="H299" s="7" t="str">
        <f>IFERROR(__xludf.DUMMYFUNCTION("""COMPUTED_VALUE"""),"First Page")</f>
        <v>First Page</v>
      </c>
      <c r="I299" s="7">
        <f>IFERROR(__xludf.DUMMYFUNCTION("""COMPUTED_VALUE"""),1.0)</f>
        <v>1</v>
      </c>
      <c r="J299" s="7">
        <f>IFERROR(__xludf.DUMMYFUNCTION("""COMPUTED_VALUE"""),0.0)</f>
        <v>0</v>
      </c>
      <c r="K299" s="7">
        <f>IFERROR(__xludf.DUMMYFUNCTION("""COMPUTED_VALUE"""),0.0)</f>
        <v>0</v>
      </c>
    </row>
    <row r="300" ht="15.75" customHeight="1">
      <c r="A300" s="6" t="str">
        <f>IFERROR(__xludf.DUMMYFUNCTION("""COMPUTED_VALUE"""),"https://oneclickdigital.net.au/who-is-the-largest-ad-agency-in-australia/")</f>
        <v>https://oneclickdigital.net.au/who-is-the-largest-ad-agency-in-australia/</v>
      </c>
      <c r="B300" s="7" t="str">
        <f>IFERROR(__xludf.DUMMYFUNCTION("""COMPUTED_VALUE"""),"Who is the Largest Ad Agency in Australia? | One Click Digital")</f>
        <v>Who is the Largest Ad Agency in Australia? | One Click Digital</v>
      </c>
      <c r="C300" s="6" t="str">
        <f>IFERROR(__xludf.DUMMYFUNCTION("""COMPUTED_VALUE"""),"oneclickdigital.net.au")</f>
        <v>oneclickdigital.net.au</v>
      </c>
      <c r="D300" s="7" t="str">
        <f>IFERROR(__xludf.DUMMYFUNCTION("""COMPUTED_VALUE"""),"LISTICLE")</f>
        <v>LISTICLE</v>
      </c>
      <c r="E300" s="7" t="str">
        <f>IFERROR(__xludf.DUMMYFUNCTION("""COMPUTED_VALUE"""),"CORPORATE")</f>
        <v>CORPORATE</v>
      </c>
      <c r="F300" s="7" t="str">
        <f>IFERROR(__xludf.DUMMYFUNCTION("""COMPUTED_VALUE"""),"Listicle")</f>
        <v>Listicle</v>
      </c>
      <c r="G300" s="7" t="b">
        <f>IFERROR(__xludf.DUMMYFUNCTION("""COMPUTED_VALUE"""),FALSE)</f>
        <v>0</v>
      </c>
      <c r="H300" s="7" t="str">
        <f>IFERROR(__xludf.DUMMYFUNCTION("""COMPUTED_VALUE"""),"WPP, Ogilvy Australia, VML, GroupM, Mindshare, Wavemaker, EssenceMediacom, Impressive, BMF, Clemenger BBDO")</f>
        <v>WPP, Ogilvy Australia, VML, GroupM, Mindshare, Wavemaker, EssenceMediacom, Impressive, BMF, Clemenger BBDO</v>
      </c>
      <c r="I300" s="7">
        <f>IFERROR(__xludf.DUMMYFUNCTION("""COMPUTED_VALUE"""),1.0)</f>
        <v>1</v>
      </c>
      <c r="J300" s="7">
        <f>IFERROR(__xludf.DUMMYFUNCTION("""COMPUTED_VALUE"""),0.0)</f>
        <v>0</v>
      </c>
      <c r="K300" s="7">
        <f>IFERROR(__xludf.DUMMYFUNCTION("""COMPUTED_VALUE"""),0.0)</f>
        <v>0</v>
      </c>
    </row>
    <row r="301" ht="15.75" customHeight="1">
      <c r="A301" s="6" t="str">
        <f>IFERROR(__xludf.DUMMYFUNCTION("""COMPUTED_VALUE"""),"https://www.optimising.com.au/blog/5-best-seo-agencies-in-sydney")</f>
        <v>https://www.optimising.com.au/blog/5-best-seo-agencies-in-sydney</v>
      </c>
      <c r="B301" s="7" t="str">
        <f>IFERROR(__xludf.DUMMYFUNCTION("""COMPUTED_VALUE"""),"The 5 Best SEO Agencies in Sydney | Optimising")</f>
        <v>The 5 Best SEO Agencies in Sydney | Optimising</v>
      </c>
      <c r="C301" s="6" t="str">
        <f>IFERROR(__xludf.DUMMYFUNCTION("""COMPUTED_VALUE"""),"optimising.com.au")</f>
        <v>optimising.com.au</v>
      </c>
      <c r="D301" s="7" t="str">
        <f>IFERROR(__xludf.DUMMYFUNCTION("""COMPUTED_VALUE"""),"LISTICLE")</f>
        <v>LISTICLE</v>
      </c>
      <c r="E301" s="7" t="str">
        <f>IFERROR(__xludf.DUMMYFUNCTION("""COMPUTED_VALUE"""),"CORPORATE")</f>
        <v>CORPORATE</v>
      </c>
      <c r="F301" s="7" t="str">
        <f>IFERROR(__xludf.DUMMYFUNCTION("""COMPUTED_VALUE"""),"Listicle")</f>
        <v>Listicle</v>
      </c>
      <c r="G301" s="7" t="b">
        <f>IFERROR(__xludf.DUMMYFUNCTION("""COMPUTED_VALUE"""),FALSE)</f>
        <v>0</v>
      </c>
      <c r="H301" s="7" t="str">
        <f>IFERROR(__xludf.DUMMYFUNCTION("""COMPUTED_VALUE"""),"Prosperity Media, Jaywing")</f>
        <v>Prosperity Media, Jaywing</v>
      </c>
      <c r="I301" s="7">
        <f>IFERROR(__xludf.DUMMYFUNCTION("""COMPUTED_VALUE"""),1.0)</f>
        <v>1</v>
      </c>
      <c r="J301" s="7">
        <f>IFERROR(__xludf.DUMMYFUNCTION("""COMPUTED_VALUE"""),0.0)</f>
        <v>0</v>
      </c>
      <c r="K301" s="7">
        <f>IFERROR(__xludf.DUMMYFUNCTION("""COMPUTED_VALUE"""),1.0)</f>
        <v>1</v>
      </c>
    </row>
    <row r="302" ht="15.75" customHeight="1">
      <c r="A302" s="6" t="str">
        <f>IFERROR(__xludf.DUMMYFUNCTION("""COMPUTED_VALUE"""),"https://peertopeermarketing.co/performance-agencies/")</f>
        <v>https://peertopeermarketing.co/performance-agencies/</v>
      </c>
      <c r="B302" s="7" t="str">
        <f>IFERROR(__xludf.DUMMYFUNCTION("""COMPUTED_VALUE"""),"18 Best Performance Marketing Agencies to Boost Your ROI [2026]")</f>
        <v>18 Best Performance Marketing Agencies to Boost Your ROI [2026]</v>
      </c>
      <c r="C302" s="6" t="str">
        <f>IFERROR(__xludf.DUMMYFUNCTION("""COMPUTED_VALUE"""),"peertopeermarketing.co")</f>
        <v>peertopeermarketing.co</v>
      </c>
      <c r="D302" s="7" t="str">
        <f>IFERROR(__xludf.DUMMYFUNCTION("""COMPUTED_VALUE"""),"LISTICLE")</f>
        <v>LISTICLE</v>
      </c>
      <c r="E302" s="7" t="str">
        <f>IFERROR(__xludf.DUMMYFUNCTION("""COMPUTED_VALUE"""),"EDITORIAL")</f>
        <v>EDITORIAL</v>
      </c>
      <c r="F302" s="7" t="str">
        <f>IFERROR(__xludf.DUMMYFUNCTION("""COMPUTED_VALUE"""),"Listicle")</f>
        <v>Listicle</v>
      </c>
      <c r="G302" s="7" t="b">
        <f>IFERROR(__xludf.DUMMYFUNCTION("""COMPUTED_VALUE"""),FALSE)</f>
        <v>0</v>
      </c>
      <c r="H302" s="7" t="str">
        <f>IFERROR(__xludf.DUMMYFUNCTION("""COMPUTED_VALUE"""),"Huge, Dentsu, GroupM, WPP")</f>
        <v>Huge, Dentsu, GroupM, WPP</v>
      </c>
      <c r="I302" s="7">
        <f>IFERROR(__xludf.DUMMYFUNCTION("""COMPUTED_VALUE"""),1.0)</f>
        <v>1</v>
      </c>
      <c r="J302" s="7">
        <f>IFERROR(__xludf.DUMMYFUNCTION("""COMPUTED_VALUE"""),0.0)</f>
        <v>0</v>
      </c>
      <c r="K302" s="7">
        <f>IFERROR(__xludf.DUMMYFUNCTION("""COMPUTED_VALUE"""),0.0)</f>
        <v>0</v>
      </c>
    </row>
    <row r="303" ht="15.75" customHeight="1">
      <c r="A303" s="6" t="str">
        <f>IFERROR(__xludf.DUMMYFUNCTION("""COMPUTED_VALUE"""),"https://pimms.io/blog/top-10-marketing-attribution-tools-you-need-in-2025")</f>
        <v>https://pimms.io/blog/top-10-marketing-attribution-tools-you-need-in-2025</v>
      </c>
      <c r="B303" s="7" t="str">
        <f>IFERROR(__xludf.DUMMYFUNCTION("""COMPUTED_VALUE"""),"Best Marketing Attribution Tools 2025: ROI Tracking &amp;amp; Analytics")</f>
        <v>Best Marketing Attribution Tools 2025: ROI Tracking &amp;amp; Analytics</v>
      </c>
      <c r="C303" s="6" t="str">
        <f>IFERROR(__xludf.DUMMYFUNCTION("""COMPUTED_VALUE"""),"pimms.io")</f>
        <v>pimms.io</v>
      </c>
      <c r="D303" s="7" t="str">
        <f>IFERROR(__xludf.DUMMYFUNCTION("""COMPUTED_VALUE"""),"LISTICLE")</f>
        <v>LISTICLE</v>
      </c>
      <c r="E303" s="7" t="str">
        <f>IFERROR(__xludf.DUMMYFUNCTION("""COMPUTED_VALUE"""),"CORPORATE")</f>
        <v>CORPORATE</v>
      </c>
      <c r="F303" s="7" t="str">
        <f>IFERROR(__xludf.DUMMYFUNCTION("""COMPUTED_VALUE"""),"Listicle")</f>
        <v>Listicle</v>
      </c>
      <c r="G303" s="7" t="b">
        <f>IFERROR(__xludf.DUMMYFUNCTION("""COMPUTED_VALUE"""),FALSE)</f>
        <v>0</v>
      </c>
      <c r="H303" s="7" t="str">
        <f>IFERROR(__xludf.DUMMYFUNCTION("""COMPUTED_VALUE"""),"Impressive")</f>
        <v>Impressive</v>
      </c>
      <c r="I303" s="7">
        <f>IFERROR(__xludf.DUMMYFUNCTION("""COMPUTED_VALUE"""),1.0)</f>
        <v>1</v>
      </c>
      <c r="J303" s="7">
        <f>IFERROR(__xludf.DUMMYFUNCTION("""COMPUTED_VALUE"""),0.0)</f>
        <v>0</v>
      </c>
      <c r="K303" s="7">
        <f>IFERROR(__xludf.DUMMYFUNCTION("""COMPUTED_VALUE"""),0.0)</f>
        <v>0</v>
      </c>
    </row>
    <row r="304" ht="15.75" customHeight="1">
      <c r="A304" s="6" t="str">
        <f>IFERROR(__xludf.DUMMYFUNCTION("""COMPUTED_VALUE"""),"https://www.provokemedia.com/events-awards/agencies-of-the-year/the-best-agencies-in-asia-pacific-2025/the-14-best-agencies-in-australia-and-new-zealand/ogilvy-australia")</f>
        <v>https://www.provokemedia.com/events-awards/agencies-of-the-year/the-best-agencies-in-asia-pacific-2025/the-14-best-agencies-in-australia-and-new-zealand/ogilvy-australia</v>
      </c>
      <c r="B304" s="7"/>
      <c r="C304" s="6" t="str">
        <f>IFERROR(__xludf.DUMMYFUNCTION("""COMPUTED_VALUE"""),"provokemedia.com")</f>
        <v>provokemedia.com</v>
      </c>
      <c r="D304" s="7" t="str">
        <f>IFERROR(__xludf.DUMMYFUNCTION("""COMPUTED_VALUE"""),"LISTICLE")</f>
        <v>LISTICLE</v>
      </c>
      <c r="E304" s="7" t="str">
        <f>IFERROR(__xludf.DUMMYFUNCTION("""COMPUTED_VALUE"""),"CORPORATE")</f>
        <v>CORPORATE</v>
      </c>
      <c r="F304" s="7" t="str">
        <f>IFERROR(__xludf.DUMMYFUNCTION("""COMPUTED_VALUE"""),"Listicle")</f>
        <v>Listicle</v>
      </c>
      <c r="G304" s="7" t="b">
        <f>IFERROR(__xludf.DUMMYFUNCTION("""COMPUTED_VALUE"""),FALSE)</f>
        <v>0</v>
      </c>
      <c r="H304" s="7" t="str">
        <f>IFERROR(__xludf.DUMMYFUNCTION("""COMPUTED_VALUE"""),"Ogilvy Australia, WPP, Impressive, Earned Media, Dentsu")</f>
        <v>Ogilvy Australia, WPP, Impressive, Earned Media, Dentsu</v>
      </c>
      <c r="I304" s="7">
        <f>IFERROR(__xludf.DUMMYFUNCTION("""COMPUTED_VALUE"""),1.0)</f>
        <v>1</v>
      </c>
      <c r="J304" s="7">
        <f>IFERROR(__xludf.DUMMYFUNCTION("""COMPUTED_VALUE"""),0.0)</f>
        <v>0</v>
      </c>
      <c r="K304" s="7">
        <f>IFERROR(__xludf.DUMMYFUNCTION("""COMPUTED_VALUE"""),1.0)</f>
        <v>1</v>
      </c>
    </row>
    <row r="305" ht="15.75" customHeight="1">
      <c r="A305" s="6" t="str">
        <f>IFERROR(__xludf.DUMMYFUNCTION("""COMPUTED_VALUE"""),"https://riseuplabs.com/top-web-design-agencies-in-australia/")</f>
        <v>https://riseuplabs.com/top-web-design-agencies-in-australia/</v>
      </c>
      <c r="B305" s="7" t="str">
        <f>IFERROR(__xludf.DUMMYFUNCTION("""COMPUTED_VALUE"""),"Top Web Design Agencies in Australia (2026): Best Companies, Reviews, &amp;amp; Expert Guide - Riseup Labs")</f>
        <v>Top Web Design Agencies in Australia (2026): Best Companies, Reviews, &amp;amp; Expert Guide - Riseup Labs</v>
      </c>
      <c r="C305" s="6" t="str">
        <f>IFERROR(__xludf.DUMMYFUNCTION("""COMPUTED_VALUE"""),"riseuplabs.com")</f>
        <v>riseuplabs.com</v>
      </c>
      <c r="D305" s="7" t="str">
        <f>IFERROR(__xludf.DUMMYFUNCTION("""COMPUTED_VALUE"""),"LISTICLE")</f>
        <v>LISTICLE</v>
      </c>
      <c r="E305" s="7" t="str">
        <f>IFERROR(__xludf.DUMMYFUNCTION("""COMPUTED_VALUE"""),"CORPORATE")</f>
        <v>CORPORATE</v>
      </c>
      <c r="F305" s="7" t="str">
        <f>IFERROR(__xludf.DUMMYFUNCTION("""COMPUTED_VALUE"""),"Listicle")</f>
        <v>Listicle</v>
      </c>
      <c r="G305" s="7" t="b">
        <f>IFERROR(__xludf.DUMMYFUNCTION("""COMPUTED_VALUE"""),FALSE)</f>
        <v>0</v>
      </c>
      <c r="H305" s="7" t="str">
        <f>IFERROR(__xludf.DUMMYFUNCTION("""COMPUTED_VALUE"""),"Emote Digital, Digital Nomads HQ, Sparro")</f>
        <v>Emote Digital, Digital Nomads HQ, Sparro</v>
      </c>
      <c r="I305" s="7">
        <f>IFERROR(__xludf.DUMMYFUNCTION("""COMPUTED_VALUE"""),1.0)</f>
        <v>1</v>
      </c>
      <c r="J305" s="7">
        <f>IFERROR(__xludf.DUMMYFUNCTION("""COMPUTED_VALUE"""),0.0)</f>
        <v>0</v>
      </c>
      <c r="K305" s="7">
        <f>IFERROR(__xludf.DUMMYFUNCTION("""COMPUTED_VALUE"""),1.0)</f>
        <v>1</v>
      </c>
    </row>
    <row r="306" ht="15.75" customHeight="1">
      <c r="A306" s="6" t="str">
        <f>IFERROR(__xludf.DUMMYFUNCTION("""COMPUTED_VALUE"""),"https://roi.com.au/know-how/challenges/roi-profitability/what-analytics-platforms-work-best")</f>
        <v>https://roi.com.au/know-how/challenges/roi-profitability/what-analytics-platforms-work-best</v>
      </c>
      <c r="B306" s="7" t="str">
        <f>IFERROR(__xludf.DUMMYFUNCTION("""COMPUTED_VALUE"""),"What analytics platforms work best | AI Marketing Agency Australia | roi.com.au")</f>
        <v>What analytics platforms work best | AI Marketing Agency Australia | roi.com.au</v>
      </c>
      <c r="C306" s="6" t="str">
        <f>IFERROR(__xludf.DUMMYFUNCTION("""COMPUTED_VALUE"""),"roi.com.au")</f>
        <v>roi.com.au</v>
      </c>
      <c r="D306" s="7" t="str">
        <f>IFERROR(__xludf.DUMMYFUNCTION("""COMPUTED_VALUE"""),"LISTICLE")</f>
        <v>LISTICLE</v>
      </c>
      <c r="E306" s="7" t="str">
        <f>IFERROR(__xludf.DUMMYFUNCTION("""COMPUTED_VALUE"""),"CORPORATE")</f>
        <v>CORPORATE</v>
      </c>
      <c r="F306" s="7" t="str">
        <f>IFERROR(__xludf.DUMMYFUNCTION("""COMPUTED_VALUE"""),"Listicle")</f>
        <v>Listicle</v>
      </c>
      <c r="G306" s="7" t="b">
        <f>IFERROR(__xludf.DUMMYFUNCTION("""COMPUTED_VALUE"""),FALSE)</f>
        <v>0</v>
      </c>
      <c r="H306" s="7" t="str">
        <f>IFERROR(__xludf.DUMMYFUNCTION("""COMPUTED_VALUE"""),"ROI Growth Agency")</f>
        <v>ROI Growth Agency</v>
      </c>
      <c r="I306" s="7">
        <f>IFERROR(__xludf.DUMMYFUNCTION("""COMPUTED_VALUE"""),1.0)</f>
        <v>1</v>
      </c>
      <c r="J306" s="7">
        <f>IFERROR(__xludf.DUMMYFUNCTION("""COMPUTED_VALUE"""),0.0)</f>
        <v>0</v>
      </c>
      <c r="K306" s="7">
        <f>IFERROR(__xludf.DUMMYFUNCTION("""COMPUTED_VALUE"""),0.0)</f>
        <v>0</v>
      </c>
    </row>
    <row r="307" ht="15.75" customHeight="1">
      <c r="A307" s="6" t="str">
        <f>IFERROR(__xludf.DUMMYFUNCTION("""COMPUTED_VALUE"""),"https://www.ruleranalytics.com/blog/analytics/marketing-attribution-software/")</f>
        <v>https://www.ruleranalytics.com/blog/analytics/marketing-attribution-software/</v>
      </c>
      <c r="B307" s="7" t="str">
        <f>IFERROR(__xludf.DUMMYFUNCTION("""COMPUTED_VALUE"""),"12 Marketing Attribution Software and Tools to Level Up Your Measurement in 2026 | Ruler Analytics")</f>
        <v>12 Marketing Attribution Software and Tools to Level Up Your Measurement in 2026 | Ruler Analytics</v>
      </c>
      <c r="C307" s="6" t="str">
        <f>IFERROR(__xludf.DUMMYFUNCTION("""COMPUTED_VALUE"""),"ruleranalytics.com")</f>
        <v>ruleranalytics.com</v>
      </c>
      <c r="D307" s="7" t="str">
        <f>IFERROR(__xludf.DUMMYFUNCTION("""COMPUTED_VALUE"""),"LISTICLE")</f>
        <v>LISTICLE</v>
      </c>
      <c r="E307" s="7" t="str">
        <f>IFERROR(__xludf.DUMMYFUNCTION("""COMPUTED_VALUE"""),"CORPORATE")</f>
        <v>CORPORATE</v>
      </c>
      <c r="F307" s="7" t="str">
        <f>IFERROR(__xludf.DUMMYFUNCTION("""COMPUTED_VALUE"""),"Listicle")</f>
        <v>Listicle</v>
      </c>
      <c r="G307" s="7" t="b">
        <f>IFERROR(__xludf.DUMMYFUNCTION("""COMPUTED_VALUE"""),FALSE)</f>
        <v>0</v>
      </c>
      <c r="H307" s="7"/>
      <c r="I307" s="7">
        <f>IFERROR(__xludf.DUMMYFUNCTION("""COMPUTED_VALUE"""),1.0)</f>
        <v>1</v>
      </c>
      <c r="J307" s="7">
        <f>IFERROR(__xludf.DUMMYFUNCTION("""COMPUTED_VALUE"""),0.0)</f>
        <v>0</v>
      </c>
      <c r="K307" s="7">
        <f>IFERROR(__xludf.DUMMYFUNCTION("""COMPUTED_VALUE"""),0.0)</f>
        <v>0</v>
      </c>
    </row>
    <row r="308" ht="15.75" customHeight="1">
      <c r="A308" s="6" t="str">
        <f>IFERROR(__xludf.DUMMYFUNCTION("""COMPUTED_VALUE"""),"https://www.rzlt.io/blog/best-ai-marketing-agencies-in-2026-the-definitive-guide-by-specialty")</f>
        <v>https://www.rzlt.io/blog/best-ai-marketing-agencies-in-2026-the-definitive-guide-by-specialty</v>
      </c>
      <c r="B308" s="7" t="str">
        <f>IFERROR(__xludf.DUMMYFUNCTION("""COMPUTED_VALUE"""),"Best AI Marketing Agencies in 2026: The Definitive Guide")</f>
        <v>Best AI Marketing Agencies in 2026: The Definitive Guide</v>
      </c>
      <c r="C308" s="6" t="str">
        <f>IFERROR(__xludf.DUMMYFUNCTION("""COMPUTED_VALUE"""),"rzlt.io")</f>
        <v>rzlt.io</v>
      </c>
      <c r="D308" s="7" t="str">
        <f>IFERROR(__xludf.DUMMYFUNCTION("""COMPUTED_VALUE"""),"LISTICLE")</f>
        <v>LISTICLE</v>
      </c>
      <c r="E308" s="7" t="str">
        <f>IFERROR(__xludf.DUMMYFUNCTION("""COMPUTED_VALUE"""),"CORPORATE")</f>
        <v>CORPORATE</v>
      </c>
      <c r="F308" s="7" t="str">
        <f>IFERROR(__xludf.DUMMYFUNCTION("""COMPUTED_VALUE"""),"Listicle")</f>
        <v>Listicle</v>
      </c>
      <c r="G308" s="7" t="b">
        <f>IFERROR(__xludf.DUMMYFUNCTION("""COMPUTED_VALUE"""),FALSE)</f>
        <v>0</v>
      </c>
      <c r="H308" s="7"/>
      <c r="I308" s="7">
        <f>IFERROR(__xludf.DUMMYFUNCTION("""COMPUTED_VALUE"""),1.0)</f>
        <v>1</v>
      </c>
      <c r="J308" s="7">
        <f>IFERROR(__xludf.DUMMYFUNCTION("""COMPUTED_VALUE"""),0.0)</f>
        <v>0</v>
      </c>
      <c r="K308" s="7">
        <f>IFERROR(__xludf.DUMMYFUNCTION("""COMPUTED_VALUE"""),1.0)</f>
        <v>1</v>
      </c>
    </row>
    <row r="309" ht="15.75" customHeight="1">
      <c r="A309" s="6" t="str">
        <f>IFERROR(__xludf.DUMMYFUNCTION("""COMPUTED_VALUE"""),"https://www.salesforce.com/au/marketing/ai/best-ai-marketing-tools/")</f>
        <v>https://www.salesforce.com/au/marketing/ai/best-ai-marketing-tools/</v>
      </c>
      <c r="B309" s="7" t="str">
        <f>IFERROR(__xludf.DUMMYFUNCTION("""COMPUTED_VALUE"""),"20 Best AI Marketing Tools in 2026 \| Salesforce AU")</f>
        <v>20 Best AI Marketing Tools in 2026 \| Salesforce AU</v>
      </c>
      <c r="C309" s="6" t="str">
        <f>IFERROR(__xludf.DUMMYFUNCTION("""COMPUTED_VALUE"""),"salesforce.com")</f>
        <v>salesforce.com</v>
      </c>
      <c r="D309" s="7" t="str">
        <f>IFERROR(__xludf.DUMMYFUNCTION("""COMPUTED_VALUE"""),"LISTICLE")</f>
        <v>LISTICLE</v>
      </c>
      <c r="E309" s="7" t="str">
        <f>IFERROR(__xludf.DUMMYFUNCTION("""COMPUTED_VALUE"""),"CORPORATE")</f>
        <v>CORPORATE</v>
      </c>
      <c r="F309" s="7" t="str">
        <f>IFERROR(__xludf.DUMMYFUNCTION("""COMPUTED_VALUE"""),"Listicle")</f>
        <v>Listicle</v>
      </c>
      <c r="G309" s="7" t="b">
        <f>IFERROR(__xludf.DUMMYFUNCTION("""COMPUTED_VALUE"""),FALSE)</f>
        <v>0</v>
      </c>
      <c r="H309" s="7"/>
      <c r="I309" s="7">
        <f>IFERROR(__xludf.DUMMYFUNCTION("""COMPUTED_VALUE"""),1.0)</f>
        <v>1</v>
      </c>
      <c r="J309" s="7">
        <f>IFERROR(__xludf.DUMMYFUNCTION("""COMPUTED_VALUE"""),0.0)</f>
        <v>0</v>
      </c>
      <c r="K309" s="7">
        <f>IFERROR(__xludf.DUMMYFUNCTION("""COMPUTED_VALUE"""),1.0)</f>
        <v>1</v>
      </c>
    </row>
    <row r="310" ht="15.75" customHeight="1">
      <c r="A310" s="6" t="str">
        <f>IFERROR(__xludf.DUMMYFUNCTION("""COMPUTED_VALUE"""),"https://shuffledigital.com.au/best-seo-agencies-in-australia/")</f>
        <v>https://shuffledigital.com.au/best-seo-agencies-in-australia/</v>
      </c>
      <c r="B310" s="7" t="str">
        <f>IFERROR(__xludf.DUMMYFUNCTION("""COMPUTED_VALUE"""),"Best SEO Agencies in Australia by Shuffle [Updated 2026]")</f>
        <v>Best SEO Agencies in Australia by Shuffle [Updated 2026]</v>
      </c>
      <c r="C310" s="6" t="str">
        <f>IFERROR(__xludf.DUMMYFUNCTION("""COMPUTED_VALUE"""),"shuffledigital.com.au")</f>
        <v>shuffledigital.com.au</v>
      </c>
      <c r="D310" s="7" t="str">
        <f>IFERROR(__xludf.DUMMYFUNCTION("""COMPUTED_VALUE"""),"LISTICLE")</f>
        <v>LISTICLE</v>
      </c>
      <c r="E310" s="7" t="str">
        <f>IFERROR(__xludf.DUMMYFUNCTION("""COMPUTED_VALUE"""),"CORPORATE")</f>
        <v>CORPORATE</v>
      </c>
      <c r="F310" s="7" t="str">
        <f>IFERROR(__xludf.DUMMYFUNCTION("""COMPUTED_VALUE"""),"Listicle")</f>
        <v>Listicle</v>
      </c>
      <c r="G310" s="7" t="b">
        <f>IFERROR(__xludf.DUMMYFUNCTION("""COMPUTED_VALUE"""),FALSE)</f>
        <v>0</v>
      </c>
      <c r="H310" s="7" t="str">
        <f>IFERROR(__xludf.DUMMYFUNCTION("""COMPUTED_VALUE"""),"Prosperity Media, Alley Group, StudioHawk")</f>
        <v>Prosperity Media, Alley Group, StudioHawk</v>
      </c>
      <c r="I310" s="7">
        <f>IFERROR(__xludf.DUMMYFUNCTION("""COMPUTED_VALUE"""),1.0)</f>
        <v>1</v>
      </c>
      <c r="J310" s="7">
        <f>IFERROR(__xludf.DUMMYFUNCTION("""COMPUTED_VALUE"""),0.0)</f>
        <v>0</v>
      </c>
      <c r="K310" s="7">
        <f>IFERROR(__xludf.DUMMYFUNCTION("""COMPUTED_VALUE"""),1.0)</f>
        <v>1</v>
      </c>
    </row>
    <row r="311" ht="15.75" customHeight="1">
      <c r="A311" s="6" t="str">
        <f>IFERROR(__xludf.DUMMYFUNCTION("""COMPUTED_VALUE"""),"https://www.singlegrain.com/artificial-intelligence/top-14-ai-marketing-agencies-in-2025/")</f>
        <v>https://www.singlegrain.com/artificial-intelligence/top-14-ai-marketing-agencies-in-2025/</v>
      </c>
      <c r="B311" s="7" t="str">
        <f>IFERROR(__xludf.DUMMYFUNCTION("""COMPUTED_VALUE"""),"Top 14 AI Marketing Agencies in 2025: Expert Analysis &amp;amp; Rankings")</f>
        <v>Top 14 AI Marketing Agencies in 2025: Expert Analysis &amp;amp; Rankings</v>
      </c>
      <c r="C311" s="6" t="str">
        <f>IFERROR(__xludf.DUMMYFUNCTION("""COMPUTED_VALUE"""),"singlegrain.com")</f>
        <v>singlegrain.com</v>
      </c>
      <c r="D311" s="7" t="str">
        <f>IFERROR(__xludf.DUMMYFUNCTION("""COMPUTED_VALUE"""),"LISTICLE")</f>
        <v>LISTICLE</v>
      </c>
      <c r="E311" s="7" t="str">
        <f>IFERROR(__xludf.DUMMYFUNCTION("""COMPUTED_VALUE"""),"CORPORATE")</f>
        <v>CORPORATE</v>
      </c>
      <c r="F311" s="7" t="str">
        <f>IFERROR(__xludf.DUMMYFUNCTION("""COMPUTED_VALUE"""),"Listicle")</f>
        <v>Listicle</v>
      </c>
      <c r="G311" s="7" t="b">
        <f>IFERROR(__xludf.DUMMYFUNCTION("""COMPUTED_VALUE"""),FALSE)</f>
        <v>0</v>
      </c>
      <c r="H311" s="7" t="str">
        <f>IFERROR(__xludf.DUMMYFUNCTION("""COMPUTED_VALUE"""),"VML, Impressive")</f>
        <v>VML, Impressive</v>
      </c>
      <c r="I311" s="7">
        <f>IFERROR(__xludf.DUMMYFUNCTION("""COMPUTED_VALUE"""),1.0)</f>
        <v>1</v>
      </c>
      <c r="J311" s="7">
        <f>IFERROR(__xludf.DUMMYFUNCTION("""COMPUTED_VALUE"""),0.0)</f>
        <v>0</v>
      </c>
      <c r="K311" s="7">
        <f>IFERROR(__xludf.DUMMYFUNCTION("""COMPUTED_VALUE"""),0.0)</f>
        <v>0</v>
      </c>
    </row>
    <row r="312" ht="15.75" customHeight="1">
      <c r="A312" s="6" t="str">
        <f>IFERROR(__xludf.DUMMYFUNCTION("""COMPUTED_VALUE"""),"https://skai.io/blog/a-dozen-examples-of-incrementality-tests/")</f>
        <v>https://skai.io/blog/a-dozen-examples-of-incrementality-tests/</v>
      </c>
      <c r="B312" s="7" t="str">
        <f>IFERROR(__xludf.DUMMYFUNCTION("""COMPUTED_VALUE"""),"What Is Incrementality Testing | The Marketers Experiment Guide")</f>
        <v>What Is Incrementality Testing | The Marketers Experiment Guide</v>
      </c>
      <c r="C312" s="6" t="str">
        <f>IFERROR(__xludf.DUMMYFUNCTION("""COMPUTED_VALUE"""),"skai.io")</f>
        <v>skai.io</v>
      </c>
      <c r="D312" s="7" t="str">
        <f>IFERROR(__xludf.DUMMYFUNCTION("""COMPUTED_VALUE"""),"LISTICLE")</f>
        <v>LISTICLE</v>
      </c>
      <c r="E312" s="7" t="str">
        <f>IFERROR(__xludf.DUMMYFUNCTION("""COMPUTED_VALUE"""),"CORPORATE")</f>
        <v>CORPORATE</v>
      </c>
      <c r="F312" s="7" t="str">
        <f>IFERROR(__xludf.DUMMYFUNCTION("""COMPUTED_VALUE"""),"Listicle")</f>
        <v>Listicle</v>
      </c>
      <c r="G312" s="7" t="b">
        <f>IFERROR(__xludf.DUMMYFUNCTION("""COMPUTED_VALUE"""),FALSE)</f>
        <v>0</v>
      </c>
      <c r="H312" s="7"/>
      <c r="I312" s="7">
        <f>IFERROR(__xludf.DUMMYFUNCTION("""COMPUTED_VALUE"""),1.0)</f>
        <v>1</v>
      </c>
      <c r="J312" s="7">
        <f>IFERROR(__xludf.DUMMYFUNCTION("""COMPUTED_VALUE"""),0.0)</f>
        <v>0</v>
      </c>
      <c r="K312" s="7">
        <f>IFERROR(__xludf.DUMMYFUNCTION("""COMPUTED_VALUE"""),1.0)</f>
        <v>1</v>
      </c>
    </row>
    <row r="313" ht="15.75" customHeight="1">
      <c r="A313" s="6" t="str">
        <f>IFERROR(__xludf.DUMMYFUNCTION("""COMPUTED_VALUE"""),"https://socialchameleon.com/top-30-marketing-agencies-australia-2/")</f>
        <v>https://socialchameleon.com/top-30-marketing-agencies-australia-2/</v>
      </c>
      <c r="B313" s="7" t="str">
        <f>IFERROR(__xludf.DUMMYFUNCTION("""COMPUTED_VALUE"""),"Top 30 Marketing Agencies in Australia | Social Chameleon Marketing")</f>
        <v>Top 30 Marketing Agencies in Australia | Social Chameleon Marketing</v>
      </c>
      <c r="C313" s="6" t="str">
        <f>IFERROR(__xludf.DUMMYFUNCTION("""COMPUTED_VALUE"""),"socialchameleon.com")</f>
        <v>socialchameleon.com</v>
      </c>
      <c r="D313" s="7" t="str">
        <f>IFERROR(__xludf.DUMMYFUNCTION("""COMPUTED_VALUE"""),"LISTICLE")</f>
        <v>LISTICLE</v>
      </c>
      <c r="E313" s="7" t="str">
        <f>IFERROR(__xludf.DUMMYFUNCTION("""COMPUTED_VALUE"""),"CORPORATE")</f>
        <v>CORPORATE</v>
      </c>
      <c r="F313" s="7" t="str">
        <f>IFERROR(__xludf.DUMMYFUNCTION("""COMPUTED_VALUE"""),"Listicle")</f>
        <v>Listicle</v>
      </c>
      <c r="G313" s="7" t="b">
        <f>IFERROR(__xludf.DUMMYFUNCTION("""COMPUTED_VALUE"""),FALSE)</f>
        <v>0</v>
      </c>
      <c r="H313" s="7" t="str">
        <f>IFERROR(__xludf.DUMMYFUNCTION("""COMPUTED_VALUE"""),"Impressive, Online Marketing Gurus, Farsiight, Digital Nomads HQ, Saatchi &amp; Saatchi, Luminary, Emote Digital, Rocket Agency, Paradox Marketing, Huge")</f>
        <v>Impressive, Online Marketing Gurus, Farsiight, Digital Nomads HQ, Saatchi &amp; Saatchi, Luminary, Emote Digital, Rocket Agency, Paradox Marketing, Huge</v>
      </c>
      <c r="I313" s="7">
        <f>IFERROR(__xludf.DUMMYFUNCTION("""COMPUTED_VALUE"""),1.0)</f>
        <v>1</v>
      </c>
      <c r="J313" s="7">
        <f>IFERROR(__xludf.DUMMYFUNCTION("""COMPUTED_VALUE"""),0.0)</f>
        <v>0</v>
      </c>
      <c r="K313" s="7">
        <f>IFERROR(__xludf.DUMMYFUNCTION("""COMPUTED_VALUE"""),1.0)</f>
        <v>1</v>
      </c>
    </row>
    <row r="314" ht="15.75" customHeight="1">
      <c r="A314" s="6" t="str">
        <f>IFERROR(__xludf.DUMMYFUNCTION("""COMPUTED_VALUE"""),"https://soupagency.com.au/blog/10-best-ppc-agencies-sydney/")</f>
        <v>https://soupagency.com.au/blog/10-best-ppc-agencies-sydney/</v>
      </c>
      <c r="B314" s="7" t="str">
        <f>IFERROR(__xludf.DUMMYFUNCTION("""COMPUTED_VALUE"""),"Best PPC Agencies in Sydney \| Top 10 Reviewed - SOUP Agency")</f>
        <v>Best PPC Agencies in Sydney \| Top 10 Reviewed - SOUP Agency</v>
      </c>
      <c r="C314" s="6" t="str">
        <f>IFERROR(__xludf.DUMMYFUNCTION("""COMPUTED_VALUE"""),"soupagency.com.au")</f>
        <v>soupagency.com.au</v>
      </c>
      <c r="D314" s="7" t="str">
        <f>IFERROR(__xludf.DUMMYFUNCTION("""COMPUTED_VALUE"""),"LISTICLE")</f>
        <v>LISTICLE</v>
      </c>
      <c r="E314" s="7" t="str">
        <f>IFERROR(__xludf.DUMMYFUNCTION("""COMPUTED_VALUE"""),"COMPETITOR")</f>
        <v>COMPETITOR</v>
      </c>
      <c r="F314" s="7" t="str">
        <f>IFERROR(__xludf.DUMMYFUNCTION("""COMPUTED_VALUE"""),"Listicle")</f>
        <v>Listicle</v>
      </c>
      <c r="G314" s="7" t="b">
        <f>IFERROR(__xludf.DUMMYFUNCTION("""COMPUTED_VALUE"""),FALSE)</f>
        <v>0</v>
      </c>
      <c r="H314" s="7" t="str">
        <f>IFERROR(__xludf.DUMMYFUNCTION("""COMPUTED_VALUE"""),"Soup Agency, Publicis Groupe, Dentsu, Mindshare, WPP, VML, PHD")</f>
        <v>Soup Agency, Publicis Groupe, Dentsu, Mindshare, WPP, VML, PHD</v>
      </c>
      <c r="I314" s="7">
        <f>IFERROR(__xludf.DUMMYFUNCTION("""COMPUTED_VALUE"""),1.0)</f>
        <v>1</v>
      </c>
      <c r="J314" s="7">
        <f>IFERROR(__xludf.DUMMYFUNCTION("""COMPUTED_VALUE"""),0.0)</f>
        <v>0</v>
      </c>
      <c r="K314" s="7">
        <f>IFERROR(__xludf.DUMMYFUNCTION("""COMPUTED_VALUE"""),0.0)</f>
        <v>0</v>
      </c>
    </row>
    <row r="315" ht="15.75" customHeight="1">
      <c r="A315" s="6" t="str">
        <f>IFERROR(__xludf.DUMMYFUNCTION("""COMPUTED_VALUE"""),"https://stackdigital.com.au/top-5-ai-seo-agencies-in-australia-2025-rankings/")</f>
        <v>https://stackdigital.com.au/top-5-ai-seo-agencies-in-australia-2025-rankings/</v>
      </c>
      <c r="B315" s="7" t="str">
        <f>IFERROR(__xludf.DUMMYFUNCTION("""COMPUTED_VALUE"""),"Top 7 AI SEO Agencies in Australia (2025 Rankings) – Modern Digital Marketing Agency")</f>
        <v>Top 7 AI SEO Agencies in Australia (2025 Rankings) – Modern Digital Marketing Agency</v>
      </c>
      <c r="C315" s="6" t="str">
        <f>IFERROR(__xludf.DUMMYFUNCTION("""COMPUTED_VALUE"""),"stackdigital.com.au")</f>
        <v>stackdigital.com.au</v>
      </c>
      <c r="D315" s="7" t="str">
        <f>IFERROR(__xludf.DUMMYFUNCTION("""COMPUTED_VALUE"""),"LISTICLE")</f>
        <v>LISTICLE</v>
      </c>
      <c r="E315" s="7" t="str">
        <f>IFERROR(__xludf.DUMMYFUNCTION("""COMPUTED_VALUE"""),"CORPORATE")</f>
        <v>CORPORATE</v>
      </c>
      <c r="F315" s="7" t="str">
        <f>IFERROR(__xludf.DUMMYFUNCTION("""COMPUTED_VALUE"""),"Listicle")</f>
        <v>Listicle</v>
      </c>
      <c r="G315" s="7" t="b">
        <f>IFERROR(__xludf.DUMMYFUNCTION("""COMPUTED_VALUE"""),FALSE)</f>
        <v>0</v>
      </c>
      <c r="H315" s="7"/>
      <c r="I315" s="7">
        <f>IFERROR(__xludf.DUMMYFUNCTION("""COMPUTED_VALUE"""),1.0)</f>
        <v>1</v>
      </c>
      <c r="J315" s="7">
        <f>IFERROR(__xludf.DUMMYFUNCTION("""COMPUTED_VALUE"""),0.0)</f>
        <v>0</v>
      </c>
      <c r="K315" s="7">
        <f>IFERROR(__xludf.DUMMYFUNCTION("""COMPUTED_VALUE"""),1.0)</f>
        <v>1</v>
      </c>
    </row>
    <row r="316" ht="15.75" customHeight="1">
      <c r="A316" s="6" t="str">
        <f>IFERROR(__xludf.DUMMYFUNCTION("""COMPUTED_VALUE"""),"https://stratabeat.com/best-geo-agency/")</f>
        <v>https://stratabeat.com/best-geo-agency/</v>
      </c>
      <c r="B316" s="7" t="str">
        <f>IFERROR(__xludf.DUMMYFUNCTION("""COMPUTED_VALUE"""),"The 10 Best GEO Agencies in 2026 | Stratabeat")</f>
        <v>The 10 Best GEO Agencies in 2026 | Stratabeat</v>
      </c>
      <c r="C316" s="6" t="str">
        <f>IFERROR(__xludf.DUMMYFUNCTION("""COMPUTED_VALUE"""),"stratabeat.com")</f>
        <v>stratabeat.com</v>
      </c>
      <c r="D316" s="7" t="str">
        <f>IFERROR(__xludf.DUMMYFUNCTION("""COMPUTED_VALUE"""),"LISTICLE")</f>
        <v>LISTICLE</v>
      </c>
      <c r="E316" s="7" t="str">
        <f>IFERROR(__xludf.DUMMYFUNCTION("""COMPUTED_VALUE"""),"CORPORATE")</f>
        <v>CORPORATE</v>
      </c>
      <c r="F316" s="7" t="str">
        <f>IFERROR(__xludf.DUMMYFUNCTION("""COMPUTED_VALUE"""),"Listicle")</f>
        <v>Listicle</v>
      </c>
      <c r="G316" s="7" t="b">
        <f>IFERROR(__xludf.DUMMYFUNCTION("""COMPUTED_VALUE"""),FALSE)</f>
        <v>0</v>
      </c>
      <c r="H316" s="7" t="str">
        <f>IFERROR(__xludf.DUMMYFUNCTION("""COMPUTED_VALUE"""),"First Page, Impressive, Earned Media")</f>
        <v>First Page, Impressive, Earned Media</v>
      </c>
      <c r="I316" s="7">
        <f>IFERROR(__xludf.DUMMYFUNCTION("""COMPUTED_VALUE"""),1.0)</f>
        <v>1</v>
      </c>
      <c r="J316" s="7">
        <f>IFERROR(__xludf.DUMMYFUNCTION("""COMPUTED_VALUE"""),0.0)</f>
        <v>0</v>
      </c>
      <c r="K316" s="7">
        <f>IFERROR(__xludf.DUMMYFUNCTION("""COMPUTED_VALUE"""),0.0)</f>
        <v>0</v>
      </c>
    </row>
    <row r="317" ht="15.75" customHeight="1">
      <c r="A317" s="6" t="str">
        <f>IFERROR(__xludf.DUMMYFUNCTION("""COMPUTED_VALUE"""),"https://www.strategyeye.com/top-13-performance-marketing-agencies/")</f>
        <v>https://www.strategyeye.com/top-13-performance-marketing-agencies/</v>
      </c>
      <c r="B317" s="7" t="str">
        <f>IFERROR(__xludf.DUMMYFUNCTION("""COMPUTED_VALUE"""),"Top 13 Performance Marketing Agencies - StrategyEye")</f>
        <v>Top 13 Performance Marketing Agencies - StrategyEye</v>
      </c>
      <c r="C317" s="6" t="str">
        <f>IFERROR(__xludf.DUMMYFUNCTION("""COMPUTED_VALUE"""),"strategyeye.com")</f>
        <v>strategyeye.com</v>
      </c>
      <c r="D317" s="7" t="str">
        <f>IFERROR(__xludf.DUMMYFUNCTION("""COMPUTED_VALUE"""),"LISTICLE")</f>
        <v>LISTICLE</v>
      </c>
      <c r="E317" s="7" t="str">
        <f>IFERROR(__xludf.DUMMYFUNCTION("""COMPUTED_VALUE"""),"EDITORIAL")</f>
        <v>EDITORIAL</v>
      </c>
      <c r="F317" s="7" t="str">
        <f>IFERROR(__xludf.DUMMYFUNCTION("""COMPUTED_VALUE"""),"Listicle")</f>
        <v>Listicle</v>
      </c>
      <c r="G317" s="7" t="b">
        <f>IFERROR(__xludf.DUMMYFUNCTION("""COMPUTED_VALUE"""),FALSE)</f>
        <v>0</v>
      </c>
      <c r="H317" s="7" t="str">
        <f>IFERROR(__xludf.DUMMYFUNCTION("""COMPUTED_VALUE"""),"Tinuiti, Brainlabs, PMG")</f>
        <v>Tinuiti, Brainlabs, PMG</v>
      </c>
      <c r="I317" s="7">
        <f>IFERROR(__xludf.DUMMYFUNCTION("""COMPUTED_VALUE"""),1.0)</f>
        <v>1</v>
      </c>
      <c r="J317" s="7">
        <f>IFERROR(__xludf.DUMMYFUNCTION("""COMPUTED_VALUE"""),0.0)</f>
        <v>0</v>
      </c>
      <c r="K317" s="7">
        <f>IFERROR(__xludf.DUMMYFUNCTION("""COMPUTED_VALUE"""),0.0)</f>
        <v>0</v>
      </c>
    </row>
    <row r="318" ht="15.75" customHeight="1">
      <c r="A318" s="6" t="str">
        <f>IFERROR(__xludf.DUMMYFUNCTION("""COMPUTED_VALUE"""),"https://techtalkradio.com.au/top-australian-ppc-agencies-pricing-results-and-quality/")</f>
        <v>https://techtalkradio.com.au/top-australian-ppc-agencies-pricing-results-and-quality/</v>
      </c>
      <c r="B318" s="7" t="str">
        <f>IFERROR(__xludf.DUMMYFUNCTION("""COMPUTED_VALUE"""),"Top Australian PPC Agencies: Pricing, Results and Quality – Tech Talk Radio")</f>
        <v>Top Australian PPC Agencies: Pricing, Results and Quality – Tech Talk Radio</v>
      </c>
      <c r="C318" s="6" t="str">
        <f>IFERROR(__xludf.DUMMYFUNCTION("""COMPUTED_VALUE"""),"techtalkradio.com.au")</f>
        <v>techtalkradio.com.au</v>
      </c>
      <c r="D318" s="7" t="str">
        <f>IFERROR(__xludf.DUMMYFUNCTION("""COMPUTED_VALUE"""),"LISTICLE")</f>
        <v>LISTICLE</v>
      </c>
      <c r="E318" s="7" t="str">
        <f>IFERROR(__xludf.DUMMYFUNCTION("""COMPUTED_VALUE"""),"EDITORIAL")</f>
        <v>EDITORIAL</v>
      </c>
      <c r="F318" s="7" t="str">
        <f>IFERROR(__xludf.DUMMYFUNCTION("""COMPUTED_VALUE"""),"Listicle")</f>
        <v>Listicle</v>
      </c>
      <c r="G318" s="7" t="b">
        <f>IFERROR(__xludf.DUMMYFUNCTION("""COMPUTED_VALUE"""),FALSE)</f>
        <v>0</v>
      </c>
      <c r="H318" s="7" t="str">
        <f>IFERROR(__xludf.DUMMYFUNCTION("""COMPUTED_VALUE"""),"Impressive")</f>
        <v>Impressive</v>
      </c>
      <c r="I318" s="7">
        <f>IFERROR(__xludf.DUMMYFUNCTION("""COMPUTED_VALUE"""),1.0)</f>
        <v>1</v>
      </c>
      <c r="J318" s="7">
        <f>IFERROR(__xludf.DUMMYFUNCTION("""COMPUTED_VALUE"""),0.0)</f>
        <v>0</v>
      </c>
      <c r="K318" s="7">
        <f>IFERROR(__xludf.DUMMYFUNCTION("""COMPUTED_VALUE"""),1.0)</f>
        <v>1</v>
      </c>
    </row>
    <row r="319" ht="15.75" customHeight="1">
      <c r="A319" s="6" t="str">
        <f>IFERROR(__xludf.DUMMYFUNCTION("""COMPUTED_VALUE"""),"https://www.theardor.com.au/best-seo-companies-in-australia/")</f>
        <v>https://www.theardor.com.au/best-seo-companies-in-australia/</v>
      </c>
      <c r="B319" s="7" t="str">
        <f>IFERROR(__xludf.DUMMYFUNCTION("""COMPUTED_VALUE"""),"15 Best SEO Companies in Australia (2026 Ranked &amp;amp; Reviewed)")</f>
        <v>15 Best SEO Companies in Australia (2026 Ranked &amp;amp; Reviewed)</v>
      </c>
      <c r="C319" s="6" t="str">
        <f>IFERROR(__xludf.DUMMYFUNCTION("""COMPUTED_VALUE"""),"theardor.com.au")</f>
        <v>theardor.com.au</v>
      </c>
      <c r="D319" s="7" t="str">
        <f>IFERROR(__xludf.DUMMYFUNCTION("""COMPUTED_VALUE"""),"LISTICLE")</f>
        <v>LISTICLE</v>
      </c>
      <c r="E319" s="7" t="str">
        <f>IFERROR(__xludf.DUMMYFUNCTION("""COMPUTED_VALUE"""),"CORPORATE")</f>
        <v>CORPORATE</v>
      </c>
      <c r="F319" s="7" t="str">
        <f>IFERROR(__xludf.DUMMYFUNCTION("""COMPUTED_VALUE"""),"Listicle")</f>
        <v>Listicle</v>
      </c>
      <c r="G319" s="7" t="b">
        <f>IFERROR(__xludf.DUMMYFUNCTION("""COMPUTED_VALUE"""),FALSE)</f>
        <v>0</v>
      </c>
      <c r="H319" s="7" t="str">
        <f>IFERROR(__xludf.DUMMYFUNCTION("""COMPUTED_VALUE"""),"Ninja Promo, First Page, Digital Nomads HQ, Clearwater Agency, StudioHawk, SIXGUN, Online Marketing Gurus, Gorilla 360, Supple Digital, Omnicom Media Group")</f>
        <v>Ninja Promo, First Page, Digital Nomads HQ, Clearwater Agency, StudioHawk, SIXGUN, Online Marketing Gurus, Gorilla 360, Supple Digital, Omnicom Media Group</v>
      </c>
      <c r="I319" s="7">
        <f>IFERROR(__xludf.DUMMYFUNCTION("""COMPUTED_VALUE"""),1.0)</f>
        <v>1</v>
      </c>
      <c r="J319" s="7">
        <f>IFERROR(__xludf.DUMMYFUNCTION("""COMPUTED_VALUE"""),0.0)</f>
        <v>0</v>
      </c>
      <c r="K319" s="7">
        <f>IFERROR(__xludf.DUMMYFUNCTION("""COMPUTED_VALUE"""),1.0)</f>
        <v>1</v>
      </c>
    </row>
    <row r="320" ht="15.75" customHeight="1">
      <c r="A320" s="6" t="str">
        <f>IFERROR(__xludf.DUMMYFUNCTION("""COMPUTED_VALUE"""),"https://www.theardor.com.au/top-pr-agencies/")</f>
        <v>https://www.theardor.com.au/top-pr-agencies/</v>
      </c>
      <c r="B320" s="7" t="str">
        <f>IFERROR(__xludf.DUMMYFUNCTION("""COMPUTED_VALUE"""),"16 Top PR Agencies Australia | Trusted Public Relations Firm")</f>
        <v>16 Top PR Agencies Australia | Trusted Public Relations Firm</v>
      </c>
      <c r="C320" s="6" t="str">
        <f>IFERROR(__xludf.DUMMYFUNCTION("""COMPUTED_VALUE"""),"theardor.com.au")</f>
        <v>theardor.com.au</v>
      </c>
      <c r="D320" s="7" t="str">
        <f>IFERROR(__xludf.DUMMYFUNCTION("""COMPUTED_VALUE"""),"LISTICLE")</f>
        <v>LISTICLE</v>
      </c>
      <c r="E320" s="7" t="str">
        <f>IFERROR(__xludf.DUMMYFUNCTION("""COMPUTED_VALUE"""),"CORPORATE")</f>
        <v>CORPORATE</v>
      </c>
      <c r="F320" s="7" t="str">
        <f>IFERROR(__xludf.DUMMYFUNCTION("""COMPUTED_VALUE"""),"Listicle")</f>
        <v>Listicle</v>
      </c>
      <c r="G320" s="7" t="b">
        <f>IFERROR(__xludf.DUMMYFUNCTION("""COMPUTED_VALUE"""),FALSE)</f>
        <v>0</v>
      </c>
      <c r="H320" s="7" t="str">
        <f>IFERROR(__xludf.DUMMYFUNCTION("""COMPUTED_VALUE"""),"Earned Media, Impressive, Momentum")</f>
        <v>Earned Media, Impressive, Momentum</v>
      </c>
      <c r="I320" s="7">
        <f>IFERROR(__xludf.DUMMYFUNCTION("""COMPUTED_VALUE"""),1.0)</f>
        <v>1</v>
      </c>
      <c r="J320" s="7">
        <f>IFERROR(__xludf.DUMMYFUNCTION("""COMPUTED_VALUE"""),0.0)</f>
        <v>0</v>
      </c>
      <c r="K320" s="7">
        <f>IFERROR(__xludf.DUMMYFUNCTION("""COMPUTED_VALUE"""),1.0)</f>
        <v>1</v>
      </c>
    </row>
    <row r="321" ht="15.75" customHeight="1">
      <c r="A321" s="6" t="str">
        <f>IFERROR(__xludf.DUMMYFUNCTION("""COMPUTED_VALUE"""),"https://themanifest.com/au/programmatic/agencies/sydney")</f>
        <v>https://themanifest.com/au/programmatic/agencies/sydney</v>
      </c>
      <c r="B321" s="7" t="str">
        <f>IFERROR(__xludf.DUMMYFUNCTION("""COMPUTED_VALUE"""),"The Best Programmatic Advertising Companies in Sydney - Jul 2026 | The Manifest")</f>
        <v>The Best Programmatic Advertising Companies in Sydney - Jul 2026 | The Manifest</v>
      </c>
      <c r="C321" s="6" t="str">
        <f>IFERROR(__xludf.DUMMYFUNCTION("""COMPUTED_VALUE"""),"themanifest.com")</f>
        <v>themanifest.com</v>
      </c>
      <c r="D321" s="7" t="str">
        <f>IFERROR(__xludf.DUMMYFUNCTION("""COMPUTED_VALUE"""),"LISTICLE")</f>
        <v>LISTICLE</v>
      </c>
      <c r="E321" s="7" t="str">
        <f>IFERROR(__xludf.DUMMYFUNCTION("""COMPUTED_VALUE"""),"REFERENCE")</f>
        <v>REFERENCE</v>
      </c>
      <c r="F321" s="7" t="str">
        <f>IFERROR(__xludf.DUMMYFUNCTION("""COMPUTED_VALUE"""),"Listicle")</f>
        <v>Listicle</v>
      </c>
      <c r="G321" s="7" t="b">
        <f>IFERROR(__xludf.DUMMYFUNCTION("""COMPUTED_VALUE"""),FALSE)</f>
        <v>0</v>
      </c>
      <c r="H321" s="7" t="str">
        <f>IFERROR(__xludf.DUMMYFUNCTION("""COMPUTED_VALUE"""),"Soup Agency, Bench Media, DNM Digital, In Marketing We Trust")</f>
        <v>Soup Agency, Bench Media, DNM Digital, In Marketing We Trust</v>
      </c>
      <c r="I321" s="7">
        <f>IFERROR(__xludf.DUMMYFUNCTION("""COMPUTED_VALUE"""),1.0)</f>
        <v>1</v>
      </c>
      <c r="J321" s="7">
        <f>IFERROR(__xludf.DUMMYFUNCTION("""COMPUTED_VALUE"""),0.0)</f>
        <v>0</v>
      </c>
      <c r="K321" s="7">
        <f>IFERROR(__xludf.DUMMYFUNCTION("""COMPUTED_VALUE"""),0.0)</f>
        <v>0</v>
      </c>
    </row>
    <row r="322" ht="15.75" customHeight="1">
      <c r="A322" s="6" t="str">
        <f>IFERROR(__xludf.DUMMYFUNCTION("""COMPUTED_VALUE"""),"https://themanifest.com/au/social-media/linkedin/agencies")</f>
        <v>https://themanifest.com/au/social-media/linkedin/agencies</v>
      </c>
      <c r="B322" s="7" t="str">
        <f>IFERROR(__xludf.DUMMYFUNCTION("""COMPUTED_VALUE"""),"The Best LinkedIn Advertising Companies in Australia - Jul 2026 | The Manifest")</f>
        <v>The Best LinkedIn Advertising Companies in Australia - Jul 2026 | The Manifest</v>
      </c>
      <c r="C322" s="6" t="str">
        <f>IFERROR(__xludf.DUMMYFUNCTION("""COMPUTED_VALUE"""),"themanifest.com")</f>
        <v>themanifest.com</v>
      </c>
      <c r="D322" s="7" t="str">
        <f>IFERROR(__xludf.DUMMYFUNCTION("""COMPUTED_VALUE"""),"LISTICLE")</f>
        <v>LISTICLE</v>
      </c>
      <c r="E322" s="7" t="str">
        <f>IFERROR(__xludf.DUMMYFUNCTION("""COMPUTED_VALUE"""),"REFERENCE")</f>
        <v>REFERENCE</v>
      </c>
      <c r="F322" s="7" t="str">
        <f>IFERROR(__xludf.DUMMYFUNCTION("""COMPUTED_VALUE"""),"Listicle")</f>
        <v>Listicle</v>
      </c>
      <c r="G322" s="7" t="b">
        <f>IFERROR(__xludf.DUMMYFUNCTION("""COMPUTED_VALUE"""),FALSE)</f>
        <v>0</v>
      </c>
      <c r="H322" s="7" t="str">
        <f>IFERROR(__xludf.DUMMYFUNCTION("""COMPUTED_VALUE"""),"Human Digital, Digital Nomads HQ, Farsiight, SIXGUN, Megaphone, Soup Agency, Paradox Marketing, Emote Digital, Rocket Agency, Intesols, Bench Media, Clearwater Agency, Impressive, Insil, Salt &amp; Fuessel, EvenDigit")</f>
        <v>Human Digital, Digital Nomads HQ, Farsiight, SIXGUN, Megaphone, Soup Agency, Paradox Marketing, Emote Digital, Rocket Agency, Intesols, Bench Media, Clearwater Agency, Impressive, Insil, Salt &amp; Fuessel, EvenDigit</v>
      </c>
      <c r="I322" s="7">
        <f>IFERROR(__xludf.DUMMYFUNCTION("""COMPUTED_VALUE"""),1.0)</f>
        <v>1</v>
      </c>
      <c r="J322" s="7">
        <f>IFERROR(__xludf.DUMMYFUNCTION("""COMPUTED_VALUE"""),0.0)</f>
        <v>0</v>
      </c>
      <c r="K322" s="7">
        <f>IFERROR(__xludf.DUMMYFUNCTION("""COMPUTED_VALUE"""),0.0)</f>
        <v>0</v>
      </c>
    </row>
    <row r="323" ht="15.75" customHeight="1">
      <c r="A323" s="6" t="str">
        <f>IFERROR(__xludf.DUMMYFUNCTION("""COMPUTED_VALUE"""),"https://thetimes.com.au/news/articles/51019-the-best-ai-automation-agencies-in-australia-in-2026#:~:text=The%20leading%20AI%20automation%20agencies,IT%20team%20to%20run%20it.")</f>
        <v>https://thetimes.com.au/news/articles/51019-the-best-ai-automation-agencies-in-australia-in-2026#:~:text=The%20leading%20AI%20automation%20agencies,IT%20team%20to%20run%20it.</v>
      </c>
      <c r="B323" s="7" t="str">
        <f>IFERROR(__xludf.DUMMYFUNCTION("""COMPUTED_VALUE"""),"The best AI automation agencies in Australia in 2026")</f>
        <v>The best AI automation agencies in Australia in 2026</v>
      </c>
      <c r="C323" s="6" t="str">
        <f>IFERROR(__xludf.DUMMYFUNCTION("""COMPUTED_VALUE"""),"thetimes.com.au")</f>
        <v>thetimes.com.au</v>
      </c>
      <c r="D323" s="7" t="str">
        <f>IFERROR(__xludf.DUMMYFUNCTION("""COMPUTED_VALUE"""),"LISTICLE")</f>
        <v>LISTICLE</v>
      </c>
      <c r="E323" s="7" t="str">
        <f>IFERROR(__xludf.DUMMYFUNCTION("""COMPUTED_VALUE"""),"EDITORIAL")</f>
        <v>EDITORIAL</v>
      </c>
      <c r="F323" s="7" t="str">
        <f>IFERROR(__xludf.DUMMYFUNCTION("""COMPUTED_VALUE"""),"Listicle")</f>
        <v>Listicle</v>
      </c>
      <c r="G323" s="7" t="b">
        <f>IFERROR(__xludf.DUMMYFUNCTION("""COMPUTED_VALUE"""),FALSE)</f>
        <v>0</v>
      </c>
      <c r="H323" s="7" t="str">
        <f>IFERROR(__xludf.DUMMYFUNCTION("""COMPUTED_VALUE"""),"Deloitte")</f>
        <v>Deloitte</v>
      </c>
      <c r="I323" s="7">
        <f>IFERROR(__xludf.DUMMYFUNCTION("""COMPUTED_VALUE"""),1.0)</f>
        <v>1</v>
      </c>
      <c r="J323" s="7">
        <f>IFERROR(__xludf.DUMMYFUNCTION("""COMPUTED_VALUE"""),0.0)</f>
        <v>0</v>
      </c>
      <c r="K323" s="7">
        <f>IFERROR(__xludf.DUMMYFUNCTION("""COMPUTED_VALUE"""),1.0)</f>
        <v>1</v>
      </c>
    </row>
    <row r="324" ht="15.75" customHeight="1">
      <c r="A324" s="6" t="str">
        <f>IFERROR(__xludf.DUMMYFUNCTION("""COMPUTED_VALUE"""),"https://titanblue.com.au/social-media-marketing-companies/")</f>
        <v>https://titanblue.com.au/social-media-marketing-companies/</v>
      </c>
      <c r="B324" s="7" t="str">
        <f>IFERROR(__xludf.DUMMYFUNCTION("""COMPUTED_VALUE"""),"Top 8 companies for social media marketing in Australia")</f>
        <v>Top 8 companies for social media marketing in Australia</v>
      </c>
      <c r="C324" s="6" t="str">
        <f>IFERROR(__xludf.DUMMYFUNCTION("""COMPUTED_VALUE"""),"titanblue.com.au")</f>
        <v>titanblue.com.au</v>
      </c>
      <c r="D324" s="7" t="str">
        <f>IFERROR(__xludf.DUMMYFUNCTION("""COMPUTED_VALUE"""),"LISTICLE")</f>
        <v>LISTICLE</v>
      </c>
      <c r="E324" s="7" t="str">
        <f>IFERROR(__xludf.DUMMYFUNCTION("""COMPUTED_VALUE"""),"CORPORATE")</f>
        <v>CORPORATE</v>
      </c>
      <c r="F324" s="7" t="str">
        <f>IFERROR(__xludf.DUMMYFUNCTION("""COMPUTED_VALUE"""),"Listicle")</f>
        <v>Listicle</v>
      </c>
      <c r="G324" s="7" t="b">
        <f>IFERROR(__xludf.DUMMYFUNCTION("""COMPUTED_VALUE"""),FALSE)</f>
        <v>0</v>
      </c>
      <c r="H324" s="7" t="str">
        <f>IFERROR(__xludf.DUMMYFUNCTION("""COMPUTED_VALUE"""),"Impressive, Megaphone, King Kong")</f>
        <v>Impressive, Megaphone, King Kong</v>
      </c>
      <c r="I324" s="7">
        <f>IFERROR(__xludf.DUMMYFUNCTION("""COMPUTED_VALUE"""),1.0)</f>
        <v>1</v>
      </c>
      <c r="J324" s="7">
        <f>IFERROR(__xludf.DUMMYFUNCTION("""COMPUTED_VALUE"""),0.0)</f>
        <v>0</v>
      </c>
      <c r="K324" s="7">
        <f>IFERROR(__xludf.DUMMYFUNCTION("""COMPUTED_VALUE"""),0.0)</f>
        <v>0</v>
      </c>
    </row>
    <row r="325" ht="15.75" customHeight="1">
      <c r="A325" s="6" t="str">
        <f>IFERROR(__xludf.DUMMYFUNCTION("""COMPUTED_VALUE"""),"https://www.tripledart.com/ai-seo/best-generative-engine-optimization-agencies")</f>
        <v>https://www.tripledart.com/ai-seo/best-generative-engine-optimization-agencies</v>
      </c>
      <c r="B325" s="7" t="str">
        <f>IFERROR(__xludf.DUMMYFUNCTION("""COMPUTED_VALUE"""),"17 Best GEO Agencies in 2026")</f>
        <v>17 Best GEO Agencies in 2026</v>
      </c>
      <c r="C325" s="6" t="str">
        <f>IFERROR(__xludf.DUMMYFUNCTION("""COMPUTED_VALUE"""),"tripledart.com")</f>
        <v>tripledart.com</v>
      </c>
      <c r="D325" s="7" t="str">
        <f>IFERROR(__xludf.DUMMYFUNCTION("""COMPUTED_VALUE"""),"LISTICLE")</f>
        <v>LISTICLE</v>
      </c>
      <c r="E325" s="7" t="str">
        <f>IFERROR(__xludf.DUMMYFUNCTION("""COMPUTED_VALUE"""),"OTHER")</f>
        <v>OTHER</v>
      </c>
      <c r="F325" s="7" t="str">
        <f>IFERROR(__xludf.DUMMYFUNCTION("""COMPUTED_VALUE"""),"Listicle")</f>
        <v>Listicle</v>
      </c>
      <c r="G325" s="7" t="b">
        <f>IFERROR(__xludf.DUMMYFUNCTION("""COMPUTED_VALUE"""),FALSE)</f>
        <v>0</v>
      </c>
      <c r="H325" s="7" t="str">
        <f>IFERROR(__xludf.DUMMYFUNCTION("""COMPUTED_VALUE"""),"First Page")</f>
        <v>First Page</v>
      </c>
      <c r="I325" s="7">
        <f>IFERROR(__xludf.DUMMYFUNCTION("""COMPUTED_VALUE"""),1.0)</f>
        <v>1</v>
      </c>
      <c r="J325" s="7">
        <f>IFERROR(__xludf.DUMMYFUNCTION("""COMPUTED_VALUE"""),0.0)</f>
        <v>0</v>
      </c>
      <c r="K325" s="7">
        <f>IFERROR(__xludf.DUMMYFUNCTION("""COMPUTED_VALUE"""),0.0)</f>
        <v>0</v>
      </c>
    </row>
    <row r="326" ht="15.75" customHeight="1">
      <c r="A326" s="6" t="str">
        <f>IFERROR(__xludf.DUMMYFUNCTION("""COMPUTED_VALUE"""),"https://uprisedigital.com.au/blog/google-ads-agencies-in-brisbane/")</f>
        <v>https://uprisedigital.com.au/blog/google-ads-agencies-in-brisbane/</v>
      </c>
      <c r="B326" s="7" t="str">
        <f>IFERROR(__xludf.DUMMYFUNCTION("""COMPUTED_VALUE"""),"10 Best Google Ads Agencies in Brisbane (2026) - Uprise Digital")</f>
        <v>10 Best Google Ads Agencies in Brisbane (2026) - Uprise Digital</v>
      </c>
      <c r="C326" s="6" t="str">
        <f>IFERROR(__xludf.DUMMYFUNCTION("""COMPUTED_VALUE"""),"uprisedigital.com.au")</f>
        <v>uprisedigital.com.au</v>
      </c>
      <c r="D326" s="7" t="str">
        <f>IFERROR(__xludf.DUMMYFUNCTION("""COMPUTED_VALUE"""),"LISTICLE")</f>
        <v>LISTICLE</v>
      </c>
      <c r="E326" s="7" t="str">
        <f>IFERROR(__xludf.DUMMYFUNCTION("""COMPUTED_VALUE"""),"COMPETITOR")</f>
        <v>COMPETITOR</v>
      </c>
      <c r="F326" s="7" t="str">
        <f>IFERROR(__xludf.DUMMYFUNCTION("""COMPUTED_VALUE"""),"Listicle")</f>
        <v>Listicle</v>
      </c>
      <c r="G326" s="7" t="b">
        <f>IFERROR(__xludf.DUMMYFUNCTION("""COMPUTED_VALUE"""),FALSE)</f>
        <v>0</v>
      </c>
      <c r="H326" s="7" t="str">
        <f>IFERROR(__xludf.DUMMYFUNCTION("""COMPUTED_VALUE"""),"Uprise Digital, Farsiight, Alpha Digital, Gorilla 360, Online Marketing Gurus, Omnicom Media Group")</f>
        <v>Uprise Digital, Farsiight, Alpha Digital, Gorilla 360, Online Marketing Gurus, Omnicom Media Group</v>
      </c>
      <c r="I326" s="7">
        <f>IFERROR(__xludf.DUMMYFUNCTION("""COMPUTED_VALUE"""),1.0)</f>
        <v>1</v>
      </c>
      <c r="J326" s="7">
        <f>IFERROR(__xludf.DUMMYFUNCTION("""COMPUTED_VALUE"""),0.0)</f>
        <v>0</v>
      </c>
      <c r="K326" s="7">
        <f>IFERROR(__xludf.DUMMYFUNCTION("""COMPUTED_VALUE"""),0.0)</f>
        <v>0</v>
      </c>
    </row>
    <row r="327" ht="15.75" customHeight="1">
      <c r="A327" s="6" t="str">
        <f>IFERROR(__xludf.DUMMYFUNCTION("""COMPUTED_VALUE"""),"https://vegavid.com/blog/top-ai-agent-development-companies-in-australia")</f>
        <v>https://vegavid.com/blog/top-ai-agent-development-companies-in-australia</v>
      </c>
      <c r="B327" s="7" t="str">
        <f>IFERROR(__xludf.DUMMYFUNCTION("""COMPUTED_VALUE"""),"Top 10 AI Agent Development Companies in Australia To Hire in 2026 | Vegavid")</f>
        <v>Top 10 AI Agent Development Companies in Australia To Hire in 2026 | Vegavid</v>
      </c>
      <c r="C327" s="6" t="str">
        <f>IFERROR(__xludf.DUMMYFUNCTION("""COMPUTED_VALUE"""),"vegavid.com")</f>
        <v>vegavid.com</v>
      </c>
      <c r="D327" s="7" t="str">
        <f>IFERROR(__xludf.DUMMYFUNCTION("""COMPUTED_VALUE"""),"LISTICLE")</f>
        <v>LISTICLE</v>
      </c>
      <c r="E327" s="7" t="str">
        <f>IFERROR(__xludf.DUMMYFUNCTION("""COMPUTED_VALUE"""),"CORPORATE")</f>
        <v>CORPORATE</v>
      </c>
      <c r="F327" s="7" t="str">
        <f>IFERROR(__xludf.DUMMYFUNCTION("""COMPUTED_VALUE"""),"Listicle")</f>
        <v>Listicle</v>
      </c>
      <c r="G327" s="7" t="b">
        <f>IFERROR(__xludf.DUMMYFUNCTION("""COMPUTED_VALUE"""),FALSE)</f>
        <v>0</v>
      </c>
      <c r="H327" s="7"/>
      <c r="I327" s="7">
        <f>IFERROR(__xludf.DUMMYFUNCTION("""COMPUTED_VALUE"""),1.0)</f>
        <v>1</v>
      </c>
      <c r="J327" s="7">
        <f>IFERROR(__xludf.DUMMYFUNCTION("""COMPUTED_VALUE"""),0.0)</f>
        <v>0</v>
      </c>
      <c r="K327" s="7">
        <f>IFERROR(__xludf.DUMMYFUNCTION("""COMPUTED_VALUE"""),1.0)</f>
        <v>1</v>
      </c>
    </row>
    <row r="328" ht="15.75" customHeight="1">
      <c r="A328" s="6" t="str">
        <f>IFERROR(__xludf.DUMMYFUNCTION("""COMPUTED_VALUE"""),"https://www.warc.com/en/data-benchmarks/rankings-creative-100-overview")</f>
        <v>https://www.warc.com/en/data-benchmarks/rankings-creative-100-overview</v>
      </c>
      <c r="B328" s="7" t="str">
        <f>IFERROR(__xludf.DUMMYFUNCTION("""COMPUTED_VALUE"""),"Creative 100 Overview")</f>
        <v>Creative 100 Overview</v>
      </c>
      <c r="C328" s="6" t="str">
        <f>IFERROR(__xludf.DUMMYFUNCTION("""COMPUTED_VALUE"""),"warc.com")</f>
        <v>warc.com</v>
      </c>
      <c r="D328" s="7" t="str">
        <f>IFERROR(__xludf.DUMMYFUNCTION("""COMPUTED_VALUE"""),"LISTICLE")</f>
        <v>LISTICLE</v>
      </c>
      <c r="E328" s="7" t="str">
        <f>IFERROR(__xludf.DUMMYFUNCTION("""COMPUTED_VALUE"""),"REFERENCE")</f>
        <v>REFERENCE</v>
      </c>
      <c r="F328" s="7" t="str">
        <f>IFERROR(__xludf.DUMMYFUNCTION("""COMPUTED_VALUE"""),"Listicle")</f>
        <v>Listicle</v>
      </c>
      <c r="G328" s="7" t="b">
        <f>IFERROR(__xludf.DUMMYFUNCTION("""COMPUTED_VALUE"""),FALSE)</f>
        <v>0</v>
      </c>
      <c r="H328" s="7" t="str">
        <f>IFERROR(__xludf.DUMMYFUNCTION("""COMPUTED_VALUE"""),"WPP, VML")</f>
        <v>WPP, VML</v>
      </c>
      <c r="I328" s="7">
        <f>IFERROR(__xludf.DUMMYFUNCTION("""COMPUTED_VALUE"""),1.0)</f>
        <v>1</v>
      </c>
      <c r="J328" s="7">
        <f>IFERROR(__xludf.DUMMYFUNCTION("""COMPUTED_VALUE"""),0.0)</f>
        <v>0</v>
      </c>
      <c r="K328" s="7">
        <f>IFERROR(__xludf.DUMMYFUNCTION("""COMPUTED_VALUE"""),2.0)</f>
        <v>2</v>
      </c>
    </row>
    <row r="329" ht="15.75" customHeight="1">
      <c r="A329" s="6" t="str">
        <f>IFERROR(__xludf.DUMMYFUNCTION("""COMPUTED_VALUE"""),"https://www.webtonic.io/blog/best-performance-marketing-agencies-2026")</f>
        <v>https://www.webtonic.io/blog/best-performance-marketing-agencies-2026</v>
      </c>
      <c r="B329" s="7" t="str">
        <f>IFERROR(__xludf.DUMMYFUNCTION("""COMPUTED_VALUE"""),"28 Best Performance Marketing Agencies for 2026")</f>
        <v>28 Best Performance Marketing Agencies for 2026</v>
      </c>
      <c r="C329" s="6" t="str">
        <f>IFERROR(__xludf.DUMMYFUNCTION("""COMPUTED_VALUE"""),"webtonic.io")</f>
        <v>webtonic.io</v>
      </c>
      <c r="D329" s="7" t="str">
        <f>IFERROR(__xludf.DUMMYFUNCTION("""COMPUTED_VALUE"""),"LISTICLE")</f>
        <v>LISTICLE</v>
      </c>
      <c r="E329" s="7" t="str">
        <f>IFERROR(__xludf.DUMMYFUNCTION("""COMPUTED_VALUE"""),"CORPORATE")</f>
        <v>CORPORATE</v>
      </c>
      <c r="F329" s="7" t="str">
        <f>IFERROR(__xludf.DUMMYFUNCTION("""COMPUTED_VALUE"""),"Listicle")</f>
        <v>Listicle</v>
      </c>
      <c r="G329" s="7" t="b">
        <f>IFERROR(__xludf.DUMMYFUNCTION("""COMPUTED_VALUE"""),FALSE)</f>
        <v>0</v>
      </c>
      <c r="H329" s="7" t="str">
        <f>IFERROR(__xludf.DUMMYFUNCTION("""COMPUTED_VALUE"""),"Tinuiti, Brainlabs, Croud, Power Digital")</f>
        <v>Tinuiti, Brainlabs, Croud, Power Digital</v>
      </c>
      <c r="I329" s="7">
        <f>IFERROR(__xludf.DUMMYFUNCTION("""COMPUTED_VALUE"""),1.0)</f>
        <v>1</v>
      </c>
      <c r="J329" s="7">
        <f>IFERROR(__xludf.DUMMYFUNCTION("""COMPUTED_VALUE"""),0.0)</f>
        <v>0</v>
      </c>
      <c r="K329" s="7">
        <f>IFERROR(__xludf.DUMMYFUNCTION("""COMPUTED_VALUE"""),0.0)</f>
        <v>0</v>
      </c>
    </row>
    <row r="330" ht="15.75" customHeight="1">
      <c r="A330" s="6" t="str">
        <f>IFERROR(__xludf.DUMMYFUNCTION("""COMPUTED_VALUE"""),"https://www.webtonic.io/blog/top-paid-media-agencies")</f>
        <v>https://www.webtonic.io/blog/top-paid-media-agencies</v>
      </c>
      <c r="B330" s="7" t="str">
        <f>IFERROR(__xludf.DUMMYFUNCTION("""COMPUTED_VALUE"""),"The 51 Top Paid Media Agencies as of 2026")</f>
        <v>The 51 Top Paid Media Agencies as of 2026</v>
      </c>
      <c r="C330" s="6" t="str">
        <f>IFERROR(__xludf.DUMMYFUNCTION("""COMPUTED_VALUE"""),"webtonic.io")</f>
        <v>webtonic.io</v>
      </c>
      <c r="D330" s="7" t="str">
        <f>IFERROR(__xludf.DUMMYFUNCTION("""COMPUTED_VALUE"""),"LISTICLE")</f>
        <v>LISTICLE</v>
      </c>
      <c r="E330" s="7" t="str">
        <f>IFERROR(__xludf.DUMMYFUNCTION("""COMPUTED_VALUE"""),"CORPORATE")</f>
        <v>CORPORATE</v>
      </c>
      <c r="F330" s="7" t="str">
        <f>IFERROR(__xludf.DUMMYFUNCTION("""COMPUTED_VALUE"""),"Listicle")</f>
        <v>Listicle</v>
      </c>
      <c r="G330" s="7" t="b">
        <f>IFERROR(__xludf.DUMMYFUNCTION("""COMPUTED_VALUE"""),TRUE)</f>
        <v>1</v>
      </c>
      <c r="H330" s="7" t="str">
        <f>IFERROR(__xludf.DUMMYFUNCTION("""COMPUTED_VALUE"""),"Tinuiti, Dentsu, Brainlabs, GroupM, Power Digital, PMG, Incubeta, Reload Media")</f>
        <v>Tinuiti, Dentsu, Brainlabs, GroupM, Power Digital, PMG, Incubeta, Reload Media</v>
      </c>
      <c r="I330" s="7">
        <f>IFERROR(__xludf.DUMMYFUNCTION("""COMPUTED_VALUE"""),1.0)</f>
        <v>1</v>
      </c>
      <c r="J330" s="7">
        <f>IFERROR(__xludf.DUMMYFUNCTION("""COMPUTED_VALUE"""),0.0)</f>
        <v>0</v>
      </c>
      <c r="K330" s="7">
        <f>IFERROR(__xludf.DUMMYFUNCTION("""COMPUTED_VALUE"""),0.0)</f>
        <v>0</v>
      </c>
    </row>
    <row r="331" ht="15.75" customHeight="1">
      <c r="A331" s="6" t="str">
        <f>IFERROR(__xludf.DUMMYFUNCTION("""COMPUTED_VALUE"""),"https://wmegroup.com.au/blog/best-seo-agencies-australia/")</f>
        <v>https://wmegroup.com.au/blog/best-seo-agencies-australia/</v>
      </c>
      <c r="B331" s="7" t="str">
        <f>IFERROR(__xludf.DUMMYFUNCTION("""COMPUTED_VALUE"""),"The Best SEO Agencies in Australia (2026) - WME")</f>
        <v>The Best SEO Agencies in Australia (2026) - WME</v>
      </c>
      <c r="C331" s="6" t="str">
        <f>IFERROR(__xludf.DUMMYFUNCTION("""COMPUTED_VALUE"""),"wmegroup.com.au")</f>
        <v>wmegroup.com.au</v>
      </c>
      <c r="D331" s="7" t="str">
        <f>IFERROR(__xludf.DUMMYFUNCTION("""COMPUTED_VALUE"""),"LISTICLE")</f>
        <v>LISTICLE</v>
      </c>
      <c r="E331" s="7" t="str">
        <f>IFERROR(__xludf.DUMMYFUNCTION("""COMPUTED_VALUE"""),"CORPORATE")</f>
        <v>CORPORATE</v>
      </c>
      <c r="F331" s="7" t="str">
        <f>IFERROR(__xludf.DUMMYFUNCTION("""COMPUTED_VALUE"""),"Listicle")</f>
        <v>Listicle</v>
      </c>
      <c r="G331" s="7" t="b">
        <f>IFERROR(__xludf.DUMMYFUNCTION("""COMPUTED_VALUE"""),FALSE)</f>
        <v>0</v>
      </c>
      <c r="H331" s="7" t="str">
        <f>IFERROR(__xludf.DUMMYFUNCTION("""COMPUTED_VALUE"""),"StudioHawk, Deloitte, Online Marketing Gurus, Omnicom Media Group, Prosperity Media, Earned Media, Safari Digital, Digital Nomads HQ, SIXGUN, Supple Digital, King Kong, Huge, First Page, First Page Australia")</f>
        <v>StudioHawk, Deloitte, Online Marketing Gurus, Omnicom Media Group, Prosperity Media, Earned Media, Safari Digital, Digital Nomads HQ, SIXGUN, Supple Digital, King Kong, Huge, First Page, First Page Australia</v>
      </c>
      <c r="I331" s="7">
        <f>IFERROR(__xludf.DUMMYFUNCTION("""COMPUTED_VALUE"""),1.0)</f>
        <v>1</v>
      </c>
      <c r="J331" s="7">
        <f>IFERROR(__xludf.DUMMYFUNCTION("""COMPUTED_VALUE"""),0.0)</f>
        <v>0</v>
      </c>
      <c r="K331" s="7">
        <f>IFERROR(__xludf.DUMMYFUNCTION("""COMPUTED_VALUE"""),1.0)</f>
        <v>1</v>
      </c>
    </row>
    <row r="332" ht="15.75" customHeight="1">
      <c r="A332" s="6" t="str">
        <f>IFERROR(__xludf.DUMMYFUNCTION("""COMPUTED_VALUE"""),"https://www.youtube.com/watch?v=IxHlhnkaTC4&amp;t=408")</f>
        <v>https://www.youtube.com/watch?v=IxHlhnkaTC4&amp;t=408</v>
      </c>
      <c r="B332" s="7" t="str">
        <f>IFERROR(__xludf.DUMMYFUNCTION("""COMPUTED_VALUE"""),"11 Best AI Agents for Marketing for 2026 (Ranked by Best Use Cases)")</f>
        <v>11 Best AI Agents for Marketing for 2026 (Ranked by Best Use Cases)</v>
      </c>
      <c r="C332" s="6" t="str">
        <f>IFERROR(__xludf.DUMMYFUNCTION("""COMPUTED_VALUE"""),"youtube.com")</f>
        <v>youtube.com</v>
      </c>
      <c r="D332" s="7" t="str">
        <f>IFERROR(__xludf.DUMMYFUNCTION("""COMPUTED_VALUE"""),"LISTICLE")</f>
        <v>LISTICLE</v>
      </c>
      <c r="E332" s="7" t="str">
        <f>IFERROR(__xludf.DUMMYFUNCTION("""COMPUTED_VALUE"""),"UGC")</f>
        <v>UGC</v>
      </c>
      <c r="F332" s="7" t="str">
        <f>IFERROR(__xludf.DUMMYFUNCTION("""COMPUTED_VALUE"""),"Listicle")</f>
        <v>Listicle</v>
      </c>
      <c r="G332" s="7" t="b">
        <f>IFERROR(__xludf.DUMMYFUNCTION("""COMPUTED_VALUE"""),FALSE)</f>
        <v>0</v>
      </c>
      <c r="H332" s="7" t="str">
        <f>IFERROR(__xludf.DUMMYFUNCTION("""COMPUTED_VALUE"""),"Momentum, Huge")</f>
        <v>Momentum, Huge</v>
      </c>
      <c r="I332" s="7">
        <f>IFERROR(__xludf.DUMMYFUNCTION("""COMPUTED_VALUE"""),1.0)</f>
        <v>1</v>
      </c>
      <c r="J332" s="7">
        <f>IFERROR(__xludf.DUMMYFUNCTION("""COMPUTED_VALUE"""),0.0)</f>
        <v>0</v>
      </c>
      <c r="K332" s="7">
        <f>IFERROR(__xludf.DUMMYFUNCTION("""COMPUTED_VALUE"""),1.0)</f>
        <v>1</v>
      </c>
    </row>
    <row r="333" ht="15.75" customHeight="1">
      <c r="A333" s="6" t="str">
        <f>IFERROR(__xludf.DUMMYFUNCTION("""COMPUTED_VALUE"""),"https://www.youtube.com/watch?v=OJN95taKMwo")</f>
        <v>https://www.youtube.com/watch?v=OJN95taKMwo</v>
      </c>
      <c r="B333" s="7" t="str">
        <f>IFERROR(__xludf.DUMMYFUNCTION("""COMPUTED_VALUE"""),"Top 7 AI-Powered Digital Marketing Agencies in Australia | Start an AI Marketing Agency")</f>
        <v>Top 7 AI-Powered Digital Marketing Agencies in Australia | Start an AI Marketing Agency</v>
      </c>
      <c r="C333" s="6" t="str">
        <f>IFERROR(__xludf.DUMMYFUNCTION("""COMPUTED_VALUE"""),"youtube.com")</f>
        <v>youtube.com</v>
      </c>
      <c r="D333" s="7" t="str">
        <f>IFERROR(__xludf.DUMMYFUNCTION("""COMPUTED_VALUE"""),"LISTICLE")</f>
        <v>LISTICLE</v>
      </c>
      <c r="E333" s="7" t="str">
        <f>IFERROR(__xludf.DUMMYFUNCTION("""COMPUTED_VALUE"""),"UGC")</f>
        <v>UGC</v>
      </c>
      <c r="F333" s="7" t="str">
        <f>IFERROR(__xludf.DUMMYFUNCTION("""COMPUTED_VALUE"""),"Listicle")</f>
        <v>Listicle</v>
      </c>
      <c r="G333" s="7" t="b">
        <f>IFERROR(__xludf.DUMMYFUNCTION("""COMPUTED_VALUE"""),FALSE)</f>
        <v>0</v>
      </c>
      <c r="H333" s="7" t="str">
        <f>IFERROR(__xludf.DUMMYFUNCTION("""COMPUTED_VALUE"""),"Alley Group, Bench Media")</f>
        <v>Alley Group, Bench Media</v>
      </c>
      <c r="I333" s="7">
        <f>IFERROR(__xludf.DUMMYFUNCTION("""COMPUTED_VALUE"""),1.0)</f>
        <v>1</v>
      </c>
      <c r="J333" s="7">
        <f>IFERROR(__xludf.DUMMYFUNCTION("""COMPUTED_VALUE"""),0.0)</f>
        <v>0</v>
      </c>
      <c r="K333" s="7">
        <f>IFERROR(__xludf.DUMMYFUNCTION("""COMPUTED_VALUE"""),0.0)</f>
        <v>0</v>
      </c>
    </row>
    <row r="334" ht="15.75" customHeight="1">
      <c r="A334" s="6" t="str">
        <f>IFERROR(__xludf.DUMMYFUNCTION("""COMPUTED_VALUE"""),"https://www.youtube.com/watch?v=fdPFLXFJlwo&amp;t=30")</f>
        <v>https://www.youtube.com/watch?v=fdPFLXFJlwo&amp;t=30</v>
      </c>
      <c r="B334" s="7" t="str">
        <f>IFERROR(__xludf.DUMMYFUNCTION("""COMPUTED_VALUE"""),"6 Best Revenue Attribution Agencies for B2B SaaS in 2026")</f>
        <v>6 Best Revenue Attribution Agencies for B2B SaaS in 2026</v>
      </c>
      <c r="C334" s="6" t="str">
        <f>IFERROR(__xludf.DUMMYFUNCTION("""COMPUTED_VALUE"""),"youtube.com")</f>
        <v>youtube.com</v>
      </c>
      <c r="D334" s="7" t="str">
        <f>IFERROR(__xludf.DUMMYFUNCTION("""COMPUTED_VALUE"""),"LISTICLE")</f>
        <v>LISTICLE</v>
      </c>
      <c r="E334" s="7" t="str">
        <f>IFERROR(__xludf.DUMMYFUNCTION("""COMPUTED_VALUE"""),"UGC")</f>
        <v>UGC</v>
      </c>
      <c r="F334" s="7" t="str">
        <f>IFERROR(__xludf.DUMMYFUNCTION("""COMPUTED_VALUE"""),"Listicle")</f>
        <v>Listicle</v>
      </c>
      <c r="G334" s="7" t="b">
        <f>IFERROR(__xludf.DUMMYFUNCTION("""COMPUTED_VALUE"""),FALSE)</f>
        <v>0</v>
      </c>
      <c r="H334" s="7"/>
      <c r="I334" s="7">
        <f>IFERROR(__xludf.DUMMYFUNCTION("""COMPUTED_VALUE"""),1.0)</f>
        <v>1</v>
      </c>
      <c r="J334" s="7">
        <f>IFERROR(__xludf.DUMMYFUNCTION("""COMPUTED_VALUE"""),0.0)</f>
        <v>0</v>
      </c>
      <c r="K334" s="7">
        <f>IFERROR(__xludf.DUMMYFUNCTION("""COMPUTED_VALUE"""),2.0)</f>
        <v>2</v>
      </c>
    </row>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location=":~:text=This%20sits%20alongside%20a%20mature%20technical%20SEO,of%20the%20discipline.%20%2D%20Jaywing.%20Best%20for."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location=":~:text=Their%20team%20takes%20an%20evidence%2Dbased%20approach%2C%20using,%26%20PPC%2C%20CRO%2C%20digital%20strategy%2C%20content%20optimisation."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location=":~:text=Luminary%20is%20one%20of%20the%20most%20established,where%20UX%2C%20accessibility%2C%20and%20governance%20are%20critical." ref="A34"/>
    <hyperlink r:id="rId65" ref="A35"/>
    <hyperlink r:id="rId66" ref="C35"/>
    <hyperlink r:id="rId67" ref="A36"/>
    <hyperlink r:id="rId68" ref="C36"/>
    <hyperlink r:id="rId69" ref="A37"/>
    <hyperlink r:id="rId70" ref="C37"/>
    <hyperlink r:id="rId71" ref="A38"/>
    <hyperlink r:id="rId72" ref="C38"/>
    <hyperlink r:id="rId73" ref="A39"/>
    <hyperlink r:id="rId74" ref="C39"/>
    <hyperlink r:id="rId75" ref="A40"/>
    <hyperlink r:id="rId76" ref="C40"/>
    <hyperlink r:id="rId77" location=":~:text=Quick%20answer.%20Australia's%20best%20AI%20consulting%20firm,for%20secure%20Microsoft%20365%20and%20Copilot%20adoption." ref="A41"/>
    <hyperlink r:id="rId78" ref="C41"/>
    <hyperlink r:id="rId79" ref="A42"/>
    <hyperlink r:id="rId80" ref="C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A68"/>
    <hyperlink r:id="rId131" ref="C68"/>
    <hyperlink r:id="rId132" ref="A69"/>
    <hyperlink r:id="rId133" ref="C69"/>
    <hyperlink r:id="rId134" ref="A70"/>
    <hyperlink r:id="rId135" ref="C70"/>
    <hyperlink r:id="rId136" ref="A71"/>
    <hyperlink r:id="rId137" ref="C71"/>
    <hyperlink r:id="rId138" ref="A72"/>
    <hyperlink r:id="rId139" ref="C72"/>
    <hyperlink r:id="rId140" ref="A73"/>
    <hyperlink r:id="rId141" ref="C73"/>
    <hyperlink r:id="rId142" ref="A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ref="A91"/>
    <hyperlink r:id="rId176" ref="C91"/>
    <hyperlink r:id="rId177" ref="A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C99"/>
    <hyperlink r:id="rId192" ref="A100"/>
    <hyperlink r:id="rId193" ref="C100"/>
    <hyperlink r:id="rId194" ref="A101"/>
    <hyperlink r:id="rId195" ref="C101"/>
    <hyperlink r:id="rId196" ref="A102"/>
    <hyperlink r:id="rId197" ref="C102"/>
    <hyperlink r:id="rId198" ref="A103"/>
    <hyperlink r:id="rId199" location=":~:text=Soup%20is%20a%20strong%20fit%20for%20businesses,connecting%20those%20channels%20across%20the%20customer%20journey." ref="A104"/>
    <hyperlink r:id="rId200" ref="C104"/>
    <hyperlink r:id="rId201" ref="A105"/>
    <hyperlink r:id="rId202" ref="C105"/>
    <hyperlink r:id="rId203" ref="A106"/>
    <hyperlink r:id="rId204" ref="C106"/>
    <hyperlink r:id="rId205" ref="A107"/>
    <hyperlink r:id="rId206" ref="C107"/>
    <hyperlink r:id="rId207" ref="A108"/>
    <hyperlink r:id="rId208" ref="C108"/>
    <hyperlink r:id="rId209" ref="A109"/>
    <hyperlink r:id="rId210" ref="C109"/>
    <hyperlink r:id="rId211" ref="A110"/>
    <hyperlink r:id="rId212" ref="C110"/>
    <hyperlink r:id="rId213" ref="A111"/>
    <hyperlink r:id="rId214" ref="C111"/>
    <hyperlink r:id="rId215" ref="A112"/>
    <hyperlink r:id="rId216" ref="C112"/>
    <hyperlink r:id="rId217" ref="A113"/>
    <hyperlink r:id="rId218" ref="C113"/>
    <hyperlink r:id="rId219" ref="A114"/>
    <hyperlink r:id="rId220" ref="C114"/>
    <hyperlink r:id="rId221" ref="A115"/>
    <hyperlink r:id="rId222" ref="C115"/>
    <hyperlink r:id="rId223" ref="A116"/>
    <hyperlink r:id="rId224" ref="C116"/>
    <hyperlink r:id="rId225" ref="A117"/>
    <hyperlink r:id="rId226" ref="C117"/>
    <hyperlink r:id="rId227" ref="A118"/>
    <hyperlink r:id="rId228" ref="C118"/>
    <hyperlink r:id="rId229" ref="A119"/>
    <hyperlink r:id="rId230" ref="C119"/>
    <hyperlink r:id="rId231" ref="A120"/>
    <hyperlink r:id="rId232" ref="C120"/>
    <hyperlink r:id="rId233" ref="A121"/>
    <hyperlink r:id="rId234" ref="C121"/>
    <hyperlink r:id="rId235" ref="A122"/>
    <hyperlink r:id="rId236" ref="C122"/>
    <hyperlink r:id="rId237" ref="A123"/>
    <hyperlink r:id="rId238" ref="C123"/>
    <hyperlink r:id="rId239" ref="A124"/>
    <hyperlink r:id="rId240" ref="C124"/>
    <hyperlink r:id="rId241" ref="A125"/>
    <hyperlink r:id="rId242" ref="C125"/>
    <hyperlink r:id="rId243" ref="A126"/>
    <hyperlink r:id="rId244" ref="C126"/>
    <hyperlink r:id="rId245" ref="A127"/>
    <hyperlink r:id="rId246" ref="C127"/>
    <hyperlink r:id="rId247" ref="A128"/>
    <hyperlink r:id="rId248" ref="C128"/>
    <hyperlink r:id="rId249" ref="A129"/>
    <hyperlink r:id="rId250" ref="C129"/>
    <hyperlink r:id="rId251" ref="A130"/>
    <hyperlink r:id="rId252" ref="C130"/>
    <hyperlink r:id="rId253" ref="A131"/>
    <hyperlink r:id="rId254" ref="C131"/>
    <hyperlink r:id="rId255" ref="A132"/>
    <hyperlink r:id="rId256" ref="C132"/>
    <hyperlink r:id="rId257" ref="A133"/>
    <hyperlink r:id="rId258" ref="C133"/>
    <hyperlink r:id="rId259" ref="A134"/>
    <hyperlink r:id="rId260" ref="C134"/>
    <hyperlink r:id="rId261" ref="A135"/>
    <hyperlink r:id="rId262" ref="C135"/>
    <hyperlink r:id="rId263" ref="A136"/>
    <hyperlink r:id="rId264" ref="C136"/>
    <hyperlink r:id="rId265" ref="A137"/>
    <hyperlink r:id="rId266" ref="C137"/>
    <hyperlink r:id="rId267" ref="A138"/>
    <hyperlink r:id="rId268" ref="C138"/>
    <hyperlink r:id="rId269" ref="A139"/>
    <hyperlink r:id="rId270" ref="C139"/>
    <hyperlink r:id="rId271" ref="A140"/>
    <hyperlink r:id="rId272" ref="C140"/>
    <hyperlink r:id="rId273" ref="A141"/>
    <hyperlink r:id="rId274" ref="C141"/>
    <hyperlink r:id="rId275" ref="A142"/>
    <hyperlink r:id="rId276" ref="C142"/>
    <hyperlink r:id="rId277" ref="A143"/>
    <hyperlink r:id="rId278" ref="A144"/>
    <hyperlink r:id="rId279" ref="C144"/>
    <hyperlink r:id="rId280" ref="A145"/>
    <hyperlink r:id="rId281" ref="C145"/>
    <hyperlink r:id="rId282" ref="A146"/>
    <hyperlink r:id="rId283" ref="C146"/>
    <hyperlink r:id="rId284" ref="A147"/>
    <hyperlink r:id="rId285" ref="A148"/>
    <hyperlink r:id="rId286" ref="A149"/>
    <hyperlink r:id="rId287" ref="C149"/>
    <hyperlink r:id="rId288" ref="A150"/>
    <hyperlink r:id="rId289" ref="A151"/>
    <hyperlink r:id="rId290" ref="C151"/>
    <hyperlink r:id="rId291" location=":~:text=Recognisable%20clients%3A%20PepsiCo%2C%20St.%20George%20Bank%2C%20IAG%2C,at%20the%202018%20SEMrush%20Search%20Marketing%20Awards." ref="A152"/>
    <hyperlink r:id="rId292" ref="C152"/>
    <hyperlink r:id="rId293" location=":~:text=FutureBrand%20takes%20a%20highly%20strategic,Key%20strengths%3A" ref="A153"/>
    <hyperlink r:id="rId294" ref="A154"/>
    <hyperlink r:id="rId295" ref="C154"/>
    <hyperlink r:id="rId296" ref="A155"/>
    <hyperlink r:id="rId297" ref="C155"/>
    <hyperlink r:id="rId298" ref="A156"/>
    <hyperlink r:id="rId299" ref="C156"/>
    <hyperlink r:id="rId300" ref="A157"/>
    <hyperlink r:id="rId301" ref="C157"/>
    <hyperlink r:id="rId302" ref="A158"/>
    <hyperlink r:id="rId303" ref="C158"/>
    <hyperlink r:id="rId304" ref="A159"/>
    <hyperlink r:id="rId305" ref="C159"/>
    <hyperlink r:id="rId306" ref="A160"/>
    <hyperlink r:id="rId307" ref="C160"/>
    <hyperlink r:id="rId308" ref="A161"/>
    <hyperlink r:id="rId309" ref="C161"/>
    <hyperlink r:id="rId310" ref="A162"/>
    <hyperlink r:id="rId311" ref="C162"/>
    <hyperlink r:id="rId312" ref="A163"/>
    <hyperlink r:id="rId313" ref="C163"/>
    <hyperlink r:id="rId314" ref="A164"/>
    <hyperlink r:id="rId315" ref="C164"/>
    <hyperlink r:id="rId316" ref="A165"/>
    <hyperlink r:id="rId317" ref="C165"/>
    <hyperlink r:id="rId318" ref="A166"/>
    <hyperlink r:id="rId319" ref="C166"/>
    <hyperlink r:id="rId320" ref="A167"/>
    <hyperlink r:id="rId321" ref="C167"/>
    <hyperlink r:id="rId322" ref="A168"/>
    <hyperlink r:id="rId323" ref="C168"/>
    <hyperlink r:id="rId324" ref="A169"/>
    <hyperlink r:id="rId325" ref="C169"/>
    <hyperlink r:id="rId326" ref="A170"/>
    <hyperlink r:id="rId327" ref="C170"/>
    <hyperlink r:id="rId328" ref="A171"/>
    <hyperlink r:id="rId329" ref="C171"/>
    <hyperlink r:id="rId330" ref="A172"/>
    <hyperlink r:id="rId331" ref="C172"/>
    <hyperlink r:id="rId332" ref="A173"/>
    <hyperlink r:id="rId333" ref="C173"/>
    <hyperlink r:id="rId334" ref="A174"/>
    <hyperlink r:id="rId335" ref="C174"/>
    <hyperlink r:id="rId336" ref="A175"/>
    <hyperlink r:id="rId337" ref="C175"/>
    <hyperlink r:id="rId338" ref="A176"/>
    <hyperlink r:id="rId339" ref="C176"/>
    <hyperlink r:id="rId340" ref="A177"/>
    <hyperlink r:id="rId341" ref="C177"/>
    <hyperlink r:id="rId342" ref="A178"/>
    <hyperlink r:id="rId343" ref="C178"/>
    <hyperlink r:id="rId344" ref="A179"/>
    <hyperlink r:id="rId345" ref="C179"/>
    <hyperlink r:id="rId346" ref="A180"/>
    <hyperlink r:id="rId347" ref="C180"/>
    <hyperlink r:id="rId348" ref="A181"/>
    <hyperlink r:id="rId349" ref="C181"/>
    <hyperlink r:id="rId350" ref="A182"/>
    <hyperlink r:id="rId351" ref="C182"/>
    <hyperlink r:id="rId352" ref="A183"/>
    <hyperlink r:id="rId353" ref="C183"/>
    <hyperlink r:id="rId354" ref="A184"/>
    <hyperlink r:id="rId355" ref="C184"/>
    <hyperlink r:id="rId356" ref="A185"/>
    <hyperlink r:id="rId357" ref="C185"/>
    <hyperlink r:id="rId358" ref="A186"/>
    <hyperlink r:id="rId359" ref="C186"/>
    <hyperlink r:id="rId360" ref="A187"/>
    <hyperlink r:id="rId361" ref="C187"/>
    <hyperlink r:id="rId362" ref="A188"/>
    <hyperlink r:id="rId363" ref="C188"/>
    <hyperlink r:id="rId364" ref="A189"/>
    <hyperlink r:id="rId365" ref="A190"/>
    <hyperlink r:id="rId366" ref="C190"/>
    <hyperlink r:id="rId367" ref="A191"/>
    <hyperlink r:id="rId368" ref="C191"/>
    <hyperlink r:id="rId369" ref="A192"/>
    <hyperlink r:id="rId370" ref="C192"/>
    <hyperlink r:id="rId371" ref="A193"/>
    <hyperlink r:id="rId372" ref="C193"/>
    <hyperlink r:id="rId373" ref="A194"/>
    <hyperlink r:id="rId374" ref="C194"/>
    <hyperlink r:id="rId375" ref="A195"/>
    <hyperlink r:id="rId376" ref="C195"/>
    <hyperlink r:id="rId377" ref="A196"/>
    <hyperlink r:id="rId378" ref="C196"/>
    <hyperlink r:id="rId379" ref="A197"/>
    <hyperlink r:id="rId380" ref="C197"/>
    <hyperlink r:id="rId381" location=":~:text=10.%20Bastion%20Insights%20%E2%80%93%20Cremorne.%20They%20combine,FMCG%2C%20this%20niche%20firm%20provides%20unmatched%20expertise." ref="A198"/>
    <hyperlink r:id="rId382" ref="C198"/>
    <hyperlink r:id="rId383" ref="A199"/>
    <hyperlink r:id="rId384" ref="C199"/>
    <hyperlink r:id="rId385" ref="A200"/>
    <hyperlink r:id="rId386" ref="C200"/>
    <hyperlink r:id="rId387" ref="A201"/>
    <hyperlink r:id="rId388" ref="C201"/>
    <hyperlink r:id="rId389" ref="A202"/>
    <hyperlink r:id="rId390" ref="C202"/>
    <hyperlink r:id="rId391" ref="A203"/>
    <hyperlink r:id="rId392" ref="C203"/>
    <hyperlink r:id="rId393" location=":~:text=Megantic.%20One%20of%20the%20few%20e%2Dcommerce%2Doriented%20SEO,E%2Dcommerce%20SEO%20is%20a%20very%20specific%20field." ref="A204"/>
    <hyperlink r:id="rId394" ref="C204"/>
    <hyperlink r:id="rId395" ref="A205"/>
    <hyperlink r:id="rId396" ref="C205"/>
    <hyperlink r:id="rId397" ref="A206"/>
    <hyperlink r:id="rId398" ref="C206"/>
    <hyperlink r:id="rId399" ref="A207"/>
    <hyperlink r:id="rId400" ref="C207"/>
    <hyperlink r:id="rId401" ref="A208"/>
    <hyperlink r:id="rId402" ref="C208"/>
    <hyperlink r:id="rId403" ref="A209"/>
    <hyperlink r:id="rId404" ref="C209"/>
    <hyperlink r:id="rId405" ref="A210"/>
    <hyperlink r:id="rId406" ref="C210"/>
    <hyperlink r:id="rId407" ref="A211"/>
    <hyperlink r:id="rId408" ref="C211"/>
    <hyperlink r:id="rId409" ref="A212"/>
    <hyperlink r:id="rId410" ref="C212"/>
    <hyperlink r:id="rId411" ref="A213"/>
    <hyperlink r:id="rId412" ref="C213"/>
    <hyperlink r:id="rId413" ref="A214"/>
    <hyperlink r:id="rId414" ref="C214"/>
    <hyperlink r:id="rId415" ref="A215"/>
    <hyperlink r:id="rId416" ref="C215"/>
    <hyperlink r:id="rId417" ref="A216"/>
    <hyperlink r:id="rId418" ref="C216"/>
    <hyperlink r:id="rId419" ref="A217"/>
    <hyperlink r:id="rId420" ref="C217"/>
    <hyperlink r:id="rId421" ref="A218"/>
    <hyperlink r:id="rId422" ref="C218"/>
    <hyperlink r:id="rId423" ref="A219"/>
    <hyperlink r:id="rId424" ref="C219"/>
    <hyperlink r:id="rId425" ref="A220"/>
    <hyperlink r:id="rId426" ref="C220"/>
    <hyperlink r:id="rId427" ref="A221"/>
    <hyperlink r:id="rId428" ref="C221"/>
    <hyperlink r:id="rId429" ref="A222"/>
    <hyperlink r:id="rId430" ref="C222"/>
    <hyperlink r:id="rId431" ref="H222"/>
    <hyperlink r:id="rId432" ref="A223"/>
    <hyperlink r:id="rId433" ref="C223"/>
    <hyperlink r:id="rId434" ref="A224"/>
    <hyperlink r:id="rId435" ref="C224"/>
    <hyperlink r:id="rId436" ref="A225"/>
    <hyperlink r:id="rId437" ref="C225"/>
    <hyperlink r:id="rId438" ref="A226"/>
    <hyperlink r:id="rId439" ref="C226"/>
    <hyperlink r:id="rId440" ref="A227"/>
    <hyperlink r:id="rId441" ref="C227"/>
    <hyperlink r:id="rId442" ref="A228"/>
    <hyperlink r:id="rId443" ref="C228"/>
    <hyperlink r:id="rId444" ref="A229"/>
    <hyperlink r:id="rId445" ref="C229"/>
    <hyperlink r:id="rId446" ref="A230"/>
    <hyperlink r:id="rId447" ref="C230"/>
    <hyperlink r:id="rId448" ref="A231"/>
    <hyperlink r:id="rId449" ref="C231"/>
    <hyperlink r:id="rId450" ref="A232"/>
    <hyperlink r:id="rId451" ref="C232"/>
    <hyperlink r:id="rId452" ref="A233"/>
    <hyperlink r:id="rId453" ref="C233"/>
    <hyperlink r:id="rId454" ref="A234"/>
    <hyperlink r:id="rId455" ref="C234"/>
    <hyperlink r:id="rId456" ref="A235"/>
    <hyperlink r:id="rId457" ref="C235"/>
    <hyperlink r:id="rId458" ref="A236"/>
    <hyperlink r:id="rId459" ref="C236"/>
    <hyperlink r:id="rId460" ref="A237"/>
    <hyperlink r:id="rId461" ref="C237"/>
    <hyperlink r:id="rId462" ref="A238"/>
    <hyperlink r:id="rId463" ref="C238"/>
    <hyperlink r:id="rId464" ref="A239"/>
    <hyperlink r:id="rId465" ref="C239"/>
    <hyperlink r:id="rId466" ref="A240"/>
    <hyperlink r:id="rId467" ref="C240"/>
    <hyperlink r:id="rId468" ref="A241"/>
    <hyperlink r:id="rId469" ref="C241"/>
    <hyperlink r:id="rId470" ref="A242"/>
    <hyperlink r:id="rId471" ref="C242"/>
    <hyperlink r:id="rId472" ref="A243"/>
    <hyperlink r:id="rId473" ref="C243"/>
    <hyperlink r:id="rId474" ref="A244"/>
    <hyperlink r:id="rId475" ref="C244"/>
    <hyperlink r:id="rId476" ref="A245"/>
    <hyperlink r:id="rId477" ref="A246"/>
    <hyperlink r:id="rId478" ref="C246"/>
    <hyperlink r:id="rId479" ref="A247"/>
    <hyperlink r:id="rId480" ref="C247"/>
    <hyperlink r:id="rId481" ref="A248"/>
    <hyperlink r:id="rId482" ref="C248"/>
    <hyperlink r:id="rId483" ref="A249"/>
    <hyperlink r:id="rId484" ref="C249"/>
    <hyperlink r:id="rId485" ref="A250"/>
    <hyperlink r:id="rId486" ref="C250"/>
    <hyperlink r:id="rId487" ref="A251"/>
    <hyperlink r:id="rId488" ref="C251"/>
    <hyperlink r:id="rId489" ref="A252"/>
    <hyperlink r:id="rId490" ref="C252"/>
    <hyperlink r:id="rId491" ref="A253"/>
    <hyperlink r:id="rId492" ref="C253"/>
    <hyperlink r:id="rId493" ref="A254"/>
    <hyperlink r:id="rId494" ref="C254"/>
    <hyperlink r:id="rId495" ref="A255"/>
    <hyperlink r:id="rId496" ref="C255"/>
    <hyperlink r:id="rId497" ref="A256"/>
    <hyperlink r:id="rId498" ref="C256"/>
    <hyperlink r:id="rId499" ref="A257"/>
    <hyperlink r:id="rId500" ref="C257"/>
    <hyperlink r:id="rId501" ref="A258"/>
    <hyperlink r:id="rId502" ref="C258"/>
    <hyperlink r:id="rId503" ref="A259"/>
    <hyperlink r:id="rId504" ref="C259"/>
    <hyperlink r:id="rId505" ref="A260"/>
    <hyperlink r:id="rId506" ref="C260"/>
    <hyperlink r:id="rId507" ref="A261"/>
    <hyperlink r:id="rId508" ref="C261"/>
    <hyperlink r:id="rId509" ref="A262"/>
    <hyperlink r:id="rId510" ref="C262"/>
    <hyperlink r:id="rId511" ref="A263"/>
    <hyperlink r:id="rId512" ref="C263"/>
    <hyperlink r:id="rId513" ref="A264"/>
    <hyperlink r:id="rId514" ref="C264"/>
    <hyperlink r:id="rId515" ref="A265"/>
    <hyperlink r:id="rId516" ref="C265"/>
    <hyperlink r:id="rId517" ref="A266"/>
    <hyperlink r:id="rId518" ref="C266"/>
    <hyperlink r:id="rId519" ref="A267"/>
    <hyperlink r:id="rId520" ref="C267"/>
    <hyperlink r:id="rId521" ref="A268"/>
    <hyperlink r:id="rId522" ref="C268"/>
    <hyperlink r:id="rId523" ref="A269"/>
    <hyperlink r:id="rId524" ref="C269"/>
    <hyperlink r:id="rId525" ref="A270"/>
    <hyperlink r:id="rId526" ref="C270"/>
    <hyperlink r:id="rId527" ref="A271"/>
    <hyperlink r:id="rId528" ref="C271"/>
    <hyperlink r:id="rId529" ref="A272"/>
    <hyperlink r:id="rId530" ref="C272"/>
    <hyperlink r:id="rId531" ref="A273"/>
    <hyperlink r:id="rId532" ref="C273"/>
    <hyperlink r:id="rId533" ref="A274"/>
    <hyperlink r:id="rId534" ref="C274"/>
    <hyperlink r:id="rId535" ref="A275"/>
    <hyperlink r:id="rId536" ref="C275"/>
    <hyperlink r:id="rId537" ref="A276"/>
    <hyperlink r:id="rId538" ref="C276"/>
    <hyperlink r:id="rId539" ref="A277"/>
    <hyperlink r:id="rId540" ref="C277"/>
    <hyperlink r:id="rId541" ref="A278"/>
    <hyperlink r:id="rId542" ref="C278"/>
    <hyperlink r:id="rId543" ref="A279"/>
    <hyperlink r:id="rId544" ref="C279"/>
    <hyperlink r:id="rId545" ref="A280"/>
    <hyperlink r:id="rId546" ref="C280"/>
    <hyperlink r:id="rId547" ref="A281"/>
    <hyperlink r:id="rId548" ref="C281"/>
    <hyperlink r:id="rId549" ref="A282"/>
    <hyperlink r:id="rId550" ref="C282"/>
    <hyperlink r:id="rId551" ref="A283"/>
    <hyperlink r:id="rId552" ref="C283"/>
    <hyperlink r:id="rId553" ref="A284"/>
    <hyperlink r:id="rId554" ref="C284"/>
    <hyperlink r:id="rId555" ref="A285"/>
    <hyperlink r:id="rId556" ref="C285"/>
    <hyperlink r:id="rId557" ref="A286"/>
    <hyperlink r:id="rId558" ref="C286"/>
    <hyperlink r:id="rId559" ref="A287"/>
    <hyperlink r:id="rId560" ref="C287"/>
    <hyperlink r:id="rId561" ref="A288"/>
    <hyperlink r:id="rId562" ref="C288"/>
    <hyperlink r:id="rId563" ref="A289"/>
    <hyperlink r:id="rId564" ref="C289"/>
    <hyperlink r:id="rId565" ref="A290"/>
    <hyperlink r:id="rId566" ref="C290"/>
    <hyperlink r:id="rId567" ref="A291"/>
    <hyperlink r:id="rId568" ref="C291"/>
    <hyperlink r:id="rId569" ref="A292"/>
    <hyperlink r:id="rId570" ref="C292"/>
    <hyperlink r:id="rId571" ref="A293"/>
    <hyperlink r:id="rId572" ref="C293"/>
    <hyperlink r:id="rId573" ref="A294"/>
    <hyperlink r:id="rId574" ref="C294"/>
    <hyperlink r:id="rId575" location=":~:text=Their%20focus%20on%20thorough%20upfront,Perth%2C%20Australia" ref="A295"/>
    <hyperlink r:id="rId576" ref="C295"/>
    <hyperlink r:id="rId577" ref="A296"/>
    <hyperlink r:id="rId578" ref="A297"/>
    <hyperlink r:id="rId579" ref="C297"/>
    <hyperlink r:id="rId580" ref="A298"/>
    <hyperlink r:id="rId581" ref="C298"/>
    <hyperlink r:id="rId582" ref="A299"/>
    <hyperlink r:id="rId583" ref="C299"/>
    <hyperlink r:id="rId584" ref="A300"/>
    <hyperlink r:id="rId585" ref="C300"/>
    <hyperlink r:id="rId586" ref="A301"/>
    <hyperlink r:id="rId587" ref="C301"/>
    <hyperlink r:id="rId588" ref="A302"/>
    <hyperlink r:id="rId589" ref="C302"/>
    <hyperlink r:id="rId590" ref="A303"/>
    <hyperlink r:id="rId591" ref="C303"/>
    <hyperlink r:id="rId592" ref="A304"/>
    <hyperlink r:id="rId593" ref="C304"/>
    <hyperlink r:id="rId594" ref="A305"/>
    <hyperlink r:id="rId595" ref="C305"/>
    <hyperlink r:id="rId596" ref="A306"/>
    <hyperlink r:id="rId597" ref="C306"/>
    <hyperlink r:id="rId598" ref="A307"/>
    <hyperlink r:id="rId599" ref="C307"/>
    <hyperlink r:id="rId600" ref="A308"/>
    <hyperlink r:id="rId601" ref="C308"/>
    <hyperlink r:id="rId602" ref="A309"/>
    <hyperlink r:id="rId603" ref="C309"/>
    <hyperlink r:id="rId604" ref="A310"/>
    <hyperlink r:id="rId605" ref="C310"/>
    <hyperlink r:id="rId606" ref="A311"/>
    <hyperlink r:id="rId607" ref="C311"/>
    <hyperlink r:id="rId608" ref="A312"/>
    <hyperlink r:id="rId609" ref="C312"/>
    <hyperlink r:id="rId610" ref="A313"/>
    <hyperlink r:id="rId611" ref="C313"/>
    <hyperlink r:id="rId612" ref="A314"/>
    <hyperlink r:id="rId613" ref="C314"/>
    <hyperlink r:id="rId614" ref="A315"/>
    <hyperlink r:id="rId615" ref="C315"/>
    <hyperlink r:id="rId616" ref="A316"/>
    <hyperlink r:id="rId617" ref="C316"/>
    <hyperlink r:id="rId618" ref="A317"/>
    <hyperlink r:id="rId619" ref="C317"/>
    <hyperlink r:id="rId620" ref="A318"/>
    <hyperlink r:id="rId621" ref="C318"/>
    <hyperlink r:id="rId622" ref="A319"/>
    <hyperlink r:id="rId623" ref="C319"/>
    <hyperlink r:id="rId624" ref="A320"/>
    <hyperlink r:id="rId625" ref="C320"/>
    <hyperlink r:id="rId626" ref="A321"/>
    <hyperlink r:id="rId627" ref="C321"/>
    <hyperlink r:id="rId628" ref="A322"/>
    <hyperlink r:id="rId629" ref="C322"/>
    <hyperlink r:id="rId630" location=":~:text=The%20leading%20AI%20automation%20agencies,IT%20team%20to%20run%20it." ref="A323"/>
    <hyperlink r:id="rId631" ref="C323"/>
    <hyperlink r:id="rId632" ref="A324"/>
    <hyperlink r:id="rId633" ref="C324"/>
    <hyperlink r:id="rId634" ref="A325"/>
    <hyperlink r:id="rId635" ref="C325"/>
    <hyperlink r:id="rId636" ref="A326"/>
    <hyperlink r:id="rId637" ref="C326"/>
    <hyperlink r:id="rId638" ref="A327"/>
    <hyperlink r:id="rId639" ref="C327"/>
    <hyperlink r:id="rId640" ref="A328"/>
    <hyperlink r:id="rId641" ref="C328"/>
    <hyperlink r:id="rId642" ref="A329"/>
    <hyperlink r:id="rId643" ref="C329"/>
    <hyperlink r:id="rId644" ref="A330"/>
    <hyperlink r:id="rId645" ref="C330"/>
    <hyperlink r:id="rId646" ref="A331"/>
    <hyperlink r:id="rId647" ref="C331"/>
    <hyperlink r:id="rId648" ref="A332"/>
    <hyperlink r:id="rId649" ref="C332"/>
    <hyperlink r:id="rId650" ref="A333"/>
    <hyperlink r:id="rId651" ref="C333"/>
    <hyperlink r:id="rId652" ref="A334"/>
    <hyperlink r:id="rId653" ref="C334"/>
  </hyperlinks>
  <drawing r:id="rId65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LOWER(TRIM(TO_TEXT('PEEC - URLs - All'!D2:D1000)))=""other""
  ),
  """"
)"),"https://agencies.semrush.com/list/display-advertising/australia/")</f>
        <v>https://agencies.semrush.com/list/display-advertising/australia/</v>
      </c>
      <c r="B2" s="7" t="str">
        <f>IFERROR(__xludf.DUMMYFUNCTION("""COMPUTED_VALUE"""),"Best Display Ads Agencies in Australia 2026 | Semrush")</f>
        <v>Best Display Ads Agencies in Australia 2026 | Semrush</v>
      </c>
      <c r="C2" s="6" t="str">
        <f>IFERROR(__xludf.DUMMYFUNCTION("""COMPUTED_VALUE"""),"semrush.com")</f>
        <v>semrush.com</v>
      </c>
      <c r="D2" s="7" t="str">
        <f>IFERROR(__xludf.DUMMYFUNCTION("""COMPUTED_VALUE"""),"OTHER")</f>
        <v>OTHER</v>
      </c>
      <c r="E2" s="7" t="str">
        <f>IFERROR(__xludf.DUMMYFUNCTION("""COMPUTED_VALUE"""),"CORPORATE")</f>
        <v>CORPORATE</v>
      </c>
      <c r="F2" s="7" t="str">
        <f>IFERROR(__xludf.DUMMYFUNCTION("""COMPUTED_VALUE"""),"Other")</f>
        <v>Other</v>
      </c>
      <c r="G2" s="7" t="b">
        <f>IFERROR(__xludf.DUMMYFUNCTION("""COMPUTED_VALUE"""),FALSE)</f>
        <v>0</v>
      </c>
      <c r="H2" s="7"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2" s="7">
        <f>IFERROR(__xludf.DUMMYFUNCTION("""COMPUTED_VALUE"""),47.0)</f>
        <v>47</v>
      </c>
      <c r="J2" s="7">
        <f>IFERROR(__xludf.DUMMYFUNCTION("""COMPUTED_VALUE"""),0.05)</f>
        <v>0.05</v>
      </c>
      <c r="K2" s="7">
        <f>IFERROR(__xludf.DUMMYFUNCTION("""COMPUTED_VALUE"""),1.06)</f>
        <v>1.06</v>
      </c>
    </row>
    <row r="3" ht="15.75" customHeight="1">
      <c r="A3" s="6" t="str">
        <f>IFERROR(__xludf.DUMMYFUNCTION("""COMPUTED_VALUE"""),"https://clutch.co/au/agencies/social-media-marketing#:~:text=farsiight%20is%20a%20digital%20marketing%20agency%20specializing,return%20on%20ad%20spend%20and%20customer%20acquisition.")</f>
        <v>https://clutch.co/au/agencies/social-media-marketing#:~:text=farsiight%20is%20a%20digital%20marketing%20agency%20specializing,return%20on%20ad%20spend%20and%20customer%20acquisition.</v>
      </c>
      <c r="B3" s="7" t="str">
        <f>IFERROR(__xludf.DUMMYFUNCTION("""COMPUTED_VALUE"""),"Top Social Media Marketing Companies in Australia - Jul 2026 Rankings | Clutch.co")</f>
        <v>Top Social Media Marketing Companies in Australia - Jul 2026 Rankings | Clutch.co</v>
      </c>
      <c r="C3" s="6" t="str">
        <f>IFERROR(__xludf.DUMMYFUNCTION("""COMPUTED_VALUE"""),"clutch.co")</f>
        <v>clutch.co</v>
      </c>
      <c r="D3" s="7" t="str">
        <f>IFERROR(__xludf.DUMMYFUNCTION("""COMPUTED_VALUE"""),"OTHER")</f>
        <v>OTHER</v>
      </c>
      <c r="E3" s="7" t="str">
        <f>IFERROR(__xludf.DUMMYFUNCTION("""COMPUTED_VALUE"""),"CORPORATE")</f>
        <v>CORPORATE</v>
      </c>
      <c r="F3" s="7" t="str">
        <f>IFERROR(__xludf.DUMMYFUNCTION("""COMPUTED_VALUE"""),"Other")</f>
        <v>Other</v>
      </c>
      <c r="G3" s="7" t="b">
        <f>IFERROR(__xludf.DUMMYFUNCTION("""COMPUTED_VALUE"""),FALSE)</f>
        <v>0</v>
      </c>
      <c r="H3" s="7" t="str">
        <f>IFERROR(__xludf.DUMMYFUNCTION("""COMPUTED_VALUE"""),"Soup Agency, Impressive, Digital Nomads HQ, SIXGUN, Farsiight, Human Digital, Emote Digital, Intesols, MyWork, Salt &amp; Fuessel, Alley Group, EvenDigit, Rocket Agency, Clearwater Agency, DNM Digital, Edge Marketing, Megaphone")</f>
        <v>Soup Agency, Impressive, Digital Nomads HQ, SIXGUN, Farsiight, Human Digital, Emote Digital, Intesols, MyWork, Salt &amp; Fuessel, Alley Group, EvenDigit, Rocket Agency, Clearwater Agency, DNM Digital, Edge Marketing, Megaphone</v>
      </c>
      <c r="I3" s="7">
        <f>IFERROR(__xludf.DUMMYFUNCTION("""COMPUTED_VALUE"""),38.0)</f>
        <v>38</v>
      </c>
      <c r="J3" s="7">
        <f>IFERROR(__xludf.DUMMYFUNCTION("""COMPUTED_VALUE"""),0.04)</f>
        <v>0.04</v>
      </c>
      <c r="K3" s="7">
        <f>IFERROR(__xludf.DUMMYFUNCTION("""COMPUTED_VALUE"""),2.66)</f>
        <v>2.66</v>
      </c>
    </row>
    <row r="4" ht="15.75" customHeight="1">
      <c r="A4" s="6" t="str">
        <f>IFERROR(__xludf.DUMMYFUNCTION("""COMPUTED_VALUE"""),"https://mediaplusdigital.co/au/ai-marketing-agencies-in-australia/#:~:text=Kamexa%20is%20often%20ranked%20among%20top%20AI,businesses%20that%20want%20deep%20AI%20implementation.%203.")</f>
        <v>https://mediaplusdigital.co/au/ai-marketing-agencies-in-australia/#:~:text=Kamexa%20is%20often%20ranked%20among%20top%20AI,businesses%20that%20want%20deep%20AI%20implementation.%203.</v>
      </c>
      <c r="B4" s="7" t="str">
        <f>IFERROR(__xludf.DUMMYFUNCTION("""COMPUTED_VALUE"""),"Top 10 AI Marketing Agencies in Australia (2026) - MPD Australia")</f>
        <v>Top 10 AI Marketing Agencies in Australia (2026) - MPD Australia</v>
      </c>
      <c r="C4" s="6" t="str">
        <f>IFERROR(__xludf.DUMMYFUNCTION("""COMPUTED_VALUE"""),"mediaplusdigital.co")</f>
        <v>mediaplusdigital.co</v>
      </c>
      <c r="D4" s="7" t="str">
        <f>IFERROR(__xludf.DUMMYFUNCTION("""COMPUTED_VALUE"""),"OTHER")</f>
        <v>OTHER</v>
      </c>
      <c r="E4" s="7" t="str">
        <f>IFERROR(__xludf.DUMMYFUNCTION("""COMPUTED_VALUE"""),"CORPORATE")</f>
        <v>CORPORATE</v>
      </c>
      <c r="F4" s="7" t="str">
        <f>IFERROR(__xludf.DUMMYFUNCTION("""COMPUTED_VALUE"""),"Other")</f>
        <v>Other</v>
      </c>
      <c r="G4" s="7" t="b">
        <f>IFERROR(__xludf.DUMMYFUNCTION("""COMPUTED_VALUE"""),FALSE)</f>
        <v>0</v>
      </c>
      <c r="H4" s="7" t="str">
        <f>IFERROR(__xludf.DUMMYFUNCTION("""COMPUTED_VALUE"""),"Alley Group, Rocket Agency, Marketix Digital, Digital Nomads HQ, First Page, First Page Australia, Sparro")</f>
        <v>Alley Group, Rocket Agency, Marketix Digital, Digital Nomads HQ, First Page, First Page Australia, Sparro</v>
      </c>
      <c r="I4" s="7">
        <f>IFERROR(__xludf.DUMMYFUNCTION("""COMPUTED_VALUE"""),33.0)</f>
        <v>33</v>
      </c>
      <c r="J4" s="7">
        <f>IFERROR(__xludf.DUMMYFUNCTION("""COMPUTED_VALUE"""),0.03)</f>
        <v>0.03</v>
      </c>
      <c r="K4" s="7">
        <f>IFERROR(__xludf.DUMMYFUNCTION("""COMPUTED_VALUE"""),1.73)</f>
        <v>1.73</v>
      </c>
    </row>
    <row r="5" ht="15.75" customHeight="1">
      <c r="A5" s="6" t="str">
        <f>IFERROR(__xludf.DUMMYFUNCTION("""COMPUTED_VALUE"""),"https://slashdot.org/software/incrementality-testing/in-australia/")</f>
        <v>https://slashdot.org/software/incrementality-testing/in-australia/</v>
      </c>
      <c r="B5" s="7" t="str">
        <f>IFERROR(__xludf.DUMMYFUNCTION("""COMPUTED_VALUE"""),"Top Incrementality Testing Tools in Australia in 2026")</f>
        <v>Top Incrementality Testing Tools in Australia in 2026</v>
      </c>
      <c r="C5" s="6" t="str">
        <f>IFERROR(__xludf.DUMMYFUNCTION("""COMPUTED_VALUE"""),"slashdot.org")</f>
        <v>slashdot.org</v>
      </c>
      <c r="D5" s="7" t="str">
        <f>IFERROR(__xludf.DUMMYFUNCTION("""COMPUTED_VALUE"""),"OTHER")</f>
        <v>OTHER</v>
      </c>
      <c r="E5" s="7" t="str">
        <f>IFERROR(__xludf.DUMMYFUNCTION("""COMPUTED_VALUE"""),"EDITORIAL")</f>
        <v>EDITORIAL</v>
      </c>
      <c r="F5" s="7" t="str">
        <f>IFERROR(__xludf.DUMMYFUNCTION("""COMPUTED_VALUE"""),"Other")</f>
        <v>Other</v>
      </c>
      <c r="G5" s="7" t="b">
        <f>IFERROR(__xludf.DUMMYFUNCTION("""COMPUTED_VALUE"""),FALSE)</f>
        <v>0</v>
      </c>
      <c r="H5" s="7" t="str">
        <f>IFERROR(__xludf.DUMMYFUNCTION("""COMPUTED_VALUE"""),"Measured, Lifesight, Workmagic, Haus, Edge Marketing, Analytic Partners")</f>
        <v>Measured, Lifesight, Workmagic, Haus, Edge Marketing, Analytic Partners</v>
      </c>
      <c r="I5" s="7">
        <f>IFERROR(__xludf.DUMMYFUNCTION("""COMPUTED_VALUE"""),27.0)</f>
        <v>27</v>
      </c>
      <c r="J5" s="7">
        <f>IFERROR(__xludf.DUMMYFUNCTION("""COMPUTED_VALUE"""),0.03)</f>
        <v>0.03</v>
      </c>
      <c r="K5" s="7">
        <f>IFERROR(__xludf.DUMMYFUNCTION("""COMPUTED_VALUE"""),0.85)</f>
        <v>0.85</v>
      </c>
    </row>
    <row r="6" ht="15.75" customHeight="1">
      <c r="A6" s="6" t="str">
        <f>IFERROR(__xludf.DUMMYFUNCTION("""COMPUTED_VALUE"""),"https://www.resolutiondigital.com.au/performance-marketing-agency/#:~:text=Our%20marketing%20performance%20measurement%20capabilities%20range%20from,of%20the%20most%20accoladed%20Google%20Premier%20Partners.")</f>
        <v>https://www.resolutiondigital.com.au/performance-marketing-agency/#:~:text=Our%20marketing%20performance%20measurement%20capabilities%20range%20from,of%20the%20most%20accoladed%20Google%20Premier%20Partners.</v>
      </c>
      <c r="B6" s="7" t="str">
        <f>IFERROR(__xludf.DUMMYFUNCTION("""COMPUTED_VALUE"""),"Performance Marketing Agency | Resolution Digital Australia")</f>
        <v>Performance Marketing Agency | Resolution Digital Australia</v>
      </c>
      <c r="C6" s="6" t="str">
        <f>IFERROR(__xludf.DUMMYFUNCTION("""COMPUTED_VALUE"""),"resolutiondigital.com.au")</f>
        <v>resolutiondigital.com.au</v>
      </c>
      <c r="D6" s="7" t="str">
        <f>IFERROR(__xludf.DUMMYFUNCTION("""COMPUTED_VALUE"""),"OTHER")</f>
        <v>OTHER</v>
      </c>
      <c r="E6" s="7" t="str">
        <f>IFERROR(__xludf.DUMMYFUNCTION("""COMPUTED_VALUE"""),"COMPETITOR")</f>
        <v>COMPETITOR</v>
      </c>
      <c r="F6" s="7" t="str">
        <f>IFERROR(__xludf.DUMMYFUNCTION("""COMPUTED_VALUE"""),"Other")</f>
        <v>Other</v>
      </c>
      <c r="G6" s="7" t="b">
        <f>IFERROR(__xludf.DUMMYFUNCTION("""COMPUTED_VALUE"""),FALSE)</f>
        <v>0</v>
      </c>
      <c r="H6" s="7" t="str">
        <f>IFERROR(__xludf.DUMMYFUNCTION("""COMPUTED_VALUE"""),"Resolution Digital, Omnicom Media Group")</f>
        <v>Resolution Digital, Omnicom Media Group</v>
      </c>
      <c r="I6" s="7">
        <f>IFERROR(__xludf.DUMMYFUNCTION("""COMPUTED_VALUE"""),24.0)</f>
        <v>24</v>
      </c>
      <c r="J6" s="7">
        <f>IFERROR(__xludf.DUMMYFUNCTION("""COMPUTED_VALUE"""),0.03)</f>
        <v>0.03</v>
      </c>
      <c r="K6" s="7">
        <f>IFERROR(__xludf.DUMMYFUNCTION("""COMPUTED_VALUE"""),1.5)</f>
        <v>1.5</v>
      </c>
    </row>
    <row r="7" ht="15.75" customHeight="1">
      <c r="A7" s="6" t="str">
        <f>IFERROR(__xludf.DUMMYFUNCTION("""COMPUTED_VALUE"""),"https://www.absolutelyai.com.au/aiagency#:~:text=AI%20Agency%20%7C%20Absolutely%20AI.%20AI%20Agency.,The%20team%20behind%20your%20favourite%20AI%20Agency.")</f>
        <v>https://www.absolutelyai.com.au/aiagency#:~:text=AI%20Agency%20%7C%20Absolutely%20AI.%20AI%20Agency.,The%20team%20behind%20your%20favourite%20AI%20Agency.</v>
      </c>
      <c r="B7" s="7" t="str">
        <f>IFERROR(__xludf.DUMMYFUNCTION("""COMPUTED_VALUE"""),"AI Agency | Absolutely AI")</f>
        <v>AI Agency | Absolutely AI</v>
      </c>
      <c r="C7" s="6" t="str">
        <f>IFERROR(__xludf.DUMMYFUNCTION("""COMPUTED_VALUE"""),"absolutelyai.com.au")</f>
        <v>absolutelyai.com.au</v>
      </c>
      <c r="D7" s="7" t="str">
        <f>IFERROR(__xludf.DUMMYFUNCTION("""COMPUTED_VALUE"""),"OTHER")</f>
        <v>OTHER</v>
      </c>
      <c r="E7" s="7" t="str">
        <f>IFERROR(__xludf.DUMMYFUNCTION("""COMPUTED_VALUE"""),"COMPETITOR")</f>
        <v>COMPETITOR</v>
      </c>
      <c r="F7" s="7" t="str">
        <f>IFERROR(__xludf.DUMMYFUNCTION("""COMPUTED_VALUE"""),"Other")</f>
        <v>Other</v>
      </c>
      <c r="G7" s="7" t="b">
        <f>IFERROR(__xludf.DUMMYFUNCTION("""COMPUTED_VALUE"""),FALSE)</f>
        <v>0</v>
      </c>
      <c r="H7" s="7" t="str">
        <f>IFERROR(__xludf.DUMMYFUNCTION("""COMPUTED_VALUE"""),"Absolutely AI, HERO")</f>
        <v>Absolutely AI, HERO</v>
      </c>
      <c r="I7" s="7">
        <f>IFERROR(__xludf.DUMMYFUNCTION("""COMPUTED_VALUE"""),21.0)</f>
        <v>21</v>
      </c>
      <c r="J7" s="7">
        <f>IFERROR(__xludf.DUMMYFUNCTION("""COMPUTED_VALUE"""),0.02)</f>
        <v>0.02</v>
      </c>
      <c r="K7" s="7">
        <f>IFERROR(__xludf.DUMMYFUNCTION("""COMPUTED_VALUE"""),1.33)</f>
        <v>1.33</v>
      </c>
    </row>
    <row r="8" ht="15.75" customHeight="1">
      <c r="A8" s="6" t="str">
        <f>IFERROR(__xludf.DUMMYFUNCTION("""COMPUTED_VALUE"""),"https://tdsaustralia.com.au/best-brand-design-agency-australia/?srsltid=AfmBOoqgyBP8Mx3xalA9482IFmPBsWmB_7IcuOz2wt01IXzLQd8IhP8w")</f>
        <v>https://tdsaustralia.com.au/best-brand-design-agency-australia/?srsltid=AfmBOoqgyBP8Mx3xalA9482IFmPBsWmB_7IcuOz2wt01IXzLQd8IhP8w</v>
      </c>
      <c r="B8" s="7" t="str">
        <f>IFERROR(__xludf.DUMMYFUNCTION("""COMPUTED_VALUE"""),"The 12 Best Brand Design Agencies in Australia (2025–2026)")</f>
        <v>The 12 Best Brand Design Agencies in Australia (2025–2026)</v>
      </c>
      <c r="C8" s="6" t="str">
        <f>IFERROR(__xludf.DUMMYFUNCTION("""COMPUTED_VALUE"""),"tdsaustralia.com.au")</f>
        <v>tdsaustralia.com.au</v>
      </c>
      <c r="D8" s="7" t="str">
        <f>IFERROR(__xludf.DUMMYFUNCTION("""COMPUTED_VALUE"""),"OTHER")</f>
        <v>OTHER</v>
      </c>
      <c r="E8" s="7" t="str">
        <f>IFERROR(__xludf.DUMMYFUNCTION("""COMPUTED_VALUE"""),"CORPORATE")</f>
        <v>CORPORATE</v>
      </c>
      <c r="F8" s="7" t="str">
        <f>IFERROR(__xludf.DUMMYFUNCTION("""COMPUTED_VALUE"""),"Other")</f>
        <v>Other</v>
      </c>
      <c r="G8" s="7" t="b">
        <f>IFERROR(__xludf.DUMMYFUNCTION("""COMPUTED_VALUE"""),FALSE)</f>
        <v>0</v>
      </c>
      <c r="H8" s="7" t="str">
        <f>IFERROR(__xludf.DUMMYFUNCTION("""COMPUTED_VALUE"""),"Hulsbosch, WPP, Chello")</f>
        <v>Hulsbosch, WPP, Chello</v>
      </c>
      <c r="I8" s="7">
        <f>IFERROR(__xludf.DUMMYFUNCTION("""COMPUTED_VALUE"""),21.0)</f>
        <v>21</v>
      </c>
      <c r="J8" s="7">
        <f>IFERROR(__xludf.DUMMYFUNCTION("""COMPUTED_VALUE"""),0.02)</f>
        <v>0.02</v>
      </c>
      <c r="K8" s="7">
        <f>IFERROR(__xludf.DUMMYFUNCTION("""COMPUTED_VALUE"""),1.29)</f>
        <v>1.29</v>
      </c>
    </row>
    <row r="9" ht="15.75" customHeight="1">
      <c r="A9" s="6" t="str">
        <f>IFERROR(__xludf.DUMMYFUNCTION("""COMPUTED_VALUE"""),"https://saltandfuessel.com.au/aeo-geo-services-melbourne#:~:text=Generative%20Engine%20Optimisation%20that%20drives%20next%2Dgen%20visibility.,one%20AI%20tools%20trust%2C%20reference%2C%20and%20cite.")</f>
        <v>https://saltandfuessel.com.au/aeo-geo-services-melbourne#:~:text=Generative%20Engine%20Optimisation%20that%20drives%20next%2Dgen%20visibility.,one%20AI%20tools%20trust%2C%20reference%2C%20and%20cite.</v>
      </c>
      <c r="B9" s="7" t="str">
        <f>IFERROR(__xludf.DUMMYFUNCTION("""COMPUTED_VALUE"""),"GEO Agency Australia - Salt &amp;amp; Fuessel")</f>
        <v>GEO Agency Australia - Salt &amp;amp; Fuessel</v>
      </c>
      <c r="C9" s="6" t="str">
        <f>IFERROR(__xludf.DUMMYFUNCTION("""COMPUTED_VALUE"""),"saltandfuessel.com.au")</f>
        <v>saltandfuessel.com.au</v>
      </c>
      <c r="D9" s="7" t="str">
        <f>IFERROR(__xludf.DUMMYFUNCTION("""COMPUTED_VALUE"""),"OTHER")</f>
        <v>OTHER</v>
      </c>
      <c r="E9" s="7" t="str">
        <f>IFERROR(__xludf.DUMMYFUNCTION("""COMPUTED_VALUE"""),"COMPETITOR")</f>
        <v>COMPETITOR</v>
      </c>
      <c r="F9" s="7" t="str">
        <f>IFERROR(__xludf.DUMMYFUNCTION("""COMPUTED_VALUE"""),"Other")</f>
        <v>Other</v>
      </c>
      <c r="G9" s="7" t="b">
        <f>IFERROR(__xludf.DUMMYFUNCTION("""COMPUTED_VALUE"""),FALSE)</f>
        <v>0</v>
      </c>
      <c r="H9" s="7" t="str">
        <f>IFERROR(__xludf.DUMMYFUNCTION("""COMPUTED_VALUE"""),"Salt &amp; Fuessel")</f>
        <v>Salt &amp; Fuessel</v>
      </c>
      <c r="I9" s="7">
        <f>IFERROR(__xludf.DUMMYFUNCTION("""COMPUTED_VALUE"""),19.0)</f>
        <v>19</v>
      </c>
      <c r="J9" s="7">
        <f>IFERROR(__xludf.DUMMYFUNCTION("""COMPUTED_VALUE"""),0.02)</f>
        <v>0.02</v>
      </c>
      <c r="K9" s="7">
        <f>IFERROR(__xludf.DUMMYFUNCTION("""COMPUTED_VALUE"""),1.16)</f>
        <v>1.16</v>
      </c>
    </row>
    <row r="10" ht="15.75" customHeight="1">
      <c r="A10" s="6" t="str">
        <f>IFERROR(__xludf.DUMMYFUNCTION("""COMPUTED_VALUE"""),"https://mystrika.com/directory/agencies/top/data-analytics-in-country-australia")</f>
        <v>https://mystrika.com/directory/agencies/top/data-analytics-in-country-australia</v>
      </c>
      <c r="B10" s="7" t="str">
        <f>IFERROR(__xludf.DUMMYFUNCTION("""COMPUTED_VALUE"""),"Top Rated Data Analytics Agencies in Australia - Directory - Mystrika | Stop Cold Emailing. Start Conversations")</f>
        <v>Top Rated Data Analytics Agencies in Australia - Directory - Mystrika | Stop Cold Emailing. Start Conversations</v>
      </c>
      <c r="C10" s="6" t="str">
        <f>IFERROR(__xludf.DUMMYFUNCTION("""COMPUTED_VALUE"""),"mystrika.com")</f>
        <v>mystrika.com</v>
      </c>
      <c r="D10" s="7" t="str">
        <f>IFERROR(__xludf.DUMMYFUNCTION("""COMPUTED_VALUE"""),"OTHER")</f>
        <v>OTHER</v>
      </c>
      <c r="E10" s="7" t="str">
        <f>IFERROR(__xludf.DUMMYFUNCTION("""COMPUTED_VALUE"""),"OTHER")</f>
        <v>OTHER</v>
      </c>
      <c r="F10" s="7" t="str">
        <f>IFERROR(__xludf.DUMMYFUNCTION("""COMPUTED_VALUE"""),"Other")</f>
        <v>Other</v>
      </c>
      <c r="G10" s="7" t="b">
        <f>IFERROR(__xludf.DUMMYFUNCTION("""COMPUTED_VALUE"""),FALSE)</f>
        <v>0</v>
      </c>
      <c r="H10" s="7" t="str">
        <f>IFERROR(__xludf.DUMMYFUNCTION("""COMPUTED_VALUE"""),"Digital Nomads HQ, DNM Digital, Edge Marketing, Soup Agency, Supple Digital, 80/20 Digital, Bench Media, Bonfire, Measured, Clearwater Agency, Earned Media, Click Click Media, First Page, First Page Australia, Human Digital, Impressive, Megaphone, Online "&amp;"Marketing Gurus, Omnicom Media Group, Salt &amp; Fuessel, Luminary, Megantic, Rocket Agency, Webprofits")</f>
        <v>Digital Nomads HQ, DNM Digital, Edge Marketing, Soup Agency, Supple Digital, 80/20 Digital, Bench Media, Bonfire, Measured, Clearwater Agency, Earned Media, Click Click Media, First Page, First Page Australia, Human Digital, Impressive, Megaphone, Online Marketing Gurus, Omnicom Media Group, Salt &amp; Fuessel, Luminary, Megantic, Rocket Agency, Webprofits</v>
      </c>
      <c r="I10" s="7">
        <f>IFERROR(__xludf.DUMMYFUNCTION("""COMPUTED_VALUE"""),18.0)</f>
        <v>18</v>
      </c>
      <c r="J10" s="7">
        <f>IFERROR(__xludf.DUMMYFUNCTION("""COMPUTED_VALUE"""),0.02)</f>
        <v>0.02</v>
      </c>
      <c r="K10" s="7">
        <f>IFERROR(__xludf.DUMMYFUNCTION("""COMPUTED_VALUE"""),0.67)</f>
        <v>0.67</v>
      </c>
    </row>
    <row r="11" ht="15.75" customHeight="1">
      <c r="A11" s="6" t="str">
        <f>IFERROR(__xludf.DUMMYFUNCTION("""COMPUTED_VALUE"""),"https://support.google.com/tagmanager/answer/7237700?hl=en-au")</f>
        <v>https://support.google.com/tagmanager/answer/7237700?hl=en-au</v>
      </c>
      <c r="B11" s="7" t="str">
        <f>IFERROR(__xludf.DUMMYFUNCTION("""COMPUTED_VALUE"""),"Google Marketing Platform Partners - Tag Manager Help")</f>
        <v>Google Marketing Platform Partners - Tag Manager Help</v>
      </c>
      <c r="C11" s="6" t="str">
        <f>IFERROR(__xludf.DUMMYFUNCTION("""COMPUTED_VALUE"""),"google.com")</f>
        <v>google.com</v>
      </c>
      <c r="D11" s="7" t="str">
        <f>IFERROR(__xludf.DUMMYFUNCTION("""COMPUTED_VALUE"""),"OTHER")</f>
        <v>OTHER</v>
      </c>
      <c r="E11" s="7" t="str">
        <f>IFERROR(__xludf.DUMMYFUNCTION("""COMPUTED_VALUE"""),"OTHER")</f>
        <v>OTHER</v>
      </c>
      <c r="F11" s="7" t="str">
        <f>IFERROR(__xludf.DUMMYFUNCTION("""COMPUTED_VALUE"""),"Other")</f>
        <v>Other</v>
      </c>
      <c r="G11" s="7" t="b">
        <f>IFERROR(__xludf.DUMMYFUNCTION("""COMPUTED_VALUE"""),FALSE)</f>
        <v>0</v>
      </c>
      <c r="H11" s="7"/>
      <c r="I11" s="7">
        <f>IFERROR(__xludf.DUMMYFUNCTION("""COMPUTED_VALUE"""),18.0)</f>
        <v>18</v>
      </c>
      <c r="J11" s="7">
        <f>IFERROR(__xludf.DUMMYFUNCTION("""COMPUTED_VALUE"""),0.02)</f>
        <v>0.02</v>
      </c>
      <c r="K11" s="7">
        <f>IFERROR(__xludf.DUMMYFUNCTION("""COMPUTED_VALUE"""),1.17)</f>
        <v>1.17</v>
      </c>
    </row>
    <row r="12" ht="15.75" customHeight="1">
      <c r="A12" s="6" t="str">
        <f>IFERROR(__xludf.DUMMYFUNCTION("""COMPUTED_VALUE"""),"https://www.wmtips.com/technologies/marketing-attribution/country/au/")</f>
        <v>https://www.wmtips.com/technologies/marketing-attribution/country/au/</v>
      </c>
      <c r="B12" s="7" t="str">
        <f>IFERROR(__xludf.DUMMYFUNCTION("""COMPUTED_VALUE"""),"Bot check")</f>
        <v>Bot check</v>
      </c>
      <c r="C12" s="6" t="str">
        <f>IFERROR(__xludf.DUMMYFUNCTION("""COMPUTED_VALUE"""),"wmtips.com")</f>
        <v>wmtips.com</v>
      </c>
      <c r="D12" s="7" t="str">
        <f>IFERROR(__xludf.DUMMYFUNCTION("""COMPUTED_VALUE"""),"OTHER")</f>
        <v>OTHER</v>
      </c>
      <c r="E12" s="7" t="str">
        <f>IFERROR(__xludf.DUMMYFUNCTION("""COMPUTED_VALUE"""),"REFERENCE")</f>
        <v>REFERENCE</v>
      </c>
      <c r="F12" s="7" t="str">
        <f>IFERROR(__xludf.DUMMYFUNCTION("""COMPUTED_VALUE"""),"Other")</f>
        <v>Other</v>
      </c>
      <c r="G12" s="7" t="b">
        <f>IFERROR(__xludf.DUMMYFUNCTION("""COMPUTED_VALUE"""),FALSE)</f>
        <v>0</v>
      </c>
      <c r="H12" s="7"/>
      <c r="I12" s="7">
        <f>IFERROR(__xludf.DUMMYFUNCTION("""COMPUTED_VALUE"""),16.0)</f>
        <v>16</v>
      </c>
      <c r="J12" s="7">
        <f>IFERROR(__xludf.DUMMYFUNCTION("""COMPUTED_VALUE"""),0.02)</f>
        <v>0.02</v>
      </c>
      <c r="K12" s="7">
        <f>IFERROR(__xludf.DUMMYFUNCTION("""COMPUTED_VALUE"""),0.5)</f>
        <v>0.5</v>
      </c>
    </row>
    <row r="13" ht="15.75" customHeight="1">
      <c r="A13" s="6" t="str">
        <f>IFERROR(__xludf.DUMMYFUNCTION("""COMPUTED_VALUE"""),"https://www.10seos.com/au/display-advertising-companies-in-australia?page=4")</f>
        <v>https://www.10seos.com/au/display-advertising-companies-in-australia?page=4</v>
      </c>
      <c r="B13" s="7" t="str">
        <f>IFERROR(__xludf.DUMMYFUNCTION("""COMPUTED_VALUE"""),"Top 10 Display Advertising Companies For Best Services-Australia | July 2026")</f>
        <v>Top 10 Display Advertising Companies For Best Services-Australia | July 2026</v>
      </c>
      <c r="C13" s="6" t="str">
        <f>IFERROR(__xludf.DUMMYFUNCTION("""COMPUTED_VALUE"""),"10seos.com")</f>
        <v>10seos.com</v>
      </c>
      <c r="D13" s="7" t="str">
        <f>IFERROR(__xludf.DUMMYFUNCTION("""COMPUTED_VALUE"""),"OTHER")</f>
        <v>OTHER</v>
      </c>
      <c r="E13" s="7" t="str">
        <f>IFERROR(__xludf.DUMMYFUNCTION("""COMPUTED_VALUE"""),"REFERENCE")</f>
        <v>REFERENCE</v>
      </c>
      <c r="F13" s="7" t="str">
        <f>IFERROR(__xludf.DUMMYFUNCTION("""COMPUTED_VALUE"""),"Other")</f>
        <v>Other</v>
      </c>
      <c r="G13" s="7" t="b">
        <f>IFERROR(__xludf.DUMMYFUNCTION("""COMPUTED_VALUE"""),FALSE)</f>
        <v>0</v>
      </c>
      <c r="H13" s="7"/>
      <c r="I13" s="7">
        <f>IFERROR(__xludf.DUMMYFUNCTION("""COMPUTED_VALUE"""),13.0)</f>
        <v>13</v>
      </c>
      <c r="J13" s="7">
        <f>IFERROR(__xludf.DUMMYFUNCTION("""COMPUTED_VALUE"""),0.01)</f>
        <v>0.01</v>
      </c>
      <c r="K13" s="7">
        <f>IFERROR(__xludf.DUMMYFUNCTION("""COMPUTED_VALUE"""),0.0)</f>
        <v>0</v>
      </c>
    </row>
    <row r="14" ht="15.75" customHeight="1">
      <c r="A14" s="6" t="str">
        <f>IFERROR(__xludf.DUMMYFUNCTION("""COMPUTED_VALUE"""),"https://www.rankingco.com.au/2024-premier-google-partner")</f>
        <v>https://www.rankingco.com.au/2024-premier-google-partner</v>
      </c>
      <c r="B14" s="7"/>
      <c r="C14" s="6" t="str">
        <f>IFERROR(__xludf.DUMMYFUNCTION("""COMPUTED_VALUE"""),"rankingco.com.au")</f>
        <v>rankingco.com.au</v>
      </c>
      <c r="D14" s="7" t="str">
        <f>IFERROR(__xludf.DUMMYFUNCTION("""COMPUTED_VALUE"""),"OTHER")</f>
        <v>OTHER</v>
      </c>
      <c r="E14" s="7" t="str">
        <f>IFERROR(__xludf.DUMMYFUNCTION("""COMPUTED_VALUE"""),"COMPETITOR")</f>
        <v>COMPETITOR</v>
      </c>
      <c r="F14" s="7" t="str">
        <f>IFERROR(__xludf.DUMMYFUNCTION("""COMPUTED_VALUE"""),"Other")</f>
        <v>Other</v>
      </c>
      <c r="G14" s="7" t="b">
        <f>IFERROR(__xludf.DUMMYFUNCTION("""COMPUTED_VALUE"""),FALSE)</f>
        <v>0</v>
      </c>
      <c r="H14" s="7" t="str">
        <f>IFERROR(__xludf.DUMMYFUNCTION("""COMPUTED_VALUE"""),"RankingCo")</f>
        <v>RankingCo</v>
      </c>
      <c r="I14" s="7">
        <f>IFERROR(__xludf.DUMMYFUNCTION("""COMPUTED_VALUE"""),13.0)</f>
        <v>13</v>
      </c>
      <c r="J14" s="7">
        <f>IFERROR(__xludf.DUMMYFUNCTION("""COMPUTED_VALUE"""),0.01)</f>
        <v>0.01</v>
      </c>
      <c r="K14" s="7">
        <f>IFERROR(__xludf.DUMMYFUNCTION("""COMPUTED_VALUE"""),1.0)</f>
        <v>1</v>
      </c>
    </row>
    <row r="15" ht="15.75" customHeight="1">
      <c r="A15" s="6" t="str">
        <f>IFERROR(__xludf.DUMMYFUNCTION("""COMPUTED_VALUE"""),"https://www.goodfirms.co/directory/country/top-digital-marketing-companies/au/")</f>
        <v>https://www.goodfirms.co/directory/country/top-digital-marketing-companies/au/</v>
      </c>
      <c r="B15" s="7" t="str">
        <f>IFERROR(__xludf.DUMMYFUNCTION("""COMPUTED_VALUE"""),"Top Digital Marketing Agencies in Australia - 2026 Reviews | Goodfirms")</f>
        <v>Top Digital Marketing Agencies in Australia - 2026 Reviews | Goodfirms</v>
      </c>
      <c r="C15" s="6" t="str">
        <f>IFERROR(__xludf.DUMMYFUNCTION("""COMPUTED_VALUE"""),"goodfirms.co")</f>
        <v>goodfirms.co</v>
      </c>
      <c r="D15" s="7" t="str">
        <f>IFERROR(__xludf.DUMMYFUNCTION("""COMPUTED_VALUE"""),"OTHER")</f>
        <v>OTHER</v>
      </c>
      <c r="E15" s="7" t="str">
        <f>IFERROR(__xludf.DUMMYFUNCTION("""COMPUTED_VALUE"""),"UGC")</f>
        <v>UGC</v>
      </c>
      <c r="F15" s="7" t="str">
        <f>IFERROR(__xludf.DUMMYFUNCTION("""COMPUTED_VALUE"""),"Other")</f>
        <v>Other</v>
      </c>
      <c r="G15" s="7" t="b">
        <f>IFERROR(__xludf.DUMMYFUNCTION("""COMPUTED_VALUE"""),FALSE)</f>
        <v>0</v>
      </c>
      <c r="H15" s="7" t="str">
        <f>IFERROR(__xludf.DUMMYFUNCTION("""COMPUTED_VALUE"""),"Impressive, CUT THRU, eMarket Experts, SIXGUN, Elephant In The Boardroom, Supple Digital, AdVisible, Digital Nomads HQ, Emote Digital")</f>
        <v>Impressive, CUT THRU, eMarket Experts, SIXGUN, Elephant In The Boardroom, Supple Digital, AdVisible, Digital Nomads HQ, Emote Digital</v>
      </c>
      <c r="I15" s="7">
        <f>IFERROR(__xludf.DUMMYFUNCTION("""COMPUTED_VALUE"""),12.0)</f>
        <v>12</v>
      </c>
      <c r="J15" s="7">
        <f>IFERROR(__xludf.DUMMYFUNCTION("""COMPUTED_VALUE"""),0.01)</f>
        <v>0.01</v>
      </c>
      <c r="K15" s="7">
        <f>IFERROR(__xludf.DUMMYFUNCTION("""COMPUTED_VALUE"""),0.0)</f>
        <v>0</v>
      </c>
    </row>
    <row r="16" ht="15.75" customHeight="1">
      <c r="A16" s="6" t="str">
        <f>IFERROR(__xludf.DUMMYFUNCTION("""COMPUTED_VALUE"""),"https://tynmagazine.com/best-answer-engine-optimisation-aeo-agencies-in-australia/")</f>
        <v>https://tynmagazine.com/best-answer-engine-optimisation-aeo-agencies-in-australia/</v>
      </c>
      <c r="B16" s="7"/>
      <c r="C16" s="6" t="str">
        <f>IFERROR(__xludf.DUMMYFUNCTION("""COMPUTED_VALUE"""),"tynmagazine.com")</f>
        <v>tynmagazine.com</v>
      </c>
      <c r="D16" s="7" t="str">
        <f>IFERROR(__xludf.DUMMYFUNCTION("""COMPUTED_VALUE"""),"OTHER")</f>
        <v>OTHER</v>
      </c>
      <c r="E16" s="7" t="str">
        <f>IFERROR(__xludf.DUMMYFUNCTION("""COMPUTED_VALUE"""),"EDITORIAL")</f>
        <v>EDITORIAL</v>
      </c>
      <c r="F16" s="7" t="str">
        <f>IFERROR(__xludf.DUMMYFUNCTION("""COMPUTED_VALUE"""),"Other")</f>
        <v>Other</v>
      </c>
      <c r="G16" s="7"/>
      <c r="H16" s="7" t="str">
        <f>IFERROR(__xludf.DUMMYFUNCTION("""COMPUTED_VALUE"""),"Unknown")</f>
        <v>Unknown</v>
      </c>
      <c r="I16" s="7">
        <f>IFERROR(__xludf.DUMMYFUNCTION("""COMPUTED_VALUE"""),12.0)</f>
        <v>12</v>
      </c>
      <c r="J16" s="7">
        <f>IFERROR(__xludf.DUMMYFUNCTION("""COMPUTED_VALUE"""),0.01)</f>
        <v>0.01</v>
      </c>
      <c r="K16" s="7">
        <f>IFERROR(__xludf.DUMMYFUNCTION("""COMPUTED_VALUE"""),1.08)</f>
        <v>1.08</v>
      </c>
    </row>
    <row r="17" ht="15.75" customHeight="1">
      <c r="A17" s="6" t="str">
        <f>IFERROR(__xludf.DUMMYFUNCTION("""COMPUTED_VALUE"""),"https://zibdigital.com.au/ai-services#:~:text=AI%20marketing%20services.%20An%20AI%20marketing%20agency,partner%20model.%20%2D%20AI%20SEO.%20AI%2Dpowered%20SEO.")</f>
        <v>https://zibdigital.com.au/ai-services#:~:text=AI%20marketing%20services.%20An%20AI%20marketing%20agency,partner%20model.%20%2D%20AI%20SEO.%20AI%2Dpowered%20SEO.</v>
      </c>
      <c r="B17" s="7" t="str">
        <f>IFERROR(__xludf.DUMMYFUNCTION("""COMPUTED_VALUE"""),"AI Marketing Agency Australia | AI Marketing Services · Zib Digital")</f>
        <v>AI Marketing Agency Australia | AI Marketing Services · Zib Digital</v>
      </c>
      <c r="C17" s="6" t="str">
        <f>IFERROR(__xludf.DUMMYFUNCTION("""COMPUTED_VALUE"""),"zibdigital.com.au")</f>
        <v>zibdigital.com.au</v>
      </c>
      <c r="D17" s="7" t="str">
        <f>IFERROR(__xludf.DUMMYFUNCTION("""COMPUTED_VALUE"""),"OTHER")</f>
        <v>OTHER</v>
      </c>
      <c r="E17" s="7" t="str">
        <f>IFERROR(__xludf.DUMMYFUNCTION("""COMPUTED_VALUE"""),"COMPETITOR")</f>
        <v>COMPETITOR</v>
      </c>
      <c r="F17" s="7" t="str">
        <f>IFERROR(__xludf.DUMMYFUNCTION("""COMPUTED_VALUE"""),"Other")</f>
        <v>Other</v>
      </c>
      <c r="G17" s="7" t="b">
        <f>IFERROR(__xludf.DUMMYFUNCTION("""COMPUTED_VALUE"""),FALSE)</f>
        <v>0</v>
      </c>
      <c r="H17" s="7" t="str">
        <f>IFERROR(__xludf.DUMMYFUNCTION("""COMPUTED_VALUE"""),"Zib Digital")</f>
        <v>Zib Digital</v>
      </c>
      <c r="I17" s="7">
        <f>IFERROR(__xludf.DUMMYFUNCTION("""COMPUTED_VALUE"""),11.0)</f>
        <v>11</v>
      </c>
      <c r="J17" s="7">
        <f>IFERROR(__xludf.DUMMYFUNCTION("""COMPUTED_VALUE"""),0.01)</f>
        <v>0.01</v>
      </c>
      <c r="K17" s="7">
        <f>IFERROR(__xludf.DUMMYFUNCTION("""COMPUTED_VALUE"""),1.09)</f>
        <v>1.09</v>
      </c>
    </row>
    <row r="18" ht="15.75" customHeight="1">
      <c r="A18" s="6" t="str">
        <f>IFERROR(__xludf.DUMMYFUNCTION("""COMPUTED_VALUE"""),"https://agencies.semrush.com/list/display-advertising/australia/small-business/")</f>
        <v>https://agencies.semrush.com/list/display-advertising/australia/small-business/</v>
      </c>
      <c r="B18" s="7" t="str">
        <f>IFERROR(__xludf.DUMMYFUNCTION("""COMPUTED_VALUE"""),"Best Display Ads Agencies for Small Business in Australia 2026 | Semrush")</f>
        <v>Best Display Ads Agencies for Small Business in Australia 2026 | Semrush</v>
      </c>
      <c r="C18" s="6" t="str">
        <f>IFERROR(__xludf.DUMMYFUNCTION("""COMPUTED_VALUE"""),"semrush.com")</f>
        <v>semrush.com</v>
      </c>
      <c r="D18" s="7" t="str">
        <f>IFERROR(__xludf.DUMMYFUNCTION("""COMPUTED_VALUE"""),"OTHER")</f>
        <v>OTHER</v>
      </c>
      <c r="E18" s="7" t="str">
        <f>IFERROR(__xludf.DUMMYFUNCTION("""COMPUTED_VALUE"""),"CORPORATE")</f>
        <v>CORPORATE</v>
      </c>
      <c r="F18" s="7" t="str">
        <f>IFERROR(__xludf.DUMMYFUNCTION("""COMPUTED_VALUE"""),"Other")</f>
        <v>Other</v>
      </c>
      <c r="G18" s="7" t="b">
        <f>IFERROR(__xludf.DUMMYFUNCTION("""COMPUTED_VALUE"""),FALSE)</f>
        <v>0</v>
      </c>
      <c r="H18" s="7" t="str">
        <f>IFERROR(__xludf.DUMMYFUNCTION("""COMPUTED_VALUE"""),"Soup Agency, First Page, Clearwater Agency, Measured, Earned Media, Impressive, Online Marketing Gurus, Omnicom Media Group, Click Click Media, First Page Australia, 80/20 Digital")</f>
        <v>Soup Agency, First Page, Clearwater Agency, Measured, Earned Media, Impressive, Online Marketing Gurus, Omnicom Media Group, Click Click Media, First Page Australia, 80/20 Digital</v>
      </c>
      <c r="I18" s="7">
        <f>IFERROR(__xludf.DUMMYFUNCTION("""COMPUTED_VALUE"""),10.0)</f>
        <v>10</v>
      </c>
      <c r="J18" s="7">
        <f>IFERROR(__xludf.DUMMYFUNCTION("""COMPUTED_VALUE"""),0.01)</f>
        <v>0.01</v>
      </c>
      <c r="K18" s="7">
        <f>IFERROR(__xludf.DUMMYFUNCTION("""COMPUTED_VALUE"""),0.3)</f>
        <v>0.3</v>
      </c>
    </row>
    <row r="19" ht="15.75" customHeight="1">
      <c r="A19" s="6" t="str">
        <f>IFERROR(__xludf.DUMMYFUNCTION("""COMPUTED_VALUE"""),"https://agencies.semrush.com/list/display-advertising/perth/")</f>
        <v>https://agencies.semrush.com/list/display-advertising/perth/</v>
      </c>
      <c r="B19" s="7" t="str">
        <f>IFERROR(__xludf.DUMMYFUNCTION("""COMPUTED_VALUE"""),"Best Display Ads Agencies in Perth 2026 | Semrush")</f>
        <v>Best Display Ads Agencies in Perth 2026 | Semrush</v>
      </c>
      <c r="C19" s="6" t="str">
        <f>IFERROR(__xludf.DUMMYFUNCTION("""COMPUTED_VALUE"""),"semrush.com")</f>
        <v>semrush.com</v>
      </c>
      <c r="D19" s="7" t="str">
        <f>IFERROR(__xludf.DUMMYFUNCTION("""COMPUTED_VALUE"""),"OTHER")</f>
        <v>OTHER</v>
      </c>
      <c r="E19" s="7" t="str">
        <f>IFERROR(__xludf.DUMMYFUNCTION("""COMPUTED_VALUE"""),"CORPORATE")</f>
        <v>CORPORATE</v>
      </c>
      <c r="F19" s="7" t="str">
        <f>IFERROR(__xludf.DUMMYFUNCTION("""COMPUTED_VALUE"""),"Other")</f>
        <v>Other</v>
      </c>
      <c r="G19" s="7" t="b">
        <f>IFERROR(__xludf.DUMMYFUNCTION("""COMPUTED_VALUE"""),FALSE)</f>
        <v>0</v>
      </c>
      <c r="H19" s="7"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19" s="7">
        <f>IFERROR(__xludf.DUMMYFUNCTION("""COMPUTED_VALUE"""),10.0)</f>
        <v>10</v>
      </c>
      <c r="J19" s="7">
        <f>IFERROR(__xludf.DUMMYFUNCTION("""COMPUTED_VALUE"""),0.01)</f>
        <v>0.01</v>
      </c>
      <c r="K19" s="7">
        <f>IFERROR(__xludf.DUMMYFUNCTION("""COMPUTED_VALUE"""),0.8)</f>
        <v>0.8</v>
      </c>
    </row>
    <row r="20" ht="15.75" customHeight="1">
      <c r="A20" s="6" t="str">
        <f>IFERROR(__xludf.DUMMYFUNCTION("""COMPUTED_VALUE"""),"https://fastlanerecruit.com/blog/top-15-advertising-agencies-in-australia/#:~:text=A%20global%20leader%20in%20creative%20communications%2C%20Leo,insight%2C%20helping%20companies%20forge%20deep%20audience%20connections.")</f>
        <v>https://fastlanerecruit.com/blog/top-15-advertising-agencies-in-australia/#:~:text=A%20global%20leader%20in%20creative%20communications%2C%20Leo,insight%2C%20helping%20companies%20forge%20deep%20audience%20connections.</v>
      </c>
      <c r="B20" s="7" t="str">
        <f>IFERROR(__xludf.DUMMYFUNCTION("""COMPUTED_VALUE"""),"Top 15 Advertising Agencies in Australia")</f>
        <v>Top 15 Advertising Agencies in Australia</v>
      </c>
      <c r="C20" s="6" t="str">
        <f>IFERROR(__xludf.DUMMYFUNCTION("""COMPUTED_VALUE"""),"fastlanerecruit.com")</f>
        <v>fastlanerecruit.com</v>
      </c>
      <c r="D20" s="7" t="str">
        <f>IFERROR(__xludf.DUMMYFUNCTION("""COMPUTED_VALUE"""),"OTHER")</f>
        <v>OTHER</v>
      </c>
      <c r="E20" s="7" t="str">
        <f>IFERROR(__xludf.DUMMYFUNCTION("""COMPUTED_VALUE"""),"CORPORATE")</f>
        <v>CORPORATE</v>
      </c>
      <c r="F20" s="7" t="str">
        <f>IFERROR(__xludf.DUMMYFUNCTION("""COMPUTED_VALUE"""),"Other")</f>
        <v>Other</v>
      </c>
      <c r="G20" s="7" t="b">
        <f>IFERROR(__xludf.DUMMYFUNCTION("""COMPUTED_VALUE"""),FALSE)</f>
        <v>0</v>
      </c>
      <c r="H20" s="7" t="str">
        <f>IFERROR(__xludf.DUMMYFUNCTION("""COMPUTED_VALUE"""),"Clemenger BBDO, Supple Digital, Online Marketing Gurus, Ogilvy Australia, WPP, Omnicom Media Group, Edge Marketing, Soup Agency, First Page, First Page Australia, KPMG")</f>
        <v>Clemenger BBDO, Supple Digital, Online Marketing Gurus, Ogilvy Australia, WPP, Omnicom Media Group, Edge Marketing, Soup Agency, First Page, First Page Australia, KPMG</v>
      </c>
      <c r="I20" s="7">
        <f>IFERROR(__xludf.DUMMYFUNCTION("""COMPUTED_VALUE"""),10.0)</f>
        <v>10</v>
      </c>
      <c r="J20" s="7">
        <f>IFERROR(__xludf.DUMMYFUNCTION("""COMPUTED_VALUE"""),0.01)</f>
        <v>0.01</v>
      </c>
      <c r="K20" s="7">
        <f>IFERROR(__xludf.DUMMYFUNCTION("""COMPUTED_VALUE"""),1.9)</f>
        <v>1.9</v>
      </c>
    </row>
    <row r="21" ht="15.75" customHeight="1">
      <c r="A21" s="6" t="str">
        <f>IFERROR(__xludf.DUMMYFUNCTION("""COMPUTED_VALUE"""),"https://www.bandt.com.au/agencies/agency-scorecards/")</f>
        <v>https://www.bandt.com.au/agencies/agency-scorecards/</v>
      </c>
      <c r="B21" s="7" t="str">
        <f>IFERROR(__xludf.DUMMYFUNCTION("""COMPUTED_VALUE"""),"Agency Scorecards | B&amp;amp;T")</f>
        <v>Agency Scorecards | B&amp;amp;T</v>
      </c>
      <c r="C21" s="6" t="str">
        <f>IFERROR(__xludf.DUMMYFUNCTION("""COMPUTED_VALUE"""),"bandt.com.au")</f>
        <v>bandt.com.au</v>
      </c>
      <c r="D21" s="7" t="str">
        <f>IFERROR(__xludf.DUMMYFUNCTION("""COMPUTED_VALUE"""),"OTHER")</f>
        <v>OTHER</v>
      </c>
      <c r="E21" s="7" t="str">
        <f>IFERROR(__xludf.DUMMYFUNCTION("""COMPUTED_VALUE"""),"EDITORIAL")</f>
        <v>EDITORIAL</v>
      </c>
      <c r="F21" s="7" t="str">
        <f>IFERROR(__xludf.DUMMYFUNCTION("""COMPUTED_VALUE"""),"Other")</f>
        <v>Other</v>
      </c>
      <c r="G21" s="7" t="b">
        <f>IFERROR(__xludf.DUMMYFUNCTION("""COMPUTED_VALUE"""),FALSE)</f>
        <v>0</v>
      </c>
      <c r="H21" s="7" t="str">
        <f>IFERROR(__xludf.DUMMYFUNCTION("""COMPUTED_VALUE"""),"WPP, Momentum, VML, OMD, PHD, HERO, Mindshare, Thinkerbell, Leo Australia, Wavemaker, We Are Social, Bench Media, Howatson+Company, Saatchi &amp; Saatchi")</f>
        <v>WPP, Momentum, VML, OMD, PHD, HERO, Mindshare, Thinkerbell, Leo Australia, Wavemaker, We Are Social, Bench Media, Howatson+Company, Saatchi &amp; Saatchi</v>
      </c>
      <c r="I21" s="7">
        <f>IFERROR(__xludf.DUMMYFUNCTION("""COMPUTED_VALUE"""),9.0)</f>
        <v>9</v>
      </c>
      <c r="J21" s="7">
        <f>IFERROR(__xludf.DUMMYFUNCTION("""COMPUTED_VALUE"""),0.01)</f>
        <v>0.01</v>
      </c>
      <c r="K21" s="7">
        <f>IFERROR(__xludf.DUMMYFUNCTION("""COMPUTED_VALUE"""),0.33)</f>
        <v>0.33</v>
      </c>
    </row>
    <row r="22" ht="15.75" customHeight="1">
      <c r="A22" s="6" t="str">
        <f>IFERROR(__xludf.DUMMYFUNCTION("""COMPUTED_VALUE"""),"https://www.mkmedia.com.au/marketing-attribution-software/")</f>
        <v>https://www.mkmedia.com.au/marketing-attribution-software/</v>
      </c>
      <c r="B22" s="7"/>
      <c r="C22" s="6" t="str">
        <f>IFERROR(__xludf.DUMMYFUNCTION("""COMPUTED_VALUE"""),"mkmedia.com.au")</f>
        <v>mkmedia.com.au</v>
      </c>
      <c r="D22" s="7" t="str">
        <f>IFERROR(__xludf.DUMMYFUNCTION("""COMPUTED_VALUE"""),"OTHER")</f>
        <v>OTHER</v>
      </c>
      <c r="E22" s="7" t="str">
        <f>IFERROR(__xludf.DUMMYFUNCTION("""COMPUTED_VALUE"""),"COMPETITOR")</f>
        <v>COMPETITOR</v>
      </c>
      <c r="F22" s="7" t="str">
        <f>IFERROR(__xludf.DUMMYFUNCTION("""COMPUTED_VALUE"""),"Other")</f>
        <v>Other</v>
      </c>
      <c r="G22" s="7"/>
      <c r="H22" s="7" t="str">
        <f>IFERROR(__xludf.DUMMYFUNCTION("""COMPUTED_VALUE"""),"Unknown")</f>
        <v>Unknown</v>
      </c>
      <c r="I22" s="7">
        <f>IFERROR(__xludf.DUMMYFUNCTION("""COMPUTED_VALUE"""),9.0)</f>
        <v>9</v>
      </c>
      <c r="J22" s="7">
        <f>IFERROR(__xludf.DUMMYFUNCTION("""COMPUTED_VALUE"""),0.01)</f>
        <v>0.01</v>
      </c>
      <c r="K22" s="7">
        <f>IFERROR(__xludf.DUMMYFUNCTION("""COMPUTED_VALUE"""),0.78)</f>
        <v>0.78</v>
      </c>
    </row>
    <row r="23" ht="15.75" customHeight="1">
      <c r="A23" s="6" t="str">
        <f>IFERROR(__xludf.DUMMYFUNCTION("""COMPUTED_VALUE"""),"https://support.google.com/analytics/answer/7237700?hl=en")</f>
        <v>https://support.google.com/analytics/answer/7237700?hl=en</v>
      </c>
      <c r="B23" s="7" t="str">
        <f>IFERROR(__xludf.DUMMYFUNCTION("""COMPUTED_VALUE"""),"Google Marketing Platform Partners - Analytics Help")</f>
        <v>Google Marketing Platform Partners - Analytics Help</v>
      </c>
      <c r="C23" s="6" t="str">
        <f>IFERROR(__xludf.DUMMYFUNCTION("""COMPUTED_VALUE"""),"google.com")</f>
        <v>google.com</v>
      </c>
      <c r="D23" s="7" t="str">
        <f>IFERROR(__xludf.DUMMYFUNCTION("""COMPUTED_VALUE"""),"OTHER")</f>
        <v>OTHER</v>
      </c>
      <c r="E23" s="7" t="str">
        <f>IFERROR(__xludf.DUMMYFUNCTION("""COMPUTED_VALUE"""),"OTHER")</f>
        <v>OTHER</v>
      </c>
      <c r="F23" s="7" t="str">
        <f>IFERROR(__xludf.DUMMYFUNCTION("""COMPUTED_VALUE"""),"Other")</f>
        <v>Other</v>
      </c>
      <c r="G23" s="7" t="b">
        <f>IFERROR(__xludf.DUMMYFUNCTION("""COMPUTED_VALUE"""),FALSE)</f>
        <v>0</v>
      </c>
      <c r="H23" s="7"/>
      <c r="I23" s="7">
        <f>IFERROR(__xludf.DUMMYFUNCTION("""COMPUTED_VALUE"""),9.0)</f>
        <v>9</v>
      </c>
      <c r="J23" s="7">
        <f>IFERROR(__xludf.DUMMYFUNCTION("""COMPUTED_VALUE"""),0.01)</f>
        <v>0.01</v>
      </c>
      <c r="K23" s="7">
        <f>IFERROR(__xludf.DUMMYFUNCTION("""COMPUTED_VALUE"""),0.89)</f>
        <v>0.89</v>
      </c>
    </row>
    <row r="24" ht="15.75" customHeight="1">
      <c r="A24" s="6" t="str">
        <f>IFERROR(__xludf.DUMMYFUNCTION("""COMPUTED_VALUE"""),"https://www.teamlewis.com/au/data-analytics-agency/#:~:text=Reporting%20is%20only%20as%20good%20as%20the,Us.%20How%20It%20Works%20%2D%20Market%20Analysis.")</f>
        <v>https://www.teamlewis.com/au/data-analytics-agency/#:~:text=Reporting%20is%20only%20as%20good%20as%20the,Us.%20How%20It%20Works%20%2D%20Market%20Analysis.</v>
      </c>
      <c r="B24" s="7" t="str">
        <f>IFERROR(__xludf.DUMMYFUNCTION("""COMPUTED_VALUE"""),"Leading Data Analytics Agency in Australia | TEAM LEWIS")</f>
        <v>Leading Data Analytics Agency in Australia | TEAM LEWIS</v>
      </c>
      <c r="C24" s="6" t="str">
        <f>IFERROR(__xludf.DUMMYFUNCTION("""COMPUTED_VALUE"""),"teamlewis.com")</f>
        <v>teamlewis.com</v>
      </c>
      <c r="D24" s="7" t="str">
        <f>IFERROR(__xludf.DUMMYFUNCTION("""COMPUTED_VALUE"""),"OTHER")</f>
        <v>OTHER</v>
      </c>
      <c r="E24" s="7" t="str">
        <f>IFERROR(__xludf.DUMMYFUNCTION("""COMPUTED_VALUE"""),"CORPORATE")</f>
        <v>CORPORATE</v>
      </c>
      <c r="F24" s="7" t="str">
        <f>IFERROR(__xludf.DUMMYFUNCTION("""COMPUTED_VALUE"""),"Other")</f>
        <v>Other</v>
      </c>
      <c r="G24" s="7" t="b">
        <f>IFERROR(__xludf.DUMMYFUNCTION("""COMPUTED_VALUE"""),FALSE)</f>
        <v>0</v>
      </c>
      <c r="H24" s="7"/>
      <c r="I24" s="7">
        <f>IFERROR(__xludf.DUMMYFUNCTION("""COMPUTED_VALUE"""),9.0)</f>
        <v>9</v>
      </c>
      <c r="J24" s="7">
        <f>IFERROR(__xludf.DUMMYFUNCTION("""COMPUTED_VALUE"""),0.01)</f>
        <v>0.01</v>
      </c>
      <c r="K24" s="7">
        <f>IFERROR(__xludf.DUMMYFUNCTION("""COMPUTED_VALUE"""),1.22)</f>
        <v>1.22</v>
      </c>
    </row>
    <row r="25" ht="15.75" customHeight="1">
      <c r="A25" s="6" t="str">
        <f>IFERROR(__xludf.DUMMYFUNCTION("""COMPUTED_VALUE"""),"https://bluemoonmarketing.com.au/best-aeo-agency-in-australia/")</f>
        <v>https://bluemoonmarketing.com.au/best-aeo-agency-in-australia/</v>
      </c>
      <c r="B25" s="7"/>
      <c r="C25" s="6" t="str">
        <f>IFERROR(__xludf.DUMMYFUNCTION("""COMPUTED_VALUE"""),"bluemoonmarketing.com.au")</f>
        <v>bluemoonmarketing.com.au</v>
      </c>
      <c r="D25" s="7" t="str">
        <f>IFERROR(__xludf.DUMMYFUNCTION("""COMPUTED_VALUE"""),"OTHER")</f>
        <v>OTHER</v>
      </c>
      <c r="E25" s="7" t="str">
        <f>IFERROR(__xludf.DUMMYFUNCTION("""COMPUTED_VALUE"""),"CORPORATE")</f>
        <v>CORPORATE</v>
      </c>
      <c r="F25" s="7" t="str">
        <f>IFERROR(__xludf.DUMMYFUNCTION("""COMPUTED_VALUE"""),"Other")</f>
        <v>Other</v>
      </c>
      <c r="G25" s="7"/>
      <c r="H25" s="7" t="str">
        <f>IFERROR(__xludf.DUMMYFUNCTION("""COMPUTED_VALUE"""),"Unknown")</f>
        <v>Unknown</v>
      </c>
      <c r="I25" s="7">
        <f>IFERROR(__xludf.DUMMYFUNCTION("""COMPUTED_VALUE"""),8.0)</f>
        <v>8</v>
      </c>
      <c r="J25" s="7">
        <f>IFERROR(__xludf.DUMMYFUNCTION("""COMPUTED_VALUE"""),0.01)</f>
        <v>0.01</v>
      </c>
      <c r="K25" s="7">
        <f>IFERROR(__xludf.DUMMYFUNCTION("""COMPUTED_VALUE"""),0.0)</f>
        <v>0</v>
      </c>
    </row>
    <row r="26" ht="15.75" customHeight="1">
      <c r="A26" s="6" t="str">
        <f>IFERROR(__xludf.DUMMYFUNCTION("""COMPUTED_VALUE"""),"https://www.smartinc.com/news/top-10-best-ad-agency-in-australia-leading-sydney-melbourne-brisbane#:~:text=2.%20Blue%2DChip%20Client%20Portfolios%20and%20Commercial%20Impact.,simple%20aesthetics%20to%20solve%20complex%20business%20problems.")</f>
        <v>https://www.smartinc.com/news/top-10-best-ad-agency-in-australia-leading-sydney-melbourne-brisbane#:~:text=2.%20Blue%2DChip%20Client%20Portfolios%20and%20Commercial%20Impact.,simple%20aesthetics%20to%20solve%20complex%20business%20problems.</v>
      </c>
      <c r="B26" s="7" t="str">
        <f>IFERROR(__xludf.DUMMYFUNCTION("""COMPUTED_VALUE"""),"HERO Tops Best Creative Ad Agency Hot List for Australia, Across Sydney, Melbourne and Brisbane — SMART")</f>
        <v>HERO Tops Best Creative Ad Agency Hot List for Australia, Across Sydney, Melbourne and Brisbane — SMART</v>
      </c>
      <c r="C26" s="6" t="str">
        <f>IFERROR(__xludf.DUMMYFUNCTION("""COMPUTED_VALUE"""),"smartinc.com")</f>
        <v>smartinc.com</v>
      </c>
      <c r="D26" s="7" t="str">
        <f>IFERROR(__xludf.DUMMYFUNCTION("""COMPUTED_VALUE"""),"OTHER")</f>
        <v>OTHER</v>
      </c>
      <c r="E26" s="7" t="str">
        <f>IFERROR(__xludf.DUMMYFUNCTION("""COMPUTED_VALUE"""),"CORPORATE")</f>
        <v>CORPORATE</v>
      </c>
      <c r="F26" s="7" t="str">
        <f>IFERROR(__xludf.DUMMYFUNCTION("""COMPUTED_VALUE"""),"Other")</f>
        <v>Other</v>
      </c>
      <c r="G26" s="7" t="b">
        <f>IFERROR(__xludf.DUMMYFUNCTION("""COMPUTED_VALUE"""),FALSE)</f>
        <v>0</v>
      </c>
      <c r="H26" s="7" t="str">
        <f>IFERROR(__xludf.DUMMYFUNCTION("""COMPUTED_VALUE"""),"HERO, Momentum")</f>
        <v>HERO, Momentum</v>
      </c>
      <c r="I26" s="7">
        <f>IFERROR(__xludf.DUMMYFUNCTION("""COMPUTED_VALUE"""),8.0)</f>
        <v>8</v>
      </c>
      <c r="J26" s="7">
        <f>IFERROR(__xludf.DUMMYFUNCTION("""COMPUTED_VALUE"""),0.01)</f>
        <v>0.01</v>
      </c>
      <c r="K26" s="7">
        <f>IFERROR(__xludf.DUMMYFUNCTION("""COMPUTED_VALUE"""),1.5)</f>
        <v>1.5</v>
      </c>
    </row>
    <row r="27" ht="15.75" customHeight="1">
      <c r="A27" s="6" t="str">
        <f>IFERROR(__xludf.DUMMYFUNCTION("""COMPUTED_VALUE"""),"https://www.10seos.com/au/display-advertising-companies-in-australia?page=2")</f>
        <v>https://www.10seos.com/au/display-advertising-companies-in-australia?page=2</v>
      </c>
      <c r="B27" s="7" t="str">
        <f>IFERROR(__xludf.DUMMYFUNCTION("""COMPUTED_VALUE"""),"Top 10 Display Advertising Companies For Best Services-Australia | July 2026")</f>
        <v>Top 10 Display Advertising Companies For Best Services-Australia | July 2026</v>
      </c>
      <c r="C27" s="6" t="str">
        <f>IFERROR(__xludf.DUMMYFUNCTION("""COMPUTED_VALUE"""),"10seos.com")</f>
        <v>10seos.com</v>
      </c>
      <c r="D27" s="7" t="str">
        <f>IFERROR(__xludf.DUMMYFUNCTION("""COMPUTED_VALUE"""),"OTHER")</f>
        <v>OTHER</v>
      </c>
      <c r="E27" s="7" t="str">
        <f>IFERROR(__xludf.DUMMYFUNCTION("""COMPUTED_VALUE"""),"REFERENCE")</f>
        <v>REFERENCE</v>
      </c>
      <c r="F27" s="7" t="str">
        <f>IFERROR(__xludf.DUMMYFUNCTION("""COMPUTED_VALUE"""),"Other")</f>
        <v>Other</v>
      </c>
      <c r="G27" s="7" t="b">
        <f>IFERROR(__xludf.DUMMYFUNCTION("""COMPUTED_VALUE"""),FALSE)</f>
        <v>0</v>
      </c>
      <c r="H27" s="7"/>
      <c r="I27" s="7">
        <f>IFERROR(__xludf.DUMMYFUNCTION("""COMPUTED_VALUE"""),7.0)</f>
        <v>7</v>
      </c>
      <c r="J27" s="7">
        <f>IFERROR(__xludf.DUMMYFUNCTION("""COMPUTED_VALUE"""),0.01)</f>
        <v>0.01</v>
      </c>
      <c r="K27" s="7">
        <f>IFERROR(__xludf.DUMMYFUNCTION("""COMPUTED_VALUE"""),0.0)</f>
        <v>0</v>
      </c>
    </row>
    <row r="28" ht="15.75" customHeight="1">
      <c r="A28" s="6" t="str">
        <f>IFERROR(__xludf.DUMMYFUNCTION("""COMPUTED_VALUE"""),"https://eightclients.com.au/ai-marketing-agency/#:~:text=Imagine%20your%20social%20media%20campaigns%2C%20supercharged%20by,AI%20meets%20creativity%20and%20strategy%20meets%20technology.")</f>
        <v>https://eightclients.com.au/ai-marketing-agency/#:~:text=Imagine%20your%20social%20media%20campaigns%2C%20supercharged%20by,AI%20meets%20creativity%20and%20strategy%20meets%20technology.</v>
      </c>
      <c r="B28" s="7" t="str">
        <f>IFERROR(__xludf.DUMMYFUNCTION("""COMPUTED_VALUE"""),"AI Marketing Agency | Eight Clients")</f>
        <v>AI Marketing Agency | Eight Clients</v>
      </c>
      <c r="C28" s="6" t="str">
        <f>IFERROR(__xludf.DUMMYFUNCTION("""COMPUTED_VALUE"""),"eightclients.com.au")</f>
        <v>eightclients.com.au</v>
      </c>
      <c r="D28" s="7" t="str">
        <f>IFERROR(__xludf.DUMMYFUNCTION("""COMPUTED_VALUE"""),"OTHER")</f>
        <v>OTHER</v>
      </c>
      <c r="E28" s="7" t="str">
        <f>IFERROR(__xludf.DUMMYFUNCTION("""COMPUTED_VALUE"""),"COMPETITOR")</f>
        <v>COMPETITOR</v>
      </c>
      <c r="F28" s="7" t="str">
        <f>IFERROR(__xludf.DUMMYFUNCTION("""COMPUTED_VALUE"""),"Other")</f>
        <v>Other</v>
      </c>
      <c r="G28" s="7" t="b">
        <f>IFERROR(__xludf.DUMMYFUNCTION("""COMPUTED_VALUE"""),FALSE)</f>
        <v>0</v>
      </c>
      <c r="H28" s="7" t="str">
        <f>IFERROR(__xludf.DUMMYFUNCTION("""COMPUTED_VALUE"""),"Eight Clients")</f>
        <v>Eight Clients</v>
      </c>
      <c r="I28" s="7">
        <f>IFERROR(__xludf.DUMMYFUNCTION("""COMPUTED_VALUE"""),6.0)</f>
        <v>6</v>
      </c>
      <c r="J28" s="7">
        <f>IFERROR(__xludf.DUMMYFUNCTION("""COMPUTED_VALUE"""),0.01)</f>
        <v>0.01</v>
      </c>
      <c r="K28" s="7">
        <f>IFERROR(__xludf.DUMMYFUNCTION("""COMPUTED_VALUE"""),0.83)</f>
        <v>0.83</v>
      </c>
    </row>
    <row r="29" ht="15.75" customHeight="1">
      <c r="A29" s="6" t="str">
        <f>IFERROR(__xludf.DUMMYFUNCTION("""COMPUTED_VALUE"""),"https://fabulate.com.au/page/ai-marketing-australia")</f>
        <v>https://fabulate.com.au/page/ai-marketing-australia</v>
      </c>
      <c r="B29" s="7"/>
      <c r="C29" s="6" t="str">
        <f>IFERROR(__xludf.DUMMYFUNCTION("""COMPUTED_VALUE"""),"fabulate.com.au")</f>
        <v>fabulate.com.au</v>
      </c>
      <c r="D29" s="7" t="str">
        <f>IFERROR(__xludf.DUMMYFUNCTION("""COMPUTED_VALUE"""),"OTHER")</f>
        <v>OTHER</v>
      </c>
      <c r="E29" s="7" t="str">
        <f>IFERROR(__xludf.DUMMYFUNCTION("""COMPUTED_VALUE"""),"UGC")</f>
        <v>UGC</v>
      </c>
      <c r="F29" s="7" t="str">
        <f>IFERROR(__xludf.DUMMYFUNCTION("""COMPUTED_VALUE"""),"Other")</f>
        <v>Other</v>
      </c>
      <c r="G29" s="7"/>
      <c r="H29" s="7" t="str">
        <f>IFERROR(__xludf.DUMMYFUNCTION("""COMPUTED_VALUE"""),"Unknown")</f>
        <v>Unknown</v>
      </c>
      <c r="I29" s="7">
        <f>IFERROR(__xludf.DUMMYFUNCTION("""COMPUTED_VALUE"""),6.0)</f>
        <v>6</v>
      </c>
      <c r="J29" s="7">
        <f>IFERROR(__xludf.DUMMYFUNCTION("""COMPUTED_VALUE"""),0.01)</f>
        <v>0.01</v>
      </c>
      <c r="K29" s="7">
        <f>IFERROR(__xludf.DUMMYFUNCTION("""COMPUTED_VALUE"""),1.17)</f>
        <v>1.17</v>
      </c>
    </row>
    <row r="30" ht="15.75" customHeight="1">
      <c r="A30" s="6" t="str">
        <f>IFERROR(__xludf.DUMMYFUNCTION("""COMPUTED_VALUE"""),"https://impressive.com.au/data-and-analytics/#:~:text=Impressive%20is%20committed%20to%20providing%20innovative%20data,experience%20in%20every%20aspect%20of%20your%20business.")</f>
        <v>https://impressive.com.au/data-and-analytics/#:~:text=Impressive%20is%20committed%20to%20providing%20innovative%20data,experience%20in%20every%20aspect%20of%20your%20business.</v>
      </c>
      <c r="B30" s="7" t="str">
        <f>IFERROR(__xludf.DUMMYFUNCTION("""COMPUTED_VALUE"""),"Data &amp;amp; Analytics | Impressive")</f>
        <v>Data &amp;amp; Analytics | Impressive</v>
      </c>
      <c r="C30" s="6" t="str">
        <f>IFERROR(__xludf.DUMMYFUNCTION("""COMPUTED_VALUE"""),"impressive.com.au")</f>
        <v>impressive.com.au</v>
      </c>
      <c r="D30" s="7" t="str">
        <f>IFERROR(__xludf.DUMMYFUNCTION("""COMPUTED_VALUE"""),"OTHER")</f>
        <v>OTHER</v>
      </c>
      <c r="E30" s="7" t="str">
        <f>IFERROR(__xludf.DUMMYFUNCTION("""COMPUTED_VALUE"""),"COMPETITOR")</f>
        <v>COMPETITOR</v>
      </c>
      <c r="F30" s="7" t="str">
        <f>IFERROR(__xludf.DUMMYFUNCTION("""COMPUTED_VALUE"""),"Other")</f>
        <v>Other</v>
      </c>
      <c r="G30" s="7" t="b">
        <f>IFERROR(__xludf.DUMMYFUNCTION("""COMPUTED_VALUE"""),FALSE)</f>
        <v>0</v>
      </c>
      <c r="H30" s="7" t="str">
        <f>IFERROR(__xludf.DUMMYFUNCTION("""COMPUTED_VALUE"""),"Impressive, First Page")</f>
        <v>Impressive, First Page</v>
      </c>
      <c r="I30" s="7">
        <f>IFERROR(__xludf.DUMMYFUNCTION("""COMPUTED_VALUE"""),6.0)</f>
        <v>6</v>
      </c>
      <c r="J30" s="7">
        <f>IFERROR(__xludf.DUMMYFUNCTION("""COMPUTED_VALUE"""),0.01)</f>
        <v>0.01</v>
      </c>
      <c r="K30" s="7">
        <f>IFERROR(__xludf.DUMMYFUNCTION("""COMPUTED_VALUE"""),1.0)</f>
        <v>1</v>
      </c>
    </row>
    <row r="31" ht="15.75" customHeight="1">
      <c r="A31" s="6" t="str">
        <f>IFERROR(__xludf.DUMMYFUNCTION("""COMPUTED_VALUE"""),"https://onpoint.com.au/blog/independent-vs-network-media-agencies-australia")</f>
        <v>https://onpoint.com.au/blog/independent-vs-network-media-agencies-australia</v>
      </c>
      <c r="B31" s="7"/>
      <c r="C31" s="6" t="str">
        <f>IFERROR(__xludf.DUMMYFUNCTION("""COMPUTED_VALUE"""),"onpoint.com.au")</f>
        <v>onpoint.com.au</v>
      </c>
      <c r="D31" s="7" t="str">
        <f>IFERROR(__xludf.DUMMYFUNCTION("""COMPUTED_VALUE"""),"OTHER")</f>
        <v>OTHER</v>
      </c>
      <c r="E31" s="7" t="str">
        <f>IFERROR(__xludf.DUMMYFUNCTION("""COMPUTED_VALUE"""),"CORPORATE")</f>
        <v>CORPORATE</v>
      </c>
      <c r="F31" s="7" t="str">
        <f>IFERROR(__xludf.DUMMYFUNCTION("""COMPUTED_VALUE"""),"Other")</f>
        <v>Other</v>
      </c>
      <c r="G31" s="7"/>
      <c r="H31" s="7" t="str">
        <f>IFERROR(__xludf.DUMMYFUNCTION("""COMPUTED_VALUE"""),"Unknown")</f>
        <v>Unknown</v>
      </c>
      <c r="I31" s="7">
        <f>IFERROR(__xludf.DUMMYFUNCTION("""COMPUTED_VALUE"""),6.0)</f>
        <v>6</v>
      </c>
      <c r="J31" s="7">
        <f>IFERROR(__xludf.DUMMYFUNCTION("""COMPUTED_VALUE"""),0.01)</f>
        <v>0.01</v>
      </c>
      <c r="K31" s="7">
        <f>IFERROR(__xludf.DUMMYFUNCTION("""COMPUTED_VALUE"""),0.0)</f>
        <v>0</v>
      </c>
    </row>
    <row r="32" ht="15.75" customHeight="1">
      <c r="A32" s="6" t="str">
        <f>IFERROR(__xludf.DUMMYFUNCTION("""COMPUTED_VALUE"""),"https://sourceforge.net/software/marketing-attribution/australia/")</f>
        <v>https://sourceforge.net/software/marketing-attribution/australia/</v>
      </c>
      <c r="B32" s="7" t="str">
        <f>IFERROR(__xludf.DUMMYFUNCTION("""COMPUTED_VALUE"""),"Best Marketing Attribution Software in Australia of 2026 - Reviews &amp;amp; Comparison")</f>
        <v>Best Marketing Attribution Software in Australia of 2026 - Reviews &amp;amp; Comparison</v>
      </c>
      <c r="C32" s="6" t="str">
        <f>IFERROR(__xludf.DUMMYFUNCTION("""COMPUTED_VALUE"""),"sourceforge.net")</f>
        <v>sourceforge.net</v>
      </c>
      <c r="D32" s="7" t="str">
        <f>IFERROR(__xludf.DUMMYFUNCTION("""COMPUTED_VALUE"""),"OTHER")</f>
        <v>OTHER</v>
      </c>
      <c r="E32" s="7" t="str">
        <f>IFERROR(__xludf.DUMMYFUNCTION("""COMPUTED_VALUE"""),"OTHER")</f>
        <v>OTHER</v>
      </c>
      <c r="F32" s="7" t="str">
        <f>IFERROR(__xludf.DUMMYFUNCTION("""COMPUTED_VALUE"""),"Other")</f>
        <v>Other</v>
      </c>
      <c r="G32" s="7" t="b">
        <f>IFERROR(__xludf.DUMMYFUNCTION("""COMPUTED_VALUE"""),FALSE)</f>
        <v>0</v>
      </c>
      <c r="H32" s="7" t="str">
        <f>IFERROR(__xludf.DUMMYFUNCTION("""COMPUTED_VALUE"""),"Measured")</f>
        <v>Measured</v>
      </c>
      <c r="I32" s="7">
        <f>IFERROR(__xludf.DUMMYFUNCTION("""COMPUTED_VALUE"""),6.0)</f>
        <v>6</v>
      </c>
      <c r="J32" s="7">
        <f>IFERROR(__xludf.DUMMYFUNCTION("""COMPUTED_VALUE"""),0.01)</f>
        <v>0.01</v>
      </c>
      <c r="K32" s="7">
        <f>IFERROR(__xludf.DUMMYFUNCTION("""COMPUTED_VALUE"""),0.0)</f>
        <v>0</v>
      </c>
    </row>
    <row r="33" ht="15.75" customHeight="1">
      <c r="A33" s="6" t="str">
        <f>IFERROR(__xludf.DUMMYFUNCTION("""COMPUTED_VALUE"""),"https://support.google.com/tagmanager/answer/7237700?hl=en")</f>
        <v>https://support.google.com/tagmanager/answer/7237700?hl=en</v>
      </c>
      <c r="B33" s="7" t="str">
        <f>IFERROR(__xludf.DUMMYFUNCTION("""COMPUTED_VALUE"""),"Google Marketing Platform Partners - Tag Manager Help")</f>
        <v>Google Marketing Platform Partners - Tag Manager Help</v>
      </c>
      <c r="C33" s="6" t="str">
        <f>IFERROR(__xludf.DUMMYFUNCTION("""COMPUTED_VALUE"""),"google.com")</f>
        <v>google.com</v>
      </c>
      <c r="D33" s="7" t="str">
        <f>IFERROR(__xludf.DUMMYFUNCTION("""COMPUTED_VALUE"""),"OTHER")</f>
        <v>OTHER</v>
      </c>
      <c r="E33" s="7" t="str">
        <f>IFERROR(__xludf.DUMMYFUNCTION("""COMPUTED_VALUE"""),"OTHER")</f>
        <v>OTHER</v>
      </c>
      <c r="F33" s="7" t="str">
        <f>IFERROR(__xludf.DUMMYFUNCTION("""COMPUTED_VALUE"""),"Other")</f>
        <v>Other</v>
      </c>
      <c r="G33" s="7" t="b">
        <f>IFERROR(__xludf.DUMMYFUNCTION("""COMPUTED_VALUE"""),FALSE)</f>
        <v>0</v>
      </c>
      <c r="H33" s="7"/>
      <c r="I33" s="7">
        <f>IFERROR(__xludf.DUMMYFUNCTION("""COMPUTED_VALUE"""),6.0)</f>
        <v>6</v>
      </c>
      <c r="J33" s="7">
        <f>IFERROR(__xludf.DUMMYFUNCTION("""COMPUTED_VALUE"""),0.01)</f>
        <v>0.01</v>
      </c>
      <c r="K33" s="7">
        <f>IFERROR(__xludf.DUMMYFUNCTION("""COMPUTED_VALUE"""),0.5)</f>
        <v>0.5</v>
      </c>
    </row>
    <row r="34" ht="15.75" customHeight="1">
      <c r="A34" s="6" t="str">
        <f>IFERROR(__xludf.DUMMYFUNCTION("""COMPUTED_VALUE"""),"https://www.thehero.co/news/australias-top-creative-agency-named-in-business-best-performers#:~:text=The%20report%20found%20food%20manufacturing%20was%20the,PR%20and%20CX%2C%20according%20to%20the%20report.")</f>
        <v>https://www.thehero.co/news/australias-top-creative-agency-named-in-business-best-performers#:~:text=The%20report%20found%20food%20manufacturing%20was%20the,PR%20and%20CX%2C%20according%20to%20the%20report.</v>
      </c>
      <c r="B34" s="7" t="str">
        <f>IFERROR(__xludf.DUMMYFUNCTION("""COMPUTED_VALUE"""),"Australia's Top Creative Agency Named By TrinityP3 and B&amp;amp;T In New Business Rankings Best Performers")</f>
        <v>Australia's Top Creative Agency Named By TrinityP3 and B&amp;amp;T In New Business Rankings Best Performers</v>
      </c>
      <c r="C34" s="6" t="str">
        <f>IFERROR(__xludf.DUMMYFUNCTION("""COMPUTED_VALUE"""),"thehero.co")</f>
        <v>thehero.co</v>
      </c>
      <c r="D34" s="7" t="str">
        <f>IFERROR(__xludf.DUMMYFUNCTION("""COMPUTED_VALUE"""),"OTHER")</f>
        <v>OTHER</v>
      </c>
      <c r="E34" s="7" t="str">
        <f>IFERROR(__xludf.DUMMYFUNCTION("""COMPUTED_VALUE"""),"CORPORATE")</f>
        <v>CORPORATE</v>
      </c>
      <c r="F34" s="7" t="str">
        <f>IFERROR(__xludf.DUMMYFUNCTION("""COMPUTED_VALUE"""),"Other")</f>
        <v>Other</v>
      </c>
      <c r="G34" s="7" t="b">
        <f>IFERROR(__xludf.DUMMYFUNCTION("""COMPUTED_VALUE"""),FALSE)</f>
        <v>0</v>
      </c>
      <c r="H34" s="7" t="str">
        <f>IFERROR(__xludf.DUMMYFUNCTION("""COMPUTED_VALUE"""),"HERO")</f>
        <v>HERO</v>
      </c>
      <c r="I34" s="7">
        <f>IFERROR(__xludf.DUMMYFUNCTION("""COMPUTED_VALUE"""),6.0)</f>
        <v>6</v>
      </c>
      <c r="J34" s="7">
        <f>IFERROR(__xludf.DUMMYFUNCTION("""COMPUTED_VALUE"""),0.01)</f>
        <v>0.01</v>
      </c>
      <c r="K34" s="7">
        <f>IFERROR(__xludf.DUMMYFUNCTION("""COMPUTED_VALUE"""),1.17)</f>
        <v>1.17</v>
      </c>
    </row>
    <row r="35" ht="15.75" customHeight="1">
      <c r="A35" s="6" t="str">
        <f>IFERROR(__xludf.DUMMYFUNCTION("""COMPUTED_VALUE"""),"https://titanblue.com.au/companies-for-social-media-marketing/?srsltid=AfmBOoq21wO8ZjboQuZ1D2V8SlPXLR8gDWQUvPiH1eQa9htbHDXUXWx_")</f>
        <v>https://titanblue.com.au/companies-for-social-media-marketing/?srsltid=AfmBOoq21wO8ZjboQuZ1D2V8SlPXLR8gDWQUvPiH1eQa9htbHDXUXWx_</v>
      </c>
      <c r="B35" s="7" t="str">
        <f>IFERROR(__xludf.DUMMYFUNCTION("""COMPUTED_VALUE"""),"Top 8 companies for social media marketing in Australia")</f>
        <v>Top 8 companies for social media marketing in Australia</v>
      </c>
      <c r="C35" s="6" t="str">
        <f>IFERROR(__xludf.DUMMYFUNCTION("""COMPUTED_VALUE"""),"titanblue.com.au")</f>
        <v>titanblue.com.au</v>
      </c>
      <c r="D35" s="7" t="str">
        <f>IFERROR(__xludf.DUMMYFUNCTION("""COMPUTED_VALUE"""),"OTHER")</f>
        <v>OTHER</v>
      </c>
      <c r="E35" s="7" t="str">
        <f>IFERROR(__xludf.DUMMYFUNCTION("""COMPUTED_VALUE"""),"CORPORATE")</f>
        <v>CORPORATE</v>
      </c>
      <c r="F35" s="7" t="str">
        <f>IFERROR(__xludf.DUMMYFUNCTION("""COMPUTED_VALUE"""),"Other")</f>
        <v>Other</v>
      </c>
      <c r="G35" s="7" t="b">
        <f>IFERROR(__xludf.DUMMYFUNCTION("""COMPUTED_VALUE"""),FALSE)</f>
        <v>0</v>
      </c>
      <c r="H35" s="7" t="str">
        <f>IFERROR(__xludf.DUMMYFUNCTION("""COMPUTED_VALUE"""),"Impressive, Megaphone, King Kong")</f>
        <v>Impressive, Megaphone, King Kong</v>
      </c>
      <c r="I35" s="7">
        <f>IFERROR(__xludf.DUMMYFUNCTION("""COMPUTED_VALUE"""),6.0)</f>
        <v>6</v>
      </c>
      <c r="J35" s="7">
        <f>IFERROR(__xludf.DUMMYFUNCTION("""COMPUTED_VALUE"""),0.01)</f>
        <v>0.01</v>
      </c>
      <c r="K35" s="7">
        <f>IFERROR(__xludf.DUMMYFUNCTION("""COMPUTED_VALUE"""),0.83)</f>
        <v>0.83</v>
      </c>
    </row>
    <row r="36" ht="15.75" customHeight="1">
      <c r="A36" s="6" t="str">
        <f>IFERROR(__xludf.DUMMYFUNCTION("""COMPUTED_VALUE"""),"https://agencies.semrush.com/list/display-advertising/western-australia/")</f>
        <v>https://agencies.semrush.com/list/display-advertising/western-australia/</v>
      </c>
      <c r="B36" s="7" t="str">
        <f>IFERROR(__xludf.DUMMYFUNCTION("""COMPUTED_VALUE"""),"Best Display Ads Agencies in Western Australia 2026 | Semrush")</f>
        <v>Best Display Ads Agencies in Western Australia 2026 | Semrush</v>
      </c>
      <c r="C36" s="6" t="str">
        <f>IFERROR(__xludf.DUMMYFUNCTION("""COMPUTED_VALUE"""),"semrush.com")</f>
        <v>semrush.com</v>
      </c>
      <c r="D36" s="7" t="str">
        <f>IFERROR(__xludf.DUMMYFUNCTION("""COMPUTED_VALUE"""),"OTHER")</f>
        <v>OTHER</v>
      </c>
      <c r="E36" s="7" t="str">
        <f>IFERROR(__xludf.DUMMYFUNCTION("""COMPUTED_VALUE"""),"CORPORATE")</f>
        <v>CORPORATE</v>
      </c>
      <c r="F36" s="7" t="str">
        <f>IFERROR(__xludf.DUMMYFUNCTION("""COMPUTED_VALUE"""),"Other")</f>
        <v>Other</v>
      </c>
      <c r="G36" s="7" t="b">
        <f>IFERROR(__xludf.DUMMYFUNCTION("""COMPUTED_VALUE"""),FALSE)</f>
        <v>0</v>
      </c>
      <c r="H36" s="7"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I36" s="7">
        <f>IFERROR(__xludf.DUMMYFUNCTION("""COMPUTED_VALUE"""),5.0)</f>
        <v>5</v>
      </c>
      <c r="J36" s="7">
        <f>IFERROR(__xludf.DUMMYFUNCTION("""COMPUTED_VALUE"""),0.01)</f>
        <v>0.01</v>
      </c>
      <c r="K36" s="7">
        <f>IFERROR(__xludf.DUMMYFUNCTION("""COMPUTED_VALUE"""),0.6)</f>
        <v>0.6</v>
      </c>
    </row>
    <row r="37" ht="15.75" customHeight="1">
      <c r="A37" s="6" t="str">
        <f>IFERROR(__xludf.DUMMYFUNCTION("""COMPUTED_VALUE"""),"https://www.bluerock.com.au/ai-consulting-services/#:~:text=Process%20Automation%20(RPA%20%2B%20AI)%3A%20Automate%20repetitive,Ensure%20ethical%2C%20secure%2C%20and%20compliant%20AI%20use.")</f>
        <v>https://www.bluerock.com.au/ai-consulting-services/#:~:text=Process%20Automation%20(RPA%20%2B%20AI)%3A%20Automate%20repetitive,Ensure%20ethical%2C%20secure%2C%20and%20compliant%20AI%20use.</v>
      </c>
      <c r="B37" s="7" t="str">
        <f>IFERROR(__xludf.DUMMYFUNCTION("""COMPUTED_VALUE"""),"AI Consulting Services | BlueRock Digital")</f>
        <v>AI Consulting Services | BlueRock Digital</v>
      </c>
      <c r="C37" s="6" t="str">
        <f>IFERROR(__xludf.DUMMYFUNCTION("""COMPUTED_VALUE"""),"bluerock.com.au")</f>
        <v>bluerock.com.au</v>
      </c>
      <c r="D37" s="7" t="str">
        <f>IFERROR(__xludf.DUMMYFUNCTION("""COMPUTED_VALUE"""),"OTHER")</f>
        <v>OTHER</v>
      </c>
      <c r="E37" s="7" t="str">
        <f>IFERROR(__xludf.DUMMYFUNCTION("""COMPUTED_VALUE"""),"CORPORATE")</f>
        <v>CORPORATE</v>
      </c>
      <c r="F37" s="7" t="str">
        <f>IFERROR(__xludf.DUMMYFUNCTION("""COMPUTED_VALUE"""),"Other")</f>
        <v>Other</v>
      </c>
      <c r="G37" s="7" t="b">
        <f>IFERROR(__xludf.DUMMYFUNCTION("""COMPUTED_VALUE"""),FALSE)</f>
        <v>0</v>
      </c>
      <c r="H37" s="7"/>
      <c r="I37" s="7">
        <f>IFERROR(__xludf.DUMMYFUNCTION("""COMPUTED_VALUE"""),5.0)</f>
        <v>5</v>
      </c>
      <c r="J37" s="7">
        <f>IFERROR(__xludf.DUMMYFUNCTION("""COMPUTED_VALUE"""),0.01)</f>
        <v>0.01</v>
      </c>
      <c r="K37" s="7">
        <f>IFERROR(__xludf.DUMMYFUNCTION("""COMPUTED_VALUE"""),1.4)</f>
        <v>1.4</v>
      </c>
    </row>
    <row r="38" ht="15.75" customHeight="1">
      <c r="A38" s="6" t="str">
        <f>IFERROR(__xludf.DUMMYFUNCTION("""COMPUTED_VALUE"""),"https://clutch.co/au/agencies/ppc/display?page=2")</f>
        <v>https://clutch.co/au/agencies/ppc/display?page=2</v>
      </c>
      <c r="B38" s="7" t="str">
        <f>IFERROR(__xludf.DUMMYFUNCTION("""COMPUTED_VALUE"""),"Page 2 - Top Display Advertising Services in Australia - Jul 2026 Rankings | Clutch.co")</f>
        <v>Page 2 - Top Display Advertising Services in Australia - Jul 2026 Rankings | Clutch.co</v>
      </c>
      <c r="C38" s="6" t="str">
        <f>IFERROR(__xludf.DUMMYFUNCTION("""COMPUTED_VALUE"""),"clutch.co")</f>
        <v>clutch.co</v>
      </c>
      <c r="D38" s="7" t="str">
        <f>IFERROR(__xludf.DUMMYFUNCTION("""COMPUTED_VALUE"""),"OTHER")</f>
        <v>OTHER</v>
      </c>
      <c r="E38" s="7" t="str">
        <f>IFERROR(__xludf.DUMMYFUNCTION("""COMPUTED_VALUE"""),"CORPORATE")</f>
        <v>CORPORATE</v>
      </c>
      <c r="F38" s="7" t="str">
        <f>IFERROR(__xludf.DUMMYFUNCTION("""COMPUTED_VALUE"""),"Other")</f>
        <v>Other</v>
      </c>
      <c r="G38" s="7" t="b">
        <f>IFERROR(__xludf.DUMMYFUNCTION("""COMPUTED_VALUE"""),FALSE)</f>
        <v>0</v>
      </c>
      <c r="H38" s="7" t="str">
        <f>IFERROR(__xludf.DUMMYFUNCTION("""COMPUTED_VALUE"""),"First Page, Impressive, Paradox Marketing, Intesols, Soup Agency, Salt &amp; Fuessel, Click Click Media")</f>
        <v>First Page, Impressive, Paradox Marketing, Intesols, Soup Agency, Salt &amp; Fuessel, Click Click Media</v>
      </c>
      <c r="I38" s="7">
        <f>IFERROR(__xludf.DUMMYFUNCTION("""COMPUTED_VALUE"""),5.0)</f>
        <v>5</v>
      </c>
      <c r="J38" s="7">
        <f>IFERROR(__xludf.DUMMYFUNCTION("""COMPUTED_VALUE"""),0.01)</f>
        <v>0.01</v>
      </c>
      <c r="K38" s="7">
        <f>IFERROR(__xludf.DUMMYFUNCTION("""COMPUTED_VALUE"""),0.0)</f>
        <v>0</v>
      </c>
    </row>
    <row r="39" ht="15.75" customHeight="1">
      <c r="A39" s="6" t="str">
        <f>IFERROR(__xludf.DUMMYFUNCTION("""COMPUTED_VALUE"""),"https://ecosystem.hubspot.com/marketplace/solutions/paid-advertising/consumer-services/australia")</f>
        <v>https://ecosystem.hubspot.com/marketplace/solutions/paid-advertising/consumer-services/australia</v>
      </c>
      <c r="B39" s="7"/>
      <c r="C39" s="6" t="str">
        <f>IFERROR(__xludf.DUMMYFUNCTION("""COMPUTED_VALUE"""),"hubspot.com")</f>
        <v>hubspot.com</v>
      </c>
      <c r="D39" s="7" t="str">
        <f>IFERROR(__xludf.DUMMYFUNCTION("""COMPUTED_VALUE"""),"OTHER")</f>
        <v>OTHER</v>
      </c>
      <c r="E39" s="7" t="str">
        <f>IFERROR(__xludf.DUMMYFUNCTION("""COMPUTED_VALUE"""),"CORPORATE")</f>
        <v>CORPORATE</v>
      </c>
      <c r="F39" s="7" t="str">
        <f>IFERROR(__xludf.DUMMYFUNCTION("""COMPUTED_VALUE"""),"Other")</f>
        <v>Other</v>
      </c>
      <c r="G39" s="7"/>
      <c r="H39" s="7" t="str">
        <f>IFERROR(__xludf.DUMMYFUNCTION("""COMPUTED_VALUE"""),"Unknown")</f>
        <v>Unknown</v>
      </c>
      <c r="I39" s="7">
        <f>IFERROR(__xludf.DUMMYFUNCTION("""COMPUTED_VALUE"""),5.0)</f>
        <v>5</v>
      </c>
      <c r="J39" s="7">
        <f>IFERROR(__xludf.DUMMYFUNCTION("""COMPUTED_VALUE"""),0.01)</f>
        <v>0.01</v>
      </c>
      <c r="K39" s="7">
        <f>IFERROR(__xludf.DUMMYFUNCTION("""COMPUTED_VALUE"""),0.4)</f>
        <v>0.4</v>
      </c>
    </row>
    <row r="40" ht="15.75" customHeight="1">
      <c r="A40" s="6" t="str">
        <f>IFERROR(__xludf.DUMMYFUNCTION("""COMPUTED_VALUE"""),"https://ecosystem.hubspot.com/marketplace/solutions/paid-advertising/government/australia")</f>
        <v>https://ecosystem.hubspot.com/marketplace/solutions/paid-advertising/government/australia</v>
      </c>
      <c r="B40" s="7"/>
      <c r="C40" s="6" t="str">
        <f>IFERROR(__xludf.DUMMYFUNCTION("""COMPUTED_VALUE"""),"hubspot.com")</f>
        <v>hubspot.com</v>
      </c>
      <c r="D40" s="7" t="str">
        <f>IFERROR(__xludf.DUMMYFUNCTION("""COMPUTED_VALUE"""),"OTHER")</f>
        <v>OTHER</v>
      </c>
      <c r="E40" s="7" t="str">
        <f>IFERROR(__xludf.DUMMYFUNCTION("""COMPUTED_VALUE"""),"CORPORATE")</f>
        <v>CORPORATE</v>
      </c>
      <c r="F40" s="7" t="str">
        <f>IFERROR(__xludf.DUMMYFUNCTION("""COMPUTED_VALUE"""),"Other")</f>
        <v>Other</v>
      </c>
      <c r="G40" s="7"/>
      <c r="H40" s="7" t="str">
        <f>IFERROR(__xludf.DUMMYFUNCTION("""COMPUTED_VALUE"""),"Unknown")</f>
        <v>Unknown</v>
      </c>
      <c r="I40" s="7">
        <f>IFERROR(__xludf.DUMMYFUNCTION("""COMPUTED_VALUE"""),5.0)</f>
        <v>5</v>
      </c>
      <c r="J40" s="7">
        <f>IFERROR(__xludf.DUMMYFUNCTION("""COMPUTED_VALUE"""),0.01)</f>
        <v>0.01</v>
      </c>
      <c r="K40" s="7">
        <f>IFERROR(__xludf.DUMMYFUNCTION("""COMPUTED_VALUE"""),0.2)</f>
        <v>0.2</v>
      </c>
    </row>
    <row r="41" ht="15.75" customHeight="1">
      <c r="A41" s="6" t="str">
        <f>IFERROR(__xludf.DUMMYFUNCTION("""COMPUTED_VALUE"""),"https://ecosystem.hubspot.com/marketplace/solutions/paid-advertising/telecom-mobile-communications/australia")</f>
        <v>https://ecosystem.hubspot.com/marketplace/solutions/paid-advertising/telecom-mobile-communications/australia</v>
      </c>
      <c r="B41" s="7"/>
      <c r="C41" s="6" t="str">
        <f>IFERROR(__xludf.DUMMYFUNCTION("""COMPUTED_VALUE"""),"hubspot.com")</f>
        <v>hubspot.com</v>
      </c>
      <c r="D41" s="7" t="str">
        <f>IFERROR(__xludf.DUMMYFUNCTION("""COMPUTED_VALUE"""),"OTHER")</f>
        <v>OTHER</v>
      </c>
      <c r="E41" s="7" t="str">
        <f>IFERROR(__xludf.DUMMYFUNCTION("""COMPUTED_VALUE"""),"CORPORATE")</f>
        <v>CORPORATE</v>
      </c>
      <c r="F41" s="7" t="str">
        <f>IFERROR(__xludf.DUMMYFUNCTION("""COMPUTED_VALUE"""),"Other")</f>
        <v>Other</v>
      </c>
      <c r="G41" s="7"/>
      <c r="H41" s="7" t="str">
        <f>IFERROR(__xludf.DUMMYFUNCTION("""COMPUTED_VALUE"""),"Unknown")</f>
        <v>Unknown</v>
      </c>
      <c r="I41" s="7">
        <f>IFERROR(__xludf.DUMMYFUNCTION("""COMPUTED_VALUE"""),5.0)</f>
        <v>5</v>
      </c>
      <c r="J41" s="7">
        <f>IFERROR(__xludf.DUMMYFUNCTION("""COMPUTED_VALUE"""),0.01)</f>
        <v>0.01</v>
      </c>
      <c r="K41" s="7">
        <f>IFERROR(__xludf.DUMMYFUNCTION("""COMPUTED_VALUE"""),1.0)</f>
        <v>1</v>
      </c>
    </row>
    <row r="42" ht="15.75" customHeight="1">
      <c r="A42" s="6" t="str">
        <f>IFERROR(__xludf.DUMMYFUNCTION("""COMPUTED_VALUE"""),"https://admatic.com/lp/media-agency/melbourne")</f>
        <v>https://admatic.com/lp/media-agency/melbourne</v>
      </c>
      <c r="B42" s="7" t="str">
        <f>IFERROR(__xludf.DUMMYFUNCTION("""COMPUTED_VALUE"""),"Media Agency Melbourne | Media Planning, Programmatic &amp;amp; BVOD | ADMATIC")</f>
        <v>Media Agency Melbourne | Media Planning, Programmatic &amp;amp; BVOD | ADMATIC</v>
      </c>
      <c r="C42" s="6" t="str">
        <f>IFERROR(__xludf.DUMMYFUNCTION("""COMPUTED_VALUE"""),"admatic.com")</f>
        <v>admatic.com</v>
      </c>
      <c r="D42" s="7" t="str">
        <f>IFERROR(__xludf.DUMMYFUNCTION("""COMPUTED_VALUE"""),"OTHER")</f>
        <v>OTHER</v>
      </c>
      <c r="E42" s="7" t="str">
        <f>IFERROR(__xludf.DUMMYFUNCTION("""COMPUTED_VALUE"""),"CORPORATE")</f>
        <v>CORPORATE</v>
      </c>
      <c r="F42" s="7" t="str">
        <f>IFERROR(__xludf.DUMMYFUNCTION("""COMPUTED_VALUE"""),"Other")</f>
        <v>Other</v>
      </c>
      <c r="G42" s="7" t="b">
        <f>IFERROR(__xludf.DUMMYFUNCTION("""COMPUTED_VALUE"""),FALSE)</f>
        <v>0</v>
      </c>
      <c r="H42" s="7"/>
      <c r="I42" s="7">
        <f>IFERROR(__xludf.DUMMYFUNCTION("""COMPUTED_VALUE"""),4.0)</f>
        <v>4</v>
      </c>
      <c r="J42" s="7">
        <f>IFERROR(__xludf.DUMMYFUNCTION("""COMPUTED_VALUE"""),0.0)</f>
        <v>0</v>
      </c>
      <c r="K42" s="7">
        <f>IFERROR(__xludf.DUMMYFUNCTION("""COMPUTED_VALUE"""),1.75)</f>
        <v>1.75</v>
      </c>
    </row>
    <row r="43" ht="15.75" customHeight="1">
      <c r="A43" s="6" t="str">
        <f>IFERROR(__xludf.DUMMYFUNCTION("""COMPUTED_VALUE"""),"https://agencies.semrush.com/list/display-advertising/ecommerce/australia/")</f>
        <v>https://agencies.semrush.com/list/display-advertising/ecommerce/australia/</v>
      </c>
      <c r="B43" s="7" t="str">
        <f>IFERROR(__xludf.DUMMYFUNCTION("""COMPUTED_VALUE"""),"Best Ecommerce Display Ads Agencies in Australia 2026 | Semrush")</f>
        <v>Best Ecommerce Display Ads Agencies in Australia 2026 | Semrush</v>
      </c>
      <c r="C43" s="6" t="str">
        <f>IFERROR(__xludf.DUMMYFUNCTION("""COMPUTED_VALUE"""),"semrush.com")</f>
        <v>semrush.com</v>
      </c>
      <c r="D43" s="7" t="str">
        <f>IFERROR(__xludf.DUMMYFUNCTION("""COMPUTED_VALUE"""),"OTHER")</f>
        <v>OTHER</v>
      </c>
      <c r="E43" s="7" t="str">
        <f>IFERROR(__xludf.DUMMYFUNCTION("""COMPUTED_VALUE"""),"CORPORATE")</f>
        <v>CORPORATE</v>
      </c>
      <c r="F43" s="7" t="str">
        <f>IFERROR(__xludf.DUMMYFUNCTION("""COMPUTED_VALUE"""),"Other")</f>
        <v>Other</v>
      </c>
      <c r="G43" s="7" t="b">
        <f>IFERROR(__xludf.DUMMYFUNCTION("""COMPUTED_VALUE"""),FALSE)</f>
        <v>0</v>
      </c>
      <c r="H43" s="7"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43" s="7">
        <f>IFERROR(__xludf.DUMMYFUNCTION("""COMPUTED_VALUE"""),4.0)</f>
        <v>4</v>
      </c>
      <c r="J43" s="7">
        <f>IFERROR(__xludf.DUMMYFUNCTION("""COMPUTED_VALUE"""),0.0)</f>
        <v>0</v>
      </c>
      <c r="K43" s="7">
        <f>IFERROR(__xludf.DUMMYFUNCTION("""COMPUTED_VALUE"""),0.0)</f>
        <v>0</v>
      </c>
    </row>
    <row r="44" ht="15.75" customHeight="1">
      <c r="A44" s="6" t="str">
        <f>IFERROR(__xludf.DUMMYFUNCTION("""COMPUTED_VALUE"""),"https://appfillip.com/analytics/in/australia")</f>
        <v>https://appfillip.com/analytics/in/australia</v>
      </c>
      <c r="B44" s="7"/>
      <c r="C44" s="6" t="str">
        <f>IFERROR(__xludf.DUMMYFUNCTION("""COMPUTED_VALUE"""),"appfillip.com")</f>
        <v>appfillip.com</v>
      </c>
      <c r="D44" s="7" t="str">
        <f>IFERROR(__xludf.DUMMYFUNCTION("""COMPUTED_VALUE"""),"OTHER")</f>
        <v>OTHER</v>
      </c>
      <c r="E44" s="7" t="str">
        <f>IFERROR(__xludf.DUMMYFUNCTION("""COMPUTED_VALUE"""),"CORPORATE")</f>
        <v>CORPORATE</v>
      </c>
      <c r="F44" s="7" t="str">
        <f>IFERROR(__xludf.DUMMYFUNCTION("""COMPUTED_VALUE"""),"Other")</f>
        <v>Other</v>
      </c>
      <c r="G44" s="7"/>
      <c r="H44" s="7" t="str">
        <f>IFERROR(__xludf.DUMMYFUNCTION("""COMPUTED_VALUE"""),"Unknown")</f>
        <v>Unknown</v>
      </c>
      <c r="I44" s="7">
        <f>IFERROR(__xludf.DUMMYFUNCTION("""COMPUTED_VALUE"""),4.0)</f>
        <v>4</v>
      </c>
      <c r="J44" s="7">
        <f>IFERROR(__xludf.DUMMYFUNCTION("""COMPUTED_VALUE"""),0.0)</f>
        <v>0</v>
      </c>
      <c r="K44" s="7">
        <f>IFERROR(__xludf.DUMMYFUNCTION("""COMPUTED_VALUE"""),1.5)</f>
        <v>1.5</v>
      </c>
    </row>
    <row r="45" ht="15.75" customHeight="1">
      <c r="A45" s="6" t="str">
        <f>IFERROR(__xludf.DUMMYFUNCTION("""COMPUTED_VALUE"""),"https://www.bestadsontv.com/rankings.php?category=All&amp;country=Australia&amp;period=-10&amp;role=agency")</f>
        <v>https://www.bestadsontv.com/rankings.php?category=All&amp;country=Australia&amp;period=-10&amp;role=agency</v>
      </c>
      <c r="B45" s="7"/>
      <c r="C45" s="6" t="str">
        <f>IFERROR(__xludf.DUMMYFUNCTION("""COMPUTED_VALUE"""),"bestadsontv.com")</f>
        <v>bestadsontv.com</v>
      </c>
      <c r="D45" s="7" t="str">
        <f>IFERROR(__xludf.DUMMYFUNCTION("""COMPUTED_VALUE"""),"OTHER")</f>
        <v>OTHER</v>
      </c>
      <c r="E45" s="7" t="str">
        <f>IFERROR(__xludf.DUMMYFUNCTION("""COMPUTED_VALUE"""),"EDITORIAL")</f>
        <v>EDITORIAL</v>
      </c>
      <c r="F45" s="7" t="str">
        <f>IFERROR(__xludf.DUMMYFUNCTION("""COMPUTED_VALUE"""),"Other")</f>
        <v>Other</v>
      </c>
      <c r="G45" s="7"/>
      <c r="H45" s="7" t="str">
        <f>IFERROR(__xludf.DUMMYFUNCTION("""COMPUTED_VALUE"""),"Unknown")</f>
        <v>Unknown</v>
      </c>
      <c r="I45" s="7">
        <f>IFERROR(__xludf.DUMMYFUNCTION("""COMPUTED_VALUE"""),4.0)</f>
        <v>4</v>
      </c>
      <c r="J45" s="7">
        <f>IFERROR(__xludf.DUMMYFUNCTION("""COMPUTED_VALUE"""),0.0)</f>
        <v>0</v>
      </c>
      <c r="K45" s="7">
        <f>IFERROR(__xludf.DUMMYFUNCTION("""COMPUTED_VALUE"""),1.25)</f>
        <v>1.25</v>
      </c>
    </row>
    <row r="46" ht="15.75" customHeight="1">
      <c r="A46" s="6" t="str">
        <f>IFERROR(__xludf.DUMMYFUNCTION("""COMPUTED_VALUE"""),"https://businessinfopro.com/blogs/information-technology-blog/top-ai-development-consulting-firms-in-australia/")</f>
        <v>https://businessinfopro.com/blogs/information-technology-blog/top-ai-development-consulting-firms-in-australia/</v>
      </c>
      <c r="B46" s="7" t="str">
        <f>IFERROR(__xludf.DUMMYFUNCTION("""COMPUTED_VALUE"""),"Top 10 AI Development and Consulting Companies in Australia")</f>
        <v>Top 10 AI Development and Consulting Companies in Australia</v>
      </c>
      <c r="C46" s="6" t="str">
        <f>IFERROR(__xludf.DUMMYFUNCTION("""COMPUTED_VALUE"""),"businessinfopro.com")</f>
        <v>businessinfopro.com</v>
      </c>
      <c r="D46" s="7" t="str">
        <f>IFERROR(__xludf.DUMMYFUNCTION("""COMPUTED_VALUE"""),"OTHER")</f>
        <v>OTHER</v>
      </c>
      <c r="E46" s="7" t="str">
        <f>IFERROR(__xludf.DUMMYFUNCTION("""COMPUTED_VALUE"""),"REFERENCE")</f>
        <v>REFERENCE</v>
      </c>
      <c r="F46" s="7" t="str">
        <f>IFERROR(__xludf.DUMMYFUNCTION("""COMPUTED_VALUE"""),"Other")</f>
        <v>Other</v>
      </c>
      <c r="G46" s="7" t="b">
        <f>IFERROR(__xludf.DUMMYFUNCTION("""COMPUTED_VALUE"""),FALSE)</f>
        <v>0</v>
      </c>
      <c r="H46" s="7"/>
      <c r="I46" s="7">
        <f>IFERROR(__xludf.DUMMYFUNCTION("""COMPUTED_VALUE"""),4.0)</f>
        <v>4</v>
      </c>
      <c r="J46" s="7">
        <f>IFERROR(__xludf.DUMMYFUNCTION("""COMPUTED_VALUE"""),0.0)</f>
        <v>0</v>
      </c>
      <c r="K46" s="7">
        <f>IFERROR(__xludf.DUMMYFUNCTION("""COMPUTED_VALUE"""),1.25)</f>
        <v>1.25</v>
      </c>
    </row>
    <row r="47" ht="15.75" customHeight="1">
      <c r="A47" s="6" t="str">
        <f>IFERROR(__xludf.DUMMYFUNCTION("""COMPUTED_VALUE"""),"https://dejanmarketing.com/best-ai-seo-agencies/#:~:text=If%20you%20want%20AI%2Daware%20SEO%20that%20feels,technical%20SEO%2C%20product%20management%2C%20and%20applied%20AI.")</f>
        <v>https://dejanmarketing.com/best-ai-seo-agencies/#:~:text=If%20you%20want%20AI%2Daware%20SEO%20that%20feels,technical%20SEO%2C%20product%20management%2C%20and%20applied%20AI.</v>
      </c>
      <c r="B47" s="7" t="str">
        <f>IFERROR(__xludf.DUMMYFUNCTION("""COMPUTED_VALUE"""),"Best AI SEO agencies to watch out for in 2026")</f>
        <v>Best AI SEO agencies to watch out for in 2026</v>
      </c>
      <c r="C47" s="6" t="str">
        <f>IFERROR(__xludf.DUMMYFUNCTION("""COMPUTED_VALUE"""),"dejanmarketing.com")</f>
        <v>dejanmarketing.com</v>
      </c>
      <c r="D47" s="7" t="str">
        <f>IFERROR(__xludf.DUMMYFUNCTION("""COMPUTED_VALUE"""),"OTHER")</f>
        <v>OTHER</v>
      </c>
      <c r="E47" s="7" t="str">
        <f>IFERROR(__xludf.DUMMYFUNCTION("""COMPUTED_VALUE"""),"CORPORATE")</f>
        <v>CORPORATE</v>
      </c>
      <c r="F47" s="7" t="str">
        <f>IFERROR(__xludf.DUMMYFUNCTION("""COMPUTED_VALUE"""),"Other")</f>
        <v>Other</v>
      </c>
      <c r="G47" s="7" t="b">
        <f>IFERROR(__xludf.DUMMYFUNCTION("""COMPUTED_VALUE"""),FALSE)</f>
        <v>0</v>
      </c>
      <c r="H47" s="7" t="str">
        <f>IFERROR(__xludf.DUMMYFUNCTION("""COMPUTED_VALUE"""),"Huge, PHD")</f>
        <v>Huge, PHD</v>
      </c>
      <c r="I47" s="7">
        <f>IFERROR(__xludf.DUMMYFUNCTION("""COMPUTED_VALUE"""),4.0)</f>
        <v>4</v>
      </c>
      <c r="J47" s="7">
        <f>IFERROR(__xludf.DUMMYFUNCTION("""COMPUTED_VALUE"""),0.0)</f>
        <v>0</v>
      </c>
      <c r="K47" s="7">
        <f>IFERROR(__xludf.DUMMYFUNCTION("""COMPUTED_VALUE"""),1.5)</f>
        <v>1.5</v>
      </c>
    </row>
    <row r="48" ht="15.75" customHeight="1">
      <c r="A48" s="6" t="str">
        <f>IFERROR(__xludf.DUMMYFUNCTION("""COMPUTED_VALUE"""),"https://www.goodfirms.co/directory/city/top-digital-marketing-companies/media-planning-buying/melbourne")</f>
        <v>https://www.goodfirms.co/directory/city/top-digital-marketing-companies/media-planning-buying/melbourne</v>
      </c>
      <c r="B48" s="7" t="str">
        <f>IFERROR(__xludf.DUMMYFUNCTION("""COMPUTED_VALUE"""),"Top Media Buying Agencies in Melbourne - 2026 Reviews | Goodfirms")</f>
        <v>Top Media Buying Agencies in Melbourne - 2026 Reviews | Goodfirms</v>
      </c>
      <c r="C48" s="6" t="str">
        <f>IFERROR(__xludf.DUMMYFUNCTION("""COMPUTED_VALUE"""),"goodfirms.co")</f>
        <v>goodfirms.co</v>
      </c>
      <c r="D48" s="7" t="str">
        <f>IFERROR(__xludf.DUMMYFUNCTION("""COMPUTED_VALUE"""),"OTHER")</f>
        <v>OTHER</v>
      </c>
      <c r="E48" s="7" t="str">
        <f>IFERROR(__xludf.DUMMYFUNCTION("""COMPUTED_VALUE"""),"UGC")</f>
        <v>UGC</v>
      </c>
      <c r="F48" s="7" t="str">
        <f>IFERROR(__xludf.DUMMYFUNCTION("""COMPUTED_VALUE"""),"Other")</f>
        <v>Other</v>
      </c>
      <c r="G48" s="7" t="b">
        <f>IFERROR(__xludf.DUMMYFUNCTION("""COMPUTED_VALUE"""),FALSE)</f>
        <v>0</v>
      </c>
      <c r="H48" s="7" t="str">
        <f>IFERROR(__xludf.DUMMYFUNCTION("""COMPUTED_VALUE"""),"Emote Digital, eMarket Experts, SIXGUN, Impressive")</f>
        <v>Emote Digital, eMarket Experts, SIXGUN, Impressive</v>
      </c>
      <c r="I48" s="7">
        <f>IFERROR(__xludf.DUMMYFUNCTION("""COMPUTED_VALUE"""),4.0)</f>
        <v>4</v>
      </c>
      <c r="J48" s="7">
        <f>IFERROR(__xludf.DUMMYFUNCTION("""COMPUTED_VALUE"""),0.0)</f>
        <v>0</v>
      </c>
      <c r="K48" s="7">
        <f>IFERROR(__xludf.DUMMYFUNCTION("""COMPUTED_VALUE"""),0.0)</f>
        <v>0</v>
      </c>
    </row>
    <row r="49" ht="15.75" customHeight="1">
      <c r="A49" s="6" t="str">
        <f>IFERROR(__xludf.DUMMYFUNCTION("""COMPUTED_VALUE"""),"https://support.google.com/analytics/answer/7237700?hl=en-AU")</f>
        <v>https://support.google.com/analytics/answer/7237700?hl=en-AU</v>
      </c>
      <c r="B49" s="7" t="str">
        <f>IFERROR(__xludf.DUMMYFUNCTION("""COMPUTED_VALUE"""),"Google Marketing Platform Partners - Analytics Help")</f>
        <v>Google Marketing Platform Partners - Analytics Help</v>
      </c>
      <c r="C49" s="6" t="str">
        <f>IFERROR(__xludf.DUMMYFUNCTION("""COMPUTED_VALUE"""),"google.com")</f>
        <v>google.com</v>
      </c>
      <c r="D49" s="7" t="str">
        <f>IFERROR(__xludf.DUMMYFUNCTION("""COMPUTED_VALUE"""),"OTHER")</f>
        <v>OTHER</v>
      </c>
      <c r="E49" s="7" t="str">
        <f>IFERROR(__xludf.DUMMYFUNCTION("""COMPUTED_VALUE"""),"OTHER")</f>
        <v>OTHER</v>
      </c>
      <c r="F49" s="7" t="str">
        <f>IFERROR(__xludf.DUMMYFUNCTION("""COMPUTED_VALUE"""),"Other")</f>
        <v>Other</v>
      </c>
      <c r="G49" s="7" t="b">
        <f>IFERROR(__xludf.DUMMYFUNCTION("""COMPUTED_VALUE"""),FALSE)</f>
        <v>0</v>
      </c>
      <c r="H49" s="7"/>
      <c r="I49" s="7">
        <f>IFERROR(__xludf.DUMMYFUNCTION("""COMPUTED_VALUE"""),4.0)</f>
        <v>4</v>
      </c>
      <c r="J49" s="7">
        <f>IFERROR(__xludf.DUMMYFUNCTION("""COMPUTED_VALUE"""),0.0)</f>
        <v>0</v>
      </c>
      <c r="K49" s="7">
        <f>IFERROR(__xludf.DUMMYFUNCTION("""COMPUTED_VALUE"""),1.75)</f>
        <v>1.75</v>
      </c>
    </row>
    <row r="50" ht="15.75" customHeight="1">
      <c r="A50" s="6" t="str">
        <f>IFERROR(__xludf.DUMMYFUNCTION("""COMPUTED_VALUE"""),"https://agencies.semrush.com/list/analytics-data-science/information-technology/australia/")</f>
        <v>https://agencies.semrush.com/list/analytics-data-science/information-technology/australia/</v>
      </c>
      <c r="B50" s="7" t="str">
        <f>IFERROR(__xludf.DUMMYFUNCTION("""COMPUTED_VALUE"""),"Best IT Data Analytics Services in Australia 2026 | Semrush")</f>
        <v>Best IT Data Analytics Services in Australia 2026 | Semrush</v>
      </c>
      <c r="C50" s="6" t="str">
        <f>IFERROR(__xludf.DUMMYFUNCTION("""COMPUTED_VALUE"""),"semrush.com")</f>
        <v>semrush.com</v>
      </c>
      <c r="D50" s="7" t="str">
        <f>IFERROR(__xludf.DUMMYFUNCTION("""COMPUTED_VALUE"""),"OTHER")</f>
        <v>OTHER</v>
      </c>
      <c r="E50" s="7" t="str">
        <f>IFERROR(__xludf.DUMMYFUNCTION("""COMPUTED_VALUE"""),"CORPORATE")</f>
        <v>CORPORATE</v>
      </c>
      <c r="F50" s="7" t="str">
        <f>IFERROR(__xludf.DUMMYFUNCTION("""COMPUTED_VALUE"""),"Other")</f>
        <v>Other</v>
      </c>
      <c r="G50" s="7" t="b">
        <f>IFERROR(__xludf.DUMMYFUNCTION("""COMPUTED_VALUE"""),FALSE)</f>
        <v>0</v>
      </c>
      <c r="H50" s="7" t="str">
        <f>IFERROR(__xludf.DUMMYFUNCTION("""COMPUTED_VALUE"""),"Soup Agency, First Page, Online Marketing Gurus, Omnicom Media Group, 80/20 Digital, Earned Media")</f>
        <v>Soup Agency, First Page, Online Marketing Gurus, Omnicom Media Group, 80/20 Digital, Earned Media</v>
      </c>
      <c r="I50" s="7">
        <f>IFERROR(__xludf.DUMMYFUNCTION("""COMPUTED_VALUE"""),3.0)</f>
        <v>3</v>
      </c>
      <c r="J50" s="7">
        <f>IFERROR(__xludf.DUMMYFUNCTION("""COMPUTED_VALUE"""),0.0)</f>
        <v>0</v>
      </c>
      <c r="K50" s="7">
        <f>IFERROR(__xludf.DUMMYFUNCTION("""COMPUTED_VALUE"""),0.0)</f>
        <v>0</v>
      </c>
    </row>
    <row r="51" ht="15.75" customHeight="1">
      <c r="A51" s="6" t="str">
        <f>IFERROR(__xludf.DUMMYFUNCTION("""COMPUTED_VALUE"""),"https://agencies.semrush.com/list/display-advertising/melbourne/")</f>
        <v>https://agencies.semrush.com/list/display-advertising/melbourne/</v>
      </c>
      <c r="B51" s="7" t="str">
        <f>IFERROR(__xludf.DUMMYFUNCTION("""COMPUTED_VALUE"""),"Best Display Ads Agencies in Melbourne 2026 | Semrush")</f>
        <v>Best Display Ads Agencies in Melbourne 2026 | Semrush</v>
      </c>
      <c r="C51" s="6" t="str">
        <f>IFERROR(__xludf.DUMMYFUNCTION("""COMPUTED_VALUE"""),"semrush.com")</f>
        <v>semrush.com</v>
      </c>
      <c r="D51" s="7" t="str">
        <f>IFERROR(__xludf.DUMMYFUNCTION("""COMPUTED_VALUE"""),"OTHER")</f>
        <v>OTHER</v>
      </c>
      <c r="E51" s="7" t="str">
        <f>IFERROR(__xludf.DUMMYFUNCTION("""COMPUTED_VALUE"""),"CORPORATE")</f>
        <v>CORPORATE</v>
      </c>
      <c r="F51" s="7" t="str">
        <f>IFERROR(__xludf.DUMMYFUNCTION("""COMPUTED_VALUE"""),"Other")</f>
        <v>Other</v>
      </c>
      <c r="G51" s="7" t="b">
        <f>IFERROR(__xludf.DUMMYFUNCTION("""COMPUTED_VALUE"""),FALSE)</f>
        <v>0</v>
      </c>
      <c r="H51" s="7"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I51" s="7">
        <f>IFERROR(__xludf.DUMMYFUNCTION("""COMPUTED_VALUE"""),3.0)</f>
        <v>3</v>
      </c>
      <c r="J51" s="7">
        <f>IFERROR(__xludf.DUMMYFUNCTION("""COMPUTED_VALUE"""),0.0)</f>
        <v>0</v>
      </c>
      <c r="K51" s="7">
        <f>IFERROR(__xludf.DUMMYFUNCTION("""COMPUTED_VALUE"""),1.0)</f>
        <v>1</v>
      </c>
    </row>
    <row r="52" ht="15.75" customHeight="1">
      <c r="A52" s="6" t="str">
        <f>IFERROR(__xludf.DUMMYFUNCTION("""COMPUTED_VALUE"""),"https://ensun.io/search/geospatial-gis/australia")</f>
        <v>https://ensun.io/search/geospatial-gis/australia</v>
      </c>
      <c r="B52" s="7" t="str">
        <f>IFERROR(__xludf.DUMMYFUNCTION("""COMPUTED_VALUE"""),"Top 100 Geospatial (Gis) Companies in Australia (2026) \| ensun")</f>
        <v>Top 100 Geospatial (Gis) Companies in Australia (2026) \| ensun</v>
      </c>
      <c r="C52" s="6" t="str">
        <f>IFERROR(__xludf.DUMMYFUNCTION("""COMPUTED_VALUE"""),"ensun.io")</f>
        <v>ensun.io</v>
      </c>
      <c r="D52" s="7" t="str">
        <f>IFERROR(__xludf.DUMMYFUNCTION("""COMPUTED_VALUE"""),"OTHER")</f>
        <v>OTHER</v>
      </c>
      <c r="E52" s="7" t="str">
        <f>IFERROR(__xludf.DUMMYFUNCTION("""COMPUTED_VALUE"""),"OTHER")</f>
        <v>OTHER</v>
      </c>
      <c r="F52" s="7" t="str">
        <f>IFERROR(__xludf.DUMMYFUNCTION("""COMPUTED_VALUE"""),"Other")</f>
        <v>Other</v>
      </c>
      <c r="G52" s="7" t="b">
        <f>IFERROR(__xludf.DUMMYFUNCTION("""COMPUTED_VALUE"""),FALSE)</f>
        <v>0</v>
      </c>
      <c r="H52" s="7"/>
      <c r="I52" s="7">
        <f>IFERROR(__xludf.DUMMYFUNCTION("""COMPUTED_VALUE"""),3.0)</f>
        <v>3</v>
      </c>
      <c r="J52" s="7">
        <f>IFERROR(__xludf.DUMMYFUNCTION("""COMPUTED_VALUE"""),0.0)</f>
        <v>0</v>
      </c>
      <c r="K52" s="7">
        <f>IFERROR(__xludf.DUMMYFUNCTION("""COMPUTED_VALUE"""),0.67)</f>
        <v>0.67</v>
      </c>
    </row>
    <row r="53" ht="15.75" customHeight="1">
      <c r="A53" s="6" t="str">
        <f>IFERROR(__xludf.DUMMYFUNCTION("""COMPUTED_VALUE"""),"https://www.goodfirms.co/directory/country/top-digital-marketing-companies/au?sort_by=matrix")</f>
        <v>https://www.goodfirms.co/directory/country/top-digital-marketing-companies/au?sort_by=matrix</v>
      </c>
      <c r="B53" s="7" t="str">
        <f>IFERROR(__xludf.DUMMYFUNCTION("""COMPUTED_VALUE"""),"Top Digital Marketing Agencies in Australia - 2026 Reviews | Goodfirms")</f>
        <v>Top Digital Marketing Agencies in Australia - 2026 Reviews | Goodfirms</v>
      </c>
      <c r="C53" s="6" t="str">
        <f>IFERROR(__xludf.DUMMYFUNCTION("""COMPUTED_VALUE"""),"goodfirms.co")</f>
        <v>goodfirms.co</v>
      </c>
      <c r="D53" s="7" t="str">
        <f>IFERROR(__xludf.DUMMYFUNCTION("""COMPUTED_VALUE"""),"OTHER")</f>
        <v>OTHER</v>
      </c>
      <c r="E53" s="7" t="str">
        <f>IFERROR(__xludf.DUMMYFUNCTION("""COMPUTED_VALUE"""),"UGC")</f>
        <v>UGC</v>
      </c>
      <c r="F53" s="7" t="str">
        <f>IFERROR(__xludf.DUMMYFUNCTION("""COMPUTED_VALUE"""),"Other")</f>
        <v>Other</v>
      </c>
      <c r="G53" s="7" t="b">
        <f>IFERROR(__xludf.DUMMYFUNCTION("""COMPUTED_VALUE"""),FALSE)</f>
        <v>0</v>
      </c>
      <c r="H53" s="7" t="str">
        <f>IFERROR(__xludf.DUMMYFUNCTION("""COMPUTED_VALUE"""),"eMarket Experts, Impressive, AdVisible, SIXGUN, Supple Digital, Digital Nomads HQ, CUT THRU, Intesols, Emote Digital")</f>
        <v>eMarket Experts, Impressive, AdVisible, SIXGUN, Supple Digital, Digital Nomads HQ, CUT THRU, Intesols, Emote Digital</v>
      </c>
      <c r="I53" s="7">
        <f>IFERROR(__xludf.DUMMYFUNCTION("""COMPUTED_VALUE"""),3.0)</f>
        <v>3</v>
      </c>
      <c r="J53" s="7">
        <f>IFERROR(__xludf.DUMMYFUNCTION("""COMPUTED_VALUE"""),0.0)</f>
        <v>0</v>
      </c>
      <c r="K53" s="7">
        <f>IFERROR(__xludf.DUMMYFUNCTION("""COMPUTED_VALUE"""),0.0)</f>
        <v>0</v>
      </c>
    </row>
    <row r="54" ht="15.75" customHeight="1">
      <c r="A54" s="6" t="str">
        <f>IFERROR(__xludf.DUMMYFUNCTION("""COMPUTED_VALUE"""),"https://www.google.com/partners")</f>
        <v>https://www.google.com/partners</v>
      </c>
      <c r="B54" s="7"/>
      <c r="C54" s="6" t="str">
        <f>IFERROR(__xludf.DUMMYFUNCTION("""COMPUTED_VALUE"""),"google.com")</f>
        <v>google.com</v>
      </c>
      <c r="D54" s="7" t="str">
        <f>IFERROR(__xludf.DUMMYFUNCTION("""COMPUTED_VALUE"""),"OTHER")</f>
        <v>OTHER</v>
      </c>
      <c r="E54" s="7" t="str">
        <f>IFERROR(__xludf.DUMMYFUNCTION("""COMPUTED_VALUE"""),"OTHER")</f>
        <v>OTHER</v>
      </c>
      <c r="F54" s="7" t="str">
        <f>IFERROR(__xludf.DUMMYFUNCTION("""COMPUTED_VALUE"""),"Other")</f>
        <v>Other</v>
      </c>
      <c r="G54" s="7"/>
      <c r="H54" s="7" t="str">
        <f>IFERROR(__xludf.DUMMYFUNCTION("""COMPUTED_VALUE"""),"Unknown")</f>
        <v>Unknown</v>
      </c>
      <c r="I54" s="7">
        <f>IFERROR(__xludf.DUMMYFUNCTION("""COMPUTED_VALUE"""),3.0)</f>
        <v>3</v>
      </c>
      <c r="J54" s="7">
        <f>IFERROR(__xludf.DUMMYFUNCTION("""COMPUTED_VALUE"""),0.0)</f>
        <v>0</v>
      </c>
      <c r="K54" s="7">
        <f>IFERROR(__xludf.DUMMYFUNCTION("""COMPUTED_VALUE"""),0.0)</f>
        <v>0</v>
      </c>
    </row>
    <row r="55" ht="15.75" customHeight="1">
      <c r="A55" s="6" t="str">
        <f>IFERROR(__xludf.DUMMYFUNCTION("""COMPUTED_VALUE"""),"https://itprofiles.com/services/media-planning-and-buying/australia")</f>
        <v>https://itprofiles.com/services/media-planning-and-buying/australia</v>
      </c>
      <c r="B55" s="7" t="str">
        <f>IFERROR(__xludf.DUMMYFUNCTION("""COMPUTED_VALUE"""),"56 Best Media Planning and Buying Companies in Australia - Jul 2026 Rankings | ITProfiles")</f>
        <v>56 Best Media Planning and Buying Companies in Australia - Jul 2026 Rankings | ITProfiles</v>
      </c>
      <c r="C55" s="6" t="str">
        <f>IFERROR(__xludf.DUMMYFUNCTION("""COMPUTED_VALUE"""),"itprofiles.com")</f>
        <v>itprofiles.com</v>
      </c>
      <c r="D55" s="7" t="str">
        <f>IFERROR(__xludf.DUMMYFUNCTION("""COMPUTED_VALUE"""),"OTHER")</f>
        <v>OTHER</v>
      </c>
      <c r="E55" s="7" t="str">
        <f>IFERROR(__xludf.DUMMYFUNCTION("""COMPUTED_VALUE"""),"REFERENCE")</f>
        <v>REFERENCE</v>
      </c>
      <c r="F55" s="7" t="str">
        <f>IFERROR(__xludf.DUMMYFUNCTION("""COMPUTED_VALUE"""),"Other")</f>
        <v>Other</v>
      </c>
      <c r="G55" s="7" t="b">
        <f>IFERROR(__xludf.DUMMYFUNCTION("""COMPUTED_VALUE"""),FALSE)</f>
        <v>0</v>
      </c>
      <c r="H55" s="7" t="str">
        <f>IFERROR(__xludf.DUMMYFUNCTION("""COMPUTED_VALUE"""),"Bench Media, Momentum, GroupM, OMD")</f>
        <v>Bench Media, Momentum, GroupM, OMD</v>
      </c>
      <c r="I55" s="7">
        <f>IFERROR(__xludf.DUMMYFUNCTION("""COMPUTED_VALUE"""),3.0)</f>
        <v>3</v>
      </c>
      <c r="J55" s="7">
        <f>IFERROR(__xludf.DUMMYFUNCTION("""COMPUTED_VALUE"""),0.0)</f>
        <v>0</v>
      </c>
      <c r="K55" s="7">
        <f>IFERROR(__xludf.DUMMYFUNCTION("""COMPUTED_VALUE"""),0.0)</f>
        <v>0</v>
      </c>
    </row>
    <row r="56" ht="15.75" customHeight="1">
      <c r="A56" s="6" t="str">
        <f>IFERROR(__xludf.DUMMYFUNCTION("""COMPUTED_VALUE"""),"https://onpoint.com.au/media-buying-agency-melbourne")</f>
        <v>https://onpoint.com.au/media-buying-agency-melbourne</v>
      </c>
      <c r="B56" s="7"/>
      <c r="C56" s="6" t="str">
        <f>IFERROR(__xludf.DUMMYFUNCTION("""COMPUTED_VALUE"""),"onpoint.com.au")</f>
        <v>onpoint.com.au</v>
      </c>
      <c r="D56" s="7" t="str">
        <f>IFERROR(__xludf.DUMMYFUNCTION("""COMPUTED_VALUE"""),"OTHER")</f>
        <v>OTHER</v>
      </c>
      <c r="E56" s="7" t="str">
        <f>IFERROR(__xludf.DUMMYFUNCTION("""COMPUTED_VALUE"""),"CORPORATE")</f>
        <v>CORPORATE</v>
      </c>
      <c r="F56" s="7" t="str">
        <f>IFERROR(__xludf.DUMMYFUNCTION("""COMPUTED_VALUE"""),"Other")</f>
        <v>Other</v>
      </c>
      <c r="G56" s="7"/>
      <c r="H56" s="7" t="str">
        <f>IFERROR(__xludf.DUMMYFUNCTION("""COMPUTED_VALUE"""),"Unknown")</f>
        <v>Unknown</v>
      </c>
      <c r="I56" s="7">
        <f>IFERROR(__xludf.DUMMYFUNCTION("""COMPUTED_VALUE"""),3.0)</f>
        <v>3</v>
      </c>
      <c r="J56" s="7">
        <f>IFERROR(__xludf.DUMMYFUNCTION("""COMPUTED_VALUE"""),0.0)</f>
        <v>0</v>
      </c>
      <c r="K56" s="7">
        <f>IFERROR(__xludf.DUMMYFUNCTION("""COMPUTED_VALUE"""),0.0)</f>
        <v>0</v>
      </c>
    </row>
    <row r="57" ht="15.75" customHeight="1">
      <c r="A57" s="6" t="str">
        <f>IFERROR(__xludf.DUMMYFUNCTION("""COMPUTED_VALUE"""),"https://pwd.com.au/blog/best-digital-marketing-company-perth/")</f>
        <v>https://pwd.com.au/blog/best-digital-marketing-company-perth/</v>
      </c>
      <c r="B57" s="7" t="str">
        <f>IFERROR(__xludf.DUMMYFUNCTION("""COMPUTED_VALUE"""),"Best Digital Marketing Company in Perth 2026 \| PWD")</f>
        <v>Best Digital Marketing Company in Perth 2026 \| PWD</v>
      </c>
      <c r="C57" s="6" t="str">
        <f>IFERROR(__xludf.DUMMYFUNCTION("""COMPUTED_VALUE"""),"pwd.com.au")</f>
        <v>pwd.com.au</v>
      </c>
      <c r="D57" s="7" t="str">
        <f>IFERROR(__xludf.DUMMYFUNCTION("""COMPUTED_VALUE"""),"OTHER")</f>
        <v>OTHER</v>
      </c>
      <c r="E57" s="7" t="str">
        <f>IFERROR(__xludf.DUMMYFUNCTION("""COMPUTED_VALUE"""),"CORPORATE")</f>
        <v>CORPORATE</v>
      </c>
      <c r="F57" s="7" t="str">
        <f>IFERROR(__xludf.DUMMYFUNCTION("""COMPUTED_VALUE"""),"Other")</f>
        <v>Other</v>
      </c>
      <c r="G57" s="7" t="b">
        <f>IFERROR(__xludf.DUMMYFUNCTION("""COMPUTED_VALUE"""),FALSE)</f>
        <v>0</v>
      </c>
      <c r="H57" s="7" t="str">
        <f>IFERROR(__xludf.DUMMYFUNCTION("""COMPUTED_VALUE"""),"HERO, Clemenger BBDO, OMD, Bonfire")</f>
        <v>HERO, Clemenger BBDO, OMD, Bonfire</v>
      </c>
      <c r="I57" s="7">
        <f>IFERROR(__xludf.DUMMYFUNCTION("""COMPUTED_VALUE"""),3.0)</f>
        <v>3</v>
      </c>
      <c r="J57" s="7">
        <f>IFERROR(__xludf.DUMMYFUNCTION("""COMPUTED_VALUE"""),0.0)</f>
        <v>0</v>
      </c>
      <c r="K57" s="7">
        <f>IFERROR(__xludf.DUMMYFUNCTION("""COMPUTED_VALUE"""),0.33)</f>
        <v>0.33</v>
      </c>
    </row>
    <row r="58" ht="15.75" customHeight="1">
      <c r="A58" s="6" t="str">
        <f>IFERROR(__xludf.DUMMYFUNCTION("""COMPUTED_VALUE"""),"https://titanblue.com.au/ai-search-optimisation-agency/?srsltid=AfmBOooc8qrkvV3f6HsRqxexLRCbojm5HjPSA0Pu7mziX52P3MBgox1-")</f>
        <v>https://titanblue.com.au/ai-search-optimisation-agency/?srsltid=AfmBOooc8qrkvV3f6HsRqxexLRCbojm5HjPSA0Pu7mziX52P3MBgox1-</v>
      </c>
      <c r="B58" s="7" t="str">
        <f>IFERROR(__xludf.DUMMYFUNCTION("""COMPUTED_VALUE"""),"AI Search Optimisation Agency: Boost AU Business in 2026")</f>
        <v>AI Search Optimisation Agency: Boost AU Business in 2026</v>
      </c>
      <c r="C58" s="6" t="str">
        <f>IFERROR(__xludf.DUMMYFUNCTION("""COMPUTED_VALUE"""),"titanblue.com.au")</f>
        <v>titanblue.com.au</v>
      </c>
      <c r="D58" s="7" t="str">
        <f>IFERROR(__xludf.DUMMYFUNCTION("""COMPUTED_VALUE"""),"OTHER")</f>
        <v>OTHER</v>
      </c>
      <c r="E58" s="7" t="str">
        <f>IFERROR(__xludf.DUMMYFUNCTION("""COMPUTED_VALUE"""),"CORPORATE")</f>
        <v>CORPORATE</v>
      </c>
      <c r="F58" s="7" t="str">
        <f>IFERROR(__xludf.DUMMYFUNCTION("""COMPUTED_VALUE"""),"Other")</f>
        <v>Other</v>
      </c>
      <c r="G58" s="7" t="b">
        <f>IFERROR(__xludf.DUMMYFUNCTION("""COMPUTED_VALUE"""),FALSE)</f>
        <v>0</v>
      </c>
      <c r="H58" s="7" t="str">
        <f>IFERROR(__xludf.DUMMYFUNCTION("""COMPUTED_VALUE"""),"Huge")</f>
        <v>Huge</v>
      </c>
      <c r="I58" s="7">
        <f>IFERROR(__xludf.DUMMYFUNCTION("""COMPUTED_VALUE"""),3.0)</f>
        <v>3</v>
      </c>
      <c r="J58" s="7">
        <f>IFERROR(__xludf.DUMMYFUNCTION("""COMPUTED_VALUE"""),0.0)</f>
        <v>0</v>
      </c>
      <c r="K58" s="7">
        <f>IFERROR(__xludf.DUMMYFUNCTION("""COMPUTED_VALUE"""),1.0)</f>
        <v>1</v>
      </c>
    </row>
    <row r="59" ht="15.75" customHeight="1">
      <c r="A59" s="6" t="str">
        <f>IFERROR(__xludf.DUMMYFUNCTION("""COMPUTED_VALUE"""),"https://aeroleads.com/list/top-geospatial-companies-in-australia")</f>
        <v>https://aeroleads.com/list/top-geospatial-companies-in-australia</v>
      </c>
      <c r="B59" s="7" t="str">
        <f>IFERROR(__xludf.DUMMYFUNCTION("""COMPUTED_VALUE"""),"Top 39 Geospatial Companies in Australia - Emails &amp; Contacts")</f>
        <v>Top 39 Geospatial Companies in Australia - Emails &amp; Contacts</v>
      </c>
      <c r="C59" s="6" t="str">
        <f>IFERROR(__xludf.DUMMYFUNCTION("""COMPUTED_VALUE"""),"aeroleads.com")</f>
        <v>aeroleads.com</v>
      </c>
      <c r="D59" s="7" t="str">
        <f>IFERROR(__xludf.DUMMYFUNCTION("""COMPUTED_VALUE"""),"OTHER")</f>
        <v>OTHER</v>
      </c>
      <c r="E59" s="7" t="str">
        <f>IFERROR(__xludf.DUMMYFUNCTION("""COMPUTED_VALUE"""),"CORPORATE")</f>
        <v>CORPORATE</v>
      </c>
      <c r="F59" s="7" t="str">
        <f>IFERROR(__xludf.DUMMYFUNCTION("""COMPUTED_VALUE"""),"Other")</f>
        <v>Other</v>
      </c>
      <c r="G59" s="7" t="b">
        <f>IFERROR(__xludf.DUMMYFUNCTION("""COMPUTED_VALUE"""),FALSE)</f>
        <v>0</v>
      </c>
      <c r="H59" s="7"/>
      <c r="I59" s="7">
        <f>IFERROR(__xludf.DUMMYFUNCTION("""COMPUTED_VALUE"""),2.0)</f>
        <v>2</v>
      </c>
      <c r="J59" s="7">
        <f>IFERROR(__xludf.DUMMYFUNCTION("""COMPUTED_VALUE"""),0.0)</f>
        <v>0</v>
      </c>
      <c r="K59" s="7">
        <f>IFERROR(__xludf.DUMMYFUNCTION("""COMPUTED_VALUE"""),0.5)</f>
        <v>0.5</v>
      </c>
    </row>
    <row r="60" ht="15.75" customHeight="1">
      <c r="A60" s="6" t="str">
        <f>IFERROR(__xludf.DUMMYFUNCTION("""COMPUTED_VALUE"""),"https://agencies.semrush.com/list/analytics-data-science/melbourne/enterprise-business/")</f>
        <v>https://agencies.semrush.com/list/analytics-data-science/melbourne/enterprise-business/</v>
      </c>
      <c r="B60" s="7" t="str">
        <f>IFERROR(__xludf.DUMMYFUNCTION("""COMPUTED_VALUE"""),"Best Data Analytics Services for Enterprise Business in Melbourne 2026 | Semrush")</f>
        <v>Best Data Analytics Services for Enterprise Business in Melbourne 2026 | Semrush</v>
      </c>
      <c r="C60" s="6" t="str">
        <f>IFERROR(__xludf.DUMMYFUNCTION("""COMPUTED_VALUE"""),"semrush.com")</f>
        <v>semrush.com</v>
      </c>
      <c r="D60" s="7" t="str">
        <f>IFERROR(__xludf.DUMMYFUNCTION("""COMPUTED_VALUE"""),"OTHER")</f>
        <v>OTHER</v>
      </c>
      <c r="E60" s="7" t="str">
        <f>IFERROR(__xludf.DUMMYFUNCTION("""COMPUTED_VALUE"""),"CORPORATE")</f>
        <v>CORPORATE</v>
      </c>
      <c r="F60" s="7" t="str">
        <f>IFERROR(__xludf.DUMMYFUNCTION("""COMPUTED_VALUE"""),"Other")</f>
        <v>Other</v>
      </c>
      <c r="G60" s="7" t="b">
        <f>IFERROR(__xludf.DUMMYFUNCTION("""COMPUTED_VALUE"""),FALSE)</f>
        <v>0</v>
      </c>
      <c r="H60" s="7" t="str">
        <f>IFERROR(__xludf.DUMMYFUNCTION("""COMPUTED_VALUE"""),"Soup Agency, First Page, Clearwater Agency, Measured, Earned Media, Impressive, Online Marketing Gurus, Omnicom Media Group, Bonfire, Megantic, Click Click Media, Huge")</f>
        <v>Soup Agency, First Page, Clearwater Agency, Measured, Earned Media, Impressive, Online Marketing Gurus, Omnicom Media Group, Bonfire, Megantic, Click Click Media, Huge</v>
      </c>
      <c r="I60" s="7">
        <f>IFERROR(__xludf.DUMMYFUNCTION("""COMPUTED_VALUE"""),2.0)</f>
        <v>2</v>
      </c>
      <c r="J60" s="7">
        <f>IFERROR(__xludf.DUMMYFUNCTION("""COMPUTED_VALUE"""),0.0)</f>
        <v>0</v>
      </c>
      <c r="K60" s="7">
        <f>IFERROR(__xludf.DUMMYFUNCTION("""COMPUTED_VALUE"""),0.0)</f>
        <v>0</v>
      </c>
    </row>
    <row r="61" ht="15.75" customHeight="1">
      <c r="A61" s="6" t="str">
        <f>IFERROR(__xludf.DUMMYFUNCTION("""COMPUTED_VALUE"""),"https://www.bluethings.co/blog/top-seo-agencies-australia#:~:text=Mid%2Dmarket%20and%20enterprise%20businesses%20operating%20in%20competitive,ThreatX%2C%20and%20Tiddle.%20Key%20services.%20SEO%20management.")</f>
        <v>https://www.bluethings.co/blog/top-seo-agencies-australia#:~:text=Mid%2Dmarket%20and%20enterprise%20businesses%20operating%20in%20competitive,ThreatX%2C%20and%20Tiddle.%20Key%20services.%20SEO%20management.</v>
      </c>
      <c r="B61" s="7" t="str">
        <f>IFERROR(__xludf.DUMMYFUNCTION("""COMPUTED_VALUE"""),"Top 20 SEO Agencies in Australia for 2026 and Beyond")</f>
        <v>Top 20 SEO Agencies in Australia for 2026 and Beyond</v>
      </c>
      <c r="C61" s="6" t="str">
        <f>IFERROR(__xludf.DUMMYFUNCTION("""COMPUTED_VALUE"""),"bluethings.co")</f>
        <v>bluethings.co</v>
      </c>
      <c r="D61" s="7" t="str">
        <f>IFERROR(__xludf.DUMMYFUNCTION("""COMPUTED_VALUE"""),"OTHER")</f>
        <v>OTHER</v>
      </c>
      <c r="E61" s="7" t="str">
        <f>IFERROR(__xludf.DUMMYFUNCTION("""COMPUTED_VALUE"""),"CORPORATE")</f>
        <v>CORPORATE</v>
      </c>
      <c r="F61" s="7" t="str">
        <f>IFERROR(__xludf.DUMMYFUNCTION("""COMPUTED_VALUE"""),"Other")</f>
        <v>Other</v>
      </c>
      <c r="G61" s="7" t="b">
        <f>IFERROR(__xludf.DUMMYFUNCTION("""COMPUTED_VALUE"""),FALSE)</f>
        <v>0</v>
      </c>
      <c r="H61" s="7" t="str">
        <f>IFERROR(__xludf.DUMMYFUNCTION("""COMPUTED_VALUE"""),"eMarket Experts, First Page, First Page Australia, Safari Digital, AdVisible, Impressive, KPMG, Online Marketing Gurus, Omnicom Media Group, Marketix Digital, Earned Media, Supple Digital, Gorilla 360, Clearwater Agency, SIXGUN")</f>
        <v>eMarket Experts, First Page, First Page Australia, Safari Digital, AdVisible, Impressive, KPMG, Online Marketing Gurus, Omnicom Media Group, Marketix Digital, Earned Media, Supple Digital, Gorilla 360, Clearwater Agency, SIXGUN</v>
      </c>
      <c r="I61" s="7">
        <f>IFERROR(__xludf.DUMMYFUNCTION("""COMPUTED_VALUE"""),2.0)</f>
        <v>2</v>
      </c>
      <c r="J61" s="7">
        <f>IFERROR(__xludf.DUMMYFUNCTION("""COMPUTED_VALUE"""),0.0)</f>
        <v>0</v>
      </c>
      <c r="K61" s="7">
        <f>IFERROR(__xludf.DUMMYFUNCTION("""COMPUTED_VALUE"""),2.5)</f>
        <v>2.5</v>
      </c>
    </row>
    <row r="62" ht="15.75" customHeight="1">
      <c r="A62" s="6" t="str">
        <f>IFERROR(__xludf.DUMMYFUNCTION("""COMPUTED_VALUE"""),"https://business.google.com/us/accelerate/announcements/meridian-geox-googles-new-open-source-geo-incrementality-solution/")</f>
        <v>https://business.google.com/us/accelerate/announcements/meridian-geox-googles-new-open-source-geo-incrementality-solution/</v>
      </c>
      <c r="B62" s="7"/>
      <c r="C62" s="6" t="str">
        <f>IFERROR(__xludf.DUMMYFUNCTION("""COMPUTED_VALUE"""),"google.com")</f>
        <v>google.com</v>
      </c>
      <c r="D62" s="7" t="str">
        <f>IFERROR(__xludf.DUMMYFUNCTION("""COMPUTED_VALUE"""),"OTHER")</f>
        <v>OTHER</v>
      </c>
      <c r="E62" s="7" t="str">
        <f>IFERROR(__xludf.DUMMYFUNCTION("""COMPUTED_VALUE"""),"OTHER")</f>
        <v>OTHER</v>
      </c>
      <c r="F62" s="7" t="str">
        <f>IFERROR(__xludf.DUMMYFUNCTION("""COMPUTED_VALUE"""),"Other")</f>
        <v>Other</v>
      </c>
      <c r="G62" s="7"/>
      <c r="H62" s="7" t="str">
        <f>IFERROR(__xludf.DUMMYFUNCTION("""COMPUTED_VALUE"""),"Unknown")</f>
        <v>Unknown</v>
      </c>
      <c r="I62" s="7">
        <f>IFERROR(__xludf.DUMMYFUNCTION("""COMPUTED_VALUE"""),2.0)</f>
        <v>2</v>
      </c>
      <c r="J62" s="7">
        <f>IFERROR(__xludf.DUMMYFUNCTION("""COMPUTED_VALUE"""),0.0)</f>
        <v>0</v>
      </c>
      <c r="K62" s="7">
        <f>IFERROR(__xludf.DUMMYFUNCTION("""COMPUTED_VALUE"""),2.0)</f>
        <v>2</v>
      </c>
    </row>
    <row r="63" ht="15.75" customHeight="1">
      <c r="A63" s="6" t="str">
        <f>IFERROR(__xludf.DUMMYFUNCTION("""COMPUTED_VALUE"""),"https://www.defence.gov.au/about/strategic-planning/ago-strategy-2025-2027")</f>
        <v>https://www.defence.gov.au/about/strategic-planning/ago-strategy-2025-2027</v>
      </c>
      <c r="B63" s="7"/>
      <c r="C63" s="6" t="str">
        <f>IFERROR(__xludf.DUMMYFUNCTION("""COMPUTED_VALUE"""),"defence.gov.au")</f>
        <v>defence.gov.au</v>
      </c>
      <c r="D63" s="7" t="str">
        <f>IFERROR(__xludf.DUMMYFUNCTION("""COMPUTED_VALUE"""),"OTHER")</f>
        <v>OTHER</v>
      </c>
      <c r="E63" s="7" t="str">
        <f>IFERROR(__xludf.DUMMYFUNCTION("""COMPUTED_VALUE"""),"INSTITUTIONAL")</f>
        <v>INSTITUTIONAL</v>
      </c>
      <c r="F63" s="7" t="str">
        <f>IFERROR(__xludf.DUMMYFUNCTION("""COMPUTED_VALUE"""),"Other")</f>
        <v>Other</v>
      </c>
      <c r="G63" s="7"/>
      <c r="H63" s="7" t="str">
        <f>IFERROR(__xludf.DUMMYFUNCTION("""COMPUTED_VALUE"""),"Unknown")</f>
        <v>Unknown</v>
      </c>
      <c r="I63" s="7">
        <f>IFERROR(__xludf.DUMMYFUNCTION("""COMPUTED_VALUE"""),2.0)</f>
        <v>2</v>
      </c>
      <c r="J63" s="7">
        <f>IFERROR(__xludf.DUMMYFUNCTION("""COMPUTED_VALUE"""),0.0)</f>
        <v>0</v>
      </c>
      <c r="K63" s="7">
        <f>IFERROR(__xludf.DUMMYFUNCTION("""COMPUTED_VALUE"""),0.0)</f>
        <v>0</v>
      </c>
    </row>
    <row r="64" ht="15.75" customHeight="1">
      <c r="A64" s="6" t="str">
        <f>IFERROR(__xludf.DUMMYFUNCTION("""COMPUTED_VALUE"""),"https://digitalchamp.com.au/platypus-australia/")</f>
        <v>https://digitalchamp.com.au/platypus-australia/</v>
      </c>
      <c r="B64" s="7" t="str">
        <f>IFERROR(__xludf.DUMMYFUNCTION("""COMPUTED_VALUE"""),"Platypus Australia - Australia #1 Performance Marketing Agency | Digital Champ")</f>
        <v>Platypus Australia - Australia #1 Performance Marketing Agency | Digital Champ</v>
      </c>
      <c r="C64" s="6" t="str">
        <f>IFERROR(__xludf.DUMMYFUNCTION("""COMPUTED_VALUE"""),"digitalchamp.com.au")</f>
        <v>digitalchamp.com.au</v>
      </c>
      <c r="D64" s="7" t="str">
        <f>IFERROR(__xludf.DUMMYFUNCTION("""COMPUTED_VALUE"""),"OTHER")</f>
        <v>OTHER</v>
      </c>
      <c r="E64" s="7" t="str">
        <f>IFERROR(__xludf.DUMMYFUNCTION("""COMPUTED_VALUE"""),"CORPORATE")</f>
        <v>CORPORATE</v>
      </c>
      <c r="F64" s="7" t="str">
        <f>IFERROR(__xludf.DUMMYFUNCTION("""COMPUTED_VALUE"""),"Other")</f>
        <v>Other</v>
      </c>
      <c r="G64" s="7" t="b">
        <f>IFERROR(__xludf.DUMMYFUNCTION("""COMPUTED_VALUE"""),FALSE)</f>
        <v>0</v>
      </c>
      <c r="H64" s="7" t="str">
        <f>IFERROR(__xludf.DUMMYFUNCTION("""COMPUTED_VALUE"""),"Deloitte")</f>
        <v>Deloitte</v>
      </c>
      <c r="I64" s="7">
        <f>IFERROR(__xludf.DUMMYFUNCTION("""COMPUTED_VALUE"""),2.0)</f>
        <v>2</v>
      </c>
      <c r="J64" s="7">
        <f>IFERROR(__xludf.DUMMYFUNCTION("""COMPUTED_VALUE"""),0.0)</f>
        <v>0</v>
      </c>
      <c r="K64" s="7">
        <f>IFERROR(__xludf.DUMMYFUNCTION("""COMPUTED_VALUE"""),1.0)</f>
        <v>1</v>
      </c>
    </row>
    <row r="65" ht="15.75" customHeight="1">
      <c r="A65" s="6" t="str">
        <f>IFERROR(__xludf.DUMMYFUNCTION("""COMPUTED_VALUE"""),"https://ensun.io/search/display-advertising/australia")</f>
        <v>https://ensun.io/search/display-advertising/australia</v>
      </c>
      <c r="B65" s="7" t="str">
        <f>IFERROR(__xludf.DUMMYFUNCTION("""COMPUTED_VALUE"""),"Top 100 Display Advertising Companies in Australia (2026) \| ensun")</f>
        <v>Top 100 Display Advertising Companies in Australia (2026) \| ensun</v>
      </c>
      <c r="C65" s="6" t="str">
        <f>IFERROR(__xludf.DUMMYFUNCTION("""COMPUTED_VALUE"""),"ensun.io")</f>
        <v>ensun.io</v>
      </c>
      <c r="D65" s="7" t="str">
        <f>IFERROR(__xludf.DUMMYFUNCTION("""COMPUTED_VALUE"""),"OTHER")</f>
        <v>OTHER</v>
      </c>
      <c r="E65" s="7" t="str">
        <f>IFERROR(__xludf.DUMMYFUNCTION("""COMPUTED_VALUE"""),"OTHER")</f>
        <v>OTHER</v>
      </c>
      <c r="F65" s="7" t="str">
        <f>IFERROR(__xludf.DUMMYFUNCTION("""COMPUTED_VALUE"""),"Other")</f>
        <v>Other</v>
      </c>
      <c r="G65" s="7" t="b">
        <f>IFERROR(__xludf.DUMMYFUNCTION("""COMPUTED_VALUE"""),FALSE)</f>
        <v>0</v>
      </c>
      <c r="H65" s="7"/>
      <c r="I65" s="7">
        <f>IFERROR(__xludf.DUMMYFUNCTION("""COMPUTED_VALUE"""),2.0)</f>
        <v>2</v>
      </c>
      <c r="J65" s="7">
        <f>IFERROR(__xludf.DUMMYFUNCTION("""COMPUTED_VALUE"""),0.0)</f>
        <v>0</v>
      </c>
      <c r="K65" s="7">
        <f>IFERROR(__xludf.DUMMYFUNCTION("""COMPUTED_VALUE"""),0.0)</f>
        <v>0</v>
      </c>
    </row>
    <row r="66" ht="15.75" customHeight="1">
      <c r="A66" s="6" t="str">
        <f>IFERROR(__xludf.DUMMYFUNCTION("""COMPUTED_VALUE"""),"https://ensun.io/search/geospatial-data/australia")</f>
        <v>https://ensun.io/search/geospatial-data/australia</v>
      </c>
      <c r="B66" s="7" t="str">
        <f>IFERROR(__xludf.DUMMYFUNCTION("""COMPUTED_VALUE"""),"Top 100 Geospatial Data Companies in Australia (2026) \| ensun")</f>
        <v>Top 100 Geospatial Data Companies in Australia (2026) \| ensun</v>
      </c>
      <c r="C66" s="6" t="str">
        <f>IFERROR(__xludf.DUMMYFUNCTION("""COMPUTED_VALUE"""),"ensun.io")</f>
        <v>ensun.io</v>
      </c>
      <c r="D66" s="7" t="str">
        <f>IFERROR(__xludf.DUMMYFUNCTION("""COMPUTED_VALUE"""),"OTHER")</f>
        <v>OTHER</v>
      </c>
      <c r="E66" s="7" t="str">
        <f>IFERROR(__xludf.DUMMYFUNCTION("""COMPUTED_VALUE"""),"OTHER")</f>
        <v>OTHER</v>
      </c>
      <c r="F66" s="7" t="str">
        <f>IFERROR(__xludf.DUMMYFUNCTION("""COMPUTED_VALUE"""),"Other")</f>
        <v>Other</v>
      </c>
      <c r="G66" s="7" t="b">
        <f>IFERROR(__xludf.DUMMYFUNCTION("""COMPUTED_VALUE"""),FALSE)</f>
        <v>0</v>
      </c>
      <c r="H66" s="7"/>
      <c r="I66" s="7">
        <f>IFERROR(__xludf.DUMMYFUNCTION("""COMPUTED_VALUE"""),2.0)</f>
        <v>2</v>
      </c>
      <c r="J66" s="7">
        <f>IFERROR(__xludf.DUMMYFUNCTION("""COMPUTED_VALUE"""),0.0)</f>
        <v>0</v>
      </c>
      <c r="K66" s="7">
        <f>IFERROR(__xludf.DUMMYFUNCTION("""COMPUTED_VALUE"""),2.0)</f>
        <v>2</v>
      </c>
    </row>
    <row r="67" ht="15.75" customHeight="1">
      <c r="A67" s="6" t="str">
        <f>IFERROR(__xludf.DUMMYFUNCTION("""COMPUTED_VALUE"""),"https://www.getapp.com.au/directory/1317/marketing-attribution/software?page=5")</f>
        <v>https://www.getapp.com.au/directory/1317/marketing-attribution/software?page=5</v>
      </c>
      <c r="B67" s="7"/>
      <c r="C67" s="6" t="str">
        <f>IFERROR(__xludf.DUMMYFUNCTION("""COMPUTED_VALUE"""),"getapp.com.au")</f>
        <v>getapp.com.au</v>
      </c>
      <c r="D67" s="7" t="str">
        <f>IFERROR(__xludf.DUMMYFUNCTION("""COMPUTED_VALUE"""),"OTHER")</f>
        <v>OTHER</v>
      </c>
      <c r="E67" s="7" t="str">
        <f>IFERROR(__xludf.DUMMYFUNCTION("""COMPUTED_VALUE"""),"REFERENCE")</f>
        <v>REFERENCE</v>
      </c>
      <c r="F67" s="7" t="str">
        <f>IFERROR(__xludf.DUMMYFUNCTION("""COMPUTED_VALUE"""),"Other")</f>
        <v>Other</v>
      </c>
      <c r="G67" s="7"/>
      <c r="H67" s="7" t="str">
        <f>IFERROR(__xludf.DUMMYFUNCTION("""COMPUTED_VALUE"""),"Unknown")</f>
        <v>Unknown</v>
      </c>
      <c r="I67" s="7">
        <f>IFERROR(__xludf.DUMMYFUNCTION("""COMPUTED_VALUE"""),2.0)</f>
        <v>2</v>
      </c>
      <c r="J67" s="7">
        <f>IFERROR(__xludf.DUMMYFUNCTION("""COMPUTED_VALUE"""),0.0)</f>
        <v>0</v>
      </c>
      <c r="K67" s="7">
        <f>IFERROR(__xludf.DUMMYFUNCTION("""COMPUTED_VALUE"""),0.0)</f>
        <v>0</v>
      </c>
    </row>
    <row r="68" ht="15.75" customHeight="1">
      <c r="A68" s="6" t="str">
        <f>IFERROR(__xludf.DUMMYFUNCTION("""COMPUTED_VALUE"""),"https://www.gispeople.com.au/locate-gis-companies-in-australia-new-zealand/")</f>
        <v>https://www.gispeople.com.au/locate-gis-companies-in-australia-new-zealand/</v>
      </c>
      <c r="B68" s="7" t="str">
        <f>IFERROR(__xludf.DUMMYFUNCTION("""COMPUTED_VALUE"""),"Locate GIS companies in Australia &amp;amp; New Zealand - GIS People")</f>
        <v>Locate GIS companies in Australia &amp;amp; New Zealand - GIS People</v>
      </c>
      <c r="C68" s="6" t="str">
        <f>IFERROR(__xludf.DUMMYFUNCTION("""COMPUTED_VALUE"""),"gispeople.com.au")</f>
        <v>gispeople.com.au</v>
      </c>
      <c r="D68" s="7" t="str">
        <f>IFERROR(__xludf.DUMMYFUNCTION("""COMPUTED_VALUE"""),"OTHER")</f>
        <v>OTHER</v>
      </c>
      <c r="E68" s="7" t="str">
        <f>IFERROR(__xludf.DUMMYFUNCTION("""COMPUTED_VALUE"""),"CORPORATE")</f>
        <v>CORPORATE</v>
      </c>
      <c r="F68" s="7" t="str">
        <f>IFERROR(__xludf.DUMMYFUNCTION("""COMPUTED_VALUE"""),"Other")</f>
        <v>Other</v>
      </c>
      <c r="G68" s="7" t="b">
        <f>IFERROR(__xludf.DUMMYFUNCTION("""COMPUTED_VALUE"""),FALSE)</f>
        <v>0</v>
      </c>
      <c r="H68" s="7"/>
      <c r="I68" s="7">
        <f>IFERROR(__xludf.DUMMYFUNCTION("""COMPUTED_VALUE"""),2.0)</f>
        <v>2</v>
      </c>
      <c r="J68" s="7">
        <f>IFERROR(__xludf.DUMMYFUNCTION("""COMPUTED_VALUE"""),0.0)</f>
        <v>0</v>
      </c>
      <c r="K68" s="7">
        <f>IFERROR(__xludf.DUMMYFUNCTION("""COMPUTED_VALUE"""),0.0)</f>
        <v>0</v>
      </c>
    </row>
    <row r="69" ht="15.75" customHeight="1">
      <c r="A69" s="6" t="str">
        <f>IFERROR(__xludf.DUMMYFUNCTION("""COMPUTED_VALUE"""),"https://www.goodfirms.co/directory/country/top-digital-marketing-companies/au?sort_by=rating")</f>
        <v>https://www.goodfirms.co/directory/country/top-digital-marketing-companies/au?sort_by=rating</v>
      </c>
      <c r="B69" s="7" t="str">
        <f>IFERROR(__xludf.DUMMYFUNCTION("""COMPUTED_VALUE"""),"Top Digital Marketing Agencies in Australia - 2026 Reviews | Goodfirms")</f>
        <v>Top Digital Marketing Agencies in Australia - 2026 Reviews | Goodfirms</v>
      </c>
      <c r="C69" s="6" t="str">
        <f>IFERROR(__xludf.DUMMYFUNCTION("""COMPUTED_VALUE"""),"goodfirms.co")</f>
        <v>goodfirms.co</v>
      </c>
      <c r="D69" s="7" t="str">
        <f>IFERROR(__xludf.DUMMYFUNCTION("""COMPUTED_VALUE"""),"OTHER")</f>
        <v>OTHER</v>
      </c>
      <c r="E69" s="7" t="str">
        <f>IFERROR(__xludf.DUMMYFUNCTION("""COMPUTED_VALUE"""),"UGC")</f>
        <v>UGC</v>
      </c>
      <c r="F69" s="7" t="str">
        <f>IFERROR(__xludf.DUMMYFUNCTION("""COMPUTED_VALUE"""),"Other")</f>
        <v>Other</v>
      </c>
      <c r="G69" s="7" t="b">
        <f>IFERROR(__xludf.DUMMYFUNCTION("""COMPUTED_VALUE"""),FALSE)</f>
        <v>0</v>
      </c>
      <c r="H69" s="7" t="str">
        <f>IFERROR(__xludf.DUMMYFUNCTION("""COMPUTED_VALUE"""),"CUT THRU, Impressive, Elephant In The Boardroom, eMarket Experts, SIXGUN, Supple Digital, AdVisible, Intesols, Emote Digital")</f>
        <v>CUT THRU, Impressive, Elephant In The Boardroom, eMarket Experts, SIXGUN, Supple Digital, AdVisible, Intesols, Emote Digital</v>
      </c>
      <c r="I69" s="7">
        <f>IFERROR(__xludf.DUMMYFUNCTION("""COMPUTED_VALUE"""),2.0)</f>
        <v>2</v>
      </c>
      <c r="J69" s="7">
        <f>IFERROR(__xludf.DUMMYFUNCTION("""COMPUTED_VALUE"""),0.0)</f>
        <v>0</v>
      </c>
      <c r="K69" s="7">
        <f>IFERROR(__xludf.DUMMYFUNCTION("""COMPUTED_VALUE"""),0.0)</f>
        <v>0</v>
      </c>
    </row>
    <row r="70" ht="15.75" customHeight="1">
      <c r="A70" s="6" t="str">
        <f>IFERROR(__xludf.DUMMYFUNCTION("""COMPUTED_VALUE"""),"https://www.google.com.au/partners/")</f>
        <v>https://www.google.com.au/partners/</v>
      </c>
      <c r="B70" s="7"/>
      <c r="C70" s="6" t="str">
        <f>IFERROR(__xludf.DUMMYFUNCTION("""COMPUTED_VALUE"""),"google.com.au")</f>
        <v>google.com.au</v>
      </c>
      <c r="D70" s="7" t="str">
        <f>IFERROR(__xludf.DUMMYFUNCTION("""COMPUTED_VALUE"""),"OTHER")</f>
        <v>OTHER</v>
      </c>
      <c r="E70" s="7" t="str">
        <f>IFERROR(__xludf.DUMMYFUNCTION("""COMPUTED_VALUE"""),"CORPORATE")</f>
        <v>CORPORATE</v>
      </c>
      <c r="F70" s="7" t="str">
        <f>IFERROR(__xludf.DUMMYFUNCTION("""COMPUTED_VALUE"""),"Other")</f>
        <v>Other</v>
      </c>
      <c r="G70" s="7"/>
      <c r="H70" s="7" t="str">
        <f>IFERROR(__xludf.DUMMYFUNCTION("""COMPUTED_VALUE"""),"Unknown")</f>
        <v>Unknown</v>
      </c>
      <c r="I70" s="7">
        <f>IFERROR(__xludf.DUMMYFUNCTION("""COMPUTED_VALUE"""),2.0)</f>
        <v>2</v>
      </c>
      <c r="J70" s="7">
        <f>IFERROR(__xludf.DUMMYFUNCTION("""COMPUTED_VALUE"""),0.0)</f>
        <v>0</v>
      </c>
      <c r="K70" s="7">
        <f>IFERROR(__xludf.DUMMYFUNCTION("""COMPUTED_VALUE"""),0.0)</f>
        <v>0</v>
      </c>
    </row>
    <row r="71" ht="15.75" customHeight="1">
      <c r="A71" s="6" t="str">
        <f>IFERROR(__xludf.DUMMYFUNCTION("""COMPUTED_VALUE"""),"https://www.google.com/partners/agency?id=3839074243")</f>
        <v>https://www.google.com/partners/agency?id=3839074243</v>
      </c>
      <c r="B71" s="7"/>
      <c r="C71" s="6" t="str">
        <f>IFERROR(__xludf.DUMMYFUNCTION("""COMPUTED_VALUE"""),"google.com")</f>
        <v>google.com</v>
      </c>
      <c r="D71" s="7" t="str">
        <f>IFERROR(__xludf.DUMMYFUNCTION("""COMPUTED_VALUE"""),"OTHER")</f>
        <v>OTHER</v>
      </c>
      <c r="E71" s="7" t="str">
        <f>IFERROR(__xludf.DUMMYFUNCTION("""COMPUTED_VALUE"""),"OTHER")</f>
        <v>OTHER</v>
      </c>
      <c r="F71" s="7" t="str">
        <f>IFERROR(__xludf.DUMMYFUNCTION("""COMPUTED_VALUE"""),"Other")</f>
        <v>Other</v>
      </c>
      <c r="G71" s="7"/>
      <c r="H71" s="7" t="str">
        <f>IFERROR(__xludf.DUMMYFUNCTION("""COMPUTED_VALUE"""),"Unknown")</f>
        <v>Unknown</v>
      </c>
      <c r="I71" s="7">
        <f>IFERROR(__xludf.DUMMYFUNCTION("""COMPUTED_VALUE"""),2.0)</f>
        <v>2</v>
      </c>
      <c r="J71" s="7">
        <f>IFERROR(__xludf.DUMMYFUNCTION("""COMPUTED_VALUE"""),0.0)</f>
        <v>0</v>
      </c>
      <c r="K71" s="7">
        <f>IFERROR(__xludf.DUMMYFUNCTION("""COMPUTED_VALUE"""),0.0)</f>
        <v>0</v>
      </c>
    </row>
    <row r="72" ht="15.75" customHeight="1">
      <c r="A72" s="6" t="str">
        <f>IFERROR(__xludf.DUMMYFUNCTION("""COMPUTED_VALUE"""),"https://www.google.com/searchviewer/10?svid=CAwSHRIbCgNwdnESFENnMHZaeTh4TVdZMGNXTXpYM3BrGAo")</f>
        <v>https://www.google.com/searchviewer/10?svid=CAwSHRIbCgNwdnESFENnMHZaeTh4TVdZMGNXTXpYM3BrGAo</v>
      </c>
      <c r="B72" s="7"/>
      <c r="C72" s="6" t="str">
        <f>IFERROR(__xludf.DUMMYFUNCTION("""COMPUTED_VALUE"""),"google.com")</f>
        <v>google.com</v>
      </c>
      <c r="D72" s="7" t="str">
        <f>IFERROR(__xludf.DUMMYFUNCTION("""COMPUTED_VALUE"""),"OTHER")</f>
        <v>OTHER</v>
      </c>
      <c r="E72" s="7" t="str">
        <f>IFERROR(__xludf.DUMMYFUNCTION("""COMPUTED_VALUE"""),"OTHER")</f>
        <v>OTHER</v>
      </c>
      <c r="F72" s="7" t="str">
        <f>IFERROR(__xludf.DUMMYFUNCTION("""COMPUTED_VALUE"""),"Other")</f>
        <v>Other</v>
      </c>
      <c r="G72" s="7"/>
      <c r="H72" s="7" t="str">
        <f>IFERROR(__xludf.DUMMYFUNCTION("""COMPUTED_VALUE"""),"Unknown")</f>
        <v>Unknown</v>
      </c>
      <c r="I72" s="7">
        <f>IFERROR(__xludf.DUMMYFUNCTION("""COMPUTED_VALUE"""),2.0)</f>
        <v>2</v>
      </c>
      <c r="J72" s="7">
        <f>IFERROR(__xludf.DUMMYFUNCTION("""COMPUTED_VALUE"""),0.0)</f>
        <v>0</v>
      </c>
      <c r="K72" s="7">
        <f>IFERROR(__xludf.DUMMYFUNCTION("""COMPUTED_VALUE"""),1.0)</f>
        <v>1</v>
      </c>
    </row>
    <row r="73" ht="15.75" customHeight="1">
      <c r="A73" s="6" t="str">
        <f>IFERROR(__xludf.DUMMYFUNCTION("""COMPUTED_VALUE"""),"https://impact.com/videos/state-of-affiliate-marketing-australia-affa-vid-ed-apj/")</f>
        <v>https://impact.com/videos/state-of-affiliate-marketing-australia-affa-vid-ed-apj/</v>
      </c>
      <c r="B73" s="7" t="str">
        <f>IFERROR(__xludf.DUMMYFUNCTION("""COMPUTED_VALUE"""),"State of Affiliate Marketing in Australia: 2026 Trends")</f>
        <v>State of Affiliate Marketing in Australia: 2026 Trends</v>
      </c>
      <c r="C73" s="6" t="str">
        <f>IFERROR(__xludf.DUMMYFUNCTION("""COMPUTED_VALUE"""),"impact.com")</f>
        <v>impact.com</v>
      </c>
      <c r="D73" s="7" t="str">
        <f>IFERROR(__xludf.DUMMYFUNCTION("""COMPUTED_VALUE"""),"OTHER")</f>
        <v>OTHER</v>
      </c>
      <c r="E73" s="7" t="str">
        <f>IFERROR(__xludf.DUMMYFUNCTION("""COMPUTED_VALUE"""),"CORPORATE")</f>
        <v>CORPORATE</v>
      </c>
      <c r="F73" s="7" t="str">
        <f>IFERROR(__xludf.DUMMYFUNCTION("""COMPUTED_VALUE"""),"Other")</f>
        <v>Other</v>
      </c>
      <c r="G73" s="7" t="b">
        <f>IFERROR(__xludf.DUMMYFUNCTION("""COMPUTED_VALUE"""),FALSE)</f>
        <v>0</v>
      </c>
      <c r="H73" s="7" t="str">
        <f>IFERROR(__xludf.DUMMYFUNCTION("""COMPUTED_VALUE"""),"Momentum")</f>
        <v>Momentum</v>
      </c>
      <c r="I73" s="7">
        <f>IFERROR(__xludf.DUMMYFUNCTION("""COMPUTED_VALUE"""),2.0)</f>
        <v>2</v>
      </c>
      <c r="J73" s="7">
        <f>IFERROR(__xludf.DUMMYFUNCTION("""COMPUTED_VALUE"""),0.0)</f>
        <v>0</v>
      </c>
      <c r="K73" s="7">
        <f>IFERROR(__xludf.DUMMYFUNCTION("""COMPUTED_VALUE"""),1.0)</f>
        <v>1</v>
      </c>
    </row>
    <row r="74" ht="15.75" customHeight="1">
      <c r="A74" s="6" t="str">
        <f>IFERROR(__xludf.DUMMYFUNCTION("""COMPUTED_VALUE"""),"https://www.intesols.com.au/services/answer-engine-optimisation/#:~:text=As%20an%20AEO%20Agency%2C%20we%20bring%20tested,matters%20most%2C%20in%20front%20of%20your%20customers.")</f>
        <v>https://www.intesols.com.au/services/answer-engine-optimisation/#:~:text=As%20an%20AEO%20Agency%2C%20we%20bring%20tested,matters%20most%2C%20in%20front%20of%20your%20customers.</v>
      </c>
      <c r="B74" s="7" t="str">
        <f>IFERROR(__xludf.DUMMYFUNCTION("""COMPUTED_VALUE"""),"AEO Agency in Melbourne | Answer Engine Optimisation for Real Enquiries")</f>
        <v>AEO Agency in Melbourne | Answer Engine Optimisation for Real Enquiries</v>
      </c>
      <c r="C74" s="6" t="str">
        <f>IFERROR(__xludf.DUMMYFUNCTION("""COMPUTED_VALUE"""),"intesols.com.au")</f>
        <v>intesols.com.au</v>
      </c>
      <c r="D74" s="7" t="str">
        <f>IFERROR(__xludf.DUMMYFUNCTION("""COMPUTED_VALUE"""),"OTHER")</f>
        <v>OTHER</v>
      </c>
      <c r="E74" s="7" t="str">
        <f>IFERROR(__xludf.DUMMYFUNCTION("""COMPUTED_VALUE"""),"COMPETITOR")</f>
        <v>COMPETITOR</v>
      </c>
      <c r="F74" s="7" t="str">
        <f>IFERROR(__xludf.DUMMYFUNCTION("""COMPUTED_VALUE"""),"Other")</f>
        <v>Other</v>
      </c>
      <c r="G74" s="7" t="b">
        <f>IFERROR(__xludf.DUMMYFUNCTION("""COMPUTED_VALUE"""),FALSE)</f>
        <v>0</v>
      </c>
      <c r="H74" s="7" t="str">
        <f>IFERROR(__xludf.DUMMYFUNCTION("""COMPUTED_VALUE"""),"Intesols")</f>
        <v>Intesols</v>
      </c>
      <c r="I74" s="7">
        <f>IFERROR(__xludf.DUMMYFUNCTION("""COMPUTED_VALUE"""),2.0)</f>
        <v>2</v>
      </c>
      <c r="J74" s="7">
        <f>IFERROR(__xludf.DUMMYFUNCTION("""COMPUTED_VALUE"""),0.0)</f>
        <v>0</v>
      </c>
      <c r="K74" s="7">
        <f>IFERROR(__xludf.DUMMYFUNCTION("""COMPUTED_VALUE"""),2.0)</f>
        <v>2</v>
      </c>
    </row>
    <row r="75" ht="15.75" customHeight="1">
      <c r="A75" s="6" t="str">
        <f>IFERROR(__xludf.DUMMYFUNCTION("""COMPUTED_VALUE"""),"https://itprofiles.com/services/ppc/sydney")</f>
        <v>https://itprofiles.com/services/ppc/sydney</v>
      </c>
      <c r="B75" s="7" t="str">
        <f>IFERROR(__xludf.DUMMYFUNCTION("""COMPUTED_VALUE"""),"The Definitive List: Best PPC Companies in Sydney in Jul 2026 | ITProfiles")</f>
        <v>The Definitive List: Best PPC Companies in Sydney in Jul 2026 | ITProfiles</v>
      </c>
      <c r="C75" s="6" t="str">
        <f>IFERROR(__xludf.DUMMYFUNCTION("""COMPUTED_VALUE"""),"itprofiles.com")</f>
        <v>itprofiles.com</v>
      </c>
      <c r="D75" s="7" t="str">
        <f>IFERROR(__xludf.DUMMYFUNCTION("""COMPUTED_VALUE"""),"OTHER")</f>
        <v>OTHER</v>
      </c>
      <c r="E75" s="7" t="str">
        <f>IFERROR(__xludf.DUMMYFUNCTION("""COMPUTED_VALUE"""),"REFERENCE")</f>
        <v>REFERENCE</v>
      </c>
      <c r="F75" s="7" t="str">
        <f>IFERROR(__xludf.DUMMYFUNCTION("""COMPUTED_VALUE"""),"Other")</f>
        <v>Other</v>
      </c>
      <c r="G75" s="7" t="b">
        <f>IFERROR(__xludf.DUMMYFUNCTION("""COMPUTED_VALUE"""),FALSE)</f>
        <v>0</v>
      </c>
      <c r="H75" s="7" t="str">
        <f>IFERROR(__xludf.DUMMYFUNCTION("""COMPUTED_VALUE"""),"AdVisible, Sparro")</f>
        <v>AdVisible, Sparro</v>
      </c>
      <c r="I75" s="7">
        <f>IFERROR(__xludf.DUMMYFUNCTION("""COMPUTED_VALUE"""),2.0)</f>
        <v>2</v>
      </c>
      <c r="J75" s="7">
        <f>IFERROR(__xludf.DUMMYFUNCTION("""COMPUTED_VALUE"""),0.0)</f>
        <v>0</v>
      </c>
      <c r="K75" s="7">
        <f>IFERROR(__xludf.DUMMYFUNCTION("""COMPUTED_VALUE"""),0.5)</f>
        <v>0.5</v>
      </c>
    </row>
    <row r="76" ht="15.75" customHeight="1">
      <c r="A76" s="6" t="str">
        <f>IFERROR(__xludf.DUMMYFUNCTION("""COMPUTED_VALUE"""),"https://www.listcorp.com/asx/xpn/xpon-technologies-group-limited/news/divestment-of-google-gmp-and-gcp-business-to-incubeta-3364858.html")</f>
        <v>https://www.listcorp.com/asx/xpn/xpon-technologies-group-limited/news/divestment-of-google-gmp-and-gcp-business-to-incubeta-3364858.html</v>
      </c>
      <c r="B76" s="7"/>
      <c r="C76" s="6" t="str">
        <f>IFERROR(__xludf.DUMMYFUNCTION("""COMPUTED_VALUE"""),"listcorp.com")</f>
        <v>listcorp.com</v>
      </c>
      <c r="D76" s="7" t="str">
        <f>IFERROR(__xludf.DUMMYFUNCTION("""COMPUTED_VALUE"""),"OTHER")</f>
        <v>OTHER</v>
      </c>
      <c r="E76" s="7" t="str">
        <f>IFERROR(__xludf.DUMMYFUNCTION("""COMPUTED_VALUE"""),"CORPORATE")</f>
        <v>CORPORATE</v>
      </c>
      <c r="F76" s="7" t="str">
        <f>IFERROR(__xludf.DUMMYFUNCTION("""COMPUTED_VALUE"""),"Other")</f>
        <v>Other</v>
      </c>
      <c r="G76" s="7"/>
      <c r="H76" s="7" t="str">
        <f>IFERROR(__xludf.DUMMYFUNCTION("""COMPUTED_VALUE"""),"Unknown")</f>
        <v>Unknown</v>
      </c>
      <c r="I76" s="7">
        <f>IFERROR(__xludf.DUMMYFUNCTION("""COMPUTED_VALUE"""),2.0)</f>
        <v>2</v>
      </c>
      <c r="J76" s="7">
        <f>IFERROR(__xludf.DUMMYFUNCTION("""COMPUTED_VALUE"""),0.0)</f>
        <v>0</v>
      </c>
      <c r="K76" s="7">
        <f>IFERROR(__xludf.DUMMYFUNCTION("""COMPUTED_VALUE"""),1.0)</f>
        <v>1</v>
      </c>
    </row>
    <row r="77" ht="15.75" customHeight="1">
      <c r="A77" s="6" t="str">
        <f>IFERROR(__xludf.DUMMYFUNCTION("""COMPUTED_VALUE"""),"https://www.louddays.com/programmatic-advertising-agency-guide/")</f>
        <v>https://www.louddays.com/programmatic-advertising-agency-guide/</v>
      </c>
      <c r="B77" s="7" t="str">
        <f>IFERROR(__xludf.DUMMYFUNCTION("""COMPUTED_VALUE"""),"Programmatic Advertising Agency 2026 Guide | Loud Days")</f>
        <v>Programmatic Advertising Agency 2026 Guide | Loud Days</v>
      </c>
      <c r="C77" s="6" t="str">
        <f>IFERROR(__xludf.DUMMYFUNCTION("""COMPUTED_VALUE"""),"louddays.com")</f>
        <v>louddays.com</v>
      </c>
      <c r="D77" s="7" t="str">
        <f>IFERROR(__xludf.DUMMYFUNCTION("""COMPUTED_VALUE"""),"OTHER")</f>
        <v>OTHER</v>
      </c>
      <c r="E77" s="7" t="str">
        <f>IFERROR(__xludf.DUMMYFUNCTION("""COMPUTED_VALUE"""),"COMPETITOR")</f>
        <v>COMPETITOR</v>
      </c>
      <c r="F77" s="7" t="str">
        <f>IFERROR(__xludf.DUMMYFUNCTION("""COMPUTED_VALUE"""),"Other")</f>
        <v>Other</v>
      </c>
      <c r="G77" s="7" t="b">
        <f>IFERROR(__xludf.DUMMYFUNCTION("""COMPUTED_VALUE"""),FALSE)</f>
        <v>0</v>
      </c>
      <c r="H77" s="7" t="str">
        <f>IFERROR(__xludf.DUMMYFUNCTION("""COMPUTED_VALUE"""),"Loud Days, Measured, Impressive")</f>
        <v>Loud Days, Measured, Impressive</v>
      </c>
      <c r="I77" s="7">
        <f>IFERROR(__xludf.DUMMYFUNCTION("""COMPUTED_VALUE"""),2.0)</f>
        <v>2</v>
      </c>
      <c r="J77" s="7">
        <f>IFERROR(__xludf.DUMMYFUNCTION("""COMPUTED_VALUE"""),0.0)</f>
        <v>0</v>
      </c>
      <c r="K77" s="7">
        <f>IFERROR(__xludf.DUMMYFUNCTION("""COMPUTED_VALUE"""),0.0)</f>
        <v>0</v>
      </c>
    </row>
    <row r="78" ht="15.75" customHeight="1">
      <c r="A78" s="6" t="str">
        <f>IFERROR(__xludf.DUMMYFUNCTION("""COMPUTED_VALUE"""),"https://www.rightfirms.co/directory/geo-services/country/australia")</f>
        <v>https://www.rightfirms.co/directory/geo-services/country/australia</v>
      </c>
      <c r="B78" s="7" t="str">
        <f>IFERROR(__xludf.DUMMYFUNCTION("""COMPUTED_VALUE"""),"Top GEO Services Companies in Australia | RightFirms")</f>
        <v>Top GEO Services Companies in Australia | RightFirms</v>
      </c>
      <c r="C78" s="6" t="str">
        <f>IFERROR(__xludf.DUMMYFUNCTION("""COMPUTED_VALUE"""),"rightfirms.co")</f>
        <v>rightfirms.co</v>
      </c>
      <c r="D78" s="7" t="str">
        <f>IFERROR(__xludf.DUMMYFUNCTION("""COMPUTED_VALUE"""),"OTHER")</f>
        <v>OTHER</v>
      </c>
      <c r="E78" s="7" t="str">
        <f>IFERROR(__xludf.DUMMYFUNCTION("""COMPUTED_VALUE"""),"REFERENCE")</f>
        <v>REFERENCE</v>
      </c>
      <c r="F78" s="7" t="str">
        <f>IFERROR(__xludf.DUMMYFUNCTION("""COMPUTED_VALUE"""),"Other")</f>
        <v>Other</v>
      </c>
      <c r="G78" s="7" t="b">
        <f>IFERROR(__xludf.DUMMYFUNCTION("""COMPUTED_VALUE"""),FALSE)</f>
        <v>0</v>
      </c>
      <c r="H78" s="7"/>
      <c r="I78" s="7">
        <f>IFERROR(__xludf.DUMMYFUNCTION("""COMPUTED_VALUE"""),2.0)</f>
        <v>2</v>
      </c>
      <c r="J78" s="7">
        <f>IFERROR(__xludf.DUMMYFUNCTION("""COMPUTED_VALUE"""),0.0)</f>
        <v>0</v>
      </c>
      <c r="K78" s="7">
        <f>IFERROR(__xludf.DUMMYFUNCTION("""COMPUTED_VALUE"""),0.0)</f>
        <v>0</v>
      </c>
    </row>
    <row r="79" ht="15.75" customHeight="1">
      <c r="A79" s="6" t="str">
        <f>IFERROR(__xludf.DUMMYFUNCTION("""COMPUTED_VALUE"""),"https://rocketagency.com.au/services/ppc-agency/display-ads")</f>
        <v>https://rocketagency.com.au/services/ppc-agency/display-ads</v>
      </c>
      <c r="B79" s="7" t="str">
        <f>IFERROR(__xludf.DUMMYFUNCTION("""COMPUTED_VALUE"""),"Google Display Advertising &amp;amp; Services | Rocket Agency")</f>
        <v>Google Display Advertising &amp;amp; Services | Rocket Agency</v>
      </c>
      <c r="C79" s="6" t="str">
        <f>IFERROR(__xludf.DUMMYFUNCTION("""COMPUTED_VALUE"""),"rocketagency.com.au")</f>
        <v>rocketagency.com.au</v>
      </c>
      <c r="D79" s="7" t="str">
        <f>IFERROR(__xludf.DUMMYFUNCTION("""COMPUTED_VALUE"""),"OTHER")</f>
        <v>OTHER</v>
      </c>
      <c r="E79" s="7" t="str">
        <f>IFERROR(__xludf.DUMMYFUNCTION("""COMPUTED_VALUE"""),"COMPETITOR")</f>
        <v>COMPETITOR</v>
      </c>
      <c r="F79" s="7" t="str">
        <f>IFERROR(__xludf.DUMMYFUNCTION("""COMPUTED_VALUE"""),"Other")</f>
        <v>Other</v>
      </c>
      <c r="G79" s="7" t="b">
        <f>IFERROR(__xludf.DUMMYFUNCTION("""COMPUTED_VALUE"""),FALSE)</f>
        <v>0</v>
      </c>
      <c r="H79" s="7" t="str">
        <f>IFERROR(__xludf.DUMMYFUNCTION("""COMPUTED_VALUE"""),"Rocket Agency, HERO")</f>
        <v>Rocket Agency, HERO</v>
      </c>
      <c r="I79" s="7">
        <f>IFERROR(__xludf.DUMMYFUNCTION("""COMPUTED_VALUE"""),2.0)</f>
        <v>2</v>
      </c>
      <c r="J79" s="7">
        <f>IFERROR(__xludf.DUMMYFUNCTION("""COMPUTED_VALUE"""),0.0)</f>
        <v>0</v>
      </c>
      <c r="K79" s="7">
        <f>IFERROR(__xludf.DUMMYFUNCTION("""COMPUTED_VALUE"""),3.0)</f>
        <v>3</v>
      </c>
    </row>
    <row r="80" ht="15.75" customHeight="1">
      <c r="A80" s="6" t="str">
        <f>IFERROR(__xludf.DUMMYFUNCTION("""COMPUTED_VALUE"""),"https://www.sortlist.com/web-analytics/melbourne-au")</f>
        <v>https://www.sortlist.com/web-analytics/melbourne-au</v>
      </c>
      <c r="B80" s="7" t="str">
        <f>IFERROR(__xludf.DUMMYFUNCTION("""COMPUTED_VALUE"""),"The 10 Best Web Analytics Agencies in Melbourne - 2026 Reviews")</f>
        <v>The 10 Best Web Analytics Agencies in Melbourne - 2026 Reviews</v>
      </c>
      <c r="C80" s="6" t="str">
        <f>IFERROR(__xludf.DUMMYFUNCTION("""COMPUTED_VALUE"""),"sortlist.com")</f>
        <v>sortlist.com</v>
      </c>
      <c r="D80" s="7" t="str">
        <f>IFERROR(__xludf.DUMMYFUNCTION("""COMPUTED_VALUE"""),"OTHER")</f>
        <v>OTHER</v>
      </c>
      <c r="E80" s="7" t="str">
        <f>IFERROR(__xludf.DUMMYFUNCTION("""COMPUTED_VALUE"""),"CORPORATE")</f>
        <v>CORPORATE</v>
      </c>
      <c r="F80" s="7" t="str">
        <f>IFERROR(__xludf.DUMMYFUNCTION("""COMPUTED_VALUE"""),"Other")</f>
        <v>Other</v>
      </c>
      <c r="G80" s="7" t="b">
        <f>IFERROR(__xludf.DUMMYFUNCTION("""COMPUTED_VALUE"""),FALSE)</f>
        <v>0</v>
      </c>
      <c r="H80" s="7" t="str">
        <f>IFERROR(__xludf.DUMMYFUNCTION("""COMPUTED_VALUE"""),"Impressive, SIXGUN, 23 Digital")</f>
        <v>Impressive, SIXGUN, 23 Digital</v>
      </c>
      <c r="I80" s="7">
        <f>IFERROR(__xludf.DUMMYFUNCTION("""COMPUTED_VALUE"""),2.0)</f>
        <v>2</v>
      </c>
      <c r="J80" s="7">
        <f>IFERROR(__xludf.DUMMYFUNCTION("""COMPUTED_VALUE"""),0.0)</f>
        <v>0</v>
      </c>
      <c r="K80" s="7">
        <f>IFERROR(__xludf.DUMMYFUNCTION("""COMPUTED_VALUE"""),0.0)</f>
        <v>0</v>
      </c>
    </row>
    <row r="81" ht="15.75" customHeight="1">
      <c r="A81" s="6" t="str">
        <f>IFERROR(__xludf.DUMMYFUNCTION("""COMPUTED_VALUE"""),"https://support.google.com/tagmanager/answer/7237700?hl=en-AU")</f>
        <v>https://support.google.com/tagmanager/answer/7237700?hl=en-AU</v>
      </c>
      <c r="B81" s="7" t="str">
        <f>IFERROR(__xludf.DUMMYFUNCTION("""COMPUTED_VALUE"""),"Google Marketing Platform Partners - Tag Manager Help")</f>
        <v>Google Marketing Platform Partners - Tag Manager Help</v>
      </c>
      <c r="C81" s="6" t="str">
        <f>IFERROR(__xludf.DUMMYFUNCTION("""COMPUTED_VALUE"""),"google.com")</f>
        <v>google.com</v>
      </c>
      <c r="D81" s="7" t="str">
        <f>IFERROR(__xludf.DUMMYFUNCTION("""COMPUTED_VALUE"""),"OTHER")</f>
        <v>OTHER</v>
      </c>
      <c r="E81" s="7" t="str">
        <f>IFERROR(__xludf.DUMMYFUNCTION("""COMPUTED_VALUE"""),"OTHER")</f>
        <v>OTHER</v>
      </c>
      <c r="F81" s="7" t="str">
        <f>IFERROR(__xludf.DUMMYFUNCTION("""COMPUTED_VALUE"""),"Other")</f>
        <v>Other</v>
      </c>
      <c r="G81" s="7" t="b">
        <f>IFERROR(__xludf.DUMMYFUNCTION("""COMPUTED_VALUE"""),FALSE)</f>
        <v>0</v>
      </c>
      <c r="H81" s="7"/>
      <c r="I81" s="7">
        <f>IFERROR(__xludf.DUMMYFUNCTION("""COMPUTED_VALUE"""),2.0)</f>
        <v>2</v>
      </c>
      <c r="J81" s="7">
        <f>IFERROR(__xludf.DUMMYFUNCTION("""COMPUTED_VALUE"""),0.0)</f>
        <v>0</v>
      </c>
      <c r="K81" s="7">
        <f>IFERROR(__xludf.DUMMYFUNCTION("""COMPUTED_VALUE"""),0.0)</f>
        <v>0</v>
      </c>
    </row>
    <row r="82" ht="15.75" customHeight="1">
      <c r="A82" s="6" t="str">
        <f>IFERROR(__xludf.DUMMYFUNCTION("""COMPUTED_VALUE"""),"https://www.10seos.com/au/display-advertising-companies-in-australia?page=16")</f>
        <v>https://www.10seos.com/au/display-advertising-companies-in-australia?page=16</v>
      </c>
      <c r="B82" s="7" t="str">
        <f>IFERROR(__xludf.DUMMYFUNCTION("""COMPUTED_VALUE"""),"Top 10 Display Advertising Companies For Best Services-Australia | July 2026")</f>
        <v>Top 10 Display Advertising Companies For Best Services-Australia | July 2026</v>
      </c>
      <c r="C82" s="6" t="str">
        <f>IFERROR(__xludf.DUMMYFUNCTION("""COMPUTED_VALUE"""),"10seos.com")</f>
        <v>10seos.com</v>
      </c>
      <c r="D82" s="7" t="str">
        <f>IFERROR(__xludf.DUMMYFUNCTION("""COMPUTED_VALUE"""),"OTHER")</f>
        <v>OTHER</v>
      </c>
      <c r="E82" s="7" t="str">
        <f>IFERROR(__xludf.DUMMYFUNCTION("""COMPUTED_VALUE"""),"REFERENCE")</f>
        <v>REFERENCE</v>
      </c>
      <c r="F82" s="7" t="str">
        <f>IFERROR(__xludf.DUMMYFUNCTION("""COMPUTED_VALUE"""),"Other")</f>
        <v>Other</v>
      </c>
      <c r="G82" s="7" t="b">
        <f>IFERROR(__xludf.DUMMYFUNCTION("""COMPUTED_VALUE"""),FALSE)</f>
        <v>0</v>
      </c>
      <c r="H82" s="7"/>
      <c r="I82" s="7">
        <f>IFERROR(__xludf.DUMMYFUNCTION("""COMPUTED_VALUE"""),1.0)</f>
        <v>1</v>
      </c>
      <c r="J82" s="7">
        <f>IFERROR(__xludf.DUMMYFUNCTION("""COMPUTED_VALUE"""),0.0)</f>
        <v>0</v>
      </c>
      <c r="K82" s="7">
        <f>IFERROR(__xludf.DUMMYFUNCTION("""COMPUTED_VALUE"""),0.0)</f>
        <v>0</v>
      </c>
    </row>
    <row r="83" ht="15.75" customHeight="1">
      <c r="A83" s="6" t="str">
        <f>IFERROR(__xludf.DUMMYFUNCTION("""COMPUTED_VALUE"""),"https://www.10seos.com/au/display-advertising-companies-in-melbourne-australia")</f>
        <v>https://www.10seos.com/au/display-advertising-companies-in-melbourne-australia</v>
      </c>
      <c r="B83" s="7" t="str">
        <f>IFERROR(__xludf.DUMMYFUNCTION("""COMPUTED_VALUE"""),"Top 10 Display Advertising Companies For Best Services-Melbourne-Australia | July 2026")</f>
        <v>Top 10 Display Advertising Companies For Best Services-Melbourne-Australia | July 2026</v>
      </c>
      <c r="C83" s="6" t="str">
        <f>IFERROR(__xludf.DUMMYFUNCTION("""COMPUTED_VALUE"""),"10seos.com")</f>
        <v>10seos.com</v>
      </c>
      <c r="D83" s="7" t="str">
        <f>IFERROR(__xludf.DUMMYFUNCTION("""COMPUTED_VALUE"""),"OTHER")</f>
        <v>OTHER</v>
      </c>
      <c r="E83" s="7" t="str">
        <f>IFERROR(__xludf.DUMMYFUNCTION("""COMPUTED_VALUE"""),"REFERENCE")</f>
        <v>REFERENCE</v>
      </c>
      <c r="F83" s="7" t="str">
        <f>IFERROR(__xludf.DUMMYFUNCTION("""COMPUTED_VALUE"""),"Other")</f>
        <v>Other</v>
      </c>
      <c r="G83" s="7" t="b">
        <f>IFERROR(__xludf.DUMMYFUNCTION("""COMPUTED_VALUE"""),FALSE)</f>
        <v>0</v>
      </c>
      <c r="H83" s="7" t="str">
        <f>IFERROR(__xludf.DUMMYFUNCTION("""COMPUTED_VALUE"""),"eMarket Experts, Intesols")</f>
        <v>eMarket Experts, Intesols</v>
      </c>
      <c r="I83" s="7">
        <f>IFERROR(__xludf.DUMMYFUNCTION("""COMPUTED_VALUE"""),1.0)</f>
        <v>1</v>
      </c>
      <c r="J83" s="7">
        <f>IFERROR(__xludf.DUMMYFUNCTION("""COMPUTED_VALUE"""),0.0)</f>
        <v>0</v>
      </c>
      <c r="K83" s="7">
        <f>IFERROR(__xludf.DUMMYFUNCTION("""COMPUTED_VALUE"""),0.0)</f>
        <v>0</v>
      </c>
    </row>
    <row r="84" ht="15.75" customHeight="1">
      <c r="A84" s="6" t="str">
        <f>IFERROR(__xludf.DUMMYFUNCTION("""COMPUTED_VALUE"""),"https://www.abf.gov.au/about-us/what-we-do/trustedtrader/benefits/mutual-recognition-arrangements")</f>
        <v>https://www.abf.gov.au/about-us/what-we-do/trustedtrader/benefits/mutual-recognition-arrangements</v>
      </c>
      <c r="B84" s="7" t="str">
        <f>IFERROR(__xludf.DUMMYFUNCTION("""COMPUTED_VALUE"""),"Australian Border Force Website")</f>
        <v>Australian Border Force Website</v>
      </c>
      <c r="C84" s="6" t="str">
        <f>IFERROR(__xludf.DUMMYFUNCTION("""COMPUTED_VALUE"""),"abf.gov.au")</f>
        <v>abf.gov.au</v>
      </c>
      <c r="D84" s="7" t="str">
        <f>IFERROR(__xludf.DUMMYFUNCTION("""COMPUTED_VALUE"""),"OTHER")</f>
        <v>OTHER</v>
      </c>
      <c r="E84" s="7" t="str">
        <f>IFERROR(__xludf.DUMMYFUNCTION("""COMPUTED_VALUE"""),"INSTITUTIONAL")</f>
        <v>INSTITUTIONAL</v>
      </c>
      <c r="F84" s="7" t="str">
        <f>IFERROR(__xludf.DUMMYFUNCTION("""COMPUTED_VALUE"""),"Other")</f>
        <v>Other</v>
      </c>
      <c r="G84" s="7" t="b">
        <f>IFERROR(__xludf.DUMMYFUNCTION("""COMPUTED_VALUE"""),FALSE)</f>
        <v>0</v>
      </c>
      <c r="H84" s="7"/>
      <c r="I84" s="7">
        <f>IFERROR(__xludf.DUMMYFUNCTION("""COMPUTED_VALUE"""),1.0)</f>
        <v>1</v>
      </c>
      <c r="J84" s="7">
        <f>IFERROR(__xludf.DUMMYFUNCTION("""COMPUTED_VALUE"""),0.0)</f>
        <v>0</v>
      </c>
      <c r="K84" s="7">
        <f>IFERROR(__xludf.DUMMYFUNCTION("""COMPUTED_VALUE"""),1.0)</f>
        <v>1</v>
      </c>
    </row>
    <row r="85" ht="15.75" customHeight="1">
      <c r="A85" s="6" t="str">
        <f>IFERROR(__xludf.DUMMYFUNCTION("""COMPUTED_VALUE"""),"https://www.activfreight.com.au/services/customs-tariff-consulting/")</f>
        <v>https://www.activfreight.com.au/services/customs-tariff-consulting/</v>
      </c>
      <c r="B85" s="7" t="str">
        <f>IFERROR(__xludf.DUMMYFUNCTION("""COMPUTED_VALUE"""),"Customs &amp;amp; Tariff Consulting | ActivFreight")</f>
        <v>Customs &amp;amp; Tariff Consulting | ActivFreight</v>
      </c>
      <c r="C85" s="6" t="str">
        <f>IFERROR(__xludf.DUMMYFUNCTION("""COMPUTED_VALUE"""),"activfreight.com.au")</f>
        <v>activfreight.com.au</v>
      </c>
      <c r="D85" s="7" t="str">
        <f>IFERROR(__xludf.DUMMYFUNCTION("""COMPUTED_VALUE"""),"OTHER")</f>
        <v>OTHER</v>
      </c>
      <c r="E85" s="7" t="str">
        <f>IFERROR(__xludf.DUMMYFUNCTION("""COMPUTED_VALUE"""),"CORPORATE")</f>
        <v>CORPORATE</v>
      </c>
      <c r="F85" s="7" t="str">
        <f>IFERROR(__xludf.DUMMYFUNCTION("""COMPUTED_VALUE"""),"Other")</f>
        <v>Other</v>
      </c>
      <c r="G85" s="7" t="b">
        <f>IFERROR(__xludf.DUMMYFUNCTION("""COMPUTED_VALUE"""),FALSE)</f>
        <v>0</v>
      </c>
      <c r="H85" s="7"/>
      <c r="I85" s="7">
        <f>IFERROR(__xludf.DUMMYFUNCTION("""COMPUTED_VALUE"""),1.0)</f>
        <v>1</v>
      </c>
      <c r="J85" s="7">
        <f>IFERROR(__xludf.DUMMYFUNCTION("""COMPUTED_VALUE"""),0.0)</f>
        <v>0</v>
      </c>
      <c r="K85" s="7">
        <f>IFERROR(__xludf.DUMMYFUNCTION("""COMPUTED_VALUE"""),1.0)</f>
        <v>1</v>
      </c>
    </row>
    <row r="86" ht="15.75" customHeight="1">
      <c r="A86" s="6" t="str">
        <f>IFERROR(__xludf.DUMMYFUNCTION("""COMPUTED_VALUE"""),"https://adma.com.au/resources-hub")</f>
        <v>https://adma.com.au/resources-hub</v>
      </c>
      <c r="B86" s="7" t="str">
        <f>IFERROR(__xludf.DUMMYFUNCTION("""COMPUTED_VALUE"""),"Marketing Resources and AI Insights | Stay Ahead with ADMA")</f>
        <v>Marketing Resources and AI Insights | Stay Ahead with ADMA</v>
      </c>
      <c r="C86" s="6" t="str">
        <f>IFERROR(__xludf.DUMMYFUNCTION("""COMPUTED_VALUE"""),"adma.com.au")</f>
        <v>adma.com.au</v>
      </c>
      <c r="D86" s="7" t="str">
        <f>IFERROR(__xludf.DUMMYFUNCTION("""COMPUTED_VALUE"""),"OTHER")</f>
        <v>OTHER</v>
      </c>
      <c r="E86" s="7" t="str">
        <f>IFERROR(__xludf.DUMMYFUNCTION("""COMPUTED_VALUE"""),"INSTITUTIONAL")</f>
        <v>INSTITUTIONAL</v>
      </c>
      <c r="F86" s="7" t="str">
        <f>IFERROR(__xludf.DUMMYFUNCTION("""COMPUTED_VALUE"""),"Other")</f>
        <v>Other</v>
      </c>
      <c r="G86" s="7" t="b">
        <f>IFERROR(__xludf.DUMMYFUNCTION("""COMPUTED_VALUE"""),FALSE)</f>
        <v>0</v>
      </c>
      <c r="H86" s="7" t="str">
        <f>IFERROR(__xludf.DUMMYFUNCTION("""COMPUTED_VALUE"""),"In Marketing We Trust, Deloitte, Deloitte Digital, Huge")</f>
        <v>In Marketing We Trust, Deloitte, Deloitte Digital, Huge</v>
      </c>
      <c r="I86" s="7">
        <f>IFERROR(__xludf.DUMMYFUNCTION("""COMPUTED_VALUE"""),1.0)</f>
        <v>1</v>
      </c>
      <c r="J86" s="7">
        <f>IFERROR(__xludf.DUMMYFUNCTION("""COMPUTED_VALUE"""),0.0)</f>
        <v>0</v>
      </c>
      <c r="K86" s="7">
        <f>IFERROR(__xludf.DUMMYFUNCTION("""COMPUTED_VALUE"""),1.0)</f>
        <v>1</v>
      </c>
    </row>
    <row r="87" ht="15.75" customHeight="1">
      <c r="A87" s="6" t="str">
        <f>IFERROR(__xludf.DUMMYFUNCTION("""COMPUTED_VALUE"""),"https://www.adnews.com.au/news/hatched-wins-who-gives-a-crap-media-account")</f>
        <v>https://www.adnews.com.au/news/hatched-wins-who-gives-a-crap-media-account</v>
      </c>
      <c r="B87" s="7" t="str">
        <f>IFERROR(__xludf.DUMMYFUNCTION("""COMPUTED_VALUE"""),"Hatched wins Who Gives A Crap media account - AdNews")</f>
        <v>Hatched wins Who Gives A Crap media account - AdNews</v>
      </c>
      <c r="C87" s="6" t="str">
        <f>IFERROR(__xludf.DUMMYFUNCTION("""COMPUTED_VALUE"""),"adnews.com.au")</f>
        <v>adnews.com.au</v>
      </c>
      <c r="D87" s="7" t="str">
        <f>IFERROR(__xludf.DUMMYFUNCTION("""COMPUTED_VALUE"""),"OTHER")</f>
        <v>OTHER</v>
      </c>
      <c r="E87" s="7" t="str">
        <f>IFERROR(__xludf.DUMMYFUNCTION("""COMPUTED_VALUE"""),"EDITORIAL")</f>
        <v>EDITORIAL</v>
      </c>
      <c r="F87" s="7" t="str">
        <f>IFERROR(__xludf.DUMMYFUNCTION("""COMPUTED_VALUE"""),"Other")</f>
        <v>Other</v>
      </c>
      <c r="G87" s="7" t="b">
        <f>IFERROR(__xludf.DUMMYFUNCTION("""COMPUTED_VALUE"""),FALSE)</f>
        <v>0</v>
      </c>
      <c r="H87" s="7"/>
      <c r="I87" s="7">
        <f>IFERROR(__xludf.DUMMYFUNCTION("""COMPUTED_VALUE"""),1.0)</f>
        <v>1</v>
      </c>
      <c r="J87" s="7">
        <f>IFERROR(__xludf.DUMMYFUNCTION("""COMPUTED_VALUE"""),0.0)</f>
        <v>0</v>
      </c>
      <c r="K87" s="7">
        <f>IFERROR(__xludf.DUMMYFUNCTION("""COMPUTED_VALUE"""),1.0)</f>
        <v>1</v>
      </c>
    </row>
    <row r="88" ht="15.75" customHeight="1">
      <c r="A88" s="6" t="str">
        <f>IFERROR(__xludf.DUMMYFUNCTION("""COMPUTED_VALUE"""),"https://agencies.semrush.com/list/analytics-data-science/arts-entertainment/australia/")</f>
        <v>https://agencies.semrush.com/list/analytics-data-science/arts-entertainment/australia/</v>
      </c>
      <c r="B88" s="7" t="str">
        <f>IFERROR(__xludf.DUMMYFUNCTION("""COMPUTED_VALUE"""),"Best Media &amp;amp; Entertainment Data Analytics Services in Australia 2026 | Semrush")</f>
        <v>Best Media &amp;amp; Entertainment Data Analytics Services in Australia 2026 | Semrush</v>
      </c>
      <c r="C88" s="6" t="str">
        <f>IFERROR(__xludf.DUMMYFUNCTION("""COMPUTED_VALUE"""),"semrush.com")</f>
        <v>semrush.com</v>
      </c>
      <c r="D88" s="7" t="str">
        <f>IFERROR(__xludf.DUMMYFUNCTION("""COMPUTED_VALUE"""),"OTHER")</f>
        <v>OTHER</v>
      </c>
      <c r="E88" s="7" t="str">
        <f>IFERROR(__xludf.DUMMYFUNCTION("""COMPUTED_VALUE"""),"CORPORATE")</f>
        <v>CORPORATE</v>
      </c>
      <c r="F88" s="7" t="str">
        <f>IFERROR(__xludf.DUMMYFUNCTION("""COMPUTED_VALUE"""),"Other")</f>
        <v>Other</v>
      </c>
      <c r="G88" s="7" t="b">
        <f>IFERROR(__xludf.DUMMYFUNCTION("""COMPUTED_VALUE"""),FALSE)</f>
        <v>0</v>
      </c>
      <c r="H88" s="7" t="str">
        <f>IFERROR(__xludf.DUMMYFUNCTION("""COMPUTED_VALUE"""),"Soup Agency, First Page, Online Marketing Gurus, Omnicom Media Group, 80/20 Digital, Earned Media")</f>
        <v>Soup Agency, First Page, Online Marketing Gurus, Omnicom Media Group, 80/20 Digital, Earned Media</v>
      </c>
      <c r="I88" s="7">
        <f>IFERROR(__xludf.DUMMYFUNCTION("""COMPUTED_VALUE"""),1.0)</f>
        <v>1</v>
      </c>
      <c r="J88" s="7">
        <f>IFERROR(__xludf.DUMMYFUNCTION("""COMPUTED_VALUE"""),0.0)</f>
        <v>0</v>
      </c>
      <c r="K88" s="7">
        <f>IFERROR(__xludf.DUMMYFUNCTION("""COMPUTED_VALUE"""),0.0)</f>
        <v>0</v>
      </c>
    </row>
    <row r="89" ht="15.75" customHeight="1">
      <c r="A89" s="6" t="str">
        <f>IFERROR(__xludf.DUMMYFUNCTION("""COMPUTED_VALUE"""),"https://agencies.semrush.com/list/display-advertising/canberra/")</f>
        <v>https://agencies.semrush.com/list/display-advertising/canberra/</v>
      </c>
      <c r="B89" s="7" t="str">
        <f>IFERROR(__xludf.DUMMYFUNCTION("""COMPUTED_VALUE"""),"Best Display Ads Agencies in Canberra 2026 | Semrush")</f>
        <v>Best Display Ads Agencies in Canberra 2026 | Semrush</v>
      </c>
      <c r="C89" s="6" t="str">
        <f>IFERROR(__xludf.DUMMYFUNCTION("""COMPUTED_VALUE"""),"semrush.com")</f>
        <v>semrush.com</v>
      </c>
      <c r="D89" s="7" t="str">
        <f>IFERROR(__xludf.DUMMYFUNCTION("""COMPUTED_VALUE"""),"OTHER")</f>
        <v>OTHER</v>
      </c>
      <c r="E89" s="7" t="str">
        <f>IFERROR(__xludf.DUMMYFUNCTION("""COMPUTED_VALUE"""),"CORPORATE")</f>
        <v>CORPORATE</v>
      </c>
      <c r="F89" s="7" t="str">
        <f>IFERROR(__xludf.DUMMYFUNCTION("""COMPUTED_VALUE"""),"Other")</f>
        <v>Other</v>
      </c>
      <c r="G89" s="7" t="b">
        <f>IFERROR(__xludf.DUMMYFUNCTION("""COMPUTED_VALUE"""),FALSE)</f>
        <v>0</v>
      </c>
      <c r="H89" s="7" t="str">
        <f>IFERROR(__xludf.DUMMYFUNCTION("""COMPUTED_VALUE"""),"Soup Agency, First Page, Clearwater Agency, Measured, Earned Media, Impressive, Online Marketing Gurus, Omnicom Media Group, Click Click Media, First Page Australia")</f>
        <v>Soup Agency, First Page, Clearwater Agency, Measured, Earned Media, Impressive, Online Marketing Gurus, Omnicom Media Group, Click Click Media, First Page Australia</v>
      </c>
      <c r="I89" s="7">
        <f>IFERROR(__xludf.DUMMYFUNCTION("""COMPUTED_VALUE"""),1.0)</f>
        <v>1</v>
      </c>
      <c r="J89" s="7">
        <f>IFERROR(__xludf.DUMMYFUNCTION("""COMPUTED_VALUE"""),0.0)</f>
        <v>0</v>
      </c>
      <c r="K89" s="7">
        <f>IFERROR(__xludf.DUMMYFUNCTION("""COMPUTED_VALUE"""),0.0)</f>
        <v>0</v>
      </c>
    </row>
    <row r="90" ht="15.75" customHeight="1">
      <c r="A90" s="6" t="str">
        <f>IFERROR(__xludf.DUMMYFUNCTION("""COMPUTED_VALUE"""),"https://agencies.semrush.com/list/programmatic-advertising/sydney/")</f>
        <v>https://agencies.semrush.com/list/programmatic-advertising/sydney/</v>
      </c>
      <c r="B90" s="7" t="str">
        <f>IFERROR(__xludf.DUMMYFUNCTION("""COMPUTED_VALUE"""),"Best Programmatic Advertising Agencies in Sydney 2026 | Semrush")</f>
        <v>Best Programmatic Advertising Agencies in Sydney 2026 | Semrush</v>
      </c>
      <c r="C90" s="6" t="str">
        <f>IFERROR(__xludf.DUMMYFUNCTION("""COMPUTED_VALUE"""),"semrush.com")</f>
        <v>semrush.com</v>
      </c>
      <c r="D90" s="7" t="str">
        <f>IFERROR(__xludf.DUMMYFUNCTION("""COMPUTED_VALUE"""),"OTHER")</f>
        <v>OTHER</v>
      </c>
      <c r="E90" s="7" t="str">
        <f>IFERROR(__xludf.DUMMYFUNCTION("""COMPUTED_VALUE"""),"CORPORATE")</f>
        <v>CORPORATE</v>
      </c>
      <c r="F90" s="7" t="str">
        <f>IFERROR(__xludf.DUMMYFUNCTION("""COMPUTED_VALUE"""),"Other")</f>
        <v>Other</v>
      </c>
      <c r="G90" s="7" t="b">
        <f>IFERROR(__xludf.DUMMYFUNCTION("""COMPUTED_VALUE"""),FALSE)</f>
        <v>0</v>
      </c>
      <c r="H90" s="7" t="str">
        <f>IFERROR(__xludf.DUMMYFUNCTION("""COMPUTED_VALUE"""),"DNM Digital, Soup Agency, Online Marketing Gurus, Omnicom Media Group, Click Click Media, Bench Media, Rocket Agency, First Page, Impressive, Measured")</f>
        <v>DNM Digital, Soup Agency, Online Marketing Gurus, Omnicom Media Group, Click Click Media, Bench Media, Rocket Agency, First Page, Impressive, Measured</v>
      </c>
      <c r="I90" s="7">
        <f>IFERROR(__xludf.DUMMYFUNCTION("""COMPUTED_VALUE"""),1.0)</f>
        <v>1</v>
      </c>
      <c r="J90" s="7">
        <f>IFERROR(__xludf.DUMMYFUNCTION("""COMPUTED_VALUE"""),0.0)</f>
        <v>0</v>
      </c>
      <c r="K90" s="7">
        <f>IFERROR(__xludf.DUMMYFUNCTION("""COMPUTED_VALUE"""),0.0)</f>
        <v>0</v>
      </c>
    </row>
    <row r="91" ht="15.75" customHeight="1">
      <c r="A91" s="6" t="str">
        <f>IFERROR(__xludf.DUMMYFUNCTION("""COMPUTED_VALUE"""),"https://www.arrowmedia.com.au/programmatic-display-advertising/")</f>
        <v>https://www.arrowmedia.com.au/programmatic-display-advertising/</v>
      </c>
      <c r="B91" s="7" t="str">
        <f>IFERROR(__xludf.DUMMYFUNCTION("""COMPUTED_VALUE"""),"Programmatic Display Advertising &amp;#8211; Arrow Media")</f>
        <v>Programmatic Display Advertising &amp;#8211; Arrow Media</v>
      </c>
      <c r="C91" s="6" t="str">
        <f>IFERROR(__xludf.DUMMYFUNCTION("""COMPUTED_VALUE"""),"arrowmedia.com.au")</f>
        <v>arrowmedia.com.au</v>
      </c>
      <c r="D91" s="7" t="str">
        <f>IFERROR(__xludf.DUMMYFUNCTION("""COMPUTED_VALUE"""),"OTHER")</f>
        <v>OTHER</v>
      </c>
      <c r="E91" s="7" t="str">
        <f>IFERROR(__xludf.DUMMYFUNCTION("""COMPUTED_VALUE"""),"CORPORATE")</f>
        <v>CORPORATE</v>
      </c>
      <c r="F91" s="7" t="str">
        <f>IFERROR(__xludf.DUMMYFUNCTION("""COMPUTED_VALUE"""),"Other")</f>
        <v>Other</v>
      </c>
      <c r="G91" s="7" t="b">
        <f>IFERROR(__xludf.DUMMYFUNCTION("""COMPUTED_VALUE"""),FALSE)</f>
        <v>0</v>
      </c>
      <c r="H91" s="7"/>
      <c r="I91" s="7">
        <f>IFERROR(__xludf.DUMMYFUNCTION("""COMPUTED_VALUE"""),1.0)</f>
        <v>1</v>
      </c>
      <c r="J91" s="7">
        <f>IFERROR(__xludf.DUMMYFUNCTION("""COMPUTED_VALUE"""),0.0)</f>
        <v>0</v>
      </c>
      <c r="K91" s="7">
        <f>IFERROR(__xludf.DUMMYFUNCTION("""COMPUTED_VALUE"""),1.0)</f>
        <v>1</v>
      </c>
    </row>
    <row r="92" ht="15.75" customHeight="1">
      <c r="A92" s="6" t="str">
        <f>IFERROR(__xludf.DUMMYFUNCTION("""COMPUTED_VALUE"""),"https://au.linkedin.com/company/ground-control-data")</f>
        <v>https://au.linkedin.com/company/ground-control-data</v>
      </c>
      <c r="B92" s="7" t="str">
        <f>IFERROR(__xludf.DUMMYFUNCTION("""COMPUTED_VALUE"""),"Ground Control Data | LinkedIn")</f>
        <v>Ground Control Data | LinkedIn</v>
      </c>
      <c r="C92" s="6" t="str">
        <f>IFERROR(__xludf.DUMMYFUNCTION("""COMPUTED_VALUE"""),"linkedin.com")</f>
        <v>linkedin.com</v>
      </c>
      <c r="D92" s="7" t="str">
        <f>IFERROR(__xludf.DUMMYFUNCTION("""COMPUTED_VALUE"""),"OTHER")</f>
        <v>OTHER</v>
      </c>
      <c r="E92" s="7" t="str">
        <f>IFERROR(__xludf.DUMMYFUNCTION("""COMPUTED_VALUE"""),"UGC")</f>
        <v>UGC</v>
      </c>
      <c r="F92" s="7" t="str">
        <f>IFERROR(__xludf.DUMMYFUNCTION("""COMPUTED_VALUE"""),"Other")</f>
        <v>Other</v>
      </c>
      <c r="G92" s="7" t="b">
        <f>IFERROR(__xludf.DUMMYFUNCTION("""COMPUTED_VALUE"""),FALSE)</f>
        <v>0</v>
      </c>
      <c r="H92" s="7"/>
      <c r="I92" s="7">
        <f>IFERROR(__xludf.DUMMYFUNCTION("""COMPUTED_VALUE"""),1.0)</f>
        <v>1</v>
      </c>
      <c r="J92" s="7">
        <f>IFERROR(__xludf.DUMMYFUNCTION("""COMPUTED_VALUE"""),0.0)</f>
        <v>0</v>
      </c>
      <c r="K92" s="7">
        <f>IFERROR(__xludf.DUMMYFUNCTION("""COMPUTED_VALUE"""),1.0)</f>
        <v>1</v>
      </c>
    </row>
    <row r="93" ht="15.75" customHeight="1">
      <c r="A93" s="6" t="str">
        <f>IFERROR(__xludf.DUMMYFUNCTION("""COMPUTED_VALUE"""),"https://au.trustpilot.com/review/megaphone.com.au")</f>
        <v>https://au.trustpilot.com/review/megaphone.com.au</v>
      </c>
      <c r="B93" s="7"/>
      <c r="C93" s="6" t="str">
        <f>IFERROR(__xludf.DUMMYFUNCTION("""COMPUTED_VALUE"""),"trustpilot.com")</f>
        <v>trustpilot.com</v>
      </c>
      <c r="D93" s="7" t="str">
        <f>IFERROR(__xludf.DUMMYFUNCTION("""COMPUTED_VALUE"""),"OTHER")</f>
        <v>OTHER</v>
      </c>
      <c r="E93" s="7" t="str">
        <f>IFERROR(__xludf.DUMMYFUNCTION("""COMPUTED_VALUE"""),"OTHER")</f>
        <v>OTHER</v>
      </c>
      <c r="F93" s="7" t="str">
        <f>IFERROR(__xludf.DUMMYFUNCTION("""COMPUTED_VALUE"""),"Other")</f>
        <v>Other</v>
      </c>
      <c r="G93" s="7"/>
      <c r="H93" s="7" t="str">
        <f>IFERROR(__xludf.DUMMYFUNCTION("""COMPUTED_VALUE"""),"Unknown")</f>
        <v>Unknown</v>
      </c>
      <c r="I93" s="7">
        <f>IFERROR(__xludf.DUMMYFUNCTION("""COMPUTED_VALUE"""),1.0)</f>
        <v>1</v>
      </c>
      <c r="J93" s="7">
        <f>IFERROR(__xludf.DUMMYFUNCTION("""COMPUTED_VALUE"""),0.0)</f>
        <v>0</v>
      </c>
      <c r="K93" s="7">
        <f>IFERROR(__xludf.DUMMYFUNCTION("""COMPUTED_VALUE"""),2.0)</f>
        <v>2</v>
      </c>
    </row>
    <row r="94" ht="15.75" customHeight="1">
      <c r="A94" s="6" t="str">
        <f>IFERROR(__xludf.DUMMYFUNCTION("""COMPUTED_VALUE"""),"https://aus.havas.com/havas-host/")</f>
        <v>https://aus.havas.com/havas-host/</v>
      </c>
      <c r="B94" s="7" t="str">
        <f>IFERROR(__xludf.DUMMYFUNCTION("""COMPUTED_VALUE"""),"Havas Host Australia")</f>
        <v>Havas Host Australia</v>
      </c>
      <c r="C94" s="6" t="str">
        <f>IFERROR(__xludf.DUMMYFUNCTION("""COMPUTED_VALUE"""),"havas.com")</f>
        <v>havas.com</v>
      </c>
      <c r="D94" s="7" t="str">
        <f>IFERROR(__xludf.DUMMYFUNCTION("""COMPUTED_VALUE"""),"OTHER")</f>
        <v>OTHER</v>
      </c>
      <c r="E94" s="7" t="str">
        <f>IFERROR(__xludf.DUMMYFUNCTION("""COMPUTED_VALUE"""),"CORPORATE")</f>
        <v>CORPORATE</v>
      </c>
      <c r="F94" s="7" t="str">
        <f>IFERROR(__xludf.DUMMYFUNCTION("""COMPUTED_VALUE"""),"Other")</f>
        <v>Other</v>
      </c>
      <c r="G94" s="7" t="b">
        <f>IFERROR(__xludf.DUMMYFUNCTION("""COMPUTED_VALUE"""),FALSE)</f>
        <v>0</v>
      </c>
      <c r="H94" s="7"/>
      <c r="I94" s="7">
        <f>IFERROR(__xludf.DUMMYFUNCTION("""COMPUTED_VALUE"""),1.0)</f>
        <v>1</v>
      </c>
      <c r="J94" s="7">
        <f>IFERROR(__xludf.DUMMYFUNCTION("""COMPUTED_VALUE"""),0.0)</f>
        <v>0</v>
      </c>
      <c r="K94" s="7">
        <f>IFERROR(__xludf.DUMMYFUNCTION("""COMPUTED_VALUE"""),1.0)</f>
        <v>1</v>
      </c>
    </row>
    <row r="95" ht="15.75" customHeight="1">
      <c r="A95" s="6" t="str">
        <f>IFERROR(__xludf.DUMMYFUNCTION("""COMPUTED_VALUE"""),"https://www.bandt.com.au/match-wood-bts-agency-scorecard-2026/")</f>
        <v>https://www.bandt.com.au/match-wood-bts-agency-scorecard-2026/</v>
      </c>
      <c r="B95" s="7" t="str">
        <f>IFERROR(__xludf.DUMMYFUNCTION("""COMPUTED_VALUE"""),"Match &amp;amp; Wood: B&amp;amp;T's Agency Scorecard 2026 - B&amp;amp;T")</f>
        <v>Match &amp;amp; Wood: B&amp;amp;T's Agency Scorecard 2026 - B&amp;amp;T</v>
      </c>
      <c r="C95" s="6" t="str">
        <f>IFERROR(__xludf.DUMMYFUNCTION("""COMPUTED_VALUE"""),"bandt.com.au")</f>
        <v>bandt.com.au</v>
      </c>
      <c r="D95" s="7" t="str">
        <f>IFERROR(__xludf.DUMMYFUNCTION("""COMPUTED_VALUE"""),"OTHER")</f>
        <v>OTHER</v>
      </c>
      <c r="E95" s="7" t="str">
        <f>IFERROR(__xludf.DUMMYFUNCTION("""COMPUTED_VALUE"""),"EDITORIAL")</f>
        <v>EDITORIAL</v>
      </c>
      <c r="F95" s="7" t="str">
        <f>IFERROR(__xludf.DUMMYFUNCTION("""COMPUTED_VALUE"""),"Other")</f>
        <v>Other</v>
      </c>
      <c r="G95" s="7" t="b">
        <f>IFERROR(__xludf.DUMMYFUNCTION("""COMPUTED_VALUE"""),FALSE)</f>
        <v>0</v>
      </c>
      <c r="H95" s="7" t="str">
        <f>IFERROR(__xludf.DUMMYFUNCTION("""COMPUTED_VALUE"""),"WPP, OMD")</f>
        <v>WPP, OMD</v>
      </c>
      <c r="I95" s="7">
        <f>IFERROR(__xludf.DUMMYFUNCTION("""COMPUTED_VALUE"""),1.0)</f>
        <v>1</v>
      </c>
      <c r="J95" s="7">
        <f>IFERROR(__xludf.DUMMYFUNCTION("""COMPUTED_VALUE"""),0.0)</f>
        <v>0</v>
      </c>
      <c r="K95" s="7">
        <f>IFERROR(__xludf.DUMMYFUNCTION("""COMPUTED_VALUE"""),1.0)</f>
        <v>1</v>
      </c>
    </row>
    <row r="96" ht="15.75" customHeight="1">
      <c r="A96" s="6" t="str">
        <f>IFERROR(__xludf.DUMMYFUNCTION("""COMPUTED_VALUE"""),"https://www.bbe.io/leading-advertising-agency-in-australia")</f>
        <v>https://www.bbe.io/leading-advertising-agency-in-australia</v>
      </c>
      <c r="B96" s="7"/>
      <c r="C96" s="6" t="str">
        <f>IFERROR(__xludf.DUMMYFUNCTION("""COMPUTED_VALUE"""),"bbe.io")</f>
        <v>bbe.io</v>
      </c>
      <c r="D96" s="7" t="str">
        <f>IFERROR(__xludf.DUMMYFUNCTION("""COMPUTED_VALUE"""),"OTHER")</f>
        <v>OTHER</v>
      </c>
      <c r="E96" s="7" t="str">
        <f>IFERROR(__xludf.DUMMYFUNCTION("""COMPUTED_VALUE"""),"CORPORATE")</f>
        <v>CORPORATE</v>
      </c>
      <c r="F96" s="7" t="str">
        <f>IFERROR(__xludf.DUMMYFUNCTION("""COMPUTED_VALUE"""),"Other")</f>
        <v>Other</v>
      </c>
      <c r="G96" s="7"/>
      <c r="H96" s="7" t="str">
        <f>IFERROR(__xludf.DUMMYFUNCTION("""COMPUTED_VALUE"""),"Unknown")</f>
        <v>Unknown</v>
      </c>
      <c r="I96" s="7">
        <f>IFERROR(__xludf.DUMMYFUNCTION("""COMPUTED_VALUE"""),1.0)</f>
        <v>1</v>
      </c>
      <c r="J96" s="7">
        <f>IFERROR(__xludf.DUMMYFUNCTION("""COMPUTED_VALUE"""),0.0)</f>
        <v>0</v>
      </c>
      <c r="K96" s="7">
        <f>IFERROR(__xludf.DUMMYFUNCTION("""COMPUTED_VALUE"""),0.0)</f>
        <v>0</v>
      </c>
    </row>
    <row r="97" ht="15.75" customHeight="1">
      <c r="A97" s="6" t="str">
        <f>IFERROR(__xludf.DUMMYFUNCTION("""COMPUTED_VALUE"""),"https://brandwolfcreative.com/definitions/top-geo-companies-australia")</f>
        <v>https://brandwolfcreative.com/definitions/top-geo-companies-australia</v>
      </c>
      <c r="B97" s="7"/>
      <c r="C97" s="6" t="str">
        <f>IFERROR(__xludf.DUMMYFUNCTION("""COMPUTED_VALUE"""),"brandwolfcreative.com")</f>
        <v>brandwolfcreative.com</v>
      </c>
      <c r="D97" s="7" t="str">
        <f>IFERROR(__xludf.DUMMYFUNCTION("""COMPUTED_VALUE"""),"OTHER")</f>
        <v>OTHER</v>
      </c>
      <c r="E97" s="7" t="str">
        <f>IFERROR(__xludf.DUMMYFUNCTION("""COMPUTED_VALUE"""),"OTHER")</f>
        <v>OTHER</v>
      </c>
      <c r="F97" s="7" t="str">
        <f>IFERROR(__xludf.DUMMYFUNCTION("""COMPUTED_VALUE"""),"Other")</f>
        <v>Other</v>
      </c>
      <c r="G97" s="7"/>
      <c r="H97" s="7" t="str">
        <f>IFERROR(__xludf.DUMMYFUNCTION("""COMPUTED_VALUE"""),"Unknown")</f>
        <v>Unknown</v>
      </c>
      <c r="I97" s="7">
        <f>IFERROR(__xludf.DUMMYFUNCTION("""COMPUTED_VALUE"""),1.0)</f>
        <v>1</v>
      </c>
      <c r="J97" s="7">
        <f>IFERROR(__xludf.DUMMYFUNCTION("""COMPUTED_VALUE"""),0.0)</f>
        <v>0</v>
      </c>
      <c r="K97" s="7">
        <f>IFERROR(__xludf.DUMMYFUNCTION("""COMPUTED_VALUE"""),0.0)</f>
        <v>0</v>
      </c>
    </row>
    <row r="98" ht="15.75" customHeight="1">
      <c r="A98" s="6" t="str">
        <f>IFERROR(__xludf.DUMMYFUNCTION("""COMPUTED_VALUE"""),"https://www.businessage.com/post/6-best-ai-native-seo-agencies-in-melbourne-that-optimise-for-geo-and-aeo#:~:text=%23%20The%206%20best%20AI%20SEO%20agencies,AI%2Dassisted%2C%20delivery%2Dfocused%20%7C%20Enterprise%20technical%20SEO%20depth")</f>
        <v>https://www.businessage.com/post/6-best-ai-native-seo-agencies-in-melbourne-that-optimise-for-geo-and-aeo#:~:text=%23%20The%206%20best%20AI%20SEO%20agencies,AI%2Dassisted%2C%20delivery%2Dfocused%20%7C%20Enterprise%20technical%20SEO%20depth</v>
      </c>
      <c r="B98" s="7" t="str">
        <f>IFERROR(__xludf.DUMMYFUNCTION("""COMPUTED_VALUE"""),"6 Best AI-Native SEO Agencies in Melbourne That Optimise for GEO and AEO")</f>
        <v>6 Best AI-Native SEO Agencies in Melbourne That Optimise for GEO and AEO</v>
      </c>
      <c r="C98" s="6" t="str">
        <f>IFERROR(__xludf.DUMMYFUNCTION("""COMPUTED_VALUE"""),"businessage.com")</f>
        <v>businessage.com</v>
      </c>
      <c r="D98" s="7" t="str">
        <f>IFERROR(__xludf.DUMMYFUNCTION("""COMPUTED_VALUE"""),"OTHER")</f>
        <v>OTHER</v>
      </c>
      <c r="E98" s="7" t="str">
        <f>IFERROR(__xludf.DUMMYFUNCTION("""COMPUTED_VALUE"""),"EDITORIAL")</f>
        <v>EDITORIAL</v>
      </c>
      <c r="F98" s="7" t="str">
        <f>IFERROR(__xludf.DUMMYFUNCTION("""COMPUTED_VALUE"""),"Other")</f>
        <v>Other</v>
      </c>
      <c r="G98" s="7" t="b">
        <f>IFERROR(__xludf.DUMMYFUNCTION("""COMPUTED_VALUE"""),FALSE)</f>
        <v>0</v>
      </c>
      <c r="H98" s="7" t="str">
        <f>IFERROR(__xludf.DUMMYFUNCTION("""COMPUTED_VALUE"""),"Intesols, Clearwater Agency")</f>
        <v>Intesols, Clearwater Agency</v>
      </c>
      <c r="I98" s="7">
        <f>IFERROR(__xludf.DUMMYFUNCTION("""COMPUTED_VALUE"""),1.0)</f>
        <v>1</v>
      </c>
      <c r="J98" s="7">
        <f>IFERROR(__xludf.DUMMYFUNCTION("""COMPUTED_VALUE"""),0.0)</f>
        <v>0</v>
      </c>
      <c r="K98" s="7">
        <f>IFERROR(__xludf.DUMMYFUNCTION("""COMPUTED_VALUE"""),3.0)</f>
        <v>3</v>
      </c>
    </row>
    <row r="99" ht="15.75" customHeight="1">
      <c r="A99" s="6" t="str">
        <f>IFERROR(__xludf.DUMMYFUNCTION("""COMPUTED_VALUE"""),"https://cloud.google.com/find-a-partner/partner/trakken-web-services")</f>
        <v>https://cloud.google.com/find-a-partner/partner/trakken-web-services</v>
      </c>
      <c r="B99" s="7"/>
      <c r="C99" s="6" t="str">
        <f>IFERROR(__xludf.DUMMYFUNCTION("""COMPUTED_VALUE"""),"google.com")</f>
        <v>google.com</v>
      </c>
      <c r="D99" s="7" t="str">
        <f>IFERROR(__xludf.DUMMYFUNCTION("""COMPUTED_VALUE"""),"OTHER")</f>
        <v>OTHER</v>
      </c>
      <c r="E99" s="7" t="str">
        <f>IFERROR(__xludf.DUMMYFUNCTION("""COMPUTED_VALUE"""),"OTHER")</f>
        <v>OTHER</v>
      </c>
      <c r="F99" s="7" t="str">
        <f>IFERROR(__xludf.DUMMYFUNCTION("""COMPUTED_VALUE"""),"Other")</f>
        <v>Other</v>
      </c>
      <c r="G99" s="7"/>
      <c r="H99" s="7" t="str">
        <f>IFERROR(__xludf.DUMMYFUNCTION("""COMPUTED_VALUE"""),"Unknown")</f>
        <v>Unknown</v>
      </c>
      <c r="I99" s="7">
        <f>IFERROR(__xludf.DUMMYFUNCTION("""COMPUTED_VALUE"""),1.0)</f>
        <v>1</v>
      </c>
      <c r="J99" s="7">
        <f>IFERROR(__xludf.DUMMYFUNCTION("""COMPUTED_VALUE"""),0.0)</f>
        <v>0</v>
      </c>
      <c r="K99" s="7">
        <f>IFERROR(__xludf.DUMMYFUNCTION("""COMPUTED_VALUE"""),1.0)</f>
        <v>1</v>
      </c>
    </row>
    <row r="100" ht="15.75" customHeight="1">
      <c r="A100" s="6" t="str">
        <f>IFERROR(__xludf.DUMMYFUNCTION("""COMPUTED_VALUE"""),"https://clutch.co/au/agencies/social-media-marketing/tik-tok/melbourne")</f>
        <v>https://clutch.co/au/agencies/social-media-marketing/tik-tok/melbourne</v>
      </c>
      <c r="B100" s="7" t="str">
        <f>IFERROR(__xludf.DUMMYFUNCTION("""COMPUTED_VALUE"""),"Top TikTok Advertising Agencies in Melbourne - Jul 2026 Rankings | Clutch.co")</f>
        <v>Top TikTok Advertising Agencies in Melbourne - Jul 2026 Rankings | Clutch.co</v>
      </c>
      <c r="C100" s="6" t="str">
        <f>IFERROR(__xludf.DUMMYFUNCTION("""COMPUTED_VALUE"""),"clutch.co")</f>
        <v>clutch.co</v>
      </c>
      <c r="D100" s="7" t="str">
        <f>IFERROR(__xludf.DUMMYFUNCTION("""COMPUTED_VALUE"""),"OTHER")</f>
        <v>OTHER</v>
      </c>
      <c r="E100" s="7" t="str">
        <f>IFERROR(__xludf.DUMMYFUNCTION("""COMPUTED_VALUE"""),"CORPORATE")</f>
        <v>CORPORATE</v>
      </c>
      <c r="F100" s="7" t="str">
        <f>IFERROR(__xludf.DUMMYFUNCTION("""COMPUTED_VALUE"""),"Other")</f>
        <v>Other</v>
      </c>
      <c r="G100" s="7" t="b">
        <f>IFERROR(__xludf.DUMMYFUNCTION("""COMPUTED_VALUE"""),FALSE)</f>
        <v>0</v>
      </c>
      <c r="H100" s="7" t="str">
        <f>IFERROR(__xludf.DUMMYFUNCTION("""COMPUTED_VALUE"""),"Impressive, Emote Digital, Salt &amp; Fuessel, Digital Nomads HQ, Megaphone, Reform Digital, Eight Clients")</f>
        <v>Impressive, Emote Digital, Salt &amp; Fuessel, Digital Nomads HQ, Megaphone, Reform Digital, Eight Clients</v>
      </c>
      <c r="I100" s="7">
        <f>IFERROR(__xludf.DUMMYFUNCTION("""COMPUTED_VALUE"""),1.0)</f>
        <v>1</v>
      </c>
      <c r="J100" s="7">
        <f>IFERROR(__xludf.DUMMYFUNCTION("""COMPUTED_VALUE"""),0.0)</f>
        <v>0</v>
      </c>
      <c r="K100" s="7">
        <f>IFERROR(__xludf.DUMMYFUNCTION("""COMPUTED_VALUE"""),0.0)</f>
        <v>0</v>
      </c>
    </row>
    <row r="101" ht="15.75" customHeight="1">
      <c r="A101" s="6" t="str">
        <f>IFERROR(__xludf.DUMMYFUNCTION("""COMPUTED_VALUE"""),"https://compliancecouncil.com.au/insights/guide-to-becoming-a-tao/")</f>
        <v>https://compliancecouncil.com.au/insights/guide-to-becoming-a-tao/</v>
      </c>
      <c r="B101" s="7" t="str">
        <f>IFERROR(__xludf.DUMMYFUNCTION("""COMPUTED_VALUE"""),"Guide to Becoming a TAO | Compliance Council")</f>
        <v>Guide to Becoming a TAO | Compliance Council</v>
      </c>
      <c r="C101" s="6" t="str">
        <f>IFERROR(__xludf.DUMMYFUNCTION("""COMPUTED_VALUE"""),"compliancecouncil.com.au")</f>
        <v>compliancecouncil.com.au</v>
      </c>
      <c r="D101" s="7" t="str">
        <f>IFERROR(__xludf.DUMMYFUNCTION("""COMPUTED_VALUE"""),"OTHER")</f>
        <v>OTHER</v>
      </c>
      <c r="E101" s="7" t="str">
        <f>IFERROR(__xludf.DUMMYFUNCTION("""COMPUTED_VALUE"""),"CORPORATE")</f>
        <v>CORPORATE</v>
      </c>
      <c r="F101" s="7" t="str">
        <f>IFERROR(__xludf.DUMMYFUNCTION("""COMPUTED_VALUE"""),"Other")</f>
        <v>Other</v>
      </c>
      <c r="G101" s="7" t="b">
        <f>IFERROR(__xludf.DUMMYFUNCTION("""COMPUTED_VALUE"""),FALSE)</f>
        <v>0</v>
      </c>
      <c r="H101" s="7"/>
      <c r="I101" s="7">
        <f>IFERROR(__xludf.DUMMYFUNCTION("""COMPUTED_VALUE"""),1.0)</f>
        <v>1</v>
      </c>
      <c r="J101" s="7">
        <f>IFERROR(__xludf.DUMMYFUNCTION("""COMPUTED_VALUE"""),0.0)</f>
        <v>0</v>
      </c>
      <c r="K101" s="7">
        <f>IFERROR(__xludf.DUMMYFUNCTION("""COMPUTED_VALUE"""),1.0)</f>
        <v>1</v>
      </c>
    </row>
    <row r="102" ht="15.75" customHeight="1">
      <c r="A102" s="6" t="str">
        <f>IFERROR(__xludf.DUMMYFUNCTION("""COMPUTED_VALUE"""),"https://www.contentfx.com/what-we-do")</f>
        <v>https://www.contentfx.com/what-we-do</v>
      </c>
      <c r="B102" s="7" t="str">
        <f>IFERROR(__xludf.DUMMYFUNCTION("""COMPUTED_VALUE"""),"What We Do | ContentFX")</f>
        <v>What We Do | ContentFX</v>
      </c>
      <c r="C102" s="6" t="str">
        <f>IFERROR(__xludf.DUMMYFUNCTION("""COMPUTED_VALUE"""),"contentfx.com")</f>
        <v>contentfx.com</v>
      </c>
      <c r="D102" s="7" t="str">
        <f>IFERROR(__xludf.DUMMYFUNCTION("""COMPUTED_VALUE"""),"OTHER")</f>
        <v>OTHER</v>
      </c>
      <c r="E102" s="7" t="str">
        <f>IFERROR(__xludf.DUMMYFUNCTION("""COMPUTED_VALUE"""),"UGC")</f>
        <v>UGC</v>
      </c>
      <c r="F102" s="7" t="str">
        <f>IFERROR(__xludf.DUMMYFUNCTION("""COMPUTED_VALUE"""),"Other")</f>
        <v>Other</v>
      </c>
      <c r="G102" s="7" t="b">
        <f>IFERROR(__xludf.DUMMYFUNCTION("""COMPUTED_VALUE"""),FALSE)</f>
        <v>0</v>
      </c>
      <c r="H102" s="7"/>
      <c r="I102" s="7">
        <f>IFERROR(__xludf.DUMMYFUNCTION("""COMPUTED_VALUE"""),1.0)</f>
        <v>1</v>
      </c>
      <c r="J102" s="7">
        <f>IFERROR(__xludf.DUMMYFUNCTION("""COMPUTED_VALUE"""),0.0)</f>
        <v>0</v>
      </c>
      <c r="K102" s="7">
        <f>IFERROR(__xludf.DUMMYFUNCTION("""COMPUTED_VALUE"""),0.0)</f>
        <v>0</v>
      </c>
    </row>
    <row r="103" ht="15.75" customHeight="1">
      <c r="A103" s="6" t="str">
        <f>IFERROR(__xludf.DUMMYFUNCTION("""COMPUTED_VALUE"""),"https://www.couriermail.com.au/news/northern-territory/nt-tourism-appoints-sydney-agency-for-brand-refresh-with-22bn-goal/news-story/464d6fb6a0b0effc95cc5a2dab0e62ed")</f>
        <v>https://www.couriermail.com.au/news/northern-territory/nt-tourism-appoints-sydney-agency-for-brand-refresh-with-22bn-goal/news-story/464d6fb6a0b0effc95cc5a2dab0e62ed</v>
      </c>
      <c r="B103" s="7" t="str">
        <f>IFERROR(__xludf.DUMMYFUNCTION("""COMPUTED_VALUE"""),"Couriermail.com.au \| Subscribe to The Courier Mail for exclusive stories")</f>
        <v>Couriermail.com.au \| Subscribe to The Courier Mail for exclusive stories</v>
      </c>
      <c r="C103" s="6" t="str">
        <f>IFERROR(__xludf.DUMMYFUNCTION("""COMPUTED_VALUE"""),"couriermail.com.au")</f>
        <v>couriermail.com.au</v>
      </c>
      <c r="D103" s="7" t="str">
        <f>IFERROR(__xludf.DUMMYFUNCTION("""COMPUTED_VALUE"""),"OTHER")</f>
        <v>OTHER</v>
      </c>
      <c r="E103" s="7" t="str">
        <f>IFERROR(__xludf.DUMMYFUNCTION("""COMPUTED_VALUE"""),"EDITORIAL")</f>
        <v>EDITORIAL</v>
      </c>
      <c r="F103" s="7" t="str">
        <f>IFERROR(__xludf.DUMMYFUNCTION("""COMPUTED_VALUE"""),"Other")</f>
        <v>Other</v>
      </c>
      <c r="G103" s="7" t="b">
        <f>IFERROR(__xludf.DUMMYFUNCTION("""COMPUTED_VALUE"""),FALSE)</f>
        <v>0</v>
      </c>
      <c r="H103" s="7"/>
      <c r="I103" s="7">
        <f>IFERROR(__xludf.DUMMYFUNCTION("""COMPUTED_VALUE"""),1.0)</f>
        <v>1</v>
      </c>
      <c r="J103" s="7">
        <f>IFERROR(__xludf.DUMMYFUNCTION("""COMPUTED_VALUE"""),0.0)</f>
        <v>0</v>
      </c>
      <c r="K103" s="7">
        <f>IFERROR(__xludf.DUMMYFUNCTION("""COMPUTED_VALUE"""),2.0)</f>
        <v>2</v>
      </c>
    </row>
    <row r="104" ht="15.75" customHeight="1">
      <c r="A104" s="6" t="str">
        <f>IFERROR(__xludf.DUMMYFUNCTION("""COMPUTED_VALUE"""),"https://www.creativemode.com.au/ai-search-optimisation-brisbane/#:~:text=That's%20why%20I'm%20here%20to%20help.%20AI,(AI%20SEO)%20%2D%20Generative%20Engine%20Optimisation%20(GEO)")</f>
        <v>https://www.creativemode.com.au/ai-search-optimisation-brisbane/#:~:text=That's%20why%20I'm%20here%20to%20help.%20AI,(AI%20SEO)%20%2D%20Generative%20Engine%20Optimisation%20(GEO)</v>
      </c>
      <c r="B104" s="7" t="str">
        <f>IFERROR(__xludf.DUMMYFUNCTION("""COMPUTED_VALUE"""),"AI Search Marketing Brisbane | CREATIVE MODE | AI SEO")</f>
        <v>AI Search Marketing Brisbane | CREATIVE MODE | AI SEO</v>
      </c>
      <c r="C104" s="6" t="str">
        <f>IFERROR(__xludf.DUMMYFUNCTION("""COMPUTED_VALUE"""),"creativemode.com.au")</f>
        <v>creativemode.com.au</v>
      </c>
      <c r="D104" s="7" t="str">
        <f>IFERROR(__xludf.DUMMYFUNCTION("""COMPUTED_VALUE"""),"OTHER")</f>
        <v>OTHER</v>
      </c>
      <c r="E104" s="7" t="str">
        <f>IFERROR(__xludf.DUMMYFUNCTION("""COMPUTED_VALUE"""),"CORPORATE")</f>
        <v>CORPORATE</v>
      </c>
      <c r="F104" s="7" t="str">
        <f>IFERROR(__xludf.DUMMYFUNCTION("""COMPUTED_VALUE"""),"Other")</f>
        <v>Other</v>
      </c>
      <c r="G104" s="7" t="b">
        <f>IFERROR(__xludf.DUMMYFUNCTION("""COMPUTED_VALUE"""),FALSE)</f>
        <v>0</v>
      </c>
      <c r="H104" s="7"/>
      <c r="I104" s="7">
        <f>IFERROR(__xludf.DUMMYFUNCTION("""COMPUTED_VALUE"""),1.0)</f>
        <v>1</v>
      </c>
      <c r="J104" s="7">
        <f>IFERROR(__xludf.DUMMYFUNCTION("""COMPUTED_VALUE"""),0.0)</f>
        <v>0</v>
      </c>
      <c r="K104" s="7">
        <f>IFERROR(__xludf.DUMMYFUNCTION("""COMPUTED_VALUE"""),1.0)</f>
        <v>1</v>
      </c>
    </row>
    <row r="105" ht="15.75" customHeight="1">
      <c r="A105" s="6" t="str">
        <f>IFERROR(__xludf.DUMMYFUNCTION("""COMPUTED_VALUE"""),"https://www.dailybulletin.com.au/news/technology/96125-best-australian-agencies-for-content-that-ranks-in-ai")</f>
        <v>https://www.dailybulletin.com.au/news/technology/96125-best-australian-agencies-for-content-that-ranks-in-ai</v>
      </c>
      <c r="B105" s="7" t="str">
        <f>IFERROR(__xludf.DUMMYFUNCTION("""COMPUTED_VALUE"""),"Best Australian Agencies for Content that Ranks in AI")</f>
        <v>Best Australian Agencies for Content that Ranks in AI</v>
      </c>
      <c r="C105" s="6" t="str">
        <f>IFERROR(__xludf.DUMMYFUNCTION("""COMPUTED_VALUE"""),"dailybulletin.com.au")</f>
        <v>dailybulletin.com.au</v>
      </c>
      <c r="D105" s="7" t="str">
        <f>IFERROR(__xludf.DUMMYFUNCTION("""COMPUTED_VALUE"""),"OTHER")</f>
        <v>OTHER</v>
      </c>
      <c r="E105" s="7" t="str">
        <f>IFERROR(__xludf.DUMMYFUNCTION("""COMPUTED_VALUE"""),"EDITORIAL")</f>
        <v>EDITORIAL</v>
      </c>
      <c r="F105" s="7" t="str">
        <f>IFERROR(__xludf.DUMMYFUNCTION("""COMPUTED_VALUE"""),"Other")</f>
        <v>Other</v>
      </c>
      <c r="G105" s="7" t="b">
        <f>IFERROR(__xludf.DUMMYFUNCTION("""COMPUTED_VALUE"""),FALSE)</f>
        <v>0</v>
      </c>
      <c r="H105" s="7" t="str">
        <f>IFERROR(__xludf.DUMMYFUNCTION("""COMPUTED_VALUE"""),"NP Digital Australia, Prosperity Media, Impressive, Rocket Agency, Clearwater Agency, Webprofits, Emote Digital, Soup Agency, Safari Digital, Measured")</f>
        <v>NP Digital Australia, Prosperity Media, Impressive, Rocket Agency, Clearwater Agency, Webprofits, Emote Digital, Soup Agency, Safari Digital, Measured</v>
      </c>
      <c r="I105" s="7">
        <f>IFERROR(__xludf.DUMMYFUNCTION("""COMPUTED_VALUE"""),1.0)</f>
        <v>1</v>
      </c>
      <c r="J105" s="7">
        <f>IFERROR(__xludf.DUMMYFUNCTION("""COMPUTED_VALUE"""),0.0)</f>
        <v>0</v>
      </c>
      <c r="K105" s="7">
        <f>IFERROR(__xludf.DUMMYFUNCTION("""COMPUTED_VALUE"""),0.0)</f>
        <v>0</v>
      </c>
    </row>
    <row r="106" ht="15.75" customHeight="1">
      <c r="A106" s="6" t="str">
        <f>IFERROR(__xludf.DUMMYFUNCTION("""COMPUTED_VALUE"""),"https://www.douglaspartners.com.au/expertise/geotechnical/")</f>
        <v>https://www.douglaspartners.com.au/expertise/geotechnical/</v>
      </c>
      <c r="B106" s="7" t="str">
        <f>IFERROR(__xludf.DUMMYFUNCTION("""COMPUTED_VALUE"""),"Geotechnical Investigation Services | Analysis &amp;amp; Design | Douglas Partners")</f>
        <v>Geotechnical Investigation Services | Analysis &amp;amp; Design | Douglas Partners</v>
      </c>
      <c r="C106" s="6" t="str">
        <f>IFERROR(__xludf.DUMMYFUNCTION("""COMPUTED_VALUE"""),"douglaspartners.com.au")</f>
        <v>douglaspartners.com.au</v>
      </c>
      <c r="D106" s="7" t="str">
        <f>IFERROR(__xludf.DUMMYFUNCTION("""COMPUTED_VALUE"""),"OTHER")</f>
        <v>OTHER</v>
      </c>
      <c r="E106" s="7" t="str">
        <f>IFERROR(__xludf.DUMMYFUNCTION("""COMPUTED_VALUE"""),"CORPORATE")</f>
        <v>CORPORATE</v>
      </c>
      <c r="F106" s="7" t="str">
        <f>IFERROR(__xludf.DUMMYFUNCTION("""COMPUTED_VALUE"""),"Other")</f>
        <v>Other</v>
      </c>
      <c r="G106" s="7" t="b">
        <f>IFERROR(__xludf.DUMMYFUNCTION("""COMPUTED_VALUE"""),FALSE)</f>
        <v>0</v>
      </c>
      <c r="H106" s="7"/>
      <c r="I106" s="7">
        <f>IFERROR(__xludf.DUMMYFUNCTION("""COMPUTED_VALUE"""),1.0)</f>
        <v>1</v>
      </c>
      <c r="J106" s="7">
        <f>IFERROR(__xludf.DUMMYFUNCTION("""COMPUTED_VALUE"""),0.0)</f>
        <v>0</v>
      </c>
      <c r="K106" s="7">
        <f>IFERROR(__xludf.DUMMYFUNCTION("""COMPUTED_VALUE"""),0.0)</f>
        <v>0</v>
      </c>
    </row>
    <row r="107" ht="15.75" customHeight="1">
      <c r="A107" s="6" t="str">
        <f>IFERROR(__xludf.DUMMYFUNCTION("""COMPUTED_VALUE"""),"https://ecosystem.hubspot.com/marketplace/solutions/paid-advertising/consulting-advisory/australia")</f>
        <v>https://ecosystem.hubspot.com/marketplace/solutions/paid-advertising/consulting-advisory/australia</v>
      </c>
      <c r="B107" s="7"/>
      <c r="C107" s="6" t="str">
        <f>IFERROR(__xludf.DUMMYFUNCTION("""COMPUTED_VALUE"""),"hubspot.com")</f>
        <v>hubspot.com</v>
      </c>
      <c r="D107" s="7" t="str">
        <f>IFERROR(__xludf.DUMMYFUNCTION("""COMPUTED_VALUE"""),"OTHER")</f>
        <v>OTHER</v>
      </c>
      <c r="E107" s="7" t="str">
        <f>IFERROR(__xludf.DUMMYFUNCTION("""COMPUTED_VALUE"""),"OTHER")</f>
        <v>OTHER</v>
      </c>
      <c r="F107" s="7" t="str">
        <f>IFERROR(__xludf.DUMMYFUNCTION("""COMPUTED_VALUE"""),"Other")</f>
        <v>Other</v>
      </c>
      <c r="G107" s="7"/>
      <c r="H107" s="7" t="str">
        <f>IFERROR(__xludf.DUMMYFUNCTION("""COMPUTED_VALUE"""),"Unknown")</f>
        <v>Unknown</v>
      </c>
      <c r="I107" s="7">
        <f>IFERROR(__xludf.DUMMYFUNCTION("""COMPUTED_VALUE"""),1.0)</f>
        <v>1</v>
      </c>
      <c r="J107" s="7">
        <f>IFERROR(__xludf.DUMMYFUNCTION("""COMPUTED_VALUE"""),0.0)</f>
        <v>0</v>
      </c>
      <c r="K107" s="7">
        <f>IFERROR(__xludf.DUMMYFUNCTION("""COMPUTED_VALUE"""),0.0)</f>
        <v>0</v>
      </c>
    </row>
    <row r="108" ht="15.75" customHeight="1">
      <c r="A108" s="6" t="str">
        <f>IFERROR(__xludf.DUMMYFUNCTION("""COMPUTED_VALUE"""),"https://ecosystem.hubspot.com/marketplace/solutions/paid-advertising/non-profit/australia")</f>
        <v>https://ecosystem.hubspot.com/marketplace/solutions/paid-advertising/non-profit/australia</v>
      </c>
      <c r="B108" s="7"/>
      <c r="C108" s="6" t="str">
        <f>IFERROR(__xludf.DUMMYFUNCTION("""COMPUTED_VALUE"""),"hubspot.com")</f>
        <v>hubspot.com</v>
      </c>
      <c r="D108" s="7" t="str">
        <f>IFERROR(__xludf.DUMMYFUNCTION("""COMPUTED_VALUE"""),"OTHER")</f>
        <v>OTHER</v>
      </c>
      <c r="E108" s="7" t="str">
        <f>IFERROR(__xludf.DUMMYFUNCTION("""COMPUTED_VALUE"""),"OTHER")</f>
        <v>OTHER</v>
      </c>
      <c r="F108" s="7" t="str">
        <f>IFERROR(__xludf.DUMMYFUNCTION("""COMPUTED_VALUE"""),"Other")</f>
        <v>Other</v>
      </c>
      <c r="G108" s="7"/>
      <c r="H108" s="7" t="str">
        <f>IFERROR(__xludf.DUMMYFUNCTION("""COMPUTED_VALUE"""),"Unknown")</f>
        <v>Unknown</v>
      </c>
      <c r="I108" s="7">
        <f>IFERROR(__xludf.DUMMYFUNCTION("""COMPUTED_VALUE"""),1.0)</f>
        <v>1</v>
      </c>
      <c r="J108" s="7">
        <f>IFERROR(__xludf.DUMMYFUNCTION("""COMPUTED_VALUE"""),0.0)</f>
        <v>0</v>
      </c>
      <c r="K108" s="7">
        <f>IFERROR(__xludf.DUMMYFUNCTION("""COMPUTED_VALUE"""),0.0)</f>
        <v>0</v>
      </c>
    </row>
    <row r="109" ht="15.75" customHeight="1">
      <c r="A109" s="6" t="str">
        <f>IFERROR(__xludf.DUMMYFUNCTION("""COMPUTED_VALUE"""),"https://elevionconsulting.com.au/ai-readiness-assessment/")</f>
        <v>https://elevionconsulting.com.au/ai-readiness-assessment/</v>
      </c>
      <c r="B109" s="7" t="str">
        <f>IFERROR(__xludf.DUMMYFUNCTION("""COMPUTED_VALUE"""),"Government IT, AI &amp;amp; Transformation Consulting | Elevion")</f>
        <v>Government IT, AI &amp;amp; Transformation Consulting | Elevion</v>
      </c>
      <c r="C109" s="6" t="str">
        <f>IFERROR(__xludf.DUMMYFUNCTION("""COMPUTED_VALUE"""),"elevionconsulting.com.au")</f>
        <v>elevionconsulting.com.au</v>
      </c>
      <c r="D109" s="7" t="str">
        <f>IFERROR(__xludf.DUMMYFUNCTION("""COMPUTED_VALUE"""),"OTHER")</f>
        <v>OTHER</v>
      </c>
      <c r="E109" s="7" t="str">
        <f>IFERROR(__xludf.DUMMYFUNCTION("""COMPUTED_VALUE"""),"CORPORATE")</f>
        <v>CORPORATE</v>
      </c>
      <c r="F109" s="7" t="str">
        <f>IFERROR(__xludf.DUMMYFUNCTION("""COMPUTED_VALUE"""),"Other")</f>
        <v>Other</v>
      </c>
      <c r="G109" s="7" t="b">
        <f>IFERROR(__xludf.DUMMYFUNCTION("""COMPUTED_VALUE"""),FALSE)</f>
        <v>0</v>
      </c>
      <c r="H109" s="7"/>
      <c r="I109" s="7">
        <f>IFERROR(__xludf.DUMMYFUNCTION("""COMPUTED_VALUE"""),1.0)</f>
        <v>1</v>
      </c>
      <c r="J109" s="7">
        <f>IFERROR(__xludf.DUMMYFUNCTION("""COMPUTED_VALUE"""),0.0)</f>
        <v>0</v>
      </c>
      <c r="K109" s="7">
        <f>IFERROR(__xludf.DUMMYFUNCTION("""COMPUTED_VALUE"""),0.0)</f>
        <v>0</v>
      </c>
    </row>
    <row r="110" ht="15.75" customHeight="1">
      <c r="A110" s="6" t="str">
        <f>IFERROR(__xludf.DUMMYFUNCTION("""COMPUTED_VALUE"""),"https://estran.io/agence-geo")</f>
        <v>https://estran.io/agence-geo</v>
      </c>
      <c r="B110" s="7" t="str">
        <f>IFERROR(__xludf.DUMMYFUNCTION("""COMPUTED_VALUE"""),"GEO Agency: Definition, Method and Deliverables in 2026 | Estran")</f>
        <v>GEO Agency: Definition, Method and Deliverables in 2026 | Estran</v>
      </c>
      <c r="C110" s="6" t="str">
        <f>IFERROR(__xludf.DUMMYFUNCTION("""COMPUTED_VALUE"""),"estran.io")</f>
        <v>estran.io</v>
      </c>
      <c r="D110" s="7" t="str">
        <f>IFERROR(__xludf.DUMMYFUNCTION("""COMPUTED_VALUE"""),"OTHER")</f>
        <v>OTHER</v>
      </c>
      <c r="E110" s="7" t="str">
        <f>IFERROR(__xludf.DUMMYFUNCTION("""COMPUTED_VALUE"""),"CORPORATE")</f>
        <v>CORPORATE</v>
      </c>
      <c r="F110" s="7" t="str">
        <f>IFERROR(__xludf.DUMMYFUNCTION("""COMPUTED_VALUE"""),"Other")</f>
        <v>Other</v>
      </c>
      <c r="G110" s="7" t="b">
        <f>IFERROR(__xludf.DUMMYFUNCTION("""COMPUTED_VALUE"""),FALSE)</f>
        <v>0</v>
      </c>
      <c r="H110" s="7"/>
      <c r="I110" s="7">
        <f>IFERROR(__xludf.DUMMYFUNCTION("""COMPUTED_VALUE"""),1.0)</f>
        <v>1</v>
      </c>
      <c r="J110" s="7">
        <f>IFERROR(__xludf.DUMMYFUNCTION("""COMPUTED_VALUE"""),0.0)</f>
        <v>0</v>
      </c>
      <c r="K110" s="7">
        <f>IFERROR(__xludf.DUMMYFUNCTION("""COMPUTED_VALUE"""),1.0)</f>
        <v>1</v>
      </c>
    </row>
    <row r="111" ht="15.75" customHeight="1">
      <c r="A111" s="6" t="str">
        <f>IFERROR(__xludf.DUMMYFUNCTION("""COMPUTED_VALUE"""),"https://www.facebook.com/metriclabsau/")</f>
        <v>https://www.facebook.com/metriclabsau/</v>
      </c>
      <c r="B111" s="7"/>
      <c r="C111" s="6" t="str">
        <f>IFERROR(__xludf.DUMMYFUNCTION("""COMPUTED_VALUE"""),"facebook.com")</f>
        <v>facebook.com</v>
      </c>
      <c r="D111" s="7" t="str">
        <f>IFERROR(__xludf.DUMMYFUNCTION("""COMPUTED_VALUE"""),"OTHER")</f>
        <v>OTHER</v>
      </c>
      <c r="E111" s="7" t="str">
        <f>IFERROR(__xludf.DUMMYFUNCTION("""COMPUTED_VALUE"""),"OTHER")</f>
        <v>OTHER</v>
      </c>
      <c r="F111" s="7" t="str">
        <f>IFERROR(__xludf.DUMMYFUNCTION("""COMPUTED_VALUE"""),"Other")</f>
        <v>Other</v>
      </c>
      <c r="G111" s="7"/>
      <c r="H111" s="7" t="str">
        <f>IFERROR(__xludf.DUMMYFUNCTION("""COMPUTED_VALUE"""),"Unknown")</f>
        <v>Unknown</v>
      </c>
      <c r="I111" s="7">
        <f>IFERROR(__xludf.DUMMYFUNCTION("""COMPUTED_VALUE"""),1.0)</f>
        <v>1</v>
      </c>
      <c r="J111" s="7">
        <f>IFERROR(__xludf.DUMMYFUNCTION("""COMPUTED_VALUE"""),0.0)</f>
        <v>0</v>
      </c>
      <c r="K111" s="7">
        <f>IFERROR(__xludf.DUMMYFUNCTION("""COMPUTED_VALUE"""),1.0)</f>
        <v>1</v>
      </c>
    </row>
    <row r="112" ht="15.75" customHeight="1">
      <c r="A112" s="6" t="str">
        <f>IFERROR(__xludf.DUMMYFUNCTION("""COMPUTED_VALUE"""),"https://www.facebook.com/sparrogram/")</f>
        <v>https://www.facebook.com/sparrogram/</v>
      </c>
      <c r="B112" s="7" t="str">
        <f>IFERROR(__xludf.DUMMYFUNCTION("""COMPUTED_VALUE"""),"Facebook")</f>
        <v>Facebook</v>
      </c>
      <c r="C112" s="6" t="str">
        <f>IFERROR(__xludf.DUMMYFUNCTION("""COMPUTED_VALUE"""),"facebook.com")</f>
        <v>facebook.com</v>
      </c>
      <c r="D112" s="7" t="str">
        <f>IFERROR(__xludf.DUMMYFUNCTION("""COMPUTED_VALUE"""),"OTHER")</f>
        <v>OTHER</v>
      </c>
      <c r="E112" s="7" t="str">
        <f>IFERROR(__xludf.DUMMYFUNCTION("""COMPUTED_VALUE"""),"UGC")</f>
        <v>UGC</v>
      </c>
      <c r="F112" s="7" t="str">
        <f>IFERROR(__xludf.DUMMYFUNCTION("""COMPUTED_VALUE"""),"Other")</f>
        <v>Other</v>
      </c>
      <c r="G112" s="7" t="b">
        <f>IFERROR(__xludf.DUMMYFUNCTION("""COMPUTED_VALUE"""),FALSE)</f>
        <v>0</v>
      </c>
      <c r="H112" s="7"/>
      <c r="I112" s="7">
        <f>IFERROR(__xludf.DUMMYFUNCTION("""COMPUTED_VALUE"""),1.0)</f>
        <v>1</v>
      </c>
      <c r="J112" s="7">
        <f>IFERROR(__xludf.DUMMYFUNCTION("""COMPUTED_VALUE"""),0.0)</f>
        <v>0</v>
      </c>
      <c r="K112" s="7">
        <f>IFERROR(__xludf.DUMMYFUNCTION("""COMPUTED_VALUE"""),1.0)</f>
        <v>1</v>
      </c>
    </row>
    <row r="113" ht="15.75" customHeight="1">
      <c r="A113" s="6" t="str">
        <f>IFERROR(__xludf.DUMMYFUNCTION("""COMPUTED_VALUE"""),"https://fixnhour.com/companies/social-media-marketing-agencies/australia")</f>
        <v>https://fixnhour.com/companies/social-media-marketing-agencies/australia</v>
      </c>
      <c r="B113" s="7" t="str">
        <f>IFERROR(__xludf.DUMMYFUNCTION("""COMPUTED_VALUE"""),"Top Social Media Marketing Agencies in Australia | Best SMM Services 2026 | July 2026 Rankings")</f>
        <v>Top Social Media Marketing Agencies in Australia | Best SMM Services 2026 | July 2026 Rankings</v>
      </c>
      <c r="C113" s="6" t="str">
        <f>IFERROR(__xludf.DUMMYFUNCTION("""COMPUTED_VALUE"""),"fixnhour.com")</f>
        <v>fixnhour.com</v>
      </c>
      <c r="D113" s="7" t="str">
        <f>IFERROR(__xludf.DUMMYFUNCTION("""COMPUTED_VALUE"""),"OTHER")</f>
        <v>OTHER</v>
      </c>
      <c r="E113" s="7" t="str">
        <f>IFERROR(__xludf.DUMMYFUNCTION("""COMPUTED_VALUE"""),"CORPORATE")</f>
        <v>CORPORATE</v>
      </c>
      <c r="F113" s="7" t="str">
        <f>IFERROR(__xludf.DUMMYFUNCTION("""COMPUTED_VALUE"""),"Other")</f>
        <v>Other</v>
      </c>
      <c r="G113" s="7" t="b">
        <f>IFERROR(__xludf.DUMMYFUNCTION("""COMPUTED_VALUE"""),FALSE)</f>
        <v>0</v>
      </c>
      <c r="H113" s="7"/>
      <c r="I113" s="7">
        <f>IFERROR(__xludf.DUMMYFUNCTION("""COMPUTED_VALUE"""),1.0)</f>
        <v>1</v>
      </c>
      <c r="J113" s="7">
        <f>IFERROR(__xludf.DUMMYFUNCTION("""COMPUTED_VALUE"""),0.0)</f>
        <v>0</v>
      </c>
      <c r="K113" s="7">
        <f>IFERROR(__xludf.DUMMYFUNCTION("""COMPUTED_VALUE"""),0.0)</f>
        <v>0</v>
      </c>
    </row>
    <row r="114" ht="15.75" customHeight="1">
      <c r="A114" s="6" t="str">
        <f>IFERROR(__xludf.DUMMYFUNCTION("""COMPUTED_VALUE"""),"https://www.ftalliance.com.au/australian-trusted-trader#:~:text=FTA%20is%20a%20founding%20member,co%2Ddesign%20this%20important%20reform.")</f>
        <v>https://www.ftalliance.com.au/australian-trusted-trader#:~:text=FTA%20is%20a%20founding%20member,co%2Ddesign%20this%20important%20reform.</v>
      </c>
      <c r="B114" s="7" t="str">
        <f>IFERROR(__xludf.DUMMYFUNCTION("""COMPUTED_VALUE"""),"Australian Trusted Trader")</f>
        <v>Australian Trusted Trader</v>
      </c>
      <c r="C114" s="6" t="str">
        <f>IFERROR(__xludf.DUMMYFUNCTION("""COMPUTED_VALUE"""),"ftalliance.com.au")</f>
        <v>ftalliance.com.au</v>
      </c>
      <c r="D114" s="7" t="str">
        <f>IFERROR(__xludf.DUMMYFUNCTION("""COMPUTED_VALUE"""),"OTHER")</f>
        <v>OTHER</v>
      </c>
      <c r="E114" s="7" t="str">
        <f>IFERROR(__xludf.DUMMYFUNCTION("""COMPUTED_VALUE"""),"INSTITUTIONAL")</f>
        <v>INSTITUTIONAL</v>
      </c>
      <c r="F114" s="7" t="str">
        <f>IFERROR(__xludf.DUMMYFUNCTION("""COMPUTED_VALUE"""),"Other")</f>
        <v>Other</v>
      </c>
      <c r="G114" s="7" t="b">
        <f>IFERROR(__xludf.DUMMYFUNCTION("""COMPUTED_VALUE"""),FALSE)</f>
        <v>0</v>
      </c>
      <c r="H114" s="7"/>
      <c r="I114" s="7">
        <f>IFERROR(__xludf.DUMMYFUNCTION("""COMPUTED_VALUE"""),1.0)</f>
        <v>1</v>
      </c>
      <c r="J114" s="7">
        <f>IFERROR(__xludf.DUMMYFUNCTION("""COMPUTED_VALUE"""),0.0)</f>
        <v>0</v>
      </c>
      <c r="K114" s="7">
        <f>IFERROR(__xludf.DUMMYFUNCTION("""COMPUTED_VALUE"""),1.0)</f>
        <v>1</v>
      </c>
    </row>
    <row r="115" ht="15.75" customHeight="1">
      <c r="A115" s="6" t="str">
        <f>IFERROR(__xludf.DUMMYFUNCTION("""COMPUTED_VALUE"""),"https://www.ftalliance.com.au/data/news_attachments/4.%20australian%20trusted%20trader.pdf#:~:text=What%20is%20ATT%3F%20%E2%80%A2%20A%20voluntary%20trade,to%20a%20range%20of%20trade%20facilitation%20benefits.")</f>
        <v>https://www.ftalliance.com.au/data/news_attachments/4.%20australian%20trusted%20trader.pdf#:~:text=What%20is%20ATT%3F%20%E2%80%A2%20A%20voluntary%20trade,to%20a%20range%20of%20trade%20facilitation%20benefits.</v>
      </c>
      <c r="B115" s="7"/>
      <c r="C115" s="6" t="str">
        <f>IFERROR(__xludf.DUMMYFUNCTION("""COMPUTED_VALUE"""),"ftalliance.com.au")</f>
        <v>ftalliance.com.au</v>
      </c>
      <c r="D115" s="7" t="str">
        <f>IFERROR(__xludf.DUMMYFUNCTION("""COMPUTED_VALUE"""),"OTHER")</f>
        <v>OTHER</v>
      </c>
      <c r="E115" s="7" t="str">
        <f>IFERROR(__xludf.DUMMYFUNCTION("""COMPUTED_VALUE"""),"INSTITUTIONAL")</f>
        <v>INSTITUTIONAL</v>
      </c>
      <c r="F115" s="7" t="str">
        <f>IFERROR(__xludf.DUMMYFUNCTION("""COMPUTED_VALUE"""),"Other")</f>
        <v>Other</v>
      </c>
      <c r="G115" s="7" t="b">
        <f>IFERROR(__xludf.DUMMYFUNCTION("""COMPUTED_VALUE"""),FALSE)</f>
        <v>0</v>
      </c>
      <c r="H115" s="7" t="str">
        <f>IFERROR(__xludf.DUMMYFUNCTION("""COMPUTED_VALUE"""),"PHD")</f>
        <v>PHD</v>
      </c>
      <c r="I115" s="7">
        <f>IFERROR(__xludf.DUMMYFUNCTION("""COMPUTED_VALUE"""),1.0)</f>
        <v>1</v>
      </c>
      <c r="J115" s="7">
        <f>IFERROR(__xludf.DUMMYFUNCTION("""COMPUTED_VALUE"""),0.0)</f>
        <v>0</v>
      </c>
      <c r="K115" s="7">
        <f>IFERROR(__xludf.DUMMYFUNCTION("""COMPUTED_VALUE"""),1.0)</f>
        <v>1</v>
      </c>
    </row>
    <row r="116" ht="15.75" customHeight="1">
      <c r="A116" s="6" t="str">
        <f>IFERROR(__xludf.DUMMYFUNCTION("""COMPUTED_VALUE"""),"https://geooptimisation.com.au/best-geo-agencies-australia-2026/")</f>
        <v>https://geooptimisation.com.au/best-geo-agencies-australia-2026/</v>
      </c>
      <c r="B116" s="7" t="str">
        <f>IFERROR(__xludf.DUMMYFUNCTION("""COMPUTED_VALUE"""),"Best GEO Agencies in Australia 2026: An Honest Comparison | GEO Optimisation Australia")</f>
        <v>Best GEO Agencies in Australia 2026: An Honest Comparison | GEO Optimisation Australia</v>
      </c>
      <c r="C116" s="6" t="str">
        <f>IFERROR(__xludf.DUMMYFUNCTION("""COMPUTED_VALUE"""),"geooptimisation.com.au")</f>
        <v>geooptimisation.com.au</v>
      </c>
      <c r="D116" s="7" t="str">
        <f>IFERROR(__xludf.DUMMYFUNCTION("""COMPUTED_VALUE"""),"OTHER")</f>
        <v>OTHER</v>
      </c>
      <c r="E116" s="7" t="str">
        <f>IFERROR(__xludf.DUMMYFUNCTION("""COMPUTED_VALUE"""),"EDITORIAL")</f>
        <v>EDITORIAL</v>
      </c>
      <c r="F116" s="7" t="str">
        <f>IFERROR(__xludf.DUMMYFUNCTION("""COMPUTED_VALUE"""),"Other")</f>
        <v>Other</v>
      </c>
      <c r="G116" s="7" t="b">
        <f>IFERROR(__xludf.DUMMYFUNCTION("""COMPUTED_VALUE"""),FALSE)</f>
        <v>0</v>
      </c>
      <c r="H116" s="7" t="str">
        <f>IFERROR(__xludf.DUMMYFUNCTION("""COMPUTED_VALUE"""),"Luminary, Prosperity Media, Rocket Agency, First Page")</f>
        <v>Luminary, Prosperity Media, Rocket Agency, First Page</v>
      </c>
      <c r="I116" s="7">
        <f>IFERROR(__xludf.DUMMYFUNCTION("""COMPUTED_VALUE"""),1.0)</f>
        <v>1</v>
      </c>
      <c r="J116" s="7">
        <f>IFERROR(__xludf.DUMMYFUNCTION("""COMPUTED_VALUE"""),0.0)</f>
        <v>0</v>
      </c>
      <c r="K116" s="7">
        <f>IFERROR(__xludf.DUMMYFUNCTION("""COMPUTED_VALUE"""),0.0)</f>
        <v>0</v>
      </c>
    </row>
    <row r="117" ht="15.75" customHeight="1">
      <c r="A117" s="6" t="str">
        <f>IFERROR(__xludf.DUMMYFUNCTION("""COMPUTED_VALUE"""),"https://georankai.com/about/")</f>
        <v>https://georankai.com/about/</v>
      </c>
      <c r="B117" s="7"/>
      <c r="C117" s="6" t="str">
        <f>IFERROR(__xludf.DUMMYFUNCTION("""COMPUTED_VALUE"""),"georankai.com")</f>
        <v>georankai.com</v>
      </c>
      <c r="D117" s="7" t="str">
        <f>IFERROR(__xludf.DUMMYFUNCTION("""COMPUTED_VALUE"""),"OTHER")</f>
        <v>OTHER</v>
      </c>
      <c r="E117" s="7" t="str">
        <f>IFERROR(__xludf.DUMMYFUNCTION("""COMPUTED_VALUE"""),"CORPORATE")</f>
        <v>CORPORATE</v>
      </c>
      <c r="F117" s="7" t="str">
        <f>IFERROR(__xludf.DUMMYFUNCTION("""COMPUTED_VALUE"""),"Other")</f>
        <v>Other</v>
      </c>
      <c r="G117" s="7"/>
      <c r="H117" s="7" t="str">
        <f>IFERROR(__xludf.DUMMYFUNCTION("""COMPUTED_VALUE"""),"Unknown")</f>
        <v>Unknown</v>
      </c>
      <c r="I117" s="7">
        <f>IFERROR(__xludf.DUMMYFUNCTION("""COMPUTED_VALUE"""),1.0)</f>
        <v>1</v>
      </c>
      <c r="J117" s="7">
        <f>IFERROR(__xludf.DUMMYFUNCTION("""COMPUTED_VALUE"""),0.0)</f>
        <v>0</v>
      </c>
      <c r="K117" s="7">
        <f>IFERROR(__xludf.DUMMYFUNCTION("""COMPUTED_VALUE"""),1.0)</f>
        <v>1</v>
      </c>
    </row>
    <row r="118" ht="15.75" customHeight="1">
      <c r="A118" s="6" t="str">
        <f>IFERROR(__xludf.DUMMYFUNCTION("""COMPUTED_VALUE"""),"https://www.google.com/searchviewer/10?svid=CAwSGxIZCgNwdnESEkNnc3ZaeTh4ZEdZeWNEQTVNQRgK")</f>
        <v>https://www.google.com/searchviewer/10?svid=CAwSGxIZCgNwdnESEkNnc3ZaeTh4ZEdZeWNEQTVNQRgK</v>
      </c>
      <c r="B118" s="7"/>
      <c r="C118" s="6" t="str">
        <f>IFERROR(__xludf.DUMMYFUNCTION("""COMPUTED_VALUE"""),"google.com")</f>
        <v>google.com</v>
      </c>
      <c r="D118" s="7" t="str">
        <f>IFERROR(__xludf.DUMMYFUNCTION("""COMPUTED_VALUE"""),"OTHER")</f>
        <v>OTHER</v>
      </c>
      <c r="E118" s="7" t="str">
        <f>IFERROR(__xludf.DUMMYFUNCTION("""COMPUTED_VALUE"""),"OTHER")</f>
        <v>OTHER</v>
      </c>
      <c r="F118" s="7" t="str">
        <f>IFERROR(__xludf.DUMMYFUNCTION("""COMPUTED_VALUE"""),"Other")</f>
        <v>Other</v>
      </c>
      <c r="G118" s="7"/>
      <c r="H118" s="7" t="str">
        <f>IFERROR(__xludf.DUMMYFUNCTION("""COMPUTED_VALUE"""),"Unknown")</f>
        <v>Unknown</v>
      </c>
      <c r="I118" s="7">
        <f>IFERROR(__xludf.DUMMYFUNCTION("""COMPUTED_VALUE"""),1.0)</f>
        <v>1</v>
      </c>
      <c r="J118" s="7">
        <f>IFERROR(__xludf.DUMMYFUNCTION("""COMPUTED_VALUE"""),0.0)</f>
        <v>0</v>
      </c>
      <c r="K118" s="7">
        <f>IFERROR(__xludf.DUMMYFUNCTION("""COMPUTED_VALUE"""),0.0)</f>
        <v>0</v>
      </c>
    </row>
    <row r="119" ht="15.75" customHeight="1">
      <c r="A119" s="6" t="str">
        <f>IFERROR(__xludf.DUMMYFUNCTION("""COMPUTED_VALUE"""),"https://www.google.com/searchviewer/10?svid=CAwSGxIZCgNwdnESEkNnc3ZaeTh4ZEdvek5XUm1iQRgK")</f>
        <v>https://www.google.com/searchviewer/10?svid=CAwSGxIZCgNwdnESEkNnc3ZaeTh4ZEdvek5XUm1iQRgK</v>
      </c>
      <c r="B119" s="7"/>
      <c r="C119" s="6" t="str">
        <f>IFERROR(__xludf.DUMMYFUNCTION("""COMPUTED_VALUE"""),"google.com")</f>
        <v>google.com</v>
      </c>
      <c r="D119" s="7" t="str">
        <f>IFERROR(__xludf.DUMMYFUNCTION("""COMPUTED_VALUE"""),"OTHER")</f>
        <v>OTHER</v>
      </c>
      <c r="E119" s="7" t="str">
        <f>IFERROR(__xludf.DUMMYFUNCTION("""COMPUTED_VALUE"""),"OTHER")</f>
        <v>OTHER</v>
      </c>
      <c r="F119" s="7" t="str">
        <f>IFERROR(__xludf.DUMMYFUNCTION("""COMPUTED_VALUE"""),"Other")</f>
        <v>Other</v>
      </c>
      <c r="G119" s="7"/>
      <c r="H119" s="7" t="str">
        <f>IFERROR(__xludf.DUMMYFUNCTION("""COMPUTED_VALUE"""),"Unknown")</f>
        <v>Unknown</v>
      </c>
      <c r="I119" s="7">
        <f>IFERROR(__xludf.DUMMYFUNCTION("""COMPUTED_VALUE"""),1.0)</f>
        <v>1</v>
      </c>
      <c r="J119" s="7">
        <f>IFERROR(__xludf.DUMMYFUNCTION("""COMPUTED_VALUE"""),0.0)</f>
        <v>0</v>
      </c>
      <c r="K119" s="7">
        <f>IFERROR(__xludf.DUMMYFUNCTION("""COMPUTED_VALUE"""),0.0)</f>
        <v>0</v>
      </c>
    </row>
    <row r="120" ht="15.75" customHeight="1">
      <c r="A120" s="6" t="str">
        <f>IFERROR(__xludf.DUMMYFUNCTION("""COMPUTED_VALUE"""),"https://www.google.com/searchviewer/10?svid=CAwSGxIZCgNwdnESEkNnc3ZaeTh4ZG10eU1IZzRhZxgK")</f>
        <v>https://www.google.com/searchviewer/10?svid=CAwSGxIZCgNwdnESEkNnc3ZaeTh4ZG10eU1IZzRhZxgK</v>
      </c>
      <c r="B120" s="7"/>
      <c r="C120" s="6" t="str">
        <f>IFERROR(__xludf.DUMMYFUNCTION("""COMPUTED_VALUE"""),"google.com")</f>
        <v>google.com</v>
      </c>
      <c r="D120" s="7" t="str">
        <f>IFERROR(__xludf.DUMMYFUNCTION("""COMPUTED_VALUE"""),"OTHER")</f>
        <v>OTHER</v>
      </c>
      <c r="E120" s="7" t="str">
        <f>IFERROR(__xludf.DUMMYFUNCTION("""COMPUTED_VALUE"""),"OTHER")</f>
        <v>OTHER</v>
      </c>
      <c r="F120" s="7" t="str">
        <f>IFERROR(__xludf.DUMMYFUNCTION("""COMPUTED_VALUE"""),"Other")</f>
        <v>Other</v>
      </c>
      <c r="G120" s="7"/>
      <c r="H120" s="7" t="str">
        <f>IFERROR(__xludf.DUMMYFUNCTION("""COMPUTED_VALUE"""),"Unknown")</f>
        <v>Unknown</v>
      </c>
      <c r="I120" s="7">
        <f>IFERROR(__xludf.DUMMYFUNCTION("""COMPUTED_VALUE"""),1.0)</f>
        <v>1</v>
      </c>
      <c r="J120" s="7">
        <f>IFERROR(__xludf.DUMMYFUNCTION("""COMPUTED_VALUE"""),0.0)</f>
        <v>0</v>
      </c>
      <c r="K120" s="7">
        <f>IFERROR(__xludf.DUMMYFUNCTION("""COMPUTED_VALUE"""),0.0)</f>
        <v>0</v>
      </c>
    </row>
    <row r="121" ht="15.75" customHeight="1">
      <c r="A121" s="6" t="str">
        <f>IFERROR(__xludf.DUMMYFUNCTION("""COMPUTED_VALUE"""),"https://www.google.com/searchviewer/10?svid=CAwSGxIZCgNwdnESEkNnc3ZaeTh4ZGw5NU9XSXpOZxgK")</f>
        <v>https://www.google.com/searchviewer/10?svid=CAwSGxIZCgNwdnESEkNnc3ZaeTh4ZGw5NU9XSXpOZxgK</v>
      </c>
      <c r="B121" s="7"/>
      <c r="C121" s="6" t="str">
        <f>IFERROR(__xludf.DUMMYFUNCTION("""COMPUTED_VALUE"""),"google.com")</f>
        <v>google.com</v>
      </c>
      <c r="D121" s="7" t="str">
        <f>IFERROR(__xludf.DUMMYFUNCTION("""COMPUTED_VALUE"""),"OTHER")</f>
        <v>OTHER</v>
      </c>
      <c r="E121" s="7" t="str">
        <f>IFERROR(__xludf.DUMMYFUNCTION("""COMPUTED_VALUE"""),"OTHER")</f>
        <v>OTHER</v>
      </c>
      <c r="F121" s="7" t="str">
        <f>IFERROR(__xludf.DUMMYFUNCTION("""COMPUTED_VALUE"""),"Other")</f>
        <v>Other</v>
      </c>
      <c r="G121" s="7"/>
      <c r="H121" s="7" t="str">
        <f>IFERROR(__xludf.DUMMYFUNCTION("""COMPUTED_VALUE"""),"Unknown")</f>
        <v>Unknown</v>
      </c>
      <c r="I121" s="7">
        <f>IFERROR(__xludf.DUMMYFUNCTION("""COMPUTED_VALUE"""),1.0)</f>
        <v>1</v>
      </c>
      <c r="J121" s="7">
        <f>IFERROR(__xludf.DUMMYFUNCTION("""COMPUTED_VALUE"""),0.0)</f>
        <v>0</v>
      </c>
      <c r="K121" s="7">
        <f>IFERROR(__xludf.DUMMYFUNCTION("""COMPUTED_VALUE"""),0.0)</f>
        <v>0</v>
      </c>
    </row>
    <row r="122" ht="15.75" customHeight="1">
      <c r="A122" s="6" t="str">
        <f>IFERROR(__xludf.DUMMYFUNCTION("""COMPUTED_VALUE"""),"https://www.google.com/searchviewer/10?svid=CAwSHBIaCgNwdnESE0Nnd3ZaeTh4YUdZd2Rub3hPRGMYCg")</f>
        <v>https://www.google.com/searchviewer/10?svid=CAwSHBIaCgNwdnESE0Nnd3ZaeTh4YUdZd2Rub3hPRGMYCg</v>
      </c>
      <c r="B122" s="7"/>
      <c r="C122" s="6" t="str">
        <f>IFERROR(__xludf.DUMMYFUNCTION("""COMPUTED_VALUE"""),"google.com")</f>
        <v>google.com</v>
      </c>
      <c r="D122" s="7" t="str">
        <f>IFERROR(__xludf.DUMMYFUNCTION("""COMPUTED_VALUE"""),"OTHER")</f>
        <v>OTHER</v>
      </c>
      <c r="E122" s="7" t="str">
        <f>IFERROR(__xludf.DUMMYFUNCTION("""COMPUTED_VALUE"""),"OTHER")</f>
        <v>OTHER</v>
      </c>
      <c r="F122" s="7" t="str">
        <f>IFERROR(__xludf.DUMMYFUNCTION("""COMPUTED_VALUE"""),"Other")</f>
        <v>Other</v>
      </c>
      <c r="G122" s="7"/>
      <c r="H122" s="7" t="str">
        <f>IFERROR(__xludf.DUMMYFUNCTION("""COMPUTED_VALUE"""),"Unknown")</f>
        <v>Unknown</v>
      </c>
      <c r="I122" s="7">
        <f>IFERROR(__xludf.DUMMYFUNCTION("""COMPUTED_VALUE"""),1.0)</f>
        <v>1</v>
      </c>
      <c r="J122" s="7">
        <f>IFERROR(__xludf.DUMMYFUNCTION("""COMPUTED_VALUE"""),0.0)</f>
        <v>0</v>
      </c>
      <c r="K122" s="7">
        <f>IFERROR(__xludf.DUMMYFUNCTION("""COMPUTED_VALUE"""),1.0)</f>
        <v>1</v>
      </c>
    </row>
    <row r="123" ht="15.75" customHeight="1">
      <c r="A123" s="6" t="str">
        <f>IFERROR(__xludf.DUMMYFUNCTION("""COMPUTED_VALUE"""),"https://www.google.com/searchviewer/10?svid=CAwSHRIbCgNwdnESFENnMHZaeTh4TVc0eE16UTRYM055GAo")</f>
        <v>https://www.google.com/searchviewer/10?svid=CAwSHRIbCgNwdnESFENnMHZaeTh4TVc0eE16UTRYM055GAo</v>
      </c>
      <c r="B123" s="7"/>
      <c r="C123" s="6" t="str">
        <f>IFERROR(__xludf.DUMMYFUNCTION("""COMPUTED_VALUE"""),"google.com")</f>
        <v>google.com</v>
      </c>
      <c r="D123" s="7" t="str">
        <f>IFERROR(__xludf.DUMMYFUNCTION("""COMPUTED_VALUE"""),"OTHER")</f>
        <v>OTHER</v>
      </c>
      <c r="E123" s="7" t="str">
        <f>IFERROR(__xludf.DUMMYFUNCTION("""COMPUTED_VALUE"""),"OTHER")</f>
        <v>OTHER</v>
      </c>
      <c r="F123" s="7" t="str">
        <f>IFERROR(__xludf.DUMMYFUNCTION("""COMPUTED_VALUE"""),"Other")</f>
        <v>Other</v>
      </c>
      <c r="G123" s="7"/>
      <c r="H123" s="7" t="str">
        <f>IFERROR(__xludf.DUMMYFUNCTION("""COMPUTED_VALUE"""),"Unknown")</f>
        <v>Unknown</v>
      </c>
      <c r="I123" s="7">
        <f>IFERROR(__xludf.DUMMYFUNCTION("""COMPUTED_VALUE"""),1.0)</f>
        <v>1</v>
      </c>
      <c r="J123" s="7">
        <f>IFERROR(__xludf.DUMMYFUNCTION("""COMPUTED_VALUE"""),0.0)</f>
        <v>0</v>
      </c>
      <c r="K123" s="7">
        <f>IFERROR(__xludf.DUMMYFUNCTION("""COMPUTED_VALUE"""),0.0)</f>
        <v>0</v>
      </c>
    </row>
    <row r="124" ht="15.75" customHeight="1">
      <c r="A124" s="6" t="str">
        <f>IFERROR(__xludf.DUMMYFUNCTION("""COMPUTED_VALUE"""),"https://www.google.com/searchviewer/10?svid=CAwSHRIbCgNwdnESFENnMHZaeTh4TVdNMmJEbHRaR2R6GAo")</f>
        <v>https://www.google.com/searchviewer/10?svid=CAwSHRIbCgNwdnESFENnMHZaeTh4TVdNMmJEbHRaR2R6GAo</v>
      </c>
      <c r="B124" s="7"/>
      <c r="C124" s="6" t="str">
        <f>IFERROR(__xludf.DUMMYFUNCTION("""COMPUTED_VALUE"""),"google.com")</f>
        <v>google.com</v>
      </c>
      <c r="D124" s="7" t="str">
        <f>IFERROR(__xludf.DUMMYFUNCTION("""COMPUTED_VALUE"""),"OTHER")</f>
        <v>OTHER</v>
      </c>
      <c r="E124" s="7" t="str">
        <f>IFERROR(__xludf.DUMMYFUNCTION("""COMPUTED_VALUE"""),"OTHER")</f>
        <v>OTHER</v>
      </c>
      <c r="F124" s="7" t="str">
        <f>IFERROR(__xludf.DUMMYFUNCTION("""COMPUTED_VALUE"""),"Other")</f>
        <v>Other</v>
      </c>
      <c r="G124" s="7"/>
      <c r="H124" s="7" t="str">
        <f>IFERROR(__xludf.DUMMYFUNCTION("""COMPUTED_VALUE"""),"Unknown")</f>
        <v>Unknown</v>
      </c>
      <c r="I124" s="7">
        <f>IFERROR(__xludf.DUMMYFUNCTION("""COMPUTED_VALUE"""),1.0)</f>
        <v>1</v>
      </c>
      <c r="J124" s="7">
        <f>IFERROR(__xludf.DUMMYFUNCTION("""COMPUTED_VALUE"""),0.0)</f>
        <v>0</v>
      </c>
      <c r="K124" s="7">
        <f>IFERROR(__xludf.DUMMYFUNCTION("""COMPUTED_VALUE"""),0.0)</f>
        <v>0</v>
      </c>
    </row>
    <row r="125" ht="15.75" customHeight="1">
      <c r="A125" s="6" t="str">
        <f>IFERROR(__xludf.DUMMYFUNCTION("""COMPUTED_VALUE"""),"https://www.google.com/searchviewer/10?svid=CAwSHRIbCgNwdnESFENnMHZaeTh4TVdSNk1ISnJkbkJ1GAo")</f>
        <v>https://www.google.com/searchviewer/10?svid=CAwSHRIbCgNwdnESFENnMHZaeTh4TVdSNk1ISnJkbkJ1GAo</v>
      </c>
      <c r="B125" s="7"/>
      <c r="C125" s="6" t="str">
        <f>IFERROR(__xludf.DUMMYFUNCTION("""COMPUTED_VALUE"""),"google.com")</f>
        <v>google.com</v>
      </c>
      <c r="D125" s="7" t="str">
        <f>IFERROR(__xludf.DUMMYFUNCTION("""COMPUTED_VALUE"""),"OTHER")</f>
        <v>OTHER</v>
      </c>
      <c r="E125" s="7" t="str">
        <f>IFERROR(__xludf.DUMMYFUNCTION("""COMPUTED_VALUE"""),"OTHER")</f>
        <v>OTHER</v>
      </c>
      <c r="F125" s="7" t="str">
        <f>IFERROR(__xludf.DUMMYFUNCTION("""COMPUTED_VALUE"""),"Other")</f>
        <v>Other</v>
      </c>
      <c r="G125" s="7"/>
      <c r="H125" s="7" t="str">
        <f>IFERROR(__xludf.DUMMYFUNCTION("""COMPUTED_VALUE"""),"Unknown")</f>
        <v>Unknown</v>
      </c>
      <c r="I125" s="7">
        <f>IFERROR(__xludf.DUMMYFUNCTION("""COMPUTED_VALUE"""),1.0)</f>
        <v>1</v>
      </c>
      <c r="J125" s="7">
        <f>IFERROR(__xludf.DUMMYFUNCTION("""COMPUTED_VALUE"""),0.0)</f>
        <v>0</v>
      </c>
      <c r="K125" s="7">
        <f>IFERROR(__xludf.DUMMYFUNCTION("""COMPUTED_VALUE"""),0.0)</f>
        <v>0</v>
      </c>
    </row>
    <row r="126" ht="15.75" customHeight="1">
      <c r="A126" s="6" t="str">
        <f>IFERROR(__xludf.DUMMYFUNCTION("""COMPUTED_VALUE"""),"https://www.google.com/searchviewer/10?svid=CAwSHRIbCgNwdnESFENnMHZaeTh4TVdjMmNHWnphRGgzGAo")</f>
        <v>https://www.google.com/searchviewer/10?svid=CAwSHRIbCgNwdnESFENnMHZaeTh4TVdjMmNHWnphRGgzGAo</v>
      </c>
      <c r="B126" s="7"/>
      <c r="C126" s="6" t="str">
        <f>IFERROR(__xludf.DUMMYFUNCTION("""COMPUTED_VALUE"""),"google.com")</f>
        <v>google.com</v>
      </c>
      <c r="D126" s="7" t="str">
        <f>IFERROR(__xludf.DUMMYFUNCTION("""COMPUTED_VALUE"""),"OTHER")</f>
        <v>OTHER</v>
      </c>
      <c r="E126" s="7" t="str">
        <f>IFERROR(__xludf.DUMMYFUNCTION("""COMPUTED_VALUE"""),"OTHER")</f>
        <v>OTHER</v>
      </c>
      <c r="F126" s="7" t="str">
        <f>IFERROR(__xludf.DUMMYFUNCTION("""COMPUTED_VALUE"""),"Other")</f>
        <v>Other</v>
      </c>
      <c r="G126" s="7"/>
      <c r="H126" s="7" t="str">
        <f>IFERROR(__xludf.DUMMYFUNCTION("""COMPUTED_VALUE"""),"Unknown")</f>
        <v>Unknown</v>
      </c>
      <c r="I126" s="7">
        <f>IFERROR(__xludf.DUMMYFUNCTION("""COMPUTED_VALUE"""),1.0)</f>
        <v>1</v>
      </c>
      <c r="J126" s="7">
        <f>IFERROR(__xludf.DUMMYFUNCTION("""COMPUTED_VALUE"""),0.0)</f>
        <v>0</v>
      </c>
      <c r="K126" s="7">
        <f>IFERROR(__xludf.DUMMYFUNCTION("""COMPUTED_VALUE"""),0.0)</f>
        <v>0</v>
      </c>
    </row>
    <row r="127" ht="15.75" customHeight="1">
      <c r="A127" s="6" t="str">
        <f>IFERROR(__xludf.DUMMYFUNCTION("""COMPUTED_VALUE"""),"https://www.google.com/searchviewer/10?svid=CAwSHRIbCgNwdnESFENnMHZaeTh4TVdkbmNtc3lZM05vGAo")</f>
        <v>https://www.google.com/searchviewer/10?svid=CAwSHRIbCgNwdnESFENnMHZaeTh4TVdkbmNtc3lZM05vGAo</v>
      </c>
      <c r="B127" s="7"/>
      <c r="C127" s="6" t="str">
        <f>IFERROR(__xludf.DUMMYFUNCTION("""COMPUTED_VALUE"""),"google.com")</f>
        <v>google.com</v>
      </c>
      <c r="D127" s="7" t="str">
        <f>IFERROR(__xludf.DUMMYFUNCTION("""COMPUTED_VALUE"""),"OTHER")</f>
        <v>OTHER</v>
      </c>
      <c r="E127" s="7" t="str">
        <f>IFERROR(__xludf.DUMMYFUNCTION("""COMPUTED_VALUE"""),"OTHER")</f>
        <v>OTHER</v>
      </c>
      <c r="F127" s="7" t="str">
        <f>IFERROR(__xludf.DUMMYFUNCTION("""COMPUTED_VALUE"""),"Other")</f>
        <v>Other</v>
      </c>
      <c r="G127" s="7"/>
      <c r="H127" s="7" t="str">
        <f>IFERROR(__xludf.DUMMYFUNCTION("""COMPUTED_VALUE"""),"Unknown")</f>
        <v>Unknown</v>
      </c>
      <c r="I127" s="7">
        <f>IFERROR(__xludf.DUMMYFUNCTION("""COMPUTED_VALUE"""),1.0)</f>
        <v>1</v>
      </c>
      <c r="J127" s="7">
        <f>IFERROR(__xludf.DUMMYFUNCTION("""COMPUTED_VALUE"""),0.0)</f>
        <v>0</v>
      </c>
      <c r="K127" s="7">
        <f>IFERROR(__xludf.DUMMYFUNCTION("""COMPUTED_VALUE"""),0.0)</f>
        <v>0</v>
      </c>
    </row>
    <row r="128" ht="15.75" customHeight="1">
      <c r="A128" s="6" t="str">
        <f>IFERROR(__xludf.DUMMYFUNCTION("""COMPUTED_VALUE"""),"https://www.google.com/searchviewer/10?svid=CAwSHRIbCgNwdnESFENnMHZaeTh4TVdnME5uTXllalZ4GAo")</f>
        <v>https://www.google.com/searchviewer/10?svid=CAwSHRIbCgNwdnESFENnMHZaeTh4TVdnME5uTXllalZ4GAo</v>
      </c>
      <c r="B128" s="7"/>
      <c r="C128" s="6" t="str">
        <f>IFERROR(__xludf.DUMMYFUNCTION("""COMPUTED_VALUE"""),"google.com")</f>
        <v>google.com</v>
      </c>
      <c r="D128" s="7" t="str">
        <f>IFERROR(__xludf.DUMMYFUNCTION("""COMPUTED_VALUE"""),"OTHER")</f>
        <v>OTHER</v>
      </c>
      <c r="E128" s="7" t="str">
        <f>IFERROR(__xludf.DUMMYFUNCTION("""COMPUTED_VALUE"""),"OTHER")</f>
        <v>OTHER</v>
      </c>
      <c r="F128" s="7" t="str">
        <f>IFERROR(__xludf.DUMMYFUNCTION("""COMPUTED_VALUE"""),"Other")</f>
        <v>Other</v>
      </c>
      <c r="G128" s="7"/>
      <c r="H128" s="7" t="str">
        <f>IFERROR(__xludf.DUMMYFUNCTION("""COMPUTED_VALUE"""),"Unknown")</f>
        <v>Unknown</v>
      </c>
      <c r="I128" s="7">
        <f>IFERROR(__xludf.DUMMYFUNCTION("""COMPUTED_VALUE"""),1.0)</f>
        <v>1</v>
      </c>
      <c r="J128" s="7">
        <f>IFERROR(__xludf.DUMMYFUNCTION("""COMPUTED_VALUE"""),0.0)</f>
        <v>0</v>
      </c>
      <c r="K128" s="7">
        <f>IFERROR(__xludf.DUMMYFUNCTION("""COMPUTED_VALUE"""),0.0)</f>
        <v>0</v>
      </c>
    </row>
    <row r="129" ht="15.75" customHeight="1">
      <c r="A129" s="6" t="str">
        <f>IFERROR(__xludf.DUMMYFUNCTION("""COMPUTED_VALUE"""),"https://www.google.com/searchviewer/10?svid=CAwSHRIbCgNwdnESFENnMHZaeTh4TVdnd1lqbGtPVGhrGAo")</f>
        <v>https://www.google.com/searchviewer/10?svid=CAwSHRIbCgNwdnESFENnMHZaeTh4TVdnd1lqbGtPVGhrGAo</v>
      </c>
      <c r="B129" s="7"/>
      <c r="C129" s="6" t="str">
        <f>IFERROR(__xludf.DUMMYFUNCTION("""COMPUTED_VALUE"""),"google.com")</f>
        <v>google.com</v>
      </c>
      <c r="D129" s="7" t="str">
        <f>IFERROR(__xludf.DUMMYFUNCTION("""COMPUTED_VALUE"""),"OTHER")</f>
        <v>OTHER</v>
      </c>
      <c r="E129" s="7" t="str">
        <f>IFERROR(__xludf.DUMMYFUNCTION("""COMPUTED_VALUE"""),"OTHER")</f>
        <v>OTHER</v>
      </c>
      <c r="F129" s="7" t="str">
        <f>IFERROR(__xludf.DUMMYFUNCTION("""COMPUTED_VALUE"""),"Other")</f>
        <v>Other</v>
      </c>
      <c r="G129" s="7"/>
      <c r="H129" s="7" t="str">
        <f>IFERROR(__xludf.DUMMYFUNCTION("""COMPUTED_VALUE"""),"Unknown")</f>
        <v>Unknown</v>
      </c>
      <c r="I129" s="7">
        <f>IFERROR(__xludf.DUMMYFUNCTION("""COMPUTED_VALUE"""),1.0)</f>
        <v>1</v>
      </c>
      <c r="J129" s="7">
        <f>IFERROR(__xludf.DUMMYFUNCTION("""COMPUTED_VALUE"""),0.0)</f>
        <v>0</v>
      </c>
      <c r="K129" s="7">
        <f>IFERROR(__xludf.DUMMYFUNCTION("""COMPUTED_VALUE"""),0.0)</f>
        <v>0</v>
      </c>
    </row>
    <row r="130" ht="15.75" customHeight="1">
      <c r="A130" s="6" t="str">
        <f>IFERROR(__xludf.DUMMYFUNCTION("""COMPUTED_VALUE"""),"https://www.google.com/searchviewer/10?svid=CAwSHRIbCgNwdnESFENnMHZaeTh4TVdneWEyMXlaR2RyGAo")</f>
        <v>https://www.google.com/searchviewer/10?svid=CAwSHRIbCgNwdnESFENnMHZaeTh4TVdneWEyMXlaR2RyGAo</v>
      </c>
      <c r="B130" s="7"/>
      <c r="C130" s="6" t="str">
        <f>IFERROR(__xludf.DUMMYFUNCTION("""COMPUTED_VALUE"""),"google.com")</f>
        <v>google.com</v>
      </c>
      <c r="D130" s="7" t="str">
        <f>IFERROR(__xludf.DUMMYFUNCTION("""COMPUTED_VALUE"""),"OTHER")</f>
        <v>OTHER</v>
      </c>
      <c r="E130" s="7" t="str">
        <f>IFERROR(__xludf.DUMMYFUNCTION("""COMPUTED_VALUE"""),"OTHER")</f>
        <v>OTHER</v>
      </c>
      <c r="F130" s="7" t="str">
        <f>IFERROR(__xludf.DUMMYFUNCTION("""COMPUTED_VALUE"""),"Other")</f>
        <v>Other</v>
      </c>
      <c r="G130" s="7"/>
      <c r="H130" s="7" t="str">
        <f>IFERROR(__xludf.DUMMYFUNCTION("""COMPUTED_VALUE"""),"Unknown")</f>
        <v>Unknown</v>
      </c>
      <c r="I130" s="7">
        <f>IFERROR(__xludf.DUMMYFUNCTION("""COMPUTED_VALUE"""),1.0)</f>
        <v>1</v>
      </c>
      <c r="J130" s="7">
        <f>IFERROR(__xludf.DUMMYFUNCTION("""COMPUTED_VALUE"""),0.0)</f>
        <v>0</v>
      </c>
      <c r="K130" s="7">
        <f>IFERROR(__xludf.DUMMYFUNCTION("""COMPUTED_VALUE"""),0.0)</f>
        <v>0</v>
      </c>
    </row>
    <row r="131" ht="15.75" customHeight="1">
      <c r="A131" s="6" t="str">
        <f>IFERROR(__xludf.DUMMYFUNCTION("""COMPUTED_VALUE"""),"https://www.google.com/searchviewer/10?svid=CAwSHRIbCgNwdnESFENnMHZaeTh4TVdneWNXMXpOblEyGAo")</f>
        <v>https://www.google.com/searchviewer/10?svid=CAwSHRIbCgNwdnESFENnMHZaeTh4TVdneWNXMXpOblEyGAo</v>
      </c>
      <c r="B131" s="7"/>
      <c r="C131" s="6" t="str">
        <f>IFERROR(__xludf.DUMMYFUNCTION("""COMPUTED_VALUE"""),"google.com")</f>
        <v>google.com</v>
      </c>
      <c r="D131" s="7" t="str">
        <f>IFERROR(__xludf.DUMMYFUNCTION("""COMPUTED_VALUE"""),"OTHER")</f>
        <v>OTHER</v>
      </c>
      <c r="E131" s="7" t="str">
        <f>IFERROR(__xludf.DUMMYFUNCTION("""COMPUTED_VALUE"""),"OTHER")</f>
        <v>OTHER</v>
      </c>
      <c r="F131" s="7" t="str">
        <f>IFERROR(__xludf.DUMMYFUNCTION("""COMPUTED_VALUE"""),"Other")</f>
        <v>Other</v>
      </c>
      <c r="G131" s="7"/>
      <c r="H131" s="7" t="str">
        <f>IFERROR(__xludf.DUMMYFUNCTION("""COMPUTED_VALUE"""),"Unknown")</f>
        <v>Unknown</v>
      </c>
      <c r="I131" s="7">
        <f>IFERROR(__xludf.DUMMYFUNCTION("""COMPUTED_VALUE"""),1.0)</f>
        <v>1</v>
      </c>
      <c r="J131" s="7">
        <f>IFERROR(__xludf.DUMMYFUNCTION("""COMPUTED_VALUE"""),0.0)</f>
        <v>0</v>
      </c>
      <c r="K131" s="7">
        <f>IFERROR(__xludf.DUMMYFUNCTION("""COMPUTED_VALUE"""),1.0)</f>
        <v>1</v>
      </c>
    </row>
    <row r="132" ht="15.75" customHeight="1">
      <c r="A132" s="6" t="str">
        <f>IFERROR(__xludf.DUMMYFUNCTION("""COMPUTED_VALUE"""),"https://www.google.com/searchviewer/10?svid=CAwSHRIbCgNwdnESFENnMHZaeTh4TVdoa2N6TnFkbDgwGAo")</f>
        <v>https://www.google.com/searchviewer/10?svid=CAwSHRIbCgNwdnESFENnMHZaeTh4TVdoa2N6TnFkbDgwGAo</v>
      </c>
      <c r="B132" s="7"/>
      <c r="C132" s="6" t="str">
        <f>IFERROR(__xludf.DUMMYFUNCTION("""COMPUTED_VALUE"""),"google.com")</f>
        <v>google.com</v>
      </c>
      <c r="D132" s="7" t="str">
        <f>IFERROR(__xludf.DUMMYFUNCTION("""COMPUTED_VALUE"""),"OTHER")</f>
        <v>OTHER</v>
      </c>
      <c r="E132" s="7" t="str">
        <f>IFERROR(__xludf.DUMMYFUNCTION("""COMPUTED_VALUE"""),"OTHER")</f>
        <v>OTHER</v>
      </c>
      <c r="F132" s="7" t="str">
        <f>IFERROR(__xludf.DUMMYFUNCTION("""COMPUTED_VALUE"""),"Other")</f>
        <v>Other</v>
      </c>
      <c r="G132" s="7"/>
      <c r="H132" s="7" t="str">
        <f>IFERROR(__xludf.DUMMYFUNCTION("""COMPUTED_VALUE"""),"Unknown")</f>
        <v>Unknown</v>
      </c>
      <c r="I132" s="7">
        <f>IFERROR(__xludf.DUMMYFUNCTION("""COMPUTED_VALUE"""),1.0)</f>
        <v>1</v>
      </c>
      <c r="J132" s="7">
        <f>IFERROR(__xludf.DUMMYFUNCTION("""COMPUTED_VALUE"""),0.0)</f>
        <v>0</v>
      </c>
      <c r="K132" s="7">
        <f>IFERROR(__xludf.DUMMYFUNCTION("""COMPUTED_VALUE"""),0.0)</f>
        <v>0</v>
      </c>
    </row>
    <row r="133" ht="15.75" customHeight="1">
      <c r="A133" s="6" t="str">
        <f>IFERROR(__xludf.DUMMYFUNCTION("""COMPUTED_VALUE"""),"https://www.google.com/searchviewer/10?svid=CAwSHRIbCgNwdnESFENnMHZaeTh4TVdwek1UUmpaR3A0GAo")</f>
        <v>https://www.google.com/searchviewer/10?svid=CAwSHRIbCgNwdnESFENnMHZaeTh4TVdwek1UUmpaR3A0GAo</v>
      </c>
      <c r="B133" s="7"/>
      <c r="C133" s="6" t="str">
        <f>IFERROR(__xludf.DUMMYFUNCTION("""COMPUTED_VALUE"""),"google.com")</f>
        <v>google.com</v>
      </c>
      <c r="D133" s="7" t="str">
        <f>IFERROR(__xludf.DUMMYFUNCTION("""COMPUTED_VALUE"""),"OTHER")</f>
        <v>OTHER</v>
      </c>
      <c r="E133" s="7" t="str">
        <f>IFERROR(__xludf.DUMMYFUNCTION("""COMPUTED_VALUE"""),"OTHER")</f>
        <v>OTHER</v>
      </c>
      <c r="F133" s="7" t="str">
        <f>IFERROR(__xludf.DUMMYFUNCTION("""COMPUTED_VALUE"""),"Other")</f>
        <v>Other</v>
      </c>
      <c r="G133" s="7"/>
      <c r="H133" s="7" t="str">
        <f>IFERROR(__xludf.DUMMYFUNCTION("""COMPUTED_VALUE"""),"Unknown")</f>
        <v>Unknown</v>
      </c>
      <c r="I133" s="7">
        <f>IFERROR(__xludf.DUMMYFUNCTION("""COMPUTED_VALUE"""),1.0)</f>
        <v>1</v>
      </c>
      <c r="J133" s="7">
        <f>IFERROR(__xludf.DUMMYFUNCTION("""COMPUTED_VALUE"""),0.0)</f>
        <v>0</v>
      </c>
      <c r="K133" s="7">
        <f>IFERROR(__xludf.DUMMYFUNCTION("""COMPUTED_VALUE"""),0.0)</f>
        <v>0</v>
      </c>
    </row>
    <row r="134" ht="15.75" customHeight="1">
      <c r="A134" s="6" t="str">
        <f>IFERROR(__xludf.DUMMYFUNCTION("""COMPUTED_VALUE"""),"https://www.google.com/searchviewer/10?svid=CAwSHRIbCgNwdnESFENnMHZaeTh4TVhKbllucG9jVE56GAo")</f>
        <v>https://www.google.com/searchviewer/10?svid=CAwSHRIbCgNwdnESFENnMHZaeTh4TVhKbllucG9jVE56GAo</v>
      </c>
      <c r="B134" s="7"/>
      <c r="C134" s="6" t="str">
        <f>IFERROR(__xludf.DUMMYFUNCTION("""COMPUTED_VALUE"""),"google.com")</f>
        <v>google.com</v>
      </c>
      <c r="D134" s="7" t="str">
        <f>IFERROR(__xludf.DUMMYFUNCTION("""COMPUTED_VALUE"""),"OTHER")</f>
        <v>OTHER</v>
      </c>
      <c r="E134" s="7" t="str">
        <f>IFERROR(__xludf.DUMMYFUNCTION("""COMPUTED_VALUE"""),"OTHER")</f>
        <v>OTHER</v>
      </c>
      <c r="F134" s="7" t="str">
        <f>IFERROR(__xludf.DUMMYFUNCTION("""COMPUTED_VALUE"""),"Other")</f>
        <v>Other</v>
      </c>
      <c r="G134" s="7"/>
      <c r="H134" s="7" t="str">
        <f>IFERROR(__xludf.DUMMYFUNCTION("""COMPUTED_VALUE"""),"Unknown")</f>
        <v>Unknown</v>
      </c>
      <c r="I134" s="7">
        <f>IFERROR(__xludf.DUMMYFUNCTION("""COMPUTED_VALUE"""),1.0)</f>
        <v>1</v>
      </c>
      <c r="J134" s="7">
        <f>IFERROR(__xludf.DUMMYFUNCTION("""COMPUTED_VALUE"""),0.0)</f>
        <v>0</v>
      </c>
      <c r="K134" s="7">
        <f>IFERROR(__xludf.DUMMYFUNCTION("""COMPUTED_VALUE"""),0.0)</f>
        <v>0</v>
      </c>
    </row>
    <row r="135" ht="15.75" customHeight="1">
      <c r="A135" s="6" t="str">
        <f>IFERROR(__xludf.DUMMYFUNCTION("""COMPUTED_VALUE"""),"https://www.google.com/searchviewer/10?svid=CAwSHRIbCgNwdnESFENnMHZaeTh4TVhNM2VYZzJNV2hxGAo")</f>
        <v>https://www.google.com/searchviewer/10?svid=CAwSHRIbCgNwdnESFENnMHZaeTh4TVhNM2VYZzJNV2hxGAo</v>
      </c>
      <c r="B135" s="7"/>
      <c r="C135" s="6" t="str">
        <f>IFERROR(__xludf.DUMMYFUNCTION("""COMPUTED_VALUE"""),"google.com")</f>
        <v>google.com</v>
      </c>
      <c r="D135" s="7" t="str">
        <f>IFERROR(__xludf.DUMMYFUNCTION("""COMPUTED_VALUE"""),"OTHER")</f>
        <v>OTHER</v>
      </c>
      <c r="E135" s="7" t="str">
        <f>IFERROR(__xludf.DUMMYFUNCTION("""COMPUTED_VALUE"""),"OTHER")</f>
        <v>OTHER</v>
      </c>
      <c r="F135" s="7" t="str">
        <f>IFERROR(__xludf.DUMMYFUNCTION("""COMPUTED_VALUE"""),"Other")</f>
        <v>Other</v>
      </c>
      <c r="G135" s="7"/>
      <c r="H135" s="7" t="str">
        <f>IFERROR(__xludf.DUMMYFUNCTION("""COMPUTED_VALUE"""),"Unknown")</f>
        <v>Unknown</v>
      </c>
      <c r="I135" s="7">
        <f>IFERROR(__xludf.DUMMYFUNCTION("""COMPUTED_VALUE"""),1.0)</f>
        <v>1</v>
      </c>
      <c r="J135" s="7">
        <f>IFERROR(__xludf.DUMMYFUNCTION("""COMPUTED_VALUE"""),0.0)</f>
        <v>0</v>
      </c>
      <c r="K135" s="7">
        <f>IFERROR(__xludf.DUMMYFUNCTION("""COMPUTED_VALUE"""),0.0)</f>
        <v>0</v>
      </c>
    </row>
    <row r="136" ht="15.75" customHeight="1">
      <c r="A136" s="6" t="str">
        <f>IFERROR(__xludf.DUMMYFUNCTION("""COMPUTED_VALUE"""),"https://www.google.com/searchviewer/10?svid=CAwSHRIbCgNwdnESFENnMHZaeTh4TVhRMWJIbDZObUl4GAo")</f>
        <v>https://www.google.com/searchviewer/10?svid=CAwSHRIbCgNwdnESFENnMHZaeTh4TVhRMWJIbDZObUl4GAo</v>
      </c>
      <c r="B136" s="7"/>
      <c r="C136" s="6" t="str">
        <f>IFERROR(__xludf.DUMMYFUNCTION("""COMPUTED_VALUE"""),"google.com")</f>
        <v>google.com</v>
      </c>
      <c r="D136" s="7" t="str">
        <f>IFERROR(__xludf.DUMMYFUNCTION("""COMPUTED_VALUE"""),"OTHER")</f>
        <v>OTHER</v>
      </c>
      <c r="E136" s="7" t="str">
        <f>IFERROR(__xludf.DUMMYFUNCTION("""COMPUTED_VALUE"""),"OTHER")</f>
        <v>OTHER</v>
      </c>
      <c r="F136" s="7" t="str">
        <f>IFERROR(__xludf.DUMMYFUNCTION("""COMPUTED_VALUE"""),"Other")</f>
        <v>Other</v>
      </c>
      <c r="G136" s="7"/>
      <c r="H136" s="7" t="str">
        <f>IFERROR(__xludf.DUMMYFUNCTION("""COMPUTED_VALUE"""),"Unknown")</f>
        <v>Unknown</v>
      </c>
      <c r="I136" s="7">
        <f>IFERROR(__xludf.DUMMYFUNCTION("""COMPUTED_VALUE"""),1.0)</f>
        <v>1</v>
      </c>
      <c r="J136" s="7">
        <f>IFERROR(__xludf.DUMMYFUNCTION("""COMPUTED_VALUE"""),0.0)</f>
        <v>0</v>
      </c>
      <c r="K136" s="7">
        <f>IFERROR(__xludf.DUMMYFUNCTION("""COMPUTED_VALUE"""),1.0)</f>
        <v>1</v>
      </c>
    </row>
    <row r="137" ht="15.75" customHeight="1">
      <c r="A137" s="6" t="str">
        <f>IFERROR(__xludf.DUMMYFUNCTION("""COMPUTED_VALUE"""),"https://www.google.com/searchviewer/10?svid=CAwSHRIbCgNwdnESFENnMHZaeTh4TVhReU9UbDBiR28wGAo")</f>
        <v>https://www.google.com/searchviewer/10?svid=CAwSHRIbCgNwdnESFENnMHZaeTh4TVhReU9UbDBiR28wGAo</v>
      </c>
      <c r="B137" s="7"/>
      <c r="C137" s="6" t="str">
        <f>IFERROR(__xludf.DUMMYFUNCTION("""COMPUTED_VALUE"""),"google.com")</f>
        <v>google.com</v>
      </c>
      <c r="D137" s="7" t="str">
        <f>IFERROR(__xludf.DUMMYFUNCTION("""COMPUTED_VALUE"""),"OTHER")</f>
        <v>OTHER</v>
      </c>
      <c r="E137" s="7" t="str">
        <f>IFERROR(__xludf.DUMMYFUNCTION("""COMPUTED_VALUE"""),"OTHER")</f>
        <v>OTHER</v>
      </c>
      <c r="F137" s="7" t="str">
        <f>IFERROR(__xludf.DUMMYFUNCTION("""COMPUTED_VALUE"""),"Other")</f>
        <v>Other</v>
      </c>
      <c r="G137" s="7"/>
      <c r="H137" s="7" t="str">
        <f>IFERROR(__xludf.DUMMYFUNCTION("""COMPUTED_VALUE"""),"Unknown")</f>
        <v>Unknown</v>
      </c>
      <c r="I137" s="7">
        <f>IFERROR(__xludf.DUMMYFUNCTION("""COMPUTED_VALUE"""),1.0)</f>
        <v>1</v>
      </c>
      <c r="J137" s="7">
        <f>IFERROR(__xludf.DUMMYFUNCTION("""COMPUTED_VALUE"""),0.0)</f>
        <v>0</v>
      </c>
      <c r="K137" s="7">
        <f>IFERROR(__xludf.DUMMYFUNCTION("""COMPUTED_VALUE"""),0.0)</f>
        <v>0</v>
      </c>
    </row>
    <row r="138" ht="15.75" customHeight="1">
      <c r="A138" s="6" t="str">
        <f>IFERROR(__xludf.DUMMYFUNCTION("""COMPUTED_VALUE"""),"https://www.google.com/searchviewer/10?svid=CAwSHRIbCgNwdnESFENnMHZaeTh4TVhad2VIQnVPVjgzGAo")</f>
        <v>https://www.google.com/searchviewer/10?svid=CAwSHRIbCgNwdnESFENnMHZaeTh4TVhad2VIQnVPVjgzGAo</v>
      </c>
      <c r="B138" s="7"/>
      <c r="C138" s="6" t="str">
        <f>IFERROR(__xludf.DUMMYFUNCTION("""COMPUTED_VALUE"""),"google.com")</f>
        <v>google.com</v>
      </c>
      <c r="D138" s="7" t="str">
        <f>IFERROR(__xludf.DUMMYFUNCTION("""COMPUTED_VALUE"""),"OTHER")</f>
        <v>OTHER</v>
      </c>
      <c r="E138" s="7" t="str">
        <f>IFERROR(__xludf.DUMMYFUNCTION("""COMPUTED_VALUE"""),"OTHER")</f>
        <v>OTHER</v>
      </c>
      <c r="F138" s="7" t="str">
        <f>IFERROR(__xludf.DUMMYFUNCTION("""COMPUTED_VALUE"""),"Other")</f>
        <v>Other</v>
      </c>
      <c r="G138" s="7"/>
      <c r="H138" s="7" t="str">
        <f>IFERROR(__xludf.DUMMYFUNCTION("""COMPUTED_VALUE"""),"Unknown")</f>
        <v>Unknown</v>
      </c>
      <c r="I138" s="7">
        <f>IFERROR(__xludf.DUMMYFUNCTION("""COMPUTED_VALUE"""),1.0)</f>
        <v>1</v>
      </c>
      <c r="J138" s="7">
        <f>IFERROR(__xludf.DUMMYFUNCTION("""COMPUTED_VALUE"""),0.0)</f>
        <v>0</v>
      </c>
      <c r="K138" s="7">
        <f>IFERROR(__xludf.DUMMYFUNCTION("""COMPUTED_VALUE"""),0.0)</f>
        <v>0</v>
      </c>
    </row>
    <row r="139" ht="15.75" customHeight="1">
      <c r="A139" s="6" t="str">
        <f>IFERROR(__xludf.DUMMYFUNCTION("""COMPUTED_VALUE"""),"https://www.google.com/searchviewer/10?svid=CAwSHRIbCgNwdnESFENnMHZaeTh4TVhrME5IUjBNbTAxGAo")</f>
        <v>https://www.google.com/searchviewer/10?svid=CAwSHRIbCgNwdnESFENnMHZaeTh4TVhrME5IUjBNbTAxGAo</v>
      </c>
      <c r="B139" s="7"/>
      <c r="C139" s="6" t="str">
        <f>IFERROR(__xludf.DUMMYFUNCTION("""COMPUTED_VALUE"""),"google.com")</f>
        <v>google.com</v>
      </c>
      <c r="D139" s="7" t="str">
        <f>IFERROR(__xludf.DUMMYFUNCTION("""COMPUTED_VALUE"""),"OTHER")</f>
        <v>OTHER</v>
      </c>
      <c r="E139" s="7" t="str">
        <f>IFERROR(__xludf.DUMMYFUNCTION("""COMPUTED_VALUE"""),"OTHER")</f>
        <v>OTHER</v>
      </c>
      <c r="F139" s="7" t="str">
        <f>IFERROR(__xludf.DUMMYFUNCTION("""COMPUTED_VALUE"""),"Other")</f>
        <v>Other</v>
      </c>
      <c r="G139" s="7"/>
      <c r="H139" s="7" t="str">
        <f>IFERROR(__xludf.DUMMYFUNCTION("""COMPUTED_VALUE"""),"Unknown")</f>
        <v>Unknown</v>
      </c>
      <c r="I139" s="7">
        <f>IFERROR(__xludf.DUMMYFUNCTION("""COMPUTED_VALUE"""),1.0)</f>
        <v>1</v>
      </c>
      <c r="J139" s="7">
        <f>IFERROR(__xludf.DUMMYFUNCTION("""COMPUTED_VALUE"""),0.0)</f>
        <v>0</v>
      </c>
      <c r="K139" s="7">
        <f>IFERROR(__xludf.DUMMYFUNCTION("""COMPUTED_VALUE"""),0.0)</f>
        <v>0</v>
      </c>
    </row>
    <row r="140" ht="15.75" customHeight="1">
      <c r="A140" s="6" t="str">
        <f>IFERROR(__xludf.DUMMYFUNCTION("""COMPUTED_VALUE"""),"https://honchosearch.com/pages/services-paid-media?srsltid=AfmBOorq_y31HueuHmbhKFTurnKIaEM3AceJ85hmK4BBO6GJiNnAwqf0")</f>
        <v>https://honchosearch.com/pages/services-paid-media?srsltid=AfmBOorq_y31HueuHmbhKFTurnKIaEM3AceJ85hmK4BBO6GJiNnAwqf0</v>
      </c>
      <c r="B140" s="7"/>
      <c r="C140" s="6" t="str">
        <f>IFERROR(__xludf.DUMMYFUNCTION("""COMPUTED_VALUE"""),"honchosearch.com")</f>
        <v>honchosearch.com</v>
      </c>
      <c r="D140" s="7" t="str">
        <f>IFERROR(__xludf.DUMMYFUNCTION("""COMPUTED_VALUE"""),"OTHER")</f>
        <v>OTHER</v>
      </c>
      <c r="E140" s="7" t="str">
        <f>IFERROR(__xludf.DUMMYFUNCTION("""COMPUTED_VALUE"""),"CORPORATE")</f>
        <v>CORPORATE</v>
      </c>
      <c r="F140" s="7" t="str">
        <f>IFERROR(__xludf.DUMMYFUNCTION("""COMPUTED_VALUE"""),"Other")</f>
        <v>Other</v>
      </c>
      <c r="G140" s="7" t="b">
        <f>IFERROR(__xludf.DUMMYFUNCTION("""COMPUTED_VALUE"""),FALSE)</f>
        <v>0</v>
      </c>
      <c r="H140" s="7" t="str">
        <f>IFERROR(__xludf.DUMMYFUNCTION("""COMPUTED_VALUE"""),"HERO, Measured")</f>
        <v>HERO, Measured</v>
      </c>
      <c r="I140" s="7">
        <f>IFERROR(__xludf.DUMMYFUNCTION("""COMPUTED_VALUE"""),1.0)</f>
        <v>1</v>
      </c>
      <c r="J140" s="7">
        <f>IFERROR(__xludf.DUMMYFUNCTION("""COMPUTED_VALUE"""),0.0)</f>
        <v>0</v>
      </c>
      <c r="K140" s="7">
        <f>IFERROR(__xludf.DUMMYFUNCTION("""COMPUTED_VALUE"""),1.0)</f>
        <v>1</v>
      </c>
    </row>
    <row r="141" ht="15.75" customHeight="1">
      <c r="A141" s="6" t="str">
        <f>IFERROR(__xludf.DUMMYFUNCTION("""COMPUTED_VALUE"""),"https://www.iabaustralia.com.au/wp-content/uploads/2025/09/IAB-Australia-Market-Mix-Modelling-Landscape-December-2025.pdf")</f>
        <v>https://www.iabaustralia.com.au/wp-content/uploads/2025/09/IAB-Australia-Market-Mix-Modelling-Landscape-December-2025.pdf</v>
      </c>
      <c r="B141" s="7"/>
      <c r="C141" s="6" t="str">
        <f>IFERROR(__xludf.DUMMYFUNCTION("""COMPUTED_VALUE"""),"iabaustralia.com.au")</f>
        <v>iabaustralia.com.au</v>
      </c>
      <c r="D141" s="7" t="str">
        <f>IFERROR(__xludf.DUMMYFUNCTION("""COMPUTED_VALUE"""),"OTHER")</f>
        <v>OTHER</v>
      </c>
      <c r="E141" s="7" t="str">
        <f>IFERROR(__xludf.DUMMYFUNCTION("""COMPUTED_VALUE"""),"INSTITUTIONAL")</f>
        <v>INSTITUTIONAL</v>
      </c>
      <c r="F141" s="7" t="str">
        <f>IFERROR(__xludf.DUMMYFUNCTION("""COMPUTED_VALUE"""),"Other")</f>
        <v>Other</v>
      </c>
      <c r="G141" s="7" t="b">
        <f>IFERROR(__xludf.DUMMYFUNCTION("""COMPUTED_VALUE"""),FALSE)</f>
        <v>0</v>
      </c>
      <c r="H141" s="7"/>
      <c r="I141" s="7">
        <f>IFERROR(__xludf.DUMMYFUNCTION("""COMPUTED_VALUE"""),1.0)</f>
        <v>1</v>
      </c>
      <c r="J141" s="7">
        <f>IFERROR(__xludf.DUMMYFUNCTION("""COMPUTED_VALUE"""),0.0)</f>
        <v>0</v>
      </c>
      <c r="K141" s="7">
        <f>IFERROR(__xludf.DUMMYFUNCTION("""COMPUTED_VALUE"""),2.0)</f>
        <v>2</v>
      </c>
    </row>
    <row r="142" ht="15.75" customHeight="1">
      <c r="A142" s="6" t="str">
        <f>IFERROR(__xludf.DUMMYFUNCTION("""COMPUTED_VALUE"""),"https://ichelonconsulting.com/aeo-agency-australia")</f>
        <v>https://ichelonconsulting.com/aeo-agency-australia</v>
      </c>
      <c r="B142" s="7" t="str">
        <f>IFERROR(__xludf.DUMMYFUNCTION("""COMPUTED_VALUE"""),"Best AEO Agency in Australia · Healthcare-Only · ICG")</f>
        <v>Best AEO Agency in Australia · Healthcare-Only · ICG</v>
      </c>
      <c r="C142" s="6" t="str">
        <f>IFERROR(__xludf.DUMMYFUNCTION("""COMPUTED_VALUE"""),"ichelonconsulting.com")</f>
        <v>ichelonconsulting.com</v>
      </c>
      <c r="D142" s="7" t="str">
        <f>IFERROR(__xludf.DUMMYFUNCTION("""COMPUTED_VALUE"""),"OTHER")</f>
        <v>OTHER</v>
      </c>
      <c r="E142" s="7" t="str">
        <f>IFERROR(__xludf.DUMMYFUNCTION("""COMPUTED_VALUE"""),"CORPORATE")</f>
        <v>CORPORATE</v>
      </c>
      <c r="F142" s="7" t="str">
        <f>IFERROR(__xludf.DUMMYFUNCTION("""COMPUTED_VALUE"""),"Other")</f>
        <v>Other</v>
      </c>
      <c r="G142" s="7" t="b">
        <f>IFERROR(__xludf.DUMMYFUNCTION("""COMPUTED_VALUE"""),FALSE)</f>
        <v>0</v>
      </c>
      <c r="H142" s="7" t="str">
        <f>IFERROR(__xludf.DUMMYFUNCTION("""COMPUTED_VALUE"""),"Measured")</f>
        <v>Measured</v>
      </c>
      <c r="I142" s="7">
        <f>IFERROR(__xludf.DUMMYFUNCTION("""COMPUTED_VALUE"""),1.0)</f>
        <v>1</v>
      </c>
      <c r="J142" s="7">
        <f>IFERROR(__xludf.DUMMYFUNCTION("""COMPUTED_VALUE"""),0.0)</f>
        <v>0</v>
      </c>
      <c r="K142" s="7">
        <f>IFERROR(__xludf.DUMMYFUNCTION("""COMPUTED_VALUE"""),1.0)</f>
        <v>1</v>
      </c>
    </row>
    <row r="143" ht="15.75" customHeight="1">
      <c r="A143" s="6" t="str">
        <f>IFERROR(__xludf.DUMMYFUNCTION("""COMPUTED_VALUE"""),"https://iconagency.com.au/geo-services-australia")</f>
        <v>https://iconagency.com.au/geo-services-australia</v>
      </c>
      <c r="B143" s="7" t="str">
        <f>IFERROR(__xludf.DUMMYFUNCTION("""COMPUTED_VALUE"""),"GEO services in Australia - ICON")</f>
        <v>GEO services in Australia - ICON</v>
      </c>
      <c r="C143" s="6" t="str">
        <f>IFERROR(__xludf.DUMMYFUNCTION("""COMPUTED_VALUE"""),"iconagency.com.au")</f>
        <v>iconagency.com.au</v>
      </c>
      <c r="D143" s="7" t="str">
        <f>IFERROR(__xludf.DUMMYFUNCTION("""COMPUTED_VALUE"""),"OTHER")</f>
        <v>OTHER</v>
      </c>
      <c r="E143" s="7" t="str">
        <f>IFERROR(__xludf.DUMMYFUNCTION("""COMPUTED_VALUE"""),"CORPORATE")</f>
        <v>CORPORATE</v>
      </c>
      <c r="F143" s="7" t="str">
        <f>IFERROR(__xludf.DUMMYFUNCTION("""COMPUTED_VALUE"""),"Other")</f>
        <v>Other</v>
      </c>
      <c r="G143" s="7" t="b">
        <f>IFERROR(__xludf.DUMMYFUNCTION("""COMPUTED_VALUE"""),FALSE)</f>
        <v>0</v>
      </c>
      <c r="H143" s="7"/>
      <c r="I143" s="7">
        <f>IFERROR(__xludf.DUMMYFUNCTION("""COMPUTED_VALUE"""),1.0)</f>
        <v>1</v>
      </c>
      <c r="J143" s="7">
        <f>IFERROR(__xludf.DUMMYFUNCTION("""COMPUTED_VALUE"""),0.0)</f>
        <v>0</v>
      </c>
      <c r="K143" s="7">
        <f>IFERROR(__xludf.DUMMYFUNCTION("""COMPUTED_VALUE"""),1.0)</f>
        <v>1</v>
      </c>
    </row>
    <row r="144" ht="15.75" customHeight="1">
      <c r="A144" s="6" t="str">
        <f>IFERROR(__xludf.DUMMYFUNCTION("""COMPUTED_VALUE"""),"https://impressive.com.au/measurement-planning-implementation/")</f>
        <v>https://impressive.com.au/measurement-planning-implementation/</v>
      </c>
      <c r="B144" s="7" t="str">
        <f>IFERROR(__xludf.DUMMYFUNCTION("""COMPUTED_VALUE"""),"Measurement Planning &amp;amp; Implementation | Impressive")</f>
        <v>Measurement Planning &amp;amp; Implementation | Impressive</v>
      </c>
      <c r="C144" s="6" t="str">
        <f>IFERROR(__xludf.DUMMYFUNCTION("""COMPUTED_VALUE"""),"impressive.com.au")</f>
        <v>impressive.com.au</v>
      </c>
      <c r="D144" s="7" t="str">
        <f>IFERROR(__xludf.DUMMYFUNCTION("""COMPUTED_VALUE"""),"OTHER")</f>
        <v>OTHER</v>
      </c>
      <c r="E144" s="7" t="str">
        <f>IFERROR(__xludf.DUMMYFUNCTION("""COMPUTED_VALUE"""),"COMPETITOR")</f>
        <v>COMPETITOR</v>
      </c>
      <c r="F144" s="7" t="str">
        <f>IFERROR(__xludf.DUMMYFUNCTION("""COMPUTED_VALUE"""),"Other")</f>
        <v>Other</v>
      </c>
      <c r="G144" s="7" t="b">
        <f>IFERROR(__xludf.DUMMYFUNCTION("""COMPUTED_VALUE"""),FALSE)</f>
        <v>0</v>
      </c>
      <c r="H144" s="7" t="str">
        <f>IFERROR(__xludf.DUMMYFUNCTION("""COMPUTED_VALUE"""),"Impressive, First Page")</f>
        <v>Impressive, First Page</v>
      </c>
      <c r="I144" s="7">
        <f>IFERROR(__xludf.DUMMYFUNCTION("""COMPUTED_VALUE"""),1.0)</f>
        <v>1</v>
      </c>
      <c r="J144" s="7">
        <f>IFERROR(__xludf.DUMMYFUNCTION("""COMPUTED_VALUE"""),0.0)</f>
        <v>0</v>
      </c>
      <c r="K144" s="7">
        <f>IFERROR(__xludf.DUMMYFUNCTION("""COMPUTED_VALUE"""),1.0)</f>
        <v>1</v>
      </c>
    </row>
    <row r="145" ht="15.75" customHeight="1">
      <c r="A145" s="6" t="str">
        <f>IFERROR(__xludf.DUMMYFUNCTION("""COMPUTED_VALUE"""),"https://info.jellyfish.com/en-au/local-page/australia")</f>
        <v>https://info.jellyfish.com/en-au/local-page/australia</v>
      </c>
      <c r="B145" s="7" t="str">
        <f>IFERROR(__xludf.DUMMYFUNCTION("""COMPUTED_VALUE"""),"Jellyfish Australia - We give brands a platform to perform")</f>
        <v>Jellyfish Australia - We give brands a platform to perform</v>
      </c>
      <c r="C145" s="6" t="str">
        <f>IFERROR(__xludf.DUMMYFUNCTION("""COMPUTED_VALUE"""),"jellyfish.com")</f>
        <v>jellyfish.com</v>
      </c>
      <c r="D145" s="7" t="str">
        <f>IFERROR(__xludf.DUMMYFUNCTION("""COMPUTED_VALUE"""),"OTHER")</f>
        <v>OTHER</v>
      </c>
      <c r="E145" s="7" t="str">
        <f>IFERROR(__xludf.DUMMYFUNCTION("""COMPUTED_VALUE"""),"CORPORATE")</f>
        <v>CORPORATE</v>
      </c>
      <c r="F145" s="7" t="str">
        <f>IFERROR(__xludf.DUMMYFUNCTION("""COMPUTED_VALUE"""),"Other")</f>
        <v>Other</v>
      </c>
      <c r="G145" s="7" t="b">
        <f>IFERROR(__xludf.DUMMYFUNCTION("""COMPUTED_VALUE"""),FALSE)</f>
        <v>0</v>
      </c>
      <c r="H145" s="7" t="str">
        <f>IFERROR(__xludf.DUMMYFUNCTION("""COMPUTED_VALUE"""),"Measured")</f>
        <v>Measured</v>
      </c>
      <c r="I145" s="7">
        <f>IFERROR(__xludf.DUMMYFUNCTION("""COMPUTED_VALUE"""),1.0)</f>
        <v>1</v>
      </c>
      <c r="J145" s="7">
        <f>IFERROR(__xludf.DUMMYFUNCTION("""COMPUTED_VALUE"""),0.0)</f>
        <v>0</v>
      </c>
      <c r="K145" s="7">
        <f>IFERROR(__xludf.DUMMYFUNCTION("""COMPUTED_VALUE"""),2.0)</f>
        <v>2</v>
      </c>
    </row>
    <row r="146" ht="15.75" customHeight="1">
      <c r="A146" s="6" t="str">
        <f>IFERROR(__xludf.DUMMYFUNCTION("""COMPUTED_VALUE"""),"https://www.insighten.com.au/media-attribution#:~:text=Media%20Attribution%20%7C%20Insighten,Conversion%20Rate%20Optimisation")</f>
        <v>https://www.insighten.com.au/media-attribution#:~:text=Media%20Attribution%20%7C%20Insighten,Conversion%20Rate%20Optimisation</v>
      </c>
      <c r="B146" s="7" t="str">
        <f>IFERROR(__xludf.DUMMYFUNCTION("""COMPUTED_VALUE"""),"Media Attribution | Insighten")</f>
        <v>Media Attribution | Insighten</v>
      </c>
      <c r="C146" s="6" t="str">
        <f>IFERROR(__xludf.DUMMYFUNCTION("""COMPUTED_VALUE"""),"insighten.com.au")</f>
        <v>insighten.com.au</v>
      </c>
      <c r="D146" s="7" t="str">
        <f>IFERROR(__xludf.DUMMYFUNCTION("""COMPUTED_VALUE"""),"OTHER")</f>
        <v>OTHER</v>
      </c>
      <c r="E146" s="7" t="str">
        <f>IFERROR(__xludf.DUMMYFUNCTION("""COMPUTED_VALUE"""),"CORPORATE")</f>
        <v>CORPORATE</v>
      </c>
      <c r="F146" s="7" t="str">
        <f>IFERROR(__xludf.DUMMYFUNCTION("""COMPUTED_VALUE"""),"Other")</f>
        <v>Other</v>
      </c>
      <c r="G146" s="7" t="b">
        <f>IFERROR(__xludf.DUMMYFUNCTION("""COMPUTED_VALUE"""),FALSE)</f>
        <v>0</v>
      </c>
      <c r="H146" s="7"/>
      <c r="I146" s="7">
        <f>IFERROR(__xludf.DUMMYFUNCTION("""COMPUTED_VALUE"""),1.0)</f>
        <v>1</v>
      </c>
      <c r="J146" s="7">
        <f>IFERROR(__xludf.DUMMYFUNCTION("""COMPUTED_VALUE"""),0.0)</f>
        <v>0</v>
      </c>
      <c r="K146" s="7">
        <f>IFERROR(__xludf.DUMMYFUNCTION("""COMPUTED_VALUE"""),1.0)</f>
        <v>1</v>
      </c>
    </row>
    <row r="147" ht="15.75" customHeight="1">
      <c r="A147" s="6" t="str">
        <f>IFERROR(__xludf.DUMMYFUNCTION("""COMPUTED_VALUE"""),"https://ironpathinteractive.com.au/performance-marketing-agency-sydney")</f>
        <v>https://ironpathinteractive.com.au/performance-marketing-agency-sydney</v>
      </c>
      <c r="B147" s="7"/>
      <c r="C147" s="6" t="str">
        <f>IFERROR(__xludf.DUMMYFUNCTION("""COMPUTED_VALUE"""),"ironpathinteractive.com.au")</f>
        <v>ironpathinteractive.com.au</v>
      </c>
      <c r="D147" s="7" t="str">
        <f>IFERROR(__xludf.DUMMYFUNCTION("""COMPUTED_VALUE"""),"OTHER")</f>
        <v>OTHER</v>
      </c>
      <c r="E147" s="7" t="str">
        <f>IFERROR(__xludf.DUMMYFUNCTION("""COMPUTED_VALUE"""),"OTHER")</f>
        <v>OTHER</v>
      </c>
      <c r="F147" s="7" t="str">
        <f>IFERROR(__xludf.DUMMYFUNCTION("""COMPUTED_VALUE"""),"Other")</f>
        <v>Other</v>
      </c>
      <c r="G147" s="7"/>
      <c r="H147" s="7" t="str">
        <f>IFERROR(__xludf.DUMMYFUNCTION("""COMPUTED_VALUE"""),"Unknown")</f>
        <v>Unknown</v>
      </c>
      <c r="I147" s="7">
        <f>IFERROR(__xludf.DUMMYFUNCTION("""COMPUTED_VALUE"""),1.0)</f>
        <v>1</v>
      </c>
      <c r="J147" s="7">
        <f>IFERROR(__xludf.DUMMYFUNCTION("""COMPUTED_VALUE"""),0.0)</f>
        <v>0</v>
      </c>
      <c r="K147" s="7">
        <f>IFERROR(__xludf.DUMMYFUNCTION("""COMPUTED_VALUE"""),1.0)</f>
        <v>1</v>
      </c>
    </row>
    <row r="148" ht="15.75" customHeight="1">
      <c r="A148" s="6" t="str">
        <f>IFERROR(__xludf.DUMMYFUNCTION("""COMPUTED_VALUE"""),"https://kodedigital.com.au/digital-services/banner-design/")</f>
        <v>https://kodedigital.com.au/digital-services/banner-design/</v>
      </c>
      <c r="B148" s="7" t="str">
        <f>IFERROR(__xludf.DUMMYFUNCTION("""COMPUTED_VALUE"""),"Banner Design - Kode Digital AU")</f>
        <v>Banner Design - Kode Digital AU</v>
      </c>
      <c r="C148" s="6" t="str">
        <f>IFERROR(__xludf.DUMMYFUNCTION("""COMPUTED_VALUE"""),"kodedigital.com.au")</f>
        <v>kodedigital.com.au</v>
      </c>
      <c r="D148" s="7" t="str">
        <f>IFERROR(__xludf.DUMMYFUNCTION("""COMPUTED_VALUE"""),"OTHER")</f>
        <v>OTHER</v>
      </c>
      <c r="E148" s="7" t="str">
        <f>IFERROR(__xludf.DUMMYFUNCTION("""COMPUTED_VALUE"""),"CORPORATE")</f>
        <v>CORPORATE</v>
      </c>
      <c r="F148" s="7" t="str">
        <f>IFERROR(__xludf.DUMMYFUNCTION("""COMPUTED_VALUE"""),"Other")</f>
        <v>Other</v>
      </c>
      <c r="G148" s="7" t="b">
        <f>IFERROR(__xludf.DUMMYFUNCTION("""COMPUTED_VALUE"""),FALSE)</f>
        <v>0</v>
      </c>
      <c r="H148" s="7"/>
      <c r="I148" s="7">
        <f>IFERROR(__xludf.DUMMYFUNCTION("""COMPUTED_VALUE"""),1.0)</f>
        <v>1</v>
      </c>
      <c r="J148" s="7">
        <f>IFERROR(__xludf.DUMMYFUNCTION("""COMPUTED_VALUE"""),0.0)</f>
        <v>0</v>
      </c>
      <c r="K148" s="7">
        <f>IFERROR(__xludf.DUMMYFUNCTION("""COMPUTED_VALUE"""),1.0)</f>
        <v>1</v>
      </c>
    </row>
    <row r="149" ht="15.75" customHeight="1">
      <c r="A149" s="6" t="str">
        <f>IFERROR(__xludf.DUMMYFUNCTION("""COMPUTED_VALUE"""),"https://www.lambagency.com.au/digital-strategy/data-insights#:~:text=Get%20the%20visibility%20to%20lead%20with%20confidence.,and%20a%20step%20ahead.%20TALK%20TO%20US.")</f>
        <v>https://www.lambagency.com.au/digital-strategy/data-insights#:~:text=Get%20the%20visibility%20to%20lead%20with%20confidence.,and%20a%20step%20ahead.%20TALK%20TO%20US.</v>
      </c>
      <c r="B149" s="7" t="str">
        <f>IFERROR(__xludf.DUMMYFUNCTION("""COMPUTED_VALUE"""),"Data, Reporting &amp;amp; Insights. Lamb Agency.")</f>
        <v>Data, Reporting &amp;amp; Insights. Lamb Agency.</v>
      </c>
      <c r="C149" s="6" t="str">
        <f>IFERROR(__xludf.DUMMYFUNCTION("""COMPUTED_VALUE"""),"lambagency.com.au")</f>
        <v>lambagency.com.au</v>
      </c>
      <c r="D149" s="7" t="str">
        <f>IFERROR(__xludf.DUMMYFUNCTION("""COMPUTED_VALUE"""),"OTHER")</f>
        <v>OTHER</v>
      </c>
      <c r="E149" s="7" t="str">
        <f>IFERROR(__xludf.DUMMYFUNCTION("""COMPUTED_VALUE"""),"CORPORATE")</f>
        <v>CORPORATE</v>
      </c>
      <c r="F149" s="7" t="str">
        <f>IFERROR(__xludf.DUMMYFUNCTION("""COMPUTED_VALUE"""),"Other")</f>
        <v>Other</v>
      </c>
      <c r="G149" s="7" t="b">
        <f>IFERROR(__xludf.DUMMYFUNCTION("""COMPUTED_VALUE"""),FALSE)</f>
        <v>0</v>
      </c>
      <c r="H149" s="7" t="str">
        <f>IFERROR(__xludf.DUMMYFUNCTION("""COMPUTED_VALUE"""),"Momentum")</f>
        <v>Momentum</v>
      </c>
      <c r="I149" s="7">
        <f>IFERROR(__xludf.DUMMYFUNCTION("""COMPUTED_VALUE"""),1.0)</f>
        <v>1</v>
      </c>
      <c r="J149" s="7">
        <f>IFERROR(__xludf.DUMMYFUNCTION("""COMPUTED_VALUE"""),0.0)</f>
        <v>0</v>
      </c>
      <c r="K149" s="7">
        <f>IFERROR(__xludf.DUMMYFUNCTION("""COMPUTED_VALUE"""),2.0)</f>
        <v>2</v>
      </c>
    </row>
    <row r="150" ht="15.75" customHeight="1">
      <c r="A150" s="6" t="str">
        <f>IFERROR(__xludf.DUMMYFUNCTION("""COMPUTED_VALUE"""),"https://louder.com.au/services/measurement/")</f>
        <v>https://louder.com.au/services/measurement/</v>
      </c>
      <c r="B150" s="7" t="str">
        <f>IFERROR(__xludf.DUMMYFUNCTION("""COMPUTED_VALUE"""),"Measurement | Louder")</f>
        <v>Measurement | Louder</v>
      </c>
      <c r="C150" s="6" t="str">
        <f>IFERROR(__xludf.DUMMYFUNCTION("""COMPUTED_VALUE"""),"louder.com.au")</f>
        <v>louder.com.au</v>
      </c>
      <c r="D150" s="7" t="str">
        <f>IFERROR(__xludf.DUMMYFUNCTION("""COMPUTED_VALUE"""),"OTHER")</f>
        <v>OTHER</v>
      </c>
      <c r="E150" s="7" t="str">
        <f>IFERROR(__xludf.DUMMYFUNCTION("""COMPUTED_VALUE"""),"CORPORATE")</f>
        <v>CORPORATE</v>
      </c>
      <c r="F150" s="7" t="str">
        <f>IFERROR(__xludf.DUMMYFUNCTION("""COMPUTED_VALUE"""),"Other")</f>
        <v>Other</v>
      </c>
      <c r="G150" s="7" t="b">
        <f>IFERROR(__xludf.DUMMYFUNCTION("""COMPUTED_VALUE"""),FALSE)</f>
        <v>0</v>
      </c>
      <c r="H150" s="7"/>
      <c r="I150" s="7">
        <f>IFERROR(__xludf.DUMMYFUNCTION("""COMPUTED_VALUE"""),1.0)</f>
        <v>1</v>
      </c>
      <c r="J150" s="7">
        <f>IFERROR(__xludf.DUMMYFUNCTION("""COMPUTED_VALUE"""),0.0)</f>
        <v>0</v>
      </c>
      <c r="K150" s="7">
        <f>IFERROR(__xludf.DUMMYFUNCTION("""COMPUTED_VALUE"""),1.0)</f>
        <v>1</v>
      </c>
    </row>
    <row r="151" ht="15.75" customHeight="1">
      <c r="A151" s="6" t="str">
        <f>IFERROR(__xludf.DUMMYFUNCTION("""COMPUTED_VALUE"""),"https://www.lumifywork.com/en-au/ai-advisory-services/")</f>
        <v>https://www.lumifywork.com/en-au/ai-advisory-services/</v>
      </c>
      <c r="B151" s="7" t="str">
        <f>IFERROR(__xludf.DUMMYFUNCTION("""COMPUTED_VALUE"""),"AI Advisory Services | AI Consulting &amp;amp; Strategy for Business | Lumify Work")</f>
        <v>AI Advisory Services | AI Consulting &amp;amp; Strategy for Business | Lumify Work</v>
      </c>
      <c r="C151" s="6" t="str">
        <f>IFERROR(__xludf.DUMMYFUNCTION("""COMPUTED_VALUE"""),"lumifywork.com")</f>
        <v>lumifywork.com</v>
      </c>
      <c r="D151" s="7" t="str">
        <f>IFERROR(__xludf.DUMMYFUNCTION("""COMPUTED_VALUE"""),"OTHER")</f>
        <v>OTHER</v>
      </c>
      <c r="E151" s="7" t="str">
        <f>IFERROR(__xludf.DUMMYFUNCTION("""COMPUTED_VALUE"""),"CORPORATE")</f>
        <v>CORPORATE</v>
      </c>
      <c r="F151" s="7" t="str">
        <f>IFERROR(__xludf.DUMMYFUNCTION("""COMPUTED_VALUE"""),"Other")</f>
        <v>Other</v>
      </c>
      <c r="G151" s="7" t="b">
        <f>IFERROR(__xludf.DUMMYFUNCTION("""COMPUTED_VALUE"""),FALSE)</f>
        <v>0</v>
      </c>
      <c r="H151" s="7"/>
      <c r="I151" s="7">
        <f>IFERROR(__xludf.DUMMYFUNCTION("""COMPUTED_VALUE"""),1.0)</f>
        <v>1</v>
      </c>
      <c r="J151" s="7">
        <f>IFERROR(__xludf.DUMMYFUNCTION("""COMPUTED_VALUE"""),0.0)</f>
        <v>0</v>
      </c>
      <c r="K151" s="7">
        <f>IFERROR(__xludf.DUMMYFUNCTION("""COMPUTED_VALUE"""),1.0)</f>
        <v>1</v>
      </c>
    </row>
    <row r="152" ht="15.75" customHeight="1">
      <c r="A152" s="6" t="str">
        <f>IFERROR(__xludf.DUMMYFUNCTION("""COMPUTED_VALUE"""),"https://www.marketing-interactive.com/bmf-lands-creative-heavyweight-scott-nowell-as-chair")</f>
        <v>https://www.marketing-interactive.com/bmf-lands-creative-heavyweight-scott-nowell-as-chair</v>
      </c>
      <c r="B152" s="7" t="str">
        <f>IFERROR(__xludf.DUMMYFUNCTION("""COMPUTED_VALUE"""),"BMF lands creative heavyweight Scott Nowell as chair | Marketing-Interactive")</f>
        <v>BMF lands creative heavyweight Scott Nowell as chair | Marketing-Interactive</v>
      </c>
      <c r="C152" s="6" t="str">
        <f>IFERROR(__xludf.DUMMYFUNCTION("""COMPUTED_VALUE"""),"marketing-interactive.com")</f>
        <v>marketing-interactive.com</v>
      </c>
      <c r="D152" s="7" t="str">
        <f>IFERROR(__xludf.DUMMYFUNCTION("""COMPUTED_VALUE"""),"OTHER")</f>
        <v>OTHER</v>
      </c>
      <c r="E152" s="7" t="str">
        <f>IFERROR(__xludf.DUMMYFUNCTION("""COMPUTED_VALUE"""),"EDITORIAL")</f>
        <v>EDITORIAL</v>
      </c>
      <c r="F152" s="7" t="str">
        <f>IFERROR(__xludf.DUMMYFUNCTION("""COMPUTED_VALUE"""),"Other")</f>
        <v>Other</v>
      </c>
      <c r="G152" s="7" t="b">
        <f>IFERROR(__xludf.DUMMYFUNCTION("""COMPUTED_VALUE"""),FALSE)</f>
        <v>0</v>
      </c>
      <c r="H152" s="7" t="str">
        <f>IFERROR(__xludf.DUMMYFUNCTION("""COMPUTED_VALUE"""),"BMF, The Monkeys, Momentum")</f>
        <v>BMF, The Monkeys, Momentum</v>
      </c>
      <c r="I152" s="7">
        <f>IFERROR(__xludf.DUMMYFUNCTION("""COMPUTED_VALUE"""),1.0)</f>
        <v>1</v>
      </c>
      <c r="J152" s="7">
        <f>IFERROR(__xludf.DUMMYFUNCTION("""COMPUTED_VALUE"""),0.0)</f>
        <v>0</v>
      </c>
      <c r="K152" s="7">
        <f>IFERROR(__xludf.DUMMYFUNCTION("""COMPUTED_VALUE"""),0.0)</f>
        <v>0</v>
      </c>
    </row>
    <row r="153" ht="15.75" customHeight="1">
      <c r="A153" s="6" t="str">
        <f>IFERROR(__xludf.DUMMYFUNCTION("""COMPUTED_VALUE"""),"https://marketingplatform.google.com/about/partners/find-a-partner")</f>
        <v>https://marketingplatform.google.com/about/partners/find-a-partner</v>
      </c>
      <c r="B153" s="7"/>
      <c r="C153" s="6" t="str">
        <f>IFERROR(__xludf.DUMMYFUNCTION("""COMPUTED_VALUE"""),"google.com")</f>
        <v>google.com</v>
      </c>
      <c r="D153" s="7" t="str">
        <f>IFERROR(__xludf.DUMMYFUNCTION("""COMPUTED_VALUE"""),"OTHER")</f>
        <v>OTHER</v>
      </c>
      <c r="E153" s="7" t="str">
        <f>IFERROR(__xludf.DUMMYFUNCTION("""COMPUTED_VALUE"""),"OTHER")</f>
        <v>OTHER</v>
      </c>
      <c r="F153" s="7" t="str">
        <f>IFERROR(__xludf.DUMMYFUNCTION("""COMPUTED_VALUE"""),"Other")</f>
        <v>Other</v>
      </c>
      <c r="G153" s="7"/>
      <c r="H153" s="7" t="str">
        <f>IFERROR(__xludf.DUMMYFUNCTION("""COMPUTED_VALUE"""),"Unknown")</f>
        <v>Unknown</v>
      </c>
      <c r="I153" s="7">
        <f>IFERROR(__xludf.DUMMYFUNCTION("""COMPUTED_VALUE"""),1.0)</f>
        <v>1</v>
      </c>
      <c r="J153" s="7">
        <f>IFERROR(__xludf.DUMMYFUNCTION("""COMPUTED_VALUE"""),0.0)</f>
        <v>0</v>
      </c>
      <c r="K153" s="7">
        <f>IFERROR(__xludf.DUMMYFUNCTION("""COMPUTED_VALUE"""),0.0)</f>
        <v>0</v>
      </c>
    </row>
    <row r="154" ht="15.75" customHeight="1">
      <c r="A154" s="6" t="str">
        <f>IFERROR(__xludf.DUMMYFUNCTION("""COMPUTED_VALUE"""),"https://mediaright.au/services/digital/")</f>
        <v>https://mediaright.au/services/digital/</v>
      </c>
      <c r="B154" s="7"/>
      <c r="C154" s="6" t="str">
        <f>IFERROR(__xludf.DUMMYFUNCTION("""COMPUTED_VALUE"""),"mediaright.au")</f>
        <v>mediaright.au</v>
      </c>
      <c r="D154" s="7" t="str">
        <f>IFERROR(__xludf.DUMMYFUNCTION("""COMPUTED_VALUE"""),"OTHER")</f>
        <v>OTHER</v>
      </c>
      <c r="E154" s="7" t="str">
        <f>IFERROR(__xludf.DUMMYFUNCTION("""COMPUTED_VALUE"""),"CORPORATE")</f>
        <v>CORPORATE</v>
      </c>
      <c r="F154" s="7" t="str">
        <f>IFERROR(__xludf.DUMMYFUNCTION("""COMPUTED_VALUE"""),"Other")</f>
        <v>Other</v>
      </c>
      <c r="G154" s="7"/>
      <c r="H154" s="7" t="str">
        <f>IFERROR(__xludf.DUMMYFUNCTION("""COMPUTED_VALUE"""),"Unknown")</f>
        <v>Unknown</v>
      </c>
      <c r="I154" s="7">
        <f>IFERROR(__xludf.DUMMYFUNCTION("""COMPUTED_VALUE"""),1.0)</f>
        <v>1</v>
      </c>
      <c r="J154" s="7">
        <f>IFERROR(__xludf.DUMMYFUNCTION("""COMPUTED_VALUE"""),0.0)</f>
        <v>0</v>
      </c>
      <c r="K154" s="7">
        <f>IFERROR(__xludf.DUMMYFUNCTION("""COMPUTED_VALUE"""),1.0)</f>
        <v>1</v>
      </c>
    </row>
    <row r="155" ht="15.75" customHeight="1">
      <c r="A155" s="6" t="str">
        <f>IFERROR(__xludf.DUMMYFUNCTION("""COMPUTED_VALUE"""),"https://www.mediaweek.com.au/asahi-beverages-bmf-kerfuffle-creative-agency-appointment")</f>
        <v>https://www.mediaweek.com.au/asahi-beverages-bmf-kerfuffle-creative-agency-appointment</v>
      </c>
      <c r="B155" s="7" t="str">
        <f>IFERROR(__xludf.DUMMYFUNCTION("""COMPUTED_VALUE"""),"Asahi appoints BMF and Kerfuffle, drops Clemenger and Droga5 | Mediaweek")</f>
        <v>Asahi appoints BMF and Kerfuffle, drops Clemenger and Droga5 | Mediaweek</v>
      </c>
      <c r="C155" s="6" t="str">
        <f>IFERROR(__xludf.DUMMYFUNCTION("""COMPUTED_VALUE"""),"mediaweek.com.au")</f>
        <v>mediaweek.com.au</v>
      </c>
      <c r="D155" s="7" t="str">
        <f>IFERROR(__xludf.DUMMYFUNCTION("""COMPUTED_VALUE"""),"OTHER")</f>
        <v>OTHER</v>
      </c>
      <c r="E155" s="7" t="str">
        <f>IFERROR(__xludf.DUMMYFUNCTION("""COMPUTED_VALUE"""),"EDITORIAL")</f>
        <v>EDITORIAL</v>
      </c>
      <c r="F155" s="7" t="str">
        <f>IFERROR(__xludf.DUMMYFUNCTION("""COMPUTED_VALUE"""),"Other")</f>
        <v>Other</v>
      </c>
      <c r="G155" s="7" t="b">
        <f>IFERROR(__xludf.DUMMYFUNCTION("""COMPUTED_VALUE"""),FALSE)</f>
        <v>0</v>
      </c>
      <c r="H155" s="7" t="str">
        <f>IFERROR(__xludf.DUMMYFUNCTION("""COMPUTED_VALUE"""),"BMF, Clemenger BBDO, Mindshare, Measured")</f>
        <v>BMF, Clemenger BBDO, Mindshare, Measured</v>
      </c>
      <c r="I155" s="7">
        <f>IFERROR(__xludf.DUMMYFUNCTION("""COMPUTED_VALUE"""),1.0)</f>
        <v>1</v>
      </c>
      <c r="J155" s="7">
        <f>IFERROR(__xludf.DUMMYFUNCTION("""COMPUTED_VALUE"""),0.0)</f>
        <v>0</v>
      </c>
      <c r="K155" s="7">
        <f>IFERROR(__xludf.DUMMYFUNCTION("""COMPUTED_VALUE"""),0.0)</f>
        <v>0</v>
      </c>
    </row>
    <row r="156" ht="15.75" customHeight="1">
      <c r="A156" s="6" t="str">
        <f>IFERROR(__xludf.DUMMYFUNCTION("""COMPUTED_VALUE"""),"https://www.mediaweek.com.au/majority-of-aussie-marketers-still-at-a-beginner-level-with-ai-says-acam-report/")</f>
        <v>https://www.mediaweek.com.au/majority-of-aussie-marketers-still-at-a-beginner-level-with-ai-says-acam-report/</v>
      </c>
      <c r="B156" s="7" t="str">
        <f>IFERROR(__xludf.DUMMYFUNCTION("""COMPUTED_VALUE"""),"Majority of Aussie marketers still at a beginner level with AI, says ACAM report \| Mediaweek")</f>
        <v>Majority of Aussie marketers still at a beginner level with AI, says ACAM report \| Mediaweek</v>
      </c>
      <c r="C156" s="6" t="str">
        <f>IFERROR(__xludf.DUMMYFUNCTION("""COMPUTED_VALUE"""),"mediaweek.com.au")</f>
        <v>mediaweek.com.au</v>
      </c>
      <c r="D156" s="7" t="str">
        <f>IFERROR(__xludf.DUMMYFUNCTION("""COMPUTED_VALUE"""),"OTHER")</f>
        <v>OTHER</v>
      </c>
      <c r="E156" s="7" t="str">
        <f>IFERROR(__xludf.DUMMYFUNCTION("""COMPUTED_VALUE"""),"EDITORIAL")</f>
        <v>EDITORIAL</v>
      </c>
      <c r="F156" s="7" t="str">
        <f>IFERROR(__xludf.DUMMYFUNCTION("""COMPUTED_VALUE"""),"Other")</f>
        <v>Other</v>
      </c>
      <c r="G156" s="7" t="b">
        <f>IFERROR(__xludf.DUMMYFUNCTION("""COMPUTED_VALUE"""),FALSE)</f>
        <v>0</v>
      </c>
      <c r="H156" s="7" t="str">
        <f>IFERROR(__xludf.DUMMYFUNCTION("""COMPUTED_VALUE"""),"Momentum")</f>
        <v>Momentum</v>
      </c>
      <c r="I156" s="7">
        <f>IFERROR(__xludf.DUMMYFUNCTION("""COMPUTED_VALUE"""),1.0)</f>
        <v>1</v>
      </c>
      <c r="J156" s="7">
        <f>IFERROR(__xludf.DUMMYFUNCTION("""COMPUTED_VALUE"""),0.0)</f>
        <v>0</v>
      </c>
      <c r="K156" s="7">
        <f>IFERROR(__xludf.DUMMYFUNCTION("""COMPUTED_VALUE"""),0.0)</f>
        <v>0</v>
      </c>
    </row>
    <row r="157" ht="15.75" customHeight="1">
      <c r="A157" s="6" t="str">
        <f>IFERROR(__xludf.DUMMYFUNCTION("""COMPUTED_VALUE"""),"https://www.merkle.com/en/about-us/partnerships/google.html")</f>
        <v>https://www.merkle.com/en/about-us/partnerships/google.html</v>
      </c>
      <c r="B157" s="7" t="str">
        <f>IFERROR(__xludf.DUMMYFUNCTION("""COMPUTED_VALUE"""),"Merkle &amp;amp; Google Partnership - GMP &amp;amp; GCP Expertise | Merkle")</f>
        <v>Merkle &amp;amp; Google Partnership - GMP &amp;amp; GCP Expertise | Merkle</v>
      </c>
      <c r="C157" s="6" t="str">
        <f>IFERROR(__xludf.DUMMYFUNCTION("""COMPUTED_VALUE"""),"merkle.com")</f>
        <v>merkle.com</v>
      </c>
      <c r="D157" s="7" t="str">
        <f>IFERROR(__xludf.DUMMYFUNCTION("""COMPUTED_VALUE"""),"OTHER")</f>
        <v>OTHER</v>
      </c>
      <c r="E157" s="7" t="str">
        <f>IFERROR(__xludf.DUMMYFUNCTION("""COMPUTED_VALUE"""),"CORPORATE")</f>
        <v>CORPORATE</v>
      </c>
      <c r="F157" s="7" t="str">
        <f>IFERROR(__xludf.DUMMYFUNCTION("""COMPUTED_VALUE"""),"Other")</f>
        <v>Other</v>
      </c>
      <c r="G157" s="7" t="b">
        <f>IFERROR(__xludf.DUMMYFUNCTION("""COMPUTED_VALUE"""),FALSE)</f>
        <v>0</v>
      </c>
      <c r="H157" s="7" t="str">
        <f>IFERROR(__xludf.DUMMYFUNCTION("""COMPUTED_VALUE"""),"Dentsu")</f>
        <v>Dentsu</v>
      </c>
      <c r="I157" s="7">
        <f>IFERROR(__xludf.DUMMYFUNCTION("""COMPUTED_VALUE"""),1.0)</f>
        <v>1</v>
      </c>
      <c r="J157" s="7">
        <f>IFERROR(__xludf.DUMMYFUNCTION("""COMPUTED_VALUE"""),0.0)</f>
        <v>0</v>
      </c>
      <c r="K157" s="7">
        <f>IFERROR(__xludf.DUMMYFUNCTION("""COMPUTED_VALUE"""),2.0)</f>
        <v>2</v>
      </c>
    </row>
    <row r="158" ht="15.75" customHeight="1">
      <c r="A158" s="6" t="str">
        <f>IFERROR(__xludf.DUMMYFUNCTION("""COMPUTED_VALUE"""),"https://nature.com.au/market-research/#:~:text=Optimise%20execution.%20Guide%20performance.%20Learn%20More.%20Nature,and%20advanced%20analytics.%20Brand%20strategy.%20Data%20visualisation.")</f>
        <v>https://nature.com.au/market-research/#:~:text=Optimise%20execution.%20Guide%20performance.%20Learn%20More.%20Nature,and%20advanced%20analytics.%20Brand%20strategy.%20Data%20visualisation.</v>
      </c>
      <c r="B158" s="7" t="str">
        <f>IFERROR(__xludf.DUMMYFUNCTION("""COMPUTED_VALUE"""),"Nature - A leading Australian market research company")</f>
        <v>Nature - A leading Australian market research company</v>
      </c>
      <c r="C158" s="6" t="str">
        <f>IFERROR(__xludf.DUMMYFUNCTION("""COMPUTED_VALUE"""),"nature.com.au")</f>
        <v>nature.com.au</v>
      </c>
      <c r="D158" s="7" t="str">
        <f>IFERROR(__xludf.DUMMYFUNCTION("""COMPUTED_VALUE"""),"OTHER")</f>
        <v>OTHER</v>
      </c>
      <c r="E158" s="7" t="str">
        <f>IFERROR(__xludf.DUMMYFUNCTION("""COMPUTED_VALUE"""),"CORPORATE")</f>
        <v>CORPORATE</v>
      </c>
      <c r="F158" s="7" t="str">
        <f>IFERROR(__xludf.DUMMYFUNCTION("""COMPUTED_VALUE"""),"Other")</f>
        <v>Other</v>
      </c>
      <c r="G158" s="7" t="b">
        <f>IFERROR(__xludf.DUMMYFUNCTION("""COMPUTED_VALUE"""),FALSE)</f>
        <v>0</v>
      </c>
      <c r="H158" s="7"/>
      <c r="I158" s="7">
        <f>IFERROR(__xludf.DUMMYFUNCTION("""COMPUTED_VALUE"""),1.0)</f>
        <v>1</v>
      </c>
      <c r="J158" s="7">
        <f>IFERROR(__xludf.DUMMYFUNCTION("""COMPUTED_VALUE"""),0.0)</f>
        <v>0</v>
      </c>
      <c r="K158" s="7">
        <f>IFERROR(__xludf.DUMMYFUNCTION("""COMPUTED_VALUE"""),2.0)</f>
        <v>2</v>
      </c>
    </row>
    <row r="159" ht="15.75" customHeight="1">
      <c r="A159" s="6" t="str">
        <f>IFERROR(__xludf.DUMMYFUNCTION("""COMPUTED_VALUE"""),"https://www.oneclub.org/awards/rankings/-archive/agency/2025/all/all/all/36")</f>
        <v>https://www.oneclub.org/awards/rankings/-archive/agency/2025/all/all/all/36</v>
      </c>
      <c r="B159" s="7"/>
      <c r="C159" s="6" t="str">
        <f>IFERROR(__xludf.DUMMYFUNCTION("""COMPUTED_VALUE"""),"oneclub.org")</f>
        <v>oneclub.org</v>
      </c>
      <c r="D159" s="7" t="str">
        <f>IFERROR(__xludf.DUMMYFUNCTION("""COMPUTED_VALUE"""),"OTHER")</f>
        <v>OTHER</v>
      </c>
      <c r="E159" s="7" t="str">
        <f>IFERROR(__xludf.DUMMYFUNCTION("""COMPUTED_VALUE"""),"OTHER")</f>
        <v>OTHER</v>
      </c>
      <c r="F159" s="7" t="str">
        <f>IFERROR(__xludf.DUMMYFUNCTION("""COMPUTED_VALUE"""),"Other")</f>
        <v>Other</v>
      </c>
      <c r="G159" s="7"/>
      <c r="H159" s="7" t="str">
        <f>IFERROR(__xludf.DUMMYFUNCTION("""COMPUTED_VALUE"""),"Unknown")</f>
        <v>Unknown</v>
      </c>
      <c r="I159" s="7">
        <f>IFERROR(__xludf.DUMMYFUNCTION("""COMPUTED_VALUE"""),1.0)</f>
        <v>1</v>
      </c>
      <c r="J159" s="7">
        <f>IFERROR(__xludf.DUMMYFUNCTION("""COMPUTED_VALUE"""),0.0)</f>
        <v>0</v>
      </c>
      <c r="K159" s="7">
        <f>IFERROR(__xludf.DUMMYFUNCTION("""COMPUTED_VALUE"""),4.0)</f>
        <v>4</v>
      </c>
    </row>
    <row r="160" ht="15.75" customHeight="1">
      <c r="A160" s="6" t="str">
        <f>IFERROR(__xludf.DUMMYFUNCTION("""COMPUTED_VALUE"""),"https://www.oneclub.org/awards/theoneshow/-agency/Droga5%2BANZ%2C%2Bpart%2Bof%2BAccenture%2BSong%2B%5Bs%5D%2BSydney/2026/all/4")</f>
        <v>https://www.oneclub.org/awards/theoneshow/-agency/Droga5%2BANZ%2C%2Bpart%2Bof%2BAccenture%2BSong%2B%5Bs%5D%2BSydney/2026/all/4</v>
      </c>
      <c r="B160" s="7"/>
      <c r="C160" s="6" t="str">
        <f>IFERROR(__xludf.DUMMYFUNCTION("""COMPUTED_VALUE"""),"oneclub.org")</f>
        <v>oneclub.org</v>
      </c>
      <c r="D160" s="7" t="str">
        <f>IFERROR(__xludf.DUMMYFUNCTION("""COMPUTED_VALUE"""),"OTHER")</f>
        <v>OTHER</v>
      </c>
      <c r="E160" s="7" t="str">
        <f>IFERROR(__xludf.DUMMYFUNCTION("""COMPUTED_VALUE"""),"OTHER")</f>
        <v>OTHER</v>
      </c>
      <c r="F160" s="7" t="str">
        <f>IFERROR(__xludf.DUMMYFUNCTION("""COMPUTED_VALUE"""),"Other")</f>
        <v>Other</v>
      </c>
      <c r="G160" s="7"/>
      <c r="H160" s="7" t="str">
        <f>IFERROR(__xludf.DUMMYFUNCTION("""COMPUTED_VALUE"""),"Unknown")</f>
        <v>Unknown</v>
      </c>
      <c r="I160" s="7">
        <f>IFERROR(__xludf.DUMMYFUNCTION("""COMPUTED_VALUE"""),1.0)</f>
        <v>1</v>
      </c>
      <c r="J160" s="7">
        <f>IFERROR(__xludf.DUMMYFUNCTION("""COMPUTED_VALUE"""),0.0)</f>
        <v>0</v>
      </c>
      <c r="K160" s="7">
        <f>IFERROR(__xludf.DUMMYFUNCTION("""COMPUTED_VALUE"""),0.0)</f>
        <v>0</v>
      </c>
    </row>
    <row r="161" ht="15.75" customHeight="1">
      <c r="A161" s="6" t="str">
        <f>IFERROR(__xludf.DUMMYFUNCTION("""COMPUTED_VALUE"""),"https://www.oneclub.org/awards/theoneshow/-agency/Droga5%2BANZ%2C%2Bpart%2Bof%2BAccenture%2BSong%2B%5Bs%5D%2BSydney/2026/all/all")</f>
        <v>https://www.oneclub.org/awards/theoneshow/-agency/Droga5%2BANZ%2C%2Bpart%2Bof%2BAccenture%2BSong%2B%5Bs%5D%2BSydney/2026/all/all</v>
      </c>
      <c r="B161" s="7"/>
      <c r="C161" s="6" t="str">
        <f>IFERROR(__xludf.DUMMYFUNCTION("""COMPUTED_VALUE"""),"oneclub.org")</f>
        <v>oneclub.org</v>
      </c>
      <c r="D161" s="7" t="str">
        <f>IFERROR(__xludf.DUMMYFUNCTION("""COMPUTED_VALUE"""),"OTHER")</f>
        <v>OTHER</v>
      </c>
      <c r="E161" s="7" t="str">
        <f>IFERROR(__xludf.DUMMYFUNCTION("""COMPUTED_VALUE"""),"OTHER")</f>
        <v>OTHER</v>
      </c>
      <c r="F161" s="7" t="str">
        <f>IFERROR(__xludf.DUMMYFUNCTION("""COMPUTED_VALUE"""),"Other")</f>
        <v>Other</v>
      </c>
      <c r="G161" s="7"/>
      <c r="H161" s="7" t="str">
        <f>IFERROR(__xludf.DUMMYFUNCTION("""COMPUTED_VALUE"""),"Unknown")</f>
        <v>Unknown</v>
      </c>
      <c r="I161" s="7">
        <f>IFERROR(__xludf.DUMMYFUNCTION("""COMPUTED_VALUE"""),1.0)</f>
        <v>1</v>
      </c>
      <c r="J161" s="7">
        <f>IFERROR(__xludf.DUMMYFUNCTION("""COMPUTED_VALUE"""),0.0)</f>
        <v>0</v>
      </c>
      <c r="K161" s="7">
        <f>IFERROR(__xludf.DUMMYFUNCTION("""COMPUTED_VALUE"""),0.0)</f>
        <v>0</v>
      </c>
    </row>
    <row r="162" ht="15.75" customHeight="1">
      <c r="A162" s="6" t="str">
        <f>IFERROR(__xludf.DUMMYFUNCTION("""COMPUTED_VALUE"""),"https://www.oneegg.com.au/blog/generative-seo-pricing-australia/")</f>
        <v>https://www.oneegg.com.au/blog/generative-seo-pricing-australia/</v>
      </c>
      <c r="B162" s="7" t="str">
        <f>IFERROR(__xludf.DUMMYFUNCTION("""COMPUTED_VALUE"""),"Generative SEO Pricing Australia 2026 | Cost Guide | One Egg")</f>
        <v>Generative SEO Pricing Australia 2026 | Cost Guide | One Egg</v>
      </c>
      <c r="C162" s="6" t="str">
        <f>IFERROR(__xludf.DUMMYFUNCTION("""COMPUTED_VALUE"""),"oneegg.com.au")</f>
        <v>oneegg.com.au</v>
      </c>
      <c r="D162" s="7" t="str">
        <f>IFERROR(__xludf.DUMMYFUNCTION("""COMPUTED_VALUE"""),"OTHER")</f>
        <v>OTHER</v>
      </c>
      <c r="E162" s="7" t="str">
        <f>IFERROR(__xludf.DUMMYFUNCTION("""COMPUTED_VALUE"""),"CORPORATE")</f>
        <v>CORPORATE</v>
      </c>
      <c r="F162" s="7" t="str">
        <f>IFERROR(__xludf.DUMMYFUNCTION("""COMPUTED_VALUE"""),"Other")</f>
        <v>Other</v>
      </c>
      <c r="G162" s="7" t="b">
        <f>IFERROR(__xludf.DUMMYFUNCTION("""COMPUTED_VALUE"""),FALSE)</f>
        <v>0</v>
      </c>
      <c r="H162" s="7" t="str">
        <f>IFERROR(__xludf.DUMMYFUNCTION("""COMPUTED_VALUE"""),"Safari Digital")</f>
        <v>Safari Digital</v>
      </c>
      <c r="I162" s="7">
        <f>IFERROR(__xludf.DUMMYFUNCTION("""COMPUTED_VALUE"""),1.0)</f>
        <v>1</v>
      </c>
      <c r="J162" s="7">
        <f>IFERROR(__xludf.DUMMYFUNCTION("""COMPUTED_VALUE"""),0.0)</f>
        <v>0</v>
      </c>
      <c r="K162" s="7">
        <f>IFERROR(__xludf.DUMMYFUNCTION("""COMPUTED_VALUE"""),1.0)</f>
        <v>1</v>
      </c>
    </row>
    <row r="163" ht="15.75" customHeight="1">
      <c r="A163" s="6" t="str">
        <f>IFERROR(__xludf.DUMMYFUNCTION("""COMPUTED_VALUE"""),"https://onpoint.com.au/media-agency-melbourne")</f>
        <v>https://onpoint.com.au/media-agency-melbourne</v>
      </c>
      <c r="B163" s="7"/>
      <c r="C163" s="6" t="str">
        <f>IFERROR(__xludf.DUMMYFUNCTION("""COMPUTED_VALUE"""),"onpoint.com.au")</f>
        <v>onpoint.com.au</v>
      </c>
      <c r="D163" s="7" t="str">
        <f>IFERROR(__xludf.DUMMYFUNCTION("""COMPUTED_VALUE"""),"OTHER")</f>
        <v>OTHER</v>
      </c>
      <c r="E163" s="7" t="str">
        <f>IFERROR(__xludf.DUMMYFUNCTION("""COMPUTED_VALUE"""),"CORPORATE")</f>
        <v>CORPORATE</v>
      </c>
      <c r="F163" s="7" t="str">
        <f>IFERROR(__xludf.DUMMYFUNCTION("""COMPUTED_VALUE"""),"Other")</f>
        <v>Other</v>
      </c>
      <c r="G163" s="7"/>
      <c r="H163" s="7" t="str">
        <f>IFERROR(__xludf.DUMMYFUNCTION("""COMPUTED_VALUE"""),"Unknown")</f>
        <v>Unknown</v>
      </c>
      <c r="I163" s="7">
        <f>IFERROR(__xludf.DUMMYFUNCTION("""COMPUTED_VALUE"""),1.0)</f>
        <v>1</v>
      </c>
      <c r="J163" s="7">
        <f>IFERROR(__xludf.DUMMYFUNCTION("""COMPUTED_VALUE"""),0.0)</f>
        <v>0</v>
      </c>
      <c r="K163" s="7">
        <f>IFERROR(__xludf.DUMMYFUNCTION("""COMPUTED_VALUE"""),0.0)</f>
        <v>0</v>
      </c>
    </row>
    <row r="164" ht="15.75" customHeight="1">
      <c r="A164" s="6" t="str">
        <f>IFERROR(__xludf.DUMMYFUNCTION("""COMPUTED_VALUE"""),"https://onpoint.com.au/performance-media/programmatic-ads")</f>
        <v>https://onpoint.com.au/performance-media/programmatic-ads</v>
      </c>
      <c r="B164" s="7"/>
      <c r="C164" s="6" t="str">
        <f>IFERROR(__xludf.DUMMYFUNCTION("""COMPUTED_VALUE"""),"onpoint.com.au")</f>
        <v>onpoint.com.au</v>
      </c>
      <c r="D164" s="7" t="str">
        <f>IFERROR(__xludf.DUMMYFUNCTION("""COMPUTED_VALUE"""),"OTHER")</f>
        <v>OTHER</v>
      </c>
      <c r="E164" s="7" t="str">
        <f>IFERROR(__xludf.DUMMYFUNCTION("""COMPUTED_VALUE"""),"OTHER")</f>
        <v>OTHER</v>
      </c>
      <c r="F164" s="7" t="str">
        <f>IFERROR(__xludf.DUMMYFUNCTION("""COMPUTED_VALUE"""),"Other")</f>
        <v>Other</v>
      </c>
      <c r="G164" s="7"/>
      <c r="H164" s="7" t="str">
        <f>IFERROR(__xludf.DUMMYFUNCTION("""COMPUTED_VALUE"""),"Unknown")</f>
        <v>Unknown</v>
      </c>
      <c r="I164" s="7">
        <f>IFERROR(__xludf.DUMMYFUNCTION("""COMPUTED_VALUE"""),1.0)</f>
        <v>1</v>
      </c>
      <c r="J164" s="7">
        <f>IFERROR(__xludf.DUMMYFUNCTION("""COMPUTED_VALUE"""),0.0)</f>
        <v>0</v>
      </c>
      <c r="K164" s="7">
        <f>IFERROR(__xludf.DUMMYFUNCTION("""COMPUTED_VALUE"""),0.0)</f>
        <v>0</v>
      </c>
    </row>
    <row r="165" ht="15.75" customHeight="1">
      <c r="A165" s="6" t="str">
        <f>IFERROR(__xludf.DUMMYFUNCTION("""COMPUTED_VALUE"""),"https://www.pivotale.ai/frequently-asked-questions")</f>
        <v>https://www.pivotale.ai/frequently-asked-questions</v>
      </c>
      <c r="B165" s="7" t="str">
        <f>IFERROR(__xludf.DUMMYFUNCTION("""COMPUTED_VALUE"""),"Pivotale AI | How do I start AI project for my company?")</f>
        <v>Pivotale AI | How do I start AI project for my company?</v>
      </c>
      <c r="C165" s="6" t="str">
        <f>IFERROR(__xludf.DUMMYFUNCTION("""COMPUTED_VALUE"""),"pivotale.ai")</f>
        <v>pivotale.ai</v>
      </c>
      <c r="D165" s="7" t="str">
        <f>IFERROR(__xludf.DUMMYFUNCTION("""COMPUTED_VALUE"""),"OTHER")</f>
        <v>OTHER</v>
      </c>
      <c r="E165" s="7" t="str">
        <f>IFERROR(__xludf.DUMMYFUNCTION("""COMPUTED_VALUE"""),"CORPORATE")</f>
        <v>CORPORATE</v>
      </c>
      <c r="F165" s="7" t="str">
        <f>IFERROR(__xludf.DUMMYFUNCTION("""COMPUTED_VALUE"""),"Other")</f>
        <v>Other</v>
      </c>
      <c r="G165" s="7" t="b">
        <f>IFERROR(__xludf.DUMMYFUNCTION("""COMPUTED_VALUE"""),FALSE)</f>
        <v>0</v>
      </c>
      <c r="H165" s="7"/>
      <c r="I165" s="7">
        <f>IFERROR(__xludf.DUMMYFUNCTION("""COMPUTED_VALUE"""),1.0)</f>
        <v>1</v>
      </c>
      <c r="J165" s="7">
        <f>IFERROR(__xludf.DUMMYFUNCTION("""COMPUTED_VALUE"""),0.0)</f>
        <v>0</v>
      </c>
      <c r="K165" s="7">
        <f>IFERROR(__xludf.DUMMYFUNCTION("""COMPUTED_VALUE"""),0.0)</f>
        <v>0</v>
      </c>
    </row>
    <row r="166" ht="15.75" customHeight="1">
      <c r="A166" s="6" t="str">
        <f>IFERROR(__xludf.DUMMYFUNCTION("""COMPUTED_VALUE"""),"https://reformdigital.com.au/services/social-media-advertising/instagram-ads/")</f>
        <v>https://reformdigital.com.au/services/social-media-advertising/instagram-ads/</v>
      </c>
      <c r="B166" s="7" t="str">
        <f>IFERROR(__xludf.DUMMYFUNCTION("""COMPUTED_VALUE"""),"Instagram Advertising Agency Australia | Reform Digital")</f>
        <v>Instagram Advertising Agency Australia | Reform Digital</v>
      </c>
      <c r="C166" s="6" t="str">
        <f>IFERROR(__xludf.DUMMYFUNCTION("""COMPUTED_VALUE"""),"reformdigital.com.au")</f>
        <v>reformdigital.com.au</v>
      </c>
      <c r="D166" s="7" t="str">
        <f>IFERROR(__xludf.DUMMYFUNCTION("""COMPUTED_VALUE"""),"OTHER")</f>
        <v>OTHER</v>
      </c>
      <c r="E166" s="7" t="str">
        <f>IFERROR(__xludf.DUMMYFUNCTION("""COMPUTED_VALUE"""),"COMPETITOR")</f>
        <v>COMPETITOR</v>
      </c>
      <c r="F166" s="7" t="str">
        <f>IFERROR(__xludf.DUMMYFUNCTION("""COMPUTED_VALUE"""),"Other")</f>
        <v>Other</v>
      </c>
      <c r="G166" s="7" t="b">
        <f>IFERROR(__xludf.DUMMYFUNCTION("""COMPUTED_VALUE"""),FALSE)</f>
        <v>0</v>
      </c>
      <c r="H166" s="7" t="str">
        <f>IFERROR(__xludf.DUMMYFUNCTION("""COMPUTED_VALUE"""),"Reform Digital")</f>
        <v>Reform Digital</v>
      </c>
      <c r="I166" s="7">
        <f>IFERROR(__xludf.DUMMYFUNCTION("""COMPUTED_VALUE"""),1.0)</f>
        <v>1</v>
      </c>
      <c r="J166" s="7">
        <f>IFERROR(__xludf.DUMMYFUNCTION("""COMPUTED_VALUE"""),0.0)</f>
        <v>0</v>
      </c>
      <c r="K166" s="7">
        <f>IFERROR(__xludf.DUMMYFUNCTION("""COMPUTED_VALUE"""),0.0)</f>
        <v>0</v>
      </c>
    </row>
    <row r="167" ht="15.75" customHeight="1">
      <c r="A167" s="6" t="str">
        <f>IFERROR(__xludf.DUMMYFUNCTION("""COMPUTED_VALUE"""),"https://sedigital.com.au/services/tracking-systems")</f>
        <v>https://sedigital.com.au/services/tracking-systems</v>
      </c>
      <c r="B167" s="7"/>
      <c r="C167" s="6" t="str">
        <f>IFERROR(__xludf.DUMMYFUNCTION("""COMPUTED_VALUE"""),"sedigital.com.au")</f>
        <v>sedigital.com.au</v>
      </c>
      <c r="D167" s="7" t="str">
        <f>IFERROR(__xludf.DUMMYFUNCTION("""COMPUTED_VALUE"""),"OTHER")</f>
        <v>OTHER</v>
      </c>
      <c r="E167" s="7" t="str">
        <f>IFERROR(__xludf.DUMMYFUNCTION("""COMPUTED_VALUE"""),"OTHER")</f>
        <v>OTHER</v>
      </c>
      <c r="F167" s="7" t="str">
        <f>IFERROR(__xludf.DUMMYFUNCTION("""COMPUTED_VALUE"""),"Other")</f>
        <v>Other</v>
      </c>
      <c r="G167" s="7"/>
      <c r="H167" s="7" t="str">
        <f>IFERROR(__xludf.DUMMYFUNCTION("""COMPUTED_VALUE"""),"Unknown")</f>
        <v>Unknown</v>
      </c>
      <c r="I167" s="7">
        <f>IFERROR(__xludf.DUMMYFUNCTION("""COMPUTED_VALUE"""),1.0)</f>
        <v>1</v>
      </c>
      <c r="J167" s="7">
        <f>IFERROR(__xludf.DUMMYFUNCTION("""COMPUTED_VALUE"""),0.0)</f>
        <v>0</v>
      </c>
      <c r="K167" s="7">
        <f>IFERROR(__xludf.DUMMYFUNCTION("""COMPUTED_VALUE"""),3.0)</f>
        <v>3</v>
      </c>
    </row>
    <row r="168" ht="15.75" customHeight="1">
      <c r="A168" s="6" t="str">
        <f>IFERROR(__xludf.DUMMYFUNCTION("""COMPUTED_VALUE"""),"https://shokeproductions.com/Post/top-marketing-agencies-in-australia-for-tech-and-ai")</f>
        <v>https://shokeproductions.com/Post/top-marketing-agencies-in-australia-for-tech-and-ai</v>
      </c>
      <c r="B168" s="7" t="str">
        <f>IFERROR(__xludf.DUMMYFUNCTION("""COMPUTED_VALUE"""),"Top Marketing Agencies in Australia for Tech and AI by Shoke Productions")</f>
        <v>Top Marketing Agencies in Australia for Tech and AI by Shoke Productions</v>
      </c>
      <c r="C168" s="6" t="str">
        <f>IFERROR(__xludf.DUMMYFUNCTION("""COMPUTED_VALUE"""),"shokeproductions.com")</f>
        <v>shokeproductions.com</v>
      </c>
      <c r="D168" s="7" t="str">
        <f>IFERROR(__xludf.DUMMYFUNCTION("""COMPUTED_VALUE"""),"OTHER")</f>
        <v>OTHER</v>
      </c>
      <c r="E168" s="7" t="str">
        <f>IFERROR(__xludf.DUMMYFUNCTION("""COMPUTED_VALUE"""),"CORPORATE")</f>
        <v>CORPORATE</v>
      </c>
      <c r="F168" s="7" t="str">
        <f>IFERROR(__xludf.DUMMYFUNCTION("""COMPUTED_VALUE"""),"Other")</f>
        <v>Other</v>
      </c>
      <c r="G168" s="7" t="b">
        <f>IFERROR(__xludf.DUMMYFUNCTION("""COMPUTED_VALUE"""),FALSE)</f>
        <v>0</v>
      </c>
      <c r="H168" s="7"/>
      <c r="I168" s="7">
        <f>IFERROR(__xludf.DUMMYFUNCTION("""COMPUTED_VALUE"""),1.0)</f>
        <v>1</v>
      </c>
      <c r="J168" s="7">
        <f>IFERROR(__xludf.DUMMYFUNCTION("""COMPUTED_VALUE"""),0.0)</f>
        <v>0</v>
      </c>
      <c r="K168" s="7">
        <f>IFERROR(__xludf.DUMMYFUNCTION("""COMPUTED_VALUE"""),0.0)</f>
        <v>0</v>
      </c>
    </row>
    <row r="169" ht="15.75" customHeight="1">
      <c r="A169" s="6" t="str">
        <f>IFERROR(__xludf.DUMMYFUNCTION("""COMPUTED_VALUE"""),"https://smashbrandgroup.com.au/reporting-and-analytics#:~:text=Built%20for%20clarity%2C%20accountability%20and%20better%20decisions.,performance%20opportunities.%20%2D%20Custom%20Reporting%20%2B%20Insights.")</f>
        <v>https://smashbrandgroup.com.au/reporting-and-analytics#:~:text=Built%20for%20clarity%2C%20accountability%20and%20better%20decisions.,performance%20opportunities.%20%2D%20Custom%20Reporting%20%2B%20Insights.</v>
      </c>
      <c r="B169" s="7" t="str">
        <f>IFERROR(__xludf.DUMMYFUNCTION("""COMPUTED_VALUE"""),"Reporting and Analytics")</f>
        <v>Reporting and Analytics</v>
      </c>
      <c r="C169" s="6" t="str">
        <f>IFERROR(__xludf.DUMMYFUNCTION("""COMPUTED_VALUE"""),"smashbrandgroup.com.au")</f>
        <v>smashbrandgroup.com.au</v>
      </c>
      <c r="D169" s="7" t="str">
        <f>IFERROR(__xludf.DUMMYFUNCTION("""COMPUTED_VALUE"""),"OTHER")</f>
        <v>OTHER</v>
      </c>
      <c r="E169" s="7" t="str">
        <f>IFERROR(__xludf.DUMMYFUNCTION("""COMPUTED_VALUE"""),"CORPORATE")</f>
        <v>CORPORATE</v>
      </c>
      <c r="F169" s="7" t="str">
        <f>IFERROR(__xludf.DUMMYFUNCTION("""COMPUTED_VALUE"""),"Other")</f>
        <v>Other</v>
      </c>
      <c r="G169" s="7" t="b">
        <f>IFERROR(__xludf.DUMMYFUNCTION("""COMPUTED_VALUE"""),FALSE)</f>
        <v>0</v>
      </c>
      <c r="H169" s="7"/>
      <c r="I169" s="7">
        <f>IFERROR(__xludf.DUMMYFUNCTION("""COMPUTED_VALUE"""),1.0)</f>
        <v>1</v>
      </c>
      <c r="J169" s="7">
        <f>IFERROR(__xludf.DUMMYFUNCTION("""COMPUTED_VALUE"""),0.0)</f>
        <v>0</v>
      </c>
      <c r="K169" s="7">
        <f>IFERROR(__xludf.DUMMYFUNCTION("""COMPUTED_VALUE"""),1.0)</f>
        <v>1</v>
      </c>
    </row>
    <row r="170" ht="15.75" customHeight="1">
      <c r="A170" s="6" t="str">
        <f>IFERROR(__xludf.DUMMYFUNCTION("""COMPUTED_VALUE"""),"https://themanifest.com/au/social-media/tiktok/agencies/sydney")</f>
        <v>https://themanifest.com/au/social-media/tiktok/agencies/sydney</v>
      </c>
      <c r="B170" s="7" t="str">
        <f>IFERROR(__xludf.DUMMYFUNCTION("""COMPUTED_VALUE"""),"The Best TikTok Advertising Companies in Sydney - Jul 2026 | The Manifest")</f>
        <v>The Best TikTok Advertising Companies in Sydney - Jul 2026 | The Manifest</v>
      </c>
      <c r="C170" s="6" t="str">
        <f>IFERROR(__xludf.DUMMYFUNCTION("""COMPUTED_VALUE"""),"themanifest.com")</f>
        <v>themanifest.com</v>
      </c>
      <c r="D170" s="7" t="str">
        <f>IFERROR(__xludf.DUMMYFUNCTION("""COMPUTED_VALUE"""),"OTHER")</f>
        <v>OTHER</v>
      </c>
      <c r="E170" s="7" t="str">
        <f>IFERROR(__xludf.DUMMYFUNCTION("""COMPUTED_VALUE"""),"REFERENCE")</f>
        <v>REFERENCE</v>
      </c>
      <c r="F170" s="7" t="str">
        <f>IFERROR(__xludf.DUMMYFUNCTION("""COMPUTED_VALUE"""),"Other")</f>
        <v>Other</v>
      </c>
      <c r="G170" s="7" t="b">
        <f>IFERROR(__xludf.DUMMYFUNCTION("""COMPUTED_VALUE"""),FALSE)</f>
        <v>0</v>
      </c>
      <c r="H170" s="7" t="str">
        <f>IFERROR(__xludf.DUMMYFUNCTION("""COMPUTED_VALUE"""),"Megaphone, Soup Agency, Bench Media, Eight Clients, Digital Nomads HQ")</f>
        <v>Megaphone, Soup Agency, Bench Media, Eight Clients, Digital Nomads HQ</v>
      </c>
      <c r="I170" s="7">
        <f>IFERROR(__xludf.DUMMYFUNCTION("""COMPUTED_VALUE"""),1.0)</f>
        <v>1</v>
      </c>
      <c r="J170" s="7">
        <f>IFERROR(__xludf.DUMMYFUNCTION("""COMPUTED_VALUE"""),0.0)</f>
        <v>0</v>
      </c>
      <c r="K170" s="7">
        <f>IFERROR(__xludf.DUMMYFUNCTION("""COMPUTED_VALUE"""),2.0)</f>
        <v>2</v>
      </c>
    </row>
    <row r="171" ht="15.75" customHeight="1">
      <c r="A171" s="6" t="str">
        <f>IFERROR(__xludf.DUMMYFUNCTION("""COMPUTED_VALUE"""),"https://www.thestable.com.au/163920-2/")</f>
        <v>https://www.thestable.com.au/163920-2/</v>
      </c>
      <c r="B171" s="7" t="str">
        <f>IFERROR(__xludf.DUMMYFUNCTION("""COMPUTED_VALUE"""),"Spikes Asia winners: AUNZ’s indies show what they can do &amp;amp; Droga5’s flirt with nudity pays off – The Stable")</f>
        <v>Spikes Asia winners: AUNZ’s indies show what they can do &amp;amp; Droga5’s flirt with nudity pays off – The Stable</v>
      </c>
      <c r="C171" s="6" t="str">
        <f>IFERROR(__xludf.DUMMYFUNCTION("""COMPUTED_VALUE"""),"thestable.com.au")</f>
        <v>thestable.com.au</v>
      </c>
      <c r="D171" s="7" t="str">
        <f>IFERROR(__xludf.DUMMYFUNCTION("""COMPUTED_VALUE"""),"OTHER")</f>
        <v>OTHER</v>
      </c>
      <c r="E171" s="7" t="str">
        <f>IFERROR(__xludf.DUMMYFUNCTION("""COMPUTED_VALUE"""),"EDITORIAL")</f>
        <v>EDITORIAL</v>
      </c>
      <c r="F171" s="7" t="str">
        <f>IFERROR(__xludf.DUMMYFUNCTION("""COMPUTED_VALUE"""),"Other")</f>
        <v>Other</v>
      </c>
      <c r="G171" s="7" t="b">
        <f>IFERROR(__xludf.DUMMYFUNCTION("""COMPUTED_VALUE"""),FALSE)</f>
        <v>0</v>
      </c>
      <c r="H171" s="7" t="str">
        <f>IFERROR(__xludf.DUMMYFUNCTION("""COMPUTED_VALUE"""),"Howatson+Company, Mindshare, Wavemaker, Dentsu, VML, Accenture Song")</f>
        <v>Howatson+Company, Mindshare, Wavemaker, Dentsu, VML, Accenture Song</v>
      </c>
      <c r="I171" s="7">
        <f>IFERROR(__xludf.DUMMYFUNCTION("""COMPUTED_VALUE"""),1.0)</f>
        <v>1</v>
      </c>
      <c r="J171" s="7">
        <f>IFERROR(__xludf.DUMMYFUNCTION("""COMPUTED_VALUE"""),0.0)</f>
        <v>0</v>
      </c>
      <c r="K171" s="7">
        <f>IFERROR(__xludf.DUMMYFUNCTION("""COMPUTED_VALUE"""),0.0)</f>
        <v>0</v>
      </c>
    </row>
    <row r="172" ht="15.75" customHeight="1">
      <c r="A172" s="6" t="str">
        <f>IFERROR(__xludf.DUMMYFUNCTION("""COMPUTED_VALUE"""),"https://titanblue.com.au/ai-search-agency-australia-guide/?srsltid=AfmBOoqQqbz535GTClpgwdaCgMGmpM3IfxnZwzM2wGpTm0YLUBpcjQA7")</f>
        <v>https://titanblue.com.au/ai-search-agency-australia-guide/?srsltid=AfmBOoqQqbz535GTClpgwdaCgMGmpM3IfxnZwzM2wGpTm0YLUBpcjQA7</v>
      </c>
      <c r="B172" s="7" t="str">
        <f>IFERROR(__xludf.DUMMYFUNCTION("""COMPUTED_VALUE"""),"AI Search Agency Australia | Titan Blue")</f>
        <v>AI Search Agency Australia | Titan Blue</v>
      </c>
      <c r="C172" s="6" t="str">
        <f>IFERROR(__xludf.DUMMYFUNCTION("""COMPUTED_VALUE"""),"titanblue.com.au")</f>
        <v>titanblue.com.au</v>
      </c>
      <c r="D172" s="7" t="str">
        <f>IFERROR(__xludf.DUMMYFUNCTION("""COMPUTED_VALUE"""),"OTHER")</f>
        <v>OTHER</v>
      </c>
      <c r="E172" s="7" t="str">
        <f>IFERROR(__xludf.DUMMYFUNCTION("""COMPUTED_VALUE"""),"CORPORATE")</f>
        <v>CORPORATE</v>
      </c>
      <c r="F172" s="7" t="str">
        <f>IFERROR(__xludf.DUMMYFUNCTION("""COMPUTED_VALUE"""),"Other")</f>
        <v>Other</v>
      </c>
      <c r="G172" s="7" t="b">
        <f>IFERROR(__xludf.DUMMYFUNCTION("""COMPUTED_VALUE"""),FALSE)</f>
        <v>0</v>
      </c>
      <c r="H172" s="7" t="str">
        <f>IFERROR(__xludf.DUMMYFUNCTION("""COMPUTED_VALUE"""),"Uprise Digital")</f>
        <v>Uprise Digital</v>
      </c>
      <c r="I172" s="7">
        <f>IFERROR(__xludf.DUMMYFUNCTION("""COMPUTED_VALUE"""),1.0)</f>
        <v>1</v>
      </c>
      <c r="J172" s="7">
        <f>IFERROR(__xludf.DUMMYFUNCTION("""COMPUTED_VALUE"""),0.0)</f>
        <v>0</v>
      </c>
      <c r="K172" s="7">
        <f>IFERROR(__xludf.DUMMYFUNCTION("""COMPUTED_VALUE"""),1.0)</f>
        <v>1</v>
      </c>
    </row>
    <row r="173" ht="15.75" customHeight="1">
      <c r="A173" s="6" t="str">
        <f>IFERROR(__xludf.DUMMYFUNCTION("""COMPUTED_VALUE"""),"https://www.topseos.com/australia/directory/display-advertising-companies")</f>
        <v>https://www.topseos.com/australia/directory/display-advertising-companies</v>
      </c>
      <c r="B173" s="7" t="str">
        <f>IFERROR(__xludf.DUMMYFUNCTION("""COMPUTED_VALUE"""),"Directory of Display Advertising Companies in Australia.")</f>
        <v>Directory of Display Advertising Companies in Australia.</v>
      </c>
      <c r="C173" s="6" t="str">
        <f>IFERROR(__xludf.DUMMYFUNCTION("""COMPUTED_VALUE"""),"topseos.com")</f>
        <v>topseos.com</v>
      </c>
      <c r="D173" s="7" t="str">
        <f>IFERROR(__xludf.DUMMYFUNCTION("""COMPUTED_VALUE"""),"OTHER")</f>
        <v>OTHER</v>
      </c>
      <c r="E173" s="7" t="str">
        <f>IFERROR(__xludf.DUMMYFUNCTION("""COMPUTED_VALUE"""),"REFERENCE")</f>
        <v>REFERENCE</v>
      </c>
      <c r="F173" s="7" t="str">
        <f>IFERROR(__xludf.DUMMYFUNCTION("""COMPUTED_VALUE"""),"Other")</f>
        <v>Other</v>
      </c>
      <c r="G173" s="7" t="b">
        <f>IFERROR(__xludf.DUMMYFUNCTION("""COMPUTED_VALUE"""),FALSE)</f>
        <v>0</v>
      </c>
      <c r="H173" s="7"/>
      <c r="I173" s="7">
        <f>IFERROR(__xludf.DUMMYFUNCTION("""COMPUTED_VALUE"""),1.0)</f>
        <v>1</v>
      </c>
      <c r="J173" s="7">
        <f>IFERROR(__xludf.DUMMYFUNCTION("""COMPUTED_VALUE"""),0.0)</f>
        <v>0</v>
      </c>
      <c r="K173" s="7">
        <f>IFERROR(__xludf.DUMMYFUNCTION("""COMPUTED_VALUE"""),0.0)</f>
        <v>0</v>
      </c>
    </row>
    <row r="174" ht="15.75" customHeight="1">
      <c r="A174" s="6" t="str">
        <f>IFERROR(__xludf.DUMMYFUNCTION("""COMPUTED_VALUE"""),"https://virtualadagency.com.au/companies-for-social-media-marketing/#:~:text=Virtual%20Ad%20Agency%20(VAA)%20distinguishes%20itself%20as,top%2Dof%2Dfunnel%20creative%20campaigns%20with%20bottom%2Dfunnel%20business%20outcomes.")</f>
        <v>https://virtualadagency.com.au/companies-for-social-media-marketing/#:~:text=Virtual%20Ad%20Agency%20(VAA)%20distinguishes%20itself%20as,top%2Dof%2Dfunnel%20creative%20campaigns%20with%20bottom%2Dfunnel%20business%20outcomes.</v>
      </c>
      <c r="B174" s="7" t="str">
        <f>IFERROR(__xludf.DUMMYFUNCTION("""COMPUTED_VALUE"""),"Top 12 Companies for Social Media Marketing in Australia (2026 Guide)")</f>
        <v>Top 12 Companies for Social Media Marketing in Australia (2026 Guide)</v>
      </c>
      <c r="C174" s="6" t="str">
        <f>IFERROR(__xludf.DUMMYFUNCTION("""COMPUTED_VALUE"""),"virtualadagency.com.au")</f>
        <v>virtualadagency.com.au</v>
      </c>
      <c r="D174" s="7" t="str">
        <f>IFERROR(__xludf.DUMMYFUNCTION("""COMPUTED_VALUE"""),"OTHER")</f>
        <v>OTHER</v>
      </c>
      <c r="E174" s="7" t="str">
        <f>IFERROR(__xludf.DUMMYFUNCTION("""COMPUTED_VALUE"""),"CORPORATE")</f>
        <v>CORPORATE</v>
      </c>
      <c r="F174" s="7" t="str">
        <f>IFERROR(__xludf.DUMMYFUNCTION("""COMPUTED_VALUE"""),"Other")</f>
        <v>Other</v>
      </c>
      <c r="G174" s="7" t="b">
        <f>IFERROR(__xludf.DUMMYFUNCTION("""COMPUTED_VALUE"""),FALSE)</f>
        <v>0</v>
      </c>
      <c r="H174" s="7"/>
      <c r="I174" s="7">
        <f>IFERROR(__xludf.DUMMYFUNCTION("""COMPUTED_VALUE"""),1.0)</f>
        <v>1</v>
      </c>
      <c r="J174" s="7">
        <f>IFERROR(__xludf.DUMMYFUNCTION("""COMPUTED_VALUE"""),0.0)</f>
        <v>0</v>
      </c>
      <c r="K174" s="7">
        <f>IFERROR(__xludf.DUMMYFUNCTION("""COMPUTED_VALUE"""),1.0)</f>
        <v>1</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location=":~:text=farsiight%20is%20a%20digital%20marketing%20agency%20specializing,return%20on%20ad%20spend%20and%20customer%20acquisition." ref="A3"/>
    <hyperlink r:id="rId3" ref="C3"/>
    <hyperlink r:id="rId4" location=":~:text=Kamexa%20is%20often%20ranked%20among%20top%20AI,businesses%20that%20want%20deep%20AI%20implementation.%203." ref="A4"/>
    <hyperlink r:id="rId5" ref="C4"/>
    <hyperlink r:id="rId6" ref="A5"/>
    <hyperlink r:id="rId7" ref="C5"/>
    <hyperlink r:id="rId8" location=":~:text=Our%20marketing%20performance%20measurement%20capabilities%20range%20from,of%20the%20most%20accoladed%20Google%20Premier%20Partners." ref="A6"/>
    <hyperlink r:id="rId9" ref="C6"/>
    <hyperlink r:id="rId10" location=":~:text=AI%20Agency%20%7C%20Absolutely%20AI.%20AI%20Agency.,The%20team%20behind%20your%20favourite%20AI%20Agency." ref="A7"/>
    <hyperlink r:id="rId11" ref="C7"/>
    <hyperlink r:id="rId12" ref="A8"/>
    <hyperlink r:id="rId13" ref="C8"/>
    <hyperlink r:id="rId14" location=":~:text=Generative%20Engine%20Optimisation%20that%20drives%20next%2Dgen%20visibility.,one%20AI%20tools%20trust%2C%20reference%2C%20and%20cite."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location=":~:text=AI%20marketing%20services.%20An%20AI%20marketing%20agency,partner%20model.%20%2D%20AI%20SEO.%20AI%2Dpowered%20SEO." ref="A17"/>
    <hyperlink r:id="rId31" ref="C17"/>
    <hyperlink r:id="rId32" ref="A18"/>
    <hyperlink r:id="rId33" ref="C18"/>
    <hyperlink r:id="rId34" ref="A19"/>
    <hyperlink r:id="rId35" ref="C19"/>
    <hyperlink r:id="rId36" location=":~:text=A%20global%20leader%20in%20creative%20communications%2C%20Leo,insight%2C%20helping%20companies%20forge%20deep%20audience%20connections." ref="A20"/>
    <hyperlink r:id="rId37" ref="C20"/>
    <hyperlink r:id="rId38" ref="A21"/>
    <hyperlink r:id="rId39" ref="C21"/>
    <hyperlink r:id="rId40" ref="A22"/>
    <hyperlink r:id="rId41" ref="C22"/>
    <hyperlink r:id="rId42" ref="A23"/>
    <hyperlink r:id="rId43" ref="C23"/>
    <hyperlink r:id="rId44" location=":~:text=Reporting%20is%20only%20as%20good%20as%20the,Us.%20How%20It%20Works%20%2D%20Market%20Analysis." ref="A24"/>
    <hyperlink r:id="rId45" ref="C24"/>
    <hyperlink r:id="rId46" ref="A25"/>
    <hyperlink r:id="rId47" ref="C25"/>
    <hyperlink r:id="rId48" location=":~:text=2.%20Blue%2DChip%20Client%20Portfolios%20and%20Commercial%20Impact.,simple%20aesthetics%20to%20solve%20complex%20business%20problems." ref="A26"/>
    <hyperlink r:id="rId49" ref="C26"/>
    <hyperlink r:id="rId50" ref="A27"/>
    <hyperlink r:id="rId51" ref="C27"/>
    <hyperlink r:id="rId52" location=":~:text=Imagine%20your%20social%20media%20campaigns%2C%20supercharged%20by,AI%20meets%20creativity%20and%20strategy%20meets%20technology." ref="A28"/>
    <hyperlink r:id="rId53" ref="C28"/>
    <hyperlink r:id="rId54" ref="A29"/>
    <hyperlink r:id="rId55" ref="C29"/>
    <hyperlink r:id="rId56" location=":~:text=Impressive%20is%20committed%20to%20providing%20innovative%20data,experience%20in%20every%20aspect%20of%20your%20business." ref="A30"/>
    <hyperlink r:id="rId57" ref="C30"/>
    <hyperlink r:id="rId58" ref="A31"/>
    <hyperlink r:id="rId59" ref="C31"/>
    <hyperlink r:id="rId60" ref="A32"/>
    <hyperlink r:id="rId61" ref="C32"/>
    <hyperlink r:id="rId62" ref="A33"/>
    <hyperlink r:id="rId63" ref="C33"/>
    <hyperlink r:id="rId64" location=":~:text=The%20report%20found%20food%20manufacturing%20was%20the,PR%20and%20CX%2C%20according%20to%20the%20report." ref="A34"/>
    <hyperlink r:id="rId65" ref="C34"/>
    <hyperlink r:id="rId66" ref="A35"/>
    <hyperlink r:id="rId67" ref="C35"/>
    <hyperlink r:id="rId68" ref="A36"/>
    <hyperlink r:id="rId69" ref="C36"/>
    <hyperlink r:id="rId70" location=":~:text=Process%20Automation%20(RPA%20%2B%20AI)%3A%20Automate%20repetitive,Ensure%20ethical%2C%20secure%2C%20and%20compliant%20AI%20use."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location=":~:text=If%20you%20want%20AI%2Daware%20SEO%20that%20feels,technical%20SEO%2C%20product%20management%2C%20and%20applied%20AI."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location=":~:text=Mid%2Dmarket%20and%20enterprise%20businesses%20operating%20in%20competitive,ThreatX%2C%20and%20Tiddle.%20Key%20services.%20SEO%20management."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location=":~:text=As%20an%20AEO%20Agency%2C%20we%20bring%20tested,matters%20most%2C%20in%20front%20of%20your%20customers."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C83"/>
    <hyperlink r:id="rId164" ref="A84"/>
    <hyperlink r:id="rId165" ref="C84"/>
    <hyperlink r:id="rId166" ref="A85"/>
    <hyperlink r:id="rId167" ref="C85"/>
    <hyperlink r:id="rId168" ref="A86"/>
    <hyperlink r:id="rId169" ref="C86"/>
    <hyperlink r:id="rId170" ref="A87"/>
    <hyperlink r:id="rId171" ref="C87"/>
    <hyperlink r:id="rId172" ref="A88"/>
    <hyperlink r:id="rId173" ref="C88"/>
    <hyperlink r:id="rId174" ref="A89"/>
    <hyperlink r:id="rId175" ref="C89"/>
    <hyperlink r:id="rId176" ref="A90"/>
    <hyperlink r:id="rId177" ref="C90"/>
    <hyperlink r:id="rId178" ref="A91"/>
    <hyperlink r:id="rId179" ref="C91"/>
    <hyperlink r:id="rId180" ref="A92"/>
    <hyperlink r:id="rId181" ref="C92"/>
    <hyperlink r:id="rId182" ref="A93"/>
    <hyperlink r:id="rId183" ref="C93"/>
    <hyperlink r:id="rId184" ref="A94"/>
    <hyperlink r:id="rId185" ref="C94"/>
    <hyperlink r:id="rId186" ref="A95"/>
    <hyperlink r:id="rId187" ref="C95"/>
    <hyperlink r:id="rId188" ref="A96"/>
    <hyperlink r:id="rId189" ref="C96"/>
    <hyperlink r:id="rId190" ref="A97"/>
    <hyperlink r:id="rId191" ref="C97"/>
    <hyperlink r:id="rId192" location=":~:text=%23%20The%206%20best%20AI%20SEO%20agencies,AI%2Dassisted%2C%20delivery%2Dfocused%20%7C%20Enterprise%20technical%20SEO%20depth" ref="A98"/>
    <hyperlink r:id="rId193" ref="C98"/>
    <hyperlink r:id="rId194" ref="A99"/>
    <hyperlink r:id="rId195" ref="C99"/>
    <hyperlink r:id="rId196" ref="A100"/>
    <hyperlink r:id="rId197" ref="C100"/>
    <hyperlink r:id="rId198" ref="A101"/>
    <hyperlink r:id="rId199" ref="C101"/>
    <hyperlink r:id="rId200" ref="A102"/>
    <hyperlink r:id="rId201" ref="C102"/>
    <hyperlink r:id="rId202" ref="A103"/>
    <hyperlink r:id="rId203" ref="C103"/>
    <hyperlink r:id="rId204" location=":~:text=That's%20why%20I'm%20here%20to%20help.%20AI,(AI%20SEO)%20%2D%20Generative%20Engine%20Optimisation%20(GEO)" ref="A104"/>
    <hyperlink r:id="rId205" ref="C104"/>
    <hyperlink r:id="rId206" ref="A105"/>
    <hyperlink r:id="rId207" ref="C105"/>
    <hyperlink r:id="rId208" ref="A106"/>
    <hyperlink r:id="rId209" ref="C106"/>
    <hyperlink r:id="rId210" ref="A107"/>
    <hyperlink r:id="rId211" ref="C107"/>
    <hyperlink r:id="rId212" ref="A108"/>
    <hyperlink r:id="rId213" ref="C108"/>
    <hyperlink r:id="rId214" ref="A109"/>
    <hyperlink r:id="rId215" ref="C109"/>
    <hyperlink r:id="rId216" ref="A110"/>
    <hyperlink r:id="rId217" ref="C110"/>
    <hyperlink r:id="rId218" ref="A111"/>
    <hyperlink r:id="rId219" ref="C111"/>
    <hyperlink r:id="rId220" ref="A112"/>
    <hyperlink r:id="rId221" ref="C112"/>
    <hyperlink r:id="rId222" ref="A113"/>
    <hyperlink r:id="rId223" ref="C113"/>
    <hyperlink r:id="rId224" location=":~:text=FTA%20is%20a%20founding%20member,co%2Ddesign%20this%20important%20reform." ref="A114"/>
    <hyperlink r:id="rId225" ref="C114"/>
    <hyperlink r:id="rId226" location=":~:text=What%20is%20ATT%3F%20%E2%80%A2%20A%20voluntary%20trade,to%20a%20range%20of%20trade%20facilitation%20benefits." ref="A115"/>
    <hyperlink r:id="rId227" ref="C115"/>
    <hyperlink r:id="rId228" ref="A116"/>
    <hyperlink r:id="rId229" ref="C116"/>
    <hyperlink r:id="rId230" ref="A117"/>
    <hyperlink r:id="rId231" ref="C117"/>
    <hyperlink r:id="rId232" ref="A118"/>
    <hyperlink r:id="rId233" ref="C118"/>
    <hyperlink r:id="rId234" ref="A119"/>
    <hyperlink r:id="rId235" ref="C119"/>
    <hyperlink r:id="rId236" ref="A120"/>
    <hyperlink r:id="rId237" ref="C120"/>
    <hyperlink r:id="rId238" ref="A121"/>
    <hyperlink r:id="rId239" ref="C121"/>
    <hyperlink r:id="rId240" ref="A122"/>
    <hyperlink r:id="rId241" ref="C122"/>
    <hyperlink r:id="rId242" ref="A123"/>
    <hyperlink r:id="rId243" ref="C123"/>
    <hyperlink r:id="rId244" ref="A124"/>
    <hyperlink r:id="rId245" ref="C124"/>
    <hyperlink r:id="rId246" ref="A125"/>
    <hyperlink r:id="rId247" ref="C125"/>
    <hyperlink r:id="rId248" ref="A126"/>
    <hyperlink r:id="rId249" ref="C126"/>
    <hyperlink r:id="rId250" ref="A127"/>
    <hyperlink r:id="rId251" ref="C127"/>
    <hyperlink r:id="rId252" ref="A128"/>
    <hyperlink r:id="rId253" ref="C128"/>
    <hyperlink r:id="rId254" ref="A129"/>
    <hyperlink r:id="rId255" ref="C129"/>
    <hyperlink r:id="rId256" ref="A130"/>
    <hyperlink r:id="rId257" ref="C130"/>
    <hyperlink r:id="rId258" ref="A131"/>
    <hyperlink r:id="rId259" ref="C131"/>
    <hyperlink r:id="rId260" ref="A132"/>
    <hyperlink r:id="rId261" ref="C132"/>
    <hyperlink r:id="rId262" ref="A133"/>
    <hyperlink r:id="rId263" ref="C133"/>
    <hyperlink r:id="rId264" ref="A134"/>
    <hyperlink r:id="rId265" ref="C134"/>
    <hyperlink r:id="rId266" ref="A135"/>
    <hyperlink r:id="rId267" ref="C135"/>
    <hyperlink r:id="rId268" ref="A136"/>
    <hyperlink r:id="rId269" ref="C136"/>
    <hyperlink r:id="rId270" ref="A137"/>
    <hyperlink r:id="rId271" ref="C137"/>
    <hyperlink r:id="rId272" ref="A138"/>
    <hyperlink r:id="rId273" ref="C138"/>
    <hyperlink r:id="rId274" ref="A139"/>
    <hyperlink r:id="rId275" ref="C139"/>
    <hyperlink r:id="rId276" ref="A140"/>
    <hyperlink r:id="rId277" ref="C140"/>
    <hyperlink r:id="rId278" ref="A141"/>
    <hyperlink r:id="rId279" ref="C141"/>
    <hyperlink r:id="rId280" ref="A142"/>
    <hyperlink r:id="rId281" ref="C142"/>
    <hyperlink r:id="rId282" ref="A143"/>
    <hyperlink r:id="rId283" ref="C143"/>
    <hyperlink r:id="rId284" ref="A144"/>
    <hyperlink r:id="rId285" ref="C144"/>
    <hyperlink r:id="rId286" ref="A145"/>
    <hyperlink r:id="rId287" ref="C145"/>
    <hyperlink r:id="rId288" location=":~:text=Media%20Attribution%20%7C%20Insighten,Conversion%20Rate%20Optimisation" ref="A146"/>
    <hyperlink r:id="rId289" ref="C146"/>
    <hyperlink r:id="rId290" ref="A147"/>
    <hyperlink r:id="rId291" ref="C147"/>
    <hyperlink r:id="rId292" ref="A148"/>
    <hyperlink r:id="rId293" ref="C148"/>
    <hyperlink r:id="rId294" location=":~:text=Get%20the%20visibility%20to%20lead%20with%20confidence.,and%20a%20step%20ahead.%20TALK%20TO%20US." ref="A149"/>
    <hyperlink r:id="rId295" ref="C149"/>
    <hyperlink r:id="rId296" ref="A150"/>
    <hyperlink r:id="rId297" ref="C150"/>
    <hyperlink r:id="rId298" ref="A151"/>
    <hyperlink r:id="rId299" ref="C151"/>
    <hyperlink r:id="rId300" ref="A152"/>
    <hyperlink r:id="rId301" ref="C152"/>
    <hyperlink r:id="rId302" ref="A153"/>
    <hyperlink r:id="rId303" ref="C153"/>
    <hyperlink r:id="rId304" ref="A154"/>
    <hyperlink r:id="rId305" ref="C154"/>
    <hyperlink r:id="rId306" ref="A155"/>
    <hyperlink r:id="rId307" ref="C155"/>
    <hyperlink r:id="rId308" ref="A156"/>
    <hyperlink r:id="rId309" ref="C156"/>
    <hyperlink r:id="rId310" ref="A157"/>
    <hyperlink r:id="rId311" ref="C157"/>
    <hyperlink r:id="rId312" location=":~:text=Optimise%20execution.%20Guide%20performance.%20Learn%20More.%20Nature,and%20advanced%20analytics.%20Brand%20strategy.%20Data%20visualisation." ref="A158"/>
    <hyperlink r:id="rId313" ref="C158"/>
    <hyperlink r:id="rId314" ref="A159"/>
    <hyperlink r:id="rId315" ref="C159"/>
    <hyperlink r:id="rId316" ref="A160"/>
    <hyperlink r:id="rId317" ref="C160"/>
    <hyperlink r:id="rId318" ref="A161"/>
    <hyperlink r:id="rId319" ref="C161"/>
    <hyperlink r:id="rId320" ref="A162"/>
    <hyperlink r:id="rId321" ref="C162"/>
    <hyperlink r:id="rId322" ref="A163"/>
    <hyperlink r:id="rId323" ref="C163"/>
    <hyperlink r:id="rId324" ref="A164"/>
    <hyperlink r:id="rId325" ref="C164"/>
    <hyperlink r:id="rId326" ref="A165"/>
    <hyperlink r:id="rId327" ref="C165"/>
    <hyperlink r:id="rId328" ref="A166"/>
    <hyperlink r:id="rId329" ref="C166"/>
    <hyperlink r:id="rId330" ref="A167"/>
    <hyperlink r:id="rId331" ref="C167"/>
    <hyperlink r:id="rId332" ref="A168"/>
    <hyperlink r:id="rId333" ref="C168"/>
    <hyperlink r:id="rId334" location=":~:text=Built%20for%20clarity%2C%20accountability%20and%20better%20decisions.,performance%20opportunities.%20%2D%20Custom%20Reporting%20%2B%20Insights." ref="A169"/>
    <hyperlink r:id="rId335" ref="C169"/>
    <hyperlink r:id="rId336" ref="A170"/>
    <hyperlink r:id="rId337" ref="C170"/>
    <hyperlink r:id="rId338" ref="A171"/>
    <hyperlink r:id="rId339" ref="C171"/>
    <hyperlink r:id="rId340" ref="A172"/>
    <hyperlink r:id="rId341" ref="C172"/>
    <hyperlink r:id="rId342" ref="A173"/>
    <hyperlink r:id="rId343" ref="C173"/>
    <hyperlink r:id="rId344" location=":~:text=Virtual%20Ad%20Agency%20(VAA)%20distinguishes%20itself%20as,top%2Dof%2Dfunnel%20creative%20campaigns%20with%20bottom%2Dfunnel%20business%20outcomes." ref="A174"/>
    <hyperlink r:id="rId345" ref="C174"/>
  </hyperlinks>
  <drawing r:id="rId34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LOWER(TRIM(TO_TEXT('PEEC - URLs - All'!D2:D1000)))=""product_page""
  ),
  """"
)"),"https://inmarketingwetrust.com.au/platforms/google-marketing-platform/")</f>
        <v>https://inmarketingwetrust.com.au/platforms/google-marketing-platform/</v>
      </c>
      <c r="B2" s="7" t="str">
        <f>IFERROR(__xludf.DUMMYFUNCTION("""COMPUTED_VALUE"""),"Google Marketing Platform Partners - In Marketing We Trust")</f>
        <v>Google Marketing Platform Partners - In Marketing We Trust</v>
      </c>
      <c r="C2" s="6" t="str">
        <f>IFERROR(__xludf.DUMMYFUNCTION("""COMPUTED_VALUE"""),"inmarketingwetrust.com.au")</f>
        <v>inmarketingwetrust.com.au</v>
      </c>
      <c r="D2" s="7" t="str">
        <f>IFERROR(__xludf.DUMMYFUNCTION("""COMPUTED_VALUE"""),"PRODUCT_PAGE")</f>
        <v>PRODUCT_PAGE</v>
      </c>
      <c r="E2" s="7" t="str">
        <f>IFERROR(__xludf.DUMMYFUNCTION("""COMPUTED_VALUE"""),"COMPETITOR")</f>
        <v>COMPETITOR</v>
      </c>
      <c r="F2" s="7" t="str">
        <f>IFERROR(__xludf.DUMMYFUNCTION("""COMPUTED_VALUE"""),"Product Page")</f>
        <v>Product Page</v>
      </c>
      <c r="G2" s="7" t="b">
        <f>IFERROR(__xludf.DUMMYFUNCTION("""COMPUTED_VALUE"""),FALSE)</f>
        <v>0</v>
      </c>
      <c r="H2" s="7" t="str">
        <f>IFERROR(__xludf.DUMMYFUNCTION("""COMPUTED_VALUE"""),"In Marketing We Trust")</f>
        <v>In Marketing We Trust</v>
      </c>
      <c r="I2" s="7">
        <f>IFERROR(__xludf.DUMMYFUNCTION("""COMPUTED_VALUE"""),30.0)</f>
        <v>30</v>
      </c>
      <c r="J2" s="7">
        <f>IFERROR(__xludf.DUMMYFUNCTION("""COMPUTED_VALUE"""),0.03)</f>
        <v>0.03</v>
      </c>
      <c r="K2" s="7">
        <f>IFERROR(__xludf.DUMMYFUNCTION("""COMPUTED_VALUE"""),1.4)</f>
        <v>1.4</v>
      </c>
    </row>
    <row r="3" ht="15.75" customHeight="1">
      <c r="A3" s="6" t="str">
        <f>IFERROR(__xludf.DUMMYFUNCTION("""COMPUTED_VALUE"""),"https://www.emotedigital.com.au/digital-marketing-agency-melbourne/google-partner/")</f>
        <v>https://www.emotedigital.com.au/digital-marketing-agency-melbourne/google-partner/</v>
      </c>
      <c r="B3" s="7" t="str">
        <f>IFERROR(__xludf.DUMMYFUNCTION("""COMPUTED_VALUE"""),"Your trusted Google partner in Australia")</f>
        <v>Your trusted Google partner in Australia</v>
      </c>
      <c r="C3" s="6" t="str">
        <f>IFERROR(__xludf.DUMMYFUNCTION("""COMPUTED_VALUE"""),"emotedigital.com.au")</f>
        <v>emotedigital.com.au</v>
      </c>
      <c r="D3" s="7" t="str">
        <f>IFERROR(__xludf.DUMMYFUNCTION("""COMPUTED_VALUE"""),"PRODUCT_PAGE")</f>
        <v>PRODUCT_PAGE</v>
      </c>
      <c r="E3" s="7" t="str">
        <f>IFERROR(__xludf.DUMMYFUNCTION("""COMPUTED_VALUE"""),"CORPORATE")</f>
        <v>CORPORATE</v>
      </c>
      <c r="F3" s="7" t="str">
        <f>IFERROR(__xludf.DUMMYFUNCTION("""COMPUTED_VALUE"""),"Product Page")</f>
        <v>Product Page</v>
      </c>
      <c r="G3" s="7" t="b">
        <f>IFERROR(__xludf.DUMMYFUNCTION("""COMPUTED_VALUE"""),FALSE)</f>
        <v>0</v>
      </c>
      <c r="H3" s="7" t="str">
        <f>IFERROR(__xludf.DUMMYFUNCTION("""COMPUTED_VALUE"""),"Emote Digital, Impressive")</f>
        <v>Emote Digital, Impressive</v>
      </c>
      <c r="I3" s="7">
        <f>IFERROR(__xludf.DUMMYFUNCTION("""COMPUTED_VALUE"""),27.0)</f>
        <v>27</v>
      </c>
      <c r="J3" s="7">
        <f>IFERROR(__xludf.DUMMYFUNCTION("""COMPUTED_VALUE"""),0.03)</f>
        <v>0.03</v>
      </c>
      <c r="K3" s="7">
        <f>IFERROR(__xludf.DUMMYFUNCTION("""COMPUTED_VALUE"""),0.74)</f>
        <v>0.74</v>
      </c>
    </row>
    <row r="4" ht="15.75" customHeight="1">
      <c r="A4" s="6" t="str">
        <f>IFERROR(__xludf.DUMMYFUNCTION("""COMPUTED_VALUE"""),"https://xpon.ai/google-marketing-platform/")</f>
        <v>https://xpon.ai/google-marketing-platform/</v>
      </c>
      <c r="B4" s="7" t="str">
        <f>IFERROR(__xludf.DUMMYFUNCTION("""COMPUTED_VALUE"""),"Google Marketing Platform Partner | XPON")</f>
        <v>Google Marketing Platform Partner | XPON</v>
      </c>
      <c r="C4" s="6" t="str">
        <f>IFERROR(__xludf.DUMMYFUNCTION("""COMPUTED_VALUE"""),"xpon.ai")</f>
        <v>xpon.ai</v>
      </c>
      <c r="D4" s="7" t="str">
        <f>IFERROR(__xludf.DUMMYFUNCTION("""COMPUTED_VALUE"""),"PRODUCT_PAGE")</f>
        <v>PRODUCT_PAGE</v>
      </c>
      <c r="E4" s="7" t="str">
        <f>IFERROR(__xludf.DUMMYFUNCTION("""COMPUTED_VALUE"""),"COMPETITOR")</f>
        <v>COMPETITOR</v>
      </c>
      <c r="F4" s="7" t="str">
        <f>IFERROR(__xludf.DUMMYFUNCTION("""COMPUTED_VALUE"""),"Product Page")</f>
        <v>Product Page</v>
      </c>
      <c r="G4" s="7" t="b">
        <f>IFERROR(__xludf.DUMMYFUNCTION("""COMPUTED_VALUE"""),FALSE)</f>
        <v>0</v>
      </c>
      <c r="H4" s="7" t="str">
        <f>IFERROR(__xludf.DUMMYFUNCTION("""COMPUTED_VALUE"""),"XPON")</f>
        <v>XPON</v>
      </c>
      <c r="I4" s="7">
        <f>IFERROR(__xludf.DUMMYFUNCTION("""COMPUTED_VALUE"""),27.0)</f>
        <v>27</v>
      </c>
      <c r="J4" s="7">
        <f>IFERROR(__xludf.DUMMYFUNCTION("""COMPUTED_VALUE"""),0.03)</f>
        <v>0.03</v>
      </c>
      <c r="K4" s="7">
        <f>IFERROR(__xludf.DUMMYFUNCTION("""COMPUTED_VALUE"""),2.48)</f>
        <v>2.48</v>
      </c>
    </row>
    <row r="5" ht="15.75" customHeight="1">
      <c r="A5" s="6" t="str">
        <f>IFERROR(__xludf.DUMMYFUNCTION("""COMPUTED_VALUE"""),"https://www.resolutiondigital.com.au/services/measurement/")</f>
        <v>https://www.resolutiondigital.com.au/services/measurement/</v>
      </c>
      <c r="B5" s="7" t="str">
        <f>IFERROR(__xludf.DUMMYFUNCTION("""COMPUTED_VALUE"""),"Digital Analytics Services | Resolution Digital Australia")</f>
        <v>Digital Analytics Services | Resolution Digital Australia</v>
      </c>
      <c r="C5" s="6" t="str">
        <f>IFERROR(__xludf.DUMMYFUNCTION("""COMPUTED_VALUE"""),"resolutiondigital.com.au")</f>
        <v>resolutiondigital.com.au</v>
      </c>
      <c r="D5" s="7" t="str">
        <f>IFERROR(__xludf.DUMMYFUNCTION("""COMPUTED_VALUE"""),"PRODUCT_PAGE")</f>
        <v>PRODUCT_PAGE</v>
      </c>
      <c r="E5" s="7" t="str">
        <f>IFERROR(__xludf.DUMMYFUNCTION("""COMPUTED_VALUE"""),"COMPETITOR")</f>
        <v>COMPETITOR</v>
      </c>
      <c r="F5" s="7" t="str">
        <f>IFERROR(__xludf.DUMMYFUNCTION("""COMPUTED_VALUE"""),"Product Page")</f>
        <v>Product Page</v>
      </c>
      <c r="G5" s="7" t="b">
        <f>IFERROR(__xludf.DUMMYFUNCTION("""COMPUTED_VALUE"""),FALSE)</f>
        <v>0</v>
      </c>
      <c r="H5" s="7" t="str">
        <f>IFERROR(__xludf.DUMMYFUNCTION("""COMPUTED_VALUE"""),"Resolution Digital, Omnicom Media Group")</f>
        <v>Resolution Digital, Omnicom Media Group</v>
      </c>
      <c r="I5" s="7">
        <f>IFERROR(__xludf.DUMMYFUNCTION("""COMPUTED_VALUE"""),26.0)</f>
        <v>26</v>
      </c>
      <c r="J5" s="7">
        <f>IFERROR(__xludf.DUMMYFUNCTION("""COMPUTED_VALUE"""),0.03)</f>
        <v>0.03</v>
      </c>
      <c r="K5" s="7">
        <f>IFERROR(__xludf.DUMMYFUNCTION("""COMPUTED_VALUE"""),1.12)</f>
        <v>1.12</v>
      </c>
    </row>
    <row r="6" ht="15.75" customHeight="1">
      <c r="A6" s="6" t="str">
        <f>IFERROR(__xludf.DUMMYFUNCTION("""COMPUTED_VALUE"""),"https://www.resolutiondigital.com.au/services/cro/google-marketing-platform/")</f>
        <v>https://www.resolutiondigital.com.au/services/cro/google-marketing-platform/</v>
      </c>
      <c r="B6" s="7" t="str">
        <f>IFERROR(__xludf.DUMMYFUNCTION("""COMPUTED_VALUE"""),"Google Marketing Platform Services | Resolution Digital Australia")</f>
        <v>Google Marketing Platform Services | Resolution Digital Australia</v>
      </c>
      <c r="C6" s="6" t="str">
        <f>IFERROR(__xludf.DUMMYFUNCTION("""COMPUTED_VALUE"""),"resolutiondigital.com.au")</f>
        <v>resolutiondigital.com.au</v>
      </c>
      <c r="D6" s="7" t="str">
        <f>IFERROR(__xludf.DUMMYFUNCTION("""COMPUTED_VALUE"""),"PRODUCT_PAGE")</f>
        <v>PRODUCT_PAGE</v>
      </c>
      <c r="E6" s="7" t="str">
        <f>IFERROR(__xludf.DUMMYFUNCTION("""COMPUTED_VALUE"""),"COMPETITOR")</f>
        <v>COMPETITOR</v>
      </c>
      <c r="F6" s="7" t="str">
        <f>IFERROR(__xludf.DUMMYFUNCTION("""COMPUTED_VALUE"""),"Product Page")</f>
        <v>Product Page</v>
      </c>
      <c r="G6" s="7" t="b">
        <f>IFERROR(__xludf.DUMMYFUNCTION("""COMPUTED_VALUE"""),FALSE)</f>
        <v>0</v>
      </c>
      <c r="H6" s="7" t="str">
        <f>IFERROR(__xludf.DUMMYFUNCTION("""COMPUTED_VALUE"""),"Resolution Digital, TRKKN, Omnicom Media Group")</f>
        <v>Resolution Digital, TRKKN, Omnicom Media Group</v>
      </c>
      <c r="I6" s="7">
        <f>IFERROR(__xludf.DUMMYFUNCTION("""COMPUTED_VALUE"""),24.0)</f>
        <v>24</v>
      </c>
      <c r="J6" s="7">
        <f>IFERROR(__xludf.DUMMYFUNCTION("""COMPUTED_VALUE"""),0.03)</f>
        <v>0.03</v>
      </c>
      <c r="K6" s="7">
        <f>IFERROR(__xludf.DUMMYFUNCTION("""COMPUTED_VALUE"""),2.58)</f>
        <v>2.58</v>
      </c>
    </row>
    <row r="7" ht="15.75" customHeight="1">
      <c r="A7" s="6" t="str">
        <f>IFERROR(__xludf.DUMMYFUNCTION("""COMPUTED_VALUE"""),"https://blog.brandburp.com/choose-the-right-display-ad-agency-in-australia/")</f>
        <v>https://blog.brandburp.com/choose-the-right-display-ad-agency-in-australia/</v>
      </c>
      <c r="B7" s="7" t="str">
        <f>IFERROR(__xludf.DUMMYFUNCTION("""COMPUTED_VALUE"""),"Choose the Right Display Ad Agency in Australia")</f>
        <v>Choose the Right Display Ad Agency in Australia</v>
      </c>
      <c r="C7" s="6" t="str">
        <f>IFERROR(__xludf.DUMMYFUNCTION("""COMPUTED_VALUE"""),"brandburp.com")</f>
        <v>brandburp.com</v>
      </c>
      <c r="D7" s="7" t="str">
        <f>IFERROR(__xludf.DUMMYFUNCTION("""COMPUTED_VALUE"""),"PRODUCT_PAGE")</f>
        <v>PRODUCT_PAGE</v>
      </c>
      <c r="E7" s="7" t="str">
        <f>IFERROR(__xludf.DUMMYFUNCTION("""COMPUTED_VALUE"""),"CORPORATE")</f>
        <v>CORPORATE</v>
      </c>
      <c r="F7" s="7" t="str">
        <f>IFERROR(__xludf.DUMMYFUNCTION("""COMPUTED_VALUE"""),"Product Page")</f>
        <v>Product Page</v>
      </c>
      <c r="G7" s="7" t="b">
        <f>IFERROR(__xludf.DUMMYFUNCTION("""COMPUTED_VALUE"""),FALSE)</f>
        <v>0</v>
      </c>
      <c r="H7" s="7"/>
      <c r="I7" s="7">
        <f>IFERROR(__xludf.DUMMYFUNCTION("""COMPUTED_VALUE"""),23.0)</f>
        <v>23</v>
      </c>
      <c r="J7" s="7">
        <f>IFERROR(__xludf.DUMMYFUNCTION("""COMPUTED_VALUE"""),0.02)</f>
        <v>0.02</v>
      </c>
      <c r="K7" s="7">
        <f>IFERROR(__xludf.DUMMYFUNCTION("""COMPUTED_VALUE"""),1.13)</f>
        <v>1.13</v>
      </c>
    </row>
    <row r="8" ht="15.75" customHeight="1">
      <c r="A8" s="6" t="str">
        <f>IFERROR(__xludf.DUMMYFUNCTION("""COMPUTED_VALUE"""),"https://clickclickmedia.com.au/ppc-agency/display-ads/")</f>
        <v>https://clickclickmedia.com.au/ppc-agency/display-ads/</v>
      </c>
      <c r="B8" s="7" t="str">
        <f>IFERROR(__xludf.DUMMYFUNCTION("""COMPUTED_VALUE"""),"Display Ads Agency Sydney | 17 Years, Proven Reach &amp;amp; Results")</f>
        <v>Display Ads Agency Sydney | 17 Years, Proven Reach &amp;amp; Results</v>
      </c>
      <c r="C8" s="6" t="str">
        <f>IFERROR(__xludf.DUMMYFUNCTION("""COMPUTED_VALUE"""),"clickclickmedia.com.au")</f>
        <v>clickclickmedia.com.au</v>
      </c>
      <c r="D8" s="7" t="str">
        <f>IFERROR(__xludf.DUMMYFUNCTION("""COMPUTED_VALUE"""),"PRODUCT_PAGE")</f>
        <v>PRODUCT_PAGE</v>
      </c>
      <c r="E8" s="7" t="str">
        <f>IFERROR(__xludf.DUMMYFUNCTION("""COMPUTED_VALUE"""),"CORPORATE")</f>
        <v>CORPORATE</v>
      </c>
      <c r="F8" s="7" t="str">
        <f>IFERROR(__xludf.DUMMYFUNCTION("""COMPUTED_VALUE"""),"Product Page")</f>
        <v>Product Page</v>
      </c>
      <c r="G8" s="7" t="b">
        <f>IFERROR(__xludf.DUMMYFUNCTION("""COMPUTED_VALUE"""),FALSE)</f>
        <v>0</v>
      </c>
      <c r="H8" s="7" t="str">
        <f>IFERROR(__xludf.DUMMYFUNCTION("""COMPUTED_VALUE"""),"Click Click Media, Measured")</f>
        <v>Click Click Media, Measured</v>
      </c>
      <c r="I8" s="7">
        <f>IFERROR(__xludf.DUMMYFUNCTION("""COMPUTED_VALUE"""),23.0)</f>
        <v>23</v>
      </c>
      <c r="J8" s="7">
        <f>IFERROR(__xludf.DUMMYFUNCTION("""COMPUTED_VALUE"""),0.02)</f>
        <v>0.02</v>
      </c>
      <c r="K8" s="7">
        <f>IFERROR(__xludf.DUMMYFUNCTION("""COMPUTED_VALUE"""),1.04)</f>
        <v>1.04</v>
      </c>
    </row>
    <row r="9" ht="15.75" customHeight="1">
      <c r="A9" s="6" t="str">
        <f>IFERROR(__xludf.DUMMYFUNCTION("""COMPUTED_VALUE"""),"https://www.resolutiondigital.com.au/services/measurement/attribution/")</f>
        <v>https://www.resolutiondigital.com.au/services/measurement/attribution/</v>
      </c>
      <c r="B9" s="7" t="str">
        <f>IFERROR(__xludf.DUMMYFUNCTION("""COMPUTED_VALUE"""),"Digital Attribution Model | Resolution Digital Australia")</f>
        <v>Digital Attribution Model | Resolution Digital Australia</v>
      </c>
      <c r="C9" s="6" t="str">
        <f>IFERROR(__xludf.DUMMYFUNCTION("""COMPUTED_VALUE"""),"resolutiondigital.com.au")</f>
        <v>resolutiondigital.com.au</v>
      </c>
      <c r="D9" s="7" t="str">
        <f>IFERROR(__xludf.DUMMYFUNCTION("""COMPUTED_VALUE"""),"PRODUCT_PAGE")</f>
        <v>PRODUCT_PAGE</v>
      </c>
      <c r="E9" s="7" t="str">
        <f>IFERROR(__xludf.DUMMYFUNCTION("""COMPUTED_VALUE"""),"COMPETITOR")</f>
        <v>COMPETITOR</v>
      </c>
      <c r="F9" s="7" t="str">
        <f>IFERROR(__xludf.DUMMYFUNCTION("""COMPUTED_VALUE"""),"Product Page")</f>
        <v>Product Page</v>
      </c>
      <c r="G9" s="7" t="b">
        <f>IFERROR(__xludf.DUMMYFUNCTION("""COMPUTED_VALUE"""),FALSE)</f>
        <v>0</v>
      </c>
      <c r="H9" s="7" t="str">
        <f>IFERROR(__xludf.DUMMYFUNCTION("""COMPUTED_VALUE"""),"Resolution Digital, Omnicom Media Group")</f>
        <v>Resolution Digital, Omnicom Media Group</v>
      </c>
      <c r="I9" s="7">
        <f>IFERROR(__xludf.DUMMYFUNCTION("""COMPUTED_VALUE"""),23.0)</f>
        <v>23</v>
      </c>
      <c r="J9" s="7">
        <f>IFERROR(__xludf.DUMMYFUNCTION("""COMPUTED_VALUE"""),0.02)</f>
        <v>0.02</v>
      </c>
      <c r="K9" s="7">
        <f>IFERROR(__xludf.DUMMYFUNCTION("""COMPUTED_VALUE"""),1.39)</f>
        <v>1.39</v>
      </c>
    </row>
    <row r="10" ht="15.75" customHeight="1">
      <c r="A10" s="6" t="str">
        <f>IFERROR(__xludf.DUMMYFUNCTION("""COMPUTED_VALUE"""),"https://team400.ai/ai-consulting-company")</f>
        <v>https://team400.ai/ai-consulting-company</v>
      </c>
      <c r="B10" s="7" t="str">
        <f>IFERROR(__xludf.DUMMYFUNCTION("""COMPUTED_VALUE"""),"AI Consulting Company Australia | AI Consulting Firms | Team 400")</f>
        <v>AI Consulting Company Australia | AI Consulting Firms | Team 400</v>
      </c>
      <c r="C10" s="6" t="str">
        <f>IFERROR(__xludf.DUMMYFUNCTION("""COMPUTED_VALUE"""),"team400.ai")</f>
        <v>team400.ai</v>
      </c>
      <c r="D10" s="7" t="str">
        <f>IFERROR(__xludf.DUMMYFUNCTION("""COMPUTED_VALUE"""),"PRODUCT_PAGE")</f>
        <v>PRODUCT_PAGE</v>
      </c>
      <c r="E10" s="7" t="str">
        <f>IFERROR(__xludf.DUMMYFUNCTION("""COMPUTED_VALUE"""),"CORPORATE")</f>
        <v>CORPORATE</v>
      </c>
      <c r="F10" s="7" t="str">
        <f>IFERROR(__xludf.DUMMYFUNCTION("""COMPUTED_VALUE"""),"Product Page")</f>
        <v>Product Page</v>
      </c>
      <c r="G10" s="7" t="b">
        <f>IFERROR(__xludf.DUMMYFUNCTION("""COMPUTED_VALUE"""),FALSE)</f>
        <v>0</v>
      </c>
      <c r="H10" s="7" t="str">
        <f>IFERROR(__xludf.DUMMYFUNCTION("""COMPUTED_VALUE"""),"Team 400, Huge")</f>
        <v>Team 400, Huge</v>
      </c>
      <c r="I10" s="7">
        <f>IFERROR(__xludf.DUMMYFUNCTION("""COMPUTED_VALUE"""),23.0)</f>
        <v>23</v>
      </c>
      <c r="J10" s="7">
        <f>IFERROR(__xludf.DUMMYFUNCTION("""COMPUTED_VALUE"""),0.02)</f>
        <v>0.02</v>
      </c>
      <c r="K10" s="7">
        <f>IFERROR(__xludf.DUMMYFUNCTION("""COMPUTED_VALUE"""),0.3)</f>
        <v>0.3</v>
      </c>
    </row>
    <row r="11" ht="15.75" customHeight="1">
      <c r="A11" s="6" t="str">
        <f>IFERROR(__xludf.DUMMYFUNCTION("""COMPUTED_VALUE"""),"https://rocketagency.com.au/services/social-media-ads-agency")</f>
        <v>https://rocketagency.com.au/services/social-media-ads-agency</v>
      </c>
      <c r="B11" s="7" t="str">
        <f>IFERROR(__xludf.DUMMYFUNCTION("""COMPUTED_VALUE"""),"Social Media Marketing Agency Australia: Ad Experts | Rocket")</f>
        <v>Social Media Marketing Agency Australia: Ad Experts | Rocket</v>
      </c>
      <c r="C11" s="6" t="str">
        <f>IFERROR(__xludf.DUMMYFUNCTION("""COMPUTED_VALUE"""),"rocketagency.com.au")</f>
        <v>rocketagency.com.au</v>
      </c>
      <c r="D11" s="7" t="str">
        <f>IFERROR(__xludf.DUMMYFUNCTION("""COMPUTED_VALUE"""),"PRODUCT_PAGE")</f>
        <v>PRODUCT_PAGE</v>
      </c>
      <c r="E11" s="7" t="str">
        <f>IFERROR(__xludf.DUMMYFUNCTION("""COMPUTED_VALUE"""),"COMPETITOR")</f>
        <v>COMPETITOR</v>
      </c>
      <c r="F11" s="7" t="str">
        <f>IFERROR(__xludf.DUMMYFUNCTION("""COMPUTED_VALUE"""),"Product Page")</f>
        <v>Product Page</v>
      </c>
      <c r="G11" s="7" t="b">
        <f>IFERROR(__xludf.DUMMYFUNCTION("""COMPUTED_VALUE"""),FALSE)</f>
        <v>0</v>
      </c>
      <c r="H11" s="7" t="str">
        <f>IFERROR(__xludf.DUMMYFUNCTION("""COMPUTED_VALUE"""),"Rocket Agency, HERO")</f>
        <v>Rocket Agency, HERO</v>
      </c>
      <c r="I11" s="7">
        <f>IFERROR(__xludf.DUMMYFUNCTION("""COMPUTED_VALUE"""),19.0)</f>
        <v>19</v>
      </c>
      <c r="J11" s="7">
        <f>IFERROR(__xludf.DUMMYFUNCTION("""COMPUTED_VALUE"""),0.02)</f>
        <v>0.02</v>
      </c>
      <c r="K11" s="7">
        <f>IFERROR(__xludf.DUMMYFUNCTION("""COMPUTED_VALUE"""),1.26)</f>
        <v>1.26</v>
      </c>
    </row>
    <row r="12" ht="15.75" customHeight="1">
      <c r="A12" s="6" t="str">
        <f>IFERROR(__xludf.DUMMYFUNCTION("""COMPUTED_VALUE"""),"https://impressive.com.au/performance-marketing-agency-sydney/")</f>
        <v>https://impressive.com.au/performance-marketing-agency-sydney/</v>
      </c>
      <c r="B12" s="7" t="str">
        <f>IFERROR(__xludf.DUMMYFUNCTION("""COMPUTED_VALUE"""),"Marketing Agency Sydney | Award-Winning Digital Marketing Agency")</f>
        <v>Marketing Agency Sydney | Award-Winning Digital Marketing Agency</v>
      </c>
      <c r="C12" s="6" t="str">
        <f>IFERROR(__xludf.DUMMYFUNCTION("""COMPUTED_VALUE"""),"impressive.com.au")</f>
        <v>impressive.com.au</v>
      </c>
      <c r="D12" s="7" t="str">
        <f>IFERROR(__xludf.DUMMYFUNCTION("""COMPUTED_VALUE"""),"PRODUCT_PAGE")</f>
        <v>PRODUCT_PAGE</v>
      </c>
      <c r="E12" s="7" t="str">
        <f>IFERROR(__xludf.DUMMYFUNCTION("""COMPUTED_VALUE"""),"COMPETITOR")</f>
        <v>COMPETITOR</v>
      </c>
      <c r="F12" s="7" t="str">
        <f>IFERROR(__xludf.DUMMYFUNCTION("""COMPUTED_VALUE"""),"Product Page")</f>
        <v>Product Page</v>
      </c>
      <c r="G12" s="7" t="b">
        <f>IFERROR(__xludf.DUMMYFUNCTION("""COMPUTED_VALUE"""),FALSE)</f>
        <v>0</v>
      </c>
      <c r="H12" s="7" t="str">
        <f>IFERROR(__xludf.DUMMYFUNCTION("""COMPUTED_VALUE"""),"Impressive, First Page, Deloitte")</f>
        <v>Impressive, First Page, Deloitte</v>
      </c>
      <c r="I12" s="7">
        <f>IFERROR(__xludf.DUMMYFUNCTION("""COMPUTED_VALUE"""),17.0)</f>
        <v>17</v>
      </c>
      <c r="J12" s="7">
        <f>IFERROR(__xludf.DUMMYFUNCTION("""COMPUTED_VALUE"""),0.02)</f>
        <v>0.02</v>
      </c>
      <c r="K12" s="7">
        <f>IFERROR(__xludf.DUMMYFUNCTION("""COMPUTED_VALUE"""),1.06)</f>
        <v>1.06</v>
      </c>
    </row>
    <row r="13" ht="15.75" customHeight="1">
      <c r="A13" s="6" t="str">
        <f>IFERROR(__xludf.DUMMYFUNCTION("""COMPUTED_VALUE"""),"https://noice.net.au/services/ai-strategy-consulting/")</f>
        <v>https://noice.net.au/services/ai-strategy-consulting/</v>
      </c>
      <c r="B13" s="7" t="str">
        <f>IFERROR(__xludf.DUMMYFUNCTION("""COMPUTED_VALUE"""),"AI Consulting &amp;amp; Strategy in Australia | Noice")</f>
        <v>AI Consulting &amp;amp; Strategy in Australia | Noice</v>
      </c>
      <c r="C13" s="6" t="str">
        <f>IFERROR(__xludf.DUMMYFUNCTION("""COMPUTED_VALUE"""),"noice.net.au")</f>
        <v>noice.net.au</v>
      </c>
      <c r="D13" s="7" t="str">
        <f>IFERROR(__xludf.DUMMYFUNCTION("""COMPUTED_VALUE"""),"PRODUCT_PAGE")</f>
        <v>PRODUCT_PAGE</v>
      </c>
      <c r="E13" s="7" t="str">
        <f>IFERROR(__xludf.DUMMYFUNCTION("""COMPUTED_VALUE"""),"CORPORATE")</f>
        <v>CORPORATE</v>
      </c>
      <c r="F13" s="7" t="str">
        <f>IFERROR(__xludf.DUMMYFUNCTION("""COMPUTED_VALUE"""),"Product Page")</f>
        <v>Product Page</v>
      </c>
      <c r="G13" s="7" t="b">
        <f>IFERROR(__xludf.DUMMYFUNCTION("""COMPUTED_VALUE"""),FALSE)</f>
        <v>0</v>
      </c>
      <c r="H13" s="7"/>
      <c r="I13" s="7">
        <f>IFERROR(__xludf.DUMMYFUNCTION("""COMPUTED_VALUE"""),14.0)</f>
        <v>14</v>
      </c>
      <c r="J13" s="7">
        <f>IFERROR(__xludf.DUMMYFUNCTION("""COMPUTED_VALUE"""),0.01)</f>
        <v>0.01</v>
      </c>
      <c r="K13" s="7">
        <f>IFERROR(__xludf.DUMMYFUNCTION("""COMPUTED_VALUE"""),1.0)</f>
        <v>1</v>
      </c>
    </row>
    <row r="14" ht="15.75" customHeight="1">
      <c r="A14" s="6" t="str">
        <f>IFERROR(__xludf.DUMMYFUNCTION("""COMPUTED_VALUE"""),"https://prosperitymedia.com.au/generative-ai-seo-services/")</f>
        <v>https://prosperitymedia.com.au/generative-ai-seo-services/</v>
      </c>
      <c r="B14" s="7" t="str">
        <f>IFERROR(__xludf.DUMMYFUNCTION("""COMPUTED_VALUE"""),"Generative AI SEO Services - GEO Agency Australia")</f>
        <v>Generative AI SEO Services - GEO Agency Australia</v>
      </c>
      <c r="C14" s="6" t="str">
        <f>IFERROR(__xludf.DUMMYFUNCTION("""COMPUTED_VALUE"""),"prosperitymedia.com.au")</f>
        <v>prosperitymedia.com.au</v>
      </c>
      <c r="D14" s="7" t="str">
        <f>IFERROR(__xludf.DUMMYFUNCTION("""COMPUTED_VALUE"""),"PRODUCT_PAGE")</f>
        <v>PRODUCT_PAGE</v>
      </c>
      <c r="E14" s="7" t="str">
        <f>IFERROR(__xludf.DUMMYFUNCTION("""COMPUTED_VALUE"""),"COMPETITOR")</f>
        <v>COMPETITOR</v>
      </c>
      <c r="F14" s="7" t="str">
        <f>IFERROR(__xludf.DUMMYFUNCTION("""COMPUTED_VALUE"""),"Product Page")</f>
        <v>Product Page</v>
      </c>
      <c r="G14" s="7" t="b">
        <f>IFERROR(__xludf.DUMMYFUNCTION("""COMPUTED_VALUE"""),FALSE)</f>
        <v>0</v>
      </c>
      <c r="H14" s="7" t="str">
        <f>IFERROR(__xludf.DUMMYFUNCTION("""COMPUTED_VALUE"""),"Prosperity Media, HERO")</f>
        <v>Prosperity Media, HERO</v>
      </c>
      <c r="I14" s="7">
        <f>IFERROR(__xludf.DUMMYFUNCTION("""COMPUTED_VALUE"""),14.0)</f>
        <v>14</v>
      </c>
      <c r="J14" s="7">
        <f>IFERROR(__xludf.DUMMYFUNCTION("""COMPUTED_VALUE"""),0.01)</f>
        <v>0.01</v>
      </c>
      <c r="K14" s="7">
        <f>IFERROR(__xludf.DUMMYFUNCTION("""COMPUTED_VALUE"""),1.29)</f>
        <v>1.29</v>
      </c>
    </row>
    <row r="15" ht="15.75" customHeight="1">
      <c r="A15" s="6" t="str">
        <f>IFERROR(__xludf.DUMMYFUNCTION("""COMPUTED_VALUE"""),"https://www.protiviti.com/au-en/artificial-intelligence-services")</f>
        <v>https://www.protiviti.com/au-en/artificial-intelligence-services</v>
      </c>
      <c r="B15" s="7" t="str">
        <f>IFERROR(__xludf.DUMMYFUNCTION("""COMPUTED_VALUE"""),"Artificial Intelligence (AI) Consulting | Protiviti Australia")</f>
        <v>Artificial Intelligence (AI) Consulting | Protiviti Australia</v>
      </c>
      <c r="C15" s="6" t="str">
        <f>IFERROR(__xludf.DUMMYFUNCTION("""COMPUTED_VALUE"""),"protiviti.com")</f>
        <v>protiviti.com</v>
      </c>
      <c r="D15" s="7" t="str">
        <f>IFERROR(__xludf.DUMMYFUNCTION("""COMPUTED_VALUE"""),"PRODUCT_PAGE")</f>
        <v>PRODUCT_PAGE</v>
      </c>
      <c r="E15" s="7" t="str">
        <f>IFERROR(__xludf.DUMMYFUNCTION("""COMPUTED_VALUE"""),"CORPORATE")</f>
        <v>CORPORATE</v>
      </c>
      <c r="F15" s="7" t="str">
        <f>IFERROR(__xludf.DUMMYFUNCTION("""COMPUTED_VALUE"""),"Product Page")</f>
        <v>Product Page</v>
      </c>
      <c r="G15" s="7" t="b">
        <f>IFERROR(__xludf.DUMMYFUNCTION("""COMPUTED_VALUE"""),FALSE)</f>
        <v>0</v>
      </c>
      <c r="H15" s="7" t="str">
        <f>IFERROR(__xludf.DUMMYFUNCTION("""COMPUTED_VALUE"""),"HERO")</f>
        <v>HERO</v>
      </c>
      <c r="I15" s="7">
        <f>IFERROR(__xludf.DUMMYFUNCTION("""COMPUTED_VALUE"""),14.0)</f>
        <v>14</v>
      </c>
      <c r="J15" s="7">
        <f>IFERROR(__xludf.DUMMYFUNCTION("""COMPUTED_VALUE"""),0.01)</f>
        <v>0.01</v>
      </c>
      <c r="K15" s="7">
        <f>IFERROR(__xludf.DUMMYFUNCTION("""COMPUTED_VALUE"""),0.43)</f>
        <v>0.43</v>
      </c>
    </row>
    <row r="16" ht="15.75" customHeight="1">
      <c r="A16" s="6" t="str">
        <f>IFERROR(__xludf.DUMMYFUNCTION("""COMPUTED_VALUE"""),"https://www.resolutiondigital.com.au/services/measurement/reporting/")</f>
        <v>https://www.resolutiondigital.com.au/services/measurement/reporting/</v>
      </c>
      <c r="B16" s="7" t="str">
        <f>IFERROR(__xludf.DUMMYFUNCTION("""COMPUTED_VALUE"""),"Marketing Reporting &amp;amp; Dashboards | Resolution Digital Australia")</f>
        <v>Marketing Reporting &amp;amp; Dashboards | Resolution Digital Australia</v>
      </c>
      <c r="C16" s="6" t="str">
        <f>IFERROR(__xludf.DUMMYFUNCTION("""COMPUTED_VALUE"""),"resolutiondigital.com.au")</f>
        <v>resolutiondigital.com.au</v>
      </c>
      <c r="D16" s="7" t="str">
        <f>IFERROR(__xludf.DUMMYFUNCTION("""COMPUTED_VALUE"""),"PRODUCT_PAGE")</f>
        <v>PRODUCT_PAGE</v>
      </c>
      <c r="E16" s="7" t="str">
        <f>IFERROR(__xludf.DUMMYFUNCTION("""COMPUTED_VALUE"""),"COMPETITOR")</f>
        <v>COMPETITOR</v>
      </c>
      <c r="F16" s="7" t="str">
        <f>IFERROR(__xludf.DUMMYFUNCTION("""COMPUTED_VALUE"""),"Product Page")</f>
        <v>Product Page</v>
      </c>
      <c r="G16" s="7" t="b">
        <f>IFERROR(__xludf.DUMMYFUNCTION("""COMPUTED_VALUE"""),FALSE)</f>
        <v>0</v>
      </c>
      <c r="H16" s="7" t="str">
        <f>IFERROR(__xludf.DUMMYFUNCTION("""COMPUTED_VALUE"""),"Resolution Digital, Omnicom Media Group")</f>
        <v>Resolution Digital, Omnicom Media Group</v>
      </c>
      <c r="I16" s="7">
        <f>IFERROR(__xludf.DUMMYFUNCTION("""COMPUTED_VALUE"""),14.0)</f>
        <v>14</v>
      </c>
      <c r="J16" s="7">
        <f>IFERROR(__xludf.DUMMYFUNCTION("""COMPUTED_VALUE"""),0.01)</f>
        <v>0.01</v>
      </c>
      <c r="K16" s="7">
        <f>IFERROR(__xludf.DUMMYFUNCTION("""COMPUTED_VALUE"""),1.07)</f>
        <v>1.07</v>
      </c>
    </row>
    <row r="17" ht="15.75" customHeight="1">
      <c r="A17" s="6" t="str">
        <f>IFERROR(__xludf.DUMMYFUNCTION("""COMPUTED_VALUE"""),"https://studiohawk.com.au/seo-services/ai-seo/")</f>
        <v>https://studiohawk.com.au/seo-services/ai-seo/</v>
      </c>
      <c r="B17" s="7" t="str">
        <f>IFERROR(__xludf.DUMMYFUNCTION("""COMPUTED_VALUE"""),"AI SEO Agency Services | AI Search Experts")</f>
        <v>AI SEO Agency Services | AI Search Experts</v>
      </c>
      <c r="C17" s="6" t="str">
        <f>IFERROR(__xludf.DUMMYFUNCTION("""COMPUTED_VALUE"""),"studiohawk.com.au")</f>
        <v>studiohawk.com.au</v>
      </c>
      <c r="D17" s="7" t="str">
        <f>IFERROR(__xludf.DUMMYFUNCTION("""COMPUTED_VALUE"""),"PRODUCT_PAGE")</f>
        <v>PRODUCT_PAGE</v>
      </c>
      <c r="E17" s="7" t="str">
        <f>IFERROR(__xludf.DUMMYFUNCTION("""COMPUTED_VALUE"""),"COMPETITOR")</f>
        <v>COMPETITOR</v>
      </c>
      <c r="F17" s="7" t="str">
        <f>IFERROR(__xludf.DUMMYFUNCTION("""COMPUTED_VALUE"""),"Product Page")</f>
        <v>Product Page</v>
      </c>
      <c r="G17" s="7" t="b">
        <f>IFERROR(__xludf.DUMMYFUNCTION("""COMPUTED_VALUE"""),FALSE)</f>
        <v>0</v>
      </c>
      <c r="H17" s="7" t="str">
        <f>IFERROR(__xludf.DUMMYFUNCTION("""COMPUTED_VALUE"""),"StudioHawk")</f>
        <v>StudioHawk</v>
      </c>
      <c r="I17" s="7">
        <f>IFERROR(__xludf.DUMMYFUNCTION("""COMPUTED_VALUE"""),14.0)</f>
        <v>14</v>
      </c>
      <c r="J17" s="7">
        <f>IFERROR(__xludf.DUMMYFUNCTION("""COMPUTED_VALUE"""),0.01)</f>
        <v>0.01</v>
      </c>
      <c r="K17" s="7">
        <f>IFERROR(__xludf.DUMMYFUNCTION("""COMPUTED_VALUE"""),1.36)</f>
        <v>1.36</v>
      </c>
    </row>
    <row r="18" ht="15.75" customHeight="1">
      <c r="A18" s="6" t="str">
        <f>IFERROR(__xludf.DUMMYFUNCTION("""COMPUTED_VALUE"""),"https://amplifir.com.au/services/data-advanced-analytics/attribution-modelling/")</f>
        <v>https://amplifir.com.au/services/data-advanced-analytics/attribution-modelling/</v>
      </c>
      <c r="B18" s="7" t="str">
        <f>IFERROR(__xludf.DUMMYFUNCTION("""COMPUTED_VALUE"""),"Attribution Modelling Services | Marketing Attribution Agency | Amplifir")</f>
        <v>Attribution Modelling Services | Marketing Attribution Agency | Amplifir</v>
      </c>
      <c r="C18" s="6" t="str">
        <f>IFERROR(__xludf.DUMMYFUNCTION("""COMPUTED_VALUE"""),"amplifir.com.au")</f>
        <v>amplifir.com.au</v>
      </c>
      <c r="D18" s="7" t="str">
        <f>IFERROR(__xludf.DUMMYFUNCTION("""COMPUTED_VALUE"""),"PRODUCT_PAGE")</f>
        <v>PRODUCT_PAGE</v>
      </c>
      <c r="E18" s="7" t="str">
        <f>IFERROR(__xludf.DUMMYFUNCTION("""COMPUTED_VALUE"""),"COMPETITOR")</f>
        <v>COMPETITOR</v>
      </c>
      <c r="F18" s="7" t="str">
        <f>IFERROR(__xludf.DUMMYFUNCTION("""COMPUTED_VALUE"""),"Product Page")</f>
        <v>Product Page</v>
      </c>
      <c r="G18" s="7" t="b">
        <f>IFERROR(__xludf.DUMMYFUNCTION("""COMPUTED_VALUE"""),FALSE)</f>
        <v>0</v>
      </c>
      <c r="H18" s="7" t="str">
        <f>IFERROR(__xludf.DUMMYFUNCTION("""COMPUTED_VALUE"""),"Amplifir")</f>
        <v>Amplifir</v>
      </c>
      <c r="I18" s="7">
        <f>IFERROR(__xludf.DUMMYFUNCTION("""COMPUTED_VALUE"""),13.0)</f>
        <v>13</v>
      </c>
      <c r="J18" s="7">
        <f>IFERROR(__xludf.DUMMYFUNCTION("""COMPUTED_VALUE"""),0.01)</f>
        <v>0.01</v>
      </c>
      <c r="K18" s="7">
        <f>IFERROR(__xludf.DUMMYFUNCTION("""COMPUTED_VALUE"""),1.54)</f>
        <v>1.54</v>
      </c>
    </row>
    <row r="19" ht="15.75" customHeight="1">
      <c r="A19" s="6" t="str">
        <f>IFERROR(__xludf.DUMMYFUNCTION("""COMPUTED_VALUE"""),"https://www.resolutiondigital.com.au/services/cro/ab-testing/")</f>
        <v>https://www.resolutiondigital.com.au/services/cro/ab-testing/</v>
      </c>
      <c r="B19" s="7" t="str">
        <f>IFERROR(__xludf.DUMMYFUNCTION("""COMPUTED_VALUE"""),"A/B/n and Multivariate Testing | CRO | Resolution Digital Australia")</f>
        <v>A/B/n and Multivariate Testing | CRO | Resolution Digital Australia</v>
      </c>
      <c r="C19" s="6" t="str">
        <f>IFERROR(__xludf.DUMMYFUNCTION("""COMPUTED_VALUE"""),"resolutiondigital.com.au")</f>
        <v>resolutiondigital.com.au</v>
      </c>
      <c r="D19" s="7" t="str">
        <f>IFERROR(__xludf.DUMMYFUNCTION("""COMPUTED_VALUE"""),"PRODUCT_PAGE")</f>
        <v>PRODUCT_PAGE</v>
      </c>
      <c r="E19" s="7" t="str">
        <f>IFERROR(__xludf.DUMMYFUNCTION("""COMPUTED_VALUE"""),"COMPETITOR")</f>
        <v>COMPETITOR</v>
      </c>
      <c r="F19" s="7" t="str">
        <f>IFERROR(__xludf.DUMMYFUNCTION("""COMPUTED_VALUE"""),"Product Page")</f>
        <v>Product Page</v>
      </c>
      <c r="G19" s="7" t="b">
        <f>IFERROR(__xludf.DUMMYFUNCTION("""COMPUTED_VALUE"""),FALSE)</f>
        <v>0</v>
      </c>
      <c r="H19" s="7" t="str">
        <f>IFERROR(__xludf.DUMMYFUNCTION("""COMPUTED_VALUE"""),"Resolution Digital, PHD, Omnicom Media Group")</f>
        <v>Resolution Digital, PHD, Omnicom Media Group</v>
      </c>
      <c r="I19" s="7">
        <f>IFERROR(__xludf.DUMMYFUNCTION("""COMPUTED_VALUE"""),13.0)</f>
        <v>13</v>
      </c>
      <c r="J19" s="7">
        <f>IFERROR(__xludf.DUMMYFUNCTION("""COMPUTED_VALUE"""),0.01)</f>
        <v>0.01</v>
      </c>
      <c r="K19" s="7">
        <f>IFERROR(__xludf.DUMMYFUNCTION("""COMPUTED_VALUE"""),1.46)</f>
        <v>1.46</v>
      </c>
    </row>
    <row r="20" ht="15.75" customHeight="1">
      <c r="A20" s="6" t="str">
        <f>IFERROR(__xludf.DUMMYFUNCTION("""COMPUTED_VALUE"""),"https://www.resolutiondigital.com.au/services/measurement/marketing-mix-modelling/")</f>
        <v>https://www.resolutiondigital.com.au/services/measurement/marketing-mix-modelling/</v>
      </c>
      <c r="B20" s="7" t="str">
        <f>IFERROR(__xludf.DUMMYFUNCTION("""COMPUTED_VALUE"""),"Leading Marketing Mix Modelling (MMM) Agency | Resolution Digital Australia")</f>
        <v>Leading Marketing Mix Modelling (MMM) Agency | Resolution Digital Australia</v>
      </c>
      <c r="C20" s="6" t="str">
        <f>IFERROR(__xludf.DUMMYFUNCTION("""COMPUTED_VALUE"""),"resolutiondigital.com.au")</f>
        <v>resolutiondigital.com.au</v>
      </c>
      <c r="D20" s="7" t="str">
        <f>IFERROR(__xludf.DUMMYFUNCTION("""COMPUTED_VALUE"""),"PRODUCT_PAGE")</f>
        <v>PRODUCT_PAGE</v>
      </c>
      <c r="E20" s="7" t="str">
        <f>IFERROR(__xludf.DUMMYFUNCTION("""COMPUTED_VALUE"""),"COMPETITOR")</f>
        <v>COMPETITOR</v>
      </c>
      <c r="F20" s="7" t="str">
        <f>IFERROR(__xludf.DUMMYFUNCTION("""COMPUTED_VALUE"""),"Product Page")</f>
        <v>Product Page</v>
      </c>
      <c r="G20" s="7" t="b">
        <f>IFERROR(__xludf.DUMMYFUNCTION("""COMPUTED_VALUE"""),FALSE)</f>
        <v>0</v>
      </c>
      <c r="H20" s="7" t="str">
        <f>IFERROR(__xludf.DUMMYFUNCTION("""COMPUTED_VALUE"""),"Resolution Digital, Measured, Omnicom Media Group")</f>
        <v>Resolution Digital, Measured, Omnicom Media Group</v>
      </c>
      <c r="I20" s="7">
        <f>IFERROR(__xludf.DUMMYFUNCTION("""COMPUTED_VALUE"""),13.0)</f>
        <v>13</v>
      </c>
      <c r="J20" s="7">
        <f>IFERROR(__xludf.DUMMYFUNCTION("""COMPUTED_VALUE"""),0.01)</f>
        <v>0.01</v>
      </c>
      <c r="K20" s="7">
        <f>IFERROR(__xludf.DUMMYFUNCTION("""COMPUTED_VALUE"""),0.85)</f>
        <v>0.85</v>
      </c>
    </row>
    <row r="21" ht="15.75" customHeight="1">
      <c r="A21" s="6" t="str">
        <f>IFERROR(__xludf.DUMMYFUNCTION("""COMPUTED_VALUE"""),"https://alleygroup.com.au/acquisition/ppc-agency/google-partner/")</f>
        <v>https://alleygroup.com.au/acquisition/ppc-agency/google-partner/</v>
      </c>
      <c r="B21" s="7" t="str">
        <f>IFERROR(__xludf.DUMMYFUNCTION("""COMPUTED_VALUE"""),"Google Premier Partner Agency - Alley Group")</f>
        <v>Google Premier Partner Agency - Alley Group</v>
      </c>
      <c r="C21" s="6" t="str">
        <f>IFERROR(__xludf.DUMMYFUNCTION("""COMPUTED_VALUE"""),"alleygroup.com.au")</f>
        <v>alleygroup.com.au</v>
      </c>
      <c r="D21" s="7" t="str">
        <f>IFERROR(__xludf.DUMMYFUNCTION("""COMPUTED_VALUE"""),"PRODUCT_PAGE")</f>
        <v>PRODUCT_PAGE</v>
      </c>
      <c r="E21" s="7" t="str">
        <f>IFERROR(__xludf.DUMMYFUNCTION("""COMPUTED_VALUE"""),"COMPETITOR")</f>
        <v>COMPETITOR</v>
      </c>
      <c r="F21" s="7" t="str">
        <f>IFERROR(__xludf.DUMMYFUNCTION("""COMPUTED_VALUE"""),"Product Page")</f>
        <v>Product Page</v>
      </c>
      <c r="G21" s="7" t="b">
        <f>IFERROR(__xludf.DUMMYFUNCTION("""COMPUTED_VALUE"""),FALSE)</f>
        <v>0</v>
      </c>
      <c r="H21" s="7" t="str">
        <f>IFERROR(__xludf.DUMMYFUNCTION("""COMPUTED_VALUE"""),"Alley Group, Impressive")</f>
        <v>Alley Group, Impressive</v>
      </c>
      <c r="I21" s="7">
        <f>IFERROR(__xludf.DUMMYFUNCTION("""COMPUTED_VALUE"""),12.0)</f>
        <v>12</v>
      </c>
      <c r="J21" s="7">
        <f>IFERROR(__xludf.DUMMYFUNCTION("""COMPUTED_VALUE"""),0.01)</f>
        <v>0.01</v>
      </c>
      <c r="K21" s="7">
        <f>IFERROR(__xludf.DUMMYFUNCTION("""COMPUTED_VALUE"""),1.0)</f>
        <v>1</v>
      </c>
    </row>
    <row r="22" ht="15.75" customHeight="1">
      <c r="A22" s="6" t="str">
        <f>IFERROR(__xludf.DUMMYFUNCTION("""COMPUTED_VALUE"""),"https://www.undivided.com.au/services/measurement")</f>
        <v>https://www.undivided.com.au/services/measurement</v>
      </c>
      <c r="B22" s="7" t="str">
        <f>IFERROR(__xludf.DUMMYFUNCTION("""COMPUTED_VALUE"""),"Undivided Measurement")</f>
        <v>Undivided Measurement</v>
      </c>
      <c r="C22" s="6" t="str">
        <f>IFERROR(__xludf.DUMMYFUNCTION("""COMPUTED_VALUE"""),"undivided.com.au")</f>
        <v>undivided.com.au</v>
      </c>
      <c r="D22" s="7" t="str">
        <f>IFERROR(__xludf.DUMMYFUNCTION("""COMPUTED_VALUE"""),"PRODUCT_PAGE")</f>
        <v>PRODUCT_PAGE</v>
      </c>
      <c r="E22" s="7" t="str">
        <f>IFERROR(__xludf.DUMMYFUNCTION("""COMPUTED_VALUE"""),"CORPORATE")</f>
        <v>CORPORATE</v>
      </c>
      <c r="F22" s="7" t="str">
        <f>IFERROR(__xludf.DUMMYFUNCTION("""COMPUTED_VALUE"""),"Product Page")</f>
        <v>Product Page</v>
      </c>
      <c r="G22" s="7" t="b">
        <f>IFERROR(__xludf.DUMMYFUNCTION("""COMPUTED_VALUE"""),FALSE)</f>
        <v>0</v>
      </c>
      <c r="H22" s="7" t="str">
        <f>IFERROR(__xludf.DUMMYFUNCTION("""COMPUTED_VALUE"""),"Undivided, Measured, Earned Media")</f>
        <v>Undivided, Measured, Earned Media</v>
      </c>
      <c r="I22" s="7">
        <f>IFERROR(__xludf.DUMMYFUNCTION("""COMPUTED_VALUE"""),12.0)</f>
        <v>12</v>
      </c>
      <c r="J22" s="7">
        <f>IFERROR(__xludf.DUMMYFUNCTION("""COMPUTED_VALUE"""),0.01)</f>
        <v>0.01</v>
      </c>
      <c r="K22" s="7">
        <f>IFERROR(__xludf.DUMMYFUNCTION("""COMPUTED_VALUE"""),1.08)</f>
        <v>1.08</v>
      </c>
    </row>
    <row r="23" ht="15.75" customHeight="1">
      <c r="A23" s="6" t="str">
        <f>IFERROR(__xludf.DUMMYFUNCTION("""COMPUTED_VALUE"""),"https://3pdigital.com.au/services/analytics")</f>
        <v>https://3pdigital.com.au/services/analytics</v>
      </c>
      <c r="B23" s="7" t="str">
        <f>IFERROR(__xludf.DUMMYFUNCTION("""COMPUTED_VALUE"""),"Analytics &amp;amp; Reporting Services Australia | 3P Digital")</f>
        <v>Analytics &amp;amp; Reporting Services Australia | 3P Digital</v>
      </c>
      <c r="C23" s="6" t="str">
        <f>IFERROR(__xludf.DUMMYFUNCTION("""COMPUTED_VALUE"""),"3pdigital.com.au")</f>
        <v>3pdigital.com.au</v>
      </c>
      <c r="D23" s="7" t="str">
        <f>IFERROR(__xludf.DUMMYFUNCTION("""COMPUTED_VALUE"""),"PRODUCT_PAGE")</f>
        <v>PRODUCT_PAGE</v>
      </c>
      <c r="E23" s="7" t="str">
        <f>IFERROR(__xludf.DUMMYFUNCTION("""COMPUTED_VALUE"""),"CORPORATE")</f>
        <v>CORPORATE</v>
      </c>
      <c r="F23" s="7" t="str">
        <f>IFERROR(__xludf.DUMMYFUNCTION("""COMPUTED_VALUE"""),"Product Page")</f>
        <v>Product Page</v>
      </c>
      <c r="G23" s="7" t="b">
        <f>IFERROR(__xludf.DUMMYFUNCTION("""COMPUTED_VALUE"""),FALSE)</f>
        <v>0</v>
      </c>
      <c r="H23" s="7"/>
      <c r="I23" s="7">
        <f>IFERROR(__xludf.DUMMYFUNCTION("""COMPUTED_VALUE"""),11.0)</f>
        <v>11</v>
      </c>
      <c r="J23" s="7">
        <f>IFERROR(__xludf.DUMMYFUNCTION("""COMPUTED_VALUE"""),0.01)</f>
        <v>0.01</v>
      </c>
      <c r="K23" s="7">
        <f>IFERROR(__xludf.DUMMYFUNCTION("""COMPUTED_VALUE"""),0.64)</f>
        <v>0.64</v>
      </c>
    </row>
    <row r="24" ht="15.75" customHeight="1">
      <c r="A24" s="6" t="str">
        <f>IFERROR(__xludf.DUMMYFUNCTION("""COMPUTED_VALUE"""),"https://horntech.com.au/ai-search-optimization/")</f>
        <v>https://horntech.com.au/ai-search-optimization/</v>
      </c>
      <c r="B24" s="7" t="str">
        <f>IFERROR(__xludf.DUMMYFUNCTION("""COMPUTED_VALUE"""),"AI Search Optimisation Sydney | GEO &amp;amp; AI SEO Agency")</f>
        <v>AI Search Optimisation Sydney | GEO &amp;amp; AI SEO Agency</v>
      </c>
      <c r="C24" s="6" t="str">
        <f>IFERROR(__xludf.DUMMYFUNCTION("""COMPUTED_VALUE"""),"horntech.com.au")</f>
        <v>horntech.com.au</v>
      </c>
      <c r="D24" s="7" t="str">
        <f>IFERROR(__xludf.DUMMYFUNCTION("""COMPUTED_VALUE"""),"PRODUCT_PAGE")</f>
        <v>PRODUCT_PAGE</v>
      </c>
      <c r="E24" s="7" t="str">
        <f>IFERROR(__xludf.DUMMYFUNCTION("""COMPUTED_VALUE"""),"CORPORATE")</f>
        <v>CORPORATE</v>
      </c>
      <c r="F24" s="7" t="str">
        <f>IFERROR(__xludf.DUMMYFUNCTION("""COMPUTED_VALUE"""),"Product Page")</f>
        <v>Product Page</v>
      </c>
      <c r="G24" s="7" t="b">
        <f>IFERROR(__xludf.DUMMYFUNCTION("""COMPUTED_VALUE"""),FALSE)</f>
        <v>0</v>
      </c>
      <c r="H24" s="7"/>
      <c r="I24" s="7">
        <f>IFERROR(__xludf.DUMMYFUNCTION("""COMPUTED_VALUE"""),11.0)</f>
        <v>11</v>
      </c>
      <c r="J24" s="7">
        <f>IFERROR(__xludf.DUMMYFUNCTION("""COMPUTED_VALUE"""),0.01)</f>
        <v>0.01</v>
      </c>
      <c r="K24" s="7">
        <f>IFERROR(__xludf.DUMMYFUNCTION("""COMPUTED_VALUE"""),0.91)</f>
        <v>0.91</v>
      </c>
    </row>
    <row r="25" ht="15.75" customHeight="1">
      <c r="A25" s="6" t="str">
        <f>IFERROR(__xludf.DUMMYFUNCTION("""COMPUTED_VALUE"""),"https://ven.com.au/services/ai-strategy-consulting/")</f>
        <v>https://ven.com.au/services/ai-strategy-consulting/</v>
      </c>
      <c r="B25" s="7" t="str">
        <f>IFERROR(__xludf.DUMMYFUNCTION("""COMPUTED_VALUE"""),"AI Strategy Consulting Melbourne | Business AI Advisory | Ven Agency")</f>
        <v>AI Strategy Consulting Melbourne | Business AI Advisory | Ven Agency</v>
      </c>
      <c r="C25" s="6" t="str">
        <f>IFERROR(__xludf.DUMMYFUNCTION("""COMPUTED_VALUE"""),"ven.com.au")</f>
        <v>ven.com.au</v>
      </c>
      <c r="D25" s="7" t="str">
        <f>IFERROR(__xludf.DUMMYFUNCTION("""COMPUTED_VALUE"""),"PRODUCT_PAGE")</f>
        <v>PRODUCT_PAGE</v>
      </c>
      <c r="E25" s="7" t="str">
        <f>IFERROR(__xludf.DUMMYFUNCTION("""COMPUTED_VALUE"""),"CORPORATE")</f>
        <v>CORPORATE</v>
      </c>
      <c r="F25" s="7" t="str">
        <f>IFERROR(__xludf.DUMMYFUNCTION("""COMPUTED_VALUE"""),"Product Page")</f>
        <v>Product Page</v>
      </c>
      <c r="G25" s="7" t="b">
        <f>IFERROR(__xludf.DUMMYFUNCTION("""COMPUTED_VALUE"""),FALSE)</f>
        <v>0</v>
      </c>
      <c r="H25" s="7" t="str">
        <f>IFERROR(__xludf.DUMMYFUNCTION("""COMPUTED_VALUE"""),"Impressive")</f>
        <v>Impressive</v>
      </c>
      <c r="I25" s="7">
        <f>IFERROR(__xludf.DUMMYFUNCTION("""COMPUTED_VALUE"""),11.0)</f>
        <v>11</v>
      </c>
      <c r="J25" s="7">
        <f>IFERROR(__xludf.DUMMYFUNCTION("""COMPUTED_VALUE"""),0.01)</f>
        <v>0.01</v>
      </c>
      <c r="K25" s="7">
        <f>IFERROR(__xludf.DUMMYFUNCTION("""COMPUTED_VALUE"""),0.0)</f>
        <v>0</v>
      </c>
    </row>
    <row r="26" ht="15.75" customHeight="1">
      <c r="A26" s="6" t="str">
        <f>IFERROR(__xludf.DUMMYFUNCTION("""COMPUTED_VALUE"""),"https://clickclickmedia.com.au/ppc-agency/google-ads/")</f>
        <v>https://clickclickmedia.com.au/ppc-agency/google-ads/</v>
      </c>
      <c r="B26" s="7" t="str">
        <f>IFERROR(__xludf.DUMMYFUNCTION("""COMPUTED_VALUE"""),"Google Ads Agency Sydney | Premier Partner, Senior Team")</f>
        <v>Google Ads Agency Sydney | Premier Partner, Senior Team</v>
      </c>
      <c r="C26" s="6" t="str">
        <f>IFERROR(__xludf.DUMMYFUNCTION("""COMPUTED_VALUE"""),"clickclickmedia.com.au")</f>
        <v>clickclickmedia.com.au</v>
      </c>
      <c r="D26" s="7" t="str">
        <f>IFERROR(__xludf.DUMMYFUNCTION("""COMPUTED_VALUE"""),"PRODUCT_PAGE")</f>
        <v>PRODUCT_PAGE</v>
      </c>
      <c r="E26" s="7" t="str">
        <f>IFERROR(__xludf.DUMMYFUNCTION("""COMPUTED_VALUE"""),"CORPORATE")</f>
        <v>CORPORATE</v>
      </c>
      <c r="F26" s="7" t="str">
        <f>IFERROR(__xludf.DUMMYFUNCTION("""COMPUTED_VALUE"""),"Product Page")</f>
        <v>Product Page</v>
      </c>
      <c r="G26" s="7" t="b">
        <f>IFERROR(__xludf.DUMMYFUNCTION("""COMPUTED_VALUE"""),FALSE)</f>
        <v>0</v>
      </c>
      <c r="H26" s="7" t="str">
        <f>IFERROR(__xludf.DUMMYFUNCTION("""COMPUTED_VALUE"""),"Click Click Media, HERO")</f>
        <v>Click Click Media, HERO</v>
      </c>
      <c r="I26" s="7">
        <f>IFERROR(__xludf.DUMMYFUNCTION("""COMPUTED_VALUE"""),10.0)</f>
        <v>10</v>
      </c>
      <c r="J26" s="7">
        <f>IFERROR(__xludf.DUMMYFUNCTION("""COMPUTED_VALUE"""),0.01)</f>
        <v>0.01</v>
      </c>
      <c r="K26" s="7">
        <f>IFERROR(__xludf.DUMMYFUNCTION("""COMPUTED_VALUE"""),1.0)</f>
        <v>1</v>
      </c>
    </row>
    <row r="27" ht="15.75" customHeight="1">
      <c r="A27" s="6" t="str">
        <f>IFERROR(__xludf.DUMMYFUNCTION("""COMPUTED_VALUE"""),"https://impressive.com.au/performance-marketing-agency-melbourne/")</f>
        <v>https://impressive.com.au/performance-marketing-agency-melbourne/</v>
      </c>
      <c r="B27" s="7" t="str">
        <f>IFERROR(__xludf.DUMMYFUNCTION("""COMPUTED_VALUE"""),"Performance Marketing Agency Melbourne | Impressive")</f>
        <v>Performance Marketing Agency Melbourne | Impressive</v>
      </c>
      <c r="C27" s="6" t="str">
        <f>IFERROR(__xludf.DUMMYFUNCTION("""COMPUTED_VALUE"""),"impressive.com.au")</f>
        <v>impressive.com.au</v>
      </c>
      <c r="D27" s="7" t="str">
        <f>IFERROR(__xludf.DUMMYFUNCTION("""COMPUTED_VALUE"""),"PRODUCT_PAGE")</f>
        <v>PRODUCT_PAGE</v>
      </c>
      <c r="E27" s="7" t="str">
        <f>IFERROR(__xludf.DUMMYFUNCTION("""COMPUTED_VALUE"""),"COMPETITOR")</f>
        <v>COMPETITOR</v>
      </c>
      <c r="F27" s="7" t="str">
        <f>IFERROR(__xludf.DUMMYFUNCTION("""COMPUTED_VALUE"""),"Product Page")</f>
        <v>Product Page</v>
      </c>
      <c r="G27" s="7" t="b">
        <f>IFERROR(__xludf.DUMMYFUNCTION("""COMPUTED_VALUE"""),FALSE)</f>
        <v>0</v>
      </c>
      <c r="H27" s="7" t="str">
        <f>IFERROR(__xludf.DUMMYFUNCTION("""COMPUTED_VALUE"""),"Impressive, Deloitte")</f>
        <v>Impressive, Deloitte</v>
      </c>
      <c r="I27" s="7">
        <f>IFERROR(__xludf.DUMMYFUNCTION("""COMPUTED_VALUE"""),10.0)</f>
        <v>10</v>
      </c>
      <c r="J27" s="7">
        <f>IFERROR(__xludf.DUMMYFUNCTION("""COMPUTED_VALUE"""),0.01)</f>
        <v>0.01</v>
      </c>
      <c r="K27" s="7">
        <f>IFERROR(__xludf.DUMMYFUNCTION("""COMPUTED_VALUE"""),1.1)</f>
        <v>1.1</v>
      </c>
    </row>
    <row r="28" ht="15.75" customHeight="1">
      <c r="A28" s="6" t="str">
        <f>IFERROR(__xludf.DUMMYFUNCTION("""COMPUTED_VALUE"""),"https://www.onlinemarketinggurus.com.au/social-media-advertising/")</f>
        <v>https://www.onlinemarketinggurus.com.au/social-media-advertising/</v>
      </c>
      <c r="B28" s="7" t="str">
        <f>IFERROR(__xludf.DUMMYFUNCTION("""COMPUTED_VALUE"""),"Social Media Marketing Services Built By Social Specialists")</f>
        <v>Social Media Marketing Services Built By Social Specialists</v>
      </c>
      <c r="C28" s="6" t="str">
        <f>IFERROR(__xludf.DUMMYFUNCTION("""COMPUTED_VALUE"""),"onlinemarketinggurus.com.au")</f>
        <v>onlinemarketinggurus.com.au</v>
      </c>
      <c r="D28" s="7" t="str">
        <f>IFERROR(__xludf.DUMMYFUNCTION("""COMPUTED_VALUE"""),"PRODUCT_PAGE")</f>
        <v>PRODUCT_PAGE</v>
      </c>
      <c r="E28" s="7" t="str">
        <f>IFERROR(__xludf.DUMMYFUNCTION("""COMPUTED_VALUE"""),"COMPETITOR")</f>
        <v>COMPETITOR</v>
      </c>
      <c r="F28" s="7" t="str">
        <f>IFERROR(__xludf.DUMMYFUNCTION("""COMPUTED_VALUE"""),"Product Page")</f>
        <v>Product Page</v>
      </c>
      <c r="G28" s="7" t="b">
        <f>IFERROR(__xludf.DUMMYFUNCTION("""COMPUTED_VALUE"""),FALSE)</f>
        <v>0</v>
      </c>
      <c r="H28" s="7" t="str">
        <f>IFERROR(__xludf.DUMMYFUNCTION("""COMPUTED_VALUE"""),"Online Marketing Gurus, Omnicom Media Group, Measured, HERO")</f>
        <v>Online Marketing Gurus, Omnicom Media Group, Measured, HERO</v>
      </c>
      <c r="I28" s="7">
        <f>IFERROR(__xludf.DUMMYFUNCTION("""COMPUTED_VALUE"""),10.0)</f>
        <v>10</v>
      </c>
      <c r="J28" s="7">
        <f>IFERROR(__xludf.DUMMYFUNCTION("""COMPUTED_VALUE"""),0.01)</f>
        <v>0.01</v>
      </c>
      <c r="K28" s="7">
        <f>IFERROR(__xludf.DUMMYFUNCTION("""COMPUTED_VALUE"""),0.0)</f>
        <v>0</v>
      </c>
    </row>
    <row r="29" ht="15.75" customHeight="1">
      <c r="A29" s="6" t="str">
        <f>IFERROR(__xludf.DUMMYFUNCTION("""COMPUTED_VALUE"""),"https://somo.agency/au/paid-social/")</f>
        <v>https://somo.agency/au/paid-social/</v>
      </c>
      <c r="B29" s="7" t="str">
        <f>IFERROR(__xludf.DUMMYFUNCTION("""COMPUTED_VALUE"""),"Paid Social Agency Australia | Performance Marketing | SOMO")</f>
        <v>Paid Social Agency Australia | Performance Marketing | SOMO</v>
      </c>
      <c r="C29" s="7" t="str">
        <f>IFERROR(__xludf.DUMMYFUNCTION("""COMPUTED_VALUE"""),"somo.agency")</f>
        <v>somo.agency</v>
      </c>
      <c r="D29" s="7" t="str">
        <f>IFERROR(__xludf.DUMMYFUNCTION("""COMPUTED_VALUE"""),"PRODUCT_PAGE")</f>
        <v>PRODUCT_PAGE</v>
      </c>
      <c r="E29" s="7" t="str">
        <f>IFERROR(__xludf.DUMMYFUNCTION("""COMPUTED_VALUE"""),"CORPORATE")</f>
        <v>CORPORATE</v>
      </c>
      <c r="F29" s="7" t="str">
        <f>IFERROR(__xludf.DUMMYFUNCTION("""COMPUTED_VALUE"""),"Product Page")</f>
        <v>Product Page</v>
      </c>
      <c r="G29" s="7" t="b">
        <f>IFERROR(__xludf.DUMMYFUNCTION("""COMPUTED_VALUE"""),FALSE)</f>
        <v>0</v>
      </c>
      <c r="H29" s="7" t="str">
        <f>IFERROR(__xludf.DUMMYFUNCTION("""COMPUTED_VALUE"""),"Huge")</f>
        <v>Huge</v>
      </c>
      <c r="I29" s="7">
        <f>IFERROR(__xludf.DUMMYFUNCTION("""COMPUTED_VALUE"""),10.0)</f>
        <v>10</v>
      </c>
      <c r="J29" s="7">
        <f>IFERROR(__xludf.DUMMYFUNCTION("""COMPUTED_VALUE"""),0.01)</f>
        <v>0.01</v>
      </c>
      <c r="K29" s="7">
        <f>IFERROR(__xludf.DUMMYFUNCTION("""COMPUTED_VALUE"""),0.2)</f>
        <v>0.2</v>
      </c>
    </row>
    <row r="30" ht="15.75" customHeight="1">
      <c r="A30" s="6" t="str">
        <f>IFERROR(__xludf.DUMMYFUNCTION("""COMPUTED_VALUE"""),"https://thinkcreativeagency.com.au/digital-marketing/marketing-analytics-agency/")</f>
        <v>https://thinkcreativeagency.com.au/digital-marketing/marketing-analytics-agency/</v>
      </c>
      <c r="B30" s="7" t="str">
        <f>IFERROR(__xludf.DUMMYFUNCTION("""COMPUTED_VALUE"""),"Data-Driven Marketing Analytics Agency Sydney | Think Creative")</f>
        <v>Data-Driven Marketing Analytics Agency Sydney | Think Creative</v>
      </c>
      <c r="C30" s="6" t="str">
        <f>IFERROR(__xludf.DUMMYFUNCTION("""COMPUTED_VALUE"""),"thinkcreativeagency.com.au")</f>
        <v>thinkcreativeagency.com.au</v>
      </c>
      <c r="D30" s="7" t="str">
        <f>IFERROR(__xludf.DUMMYFUNCTION("""COMPUTED_VALUE"""),"PRODUCT_PAGE")</f>
        <v>PRODUCT_PAGE</v>
      </c>
      <c r="E30" s="7" t="str">
        <f>IFERROR(__xludf.DUMMYFUNCTION("""COMPUTED_VALUE"""),"CORPORATE")</f>
        <v>CORPORATE</v>
      </c>
      <c r="F30" s="7" t="str">
        <f>IFERROR(__xludf.DUMMYFUNCTION("""COMPUTED_VALUE"""),"Product Page")</f>
        <v>Product Page</v>
      </c>
      <c r="G30" s="7" t="b">
        <f>IFERROR(__xludf.DUMMYFUNCTION("""COMPUTED_VALUE"""),FALSE)</f>
        <v>0</v>
      </c>
      <c r="H30" s="7"/>
      <c r="I30" s="7">
        <f>IFERROR(__xludf.DUMMYFUNCTION("""COMPUTED_VALUE"""),10.0)</f>
        <v>10</v>
      </c>
      <c r="J30" s="7">
        <f>IFERROR(__xludf.DUMMYFUNCTION("""COMPUTED_VALUE"""),0.01)</f>
        <v>0.01</v>
      </c>
      <c r="K30" s="7">
        <f>IFERROR(__xludf.DUMMYFUNCTION("""COMPUTED_VALUE"""),0.1)</f>
        <v>0.1</v>
      </c>
    </row>
    <row r="31" ht="15.75" customHeight="1">
      <c r="A31" s="6" t="str">
        <f>IFERROR(__xludf.DUMMYFUNCTION("""COMPUTED_VALUE"""),"https://getaiready.com.au/solutions")</f>
        <v>https://getaiready.com.au/solutions</v>
      </c>
      <c r="B31" s="7" t="str">
        <f>IFERROR(__xludf.DUMMYFUNCTION("""COMPUTED_VALUE"""),"Enterprise AI Consulting Australia | Get AI Ready")</f>
        <v>Enterprise AI Consulting Australia | Get AI Ready</v>
      </c>
      <c r="C31" s="6" t="str">
        <f>IFERROR(__xludf.DUMMYFUNCTION("""COMPUTED_VALUE"""),"getaiready.com.au")</f>
        <v>getaiready.com.au</v>
      </c>
      <c r="D31" s="7" t="str">
        <f>IFERROR(__xludf.DUMMYFUNCTION("""COMPUTED_VALUE"""),"PRODUCT_PAGE")</f>
        <v>PRODUCT_PAGE</v>
      </c>
      <c r="E31" s="7" t="str">
        <f>IFERROR(__xludf.DUMMYFUNCTION("""COMPUTED_VALUE"""),"CORPORATE")</f>
        <v>CORPORATE</v>
      </c>
      <c r="F31" s="7" t="str">
        <f>IFERROR(__xludf.DUMMYFUNCTION("""COMPUTED_VALUE"""),"Product Page")</f>
        <v>Product Page</v>
      </c>
      <c r="G31" s="7" t="b">
        <f>IFERROR(__xludf.DUMMYFUNCTION("""COMPUTED_VALUE"""),FALSE)</f>
        <v>0</v>
      </c>
      <c r="H31" s="7" t="str">
        <f>IFERROR(__xludf.DUMMYFUNCTION("""COMPUTED_VALUE"""),"Get AI Ready")</f>
        <v>Get AI Ready</v>
      </c>
      <c r="I31" s="7">
        <f>IFERROR(__xludf.DUMMYFUNCTION("""COMPUTED_VALUE"""),9.0)</f>
        <v>9</v>
      </c>
      <c r="J31" s="7">
        <f>IFERROR(__xludf.DUMMYFUNCTION("""COMPUTED_VALUE"""),0.01)</f>
        <v>0.01</v>
      </c>
      <c r="K31" s="7">
        <f>IFERROR(__xludf.DUMMYFUNCTION("""COMPUTED_VALUE"""),1.22)</f>
        <v>1.22</v>
      </c>
    </row>
    <row r="32" ht="15.75" customHeight="1">
      <c r="A32" s="6" t="str">
        <f>IFERROR(__xludf.DUMMYFUNCTION("""COMPUTED_VALUE"""),"https://liftlab.com/platform/incrementality-testing-engine/")</f>
        <v>https://liftlab.com/platform/incrementality-testing-engine/</v>
      </c>
      <c r="B32" s="7" t="str">
        <f>IFERROR(__xludf.DUMMYFUNCTION("""COMPUTED_VALUE"""),"Incrementality Testing &amp;amp; GEO Experimentation Platform | LiftLab")</f>
        <v>Incrementality Testing &amp;amp; GEO Experimentation Platform | LiftLab</v>
      </c>
      <c r="C32" s="6" t="str">
        <f>IFERROR(__xludf.DUMMYFUNCTION("""COMPUTED_VALUE"""),"liftlab.com")</f>
        <v>liftlab.com</v>
      </c>
      <c r="D32" s="7" t="str">
        <f>IFERROR(__xludf.DUMMYFUNCTION("""COMPUTED_VALUE"""),"PRODUCT_PAGE")</f>
        <v>PRODUCT_PAGE</v>
      </c>
      <c r="E32" s="7" t="str">
        <f>IFERROR(__xludf.DUMMYFUNCTION("""COMPUTED_VALUE"""),"COMPETITOR")</f>
        <v>COMPETITOR</v>
      </c>
      <c r="F32" s="7" t="str">
        <f>IFERROR(__xludf.DUMMYFUNCTION("""COMPUTED_VALUE"""),"Product Page")</f>
        <v>Product Page</v>
      </c>
      <c r="G32" s="7" t="b">
        <f>IFERROR(__xludf.DUMMYFUNCTION("""COMPUTED_VALUE"""),FALSE)</f>
        <v>0</v>
      </c>
      <c r="H32" s="7" t="str">
        <f>IFERROR(__xludf.DUMMYFUNCTION("""COMPUTED_VALUE"""),"LiftLab, HERO")</f>
        <v>LiftLab, HERO</v>
      </c>
      <c r="I32" s="7">
        <f>IFERROR(__xludf.DUMMYFUNCTION("""COMPUTED_VALUE"""),9.0)</f>
        <v>9</v>
      </c>
      <c r="J32" s="7">
        <f>IFERROR(__xludf.DUMMYFUNCTION("""COMPUTED_VALUE"""),0.01)</f>
        <v>0.01</v>
      </c>
      <c r="K32" s="7">
        <f>IFERROR(__xludf.DUMMYFUNCTION("""COMPUTED_VALUE"""),1.44)</f>
        <v>1.44</v>
      </c>
    </row>
    <row r="33" ht="15.75" customHeight="1">
      <c r="A33" s="6" t="str">
        <f>IFERROR(__xludf.DUMMYFUNCTION("""COMPUTED_VALUE"""),"https://www.melottimedia.com.au/ai-marketing-services/ai-search-optimisation/")</f>
        <v>https://www.melottimedia.com.au/ai-marketing-services/ai-search-optimisation/</v>
      </c>
      <c r="B33" s="7" t="str">
        <f>IFERROR(__xludf.DUMMYFUNCTION("""COMPUTED_VALUE"""),"AI Search Optimisation for Australian Businesses Sydney &amp;amp; Melbourne | Melotti Content Media")</f>
        <v>AI Search Optimisation for Australian Businesses Sydney &amp;amp; Melbourne | Melotti Content Media</v>
      </c>
      <c r="C33" s="6" t="str">
        <f>IFERROR(__xludf.DUMMYFUNCTION("""COMPUTED_VALUE"""),"melottimedia.com.au")</f>
        <v>melottimedia.com.au</v>
      </c>
      <c r="D33" s="7" t="str">
        <f>IFERROR(__xludf.DUMMYFUNCTION("""COMPUTED_VALUE"""),"PRODUCT_PAGE")</f>
        <v>PRODUCT_PAGE</v>
      </c>
      <c r="E33" s="7" t="str">
        <f>IFERROR(__xludf.DUMMYFUNCTION("""COMPUTED_VALUE"""),"OTHER")</f>
        <v>OTHER</v>
      </c>
      <c r="F33" s="7" t="str">
        <f>IFERROR(__xludf.DUMMYFUNCTION("""COMPUTED_VALUE"""),"Product Page")</f>
        <v>Product Page</v>
      </c>
      <c r="G33" s="7" t="b">
        <f>IFERROR(__xludf.DUMMYFUNCTION("""COMPUTED_VALUE"""),FALSE)</f>
        <v>0</v>
      </c>
      <c r="H33" s="7"/>
      <c r="I33" s="7">
        <f>IFERROR(__xludf.DUMMYFUNCTION("""COMPUTED_VALUE"""),9.0)</f>
        <v>9</v>
      </c>
      <c r="J33" s="7">
        <f>IFERROR(__xludf.DUMMYFUNCTION("""COMPUTED_VALUE"""),0.01)</f>
        <v>0.01</v>
      </c>
      <c r="K33" s="7">
        <f>IFERROR(__xludf.DUMMYFUNCTION("""COMPUTED_VALUE"""),0.0)</f>
        <v>0</v>
      </c>
    </row>
    <row r="34" ht="15.75" customHeight="1">
      <c r="A34" s="6" t="str">
        <f>IFERROR(__xludf.DUMMYFUNCTION("""COMPUTED_VALUE"""),"https://rocketagency.com.au/services/seo-agency/generative-ai-seo")</f>
        <v>https://rocketagency.com.au/services/seo-agency/generative-ai-seo</v>
      </c>
      <c r="B34" s="7" t="str">
        <f>IFERROR(__xludf.DUMMYFUNCTION("""COMPUTED_VALUE"""),"Generative AI SEO | Maximise Your SEO Impact | Rocket Agency")</f>
        <v>Generative AI SEO | Maximise Your SEO Impact | Rocket Agency</v>
      </c>
      <c r="C34" s="6" t="str">
        <f>IFERROR(__xludf.DUMMYFUNCTION("""COMPUTED_VALUE"""),"rocketagency.com.au")</f>
        <v>rocketagency.com.au</v>
      </c>
      <c r="D34" s="7" t="str">
        <f>IFERROR(__xludf.DUMMYFUNCTION("""COMPUTED_VALUE"""),"PRODUCT_PAGE")</f>
        <v>PRODUCT_PAGE</v>
      </c>
      <c r="E34" s="7" t="str">
        <f>IFERROR(__xludf.DUMMYFUNCTION("""COMPUTED_VALUE"""),"COMPETITOR")</f>
        <v>COMPETITOR</v>
      </c>
      <c r="F34" s="7" t="str">
        <f>IFERROR(__xludf.DUMMYFUNCTION("""COMPUTED_VALUE"""),"Product Page")</f>
        <v>Product Page</v>
      </c>
      <c r="G34" s="7" t="b">
        <f>IFERROR(__xludf.DUMMYFUNCTION("""COMPUTED_VALUE"""),FALSE)</f>
        <v>0</v>
      </c>
      <c r="H34" s="7" t="str">
        <f>IFERROR(__xludf.DUMMYFUNCTION("""COMPUTED_VALUE"""),"Rocket Agency, HERO")</f>
        <v>Rocket Agency, HERO</v>
      </c>
      <c r="I34" s="7">
        <f>IFERROR(__xludf.DUMMYFUNCTION("""COMPUTED_VALUE"""),9.0)</f>
        <v>9</v>
      </c>
      <c r="J34" s="7">
        <f>IFERROR(__xludf.DUMMYFUNCTION("""COMPUTED_VALUE"""),0.01)</f>
        <v>0.01</v>
      </c>
      <c r="K34" s="7">
        <f>IFERROR(__xludf.DUMMYFUNCTION("""COMPUTED_VALUE"""),1.0)</f>
        <v>1</v>
      </c>
    </row>
    <row r="35" ht="15.75" customHeight="1">
      <c r="A35" s="6" t="str">
        <f>IFERROR(__xludf.DUMMYFUNCTION("""COMPUTED_VALUE"""),"https://rocketagency.com.au/services/seo-agency/geo")</f>
        <v>https://rocketagency.com.au/services/seo-agency/geo</v>
      </c>
      <c r="B35" s="7" t="str">
        <f>IFERROR(__xludf.DUMMYFUNCTION("""COMPUTED_VALUE"""),"GEO Services in Australia | Boost AI Visibility &amp;amp; Traffic")</f>
        <v>GEO Services in Australia | Boost AI Visibility &amp;amp; Traffic</v>
      </c>
      <c r="C35" s="6" t="str">
        <f>IFERROR(__xludf.DUMMYFUNCTION("""COMPUTED_VALUE"""),"rocketagency.com.au")</f>
        <v>rocketagency.com.au</v>
      </c>
      <c r="D35" s="7" t="str">
        <f>IFERROR(__xludf.DUMMYFUNCTION("""COMPUTED_VALUE"""),"PRODUCT_PAGE")</f>
        <v>PRODUCT_PAGE</v>
      </c>
      <c r="E35" s="7" t="str">
        <f>IFERROR(__xludf.DUMMYFUNCTION("""COMPUTED_VALUE"""),"COMPETITOR")</f>
        <v>COMPETITOR</v>
      </c>
      <c r="F35" s="7" t="str">
        <f>IFERROR(__xludf.DUMMYFUNCTION("""COMPUTED_VALUE"""),"Product Page")</f>
        <v>Product Page</v>
      </c>
      <c r="G35" s="7" t="b">
        <f>IFERROR(__xludf.DUMMYFUNCTION("""COMPUTED_VALUE"""),FALSE)</f>
        <v>0</v>
      </c>
      <c r="H35" s="7" t="str">
        <f>IFERROR(__xludf.DUMMYFUNCTION("""COMPUTED_VALUE"""),"Rocket Agency, First Page, HERO")</f>
        <v>Rocket Agency, First Page, HERO</v>
      </c>
      <c r="I35" s="7">
        <f>IFERROR(__xludf.DUMMYFUNCTION("""COMPUTED_VALUE"""),9.0)</f>
        <v>9</v>
      </c>
      <c r="J35" s="7">
        <f>IFERROR(__xludf.DUMMYFUNCTION("""COMPUTED_VALUE"""),0.01)</f>
        <v>0.01</v>
      </c>
      <c r="K35" s="7">
        <f>IFERROR(__xludf.DUMMYFUNCTION("""COMPUTED_VALUE"""),1.11)</f>
        <v>1.11</v>
      </c>
    </row>
    <row r="36" ht="15.75" customHeight="1">
      <c r="A36" s="6" t="str">
        <f>IFERROR(__xludf.DUMMYFUNCTION("""COMPUTED_VALUE"""),"https://source-digital.com.au/aeo-australia")</f>
        <v>https://source-digital.com.au/aeo-australia</v>
      </c>
      <c r="B36" s="7" t="str">
        <f>IFERROR(__xludf.DUMMYFUNCTION("""COMPUTED_VALUE"""),"AEO Australia | Answer Engine Optimisation | Source Digital")</f>
        <v>AEO Australia | Answer Engine Optimisation | Source Digital</v>
      </c>
      <c r="C36" s="6" t="str">
        <f>IFERROR(__xludf.DUMMYFUNCTION("""COMPUTED_VALUE"""),"source-digital.com.au")</f>
        <v>source-digital.com.au</v>
      </c>
      <c r="D36" s="7" t="str">
        <f>IFERROR(__xludf.DUMMYFUNCTION("""COMPUTED_VALUE"""),"PRODUCT_PAGE")</f>
        <v>PRODUCT_PAGE</v>
      </c>
      <c r="E36" s="7" t="str">
        <f>IFERROR(__xludf.DUMMYFUNCTION("""COMPUTED_VALUE"""),"CORPORATE")</f>
        <v>CORPORATE</v>
      </c>
      <c r="F36" s="7" t="str">
        <f>IFERROR(__xludf.DUMMYFUNCTION("""COMPUTED_VALUE"""),"Product Page")</f>
        <v>Product Page</v>
      </c>
      <c r="G36" s="7" t="b">
        <f>IFERROR(__xludf.DUMMYFUNCTION("""COMPUTED_VALUE"""),FALSE)</f>
        <v>0</v>
      </c>
      <c r="H36" s="7"/>
      <c r="I36" s="7">
        <f>IFERROR(__xludf.DUMMYFUNCTION("""COMPUTED_VALUE"""),9.0)</f>
        <v>9</v>
      </c>
      <c r="J36" s="7">
        <f>IFERROR(__xludf.DUMMYFUNCTION("""COMPUTED_VALUE"""),0.01)</f>
        <v>0.01</v>
      </c>
      <c r="K36" s="7">
        <f>IFERROR(__xludf.DUMMYFUNCTION("""COMPUTED_VALUE"""),1.67)</f>
        <v>1.67</v>
      </c>
    </row>
    <row r="37" ht="15.75" customHeight="1">
      <c r="A37" s="6" t="str">
        <f>IFERROR(__xludf.DUMMYFUNCTION("""COMPUTED_VALUE"""),"https://submerge.digital/measurement/marketing-attribution-agency/")</f>
        <v>https://submerge.digital/measurement/marketing-attribution-agency/</v>
      </c>
      <c r="B37" s="7" t="str">
        <f>IFERROR(__xludf.DUMMYFUNCTION("""COMPUTED_VALUE"""),"Marketing Attribution Agency - Powering Insights - Submerge")</f>
        <v>Marketing Attribution Agency - Powering Insights - Submerge</v>
      </c>
      <c r="C37" s="7" t="str">
        <f>IFERROR(__xludf.DUMMYFUNCTION("""COMPUTED_VALUE"""),"submerge.digital")</f>
        <v>submerge.digital</v>
      </c>
      <c r="D37" s="7" t="str">
        <f>IFERROR(__xludf.DUMMYFUNCTION("""COMPUTED_VALUE"""),"PRODUCT_PAGE")</f>
        <v>PRODUCT_PAGE</v>
      </c>
      <c r="E37" s="7" t="str">
        <f>IFERROR(__xludf.DUMMYFUNCTION("""COMPUTED_VALUE"""),"CORPORATE")</f>
        <v>CORPORATE</v>
      </c>
      <c r="F37" s="7" t="str">
        <f>IFERROR(__xludf.DUMMYFUNCTION("""COMPUTED_VALUE"""),"Product Page")</f>
        <v>Product Page</v>
      </c>
      <c r="G37" s="7" t="b">
        <f>IFERROR(__xludf.DUMMYFUNCTION("""COMPUTED_VALUE"""),FALSE)</f>
        <v>0</v>
      </c>
      <c r="H37" s="7" t="str">
        <f>IFERROR(__xludf.DUMMYFUNCTION("""COMPUTED_VALUE"""),"Measured, Impressive")</f>
        <v>Measured, Impressive</v>
      </c>
      <c r="I37" s="7">
        <f>IFERROR(__xludf.DUMMYFUNCTION("""COMPUTED_VALUE"""),9.0)</f>
        <v>9</v>
      </c>
      <c r="J37" s="7">
        <f>IFERROR(__xludf.DUMMYFUNCTION("""COMPUTED_VALUE"""),0.01)</f>
        <v>0.01</v>
      </c>
      <c r="K37" s="7">
        <f>IFERROR(__xludf.DUMMYFUNCTION("""COMPUTED_VALUE"""),0.56)</f>
        <v>0.56</v>
      </c>
    </row>
    <row r="38" ht="15.75" customHeight="1">
      <c r="A38" s="6" t="str">
        <f>IFERROR(__xludf.DUMMYFUNCTION("""COMPUTED_VALUE"""),"https://www.bonfire.com.au/services/performance-media/google-ads/")</f>
        <v>https://www.bonfire.com.au/services/performance-media/google-ads/</v>
      </c>
      <c r="B38" s="7" t="str">
        <f>IFERROR(__xludf.DUMMYFUNCTION("""COMPUTED_VALUE"""),"Google Ads Agency Perth | Leading Google Premier Partner")</f>
        <v>Google Ads Agency Perth | Leading Google Premier Partner</v>
      </c>
      <c r="C38" s="6" t="str">
        <f>IFERROR(__xludf.DUMMYFUNCTION("""COMPUTED_VALUE"""),"bonfire.com.au")</f>
        <v>bonfire.com.au</v>
      </c>
      <c r="D38" s="7" t="str">
        <f>IFERROR(__xludf.DUMMYFUNCTION("""COMPUTED_VALUE"""),"PRODUCT_PAGE")</f>
        <v>PRODUCT_PAGE</v>
      </c>
      <c r="E38" s="7" t="str">
        <f>IFERROR(__xludf.DUMMYFUNCTION("""COMPUTED_VALUE"""),"COMPETITOR")</f>
        <v>COMPETITOR</v>
      </c>
      <c r="F38" s="7" t="str">
        <f>IFERROR(__xludf.DUMMYFUNCTION("""COMPUTED_VALUE"""),"Product Page")</f>
        <v>Product Page</v>
      </c>
      <c r="G38" s="7" t="b">
        <f>IFERROR(__xludf.DUMMYFUNCTION("""COMPUTED_VALUE"""),FALSE)</f>
        <v>0</v>
      </c>
      <c r="H38" s="7" t="str">
        <f>IFERROR(__xludf.DUMMYFUNCTION("""COMPUTED_VALUE"""),"Bonfire")</f>
        <v>Bonfire</v>
      </c>
      <c r="I38" s="7">
        <f>IFERROR(__xludf.DUMMYFUNCTION("""COMPUTED_VALUE"""),8.0)</f>
        <v>8</v>
      </c>
      <c r="J38" s="7">
        <f>IFERROR(__xludf.DUMMYFUNCTION("""COMPUTED_VALUE"""),0.01)</f>
        <v>0.01</v>
      </c>
      <c r="K38" s="7">
        <f>IFERROR(__xludf.DUMMYFUNCTION("""COMPUTED_VALUE"""),1.0)</f>
        <v>1</v>
      </c>
    </row>
    <row r="39" ht="15.75" customHeight="1">
      <c r="A39" s="6" t="str">
        <f>IFERROR(__xludf.DUMMYFUNCTION("""COMPUTED_VALUE"""),"https://clearwateragency.com.au/ai-seo-agency")</f>
        <v>https://clearwateragency.com.au/ai-seo-agency</v>
      </c>
      <c r="B39" s="7" t="str">
        <f>IFERROR(__xludf.DUMMYFUNCTION("""COMPUTED_VALUE"""),"AI SEO Agency Australia | Expert AI Search Services")</f>
        <v>AI SEO Agency Australia | Expert AI Search Services</v>
      </c>
      <c r="C39" s="6" t="str">
        <f>IFERROR(__xludf.DUMMYFUNCTION("""COMPUTED_VALUE"""),"clearwateragency.com.au")</f>
        <v>clearwateragency.com.au</v>
      </c>
      <c r="D39" s="7" t="str">
        <f>IFERROR(__xludf.DUMMYFUNCTION("""COMPUTED_VALUE"""),"PRODUCT_PAGE")</f>
        <v>PRODUCT_PAGE</v>
      </c>
      <c r="E39" s="7" t="str">
        <f>IFERROR(__xludf.DUMMYFUNCTION("""COMPUTED_VALUE"""),"COMPETITOR")</f>
        <v>COMPETITOR</v>
      </c>
      <c r="F39" s="7" t="str">
        <f>IFERROR(__xludf.DUMMYFUNCTION("""COMPUTED_VALUE"""),"Product Page")</f>
        <v>Product Page</v>
      </c>
      <c r="G39" s="7" t="b">
        <f>IFERROR(__xludf.DUMMYFUNCTION("""COMPUTED_VALUE"""),FALSE)</f>
        <v>0</v>
      </c>
      <c r="H39" s="7" t="str">
        <f>IFERROR(__xludf.DUMMYFUNCTION("""COMPUTED_VALUE"""),"Clearwater Agency")</f>
        <v>Clearwater Agency</v>
      </c>
      <c r="I39" s="7">
        <f>IFERROR(__xludf.DUMMYFUNCTION("""COMPUTED_VALUE"""),8.0)</f>
        <v>8</v>
      </c>
      <c r="J39" s="7">
        <f>IFERROR(__xludf.DUMMYFUNCTION("""COMPUTED_VALUE"""),0.01)</f>
        <v>0.01</v>
      </c>
      <c r="K39" s="7">
        <f>IFERROR(__xludf.DUMMYFUNCTION("""COMPUTED_VALUE"""),1.38)</f>
        <v>1.38</v>
      </c>
    </row>
    <row r="40" ht="15.75" customHeight="1">
      <c r="A40" s="6" t="str">
        <f>IFERROR(__xludf.DUMMYFUNCTION("""COMPUTED_VALUE"""),"https://www.epicit.com.au/our-services/ai-services/ai-assessment/")</f>
        <v>https://www.epicit.com.au/our-services/ai-services/ai-assessment/</v>
      </c>
      <c r="B40" s="7" t="str">
        <f>IFERROR(__xludf.DUMMYFUNCTION("""COMPUTED_VALUE"""),"AI Readiness Assessment Australia | Epic IT")</f>
        <v>AI Readiness Assessment Australia | Epic IT</v>
      </c>
      <c r="C40" s="6" t="str">
        <f>IFERROR(__xludf.DUMMYFUNCTION("""COMPUTED_VALUE"""),"epicit.com.au")</f>
        <v>epicit.com.au</v>
      </c>
      <c r="D40" s="7" t="str">
        <f>IFERROR(__xludf.DUMMYFUNCTION("""COMPUTED_VALUE"""),"PRODUCT_PAGE")</f>
        <v>PRODUCT_PAGE</v>
      </c>
      <c r="E40" s="7" t="str">
        <f>IFERROR(__xludf.DUMMYFUNCTION("""COMPUTED_VALUE"""),"CORPORATE")</f>
        <v>CORPORATE</v>
      </c>
      <c r="F40" s="7" t="str">
        <f>IFERROR(__xludf.DUMMYFUNCTION("""COMPUTED_VALUE"""),"Product Page")</f>
        <v>Product Page</v>
      </c>
      <c r="G40" s="7" t="b">
        <f>IFERROR(__xludf.DUMMYFUNCTION("""COMPUTED_VALUE"""),FALSE)</f>
        <v>0</v>
      </c>
      <c r="H40" s="7"/>
      <c r="I40" s="7">
        <f>IFERROR(__xludf.DUMMYFUNCTION("""COMPUTED_VALUE"""),8.0)</f>
        <v>8</v>
      </c>
      <c r="J40" s="7">
        <f>IFERROR(__xludf.DUMMYFUNCTION("""COMPUTED_VALUE"""),0.01)</f>
        <v>0.01</v>
      </c>
      <c r="K40" s="7">
        <f>IFERROR(__xludf.DUMMYFUNCTION("""COMPUTED_VALUE"""),0.25)</f>
        <v>0.25</v>
      </c>
    </row>
    <row r="41" ht="15.75" customHeight="1">
      <c r="A41" s="6" t="str">
        <f>IFERROR(__xludf.DUMMYFUNCTION("""COMPUTED_VALUE"""),"https://www.marketingeye.com.au/ai-marketing-consultant-services.html")</f>
        <v>https://www.marketingeye.com.au/ai-marketing-consultant-services.html</v>
      </c>
      <c r="B41" s="7" t="str">
        <f>IFERROR(__xludf.DUMMYFUNCTION("""COMPUTED_VALUE"""),"AI Marketing Consulting Services - Marketing Eye")</f>
        <v>AI Marketing Consulting Services - Marketing Eye</v>
      </c>
      <c r="C41" s="6" t="str">
        <f>IFERROR(__xludf.DUMMYFUNCTION("""COMPUTED_VALUE"""),"marketingeye.com.au")</f>
        <v>marketingeye.com.au</v>
      </c>
      <c r="D41" s="7" t="str">
        <f>IFERROR(__xludf.DUMMYFUNCTION("""COMPUTED_VALUE"""),"PRODUCT_PAGE")</f>
        <v>PRODUCT_PAGE</v>
      </c>
      <c r="E41" s="7" t="str">
        <f>IFERROR(__xludf.DUMMYFUNCTION("""COMPUTED_VALUE"""),"CORPORATE")</f>
        <v>CORPORATE</v>
      </c>
      <c r="F41" s="7" t="str">
        <f>IFERROR(__xludf.DUMMYFUNCTION("""COMPUTED_VALUE"""),"Product Page")</f>
        <v>Product Page</v>
      </c>
      <c r="G41" s="7" t="b">
        <f>IFERROR(__xludf.DUMMYFUNCTION("""COMPUTED_VALUE"""),FALSE)</f>
        <v>0</v>
      </c>
      <c r="H41" s="7"/>
      <c r="I41" s="7">
        <f>IFERROR(__xludf.DUMMYFUNCTION("""COMPUTED_VALUE"""),8.0)</f>
        <v>8</v>
      </c>
      <c r="J41" s="7">
        <f>IFERROR(__xludf.DUMMYFUNCTION("""COMPUTED_VALUE"""),0.01)</f>
        <v>0.01</v>
      </c>
      <c r="K41" s="7">
        <f>IFERROR(__xludf.DUMMYFUNCTION("""COMPUTED_VALUE"""),1.5)</f>
        <v>1.5</v>
      </c>
    </row>
    <row r="42" ht="15.75" customHeight="1">
      <c r="A42" s="6" t="str">
        <f>IFERROR(__xludf.DUMMYFUNCTION("""COMPUTED_VALUE"""),"https://www.marketingsystems.com.au/services/measurement-agency")</f>
        <v>https://www.marketingsystems.com.au/services/measurement-agency</v>
      </c>
      <c r="B42" s="7" t="str">
        <f>IFERROR(__xludf.DUMMYFUNCTION("""COMPUTED_VALUE"""),"Marketing Measurement Agency Melbourne | Marketing Systems")</f>
        <v>Marketing Measurement Agency Melbourne | Marketing Systems</v>
      </c>
      <c r="C42" s="6" t="str">
        <f>IFERROR(__xludf.DUMMYFUNCTION("""COMPUTED_VALUE"""),"marketingsystems.com.au")</f>
        <v>marketingsystems.com.au</v>
      </c>
      <c r="D42" s="7" t="str">
        <f>IFERROR(__xludf.DUMMYFUNCTION("""COMPUTED_VALUE"""),"PRODUCT_PAGE")</f>
        <v>PRODUCT_PAGE</v>
      </c>
      <c r="E42" s="7" t="str">
        <f>IFERROR(__xludf.DUMMYFUNCTION("""COMPUTED_VALUE"""),"CORPORATE")</f>
        <v>CORPORATE</v>
      </c>
      <c r="F42" s="7" t="str">
        <f>IFERROR(__xludf.DUMMYFUNCTION("""COMPUTED_VALUE"""),"Product Page")</f>
        <v>Product Page</v>
      </c>
      <c r="G42" s="7" t="b">
        <f>IFERROR(__xludf.DUMMYFUNCTION("""COMPUTED_VALUE"""),FALSE)</f>
        <v>0</v>
      </c>
      <c r="H42" s="7"/>
      <c r="I42" s="7">
        <f>IFERROR(__xludf.DUMMYFUNCTION("""COMPUTED_VALUE"""),8.0)</f>
        <v>8</v>
      </c>
      <c r="J42" s="7">
        <f>IFERROR(__xludf.DUMMYFUNCTION("""COMPUTED_VALUE"""),0.01)</f>
        <v>0.01</v>
      </c>
      <c r="K42" s="7">
        <f>IFERROR(__xludf.DUMMYFUNCTION("""COMPUTED_VALUE"""),1.38)</f>
        <v>1.38</v>
      </c>
    </row>
    <row r="43" ht="15.75" customHeight="1">
      <c r="A43" s="6" t="str">
        <f>IFERROR(__xludf.DUMMYFUNCTION("""COMPUTED_VALUE"""),"https://myohomarketing.com.au/generative-engine-optimisation/")</f>
        <v>https://myohomarketing.com.au/generative-engine-optimisation/</v>
      </c>
      <c r="B43" s="7" t="str">
        <f>IFERROR(__xludf.DUMMYFUNCTION("""COMPUTED_VALUE"""),"Generative Engine Optimisation (GEO) Services | Leading GEO Agency in Australia - Myoho Marketing")</f>
        <v>Generative Engine Optimisation (GEO) Services | Leading GEO Agency in Australia - Myoho Marketing</v>
      </c>
      <c r="C43" s="6" t="str">
        <f>IFERROR(__xludf.DUMMYFUNCTION("""COMPUTED_VALUE"""),"myohomarketing.com.au")</f>
        <v>myohomarketing.com.au</v>
      </c>
      <c r="D43" s="7" t="str">
        <f>IFERROR(__xludf.DUMMYFUNCTION("""COMPUTED_VALUE"""),"PRODUCT_PAGE")</f>
        <v>PRODUCT_PAGE</v>
      </c>
      <c r="E43" s="7" t="str">
        <f>IFERROR(__xludf.DUMMYFUNCTION("""COMPUTED_VALUE"""),"CORPORATE")</f>
        <v>CORPORATE</v>
      </c>
      <c r="F43" s="7" t="str">
        <f>IFERROR(__xludf.DUMMYFUNCTION("""COMPUTED_VALUE"""),"Product Page")</f>
        <v>Product Page</v>
      </c>
      <c r="G43" s="7" t="b">
        <f>IFERROR(__xludf.DUMMYFUNCTION("""COMPUTED_VALUE"""),FALSE)</f>
        <v>0</v>
      </c>
      <c r="H43" s="7"/>
      <c r="I43" s="7">
        <f>IFERROR(__xludf.DUMMYFUNCTION("""COMPUTED_VALUE"""),8.0)</f>
        <v>8</v>
      </c>
      <c r="J43" s="7">
        <f>IFERROR(__xludf.DUMMYFUNCTION("""COMPUTED_VALUE"""),0.01)</f>
        <v>0.01</v>
      </c>
      <c r="K43" s="7">
        <f>IFERROR(__xludf.DUMMYFUNCTION("""COMPUTED_VALUE"""),1.0)</f>
        <v>1</v>
      </c>
    </row>
    <row r="44" ht="15.75" customHeight="1">
      <c r="A44" s="6" t="str">
        <f>IFERROR(__xludf.DUMMYFUNCTION("""COMPUTED_VALUE"""),"https://pivotus.com.au/marketingintelligence/#:~:text=Organic%20Social%20%26%20EDM%20Performance.%20Effortlessly%20compare,%2D%20Controlled%20Experiments.%20%2D%20Marketing%20Mix%20Modelling.")</f>
        <v>https://pivotus.com.au/marketingintelligence/#:~:text=Organic%20Social%20%26%20EDM%20Performance.%20Effortlessly%20compare,%2D%20Controlled%20Experiments.%20%2D%20Marketing%20Mix%20Modelling.</v>
      </c>
      <c r="B44" s="7" t="str">
        <f>IFERROR(__xludf.DUMMYFUNCTION("""COMPUTED_VALUE"""),"Marketing Intelligence | Pivotus")</f>
        <v>Marketing Intelligence | Pivotus</v>
      </c>
      <c r="C44" s="6" t="str">
        <f>IFERROR(__xludf.DUMMYFUNCTION("""COMPUTED_VALUE"""),"pivotus.com.au")</f>
        <v>pivotus.com.au</v>
      </c>
      <c r="D44" s="7" t="str">
        <f>IFERROR(__xludf.DUMMYFUNCTION("""COMPUTED_VALUE"""),"PRODUCT_PAGE")</f>
        <v>PRODUCT_PAGE</v>
      </c>
      <c r="E44" s="7" t="str">
        <f>IFERROR(__xludf.DUMMYFUNCTION("""COMPUTED_VALUE"""),"CORPORATE")</f>
        <v>CORPORATE</v>
      </c>
      <c r="F44" s="7" t="str">
        <f>IFERROR(__xludf.DUMMYFUNCTION("""COMPUTED_VALUE"""),"Product Page")</f>
        <v>Product Page</v>
      </c>
      <c r="G44" s="7" t="b">
        <f>IFERROR(__xludf.DUMMYFUNCTION("""COMPUTED_VALUE"""),FALSE)</f>
        <v>0</v>
      </c>
      <c r="H44" s="7"/>
      <c r="I44" s="7">
        <f>IFERROR(__xludf.DUMMYFUNCTION("""COMPUTED_VALUE"""),8.0)</f>
        <v>8</v>
      </c>
      <c r="J44" s="7">
        <f>IFERROR(__xludf.DUMMYFUNCTION("""COMPUTED_VALUE"""),0.01)</f>
        <v>0.01</v>
      </c>
      <c r="K44" s="7">
        <f>IFERROR(__xludf.DUMMYFUNCTION("""COMPUTED_VALUE"""),1.13)</f>
        <v>1.13</v>
      </c>
    </row>
    <row r="45" ht="15.75" customHeight="1">
      <c r="A45" s="6" t="str">
        <f>IFERROR(__xludf.DUMMYFUNCTION("""COMPUTED_VALUE"""),"https://www.resolutiondigital.com.au/services/measurement/analytics/")</f>
        <v>https://www.resolutiondigital.com.au/services/measurement/analytics/</v>
      </c>
      <c r="B45" s="7" t="str">
        <f>IFERROR(__xludf.DUMMYFUNCTION("""COMPUTED_VALUE"""),"App &amp;amp; Website Analytics | Resolution Digital Australia")</f>
        <v>App &amp;amp; Website Analytics | Resolution Digital Australia</v>
      </c>
      <c r="C45" s="6" t="str">
        <f>IFERROR(__xludf.DUMMYFUNCTION("""COMPUTED_VALUE"""),"resolutiondigital.com.au")</f>
        <v>resolutiondigital.com.au</v>
      </c>
      <c r="D45" s="7" t="str">
        <f>IFERROR(__xludf.DUMMYFUNCTION("""COMPUTED_VALUE"""),"PRODUCT_PAGE")</f>
        <v>PRODUCT_PAGE</v>
      </c>
      <c r="E45" s="7" t="str">
        <f>IFERROR(__xludf.DUMMYFUNCTION("""COMPUTED_VALUE"""),"COMPETITOR")</f>
        <v>COMPETITOR</v>
      </c>
      <c r="F45" s="7" t="str">
        <f>IFERROR(__xludf.DUMMYFUNCTION("""COMPUTED_VALUE"""),"Product Page")</f>
        <v>Product Page</v>
      </c>
      <c r="G45" s="7" t="b">
        <f>IFERROR(__xludf.DUMMYFUNCTION("""COMPUTED_VALUE"""),FALSE)</f>
        <v>0</v>
      </c>
      <c r="H45" s="7" t="str">
        <f>IFERROR(__xludf.DUMMYFUNCTION("""COMPUTED_VALUE"""),"Resolution Digital, weDiscover, Omnicom Media Group")</f>
        <v>Resolution Digital, weDiscover, Omnicom Media Group</v>
      </c>
      <c r="I45" s="7">
        <f>IFERROR(__xludf.DUMMYFUNCTION("""COMPUTED_VALUE"""),8.0)</f>
        <v>8</v>
      </c>
      <c r="J45" s="7">
        <f>IFERROR(__xludf.DUMMYFUNCTION("""COMPUTED_VALUE"""),0.01)</f>
        <v>0.01</v>
      </c>
      <c r="K45" s="7">
        <f>IFERROR(__xludf.DUMMYFUNCTION("""COMPUTED_VALUE"""),1.13)</f>
        <v>1.13</v>
      </c>
    </row>
    <row r="46" ht="15.75" customHeight="1">
      <c r="A46" s="6" t="str">
        <f>IFERROR(__xludf.DUMMYFUNCTION("""COMPUTED_VALUE"""),"https://trpagency.com.au/campaign-measurement-agency-australia/#:~:text=If%20your%20reporting%20feels%20shallow%2C%20confusing%20or,sales%20across%20both%20brand%20and%20performance%20channels.")</f>
        <v>https://trpagency.com.au/campaign-measurement-agency-australia/#:~:text=If%20your%20reporting%20feels%20shallow%2C%20confusing%20or,sales%20across%20both%20brand%20and%20performance%20channels.</v>
      </c>
      <c r="B46" s="7" t="str">
        <f>IFERROR(__xludf.DUMMYFUNCTION("""COMPUTED_VALUE"""),"Campaign Measurement Agency | Results-Focused Attribution &amp;amp; Analytics Specialists")</f>
        <v>Campaign Measurement Agency | Results-Focused Attribution &amp;amp; Analytics Specialists</v>
      </c>
      <c r="C46" s="6" t="str">
        <f>IFERROR(__xludf.DUMMYFUNCTION("""COMPUTED_VALUE"""),"trpagency.com.au")</f>
        <v>trpagency.com.au</v>
      </c>
      <c r="D46" s="7" t="str">
        <f>IFERROR(__xludf.DUMMYFUNCTION("""COMPUTED_VALUE"""),"PRODUCT_PAGE")</f>
        <v>PRODUCT_PAGE</v>
      </c>
      <c r="E46" s="7" t="str">
        <f>IFERROR(__xludf.DUMMYFUNCTION("""COMPUTED_VALUE"""),"CORPORATE")</f>
        <v>CORPORATE</v>
      </c>
      <c r="F46" s="7" t="str">
        <f>IFERROR(__xludf.DUMMYFUNCTION("""COMPUTED_VALUE"""),"Product Page")</f>
        <v>Product Page</v>
      </c>
      <c r="G46" s="7" t="b">
        <f>IFERROR(__xludf.DUMMYFUNCTION("""COMPUTED_VALUE"""),FALSE)</f>
        <v>0</v>
      </c>
      <c r="H46" s="7"/>
      <c r="I46" s="7">
        <f>IFERROR(__xludf.DUMMYFUNCTION("""COMPUTED_VALUE"""),8.0)</f>
        <v>8</v>
      </c>
      <c r="J46" s="7">
        <f>IFERROR(__xludf.DUMMYFUNCTION("""COMPUTED_VALUE"""),0.01)</f>
        <v>0.01</v>
      </c>
      <c r="K46" s="7">
        <f>IFERROR(__xludf.DUMMYFUNCTION("""COMPUTED_VALUE"""),1.38)</f>
        <v>1.38</v>
      </c>
    </row>
    <row r="47" ht="15.75" customHeight="1">
      <c r="A47" s="6" t="str">
        <f>IFERROR(__xludf.DUMMYFUNCTION("""COMPUTED_VALUE"""),"https://gorilla360.com.au/google-ads/sydney/")</f>
        <v>https://gorilla360.com.au/google-ads/sydney/</v>
      </c>
      <c r="B47" s="7" t="str">
        <f>IFERROR(__xludf.DUMMYFUNCTION("""COMPUTED_VALUE"""),"Google Ads Agency Sydney [Google Premier Partner]")</f>
        <v>Google Ads Agency Sydney [Google Premier Partner]</v>
      </c>
      <c r="C47" s="6" t="str">
        <f>IFERROR(__xludf.DUMMYFUNCTION("""COMPUTED_VALUE"""),"gorilla360.com.au")</f>
        <v>gorilla360.com.au</v>
      </c>
      <c r="D47" s="7" t="str">
        <f>IFERROR(__xludf.DUMMYFUNCTION("""COMPUTED_VALUE"""),"PRODUCT_PAGE")</f>
        <v>PRODUCT_PAGE</v>
      </c>
      <c r="E47" s="7" t="str">
        <f>IFERROR(__xludf.DUMMYFUNCTION("""COMPUTED_VALUE"""),"COMPETITOR")</f>
        <v>COMPETITOR</v>
      </c>
      <c r="F47" s="7" t="str">
        <f>IFERROR(__xludf.DUMMYFUNCTION("""COMPUTED_VALUE"""),"Product Page")</f>
        <v>Product Page</v>
      </c>
      <c r="G47" s="7" t="b">
        <f>IFERROR(__xludf.DUMMYFUNCTION("""COMPUTED_VALUE"""),FALSE)</f>
        <v>0</v>
      </c>
      <c r="H47" s="7" t="str">
        <f>IFERROR(__xludf.DUMMYFUNCTION("""COMPUTED_VALUE"""),"Gorilla 360, Huge")</f>
        <v>Gorilla 360, Huge</v>
      </c>
      <c r="I47" s="7">
        <f>IFERROR(__xludf.DUMMYFUNCTION("""COMPUTED_VALUE"""),7.0)</f>
        <v>7</v>
      </c>
      <c r="J47" s="7">
        <f>IFERROR(__xludf.DUMMYFUNCTION("""COMPUTED_VALUE"""),0.01)</f>
        <v>0.01</v>
      </c>
      <c r="K47" s="7">
        <f>IFERROR(__xludf.DUMMYFUNCTION("""COMPUTED_VALUE"""),0.71)</f>
        <v>0.71</v>
      </c>
    </row>
    <row r="48" ht="15.75" customHeight="1">
      <c r="A48" s="6" t="str">
        <f>IFERROR(__xludf.DUMMYFUNCTION("""COMPUTED_VALUE"""),"https://impressive.com.au/social-media-marketing/")</f>
        <v>https://impressive.com.au/social-media-marketing/</v>
      </c>
      <c r="B48" s="7" t="str">
        <f>IFERROR(__xludf.DUMMYFUNCTION("""COMPUTED_VALUE"""),"Social Media Marketing Agency | Award-Winning Social Media Agency")</f>
        <v>Social Media Marketing Agency | Award-Winning Social Media Agency</v>
      </c>
      <c r="C48" s="6" t="str">
        <f>IFERROR(__xludf.DUMMYFUNCTION("""COMPUTED_VALUE"""),"impressive.com.au")</f>
        <v>impressive.com.au</v>
      </c>
      <c r="D48" s="7" t="str">
        <f>IFERROR(__xludf.DUMMYFUNCTION("""COMPUTED_VALUE"""),"PRODUCT_PAGE")</f>
        <v>PRODUCT_PAGE</v>
      </c>
      <c r="E48" s="7" t="str">
        <f>IFERROR(__xludf.DUMMYFUNCTION("""COMPUTED_VALUE"""),"COMPETITOR")</f>
        <v>COMPETITOR</v>
      </c>
      <c r="F48" s="7" t="str">
        <f>IFERROR(__xludf.DUMMYFUNCTION("""COMPUTED_VALUE"""),"Product Page")</f>
        <v>Product Page</v>
      </c>
      <c r="G48" s="7" t="b">
        <f>IFERROR(__xludf.DUMMYFUNCTION("""COMPUTED_VALUE"""),FALSE)</f>
        <v>0</v>
      </c>
      <c r="H48" s="7" t="str">
        <f>IFERROR(__xludf.DUMMYFUNCTION("""COMPUTED_VALUE"""),"Impressive, First Page, Deloitte")</f>
        <v>Impressive, First Page, Deloitte</v>
      </c>
      <c r="I48" s="7">
        <f>IFERROR(__xludf.DUMMYFUNCTION("""COMPUTED_VALUE"""),7.0)</f>
        <v>7</v>
      </c>
      <c r="J48" s="7">
        <f>IFERROR(__xludf.DUMMYFUNCTION("""COMPUTED_VALUE"""),0.01)</f>
        <v>0.01</v>
      </c>
      <c r="K48" s="7">
        <f>IFERROR(__xludf.DUMMYFUNCTION("""COMPUTED_VALUE"""),1.0)</f>
        <v>1</v>
      </c>
    </row>
    <row r="49" ht="15.75" customHeight="1">
      <c r="A49" s="6" t="str">
        <f>IFERROR(__xludf.DUMMYFUNCTION("""COMPUTED_VALUE"""),"https://marketixdigital.com.au/ai-seo-agency/")</f>
        <v>https://marketixdigital.com.au/ai-seo-agency/</v>
      </c>
      <c r="B49" s="7" t="str">
        <f>IFERROR(__xludf.DUMMYFUNCTION("""COMPUTED_VALUE"""),"🌎 AI SEO Agency | Generative AI SEO Service | Marketix | Marketix Digital")</f>
        <v>🌎 AI SEO Agency | Generative AI SEO Service | Marketix | Marketix Digital</v>
      </c>
      <c r="C49" s="6" t="str">
        <f>IFERROR(__xludf.DUMMYFUNCTION("""COMPUTED_VALUE"""),"marketixdigital.com.au")</f>
        <v>marketixdigital.com.au</v>
      </c>
      <c r="D49" s="7" t="str">
        <f>IFERROR(__xludf.DUMMYFUNCTION("""COMPUTED_VALUE"""),"PRODUCT_PAGE")</f>
        <v>PRODUCT_PAGE</v>
      </c>
      <c r="E49" s="7" t="str">
        <f>IFERROR(__xludf.DUMMYFUNCTION("""COMPUTED_VALUE"""),"CORPORATE")</f>
        <v>CORPORATE</v>
      </c>
      <c r="F49" s="7" t="str">
        <f>IFERROR(__xludf.DUMMYFUNCTION("""COMPUTED_VALUE"""),"Product Page")</f>
        <v>Product Page</v>
      </c>
      <c r="G49" s="7" t="b">
        <f>IFERROR(__xludf.DUMMYFUNCTION("""COMPUTED_VALUE"""),FALSE)</f>
        <v>0</v>
      </c>
      <c r="H49" s="7" t="str">
        <f>IFERROR(__xludf.DUMMYFUNCTION("""COMPUTED_VALUE"""),"Marketix Digital")</f>
        <v>Marketix Digital</v>
      </c>
      <c r="I49" s="7">
        <f>IFERROR(__xludf.DUMMYFUNCTION("""COMPUTED_VALUE"""),7.0)</f>
        <v>7</v>
      </c>
      <c r="J49" s="7">
        <f>IFERROR(__xludf.DUMMYFUNCTION("""COMPUTED_VALUE"""),0.01)</f>
        <v>0.01</v>
      </c>
      <c r="K49" s="7">
        <f>IFERROR(__xludf.DUMMYFUNCTION("""COMPUTED_VALUE"""),1.29)</f>
        <v>1.29</v>
      </c>
    </row>
    <row r="50" ht="15.75" customHeight="1">
      <c r="A50" s="6" t="str">
        <f>IFERROR(__xludf.DUMMYFUNCTION("""COMPUTED_VALUE"""),"https://www.multimediax.com.au/google-ads-agency/")</f>
        <v>https://www.multimediax.com.au/google-ads-agency/</v>
      </c>
      <c r="B50" s="7" t="str">
        <f>IFERROR(__xludf.DUMMYFUNCTION("""COMPUTED_VALUE"""),"Google Ads Agency Sydney - Multimediax | PPC")</f>
        <v>Google Ads Agency Sydney - Multimediax | PPC</v>
      </c>
      <c r="C50" s="6" t="str">
        <f>IFERROR(__xludf.DUMMYFUNCTION("""COMPUTED_VALUE"""),"multimediax.com.au")</f>
        <v>multimediax.com.au</v>
      </c>
      <c r="D50" s="7" t="str">
        <f>IFERROR(__xludf.DUMMYFUNCTION("""COMPUTED_VALUE"""),"PRODUCT_PAGE")</f>
        <v>PRODUCT_PAGE</v>
      </c>
      <c r="E50" s="7" t="str">
        <f>IFERROR(__xludf.DUMMYFUNCTION("""COMPUTED_VALUE"""),"UGC")</f>
        <v>UGC</v>
      </c>
      <c r="F50" s="7" t="str">
        <f>IFERROR(__xludf.DUMMYFUNCTION("""COMPUTED_VALUE"""),"Product Page")</f>
        <v>Product Page</v>
      </c>
      <c r="G50" s="7" t="b">
        <f>IFERROR(__xludf.DUMMYFUNCTION("""COMPUTED_VALUE"""),FALSE)</f>
        <v>0</v>
      </c>
      <c r="H50" s="7" t="str">
        <f>IFERROR(__xludf.DUMMYFUNCTION("""COMPUTED_VALUE"""),"Impressive")</f>
        <v>Impressive</v>
      </c>
      <c r="I50" s="7">
        <f>IFERROR(__xludf.DUMMYFUNCTION("""COMPUTED_VALUE"""),7.0)</f>
        <v>7</v>
      </c>
      <c r="J50" s="7">
        <f>IFERROR(__xludf.DUMMYFUNCTION("""COMPUTED_VALUE"""),0.01)</f>
        <v>0.01</v>
      </c>
      <c r="K50" s="7">
        <f>IFERROR(__xludf.DUMMYFUNCTION("""COMPUTED_VALUE"""),0.43)</f>
        <v>0.43</v>
      </c>
    </row>
    <row r="51" ht="15.75" customHeight="1">
      <c r="A51" s="6" t="str">
        <f>IFERROR(__xludf.DUMMYFUNCTION("""COMPUTED_VALUE"""),"https://www.nuundigital.com/services/data-analytics/marketing-analytics-attribution")</f>
        <v>https://www.nuundigital.com/services/data-analytics/marketing-analytics-attribution</v>
      </c>
      <c r="B51" s="7" t="str">
        <f>IFERROR(__xludf.DUMMYFUNCTION("""COMPUTED_VALUE"""),"NUUN Digital | Revenue-accountable partner")</f>
        <v>NUUN Digital | Revenue-accountable partner</v>
      </c>
      <c r="C51" s="6" t="str">
        <f>IFERROR(__xludf.DUMMYFUNCTION("""COMPUTED_VALUE"""),"nuundigital.com")</f>
        <v>nuundigital.com</v>
      </c>
      <c r="D51" s="7" t="str">
        <f>IFERROR(__xludf.DUMMYFUNCTION("""COMPUTED_VALUE"""),"PRODUCT_PAGE")</f>
        <v>PRODUCT_PAGE</v>
      </c>
      <c r="E51" s="7" t="str">
        <f>IFERROR(__xludf.DUMMYFUNCTION("""COMPUTED_VALUE"""),"CORPORATE")</f>
        <v>CORPORATE</v>
      </c>
      <c r="F51" s="7" t="str">
        <f>IFERROR(__xludf.DUMMYFUNCTION("""COMPUTED_VALUE"""),"Product Page")</f>
        <v>Product Page</v>
      </c>
      <c r="G51" s="7" t="b">
        <f>IFERROR(__xludf.DUMMYFUNCTION("""COMPUTED_VALUE"""),FALSE)</f>
        <v>0</v>
      </c>
      <c r="H51" s="7"/>
      <c r="I51" s="7">
        <f>IFERROR(__xludf.DUMMYFUNCTION("""COMPUTED_VALUE"""),7.0)</f>
        <v>7</v>
      </c>
      <c r="J51" s="7">
        <f>IFERROR(__xludf.DUMMYFUNCTION("""COMPUTED_VALUE"""),0.01)</f>
        <v>0.01</v>
      </c>
      <c r="K51" s="7">
        <f>IFERROR(__xludf.DUMMYFUNCTION("""COMPUTED_VALUE"""),1.0)</f>
        <v>1</v>
      </c>
    </row>
    <row r="52" ht="15.75" customHeight="1">
      <c r="A52" s="6" t="str">
        <f>IFERROR(__xludf.DUMMYFUNCTION("""COMPUTED_VALUE"""),"https://rocketagency.com.au/services/google-ads-agency")</f>
        <v>https://rocketagency.com.au/services/google-ads-agency</v>
      </c>
      <c r="B52" s="7" t="str">
        <f>IFERROR(__xludf.DUMMYFUNCTION("""COMPUTED_VALUE"""),"Google Ads Agency: Award-Winning Services | Rocket Agency")</f>
        <v>Google Ads Agency: Award-Winning Services | Rocket Agency</v>
      </c>
      <c r="C52" s="6" t="str">
        <f>IFERROR(__xludf.DUMMYFUNCTION("""COMPUTED_VALUE"""),"rocketagency.com.au")</f>
        <v>rocketagency.com.au</v>
      </c>
      <c r="D52" s="7" t="str">
        <f>IFERROR(__xludf.DUMMYFUNCTION("""COMPUTED_VALUE"""),"PRODUCT_PAGE")</f>
        <v>PRODUCT_PAGE</v>
      </c>
      <c r="E52" s="7" t="str">
        <f>IFERROR(__xludf.DUMMYFUNCTION("""COMPUTED_VALUE"""),"COMPETITOR")</f>
        <v>COMPETITOR</v>
      </c>
      <c r="F52" s="7" t="str">
        <f>IFERROR(__xludf.DUMMYFUNCTION("""COMPUTED_VALUE"""),"Product Page")</f>
        <v>Product Page</v>
      </c>
      <c r="G52" s="7" t="b">
        <f>IFERROR(__xludf.DUMMYFUNCTION("""COMPUTED_VALUE"""),FALSE)</f>
        <v>0</v>
      </c>
      <c r="H52" s="7" t="str">
        <f>IFERROR(__xludf.DUMMYFUNCTION("""COMPUTED_VALUE"""),"Rocket Agency")</f>
        <v>Rocket Agency</v>
      </c>
      <c r="I52" s="7">
        <f>IFERROR(__xludf.DUMMYFUNCTION("""COMPUTED_VALUE"""),7.0)</f>
        <v>7</v>
      </c>
      <c r="J52" s="7">
        <f>IFERROR(__xludf.DUMMYFUNCTION("""COMPUTED_VALUE"""),0.01)</f>
        <v>0.01</v>
      </c>
      <c r="K52" s="7">
        <f>IFERROR(__xludf.DUMMYFUNCTION("""COMPUTED_VALUE"""),1.0)</f>
        <v>1</v>
      </c>
    </row>
    <row r="53" ht="15.75" customHeight="1">
      <c r="A53" s="6" t="str">
        <f>IFERROR(__xludf.DUMMYFUNCTION("""COMPUTED_VALUE"""),"https://www.23digital.com.au/performance-marketing-agency/")</f>
        <v>https://www.23digital.com.au/performance-marketing-agency/</v>
      </c>
      <c r="B53" s="7" t="str">
        <f>IFERROR(__xludf.DUMMYFUNCTION("""COMPUTED_VALUE"""),"Performance Marketing | Performance Marketing Agency | 23 Digital")</f>
        <v>Performance Marketing | Performance Marketing Agency | 23 Digital</v>
      </c>
      <c r="C53" s="6" t="str">
        <f>IFERROR(__xludf.DUMMYFUNCTION("""COMPUTED_VALUE"""),"23digital.com.au")</f>
        <v>23digital.com.au</v>
      </c>
      <c r="D53" s="7" t="str">
        <f>IFERROR(__xludf.DUMMYFUNCTION("""COMPUTED_VALUE"""),"PRODUCT_PAGE")</f>
        <v>PRODUCT_PAGE</v>
      </c>
      <c r="E53" s="7" t="str">
        <f>IFERROR(__xludf.DUMMYFUNCTION("""COMPUTED_VALUE"""),"COMPETITOR")</f>
        <v>COMPETITOR</v>
      </c>
      <c r="F53" s="7" t="str">
        <f>IFERROR(__xludf.DUMMYFUNCTION("""COMPUTED_VALUE"""),"Product Page")</f>
        <v>Product Page</v>
      </c>
      <c r="G53" s="7" t="b">
        <f>IFERROR(__xludf.DUMMYFUNCTION("""COMPUTED_VALUE"""),FALSE)</f>
        <v>0</v>
      </c>
      <c r="H53" s="7" t="str">
        <f>IFERROR(__xludf.DUMMYFUNCTION("""COMPUTED_VALUE"""),"23 Digital, Measured")</f>
        <v>23 Digital, Measured</v>
      </c>
      <c r="I53" s="7">
        <f>IFERROR(__xludf.DUMMYFUNCTION("""COMPUTED_VALUE"""),6.0)</f>
        <v>6</v>
      </c>
      <c r="J53" s="7">
        <f>IFERROR(__xludf.DUMMYFUNCTION("""COMPUTED_VALUE"""),0.01)</f>
        <v>0.01</v>
      </c>
      <c r="K53" s="7">
        <f>IFERROR(__xludf.DUMMYFUNCTION("""COMPUTED_VALUE"""),0.83)</f>
        <v>0.83</v>
      </c>
    </row>
    <row r="54" ht="15.75" customHeight="1">
      <c r="A54" s="6" t="str">
        <f>IFERROR(__xludf.DUMMYFUNCTION("""COMPUTED_VALUE"""),"https://www.advancer.com.au/ai-consulting-brisbane")</f>
        <v>https://www.advancer.com.au/ai-consulting-brisbane</v>
      </c>
      <c r="B54" s="7" t="str">
        <f>IFERROR(__xludf.DUMMYFUNCTION("""COMPUTED_VALUE"""),"AI Consulting Brisbane Australia | Advancer – The AI Agency — Advancer – The AI Agency | AI Consulting Brisbane &amp;amp; Automation in Australia")</f>
        <v>AI Consulting Brisbane Australia | Advancer – The AI Agency — Advancer – The AI Agency | AI Consulting Brisbane &amp;amp; Automation in Australia</v>
      </c>
      <c r="C54" s="6" t="str">
        <f>IFERROR(__xludf.DUMMYFUNCTION("""COMPUTED_VALUE"""),"advancer.com.au")</f>
        <v>advancer.com.au</v>
      </c>
      <c r="D54" s="7" t="str">
        <f>IFERROR(__xludf.DUMMYFUNCTION("""COMPUTED_VALUE"""),"PRODUCT_PAGE")</f>
        <v>PRODUCT_PAGE</v>
      </c>
      <c r="E54" s="7" t="str">
        <f>IFERROR(__xludf.DUMMYFUNCTION("""COMPUTED_VALUE"""),"CORPORATE")</f>
        <v>CORPORATE</v>
      </c>
      <c r="F54" s="7" t="str">
        <f>IFERROR(__xludf.DUMMYFUNCTION("""COMPUTED_VALUE"""),"Product Page")</f>
        <v>Product Page</v>
      </c>
      <c r="G54" s="7" t="b">
        <f>IFERROR(__xludf.DUMMYFUNCTION("""COMPUTED_VALUE"""),FALSE)</f>
        <v>0</v>
      </c>
      <c r="H54" s="7" t="str">
        <f>IFERROR(__xludf.DUMMYFUNCTION("""COMPUTED_VALUE"""),"Measured")</f>
        <v>Measured</v>
      </c>
      <c r="I54" s="7">
        <f>IFERROR(__xludf.DUMMYFUNCTION("""COMPUTED_VALUE"""),6.0)</f>
        <v>6</v>
      </c>
      <c r="J54" s="7">
        <f>IFERROR(__xludf.DUMMYFUNCTION("""COMPUTED_VALUE"""),0.01)</f>
        <v>0.01</v>
      </c>
      <c r="K54" s="7">
        <f>IFERROR(__xludf.DUMMYFUNCTION("""COMPUTED_VALUE"""),0.5)</f>
        <v>0.5</v>
      </c>
    </row>
    <row r="55" ht="15.75" customHeight="1">
      <c r="A55" s="6" t="str">
        <f>IFERROR(__xludf.DUMMYFUNCTION("""COMPUTED_VALUE"""),"https://clickclickmedia.com.au/paid-social-agency/")</f>
        <v>https://clickclickmedia.com.au/paid-social-agency/</v>
      </c>
      <c r="B55" s="7" t="str">
        <f>IFERROR(__xludf.DUMMYFUNCTION("""COMPUTED_VALUE"""),"Paid Social Agency Sydney | Meta, TikTok &amp;amp; LinkedIn Ads")</f>
        <v>Paid Social Agency Sydney | Meta, TikTok &amp;amp; LinkedIn Ads</v>
      </c>
      <c r="C55" s="6" t="str">
        <f>IFERROR(__xludf.DUMMYFUNCTION("""COMPUTED_VALUE"""),"clickclickmedia.com.au")</f>
        <v>clickclickmedia.com.au</v>
      </c>
      <c r="D55" s="7" t="str">
        <f>IFERROR(__xludf.DUMMYFUNCTION("""COMPUTED_VALUE"""),"PRODUCT_PAGE")</f>
        <v>PRODUCT_PAGE</v>
      </c>
      <c r="E55" s="7" t="str">
        <f>IFERROR(__xludf.DUMMYFUNCTION("""COMPUTED_VALUE"""),"CORPORATE")</f>
        <v>CORPORATE</v>
      </c>
      <c r="F55" s="7" t="str">
        <f>IFERROR(__xludf.DUMMYFUNCTION("""COMPUTED_VALUE"""),"Product Page")</f>
        <v>Product Page</v>
      </c>
      <c r="G55" s="7" t="b">
        <f>IFERROR(__xludf.DUMMYFUNCTION("""COMPUTED_VALUE"""),FALSE)</f>
        <v>0</v>
      </c>
      <c r="H55" s="7" t="str">
        <f>IFERROR(__xludf.DUMMYFUNCTION("""COMPUTED_VALUE"""),"Click Click Media, Measured")</f>
        <v>Click Click Media, Measured</v>
      </c>
      <c r="I55" s="7">
        <f>IFERROR(__xludf.DUMMYFUNCTION("""COMPUTED_VALUE"""),6.0)</f>
        <v>6</v>
      </c>
      <c r="J55" s="7">
        <f>IFERROR(__xludf.DUMMYFUNCTION("""COMPUTED_VALUE"""),0.01)</f>
        <v>0.01</v>
      </c>
      <c r="K55" s="7">
        <f>IFERROR(__xludf.DUMMYFUNCTION("""COMPUTED_VALUE"""),0.33)</f>
        <v>0.33</v>
      </c>
    </row>
    <row r="56" ht="15.75" customHeight="1">
      <c r="A56" s="6" t="str">
        <f>IFERROR(__xludf.DUMMYFUNCTION("""COMPUTED_VALUE"""),"https://www.elephantroom.com.au/measurement")</f>
        <v>https://www.elephantroom.com.au/measurement</v>
      </c>
      <c r="B56" s="7" t="str">
        <f>IFERROR(__xludf.DUMMYFUNCTION("""COMPUTED_VALUE"""),"Ecommerce Data Analytics Agency | Elephant Room")</f>
        <v>Ecommerce Data Analytics Agency | Elephant Room</v>
      </c>
      <c r="C56" s="6" t="str">
        <f>IFERROR(__xludf.DUMMYFUNCTION("""COMPUTED_VALUE"""),"elephantroom.com.au")</f>
        <v>elephantroom.com.au</v>
      </c>
      <c r="D56" s="7" t="str">
        <f>IFERROR(__xludf.DUMMYFUNCTION("""COMPUTED_VALUE"""),"PRODUCT_PAGE")</f>
        <v>PRODUCT_PAGE</v>
      </c>
      <c r="E56" s="7" t="str">
        <f>IFERROR(__xludf.DUMMYFUNCTION("""COMPUTED_VALUE"""),"CORPORATE")</f>
        <v>CORPORATE</v>
      </c>
      <c r="F56" s="7" t="str">
        <f>IFERROR(__xludf.DUMMYFUNCTION("""COMPUTED_VALUE"""),"Product Page")</f>
        <v>Product Page</v>
      </c>
      <c r="G56" s="7" t="b">
        <f>IFERROR(__xludf.DUMMYFUNCTION("""COMPUTED_VALUE"""),FALSE)</f>
        <v>0</v>
      </c>
      <c r="H56" s="7"/>
      <c r="I56" s="7">
        <f>IFERROR(__xludf.DUMMYFUNCTION("""COMPUTED_VALUE"""),6.0)</f>
        <v>6</v>
      </c>
      <c r="J56" s="7">
        <f>IFERROR(__xludf.DUMMYFUNCTION("""COMPUTED_VALUE"""),0.01)</f>
        <v>0.01</v>
      </c>
      <c r="K56" s="7">
        <f>IFERROR(__xludf.DUMMYFUNCTION("""COMPUTED_VALUE"""),1.0)</f>
        <v>1</v>
      </c>
    </row>
    <row r="57" ht="15.75" customHeight="1">
      <c r="A57" s="6" t="str">
        <f>IFERROR(__xludf.DUMMYFUNCTION("""COMPUTED_VALUE"""),"https://fusepointinsights.com/service/incrementality-experiments/")</f>
        <v>https://fusepointinsights.com/service/incrementality-experiments/</v>
      </c>
      <c r="B57" s="7" t="str">
        <f>IFERROR(__xludf.DUMMYFUNCTION("""COMPUTED_VALUE"""),"Incrementality Experiments for Marketing Measurement | fusepoint")</f>
        <v>Incrementality Experiments for Marketing Measurement | fusepoint</v>
      </c>
      <c r="C57" s="6" t="str">
        <f>IFERROR(__xludf.DUMMYFUNCTION("""COMPUTED_VALUE"""),"fusepointinsights.com")</f>
        <v>fusepointinsights.com</v>
      </c>
      <c r="D57" s="7" t="str">
        <f>IFERROR(__xludf.DUMMYFUNCTION("""COMPUTED_VALUE"""),"PRODUCT_PAGE")</f>
        <v>PRODUCT_PAGE</v>
      </c>
      <c r="E57" s="7" t="str">
        <f>IFERROR(__xludf.DUMMYFUNCTION("""COMPUTED_VALUE"""),"CORPORATE")</f>
        <v>CORPORATE</v>
      </c>
      <c r="F57" s="7" t="str">
        <f>IFERROR(__xludf.DUMMYFUNCTION("""COMPUTED_VALUE"""),"Product Page")</f>
        <v>Product Page</v>
      </c>
      <c r="G57" s="7" t="b">
        <f>IFERROR(__xludf.DUMMYFUNCTION("""COMPUTED_VALUE"""),FALSE)</f>
        <v>0</v>
      </c>
      <c r="H57" s="7" t="str">
        <f>IFERROR(__xludf.DUMMYFUNCTION("""COMPUTED_VALUE"""),"Power Digital")</f>
        <v>Power Digital</v>
      </c>
      <c r="I57" s="7">
        <f>IFERROR(__xludf.DUMMYFUNCTION("""COMPUTED_VALUE"""),6.0)</f>
        <v>6</v>
      </c>
      <c r="J57" s="7">
        <f>IFERROR(__xludf.DUMMYFUNCTION("""COMPUTED_VALUE"""),0.01)</f>
        <v>0.01</v>
      </c>
      <c r="K57" s="7">
        <f>IFERROR(__xludf.DUMMYFUNCTION("""COMPUTED_VALUE"""),1.0)</f>
        <v>1</v>
      </c>
    </row>
    <row r="58" ht="15.75" customHeight="1">
      <c r="A58" s="6" t="str">
        <f>IFERROR(__xludf.DUMMYFUNCTION("""COMPUTED_VALUE"""),"https://getrecast.com/experimentation/")</f>
        <v>https://getrecast.com/experimentation/</v>
      </c>
      <c r="B58" s="7" t="str">
        <f>IFERROR(__xludf.DUMMYFUNCTION("""COMPUTED_VALUE"""),"Experimentation - Recast")</f>
        <v>Experimentation - Recast</v>
      </c>
      <c r="C58" s="6" t="str">
        <f>IFERROR(__xludf.DUMMYFUNCTION("""COMPUTED_VALUE"""),"getrecast.com")</f>
        <v>getrecast.com</v>
      </c>
      <c r="D58" s="7" t="str">
        <f>IFERROR(__xludf.DUMMYFUNCTION("""COMPUTED_VALUE"""),"PRODUCT_PAGE")</f>
        <v>PRODUCT_PAGE</v>
      </c>
      <c r="E58" s="7" t="str">
        <f>IFERROR(__xludf.DUMMYFUNCTION("""COMPUTED_VALUE"""),"CORPORATE")</f>
        <v>CORPORATE</v>
      </c>
      <c r="F58" s="7" t="str">
        <f>IFERROR(__xludf.DUMMYFUNCTION("""COMPUTED_VALUE"""),"Product Page")</f>
        <v>Product Page</v>
      </c>
      <c r="G58" s="7" t="b">
        <f>IFERROR(__xludf.DUMMYFUNCTION("""COMPUTED_VALUE"""),FALSE)</f>
        <v>0</v>
      </c>
      <c r="H58" s="7"/>
      <c r="I58" s="7">
        <f>IFERROR(__xludf.DUMMYFUNCTION("""COMPUTED_VALUE"""),6.0)</f>
        <v>6</v>
      </c>
      <c r="J58" s="7">
        <f>IFERROR(__xludf.DUMMYFUNCTION("""COMPUTED_VALUE"""),0.01)</f>
        <v>0.01</v>
      </c>
      <c r="K58" s="7">
        <f>IFERROR(__xludf.DUMMYFUNCTION("""COMPUTED_VALUE"""),1.83)</f>
        <v>1.83</v>
      </c>
    </row>
    <row r="59" ht="15.75" customHeight="1">
      <c r="A59" s="6" t="str">
        <f>IFERROR(__xludf.DUMMYFUNCTION("""COMPUTED_VALUE"""),"https://www.infraworx.com.au/ai-strategy-consulting-sydney/")</f>
        <v>https://www.infraworx.com.au/ai-strategy-consulting-sydney/</v>
      </c>
      <c r="B59" s="7" t="str">
        <f>IFERROR(__xludf.DUMMYFUNCTION("""COMPUTED_VALUE"""),"AI Consultants &amp; Automation Agency Sydney \| Infraworx")</f>
        <v>AI Consultants &amp; Automation Agency Sydney \| Infraworx</v>
      </c>
      <c r="C59" s="6" t="str">
        <f>IFERROR(__xludf.DUMMYFUNCTION("""COMPUTED_VALUE"""),"infraworx.com.au")</f>
        <v>infraworx.com.au</v>
      </c>
      <c r="D59" s="7" t="str">
        <f>IFERROR(__xludf.DUMMYFUNCTION("""COMPUTED_VALUE"""),"PRODUCT_PAGE")</f>
        <v>PRODUCT_PAGE</v>
      </c>
      <c r="E59" s="7" t="str">
        <f>IFERROR(__xludf.DUMMYFUNCTION("""COMPUTED_VALUE"""),"COMPETITOR")</f>
        <v>COMPETITOR</v>
      </c>
      <c r="F59" s="7" t="str">
        <f>IFERROR(__xludf.DUMMYFUNCTION("""COMPUTED_VALUE"""),"Product Page")</f>
        <v>Product Page</v>
      </c>
      <c r="G59" s="7" t="b">
        <f>IFERROR(__xludf.DUMMYFUNCTION("""COMPUTED_VALUE"""),FALSE)</f>
        <v>0</v>
      </c>
      <c r="H59" s="7" t="str">
        <f>IFERROR(__xludf.DUMMYFUNCTION("""COMPUTED_VALUE"""),"Infraworx")</f>
        <v>Infraworx</v>
      </c>
      <c r="I59" s="7">
        <f>IFERROR(__xludf.DUMMYFUNCTION("""COMPUTED_VALUE"""),6.0)</f>
        <v>6</v>
      </c>
      <c r="J59" s="7">
        <f>IFERROR(__xludf.DUMMYFUNCTION("""COMPUTED_VALUE"""),0.01)</f>
        <v>0.01</v>
      </c>
      <c r="K59" s="7">
        <f>IFERROR(__xludf.DUMMYFUNCTION("""COMPUTED_VALUE"""),2.17)</f>
        <v>2.17</v>
      </c>
    </row>
    <row r="60" ht="15.75" customHeight="1">
      <c r="A60" s="6" t="str">
        <f>IFERROR(__xludf.DUMMYFUNCTION("""COMPUTED_VALUE"""),"https://www.launcherlab.com.au/lift-test-incrementality")</f>
        <v>https://www.launcherlab.com.au/lift-test-incrementality</v>
      </c>
      <c r="B60" s="7" t="str">
        <f>IFERROR(__xludf.DUMMYFUNCTION("""COMPUTED_VALUE"""),"Lift Test - Measurement the incremental impact of marketing campaigns")</f>
        <v>Lift Test - Measurement the incremental impact of marketing campaigns</v>
      </c>
      <c r="C60" s="6" t="str">
        <f>IFERROR(__xludf.DUMMYFUNCTION("""COMPUTED_VALUE"""),"launcherlab.com.au")</f>
        <v>launcherlab.com.au</v>
      </c>
      <c r="D60" s="7" t="str">
        <f>IFERROR(__xludf.DUMMYFUNCTION("""COMPUTED_VALUE"""),"PRODUCT_PAGE")</f>
        <v>PRODUCT_PAGE</v>
      </c>
      <c r="E60" s="7" t="str">
        <f>IFERROR(__xludf.DUMMYFUNCTION("""COMPUTED_VALUE"""),"CORPORATE")</f>
        <v>CORPORATE</v>
      </c>
      <c r="F60" s="7" t="str">
        <f>IFERROR(__xludf.DUMMYFUNCTION("""COMPUTED_VALUE"""),"Product Page")</f>
        <v>Product Page</v>
      </c>
      <c r="G60" s="7" t="b">
        <f>IFERROR(__xludf.DUMMYFUNCTION("""COMPUTED_VALUE"""),FALSE)</f>
        <v>0</v>
      </c>
      <c r="H60" s="7"/>
      <c r="I60" s="7">
        <f>IFERROR(__xludf.DUMMYFUNCTION("""COMPUTED_VALUE"""),6.0)</f>
        <v>6</v>
      </c>
      <c r="J60" s="7">
        <f>IFERROR(__xludf.DUMMYFUNCTION("""COMPUTED_VALUE"""),0.01)</f>
        <v>0.01</v>
      </c>
      <c r="K60" s="7">
        <f>IFERROR(__xludf.DUMMYFUNCTION("""COMPUTED_VALUE"""),2.33)</f>
        <v>2.33</v>
      </c>
    </row>
    <row r="61" ht="15.75" customHeight="1">
      <c r="A61" s="6" t="str">
        <f>IFERROR(__xludf.DUMMYFUNCTION("""COMPUTED_VALUE"""),"https://magnetoitsolutions.com/au/answer-engine-optimization")</f>
        <v>https://magnetoitsolutions.com/au/answer-engine-optimization</v>
      </c>
      <c r="B61" s="7" t="str">
        <f>IFERROR(__xludf.DUMMYFUNCTION("""COMPUTED_VALUE"""),"Australia's Top Answer Engine Optimisation Company | MIS")</f>
        <v>Australia's Top Answer Engine Optimisation Company | MIS</v>
      </c>
      <c r="C61" s="6" t="str">
        <f>IFERROR(__xludf.DUMMYFUNCTION("""COMPUTED_VALUE"""),"magnetoitsolutions.com")</f>
        <v>magnetoitsolutions.com</v>
      </c>
      <c r="D61" s="7" t="str">
        <f>IFERROR(__xludf.DUMMYFUNCTION("""COMPUTED_VALUE"""),"PRODUCT_PAGE")</f>
        <v>PRODUCT_PAGE</v>
      </c>
      <c r="E61" s="7" t="str">
        <f>IFERROR(__xludf.DUMMYFUNCTION("""COMPUTED_VALUE"""),"CORPORATE")</f>
        <v>CORPORATE</v>
      </c>
      <c r="F61" s="7" t="str">
        <f>IFERROR(__xludf.DUMMYFUNCTION("""COMPUTED_VALUE"""),"Product Page")</f>
        <v>Product Page</v>
      </c>
      <c r="G61" s="7" t="b">
        <f>IFERROR(__xludf.DUMMYFUNCTION("""COMPUTED_VALUE"""),FALSE)</f>
        <v>0</v>
      </c>
      <c r="H61" s="7"/>
      <c r="I61" s="7">
        <f>IFERROR(__xludf.DUMMYFUNCTION("""COMPUTED_VALUE"""),6.0)</f>
        <v>6</v>
      </c>
      <c r="J61" s="7">
        <f>IFERROR(__xludf.DUMMYFUNCTION("""COMPUTED_VALUE"""),0.01)</f>
        <v>0.01</v>
      </c>
      <c r="K61" s="7">
        <f>IFERROR(__xludf.DUMMYFUNCTION("""COMPUTED_VALUE"""),0.5)</f>
        <v>0.5</v>
      </c>
    </row>
    <row r="62" ht="15.75" customHeight="1">
      <c r="A62" s="6" t="str">
        <f>IFERROR(__xludf.DUMMYFUNCTION("""COMPUTED_VALUE"""),"https://www.pa.com.au/solutions/ai-consulting-services/")</f>
        <v>https://www.pa.com.au/solutions/ai-consulting-services/</v>
      </c>
      <c r="B62" s="7" t="str">
        <f>IFERROR(__xludf.DUMMYFUNCTION("""COMPUTED_VALUE"""),"Generative AI Consulting Services from Professional Advantage Australia")</f>
        <v>Generative AI Consulting Services from Professional Advantage Australia</v>
      </c>
      <c r="C62" s="6" t="str">
        <f>IFERROR(__xludf.DUMMYFUNCTION("""COMPUTED_VALUE"""),"pa.com.au")</f>
        <v>pa.com.au</v>
      </c>
      <c r="D62" s="7" t="str">
        <f>IFERROR(__xludf.DUMMYFUNCTION("""COMPUTED_VALUE"""),"PRODUCT_PAGE")</f>
        <v>PRODUCT_PAGE</v>
      </c>
      <c r="E62" s="7" t="str">
        <f>IFERROR(__xludf.DUMMYFUNCTION("""COMPUTED_VALUE"""),"CORPORATE")</f>
        <v>CORPORATE</v>
      </c>
      <c r="F62" s="7" t="str">
        <f>IFERROR(__xludf.DUMMYFUNCTION("""COMPUTED_VALUE"""),"Product Page")</f>
        <v>Product Page</v>
      </c>
      <c r="G62" s="7" t="b">
        <f>IFERROR(__xludf.DUMMYFUNCTION("""COMPUTED_VALUE"""),FALSE)</f>
        <v>0</v>
      </c>
      <c r="H62" s="7"/>
      <c r="I62" s="7">
        <f>IFERROR(__xludf.DUMMYFUNCTION("""COMPUTED_VALUE"""),6.0)</f>
        <v>6</v>
      </c>
      <c r="J62" s="7">
        <f>IFERROR(__xludf.DUMMYFUNCTION("""COMPUTED_VALUE"""),0.01)</f>
        <v>0.01</v>
      </c>
      <c r="K62" s="7">
        <f>IFERROR(__xludf.DUMMYFUNCTION("""COMPUTED_VALUE"""),0.5)</f>
        <v>0.5</v>
      </c>
    </row>
    <row r="63" ht="15.75" customHeight="1">
      <c r="A63" s="6" t="str">
        <f>IFERROR(__xludf.DUMMYFUNCTION("""COMPUTED_VALUE"""),"https://www.rubix.com.au/ai-consulting-australia")</f>
        <v>https://www.rubix.com.au/ai-consulting-australia</v>
      </c>
      <c r="B63" s="7" t="str">
        <f>IFERROR(__xludf.DUMMYFUNCTION("""COMPUTED_VALUE"""),"AI Consulting in Australia | RUBIX")</f>
        <v>AI Consulting in Australia | RUBIX</v>
      </c>
      <c r="C63" s="6" t="str">
        <f>IFERROR(__xludf.DUMMYFUNCTION("""COMPUTED_VALUE"""),"rubix.com.au")</f>
        <v>rubix.com.au</v>
      </c>
      <c r="D63" s="7" t="str">
        <f>IFERROR(__xludf.DUMMYFUNCTION("""COMPUTED_VALUE"""),"PRODUCT_PAGE")</f>
        <v>PRODUCT_PAGE</v>
      </c>
      <c r="E63" s="7" t="str">
        <f>IFERROR(__xludf.DUMMYFUNCTION("""COMPUTED_VALUE"""),"UGC")</f>
        <v>UGC</v>
      </c>
      <c r="F63" s="7" t="str">
        <f>IFERROR(__xludf.DUMMYFUNCTION("""COMPUTED_VALUE"""),"Product Page")</f>
        <v>Product Page</v>
      </c>
      <c r="G63" s="7" t="b">
        <f>IFERROR(__xludf.DUMMYFUNCTION("""COMPUTED_VALUE"""),FALSE)</f>
        <v>0</v>
      </c>
      <c r="H63" s="7"/>
      <c r="I63" s="7">
        <f>IFERROR(__xludf.DUMMYFUNCTION("""COMPUTED_VALUE"""),6.0)</f>
        <v>6</v>
      </c>
      <c r="J63" s="7">
        <f>IFERROR(__xludf.DUMMYFUNCTION("""COMPUTED_VALUE"""),0.01)</f>
        <v>0.01</v>
      </c>
      <c r="K63" s="7">
        <f>IFERROR(__xludf.DUMMYFUNCTION("""COMPUTED_VALUE"""),1.83)</f>
        <v>1.83</v>
      </c>
    </row>
    <row r="64" ht="15.75" customHeight="1">
      <c r="A64" s="6" t="str">
        <f>IFERROR(__xludf.DUMMYFUNCTION("""COMPUTED_VALUE"""),"https://www.undivided.com.au/services")</f>
        <v>https://www.undivided.com.au/services</v>
      </c>
      <c r="B64" s="7" t="str">
        <f>IFERROR(__xludf.DUMMYFUNCTION("""COMPUTED_VALUE"""),"Digital Marketing Services Australia | Online Marketing Services")</f>
        <v>Digital Marketing Services Australia | Online Marketing Services</v>
      </c>
      <c r="C64" s="6" t="str">
        <f>IFERROR(__xludf.DUMMYFUNCTION("""COMPUTED_VALUE"""),"undivided.com.au")</f>
        <v>undivided.com.au</v>
      </c>
      <c r="D64" s="7" t="str">
        <f>IFERROR(__xludf.DUMMYFUNCTION("""COMPUTED_VALUE"""),"PRODUCT_PAGE")</f>
        <v>PRODUCT_PAGE</v>
      </c>
      <c r="E64" s="7" t="str">
        <f>IFERROR(__xludf.DUMMYFUNCTION("""COMPUTED_VALUE"""),"CORPORATE")</f>
        <v>CORPORATE</v>
      </c>
      <c r="F64" s="7" t="str">
        <f>IFERROR(__xludf.DUMMYFUNCTION("""COMPUTED_VALUE"""),"Product Page")</f>
        <v>Product Page</v>
      </c>
      <c r="G64" s="7" t="b">
        <f>IFERROR(__xludf.DUMMYFUNCTION("""COMPUTED_VALUE"""),FALSE)</f>
        <v>0</v>
      </c>
      <c r="H64" s="7" t="str">
        <f>IFERROR(__xludf.DUMMYFUNCTION("""COMPUTED_VALUE"""),"Undivided, Earned Media, Measured")</f>
        <v>Undivided, Earned Media, Measured</v>
      </c>
      <c r="I64" s="7">
        <f>IFERROR(__xludf.DUMMYFUNCTION("""COMPUTED_VALUE"""),6.0)</f>
        <v>6</v>
      </c>
      <c r="J64" s="7">
        <f>IFERROR(__xludf.DUMMYFUNCTION("""COMPUTED_VALUE"""),0.01)</f>
        <v>0.01</v>
      </c>
      <c r="K64" s="7">
        <f>IFERROR(__xludf.DUMMYFUNCTION("""COMPUTED_VALUE"""),0.17)</f>
        <v>0.17</v>
      </c>
    </row>
    <row r="65" ht="15.75" customHeight="1">
      <c r="A65" s="6" t="str">
        <f>IFERROR(__xludf.DUMMYFUNCTION("""COMPUTED_VALUE"""),"https://australian.digital/web-analytics-consulting-services/")</f>
        <v>https://australian.digital/web-analytics-consulting-services/</v>
      </c>
      <c r="B65" s="7" t="str">
        <f>IFERROR(__xludf.DUMMYFUNCTION("""COMPUTED_VALUE"""),"Web Analytics Consulting Services | Australian Digital")</f>
        <v>Web Analytics Consulting Services | Australian Digital</v>
      </c>
      <c r="C65" s="7" t="str">
        <f>IFERROR(__xludf.DUMMYFUNCTION("""COMPUTED_VALUE"""),"australian.digital")</f>
        <v>australian.digital</v>
      </c>
      <c r="D65" s="7" t="str">
        <f>IFERROR(__xludf.DUMMYFUNCTION("""COMPUTED_VALUE"""),"PRODUCT_PAGE")</f>
        <v>PRODUCT_PAGE</v>
      </c>
      <c r="E65" s="7" t="str">
        <f>IFERROR(__xludf.DUMMYFUNCTION("""COMPUTED_VALUE"""),"CORPORATE")</f>
        <v>CORPORATE</v>
      </c>
      <c r="F65" s="7" t="str">
        <f>IFERROR(__xludf.DUMMYFUNCTION("""COMPUTED_VALUE"""),"Product Page")</f>
        <v>Product Page</v>
      </c>
      <c r="G65" s="7" t="b">
        <f>IFERROR(__xludf.DUMMYFUNCTION("""COMPUTED_VALUE"""),FALSE)</f>
        <v>0</v>
      </c>
      <c r="H65" s="7" t="str">
        <f>IFERROR(__xludf.DUMMYFUNCTION("""COMPUTED_VALUE"""),"Impressive")</f>
        <v>Impressive</v>
      </c>
      <c r="I65" s="7">
        <f>IFERROR(__xludf.DUMMYFUNCTION("""COMPUTED_VALUE"""),5.0)</f>
        <v>5</v>
      </c>
      <c r="J65" s="7">
        <f>IFERROR(__xludf.DUMMYFUNCTION("""COMPUTED_VALUE"""),0.01)</f>
        <v>0.01</v>
      </c>
      <c r="K65" s="7">
        <f>IFERROR(__xludf.DUMMYFUNCTION("""COMPUTED_VALUE"""),0.0)</f>
        <v>0</v>
      </c>
    </row>
    <row r="66" ht="15.75" customHeight="1">
      <c r="A66" s="6" t="str">
        <f>IFERROR(__xludf.DUMMYFUNCTION("""COMPUTED_VALUE"""),"https://blurn.com/au/digital-marketing-services/direct-display-advertising-services/")</f>
        <v>https://blurn.com/au/digital-marketing-services/direct-display-advertising-services/</v>
      </c>
      <c r="B66" s="7" t="str">
        <f>IFERROR(__xludf.DUMMYFUNCTION("""COMPUTED_VALUE"""),"Rated Best Direct Display Advertising in Australia | Blurn, Sydney")</f>
        <v>Rated Best Direct Display Advertising in Australia | Blurn, Sydney</v>
      </c>
      <c r="C66" s="6" t="str">
        <f>IFERROR(__xludf.DUMMYFUNCTION("""COMPUTED_VALUE"""),"blurn.com")</f>
        <v>blurn.com</v>
      </c>
      <c r="D66" s="7" t="str">
        <f>IFERROR(__xludf.DUMMYFUNCTION("""COMPUTED_VALUE"""),"PRODUCT_PAGE")</f>
        <v>PRODUCT_PAGE</v>
      </c>
      <c r="E66" s="7" t="str">
        <f>IFERROR(__xludf.DUMMYFUNCTION("""COMPUTED_VALUE"""),"CORPORATE")</f>
        <v>CORPORATE</v>
      </c>
      <c r="F66" s="7" t="str">
        <f>IFERROR(__xludf.DUMMYFUNCTION("""COMPUTED_VALUE"""),"Product Page")</f>
        <v>Product Page</v>
      </c>
      <c r="G66" s="7" t="b">
        <f>IFERROR(__xludf.DUMMYFUNCTION("""COMPUTED_VALUE"""),FALSE)</f>
        <v>0</v>
      </c>
      <c r="H66" s="7"/>
      <c r="I66" s="7">
        <f>IFERROR(__xludf.DUMMYFUNCTION("""COMPUTED_VALUE"""),5.0)</f>
        <v>5</v>
      </c>
      <c r="J66" s="7">
        <f>IFERROR(__xludf.DUMMYFUNCTION("""COMPUTED_VALUE"""),0.01)</f>
        <v>0.01</v>
      </c>
      <c r="K66" s="7">
        <f>IFERROR(__xludf.DUMMYFUNCTION("""COMPUTED_VALUE"""),1.4)</f>
        <v>1.4</v>
      </c>
    </row>
    <row r="67" ht="15.75" customHeight="1">
      <c r="A67" s="6" t="str">
        <f>IFERROR(__xludf.DUMMYFUNCTION("""COMPUTED_VALUE"""),"https://www.capterra.com.au/software/188418/cross-channel-attribution-planning")</f>
        <v>https://www.capterra.com.au/software/188418/cross-channel-attribution-planning</v>
      </c>
      <c r="B67" s="7"/>
      <c r="C67" s="6" t="str">
        <f>IFERROR(__xludf.DUMMYFUNCTION("""COMPUTED_VALUE"""),"capterra.com.au")</f>
        <v>capterra.com.au</v>
      </c>
      <c r="D67" s="7" t="str">
        <f>IFERROR(__xludf.DUMMYFUNCTION("""COMPUTED_VALUE"""),"PRODUCT_PAGE")</f>
        <v>PRODUCT_PAGE</v>
      </c>
      <c r="E67" s="7" t="str">
        <f>IFERROR(__xludf.DUMMYFUNCTION("""COMPUTED_VALUE"""),"UGC")</f>
        <v>UGC</v>
      </c>
      <c r="F67" s="7" t="str">
        <f>IFERROR(__xludf.DUMMYFUNCTION("""COMPUTED_VALUE"""),"Product Page")</f>
        <v>Product Page</v>
      </c>
      <c r="G67" s="7" t="b">
        <f>IFERROR(__xludf.DUMMYFUNCTION("""COMPUTED_VALUE"""),FALSE)</f>
        <v>0</v>
      </c>
      <c r="H67" s="7" t="str">
        <f>IFERROR(__xludf.DUMMYFUNCTION("""COMPUTED_VALUE"""),"Measured")</f>
        <v>Measured</v>
      </c>
      <c r="I67" s="7">
        <f>IFERROR(__xludf.DUMMYFUNCTION("""COMPUTED_VALUE"""),5.0)</f>
        <v>5</v>
      </c>
      <c r="J67" s="7">
        <f>IFERROR(__xludf.DUMMYFUNCTION("""COMPUTED_VALUE"""),0.01)</f>
        <v>0.01</v>
      </c>
      <c r="K67" s="7">
        <f>IFERROR(__xludf.DUMMYFUNCTION("""COMPUTED_VALUE"""),0.0)</f>
        <v>0</v>
      </c>
    </row>
    <row r="68" ht="15.75" customHeight="1">
      <c r="A68" s="6" t="str">
        <f>IFERROR(__xludf.DUMMYFUNCTION("""COMPUTED_VALUE"""),"https://www.crescendoagency.ai/ai-agency-australia/")</f>
        <v>https://www.crescendoagency.ai/ai-agency-australia/</v>
      </c>
      <c r="B68" s="7" t="str">
        <f>IFERROR(__xludf.DUMMYFUNCTION("""COMPUTED_VALUE"""),"AI Agency Australia: AI Marketing, Automation &amp;amp; Growth Services")</f>
        <v>AI Agency Australia: AI Marketing, Automation &amp;amp; Growth Services</v>
      </c>
      <c r="C68" s="6" t="str">
        <f>IFERROR(__xludf.DUMMYFUNCTION("""COMPUTED_VALUE"""),"crescendoagency.ai")</f>
        <v>crescendoagency.ai</v>
      </c>
      <c r="D68" s="7" t="str">
        <f>IFERROR(__xludf.DUMMYFUNCTION("""COMPUTED_VALUE"""),"PRODUCT_PAGE")</f>
        <v>PRODUCT_PAGE</v>
      </c>
      <c r="E68" s="7" t="str">
        <f>IFERROR(__xludf.DUMMYFUNCTION("""COMPUTED_VALUE"""),"CORPORATE")</f>
        <v>CORPORATE</v>
      </c>
      <c r="F68" s="7" t="str">
        <f>IFERROR(__xludf.DUMMYFUNCTION("""COMPUTED_VALUE"""),"Product Page")</f>
        <v>Product Page</v>
      </c>
      <c r="G68" s="7" t="b">
        <f>IFERROR(__xludf.DUMMYFUNCTION("""COMPUTED_VALUE"""),FALSE)</f>
        <v>0</v>
      </c>
      <c r="H68" s="7" t="str">
        <f>IFERROR(__xludf.DUMMYFUNCTION("""COMPUTED_VALUE"""),"Deloitte")</f>
        <v>Deloitte</v>
      </c>
      <c r="I68" s="7">
        <f>IFERROR(__xludf.DUMMYFUNCTION("""COMPUTED_VALUE"""),5.0)</f>
        <v>5</v>
      </c>
      <c r="J68" s="7">
        <f>IFERROR(__xludf.DUMMYFUNCTION("""COMPUTED_VALUE"""),0.01)</f>
        <v>0.01</v>
      </c>
      <c r="K68" s="7">
        <f>IFERROR(__xludf.DUMMYFUNCTION("""COMPUTED_VALUE"""),0.2)</f>
        <v>0.2</v>
      </c>
    </row>
    <row r="69" ht="15.75" customHeight="1">
      <c r="A69" s="6" t="str">
        <f>IFERROR(__xludf.DUMMYFUNCTION("""COMPUTED_VALUE"""),"https://www.deptagency.com/en-au/service/google-marketing-platform/")</f>
        <v>https://www.deptagency.com/en-au/service/google-marketing-platform/</v>
      </c>
      <c r="B69" s="7" t="str">
        <f>IFERROR(__xludf.DUMMYFUNCTION("""COMPUTED_VALUE"""),"Google Marketing Platform (GMP) - DEPT®")</f>
        <v>Google Marketing Platform (GMP) - DEPT®</v>
      </c>
      <c r="C69" s="6" t="str">
        <f>IFERROR(__xludf.DUMMYFUNCTION("""COMPUTED_VALUE"""),"deptagency.com")</f>
        <v>deptagency.com</v>
      </c>
      <c r="D69" s="7" t="str">
        <f>IFERROR(__xludf.DUMMYFUNCTION("""COMPUTED_VALUE"""),"PRODUCT_PAGE")</f>
        <v>PRODUCT_PAGE</v>
      </c>
      <c r="E69" s="7" t="str">
        <f>IFERROR(__xludf.DUMMYFUNCTION("""COMPUTED_VALUE"""),"CORPORATE")</f>
        <v>CORPORATE</v>
      </c>
      <c r="F69" s="7" t="str">
        <f>IFERROR(__xludf.DUMMYFUNCTION("""COMPUTED_VALUE"""),"Product Page")</f>
        <v>Product Page</v>
      </c>
      <c r="G69" s="7" t="b">
        <f>IFERROR(__xludf.DUMMYFUNCTION("""COMPUTED_VALUE"""),FALSE)</f>
        <v>0</v>
      </c>
      <c r="H69" s="7"/>
      <c r="I69" s="7">
        <f>IFERROR(__xludf.DUMMYFUNCTION("""COMPUTED_VALUE"""),5.0)</f>
        <v>5</v>
      </c>
      <c r="J69" s="7">
        <f>IFERROR(__xludf.DUMMYFUNCTION("""COMPUTED_VALUE"""),0.01)</f>
        <v>0.01</v>
      </c>
      <c r="K69" s="7">
        <f>IFERROR(__xludf.DUMMYFUNCTION("""COMPUTED_VALUE"""),1.2)</f>
        <v>1.2</v>
      </c>
    </row>
    <row r="70" ht="15.75" customHeight="1">
      <c r="A70" s="6" t="str">
        <f>IFERROR(__xludf.DUMMYFUNCTION("""COMPUTED_VALUE"""),"https://www.designrush.com/agency/paid-media-pay-per-click/au?page=6")</f>
        <v>https://www.designrush.com/agency/paid-media-pay-per-click/au?page=6</v>
      </c>
      <c r="B70" s="7" t="str">
        <f>IFERROR(__xludf.DUMMYFUNCTION("""COMPUTED_VALUE"""),"Top PPC Services in Australia - Page 6")</f>
        <v>Top PPC Services in Australia - Page 6</v>
      </c>
      <c r="C70" s="6" t="str">
        <f>IFERROR(__xludf.DUMMYFUNCTION("""COMPUTED_VALUE"""),"designrush.com")</f>
        <v>designrush.com</v>
      </c>
      <c r="D70" s="7" t="str">
        <f>IFERROR(__xludf.DUMMYFUNCTION("""COMPUTED_VALUE"""),"PRODUCT_PAGE")</f>
        <v>PRODUCT_PAGE</v>
      </c>
      <c r="E70" s="7" t="str">
        <f>IFERROR(__xludf.DUMMYFUNCTION("""COMPUTED_VALUE"""),"CORPORATE")</f>
        <v>CORPORATE</v>
      </c>
      <c r="F70" s="7" t="str">
        <f>IFERROR(__xludf.DUMMYFUNCTION("""COMPUTED_VALUE"""),"Product Page")</f>
        <v>Product Page</v>
      </c>
      <c r="G70" s="7" t="b">
        <f>IFERROR(__xludf.DUMMYFUNCTION("""COMPUTED_VALUE"""),FALSE)</f>
        <v>0</v>
      </c>
      <c r="H70" s="7" t="str">
        <f>IFERROR(__xludf.DUMMYFUNCTION("""COMPUTED_VALUE"""),"Reload Media, Impressive, Zib Digital, AdVisible")</f>
        <v>Reload Media, Impressive, Zib Digital, AdVisible</v>
      </c>
      <c r="I70" s="7">
        <f>IFERROR(__xludf.DUMMYFUNCTION("""COMPUTED_VALUE"""),5.0)</f>
        <v>5</v>
      </c>
      <c r="J70" s="7">
        <f>IFERROR(__xludf.DUMMYFUNCTION("""COMPUTED_VALUE"""),0.01)</f>
        <v>0.01</v>
      </c>
      <c r="K70" s="7">
        <f>IFERROR(__xludf.DUMMYFUNCTION("""COMPUTED_VALUE"""),2.2)</f>
        <v>2.2</v>
      </c>
    </row>
    <row r="71" ht="15.75" customHeight="1">
      <c r="A71" s="6" t="str">
        <f>IFERROR(__xludf.DUMMYFUNCTION("""COMPUTED_VALUE"""),"https://dnmdigital.com.au/data-and-analytics/")</f>
        <v>https://dnmdigital.com.au/data-and-analytics/</v>
      </c>
      <c r="B71" s="7" t="str">
        <f>IFERROR(__xludf.DUMMYFUNCTION("""COMPUTED_VALUE"""),"Data &amp;amp; Analytics Agency | Marketing Analytics Services")</f>
        <v>Data &amp;amp; Analytics Agency | Marketing Analytics Services</v>
      </c>
      <c r="C71" s="6" t="str">
        <f>IFERROR(__xludf.DUMMYFUNCTION("""COMPUTED_VALUE"""),"dnmdigital.com.au")</f>
        <v>dnmdigital.com.au</v>
      </c>
      <c r="D71" s="7" t="str">
        <f>IFERROR(__xludf.DUMMYFUNCTION("""COMPUTED_VALUE"""),"PRODUCT_PAGE")</f>
        <v>PRODUCT_PAGE</v>
      </c>
      <c r="E71" s="7" t="str">
        <f>IFERROR(__xludf.DUMMYFUNCTION("""COMPUTED_VALUE"""),"COMPETITOR")</f>
        <v>COMPETITOR</v>
      </c>
      <c r="F71" s="7" t="str">
        <f>IFERROR(__xludf.DUMMYFUNCTION("""COMPUTED_VALUE"""),"Product Page")</f>
        <v>Product Page</v>
      </c>
      <c r="G71" s="7" t="b">
        <f>IFERROR(__xludf.DUMMYFUNCTION("""COMPUTED_VALUE"""),FALSE)</f>
        <v>0</v>
      </c>
      <c r="H71" s="7" t="str">
        <f>IFERROR(__xludf.DUMMYFUNCTION("""COMPUTED_VALUE"""),"DNM Digital")</f>
        <v>DNM Digital</v>
      </c>
      <c r="I71" s="7">
        <f>IFERROR(__xludf.DUMMYFUNCTION("""COMPUTED_VALUE"""),5.0)</f>
        <v>5</v>
      </c>
      <c r="J71" s="7">
        <f>IFERROR(__xludf.DUMMYFUNCTION("""COMPUTED_VALUE"""),0.01)</f>
        <v>0.01</v>
      </c>
      <c r="K71" s="7">
        <f>IFERROR(__xludf.DUMMYFUNCTION("""COMPUTED_VALUE"""),0.2)</f>
        <v>0.2</v>
      </c>
    </row>
    <row r="72" ht="15.75" customHeight="1">
      <c r="A72" s="6" t="str">
        <f>IFERROR(__xludf.DUMMYFUNCTION("""COMPUTED_VALUE"""),"https://www.juicebox.com.au/generative-engine-optimisation/")</f>
        <v>https://www.juicebox.com.au/generative-engine-optimisation/</v>
      </c>
      <c r="B72" s="7" t="str">
        <f>IFERROR(__xludf.DUMMYFUNCTION("""COMPUTED_VALUE"""),"GEO &amp;amp; AI Search Optimisation | Perth | Juicebox")</f>
        <v>GEO &amp;amp; AI Search Optimisation | Perth | Juicebox</v>
      </c>
      <c r="C72" s="6" t="str">
        <f>IFERROR(__xludf.DUMMYFUNCTION("""COMPUTED_VALUE"""),"juicebox.com.au")</f>
        <v>juicebox.com.au</v>
      </c>
      <c r="D72" s="7" t="str">
        <f>IFERROR(__xludf.DUMMYFUNCTION("""COMPUTED_VALUE"""),"PRODUCT_PAGE")</f>
        <v>PRODUCT_PAGE</v>
      </c>
      <c r="E72" s="7" t="str">
        <f>IFERROR(__xludf.DUMMYFUNCTION("""COMPUTED_VALUE"""),"UGC")</f>
        <v>UGC</v>
      </c>
      <c r="F72" s="7" t="str">
        <f>IFERROR(__xludf.DUMMYFUNCTION("""COMPUTED_VALUE"""),"Product Page")</f>
        <v>Product Page</v>
      </c>
      <c r="G72" s="7" t="b">
        <f>IFERROR(__xludf.DUMMYFUNCTION("""COMPUTED_VALUE"""),FALSE)</f>
        <v>0</v>
      </c>
      <c r="H72" s="7" t="str">
        <f>IFERROR(__xludf.DUMMYFUNCTION("""COMPUTED_VALUE"""),"HERO")</f>
        <v>HERO</v>
      </c>
      <c r="I72" s="7">
        <f>IFERROR(__xludf.DUMMYFUNCTION("""COMPUTED_VALUE"""),5.0)</f>
        <v>5</v>
      </c>
      <c r="J72" s="7">
        <f>IFERROR(__xludf.DUMMYFUNCTION("""COMPUTED_VALUE"""),0.01)</f>
        <v>0.01</v>
      </c>
      <c r="K72" s="7">
        <f>IFERROR(__xludf.DUMMYFUNCTION("""COMPUTED_VALUE"""),1.2)</f>
        <v>1.2</v>
      </c>
    </row>
    <row r="73" ht="15.75" customHeight="1">
      <c r="A73" s="6" t="str">
        <f>IFERROR(__xludf.DUMMYFUNCTION("""COMPUTED_VALUE"""),"https://www.pmgs.com.au/social-media-marketing/paid-social-ads/")</f>
        <v>https://www.pmgs.com.au/social-media-marketing/paid-social-ads/</v>
      </c>
      <c r="B73" s="7" t="str">
        <f>IFERROR(__xludf.DUMMYFUNCTION("""COMPUTED_VALUE"""),"Paid Social Ads Australia | Facebook, Instagram | PMGS")</f>
        <v>Paid Social Ads Australia | Facebook, Instagram | PMGS</v>
      </c>
      <c r="C73" s="6" t="str">
        <f>IFERROR(__xludf.DUMMYFUNCTION("""COMPUTED_VALUE"""),"pmgs.com.au")</f>
        <v>pmgs.com.au</v>
      </c>
      <c r="D73" s="7" t="str">
        <f>IFERROR(__xludf.DUMMYFUNCTION("""COMPUTED_VALUE"""),"PRODUCT_PAGE")</f>
        <v>PRODUCT_PAGE</v>
      </c>
      <c r="E73" s="7" t="str">
        <f>IFERROR(__xludf.DUMMYFUNCTION("""COMPUTED_VALUE"""),"CORPORATE")</f>
        <v>CORPORATE</v>
      </c>
      <c r="F73" s="7" t="str">
        <f>IFERROR(__xludf.DUMMYFUNCTION("""COMPUTED_VALUE"""),"Product Page")</f>
        <v>Product Page</v>
      </c>
      <c r="G73" s="7" t="b">
        <f>IFERROR(__xludf.DUMMYFUNCTION("""COMPUTED_VALUE"""),FALSE)</f>
        <v>0</v>
      </c>
      <c r="H73" s="7" t="str">
        <f>IFERROR(__xludf.DUMMYFUNCTION("""COMPUTED_VALUE"""),"HERO, First Page")</f>
        <v>HERO, First Page</v>
      </c>
      <c r="I73" s="7">
        <f>IFERROR(__xludf.DUMMYFUNCTION("""COMPUTED_VALUE"""),5.0)</f>
        <v>5</v>
      </c>
      <c r="J73" s="7">
        <f>IFERROR(__xludf.DUMMYFUNCTION("""COMPUTED_VALUE"""),0.01)</f>
        <v>0.01</v>
      </c>
      <c r="K73" s="7">
        <f>IFERROR(__xludf.DUMMYFUNCTION("""COMPUTED_VALUE"""),0.4)</f>
        <v>0.4</v>
      </c>
    </row>
    <row r="74" ht="15.75" customHeight="1">
      <c r="A74" s="6" t="str">
        <f>IFERROR(__xludf.DUMMYFUNCTION("""COMPUTED_VALUE"""),"https://www.resolutiondigital.com.au/services/cro/google-marketing-platform/analytics-360/")</f>
        <v>https://www.resolutiondigital.com.au/services/cro/google-marketing-platform/analytics-360/</v>
      </c>
      <c r="B74" s="7" t="str">
        <f>IFERROR(__xludf.DUMMYFUNCTION("""COMPUTED_VALUE"""),"Google Analytics 360 Agency Services | Resolution Digital Australia")</f>
        <v>Google Analytics 360 Agency Services | Resolution Digital Australia</v>
      </c>
      <c r="C74" s="6" t="str">
        <f>IFERROR(__xludf.DUMMYFUNCTION("""COMPUTED_VALUE"""),"resolutiondigital.com.au")</f>
        <v>resolutiondigital.com.au</v>
      </c>
      <c r="D74" s="7" t="str">
        <f>IFERROR(__xludf.DUMMYFUNCTION("""COMPUTED_VALUE"""),"PRODUCT_PAGE")</f>
        <v>PRODUCT_PAGE</v>
      </c>
      <c r="E74" s="7" t="str">
        <f>IFERROR(__xludf.DUMMYFUNCTION("""COMPUTED_VALUE"""),"COMPETITOR")</f>
        <v>COMPETITOR</v>
      </c>
      <c r="F74" s="7" t="str">
        <f>IFERROR(__xludf.DUMMYFUNCTION("""COMPUTED_VALUE"""),"Product Page")</f>
        <v>Product Page</v>
      </c>
      <c r="G74" s="7" t="b">
        <f>IFERROR(__xludf.DUMMYFUNCTION("""COMPUTED_VALUE"""),FALSE)</f>
        <v>0</v>
      </c>
      <c r="H74" s="7" t="str">
        <f>IFERROR(__xludf.DUMMYFUNCTION("""COMPUTED_VALUE"""),"Resolution Digital, Omnicom Media Group")</f>
        <v>Resolution Digital, Omnicom Media Group</v>
      </c>
      <c r="I74" s="7">
        <f>IFERROR(__xludf.DUMMYFUNCTION("""COMPUTED_VALUE"""),5.0)</f>
        <v>5</v>
      </c>
      <c r="J74" s="7">
        <f>IFERROR(__xludf.DUMMYFUNCTION("""COMPUTED_VALUE"""),0.01)</f>
        <v>0.01</v>
      </c>
      <c r="K74" s="7">
        <f>IFERROR(__xludf.DUMMYFUNCTION("""COMPUTED_VALUE"""),0.6)</f>
        <v>0.6</v>
      </c>
    </row>
    <row r="75" ht="15.75" customHeight="1">
      <c r="A75" s="6" t="str">
        <f>IFERROR(__xludf.DUMMYFUNCTION("""COMPUTED_VALUE"""),"https://www.resolutiondigital.com.au/services/measurement/propensity-modelling/")</f>
        <v>https://www.resolutiondigital.com.au/services/measurement/propensity-modelling/</v>
      </c>
      <c r="B75" s="7" t="str">
        <f>IFERROR(__xludf.DUMMYFUNCTION("""COMPUTED_VALUE"""),"Propensity Modelling Agency | Resolution Digital Australia")</f>
        <v>Propensity Modelling Agency | Resolution Digital Australia</v>
      </c>
      <c r="C75" s="6" t="str">
        <f>IFERROR(__xludf.DUMMYFUNCTION("""COMPUTED_VALUE"""),"resolutiondigital.com.au")</f>
        <v>resolutiondigital.com.au</v>
      </c>
      <c r="D75" s="7" t="str">
        <f>IFERROR(__xludf.DUMMYFUNCTION("""COMPUTED_VALUE"""),"PRODUCT_PAGE")</f>
        <v>PRODUCT_PAGE</v>
      </c>
      <c r="E75" s="7" t="str">
        <f>IFERROR(__xludf.DUMMYFUNCTION("""COMPUTED_VALUE"""),"COMPETITOR")</f>
        <v>COMPETITOR</v>
      </c>
      <c r="F75" s="7" t="str">
        <f>IFERROR(__xludf.DUMMYFUNCTION("""COMPUTED_VALUE"""),"Product Page")</f>
        <v>Product Page</v>
      </c>
      <c r="G75" s="7" t="b">
        <f>IFERROR(__xludf.DUMMYFUNCTION("""COMPUTED_VALUE"""),FALSE)</f>
        <v>0</v>
      </c>
      <c r="H75" s="7" t="str">
        <f>IFERROR(__xludf.DUMMYFUNCTION("""COMPUTED_VALUE"""),"Resolution Digital, Omnicom Media Group")</f>
        <v>Resolution Digital, Omnicom Media Group</v>
      </c>
      <c r="I75" s="7">
        <f>IFERROR(__xludf.DUMMYFUNCTION("""COMPUTED_VALUE"""),5.0)</f>
        <v>5</v>
      </c>
      <c r="J75" s="7">
        <f>IFERROR(__xludf.DUMMYFUNCTION("""COMPUTED_VALUE"""),0.01)</f>
        <v>0.01</v>
      </c>
      <c r="K75" s="7">
        <f>IFERROR(__xludf.DUMMYFUNCTION("""COMPUTED_VALUE"""),0.4)</f>
        <v>0.4</v>
      </c>
    </row>
    <row r="76" ht="15.75" customHeight="1">
      <c r="A76" s="6" t="str">
        <f>IFERROR(__xludf.DUMMYFUNCTION("""COMPUTED_VALUE"""),"https://www.resolutiondigital.com.au/technology/partners/google-marketing-platform/")</f>
        <v>https://www.resolutiondigital.com.au/technology/partners/google-marketing-platform/</v>
      </c>
      <c r="B76" s="7" t="str">
        <f>IFERROR(__xludf.DUMMYFUNCTION("""COMPUTED_VALUE"""),"Google Marketing Platform Services | Resolution Digital Australia")</f>
        <v>Google Marketing Platform Services | Resolution Digital Australia</v>
      </c>
      <c r="C76" s="6" t="str">
        <f>IFERROR(__xludf.DUMMYFUNCTION("""COMPUTED_VALUE"""),"resolutiondigital.com.au")</f>
        <v>resolutiondigital.com.au</v>
      </c>
      <c r="D76" s="7" t="str">
        <f>IFERROR(__xludf.DUMMYFUNCTION("""COMPUTED_VALUE"""),"PRODUCT_PAGE")</f>
        <v>PRODUCT_PAGE</v>
      </c>
      <c r="E76" s="7" t="str">
        <f>IFERROR(__xludf.DUMMYFUNCTION("""COMPUTED_VALUE"""),"COMPETITOR")</f>
        <v>COMPETITOR</v>
      </c>
      <c r="F76" s="7" t="str">
        <f>IFERROR(__xludf.DUMMYFUNCTION("""COMPUTED_VALUE"""),"Product Page")</f>
        <v>Product Page</v>
      </c>
      <c r="G76" s="7" t="b">
        <f>IFERROR(__xludf.DUMMYFUNCTION("""COMPUTED_VALUE"""),FALSE)</f>
        <v>0</v>
      </c>
      <c r="H76" s="7" t="str">
        <f>IFERROR(__xludf.DUMMYFUNCTION("""COMPUTED_VALUE"""),"Resolution Digital, TRKKN, Omnicom Media Group")</f>
        <v>Resolution Digital, TRKKN, Omnicom Media Group</v>
      </c>
      <c r="I76" s="7">
        <f>IFERROR(__xludf.DUMMYFUNCTION("""COMPUTED_VALUE"""),5.0)</f>
        <v>5</v>
      </c>
      <c r="J76" s="7">
        <f>IFERROR(__xludf.DUMMYFUNCTION("""COMPUTED_VALUE"""),0.01)</f>
        <v>0.01</v>
      </c>
      <c r="K76" s="7">
        <f>IFERROR(__xludf.DUMMYFUNCTION("""COMPUTED_VALUE"""),2.0)</f>
        <v>2</v>
      </c>
    </row>
    <row r="77" ht="15.75" customHeight="1">
      <c r="A77" s="6" t="str">
        <f>IFERROR(__xludf.DUMMYFUNCTION("""COMPUTED_VALUE"""),"https://www.unifida.com.au/marketing-attribution")</f>
        <v>https://www.unifida.com.au/marketing-attribution</v>
      </c>
      <c r="B77" s="7" t="str">
        <f>IFERROR(__xludf.DUMMYFUNCTION("""COMPUTED_VALUE"""),"Marketing Attribution | AI Driven Insight - UniFida Australia")</f>
        <v>Marketing Attribution | AI Driven Insight - UniFida Australia</v>
      </c>
      <c r="C77" s="6" t="str">
        <f>IFERROR(__xludf.DUMMYFUNCTION("""COMPUTED_VALUE"""),"unifida.com.au")</f>
        <v>unifida.com.au</v>
      </c>
      <c r="D77" s="7" t="str">
        <f>IFERROR(__xludf.DUMMYFUNCTION("""COMPUTED_VALUE"""),"PRODUCT_PAGE")</f>
        <v>PRODUCT_PAGE</v>
      </c>
      <c r="E77" s="7" t="str">
        <f>IFERROR(__xludf.DUMMYFUNCTION("""COMPUTED_VALUE"""),"CORPORATE")</f>
        <v>CORPORATE</v>
      </c>
      <c r="F77" s="7" t="str">
        <f>IFERROR(__xludf.DUMMYFUNCTION("""COMPUTED_VALUE"""),"Product Page")</f>
        <v>Product Page</v>
      </c>
      <c r="G77" s="7" t="b">
        <f>IFERROR(__xludf.DUMMYFUNCTION("""COMPUTED_VALUE"""),FALSE)</f>
        <v>0</v>
      </c>
      <c r="H77" s="7"/>
      <c r="I77" s="7">
        <f>IFERROR(__xludf.DUMMYFUNCTION("""COMPUTED_VALUE"""),5.0)</f>
        <v>5</v>
      </c>
      <c r="J77" s="7">
        <f>IFERROR(__xludf.DUMMYFUNCTION("""COMPUTED_VALUE"""),0.01)</f>
        <v>0.01</v>
      </c>
      <c r="K77" s="7">
        <f>IFERROR(__xludf.DUMMYFUNCTION("""COMPUTED_VALUE"""),1.6)</f>
        <v>1.6</v>
      </c>
    </row>
    <row r="78" ht="15.75" customHeight="1">
      <c r="A78" s="6" t="str">
        <f>IFERROR(__xludf.DUMMYFUNCTION("""COMPUTED_VALUE"""),"https://digitalchoice.com.au/data-analytics/")</f>
        <v>https://digitalchoice.com.au/data-analytics/</v>
      </c>
      <c r="B78" s="7" t="str">
        <f>IFERROR(__xludf.DUMMYFUNCTION("""COMPUTED_VALUE"""),"Data Analytics - Digital Choice")</f>
        <v>Data Analytics - Digital Choice</v>
      </c>
      <c r="C78" s="6" t="str">
        <f>IFERROR(__xludf.DUMMYFUNCTION("""COMPUTED_VALUE"""),"digitalchoice.com.au")</f>
        <v>digitalchoice.com.au</v>
      </c>
      <c r="D78" s="7" t="str">
        <f>IFERROR(__xludf.DUMMYFUNCTION("""COMPUTED_VALUE"""),"PRODUCT_PAGE")</f>
        <v>PRODUCT_PAGE</v>
      </c>
      <c r="E78" s="7" t="str">
        <f>IFERROR(__xludf.DUMMYFUNCTION("""COMPUTED_VALUE"""),"CORPORATE")</f>
        <v>CORPORATE</v>
      </c>
      <c r="F78" s="7" t="str">
        <f>IFERROR(__xludf.DUMMYFUNCTION("""COMPUTED_VALUE"""),"Product Page")</f>
        <v>Product Page</v>
      </c>
      <c r="G78" s="7" t="b">
        <f>IFERROR(__xludf.DUMMYFUNCTION("""COMPUTED_VALUE"""),FALSE)</f>
        <v>0</v>
      </c>
      <c r="H78" s="7" t="str">
        <f>IFERROR(__xludf.DUMMYFUNCTION("""COMPUTED_VALUE"""),"Measured")</f>
        <v>Measured</v>
      </c>
      <c r="I78" s="7">
        <f>IFERROR(__xludf.DUMMYFUNCTION("""COMPUTED_VALUE"""),4.0)</f>
        <v>4</v>
      </c>
      <c r="J78" s="7">
        <f>IFERROR(__xludf.DUMMYFUNCTION("""COMPUTED_VALUE"""),0.0)</f>
        <v>0</v>
      </c>
      <c r="K78" s="7">
        <f>IFERROR(__xludf.DUMMYFUNCTION("""COMPUTED_VALUE"""),1.75)</f>
        <v>1.75</v>
      </c>
    </row>
    <row r="79" ht="15.75" customHeight="1">
      <c r="A79" s="6" t="str">
        <f>IFERROR(__xludf.DUMMYFUNCTION("""COMPUTED_VALUE"""),"https://digitalon.ai/ai-consultants-australia")</f>
        <v>https://digitalon.ai/ai-consultants-australia</v>
      </c>
      <c r="B79" s="7" t="str">
        <f>IFERROR(__xludf.DUMMYFUNCTION("""COMPUTED_VALUE"""),"AI Consultants Australia | DIGITALON AI")</f>
        <v>AI Consultants Australia | DIGITALON AI</v>
      </c>
      <c r="C79" s="6" t="str">
        <f>IFERROR(__xludf.DUMMYFUNCTION("""COMPUTED_VALUE"""),"digitalon.ai")</f>
        <v>digitalon.ai</v>
      </c>
      <c r="D79" s="7" t="str">
        <f>IFERROR(__xludf.DUMMYFUNCTION("""COMPUTED_VALUE"""),"PRODUCT_PAGE")</f>
        <v>PRODUCT_PAGE</v>
      </c>
      <c r="E79" s="7" t="str">
        <f>IFERROR(__xludf.DUMMYFUNCTION("""COMPUTED_VALUE"""),"CORPORATE")</f>
        <v>CORPORATE</v>
      </c>
      <c r="F79" s="7" t="str">
        <f>IFERROR(__xludf.DUMMYFUNCTION("""COMPUTED_VALUE"""),"Product Page")</f>
        <v>Product Page</v>
      </c>
      <c r="G79" s="7" t="b">
        <f>IFERROR(__xludf.DUMMYFUNCTION("""COMPUTED_VALUE"""),FALSE)</f>
        <v>0</v>
      </c>
      <c r="H79" s="7"/>
      <c r="I79" s="7">
        <f>IFERROR(__xludf.DUMMYFUNCTION("""COMPUTED_VALUE"""),4.0)</f>
        <v>4</v>
      </c>
      <c r="J79" s="7">
        <f>IFERROR(__xludf.DUMMYFUNCTION("""COMPUTED_VALUE"""),0.0)</f>
        <v>0</v>
      </c>
      <c r="K79" s="7">
        <f>IFERROR(__xludf.DUMMYFUNCTION("""COMPUTED_VALUE"""),1.25)</f>
        <v>1.25</v>
      </c>
    </row>
    <row r="80" ht="15.75" customHeight="1">
      <c r="A80" s="6" t="str">
        <f>IFERROR(__xludf.DUMMYFUNCTION("""COMPUTED_VALUE"""),"https://gorilla360.com.au/google-ads/")</f>
        <v>https://gorilla360.com.au/google-ads/</v>
      </c>
      <c r="B80" s="7" t="str">
        <f>IFERROR(__xludf.DUMMYFUNCTION("""COMPUTED_VALUE"""),"Google Ads Agency [Google Premier Partner]")</f>
        <v>Google Ads Agency [Google Premier Partner]</v>
      </c>
      <c r="C80" s="6" t="str">
        <f>IFERROR(__xludf.DUMMYFUNCTION("""COMPUTED_VALUE"""),"gorilla360.com.au")</f>
        <v>gorilla360.com.au</v>
      </c>
      <c r="D80" s="7" t="str">
        <f>IFERROR(__xludf.DUMMYFUNCTION("""COMPUTED_VALUE"""),"PRODUCT_PAGE")</f>
        <v>PRODUCT_PAGE</v>
      </c>
      <c r="E80" s="7" t="str">
        <f>IFERROR(__xludf.DUMMYFUNCTION("""COMPUTED_VALUE"""),"COMPETITOR")</f>
        <v>COMPETITOR</v>
      </c>
      <c r="F80" s="7" t="str">
        <f>IFERROR(__xludf.DUMMYFUNCTION("""COMPUTED_VALUE"""),"Product Page")</f>
        <v>Product Page</v>
      </c>
      <c r="G80" s="7" t="b">
        <f>IFERROR(__xludf.DUMMYFUNCTION("""COMPUTED_VALUE"""),FALSE)</f>
        <v>0</v>
      </c>
      <c r="H80" s="7" t="str">
        <f>IFERROR(__xludf.DUMMYFUNCTION("""COMPUTED_VALUE"""),"Gorilla 360")</f>
        <v>Gorilla 360</v>
      </c>
      <c r="I80" s="7">
        <f>IFERROR(__xludf.DUMMYFUNCTION("""COMPUTED_VALUE"""),4.0)</f>
        <v>4</v>
      </c>
      <c r="J80" s="7">
        <f>IFERROR(__xludf.DUMMYFUNCTION("""COMPUTED_VALUE"""),0.0)</f>
        <v>0</v>
      </c>
      <c r="K80" s="7">
        <f>IFERROR(__xludf.DUMMYFUNCTION("""COMPUTED_VALUE"""),1.0)</f>
        <v>1</v>
      </c>
    </row>
    <row r="81" ht="15.75" customHeight="1">
      <c r="A81" s="6" t="str">
        <f>IFERROR(__xludf.DUMMYFUNCTION("""COMPUTED_VALUE"""),"https://www.idhlagency.com/digital-marketing/measurement-attribution")</f>
        <v>https://www.idhlagency.com/digital-marketing/measurement-attribution</v>
      </c>
      <c r="B81" s="7" t="str">
        <f>IFERROR(__xludf.DUMMYFUNCTION("""COMPUTED_VALUE"""),"Marketing Attribution Services | Marketing Attribution Agency | IDHL")</f>
        <v>Marketing Attribution Services | Marketing Attribution Agency | IDHL</v>
      </c>
      <c r="C81" s="6" t="str">
        <f>IFERROR(__xludf.DUMMYFUNCTION("""COMPUTED_VALUE"""),"idhlagency.com")</f>
        <v>idhlagency.com</v>
      </c>
      <c r="D81" s="7" t="str">
        <f>IFERROR(__xludf.DUMMYFUNCTION("""COMPUTED_VALUE"""),"PRODUCT_PAGE")</f>
        <v>PRODUCT_PAGE</v>
      </c>
      <c r="E81" s="7" t="str">
        <f>IFERROR(__xludf.DUMMYFUNCTION("""COMPUTED_VALUE"""),"CORPORATE")</f>
        <v>CORPORATE</v>
      </c>
      <c r="F81" s="7" t="str">
        <f>IFERROR(__xludf.DUMMYFUNCTION("""COMPUTED_VALUE"""),"Product Page")</f>
        <v>Product Page</v>
      </c>
      <c r="G81" s="7" t="b">
        <f>IFERROR(__xludf.DUMMYFUNCTION("""COMPUTED_VALUE"""),FALSE)</f>
        <v>0</v>
      </c>
      <c r="H81" s="7" t="str">
        <f>IFERROR(__xludf.DUMMYFUNCTION("""COMPUTED_VALUE"""),"IDHL")</f>
        <v>IDHL</v>
      </c>
      <c r="I81" s="7">
        <f>IFERROR(__xludf.DUMMYFUNCTION("""COMPUTED_VALUE"""),4.0)</f>
        <v>4</v>
      </c>
      <c r="J81" s="7">
        <f>IFERROR(__xludf.DUMMYFUNCTION("""COMPUTED_VALUE"""),0.0)</f>
        <v>0</v>
      </c>
      <c r="K81" s="7">
        <f>IFERROR(__xludf.DUMMYFUNCTION("""COMPUTED_VALUE"""),0.5)</f>
        <v>0.5</v>
      </c>
    </row>
    <row r="82" ht="15.75" customHeight="1">
      <c r="A82" s="6" t="str">
        <f>IFERROR(__xludf.DUMMYFUNCTION("""COMPUTED_VALUE"""),"https://itcc.co/aeo-agency-australia/")</f>
        <v>https://itcc.co/aeo-agency-australia/</v>
      </c>
      <c r="B82" s="7" t="str">
        <f>IFERROR(__xludf.DUMMYFUNCTION("""COMPUTED_VALUE"""),"AI SEO, AEO, GEO Agency Australia | AI Search Experts Melbourne")</f>
        <v>AI SEO, AEO, GEO Agency Australia | AI Search Experts Melbourne</v>
      </c>
      <c r="C82" s="6" t="str">
        <f>IFERROR(__xludf.DUMMYFUNCTION("""COMPUTED_VALUE"""),"itcc.co")</f>
        <v>itcc.co</v>
      </c>
      <c r="D82" s="7" t="str">
        <f>IFERROR(__xludf.DUMMYFUNCTION("""COMPUTED_VALUE"""),"PRODUCT_PAGE")</f>
        <v>PRODUCT_PAGE</v>
      </c>
      <c r="E82" s="7" t="str">
        <f>IFERROR(__xludf.DUMMYFUNCTION("""COMPUTED_VALUE"""),"CORPORATE")</f>
        <v>CORPORATE</v>
      </c>
      <c r="F82" s="7" t="str">
        <f>IFERROR(__xludf.DUMMYFUNCTION("""COMPUTED_VALUE"""),"Product Page")</f>
        <v>Product Page</v>
      </c>
      <c r="G82" s="7" t="b">
        <f>IFERROR(__xludf.DUMMYFUNCTION("""COMPUTED_VALUE"""),FALSE)</f>
        <v>0</v>
      </c>
      <c r="H82" s="7"/>
      <c r="I82" s="7">
        <f>IFERROR(__xludf.DUMMYFUNCTION("""COMPUTED_VALUE"""),4.0)</f>
        <v>4</v>
      </c>
      <c r="J82" s="7">
        <f>IFERROR(__xludf.DUMMYFUNCTION("""COMPUTED_VALUE"""),0.0)</f>
        <v>0</v>
      </c>
      <c r="K82" s="7">
        <f>IFERROR(__xludf.DUMMYFUNCTION("""COMPUTED_VALUE"""),0.0)</f>
        <v>0</v>
      </c>
    </row>
    <row r="83" ht="15.75" customHeight="1">
      <c r="A83" s="6" t="str">
        <f>IFERROR(__xludf.DUMMYFUNCTION("""COMPUTED_VALUE"""),"https://liftlab.com/solutions/incrementality-testing/")</f>
        <v>https://liftlab.com/solutions/incrementality-testing/</v>
      </c>
      <c r="B83" s="7" t="str">
        <f>IFERROR(__xludf.DUMMYFUNCTION("""COMPUTED_VALUE"""),"Incrementality Testing &amp;amp; MMM Calibration | LiftLab")</f>
        <v>Incrementality Testing &amp;amp; MMM Calibration | LiftLab</v>
      </c>
      <c r="C83" s="6" t="str">
        <f>IFERROR(__xludf.DUMMYFUNCTION("""COMPUTED_VALUE"""),"liftlab.com")</f>
        <v>liftlab.com</v>
      </c>
      <c r="D83" s="7" t="str">
        <f>IFERROR(__xludf.DUMMYFUNCTION("""COMPUTED_VALUE"""),"PRODUCT_PAGE")</f>
        <v>PRODUCT_PAGE</v>
      </c>
      <c r="E83" s="7" t="str">
        <f>IFERROR(__xludf.DUMMYFUNCTION("""COMPUTED_VALUE"""),"COMPETITOR")</f>
        <v>COMPETITOR</v>
      </c>
      <c r="F83" s="7" t="str">
        <f>IFERROR(__xludf.DUMMYFUNCTION("""COMPUTED_VALUE"""),"Product Page")</f>
        <v>Product Page</v>
      </c>
      <c r="G83" s="7" t="b">
        <f>IFERROR(__xludf.DUMMYFUNCTION("""COMPUTED_VALUE"""),FALSE)</f>
        <v>0</v>
      </c>
      <c r="H83" s="7" t="str">
        <f>IFERROR(__xludf.DUMMYFUNCTION("""COMPUTED_VALUE"""),"LiftLab")</f>
        <v>LiftLab</v>
      </c>
      <c r="I83" s="7">
        <f>IFERROR(__xludf.DUMMYFUNCTION("""COMPUTED_VALUE"""),4.0)</f>
        <v>4</v>
      </c>
      <c r="J83" s="7">
        <f>IFERROR(__xludf.DUMMYFUNCTION("""COMPUTED_VALUE"""),0.0)</f>
        <v>0</v>
      </c>
      <c r="K83" s="7">
        <f>IFERROR(__xludf.DUMMYFUNCTION("""COMPUTED_VALUE"""),1.25)</f>
        <v>1.25</v>
      </c>
    </row>
    <row r="84" ht="15.75" customHeight="1">
      <c r="A84" s="6" t="str">
        <f>IFERROR(__xludf.DUMMYFUNCTION("""COMPUTED_VALUE"""),"https://magnetoitsolutions.com/au/generative-engine-optimization")</f>
        <v>https://magnetoitsolutions.com/au/generative-engine-optimization</v>
      </c>
      <c r="B84" s="7" t="str">
        <f>IFERROR(__xludf.DUMMYFUNCTION("""COMPUTED_VALUE"""),"Collaborate with Australia's Leading GEO Agency")</f>
        <v>Collaborate with Australia's Leading GEO Agency</v>
      </c>
      <c r="C84" s="6" t="str">
        <f>IFERROR(__xludf.DUMMYFUNCTION("""COMPUTED_VALUE"""),"magnetoitsolutions.com")</f>
        <v>magnetoitsolutions.com</v>
      </c>
      <c r="D84" s="7" t="str">
        <f>IFERROR(__xludf.DUMMYFUNCTION("""COMPUTED_VALUE"""),"PRODUCT_PAGE")</f>
        <v>PRODUCT_PAGE</v>
      </c>
      <c r="E84" s="7" t="str">
        <f>IFERROR(__xludf.DUMMYFUNCTION("""COMPUTED_VALUE"""),"CORPORATE")</f>
        <v>CORPORATE</v>
      </c>
      <c r="F84" s="7" t="str">
        <f>IFERROR(__xludf.DUMMYFUNCTION("""COMPUTED_VALUE"""),"Product Page")</f>
        <v>Product Page</v>
      </c>
      <c r="G84" s="7" t="b">
        <f>IFERROR(__xludf.DUMMYFUNCTION("""COMPUTED_VALUE"""),FALSE)</f>
        <v>0</v>
      </c>
      <c r="H84" s="7"/>
      <c r="I84" s="7">
        <f>IFERROR(__xludf.DUMMYFUNCTION("""COMPUTED_VALUE"""),4.0)</f>
        <v>4</v>
      </c>
      <c r="J84" s="7">
        <f>IFERROR(__xludf.DUMMYFUNCTION("""COMPUTED_VALUE"""),0.0)</f>
        <v>0</v>
      </c>
      <c r="K84" s="7">
        <f>IFERROR(__xludf.DUMMYFUNCTION("""COMPUTED_VALUE"""),1.0)</f>
        <v>1</v>
      </c>
    </row>
    <row r="85" ht="15.75" customHeight="1">
      <c r="A85" s="6" t="str">
        <f>IFERROR(__xludf.DUMMYFUNCTION("""COMPUTED_VALUE"""),"https://www.resolutiondigital.com.au/services/cro/google-marketing-platform/google-marketing-platform-for-agencies/")</f>
        <v>https://www.resolutiondigital.com.au/services/cro/google-marketing-platform/google-marketing-platform-for-agencies/</v>
      </c>
      <c r="B85" s="7" t="str">
        <f>IFERROR(__xludf.DUMMYFUNCTION("""COMPUTED_VALUE"""),"Google Marketing Platform for Agencies | Resolution Digital Australia")</f>
        <v>Google Marketing Platform for Agencies | Resolution Digital Australia</v>
      </c>
      <c r="C85" s="6" t="str">
        <f>IFERROR(__xludf.DUMMYFUNCTION("""COMPUTED_VALUE"""),"resolutiondigital.com.au")</f>
        <v>resolutiondigital.com.au</v>
      </c>
      <c r="D85" s="7" t="str">
        <f>IFERROR(__xludf.DUMMYFUNCTION("""COMPUTED_VALUE"""),"PRODUCT_PAGE")</f>
        <v>PRODUCT_PAGE</v>
      </c>
      <c r="E85" s="7" t="str">
        <f>IFERROR(__xludf.DUMMYFUNCTION("""COMPUTED_VALUE"""),"COMPETITOR")</f>
        <v>COMPETITOR</v>
      </c>
      <c r="F85" s="7" t="str">
        <f>IFERROR(__xludf.DUMMYFUNCTION("""COMPUTED_VALUE"""),"Product Page")</f>
        <v>Product Page</v>
      </c>
      <c r="G85" s="7" t="b">
        <f>IFERROR(__xludf.DUMMYFUNCTION("""COMPUTED_VALUE"""),FALSE)</f>
        <v>0</v>
      </c>
      <c r="H85" s="7" t="str">
        <f>IFERROR(__xludf.DUMMYFUNCTION("""COMPUTED_VALUE"""),"Resolution Digital, Omnicom Media Group")</f>
        <v>Resolution Digital, Omnicom Media Group</v>
      </c>
      <c r="I85" s="7">
        <f>IFERROR(__xludf.DUMMYFUNCTION("""COMPUTED_VALUE"""),4.0)</f>
        <v>4</v>
      </c>
      <c r="J85" s="7">
        <f>IFERROR(__xludf.DUMMYFUNCTION("""COMPUTED_VALUE"""),0.0)</f>
        <v>0</v>
      </c>
      <c r="K85" s="7">
        <f>IFERROR(__xludf.DUMMYFUNCTION("""COMPUTED_VALUE"""),0.5)</f>
        <v>0.5</v>
      </c>
    </row>
    <row r="86" ht="15.75" customHeight="1">
      <c r="A86" s="6" t="str">
        <f>IFERROR(__xludf.DUMMYFUNCTION("""COMPUTED_VALUE"""),"https://admatic.com/lp/marketing-agency/melbourne")</f>
        <v>https://admatic.com/lp/marketing-agency/melbourne</v>
      </c>
      <c r="B86" s="7" t="str">
        <f>IFERROR(__xludf.DUMMYFUNCTION("""COMPUTED_VALUE"""),"Marketing Agency Melbourne | Strategy, Media &amp;amp; Performance | ADMATIC")</f>
        <v>Marketing Agency Melbourne | Strategy, Media &amp;amp; Performance | ADMATIC</v>
      </c>
      <c r="C86" s="6" t="str">
        <f>IFERROR(__xludf.DUMMYFUNCTION("""COMPUTED_VALUE"""),"admatic.com")</f>
        <v>admatic.com</v>
      </c>
      <c r="D86" s="7" t="str">
        <f>IFERROR(__xludf.DUMMYFUNCTION("""COMPUTED_VALUE"""),"PRODUCT_PAGE")</f>
        <v>PRODUCT_PAGE</v>
      </c>
      <c r="E86" s="7" t="str">
        <f>IFERROR(__xludf.DUMMYFUNCTION("""COMPUTED_VALUE"""),"CORPORATE")</f>
        <v>CORPORATE</v>
      </c>
      <c r="F86" s="7" t="str">
        <f>IFERROR(__xludf.DUMMYFUNCTION("""COMPUTED_VALUE"""),"Product Page")</f>
        <v>Product Page</v>
      </c>
      <c r="G86" s="7" t="b">
        <f>IFERROR(__xludf.DUMMYFUNCTION("""COMPUTED_VALUE"""),FALSE)</f>
        <v>0</v>
      </c>
      <c r="H86" s="7"/>
      <c r="I86" s="7">
        <f>IFERROR(__xludf.DUMMYFUNCTION("""COMPUTED_VALUE"""),3.0)</f>
        <v>3</v>
      </c>
      <c r="J86" s="7">
        <f>IFERROR(__xludf.DUMMYFUNCTION("""COMPUTED_VALUE"""),0.0)</f>
        <v>0</v>
      </c>
      <c r="K86" s="7">
        <f>IFERROR(__xludf.DUMMYFUNCTION("""COMPUTED_VALUE"""),0.67)</f>
        <v>0.67</v>
      </c>
    </row>
    <row r="87" ht="15.75" customHeight="1">
      <c r="A87" s="6" t="str">
        <f>IFERROR(__xludf.DUMMYFUNCTION("""COMPUTED_VALUE"""),"https://www.adopsandadtech.com.au/google-partner")</f>
        <v>https://www.adopsandadtech.com.au/google-partner</v>
      </c>
      <c r="B87" s="7" t="str">
        <f>IFERROR(__xludf.DUMMYFUNCTION("""COMPUTED_VALUE"""),"Google Platform Partner Specialist — a&amp;amp;a")</f>
        <v>Google Platform Partner Specialist — a&amp;amp;a</v>
      </c>
      <c r="C87" s="6" t="str">
        <f>IFERROR(__xludf.DUMMYFUNCTION("""COMPUTED_VALUE"""),"adopsandadtech.com.au")</f>
        <v>adopsandadtech.com.au</v>
      </c>
      <c r="D87" s="7" t="str">
        <f>IFERROR(__xludf.DUMMYFUNCTION("""COMPUTED_VALUE"""),"PRODUCT_PAGE")</f>
        <v>PRODUCT_PAGE</v>
      </c>
      <c r="E87" s="7" t="str">
        <f>IFERROR(__xludf.DUMMYFUNCTION("""COMPUTED_VALUE"""),"EDITORIAL")</f>
        <v>EDITORIAL</v>
      </c>
      <c r="F87" s="7" t="str">
        <f>IFERROR(__xludf.DUMMYFUNCTION("""COMPUTED_VALUE"""),"Product Page")</f>
        <v>Product Page</v>
      </c>
      <c r="G87" s="7" t="b">
        <f>IFERROR(__xludf.DUMMYFUNCTION("""COMPUTED_VALUE"""),FALSE)</f>
        <v>0</v>
      </c>
      <c r="H87" s="7"/>
      <c r="I87" s="7">
        <f>IFERROR(__xludf.DUMMYFUNCTION("""COMPUTED_VALUE"""),3.0)</f>
        <v>3</v>
      </c>
      <c r="J87" s="7">
        <f>IFERROR(__xludf.DUMMYFUNCTION("""COMPUTED_VALUE"""),0.0)</f>
        <v>0</v>
      </c>
      <c r="K87" s="7">
        <f>IFERROR(__xludf.DUMMYFUNCTION("""COMPUTED_VALUE"""),0.33)</f>
        <v>0.33</v>
      </c>
    </row>
    <row r="88" ht="15.75" customHeight="1">
      <c r="A88" s="6" t="str">
        <f>IFERROR(__xludf.DUMMYFUNCTION("""COMPUTED_VALUE"""),"https://agoraagency.com.au/performance-marketing")</f>
        <v>https://agoraagency.com.au/performance-marketing</v>
      </c>
      <c r="B88" s="7" t="str">
        <f>IFERROR(__xludf.DUMMYFUNCTION("""COMPUTED_VALUE"""),"Performance Marketing Agency - Market Leading Results | Agora Agency Australia")</f>
        <v>Performance Marketing Agency - Market Leading Results | Agora Agency Australia</v>
      </c>
      <c r="C88" s="6" t="str">
        <f>IFERROR(__xludf.DUMMYFUNCTION("""COMPUTED_VALUE"""),"agoraagency.com.au")</f>
        <v>agoraagency.com.au</v>
      </c>
      <c r="D88" s="7" t="str">
        <f>IFERROR(__xludf.DUMMYFUNCTION("""COMPUTED_VALUE"""),"PRODUCT_PAGE")</f>
        <v>PRODUCT_PAGE</v>
      </c>
      <c r="E88" s="7" t="str">
        <f>IFERROR(__xludf.DUMMYFUNCTION("""COMPUTED_VALUE"""),"CORPORATE")</f>
        <v>CORPORATE</v>
      </c>
      <c r="F88" s="7" t="str">
        <f>IFERROR(__xludf.DUMMYFUNCTION("""COMPUTED_VALUE"""),"Product Page")</f>
        <v>Product Page</v>
      </c>
      <c r="G88" s="7" t="b">
        <f>IFERROR(__xludf.DUMMYFUNCTION("""COMPUTED_VALUE"""),FALSE)</f>
        <v>0</v>
      </c>
      <c r="H88" s="7"/>
      <c r="I88" s="7">
        <f>IFERROR(__xludf.DUMMYFUNCTION("""COMPUTED_VALUE"""),3.0)</f>
        <v>3</v>
      </c>
      <c r="J88" s="7">
        <f>IFERROR(__xludf.DUMMYFUNCTION("""COMPUTED_VALUE"""),0.0)</f>
        <v>0</v>
      </c>
      <c r="K88" s="7">
        <f>IFERROR(__xludf.DUMMYFUNCTION("""COMPUTED_VALUE"""),0.33)</f>
        <v>0.33</v>
      </c>
    </row>
    <row r="89" ht="15.75" customHeight="1">
      <c r="A89" s="6" t="str">
        <f>IFERROR(__xludf.DUMMYFUNCTION("""COMPUTED_VALUE"""),"https://www.digitxl.com.au/google-analytics-consulting/")</f>
        <v>https://www.digitxl.com.au/google-analytics-consulting/</v>
      </c>
      <c r="B89" s="7" t="str">
        <f>IFERROR(__xludf.DUMMYFUNCTION("""COMPUTED_VALUE"""),"GA4 Consultants | Digitxl - Certified Google Analytics Agency")</f>
        <v>GA4 Consultants | Digitxl - Certified Google Analytics Agency</v>
      </c>
      <c r="C89" s="6" t="str">
        <f>IFERROR(__xludf.DUMMYFUNCTION("""COMPUTED_VALUE"""),"digitxl.com.au")</f>
        <v>digitxl.com.au</v>
      </c>
      <c r="D89" s="7" t="str">
        <f>IFERROR(__xludf.DUMMYFUNCTION("""COMPUTED_VALUE"""),"PRODUCT_PAGE")</f>
        <v>PRODUCT_PAGE</v>
      </c>
      <c r="E89" s="7" t="str">
        <f>IFERROR(__xludf.DUMMYFUNCTION("""COMPUTED_VALUE"""),"COMPETITOR")</f>
        <v>COMPETITOR</v>
      </c>
      <c r="F89" s="7" t="str">
        <f>IFERROR(__xludf.DUMMYFUNCTION("""COMPUTED_VALUE"""),"Product Page")</f>
        <v>Product Page</v>
      </c>
      <c r="G89" s="7" t="b">
        <f>IFERROR(__xludf.DUMMYFUNCTION("""COMPUTED_VALUE"""),FALSE)</f>
        <v>0</v>
      </c>
      <c r="H89" s="7" t="str">
        <f>IFERROR(__xludf.DUMMYFUNCTION("""COMPUTED_VALUE"""),"Digitxl")</f>
        <v>Digitxl</v>
      </c>
      <c r="I89" s="7">
        <f>IFERROR(__xludf.DUMMYFUNCTION("""COMPUTED_VALUE"""),3.0)</f>
        <v>3</v>
      </c>
      <c r="J89" s="7">
        <f>IFERROR(__xludf.DUMMYFUNCTION("""COMPUTED_VALUE"""),0.0)</f>
        <v>0</v>
      </c>
      <c r="K89" s="7">
        <f>IFERROR(__xludf.DUMMYFUNCTION("""COMPUTED_VALUE"""),2.0)</f>
        <v>2</v>
      </c>
    </row>
    <row r="90" ht="15.75" customHeight="1">
      <c r="A90" s="6" t="str">
        <f>IFERROR(__xludf.DUMMYFUNCTION("""COMPUTED_VALUE"""),"https://www.elephantintheboardroom.com.au/geo-agency")</f>
        <v>https://www.elephantintheboardroom.com.au/geo-agency</v>
      </c>
      <c r="B90" s="7" t="str">
        <f>IFERROR(__xludf.DUMMYFUNCTION("""COMPUTED_VALUE"""),"GEO Agency Australia | Generative Engine Optimization Agency")</f>
        <v>GEO Agency Australia | Generative Engine Optimization Agency</v>
      </c>
      <c r="C90" s="6" t="str">
        <f>IFERROR(__xludf.DUMMYFUNCTION("""COMPUTED_VALUE"""),"elephantintheboardroom.com.au")</f>
        <v>elephantintheboardroom.com.au</v>
      </c>
      <c r="D90" s="7" t="str">
        <f>IFERROR(__xludf.DUMMYFUNCTION("""COMPUTED_VALUE"""),"PRODUCT_PAGE")</f>
        <v>PRODUCT_PAGE</v>
      </c>
      <c r="E90" s="7" t="str">
        <f>IFERROR(__xludf.DUMMYFUNCTION("""COMPUTED_VALUE"""),"COMPETITOR")</f>
        <v>COMPETITOR</v>
      </c>
      <c r="F90" s="7" t="str">
        <f>IFERROR(__xludf.DUMMYFUNCTION("""COMPUTED_VALUE"""),"Product Page")</f>
        <v>Product Page</v>
      </c>
      <c r="G90" s="7" t="b">
        <f>IFERROR(__xludf.DUMMYFUNCTION("""COMPUTED_VALUE"""),FALSE)</f>
        <v>0</v>
      </c>
      <c r="H90" s="7" t="str">
        <f>IFERROR(__xludf.DUMMYFUNCTION("""COMPUTED_VALUE"""),"Elephant In The Boardroom")</f>
        <v>Elephant In The Boardroom</v>
      </c>
      <c r="I90" s="7">
        <f>IFERROR(__xludf.DUMMYFUNCTION("""COMPUTED_VALUE"""),3.0)</f>
        <v>3</v>
      </c>
      <c r="J90" s="7">
        <f>IFERROR(__xludf.DUMMYFUNCTION("""COMPUTED_VALUE"""),0.0)</f>
        <v>0</v>
      </c>
      <c r="K90" s="7">
        <f>IFERROR(__xludf.DUMMYFUNCTION("""COMPUTED_VALUE"""),1.0)</f>
        <v>1</v>
      </c>
    </row>
    <row r="91" ht="15.75" customHeight="1">
      <c r="A91" s="6" t="str">
        <f>IFERROR(__xludf.DUMMYFUNCTION("""COMPUTED_VALUE"""),"https://evolut.com.au/service/ai-marketing-content")</f>
        <v>https://evolut.com.au/service/ai-marketing-content</v>
      </c>
      <c r="B91" s="7" t="str">
        <f>IFERROR(__xludf.DUMMYFUNCTION("""COMPUTED_VALUE"""),"AI Marketing Agency | Evolut | Brisbane, Sydney, Melbourne")</f>
        <v>AI Marketing Agency | Evolut | Brisbane, Sydney, Melbourne</v>
      </c>
      <c r="C91" s="6" t="str">
        <f>IFERROR(__xludf.DUMMYFUNCTION("""COMPUTED_VALUE"""),"evolut.com.au")</f>
        <v>evolut.com.au</v>
      </c>
      <c r="D91" s="7" t="str">
        <f>IFERROR(__xludf.DUMMYFUNCTION("""COMPUTED_VALUE"""),"PRODUCT_PAGE")</f>
        <v>PRODUCT_PAGE</v>
      </c>
      <c r="E91" s="7" t="str">
        <f>IFERROR(__xludf.DUMMYFUNCTION("""COMPUTED_VALUE"""),"CORPORATE")</f>
        <v>CORPORATE</v>
      </c>
      <c r="F91" s="7" t="str">
        <f>IFERROR(__xludf.DUMMYFUNCTION("""COMPUTED_VALUE"""),"Product Page")</f>
        <v>Product Page</v>
      </c>
      <c r="G91" s="7" t="b">
        <f>IFERROR(__xludf.DUMMYFUNCTION("""COMPUTED_VALUE"""),FALSE)</f>
        <v>0</v>
      </c>
      <c r="H91" s="7"/>
      <c r="I91" s="7">
        <f>IFERROR(__xludf.DUMMYFUNCTION("""COMPUTED_VALUE"""),3.0)</f>
        <v>3</v>
      </c>
      <c r="J91" s="7">
        <f>IFERROR(__xludf.DUMMYFUNCTION("""COMPUTED_VALUE"""),0.0)</f>
        <v>0</v>
      </c>
      <c r="K91" s="7">
        <f>IFERROR(__xludf.DUMMYFUNCTION("""COMPUTED_VALUE"""),1.67)</f>
        <v>1.67</v>
      </c>
    </row>
    <row r="92" ht="15.75" customHeight="1">
      <c r="A92" s="6" t="str">
        <f>IFERROR(__xludf.DUMMYFUNCTION("""COMPUTED_VALUE"""),"https://www.havstrategy.com/best-performance-marketing-agency-in-australia/")</f>
        <v>https://www.havstrategy.com/best-performance-marketing-agency-in-australia/</v>
      </c>
      <c r="B92" s="7" t="str">
        <f>IFERROR(__xludf.DUMMYFUNCTION("""COMPUTED_VALUE"""),"Best Performance Marketing Agency in Australia")</f>
        <v>Best Performance Marketing Agency in Australia</v>
      </c>
      <c r="C92" s="6" t="str">
        <f>IFERROR(__xludf.DUMMYFUNCTION("""COMPUTED_VALUE"""),"havstrategy.com")</f>
        <v>havstrategy.com</v>
      </c>
      <c r="D92" s="7" t="str">
        <f>IFERROR(__xludf.DUMMYFUNCTION("""COMPUTED_VALUE"""),"PRODUCT_PAGE")</f>
        <v>PRODUCT_PAGE</v>
      </c>
      <c r="E92" s="7" t="str">
        <f>IFERROR(__xludf.DUMMYFUNCTION("""COMPUTED_VALUE"""),"CORPORATE")</f>
        <v>CORPORATE</v>
      </c>
      <c r="F92" s="7" t="str">
        <f>IFERROR(__xludf.DUMMYFUNCTION("""COMPUTED_VALUE"""),"Product Page")</f>
        <v>Product Page</v>
      </c>
      <c r="G92" s="7" t="b">
        <f>IFERROR(__xludf.DUMMYFUNCTION("""COMPUTED_VALUE"""),FALSE)</f>
        <v>0</v>
      </c>
      <c r="H92" s="7" t="str">
        <f>IFERROR(__xludf.DUMMYFUNCTION("""COMPUTED_VALUE"""),"Impressive")</f>
        <v>Impressive</v>
      </c>
      <c r="I92" s="7">
        <f>IFERROR(__xludf.DUMMYFUNCTION("""COMPUTED_VALUE"""),3.0)</f>
        <v>3</v>
      </c>
      <c r="J92" s="7">
        <f>IFERROR(__xludf.DUMMYFUNCTION("""COMPUTED_VALUE"""),0.0)</f>
        <v>0</v>
      </c>
      <c r="K92" s="7">
        <f>IFERROR(__xludf.DUMMYFUNCTION("""COMPUTED_VALUE"""),0.0)</f>
        <v>0</v>
      </c>
    </row>
    <row r="93" ht="15.75" customHeight="1">
      <c r="A93" s="6" t="str">
        <f>IFERROR(__xludf.DUMMYFUNCTION("""COMPUTED_VALUE"""),"https://www.hotwireglobal.com.au/our-services/ai-consulting-tech/")</f>
        <v>https://www.hotwireglobal.com.au/our-services/ai-consulting-tech/</v>
      </c>
      <c r="B93" s="7" t="str">
        <f>IFERROR(__xludf.DUMMYFUNCTION("""COMPUTED_VALUE"""),"AI Consulting &amp;amp; Tech | Hotwire Asia Pacific")</f>
        <v>AI Consulting &amp;amp; Tech | Hotwire Asia Pacific</v>
      </c>
      <c r="C93" s="6" t="str">
        <f>IFERROR(__xludf.DUMMYFUNCTION("""COMPUTED_VALUE"""),"hotwireglobal.com.au")</f>
        <v>hotwireglobal.com.au</v>
      </c>
      <c r="D93" s="7" t="str">
        <f>IFERROR(__xludf.DUMMYFUNCTION("""COMPUTED_VALUE"""),"PRODUCT_PAGE")</f>
        <v>PRODUCT_PAGE</v>
      </c>
      <c r="E93" s="7" t="str">
        <f>IFERROR(__xludf.DUMMYFUNCTION("""COMPUTED_VALUE"""),"CORPORATE")</f>
        <v>CORPORATE</v>
      </c>
      <c r="F93" s="7" t="str">
        <f>IFERROR(__xludf.DUMMYFUNCTION("""COMPUTED_VALUE"""),"Product Page")</f>
        <v>Product Page</v>
      </c>
      <c r="G93" s="7" t="b">
        <f>IFERROR(__xludf.DUMMYFUNCTION("""COMPUTED_VALUE"""),FALSE)</f>
        <v>0</v>
      </c>
      <c r="H93" s="7"/>
      <c r="I93" s="7">
        <f>IFERROR(__xludf.DUMMYFUNCTION("""COMPUTED_VALUE"""),3.0)</f>
        <v>3</v>
      </c>
      <c r="J93" s="7">
        <f>IFERROR(__xludf.DUMMYFUNCTION("""COMPUTED_VALUE"""),0.0)</f>
        <v>0</v>
      </c>
      <c r="K93" s="7">
        <f>IFERROR(__xludf.DUMMYFUNCTION("""COMPUTED_VALUE"""),2.0)</f>
        <v>2</v>
      </c>
    </row>
    <row r="94" ht="15.75" customHeight="1">
      <c r="A94" s="6" t="str">
        <f>IFERROR(__xludf.DUMMYFUNCTION("""COMPUTED_VALUE"""),"https://inmarketingwetrust.com.au/ai-agentic/ai-operations/")</f>
        <v>https://inmarketingwetrust.com.au/ai-agentic/ai-operations/</v>
      </c>
      <c r="B94" s="7" t="str">
        <f>IFERROR(__xludf.DUMMYFUNCTION("""COMPUTED_VALUE"""),"AI Operations - In Marketing We Trust")</f>
        <v>AI Operations - In Marketing We Trust</v>
      </c>
      <c r="C94" s="6" t="str">
        <f>IFERROR(__xludf.DUMMYFUNCTION("""COMPUTED_VALUE"""),"inmarketingwetrust.com.au")</f>
        <v>inmarketingwetrust.com.au</v>
      </c>
      <c r="D94" s="7" t="str">
        <f>IFERROR(__xludf.DUMMYFUNCTION("""COMPUTED_VALUE"""),"PRODUCT_PAGE")</f>
        <v>PRODUCT_PAGE</v>
      </c>
      <c r="E94" s="7" t="str">
        <f>IFERROR(__xludf.DUMMYFUNCTION("""COMPUTED_VALUE"""),"COMPETITOR")</f>
        <v>COMPETITOR</v>
      </c>
      <c r="F94" s="7" t="str">
        <f>IFERROR(__xludf.DUMMYFUNCTION("""COMPUTED_VALUE"""),"Product Page")</f>
        <v>Product Page</v>
      </c>
      <c r="G94" s="7" t="b">
        <f>IFERROR(__xludf.DUMMYFUNCTION("""COMPUTED_VALUE"""),FALSE)</f>
        <v>0</v>
      </c>
      <c r="H94" s="7" t="str">
        <f>IFERROR(__xludf.DUMMYFUNCTION("""COMPUTED_VALUE"""),"In Marketing We Trust")</f>
        <v>In Marketing We Trust</v>
      </c>
      <c r="I94" s="7">
        <f>IFERROR(__xludf.DUMMYFUNCTION("""COMPUTED_VALUE"""),3.0)</f>
        <v>3</v>
      </c>
      <c r="J94" s="7">
        <f>IFERROR(__xludf.DUMMYFUNCTION("""COMPUTED_VALUE"""),0.0)</f>
        <v>0</v>
      </c>
      <c r="K94" s="7">
        <f>IFERROR(__xludf.DUMMYFUNCTION("""COMPUTED_VALUE"""),1.0)</f>
        <v>1</v>
      </c>
    </row>
    <row r="95" ht="15.75" customHeight="1">
      <c r="A95" s="6" t="str">
        <f>IFERROR(__xludf.DUMMYFUNCTION("""COMPUTED_VALUE"""),"https://www.intesols.com.au/services/generative-engine-optimisation/")</f>
        <v>https://www.intesols.com.au/services/generative-engine-optimisation/</v>
      </c>
      <c r="B95" s="7" t="str">
        <f>IFERROR(__xludf.DUMMYFUNCTION("""COMPUTED_VALUE"""),"Trusted Generative Engine Optimisation Company in Australia | Intesols")</f>
        <v>Trusted Generative Engine Optimisation Company in Australia | Intesols</v>
      </c>
      <c r="C95" s="6" t="str">
        <f>IFERROR(__xludf.DUMMYFUNCTION("""COMPUTED_VALUE"""),"intesols.com.au")</f>
        <v>intesols.com.au</v>
      </c>
      <c r="D95" s="7" t="str">
        <f>IFERROR(__xludf.DUMMYFUNCTION("""COMPUTED_VALUE"""),"PRODUCT_PAGE")</f>
        <v>PRODUCT_PAGE</v>
      </c>
      <c r="E95" s="7" t="str">
        <f>IFERROR(__xludf.DUMMYFUNCTION("""COMPUTED_VALUE"""),"COMPETITOR")</f>
        <v>COMPETITOR</v>
      </c>
      <c r="F95" s="7" t="str">
        <f>IFERROR(__xludf.DUMMYFUNCTION("""COMPUTED_VALUE"""),"Product Page")</f>
        <v>Product Page</v>
      </c>
      <c r="G95" s="7" t="b">
        <f>IFERROR(__xludf.DUMMYFUNCTION("""COMPUTED_VALUE"""),FALSE)</f>
        <v>0</v>
      </c>
      <c r="H95" s="7" t="str">
        <f>IFERROR(__xludf.DUMMYFUNCTION("""COMPUTED_VALUE"""),"Intesols")</f>
        <v>Intesols</v>
      </c>
      <c r="I95" s="7">
        <f>IFERROR(__xludf.DUMMYFUNCTION("""COMPUTED_VALUE"""),3.0)</f>
        <v>3</v>
      </c>
      <c r="J95" s="7">
        <f>IFERROR(__xludf.DUMMYFUNCTION("""COMPUTED_VALUE"""),0.0)</f>
        <v>0</v>
      </c>
      <c r="K95" s="7">
        <f>IFERROR(__xludf.DUMMYFUNCTION("""COMPUTED_VALUE"""),0.33)</f>
        <v>0.33</v>
      </c>
    </row>
    <row r="96" ht="15.75" customHeight="1">
      <c r="A96" s="6" t="str">
        <f>IFERROR(__xludf.DUMMYFUNCTION("""COMPUTED_VALUE"""),"https://www.krishtechnolabs.com/google/")</f>
        <v>https://www.krishtechnolabs.com/google/</v>
      </c>
      <c r="B96" s="7" t="str">
        <f>IFERROR(__xludf.DUMMYFUNCTION("""COMPUTED_VALUE"""),"Google Partner \| Cloud &amp; Marketing Consulting Partner \| Krish")</f>
        <v>Google Partner \| Cloud &amp; Marketing Consulting Partner \| Krish</v>
      </c>
      <c r="C96" s="6" t="str">
        <f>IFERROR(__xludf.DUMMYFUNCTION("""COMPUTED_VALUE"""),"krishtechnolabs.com")</f>
        <v>krishtechnolabs.com</v>
      </c>
      <c r="D96" s="7" t="str">
        <f>IFERROR(__xludf.DUMMYFUNCTION("""COMPUTED_VALUE"""),"PRODUCT_PAGE")</f>
        <v>PRODUCT_PAGE</v>
      </c>
      <c r="E96" s="7" t="str">
        <f>IFERROR(__xludf.DUMMYFUNCTION("""COMPUTED_VALUE"""),"CORPORATE")</f>
        <v>CORPORATE</v>
      </c>
      <c r="F96" s="7" t="str">
        <f>IFERROR(__xludf.DUMMYFUNCTION("""COMPUTED_VALUE"""),"Product Page")</f>
        <v>Product Page</v>
      </c>
      <c r="G96" s="7" t="b">
        <f>IFERROR(__xludf.DUMMYFUNCTION("""COMPUTED_VALUE"""),FALSE)</f>
        <v>0</v>
      </c>
      <c r="H96" s="7"/>
      <c r="I96" s="7">
        <f>IFERROR(__xludf.DUMMYFUNCTION("""COMPUTED_VALUE"""),3.0)</f>
        <v>3</v>
      </c>
      <c r="J96" s="7">
        <f>IFERROR(__xludf.DUMMYFUNCTION("""COMPUTED_VALUE"""),0.0)</f>
        <v>0</v>
      </c>
      <c r="K96" s="7">
        <f>IFERROR(__xludf.DUMMYFUNCTION("""COMPUTED_VALUE"""),1.0)</f>
        <v>1</v>
      </c>
    </row>
    <row r="97" ht="15.75" customHeight="1">
      <c r="A97" s="6" t="str">
        <f>IFERROR(__xludf.DUMMYFUNCTION("""COMPUTED_VALUE"""),"https://www.melottimedia.com.au/ai-marketing-services/")</f>
        <v>https://www.melottimedia.com.au/ai-marketing-services/</v>
      </c>
      <c r="B97" s="7" t="str">
        <f>IFERROR(__xludf.DUMMYFUNCTION("""COMPUTED_VALUE"""),"AI Marketing Agency Sydney &amp;amp; Melbourne | AEO &amp;amp; GEO | Melotti Content Media")</f>
        <v>AI Marketing Agency Sydney &amp;amp; Melbourne | AEO &amp;amp; GEO | Melotti Content Media</v>
      </c>
      <c r="C97" s="6" t="str">
        <f>IFERROR(__xludf.DUMMYFUNCTION("""COMPUTED_VALUE"""),"melottimedia.com.au")</f>
        <v>melottimedia.com.au</v>
      </c>
      <c r="D97" s="7" t="str">
        <f>IFERROR(__xludf.DUMMYFUNCTION("""COMPUTED_VALUE"""),"PRODUCT_PAGE")</f>
        <v>PRODUCT_PAGE</v>
      </c>
      <c r="E97" s="7" t="str">
        <f>IFERROR(__xludf.DUMMYFUNCTION("""COMPUTED_VALUE"""),"OTHER")</f>
        <v>OTHER</v>
      </c>
      <c r="F97" s="7" t="str">
        <f>IFERROR(__xludf.DUMMYFUNCTION("""COMPUTED_VALUE"""),"Product Page")</f>
        <v>Product Page</v>
      </c>
      <c r="G97" s="7" t="b">
        <f>IFERROR(__xludf.DUMMYFUNCTION("""COMPUTED_VALUE"""),FALSE)</f>
        <v>0</v>
      </c>
      <c r="H97" s="7"/>
      <c r="I97" s="7">
        <f>IFERROR(__xludf.DUMMYFUNCTION("""COMPUTED_VALUE"""),3.0)</f>
        <v>3</v>
      </c>
      <c r="J97" s="7">
        <f>IFERROR(__xludf.DUMMYFUNCTION("""COMPUTED_VALUE"""),0.0)</f>
        <v>0</v>
      </c>
      <c r="K97" s="7">
        <f>IFERROR(__xludf.DUMMYFUNCTION("""COMPUTED_VALUE"""),0.67)</f>
        <v>0.67</v>
      </c>
    </row>
    <row r="98" ht="15.75" customHeight="1">
      <c r="A98" s="6" t="str">
        <f>IFERROR(__xludf.DUMMYFUNCTION("""COMPUTED_VALUE"""),"https://nexit.com.au/ai-search-optimisation/")</f>
        <v>https://nexit.com.au/ai-search-optimisation/</v>
      </c>
      <c r="B98" s="7" t="str">
        <f>IFERROR(__xludf.DUMMYFUNCTION("""COMPUTED_VALUE"""),"AI Search Optimisation — AEO &amp;amp; GEO Australia | NexIT Solutions")</f>
        <v>AI Search Optimisation — AEO &amp;amp; GEO Australia | NexIT Solutions</v>
      </c>
      <c r="C98" s="6" t="str">
        <f>IFERROR(__xludf.DUMMYFUNCTION("""COMPUTED_VALUE"""),"nexit.com.au")</f>
        <v>nexit.com.au</v>
      </c>
      <c r="D98" s="7" t="str">
        <f>IFERROR(__xludf.DUMMYFUNCTION("""COMPUTED_VALUE"""),"PRODUCT_PAGE")</f>
        <v>PRODUCT_PAGE</v>
      </c>
      <c r="E98" s="7" t="str">
        <f>IFERROR(__xludf.DUMMYFUNCTION("""COMPUTED_VALUE"""),"CORPORATE")</f>
        <v>CORPORATE</v>
      </c>
      <c r="F98" s="7" t="str">
        <f>IFERROR(__xludf.DUMMYFUNCTION("""COMPUTED_VALUE"""),"Product Page")</f>
        <v>Product Page</v>
      </c>
      <c r="G98" s="7" t="b">
        <f>IFERROR(__xludf.DUMMYFUNCTION("""COMPUTED_VALUE"""),FALSE)</f>
        <v>0</v>
      </c>
      <c r="H98" s="7"/>
      <c r="I98" s="7">
        <f>IFERROR(__xludf.DUMMYFUNCTION("""COMPUTED_VALUE"""),3.0)</f>
        <v>3</v>
      </c>
      <c r="J98" s="7">
        <f>IFERROR(__xludf.DUMMYFUNCTION("""COMPUTED_VALUE"""),0.0)</f>
        <v>0</v>
      </c>
      <c r="K98" s="7">
        <f>IFERROR(__xludf.DUMMYFUNCTION("""COMPUTED_VALUE"""),0.33)</f>
        <v>0.33</v>
      </c>
    </row>
    <row r="99" ht="15.75" customHeight="1">
      <c r="A99" s="6" t="str">
        <f>IFERROR(__xludf.DUMMYFUNCTION("""COMPUTED_VALUE"""),"https://niftymarketing.com.au/services/answer-engine-optimisation-services/")</f>
        <v>https://niftymarketing.com.au/services/answer-engine-optimisation-services/</v>
      </c>
      <c r="B99" s="7" t="str">
        <f>IFERROR(__xludf.DUMMYFUNCTION("""COMPUTED_VALUE"""),"Answer Engine Optimisation Services Sydney | AEO Agency")</f>
        <v>Answer Engine Optimisation Services Sydney | AEO Agency</v>
      </c>
      <c r="C99" s="6" t="str">
        <f>IFERROR(__xludf.DUMMYFUNCTION("""COMPUTED_VALUE"""),"niftymarketing.com.au")</f>
        <v>niftymarketing.com.au</v>
      </c>
      <c r="D99" s="7" t="str">
        <f>IFERROR(__xludf.DUMMYFUNCTION("""COMPUTED_VALUE"""),"PRODUCT_PAGE")</f>
        <v>PRODUCT_PAGE</v>
      </c>
      <c r="E99" s="7" t="str">
        <f>IFERROR(__xludf.DUMMYFUNCTION("""COMPUTED_VALUE"""),"CORPORATE")</f>
        <v>CORPORATE</v>
      </c>
      <c r="F99" s="7" t="str">
        <f>IFERROR(__xludf.DUMMYFUNCTION("""COMPUTED_VALUE"""),"Product Page")</f>
        <v>Product Page</v>
      </c>
      <c r="G99" s="7" t="b">
        <f>IFERROR(__xludf.DUMMYFUNCTION("""COMPUTED_VALUE"""),FALSE)</f>
        <v>0</v>
      </c>
      <c r="H99" s="7"/>
      <c r="I99" s="7">
        <f>IFERROR(__xludf.DUMMYFUNCTION("""COMPUTED_VALUE"""),3.0)</f>
        <v>3</v>
      </c>
      <c r="J99" s="7">
        <f>IFERROR(__xludf.DUMMYFUNCTION("""COMPUTED_VALUE"""),0.0)</f>
        <v>0</v>
      </c>
      <c r="K99" s="7">
        <f>IFERROR(__xludf.DUMMYFUNCTION("""COMPUTED_VALUE"""),1.0)</f>
        <v>1</v>
      </c>
    </row>
    <row r="100" ht="15.75" customHeight="1">
      <c r="A100" s="6" t="str">
        <f>IFERROR(__xludf.DUMMYFUNCTION("""COMPUTED_VALUE"""),"https://www.risexventuress.com/ai-marketing-agency-location/australia")</f>
        <v>https://www.risexventuress.com/ai-marketing-agency-location/australia</v>
      </c>
      <c r="B100" s="7" t="str">
        <f>IFERROR(__xludf.DUMMYFUNCTION("""COMPUTED_VALUE"""),"AI Marketing Agency in Australia | RiseX Venturess")</f>
        <v>AI Marketing Agency in Australia | RiseX Venturess</v>
      </c>
      <c r="C100" s="6" t="str">
        <f>IFERROR(__xludf.DUMMYFUNCTION("""COMPUTED_VALUE"""),"risexventuress.com")</f>
        <v>risexventuress.com</v>
      </c>
      <c r="D100" s="7" t="str">
        <f>IFERROR(__xludf.DUMMYFUNCTION("""COMPUTED_VALUE"""),"PRODUCT_PAGE")</f>
        <v>PRODUCT_PAGE</v>
      </c>
      <c r="E100" s="7" t="str">
        <f>IFERROR(__xludf.DUMMYFUNCTION("""COMPUTED_VALUE"""),"CORPORATE")</f>
        <v>CORPORATE</v>
      </c>
      <c r="F100" s="7" t="str">
        <f>IFERROR(__xludf.DUMMYFUNCTION("""COMPUTED_VALUE"""),"Product Page")</f>
        <v>Product Page</v>
      </c>
      <c r="G100" s="7" t="b">
        <f>IFERROR(__xludf.DUMMYFUNCTION("""COMPUTED_VALUE"""),FALSE)</f>
        <v>0</v>
      </c>
      <c r="H100" s="7" t="str">
        <f>IFERROR(__xludf.DUMMYFUNCTION("""COMPUTED_VALUE"""),"Earned Media")</f>
        <v>Earned Media</v>
      </c>
      <c r="I100" s="7">
        <f>IFERROR(__xludf.DUMMYFUNCTION("""COMPUTED_VALUE"""),3.0)</f>
        <v>3</v>
      </c>
      <c r="J100" s="7">
        <f>IFERROR(__xludf.DUMMYFUNCTION("""COMPUTED_VALUE"""),0.0)</f>
        <v>0</v>
      </c>
      <c r="K100" s="7">
        <f>IFERROR(__xludf.DUMMYFUNCTION("""COMPUTED_VALUE"""),0.0)</f>
        <v>0</v>
      </c>
    </row>
    <row r="101" ht="15.75" customHeight="1">
      <c r="A101" s="6" t="str">
        <f>IFERROR(__xludf.DUMMYFUNCTION("""COMPUTED_VALUE"""),"https://www.thefrontdigital.com.au/services/ai-readiness-consulting")</f>
        <v>https://www.thefrontdigital.com.au/services/ai-readiness-consulting</v>
      </c>
      <c r="B101" s="7" t="str">
        <f>IFERROR(__xludf.DUMMYFUNCTION("""COMPUTED_VALUE"""),"AI readiness consulting Melbourne | The Front Digital")</f>
        <v>AI readiness consulting Melbourne | The Front Digital</v>
      </c>
      <c r="C101" s="6" t="str">
        <f>IFERROR(__xludf.DUMMYFUNCTION("""COMPUTED_VALUE"""),"thefrontdigital.com.au")</f>
        <v>thefrontdigital.com.au</v>
      </c>
      <c r="D101" s="7" t="str">
        <f>IFERROR(__xludf.DUMMYFUNCTION("""COMPUTED_VALUE"""),"PRODUCT_PAGE")</f>
        <v>PRODUCT_PAGE</v>
      </c>
      <c r="E101" s="7" t="str">
        <f>IFERROR(__xludf.DUMMYFUNCTION("""COMPUTED_VALUE"""),"CORPORATE")</f>
        <v>CORPORATE</v>
      </c>
      <c r="F101" s="7" t="str">
        <f>IFERROR(__xludf.DUMMYFUNCTION("""COMPUTED_VALUE"""),"Product Page")</f>
        <v>Product Page</v>
      </c>
      <c r="G101" s="7" t="b">
        <f>IFERROR(__xludf.DUMMYFUNCTION("""COMPUTED_VALUE"""),FALSE)</f>
        <v>0</v>
      </c>
      <c r="H101" s="7"/>
      <c r="I101" s="7">
        <f>IFERROR(__xludf.DUMMYFUNCTION("""COMPUTED_VALUE"""),3.0)</f>
        <v>3</v>
      </c>
      <c r="J101" s="7">
        <f>IFERROR(__xludf.DUMMYFUNCTION("""COMPUTED_VALUE"""),0.0)</f>
        <v>0</v>
      </c>
      <c r="K101" s="7">
        <f>IFERROR(__xludf.DUMMYFUNCTION("""COMPUTED_VALUE"""),0.67)</f>
        <v>0.67</v>
      </c>
    </row>
    <row r="102" ht="15.75" customHeight="1">
      <c r="A102" s="6" t="str">
        <f>IFERROR(__xludf.DUMMYFUNCTION("""COMPUTED_VALUE"""),"https://theonlinegroup.com.au/ai-automation/ai-marketing-agency")</f>
        <v>https://theonlinegroup.com.au/ai-automation/ai-marketing-agency</v>
      </c>
      <c r="B102" s="7" t="str">
        <f>IFERROR(__xludf.DUMMYFUNCTION("""COMPUTED_VALUE"""),"AI Marketing Agency | The Online Group Pty Ltd")</f>
        <v>AI Marketing Agency | The Online Group Pty Ltd</v>
      </c>
      <c r="C102" s="6" t="str">
        <f>IFERROR(__xludf.DUMMYFUNCTION("""COMPUTED_VALUE"""),"theonlinegroup.com.au")</f>
        <v>theonlinegroup.com.au</v>
      </c>
      <c r="D102" s="7" t="str">
        <f>IFERROR(__xludf.DUMMYFUNCTION("""COMPUTED_VALUE"""),"PRODUCT_PAGE")</f>
        <v>PRODUCT_PAGE</v>
      </c>
      <c r="E102" s="7" t="str">
        <f>IFERROR(__xludf.DUMMYFUNCTION("""COMPUTED_VALUE"""),"CORPORATE")</f>
        <v>CORPORATE</v>
      </c>
      <c r="F102" s="7" t="str">
        <f>IFERROR(__xludf.DUMMYFUNCTION("""COMPUTED_VALUE"""),"Product Page")</f>
        <v>Product Page</v>
      </c>
      <c r="G102" s="7" t="b">
        <f>IFERROR(__xludf.DUMMYFUNCTION("""COMPUTED_VALUE"""),FALSE)</f>
        <v>0</v>
      </c>
      <c r="H102" s="7"/>
      <c r="I102" s="7">
        <f>IFERROR(__xludf.DUMMYFUNCTION("""COMPUTED_VALUE"""),3.0)</f>
        <v>3</v>
      </c>
      <c r="J102" s="7">
        <f>IFERROR(__xludf.DUMMYFUNCTION("""COMPUTED_VALUE"""),0.0)</f>
        <v>0</v>
      </c>
      <c r="K102" s="7">
        <f>IFERROR(__xludf.DUMMYFUNCTION("""COMPUTED_VALUE"""),0.0)</f>
        <v>0</v>
      </c>
    </row>
    <row r="103" ht="15.75" customHeight="1">
      <c r="A103" s="6" t="str">
        <f>IFERROR(__xludf.DUMMYFUNCTION("""COMPUTED_VALUE"""),"https://www.1stpage.com.au/services/answer-engine-optimization/")</f>
        <v>https://www.1stpage.com.au/services/answer-engine-optimization/</v>
      </c>
      <c r="B103" s="7" t="str">
        <f>IFERROR(__xludf.DUMMYFUNCTION("""COMPUTED_VALUE"""),"Answer Engine Optimization Services \| 1stPage Australia")</f>
        <v>Answer Engine Optimization Services \| 1stPage Australia</v>
      </c>
      <c r="C103" s="6" t="str">
        <f>IFERROR(__xludf.DUMMYFUNCTION("""COMPUTED_VALUE"""),"1stpage.com.au")</f>
        <v>1stpage.com.au</v>
      </c>
      <c r="D103" s="7" t="str">
        <f>IFERROR(__xludf.DUMMYFUNCTION("""COMPUTED_VALUE"""),"PRODUCT_PAGE")</f>
        <v>PRODUCT_PAGE</v>
      </c>
      <c r="E103" s="7" t="str">
        <f>IFERROR(__xludf.DUMMYFUNCTION("""COMPUTED_VALUE"""),"CORPORATE")</f>
        <v>CORPORATE</v>
      </c>
      <c r="F103" s="7" t="str">
        <f>IFERROR(__xludf.DUMMYFUNCTION("""COMPUTED_VALUE"""),"Product Page")</f>
        <v>Product Page</v>
      </c>
      <c r="G103" s="7" t="b">
        <f>IFERROR(__xludf.DUMMYFUNCTION("""COMPUTED_VALUE"""),FALSE)</f>
        <v>0</v>
      </c>
      <c r="H103" s="7"/>
      <c r="I103" s="7">
        <f>IFERROR(__xludf.DUMMYFUNCTION("""COMPUTED_VALUE"""),2.0)</f>
        <v>2</v>
      </c>
      <c r="J103" s="7">
        <f>IFERROR(__xludf.DUMMYFUNCTION("""COMPUTED_VALUE"""),0.0)</f>
        <v>0</v>
      </c>
      <c r="K103" s="7">
        <f>IFERROR(__xludf.DUMMYFUNCTION("""COMPUTED_VALUE"""),0.0)</f>
        <v>0</v>
      </c>
    </row>
    <row r="104" ht="15.75" customHeight="1">
      <c r="A104" s="6" t="str">
        <f>IFERROR(__xludf.DUMMYFUNCTION("""COMPUTED_VALUE"""),"https://3pdigital.com.au/digital-performance-agency-australia")</f>
        <v>https://3pdigital.com.au/digital-performance-agency-australia</v>
      </c>
      <c r="B104" s="7" t="str">
        <f>IFERROR(__xludf.DUMMYFUNCTION("""COMPUTED_VALUE"""),"Digital Performance Agency Australia | 3P Digital")</f>
        <v>Digital Performance Agency Australia | 3P Digital</v>
      </c>
      <c r="C104" s="6" t="str">
        <f>IFERROR(__xludf.DUMMYFUNCTION("""COMPUTED_VALUE"""),"3pdigital.com.au")</f>
        <v>3pdigital.com.au</v>
      </c>
      <c r="D104" s="7" t="str">
        <f>IFERROR(__xludf.DUMMYFUNCTION("""COMPUTED_VALUE"""),"PRODUCT_PAGE")</f>
        <v>PRODUCT_PAGE</v>
      </c>
      <c r="E104" s="7" t="str">
        <f>IFERROR(__xludf.DUMMYFUNCTION("""COMPUTED_VALUE"""),"CORPORATE")</f>
        <v>CORPORATE</v>
      </c>
      <c r="F104" s="7" t="str">
        <f>IFERROR(__xludf.DUMMYFUNCTION("""COMPUTED_VALUE"""),"Product Page")</f>
        <v>Product Page</v>
      </c>
      <c r="G104" s="7" t="b">
        <f>IFERROR(__xludf.DUMMYFUNCTION("""COMPUTED_VALUE"""),FALSE)</f>
        <v>0</v>
      </c>
      <c r="H104" s="7" t="str">
        <f>IFERROR(__xludf.DUMMYFUNCTION("""COMPUTED_VALUE"""),"Measured, Momentum")</f>
        <v>Measured, Momentum</v>
      </c>
      <c r="I104" s="7">
        <f>IFERROR(__xludf.DUMMYFUNCTION("""COMPUTED_VALUE"""),2.0)</f>
        <v>2</v>
      </c>
      <c r="J104" s="7">
        <f>IFERROR(__xludf.DUMMYFUNCTION("""COMPUTED_VALUE"""),0.0)</f>
        <v>0</v>
      </c>
      <c r="K104" s="7">
        <f>IFERROR(__xludf.DUMMYFUNCTION("""COMPUTED_VALUE"""),3.0)</f>
        <v>3</v>
      </c>
    </row>
    <row r="105" ht="15.75" customHeight="1">
      <c r="A105" s="6" t="str">
        <f>IFERROR(__xludf.DUMMYFUNCTION("""COMPUTED_VALUE"""),"https://3pdigital.com.au/multi-channel-attribution-modelling")</f>
        <v>https://3pdigital.com.au/multi-channel-attribution-modelling</v>
      </c>
      <c r="B105" s="7" t="str">
        <f>IFERROR(__xludf.DUMMYFUNCTION("""COMPUTED_VALUE"""),"Customer Journey Mapping &amp; Optimisation \| 3P Digital")</f>
        <v>Customer Journey Mapping &amp; Optimisation \| 3P Digital</v>
      </c>
      <c r="C105" s="6" t="str">
        <f>IFERROR(__xludf.DUMMYFUNCTION("""COMPUTED_VALUE"""),"3pdigital.com.au")</f>
        <v>3pdigital.com.au</v>
      </c>
      <c r="D105" s="7" t="str">
        <f>IFERROR(__xludf.DUMMYFUNCTION("""COMPUTED_VALUE"""),"PRODUCT_PAGE")</f>
        <v>PRODUCT_PAGE</v>
      </c>
      <c r="E105" s="7" t="str">
        <f>IFERROR(__xludf.DUMMYFUNCTION("""COMPUTED_VALUE"""),"CORPORATE")</f>
        <v>CORPORATE</v>
      </c>
      <c r="F105" s="7" t="str">
        <f>IFERROR(__xludf.DUMMYFUNCTION("""COMPUTED_VALUE"""),"Product Page")</f>
        <v>Product Page</v>
      </c>
      <c r="G105" s="7" t="b">
        <f>IFERROR(__xludf.DUMMYFUNCTION("""COMPUTED_VALUE"""),FALSE)</f>
        <v>0</v>
      </c>
      <c r="H105" s="7"/>
      <c r="I105" s="7">
        <f>IFERROR(__xludf.DUMMYFUNCTION("""COMPUTED_VALUE"""),2.0)</f>
        <v>2</v>
      </c>
      <c r="J105" s="7">
        <f>IFERROR(__xludf.DUMMYFUNCTION("""COMPUTED_VALUE"""),0.0)</f>
        <v>0</v>
      </c>
      <c r="K105" s="7">
        <f>IFERROR(__xludf.DUMMYFUNCTION("""COMPUTED_VALUE"""),3.0)</f>
        <v>3</v>
      </c>
    </row>
    <row r="106" ht="15.75" customHeight="1">
      <c r="A106" s="6" t="str">
        <f>IFERROR(__xludf.DUMMYFUNCTION("""COMPUTED_VALUE"""),"https://aivy.com.au/ai-consulting/")</f>
        <v>https://aivy.com.au/ai-consulting/</v>
      </c>
      <c r="B106" s="7" t="str">
        <f>IFERROR(__xludf.DUMMYFUNCTION("""COMPUTED_VALUE"""),"AI Consulting Services &amp;amp; Strategy for Australian Businesses")</f>
        <v>AI Consulting Services &amp;amp; Strategy for Australian Businesses</v>
      </c>
      <c r="C106" s="6" t="str">
        <f>IFERROR(__xludf.DUMMYFUNCTION("""COMPUTED_VALUE"""),"aivy.com.au")</f>
        <v>aivy.com.au</v>
      </c>
      <c r="D106" s="7" t="str">
        <f>IFERROR(__xludf.DUMMYFUNCTION("""COMPUTED_VALUE"""),"PRODUCT_PAGE")</f>
        <v>PRODUCT_PAGE</v>
      </c>
      <c r="E106" s="7" t="str">
        <f>IFERROR(__xludf.DUMMYFUNCTION("""COMPUTED_VALUE"""),"CORPORATE")</f>
        <v>CORPORATE</v>
      </c>
      <c r="F106" s="7" t="str">
        <f>IFERROR(__xludf.DUMMYFUNCTION("""COMPUTED_VALUE"""),"Product Page")</f>
        <v>Product Page</v>
      </c>
      <c r="G106" s="7" t="b">
        <f>IFERROR(__xludf.DUMMYFUNCTION("""COMPUTED_VALUE"""),FALSE)</f>
        <v>0</v>
      </c>
      <c r="H106" s="7" t="str">
        <f>IFERROR(__xludf.DUMMYFUNCTION("""COMPUTED_VALUE"""),"Measured")</f>
        <v>Measured</v>
      </c>
      <c r="I106" s="7">
        <f>IFERROR(__xludf.DUMMYFUNCTION("""COMPUTED_VALUE"""),2.0)</f>
        <v>2</v>
      </c>
      <c r="J106" s="7">
        <f>IFERROR(__xludf.DUMMYFUNCTION("""COMPUTED_VALUE"""),0.0)</f>
        <v>0</v>
      </c>
      <c r="K106" s="7">
        <f>IFERROR(__xludf.DUMMYFUNCTION("""COMPUTED_VALUE"""),0.5)</f>
        <v>0.5</v>
      </c>
    </row>
    <row r="107" ht="15.75" customHeight="1">
      <c r="A107" s="6" t="str">
        <f>IFERROR(__xludf.DUMMYFUNCTION("""COMPUTED_VALUE"""),"https://www.alphadigital.com.au/performance/")</f>
        <v>https://www.alphadigital.com.au/performance/</v>
      </c>
      <c r="B107" s="7" t="str">
        <f>IFERROR(__xludf.DUMMYFUNCTION("""COMPUTED_VALUE"""),"Performance Marketing Agency Australia | Alpha Digital")</f>
        <v>Performance Marketing Agency Australia | Alpha Digital</v>
      </c>
      <c r="C107" s="6" t="str">
        <f>IFERROR(__xludf.DUMMYFUNCTION("""COMPUTED_VALUE"""),"alphadigital.com.au")</f>
        <v>alphadigital.com.au</v>
      </c>
      <c r="D107" s="7" t="str">
        <f>IFERROR(__xludf.DUMMYFUNCTION("""COMPUTED_VALUE"""),"PRODUCT_PAGE")</f>
        <v>PRODUCT_PAGE</v>
      </c>
      <c r="E107" s="7" t="str">
        <f>IFERROR(__xludf.DUMMYFUNCTION("""COMPUTED_VALUE"""),"COMPETITOR")</f>
        <v>COMPETITOR</v>
      </c>
      <c r="F107" s="7" t="str">
        <f>IFERROR(__xludf.DUMMYFUNCTION("""COMPUTED_VALUE"""),"Product Page")</f>
        <v>Product Page</v>
      </c>
      <c r="G107" s="7" t="b">
        <f>IFERROR(__xludf.DUMMYFUNCTION("""COMPUTED_VALUE"""),FALSE)</f>
        <v>0</v>
      </c>
      <c r="H107" s="7" t="str">
        <f>IFERROR(__xludf.DUMMYFUNCTION("""COMPUTED_VALUE"""),"Alpha Digital")</f>
        <v>Alpha Digital</v>
      </c>
      <c r="I107" s="7">
        <f>IFERROR(__xludf.DUMMYFUNCTION("""COMPUTED_VALUE"""),2.0)</f>
        <v>2</v>
      </c>
      <c r="J107" s="7">
        <f>IFERROR(__xludf.DUMMYFUNCTION("""COMPUTED_VALUE"""),0.0)</f>
        <v>0</v>
      </c>
      <c r="K107" s="7">
        <f>IFERROR(__xludf.DUMMYFUNCTION("""COMPUTED_VALUE"""),1.0)</f>
        <v>1</v>
      </c>
    </row>
    <row r="108" ht="15.75" customHeight="1">
      <c r="A108" s="6" t="str">
        <f>IFERROR(__xludf.DUMMYFUNCTION("""COMPUTED_VALUE"""),"https://www.alphadigital.com.au/performance/display-programmatic/")</f>
        <v>https://www.alphadigital.com.au/performance/display-programmatic/</v>
      </c>
      <c r="B108" s="7" t="str">
        <f>IFERROR(__xludf.DUMMYFUNCTION("""COMPUTED_VALUE"""),"Programmatic Display Advertising Agency Australia | Alpha Digital")</f>
        <v>Programmatic Display Advertising Agency Australia | Alpha Digital</v>
      </c>
      <c r="C108" s="6" t="str">
        <f>IFERROR(__xludf.DUMMYFUNCTION("""COMPUTED_VALUE"""),"alphadigital.com.au")</f>
        <v>alphadigital.com.au</v>
      </c>
      <c r="D108" s="7" t="str">
        <f>IFERROR(__xludf.DUMMYFUNCTION("""COMPUTED_VALUE"""),"PRODUCT_PAGE")</f>
        <v>PRODUCT_PAGE</v>
      </c>
      <c r="E108" s="7" t="str">
        <f>IFERROR(__xludf.DUMMYFUNCTION("""COMPUTED_VALUE"""),"COMPETITOR")</f>
        <v>COMPETITOR</v>
      </c>
      <c r="F108" s="7" t="str">
        <f>IFERROR(__xludf.DUMMYFUNCTION("""COMPUTED_VALUE"""),"Product Page")</f>
        <v>Product Page</v>
      </c>
      <c r="G108" s="7" t="b">
        <f>IFERROR(__xludf.DUMMYFUNCTION("""COMPUTED_VALUE"""),FALSE)</f>
        <v>0</v>
      </c>
      <c r="H108" s="7" t="str">
        <f>IFERROR(__xludf.DUMMYFUNCTION("""COMPUTED_VALUE"""),"Alpha Digital")</f>
        <v>Alpha Digital</v>
      </c>
      <c r="I108" s="7">
        <f>IFERROR(__xludf.DUMMYFUNCTION("""COMPUTED_VALUE"""),2.0)</f>
        <v>2</v>
      </c>
      <c r="J108" s="7">
        <f>IFERROR(__xludf.DUMMYFUNCTION("""COMPUTED_VALUE"""),0.0)</f>
        <v>0</v>
      </c>
      <c r="K108" s="7">
        <f>IFERROR(__xludf.DUMMYFUNCTION("""COMPUTED_VALUE"""),0.5)</f>
        <v>0.5</v>
      </c>
    </row>
    <row r="109" ht="15.75" customHeight="1">
      <c r="A109" s="6" t="str">
        <f>IFERROR(__xludf.DUMMYFUNCTION("""COMPUTED_VALUE"""),"https://arcadiandigital.com.au/services/digital-marketing/answer-engine-optimisation-aeo")</f>
        <v>https://arcadiandigital.com.au/services/digital-marketing/answer-engine-optimisation-aeo</v>
      </c>
      <c r="B109" s="7" t="str">
        <f>IFERROR(__xludf.DUMMYFUNCTION("""COMPUTED_VALUE"""),"Answer Engine Optimisation - AEO Agency | Arcadian Digital")</f>
        <v>Answer Engine Optimisation - AEO Agency | Arcadian Digital</v>
      </c>
      <c r="C109" s="6" t="str">
        <f>IFERROR(__xludf.DUMMYFUNCTION("""COMPUTED_VALUE"""),"arcadiandigital.com.au")</f>
        <v>arcadiandigital.com.au</v>
      </c>
      <c r="D109" s="7" t="str">
        <f>IFERROR(__xludf.DUMMYFUNCTION("""COMPUTED_VALUE"""),"PRODUCT_PAGE")</f>
        <v>PRODUCT_PAGE</v>
      </c>
      <c r="E109" s="7" t="str">
        <f>IFERROR(__xludf.DUMMYFUNCTION("""COMPUTED_VALUE"""),"CORPORATE")</f>
        <v>CORPORATE</v>
      </c>
      <c r="F109" s="7" t="str">
        <f>IFERROR(__xludf.DUMMYFUNCTION("""COMPUTED_VALUE"""),"Product Page")</f>
        <v>Product Page</v>
      </c>
      <c r="G109" s="7" t="b">
        <f>IFERROR(__xludf.DUMMYFUNCTION("""COMPUTED_VALUE"""),FALSE)</f>
        <v>0</v>
      </c>
      <c r="H109" s="7"/>
      <c r="I109" s="7">
        <f>IFERROR(__xludf.DUMMYFUNCTION("""COMPUTED_VALUE"""),2.0)</f>
        <v>2</v>
      </c>
      <c r="J109" s="7">
        <f>IFERROR(__xludf.DUMMYFUNCTION("""COMPUTED_VALUE"""),0.0)</f>
        <v>0</v>
      </c>
      <c r="K109" s="7">
        <f>IFERROR(__xludf.DUMMYFUNCTION("""COMPUTED_VALUE"""),2.0)</f>
        <v>2</v>
      </c>
    </row>
    <row r="110" ht="15.75" customHeight="1">
      <c r="A110" s="6" t="str">
        <f>IFERROR(__xludf.DUMMYFUNCTION("""COMPUTED_VALUE"""),"https://www.blanktheory.com.au/approach/performance-marketing/")</f>
        <v>https://www.blanktheory.com.au/approach/performance-marketing/</v>
      </c>
      <c r="B110" s="7" t="str">
        <f>IFERROR(__xludf.DUMMYFUNCTION("""COMPUTED_VALUE"""),"Performance Marketing Agency \| Performance Marketing Services \| Blank Theory")</f>
        <v>Performance Marketing Agency \| Performance Marketing Services \| Blank Theory</v>
      </c>
      <c r="C110" s="6" t="str">
        <f>IFERROR(__xludf.DUMMYFUNCTION("""COMPUTED_VALUE"""),"blanktheory.com.au")</f>
        <v>blanktheory.com.au</v>
      </c>
      <c r="D110" s="7" t="str">
        <f>IFERROR(__xludf.DUMMYFUNCTION("""COMPUTED_VALUE"""),"PRODUCT_PAGE")</f>
        <v>PRODUCT_PAGE</v>
      </c>
      <c r="E110" s="7" t="str">
        <f>IFERROR(__xludf.DUMMYFUNCTION("""COMPUTED_VALUE"""),"CORPORATE")</f>
        <v>CORPORATE</v>
      </c>
      <c r="F110" s="7" t="str">
        <f>IFERROR(__xludf.DUMMYFUNCTION("""COMPUTED_VALUE"""),"Product Page")</f>
        <v>Product Page</v>
      </c>
      <c r="G110" s="7" t="b">
        <f>IFERROR(__xludf.DUMMYFUNCTION("""COMPUTED_VALUE"""),FALSE)</f>
        <v>0</v>
      </c>
      <c r="H110" s="7"/>
      <c r="I110" s="7">
        <f>IFERROR(__xludf.DUMMYFUNCTION("""COMPUTED_VALUE"""),2.0)</f>
        <v>2</v>
      </c>
      <c r="J110" s="7">
        <f>IFERROR(__xludf.DUMMYFUNCTION("""COMPUTED_VALUE"""),0.0)</f>
        <v>0</v>
      </c>
      <c r="K110" s="7">
        <f>IFERROR(__xludf.DUMMYFUNCTION("""COMPUTED_VALUE"""),1.0)</f>
        <v>1</v>
      </c>
    </row>
    <row r="111" ht="15.75" customHeight="1">
      <c r="A111" s="6" t="str">
        <f>IFERROR(__xludf.DUMMYFUNCTION("""COMPUTED_VALUE"""),"https://www.bonfire.com.au/melbourne/programmatic-advertising/")</f>
        <v>https://www.bonfire.com.au/melbourne/programmatic-advertising/</v>
      </c>
      <c r="B111" s="7" t="str">
        <f>IFERROR(__xludf.DUMMYFUNCTION("""COMPUTED_VALUE"""),"Programmatic Advertising Agency Melbourne | Display Ad Services")</f>
        <v>Programmatic Advertising Agency Melbourne | Display Ad Services</v>
      </c>
      <c r="C111" s="6" t="str">
        <f>IFERROR(__xludf.DUMMYFUNCTION("""COMPUTED_VALUE"""),"bonfire.com.au")</f>
        <v>bonfire.com.au</v>
      </c>
      <c r="D111" s="7" t="str">
        <f>IFERROR(__xludf.DUMMYFUNCTION("""COMPUTED_VALUE"""),"PRODUCT_PAGE")</f>
        <v>PRODUCT_PAGE</v>
      </c>
      <c r="E111" s="7" t="str">
        <f>IFERROR(__xludf.DUMMYFUNCTION("""COMPUTED_VALUE"""),"COMPETITOR")</f>
        <v>COMPETITOR</v>
      </c>
      <c r="F111" s="7" t="str">
        <f>IFERROR(__xludf.DUMMYFUNCTION("""COMPUTED_VALUE"""),"Product Page")</f>
        <v>Product Page</v>
      </c>
      <c r="G111" s="7" t="b">
        <f>IFERROR(__xludf.DUMMYFUNCTION("""COMPUTED_VALUE"""),FALSE)</f>
        <v>0</v>
      </c>
      <c r="H111" s="7" t="str">
        <f>IFERROR(__xludf.DUMMYFUNCTION("""COMPUTED_VALUE"""),"Bonfire, Measured")</f>
        <v>Bonfire, Measured</v>
      </c>
      <c r="I111" s="7">
        <f>IFERROR(__xludf.DUMMYFUNCTION("""COMPUTED_VALUE"""),2.0)</f>
        <v>2</v>
      </c>
      <c r="J111" s="7">
        <f>IFERROR(__xludf.DUMMYFUNCTION("""COMPUTED_VALUE"""),0.0)</f>
        <v>0</v>
      </c>
      <c r="K111" s="7">
        <f>IFERROR(__xludf.DUMMYFUNCTION("""COMPUTED_VALUE"""),1.0)</f>
        <v>1</v>
      </c>
    </row>
    <row r="112" ht="15.75" customHeight="1">
      <c r="A112" s="6" t="str">
        <f>IFERROR(__xludf.DUMMYFUNCTION("""COMPUTED_VALUE"""),"https://business.google.com/en-all/support/work-with-a-partner/")</f>
        <v>https://business.google.com/en-all/support/work-with-a-partner/</v>
      </c>
      <c r="B112" s="7" t="str">
        <f>IFERROR(__xludf.DUMMYFUNCTION("""COMPUTED_VALUE"""),"Work with a Google Partner for a Successful Campaign – Google Ads")</f>
        <v>Work with a Google Partner for a Successful Campaign – Google Ads</v>
      </c>
      <c r="C112" s="6" t="str">
        <f>IFERROR(__xludf.DUMMYFUNCTION("""COMPUTED_VALUE"""),"google.com")</f>
        <v>google.com</v>
      </c>
      <c r="D112" s="7" t="str">
        <f>IFERROR(__xludf.DUMMYFUNCTION("""COMPUTED_VALUE"""),"PRODUCT_PAGE")</f>
        <v>PRODUCT_PAGE</v>
      </c>
      <c r="E112" s="7" t="str">
        <f>IFERROR(__xludf.DUMMYFUNCTION("""COMPUTED_VALUE"""),"OTHER")</f>
        <v>OTHER</v>
      </c>
      <c r="F112" s="7" t="str">
        <f>IFERROR(__xludf.DUMMYFUNCTION("""COMPUTED_VALUE"""),"Product Page")</f>
        <v>Product Page</v>
      </c>
      <c r="G112" s="7" t="b">
        <f>IFERROR(__xludf.DUMMYFUNCTION("""COMPUTED_VALUE"""),FALSE)</f>
        <v>0</v>
      </c>
      <c r="H112" s="7" t="str">
        <f>IFERROR(__xludf.DUMMYFUNCTION("""COMPUTED_VALUE"""),"New Engen")</f>
        <v>New Engen</v>
      </c>
      <c r="I112" s="7">
        <f>IFERROR(__xludf.DUMMYFUNCTION("""COMPUTED_VALUE"""),2.0)</f>
        <v>2</v>
      </c>
      <c r="J112" s="7">
        <f>IFERROR(__xludf.DUMMYFUNCTION("""COMPUTED_VALUE"""),0.0)</f>
        <v>0</v>
      </c>
      <c r="K112" s="7">
        <f>IFERROR(__xludf.DUMMYFUNCTION("""COMPUTED_VALUE"""),0.0)</f>
        <v>0</v>
      </c>
    </row>
    <row r="113" ht="15.75" customHeight="1">
      <c r="A113" s="6" t="str">
        <f>IFERROR(__xludf.DUMMYFUNCTION("""COMPUTED_VALUE"""),"https://cassandra.app/platform")</f>
        <v>https://cassandra.app/platform</v>
      </c>
      <c r="B113" s="7" t="str">
        <f>IFERROR(__xludf.DUMMYFUNCTION("""COMPUTED_VALUE"""),"MMM &amp;amp; Geo Incrementality Testing Platform | Cassandra")</f>
        <v>MMM &amp;amp; Geo Incrementality Testing Platform | Cassandra</v>
      </c>
      <c r="C113" s="7" t="str">
        <f>IFERROR(__xludf.DUMMYFUNCTION("""COMPUTED_VALUE"""),"cassandra.app")</f>
        <v>cassandra.app</v>
      </c>
      <c r="D113" s="7" t="str">
        <f>IFERROR(__xludf.DUMMYFUNCTION("""COMPUTED_VALUE"""),"PRODUCT_PAGE")</f>
        <v>PRODUCT_PAGE</v>
      </c>
      <c r="E113" s="7" t="str">
        <f>IFERROR(__xludf.DUMMYFUNCTION("""COMPUTED_VALUE"""),"CORPORATE")</f>
        <v>CORPORATE</v>
      </c>
      <c r="F113" s="7" t="str">
        <f>IFERROR(__xludf.DUMMYFUNCTION("""COMPUTED_VALUE"""),"Product Page")</f>
        <v>Product Page</v>
      </c>
      <c r="G113" s="7" t="b">
        <f>IFERROR(__xludf.DUMMYFUNCTION("""COMPUTED_VALUE"""),FALSE)</f>
        <v>0</v>
      </c>
      <c r="H113" s="7"/>
      <c r="I113" s="7">
        <f>IFERROR(__xludf.DUMMYFUNCTION("""COMPUTED_VALUE"""),2.0)</f>
        <v>2</v>
      </c>
      <c r="J113" s="7">
        <f>IFERROR(__xludf.DUMMYFUNCTION("""COMPUTED_VALUE"""),0.0)</f>
        <v>0</v>
      </c>
      <c r="K113" s="7">
        <f>IFERROR(__xludf.DUMMYFUNCTION("""COMPUTED_VALUE"""),0.0)</f>
        <v>0</v>
      </c>
    </row>
    <row r="114" ht="15.75" customHeight="1">
      <c r="A114" s="6" t="str">
        <f>IFERROR(__xludf.DUMMYFUNCTION("""COMPUTED_VALUE"""),"https://clickedon.co/services/digital-strategy")</f>
        <v>https://clickedon.co/services/digital-strategy</v>
      </c>
      <c r="B114" s="7" t="str">
        <f>IFERROR(__xludf.DUMMYFUNCTION("""COMPUTED_VALUE"""),"Digital Strategy Agency Sydney \| ClickedOn \| ClickedOn")</f>
        <v>Digital Strategy Agency Sydney \| ClickedOn \| ClickedOn</v>
      </c>
      <c r="C114" s="6" t="str">
        <f>IFERROR(__xludf.DUMMYFUNCTION("""COMPUTED_VALUE"""),"clickedon.co")</f>
        <v>clickedon.co</v>
      </c>
      <c r="D114" s="7" t="str">
        <f>IFERROR(__xludf.DUMMYFUNCTION("""COMPUTED_VALUE"""),"PRODUCT_PAGE")</f>
        <v>PRODUCT_PAGE</v>
      </c>
      <c r="E114" s="7" t="str">
        <f>IFERROR(__xludf.DUMMYFUNCTION("""COMPUTED_VALUE"""),"CORPORATE")</f>
        <v>CORPORATE</v>
      </c>
      <c r="F114" s="7" t="str">
        <f>IFERROR(__xludf.DUMMYFUNCTION("""COMPUTED_VALUE"""),"Product Page")</f>
        <v>Product Page</v>
      </c>
      <c r="G114" s="7" t="b">
        <f>IFERROR(__xludf.DUMMYFUNCTION("""COMPUTED_VALUE"""),FALSE)</f>
        <v>0</v>
      </c>
      <c r="H114" s="7"/>
      <c r="I114" s="7">
        <f>IFERROR(__xludf.DUMMYFUNCTION("""COMPUTED_VALUE"""),2.0)</f>
        <v>2</v>
      </c>
      <c r="J114" s="7">
        <f>IFERROR(__xludf.DUMMYFUNCTION("""COMPUTED_VALUE"""),0.0)</f>
        <v>0</v>
      </c>
      <c r="K114" s="7">
        <f>IFERROR(__xludf.DUMMYFUNCTION("""COMPUTED_VALUE"""),0.5)</f>
        <v>0.5</v>
      </c>
    </row>
    <row r="115" ht="15.75" customHeight="1">
      <c r="A115" s="6" t="str">
        <f>IFERROR(__xludf.DUMMYFUNCTION("""COMPUTED_VALUE"""),"https://www.crmstrategy.com.au/marketing-attribution-solutions-and-advanced-analytics-2/")</f>
        <v>https://www.crmstrategy.com.au/marketing-attribution-solutions-and-advanced-analytics-2/</v>
      </c>
      <c r="B115" s="7" t="str">
        <f>IFERROR(__xludf.DUMMYFUNCTION("""COMPUTED_VALUE"""),"Marketing Attribution Solutions and Advanced Analytics - Empowering Your Business for Exceptional Growth")</f>
        <v>Marketing Attribution Solutions and Advanced Analytics - Empowering Your Business for Exceptional Growth</v>
      </c>
      <c r="C115" s="6" t="str">
        <f>IFERROR(__xludf.DUMMYFUNCTION("""COMPUTED_VALUE"""),"crmstrategy.com.au")</f>
        <v>crmstrategy.com.au</v>
      </c>
      <c r="D115" s="7" t="str">
        <f>IFERROR(__xludf.DUMMYFUNCTION("""COMPUTED_VALUE"""),"PRODUCT_PAGE")</f>
        <v>PRODUCT_PAGE</v>
      </c>
      <c r="E115" s="7" t="str">
        <f>IFERROR(__xludf.DUMMYFUNCTION("""COMPUTED_VALUE"""),"CORPORATE")</f>
        <v>CORPORATE</v>
      </c>
      <c r="F115" s="7" t="str">
        <f>IFERROR(__xludf.DUMMYFUNCTION("""COMPUTED_VALUE"""),"Product Page")</f>
        <v>Product Page</v>
      </c>
      <c r="G115" s="7" t="b">
        <f>IFERROR(__xludf.DUMMYFUNCTION("""COMPUTED_VALUE"""),FALSE)</f>
        <v>0</v>
      </c>
      <c r="H115" s="7" t="str">
        <f>IFERROR(__xludf.DUMMYFUNCTION("""COMPUTED_VALUE"""),"Lifesight")</f>
        <v>Lifesight</v>
      </c>
      <c r="I115" s="7">
        <f>IFERROR(__xludf.DUMMYFUNCTION("""COMPUTED_VALUE"""),2.0)</f>
        <v>2</v>
      </c>
      <c r="J115" s="7">
        <f>IFERROR(__xludf.DUMMYFUNCTION("""COMPUTED_VALUE"""),0.0)</f>
        <v>0</v>
      </c>
      <c r="K115" s="7">
        <f>IFERROR(__xludf.DUMMYFUNCTION("""COMPUTED_VALUE"""),3.0)</f>
        <v>3</v>
      </c>
    </row>
    <row r="116" ht="15.75" customHeight="1">
      <c r="A116" s="6" t="str">
        <f>IFERROR(__xludf.DUMMYFUNCTION("""COMPUTED_VALUE"""),"https://www.decisionfoundry.com/marketing-measurement-analytics-services/")</f>
        <v>https://www.decisionfoundry.com/marketing-measurement-analytics-services/</v>
      </c>
      <c r="B116" s="7" t="str">
        <f>IFERROR(__xludf.DUMMYFUNCTION("""COMPUTED_VALUE"""),"Marketing Measurement Analytics Services")</f>
        <v>Marketing Measurement Analytics Services</v>
      </c>
      <c r="C116" s="6" t="str">
        <f>IFERROR(__xludf.DUMMYFUNCTION("""COMPUTED_VALUE"""),"decisionfoundry.com")</f>
        <v>decisionfoundry.com</v>
      </c>
      <c r="D116" s="7" t="str">
        <f>IFERROR(__xludf.DUMMYFUNCTION("""COMPUTED_VALUE"""),"PRODUCT_PAGE")</f>
        <v>PRODUCT_PAGE</v>
      </c>
      <c r="E116" s="7" t="str">
        <f>IFERROR(__xludf.DUMMYFUNCTION("""COMPUTED_VALUE"""),"CORPORATE")</f>
        <v>CORPORATE</v>
      </c>
      <c r="F116" s="7" t="str">
        <f>IFERROR(__xludf.DUMMYFUNCTION("""COMPUTED_VALUE"""),"Product Page")</f>
        <v>Product Page</v>
      </c>
      <c r="G116" s="7" t="b">
        <f>IFERROR(__xludf.DUMMYFUNCTION("""COMPUTED_VALUE"""),FALSE)</f>
        <v>0</v>
      </c>
      <c r="H116" s="7"/>
      <c r="I116" s="7">
        <f>IFERROR(__xludf.DUMMYFUNCTION("""COMPUTED_VALUE"""),2.0)</f>
        <v>2</v>
      </c>
      <c r="J116" s="7">
        <f>IFERROR(__xludf.DUMMYFUNCTION("""COMPUTED_VALUE"""),0.0)</f>
        <v>0</v>
      </c>
      <c r="K116" s="7">
        <f>IFERROR(__xludf.DUMMYFUNCTION("""COMPUTED_VALUE"""),0.0)</f>
        <v>0</v>
      </c>
    </row>
    <row r="117" ht="15.75" customHeight="1">
      <c r="A117" s="6" t="str">
        <f>IFERROR(__xludf.DUMMYFUNCTION("""COMPUTED_VALUE"""),"https://defyn.com.au/branding-sydney/")</f>
        <v>https://defyn.com.au/branding-sydney/</v>
      </c>
      <c r="B117" s="7" t="str">
        <f>IFERROR(__xludf.DUMMYFUNCTION("""COMPUTED_VALUE"""),"Brand Strategy Agency in Sydney | Build a Better Brand")</f>
        <v>Brand Strategy Agency in Sydney | Build a Better Brand</v>
      </c>
      <c r="C117" s="6" t="str">
        <f>IFERROR(__xludf.DUMMYFUNCTION("""COMPUTED_VALUE"""),"defyn.com.au")</f>
        <v>defyn.com.au</v>
      </c>
      <c r="D117" s="7" t="str">
        <f>IFERROR(__xludf.DUMMYFUNCTION("""COMPUTED_VALUE"""),"PRODUCT_PAGE")</f>
        <v>PRODUCT_PAGE</v>
      </c>
      <c r="E117" s="7" t="str">
        <f>IFERROR(__xludf.DUMMYFUNCTION("""COMPUTED_VALUE"""),"CORPORATE")</f>
        <v>CORPORATE</v>
      </c>
      <c r="F117" s="7" t="str">
        <f>IFERROR(__xludf.DUMMYFUNCTION("""COMPUTED_VALUE"""),"Product Page")</f>
        <v>Product Page</v>
      </c>
      <c r="G117" s="7" t="b">
        <f>IFERROR(__xludf.DUMMYFUNCTION("""COMPUTED_VALUE"""),FALSE)</f>
        <v>0</v>
      </c>
      <c r="H117" s="7"/>
      <c r="I117" s="7">
        <f>IFERROR(__xludf.DUMMYFUNCTION("""COMPUTED_VALUE"""),2.0)</f>
        <v>2</v>
      </c>
      <c r="J117" s="7">
        <f>IFERROR(__xludf.DUMMYFUNCTION("""COMPUTED_VALUE"""),0.0)</f>
        <v>0</v>
      </c>
      <c r="K117" s="7">
        <f>IFERROR(__xludf.DUMMYFUNCTION("""COMPUTED_VALUE"""),1.0)</f>
        <v>1</v>
      </c>
    </row>
    <row r="118" ht="15.75" customHeight="1">
      <c r="A118" s="6" t="str">
        <f>IFERROR(__xludf.DUMMYFUNCTION("""COMPUTED_VALUE"""),"https://www.digitalhitmen.com.au/seo-perth/geo/")</f>
        <v>https://www.digitalhitmen.com.au/seo-perth/geo/</v>
      </c>
      <c r="B118" s="7" t="str">
        <f>IFERROR(__xludf.DUMMYFUNCTION("""COMPUTED_VALUE"""),"GEO Agency Perth | Show Up in ChatGPT, AI Overviews &amp;amp; More")</f>
        <v>GEO Agency Perth | Show Up in ChatGPT, AI Overviews &amp;amp; More</v>
      </c>
      <c r="C118" s="6" t="str">
        <f>IFERROR(__xludf.DUMMYFUNCTION("""COMPUTED_VALUE"""),"digitalhitmen.com.au")</f>
        <v>digitalhitmen.com.au</v>
      </c>
      <c r="D118" s="7" t="str">
        <f>IFERROR(__xludf.DUMMYFUNCTION("""COMPUTED_VALUE"""),"PRODUCT_PAGE")</f>
        <v>PRODUCT_PAGE</v>
      </c>
      <c r="E118" s="7" t="str">
        <f>IFERROR(__xludf.DUMMYFUNCTION("""COMPUTED_VALUE"""),"CORPORATE")</f>
        <v>CORPORATE</v>
      </c>
      <c r="F118" s="7" t="str">
        <f>IFERROR(__xludf.DUMMYFUNCTION("""COMPUTED_VALUE"""),"Product Page")</f>
        <v>Product Page</v>
      </c>
      <c r="G118" s="7" t="b">
        <f>IFERROR(__xludf.DUMMYFUNCTION("""COMPUTED_VALUE"""),FALSE)</f>
        <v>0</v>
      </c>
      <c r="H118" s="7" t="str">
        <f>IFERROR(__xludf.DUMMYFUNCTION("""COMPUTED_VALUE"""),"Impressive")</f>
        <v>Impressive</v>
      </c>
      <c r="I118" s="7">
        <f>IFERROR(__xludf.DUMMYFUNCTION("""COMPUTED_VALUE"""),2.0)</f>
        <v>2</v>
      </c>
      <c r="J118" s="7">
        <f>IFERROR(__xludf.DUMMYFUNCTION("""COMPUTED_VALUE"""),0.0)</f>
        <v>0</v>
      </c>
      <c r="K118" s="7">
        <f>IFERROR(__xludf.DUMMYFUNCTION("""COMPUTED_VALUE"""),1.0)</f>
        <v>1</v>
      </c>
    </row>
    <row r="119" ht="15.75" customHeight="1">
      <c r="A119" s="6" t="str">
        <f>IFERROR(__xludf.DUMMYFUNCTION("""COMPUTED_VALUE"""),"https://www.digiwolf.au/services/analytics")</f>
        <v>https://www.digiwolf.au/services/analytics</v>
      </c>
      <c r="B119" s="7" t="str">
        <f>IFERROR(__xludf.DUMMYFUNCTION("""COMPUTED_VALUE"""),"Analytics &amp;amp; Performance Reporting | DigiWolf — Sydney")</f>
        <v>Analytics &amp;amp; Performance Reporting | DigiWolf — Sydney</v>
      </c>
      <c r="C119" s="6" t="str">
        <f>IFERROR(__xludf.DUMMYFUNCTION("""COMPUTED_VALUE"""),"digiwolf.au")</f>
        <v>digiwolf.au</v>
      </c>
      <c r="D119" s="7" t="str">
        <f>IFERROR(__xludf.DUMMYFUNCTION("""COMPUTED_VALUE"""),"PRODUCT_PAGE")</f>
        <v>PRODUCT_PAGE</v>
      </c>
      <c r="E119" s="7" t="str">
        <f>IFERROR(__xludf.DUMMYFUNCTION("""COMPUTED_VALUE"""),"CORPORATE")</f>
        <v>CORPORATE</v>
      </c>
      <c r="F119" s="7" t="str">
        <f>IFERROR(__xludf.DUMMYFUNCTION("""COMPUTED_VALUE"""),"Product Page")</f>
        <v>Product Page</v>
      </c>
      <c r="G119" s="7" t="b">
        <f>IFERROR(__xludf.DUMMYFUNCTION("""COMPUTED_VALUE"""),FALSE)</f>
        <v>0</v>
      </c>
      <c r="H119" s="7"/>
      <c r="I119" s="7">
        <f>IFERROR(__xludf.DUMMYFUNCTION("""COMPUTED_VALUE"""),2.0)</f>
        <v>2</v>
      </c>
      <c r="J119" s="7">
        <f>IFERROR(__xludf.DUMMYFUNCTION("""COMPUTED_VALUE"""),0.0)</f>
        <v>0</v>
      </c>
      <c r="K119" s="7">
        <f>IFERROR(__xludf.DUMMYFUNCTION("""COMPUTED_VALUE"""),0.0)</f>
        <v>0</v>
      </c>
    </row>
    <row r="120" ht="15.75" customHeight="1">
      <c r="A120" s="6" t="str">
        <f>IFERROR(__xludf.DUMMYFUNCTION("""COMPUTED_VALUE"""),"https://dnmdigital.com.au/seo-agency/ai-seo/#:~:text=Our%20LLM%20SEO%20services%20help,LLMs%20and%20AI%20search%20engines.")</f>
        <v>https://dnmdigital.com.au/seo-agency/ai-seo/#:~:text=Our%20LLM%20SEO%20services%20help,LLMs%20and%20AI%20search%20engines.</v>
      </c>
      <c r="B120" s="7" t="str">
        <f>IFERROR(__xludf.DUMMYFUNCTION("""COMPUTED_VALUE"""),"AI SEO Agency Australia | AEO &amp;amp; GEO Services | DNM Digital")</f>
        <v>AI SEO Agency Australia | AEO &amp;amp; GEO Services | DNM Digital</v>
      </c>
      <c r="C120" s="6" t="str">
        <f>IFERROR(__xludf.DUMMYFUNCTION("""COMPUTED_VALUE"""),"dnmdigital.com.au")</f>
        <v>dnmdigital.com.au</v>
      </c>
      <c r="D120" s="7" t="str">
        <f>IFERROR(__xludf.DUMMYFUNCTION("""COMPUTED_VALUE"""),"PRODUCT_PAGE")</f>
        <v>PRODUCT_PAGE</v>
      </c>
      <c r="E120" s="7" t="str">
        <f>IFERROR(__xludf.DUMMYFUNCTION("""COMPUTED_VALUE"""),"COMPETITOR")</f>
        <v>COMPETITOR</v>
      </c>
      <c r="F120" s="7" t="str">
        <f>IFERROR(__xludf.DUMMYFUNCTION("""COMPUTED_VALUE"""),"Product Page")</f>
        <v>Product Page</v>
      </c>
      <c r="G120" s="7" t="b">
        <f>IFERROR(__xludf.DUMMYFUNCTION("""COMPUTED_VALUE"""),FALSE)</f>
        <v>0</v>
      </c>
      <c r="H120" s="7" t="str">
        <f>IFERROR(__xludf.DUMMYFUNCTION("""COMPUTED_VALUE"""),"DNM Digital")</f>
        <v>DNM Digital</v>
      </c>
      <c r="I120" s="7">
        <f>IFERROR(__xludf.DUMMYFUNCTION("""COMPUTED_VALUE"""),2.0)</f>
        <v>2</v>
      </c>
      <c r="J120" s="7">
        <f>IFERROR(__xludf.DUMMYFUNCTION("""COMPUTED_VALUE"""),0.0)</f>
        <v>0</v>
      </c>
      <c r="K120" s="7">
        <f>IFERROR(__xludf.DUMMYFUNCTION("""COMPUTED_VALUE"""),1.5)</f>
        <v>1.5</v>
      </c>
    </row>
    <row r="121" ht="15.75" customHeight="1">
      <c r="A121" s="6" t="str">
        <f>IFERROR(__xludf.DUMMYFUNCTION("""COMPUTED_VALUE"""),"https://www.edgeonline.com.au/ai-seo-aio/#:~:text=Our%20live%20dashboards%20track%20your%20brand's%20presence,optimised%20for%20the%20latest%20AI%2Dpowered%20search%20results.")</f>
        <v>https://www.edgeonline.com.au/ai-seo-aio/#:~:text=Our%20live%20dashboards%20track%20your%20brand's%20presence,optimised%20for%20the%20latest%20AI%2Dpowered%20search%20results.</v>
      </c>
      <c r="B121" s="7" t="str">
        <f>IFERROR(__xludf.DUMMYFUNCTION("""COMPUTED_VALUE"""),"AI SEO Agency Australia | Making your brand visible in AI Results")</f>
        <v>AI SEO Agency Australia | Making your brand visible in AI Results</v>
      </c>
      <c r="C121" s="6" t="str">
        <f>IFERROR(__xludf.DUMMYFUNCTION("""COMPUTED_VALUE"""),"edgeonline.com.au")</f>
        <v>edgeonline.com.au</v>
      </c>
      <c r="D121" s="7" t="str">
        <f>IFERROR(__xludf.DUMMYFUNCTION("""COMPUTED_VALUE"""),"PRODUCT_PAGE")</f>
        <v>PRODUCT_PAGE</v>
      </c>
      <c r="E121" s="7" t="str">
        <f>IFERROR(__xludf.DUMMYFUNCTION("""COMPUTED_VALUE"""),"COMPETITOR")</f>
        <v>COMPETITOR</v>
      </c>
      <c r="F121" s="7" t="str">
        <f>IFERROR(__xludf.DUMMYFUNCTION("""COMPUTED_VALUE"""),"Product Page")</f>
        <v>Product Page</v>
      </c>
      <c r="G121" s="7" t="b">
        <f>IFERROR(__xludf.DUMMYFUNCTION("""COMPUTED_VALUE"""),FALSE)</f>
        <v>0</v>
      </c>
      <c r="H121" s="7" t="str">
        <f>IFERROR(__xludf.DUMMYFUNCTION("""COMPUTED_VALUE"""),"Measured, Edge Marketing")</f>
        <v>Measured, Edge Marketing</v>
      </c>
      <c r="I121" s="7">
        <f>IFERROR(__xludf.DUMMYFUNCTION("""COMPUTED_VALUE"""),2.0)</f>
        <v>2</v>
      </c>
      <c r="J121" s="7">
        <f>IFERROR(__xludf.DUMMYFUNCTION("""COMPUTED_VALUE"""),0.0)</f>
        <v>0</v>
      </c>
      <c r="K121" s="7">
        <f>IFERROR(__xludf.DUMMYFUNCTION("""COMPUTED_VALUE"""),1.0)</f>
        <v>1</v>
      </c>
    </row>
    <row r="122" ht="15.75" customHeight="1">
      <c r="A122" s="6" t="str">
        <f>IFERROR(__xludf.DUMMYFUNCTION("""COMPUTED_VALUE"""),"https://furtherinsight.com.au/our-services/marketing-mix-modelling/")</f>
        <v>https://furtherinsight.com.au/our-services/marketing-mix-modelling/</v>
      </c>
      <c r="B122" s="7" t="str">
        <f>IFERROR(__xludf.DUMMYFUNCTION("""COMPUTED_VALUE"""),"Marketing Mix Modelling - Further Insight")</f>
        <v>Marketing Mix Modelling - Further Insight</v>
      </c>
      <c r="C122" s="6" t="str">
        <f>IFERROR(__xludf.DUMMYFUNCTION("""COMPUTED_VALUE"""),"furtherinsight.com.au")</f>
        <v>furtherinsight.com.au</v>
      </c>
      <c r="D122" s="7" t="str">
        <f>IFERROR(__xludf.DUMMYFUNCTION("""COMPUTED_VALUE"""),"PRODUCT_PAGE")</f>
        <v>PRODUCT_PAGE</v>
      </c>
      <c r="E122" s="7" t="str">
        <f>IFERROR(__xludf.DUMMYFUNCTION("""COMPUTED_VALUE"""),"CORPORATE")</f>
        <v>CORPORATE</v>
      </c>
      <c r="F122" s="7" t="str">
        <f>IFERROR(__xludf.DUMMYFUNCTION("""COMPUTED_VALUE"""),"Product Page")</f>
        <v>Product Page</v>
      </c>
      <c r="G122" s="7" t="b">
        <f>IFERROR(__xludf.DUMMYFUNCTION("""COMPUTED_VALUE"""),FALSE)</f>
        <v>0</v>
      </c>
      <c r="H122" s="7"/>
      <c r="I122" s="7">
        <f>IFERROR(__xludf.DUMMYFUNCTION("""COMPUTED_VALUE"""),2.0)</f>
        <v>2</v>
      </c>
      <c r="J122" s="7">
        <f>IFERROR(__xludf.DUMMYFUNCTION("""COMPUTED_VALUE"""),0.0)</f>
        <v>0</v>
      </c>
      <c r="K122" s="7">
        <f>IFERROR(__xludf.DUMMYFUNCTION("""COMPUTED_VALUE"""),1.0)</f>
        <v>1</v>
      </c>
    </row>
    <row r="123" ht="15.75" customHeight="1">
      <c r="A123" s="6" t="str">
        <f>IFERROR(__xludf.DUMMYFUNCTION("""COMPUTED_VALUE"""),"https://www.gravitatedigital.com.au/search-engine-optimisation/geo-agency")</f>
        <v>https://www.gravitatedigital.com.au/search-engine-optimisation/geo-agency</v>
      </c>
      <c r="B123" s="7" t="str">
        <f>IFERROR(__xludf.DUMMYFUNCTION("""COMPUTED_VALUE"""),"Generative Engine Optimisation (GEO) Agency | Gravitate Digital")</f>
        <v>Generative Engine Optimisation (GEO) Agency | Gravitate Digital</v>
      </c>
      <c r="C123" s="6" t="str">
        <f>IFERROR(__xludf.DUMMYFUNCTION("""COMPUTED_VALUE"""),"gravitatedigital.com.au")</f>
        <v>gravitatedigital.com.au</v>
      </c>
      <c r="D123" s="7" t="str">
        <f>IFERROR(__xludf.DUMMYFUNCTION("""COMPUTED_VALUE"""),"PRODUCT_PAGE")</f>
        <v>PRODUCT_PAGE</v>
      </c>
      <c r="E123" s="7" t="str">
        <f>IFERROR(__xludf.DUMMYFUNCTION("""COMPUTED_VALUE"""),"CORPORATE")</f>
        <v>CORPORATE</v>
      </c>
      <c r="F123" s="7" t="str">
        <f>IFERROR(__xludf.DUMMYFUNCTION("""COMPUTED_VALUE"""),"Product Page")</f>
        <v>Product Page</v>
      </c>
      <c r="G123" s="7" t="b">
        <f>IFERROR(__xludf.DUMMYFUNCTION("""COMPUTED_VALUE"""),FALSE)</f>
        <v>0</v>
      </c>
      <c r="H123" s="7" t="str">
        <f>IFERROR(__xludf.DUMMYFUNCTION("""COMPUTED_VALUE"""),"Huge")</f>
        <v>Huge</v>
      </c>
      <c r="I123" s="7">
        <f>IFERROR(__xludf.DUMMYFUNCTION("""COMPUTED_VALUE"""),2.0)</f>
        <v>2</v>
      </c>
      <c r="J123" s="7">
        <f>IFERROR(__xludf.DUMMYFUNCTION("""COMPUTED_VALUE"""),0.0)</f>
        <v>0</v>
      </c>
      <c r="K123" s="7">
        <f>IFERROR(__xludf.DUMMYFUNCTION("""COMPUTED_VALUE"""),1.0)</f>
        <v>1</v>
      </c>
    </row>
    <row r="124" ht="15.75" customHeight="1">
      <c r="A124" s="6" t="str">
        <f>IFERROR(__xludf.DUMMYFUNCTION("""COMPUTED_VALUE"""),"https://www.intelligence.gov.au/agencies/ago")</f>
        <v>https://www.intelligence.gov.au/agencies/ago</v>
      </c>
      <c r="B124" s="7" t="str">
        <f>IFERROR(__xludf.DUMMYFUNCTION("""COMPUTED_VALUE"""),"AGO \| National Intelligence Community")</f>
        <v>AGO \| National Intelligence Community</v>
      </c>
      <c r="C124" s="6" t="str">
        <f>IFERROR(__xludf.DUMMYFUNCTION("""COMPUTED_VALUE"""),"intelligence.gov.au")</f>
        <v>intelligence.gov.au</v>
      </c>
      <c r="D124" s="7" t="str">
        <f>IFERROR(__xludf.DUMMYFUNCTION("""COMPUTED_VALUE"""),"PRODUCT_PAGE")</f>
        <v>PRODUCT_PAGE</v>
      </c>
      <c r="E124" s="7" t="str">
        <f>IFERROR(__xludf.DUMMYFUNCTION("""COMPUTED_VALUE"""),"INSTITUTIONAL")</f>
        <v>INSTITUTIONAL</v>
      </c>
      <c r="F124" s="7" t="str">
        <f>IFERROR(__xludf.DUMMYFUNCTION("""COMPUTED_VALUE"""),"Product Page")</f>
        <v>Product Page</v>
      </c>
      <c r="G124" s="7" t="b">
        <f>IFERROR(__xludf.DUMMYFUNCTION("""COMPUTED_VALUE"""),FALSE)</f>
        <v>0</v>
      </c>
      <c r="H124" s="7"/>
      <c r="I124" s="7">
        <f>IFERROR(__xludf.DUMMYFUNCTION("""COMPUTED_VALUE"""),2.0)</f>
        <v>2</v>
      </c>
      <c r="J124" s="7">
        <f>IFERROR(__xludf.DUMMYFUNCTION("""COMPUTED_VALUE"""),0.0)</f>
        <v>0</v>
      </c>
      <c r="K124" s="7">
        <f>IFERROR(__xludf.DUMMYFUNCTION("""COMPUTED_VALUE"""),1.0)</f>
        <v>1</v>
      </c>
    </row>
    <row r="125" ht="15.75" customHeight="1">
      <c r="A125" s="6" t="str">
        <f>IFERROR(__xludf.DUMMYFUNCTION("""COMPUTED_VALUE"""),"https://ionline.com.au/paid-advertising/")</f>
        <v>https://ionline.com.au/paid-advertising/</v>
      </c>
      <c r="B125" s="7" t="str">
        <f>IFERROR(__xludf.DUMMYFUNCTION("""COMPUTED_VALUE"""),"Paid Ads Agency Australia | Google Ads and Meta Ads")</f>
        <v>Paid Ads Agency Australia | Google Ads and Meta Ads</v>
      </c>
      <c r="C125" s="6" t="str">
        <f>IFERROR(__xludf.DUMMYFUNCTION("""COMPUTED_VALUE"""),"ionline.com.au")</f>
        <v>ionline.com.au</v>
      </c>
      <c r="D125" s="7" t="str">
        <f>IFERROR(__xludf.DUMMYFUNCTION("""COMPUTED_VALUE"""),"PRODUCT_PAGE")</f>
        <v>PRODUCT_PAGE</v>
      </c>
      <c r="E125" s="7" t="str">
        <f>IFERROR(__xludf.DUMMYFUNCTION("""COMPUTED_VALUE"""),"EDITORIAL")</f>
        <v>EDITORIAL</v>
      </c>
      <c r="F125" s="7" t="str">
        <f>IFERROR(__xludf.DUMMYFUNCTION("""COMPUTED_VALUE"""),"Product Page")</f>
        <v>Product Page</v>
      </c>
      <c r="G125" s="7" t="b">
        <f>IFERROR(__xludf.DUMMYFUNCTION("""COMPUTED_VALUE"""),FALSE)</f>
        <v>0</v>
      </c>
      <c r="H125" s="7"/>
      <c r="I125" s="7">
        <f>IFERROR(__xludf.DUMMYFUNCTION("""COMPUTED_VALUE"""),2.0)</f>
        <v>2</v>
      </c>
      <c r="J125" s="7">
        <f>IFERROR(__xludf.DUMMYFUNCTION("""COMPUTED_VALUE"""),0.0)</f>
        <v>0</v>
      </c>
      <c r="K125" s="7">
        <f>IFERROR(__xludf.DUMMYFUNCTION("""COMPUTED_VALUE"""),1.5)</f>
        <v>1.5</v>
      </c>
    </row>
    <row r="126" ht="15.75" customHeight="1">
      <c r="A126" s="6" t="str">
        <f>IFERROR(__xludf.DUMMYFUNCTION("""COMPUTED_VALUE"""),"https://liftlab.com/platform/unified-marketing-measurement/")</f>
        <v>https://liftlab.com/platform/unified-marketing-measurement/</v>
      </c>
      <c r="B126" s="7" t="str">
        <f>IFERROR(__xludf.DUMMYFUNCTION("""COMPUTED_VALUE"""),"Unified Marketing Measurement Platform (MMM + Incrementality) | LiftLab")</f>
        <v>Unified Marketing Measurement Platform (MMM + Incrementality) | LiftLab</v>
      </c>
      <c r="C126" s="6" t="str">
        <f>IFERROR(__xludf.DUMMYFUNCTION("""COMPUTED_VALUE"""),"liftlab.com")</f>
        <v>liftlab.com</v>
      </c>
      <c r="D126" s="7" t="str">
        <f>IFERROR(__xludf.DUMMYFUNCTION("""COMPUTED_VALUE"""),"PRODUCT_PAGE")</f>
        <v>PRODUCT_PAGE</v>
      </c>
      <c r="E126" s="7" t="str">
        <f>IFERROR(__xludf.DUMMYFUNCTION("""COMPUTED_VALUE"""),"COMPETITOR")</f>
        <v>COMPETITOR</v>
      </c>
      <c r="F126" s="7" t="str">
        <f>IFERROR(__xludf.DUMMYFUNCTION("""COMPUTED_VALUE"""),"Product Page")</f>
        <v>Product Page</v>
      </c>
      <c r="G126" s="7" t="b">
        <f>IFERROR(__xludf.DUMMYFUNCTION("""COMPUTED_VALUE"""),FALSE)</f>
        <v>0</v>
      </c>
      <c r="H126" s="7" t="str">
        <f>IFERROR(__xludf.DUMMYFUNCTION("""COMPUTED_VALUE"""),"LiftLab, HERO")</f>
        <v>LiftLab, HERO</v>
      </c>
      <c r="I126" s="7">
        <f>IFERROR(__xludf.DUMMYFUNCTION("""COMPUTED_VALUE"""),2.0)</f>
        <v>2</v>
      </c>
      <c r="J126" s="7">
        <f>IFERROR(__xludf.DUMMYFUNCTION("""COMPUTED_VALUE"""),0.0)</f>
        <v>0</v>
      </c>
      <c r="K126" s="7">
        <f>IFERROR(__xludf.DUMMYFUNCTION("""COMPUTED_VALUE"""),0.0)</f>
        <v>0</v>
      </c>
    </row>
    <row r="127" ht="15.75" customHeight="1">
      <c r="A127" s="6" t="str">
        <f>IFERROR(__xludf.DUMMYFUNCTION("""COMPUTED_VALUE"""),"https://www.luminary.com/generative-engine-optimisation")</f>
        <v>https://www.luminary.com/generative-engine-optimisation</v>
      </c>
      <c r="B127" s="7" t="str">
        <f>IFERROR(__xludf.DUMMYFUNCTION("""COMPUTED_VALUE"""),"Generative engine optimisation (GEO) &amp;amp; SEO agency — Luminary")</f>
        <v>Generative engine optimisation (GEO) &amp;amp; SEO agency — Luminary</v>
      </c>
      <c r="C127" s="6" t="str">
        <f>IFERROR(__xludf.DUMMYFUNCTION("""COMPUTED_VALUE"""),"luminary.com")</f>
        <v>luminary.com</v>
      </c>
      <c r="D127" s="7" t="str">
        <f>IFERROR(__xludf.DUMMYFUNCTION("""COMPUTED_VALUE"""),"PRODUCT_PAGE")</f>
        <v>PRODUCT_PAGE</v>
      </c>
      <c r="E127" s="7" t="str">
        <f>IFERROR(__xludf.DUMMYFUNCTION("""COMPUTED_VALUE"""),"CORPORATE")</f>
        <v>CORPORATE</v>
      </c>
      <c r="F127" s="7" t="str">
        <f>IFERROR(__xludf.DUMMYFUNCTION("""COMPUTED_VALUE"""),"Product Page")</f>
        <v>Product Page</v>
      </c>
      <c r="G127" s="7" t="b">
        <f>IFERROR(__xludf.DUMMYFUNCTION("""COMPUTED_VALUE"""),FALSE)</f>
        <v>0</v>
      </c>
      <c r="H127" s="7" t="str">
        <f>IFERROR(__xludf.DUMMYFUNCTION("""COMPUTED_VALUE"""),"Luminary")</f>
        <v>Luminary</v>
      </c>
      <c r="I127" s="7">
        <f>IFERROR(__xludf.DUMMYFUNCTION("""COMPUTED_VALUE"""),2.0)</f>
        <v>2</v>
      </c>
      <c r="J127" s="7">
        <f>IFERROR(__xludf.DUMMYFUNCTION("""COMPUTED_VALUE"""),0.0)</f>
        <v>0</v>
      </c>
      <c r="K127" s="7">
        <f>IFERROR(__xludf.DUMMYFUNCTION("""COMPUTED_VALUE"""),1.0)</f>
        <v>1</v>
      </c>
    </row>
    <row r="128" ht="15.75" customHeight="1">
      <c r="A128" s="6" t="str">
        <f>IFERROR(__xludf.DUMMYFUNCTION("""COMPUTED_VALUE"""),"https://mckenzie.com.au/services/google/")</f>
        <v>https://mckenzie.com.au/services/google/</v>
      </c>
      <c r="B128" s="7" t="str">
        <f>IFERROR(__xludf.DUMMYFUNCTION("""COMPUTED_VALUE"""),"Google Premier Partner | McKenzie Partners")</f>
        <v>Google Premier Partner | McKenzie Partners</v>
      </c>
      <c r="C128" s="6" t="str">
        <f>IFERROR(__xludf.DUMMYFUNCTION("""COMPUTED_VALUE"""),"mckenzie.com.au")</f>
        <v>mckenzie.com.au</v>
      </c>
      <c r="D128" s="7" t="str">
        <f>IFERROR(__xludf.DUMMYFUNCTION("""COMPUTED_VALUE"""),"PRODUCT_PAGE")</f>
        <v>PRODUCT_PAGE</v>
      </c>
      <c r="E128" s="7" t="str">
        <f>IFERROR(__xludf.DUMMYFUNCTION("""COMPUTED_VALUE"""),"CORPORATE")</f>
        <v>CORPORATE</v>
      </c>
      <c r="F128" s="7" t="str">
        <f>IFERROR(__xludf.DUMMYFUNCTION("""COMPUTED_VALUE"""),"Product Page")</f>
        <v>Product Page</v>
      </c>
      <c r="G128" s="7" t="b">
        <f>IFERROR(__xludf.DUMMYFUNCTION("""COMPUTED_VALUE"""),FALSE)</f>
        <v>0</v>
      </c>
      <c r="H128" s="7"/>
      <c r="I128" s="7">
        <f>IFERROR(__xludf.DUMMYFUNCTION("""COMPUTED_VALUE"""),2.0)</f>
        <v>2</v>
      </c>
      <c r="J128" s="7">
        <f>IFERROR(__xludf.DUMMYFUNCTION("""COMPUTED_VALUE"""),0.0)</f>
        <v>0</v>
      </c>
      <c r="K128" s="7">
        <f>IFERROR(__xludf.DUMMYFUNCTION("""COMPUTED_VALUE"""),0.0)</f>
        <v>0</v>
      </c>
    </row>
    <row r="129" ht="15.75" customHeight="1">
      <c r="A129" s="6" t="str">
        <f>IFERROR(__xludf.DUMMYFUNCTION("""COMPUTED_VALUE"""),"https://www.melottimedia.com.au/ai-marketing-services/localised-ai-search-optimisation/")</f>
        <v>https://www.melottimedia.com.au/ai-marketing-services/localised-ai-search-optimisation/</v>
      </c>
      <c r="B129" s="7" t="str">
        <f>IFERROR(__xludf.DUMMYFUNCTION("""COMPUTED_VALUE"""),"Localised AI Search Optimisation for Australian Businesses Sydney &amp;amp; Melbourne | Melotti Content Media")</f>
        <v>Localised AI Search Optimisation for Australian Businesses Sydney &amp;amp; Melbourne | Melotti Content Media</v>
      </c>
      <c r="C129" s="6" t="str">
        <f>IFERROR(__xludf.DUMMYFUNCTION("""COMPUTED_VALUE"""),"melottimedia.com.au")</f>
        <v>melottimedia.com.au</v>
      </c>
      <c r="D129" s="7" t="str">
        <f>IFERROR(__xludf.DUMMYFUNCTION("""COMPUTED_VALUE"""),"PRODUCT_PAGE")</f>
        <v>PRODUCT_PAGE</v>
      </c>
      <c r="E129" s="7" t="str">
        <f>IFERROR(__xludf.DUMMYFUNCTION("""COMPUTED_VALUE"""),"OTHER")</f>
        <v>OTHER</v>
      </c>
      <c r="F129" s="7" t="str">
        <f>IFERROR(__xludf.DUMMYFUNCTION("""COMPUTED_VALUE"""),"Product Page")</f>
        <v>Product Page</v>
      </c>
      <c r="G129" s="7" t="b">
        <f>IFERROR(__xludf.DUMMYFUNCTION("""COMPUTED_VALUE"""),FALSE)</f>
        <v>0</v>
      </c>
      <c r="H129" s="7"/>
      <c r="I129" s="7">
        <f>IFERROR(__xludf.DUMMYFUNCTION("""COMPUTED_VALUE"""),2.0)</f>
        <v>2</v>
      </c>
      <c r="J129" s="7">
        <f>IFERROR(__xludf.DUMMYFUNCTION("""COMPUTED_VALUE"""),0.0)</f>
        <v>0</v>
      </c>
      <c r="K129" s="7">
        <f>IFERROR(__xludf.DUMMYFUNCTION("""COMPUTED_VALUE"""),1.5)</f>
        <v>1.5</v>
      </c>
    </row>
    <row r="130" ht="15.75" customHeight="1">
      <c r="A130" s="6" t="str">
        <f>IFERROR(__xludf.DUMMYFUNCTION("""COMPUTED_VALUE"""),"https://www.nelsononeill.com.au/data-tracking-and-reporting/")</f>
        <v>https://www.nelsononeill.com.au/data-tracking-and-reporting/</v>
      </c>
      <c r="B130" s="7" t="str">
        <f>IFERROR(__xludf.DUMMYFUNCTION("""COMPUTED_VALUE"""),"Digital Marketing Data Tracking &amp;amp; Reporting Solutions Australia")</f>
        <v>Digital Marketing Data Tracking &amp;amp; Reporting Solutions Australia</v>
      </c>
      <c r="C130" s="6" t="str">
        <f>IFERROR(__xludf.DUMMYFUNCTION("""COMPUTED_VALUE"""),"nelsononeill.com.au")</f>
        <v>nelsononeill.com.au</v>
      </c>
      <c r="D130" s="7" t="str">
        <f>IFERROR(__xludf.DUMMYFUNCTION("""COMPUTED_VALUE"""),"PRODUCT_PAGE")</f>
        <v>PRODUCT_PAGE</v>
      </c>
      <c r="E130" s="7" t="str">
        <f>IFERROR(__xludf.DUMMYFUNCTION("""COMPUTED_VALUE"""),"CORPORATE")</f>
        <v>CORPORATE</v>
      </c>
      <c r="F130" s="7" t="str">
        <f>IFERROR(__xludf.DUMMYFUNCTION("""COMPUTED_VALUE"""),"Product Page")</f>
        <v>Product Page</v>
      </c>
      <c r="G130" s="7" t="b">
        <f>IFERROR(__xludf.DUMMYFUNCTION("""COMPUTED_VALUE"""),FALSE)</f>
        <v>0</v>
      </c>
      <c r="H130" s="7" t="str">
        <f>IFERROR(__xludf.DUMMYFUNCTION("""COMPUTED_VALUE"""),"Huge")</f>
        <v>Huge</v>
      </c>
      <c r="I130" s="7">
        <f>IFERROR(__xludf.DUMMYFUNCTION("""COMPUTED_VALUE"""),2.0)</f>
        <v>2</v>
      </c>
      <c r="J130" s="7">
        <f>IFERROR(__xludf.DUMMYFUNCTION("""COMPUTED_VALUE"""),0.0)</f>
        <v>0</v>
      </c>
      <c r="K130" s="7">
        <f>IFERROR(__xludf.DUMMYFUNCTION("""COMPUTED_VALUE"""),0.0)</f>
        <v>0</v>
      </c>
    </row>
    <row r="131" ht="15.75" customHeight="1">
      <c r="A131" s="6" t="str">
        <f>IFERROR(__xludf.DUMMYFUNCTION("""COMPUTED_VALUE"""),"https://www.opinosis-analytics.com/ai-consulting-in-australia/")</f>
        <v>https://www.opinosis-analytics.com/ai-consulting-in-australia/</v>
      </c>
      <c r="B131" s="7" t="str">
        <f>IFERROR(__xludf.DUMMYFUNCTION("""COMPUTED_VALUE"""),"AI Consulting Company in Australia | AI Agents | Expert-Led | Machine Learning Consulting")</f>
        <v>AI Consulting Company in Australia | AI Agents | Expert-Led | Machine Learning Consulting</v>
      </c>
      <c r="C131" s="6" t="str">
        <f>IFERROR(__xludf.DUMMYFUNCTION("""COMPUTED_VALUE"""),"opinosis-analytics.com")</f>
        <v>opinosis-analytics.com</v>
      </c>
      <c r="D131" s="7" t="str">
        <f>IFERROR(__xludf.DUMMYFUNCTION("""COMPUTED_VALUE"""),"PRODUCT_PAGE")</f>
        <v>PRODUCT_PAGE</v>
      </c>
      <c r="E131" s="7" t="str">
        <f>IFERROR(__xludf.DUMMYFUNCTION("""COMPUTED_VALUE"""),"CORPORATE")</f>
        <v>CORPORATE</v>
      </c>
      <c r="F131" s="7" t="str">
        <f>IFERROR(__xludf.DUMMYFUNCTION("""COMPUTED_VALUE"""),"Product Page")</f>
        <v>Product Page</v>
      </c>
      <c r="G131" s="7" t="b">
        <f>IFERROR(__xludf.DUMMYFUNCTION("""COMPUTED_VALUE"""),FALSE)</f>
        <v>0</v>
      </c>
      <c r="H131" s="7" t="str">
        <f>IFERROR(__xludf.DUMMYFUNCTION("""COMPUTED_VALUE"""),"MyWork, Impressive")</f>
        <v>MyWork, Impressive</v>
      </c>
      <c r="I131" s="7">
        <f>IFERROR(__xludf.DUMMYFUNCTION("""COMPUTED_VALUE"""),2.0)</f>
        <v>2</v>
      </c>
      <c r="J131" s="7">
        <f>IFERROR(__xludf.DUMMYFUNCTION("""COMPUTED_VALUE"""),0.0)</f>
        <v>0</v>
      </c>
      <c r="K131" s="7">
        <f>IFERROR(__xludf.DUMMYFUNCTION("""COMPUTED_VALUE"""),0.0)</f>
        <v>0</v>
      </c>
    </row>
    <row r="132" ht="15.75" customHeight="1">
      <c r="A132" s="6" t="str">
        <f>IFERROR(__xludf.DUMMYFUNCTION("""COMPUTED_VALUE"""),"https://www.qagency.com.au/ai-consultation")</f>
        <v>https://www.qagency.com.au/ai-consultation</v>
      </c>
      <c r="B132" s="7" t="str">
        <f>IFERROR(__xludf.DUMMYFUNCTION("""COMPUTED_VALUE"""),"AI Consulting Sydney | Practical AI for Australian Businesses | Q Agency")</f>
        <v>AI Consulting Sydney | Practical AI for Australian Businesses | Q Agency</v>
      </c>
      <c r="C132" s="6" t="str">
        <f>IFERROR(__xludf.DUMMYFUNCTION("""COMPUTED_VALUE"""),"qagency.com.au")</f>
        <v>qagency.com.au</v>
      </c>
      <c r="D132" s="7" t="str">
        <f>IFERROR(__xludf.DUMMYFUNCTION("""COMPUTED_VALUE"""),"PRODUCT_PAGE")</f>
        <v>PRODUCT_PAGE</v>
      </c>
      <c r="E132" s="7" t="str">
        <f>IFERROR(__xludf.DUMMYFUNCTION("""COMPUTED_VALUE"""),"CORPORATE")</f>
        <v>CORPORATE</v>
      </c>
      <c r="F132" s="7" t="str">
        <f>IFERROR(__xludf.DUMMYFUNCTION("""COMPUTED_VALUE"""),"Product Page")</f>
        <v>Product Page</v>
      </c>
      <c r="G132" s="7" t="b">
        <f>IFERROR(__xludf.DUMMYFUNCTION("""COMPUTED_VALUE"""),FALSE)</f>
        <v>0</v>
      </c>
      <c r="H132" s="7"/>
      <c r="I132" s="7">
        <f>IFERROR(__xludf.DUMMYFUNCTION("""COMPUTED_VALUE"""),2.0)</f>
        <v>2</v>
      </c>
      <c r="J132" s="7">
        <f>IFERROR(__xludf.DUMMYFUNCTION("""COMPUTED_VALUE"""),0.0)</f>
        <v>0</v>
      </c>
      <c r="K132" s="7">
        <f>IFERROR(__xludf.DUMMYFUNCTION("""COMPUTED_VALUE"""),1.0)</f>
        <v>1</v>
      </c>
    </row>
    <row r="133" ht="15.75" customHeight="1">
      <c r="A133" s="6" t="str">
        <f>IFERROR(__xludf.DUMMYFUNCTION("""COMPUTED_VALUE"""),"https://roi.com.au/know-how/ai-seo-geo-answer-engine-optimisation/what-are-the-best-geo-tools-for-australian-businesses")</f>
        <v>https://roi.com.au/know-how/ai-seo-geo-answer-engine-optimisation/what-are-the-best-geo-tools-for-australian-businesses</v>
      </c>
      <c r="B133" s="7" t="str">
        <f>IFERROR(__xludf.DUMMYFUNCTION("""COMPUTED_VALUE"""),"What are the best GEO tools for Australian businesses? | AI Marketing Agency Australia | roi.com.au")</f>
        <v>What are the best GEO tools for Australian businesses? | AI Marketing Agency Australia | roi.com.au</v>
      </c>
      <c r="C133" s="6" t="str">
        <f>IFERROR(__xludf.DUMMYFUNCTION("""COMPUTED_VALUE"""),"roi.com.au")</f>
        <v>roi.com.au</v>
      </c>
      <c r="D133" s="7" t="str">
        <f>IFERROR(__xludf.DUMMYFUNCTION("""COMPUTED_VALUE"""),"PRODUCT_PAGE")</f>
        <v>PRODUCT_PAGE</v>
      </c>
      <c r="E133" s="7" t="str">
        <f>IFERROR(__xludf.DUMMYFUNCTION("""COMPUTED_VALUE"""),"CORPORATE")</f>
        <v>CORPORATE</v>
      </c>
      <c r="F133" s="7" t="str">
        <f>IFERROR(__xludf.DUMMYFUNCTION("""COMPUTED_VALUE"""),"Product Page")</f>
        <v>Product Page</v>
      </c>
      <c r="G133" s="7" t="b">
        <f>IFERROR(__xludf.DUMMYFUNCTION("""COMPUTED_VALUE"""),FALSE)</f>
        <v>0</v>
      </c>
      <c r="H133" s="7" t="str">
        <f>IFERROR(__xludf.DUMMYFUNCTION("""COMPUTED_VALUE"""),"ROI Growth Agency")</f>
        <v>ROI Growth Agency</v>
      </c>
      <c r="I133" s="7">
        <f>IFERROR(__xludf.DUMMYFUNCTION("""COMPUTED_VALUE"""),2.0)</f>
        <v>2</v>
      </c>
      <c r="J133" s="7">
        <f>IFERROR(__xludf.DUMMYFUNCTION("""COMPUTED_VALUE"""),0.0)</f>
        <v>0</v>
      </c>
      <c r="K133" s="7">
        <f>IFERROR(__xludf.DUMMYFUNCTION("""COMPUTED_VALUE"""),1.0)</f>
        <v>1</v>
      </c>
    </row>
    <row r="134" ht="15.75" customHeight="1">
      <c r="A134" s="6" t="str">
        <f>IFERROR(__xludf.DUMMYFUNCTION("""COMPUTED_VALUE"""),"https://www.safaridigital.com.au/seo-services/")</f>
        <v>https://www.safaridigital.com.au/seo-services/</v>
      </c>
      <c r="B134" s="7" t="str">
        <f>IFERROR(__xludf.DUMMYFUNCTION("""COMPUTED_VALUE"""),"SEO Services Australia | AI-Ready SEO/AEO/GEO Strategies for 2026")</f>
        <v>SEO Services Australia | AI-Ready SEO/AEO/GEO Strategies for 2026</v>
      </c>
      <c r="C134" s="6" t="str">
        <f>IFERROR(__xludf.DUMMYFUNCTION("""COMPUTED_VALUE"""),"safaridigital.com.au")</f>
        <v>safaridigital.com.au</v>
      </c>
      <c r="D134" s="7" t="str">
        <f>IFERROR(__xludf.DUMMYFUNCTION("""COMPUTED_VALUE"""),"PRODUCT_PAGE")</f>
        <v>PRODUCT_PAGE</v>
      </c>
      <c r="E134" s="7" t="str">
        <f>IFERROR(__xludf.DUMMYFUNCTION("""COMPUTED_VALUE"""),"COMPETITOR")</f>
        <v>COMPETITOR</v>
      </c>
      <c r="F134" s="7" t="str">
        <f>IFERROR(__xludf.DUMMYFUNCTION("""COMPUTED_VALUE"""),"Product Page")</f>
        <v>Product Page</v>
      </c>
      <c r="G134" s="7" t="b">
        <f>IFERROR(__xludf.DUMMYFUNCTION("""COMPUTED_VALUE"""),FALSE)</f>
        <v>0</v>
      </c>
      <c r="H134" s="7" t="str">
        <f>IFERROR(__xludf.DUMMYFUNCTION("""COMPUTED_VALUE"""),"Safari Digital")</f>
        <v>Safari Digital</v>
      </c>
      <c r="I134" s="7">
        <f>IFERROR(__xludf.DUMMYFUNCTION("""COMPUTED_VALUE"""),2.0)</f>
        <v>2</v>
      </c>
      <c r="J134" s="7">
        <f>IFERROR(__xludf.DUMMYFUNCTION("""COMPUTED_VALUE"""),0.0)</f>
        <v>0</v>
      </c>
      <c r="K134" s="7">
        <f>IFERROR(__xludf.DUMMYFUNCTION("""COMPUTED_VALUE"""),1.0)</f>
        <v>1</v>
      </c>
    </row>
    <row r="135" ht="15.75" customHeight="1">
      <c r="A135" s="6" t="str">
        <f>IFERROR(__xludf.DUMMYFUNCTION("""COMPUTED_VALUE"""),"https://searchministry.au/seo-service/ai-seo")</f>
        <v>https://searchministry.au/seo-service/ai-seo</v>
      </c>
      <c r="B135" s="7" t="str">
        <f>IFERROR(__xludf.DUMMYFUNCTION("""COMPUTED_VALUE"""),"AI SEO Services Australia — GEO and AEO Specialists | SearchMinistry")</f>
        <v>AI SEO Services Australia — GEO and AEO Specialists | SearchMinistry</v>
      </c>
      <c r="C135" s="6" t="str">
        <f>IFERROR(__xludf.DUMMYFUNCTION("""COMPUTED_VALUE"""),"searchministry.au")</f>
        <v>searchministry.au</v>
      </c>
      <c r="D135" s="7" t="str">
        <f>IFERROR(__xludf.DUMMYFUNCTION("""COMPUTED_VALUE"""),"PRODUCT_PAGE")</f>
        <v>PRODUCT_PAGE</v>
      </c>
      <c r="E135" s="7" t="str">
        <f>IFERROR(__xludf.DUMMYFUNCTION("""COMPUTED_VALUE"""),"CORPORATE")</f>
        <v>CORPORATE</v>
      </c>
      <c r="F135" s="7" t="str">
        <f>IFERROR(__xludf.DUMMYFUNCTION("""COMPUTED_VALUE"""),"Product Page")</f>
        <v>Product Page</v>
      </c>
      <c r="G135" s="7" t="b">
        <f>IFERROR(__xludf.DUMMYFUNCTION("""COMPUTED_VALUE"""),FALSE)</f>
        <v>0</v>
      </c>
      <c r="H135" s="7"/>
      <c r="I135" s="7">
        <f>IFERROR(__xludf.DUMMYFUNCTION("""COMPUTED_VALUE"""),2.0)</f>
        <v>2</v>
      </c>
      <c r="J135" s="7">
        <f>IFERROR(__xludf.DUMMYFUNCTION("""COMPUTED_VALUE"""),0.0)</f>
        <v>0</v>
      </c>
      <c r="K135" s="7">
        <f>IFERROR(__xludf.DUMMYFUNCTION("""COMPUTED_VALUE"""),0.0)</f>
        <v>0</v>
      </c>
    </row>
    <row r="136" ht="15.75" customHeight="1">
      <c r="A136" s="6" t="str">
        <f>IFERROR(__xludf.DUMMYFUNCTION("""COMPUTED_VALUE"""),"https://sensedatalab.com.au/google-analytics-4-consulting.html")</f>
        <v>https://sensedatalab.com.au/google-analytics-4-consulting.html</v>
      </c>
      <c r="B136" s="7" t="str">
        <f>IFERROR(__xludf.DUMMYFUNCTION("""COMPUTED_VALUE"""),"GA4 Consulting - Sense Data Lab")</f>
        <v>GA4 Consulting - Sense Data Lab</v>
      </c>
      <c r="C136" s="6" t="str">
        <f>IFERROR(__xludf.DUMMYFUNCTION("""COMPUTED_VALUE"""),"sensedatalab.com.au")</f>
        <v>sensedatalab.com.au</v>
      </c>
      <c r="D136" s="7" t="str">
        <f>IFERROR(__xludf.DUMMYFUNCTION("""COMPUTED_VALUE"""),"PRODUCT_PAGE")</f>
        <v>PRODUCT_PAGE</v>
      </c>
      <c r="E136" s="7" t="str">
        <f>IFERROR(__xludf.DUMMYFUNCTION("""COMPUTED_VALUE"""),"CORPORATE")</f>
        <v>CORPORATE</v>
      </c>
      <c r="F136" s="7" t="str">
        <f>IFERROR(__xludf.DUMMYFUNCTION("""COMPUTED_VALUE"""),"Product Page")</f>
        <v>Product Page</v>
      </c>
      <c r="G136" s="7" t="b">
        <f>IFERROR(__xludf.DUMMYFUNCTION("""COMPUTED_VALUE"""),FALSE)</f>
        <v>0</v>
      </c>
      <c r="H136" s="7" t="str">
        <f>IFERROR(__xludf.DUMMYFUNCTION("""COMPUTED_VALUE"""),"Huge")</f>
        <v>Huge</v>
      </c>
      <c r="I136" s="7">
        <f>IFERROR(__xludf.DUMMYFUNCTION("""COMPUTED_VALUE"""),2.0)</f>
        <v>2</v>
      </c>
      <c r="J136" s="7">
        <f>IFERROR(__xludf.DUMMYFUNCTION("""COMPUTED_VALUE"""),0.0)</f>
        <v>0</v>
      </c>
      <c r="K136" s="7">
        <f>IFERROR(__xludf.DUMMYFUNCTION("""COMPUTED_VALUE"""),1.5)</f>
        <v>1.5</v>
      </c>
    </row>
    <row r="137" ht="15.75" customHeight="1">
      <c r="A137" s="6" t="str">
        <f>IFERROR(__xludf.DUMMYFUNCTION("""COMPUTED_VALUE"""),"https://sparro.com.au/digital-marketing/")</f>
        <v>https://sparro.com.au/digital-marketing/</v>
      </c>
      <c r="B137" s="7" t="str">
        <f>IFERROR(__xludf.DUMMYFUNCTION("""COMPUTED_VALUE"""),"Marketing Agency | Sparro by Brainlabs: Independent Digital Marketing")</f>
        <v>Marketing Agency | Sparro by Brainlabs: Independent Digital Marketing</v>
      </c>
      <c r="C137" s="6" t="str">
        <f>IFERROR(__xludf.DUMMYFUNCTION("""COMPUTED_VALUE"""),"sparro.com.au")</f>
        <v>sparro.com.au</v>
      </c>
      <c r="D137" s="7" t="str">
        <f>IFERROR(__xludf.DUMMYFUNCTION("""COMPUTED_VALUE"""),"PRODUCT_PAGE")</f>
        <v>PRODUCT_PAGE</v>
      </c>
      <c r="E137" s="7" t="str">
        <f>IFERROR(__xludf.DUMMYFUNCTION("""COMPUTED_VALUE"""),"COMPETITOR")</f>
        <v>COMPETITOR</v>
      </c>
      <c r="F137" s="7" t="str">
        <f>IFERROR(__xludf.DUMMYFUNCTION("""COMPUTED_VALUE"""),"Product Page")</f>
        <v>Product Page</v>
      </c>
      <c r="G137" s="7" t="b">
        <f>IFERROR(__xludf.DUMMYFUNCTION("""COMPUTED_VALUE"""),FALSE)</f>
        <v>0</v>
      </c>
      <c r="H137" s="7" t="str">
        <f>IFERROR(__xludf.DUMMYFUNCTION("""COMPUTED_VALUE"""),"Sparro")</f>
        <v>Sparro</v>
      </c>
      <c r="I137" s="7">
        <f>IFERROR(__xludf.DUMMYFUNCTION("""COMPUTED_VALUE"""),2.0)</f>
        <v>2</v>
      </c>
      <c r="J137" s="7">
        <f>IFERROR(__xludf.DUMMYFUNCTION("""COMPUTED_VALUE"""),0.0)</f>
        <v>0</v>
      </c>
      <c r="K137" s="7">
        <f>IFERROR(__xludf.DUMMYFUNCTION("""COMPUTED_VALUE"""),1.0)</f>
        <v>1</v>
      </c>
    </row>
    <row r="138" ht="15.75" customHeight="1">
      <c r="A138" s="6" t="str">
        <f>IFERROR(__xludf.DUMMYFUNCTION("""COMPUTED_VALUE"""),"https://www.stantec.com/au/services/geospatial")</f>
        <v>https://www.stantec.com/au/services/geospatial</v>
      </c>
      <c r="B138" s="7" t="str">
        <f>IFERROR(__xludf.DUMMYFUNCTION("""COMPUTED_VALUE"""),"Geospatial")</f>
        <v>Geospatial</v>
      </c>
      <c r="C138" s="6" t="str">
        <f>IFERROR(__xludf.DUMMYFUNCTION("""COMPUTED_VALUE"""),"stantec.com")</f>
        <v>stantec.com</v>
      </c>
      <c r="D138" s="7" t="str">
        <f>IFERROR(__xludf.DUMMYFUNCTION("""COMPUTED_VALUE"""),"PRODUCT_PAGE")</f>
        <v>PRODUCT_PAGE</v>
      </c>
      <c r="E138" s="7" t="str">
        <f>IFERROR(__xludf.DUMMYFUNCTION("""COMPUTED_VALUE"""),"CORPORATE")</f>
        <v>CORPORATE</v>
      </c>
      <c r="F138" s="7" t="str">
        <f>IFERROR(__xludf.DUMMYFUNCTION("""COMPUTED_VALUE"""),"Product Page")</f>
        <v>Product Page</v>
      </c>
      <c r="G138" s="7" t="b">
        <f>IFERROR(__xludf.DUMMYFUNCTION("""COMPUTED_VALUE"""),FALSE)</f>
        <v>0</v>
      </c>
      <c r="H138" s="7"/>
      <c r="I138" s="7">
        <f>IFERROR(__xludf.DUMMYFUNCTION("""COMPUTED_VALUE"""),2.0)</f>
        <v>2</v>
      </c>
      <c r="J138" s="7">
        <f>IFERROR(__xludf.DUMMYFUNCTION("""COMPUTED_VALUE"""),0.0)</f>
        <v>0</v>
      </c>
      <c r="K138" s="7">
        <f>IFERROR(__xludf.DUMMYFUNCTION("""COMPUTED_VALUE"""),1.0)</f>
        <v>1</v>
      </c>
    </row>
    <row r="139" ht="15.75" customHeight="1">
      <c r="A139" s="6" t="str">
        <f>IFERROR(__xludf.DUMMYFUNCTION("""COMPUTED_VALUE"""),"https://www.theaustralian.com.au/business/growth-agenda/a-special-decade-as-independent-creative-agency-celebrates-milestone/news-story/3ff6c415d05d580c07433ced667fdd66")</f>
        <v>https://www.theaustralian.com.au/business/growth-agenda/a-special-decade-as-independent-creative-agency-celebrates-milestone/news-story/3ff6c415d05d580c07433ced667fdd66</v>
      </c>
      <c r="B139" s="7" t="str">
        <f>IFERROR(__xludf.DUMMYFUNCTION("""COMPUTED_VALUE"""),"Subscribe to The Australian \| Newspaper home delivery, website, iPad, iPhone &amp; Android apps")</f>
        <v>Subscribe to The Australian \| Newspaper home delivery, website, iPad, iPhone &amp; Android apps</v>
      </c>
      <c r="C139" s="6" t="str">
        <f>IFERROR(__xludf.DUMMYFUNCTION("""COMPUTED_VALUE"""),"theaustralian.com.au")</f>
        <v>theaustralian.com.au</v>
      </c>
      <c r="D139" s="7" t="str">
        <f>IFERROR(__xludf.DUMMYFUNCTION("""COMPUTED_VALUE"""),"PRODUCT_PAGE")</f>
        <v>PRODUCT_PAGE</v>
      </c>
      <c r="E139" s="7" t="str">
        <f>IFERROR(__xludf.DUMMYFUNCTION("""COMPUTED_VALUE"""),"EDITORIAL")</f>
        <v>EDITORIAL</v>
      </c>
      <c r="F139" s="7" t="str">
        <f>IFERROR(__xludf.DUMMYFUNCTION("""COMPUTED_VALUE"""),"Product Page")</f>
        <v>Product Page</v>
      </c>
      <c r="G139" s="7" t="b">
        <f>IFERROR(__xludf.DUMMYFUNCTION("""COMPUTED_VALUE"""),FALSE)</f>
        <v>0</v>
      </c>
      <c r="H139" s="7"/>
      <c r="I139" s="7">
        <f>IFERROR(__xludf.DUMMYFUNCTION("""COMPUTED_VALUE"""),2.0)</f>
        <v>2</v>
      </c>
      <c r="J139" s="7">
        <f>IFERROR(__xludf.DUMMYFUNCTION("""COMPUTED_VALUE"""),0.0)</f>
        <v>0</v>
      </c>
      <c r="K139" s="7">
        <f>IFERROR(__xludf.DUMMYFUNCTION("""COMPUTED_VALUE"""),2.0)</f>
        <v>2</v>
      </c>
    </row>
    <row r="140" ht="15.75" customHeight="1">
      <c r="A140" s="6" t="str">
        <f>IFERROR(__xludf.DUMMYFUNCTION("""COMPUTED_VALUE"""),"https://www.theravenlabs.com/ai-readiness/")</f>
        <v>https://www.theravenlabs.com/ai-readiness/</v>
      </c>
      <c r="B140" s="7" t="str">
        <f>IFERROR(__xludf.DUMMYFUNCTION("""COMPUTED_VALUE"""),"AI Readiness Assessment | Prepare Your Business for AI | Raven Labs Melbourne")</f>
        <v>AI Readiness Assessment | Prepare Your Business for AI | Raven Labs Melbourne</v>
      </c>
      <c r="C140" s="6" t="str">
        <f>IFERROR(__xludf.DUMMYFUNCTION("""COMPUTED_VALUE"""),"theravenlabs.com")</f>
        <v>theravenlabs.com</v>
      </c>
      <c r="D140" s="7" t="str">
        <f>IFERROR(__xludf.DUMMYFUNCTION("""COMPUTED_VALUE"""),"PRODUCT_PAGE")</f>
        <v>PRODUCT_PAGE</v>
      </c>
      <c r="E140" s="7" t="str">
        <f>IFERROR(__xludf.DUMMYFUNCTION("""COMPUTED_VALUE"""),"CORPORATE")</f>
        <v>CORPORATE</v>
      </c>
      <c r="F140" s="7" t="str">
        <f>IFERROR(__xludf.DUMMYFUNCTION("""COMPUTED_VALUE"""),"Product Page")</f>
        <v>Product Page</v>
      </c>
      <c r="G140" s="7" t="b">
        <f>IFERROR(__xludf.DUMMYFUNCTION("""COMPUTED_VALUE"""),FALSE)</f>
        <v>0</v>
      </c>
      <c r="H140" s="7"/>
      <c r="I140" s="7">
        <f>IFERROR(__xludf.DUMMYFUNCTION("""COMPUTED_VALUE"""),2.0)</f>
        <v>2</v>
      </c>
      <c r="J140" s="7">
        <f>IFERROR(__xludf.DUMMYFUNCTION("""COMPUTED_VALUE"""),0.0)</f>
        <v>0</v>
      </c>
      <c r="K140" s="7">
        <f>IFERROR(__xludf.DUMMYFUNCTION("""COMPUTED_VALUE"""),0.0)</f>
        <v>0</v>
      </c>
    </row>
    <row r="141" ht="15.75" customHeight="1">
      <c r="A141" s="6" t="str">
        <f>IFERROR(__xludf.DUMMYFUNCTION("""COMPUTED_VALUE"""),"https://umitech.com.au/google-partner/")</f>
        <v>https://umitech.com.au/google-partner/</v>
      </c>
      <c r="B141" s="7" t="str">
        <f>IFERROR(__xludf.DUMMYFUNCTION("""COMPUTED_VALUE"""),"Google Partner — Umitech | 2026")</f>
        <v>Google Partner — Umitech | 2026</v>
      </c>
      <c r="C141" s="6" t="str">
        <f>IFERROR(__xludf.DUMMYFUNCTION("""COMPUTED_VALUE"""),"umitech.com.au")</f>
        <v>umitech.com.au</v>
      </c>
      <c r="D141" s="7" t="str">
        <f>IFERROR(__xludf.DUMMYFUNCTION("""COMPUTED_VALUE"""),"PRODUCT_PAGE")</f>
        <v>PRODUCT_PAGE</v>
      </c>
      <c r="E141" s="7" t="str">
        <f>IFERROR(__xludf.DUMMYFUNCTION("""COMPUTED_VALUE"""),"CORPORATE")</f>
        <v>CORPORATE</v>
      </c>
      <c r="F141" s="7" t="str">
        <f>IFERROR(__xludf.DUMMYFUNCTION("""COMPUTED_VALUE"""),"Product Page")</f>
        <v>Product Page</v>
      </c>
      <c r="G141" s="7" t="b">
        <f>IFERROR(__xludf.DUMMYFUNCTION("""COMPUTED_VALUE"""),FALSE)</f>
        <v>0</v>
      </c>
      <c r="H141" s="7" t="str">
        <f>IFERROR(__xludf.DUMMYFUNCTION("""COMPUTED_VALUE"""),"Huge")</f>
        <v>Huge</v>
      </c>
      <c r="I141" s="7">
        <f>IFERROR(__xludf.DUMMYFUNCTION("""COMPUTED_VALUE"""),2.0)</f>
        <v>2</v>
      </c>
      <c r="J141" s="7">
        <f>IFERROR(__xludf.DUMMYFUNCTION("""COMPUTED_VALUE"""),0.0)</f>
        <v>0</v>
      </c>
      <c r="K141" s="7">
        <f>IFERROR(__xludf.DUMMYFUNCTION("""COMPUTED_VALUE"""),0.0)</f>
        <v>0</v>
      </c>
    </row>
    <row r="142" ht="15.75" customHeight="1">
      <c r="A142" s="6" t="str">
        <f>IFERROR(__xludf.DUMMYFUNCTION("""COMPUTED_VALUE"""),"https://yaanidigital.com/au/analytics-attribution")</f>
        <v>https://yaanidigital.com/au/analytics-attribution</v>
      </c>
      <c r="B142" s="7" t="str">
        <f>IFERROR(__xludf.DUMMYFUNCTION("""COMPUTED_VALUE"""),"Analytics &amp;amp; Attribution Services in Australia | Yaani Digital")</f>
        <v>Analytics &amp;amp; Attribution Services in Australia | Yaani Digital</v>
      </c>
      <c r="C142" s="6" t="str">
        <f>IFERROR(__xludf.DUMMYFUNCTION("""COMPUTED_VALUE"""),"yaanidigital.com")</f>
        <v>yaanidigital.com</v>
      </c>
      <c r="D142" s="7" t="str">
        <f>IFERROR(__xludf.DUMMYFUNCTION("""COMPUTED_VALUE"""),"PRODUCT_PAGE")</f>
        <v>PRODUCT_PAGE</v>
      </c>
      <c r="E142" s="7" t="str">
        <f>IFERROR(__xludf.DUMMYFUNCTION("""COMPUTED_VALUE"""),"CORPORATE")</f>
        <v>CORPORATE</v>
      </c>
      <c r="F142" s="7" t="str">
        <f>IFERROR(__xludf.DUMMYFUNCTION("""COMPUTED_VALUE"""),"Product Page")</f>
        <v>Product Page</v>
      </c>
      <c r="G142" s="7" t="b">
        <f>IFERROR(__xludf.DUMMYFUNCTION("""COMPUTED_VALUE"""),FALSE)</f>
        <v>0</v>
      </c>
      <c r="H142" s="7"/>
      <c r="I142" s="7">
        <f>IFERROR(__xludf.DUMMYFUNCTION("""COMPUTED_VALUE"""),2.0)</f>
        <v>2</v>
      </c>
      <c r="J142" s="7">
        <f>IFERROR(__xludf.DUMMYFUNCTION("""COMPUTED_VALUE"""),0.0)</f>
        <v>0</v>
      </c>
      <c r="K142" s="7">
        <f>IFERROR(__xludf.DUMMYFUNCTION("""COMPUTED_VALUE"""),2.5)</f>
        <v>2.5</v>
      </c>
    </row>
    <row r="143" ht="15.75" customHeight="1">
      <c r="A143" s="6" t="str">
        <f>IFERROR(__xludf.DUMMYFUNCTION("""COMPUTED_VALUE"""),"https://zibdigital.com.au/seo-agency#:~:text=They're%20engineered%20to%20be%20the%20reference.%20%2D,SEO%20clients%2C%20local%20trades%20to%20ASX%20brands.")</f>
        <v>https://zibdigital.com.au/seo-agency#:~:text=They're%20engineered%20to%20be%20the%20reference.%20%2D,SEO%20clients%2C%20local%20trades%20to%20ASX%20brands.</v>
      </c>
      <c r="B143" s="7" t="str">
        <f>IFERROR(__xludf.DUMMYFUNCTION("""COMPUTED_VALUE"""),"SEO Agency Australia · Zib Digital")</f>
        <v>SEO Agency Australia · Zib Digital</v>
      </c>
      <c r="C143" s="6" t="str">
        <f>IFERROR(__xludf.DUMMYFUNCTION("""COMPUTED_VALUE"""),"zibdigital.com.au")</f>
        <v>zibdigital.com.au</v>
      </c>
      <c r="D143" s="7" t="str">
        <f>IFERROR(__xludf.DUMMYFUNCTION("""COMPUTED_VALUE"""),"PRODUCT_PAGE")</f>
        <v>PRODUCT_PAGE</v>
      </c>
      <c r="E143" s="7" t="str">
        <f>IFERROR(__xludf.DUMMYFUNCTION("""COMPUTED_VALUE"""),"COMPETITOR")</f>
        <v>COMPETITOR</v>
      </c>
      <c r="F143" s="7" t="str">
        <f>IFERROR(__xludf.DUMMYFUNCTION("""COMPUTED_VALUE"""),"Product Page")</f>
        <v>Product Page</v>
      </c>
      <c r="G143" s="7" t="b">
        <f>IFERROR(__xludf.DUMMYFUNCTION("""COMPUTED_VALUE"""),FALSE)</f>
        <v>0</v>
      </c>
      <c r="H143" s="7" t="str">
        <f>IFERROR(__xludf.DUMMYFUNCTION("""COMPUTED_VALUE"""),"HERO, Measured, Zib Digital, First Page")</f>
        <v>HERO, Measured, Zib Digital, First Page</v>
      </c>
      <c r="I143" s="7">
        <f>IFERROR(__xludf.DUMMYFUNCTION("""COMPUTED_VALUE"""),2.0)</f>
        <v>2</v>
      </c>
      <c r="J143" s="7">
        <f>IFERROR(__xludf.DUMMYFUNCTION("""COMPUTED_VALUE"""),0.0)</f>
        <v>0</v>
      </c>
      <c r="K143" s="7">
        <f>IFERROR(__xludf.DUMMYFUNCTION("""COMPUTED_VALUE"""),3.5)</f>
        <v>3.5</v>
      </c>
    </row>
    <row r="144" ht="15.75" customHeight="1">
      <c r="A144" s="6" t="str">
        <f>IFERROR(__xludf.DUMMYFUNCTION("""COMPUTED_VALUE"""),"https://www.abbacustechnologies.com/top-ecommerce-development-firms-in-sydney/")</f>
        <v>https://www.abbacustechnologies.com/top-ecommerce-development-firms-in-sydney/</v>
      </c>
      <c r="B144" s="7" t="str">
        <f>IFERROR(__xludf.DUMMYFUNCTION("""COMPUTED_VALUE"""),"Top Ecommerce Development Firms in Sydney")</f>
        <v>Top Ecommerce Development Firms in Sydney</v>
      </c>
      <c r="C144" s="6" t="str">
        <f>IFERROR(__xludf.DUMMYFUNCTION("""COMPUTED_VALUE"""),"abbacustechnologies.com")</f>
        <v>abbacustechnologies.com</v>
      </c>
      <c r="D144" s="7" t="str">
        <f>IFERROR(__xludf.DUMMYFUNCTION("""COMPUTED_VALUE"""),"PRODUCT_PAGE")</f>
        <v>PRODUCT_PAGE</v>
      </c>
      <c r="E144" s="7" t="str">
        <f>IFERROR(__xludf.DUMMYFUNCTION("""COMPUTED_VALUE"""),"CORPORATE")</f>
        <v>CORPORATE</v>
      </c>
      <c r="F144" s="7" t="str">
        <f>IFERROR(__xludf.DUMMYFUNCTION("""COMPUTED_VALUE"""),"Product Page")</f>
        <v>Product Page</v>
      </c>
      <c r="G144" s="7" t="b">
        <f>IFERROR(__xludf.DUMMYFUNCTION("""COMPUTED_VALUE"""),FALSE)</f>
        <v>0</v>
      </c>
      <c r="H144" s="7" t="str">
        <f>IFERROR(__xludf.DUMMYFUNCTION("""COMPUTED_VALUE"""),"Human Digital, Digital Nomads HQ, Luminary")</f>
        <v>Human Digital, Digital Nomads HQ, Luminary</v>
      </c>
      <c r="I144" s="7">
        <f>IFERROR(__xludf.DUMMYFUNCTION("""COMPUTED_VALUE"""),1.0)</f>
        <v>1</v>
      </c>
      <c r="J144" s="7">
        <f>IFERROR(__xludf.DUMMYFUNCTION("""COMPUTED_VALUE"""),0.0)</f>
        <v>0</v>
      </c>
      <c r="K144" s="7">
        <f>IFERROR(__xludf.DUMMYFUNCTION("""COMPUTED_VALUE"""),1.0)</f>
        <v>1</v>
      </c>
    </row>
    <row r="145" ht="15.75" customHeight="1">
      <c r="A145" s="6" t="str">
        <f>IFERROR(__xludf.DUMMYFUNCTION("""COMPUTED_VALUE"""),"https://www.absolutelyai.com.au/ai-video-services")</f>
        <v>https://www.absolutelyai.com.au/ai-video-services</v>
      </c>
      <c r="B145" s="7" t="str">
        <f>IFERROR(__xludf.DUMMYFUNCTION("""COMPUTED_VALUE"""),"AI Video Services | Absolutely AI")</f>
        <v>AI Video Services | Absolutely AI</v>
      </c>
      <c r="C145" s="6" t="str">
        <f>IFERROR(__xludf.DUMMYFUNCTION("""COMPUTED_VALUE"""),"absolutelyai.com.au")</f>
        <v>absolutelyai.com.au</v>
      </c>
      <c r="D145" s="7" t="str">
        <f>IFERROR(__xludf.DUMMYFUNCTION("""COMPUTED_VALUE"""),"PRODUCT_PAGE")</f>
        <v>PRODUCT_PAGE</v>
      </c>
      <c r="E145" s="7" t="str">
        <f>IFERROR(__xludf.DUMMYFUNCTION("""COMPUTED_VALUE"""),"COMPETITOR")</f>
        <v>COMPETITOR</v>
      </c>
      <c r="F145" s="7" t="str">
        <f>IFERROR(__xludf.DUMMYFUNCTION("""COMPUTED_VALUE"""),"Product Page")</f>
        <v>Product Page</v>
      </c>
      <c r="G145" s="7" t="b">
        <f>IFERROR(__xludf.DUMMYFUNCTION("""COMPUTED_VALUE"""),FALSE)</f>
        <v>0</v>
      </c>
      <c r="H145" s="7" t="str">
        <f>IFERROR(__xludf.DUMMYFUNCTION("""COMPUTED_VALUE"""),"Absolutely AI, HERO")</f>
        <v>Absolutely AI, HERO</v>
      </c>
      <c r="I145" s="7">
        <f>IFERROR(__xludf.DUMMYFUNCTION("""COMPUTED_VALUE"""),1.0)</f>
        <v>1</v>
      </c>
      <c r="J145" s="7">
        <f>IFERROR(__xludf.DUMMYFUNCTION("""COMPUTED_VALUE"""),0.0)</f>
        <v>0</v>
      </c>
      <c r="K145" s="7">
        <f>IFERROR(__xludf.DUMMYFUNCTION("""COMPUTED_VALUE"""),1.0)</f>
        <v>1</v>
      </c>
    </row>
    <row r="146" ht="15.75" customHeight="1">
      <c r="A146" s="6" t="str">
        <f>IFERROR(__xludf.DUMMYFUNCTION("""COMPUTED_VALUE"""),"https://www.acam.ai/ai-advantage")</f>
        <v>https://www.acam.ai/ai-advantage</v>
      </c>
      <c r="B146" s="7" t="str">
        <f>IFERROR(__xludf.DUMMYFUNCTION("""COMPUTED_VALUE"""),"AI Advantage")</f>
        <v>AI Advantage</v>
      </c>
      <c r="C146" s="6" t="str">
        <f>IFERROR(__xludf.DUMMYFUNCTION("""COMPUTED_VALUE"""),"acam.ai")</f>
        <v>acam.ai</v>
      </c>
      <c r="D146" s="7" t="str">
        <f>IFERROR(__xludf.DUMMYFUNCTION("""COMPUTED_VALUE"""),"PRODUCT_PAGE")</f>
        <v>PRODUCT_PAGE</v>
      </c>
      <c r="E146" s="7" t="str">
        <f>IFERROR(__xludf.DUMMYFUNCTION("""COMPUTED_VALUE"""),"CORPORATE")</f>
        <v>CORPORATE</v>
      </c>
      <c r="F146" s="7" t="str">
        <f>IFERROR(__xludf.DUMMYFUNCTION("""COMPUTED_VALUE"""),"Product Page")</f>
        <v>Product Page</v>
      </c>
      <c r="G146" s="7" t="b">
        <f>IFERROR(__xludf.DUMMYFUNCTION("""COMPUTED_VALUE"""),FALSE)</f>
        <v>0</v>
      </c>
      <c r="H146" s="7"/>
      <c r="I146" s="7">
        <f>IFERROR(__xludf.DUMMYFUNCTION("""COMPUTED_VALUE"""),1.0)</f>
        <v>1</v>
      </c>
      <c r="J146" s="7">
        <f>IFERROR(__xludf.DUMMYFUNCTION("""COMPUTED_VALUE"""),0.0)</f>
        <v>0</v>
      </c>
      <c r="K146" s="7">
        <f>IFERROR(__xludf.DUMMYFUNCTION("""COMPUTED_VALUE"""),1.0)</f>
        <v>1</v>
      </c>
    </row>
    <row r="147" ht="15.75" customHeight="1">
      <c r="A147" s="6" t="str">
        <f>IFERROR(__xludf.DUMMYFUNCTION("""COMPUTED_VALUE"""),"https://www.accuracast.com/services/ai/optimisation/")</f>
        <v>https://www.accuracast.com/services/ai/optimisation/</v>
      </c>
      <c r="B147" s="7" t="str">
        <f>IFERROR(__xludf.DUMMYFUNCTION("""COMPUTED_VALUE"""),"AI SEO Agency: AI Search Optimisation (AEO / GEO) Services - AccuraCast")</f>
        <v>AI SEO Agency: AI Search Optimisation (AEO / GEO) Services - AccuraCast</v>
      </c>
      <c r="C147" s="6" t="str">
        <f>IFERROR(__xludf.DUMMYFUNCTION("""COMPUTED_VALUE"""),"accuracast.com")</f>
        <v>accuracast.com</v>
      </c>
      <c r="D147" s="7" t="str">
        <f>IFERROR(__xludf.DUMMYFUNCTION("""COMPUTED_VALUE"""),"PRODUCT_PAGE")</f>
        <v>PRODUCT_PAGE</v>
      </c>
      <c r="E147" s="7" t="str">
        <f>IFERROR(__xludf.DUMMYFUNCTION("""COMPUTED_VALUE"""),"CORPORATE")</f>
        <v>CORPORATE</v>
      </c>
      <c r="F147" s="7" t="str">
        <f>IFERROR(__xludf.DUMMYFUNCTION("""COMPUTED_VALUE"""),"Product Page")</f>
        <v>Product Page</v>
      </c>
      <c r="G147" s="7" t="b">
        <f>IFERROR(__xludf.DUMMYFUNCTION("""COMPUTED_VALUE"""),FALSE)</f>
        <v>0</v>
      </c>
      <c r="H147" s="7"/>
      <c r="I147" s="7">
        <f>IFERROR(__xludf.DUMMYFUNCTION("""COMPUTED_VALUE"""),1.0)</f>
        <v>1</v>
      </c>
      <c r="J147" s="7">
        <f>IFERROR(__xludf.DUMMYFUNCTION("""COMPUTED_VALUE"""),0.0)</f>
        <v>0</v>
      </c>
      <c r="K147" s="7">
        <f>IFERROR(__xludf.DUMMYFUNCTION("""COMPUTED_VALUE"""),1.0)</f>
        <v>1</v>
      </c>
    </row>
    <row r="148" ht="15.75" customHeight="1">
      <c r="A148" s="6" t="str">
        <f>IFERROR(__xludf.DUMMYFUNCTION("""COMPUTED_VALUE"""),"https://www.advancer.com.au/ai-consultants-brisbane")</f>
        <v>https://www.advancer.com.au/ai-consultants-brisbane</v>
      </c>
      <c r="B148" s="7" t="str">
        <f>IFERROR(__xludf.DUMMYFUNCTION("""COMPUTED_VALUE"""),"AI Consultants Brisbane | Artificial Intelligence Consulting | Strategy, Roadmap &amp;amp; ROI | Advancer — Advancer – The AI Agency | AI Consulting Brisbane &amp;amp; Automation in Australia")</f>
        <v>AI Consultants Brisbane | Artificial Intelligence Consulting | Strategy, Roadmap &amp;amp; ROI | Advancer — Advancer – The AI Agency | AI Consulting Brisbane &amp;amp; Automation in Australia</v>
      </c>
      <c r="C148" s="6" t="str">
        <f>IFERROR(__xludf.DUMMYFUNCTION("""COMPUTED_VALUE"""),"advancer.com.au")</f>
        <v>advancer.com.au</v>
      </c>
      <c r="D148" s="7" t="str">
        <f>IFERROR(__xludf.DUMMYFUNCTION("""COMPUTED_VALUE"""),"PRODUCT_PAGE")</f>
        <v>PRODUCT_PAGE</v>
      </c>
      <c r="E148" s="7" t="str">
        <f>IFERROR(__xludf.DUMMYFUNCTION("""COMPUTED_VALUE"""),"CORPORATE")</f>
        <v>CORPORATE</v>
      </c>
      <c r="F148" s="7" t="str">
        <f>IFERROR(__xludf.DUMMYFUNCTION("""COMPUTED_VALUE"""),"Product Page")</f>
        <v>Product Page</v>
      </c>
      <c r="G148" s="7" t="b">
        <f>IFERROR(__xludf.DUMMYFUNCTION("""COMPUTED_VALUE"""),FALSE)</f>
        <v>0</v>
      </c>
      <c r="H148" s="7"/>
      <c r="I148" s="7">
        <f>IFERROR(__xludf.DUMMYFUNCTION("""COMPUTED_VALUE"""),1.0)</f>
        <v>1</v>
      </c>
      <c r="J148" s="7">
        <f>IFERROR(__xludf.DUMMYFUNCTION("""COMPUTED_VALUE"""),0.0)</f>
        <v>0</v>
      </c>
      <c r="K148" s="7">
        <f>IFERROR(__xludf.DUMMYFUNCTION("""COMPUTED_VALUE"""),2.0)</f>
        <v>2</v>
      </c>
    </row>
    <row r="149" ht="15.75" customHeight="1">
      <c r="A149" s="6" t="str">
        <f>IFERROR(__xludf.DUMMYFUNCTION("""COMPUTED_VALUE"""),"https://aipivot.com.au/geo-generative-engine-optimisation")</f>
        <v>https://aipivot.com.au/geo-generative-engine-optimisation</v>
      </c>
      <c r="B149" s="7" t="str">
        <f>IFERROR(__xludf.DUMMYFUNCTION("""COMPUTED_VALUE"""),"GEO Agency Australia | Get Cited by AI Search | AI Pivot Toolbox")</f>
        <v>GEO Agency Australia | Get Cited by AI Search | AI Pivot Toolbox</v>
      </c>
      <c r="C149" s="6" t="str">
        <f>IFERROR(__xludf.DUMMYFUNCTION("""COMPUTED_VALUE"""),"aipivot.com.au")</f>
        <v>aipivot.com.au</v>
      </c>
      <c r="D149" s="7" t="str">
        <f>IFERROR(__xludf.DUMMYFUNCTION("""COMPUTED_VALUE"""),"PRODUCT_PAGE")</f>
        <v>PRODUCT_PAGE</v>
      </c>
      <c r="E149" s="7" t="str">
        <f>IFERROR(__xludf.DUMMYFUNCTION("""COMPUTED_VALUE"""),"CORPORATE")</f>
        <v>CORPORATE</v>
      </c>
      <c r="F149" s="7" t="str">
        <f>IFERROR(__xludf.DUMMYFUNCTION("""COMPUTED_VALUE"""),"Product Page")</f>
        <v>Product Page</v>
      </c>
      <c r="G149" s="7" t="b">
        <f>IFERROR(__xludf.DUMMYFUNCTION("""COMPUTED_VALUE"""),FALSE)</f>
        <v>0</v>
      </c>
      <c r="H149" s="7"/>
      <c r="I149" s="7">
        <f>IFERROR(__xludf.DUMMYFUNCTION("""COMPUTED_VALUE"""),1.0)</f>
        <v>1</v>
      </c>
      <c r="J149" s="7">
        <f>IFERROR(__xludf.DUMMYFUNCTION("""COMPUTED_VALUE"""),0.0)</f>
        <v>0</v>
      </c>
      <c r="K149" s="7">
        <f>IFERROR(__xludf.DUMMYFUNCTION("""COMPUTED_VALUE"""),1.0)</f>
        <v>1</v>
      </c>
    </row>
    <row r="150" ht="15.75" customHeight="1">
      <c r="A150" s="6" t="str">
        <f>IFERROR(__xludf.DUMMYFUNCTION("""COMPUTED_VALUE"""),"https://alleygroup.com.au/contact/melbourne/")</f>
        <v>https://alleygroup.com.au/contact/melbourne/</v>
      </c>
      <c r="B150" s="7" t="str">
        <f>IFERROR(__xludf.DUMMYFUNCTION("""COMPUTED_VALUE"""),"Digital Marketing Agency Melbourne | Alley Group")</f>
        <v>Digital Marketing Agency Melbourne | Alley Group</v>
      </c>
      <c r="C150" s="6" t="str">
        <f>IFERROR(__xludf.DUMMYFUNCTION("""COMPUTED_VALUE"""),"alleygroup.com.au")</f>
        <v>alleygroup.com.au</v>
      </c>
      <c r="D150" s="7" t="str">
        <f>IFERROR(__xludf.DUMMYFUNCTION("""COMPUTED_VALUE"""),"PRODUCT_PAGE")</f>
        <v>PRODUCT_PAGE</v>
      </c>
      <c r="E150" s="7" t="str">
        <f>IFERROR(__xludf.DUMMYFUNCTION("""COMPUTED_VALUE"""),"COMPETITOR")</f>
        <v>COMPETITOR</v>
      </c>
      <c r="F150" s="7" t="str">
        <f>IFERROR(__xludf.DUMMYFUNCTION("""COMPUTED_VALUE"""),"Product Page")</f>
        <v>Product Page</v>
      </c>
      <c r="G150" s="7" t="b">
        <f>IFERROR(__xludf.DUMMYFUNCTION("""COMPUTED_VALUE"""),FALSE)</f>
        <v>0</v>
      </c>
      <c r="H150" s="7" t="str">
        <f>IFERROR(__xludf.DUMMYFUNCTION("""COMPUTED_VALUE"""),"Alley Group, Earned Media")</f>
        <v>Alley Group, Earned Media</v>
      </c>
      <c r="I150" s="7">
        <f>IFERROR(__xludf.DUMMYFUNCTION("""COMPUTED_VALUE"""),1.0)</f>
        <v>1</v>
      </c>
      <c r="J150" s="7">
        <f>IFERROR(__xludf.DUMMYFUNCTION("""COMPUTED_VALUE"""),0.0)</f>
        <v>0</v>
      </c>
      <c r="K150" s="7">
        <f>IFERROR(__xludf.DUMMYFUNCTION("""COMPUTED_VALUE"""),2.0)</f>
        <v>2</v>
      </c>
    </row>
    <row r="151" ht="15.75" customHeight="1">
      <c r="A151" s="6" t="str">
        <f>IFERROR(__xludf.DUMMYFUNCTION("""COMPUTED_VALUE"""),"https://alleygroup.com.au/strategy/performance/")</f>
        <v>https://alleygroup.com.au/strategy/performance/</v>
      </c>
      <c r="B151" s="7" t="str">
        <f>IFERROR(__xludf.DUMMYFUNCTION("""COMPUTED_VALUE"""),"Performance Marketing Agency - Alley Group")</f>
        <v>Performance Marketing Agency - Alley Group</v>
      </c>
      <c r="C151" s="6" t="str">
        <f>IFERROR(__xludf.DUMMYFUNCTION("""COMPUTED_VALUE"""),"alleygroup.com.au")</f>
        <v>alleygroup.com.au</v>
      </c>
      <c r="D151" s="7" t="str">
        <f>IFERROR(__xludf.DUMMYFUNCTION("""COMPUTED_VALUE"""),"PRODUCT_PAGE")</f>
        <v>PRODUCT_PAGE</v>
      </c>
      <c r="E151" s="7" t="str">
        <f>IFERROR(__xludf.DUMMYFUNCTION("""COMPUTED_VALUE"""),"COMPETITOR")</f>
        <v>COMPETITOR</v>
      </c>
      <c r="F151" s="7" t="str">
        <f>IFERROR(__xludf.DUMMYFUNCTION("""COMPUTED_VALUE"""),"Product Page")</f>
        <v>Product Page</v>
      </c>
      <c r="G151" s="7" t="b">
        <f>IFERROR(__xludf.DUMMYFUNCTION("""COMPUTED_VALUE"""),FALSE)</f>
        <v>0</v>
      </c>
      <c r="H151" s="7" t="str">
        <f>IFERROR(__xludf.DUMMYFUNCTION("""COMPUTED_VALUE"""),"Alley Group, Impressive")</f>
        <v>Alley Group, Impressive</v>
      </c>
      <c r="I151" s="7">
        <f>IFERROR(__xludf.DUMMYFUNCTION("""COMPUTED_VALUE"""),1.0)</f>
        <v>1</v>
      </c>
      <c r="J151" s="7">
        <f>IFERROR(__xludf.DUMMYFUNCTION("""COMPUTED_VALUE"""),0.0)</f>
        <v>0</v>
      </c>
      <c r="K151" s="7">
        <f>IFERROR(__xludf.DUMMYFUNCTION("""COMPUTED_VALUE"""),3.0)</f>
        <v>3</v>
      </c>
    </row>
    <row r="152" ht="15.75" customHeight="1">
      <c r="A152" s="6" t="str">
        <f>IFERROR(__xludf.DUMMYFUNCTION("""COMPUTED_VALUE"""),"https://allgeo.com.au/geotechnical/")</f>
        <v>https://allgeo.com.au/geotechnical/</v>
      </c>
      <c r="B152" s="7" t="str">
        <f>IFERROR(__xludf.DUMMYFUNCTION("""COMPUTED_VALUE"""),"Geotechnical - Alliance Geotechnical")</f>
        <v>Geotechnical - Alliance Geotechnical</v>
      </c>
      <c r="C152" s="6" t="str">
        <f>IFERROR(__xludf.DUMMYFUNCTION("""COMPUTED_VALUE"""),"allgeo.com.au")</f>
        <v>allgeo.com.au</v>
      </c>
      <c r="D152" s="7" t="str">
        <f>IFERROR(__xludf.DUMMYFUNCTION("""COMPUTED_VALUE"""),"PRODUCT_PAGE")</f>
        <v>PRODUCT_PAGE</v>
      </c>
      <c r="E152" s="7" t="str">
        <f>IFERROR(__xludf.DUMMYFUNCTION("""COMPUTED_VALUE"""),"CORPORATE")</f>
        <v>CORPORATE</v>
      </c>
      <c r="F152" s="7" t="str">
        <f>IFERROR(__xludf.DUMMYFUNCTION("""COMPUTED_VALUE"""),"Product Page")</f>
        <v>Product Page</v>
      </c>
      <c r="G152" s="7" t="b">
        <f>IFERROR(__xludf.DUMMYFUNCTION("""COMPUTED_VALUE"""),FALSE)</f>
        <v>0</v>
      </c>
      <c r="H152" s="7"/>
      <c r="I152" s="7">
        <f>IFERROR(__xludf.DUMMYFUNCTION("""COMPUTED_VALUE"""),1.0)</f>
        <v>1</v>
      </c>
      <c r="J152" s="7">
        <f>IFERROR(__xludf.DUMMYFUNCTION("""COMPUTED_VALUE"""),0.0)</f>
        <v>0</v>
      </c>
      <c r="K152" s="7">
        <f>IFERROR(__xludf.DUMMYFUNCTION("""COMPUTED_VALUE"""),0.0)</f>
        <v>0</v>
      </c>
    </row>
    <row r="153" ht="15.75" customHeight="1">
      <c r="A153" s="6" t="str">
        <f>IFERROR(__xludf.DUMMYFUNCTION("""COMPUTED_VALUE"""),"https://www.alyka.com.au/our-services/digital-marketing/programmatic-ads")</f>
        <v>https://www.alyka.com.au/our-services/digital-marketing/programmatic-ads</v>
      </c>
      <c r="B153" s="7" t="str">
        <f>IFERROR(__xludf.DUMMYFUNCTION("""COMPUTED_VALUE"""),"Programmatic Ads Agency Perth | ALYKA | ALYKA")</f>
        <v>Programmatic Ads Agency Perth | ALYKA | ALYKA</v>
      </c>
      <c r="C153" s="6" t="str">
        <f>IFERROR(__xludf.DUMMYFUNCTION("""COMPUTED_VALUE"""),"alyka.com.au")</f>
        <v>alyka.com.au</v>
      </c>
      <c r="D153" s="7" t="str">
        <f>IFERROR(__xludf.DUMMYFUNCTION("""COMPUTED_VALUE"""),"PRODUCT_PAGE")</f>
        <v>PRODUCT_PAGE</v>
      </c>
      <c r="E153" s="7" t="str">
        <f>IFERROR(__xludf.DUMMYFUNCTION("""COMPUTED_VALUE"""),"CORPORATE")</f>
        <v>CORPORATE</v>
      </c>
      <c r="F153" s="7" t="str">
        <f>IFERROR(__xludf.DUMMYFUNCTION("""COMPUTED_VALUE"""),"Product Page")</f>
        <v>Product Page</v>
      </c>
      <c r="G153" s="7" t="b">
        <f>IFERROR(__xludf.DUMMYFUNCTION("""COMPUTED_VALUE"""),FALSE)</f>
        <v>0</v>
      </c>
      <c r="H153" s="7" t="str">
        <f>IFERROR(__xludf.DUMMYFUNCTION("""COMPUTED_VALUE"""),"Huge")</f>
        <v>Huge</v>
      </c>
      <c r="I153" s="7">
        <f>IFERROR(__xludf.DUMMYFUNCTION("""COMPUTED_VALUE"""),1.0)</f>
        <v>1</v>
      </c>
      <c r="J153" s="7">
        <f>IFERROR(__xludf.DUMMYFUNCTION("""COMPUTED_VALUE"""),0.0)</f>
        <v>0</v>
      </c>
      <c r="K153" s="7">
        <f>IFERROR(__xludf.DUMMYFUNCTION("""COMPUTED_VALUE"""),1.0)</f>
        <v>1</v>
      </c>
    </row>
    <row r="154" ht="15.75" customHeight="1">
      <c r="A154" s="6" t="str">
        <f>IFERROR(__xludf.DUMMYFUNCTION("""COMPUTED_VALUE"""),"https://apac.archetype.co/en-au/ai-chatgpt-consultancy-australia")</f>
        <v>https://apac.archetype.co/en-au/ai-chatgpt-consultancy-australia</v>
      </c>
      <c r="B154" s="7" t="str">
        <f>IFERROR(__xludf.DUMMYFUNCTION("""COMPUTED_VALUE"""),"Archetype Australia | AI &amp;amp; ChatGPT Consultancy for Teams and Leaders")</f>
        <v>Archetype Australia | AI &amp;amp; ChatGPT Consultancy for Teams and Leaders</v>
      </c>
      <c r="C154" s="6" t="str">
        <f>IFERROR(__xludf.DUMMYFUNCTION("""COMPUTED_VALUE"""),"archetype.co")</f>
        <v>archetype.co</v>
      </c>
      <c r="D154" s="7" t="str">
        <f>IFERROR(__xludf.DUMMYFUNCTION("""COMPUTED_VALUE"""),"PRODUCT_PAGE")</f>
        <v>PRODUCT_PAGE</v>
      </c>
      <c r="E154" s="7" t="str">
        <f>IFERROR(__xludf.DUMMYFUNCTION("""COMPUTED_VALUE"""),"CORPORATE")</f>
        <v>CORPORATE</v>
      </c>
      <c r="F154" s="7" t="str">
        <f>IFERROR(__xludf.DUMMYFUNCTION("""COMPUTED_VALUE"""),"Product Page")</f>
        <v>Product Page</v>
      </c>
      <c r="G154" s="7" t="b">
        <f>IFERROR(__xludf.DUMMYFUNCTION("""COMPUTED_VALUE"""),FALSE)</f>
        <v>0</v>
      </c>
      <c r="H154" s="7" t="str">
        <f>IFERROR(__xludf.DUMMYFUNCTION("""COMPUTED_VALUE"""),"Momentum")</f>
        <v>Momentum</v>
      </c>
      <c r="I154" s="7">
        <f>IFERROR(__xludf.DUMMYFUNCTION("""COMPUTED_VALUE"""),1.0)</f>
        <v>1</v>
      </c>
      <c r="J154" s="7">
        <f>IFERROR(__xludf.DUMMYFUNCTION("""COMPUTED_VALUE"""),0.0)</f>
        <v>0</v>
      </c>
      <c r="K154" s="7">
        <f>IFERROR(__xludf.DUMMYFUNCTION("""COMPUTED_VALUE"""),3.0)</f>
        <v>3</v>
      </c>
    </row>
    <row r="155" ht="15.75" customHeight="1">
      <c r="A155" s="6" t="str">
        <f>IFERROR(__xludf.DUMMYFUNCTION("""COMPUTED_VALUE"""),"https://aperitifagency.com.au/paid-social/")</f>
        <v>https://aperitifagency.com.au/paid-social/</v>
      </c>
      <c r="B155" s="7" t="str">
        <f>IFERROR(__xludf.DUMMYFUNCTION("""COMPUTED_VALUE"""),"Paid Social Media Advertising Agency Melbourne")</f>
        <v>Paid Social Media Advertising Agency Melbourne</v>
      </c>
      <c r="C155" s="6" t="str">
        <f>IFERROR(__xludf.DUMMYFUNCTION("""COMPUTED_VALUE"""),"aperitifagency.com.au")</f>
        <v>aperitifagency.com.au</v>
      </c>
      <c r="D155" s="7" t="str">
        <f>IFERROR(__xludf.DUMMYFUNCTION("""COMPUTED_VALUE"""),"PRODUCT_PAGE")</f>
        <v>PRODUCT_PAGE</v>
      </c>
      <c r="E155" s="7" t="str">
        <f>IFERROR(__xludf.DUMMYFUNCTION("""COMPUTED_VALUE"""),"CORPORATE")</f>
        <v>CORPORATE</v>
      </c>
      <c r="F155" s="7" t="str">
        <f>IFERROR(__xludf.DUMMYFUNCTION("""COMPUTED_VALUE"""),"Product Page")</f>
        <v>Product Page</v>
      </c>
      <c r="G155" s="7" t="b">
        <f>IFERROR(__xludf.DUMMYFUNCTION("""COMPUTED_VALUE"""),FALSE)</f>
        <v>0</v>
      </c>
      <c r="H155" s="7" t="str">
        <f>IFERROR(__xludf.DUMMYFUNCTION("""COMPUTED_VALUE"""),"Huge")</f>
        <v>Huge</v>
      </c>
      <c r="I155" s="7">
        <f>IFERROR(__xludf.DUMMYFUNCTION("""COMPUTED_VALUE"""),1.0)</f>
        <v>1</v>
      </c>
      <c r="J155" s="7">
        <f>IFERROR(__xludf.DUMMYFUNCTION("""COMPUTED_VALUE"""),0.0)</f>
        <v>0</v>
      </c>
      <c r="K155" s="7">
        <f>IFERROR(__xludf.DUMMYFUNCTION("""COMPUTED_VALUE"""),2.0)</f>
        <v>2</v>
      </c>
    </row>
    <row r="156" ht="15.75" customHeight="1">
      <c r="A156" s="6" t="str">
        <f>IFERROR(__xludf.DUMMYFUNCTION("""COMPUTED_VALUE"""),"https://www.archservices.com.au/sesa-2/authorised-engineering-organisation-aeo")</f>
        <v>https://www.archservices.com.au/sesa-2/authorised-engineering-organisation-aeo</v>
      </c>
      <c r="B156" s="7" t="str">
        <f>IFERROR(__xludf.DUMMYFUNCTION("""COMPUTED_VALUE"""),"Authorised Engineering Organisation (AEO)")</f>
        <v>Authorised Engineering Organisation (AEO)</v>
      </c>
      <c r="C156" s="6" t="str">
        <f>IFERROR(__xludf.DUMMYFUNCTION("""COMPUTED_VALUE"""),"archservices.com.au")</f>
        <v>archservices.com.au</v>
      </c>
      <c r="D156" s="7" t="str">
        <f>IFERROR(__xludf.DUMMYFUNCTION("""COMPUTED_VALUE"""),"PRODUCT_PAGE")</f>
        <v>PRODUCT_PAGE</v>
      </c>
      <c r="E156" s="7" t="str">
        <f>IFERROR(__xludf.DUMMYFUNCTION("""COMPUTED_VALUE"""),"CORPORATE")</f>
        <v>CORPORATE</v>
      </c>
      <c r="F156" s="7" t="str">
        <f>IFERROR(__xludf.DUMMYFUNCTION("""COMPUTED_VALUE"""),"Product Page")</f>
        <v>Product Page</v>
      </c>
      <c r="G156" s="7" t="b">
        <f>IFERROR(__xludf.DUMMYFUNCTION("""COMPUTED_VALUE"""),FALSE)</f>
        <v>0</v>
      </c>
      <c r="H156" s="7"/>
      <c r="I156" s="7">
        <f>IFERROR(__xludf.DUMMYFUNCTION("""COMPUTED_VALUE"""),1.0)</f>
        <v>1</v>
      </c>
      <c r="J156" s="7">
        <f>IFERROR(__xludf.DUMMYFUNCTION("""COMPUTED_VALUE"""),0.0)</f>
        <v>0</v>
      </c>
      <c r="K156" s="7">
        <f>IFERROR(__xludf.DUMMYFUNCTION("""COMPUTED_VALUE"""),1.0)</f>
        <v>1</v>
      </c>
    </row>
    <row r="157" ht="15.75" customHeight="1">
      <c r="A157" s="6" t="str">
        <f>IFERROR(__xludf.DUMMYFUNCTION("""COMPUTED_VALUE"""),"https://ausindigenousai.com.au/ai-consulting/")</f>
        <v>https://ausindigenousai.com.au/ai-consulting/</v>
      </c>
      <c r="B157" s="7" t="str">
        <f>IFERROR(__xludf.DUMMYFUNCTION("""COMPUTED_VALUE"""),"AI Consulting Services | Artificial Intelligence Company in Australia")</f>
        <v>AI Consulting Services | Artificial Intelligence Company in Australia</v>
      </c>
      <c r="C157" s="6" t="str">
        <f>IFERROR(__xludf.DUMMYFUNCTION("""COMPUTED_VALUE"""),"ausindigenousai.com.au")</f>
        <v>ausindigenousai.com.au</v>
      </c>
      <c r="D157" s="7" t="str">
        <f>IFERROR(__xludf.DUMMYFUNCTION("""COMPUTED_VALUE"""),"PRODUCT_PAGE")</f>
        <v>PRODUCT_PAGE</v>
      </c>
      <c r="E157" s="7" t="str">
        <f>IFERROR(__xludf.DUMMYFUNCTION("""COMPUTED_VALUE"""),"CORPORATE")</f>
        <v>CORPORATE</v>
      </c>
      <c r="F157" s="7" t="str">
        <f>IFERROR(__xludf.DUMMYFUNCTION("""COMPUTED_VALUE"""),"Product Page")</f>
        <v>Product Page</v>
      </c>
      <c r="G157" s="7" t="b">
        <f>IFERROR(__xludf.DUMMYFUNCTION("""COMPUTED_VALUE"""),FALSE)</f>
        <v>0</v>
      </c>
      <c r="H157" s="7"/>
      <c r="I157" s="7">
        <f>IFERROR(__xludf.DUMMYFUNCTION("""COMPUTED_VALUE"""),1.0)</f>
        <v>1</v>
      </c>
      <c r="J157" s="7">
        <f>IFERROR(__xludf.DUMMYFUNCTION("""COMPUTED_VALUE"""),0.0)</f>
        <v>0</v>
      </c>
      <c r="K157" s="7">
        <f>IFERROR(__xludf.DUMMYFUNCTION("""COMPUTED_VALUE"""),1.0)</f>
        <v>1</v>
      </c>
    </row>
    <row r="158" ht="15.75" customHeight="1">
      <c r="A158" s="6" t="str">
        <f>IFERROR(__xludf.DUMMYFUNCTION("""COMPUTED_VALUE"""),"https://aussiemarketing.com.au/performance-marketing-services/")</f>
        <v>https://aussiemarketing.com.au/performance-marketing-services/</v>
      </c>
      <c r="B158" s="7" t="str">
        <f>IFERROR(__xludf.DUMMYFUNCTION("""COMPUTED_VALUE"""),"Performance Marketing Agency Australia | Track Results")</f>
        <v>Performance Marketing Agency Australia | Track Results</v>
      </c>
      <c r="C158" s="6" t="str">
        <f>IFERROR(__xludf.DUMMYFUNCTION("""COMPUTED_VALUE"""),"aussiemarketing.com.au")</f>
        <v>aussiemarketing.com.au</v>
      </c>
      <c r="D158" s="7" t="str">
        <f>IFERROR(__xludf.DUMMYFUNCTION("""COMPUTED_VALUE"""),"PRODUCT_PAGE")</f>
        <v>PRODUCT_PAGE</v>
      </c>
      <c r="E158" s="7" t="str">
        <f>IFERROR(__xludf.DUMMYFUNCTION("""COMPUTED_VALUE"""),"CORPORATE")</f>
        <v>CORPORATE</v>
      </c>
      <c r="F158" s="7" t="str">
        <f>IFERROR(__xludf.DUMMYFUNCTION("""COMPUTED_VALUE"""),"Product Page")</f>
        <v>Product Page</v>
      </c>
      <c r="G158" s="7" t="b">
        <f>IFERROR(__xludf.DUMMYFUNCTION("""COMPUTED_VALUE"""),FALSE)</f>
        <v>0</v>
      </c>
      <c r="H158" s="7"/>
      <c r="I158" s="7">
        <f>IFERROR(__xludf.DUMMYFUNCTION("""COMPUTED_VALUE"""),1.0)</f>
        <v>1</v>
      </c>
      <c r="J158" s="7">
        <f>IFERROR(__xludf.DUMMYFUNCTION("""COMPUTED_VALUE"""),0.0)</f>
        <v>0</v>
      </c>
      <c r="K158" s="7">
        <f>IFERROR(__xludf.DUMMYFUNCTION("""COMPUTED_VALUE"""),0.0)</f>
        <v>0</v>
      </c>
    </row>
    <row r="159" ht="15.75" customHeight="1">
      <c r="A159" s="6" t="str">
        <f>IFERROR(__xludf.DUMMYFUNCTION("""COMPUTED_VALUE"""),"https://benchmedia.com/paid-media/display-advertising/")</f>
        <v>https://benchmedia.com/paid-media/display-advertising/</v>
      </c>
      <c r="B159" s="7" t="str">
        <f>IFERROR(__xludf.DUMMYFUNCTION("""COMPUTED_VALUE"""),"Display Advertising Sydney - Programmatic Banner Ads")</f>
        <v>Display Advertising Sydney - Programmatic Banner Ads</v>
      </c>
      <c r="C159" s="6" t="str">
        <f>IFERROR(__xludf.DUMMYFUNCTION("""COMPUTED_VALUE"""),"benchmedia.com")</f>
        <v>benchmedia.com</v>
      </c>
      <c r="D159" s="7" t="str">
        <f>IFERROR(__xludf.DUMMYFUNCTION("""COMPUTED_VALUE"""),"PRODUCT_PAGE")</f>
        <v>PRODUCT_PAGE</v>
      </c>
      <c r="E159" s="7" t="str">
        <f>IFERROR(__xludf.DUMMYFUNCTION("""COMPUTED_VALUE"""),"COMPETITOR")</f>
        <v>COMPETITOR</v>
      </c>
      <c r="F159" s="7" t="str">
        <f>IFERROR(__xludf.DUMMYFUNCTION("""COMPUTED_VALUE"""),"Product Page")</f>
        <v>Product Page</v>
      </c>
      <c r="G159" s="7" t="b">
        <f>IFERROR(__xludf.DUMMYFUNCTION("""COMPUTED_VALUE"""),FALSE)</f>
        <v>0</v>
      </c>
      <c r="H159" s="7" t="str">
        <f>IFERROR(__xludf.DUMMYFUNCTION("""COMPUTED_VALUE"""),"Bench Media")</f>
        <v>Bench Media</v>
      </c>
      <c r="I159" s="7">
        <f>IFERROR(__xludf.DUMMYFUNCTION("""COMPUTED_VALUE"""),1.0)</f>
        <v>1</v>
      </c>
      <c r="J159" s="7">
        <f>IFERROR(__xludf.DUMMYFUNCTION("""COMPUTED_VALUE"""),0.0)</f>
        <v>0</v>
      </c>
      <c r="K159" s="7">
        <f>IFERROR(__xludf.DUMMYFUNCTION("""COMPUTED_VALUE"""),1.0)</f>
        <v>1</v>
      </c>
    </row>
    <row r="160" ht="15.75" customHeight="1">
      <c r="A160" s="6" t="str">
        <f>IFERROR(__xludf.DUMMYFUNCTION("""COMPUTED_VALUE"""),"https://www.bizwisdom.com.au/services/display-advertising/#:~:text=BizWisdom%20leverage%20the%20latest%20programmatic,LEARN%20HOW")</f>
        <v>https://www.bizwisdom.com.au/services/display-advertising/#:~:text=BizWisdom%20leverage%20the%20latest%20programmatic,LEARN%20HOW</v>
      </c>
      <c r="B160" s="7" t="str">
        <f>IFERROR(__xludf.DUMMYFUNCTION("""COMPUTED_VALUE"""),"Programmatic Advertising Agency - BizWisdom")</f>
        <v>Programmatic Advertising Agency - BizWisdom</v>
      </c>
      <c r="C160" s="6" t="str">
        <f>IFERROR(__xludf.DUMMYFUNCTION("""COMPUTED_VALUE"""),"bizwisdom.com.au")</f>
        <v>bizwisdom.com.au</v>
      </c>
      <c r="D160" s="7" t="str">
        <f>IFERROR(__xludf.DUMMYFUNCTION("""COMPUTED_VALUE"""),"PRODUCT_PAGE")</f>
        <v>PRODUCT_PAGE</v>
      </c>
      <c r="E160" s="7" t="str">
        <f>IFERROR(__xludf.DUMMYFUNCTION("""COMPUTED_VALUE"""),"CORPORATE")</f>
        <v>CORPORATE</v>
      </c>
      <c r="F160" s="7" t="str">
        <f>IFERROR(__xludf.DUMMYFUNCTION("""COMPUTED_VALUE"""),"Product Page")</f>
        <v>Product Page</v>
      </c>
      <c r="G160" s="7" t="b">
        <f>IFERROR(__xludf.DUMMYFUNCTION("""COMPUTED_VALUE"""),FALSE)</f>
        <v>0</v>
      </c>
      <c r="H160" s="7" t="str">
        <f>IFERROR(__xludf.DUMMYFUNCTION("""COMPUTED_VALUE"""),"Huge")</f>
        <v>Huge</v>
      </c>
      <c r="I160" s="7">
        <f>IFERROR(__xludf.DUMMYFUNCTION("""COMPUTED_VALUE"""),1.0)</f>
        <v>1</v>
      </c>
      <c r="J160" s="7">
        <f>IFERROR(__xludf.DUMMYFUNCTION("""COMPUTED_VALUE"""),0.0)</f>
        <v>0</v>
      </c>
      <c r="K160" s="7">
        <f>IFERROR(__xludf.DUMMYFUNCTION("""COMPUTED_VALUE"""),1.0)</f>
        <v>1</v>
      </c>
    </row>
    <row r="161" ht="15.75" customHeight="1">
      <c r="A161" s="6" t="str">
        <f>IFERROR(__xludf.DUMMYFUNCTION("""COMPUTED_VALUE"""),"https://www.bluesensedigital.com.au/capabilities#:~:text=Owns%20growth%20strategy%20across%20the%20portfolio%3A%20the,the%20concepts%20and%20angles%20that%20drive%20profit.")</f>
        <v>https://www.bluesensedigital.com.au/capabilities#:~:text=Owns%20growth%20strategy%20across%20the%20portfolio%3A%20the,the%20concepts%20and%20angles%20that%20drive%20profit.</v>
      </c>
      <c r="B161" s="7" t="str">
        <f>IFERROR(__xludf.DUMMYFUNCTION("""COMPUTED_VALUE"""),"Capabilities | Blue Sense Digital")</f>
        <v>Capabilities | Blue Sense Digital</v>
      </c>
      <c r="C161" s="6" t="str">
        <f>IFERROR(__xludf.DUMMYFUNCTION("""COMPUTED_VALUE"""),"bluesensedigital.com.au")</f>
        <v>bluesensedigital.com.au</v>
      </c>
      <c r="D161" s="7" t="str">
        <f>IFERROR(__xludf.DUMMYFUNCTION("""COMPUTED_VALUE"""),"PRODUCT_PAGE")</f>
        <v>PRODUCT_PAGE</v>
      </c>
      <c r="E161" s="7" t="str">
        <f>IFERROR(__xludf.DUMMYFUNCTION("""COMPUTED_VALUE"""),"COMPETITOR")</f>
        <v>COMPETITOR</v>
      </c>
      <c r="F161" s="7" t="str">
        <f>IFERROR(__xludf.DUMMYFUNCTION("""COMPUTED_VALUE"""),"Product Page")</f>
        <v>Product Page</v>
      </c>
      <c r="G161" s="7" t="b">
        <f>IFERROR(__xludf.DUMMYFUNCTION("""COMPUTED_VALUE"""),FALSE)</f>
        <v>0</v>
      </c>
      <c r="H161" s="7" t="str">
        <f>IFERROR(__xludf.DUMMYFUNCTION("""COMPUTED_VALUE"""),"Blue Sense Digital, Measured")</f>
        <v>Blue Sense Digital, Measured</v>
      </c>
      <c r="I161" s="7">
        <f>IFERROR(__xludf.DUMMYFUNCTION("""COMPUTED_VALUE"""),1.0)</f>
        <v>1</v>
      </c>
      <c r="J161" s="7">
        <f>IFERROR(__xludf.DUMMYFUNCTION("""COMPUTED_VALUE"""),0.0)</f>
        <v>0</v>
      </c>
      <c r="K161" s="7">
        <f>IFERROR(__xludf.DUMMYFUNCTION("""COMPUTED_VALUE"""),1.0)</f>
        <v>1</v>
      </c>
    </row>
    <row r="162" ht="15.75" customHeight="1">
      <c r="A162" s="6" t="str">
        <f>IFERROR(__xludf.DUMMYFUNCTION("""COMPUTED_VALUE"""),"https://www.bonfire.com.au/services/marketing-strategy/")</f>
        <v>https://www.bonfire.com.au/services/marketing-strategy/</v>
      </c>
      <c r="B162" s="7" t="str">
        <f>IFERROR(__xludf.DUMMYFUNCTION("""COMPUTED_VALUE"""),"Digital Marketing Strategy Perth | Award-Winning Agency")</f>
        <v>Digital Marketing Strategy Perth | Award-Winning Agency</v>
      </c>
      <c r="C162" s="6" t="str">
        <f>IFERROR(__xludf.DUMMYFUNCTION("""COMPUTED_VALUE"""),"bonfire.com.au")</f>
        <v>bonfire.com.au</v>
      </c>
      <c r="D162" s="7" t="str">
        <f>IFERROR(__xludf.DUMMYFUNCTION("""COMPUTED_VALUE"""),"PRODUCT_PAGE")</f>
        <v>PRODUCT_PAGE</v>
      </c>
      <c r="E162" s="7" t="str">
        <f>IFERROR(__xludf.DUMMYFUNCTION("""COMPUTED_VALUE"""),"COMPETITOR")</f>
        <v>COMPETITOR</v>
      </c>
      <c r="F162" s="7" t="str">
        <f>IFERROR(__xludf.DUMMYFUNCTION("""COMPUTED_VALUE"""),"Product Page")</f>
        <v>Product Page</v>
      </c>
      <c r="G162" s="7" t="b">
        <f>IFERROR(__xludf.DUMMYFUNCTION("""COMPUTED_VALUE"""),FALSE)</f>
        <v>0</v>
      </c>
      <c r="H162" s="7" t="str">
        <f>IFERROR(__xludf.DUMMYFUNCTION("""COMPUTED_VALUE"""),"Bonfire, Impressive")</f>
        <v>Bonfire, Impressive</v>
      </c>
      <c r="I162" s="7">
        <f>IFERROR(__xludf.DUMMYFUNCTION("""COMPUTED_VALUE"""),1.0)</f>
        <v>1</v>
      </c>
      <c r="J162" s="7">
        <f>IFERROR(__xludf.DUMMYFUNCTION("""COMPUTED_VALUE"""),0.0)</f>
        <v>0</v>
      </c>
      <c r="K162" s="7">
        <f>IFERROR(__xludf.DUMMYFUNCTION("""COMPUTED_VALUE"""),1.0)</f>
        <v>1</v>
      </c>
    </row>
    <row r="163" ht="15.75" customHeight="1">
      <c r="A163" s="6" t="str">
        <f>IFERROR(__xludf.DUMMYFUNCTION("""COMPUTED_VALUE"""),"https://www.bonfire.com.au/services/performance-media/")</f>
        <v>https://www.bonfire.com.au/services/performance-media/</v>
      </c>
      <c r="B163" s="7" t="str">
        <f>IFERROR(__xludf.DUMMYFUNCTION("""COMPUTED_VALUE"""),"Digital &amp;amp; Online Advertising Services Perth - Ads, Facebook &amp;amp; More")</f>
        <v>Digital &amp;amp; Online Advertising Services Perth - Ads, Facebook &amp;amp; More</v>
      </c>
      <c r="C163" s="6" t="str">
        <f>IFERROR(__xludf.DUMMYFUNCTION("""COMPUTED_VALUE"""),"bonfire.com.au")</f>
        <v>bonfire.com.au</v>
      </c>
      <c r="D163" s="7" t="str">
        <f>IFERROR(__xludf.DUMMYFUNCTION("""COMPUTED_VALUE"""),"PRODUCT_PAGE")</f>
        <v>PRODUCT_PAGE</v>
      </c>
      <c r="E163" s="7" t="str">
        <f>IFERROR(__xludf.DUMMYFUNCTION("""COMPUTED_VALUE"""),"COMPETITOR")</f>
        <v>COMPETITOR</v>
      </c>
      <c r="F163" s="7" t="str">
        <f>IFERROR(__xludf.DUMMYFUNCTION("""COMPUTED_VALUE"""),"Product Page")</f>
        <v>Product Page</v>
      </c>
      <c r="G163" s="7" t="b">
        <f>IFERROR(__xludf.DUMMYFUNCTION("""COMPUTED_VALUE"""),FALSE)</f>
        <v>0</v>
      </c>
      <c r="H163" s="7" t="str">
        <f>IFERROR(__xludf.DUMMYFUNCTION("""COMPUTED_VALUE"""),"Bonfire, Edge Marketing")</f>
        <v>Bonfire, Edge Marketing</v>
      </c>
      <c r="I163" s="7">
        <f>IFERROR(__xludf.DUMMYFUNCTION("""COMPUTED_VALUE"""),1.0)</f>
        <v>1</v>
      </c>
      <c r="J163" s="7">
        <f>IFERROR(__xludf.DUMMYFUNCTION("""COMPUTED_VALUE"""),0.0)</f>
        <v>0</v>
      </c>
      <c r="K163" s="7">
        <f>IFERROR(__xludf.DUMMYFUNCTION("""COMPUTED_VALUE"""),2.0)</f>
        <v>2</v>
      </c>
    </row>
    <row r="164" ht="15.75" customHeight="1">
      <c r="A164" s="6" t="str">
        <f>IFERROR(__xludf.DUMMYFUNCTION("""COMPUTED_VALUE"""),"https://bytetracks.com.au/media-mix-modeling")</f>
        <v>https://bytetracks.com.au/media-mix-modeling</v>
      </c>
      <c r="B164" s="7" t="str">
        <f>IFERROR(__xludf.DUMMYFUNCTION("""COMPUTED_VALUE"""),"Media mix modeling | Bytetracks")</f>
        <v>Media mix modeling | Bytetracks</v>
      </c>
      <c r="C164" s="6" t="str">
        <f>IFERROR(__xludf.DUMMYFUNCTION("""COMPUTED_VALUE"""),"bytetracks.com.au")</f>
        <v>bytetracks.com.au</v>
      </c>
      <c r="D164" s="7" t="str">
        <f>IFERROR(__xludf.DUMMYFUNCTION("""COMPUTED_VALUE"""),"PRODUCT_PAGE")</f>
        <v>PRODUCT_PAGE</v>
      </c>
      <c r="E164" s="7" t="str">
        <f>IFERROR(__xludf.DUMMYFUNCTION("""COMPUTED_VALUE"""),"CORPORATE")</f>
        <v>CORPORATE</v>
      </c>
      <c r="F164" s="7" t="str">
        <f>IFERROR(__xludf.DUMMYFUNCTION("""COMPUTED_VALUE"""),"Product Page")</f>
        <v>Product Page</v>
      </c>
      <c r="G164" s="7" t="b">
        <f>IFERROR(__xludf.DUMMYFUNCTION("""COMPUTED_VALUE"""),FALSE)</f>
        <v>0</v>
      </c>
      <c r="H164" s="7"/>
      <c r="I164" s="7">
        <f>IFERROR(__xludf.DUMMYFUNCTION("""COMPUTED_VALUE"""),1.0)</f>
        <v>1</v>
      </c>
      <c r="J164" s="7">
        <f>IFERROR(__xludf.DUMMYFUNCTION("""COMPUTED_VALUE"""),0.0)</f>
        <v>0</v>
      </c>
      <c r="K164" s="7">
        <f>IFERROR(__xludf.DUMMYFUNCTION("""COMPUTED_VALUE"""),1.0)</f>
        <v>1</v>
      </c>
    </row>
    <row r="165" ht="15.75" customHeight="1">
      <c r="A165" s="6" t="str">
        <f>IFERROR(__xludf.DUMMYFUNCTION("""COMPUTED_VALUE"""),"https://www.circana.com/liquid-testing")</f>
        <v>https://www.circana.com/liquid-testing</v>
      </c>
      <c r="B165" s="7" t="str">
        <f>IFERROR(__xludf.DUMMYFUNCTION("""COMPUTED_VALUE"""),"Liquid Testing: Self-Serve Incrementality Testing | Circana")</f>
        <v>Liquid Testing: Self-Serve Incrementality Testing | Circana</v>
      </c>
      <c r="C165" s="6" t="str">
        <f>IFERROR(__xludf.DUMMYFUNCTION("""COMPUTED_VALUE"""),"circana.com")</f>
        <v>circana.com</v>
      </c>
      <c r="D165" s="7" t="str">
        <f>IFERROR(__xludf.DUMMYFUNCTION("""COMPUTED_VALUE"""),"PRODUCT_PAGE")</f>
        <v>PRODUCT_PAGE</v>
      </c>
      <c r="E165" s="7" t="str">
        <f>IFERROR(__xludf.DUMMYFUNCTION("""COMPUTED_VALUE"""),"CORPORATE")</f>
        <v>CORPORATE</v>
      </c>
      <c r="F165" s="7" t="str">
        <f>IFERROR(__xludf.DUMMYFUNCTION("""COMPUTED_VALUE"""),"Product Page")</f>
        <v>Product Page</v>
      </c>
      <c r="G165" s="7" t="b">
        <f>IFERROR(__xludf.DUMMYFUNCTION("""COMPUTED_VALUE"""),FALSE)</f>
        <v>0</v>
      </c>
      <c r="H165" s="7"/>
      <c r="I165" s="7">
        <f>IFERROR(__xludf.DUMMYFUNCTION("""COMPUTED_VALUE"""),1.0)</f>
        <v>1</v>
      </c>
      <c r="J165" s="7">
        <f>IFERROR(__xludf.DUMMYFUNCTION("""COMPUTED_VALUE"""),0.0)</f>
        <v>0</v>
      </c>
      <c r="K165" s="7">
        <f>IFERROR(__xludf.DUMMYFUNCTION("""COMPUTED_VALUE"""),0.0)</f>
        <v>0</v>
      </c>
    </row>
    <row r="166" ht="15.75" customHeight="1">
      <c r="A166" s="6" t="str">
        <f>IFERROR(__xludf.DUMMYFUNCTION("""COMPUTED_VALUE"""),"https://www.cjco.com.au/display-advertising-agency/")</f>
        <v>https://www.cjco.com.au/display-advertising-agency/</v>
      </c>
      <c r="B166" s="7" t="str">
        <f>IFERROR(__xludf.DUMMYFUNCTION("""COMPUTED_VALUE"""),"Real Display Advertising Solutions | CJ&amp;amp;CO")</f>
        <v>Real Display Advertising Solutions | CJ&amp;amp;CO</v>
      </c>
      <c r="C166" s="6" t="str">
        <f>IFERROR(__xludf.DUMMYFUNCTION("""COMPUTED_VALUE"""),"cjco.com.au")</f>
        <v>cjco.com.au</v>
      </c>
      <c r="D166" s="7" t="str">
        <f>IFERROR(__xludf.DUMMYFUNCTION("""COMPUTED_VALUE"""),"PRODUCT_PAGE")</f>
        <v>PRODUCT_PAGE</v>
      </c>
      <c r="E166" s="7" t="str">
        <f>IFERROR(__xludf.DUMMYFUNCTION("""COMPUTED_VALUE"""),"CORPORATE")</f>
        <v>CORPORATE</v>
      </c>
      <c r="F166" s="7" t="str">
        <f>IFERROR(__xludf.DUMMYFUNCTION("""COMPUTED_VALUE"""),"Product Page")</f>
        <v>Product Page</v>
      </c>
      <c r="G166" s="7" t="b">
        <f>IFERROR(__xludf.DUMMYFUNCTION("""COMPUTED_VALUE"""),FALSE)</f>
        <v>0</v>
      </c>
      <c r="H166" s="7" t="str">
        <f>IFERROR(__xludf.DUMMYFUNCTION("""COMPUTED_VALUE"""),"Huge, Impressive")</f>
        <v>Huge, Impressive</v>
      </c>
      <c r="I166" s="7">
        <f>IFERROR(__xludf.DUMMYFUNCTION("""COMPUTED_VALUE"""),1.0)</f>
        <v>1</v>
      </c>
      <c r="J166" s="7">
        <f>IFERROR(__xludf.DUMMYFUNCTION("""COMPUTED_VALUE"""),0.0)</f>
        <v>0</v>
      </c>
      <c r="K166" s="7">
        <f>IFERROR(__xludf.DUMMYFUNCTION("""COMPUTED_VALUE"""),0.0)</f>
        <v>0</v>
      </c>
    </row>
    <row r="167" ht="15.75" customHeight="1">
      <c r="A167" s="6" t="str">
        <f>IFERROR(__xludf.DUMMYFUNCTION("""COMPUTED_VALUE"""),"https://clickclickmedia.com.au/paid-social-agency/meta-ads/")</f>
        <v>https://clickclickmedia.com.au/paid-social-agency/meta-ads/</v>
      </c>
      <c r="B167" s="7" t="str">
        <f>IFERROR(__xludf.DUMMYFUNCTION("""COMPUTED_VALUE"""),"Meta Ads Agency Sydney | No Lock-In | Free Audit")</f>
        <v>Meta Ads Agency Sydney | No Lock-In | Free Audit</v>
      </c>
      <c r="C167" s="6" t="str">
        <f>IFERROR(__xludf.DUMMYFUNCTION("""COMPUTED_VALUE"""),"clickclickmedia.com.au")</f>
        <v>clickclickmedia.com.au</v>
      </c>
      <c r="D167" s="7" t="str">
        <f>IFERROR(__xludf.DUMMYFUNCTION("""COMPUTED_VALUE"""),"PRODUCT_PAGE")</f>
        <v>PRODUCT_PAGE</v>
      </c>
      <c r="E167" s="7" t="str">
        <f>IFERROR(__xludf.DUMMYFUNCTION("""COMPUTED_VALUE"""),"CORPORATE")</f>
        <v>CORPORATE</v>
      </c>
      <c r="F167" s="7" t="str">
        <f>IFERROR(__xludf.DUMMYFUNCTION("""COMPUTED_VALUE"""),"Product Page")</f>
        <v>Product Page</v>
      </c>
      <c r="G167" s="7" t="b">
        <f>IFERROR(__xludf.DUMMYFUNCTION("""COMPUTED_VALUE"""),FALSE)</f>
        <v>0</v>
      </c>
      <c r="H167" s="7" t="str">
        <f>IFERROR(__xludf.DUMMYFUNCTION("""COMPUTED_VALUE"""),"Click Click Media, Impressive, Measured")</f>
        <v>Click Click Media, Impressive, Measured</v>
      </c>
      <c r="I167" s="7">
        <f>IFERROR(__xludf.DUMMYFUNCTION("""COMPUTED_VALUE"""),1.0)</f>
        <v>1</v>
      </c>
      <c r="J167" s="7">
        <f>IFERROR(__xludf.DUMMYFUNCTION("""COMPUTED_VALUE"""),0.0)</f>
        <v>0</v>
      </c>
      <c r="K167" s="7">
        <f>IFERROR(__xludf.DUMMYFUNCTION("""COMPUTED_VALUE"""),0.0)</f>
        <v>0</v>
      </c>
    </row>
    <row r="168" ht="15.75" customHeight="1">
      <c r="A168" s="6" t="str">
        <f>IFERROR(__xludf.DUMMYFUNCTION("""COMPUTED_VALUE"""),"https://clickclickmedia.com.au/ppc-agency/programmatic-ads/#:~:text=DV360%20(Google's%20enterprise%20DSP)%20and%20The%20Trade,work%20follows%20IAB%20Australia%20brand%20safety%20standards.")</f>
        <v>https://clickclickmedia.com.au/ppc-agency/programmatic-ads/#:~:text=DV360%20(Google's%20enterprise%20DSP)%20and%20The%20Trade,work%20follows%20IAB%20Australia%20brand%20safety%20standards.</v>
      </c>
      <c r="B168" s="7" t="str">
        <f>IFERROR(__xludf.DUMMYFUNCTION("""COMPUTED_VALUE"""),"Programmatic Advertising Agency Sydney | Criteo Partner")</f>
        <v>Programmatic Advertising Agency Sydney | Criteo Partner</v>
      </c>
      <c r="C168" s="6" t="str">
        <f>IFERROR(__xludf.DUMMYFUNCTION("""COMPUTED_VALUE"""),"clickclickmedia.com.au")</f>
        <v>clickclickmedia.com.au</v>
      </c>
      <c r="D168" s="7" t="str">
        <f>IFERROR(__xludf.DUMMYFUNCTION("""COMPUTED_VALUE"""),"PRODUCT_PAGE")</f>
        <v>PRODUCT_PAGE</v>
      </c>
      <c r="E168" s="7" t="str">
        <f>IFERROR(__xludf.DUMMYFUNCTION("""COMPUTED_VALUE"""),"CORPORATE")</f>
        <v>CORPORATE</v>
      </c>
      <c r="F168" s="7" t="str">
        <f>IFERROR(__xludf.DUMMYFUNCTION("""COMPUTED_VALUE"""),"Product Page")</f>
        <v>Product Page</v>
      </c>
      <c r="G168" s="7" t="b">
        <f>IFERROR(__xludf.DUMMYFUNCTION("""COMPUTED_VALUE"""),FALSE)</f>
        <v>0</v>
      </c>
      <c r="H168" s="7" t="str">
        <f>IFERROR(__xludf.DUMMYFUNCTION("""COMPUTED_VALUE"""),"Click Click Media")</f>
        <v>Click Click Media</v>
      </c>
      <c r="I168" s="7">
        <f>IFERROR(__xludf.DUMMYFUNCTION("""COMPUTED_VALUE"""),1.0)</f>
        <v>1</v>
      </c>
      <c r="J168" s="7">
        <f>IFERROR(__xludf.DUMMYFUNCTION("""COMPUTED_VALUE"""),0.0)</f>
        <v>0</v>
      </c>
      <c r="K168" s="7">
        <f>IFERROR(__xludf.DUMMYFUNCTION("""COMPUTED_VALUE"""),1.0)</f>
        <v>1</v>
      </c>
    </row>
    <row r="169" ht="15.75" customHeight="1">
      <c r="A169" s="6" t="str">
        <f>IFERROR(__xludf.DUMMYFUNCTION("""COMPUTED_VALUE"""),"https://www.clickedon.co/services/performance-marketing/google-ads")</f>
        <v>https://www.clickedon.co/services/performance-marketing/google-ads</v>
      </c>
      <c r="B169" s="7" t="str">
        <f>IFERROR(__xludf.DUMMYFUNCTION("""COMPUTED_VALUE"""),"Google Ads Agency Sydney | Premier Partner | ClickedOn | ClickedOn")</f>
        <v>Google Ads Agency Sydney | Premier Partner | ClickedOn | ClickedOn</v>
      </c>
      <c r="C169" s="6" t="str">
        <f>IFERROR(__xludf.DUMMYFUNCTION("""COMPUTED_VALUE"""),"clickedon.co")</f>
        <v>clickedon.co</v>
      </c>
      <c r="D169" s="7" t="str">
        <f>IFERROR(__xludf.DUMMYFUNCTION("""COMPUTED_VALUE"""),"PRODUCT_PAGE")</f>
        <v>PRODUCT_PAGE</v>
      </c>
      <c r="E169" s="7" t="str">
        <f>IFERROR(__xludf.DUMMYFUNCTION("""COMPUTED_VALUE"""),"CORPORATE")</f>
        <v>CORPORATE</v>
      </c>
      <c r="F169" s="7" t="str">
        <f>IFERROR(__xludf.DUMMYFUNCTION("""COMPUTED_VALUE"""),"Product Page")</f>
        <v>Product Page</v>
      </c>
      <c r="G169" s="7" t="b">
        <f>IFERROR(__xludf.DUMMYFUNCTION("""COMPUTED_VALUE"""),FALSE)</f>
        <v>0</v>
      </c>
      <c r="H169" s="7"/>
      <c r="I169" s="7">
        <f>IFERROR(__xludf.DUMMYFUNCTION("""COMPUTED_VALUE"""),1.0)</f>
        <v>1</v>
      </c>
      <c r="J169" s="7">
        <f>IFERROR(__xludf.DUMMYFUNCTION("""COMPUTED_VALUE"""),0.0)</f>
        <v>0</v>
      </c>
      <c r="K169" s="7">
        <f>IFERROR(__xludf.DUMMYFUNCTION("""COMPUTED_VALUE"""),0.0)</f>
        <v>0</v>
      </c>
    </row>
    <row r="170" ht="15.75" customHeight="1">
      <c r="A170" s="6" t="str">
        <f>IFERROR(__xludf.DUMMYFUNCTION("""COMPUTED_VALUE"""),"https://contevo.com.au/data-analytics/")</f>
        <v>https://contevo.com.au/data-analytics/</v>
      </c>
      <c r="B170" s="7" t="str">
        <f>IFERROR(__xludf.DUMMYFUNCTION("""COMPUTED_VALUE"""),"Digital Marketing Data Analytics Agency Melbourne")</f>
        <v>Digital Marketing Data Analytics Agency Melbourne</v>
      </c>
      <c r="C170" s="6" t="str">
        <f>IFERROR(__xludf.DUMMYFUNCTION("""COMPUTED_VALUE"""),"contevo.com.au")</f>
        <v>contevo.com.au</v>
      </c>
      <c r="D170" s="7" t="str">
        <f>IFERROR(__xludf.DUMMYFUNCTION("""COMPUTED_VALUE"""),"PRODUCT_PAGE")</f>
        <v>PRODUCT_PAGE</v>
      </c>
      <c r="E170" s="7" t="str">
        <f>IFERROR(__xludf.DUMMYFUNCTION("""COMPUTED_VALUE"""),"CORPORATE")</f>
        <v>CORPORATE</v>
      </c>
      <c r="F170" s="7" t="str">
        <f>IFERROR(__xludf.DUMMYFUNCTION("""COMPUTED_VALUE"""),"Product Page")</f>
        <v>Product Page</v>
      </c>
      <c r="G170" s="7" t="b">
        <f>IFERROR(__xludf.DUMMYFUNCTION("""COMPUTED_VALUE"""),FALSE)</f>
        <v>0</v>
      </c>
      <c r="H170" s="7" t="str">
        <f>IFERROR(__xludf.DUMMYFUNCTION("""COMPUTED_VALUE"""),"Huge")</f>
        <v>Huge</v>
      </c>
      <c r="I170" s="7">
        <f>IFERROR(__xludf.DUMMYFUNCTION("""COMPUTED_VALUE"""),1.0)</f>
        <v>1</v>
      </c>
      <c r="J170" s="7">
        <f>IFERROR(__xludf.DUMMYFUNCTION("""COMPUTED_VALUE"""),0.0)</f>
        <v>0</v>
      </c>
      <c r="K170" s="7">
        <f>IFERROR(__xludf.DUMMYFUNCTION("""COMPUTED_VALUE"""),1.0)</f>
        <v>1</v>
      </c>
    </row>
    <row r="171" ht="15.75" customHeight="1">
      <c r="A171" s="6" t="str">
        <f>IFERROR(__xludf.DUMMYFUNCTION("""COMPUTED_VALUE"""),"https://contevo.com.au/programmatic-advertising/")</f>
        <v>https://contevo.com.au/programmatic-advertising/</v>
      </c>
      <c r="B171" s="7" t="str">
        <f>IFERROR(__xludf.DUMMYFUNCTION("""COMPUTED_VALUE"""),"Programmatic Agency Melbourne | Media Buying &amp;amp; Planning")</f>
        <v>Programmatic Agency Melbourne | Media Buying &amp;amp; Planning</v>
      </c>
      <c r="C171" s="6" t="str">
        <f>IFERROR(__xludf.DUMMYFUNCTION("""COMPUTED_VALUE"""),"contevo.com.au")</f>
        <v>contevo.com.au</v>
      </c>
      <c r="D171" s="7" t="str">
        <f>IFERROR(__xludf.DUMMYFUNCTION("""COMPUTED_VALUE"""),"PRODUCT_PAGE")</f>
        <v>PRODUCT_PAGE</v>
      </c>
      <c r="E171" s="7" t="str">
        <f>IFERROR(__xludf.DUMMYFUNCTION("""COMPUTED_VALUE"""),"CORPORATE")</f>
        <v>CORPORATE</v>
      </c>
      <c r="F171" s="7" t="str">
        <f>IFERROR(__xludf.DUMMYFUNCTION("""COMPUTED_VALUE"""),"Product Page")</f>
        <v>Product Page</v>
      </c>
      <c r="G171" s="7" t="b">
        <f>IFERROR(__xludf.DUMMYFUNCTION("""COMPUTED_VALUE"""),FALSE)</f>
        <v>0</v>
      </c>
      <c r="H171" s="7" t="str">
        <f>IFERROR(__xludf.DUMMYFUNCTION("""COMPUTED_VALUE"""),"Huge")</f>
        <v>Huge</v>
      </c>
      <c r="I171" s="7">
        <f>IFERROR(__xludf.DUMMYFUNCTION("""COMPUTED_VALUE"""),1.0)</f>
        <v>1</v>
      </c>
      <c r="J171" s="7">
        <f>IFERROR(__xludf.DUMMYFUNCTION("""COMPUTED_VALUE"""),0.0)</f>
        <v>0</v>
      </c>
      <c r="K171" s="7">
        <f>IFERROR(__xludf.DUMMYFUNCTION("""COMPUTED_VALUE"""),1.0)</f>
        <v>1</v>
      </c>
    </row>
    <row r="172" ht="15.75" customHeight="1">
      <c r="A172" s="6" t="str">
        <f>IFERROR(__xludf.DUMMYFUNCTION("""COMPUTED_VALUE"""),"https://www.deptagency.com/en-au/partner/google-marketing-platform/")</f>
        <v>https://www.deptagency.com/en-au/partner/google-marketing-platform/</v>
      </c>
      <c r="B172" s="7" t="str">
        <f>IFERROR(__xludf.DUMMYFUNCTION("""COMPUTED_VALUE"""),"Google Marketing Platform - DEPT®")</f>
        <v>Google Marketing Platform - DEPT®</v>
      </c>
      <c r="C172" s="6" t="str">
        <f>IFERROR(__xludf.DUMMYFUNCTION("""COMPUTED_VALUE"""),"deptagency.com")</f>
        <v>deptagency.com</v>
      </c>
      <c r="D172" s="7" t="str">
        <f>IFERROR(__xludf.DUMMYFUNCTION("""COMPUTED_VALUE"""),"PRODUCT_PAGE")</f>
        <v>PRODUCT_PAGE</v>
      </c>
      <c r="E172" s="7" t="str">
        <f>IFERROR(__xludf.DUMMYFUNCTION("""COMPUTED_VALUE"""),"CORPORATE")</f>
        <v>CORPORATE</v>
      </c>
      <c r="F172" s="7" t="str">
        <f>IFERROR(__xludf.DUMMYFUNCTION("""COMPUTED_VALUE"""),"Product Page")</f>
        <v>Product Page</v>
      </c>
      <c r="G172" s="7" t="b">
        <f>IFERROR(__xludf.DUMMYFUNCTION("""COMPUTED_VALUE"""),FALSE)</f>
        <v>0</v>
      </c>
      <c r="H172" s="7"/>
      <c r="I172" s="7">
        <f>IFERROR(__xludf.DUMMYFUNCTION("""COMPUTED_VALUE"""),1.0)</f>
        <v>1</v>
      </c>
      <c r="J172" s="7">
        <f>IFERROR(__xludf.DUMMYFUNCTION("""COMPUTED_VALUE"""),0.0)</f>
        <v>0</v>
      </c>
      <c r="K172" s="7">
        <f>IFERROR(__xludf.DUMMYFUNCTION("""COMPUTED_VALUE"""),2.0)</f>
        <v>2</v>
      </c>
    </row>
    <row r="173" ht="15.75" customHeight="1">
      <c r="A173" s="6" t="str">
        <f>IFERROR(__xludf.DUMMYFUNCTION("""COMPUTED_VALUE"""),"https://digitalchoice.com.au/programmatic-ads/")</f>
        <v>https://digitalchoice.com.au/programmatic-ads/</v>
      </c>
      <c r="B173" s="7" t="str">
        <f>IFERROR(__xludf.DUMMYFUNCTION("""COMPUTED_VALUE"""),"Programmatic Ads - Digital Choice")</f>
        <v>Programmatic Ads - Digital Choice</v>
      </c>
      <c r="C173" s="6" t="str">
        <f>IFERROR(__xludf.DUMMYFUNCTION("""COMPUTED_VALUE"""),"digitalchoice.com.au")</f>
        <v>digitalchoice.com.au</v>
      </c>
      <c r="D173" s="7" t="str">
        <f>IFERROR(__xludf.DUMMYFUNCTION("""COMPUTED_VALUE"""),"PRODUCT_PAGE")</f>
        <v>PRODUCT_PAGE</v>
      </c>
      <c r="E173" s="7" t="str">
        <f>IFERROR(__xludf.DUMMYFUNCTION("""COMPUTED_VALUE"""),"CORPORATE")</f>
        <v>CORPORATE</v>
      </c>
      <c r="F173" s="7" t="str">
        <f>IFERROR(__xludf.DUMMYFUNCTION("""COMPUTED_VALUE"""),"Product Page")</f>
        <v>Product Page</v>
      </c>
      <c r="G173" s="7" t="b">
        <f>IFERROR(__xludf.DUMMYFUNCTION("""COMPUTED_VALUE"""),FALSE)</f>
        <v>0</v>
      </c>
      <c r="H173" s="7"/>
      <c r="I173" s="7">
        <f>IFERROR(__xludf.DUMMYFUNCTION("""COMPUTED_VALUE"""),1.0)</f>
        <v>1</v>
      </c>
      <c r="J173" s="7">
        <f>IFERROR(__xludf.DUMMYFUNCTION("""COMPUTED_VALUE"""),0.0)</f>
        <v>0</v>
      </c>
      <c r="K173" s="7">
        <f>IFERROR(__xludf.DUMMYFUNCTION("""COMPUTED_VALUE"""),0.0)</f>
        <v>0</v>
      </c>
    </row>
    <row r="174" ht="15.75" customHeight="1">
      <c r="A174" s="6" t="str">
        <f>IFERROR(__xludf.DUMMYFUNCTION("""COMPUTED_VALUE"""),"https://digitaldeluxe.com.au/paid-social-advertising/")</f>
        <v>https://digitaldeluxe.com.au/paid-social-advertising/</v>
      </c>
      <c r="B174" s="7" t="str">
        <f>IFERROR(__xludf.DUMMYFUNCTION("""COMPUTED_VALUE"""),"Paid Social Advertising Agency Melbourne | Digital Deluxe")</f>
        <v>Paid Social Advertising Agency Melbourne | Digital Deluxe</v>
      </c>
      <c r="C174" s="6" t="str">
        <f>IFERROR(__xludf.DUMMYFUNCTION("""COMPUTED_VALUE"""),"digitaldeluxe.com.au")</f>
        <v>digitaldeluxe.com.au</v>
      </c>
      <c r="D174" s="7" t="str">
        <f>IFERROR(__xludf.DUMMYFUNCTION("""COMPUTED_VALUE"""),"PRODUCT_PAGE")</f>
        <v>PRODUCT_PAGE</v>
      </c>
      <c r="E174" s="7" t="str">
        <f>IFERROR(__xludf.DUMMYFUNCTION("""COMPUTED_VALUE"""),"CORPORATE")</f>
        <v>CORPORATE</v>
      </c>
      <c r="F174" s="7" t="str">
        <f>IFERROR(__xludf.DUMMYFUNCTION("""COMPUTED_VALUE"""),"Product Page")</f>
        <v>Product Page</v>
      </c>
      <c r="G174" s="7" t="b">
        <f>IFERROR(__xludf.DUMMYFUNCTION("""COMPUTED_VALUE"""),FALSE)</f>
        <v>0</v>
      </c>
      <c r="H174" s="7"/>
      <c r="I174" s="7">
        <f>IFERROR(__xludf.DUMMYFUNCTION("""COMPUTED_VALUE"""),1.0)</f>
        <v>1</v>
      </c>
      <c r="J174" s="7">
        <f>IFERROR(__xludf.DUMMYFUNCTION("""COMPUTED_VALUE"""),0.0)</f>
        <v>0</v>
      </c>
      <c r="K174" s="7">
        <f>IFERROR(__xludf.DUMMYFUNCTION("""COMPUTED_VALUE"""),0.0)</f>
        <v>0</v>
      </c>
    </row>
    <row r="175" ht="15.75" customHeight="1">
      <c r="A175" s="6" t="str">
        <f>IFERROR(__xludf.DUMMYFUNCTION("""COMPUTED_VALUE"""),"https://www.digitxl.com.au/analytics-agency/")</f>
        <v>https://www.digitxl.com.au/analytics-agency/</v>
      </c>
      <c r="B175" s="7" t="str">
        <f>IFERROR(__xludf.DUMMYFUNCTION("""COMPUTED_VALUE"""),"Analytics Agency: Digital Data &amp;amp; Marketing Analytics Experts")</f>
        <v>Analytics Agency: Digital Data &amp;amp; Marketing Analytics Experts</v>
      </c>
      <c r="C175" s="6" t="str">
        <f>IFERROR(__xludf.DUMMYFUNCTION("""COMPUTED_VALUE"""),"digitxl.com.au")</f>
        <v>digitxl.com.au</v>
      </c>
      <c r="D175" s="7" t="str">
        <f>IFERROR(__xludf.DUMMYFUNCTION("""COMPUTED_VALUE"""),"PRODUCT_PAGE")</f>
        <v>PRODUCT_PAGE</v>
      </c>
      <c r="E175" s="7" t="str">
        <f>IFERROR(__xludf.DUMMYFUNCTION("""COMPUTED_VALUE"""),"COMPETITOR")</f>
        <v>COMPETITOR</v>
      </c>
      <c r="F175" s="7" t="str">
        <f>IFERROR(__xludf.DUMMYFUNCTION("""COMPUTED_VALUE"""),"Product Page")</f>
        <v>Product Page</v>
      </c>
      <c r="G175" s="7" t="b">
        <f>IFERROR(__xludf.DUMMYFUNCTION("""COMPUTED_VALUE"""),FALSE)</f>
        <v>0</v>
      </c>
      <c r="H175" s="7" t="str">
        <f>IFERROR(__xludf.DUMMYFUNCTION("""COMPUTED_VALUE"""),"Digitxl")</f>
        <v>Digitxl</v>
      </c>
      <c r="I175" s="7">
        <f>IFERROR(__xludf.DUMMYFUNCTION("""COMPUTED_VALUE"""),1.0)</f>
        <v>1</v>
      </c>
      <c r="J175" s="7">
        <f>IFERROR(__xludf.DUMMYFUNCTION("""COMPUTED_VALUE"""),0.0)</f>
        <v>0</v>
      </c>
      <c r="K175" s="7">
        <f>IFERROR(__xludf.DUMMYFUNCTION("""COMPUTED_VALUE"""),1.0)</f>
        <v>1</v>
      </c>
    </row>
    <row r="176" ht="15.75" customHeight="1">
      <c r="A176" s="6" t="str">
        <f>IFERROR(__xludf.DUMMYFUNCTION("""COMPUTED_VALUE"""),"https://www.digitxl.com.au/conversion-rate-optimisation-brisbane/")</f>
        <v>https://www.digitxl.com.au/conversion-rate-optimisation-brisbane/</v>
      </c>
      <c r="B176" s="7" t="str">
        <f>IFERROR(__xludf.DUMMYFUNCTION("""COMPUTED_VALUE"""),"Conversion Rate Optimisation Brisbane for Growth - Digitxl")</f>
        <v>Conversion Rate Optimisation Brisbane for Growth - Digitxl</v>
      </c>
      <c r="C176" s="6" t="str">
        <f>IFERROR(__xludf.DUMMYFUNCTION("""COMPUTED_VALUE"""),"digitxl.com.au")</f>
        <v>digitxl.com.au</v>
      </c>
      <c r="D176" s="7" t="str">
        <f>IFERROR(__xludf.DUMMYFUNCTION("""COMPUTED_VALUE"""),"PRODUCT_PAGE")</f>
        <v>PRODUCT_PAGE</v>
      </c>
      <c r="E176" s="7" t="str">
        <f>IFERROR(__xludf.DUMMYFUNCTION("""COMPUTED_VALUE"""),"COMPETITOR")</f>
        <v>COMPETITOR</v>
      </c>
      <c r="F176" s="7" t="str">
        <f>IFERROR(__xludf.DUMMYFUNCTION("""COMPUTED_VALUE"""),"Product Page")</f>
        <v>Product Page</v>
      </c>
      <c r="G176" s="7" t="b">
        <f>IFERROR(__xludf.DUMMYFUNCTION("""COMPUTED_VALUE"""),FALSE)</f>
        <v>0</v>
      </c>
      <c r="H176" s="7" t="str">
        <f>IFERROR(__xludf.DUMMYFUNCTION("""COMPUTED_VALUE"""),"Digitxl, Momentum, HERO")</f>
        <v>Digitxl, Momentum, HERO</v>
      </c>
      <c r="I176" s="7">
        <f>IFERROR(__xludf.DUMMYFUNCTION("""COMPUTED_VALUE"""),1.0)</f>
        <v>1</v>
      </c>
      <c r="J176" s="7">
        <f>IFERROR(__xludf.DUMMYFUNCTION("""COMPUTED_VALUE"""),0.0)</f>
        <v>0</v>
      </c>
      <c r="K176" s="7">
        <f>IFERROR(__xludf.DUMMYFUNCTION("""COMPUTED_VALUE"""),1.0)</f>
        <v>1</v>
      </c>
    </row>
    <row r="177" ht="15.75" customHeight="1">
      <c r="A177" s="6" t="str">
        <f>IFERROR(__xludf.DUMMYFUNCTION("""COMPUTED_VALUE"""),"https://www.digitxl.com.au/google-marketing-consultant/")</f>
        <v>https://www.digitxl.com.au/google-marketing-consultant/</v>
      </c>
      <c r="B177" s="7" t="str">
        <f>IFERROR(__xludf.DUMMYFUNCTION("""COMPUTED_VALUE"""),"Google Marketing Consultants | Get a Free Consultation")</f>
        <v>Google Marketing Consultants | Get a Free Consultation</v>
      </c>
      <c r="C177" s="6" t="str">
        <f>IFERROR(__xludf.DUMMYFUNCTION("""COMPUTED_VALUE"""),"digitxl.com.au")</f>
        <v>digitxl.com.au</v>
      </c>
      <c r="D177" s="7" t="str">
        <f>IFERROR(__xludf.DUMMYFUNCTION("""COMPUTED_VALUE"""),"PRODUCT_PAGE")</f>
        <v>PRODUCT_PAGE</v>
      </c>
      <c r="E177" s="7" t="str">
        <f>IFERROR(__xludf.DUMMYFUNCTION("""COMPUTED_VALUE"""),"COMPETITOR")</f>
        <v>COMPETITOR</v>
      </c>
      <c r="F177" s="7" t="str">
        <f>IFERROR(__xludf.DUMMYFUNCTION("""COMPUTED_VALUE"""),"Product Page")</f>
        <v>Product Page</v>
      </c>
      <c r="G177" s="7" t="b">
        <f>IFERROR(__xludf.DUMMYFUNCTION("""COMPUTED_VALUE"""),FALSE)</f>
        <v>0</v>
      </c>
      <c r="H177" s="7" t="str">
        <f>IFERROR(__xludf.DUMMYFUNCTION("""COMPUTED_VALUE"""),"Digitxl")</f>
        <v>Digitxl</v>
      </c>
      <c r="I177" s="7">
        <f>IFERROR(__xludf.DUMMYFUNCTION("""COMPUTED_VALUE"""),1.0)</f>
        <v>1</v>
      </c>
      <c r="J177" s="7">
        <f>IFERROR(__xludf.DUMMYFUNCTION("""COMPUTED_VALUE"""),0.0)</f>
        <v>0</v>
      </c>
      <c r="K177" s="7">
        <f>IFERROR(__xludf.DUMMYFUNCTION("""COMPUTED_VALUE"""),1.0)</f>
        <v>1</v>
      </c>
    </row>
    <row r="178" ht="15.75" customHeight="1">
      <c r="A178" s="6" t="str">
        <f>IFERROR(__xludf.DUMMYFUNCTION("""COMPUTED_VALUE"""),"https://www.digitxl.com.au/seo-melbourne/")</f>
        <v>https://www.digitxl.com.au/seo-melbourne/</v>
      </c>
      <c r="B178" s="7" t="str">
        <f>IFERROR(__xludf.DUMMYFUNCTION("""COMPUTED_VALUE"""),"SEO Agency Melbourne | Smarter Strategies, Better SEO Services.")</f>
        <v>SEO Agency Melbourne | Smarter Strategies, Better SEO Services.</v>
      </c>
      <c r="C178" s="6" t="str">
        <f>IFERROR(__xludf.DUMMYFUNCTION("""COMPUTED_VALUE"""),"digitxl.com.au")</f>
        <v>digitxl.com.au</v>
      </c>
      <c r="D178" s="7" t="str">
        <f>IFERROR(__xludf.DUMMYFUNCTION("""COMPUTED_VALUE"""),"PRODUCT_PAGE")</f>
        <v>PRODUCT_PAGE</v>
      </c>
      <c r="E178" s="7" t="str">
        <f>IFERROR(__xludf.DUMMYFUNCTION("""COMPUTED_VALUE"""),"COMPETITOR")</f>
        <v>COMPETITOR</v>
      </c>
      <c r="F178" s="7" t="str">
        <f>IFERROR(__xludf.DUMMYFUNCTION("""COMPUTED_VALUE"""),"Product Page")</f>
        <v>Product Page</v>
      </c>
      <c r="G178" s="7" t="b">
        <f>IFERROR(__xludf.DUMMYFUNCTION("""COMPUTED_VALUE"""),FALSE)</f>
        <v>0</v>
      </c>
      <c r="H178" s="7" t="str">
        <f>IFERROR(__xludf.DUMMYFUNCTION("""COMPUTED_VALUE"""),"Digitxl, First Page")</f>
        <v>Digitxl, First Page</v>
      </c>
      <c r="I178" s="7">
        <f>IFERROR(__xludf.DUMMYFUNCTION("""COMPUTED_VALUE"""),1.0)</f>
        <v>1</v>
      </c>
      <c r="J178" s="7">
        <f>IFERROR(__xludf.DUMMYFUNCTION("""COMPUTED_VALUE"""),0.0)</f>
        <v>0</v>
      </c>
      <c r="K178" s="7">
        <f>IFERROR(__xludf.DUMMYFUNCTION("""COMPUTED_VALUE"""),1.0)</f>
        <v>1</v>
      </c>
    </row>
    <row r="179" ht="15.75" customHeight="1">
      <c r="A179" s="6" t="str">
        <f>IFERROR(__xludf.DUMMYFUNCTION("""COMPUTED_VALUE"""),"https://www.dilate.com.au/banner-advertising/")</f>
        <v>https://www.dilate.com.au/banner-advertising/</v>
      </c>
      <c r="B179" s="7" t="str">
        <f>IFERROR(__xludf.DUMMYFUNCTION("""COMPUTED_VALUE"""),"Display &amp;amp; Banner Advertising Services Perth | Dilate Digital")</f>
        <v>Display &amp;amp; Banner Advertising Services Perth | Dilate Digital</v>
      </c>
      <c r="C179" s="6" t="str">
        <f>IFERROR(__xludf.DUMMYFUNCTION("""COMPUTED_VALUE"""),"dilate.com.au")</f>
        <v>dilate.com.au</v>
      </c>
      <c r="D179" s="7" t="str">
        <f>IFERROR(__xludf.DUMMYFUNCTION("""COMPUTED_VALUE"""),"PRODUCT_PAGE")</f>
        <v>PRODUCT_PAGE</v>
      </c>
      <c r="E179" s="7" t="str">
        <f>IFERROR(__xludf.DUMMYFUNCTION("""COMPUTED_VALUE"""),"CORPORATE")</f>
        <v>CORPORATE</v>
      </c>
      <c r="F179" s="7" t="str">
        <f>IFERROR(__xludf.DUMMYFUNCTION("""COMPUTED_VALUE"""),"Product Page")</f>
        <v>Product Page</v>
      </c>
      <c r="G179" s="7" t="b">
        <f>IFERROR(__xludf.DUMMYFUNCTION("""COMPUTED_VALUE"""),FALSE)</f>
        <v>0</v>
      </c>
      <c r="H179" s="7"/>
      <c r="I179" s="7">
        <f>IFERROR(__xludf.DUMMYFUNCTION("""COMPUTED_VALUE"""),1.0)</f>
        <v>1</v>
      </c>
      <c r="J179" s="7">
        <f>IFERROR(__xludf.DUMMYFUNCTION("""COMPUTED_VALUE"""),0.0)</f>
        <v>0</v>
      </c>
      <c r="K179" s="7">
        <f>IFERROR(__xludf.DUMMYFUNCTION("""COMPUTED_VALUE"""),0.0)</f>
        <v>0</v>
      </c>
    </row>
    <row r="180" ht="15.75" customHeight="1">
      <c r="A180" s="6" t="str">
        <f>IFERROR(__xludf.DUMMYFUNCTION("""COMPUTED_VALUE"""),"https://www.dilate.com.au/geo-services/")</f>
        <v>https://www.dilate.com.au/geo-services/</v>
      </c>
      <c r="B180" s="7" t="str">
        <f>IFERROR(__xludf.DUMMYFUNCTION("""COMPUTED_VALUE"""),"GEO - The Future of SEO | Dilate Digital")</f>
        <v>GEO - The Future of SEO | Dilate Digital</v>
      </c>
      <c r="C180" s="6" t="str">
        <f>IFERROR(__xludf.DUMMYFUNCTION("""COMPUTED_VALUE"""),"dilate.com.au")</f>
        <v>dilate.com.au</v>
      </c>
      <c r="D180" s="7" t="str">
        <f>IFERROR(__xludf.DUMMYFUNCTION("""COMPUTED_VALUE"""),"PRODUCT_PAGE")</f>
        <v>PRODUCT_PAGE</v>
      </c>
      <c r="E180" s="7" t="str">
        <f>IFERROR(__xludf.DUMMYFUNCTION("""COMPUTED_VALUE"""),"CORPORATE")</f>
        <v>CORPORATE</v>
      </c>
      <c r="F180" s="7" t="str">
        <f>IFERROR(__xludf.DUMMYFUNCTION("""COMPUTED_VALUE"""),"Product Page")</f>
        <v>Product Page</v>
      </c>
      <c r="G180" s="7" t="b">
        <f>IFERROR(__xludf.DUMMYFUNCTION("""COMPUTED_VALUE"""),FALSE)</f>
        <v>0</v>
      </c>
      <c r="H180" s="7"/>
      <c r="I180" s="7">
        <f>IFERROR(__xludf.DUMMYFUNCTION("""COMPUTED_VALUE"""),1.0)</f>
        <v>1</v>
      </c>
      <c r="J180" s="7">
        <f>IFERROR(__xludf.DUMMYFUNCTION("""COMPUTED_VALUE"""),0.0)</f>
        <v>0</v>
      </c>
      <c r="K180" s="7">
        <f>IFERROR(__xludf.DUMMYFUNCTION("""COMPUTED_VALUE"""),1.0)</f>
        <v>1</v>
      </c>
    </row>
    <row r="181" ht="15.75" customHeight="1">
      <c r="A181" s="6" t="str">
        <f>IFERROR(__xludf.DUMMYFUNCTION("""COMPUTED_VALUE"""),"https://dnmdigital.com.au/ppc-agency/display-ads/")</f>
        <v>https://dnmdigital.com.au/ppc-agency/display-ads/</v>
      </c>
      <c r="B181" s="7" t="str">
        <f>IFERROR(__xludf.DUMMYFUNCTION("""COMPUTED_VALUE"""),"Google Display Ads Agency Sydney | Targeted Ad Solutions")</f>
        <v>Google Display Ads Agency Sydney | Targeted Ad Solutions</v>
      </c>
      <c r="C181" s="6" t="str">
        <f>IFERROR(__xludf.DUMMYFUNCTION("""COMPUTED_VALUE"""),"dnmdigital.com.au")</f>
        <v>dnmdigital.com.au</v>
      </c>
      <c r="D181" s="7" t="str">
        <f>IFERROR(__xludf.DUMMYFUNCTION("""COMPUTED_VALUE"""),"PRODUCT_PAGE")</f>
        <v>PRODUCT_PAGE</v>
      </c>
      <c r="E181" s="7" t="str">
        <f>IFERROR(__xludf.DUMMYFUNCTION("""COMPUTED_VALUE"""),"COMPETITOR")</f>
        <v>COMPETITOR</v>
      </c>
      <c r="F181" s="7" t="str">
        <f>IFERROR(__xludf.DUMMYFUNCTION("""COMPUTED_VALUE"""),"Product Page")</f>
        <v>Product Page</v>
      </c>
      <c r="G181" s="7" t="b">
        <f>IFERROR(__xludf.DUMMYFUNCTION("""COMPUTED_VALUE"""),FALSE)</f>
        <v>0</v>
      </c>
      <c r="H181" s="7" t="str">
        <f>IFERROR(__xludf.DUMMYFUNCTION("""COMPUTED_VALUE"""),"DNM Digital")</f>
        <v>DNM Digital</v>
      </c>
      <c r="I181" s="7">
        <f>IFERROR(__xludf.DUMMYFUNCTION("""COMPUTED_VALUE"""),1.0)</f>
        <v>1</v>
      </c>
      <c r="J181" s="7">
        <f>IFERROR(__xludf.DUMMYFUNCTION("""COMPUTED_VALUE"""),0.0)</f>
        <v>0</v>
      </c>
      <c r="K181" s="7">
        <f>IFERROR(__xludf.DUMMYFUNCTION("""COMPUTED_VALUE"""),1.0)</f>
        <v>1</v>
      </c>
    </row>
    <row r="182" ht="15.75" customHeight="1">
      <c r="A182" s="6" t="str">
        <f>IFERROR(__xludf.DUMMYFUNCTION("""COMPUTED_VALUE"""),"https://www.drakecontent.com.au/services/instagram-ads")</f>
        <v>https://www.drakecontent.com.au/services/instagram-ads</v>
      </c>
      <c r="B182" s="7" t="str">
        <f>IFERROR(__xludf.DUMMYFUNCTION("""COMPUTED_VALUE"""),"Drake Content | Expert Instagram Ads Agency in Australia")</f>
        <v>Drake Content | Expert Instagram Ads Agency in Australia</v>
      </c>
      <c r="C182" s="6" t="str">
        <f>IFERROR(__xludf.DUMMYFUNCTION("""COMPUTED_VALUE"""),"drakecontent.com.au")</f>
        <v>drakecontent.com.au</v>
      </c>
      <c r="D182" s="7" t="str">
        <f>IFERROR(__xludf.DUMMYFUNCTION("""COMPUTED_VALUE"""),"PRODUCT_PAGE")</f>
        <v>PRODUCT_PAGE</v>
      </c>
      <c r="E182" s="7" t="str">
        <f>IFERROR(__xludf.DUMMYFUNCTION("""COMPUTED_VALUE"""),"CORPORATE")</f>
        <v>CORPORATE</v>
      </c>
      <c r="F182" s="7" t="str">
        <f>IFERROR(__xludf.DUMMYFUNCTION("""COMPUTED_VALUE"""),"Product Page")</f>
        <v>Product Page</v>
      </c>
      <c r="G182" s="7" t="b">
        <f>IFERROR(__xludf.DUMMYFUNCTION("""COMPUTED_VALUE"""),FALSE)</f>
        <v>0</v>
      </c>
      <c r="H182" s="7"/>
      <c r="I182" s="7">
        <f>IFERROR(__xludf.DUMMYFUNCTION("""COMPUTED_VALUE"""),1.0)</f>
        <v>1</v>
      </c>
      <c r="J182" s="7">
        <f>IFERROR(__xludf.DUMMYFUNCTION("""COMPUTED_VALUE"""),0.0)</f>
        <v>0</v>
      </c>
      <c r="K182" s="7">
        <f>IFERROR(__xludf.DUMMYFUNCTION("""COMPUTED_VALUE"""),0.0)</f>
        <v>0</v>
      </c>
    </row>
    <row r="183" ht="15.75" customHeight="1">
      <c r="A183" s="6" t="str">
        <f>IFERROR(__xludf.DUMMYFUNCTION("""COMPUTED_VALUE"""),"https://www.earnedmedia.com.au/services/ai-seo-agency")</f>
        <v>https://www.earnedmedia.com.au/services/ai-seo-agency</v>
      </c>
      <c r="B183" s="7" t="str">
        <f>IFERROR(__xludf.DUMMYFUNCTION("""COMPUTED_VALUE"""),"AI SEO Agency — Generative Engine Optimisation (GEO) | Earned Media")</f>
        <v>AI SEO Agency — Generative Engine Optimisation (GEO) | Earned Media</v>
      </c>
      <c r="C183" s="6" t="str">
        <f>IFERROR(__xludf.DUMMYFUNCTION("""COMPUTED_VALUE"""),"earnedmedia.com.au")</f>
        <v>earnedmedia.com.au</v>
      </c>
      <c r="D183" s="7" t="str">
        <f>IFERROR(__xludf.DUMMYFUNCTION("""COMPUTED_VALUE"""),"PRODUCT_PAGE")</f>
        <v>PRODUCT_PAGE</v>
      </c>
      <c r="E183" s="7" t="str">
        <f>IFERROR(__xludf.DUMMYFUNCTION("""COMPUTED_VALUE"""),"COMPETITOR")</f>
        <v>COMPETITOR</v>
      </c>
      <c r="F183" s="7" t="str">
        <f>IFERROR(__xludf.DUMMYFUNCTION("""COMPUTED_VALUE"""),"Product Page")</f>
        <v>Product Page</v>
      </c>
      <c r="G183" s="7" t="b">
        <f>IFERROR(__xludf.DUMMYFUNCTION("""COMPUTED_VALUE"""),FALSE)</f>
        <v>0</v>
      </c>
      <c r="H183" s="7" t="str">
        <f>IFERROR(__xludf.DUMMYFUNCTION("""COMPUTED_VALUE"""),"Earned Media, Impressive")</f>
        <v>Earned Media, Impressive</v>
      </c>
      <c r="I183" s="7">
        <f>IFERROR(__xludf.DUMMYFUNCTION("""COMPUTED_VALUE"""),1.0)</f>
        <v>1</v>
      </c>
      <c r="J183" s="7">
        <f>IFERROR(__xludf.DUMMYFUNCTION("""COMPUTED_VALUE"""),0.0)</f>
        <v>0</v>
      </c>
      <c r="K183" s="7">
        <f>IFERROR(__xludf.DUMMYFUNCTION("""COMPUTED_VALUE"""),6.0)</f>
        <v>6</v>
      </c>
    </row>
    <row r="184" ht="15.75" customHeight="1">
      <c r="A184" s="6" t="str">
        <f>IFERROR(__xludf.DUMMYFUNCTION("""COMPUTED_VALUE"""),"https://ebiquity.com/solutions/grow/testmatch/")</f>
        <v>https://ebiquity.com/solutions/grow/testmatch/</v>
      </c>
      <c r="B184" s="7" t="str">
        <f>IFERROR(__xludf.DUMMYFUNCTION("""COMPUTED_VALUE"""),"TestMatch - Ebiquity")</f>
        <v>TestMatch - Ebiquity</v>
      </c>
      <c r="C184" s="6" t="str">
        <f>IFERROR(__xludf.DUMMYFUNCTION("""COMPUTED_VALUE"""),"ebiquity.com")</f>
        <v>ebiquity.com</v>
      </c>
      <c r="D184" s="7" t="str">
        <f>IFERROR(__xludf.DUMMYFUNCTION("""COMPUTED_VALUE"""),"PRODUCT_PAGE")</f>
        <v>PRODUCT_PAGE</v>
      </c>
      <c r="E184" s="7" t="str">
        <f>IFERROR(__xludf.DUMMYFUNCTION("""COMPUTED_VALUE"""),"CORPORATE")</f>
        <v>CORPORATE</v>
      </c>
      <c r="F184" s="7" t="str">
        <f>IFERROR(__xludf.DUMMYFUNCTION("""COMPUTED_VALUE"""),"Product Page")</f>
        <v>Product Page</v>
      </c>
      <c r="G184" s="7" t="b">
        <f>IFERROR(__xludf.DUMMYFUNCTION("""COMPUTED_VALUE"""),FALSE)</f>
        <v>0</v>
      </c>
      <c r="H184" s="7"/>
      <c r="I184" s="7">
        <f>IFERROR(__xludf.DUMMYFUNCTION("""COMPUTED_VALUE"""),1.0)</f>
        <v>1</v>
      </c>
      <c r="J184" s="7">
        <f>IFERROR(__xludf.DUMMYFUNCTION("""COMPUTED_VALUE"""),0.0)</f>
        <v>0</v>
      </c>
      <c r="K184" s="7">
        <f>IFERROR(__xludf.DUMMYFUNCTION("""COMPUTED_VALUE"""),2.0)</f>
        <v>2</v>
      </c>
    </row>
    <row r="185" ht="15.75" customHeight="1">
      <c r="A185" s="6" t="str">
        <f>IFERROR(__xludf.DUMMYFUNCTION("""COMPUTED_VALUE"""),"https://edgeangel.co/en/marketing-activation/advanced-media-measurement")</f>
        <v>https://edgeangel.co/en/marketing-activation/advanced-media-measurement</v>
      </c>
      <c r="B185" s="7" t="str">
        <f>IFERROR(__xludf.DUMMYFUNCTION("""COMPUTED_VALUE"""),"Advanced Media Measurement - EdgeAngel")</f>
        <v>Advanced Media Measurement - EdgeAngel</v>
      </c>
      <c r="C185" s="6" t="str">
        <f>IFERROR(__xludf.DUMMYFUNCTION("""COMPUTED_VALUE"""),"edgeangel.co")</f>
        <v>edgeangel.co</v>
      </c>
      <c r="D185" s="7" t="str">
        <f>IFERROR(__xludf.DUMMYFUNCTION("""COMPUTED_VALUE"""),"PRODUCT_PAGE")</f>
        <v>PRODUCT_PAGE</v>
      </c>
      <c r="E185" s="7" t="str">
        <f>IFERROR(__xludf.DUMMYFUNCTION("""COMPUTED_VALUE"""),"CORPORATE")</f>
        <v>CORPORATE</v>
      </c>
      <c r="F185" s="7" t="str">
        <f>IFERROR(__xludf.DUMMYFUNCTION("""COMPUTED_VALUE"""),"Product Page")</f>
        <v>Product Page</v>
      </c>
      <c r="G185" s="7" t="b">
        <f>IFERROR(__xludf.DUMMYFUNCTION("""COMPUTED_VALUE"""),FALSE)</f>
        <v>0</v>
      </c>
      <c r="H185" s="7"/>
      <c r="I185" s="7">
        <f>IFERROR(__xludf.DUMMYFUNCTION("""COMPUTED_VALUE"""),1.0)</f>
        <v>1</v>
      </c>
      <c r="J185" s="7">
        <f>IFERROR(__xludf.DUMMYFUNCTION("""COMPUTED_VALUE"""),0.0)</f>
        <v>0</v>
      </c>
      <c r="K185" s="7">
        <f>IFERROR(__xludf.DUMMYFUNCTION("""COMPUTED_VALUE"""),0.0)</f>
        <v>0</v>
      </c>
    </row>
    <row r="186" ht="15.75" customHeight="1">
      <c r="A186" s="6" t="str">
        <f>IFERROR(__xludf.DUMMYFUNCTION("""COMPUTED_VALUE"""),"https://edgeangel.co/marketing-activation/advanced-media-measurement")</f>
        <v>https://edgeangel.co/marketing-activation/advanced-media-measurement</v>
      </c>
      <c r="B186" s="7" t="str">
        <f>IFERROR(__xludf.DUMMYFUNCTION("""COMPUTED_VALUE"""),"Advanced Media Measurement - EdgeAngel")</f>
        <v>Advanced Media Measurement - EdgeAngel</v>
      </c>
      <c r="C186" s="6" t="str">
        <f>IFERROR(__xludf.DUMMYFUNCTION("""COMPUTED_VALUE"""),"edgeangel.co")</f>
        <v>edgeangel.co</v>
      </c>
      <c r="D186" s="7" t="str">
        <f>IFERROR(__xludf.DUMMYFUNCTION("""COMPUTED_VALUE"""),"PRODUCT_PAGE")</f>
        <v>PRODUCT_PAGE</v>
      </c>
      <c r="E186" s="7" t="str">
        <f>IFERROR(__xludf.DUMMYFUNCTION("""COMPUTED_VALUE"""),"CORPORATE")</f>
        <v>CORPORATE</v>
      </c>
      <c r="F186" s="7" t="str">
        <f>IFERROR(__xludf.DUMMYFUNCTION("""COMPUTED_VALUE"""),"Product Page")</f>
        <v>Product Page</v>
      </c>
      <c r="G186" s="7" t="b">
        <f>IFERROR(__xludf.DUMMYFUNCTION("""COMPUTED_VALUE"""),FALSE)</f>
        <v>0</v>
      </c>
      <c r="H186" s="7"/>
      <c r="I186" s="7">
        <f>IFERROR(__xludf.DUMMYFUNCTION("""COMPUTED_VALUE"""),1.0)</f>
        <v>1</v>
      </c>
      <c r="J186" s="7">
        <f>IFERROR(__xludf.DUMMYFUNCTION("""COMPUTED_VALUE"""),0.0)</f>
        <v>0</v>
      </c>
      <c r="K186" s="7">
        <f>IFERROR(__xludf.DUMMYFUNCTION("""COMPUTED_VALUE"""),0.0)</f>
        <v>0</v>
      </c>
    </row>
    <row r="187" ht="15.75" customHeight="1">
      <c r="A187" s="6" t="str">
        <f>IFERROR(__xludf.DUMMYFUNCTION("""COMPUTED_VALUE"""),"https://www.eykdata.com/eyk-data-incrementality")</f>
        <v>https://www.eykdata.com/eyk-data-incrementality</v>
      </c>
      <c r="B187" s="7" t="str">
        <f>IFERROR(__xludf.DUMMYFUNCTION("""COMPUTED_VALUE"""),"Eyk Data | Incrementality testing and Unified Marketing Measurement")</f>
        <v>Eyk Data | Incrementality testing and Unified Marketing Measurement</v>
      </c>
      <c r="C187" s="6" t="str">
        <f>IFERROR(__xludf.DUMMYFUNCTION("""COMPUTED_VALUE"""),"eykdata.com")</f>
        <v>eykdata.com</v>
      </c>
      <c r="D187" s="7" t="str">
        <f>IFERROR(__xludf.DUMMYFUNCTION("""COMPUTED_VALUE"""),"PRODUCT_PAGE")</f>
        <v>PRODUCT_PAGE</v>
      </c>
      <c r="E187" s="7" t="str">
        <f>IFERROR(__xludf.DUMMYFUNCTION("""COMPUTED_VALUE"""),"CORPORATE")</f>
        <v>CORPORATE</v>
      </c>
      <c r="F187" s="7" t="str">
        <f>IFERROR(__xludf.DUMMYFUNCTION("""COMPUTED_VALUE"""),"Product Page")</f>
        <v>Product Page</v>
      </c>
      <c r="G187" s="7" t="b">
        <f>IFERROR(__xludf.DUMMYFUNCTION("""COMPUTED_VALUE"""),FALSE)</f>
        <v>0</v>
      </c>
      <c r="H187" s="7"/>
      <c r="I187" s="7">
        <f>IFERROR(__xludf.DUMMYFUNCTION("""COMPUTED_VALUE"""),1.0)</f>
        <v>1</v>
      </c>
      <c r="J187" s="7">
        <f>IFERROR(__xludf.DUMMYFUNCTION("""COMPUTED_VALUE"""),0.0)</f>
        <v>0</v>
      </c>
      <c r="K187" s="7">
        <f>IFERROR(__xludf.DUMMYFUNCTION("""COMPUTED_VALUE"""),1.0)</f>
        <v>1</v>
      </c>
    </row>
    <row r="188" ht="15.75" customHeight="1">
      <c r="A188" s="6" t="str">
        <f>IFERROR(__xludf.DUMMYFUNCTION("""COMPUTED_VALUE"""),"https://fastdatascience.com/data-science-consulting/predictive-analytics-consulting/")</f>
        <v>https://fastdatascience.com/data-science-consulting/predictive-analytics-consulting/</v>
      </c>
      <c r="B188" s="7" t="str">
        <f>IFERROR(__xludf.DUMMYFUNCTION("""COMPUTED_VALUE"""),"Predictive Analytics Consulting Services")</f>
        <v>Predictive Analytics Consulting Services</v>
      </c>
      <c r="C188" s="6" t="str">
        <f>IFERROR(__xludf.DUMMYFUNCTION("""COMPUTED_VALUE"""),"fastdatascience.com")</f>
        <v>fastdatascience.com</v>
      </c>
      <c r="D188" s="7" t="str">
        <f>IFERROR(__xludf.DUMMYFUNCTION("""COMPUTED_VALUE"""),"PRODUCT_PAGE")</f>
        <v>PRODUCT_PAGE</v>
      </c>
      <c r="E188" s="7" t="str">
        <f>IFERROR(__xludf.DUMMYFUNCTION("""COMPUTED_VALUE"""),"CORPORATE")</f>
        <v>CORPORATE</v>
      </c>
      <c r="F188" s="7" t="str">
        <f>IFERROR(__xludf.DUMMYFUNCTION("""COMPUTED_VALUE"""),"Product Page")</f>
        <v>Product Page</v>
      </c>
      <c r="G188" s="7" t="b">
        <f>IFERROR(__xludf.DUMMYFUNCTION("""COMPUTED_VALUE"""),FALSE)</f>
        <v>0</v>
      </c>
      <c r="H188" s="7" t="str">
        <f>IFERROR(__xludf.DUMMYFUNCTION("""COMPUTED_VALUE"""),"Huge")</f>
        <v>Huge</v>
      </c>
      <c r="I188" s="7">
        <f>IFERROR(__xludf.DUMMYFUNCTION("""COMPUTED_VALUE"""),1.0)</f>
        <v>1</v>
      </c>
      <c r="J188" s="7">
        <f>IFERROR(__xludf.DUMMYFUNCTION("""COMPUTED_VALUE"""),0.0)</f>
        <v>0</v>
      </c>
      <c r="K188" s="7">
        <f>IFERROR(__xludf.DUMMYFUNCTION("""COMPUTED_VALUE"""),1.0)</f>
        <v>1</v>
      </c>
    </row>
    <row r="189" ht="15.75" customHeight="1">
      <c r="A189" s="6" t="str">
        <f>IFERROR(__xludf.DUMMYFUNCTION("""COMPUTED_VALUE"""),"https://firewiredigital.com.au/geo-agency/")</f>
        <v>https://firewiredigital.com.au/geo-agency/</v>
      </c>
      <c r="B189" s="7" t="str">
        <f>IFERROR(__xludf.DUMMYFUNCTION("""COMPUTED_VALUE"""),"GEO agency Australia | Firewire")</f>
        <v>GEO agency Australia | Firewire</v>
      </c>
      <c r="C189" s="6" t="str">
        <f>IFERROR(__xludf.DUMMYFUNCTION("""COMPUTED_VALUE"""),"firewiredigital.com.au")</f>
        <v>firewiredigital.com.au</v>
      </c>
      <c r="D189" s="7" t="str">
        <f>IFERROR(__xludf.DUMMYFUNCTION("""COMPUTED_VALUE"""),"PRODUCT_PAGE")</f>
        <v>PRODUCT_PAGE</v>
      </c>
      <c r="E189" s="7" t="str">
        <f>IFERROR(__xludf.DUMMYFUNCTION("""COMPUTED_VALUE"""),"CORPORATE")</f>
        <v>CORPORATE</v>
      </c>
      <c r="F189" s="7" t="str">
        <f>IFERROR(__xludf.DUMMYFUNCTION("""COMPUTED_VALUE"""),"Product Page")</f>
        <v>Product Page</v>
      </c>
      <c r="G189" s="7" t="b">
        <f>IFERROR(__xludf.DUMMYFUNCTION("""COMPUTED_VALUE"""),FALSE)</f>
        <v>0</v>
      </c>
      <c r="H189" s="7" t="str">
        <f>IFERROR(__xludf.DUMMYFUNCTION("""COMPUTED_VALUE"""),"Measured")</f>
        <v>Measured</v>
      </c>
      <c r="I189" s="7">
        <f>IFERROR(__xludf.DUMMYFUNCTION("""COMPUTED_VALUE"""),1.0)</f>
        <v>1</v>
      </c>
      <c r="J189" s="7">
        <f>IFERROR(__xludf.DUMMYFUNCTION("""COMPUTED_VALUE"""),0.0)</f>
        <v>0</v>
      </c>
      <c r="K189" s="7">
        <f>IFERROR(__xludf.DUMMYFUNCTION("""COMPUTED_VALUE"""),1.0)</f>
        <v>1</v>
      </c>
    </row>
    <row r="190" ht="15.75" customHeight="1">
      <c r="A190" s="6" t="str">
        <f>IFERROR(__xludf.DUMMYFUNCTION("""COMPUTED_VALUE"""),"https://www.fisherdigital.com.au/programmatic-advertising/")</f>
        <v>https://www.fisherdigital.com.au/programmatic-advertising/</v>
      </c>
      <c r="B190" s="7" t="str">
        <f>IFERROR(__xludf.DUMMYFUNCTION("""COMPUTED_VALUE"""),"Programmatic Advertising Agency Perth | Fisher Digital")</f>
        <v>Programmatic Advertising Agency Perth | Fisher Digital</v>
      </c>
      <c r="C190" s="6" t="str">
        <f>IFERROR(__xludf.DUMMYFUNCTION("""COMPUTED_VALUE"""),"fisherdigital.com.au")</f>
        <v>fisherdigital.com.au</v>
      </c>
      <c r="D190" s="7" t="str">
        <f>IFERROR(__xludf.DUMMYFUNCTION("""COMPUTED_VALUE"""),"PRODUCT_PAGE")</f>
        <v>PRODUCT_PAGE</v>
      </c>
      <c r="E190" s="7" t="str">
        <f>IFERROR(__xludf.DUMMYFUNCTION("""COMPUTED_VALUE"""),"CORPORATE")</f>
        <v>CORPORATE</v>
      </c>
      <c r="F190" s="7" t="str">
        <f>IFERROR(__xludf.DUMMYFUNCTION("""COMPUTED_VALUE"""),"Product Page")</f>
        <v>Product Page</v>
      </c>
      <c r="G190" s="7" t="b">
        <f>IFERROR(__xludf.DUMMYFUNCTION("""COMPUTED_VALUE"""),FALSE)</f>
        <v>0</v>
      </c>
      <c r="H190" s="7"/>
      <c r="I190" s="7">
        <f>IFERROR(__xludf.DUMMYFUNCTION("""COMPUTED_VALUE"""),1.0)</f>
        <v>1</v>
      </c>
      <c r="J190" s="7">
        <f>IFERROR(__xludf.DUMMYFUNCTION("""COMPUTED_VALUE"""),0.0)</f>
        <v>0</v>
      </c>
      <c r="K190" s="7">
        <f>IFERROR(__xludf.DUMMYFUNCTION("""COMPUTED_VALUE"""),1.0)</f>
        <v>1</v>
      </c>
    </row>
    <row r="191" ht="15.75" customHeight="1">
      <c r="A191" s="6" t="str">
        <f>IFERROR(__xludf.DUMMYFUNCTION("""COMPUTED_VALUE"""),"https://www.forvio.com/product/geo-lift-tests")</f>
        <v>https://www.forvio.com/product/geo-lift-tests</v>
      </c>
      <c r="B191" s="7" t="str">
        <f>IFERROR(__xludf.DUMMYFUNCTION("""COMPUTED_VALUE"""),"GEO Lift Testing")</f>
        <v>GEO Lift Testing</v>
      </c>
      <c r="C191" s="6" t="str">
        <f>IFERROR(__xludf.DUMMYFUNCTION("""COMPUTED_VALUE"""),"forvio.com")</f>
        <v>forvio.com</v>
      </c>
      <c r="D191" s="7" t="str">
        <f>IFERROR(__xludf.DUMMYFUNCTION("""COMPUTED_VALUE"""),"PRODUCT_PAGE")</f>
        <v>PRODUCT_PAGE</v>
      </c>
      <c r="E191" s="7" t="str">
        <f>IFERROR(__xludf.DUMMYFUNCTION("""COMPUTED_VALUE"""),"CORPORATE")</f>
        <v>CORPORATE</v>
      </c>
      <c r="F191" s="7" t="str">
        <f>IFERROR(__xludf.DUMMYFUNCTION("""COMPUTED_VALUE"""),"Product Page")</f>
        <v>Product Page</v>
      </c>
      <c r="G191" s="7" t="b">
        <f>IFERROR(__xludf.DUMMYFUNCTION("""COMPUTED_VALUE"""),FALSE)</f>
        <v>0</v>
      </c>
      <c r="H191" s="7"/>
      <c r="I191" s="7">
        <f>IFERROR(__xludf.DUMMYFUNCTION("""COMPUTED_VALUE"""),1.0)</f>
        <v>1</v>
      </c>
      <c r="J191" s="7">
        <f>IFERROR(__xludf.DUMMYFUNCTION("""COMPUTED_VALUE"""),0.0)</f>
        <v>0</v>
      </c>
      <c r="K191" s="7">
        <f>IFERROR(__xludf.DUMMYFUNCTION("""COMPUTED_VALUE"""),0.0)</f>
        <v>0</v>
      </c>
    </row>
    <row r="192" ht="15.75" customHeight="1">
      <c r="A192" s="6" t="str">
        <f>IFERROR(__xludf.DUMMYFUNCTION("""COMPUTED_VALUE"""),"https://fusepointinsights.com/our-methodology/")</f>
        <v>https://fusepointinsights.com/our-methodology/</v>
      </c>
      <c r="B192" s="7" t="str">
        <f>IFERROR(__xludf.DUMMYFUNCTION("""COMPUTED_VALUE"""),"Measurement &amp;amp; Analytics Services For Growth | fusepoint")</f>
        <v>Measurement &amp;amp; Analytics Services For Growth | fusepoint</v>
      </c>
      <c r="C192" s="6" t="str">
        <f>IFERROR(__xludf.DUMMYFUNCTION("""COMPUTED_VALUE"""),"fusepointinsights.com")</f>
        <v>fusepointinsights.com</v>
      </c>
      <c r="D192" s="7" t="str">
        <f>IFERROR(__xludf.DUMMYFUNCTION("""COMPUTED_VALUE"""),"PRODUCT_PAGE")</f>
        <v>PRODUCT_PAGE</v>
      </c>
      <c r="E192" s="7" t="str">
        <f>IFERROR(__xludf.DUMMYFUNCTION("""COMPUTED_VALUE"""),"CORPORATE")</f>
        <v>CORPORATE</v>
      </c>
      <c r="F192" s="7" t="str">
        <f>IFERROR(__xludf.DUMMYFUNCTION("""COMPUTED_VALUE"""),"Product Page")</f>
        <v>Product Page</v>
      </c>
      <c r="G192" s="7" t="b">
        <f>IFERROR(__xludf.DUMMYFUNCTION("""COMPUTED_VALUE"""),FALSE)</f>
        <v>0</v>
      </c>
      <c r="H192" s="7" t="str">
        <f>IFERROR(__xludf.DUMMYFUNCTION("""COMPUTED_VALUE"""),"Momentum, Power Digital")</f>
        <v>Momentum, Power Digital</v>
      </c>
      <c r="I192" s="7">
        <f>IFERROR(__xludf.DUMMYFUNCTION("""COMPUTED_VALUE"""),1.0)</f>
        <v>1</v>
      </c>
      <c r="J192" s="7">
        <f>IFERROR(__xludf.DUMMYFUNCTION("""COMPUTED_VALUE"""),0.0)</f>
        <v>0</v>
      </c>
      <c r="K192" s="7">
        <f>IFERROR(__xludf.DUMMYFUNCTION("""COMPUTED_VALUE"""),0.0)</f>
        <v>0</v>
      </c>
    </row>
    <row r="193" ht="15.75" customHeight="1">
      <c r="A193" s="6" t="str">
        <f>IFERROR(__xludf.DUMMYFUNCTION("""COMPUTED_VALUE"""),"https://www.geo-logix.com.au/geotechnical-engineering/")</f>
        <v>https://www.geo-logix.com.au/geotechnical-engineering/</v>
      </c>
      <c r="B193" s="7" t="str">
        <f>IFERROR(__xludf.DUMMYFUNCTION("""COMPUTED_VALUE"""),"Geo-Logix Pty Ltd Geotechnical Engineering Services &amp;amp; Geotechnical Consultants Australia")</f>
        <v>Geo-Logix Pty Ltd Geotechnical Engineering Services &amp;amp; Geotechnical Consultants Australia</v>
      </c>
      <c r="C193" s="6" t="str">
        <f>IFERROR(__xludf.DUMMYFUNCTION("""COMPUTED_VALUE"""),"geo-logix.com.au")</f>
        <v>geo-logix.com.au</v>
      </c>
      <c r="D193" s="7" t="str">
        <f>IFERROR(__xludf.DUMMYFUNCTION("""COMPUTED_VALUE"""),"PRODUCT_PAGE")</f>
        <v>PRODUCT_PAGE</v>
      </c>
      <c r="E193" s="7" t="str">
        <f>IFERROR(__xludf.DUMMYFUNCTION("""COMPUTED_VALUE"""),"UGC")</f>
        <v>UGC</v>
      </c>
      <c r="F193" s="7" t="str">
        <f>IFERROR(__xludf.DUMMYFUNCTION("""COMPUTED_VALUE"""),"Product Page")</f>
        <v>Product Page</v>
      </c>
      <c r="G193" s="7" t="b">
        <f>IFERROR(__xludf.DUMMYFUNCTION("""COMPUTED_VALUE"""),FALSE)</f>
        <v>0</v>
      </c>
      <c r="H193" s="7"/>
      <c r="I193" s="7">
        <f>IFERROR(__xludf.DUMMYFUNCTION("""COMPUTED_VALUE"""),1.0)</f>
        <v>1</v>
      </c>
      <c r="J193" s="7">
        <f>IFERROR(__xludf.DUMMYFUNCTION("""COMPUTED_VALUE"""),0.0)</f>
        <v>0</v>
      </c>
      <c r="K193" s="7">
        <f>IFERROR(__xludf.DUMMYFUNCTION("""COMPUTED_VALUE"""),0.0)</f>
        <v>0</v>
      </c>
    </row>
    <row r="194" ht="15.75" customHeight="1">
      <c r="A194" s="6" t="str">
        <f>IFERROR(__xludf.DUMMYFUNCTION("""COMPUTED_VALUE"""),"https://gorilla360.com.au/cro-agency/")</f>
        <v>https://gorilla360.com.au/cro-agency/</v>
      </c>
      <c r="B194" s="7" t="str">
        <f>IFERROR(__xludf.DUMMYFUNCTION("""COMPUTED_VALUE"""),"Conversion Rate Optimisation Agency Australia")</f>
        <v>Conversion Rate Optimisation Agency Australia</v>
      </c>
      <c r="C194" s="6" t="str">
        <f>IFERROR(__xludf.DUMMYFUNCTION("""COMPUTED_VALUE"""),"gorilla360.com.au")</f>
        <v>gorilla360.com.au</v>
      </c>
      <c r="D194" s="7" t="str">
        <f>IFERROR(__xludf.DUMMYFUNCTION("""COMPUTED_VALUE"""),"PRODUCT_PAGE")</f>
        <v>PRODUCT_PAGE</v>
      </c>
      <c r="E194" s="7" t="str">
        <f>IFERROR(__xludf.DUMMYFUNCTION("""COMPUTED_VALUE"""),"COMPETITOR")</f>
        <v>COMPETITOR</v>
      </c>
      <c r="F194" s="7" t="str">
        <f>IFERROR(__xludf.DUMMYFUNCTION("""COMPUTED_VALUE"""),"Product Page")</f>
        <v>Product Page</v>
      </c>
      <c r="G194" s="7" t="b">
        <f>IFERROR(__xludf.DUMMYFUNCTION("""COMPUTED_VALUE"""),FALSE)</f>
        <v>0</v>
      </c>
      <c r="H194" s="7" t="str">
        <f>IFERROR(__xludf.DUMMYFUNCTION("""COMPUTED_VALUE"""),"Gorilla 360")</f>
        <v>Gorilla 360</v>
      </c>
      <c r="I194" s="7">
        <f>IFERROR(__xludf.DUMMYFUNCTION("""COMPUTED_VALUE"""),1.0)</f>
        <v>1</v>
      </c>
      <c r="J194" s="7">
        <f>IFERROR(__xludf.DUMMYFUNCTION("""COMPUTED_VALUE"""),0.0)</f>
        <v>0</v>
      </c>
      <c r="K194" s="7">
        <f>IFERROR(__xludf.DUMMYFUNCTION("""COMPUTED_VALUE"""),5.0)</f>
        <v>5</v>
      </c>
    </row>
    <row r="195" ht="15.75" customHeight="1">
      <c r="A195" s="6" t="str">
        <f>IFERROR(__xludf.DUMMYFUNCTION("""COMPUTED_VALUE"""),"https://gorilla360.com.au/google-analytics-agency/")</f>
        <v>https://gorilla360.com.au/google-analytics-agency/</v>
      </c>
      <c r="B195" s="7" t="str">
        <f>IFERROR(__xludf.DUMMYFUNCTION("""COMPUTED_VALUE"""),"Google Analytics Agency Australia | Gorilla 360")</f>
        <v>Google Analytics Agency Australia | Gorilla 360</v>
      </c>
      <c r="C195" s="6" t="str">
        <f>IFERROR(__xludf.DUMMYFUNCTION("""COMPUTED_VALUE"""),"gorilla360.com.au")</f>
        <v>gorilla360.com.au</v>
      </c>
      <c r="D195" s="7" t="str">
        <f>IFERROR(__xludf.DUMMYFUNCTION("""COMPUTED_VALUE"""),"PRODUCT_PAGE")</f>
        <v>PRODUCT_PAGE</v>
      </c>
      <c r="E195" s="7" t="str">
        <f>IFERROR(__xludf.DUMMYFUNCTION("""COMPUTED_VALUE"""),"COMPETITOR")</f>
        <v>COMPETITOR</v>
      </c>
      <c r="F195" s="7" t="str">
        <f>IFERROR(__xludf.DUMMYFUNCTION("""COMPUTED_VALUE"""),"Product Page")</f>
        <v>Product Page</v>
      </c>
      <c r="G195" s="7" t="b">
        <f>IFERROR(__xludf.DUMMYFUNCTION("""COMPUTED_VALUE"""),FALSE)</f>
        <v>0</v>
      </c>
      <c r="H195" s="7" t="str">
        <f>IFERROR(__xludf.DUMMYFUNCTION("""COMPUTED_VALUE"""),"Gorilla 360")</f>
        <v>Gorilla 360</v>
      </c>
      <c r="I195" s="7">
        <f>IFERROR(__xludf.DUMMYFUNCTION("""COMPUTED_VALUE"""),1.0)</f>
        <v>1</v>
      </c>
      <c r="J195" s="7">
        <f>IFERROR(__xludf.DUMMYFUNCTION("""COMPUTED_VALUE"""),0.0)</f>
        <v>0</v>
      </c>
      <c r="K195" s="7">
        <f>IFERROR(__xludf.DUMMYFUNCTION("""COMPUTED_VALUE"""),1.0)</f>
        <v>1</v>
      </c>
    </row>
    <row r="196" ht="15.75" customHeight="1">
      <c r="A196" s="6" t="str">
        <f>IFERROR(__xludf.DUMMYFUNCTION("""COMPUTED_VALUE"""),"https://www.grantthornton.com.au/services/tax/international-tax/global-trade-and-customs/")</f>
        <v>https://www.grantthornton.com.au/services/tax/international-tax/global-trade-and-customs/</v>
      </c>
      <c r="B196" s="7" t="str">
        <f>IFERROR(__xludf.DUMMYFUNCTION("""COMPUTED_VALUE"""),"Global trade and customs | Grant Thornton Australia")</f>
        <v>Global trade and customs | Grant Thornton Australia</v>
      </c>
      <c r="C196" s="6" t="str">
        <f>IFERROR(__xludf.DUMMYFUNCTION("""COMPUTED_VALUE"""),"grantthornton.com.au")</f>
        <v>grantthornton.com.au</v>
      </c>
      <c r="D196" s="7" t="str">
        <f>IFERROR(__xludf.DUMMYFUNCTION("""COMPUTED_VALUE"""),"PRODUCT_PAGE")</f>
        <v>PRODUCT_PAGE</v>
      </c>
      <c r="E196" s="7" t="str">
        <f>IFERROR(__xludf.DUMMYFUNCTION("""COMPUTED_VALUE"""),"CORPORATE")</f>
        <v>CORPORATE</v>
      </c>
      <c r="F196" s="7" t="str">
        <f>IFERROR(__xludf.DUMMYFUNCTION("""COMPUTED_VALUE"""),"Product Page")</f>
        <v>Product Page</v>
      </c>
      <c r="G196" s="7" t="b">
        <f>IFERROR(__xludf.DUMMYFUNCTION("""COMPUTED_VALUE"""),FALSE)</f>
        <v>0</v>
      </c>
      <c r="H196" s="7"/>
      <c r="I196" s="7">
        <f>IFERROR(__xludf.DUMMYFUNCTION("""COMPUTED_VALUE"""),1.0)</f>
        <v>1</v>
      </c>
      <c r="J196" s="7">
        <f>IFERROR(__xludf.DUMMYFUNCTION("""COMPUTED_VALUE"""),0.0)</f>
        <v>0</v>
      </c>
      <c r="K196" s="7">
        <f>IFERROR(__xludf.DUMMYFUNCTION("""COMPUTED_VALUE"""),1.0)</f>
        <v>1</v>
      </c>
    </row>
    <row r="197" ht="15.75" customHeight="1">
      <c r="A197" s="6" t="str">
        <f>IFERROR(__xludf.DUMMYFUNCTION("""COMPUTED_VALUE"""),"https://gtechsol.com.au/digital-marketing/marketing-analytics/")</f>
        <v>https://gtechsol.com.au/digital-marketing/marketing-analytics/</v>
      </c>
      <c r="B197" s="7" t="str">
        <f>IFERROR(__xludf.DUMMYFUNCTION("""COMPUTED_VALUE"""),"Marketing Analytics &amp;amp; Reporting Services | G-Tech Solutions")</f>
        <v>Marketing Analytics &amp;amp; Reporting Services | G-Tech Solutions</v>
      </c>
      <c r="C197" s="6" t="str">
        <f>IFERROR(__xludf.DUMMYFUNCTION("""COMPUTED_VALUE"""),"gtechsol.com.au")</f>
        <v>gtechsol.com.au</v>
      </c>
      <c r="D197" s="7" t="str">
        <f>IFERROR(__xludf.DUMMYFUNCTION("""COMPUTED_VALUE"""),"PRODUCT_PAGE")</f>
        <v>PRODUCT_PAGE</v>
      </c>
      <c r="E197" s="7" t="str">
        <f>IFERROR(__xludf.DUMMYFUNCTION("""COMPUTED_VALUE"""),"CORPORATE")</f>
        <v>CORPORATE</v>
      </c>
      <c r="F197" s="7" t="str">
        <f>IFERROR(__xludf.DUMMYFUNCTION("""COMPUTED_VALUE"""),"Product Page")</f>
        <v>Product Page</v>
      </c>
      <c r="G197" s="7" t="b">
        <f>IFERROR(__xludf.DUMMYFUNCTION("""COMPUTED_VALUE"""),FALSE)</f>
        <v>0</v>
      </c>
      <c r="H197" s="7"/>
      <c r="I197" s="7">
        <f>IFERROR(__xludf.DUMMYFUNCTION("""COMPUTED_VALUE"""),1.0)</f>
        <v>1</v>
      </c>
      <c r="J197" s="7">
        <f>IFERROR(__xludf.DUMMYFUNCTION("""COMPUTED_VALUE"""),0.0)</f>
        <v>0</v>
      </c>
      <c r="K197" s="7">
        <f>IFERROR(__xludf.DUMMYFUNCTION("""COMPUTED_VALUE"""),0.0)</f>
        <v>0</v>
      </c>
    </row>
    <row r="198" ht="15.75" customHeight="1">
      <c r="A198" s="6" t="str">
        <f>IFERROR(__xludf.DUMMYFUNCTION("""COMPUTED_VALUE"""),"https://hedgehogmarketing.com.au/ai-marketing")</f>
        <v>https://hedgehogmarketing.com.au/ai-marketing</v>
      </c>
      <c r="B198" s="7" t="str">
        <f>IFERROR(__xludf.DUMMYFUNCTION("""COMPUTED_VALUE"""),"AI Marketing Consultant AU | Hedgehog Marketing")</f>
        <v>AI Marketing Consultant AU | Hedgehog Marketing</v>
      </c>
      <c r="C198" s="6" t="str">
        <f>IFERROR(__xludf.DUMMYFUNCTION("""COMPUTED_VALUE"""),"hedgehogmarketing.com.au")</f>
        <v>hedgehogmarketing.com.au</v>
      </c>
      <c r="D198" s="7" t="str">
        <f>IFERROR(__xludf.DUMMYFUNCTION("""COMPUTED_VALUE"""),"PRODUCT_PAGE")</f>
        <v>PRODUCT_PAGE</v>
      </c>
      <c r="E198" s="7" t="str">
        <f>IFERROR(__xludf.DUMMYFUNCTION("""COMPUTED_VALUE"""),"CORPORATE")</f>
        <v>CORPORATE</v>
      </c>
      <c r="F198" s="7" t="str">
        <f>IFERROR(__xludf.DUMMYFUNCTION("""COMPUTED_VALUE"""),"Product Page")</f>
        <v>Product Page</v>
      </c>
      <c r="G198" s="7" t="b">
        <f>IFERROR(__xludf.DUMMYFUNCTION("""COMPUTED_VALUE"""),FALSE)</f>
        <v>0</v>
      </c>
      <c r="H198" s="7"/>
      <c r="I198" s="7">
        <f>IFERROR(__xludf.DUMMYFUNCTION("""COMPUTED_VALUE"""),1.0)</f>
        <v>1</v>
      </c>
      <c r="J198" s="7">
        <f>IFERROR(__xludf.DUMMYFUNCTION("""COMPUTED_VALUE"""),0.0)</f>
        <v>0</v>
      </c>
      <c r="K198" s="7">
        <f>IFERROR(__xludf.DUMMYFUNCTION("""COMPUTED_VALUE"""),2.0)</f>
        <v>2</v>
      </c>
    </row>
    <row r="199" ht="15.75" customHeight="1">
      <c r="A199" s="6" t="str">
        <f>IFERROR(__xludf.DUMMYFUNCTION("""COMPUTED_VALUE"""),"https://hellopeople.com.au/ai-solutions/ai-strategy-and-readiness")</f>
        <v>https://hellopeople.com.au/ai-solutions/ai-strategy-and-readiness</v>
      </c>
      <c r="B199" s="7" t="str">
        <f>IFERROR(__xludf.DUMMYFUNCTION("""COMPUTED_VALUE"""),"AI Strategy &amp;amp; Readiness Australia | HELLO PEOPLE")</f>
        <v>AI Strategy &amp;amp; Readiness Australia | HELLO PEOPLE</v>
      </c>
      <c r="C199" s="6" t="str">
        <f>IFERROR(__xludf.DUMMYFUNCTION("""COMPUTED_VALUE"""),"hellopeople.com.au")</f>
        <v>hellopeople.com.au</v>
      </c>
      <c r="D199" s="7" t="str">
        <f>IFERROR(__xludf.DUMMYFUNCTION("""COMPUTED_VALUE"""),"PRODUCT_PAGE")</f>
        <v>PRODUCT_PAGE</v>
      </c>
      <c r="E199" s="7" t="str">
        <f>IFERROR(__xludf.DUMMYFUNCTION("""COMPUTED_VALUE"""),"CORPORATE")</f>
        <v>CORPORATE</v>
      </c>
      <c r="F199" s="7" t="str">
        <f>IFERROR(__xludf.DUMMYFUNCTION("""COMPUTED_VALUE"""),"Product Page")</f>
        <v>Product Page</v>
      </c>
      <c r="G199" s="7" t="b">
        <f>IFERROR(__xludf.DUMMYFUNCTION("""COMPUTED_VALUE"""),FALSE)</f>
        <v>0</v>
      </c>
      <c r="H199" s="7"/>
      <c r="I199" s="7">
        <f>IFERROR(__xludf.DUMMYFUNCTION("""COMPUTED_VALUE"""),1.0)</f>
        <v>1</v>
      </c>
      <c r="J199" s="7">
        <f>IFERROR(__xludf.DUMMYFUNCTION("""COMPUTED_VALUE"""),0.0)</f>
        <v>0</v>
      </c>
      <c r="K199" s="7">
        <f>IFERROR(__xludf.DUMMYFUNCTION("""COMPUTED_VALUE"""),0.0)</f>
        <v>0</v>
      </c>
    </row>
    <row r="200" ht="15.75" customHeight="1">
      <c r="A200" s="6" t="str">
        <f>IFERROR(__xludf.DUMMYFUNCTION("""COMPUTED_VALUE"""),"https://impressive.com.au/paid-media/")</f>
        <v>https://impressive.com.au/paid-media/</v>
      </c>
      <c r="B200" s="7" t="str">
        <f>IFERROR(__xludf.DUMMYFUNCTION("""COMPUTED_VALUE"""),"Paid Media Agency for Targeted Growth | Impressive")</f>
        <v>Paid Media Agency for Targeted Growth | Impressive</v>
      </c>
      <c r="C200" s="6" t="str">
        <f>IFERROR(__xludf.DUMMYFUNCTION("""COMPUTED_VALUE"""),"impressive.com.au")</f>
        <v>impressive.com.au</v>
      </c>
      <c r="D200" s="7" t="str">
        <f>IFERROR(__xludf.DUMMYFUNCTION("""COMPUTED_VALUE"""),"PRODUCT_PAGE")</f>
        <v>PRODUCT_PAGE</v>
      </c>
      <c r="E200" s="7" t="str">
        <f>IFERROR(__xludf.DUMMYFUNCTION("""COMPUTED_VALUE"""),"COMPETITOR")</f>
        <v>COMPETITOR</v>
      </c>
      <c r="F200" s="7" t="str">
        <f>IFERROR(__xludf.DUMMYFUNCTION("""COMPUTED_VALUE"""),"Product Page")</f>
        <v>Product Page</v>
      </c>
      <c r="G200" s="7" t="b">
        <f>IFERROR(__xludf.DUMMYFUNCTION("""COMPUTED_VALUE"""),FALSE)</f>
        <v>0</v>
      </c>
      <c r="H200" s="7" t="str">
        <f>IFERROR(__xludf.DUMMYFUNCTION("""COMPUTED_VALUE"""),"Impressive")</f>
        <v>Impressive</v>
      </c>
      <c r="I200" s="7">
        <f>IFERROR(__xludf.DUMMYFUNCTION("""COMPUTED_VALUE"""),1.0)</f>
        <v>1</v>
      </c>
      <c r="J200" s="7">
        <f>IFERROR(__xludf.DUMMYFUNCTION("""COMPUTED_VALUE"""),0.0)</f>
        <v>0</v>
      </c>
      <c r="K200" s="7">
        <f>IFERROR(__xludf.DUMMYFUNCTION("""COMPUTED_VALUE"""),2.0)</f>
        <v>2</v>
      </c>
    </row>
    <row r="201" ht="15.75" customHeight="1">
      <c r="A201" s="6" t="str">
        <f>IFERROR(__xludf.DUMMYFUNCTION("""COMPUTED_VALUE"""),"https://impressive.com.au/seo-gold-coast/")</f>
        <v>https://impressive.com.au/seo-gold-coast/</v>
      </c>
      <c r="B201" s="7" t="str">
        <f>IFERROR(__xludf.DUMMYFUNCTION("""COMPUTED_VALUE"""),"SEO Agency on the Gold Coast | Performance-Driven SEO | Impressive")</f>
        <v>SEO Agency on the Gold Coast | Performance-Driven SEO | Impressive</v>
      </c>
      <c r="C201" s="6" t="str">
        <f>IFERROR(__xludf.DUMMYFUNCTION("""COMPUTED_VALUE"""),"impressive.com.au")</f>
        <v>impressive.com.au</v>
      </c>
      <c r="D201" s="7" t="str">
        <f>IFERROR(__xludf.DUMMYFUNCTION("""COMPUTED_VALUE"""),"PRODUCT_PAGE")</f>
        <v>PRODUCT_PAGE</v>
      </c>
      <c r="E201" s="7" t="str">
        <f>IFERROR(__xludf.DUMMYFUNCTION("""COMPUTED_VALUE"""),"COMPETITOR")</f>
        <v>COMPETITOR</v>
      </c>
      <c r="F201" s="7" t="str">
        <f>IFERROR(__xludf.DUMMYFUNCTION("""COMPUTED_VALUE"""),"Product Page")</f>
        <v>Product Page</v>
      </c>
      <c r="G201" s="7" t="b">
        <f>IFERROR(__xludf.DUMMYFUNCTION("""COMPUTED_VALUE"""),FALSE)</f>
        <v>0</v>
      </c>
      <c r="H201" s="7" t="str">
        <f>IFERROR(__xludf.DUMMYFUNCTION("""COMPUTED_VALUE"""),"Impressive, Deloitte, First Page")</f>
        <v>Impressive, Deloitte, First Page</v>
      </c>
      <c r="I201" s="7">
        <f>IFERROR(__xludf.DUMMYFUNCTION("""COMPUTED_VALUE"""),1.0)</f>
        <v>1</v>
      </c>
      <c r="J201" s="7">
        <f>IFERROR(__xludf.DUMMYFUNCTION("""COMPUTED_VALUE"""),0.0)</f>
        <v>0</v>
      </c>
      <c r="K201" s="7">
        <f>IFERROR(__xludf.DUMMYFUNCTION("""COMPUTED_VALUE"""),1.0)</f>
        <v>1</v>
      </c>
    </row>
    <row r="202" ht="15.75" customHeight="1">
      <c r="A202" s="6" t="str">
        <f>IFERROR(__xludf.DUMMYFUNCTION("""COMPUTED_VALUE"""),"https://impressive.com.au/seo-services/#:~:text=%2B66%25%20Rola.%20%2B147%25%20Synergie%20Skin.%20%2B459%25%20T2.,related%20content%20together%20to%20push%20relevance%20site%2Dwide.")</f>
        <v>https://impressive.com.au/seo-services/#:~:text=%2B66%25%20Rola.%20%2B147%25%20Synergie%20Skin.%20%2B459%25%20T2.,related%20content%20together%20to%20push%20relevance%20site%2Dwide.</v>
      </c>
      <c r="B202" s="7" t="str">
        <f>IFERROR(__xludf.DUMMYFUNCTION("""COMPUTED_VALUE"""),"SEO Agency Melbourne | Award-Winning SEO Services")</f>
        <v>SEO Agency Melbourne | Award-Winning SEO Services</v>
      </c>
      <c r="C202" s="6" t="str">
        <f>IFERROR(__xludf.DUMMYFUNCTION("""COMPUTED_VALUE"""),"impressive.com.au")</f>
        <v>impressive.com.au</v>
      </c>
      <c r="D202" s="7" t="str">
        <f>IFERROR(__xludf.DUMMYFUNCTION("""COMPUTED_VALUE"""),"PRODUCT_PAGE")</f>
        <v>PRODUCT_PAGE</v>
      </c>
      <c r="E202" s="7" t="str">
        <f>IFERROR(__xludf.DUMMYFUNCTION("""COMPUTED_VALUE"""),"COMPETITOR")</f>
        <v>COMPETITOR</v>
      </c>
      <c r="F202" s="7" t="str">
        <f>IFERROR(__xludf.DUMMYFUNCTION("""COMPUTED_VALUE"""),"Product Page")</f>
        <v>Product Page</v>
      </c>
      <c r="G202" s="7" t="b">
        <f>IFERROR(__xludf.DUMMYFUNCTION("""COMPUTED_VALUE"""),FALSE)</f>
        <v>0</v>
      </c>
      <c r="H202" s="7" t="str">
        <f>IFERROR(__xludf.DUMMYFUNCTION("""COMPUTED_VALUE"""),"Impressive, Deloitte")</f>
        <v>Impressive, Deloitte</v>
      </c>
      <c r="I202" s="7">
        <f>IFERROR(__xludf.DUMMYFUNCTION("""COMPUTED_VALUE"""),1.0)</f>
        <v>1</v>
      </c>
      <c r="J202" s="7">
        <f>IFERROR(__xludf.DUMMYFUNCTION("""COMPUTED_VALUE"""),0.0)</f>
        <v>0</v>
      </c>
      <c r="K202" s="7">
        <f>IFERROR(__xludf.DUMMYFUNCTION("""COMPUTED_VALUE"""),1.0)</f>
        <v>1</v>
      </c>
    </row>
    <row r="203" ht="15.75" customHeight="1">
      <c r="A203" s="6" t="str">
        <f>IFERROR(__xludf.DUMMYFUNCTION("""COMPUTED_VALUE"""),"https://www.incrmntal.com/solutions/agencies")</f>
        <v>https://www.incrmntal.com/solutions/agencies</v>
      </c>
      <c r="B203" s="7" t="str">
        <f>IFERROR(__xludf.DUMMYFUNCTION("""COMPUTED_VALUE"""),"Marketing measurement solution for Agencies")</f>
        <v>Marketing measurement solution for Agencies</v>
      </c>
      <c r="C203" s="6" t="str">
        <f>IFERROR(__xludf.DUMMYFUNCTION("""COMPUTED_VALUE"""),"incrmntal.com")</f>
        <v>incrmntal.com</v>
      </c>
      <c r="D203" s="7" t="str">
        <f>IFERROR(__xludf.DUMMYFUNCTION("""COMPUTED_VALUE"""),"PRODUCT_PAGE")</f>
        <v>PRODUCT_PAGE</v>
      </c>
      <c r="E203" s="7" t="str">
        <f>IFERROR(__xludf.DUMMYFUNCTION("""COMPUTED_VALUE"""),"CORPORATE")</f>
        <v>CORPORATE</v>
      </c>
      <c r="F203" s="7" t="str">
        <f>IFERROR(__xludf.DUMMYFUNCTION("""COMPUTED_VALUE"""),"Product Page")</f>
        <v>Product Page</v>
      </c>
      <c r="G203" s="7" t="b">
        <f>IFERROR(__xludf.DUMMYFUNCTION("""COMPUTED_VALUE"""),FALSE)</f>
        <v>0</v>
      </c>
      <c r="H203" s="7"/>
      <c r="I203" s="7">
        <f>IFERROR(__xludf.DUMMYFUNCTION("""COMPUTED_VALUE"""),1.0)</f>
        <v>1</v>
      </c>
      <c r="J203" s="7">
        <f>IFERROR(__xludf.DUMMYFUNCTION("""COMPUTED_VALUE"""),0.0)</f>
        <v>0</v>
      </c>
      <c r="K203" s="7">
        <f>IFERROR(__xludf.DUMMYFUNCTION("""COMPUTED_VALUE"""),1.0)</f>
        <v>1</v>
      </c>
    </row>
    <row r="204" ht="15.75" customHeight="1">
      <c r="A204" s="6" t="str">
        <f>IFERROR(__xludf.DUMMYFUNCTION("""COMPUTED_VALUE"""),"https://inmarketingwetrust.com.au/ai-agentic/ai-discovery/")</f>
        <v>https://inmarketingwetrust.com.au/ai-agentic/ai-discovery/</v>
      </c>
      <c r="B204" s="7" t="str">
        <f>IFERROR(__xludf.DUMMYFUNCTION("""COMPUTED_VALUE"""),"AI Discovery - In Marketing We Trust")</f>
        <v>AI Discovery - In Marketing We Trust</v>
      </c>
      <c r="C204" s="6" t="str">
        <f>IFERROR(__xludf.DUMMYFUNCTION("""COMPUTED_VALUE"""),"inmarketingwetrust.com.au")</f>
        <v>inmarketingwetrust.com.au</v>
      </c>
      <c r="D204" s="7" t="str">
        <f>IFERROR(__xludf.DUMMYFUNCTION("""COMPUTED_VALUE"""),"PRODUCT_PAGE")</f>
        <v>PRODUCT_PAGE</v>
      </c>
      <c r="E204" s="7" t="str">
        <f>IFERROR(__xludf.DUMMYFUNCTION("""COMPUTED_VALUE"""),"COMPETITOR")</f>
        <v>COMPETITOR</v>
      </c>
      <c r="F204" s="7" t="str">
        <f>IFERROR(__xludf.DUMMYFUNCTION("""COMPUTED_VALUE"""),"Product Page")</f>
        <v>Product Page</v>
      </c>
      <c r="G204" s="7" t="b">
        <f>IFERROR(__xludf.DUMMYFUNCTION("""COMPUTED_VALUE"""),FALSE)</f>
        <v>0</v>
      </c>
      <c r="H204" s="7" t="str">
        <f>IFERROR(__xludf.DUMMYFUNCTION("""COMPUTED_VALUE"""),"In Marketing We Trust")</f>
        <v>In Marketing We Trust</v>
      </c>
      <c r="I204" s="7">
        <f>IFERROR(__xludf.DUMMYFUNCTION("""COMPUTED_VALUE"""),1.0)</f>
        <v>1</v>
      </c>
      <c r="J204" s="7">
        <f>IFERROR(__xludf.DUMMYFUNCTION("""COMPUTED_VALUE"""),0.0)</f>
        <v>0</v>
      </c>
      <c r="K204" s="7">
        <f>IFERROR(__xludf.DUMMYFUNCTION("""COMPUTED_VALUE"""),1.0)</f>
        <v>1</v>
      </c>
    </row>
    <row r="205" ht="15.75" customHeight="1">
      <c r="A205" s="6" t="str">
        <f>IFERROR(__xludf.DUMMYFUNCTION("""COMPUTED_VALUE"""),"https://inmarketingwetrust.com.au/contact/")</f>
        <v>https://inmarketingwetrust.com.au/contact/</v>
      </c>
      <c r="B205" s="7" t="str">
        <f>IFERROR(__xludf.DUMMYFUNCTION("""COMPUTED_VALUE"""),"Contact - In Marketing We Trust")</f>
        <v>Contact - In Marketing We Trust</v>
      </c>
      <c r="C205" s="6" t="str">
        <f>IFERROR(__xludf.DUMMYFUNCTION("""COMPUTED_VALUE"""),"inmarketingwetrust.com.au")</f>
        <v>inmarketingwetrust.com.au</v>
      </c>
      <c r="D205" s="7" t="str">
        <f>IFERROR(__xludf.DUMMYFUNCTION("""COMPUTED_VALUE"""),"PRODUCT_PAGE")</f>
        <v>PRODUCT_PAGE</v>
      </c>
      <c r="E205" s="7" t="str">
        <f>IFERROR(__xludf.DUMMYFUNCTION("""COMPUTED_VALUE"""),"COMPETITOR")</f>
        <v>COMPETITOR</v>
      </c>
      <c r="F205" s="7" t="str">
        <f>IFERROR(__xludf.DUMMYFUNCTION("""COMPUTED_VALUE"""),"Product Page")</f>
        <v>Product Page</v>
      </c>
      <c r="G205" s="7" t="b">
        <f>IFERROR(__xludf.DUMMYFUNCTION("""COMPUTED_VALUE"""),FALSE)</f>
        <v>0</v>
      </c>
      <c r="H205" s="7" t="str">
        <f>IFERROR(__xludf.DUMMYFUNCTION("""COMPUTED_VALUE"""),"In Marketing We Trust")</f>
        <v>In Marketing We Trust</v>
      </c>
      <c r="I205" s="7">
        <f>IFERROR(__xludf.DUMMYFUNCTION("""COMPUTED_VALUE"""),1.0)</f>
        <v>1</v>
      </c>
      <c r="J205" s="7">
        <f>IFERROR(__xludf.DUMMYFUNCTION("""COMPUTED_VALUE"""),0.0)</f>
        <v>0</v>
      </c>
      <c r="K205" s="7">
        <f>IFERROR(__xludf.DUMMYFUNCTION("""COMPUTED_VALUE"""),1.0)</f>
        <v>1</v>
      </c>
    </row>
    <row r="206" ht="15.75" customHeight="1">
      <c r="A206" s="6" t="str">
        <f>IFERROR(__xludf.DUMMYFUNCTION("""COMPUTED_VALUE"""),"https://www.intesols.com.au/services/ai-seo-agency/")</f>
        <v>https://www.intesols.com.au/services/ai-seo-agency/</v>
      </c>
      <c r="B206" s="7" t="str">
        <f>IFERROR(__xludf.DUMMYFUNCTION("""COMPUTED_VALUE"""),"AI SEO Experts | ChatGPT &amp;amp; AI GEO Solutions | Intesols")</f>
        <v>AI SEO Experts | ChatGPT &amp;amp; AI GEO Solutions | Intesols</v>
      </c>
      <c r="C206" s="6" t="str">
        <f>IFERROR(__xludf.DUMMYFUNCTION("""COMPUTED_VALUE"""),"intesols.com.au")</f>
        <v>intesols.com.au</v>
      </c>
      <c r="D206" s="7" t="str">
        <f>IFERROR(__xludf.DUMMYFUNCTION("""COMPUTED_VALUE"""),"PRODUCT_PAGE")</f>
        <v>PRODUCT_PAGE</v>
      </c>
      <c r="E206" s="7" t="str">
        <f>IFERROR(__xludf.DUMMYFUNCTION("""COMPUTED_VALUE"""),"COMPETITOR")</f>
        <v>COMPETITOR</v>
      </c>
      <c r="F206" s="7" t="str">
        <f>IFERROR(__xludf.DUMMYFUNCTION("""COMPUTED_VALUE"""),"Product Page")</f>
        <v>Product Page</v>
      </c>
      <c r="G206" s="7" t="b">
        <f>IFERROR(__xludf.DUMMYFUNCTION("""COMPUTED_VALUE"""),FALSE)</f>
        <v>0</v>
      </c>
      <c r="H206" s="7" t="str">
        <f>IFERROR(__xludf.DUMMYFUNCTION("""COMPUTED_VALUE"""),"Intesols")</f>
        <v>Intesols</v>
      </c>
      <c r="I206" s="7">
        <f>IFERROR(__xludf.DUMMYFUNCTION("""COMPUTED_VALUE"""),1.0)</f>
        <v>1</v>
      </c>
      <c r="J206" s="7">
        <f>IFERROR(__xludf.DUMMYFUNCTION("""COMPUTED_VALUE"""),0.0)</f>
        <v>0</v>
      </c>
      <c r="K206" s="7">
        <f>IFERROR(__xludf.DUMMYFUNCTION("""COMPUTED_VALUE"""),1.0)</f>
        <v>1</v>
      </c>
    </row>
    <row r="207" ht="15.75" customHeight="1">
      <c r="A207" s="6" t="str">
        <f>IFERROR(__xludf.DUMMYFUNCTION("""COMPUTED_VALUE"""),"https://www.ipsos.com/en-au/unified-marketing-measurement-optimisation-mta")</f>
        <v>https://www.ipsos.com/en-au/unified-marketing-measurement-optimisation-mta</v>
      </c>
      <c r="B207" s="7" t="str">
        <f>IFERROR(__xludf.DUMMYFUNCTION("""COMPUTED_VALUE"""),"Unified Marketing Measurement &amp;amp; Optimisation | MTA | Ipsos")</f>
        <v>Unified Marketing Measurement &amp;amp; Optimisation | MTA | Ipsos</v>
      </c>
      <c r="C207" s="6" t="str">
        <f>IFERROR(__xludf.DUMMYFUNCTION("""COMPUTED_VALUE"""),"ipsos.com")</f>
        <v>ipsos.com</v>
      </c>
      <c r="D207" s="7" t="str">
        <f>IFERROR(__xludf.DUMMYFUNCTION("""COMPUTED_VALUE"""),"PRODUCT_PAGE")</f>
        <v>PRODUCT_PAGE</v>
      </c>
      <c r="E207" s="7" t="str">
        <f>IFERROR(__xludf.DUMMYFUNCTION("""COMPUTED_VALUE"""),"CORPORATE")</f>
        <v>CORPORATE</v>
      </c>
      <c r="F207" s="7" t="str">
        <f>IFERROR(__xludf.DUMMYFUNCTION("""COMPUTED_VALUE"""),"Product Page")</f>
        <v>Product Page</v>
      </c>
      <c r="G207" s="7" t="b">
        <f>IFERROR(__xludf.DUMMYFUNCTION("""COMPUTED_VALUE"""),FALSE)</f>
        <v>0</v>
      </c>
      <c r="H207" s="7"/>
      <c r="I207" s="7">
        <f>IFERROR(__xludf.DUMMYFUNCTION("""COMPUTED_VALUE"""),1.0)</f>
        <v>1</v>
      </c>
      <c r="J207" s="7">
        <f>IFERROR(__xludf.DUMMYFUNCTION("""COMPUTED_VALUE"""),0.0)</f>
        <v>0</v>
      </c>
      <c r="K207" s="7">
        <f>IFERROR(__xludf.DUMMYFUNCTION("""COMPUTED_VALUE"""),3.0)</f>
        <v>3</v>
      </c>
    </row>
    <row r="208" ht="15.75" customHeight="1">
      <c r="A208" s="6" t="str">
        <f>IFERROR(__xludf.DUMMYFUNCTION("""COMPUTED_VALUE"""),"https://www.kineticconsulting.com.au/artificial-intelligence-consulting/")</f>
        <v>https://www.kineticconsulting.com.au/artificial-intelligence-consulting/</v>
      </c>
      <c r="B208" s="7" t="str">
        <f>IFERROR(__xludf.DUMMYFUNCTION("""COMPUTED_VALUE"""),"AI Consulting")</f>
        <v>AI Consulting</v>
      </c>
      <c r="C208" s="6" t="str">
        <f>IFERROR(__xludf.DUMMYFUNCTION("""COMPUTED_VALUE"""),"kineticconsulting.com.au")</f>
        <v>kineticconsulting.com.au</v>
      </c>
      <c r="D208" s="7" t="str">
        <f>IFERROR(__xludf.DUMMYFUNCTION("""COMPUTED_VALUE"""),"PRODUCT_PAGE")</f>
        <v>PRODUCT_PAGE</v>
      </c>
      <c r="E208" s="7" t="str">
        <f>IFERROR(__xludf.DUMMYFUNCTION("""COMPUTED_VALUE"""),"CORPORATE")</f>
        <v>CORPORATE</v>
      </c>
      <c r="F208" s="7" t="str">
        <f>IFERROR(__xludf.DUMMYFUNCTION("""COMPUTED_VALUE"""),"Product Page")</f>
        <v>Product Page</v>
      </c>
      <c r="G208" s="7" t="b">
        <f>IFERROR(__xludf.DUMMYFUNCTION("""COMPUTED_VALUE"""),FALSE)</f>
        <v>0</v>
      </c>
      <c r="H208" s="7"/>
      <c r="I208" s="7">
        <f>IFERROR(__xludf.DUMMYFUNCTION("""COMPUTED_VALUE"""),1.0)</f>
        <v>1</v>
      </c>
      <c r="J208" s="7">
        <f>IFERROR(__xludf.DUMMYFUNCTION("""COMPUTED_VALUE"""),0.0)</f>
        <v>0</v>
      </c>
      <c r="K208" s="7">
        <f>IFERROR(__xludf.DUMMYFUNCTION("""COMPUTED_VALUE"""),0.0)</f>
        <v>0</v>
      </c>
    </row>
    <row r="209" ht="15.75" customHeight="1">
      <c r="A209" s="6" t="str">
        <f>IFERROR(__xludf.DUMMYFUNCTION("""COMPUTED_VALUE"""),"https://koadigital.com.au/services/meta-ads-management/")</f>
        <v>https://koadigital.com.au/services/meta-ads-management/</v>
      </c>
      <c r="B209" s="7" t="str">
        <f>IFERROR(__xludf.DUMMYFUNCTION("""COMPUTED_VALUE"""),"Meta Ads Management | Facebook &amp;amp; Instagram Advertising Experts | KOA Digital")</f>
        <v>Meta Ads Management | Facebook &amp;amp; Instagram Advertising Experts | KOA Digital</v>
      </c>
      <c r="C209" s="6" t="str">
        <f>IFERROR(__xludf.DUMMYFUNCTION("""COMPUTED_VALUE"""),"koadigital.com.au")</f>
        <v>koadigital.com.au</v>
      </c>
      <c r="D209" s="7" t="str">
        <f>IFERROR(__xludf.DUMMYFUNCTION("""COMPUTED_VALUE"""),"PRODUCT_PAGE")</f>
        <v>PRODUCT_PAGE</v>
      </c>
      <c r="E209" s="7" t="str">
        <f>IFERROR(__xludf.DUMMYFUNCTION("""COMPUTED_VALUE"""),"CORPORATE")</f>
        <v>CORPORATE</v>
      </c>
      <c r="F209" s="7" t="str">
        <f>IFERROR(__xludf.DUMMYFUNCTION("""COMPUTED_VALUE"""),"Product Page")</f>
        <v>Product Page</v>
      </c>
      <c r="G209" s="7" t="b">
        <f>IFERROR(__xludf.DUMMYFUNCTION("""COMPUTED_VALUE"""),FALSE)</f>
        <v>0</v>
      </c>
      <c r="H209" s="7"/>
      <c r="I209" s="7">
        <f>IFERROR(__xludf.DUMMYFUNCTION("""COMPUTED_VALUE"""),1.0)</f>
        <v>1</v>
      </c>
      <c r="J209" s="7">
        <f>IFERROR(__xludf.DUMMYFUNCTION("""COMPUTED_VALUE"""),0.0)</f>
        <v>0</v>
      </c>
      <c r="K209" s="7">
        <f>IFERROR(__xludf.DUMMYFUNCTION("""COMPUTED_VALUE"""),0.0)</f>
        <v>0</v>
      </c>
    </row>
    <row r="210" ht="15.75" customHeight="1">
      <c r="A210" s="6" t="str">
        <f>IFERROR(__xludf.DUMMYFUNCTION("""COMPUTED_VALUE"""),"https://www.kuehne-nagel.com/au/services/customs-clearance/import-customs-clearance")</f>
        <v>https://www.kuehne-nagel.com/au/services/customs-clearance/import-customs-clearance</v>
      </c>
      <c r="B210" s="7" t="str">
        <f>IFERROR(__xludf.DUMMYFUNCTION("""COMPUTED_VALUE"""),"Import customs clearance and transit services | Kuehne+Nagel Australia")</f>
        <v>Import customs clearance and transit services | Kuehne+Nagel Australia</v>
      </c>
      <c r="C210" s="6" t="str">
        <f>IFERROR(__xludf.DUMMYFUNCTION("""COMPUTED_VALUE"""),"kuehne-nagel.com")</f>
        <v>kuehne-nagel.com</v>
      </c>
      <c r="D210" s="7" t="str">
        <f>IFERROR(__xludf.DUMMYFUNCTION("""COMPUTED_VALUE"""),"PRODUCT_PAGE")</f>
        <v>PRODUCT_PAGE</v>
      </c>
      <c r="E210" s="7" t="str">
        <f>IFERROR(__xludf.DUMMYFUNCTION("""COMPUTED_VALUE"""),"CORPORATE")</f>
        <v>CORPORATE</v>
      </c>
      <c r="F210" s="7" t="str">
        <f>IFERROR(__xludf.DUMMYFUNCTION("""COMPUTED_VALUE"""),"Product Page")</f>
        <v>Product Page</v>
      </c>
      <c r="G210" s="7" t="b">
        <f>IFERROR(__xludf.DUMMYFUNCTION("""COMPUTED_VALUE"""),FALSE)</f>
        <v>0</v>
      </c>
      <c r="H210" s="7"/>
      <c r="I210" s="7">
        <f>IFERROR(__xludf.DUMMYFUNCTION("""COMPUTED_VALUE"""),1.0)</f>
        <v>1</v>
      </c>
      <c r="J210" s="7">
        <f>IFERROR(__xludf.DUMMYFUNCTION("""COMPUTED_VALUE"""),0.0)</f>
        <v>0</v>
      </c>
      <c r="K210" s="7">
        <f>IFERROR(__xludf.DUMMYFUNCTION("""COMPUTED_VALUE"""),1.0)</f>
        <v>1</v>
      </c>
    </row>
    <row r="211" ht="15.75" customHeight="1">
      <c r="A211" s="6" t="str">
        <f>IFERROR(__xludf.DUMMYFUNCTION("""COMPUTED_VALUE"""),"https://www.launcherlab.com.au/lift-test")</f>
        <v>https://www.launcherlab.com.au/lift-test</v>
      </c>
      <c r="B211" s="7" t="str">
        <f>IFERROR(__xludf.DUMMYFUNCTION("""COMPUTED_VALUE"""),"Lift Test")</f>
        <v>Lift Test</v>
      </c>
      <c r="C211" s="6" t="str">
        <f>IFERROR(__xludf.DUMMYFUNCTION("""COMPUTED_VALUE"""),"launcherlab.com.au")</f>
        <v>launcherlab.com.au</v>
      </c>
      <c r="D211" s="7" t="str">
        <f>IFERROR(__xludf.DUMMYFUNCTION("""COMPUTED_VALUE"""),"PRODUCT_PAGE")</f>
        <v>PRODUCT_PAGE</v>
      </c>
      <c r="E211" s="7" t="str">
        <f>IFERROR(__xludf.DUMMYFUNCTION("""COMPUTED_VALUE"""),"CORPORATE")</f>
        <v>CORPORATE</v>
      </c>
      <c r="F211" s="7" t="str">
        <f>IFERROR(__xludf.DUMMYFUNCTION("""COMPUTED_VALUE"""),"Product Page")</f>
        <v>Product Page</v>
      </c>
      <c r="G211" s="7" t="b">
        <f>IFERROR(__xludf.DUMMYFUNCTION("""COMPUTED_VALUE"""),FALSE)</f>
        <v>0</v>
      </c>
      <c r="H211" s="7"/>
      <c r="I211" s="7">
        <f>IFERROR(__xludf.DUMMYFUNCTION("""COMPUTED_VALUE"""),1.0)</f>
        <v>1</v>
      </c>
      <c r="J211" s="7">
        <f>IFERROR(__xludf.DUMMYFUNCTION("""COMPUTED_VALUE"""),0.0)</f>
        <v>0</v>
      </c>
      <c r="K211" s="7">
        <f>IFERROR(__xludf.DUMMYFUNCTION("""COMPUTED_VALUE"""),0.0)</f>
        <v>0</v>
      </c>
    </row>
    <row r="212" ht="15.75" customHeight="1">
      <c r="A212" s="6" t="str">
        <f>IFERROR(__xludf.DUMMYFUNCTION("""COMPUTED_VALUE"""),"https://leadsnow.ai/ai-for-business/")</f>
        <v>https://leadsnow.ai/ai-for-business/</v>
      </c>
      <c r="B212" s="7" t="str">
        <f>IFERROR(__xludf.DUMMYFUNCTION("""COMPUTED_VALUE"""),"AI for Business in Australia | AI Marketing Agency, AI Sales Agent | LeadsNow")</f>
        <v>AI for Business in Australia | AI Marketing Agency, AI Sales Agent | LeadsNow</v>
      </c>
      <c r="C212" s="6" t="str">
        <f>IFERROR(__xludf.DUMMYFUNCTION("""COMPUTED_VALUE"""),"leadsnow.ai")</f>
        <v>leadsnow.ai</v>
      </c>
      <c r="D212" s="7" t="str">
        <f>IFERROR(__xludf.DUMMYFUNCTION("""COMPUTED_VALUE"""),"PRODUCT_PAGE")</f>
        <v>PRODUCT_PAGE</v>
      </c>
      <c r="E212" s="7" t="str">
        <f>IFERROR(__xludf.DUMMYFUNCTION("""COMPUTED_VALUE"""),"COMPETITOR")</f>
        <v>COMPETITOR</v>
      </c>
      <c r="F212" s="7" t="str">
        <f>IFERROR(__xludf.DUMMYFUNCTION("""COMPUTED_VALUE"""),"Product Page")</f>
        <v>Product Page</v>
      </c>
      <c r="G212" s="7" t="b">
        <f>IFERROR(__xludf.DUMMYFUNCTION("""COMPUTED_VALUE"""),FALSE)</f>
        <v>0</v>
      </c>
      <c r="H212" s="7" t="str">
        <f>IFERROR(__xludf.DUMMYFUNCTION("""COMPUTED_VALUE"""),"LeadsNow.ai, King Kong, Webprofits, Measured")</f>
        <v>LeadsNow.ai, King Kong, Webprofits, Measured</v>
      </c>
      <c r="I212" s="7">
        <f>IFERROR(__xludf.DUMMYFUNCTION("""COMPUTED_VALUE"""),1.0)</f>
        <v>1</v>
      </c>
      <c r="J212" s="7">
        <f>IFERROR(__xludf.DUMMYFUNCTION("""COMPUTED_VALUE"""),0.0)</f>
        <v>0</v>
      </c>
      <c r="K212" s="7">
        <f>IFERROR(__xludf.DUMMYFUNCTION("""COMPUTED_VALUE"""),1.0)</f>
        <v>1</v>
      </c>
    </row>
    <row r="213" ht="15.75" customHeight="1">
      <c r="A213" s="6" t="str">
        <f>IFERROR(__xludf.DUMMYFUNCTION("""COMPUTED_VALUE"""),"https://leadsnow.ai/ai-sales-agents-australia/")</f>
        <v>https://leadsnow.ai/ai-sales-agents-australia/</v>
      </c>
      <c r="B213" s="7" t="str">
        <f>IFERROR(__xludf.DUMMYFUNCTION("""COMPUTED_VALUE"""),"AI Sales Agents in Australia: Pay-Per-Result Appointment Setting - Leads Now AI")</f>
        <v>AI Sales Agents in Australia: Pay-Per-Result Appointment Setting - Leads Now AI</v>
      </c>
      <c r="C213" s="6" t="str">
        <f>IFERROR(__xludf.DUMMYFUNCTION("""COMPUTED_VALUE"""),"leadsnow.ai")</f>
        <v>leadsnow.ai</v>
      </c>
      <c r="D213" s="7" t="str">
        <f>IFERROR(__xludf.DUMMYFUNCTION("""COMPUTED_VALUE"""),"PRODUCT_PAGE")</f>
        <v>PRODUCT_PAGE</v>
      </c>
      <c r="E213" s="7" t="str">
        <f>IFERROR(__xludf.DUMMYFUNCTION("""COMPUTED_VALUE"""),"COMPETITOR")</f>
        <v>COMPETITOR</v>
      </c>
      <c r="F213" s="7" t="str">
        <f>IFERROR(__xludf.DUMMYFUNCTION("""COMPUTED_VALUE"""),"Product Page")</f>
        <v>Product Page</v>
      </c>
      <c r="G213" s="7" t="b">
        <f>IFERROR(__xludf.DUMMYFUNCTION("""COMPUTED_VALUE"""),FALSE)</f>
        <v>0</v>
      </c>
      <c r="H213" s="7" t="str">
        <f>IFERROR(__xludf.DUMMYFUNCTION("""COMPUTED_VALUE"""),"LeadsNow.ai, Measured")</f>
        <v>LeadsNow.ai, Measured</v>
      </c>
      <c r="I213" s="7">
        <f>IFERROR(__xludf.DUMMYFUNCTION("""COMPUTED_VALUE"""),1.0)</f>
        <v>1</v>
      </c>
      <c r="J213" s="7">
        <f>IFERROR(__xludf.DUMMYFUNCTION("""COMPUTED_VALUE"""),0.0)</f>
        <v>0</v>
      </c>
      <c r="K213" s="7">
        <f>IFERROR(__xludf.DUMMYFUNCTION("""COMPUTED_VALUE"""),1.0)</f>
        <v>1</v>
      </c>
    </row>
    <row r="214" ht="15.75" customHeight="1">
      <c r="A214" s="6" t="str">
        <f>IFERROR(__xludf.DUMMYFUNCTION("""COMPUTED_VALUE"""),"https://lifesight.io/product/geo-based-incrementality-testing/")</f>
        <v>https://lifesight.io/product/geo-based-incrementality-testing/</v>
      </c>
      <c r="B214" s="7" t="str">
        <f>IFERROR(__xludf.DUMMYFUNCTION("""COMPUTED_VALUE"""),"Geo-Based Incrementality Testing - Lifesight")</f>
        <v>Geo-Based Incrementality Testing - Lifesight</v>
      </c>
      <c r="C214" s="6" t="str">
        <f>IFERROR(__xludf.DUMMYFUNCTION("""COMPUTED_VALUE"""),"lifesight.io")</f>
        <v>lifesight.io</v>
      </c>
      <c r="D214" s="7" t="str">
        <f>IFERROR(__xludf.DUMMYFUNCTION("""COMPUTED_VALUE"""),"PRODUCT_PAGE")</f>
        <v>PRODUCT_PAGE</v>
      </c>
      <c r="E214" s="7" t="str">
        <f>IFERROR(__xludf.DUMMYFUNCTION("""COMPUTED_VALUE"""),"COMPETITOR")</f>
        <v>COMPETITOR</v>
      </c>
      <c r="F214" s="7" t="str">
        <f>IFERROR(__xludf.DUMMYFUNCTION("""COMPUTED_VALUE"""),"Product Page")</f>
        <v>Product Page</v>
      </c>
      <c r="G214" s="7" t="b">
        <f>IFERROR(__xludf.DUMMYFUNCTION("""COMPUTED_VALUE"""),FALSE)</f>
        <v>0</v>
      </c>
      <c r="H214" s="7" t="str">
        <f>IFERROR(__xludf.DUMMYFUNCTION("""COMPUTED_VALUE"""),"Lifesight")</f>
        <v>Lifesight</v>
      </c>
      <c r="I214" s="7">
        <f>IFERROR(__xludf.DUMMYFUNCTION("""COMPUTED_VALUE"""),1.0)</f>
        <v>1</v>
      </c>
      <c r="J214" s="7">
        <f>IFERROR(__xludf.DUMMYFUNCTION("""COMPUTED_VALUE"""),0.0)</f>
        <v>0</v>
      </c>
      <c r="K214" s="7">
        <f>IFERROR(__xludf.DUMMYFUNCTION("""COMPUTED_VALUE"""),0.0)</f>
        <v>0</v>
      </c>
    </row>
    <row r="215" ht="15.75" customHeight="1">
      <c r="A215" s="6" t="str">
        <f>IFERROR(__xludf.DUMMYFUNCTION("""COMPUTED_VALUE"""),"https://www.lightningventures.com.au/ai-agency/sydney/#:~:text=Top%20AI%20Agency%20in%20Sydney.%20Lightning%20Ventures,build%20for%20Sydney%20businesses%20%2D%20AI%20Integration.")</f>
        <v>https://www.lightningventures.com.au/ai-agency/sydney/#:~:text=Top%20AI%20Agency%20in%20Sydney.%20Lightning%20Ventures,build%20for%20Sydney%20businesses%20%2D%20AI%20Integration.</v>
      </c>
      <c r="B215" s="7" t="str">
        <f>IFERROR(__xludf.DUMMYFUNCTION("""COMPUTED_VALUE"""),"Top AI Agency in Sydney | Lightning Ventures")</f>
        <v>Top AI Agency in Sydney | Lightning Ventures</v>
      </c>
      <c r="C215" s="6" t="str">
        <f>IFERROR(__xludf.DUMMYFUNCTION("""COMPUTED_VALUE"""),"lightningventures.com.au")</f>
        <v>lightningventures.com.au</v>
      </c>
      <c r="D215" s="7" t="str">
        <f>IFERROR(__xludf.DUMMYFUNCTION("""COMPUTED_VALUE"""),"PRODUCT_PAGE")</f>
        <v>PRODUCT_PAGE</v>
      </c>
      <c r="E215" s="7" t="str">
        <f>IFERROR(__xludf.DUMMYFUNCTION("""COMPUTED_VALUE"""),"CORPORATE")</f>
        <v>CORPORATE</v>
      </c>
      <c r="F215" s="7" t="str">
        <f>IFERROR(__xludf.DUMMYFUNCTION("""COMPUTED_VALUE"""),"Product Page")</f>
        <v>Product Page</v>
      </c>
      <c r="G215" s="7" t="b">
        <f>IFERROR(__xludf.DUMMYFUNCTION("""COMPUTED_VALUE"""),FALSE)</f>
        <v>0</v>
      </c>
      <c r="H215" s="7"/>
      <c r="I215" s="7">
        <f>IFERROR(__xludf.DUMMYFUNCTION("""COMPUTED_VALUE"""),1.0)</f>
        <v>1</v>
      </c>
      <c r="J215" s="7">
        <f>IFERROR(__xludf.DUMMYFUNCTION("""COMPUTED_VALUE"""),0.0)</f>
        <v>0</v>
      </c>
      <c r="K215" s="7">
        <f>IFERROR(__xludf.DUMMYFUNCTION("""COMPUTED_VALUE"""),1.0)</f>
        <v>1</v>
      </c>
    </row>
    <row r="216" ht="15.75" customHeight="1">
      <c r="A216" s="6" t="str">
        <f>IFERROR(__xludf.DUMMYFUNCTION("""COMPUTED_VALUE"""),"https://localiq.com/au/products/social-ads/instagram-ads/")</f>
        <v>https://localiq.com/au/products/social-ads/instagram-ads/</v>
      </c>
      <c r="B216" s="7" t="str">
        <f>IFERROR(__xludf.DUMMYFUNCTION("""COMPUTED_VALUE"""),"Instagram Marketing Agency Australia | Targeted Ads&amp;nbsp;")</f>
        <v>Instagram Marketing Agency Australia | Targeted Ads&amp;nbsp;</v>
      </c>
      <c r="C216" s="6" t="str">
        <f>IFERROR(__xludf.DUMMYFUNCTION("""COMPUTED_VALUE"""),"localiq.com")</f>
        <v>localiq.com</v>
      </c>
      <c r="D216" s="7" t="str">
        <f>IFERROR(__xludf.DUMMYFUNCTION("""COMPUTED_VALUE"""),"PRODUCT_PAGE")</f>
        <v>PRODUCT_PAGE</v>
      </c>
      <c r="E216" s="7" t="str">
        <f>IFERROR(__xludf.DUMMYFUNCTION("""COMPUTED_VALUE"""),"CORPORATE")</f>
        <v>CORPORATE</v>
      </c>
      <c r="F216" s="7" t="str">
        <f>IFERROR(__xludf.DUMMYFUNCTION("""COMPUTED_VALUE"""),"Product Page")</f>
        <v>Product Page</v>
      </c>
      <c r="G216" s="7" t="b">
        <f>IFERROR(__xludf.DUMMYFUNCTION("""COMPUTED_VALUE"""),FALSE)</f>
        <v>0</v>
      </c>
      <c r="H216" s="7"/>
      <c r="I216" s="7">
        <f>IFERROR(__xludf.DUMMYFUNCTION("""COMPUTED_VALUE"""),1.0)</f>
        <v>1</v>
      </c>
      <c r="J216" s="7">
        <f>IFERROR(__xludf.DUMMYFUNCTION("""COMPUTED_VALUE"""),0.0)</f>
        <v>0</v>
      </c>
      <c r="K216" s="7">
        <f>IFERROR(__xludf.DUMMYFUNCTION("""COMPUTED_VALUE"""),0.0)</f>
        <v>0</v>
      </c>
    </row>
    <row r="217" ht="15.75" customHeight="1">
      <c r="A217" s="6" t="str">
        <f>IFERROR(__xludf.DUMMYFUNCTION("""COMPUTED_VALUE"""),"https://www.madsunmedia.com/au/services/social-media-marketing")</f>
        <v>https://www.madsunmedia.com/au/services/social-media-marketing</v>
      </c>
      <c r="B217" s="7" t="str">
        <f>IFERROR(__xludf.DUMMYFUNCTION("""COMPUTED_VALUE"""),"Social Media Marketing Agency Australia | Facebook, Instagram &amp;amp; LinkedIn | Madsun Media")</f>
        <v>Social Media Marketing Agency Australia | Facebook, Instagram &amp;amp; LinkedIn | Madsun Media</v>
      </c>
      <c r="C217" s="6" t="str">
        <f>IFERROR(__xludf.DUMMYFUNCTION("""COMPUTED_VALUE"""),"madsunmedia.com")</f>
        <v>madsunmedia.com</v>
      </c>
      <c r="D217" s="7" t="str">
        <f>IFERROR(__xludf.DUMMYFUNCTION("""COMPUTED_VALUE"""),"PRODUCT_PAGE")</f>
        <v>PRODUCT_PAGE</v>
      </c>
      <c r="E217" s="7" t="str">
        <f>IFERROR(__xludf.DUMMYFUNCTION("""COMPUTED_VALUE"""),"CORPORATE")</f>
        <v>CORPORATE</v>
      </c>
      <c r="F217" s="7" t="str">
        <f>IFERROR(__xludf.DUMMYFUNCTION("""COMPUTED_VALUE"""),"Product Page")</f>
        <v>Product Page</v>
      </c>
      <c r="G217" s="7" t="b">
        <f>IFERROR(__xludf.DUMMYFUNCTION("""COMPUTED_VALUE"""),FALSE)</f>
        <v>0</v>
      </c>
      <c r="H217" s="7" t="str">
        <f>IFERROR(__xludf.DUMMYFUNCTION("""COMPUTED_VALUE"""),"Measured")</f>
        <v>Measured</v>
      </c>
      <c r="I217" s="7">
        <f>IFERROR(__xludf.DUMMYFUNCTION("""COMPUTED_VALUE"""),1.0)</f>
        <v>1</v>
      </c>
      <c r="J217" s="7">
        <f>IFERROR(__xludf.DUMMYFUNCTION("""COMPUTED_VALUE"""),0.0)</f>
        <v>0</v>
      </c>
      <c r="K217" s="7">
        <f>IFERROR(__xludf.DUMMYFUNCTION("""COMPUTED_VALUE"""),0.0)</f>
        <v>0</v>
      </c>
    </row>
    <row r="218" ht="15.75" customHeight="1">
      <c r="A218" s="6" t="str">
        <f>IFERROR(__xludf.DUMMYFUNCTION("""COMPUTED_VALUE"""),"https://mass-analytics.com/mmm-solutions/incrementality-measurement-mass-analytics/#:~:text=Run%20the%20campaign%20in%20test,Incrementality%20as%20calibration.")</f>
        <v>https://mass-analytics.com/mmm-solutions/incrementality-measurement-mass-analytics/#:~:text=Run%20the%20campaign%20in%20test,Incrementality%20as%20calibration.</v>
      </c>
      <c r="B218" s="7" t="str">
        <f>IFERROR(__xludf.DUMMYFUNCTION("""COMPUTED_VALUE"""),"Incrementality Measurement | MASS Analytics")</f>
        <v>Incrementality Measurement | MASS Analytics</v>
      </c>
      <c r="C218" s="6" t="str">
        <f>IFERROR(__xludf.DUMMYFUNCTION("""COMPUTED_VALUE"""),"mass-analytics.com")</f>
        <v>mass-analytics.com</v>
      </c>
      <c r="D218" s="7" t="str">
        <f>IFERROR(__xludf.DUMMYFUNCTION("""COMPUTED_VALUE"""),"PRODUCT_PAGE")</f>
        <v>PRODUCT_PAGE</v>
      </c>
      <c r="E218" s="7" t="str">
        <f>IFERROR(__xludf.DUMMYFUNCTION("""COMPUTED_VALUE"""),"CORPORATE")</f>
        <v>CORPORATE</v>
      </c>
      <c r="F218" s="7" t="str">
        <f>IFERROR(__xludf.DUMMYFUNCTION("""COMPUTED_VALUE"""),"Product Page")</f>
        <v>Product Page</v>
      </c>
      <c r="G218" s="7" t="b">
        <f>IFERROR(__xludf.DUMMYFUNCTION("""COMPUTED_VALUE"""),FALSE)</f>
        <v>0</v>
      </c>
      <c r="H218" s="7" t="str">
        <f>IFERROR(__xludf.DUMMYFUNCTION("""COMPUTED_VALUE"""),"Measured")</f>
        <v>Measured</v>
      </c>
      <c r="I218" s="7">
        <f>IFERROR(__xludf.DUMMYFUNCTION("""COMPUTED_VALUE"""),1.0)</f>
        <v>1</v>
      </c>
      <c r="J218" s="7">
        <f>IFERROR(__xludf.DUMMYFUNCTION("""COMPUTED_VALUE"""),0.0)</f>
        <v>0</v>
      </c>
      <c r="K218" s="7">
        <f>IFERROR(__xludf.DUMMYFUNCTION("""COMPUTED_VALUE"""),1.0)</f>
        <v>1</v>
      </c>
    </row>
    <row r="219" ht="15.75" customHeight="1">
      <c r="A219" s="6" t="str">
        <f>IFERROR(__xludf.DUMMYFUNCTION("""COMPUTED_VALUE"""),"https://maturedge.com.au/generative-engine-optimization/")</f>
        <v>https://maturedge.com.au/generative-engine-optimization/</v>
      </c>
      <c r="B219" s="7" t="str">
        <f>IFERROR(__xludf.DUMMYFUNCTION("""COMPUTED_VALUE"""),"Generative Engine Optimization (GEO) Services | MaturEdge")</f>
        <v>Generative Engine Optimization (GEO) Services | MaturEdge</v>
      </c>
      <c r="C219" s="6" t="str">
        <f>IFERROR(__xludf.DUMMYFUNCTION("""COMPUTED_VALUE"""),"maturedge.com.au")</f>
        <v>maturedge.com.au</v>
      </c>
      <c r="D219" s="7" t="str">
        <f>IFERROR(__xludf.DUMMYFUNCTION("""COMPUTED_VALUE"""),"PRODUCT_PAGE")</f>
        <v>PRODUCT_PAGE</v>
      </c>
      <c r="E219" s="7" t="str">
        <f>IFERROR(__xludf.DUMMYFUNCTION("""COMPUTED_VALUE"""),"CORPORATE")</f>
        <v>CORPORATE</v>
      </c>
      <c r="F219" s="7" t="str">
        <f>IFERROR(__xludf.DUMMYFUNCTION("""COMPUTED_VALUE"""),"Product Page")</f>
        <v>Product Page</v>
      </c>
      <c r="G219" s="7" t="b">
        <f>IFERROR(__xludf.DUMMYFUNCTION("""COMPUTED_VALUE"""),FALSE)</f>
        <v>0</v>
      </c>
      <c r="H219" s="7"/>
      <c r="I219" s="7">
        <f>IFERROR(__xludf.DUMMYFUNCTION("""COMPUTED_VALUE"""),1.0)</f>
        <v>1</v>
      </c>
      <c r="J219" s="7">
        <f>IFERROR(__xludf.DUMMYFUNCTION("""COMPUTED_VALUE"""),0.0)</f>
        <v>0</v>
      </c>
      <c r="K219" s="7">
        <f>IFERROR(__xludf.DUMMYFUNCTION("""COMPUTED_VALUE"""),0.0)</f>
        <v>0</v>
      </c>
    </row>
    <row r="220" ht="15.75" customHeight="1">
      <c r="A220" s="6" t="str">
        <f>IFERROR(__xludf.DUMMYFUNCTION("""COMPUTED_VALUE"""),"https://www.measured.com/incremental-lift-tests/")</f>
        <v>https://www.measured.com/incremental-lift-tests/</v>
      </c>
      <c r="B220" s="7" t="str">
        <f>IFERROR(__xludf.DUMMYFUNCTION("""COMPUTED_VALUE"""),"Measured: Incrementality Testing")</f>
        <v>Measured: Incrementality Testing</v>
      </c>
      <c r="C220" s="6" t="str">
        <f>IFERROR(__xludf.DUMMYFUNCTION("""COMPUTED_VALUE"""),"measured.com")</f>
        <v>measured.com</v>
      </c>
      <c r="D220" s="7" t="str">
        <f>IFERROR(__xludf.DUMMYFUNCTION("""COMPUTED_VALUE"""),"PRODUCT_PAGE")</f>
        <v>PRODUCT_PAGE</v>
      </c>
      <c r="E220" s="7" t="str">
        <f>IFERROR(__xludf.DUMMYFUNCTION("""COMPUTED_VALUE"""),"COMPETITOR")</f>
        <v>COMPETITOR</v>
      </c>
      <c r="F220" s="7" t="str">
        <f>IFERROR(__xludf.DUMMYFUNCTION("""COMPUTED_VALUE"""),"Product Page")</f>
        <v>Product Page</v>
      </c>
      <c r="G220" s="7" t="b">
        <f>IFERROR(__xludf.DUMMYFUNCTION("""COMPUTED_VALUE"""),FALSE)</f>
        <v>0</v>
      </c>
      <c r="H220" s="7" t="str">
        <f>IFERROR(__xludf.DUMMYFUNCTION("""COMPUTED_VALUE"""),"Measured")</f>
        <v>Measured</v>
      </c>
      <c r="I220" s="7">
        <f>IFERROR(__xludf.DUMMYFUNCTION("""COMPUTED_VALUE"""),1.0)</f>
        <v>1</v>
      </c>
      <c r="J220" s="7">
        <f>IFERROR(__xludf.DUMMYFUNCTION("""COMPUTED_VALUE"""),0.0)</f>
        <v>0</v>
      </c>
      <c r="K220" s="7">
        <f>IFERROR(__xludf.DUMMYFUNCTION("""COMPUTED_VALUE"""),0.0)</f>
        <v>0</v>
      </c>
    </row>
    <row r="221" ht="15.75" customHeight="1">
      <c r="A221" s="6" t="str">
        <f>IFERROR(__xludf.DUMMYFUNCTION("""COMPUTED_VALUE"""),"https://megaphonemedia.com.au/media-planning-buying-agency/")</f>
        <v>https://megaphonemedia.com.au/media-planning-buying-agency/</v>
      </c>
      <c r="B221" s="7" t="str">
        <f>IFERROR(__xludf.DUMMYFUNCTION("""COMPUTED_VALUE"""),"Media Planning and Buying Agency • Megaphone Media")</f>
        <v>Media Planning and Buying Agency • Megaphone Media</v>
      </c>
      <c r="C221" s="6" t="str">
        <f>IFERROR(__xludf.DUMMYFUNCTION("""COMPUTED_VALUE"""),"megaphonemedia.com.au")</f>
        <v>megaphonemedia.com.au</v>
      </c>
      <c r="D221" s="7" t="str">
        <f>IFERROR(__xludf.DUMMYFUNCTION("""COMPUTED_VALUE"""),"PRODUCT_PAGE")</f>
        <v>PRODUCT_PAGE</v>
      </c>
      <c r="E221" s="7" t="str">
        <f>IFERROR(__xludf.DUMMYFUNCTION("""COMPUTED_VALUE"""),"CORPORATE")</f>
        <v>CORPORATE</v>
      </c>
      <c r="F221" s="7" t="str">
        <f>IFERROR(__xludf.DUMMYFUNCTION("""COMPUTED_VALUE"""),"Product Page")</f>
        <v>Product Page</v>
      </c>
      <c r="G221" s="7" t="b">
        <f>IFERROR(__xludf.DUMMYFUNCTION("""COMPUTED_VALUE"""),FALSE)</f>
        <v>0</v>
      </c>
      <c r="H221" s="7" t="str">
        <f>IFERROR(__xludf.DUMMYFUNCTION("""COMPUTED_VALUE"""),"Megaphone, HERO")</f>
        <v>Megaphone, HERO</v>
      </c>
      <c r="I221" s="7">
        <f>IFERROR(__xludf.DUMMYFUNCTION("""COMPUTED_VALUE"""),1.0)</f>
        <v>1</v>
      </c>
      <c r="J221" s="7">
        <f>IFERROR(__xludf.DUMMYFUNCTION("""COMPUTED_VALUE"""),0.0)</f>
        <v>0</v>
      </c>
      <c r="K221" s="7">
        <f>IFERROR(__xludf.DUMMYFUNCTION("""COMPUTED_VALUE"""),1.0)</f>
        <v>1</v>
      </c>
    </row>
    <row r="222" ht="15.75" customHeight="1">
      <c r="A222" s="6" t="str">
        <f>IFERROR(__xludf.DUMMYFUNCTION("""COMPUTED_VALUE"""),"https://megaphonemedia.com.au/meta-ads-agency/")</f>
        <v>https://megaphonemedia.com.au/meta-ads-agency/</v>
      </c>
      <c r="B222" s="7" t="str">
        <f>IFERROR(__xludf.DUMMYFUNCTION("""COMPUTED_VALUE"""),"Meta Ads Agency • Megaphone Media")</f>
        <v>Meta Ads Agency • Megaphone Media</v>
      </c>
      <c r="C222" s="6" t="str">
        <f>IFERROR(__xludf.DUMMYFUNCTION("""COMPUTED_VALUE"""),"megaphonemedia.com.au")</f>
        <v>megaphonemedia.com.au</v>
      </c>
      <c r="D222" s="7" t="str">
        <f>IFERROR(__xludf.DUMMYFUNCTION("""COMPUTED_VALUE"""),"PRODUCT_PAGE")</f>
        <v>PRODUCT_PAGE</v>
      </c>
      <c r="E222" s="7" t="str">
        <f>IFERROR(__xludf.DUMMYFUNCTION("""COMPUTED_VALUE"""),"CORPORATE")</f>
        <v>CORPORATE</v>
      </c>
      <c r="F222" s="7" t="str">
        <f>IFERROR(__xludf.DUMMYFUNCTION("""COMPUTED_VALUE"""),"Product Page")</f>
        <v>Product Page</v>
      </c>
      <c r="G222" s="7" t="b">
        <f>IFERROR(__xludf.DUMMYFUNCTION("""COMPUTED_VALUE"""),FALSE)</f>
        <v>0</v>
      </c>
      <c r="H222" s="7" t="str">
        <f>IFERROR(__xludf.DUMMYFUNCTION("""COMPUTED_VALUE"""),"Megaphone, HERO")</f>
        <v>Megaphone, HERO</v>
      </c>
      <c r="I222" s="7">
        <f>IFERROR(__xludf.DUMMYFUNCTION("""COMPUTED_VALUE"""),1.0)</f>
        <v>1</v>
      </c>
      <c r="J222" s="7">
        <f>IFERROR(__xludf.DUMMYFUNCTION("""COMPUTED_VALUE"""),0.0)</f>
        <v>0</v>
      </c>
      <c r="K222" s="7">
        <f>IFERROR(__xludf.DUMMYFUNCTION("""COMPUTED_VALUE"""),1.0)</f>
        <v>1</v>
      </c>
    </row>
    <row r="223" ht="15.75" customHeight="1">
      <c r="A223" s="6" t="str">
        <f>IFERROR(__xludf.DUMMYFUNCTION("""COMPUTED_VALUE"""),"https://www.merkle.com/en/about-us/partnerships/google/solutions.html")</f>
        <v>https://www.merkle.com/en/about-us/partnerships/google/solutions.html</v>
      </c>
      <c r="B223" s="7" t="str">
        <f>IFERROR(__xludf.DUMMYFUNCTION("""COMPUTED_VALUE"""),"Our Suite of Google Solutions by Merkle")</f>
        <v>Our Suite of Google Solutions by Merkle</v>
      </c>
      <c r="C223" s="6" t="str">
        <f>IFERROR(__xludf.DUMMYFUNCTION("""COMPUTED_VALUE"""),"merkle.com")</f>
        <v>merkle.com</v>
      </c>
      <c r="D223" s="7" t="str">
        <f>IFERROR(__xludf.DUMMYFUNCTION("""COMPUTED_VALUE"""),"PRODUCT_PAGE")</f>
        <v>PRODUCT_PAGE</v>
      </c>
      <c r="E223" s="7" t="str">
        <f>IFERROR(__xludf.DUMMYFUNCTION("""COMPUTED_VALUE"""),"CORPORATE")</f>
        <v>CORPORATE</v>
      </c>
      <c r="F223" s="7" t="str">
        <f>IFERROR(__xludf.DUMMYFUNCTION("""COMPUTED_VALUE"""),"Product Page")</f>
        <v>Product Page</v>
      </c>
      <c r="G223" s="7" t="b">
        <f>IFERROR(__xludf.DUMMYFUNCTION("""COMPUTED_VALUE"""),FALSE)</f>
        <v>0</v>
      </c>
      <c r="H223" s="7" t="str">
        <f>IFERROR(__xludf.DUMMYFUNCTION("""COMPUTED_VALUE"""),"Huge, Dentsu")</f>
        <v>Huge, Dentsu</v>
      </c>
      <c r="I223" s="7">
        <f>IFERROR(__xludf.DUMMYFUNCTION("""COMPUTED_VALUE"""),1.0)</f>
        <v>1</v>
      </c>
      <c r="J223" s="7">
        <f>IFERROR(__xludf.DUMMYFUNCTION("""COMPUTED_VALUE"""),0.0)</f>
        <v>0</v>
      </c>
      <c r="K223" s="7">
        <f>IFERROR(__xludf.DUMMYFUNCTION("""COMPUTED_VALUE"""),0.0)</f>
        <v>0</v>
      </c>
    </row>
    <row r="224" ht="15.75" customHeight="1">
      <c r="A224" s="6" t="str">
        <f>IFERROR(__xludf.DUMMYFUNCTION("""COMPUTED_VALUE"""),"https://metriclabs.com.au/performance-media-services/")</f>
        <v>https://metriclabs.com.au/performance-media-services/</v>
      </c>
      <c r="B224" s="7" t="str">
        <f>IFERROR(__xludf.DUMMYFUNCTION("""COMPUTED_VALUE"""),"Performance Media Services | Paid Search and SEO | Metric Labs")</f>
        <v>Performance Media Services | Paid Search and SEO | Metric Labs</v>
      </c>
      <c r="C224" s="6" t="str">
        <f>IFERROR(__xludf.DUMMYFUNCTION("""COMPUTED_VALUE"""),"metriclabs.com.au")</f>
        <v>metriclabs.com.au</v>
      </c>
      <c r="D224" s="7" t="str">
        <f>IFERROR(__xludf.DUMMYFUNCTION("""COMPUTED_VALUE"""),"PRODUCT_PAGE")</f>
        <v>PRODUCT_PAGE</v>
      </c>
      <c r="E224" s="7" t="str">
        <f>IFERROR(__xludf.DUMMYFUNCTION("""COMPUTED_VALUE"""),"COMPETITOR")</f>
        <v>COMPETITOR</v>
      </c>
      <c r="F224" s="7" t="str">
        <f>IFERROR(__xludf.DUMMYFUNCTION("""COMPUTED_VALUE"""),"Product Page")</f>
        <v>Product Page</v>
      </c>
      <c r="G224" s="7" t="b">
        <f>IFERROR(__xludf.DUMMYFUNCTION("""COMPUTED_VALUE"""),FALSE)</f>
        <v>0</v>
      </c>
      <c r="H224" s="7" t="str">
        <f>IFERROR(__xludf.DUMMYFUNCTION("""COMPUTED_VALUE"""),"Metric Labs")</f>
        <v>Metric Labs</v>
      </c>
      <c r="I224" s="7">
        <f>IFERROR(__xludf.DUMMYFUNCTION("""COMPUTED_VALUE"""),1.0)</f>
        <v>1</v>
      </c>
      <c r="J224" s="7">
        <f>IFERROR(__xludf.DUMMYFUNCTION("""COMPUTED_VALUE"""),0.0)</f>
        <v>0</v>
      </c>
      <c r="K224" s="7">
        <f>IFERROR(__xludf.DUMMYFUNCTION("""COMPUTED_VALUE"""),1.0)</f>
        <v>1</v>
      </c>
    </row>
    <row r="225" ht="15.75" customHeight="1">
      <c r="A225" s="6" t="str">
        <f>IFERROR(__xludf.DUMMYFUNCTION("""COMPUTED_VALUE"""),"https://www.moveaheadmedia.com.au/paid-media/programmatic/#:~:text=Move%20Ahead%20Media%20will%20assign%20you%20a,a%20significant%20return%20on%20your%20advertising%20investment.")</f>
        <v>https://www.moveaheadmedia.com.au/paid-media/programmatic/#:~:text=Move%20Ahead%20Media%20will%20assign%20you%20a,a%20significant%20return%20on%20your%20advertising%20investment.</v>
      </c>
      <c r="B225" s="7" t="str">
        <f>IFERROR(__xludf.DUMMYFUNCTION("""COMPUTED_VALUE"""),"Programmatic Advertising Agency | Move Ahead Media")</f>
        <v>Programmatic Advertising Agency | Move Ahead Media</v>
      </c>
      <c r="C225" s="6" t="str">
        <f>IFERROR(__xludf.DUMMYFUNCTION("""COMPUTED_VALUE"""),"moveaheadmedia.com.au")</f>
        <v>moveaheadmedia.com.au</v>
      </c>
      <c r="D225" s="7" t="str">
        <f>IFERROR(__xludf.DUMMYFUNCTION("""COMPUTED_VALUE"""),"PRODUCT_PAGE")</f>
        <v>PRODUCT_PAGE</v>
      </c>
      <c r="E225" s="7" t="str">
        <f>IFERROR(__xludf.DUMMYFUNCTION("""COMPUTED_VALUE"""),"CORPORATE")</f>
        <v>CORPORATE</v>
      </c>
      <c r="F225" s="7" t="str">
        <f>IFERROR(__xludf.DUMMYFUNCTION("""COMPUTED_VALUE"""),"Product Page")</f>
        <v>Product Page</v>
      </c>
      <c r="G225" s="7" t="b">
        <f>IFERROR(__xludf.DUMMYFUNCTION("""COMPUTED_VALUE"""),FALSE)</f>
        <v>0</v>
      </c>
      <c r="H225" s="7"/>
      <c r="I225" s="7">
        <f>IFERROR(__xludf.DUMMYFUNCTION("""COMPUTED_VALUE"""),1.0)</f>
        <v>1</v>
      </c>
      <c r="J225" s="7">
        <f>IFERROR(__xludf.DUMMYFUNCTION("""COMPUTED_VALUE"""),0.0)</f>
        <v>0</v>
      </c>
      <c r="K225" s="7">
        <f>IFERROR(__xludf.DUMMYFUNCTION("""COMPUTED_VALUE"""),1.0)</f>
        <v>1</v>
      </c>
    </row>
    <row r="226" ht="15.75" customHeight="1">
      <c r="A226" s="6" t="str">
        <f>IFERROR(__xludf.DUMMYFUNCTION("""COMPUTED_VALUE"""),"https://www.mvrdigital.co/services/data-analytics")</f>
        <v>https://www.mvrdigital.co/services/data-analytics</v>
      </c>
      <c r="B226" s="7" t="str">
        <f>IFERROR(__xludf.DUMMYFUNCTION("""COMPUTED_VALUE"""),"Marketing Analytics &amp;amp; GA4 Agency | Data, Tracking, Attribution | MVR Digital")</f>
        <v>Marketing Analytics &amp;amp; GA4 Agency | Data, Tracking, Attribution | MVR Digital</v>
      </c>
      <c r="C226" s="6" t="str">
        <f>IFERROR(__xludf.DUMMYFUNCTION("""COMPUTED_VALUE"""),"mvrdigital.co")</f>
        <v>mvrdigital.co</v>
      </c>
      <c r="D226" s="7" t="str">
        <f>IFERROR(__xludf.DUMMYFUNCTION("""COMPUTED_VALUE"""),"PRODUCT_PAGE")</f>
        <v>PRODUCT_PAGE</v>
      </c>
      <c r="E226" s="7" t="str">
        <f>IFERROR(__xludf.DUMMYFUNCTION("""COMPUTED_VALUE"""),"CORPORATE")</f>
        <v>CORPORATE</v>
      </c>
      <c r="F226" s="7" t="str">
        <f>IFERROR(__xludf.DUMMYFUNCTION("""COMPUTED_VALUE"""),"Product Page")</f>
        <v>Product Page</v>
      </c>
      <c r="G226" s="7" t="b">
        <f>IFERROR(__xludf.DUMMYFUNCTION("""COMPUTED_VALUE"""),FALSE)</f>
        <v>0</v>
      </c>
      <c r="H226" s="7"/>
      <c r="I226" s="7">
        <f>IFERROR(__xludf.DUMMYFUNCTION("""COMPUTED_VALUE"""),1.0)</f>
        <v>1</v>
      </c>
      <c r="J226" s="7">
        <f>IFERROR(__xludf.DUMMYFUNCTION("""COMPUTED_VALUE"""),0.0)</f>
        <v>0</v>
      </c>
      <c r="K226" s="7">
        <f>IFERROR(__xludf.DUMMYFUNCTION("""COMPUTED_VALUE"""),0.0)</f>
        <v>0</v>
      </c>
    </row>
    <row r="227" ht="15.75" customHeight="1">
      <c r="A227" s="6" t="str">
        <f>IFERROR(__xludf.DUMMYFUNCTION("""COMPUTED_VALUE"""),"https://nexttabagency.com/services/social-media-ads/")</f>
        <v>https://nexttabagency.com/services/social-media-ads/</v>
      </c>
      <c r="B227" s="7" t="str">
        <f>IFERROR(__xludf.DUMMYFUNCTION("""COMPUTED_VALUE"""),"Social Media Advertising Agency Australia — Facebook, Instagram, TikTok, LinkedIn Ads | Next Tab Agency")</f>
        <v>Social Media Advertising Agency Australia — Facebook, Instagram, TikTok, LinkedIn Ads | Next Tab Agency</v>
      </c>
      <c r="C227" s="6" t="str">
        <f>IFERROR(__xludf.DUMMYFUNCTION("""COMPUTED_VALUE"""),"nexttabagency.com")</f>
        <v>nexttabagency.com</v>
      </c>
      <c r="D227" s="7" t="str">
        <f>IFERROR(__xludf.DUMMYFUNCTION("""COMPUTED_VALUE"""),"PRODUCT_PAGE")</f>
        <v>PRODUCT_PAGE</v>
      </c>
      <c r="E227" s="7" t="str">
        <f>IFERROR(__xludf.DUMMYFUNCTION("""COMPUTED_VALUE"""),"CORPORATE")</f>
        <v>CORPORATE</v>
      </c>
      <c r="F227" s="7" t="str">
        <f>IFERROR(__xludf.DUMMYFUNCTION("""COMPUTED_VALUE"""),"Product Page")</f>
        <v>Product Page</v>
      </c>
      <c r="G227" s="7" t="b">
        <f>IFERROR(__xludf.DUMMYFUNCTION("""COMPUTED_VALUE"""),FALSE)</f>
        <v>0</v>
      </c>
      <c r="H227" s="7"/>
      <c r="I227" s="7">
        <f>IFERROR(__xludf.DUMMYFUNCTION("""COMPUTED_VALUE"""),1.0)</f>
        <v>1</v>
      </c>
      <c r="J227" s="7">
        <f>IFERROR(__xludf.DUMMYFUNCTION("""COMPUTED_VALUE"""),0.0)</f>
        <v>0</v>
      </c>
      <c r="K227" s="7">
        <f>IFERROR(__xludf.DUMMYFUNCTION("""COMPUTED_VALUE"""),0.0)</f>
        <v>0</v>
      </c>
    </row>
    <row r="228" ht="15.75" customHeight="1">
      <c r="A228" s="6" t="str">
        <f>IFERROR(__xludf.DUMMYFUNCTION("""COMPUTED_VALUE"""),"https://nimbull.com.au/ai-consulting/")</f>
        <v>https://nimbull.com.au/ai-consulting/</v>
      </c>
      <c r="B228" s="7" t="str">
        <f>IFERROR(__xludf.DUMMYFUNCTION("""COMPUTED_VALUE"""),"AI Consulting for Businesses | Nimbull Sydney")</f>
        <v>AI Consulting for Businesses | Nimbull Sydney</v>
      </c>
      <c r="C228" s="6" t="str">
        <f>IFERROR(__xludf.DUMMYFUNCTION("""COMPUTED_VALUE"""),"nimbull.com.au")</f>
        <v>nimbull.com.au</v>
      </c>
      <c r="D228" s="7" t="str">
        <f>IFERROR(__xludf.DUMMYFUNCTION("""COMPUTED_VALUE"""),"PRODUCT_PAGE")</f>
        <v>PRODUCT_PAGE</v>
      </c>
      <c r="E228" s="7" t="str">
        <f>IFERROR(__xludf.DUMMYFUNCTION("""COMPUTED_VALUE"""),"CORPORATE")</f>
        <v>CORPORATE</v>
      </c>
      <c r="F228" s="7" t="str">
        <f>IFERROR(__xludf.DUMMYFUNCTION("""COMPUTED_VALUE"""),"Product Page")</f>
        <v>Product Page</v>
      </c>
      <c r="G228" s="7" t="b">
        <f>IFERROR(__xludf.DUMMYFUNCTION("""COMPUTED_VALUE"""),FALSE)</f>
        <v>0</v>
      </c>
      <c r="H228" s="7" t="str">
        <f>IFERROR(__xludf.DUMMYFUNCTION("""COMPUTED_VALUE"""),"Get AI Ready")</f>
        <v>Get AI Ready</v>
      </c>
      <c r="I228" s="7">
        <f>IFERROR(__xludf.DUMMYFUNCTION("""COMPUTED_VALUE"""),1.0)</f>
        <v>1</v>
      </c>
      <c r="J228" s="7">
        <f>IFERROR(__xludf.DUMMYFUNCTION("""COMPUTED_VALUE"""),0.0)</f>
        <v>0</v>
      </c>
      <c r="K228" s="7">
        <f>IFERROR(__xludf.DUMMYFUNCTION("""COMPUTED_VALUE"""),0.0)</f>
        <v>0</v>
      </c>
    </row>
    <row r="229" ht="15.75" customHeight="1">
      <c r="A229" s="6" t="str">
        <f>IFERROR(__xludf.DUMMYFUNCTION("""COMPUTED_VALUE"""),"https://odindigital.com.au/services/instagram-advertising")</f>
        <v>https://odindigital.com.au/services/instagram-advertising</v>
      </c>
      <c r="B229" s="7" t="str">
        <f>IFERROR(__xludf.DUMMYFUNCTION("""COMPUTED_VALUE"""),"Digital Marketing Agency Australia | Odin Digital")</f>
        <v>Digital Marketing Agency Australia | Odin Digital</v>
      </c>
      <c r="C229" s="6" t="str">
        <f>IFERROR(__xludf.DUMMYFUNCTION("""COMPUTED_VALUE"""),"odindigital.com.au")</f>
        <v>odindigital.com.au</v>
      </c>
      <c r="D229" s="7" t="str">
        <f>IFERROR(__xludf.DUMMYFUNCTION("""COMPUTED_VALUE"""),"PRODUCT_PAGE")</f>
        <v>PRODUCT_PAGE</v>
      </c>
      <c r="E229" s="7" t="str">
        <f>IFERROR(__xludf.DUMMYFUNCTION("""COMPUTED_VALUE"""),"CORPORATE")</f>
        <v>CORPORATE</v>
      </c>
      <c r="F229" s="7" t="str">
        <f>IFERROR(__xludf.DUMMYFUNCTION("""COMPUTED_VALUE"""),"Product Page")</f>
        <v>Product Page</v>
      </c>
      <c r="G229" s="7" t="b">
        <f>IFERROR(__xludf.DUMMYFUNCTION("""COMPUTED_VALUE"""),FALSE)</f>
        <v>0</v>
      </c>
      <c r="H229" s="7" t="str">
        <f>IFERROR(__xludf.DUMMYFUNCTION("""COMPUTED_VALUE"""),"HERO, First Page")</f>
        <v>HERO, First Page</v>
      </c>
      <c r="I229" s="7">
        <f>IFERROR(__xludf.DUMMYFUNCTION("""COMPUTED_VALUE"""),1.0)</f>
        <v>1</v>
      </c>
      <c r="J229" s="7">
        <f>IFERROR(__xludf.DUMMYFUNCTION("""COMPUTED_VALUE"""),0.0)</f>
        <v>0</v>
      </c>
      <c r="K229" s="7">
        <f>IFERROR(__xludf.DUMMYFUNCTION("""COMPUTED_VALUE"""),0.0)</f>
        <v>0</v>
      </c>
    </row>
    <row r="230" ht="15.75" customHeight="1">
      <c r="A230" s="6" t="str">
        <f>IFERROR(__xludf.DUMMYFUNCTION("""COMPUTED_VALUE"""),"https://www.oneorangecow.com/services/generative-engine-optimisation-geo-services-sydney")</f>
        <v>https://www.oneorangecow.com/services/generative-engine-optimisation-geo-services-sydney</v>
      </c>
      <c r="B230" s="7" t="str">
        <f>IFERROR(__xludf.DUMMYFUNCTION("""COMPUTED_VALUE"""),"One Orange Cow | GEO Services Sydney - One Orange Cow")</f>
        <v>One Orange Cow | GEO Services Sydney - One Orange Cow</v>
      </c>
      <c r="C230" s="6" t="str">
        <f>IFERROR(__xludf.DUMMYFUNCTION("""COMPUTED_VALUE"""),"oneorangecow.com")</f>
        <v>oneorangecow.com</v>
      </c>
      <c r="D230" s="7" t="str">
        <f>IFERROR(__xludf.DUMMYFUNCTION("""COMPUTED_VALUE"""),"PRODUCT_PAGE")</f>
        <v>PRODUCT_PAGE</v>
      </c>
      <c r="E230" s="7" t="str">
        <f>IFERROR(__xludf.DUMMYFUNCTION("""COMPUTED_VALUE"""),"CORPORATE")</f>
        <v>CORPORATE</v>
      </c>
      <c r="F230" s="7" t="str">
        <f>IFERROR(__xludf.DUMMYFUNCTION("""COMPUTED_VALUE"""),"Product Page")</f>
        <v>Product Page</v>
      </c>
      <c r="G230" s="7" t="b">
        <f>IFERROR(__xludf.DUMMYFUNCTION("""COMPUTED_VALUE"""),FALSE)</f>
        <v>0</v>
      </c>
      <c r="H230" s="7"/>
      <c r="I230" s="7">
        <f>IFERROR(__xludf.DUMMYFUNCTION("""COMPUTED_VALUE"""),1.0)</f>
        <v>1</v>
      </c>
      <c r="J230" s="7">
        <f>IFERROR(__xludf.DUMMYFUNCTION("""COMPUTED_VALUE"""),0.0)</f>
        <v>0</v>
      </c>
      <c r="K230" s="7">
        <f>IFERROR(__xludf.DUMMYFUNCTION("""COMPUTED_VALUE"""),2.0)</f>
        <v>2</v>
      </c>
    </row>
    <row r="231" ht="15.75" customHeight="1">
      <c r="A231" s="6" t="str">
        <f>IFERROR(__xludf.DUMMYFUNCTION("""COMPUTED_VALUE"""),"https://osher.com.au/ai-consulting-brisbane/")</f>
        <v>https://osher.com.au/ai-consulting-brisbane/</v>
      </c>
      <c r="B231" s="7" t="str">
        <f>IFERROR(__xludf.DUMMYFUNCTION("""COMPUTED_VALUE"""),"AI Consulting Brisbane | AI Consultants for Business | Osher Digital")</f>
        <v>AI Consulting Brisbane | AI Consultants for Business | Osher Digital</v>
      </c>
      <c r="C231" s="6" t="str">
        <f>IFERROR(__xludf.DUMMYFUNCTION("""COMPUTED_VALUE"""),"osher.com.au")</f>
        <v>osher.com.au</v>
      </c>
      <c r="D231" s="7" t="str">
        <f>IFERROR(__xludf.DUMMYFUNCTION("""COMPUTED_VALUE"""),"PRODUCT_PAGE")</f>
        <v>PRODUCT_PAGE</v>
      </c>
      <c r="E231" s="7" t="str">
        <f>IFERROR(__xludf.DUMMYFUNCTION("""COMPUTED_VALUE"""),"CORPORATE")</f>
        <v>CORPORATE</v>
      </c>
      <c r="F231" s="7" t="str">
        <f>IFERROR(__xludf.DUMMYFUNCTION("""COMPUTED_VALUE"""),"Product Page")</f>
        <v>Product Page</v>
      </c>
      <c r="G231" s="7" t="b">
        <f>IFERROR(__xludf.DUMMYFUNCTION("""COMPUTED_VALUE"""),FALSE)</f>
        <v>0</v>
      </c>
      <c r="H231" s="7"/>
      <c r="I231" s="7">
        <f>IFERROR(__xludf.DUMMYFUNCTION("""COMPUTED_VALUE"""),1.0)</f>
        <v>1</v>
      </c>
      <c r="J231" s="7">
        <f>IFERROR(__xludf.DUMMYFUNCTION("""COMPUTED_VALUE"""),0.0)</f>
        <v>0</v>
      </c>
      <c r="K231" s="7">
        <f>IFERROR(__xludf.DUMMYFUNCTION("""COMPUTED_VALUE"""),0.0)</f>
        <v>0</v>
      </c>
    </row>
    <row r="232" ht="15.75" customHeight="1">
      <c r="A232" s="6" t="str">
        <f>IFERROR(__xludf.DUMMYFUNCTION("""COMPUTED_VALUE"""),"https://www.paisdigital.com.au/conversion-rate-optimisation/")</f>
        <v>https://www.paisdigital.com.au/conversion-rate-optimisation/</v>
      </c>
      <c r="B232" s="7" t="str">
        <f>IFERROR(__xludf.DUMMYFUNCTION("""COMPUTED_VALUE"""),"Australia's Most Dynamic Conversion Rate Optimisation Agency")</f>
        <v>Australia's Most Dynamic Conversion Rate Optimisation Agency</v>
      </c>
      <c r="C232" s="6" t="str">
        <f>IFERROR(__xludf.DUMMYFUNCTION("""COMPUTED_VALUE"""),"paisdigital.com.au")</f>
        <v>paisdigital.com.au</v>
      </c>
      <c r="D232" s="7" t="str">
        <f>IFERROR(__xludf.DUMMYFUNCTION("""COMPUTED_VALUE"""),"PRODUCT_PAGE")</f>
        <v>PRODUCT_PAGE</v>
      </c>
      <c r="E232" s="7" t="str">
        <f>IFERROR(__xludf.DUMMYFUNCTION("""COMPUTED_VALUE"""),"CORPORATE")</f>
        <v>CORPORATE</v>
      </c>
      <c r="F232" s="7" t="str">
        <f>IFERROR(__xludf.DUMMYFUNCTION("""COMPUTED_VALUE"""),"Product Page")</f>
        <v>Product Page</v>
      </c>
      <c r="G232" s="7" t="b">
        <f>IFERROR(__xludf.DUMMYFUNCTION("""COMPUTED_VALUE"""),FALSE)</f>
        <v>0</v>
      </c>
      <c r="H232" s="7"/>
      <c r="I232" s="7">
        <f>IFERROR(__xludf.DUMMYFUNCTION("""COMPUTED_VALUE"""),1.0)</f>
        <v>1</v>
      </c>
      <c r="J232" s="7">
        <f>IFERROR(__xludf.DUMMYFUNCTION("""COMPUTED_VALUE"""),0.0)</f>
        <v>0</v>
      </c>
      <c r="K232" s="7">
        <f>IFERROR(__xludf.DUMMYFUNCTION("""COMPUTED_VALUE"""),0.0)</f>
        <v>0</v>
      </c>
    </row>
    <row r="233" ht="15.75" customHeight="1">
      <c r="A233" s="6" t="str">
        <f>IFERROR(__xludf.DUMMYFUNCTION("""COMPUTED_VALUE"""),"https://www.paulmartinmarketing.com/ai-search-consultant/")</f>
        <v>https://www.paulmartinmarketing.com/ai-search-consultant/</v>
      </c>
      <c r="B233" s="7" t="str">
        <f>IFERROR(__xludf.DUMMYFUNCTION("""COMPUTED_VALUE"""),"AI Search &amp;amp; GEO Consultant | Paul Martin Marketing")</f>
        <v>AI Search &amp;amp; GEO Consultant | Paul Martin Marketing</v>
      </c>
      <c r="C233" s="6" t="str">
        <f>IFERROR(__xludf.DUMMYFUNCTION("""COMPUTED_VALUE"""),"paulmartinmarketing.com")</f>
        <v>paulmartinmarketing.com</v>
      </c>
      <c r="D233" s="7" t="str">
        <f>IFERROR(__xludf.DUMMYFUNCTION("""COMPUTED_VALUE"""),"PRODUCT_PAGE")</f>
        <v>PRODUCT_PAGE</v>
      </c>
      <c r="E233" s="7" t="str">
        <f>IFERROR(__xludf.DUMMYFUNCTION("""COMPUTED_VALUE"""),"CORPORATE")</f>
        <v>CORPORATE</v>
      </c>
      <c r="F233" s="7" t="str">
        <f>IFERROR(__xludf.DUMMYFUNCTION("""COMPUTED_VALUE"""),"Product Page")</f>
        <v>Product Page</v>
      </c>
      <c r="G233" s="7" t="b">
        <f>IFERROR(__xludf.DUMMYFUNCTION("""COMPUTED_VALUE"""),FALSE)</f>
        <v>0</v>
      </c>
      <c r="H233" s="7" t="str">
        <f>IFERROR(__xludf.DUMMYFUNCTION("""COMPUTED_VALUE"""),"Huge")</f>
        <v>Huge</v>
      </c>
      <c r="I233" s="7">
        <f>IFERROR(__xludf.DUMMYFUNCTION("""COMPUTED_VALUE"""),1.0)</f>
        <v>1</v>
      </c>
      <c r="J233" s="7">
        <f>IFERROR(__xludf.DUMMYFUNCTION("""COMPUTED_VALUE"""),0.0)</f>
        <v>0</v>
      </c>
      <c r="K233" s="7">
        <f>IFERROR(__xludf.DUMMYFUNCTION("""COMPUTED_VALUE"""),2.0)</f>
        <v>2</v>
      </c>
    </row>
    <row r="234" ht="15.75" customHeight="1">
      <c r="A234" s="6" t="str">
        <f>IFERROR(__xludf.DUMMYFUNCTION("""COMPUTED_VALUE"""),"https://www.pivotalagency.com.au/google-ads-management")</f>
        <v>https://www.pivotalagency.com.au/google-ads-management</v>
      </c>
      <c r="B234" s="7" t="str">
        <f>IFERROR(__xludf.DUMMYFUNCTION("""COMPUTED_VALUE"""),"Google Ads Management Gold Coast &amp;amp; Brisbane | Pivotal Agency")</f>
        <v>Google Ads Management Gold Coast &amp;amp; Brisbane | Pivotal Agency</v>
      </c>
      <c r="C234" s="6" t="str">
        <f>IFERROR(__xludf.DUMMYFUNCTION("""COMPUTED_VALUE"""),"pivotalagency.com.au")</f>
        <v>pivotalagency.com.au</v>
      </c>
      <c r="D234" s="7" t="str">
        <f>IFERROR(__xludf.DUMMYFUNCTION("""COMPUTED_VALUE"""),"PRODUCT_PAGE")</f>
        <v>PRODUCT_PAGE</v>
      </c>
      <c r="E234" s="7" t="str">
        <f>IFERROR(__xludf.DUMMYFUNCTION("""COMPUTED_VALUE"""),"CORPORATE")</f>
        <v>CORPORATE</v>
      </c>
      <c r="F234" s="7" t="str">
        <f>IFERROR(__xludf.DUMMYFUNCTION("""COMPUTED_VALUE"""),"Product Page")</f>
        <v>Product Page</v>
      </c>
      <c r="G234" s="7" t="b">
        <f>IFERROR(__xludf.DUMMYFUNCTION("""COMPUTED_VALUE"""),FALSE)</f>
        <v>0</v>
      </c>
      <c r="H234" s="7"/>
      <c r="I234" s="7">
        <f>IFERROR(__xludf.DUMMYFUNCTION("""COMPUTED_VALUE"""),1.0)</f>
        <v>1</v>
      </c>
      <c r="J234" s="7">
        <f>IFERROR(__xludf.DUMMYFUNCTION("""COMPUTED_VALUE"""),0.0)</f>
        <v>0</v>
      </c>
      <c r="K234" s="7">
        <f>IFERROR(__xludf.DUMMYFUNCTION("""COMPUTED_VALUE"""),1.0)</f>
        <v>1</v>
      </c>
    </row>
    <row r="235" ht="15.75" customHeight="1">
      <c r="A235" s="6" t="str">
        <f>IFERROR(__xludf.DUMMYFUNCTION("""COMPUTED_VALUE"""),"https://www.pmgs.com.au/industries/ecommerce/")</f>
        <v>https://www.pmgs.com.au/industries/ecommerce/</v>
      </c>
      <c r="B235" s="7" t="str">
        <f>IFERROR(__xludf.DUMMYFUNCTION("""COMPUTED_VALUE"""),"eCommerce Marketing Agency Melbourne | PMGS")</f>
        <v>eCommerce Marketing Agency Melbourne | PMGS</v>
      </c>
      <c r="C235" s="6" t="str">
        <f>IFERROR(__xludf.DUMMYFUNCTION("""COMPUTED_VALUE"""),"pmgs.com.au")</f>
        <v>pmgs.com.au</v>
      </c>
      <c r="D235" s="7" t="str">
        <f>IFERROR(__xludf.DUMMYFUNCTION("""COMPUTED_VALUE"""),"PRODUCT_PAGE")</f>
        <v>PRODUCT_PAGE</v>
      </c>
      <c r="E235" s="7" t="str">
        <f>IFERROR(__xludf.DUMMYFUNCTION("""COMPUTED_VALUE"""),"CORPORATE")</f>
        <v>CORPORATE</v>
      </c>
      <c r="F235" s="7" t="str">
        <f>IFERROR(__xludf.DUMMYFUNCTION("""COMPUTED_VALUE"""),"Product Page")</f>
        <v>Product Page</v>
      </c>
      <c r="G235" s="7" t="b">
        <f>IFERROR(__xludf.DUMMYFUNCTION("""COMPUTED_VALUE"""),FALSE)</f>
        <v>0</v>
      </c>
      <c r="H235" s="7" t="str">
        <f>IFERROR(__xludf.DUMMYFUNCTION("""COMPUTED_VALUE"""),"Impressive")</f>
        <v>Impressive</v>
      </c>
      <c r="I235" s="7">
        <f>IFERROR(__xludf.DUMMYFUNCTION("""COMPUTED_VALUE"""),1.0)</f>
        <v>1</v>
      </c>
      <c r="J235" s="7">
        <f>IFERROR(__xludf.DUMMYFUNCTION("""COMPUTED_VALUE"""),0.0)</f>
        <v>0</v>
      </c>
      <c r="K235" s="7">
        <f>IFERROR(__xludf.DUMMYFUNCTION("""COMPUTED_VALUE"""),1.0)</f>
        <v>1</v>
      </c>
    </row>
    <row r="236" ht="15.75" customHeight="1">
      <c r="A236" s="6" t="str">
        <f>IFERROR(__xludf.DUMMYFUNCTION("""COMPUTED_VALUE"""),"https://prosperitymedia.com.au/digital-pr-packages/")</f>
        <v>https://prosperitymedia.com.au/digital-pr-packages/</v>
      </c>
      <c r="B236" s="7" t="str">
        <f>IFERROR(__xludf.DUMMYFUNCTION("""COMPUTED_VALUE"""),"Award-Winning Digital PR Agency Australia - Prosperity Media")</f>
        <v>Award-Winning Digital PR Agency Australia - Prosperity Media</v>
      </c>
      <c r="C236" s="6" t="str">
        <f>IFERROR(__xludf.DUMMYFUNCTION("""COMPUTED_VALUE"""),"prosperitymedia.com.au")</f>
        <v>prosperitymedia.com.au</v>
      </c>
      <c r="D236" s="7" t="str">
        <f>IFERROR(__xludf.DUMMYFUNCTION("""COMPUTED_VALUE"""),"PRODUCT_PAGE")</f>
        <v>PRODUCT_PAGE</v>
      </c>
      <c r="E236" s="7" t="str">
        <f>IFERROR(__xludf.DUMMYFUNCTION("""COMPUTED_VALUE"""),"COMPETITOR")</f>
        <v>COMPETITOR</v>
      </c>
      <c r="F236" s="7" t="str">
        <f>IFERROR(__xludf.DUMMYFUNCTION("""COMPUTED_VALUE"""),"Product Page")</f>
        <v>Product Page</v>
      </c>
      <c r="G236" s="7" t="b">
        <f>IFERROR(__xludf.DUMMYFUNCTION("""COMPUTED_VALUE"""),FALSE)</f>
        <v>0</v>
      </c>
      <c r="H236" s="7" t="str">
        <f>IFERROR(__xludf.DUMMYFUNCTION("""COMPUTED_VALUE"""),"Prosperity Media, HERO")</f>
        <v>Prosperity Media, HERO</v>
      </c>
      <c r="I236" s="7">
        <f>IFERROR(__xludf.DUMMYFUNCTION("""COMPUTED_VALUE"""),1.0)</f>
        <v>1</v>
      </c>
      <c r="J236" s="7">
        <f>IFERROR(__xludf.DUMMYFUNCTION("""COMPUTED_VALUE"""),0.0)</f>
        <v>0</v>
      </c>
      <c r="K236" s="7">
        <f>IFERROR(__xludf.DUMMYFUNCTION("""COMPUTED_VALUE"""),1.0)</f>
        <v>1</v>
      </c>
    </row>
    <row r="237" ht="15.75" customHeight="1">
      <c r="A237" s="6" t="str">
        <f>IFERROR(__xludf.DUMMYFUNCTION("""COMPUTED_VALUE"""),"https://rapidmedia.com.au/market-research/")</f>
        <v>https://rapidmedia.com.au/market-research/</v>
      </c>
      <c r="B237" s="7" t="str">
        <f>IFERROR(__xludf.DUMMYFUNCTION("""COMPUTED_VALUE"""),"Market Research &amp;amp; Insights | Strategic Market Research Agency Australia")</f>
        <v>Market Research &amp;amp; Insights | Strategic Market Research Agency Australia</v>
      </c>
      <c r="C237" s="6" t="str">
        <f>IFERROR(__xludf.DUMMYFUNCTION("""COMPUTED_VALUE"""),"rapidmedia.com.au")</f>
        <v>rapidmedia.com.au</v>
      </c>
      <c r="D237" s="7" t="str">
        <f>IFERROR(__xludf.DUMMYFUNCTION("""COMPUTED_VALUE"""),"PRODUCT_PAGE")</f>
        <v>PRODUCT_PAGE</v>
      </c>
      <c r="E237" s="7" t="str">
        <f>IFERROR(__xludf.DUMMYFUNCTION("""COMPUTED_VALUE"""),"CORPORATE")</f>
        <v>CORPORATE</v>
      </c>
      <c r="F237" s="7" t="str">
        <f>IFERROR(__xludf.DUMMYFUNCTION("""COMPUTED_VALUE"""),"Product Page")</f>
        <v>Product Page</v>
      </c>
      <c r="G237" s="7" t="b">
        <f>IFERROR(__xludf.DUMMYFUNCTION("""COMPUTED_VALUE"""),FALSE)</f>
        <v>0</v>
      </c>
      <c r="H237" s="7" t="str">
        <f>IFERROR(__xludf.DUMMYFUNCTION("""COMPUTED_VALUE"""),"WPP")</f>
        <v>WPP</v>
      </c>
      <c r="I237" s="7">
        <f>IFERROR(__xludf.DUMMYFUNCTION("""COMPUTED_VALUE"""),1.0)</f>
        <v>1</v>
      </c>
      <c r="J237" s="7">
        <f>IFERROR(__xludf.DUMMYFUNCTION("""COMPUTED_VALUE"""),0.0)</f>
        <v>0</v>
      </c>
      <c r="K237" s="7">
        <f>IFERROR(__xludf.DUMMYFUNCTION("""COMPUTED_VALUE"""),1.0)</f>
        <v>1</v>
      </c>
    </row>
    <row r="238" ht="15.75" customHeight="1">
      <c r="A238" s="6" t="str">
        <f>IFERROR(__xludf.DUMMYFUNCTION("""COMPUTED_VALUE"""),"https://www.reloadmedia.com.au/performance/advertising/")</f>
        <v>https://www.reloadmedia.com.au/performance/advertising/</v>
      </c>
      <c r="B238" s="7" t="str">
        <f>IFERROR(__xludf.DUMMYFUNCTION("""COMPUTED_VALUE"""),"Performance Marketing Agency Australia | Reload Media")</f>
        <v>Performance Marketing Agency Australia | Reload Media</v>
      </c>
      <c r="C238" s="6" t="str">
        <f>IFERROR(__xludf.DUMMYFUNCTION("""COMPUTED_VALUE"""),"reloadmedia.com.au")</f>
        <v>reloadmedia.com.au</v>
      </c>
      <c r="D238" s="7" t="str">
        <f>IFERROR(__xludf.DUMMYFUNCTION("""COMPUTED_VALUE"""),"PRODUCT_PAGE")</f>
        <v>PRODUCT_PAGE</v>
      </c>
      <c r="E238" s="7" t="str">
        <f>IFERROR(__xludf.DUMMYFUNCTION("""COMPUTED_VALUE"""),"COMPETITOR")</f>
        <v>COMPETITOR</v>
      </c>
      <c r="F238" s="7" t="str">
        <f>IFERROR(__xludf.DUMMYFUNCTION("""COMPUTED_VALUE"""),"Product Page")</f>
        <v>Product Page</v>
      </c>
      <c r="G238" s="7" t="b">
        <f>IFERROR(__xludf.DUMMYFUNCTION("""COMPUTED_VALUE"""),FALSE)</f>
        <v>0</v>
      </c>
      <c r="H238" s="7" t="str">
        <f>IFERROR(__xludf.DUMMYFUNCTION("""COMPUTED_VALUE"""),"Reload Media, Measured, Impressive")</f>
        <v>Reload Media, Measured, Impressive</v>
      </c>
      <c r="I238" s="7">
        <f>IFERROR(__xludf.DUMMYFUNCTION("""COMPUTED_VALUE"""),1.0)</f>
        <v>1</v>
      </c>
      <c r="J238" s="7">
        <f>IFERROR(__xludf.DUMMYFUNCTION("""COMPUTED_VALUE"""),0.0)</f>
        <v>0</v>
      </c>
      <c r="K238" s="7">
        <f>IFERROR(__xludf.DUMMYFUNCTION("""COMPUTED_VALUE"""),1.0)</f>
        <v>1</v>
      </c>
    </row>
    <row r="239" ht="15.75" customHeight="1">
      <c r="A239" s="6" t="str">
        <f>IFERROR(__xludf.DUMMYFUNCTION("""COMPUTED_VALUE"""),"https://www.resolutiondigital.com.au/services/cro/conversion-audit/")</f>
        <v>https://www.resolutiondigital.com.au/services/cro/conversion-audit/</v>
      </c>
      <c r="B239" s="7" t="str">
        <f>IFERROR(__xludf.DUMMYFUNCTION("""COMPUTED_VALUE"""),"Conversion Audit | CRO | Resolution Digital Australia")</f>
        <v>Conversion Audit | CRO | Resolution Digital Australia</v>
      </c>
      <c r="C239" s="6" t="str">
        <f>IFERROR(__xludf.DUMMYFUNCTION("""COMPUTED_VALUE"""),"resolutiondigital.com.au")</f>
        <v>resolutiondigital.com.au</v>
      </c>
      <c r="D239" s="7" t="str">
        <f>IFERROR(__xludf.DUMMYFUNCTION("""COMPUTED_VALUE"""),"PRODUCT_PAGE")</f>
        <v>PRODUCT_PAGE</v>
      </c>
      <c r="E239" s="7" t="str">
        <f>IFERROR(__xludf.DUMMYFUNCTION("""COMPUTED_VALUE"""),"COMPETITOR")</f>
        <v>COMPETITOR</v>
      </c>
      <c r="F239" s="7" t="str">
        <f>IFERROR(__xludf.DUMMYFUNCTION("""COMPUTED_VALUE"""),"Product Page")</f>
        <v>Product Page</v>
      </c>
      <c r="G239" s="7" t="b">
        <f>IFERROR(__xludf.DUMMYFUNCTION("""COMPUTED_VALUE"""),FALSE)</f>
        <v>0</v>
      </c>
      <c r="H239" s="7" t="str">
        <f>IFERROR(__xludf.DUMMYFUNCTION("""COMPUTED_VALUE"""),"Resolution Digital, PHD, Omnicom Media Group")</f>
        <v>Resolution Digital, PHD, Omnicom Media Group</v>
      </c>
      <c r="I239" s="7">
        <f>IFERROR(__xludf.DUMMYFUNCTION("""COMPUTED_VALUE"""),1.0)</f>
        <v>1</v>
      </c>
      <c r="J239" s="7">
        <f>IFERROR(__xludf.DUMMYFUNCTION("""COMPUTED_VALUE"""),0.0)</f>
        <v>0</v>
      </c>
      <c r="K239" s="7">
        <f>IFERROR(__xludf.DUMMYFUNCTION("""COMPUTED_VALUE"""),1.0)</f>
        <v>1</v>
      </c>
    </row>
    <row r="240" ht="15.75" customHeight="1">
      <c r="A240" s="6" t="str">
        <f>IFERROR(__xludf.DUMMYFUNCTION("""COMPUTED_VALUE"""),"https://www.resolutiondigital.com.au/services/cro/google-marketing-platform/display-and-video-360/")</f>
        <v>https://www.resolutiondigital.com.au/services/cro/google-marketing-platform/display-and-video-360/</v>
      </c>
      <c r="B240" s="7" t="str">
        <f>IFERROR(__xludf.DUMMYFUNCTION("""COMPUTED_VALUE"""),"Google Display &amp;amp; Video 360 Agency Services | Resolution Digital Australia")</f>
        <v>Google Display &amp;amp; Video 360 Agency Services | Resolution Digital Australia</v>
      </c>
      <c r="C240" s="6" t="str">
        <f>IFERROR(__xludf.DUMMYFUNCTION("""COMPUTED_VALUE"""),"resolutiondigital.com.au")</f>
        <v>resolutiondigital.com.au</v>
      </c>
      <c r="D240" s="7" t="str">
        <f>IFERROR(__xludf.DUMMYFUNCTION("""COMPUTED_VALUE"""),"PRODUCT_PAGE")</f>
        <v>PRODUCT_PAGE</v>
      </c>
      <c r="E240" s="7" t="str">
        <f>IFERROR(__xludf.DUMMYFUNCTION("""COMPUTED_VALUE"""),"COMPETITOR")</f>
        <v>COMPETITOR</v>
      </c>
      <c r="F240" s="7" t="str">
        <f>IFERROR(__xludf.DUMMYFUNCTION("""COMPUTED_VALUE"""),"Product Page")</f>
        <v>Product Page</v>
      </c>
      <c r="G240" s="7" t="b">
        <f>IFERROR(__xludf.DUMMYFUNCTION("""COMPUTED_VALUE"""),FALSE)</f>
        <v>0</v>
      </c>
      <c r="H240" s="7" t="str">
        <f>IFERROR(__xludf.DUMMYFUNCTION("""COMPUTED_VALUE"""),"Resolution Digital, TRKKN, Omnicom Media Group")</f>
        <v>Resolution Digital, TRKKN, Omnicom Media Group</v>
      </c>
      <c r="I240" s="7">
        <f>IFERROR(__xludf.DUMMYFUNCTION("""COMPUTED_VALUE"""),1.0)</f>
        <v>1</v>
      </c>
      <c r="J240" s="7">
        <f>IFERROR(__xludf.DUMMYFUNCTION("""COMPUTED_VALUE"""),0.0)</f>
        <v>0</v>
      </c>
      <c r="K240" s="7">
        <f>IFERROR(__xludf.DUMMYFUNCTION("""COMPUTED_VALUE"""),8.0)</f>
        <v>8</v>
      </c>
    </row>
    <row r="241" ht="15.75" customHeight="1">
      <c r="A241" s="6" t="str">
        <f>IFERROR(__xludf.DUMMYFUNCTION("""COMPUTED_VALUE"""),"https://www.resolutiondigital.com.au/services/cro/google-marketing-platform/looker-studio/")</f>
        <v>https://www.resolutiondigital.com.au/services/cro/google-marketing-platform/looker-studio/</v>
      </c>
      <c r="B241" s="7" t="str">
        <f>IFERROR(__xludf.DUMMYFUNCTION("""COMPUTED_VALUE"""),"Google Looker Studio Agency Services | Resolution Digital Australia")</f>
        <v>Google Looker Studio Agency Services | Resolution Digital Australia</v>
      </c>
      <c r="C241" s="6" t="str">
        <f>IFERROR(__xludf.DUMMYFUNCTION("""COMPUTED_VALUE"""),"resolutiondigital.com.au")</f>
        <v>resolutiondigital.com.au</v>
      </c>
      <c r="D241" s="7" t="str">
        <f>IFERROR(__xludf.DUMMYFUNCTION("""COMPUTED_VALUE"""),"PRODUCT_PAGE")</f>
        <v>PRODUCT_PAGE</v>
      </c>
      <c r="E241" s="7" t="str">
        <f>IFERROR(__xludf.DUMMYFUNCTION("""COMPUTED_VALUE"""),"COMPETITOR")</f>
        <v>COMPETITOR</v>
      </c>
      <c r="F241" s="7" t="str">
        <f>IFERROR(__xludf.DUMMYFUNCTION("""COMPUTED_VALUE"""),"Product Page")</f>
        <v>Product Page</v>
      </c>
      <c r="G241" s="7" t="b">
        <f>IFERROR(__xludf.DUMMYFUNCTION("""COMPUTED_VALUE"""),FALSE)</f>
        <v>0</v>
      </c>
      <c r="H241" s="7" t="str">
        <f>IFERROR(__xludf.DUMMYFUNCTION("""COMPUTED_VALUE"""),"Resolution Digital, TRKKN, Omnicom Media Group")</f>
        <v>Resolution Digital, TRKKN, Omnicom Media Group</v>
      </c>
      <c r="I241" s="7">
        <f>IFERROR(__xludf.DUMMYFUNCTION("""COMPUTED_VALUE"""),1.0)</f>
        <v>1</v>
      </c>
      <c r="J241" s="7">
        <f>IFERROR(__xludf.DUMMYFUNCTION("""COMPUTED_VALUE"""),0.0)</f>
        <v>0</v>
      </c>
      <c r="K241" s="7">
        <f>IFERROR(__xludf.DUMMYFUNCTION("""COMPUTED_VALUE"""),1.0)</f>
        <v>1</v>
      </c>
    </row>
    <row r="242" ht="15.75" customHeight="1">
      <c r="A242" s="6" t="str">
        <f>IFERROR(__xludf.DUMMYFUNCTION("""COMPUTED_VALUE"""),"https://www.resolutiondigital.com.au/technology/partners/google-marketing-platform/campaign-manager-360/")</f>
        <v>https://www.resolutiondigital.com.au/technology/partners/google-marketing-platform/campaign-manager-360/</v>
      </c>
      <c r="B242" s="7" t="str">
        <f>IFERROR(__xludf.DUMMYFUNCTION("""COMPUTED_VALUE"""),"Google Campaign Manager 360 Solutions \| Resolution Digital Australia")</f>
        <v>Google Campaign Manager 360 Solutions \| Resolution Digital Australia</v>
      </c>
      <c r="C242" s="6" t="str">
        <f>IFERROR(__xludf.DUMMYFUNCTION("""COMPUTED_VALUE"""),"resolutiondigital.com.au")</f>
        <v>resolutiondigital.com.au</v>
      </c>
      <c r="D242" s="7" t="str">
        <f>IFERROR(__xludf.DUMMYFUNCTION("""COMPUTED_VALUE"""),"PRODUCT_PAGE")</f>
        <v>PRODUCT_PAGE</v>
      </c>
      <c r="E242" s="7" t="str">
        <f>IFERROR(__xludf.DUMMYFUNCTION("""COMPUTED_VALUE"""),"COMPETITOR")</f>
        <v>COMPETITOR</v>
      </c>
      <c r="F242" s="7" t="str">
        <f>IFERROR(__xludf.DUMMYFUNCTION("""COMPUTED_VALUE"""),"Product Page")</f>
        <v>Product Page</v>
      </c>
      <c r="G242" s="7" t="b">
        <f>IFERROR(__xludf.DUMMYFUNCTION("""COMPUTED_VALUE"""),FALSE)</f>
        <v>0</v>
      </c>
      <c r="H242" s="7" t="str">
        <f>IFERROR(__xludf.DUMMYFUNCTION("""COMPUTED_VALUE"""),"Resolution Digital, Omnicom Media Group, TRKKN")</f>
        <v>Resolution Digital, Omnicom Media Group, TRKKN</v>
      </c>
      <c r="I242" s="7">
        <f>IFERROR(__xludf.DUMMYFUNCTION("""COMPUTED_VALUE"""),1.0)</f>
        <v>1</v>
      </c>
      <c r="J242" s="7">
        <f>IFERROR(__xludf.DUMMYFUNCTION("""COMPUTED_VALUE"""),0.0)</f>
        <v>0</v>
      </c>
      <c r="K242" s="7">
        <f>IFERROR(__xludf.DUMMYFUNCTION("""COMPUTED_VALUE"""),0.0)</f>
        <v>0</v>
      </c>
    </row>
    <row r="243" ht="15.75" customHeight="1">
      <c r="A243" s="6" t="str">
        <f>IFERROR(__xludf.DUMMYFUNCTION("""COMPUTED_VALUE"""),"https://rocketagency.com.au/services/ppc-agency/programmatic")</f>
        <v>https://rocketagency.com.au/services/ppc-agency/programmatic</v>
      </c>
      <c r="B243" s="7" t="str">
        <f>IFERROR(__xludf.DUMMYFUNCTION("""COMPUTED_VALUE"""),"Programmatic Advertising Agency | Rocket Agency")</f>
        <v>Programmatic Advertising Agency | Rocket Agency</v>
      </c>
      <c r="C243" s="6" t="str">
        <f>IFERROR(__xludf.DUMMYFUNCTION("""COMPUTED_VALUE"""),"rocketagency.com.au")</f>
        <v>rocketagency.com.au</v>
      </c>
      <c r="D243" s="7" t="str">
        <f>IFERROR(__xludf.DUMMYFUNCTION("""COMPUTED_VALUE"""),"PRODUCT_PAGE")</f>
        <v>PRODUCT_PAGE</v>
      </c>
      <c r="E243" s="7" t="str">
        <f>IFERROR(__xludf.DUMMYFUNCTION("""COMPUTED_VALUE"""),"COMPETITOR")</f>
        <v>COMPETITOR</v>
      </c>
      <c r="F243" s="7" t="str">
        <f>IFERROR(__xludf.DUMMYFUNCTION("""COMPUTED_VALUE"""),"Product Page")</f>
        <v>Product Page</v>
      </c>
      <c r="G243" s="7" t="b">
        <f>IFERROR(__xludf.DUMMYFUNCTION("""COMPUTED_VALUE"""),FALSE)</f>
        <v>0</v>
      </c>
      <c r="H243" s="7" t="str">
        <f>IFERROR(__xludf.DUMMYFUNCTION("""COMPUTED_VALUE"""),"Rocket Agency, First Page, HERO")</f>
        <v>Rocket Agency, First Page, HERO</v>
      </c>
      <c r="I243" s="7">
        <f>IFERROR(__xludf.DUMMYFUNCTION("""COMPUTED_VALUE"""),1.0)</f>
        <v>1</v>
      </c>
      <c r="J243" s="7">
        <f>IFERROR(__xludf.DUMMYFUNCTION("""COMPUTED_VALUE"""),0.0)</f>
        <v>0</v>
      </c>
      <c r="K243" s="7">
        <f>IFERROR(__xludf.DUMMYFUNCTION("""COMPUTED_VALUE"""),1.0)</f>
        <v>1</v>
      </c>
    </row>
    <row r="244" ht="15.75" customHeight="1">
      <c r="A244" s="6" t="str">
        <f>IFERROR(__xludf.DUMMYFUNCTION("""COMPUTED_VALUE"""),"https://rocketagency.com.au/services/seo-agency/aeo")</f>
        <v>https://rocketagency.com.au/services/seo-agency/aeo</v>
      </c>
      <c r="B244" s="7" t="str">
        <f>IFERROR(__xludf.DUMMYFUNCTION("""COMPUTED_VALUE"""),"AI AEO Agency")</f>
        <v>AI AEO Agency</v>
      </c>
      <c r="C244" s="6" t="str">
        <f>IFERROR(__xludf.DUMMYFUNCTION("""COMPUTED_VALUE"""),"rocketagency.com.au")</f>
        <v>rocketagency.com.au</v>
      </c>
      <c r="D244" s="7" t="str">
        <f>IFERROR(__xludf.DUMMYFUNCTION("""COMPUTED_VALUE"""),"PRODUCT_PAGE")</f>
        <v>PRODUCT_PAGE</v>
      </c>
      <c r="E244" s="7" t="str">
        <f>IFERROR(__xludf.DUMMYFUNCTION("""COMPUTED_VALUE"""),"COMPETITOR")</f>
        <v>COMPETITOR</v>
      </c>
      <c r="F244" s="7" t="str">
        <f>IFERROR(__xludf.DUMMYFUNCTION("""COMPUTED_VALUE"""),"Product Page")</f>
        <v>Product Page</v>
      </c>
      <c r="G244" s="7" t="b">
        <f>IFERROR(__xludf.DUMMYFUNCTION("""COMPUTED_VALUE"""),FALSE)</f>
        <v>0</v>
      </c>
      <c r="H244" s="7" t="str">
        <f>IFERROR(__xludf.DUMMYFUNCTION("""COMPUTED_VALUE"""),"Rocket Agency")</f>
        <v>Rocket Agency</v>
      </c>
      <c r="I244" s="7">
        <f>IFERROR(__xludf.DUMMYFUNCTION("""COMPUTED_VALUE"""),1.0)</f>
        <v>1</v>
      </c>
      <c r="J244" s="7">
        <f>IFERROR(__xludf.DUMMYFUNCTION("""COMPUTED_VALUE"""),0.0)</f>
        <v>0</v>
      </c>
      <c r="K244" s="7">
        <f>IFERROR(__xludf.DUMMYFUNCTION("""COMPUTED_VALUE"""),1.0)</f>
        <v>1</v>
      </c>
    </row>
    <row r="245" ht="15.75" customHeight="1">
      <c r="A245" s="6" t="str">
        <f>IFERROR(__xludf.DUMMYFUNCTION("""COMPUTED_VALUE"""),"https://roi.com.au/page/16/")</f>
        <v>https://roi.com.au/page/16/</v>
      </c>
      <c r="B245" s="7" t="str">
        <f>IFERROR(__xludf.DUMMYFUNCTION("""COMPUTED_VALUE"""),"ROI Growth Agency - Superhuman AI Marketing | AI Marketing Agency Australia | roi.com.au")</f>
        <v>ROI Growth Agency - Superhuman AI Marketing | AI Marketing Agency Australia | roi.com.au</v>
      </c>
      <c r="C245" s="6" t="str">
        <f>IFERROR(__xludf.DUMMYFUNCTION("""COMPUTED_VALUE"""),"roi.com.au")</f>
        <v>roi.com.au</v>
      </c>
      <c r="D245" s="7" t="str">
        <f>IFERROR(__xludf.DUMMYFUNCTION("""COMPUTED_VALUE"""),"PRODUCT_PAGE")</f>
        <v>PRODUCT_PAGE</v>
      </c>
      <c r="E245" s="7" t="str">
        <f>IFERROR(__xludf.DUMMYFUNCTION("""COMPUTED_VALUE"""),"CORPORATE")</f>
        <v>CORPORATE</v>
      </c>
      <c r="F245" s="7" t="str">
        <f>IFERROR(__xludf.DUMMYFUNCTION("""COMPUTED_VALUE"""),"Product Page")</f>
        <v>Product Page</v>
      </c>
      <c r="G245" s="7" t="b">
        <f>IFERROR(__xludf.DUMMYFUNCTION("""COMPUTED_VALUE"""),FALSE)</f>
        <v>0</v>
      </c>
      <c r="H245" s="7" t="str">
        <f>IFERROR(__xludf.DUMMYFUNCTION("""COMPUTED_VALUE"""),"ROI Growth Agency, HERO, Measured")</f>
        <v>ROI Growth Agency, HERO, Measured</v>
      </c>
      <c r="I245" s="7">
        <f>IFERROR(__xludf.DUMMYFUNCTION("""COMPUTED_VALUE"""),1.0)</f>
        <v>1</v>
      </c>
      <c r="J245" s="7">
        <f>IFERROR(__xludf.DUMMYFUNCTION("""COMPUTED_VALUE"""),0.0)</f>
        <v>0</v>
      </c>
      <c r="K245" s="7">
        <f>IFERROR(__xludf.DUMMYFUNCTION("""COMPUTED_VALUE"""),0.0)</f>
        <v>0</v>
      </c>
    </row>
    <row r="246" ht="15.75" customHeight="1">
      <c r="A246" s="6" t="str">
        <f>IFERROR(__xludf.DUMMYFUNCTION("""COMPUTED_VALUE"""),"https://saltandfuessel.com.au/ai-seo-agency-melbourne#:~:text=There's%20no%20shortcut%20to%20being%20the%20preferred,opportunity%20to%20be%20cited.%20Entity%2Dbased%20content%20strategy.")</f>
        <v>https://saltandfuessel.com.au/ai-seo-agency-melbourne#:~:text=There's%20no%20shortcut%20to%20being%20the%20preferred,opportunity%20to%20be%20cited.%20Entity%2Dbased%20content%20strategy.</v>
      </c>
      <c r="B246" s="7" t="str">
        <f>IFERROR(__xludf.DUMMYFUNCTION("""COMPUTED_VALUE"""),"AI SEO - Salt &amp;amp; Fuessel")</f>
        <v>AI SEO - Salt &amp;amp; Fuessel</v>
      </c>
      <c r="C246" s="6" t="str">
        <f>IFERROR(__xludf.DUMMYFUNCTION("""COMPUTED_VALUE"""),"saltandfuessel.com.au")</f>
        <v>saltandfuessel.com.au</v>
      </c>
      <c r="D246" s="7" t="str">
        <f>IFERROR(__xludf.DUMMYFUNCTION("""COMPUTED_VALUE"""),"PRODUCT_PAGE")</f>
        <v>PRODUCT_PAGE</v>
      </c>
      <c r="E246" s="7" t="str">
        <f>IFERROR(__xludf.DUMMYFUNCTION("""COMPUTED_VALUE"""),"COMPETITOR")</f>
        <v>COMPETITOR</v>
      </c>
      <c r="F246" s="7" t="str">
        <f>IFERROR(__xludf.DUMMYFUNCTION("""COMPUTED_VALUE"""),"Product Page")</f>
        <v>Product Page</v>
      </c>
      <c r="G246" s="7" t="b">
        <f>IFERROR(__xludf.DUMMYFUNCTION("""COMPUTED_VALUE"""),FALSE)</f>
        <v>0</v>
      </c>
      <c r="H246" s="7" t="str">
        <f>IFERROR(__xludf.DUMMYFUNCTION("""COMPUTED_VALUE"""),"Salt &amp; Fuessel")</f>
        <v>Salt &amp; Fuessel</v>
      </c>
      <c r="I246" s="7">
        <f>IFERROR(__xludf.DUMMYFUNCTION("""COMPUTED_VALUE"""),1.0)</f>
        <v>1</v>
      </c>
      <c r="J246" s="7">
        <f>IFERROR(__xludf.DUMMYFUNCTION("""COMPUTED_VALUE"""),0.0)</f>
        <v>0</v>
      </c>
      <c r="K246" s="7">
        <f>IFERROR(__xludf.DUMMYFUNCTION("""COMPUTED_VALUE"""),1.0)</f>
        <v>1</v>
      </c>
    </row>
    <row r="247" ht="15.75" customHeight="1">
      <c r="A247" s="6" t="str">
        <f>IFERROR(__xludf.DUMMYFUNCTION("""COMPUTED_VALUE"""),"https://semhook.com/measurement-and-modelling")</f>
        <v>https://semhook.com/measurement-and-modelling</v>
      </c>
      <c r="B247" s="7" t="str">
        <f>IFERROR(__xludf.DUMMYFUNCTION("""COMPUTED_VALUE"""),"Advanced Marketing Measurement | MMM &amp;amp; Lift Testing | SEM Hook")</f>
        <v>Advanced Marketing Measurement | MMM &amp;amp; Lift Testing | SEM Hook</v>
      </c>
      <c r="C247" s="6" t="str">
        <f>IFERROR(__xludf.DUMMYFUNCTION("""COMPUTED_VALUE"""),"semhook.com")</f>
        <v>semhook.com</v>
      </c>
      <c r="D247" s="7" t="str">
        <f>IFERROR(__xludf.DUMMYFUNCTION("""COMPUTED_VALUE"""),"PRODUCT_PAGE")</f>
        <v>PRODUCT_PAGE</v>
      </c>
      <c r="E247" s="7" t="str">
        <f>IFERROR(__xludf.DUMMYFUNCTION("""COMPUTED_VALUE"""),"CORPORATE")</f>
        <v>CORPORATE</v>
      </c>
      <c r="F247" s="7" t="str">
        <f>IFERROR(__xludf.DUMMYFUNCTION("""COMPUTED_VALUE"""),"Product Page")</f>
        <v>Product Page</v>
      </c>
      <c r="G247" s="7" t="b">
        <f>IFERROR(__xludf.DUMMYFUNCTION("""COMPUTED_VALUE"""),FALSE)</f>
        <v>0</v>
      </c>
      <c r="H247" s="7"/>
      <c r="I247" s="7">
        <f>IFERROR(__xludf.DUMMYFUNCTION("""COMPUTED_VALUE"""),1.0)</f>
        <v>1</v>
      </c>
      <c r="J247" s="7">
        <f>IFERROR(__xludf.DUMMYFUNCTION("""COMPUTED_VALUE"""),0.0)</f>
        <v>0</v>
      </c>
      <c r="K247" s="7">
        <f>IFERROR(__xludf.DUMMYFUNCTION("""COMPUTED_VALUE"""),0.0)</f>
        <v>0</v>
      </c>
    </row>
    <row r="248" ht="15.75" customHeight="1">
      <c r="A248" s="6" t="str">
        <f>IFERROR(__xludf.DUMMYFUNCTION("""COMPUTED_VALUE"""),"https://seomelbourne.com/ai-seo-melbourne/")</f>
        <v>https://seomelbourne.com/ai-seo-melbourne/</v>
      </c>
      <c r="B248" s="7" t="str">
        <f>IFERROR(__xludf.DUMMYFUNCTION("""COMPUTED_VALUE"""),"AI SEO Agency Melbourne | ChatGPT, Gemini &amp;amp; AI Overviews")</f>
        <v>AI SEO Agency Melbourne | ChatGPT, Gemini &amp;amp; AI Overviews</v>
      </c>
      <c r="C248" s="6" t="str">
        <f>IFERROR(__xludf.DUMMYFUNCTION("""COMPUTED_VALUE"""),"seomelbourne.com")</f>
        <v>seomelbourne.com</v>
      </c>
      <c r="D248" s="7" t="str">
        <f>IFERROR(__xludf.DUMMYFUNCTION("""COMPUTED_VALUE"""),"PRODUCT_PAGE")</f>
        <v>PRODUCT_PAGE</v>
      </c>
      <c r="E248" s="7" t="str">
        <f>IFERROR(__xludf.DUMMYFUNCTION("""COMPUTED_VALUE"""),"CORPORATE")</f>
        <v>CORPORATE</v>
      </c>
      <c r="F248" s="7" t="str">
        <f>IFERROR(__xludf.DUMMYFUNCTION("""COMPUTED_VALUE"""),"Product Page")</f>
        <v>Product Page</v>
      </c>
      <c r="G248" s="7" t="b">
        <f>IFERROR(__xludf.DUMMYFUNCTION("""COMPUTED_VALUE"""),FALSE)</f>
        <v>0</v>
      </c>
      <c r="H248" s="7" t="str">
        <f>IFERROR(__xludf.DUMMYFUNCTION("""COMPUTED_VALUE"""),"HERO")</f>
        <v>HERO</v>
      </c>
      <c r="I248" s="7">
        <f>IFERROR(__xludf.DUMMYFUNCTION("""COMPUTED_VALUE"""),1.0)</f>
        <v>1</v>
      </c>
      <c r="J248" s="7">
        <f>IFERROR(__xludf.DUMMYFUNCTION("""COMPUTED_VALUE"""),0.0)</f>
        <v>0</v>
      </c>
      <c r="K248" s="7">
        <f>IFERROR(__xludf.DUMMYFUNCTION("""COMPUTED_VALUE"""),4.0)</f>
        <v>4</v>
      </c>
    </row>
    <row r="249" ht="15.75" customHeight="1">
      <c r="A249" s="6" t="str">
        <f>IFERROR(__xludf.DUMMYFUNCTION("""COMPUTED_VALUE"""),"https://shakostats.com/unified-marketing-measurement")</f>
        <v>https://shakostats.com/unified-marketing-measurement</v>
      </c>
      <c r="B249" s="7" t="str">
        <f>IFERROR(__xludf.DUMMYFUNCTION("""COMPUTED_VALUE"""),"Unified Marketing Measurement | Shako Stats")</f>
        <v>Unified Marketing Measurement | Shako Stats</v>
      </c>
      <c r="C249" s="6" t="str">
        <f>IFERROR(__xludf.DUMMYFUNCTION("""COMPUTED_VALUE"""),"shakostats.com")</f>
        <v>shakostats.com</v>
      </c>
      <c r="D249" s="7" t="str">
        <f>IFERROR(__xludf.DUMMYFUNCTION("""COMPUTED_VALUE"""),"PRODUCT_PAGE")</f>
        <v>PRODUCT_PAGE</v>
      </c>
      <c r="E249" s="7" t="str">
        <f>IFERROR(__xludf.DUMMYFUNCTION("""COMPUTED_VALUE"""),"CORPORATE")</f>
        <v>CORPORATE</v>
      </c>
      <c r="F249" s="7" t="str">
        <f>IFERROR(__xludf.DUMMYFUNCTION("""COMPUTED_VALUE"""),"Product Page")</f>
        <v>Product Page</v>
      </c>
      <c r="G249" s="7" t="b">
        <f>IFERROR(__xludf.DUMMYFUNCTION("""COMPUTED_VALUE"""),FALSE)</f>
        <v>0</v>
      </c>
      <c r="H249" s="7"/>
      <c r="I249" s="7">
        <f>IFERROR(__xludf.DUMMYFUNCTION("""COMPUTED_VALUE"""),1.0)</f>
        <v>1</v>
      </c>
      <c r="J249" s="7">
        <f>IFERROR(__xludf.DUMMYFUNCTION("""COMPUTED_VALUE"""),0.0)</f>
        <v>0</v>
      </c>
      <c r="K249" s="7">
        <f>IFERROR(__xludf.DUMMYFUNCTION("""COMPUTED_VALUE"""),0.0)</f>
        <v>0</v>
      </c>
    </row>
    <row r="250" ht="15.75" customHeight="1">
      <c r="A250" s="6" t="str">
        <f>IFERROR(__xludf.DUMMYFUNCTION("""COMPUTED_VALUE"""),"https://www.smartosc.com/data-analytics-agency-australia-for-smarter-decision-making/#:~:text=Get%20to%20know%20us%20or,'single%20source%20of%20truth'.")</f>
        <v>https://www.smartosc.com/data-analytics-agency-australia-for-smarter-decision-making/#:~:text=Get%20to%20know%20us%20or,'single%20source%20of%20truth'.</v>
      </c>
      <c r="B250" s="7" t="str">
        <f>IFERROR(__xludf.DUMMYFUNCTION("""COMPUTED_VALUE"""),"Data Analytics Agency Australia for Smarter Decision-Making - SmartOSC")</f>
        <v>Data Analytics Agency Australia for Smarter Decision-Making - SmartOSC</v>
      </c>
      <c r="C250" s="6" t="str">
        <f>IFERROR(__xludf.DUMMYFUNCTION("""COMPUTED_VALUE"""),"smartosc.com")</f>
        <v>smartosc.com</v>
      </c>
      <c r="D250" s="7" t="str">
        <f>IFERROR(__xludf.DUMMYFUNCTION("""COMPUTED_VALUE"""),"PRODUCT_PAGE")</f>
        <v>PRODUCT_PAGE</v>
      </c>
      <c r="E250" s="7" t="str">
        <f>IFERROR(__xludf.DUMMYFUNCTION("""COMPUTED_VALUE"""),"COMPETITOR")</f>
        <v>COMPETITOR</v>
      </c>
      <c r="F250" s="7" t="str">
        <f>IFERROR(__xludf.DUMMYFUNCTION("""COMPUTED_VALUE"""),"Product Page")</f>
        <v>Product Page</v>
      </c>
      <c r="G250" s="7" t="b">
        <f>IFERROR(__xludf.DUMMYFUNCTION("""COMPUTED_VALUE"""),FALSE)</f>
        <v>0</v>
      </c>
      <c r="H250" s="7" t="str">
        <f>IFERROR(__xludf.DUMMYFUNCTION("""COMPUTED_VALUE"""),"SmartOSC, Metric Labs")</f>
        <v>SmartOSC, Metric Labs</v>
      </c>
      <c r="I250" s="7">
        <f>IFERROR(__xludf.DUMMYFUNCTION("""COMPUTED_VALUE"""),1.0)</f>
        <v>1</v>
      </c>
      <c r="J250" s="7">
        <f>IFERROR(__xludf.DUMMYFUNCTION("""COMPUTED_VALUE"""),0.0)</f>
        <v>0</v>
      </c>
      <c r="K250" s="7">
        <f>IFERROR(__xludf.DUMMYFUNCTION("""COMPUTED_VALUE"""),1.0)</f>
        <v>1</v>
      </c>
    </row>
    <row r="251" ht="15.75" customHeight="1">
      <c r="A251" s="6" t="str">
        <f>IFERROR(__xludf.DUMMYFUNCTION("""COMPUTED_VALUE"""),"https://spruik.co/adelaide/claude-ai-consulting/")</f>
        <v>https://spruik.co/adelaide/claude-ai-consulting/</v>
      </c>
      <c r="B251" s="7" t="str">
        <f>IFERROR(__xludf.DUMMYFUNCTION("""COMPUTED_VALUE"""),"Claude AI Consulting Adelaide | AI Adoption for Business Teams | Spruik")</f>
        <v>Claude AI Consulting Adelaide | AI Adoption for Business Teams | Spruik</v>
      </c>
      <c r="C251" s="6" t="str">
        <f>IFERROR(__xludf.DUMMYFUNCTION("""COMPUTED_VALUE"""),"spruik.co")</f>
        <v>spruik.co</v>
      </c>
      <c r="D251" s="7" t="str">
        <f>IFERROR(__xludf.DUMMYFUNCTION("""COMPUTED_VALUE"""),"PRODUCT_PAGE")</f>
        <v>PRODUCT_PAGE</v>
      </c>
      <c r="E251" s="7" t="str">
        <f>IFERROR(__xludf.DUMMYFUNCTION("""COMPUTED_VALUE"""),"OTHER")</f>
        <v>OTHER</v>
      </c>
      <c r="F251" s="7" t="str">
        <f>IFERROR(__xludf.DUMMYFUNCTION("""COMPUTED_VALUE"""),"Product Page")</f>
        <v>Product Page</v>
      </c>
      <c r="G251" s="7" t="b">
        <f>IFERROR(__xludf.DUMMYFUNCTION("""COMPUTED_VALUE"""),FALSE)</f>
        <v>0</v>
      </c>
      <c r="H251" s="7"/>
      <c r="I251" s="7">
        <f>IFERROR(__xludf.DUMMYFUNCTION("""COMPUTED_VALUE"""),1.0)</f>
        <v>1</v>
      </c>
      <c r="J251" s="7">
        <f>IFERROR(__xludf.DUMMYFUNCTION("""COMPUTED_VALUE"""),0.0)</f>
        <v>0</v>
      </c>
      <c r="K251" s="7">
        <f>IFERROR(__xludf.DUMMYFUNCTION("""COMPUTED_VALUE"""),0.0)</f>
        <v>0</v>
      </c>
    </row>
    <row r="252" ht="15.75" customHeight="1">
      <c r="A252" s="6" t="str">
        <f>IFERROR(__xludf.DUMMYFUNCTION("""COMPUTED_VALUE"""),"https://studiohawk.com.au/seo-services/#:~:text=The%20SEO%20masters%20partnering%20with%20you.%20In,for%20us%3B%20we%20live%20and%20breathe%20search.")</f>
        <v>https://studiohawk.com.au/seo-services/#:~:text=The%20SEO%20masters%20partnering%20with%20you.%20In,for%20us%3B%20we%20live%20and%20breathe%20search.</v>
      </c>
      <c r="B252" s="7" t="str">
        <f>IFERROR(__xludf.DUMMYFUNCTION("""COMPUTED_VALUE"""),"SEO Agency Melbourne | Award-Winning SEO Company | StudioHawk")</f>
        <v>SEO Agency Melbourne | Award-Winning SEO Company | StudioHawk</v>
      </c>
      <c r="C252" s="6" t="str">
        <f>IFERROR(__xludf.DUMMYFUNCTION("""COMPUTED_VALUE"""),"studiohawk.com.au")</f>
        <v>studiohawk.com.au</v>
      </c>
      <c r="D252" s="7" t="str">
        <f>IFERROR(__xludf.DUMMYFUNCTION("""COMPUTED_VALUE"""),"PRODUCT_PAGE")</f>
        <v>PRODUCT_PAGE</v>
      </c>
      <c r="E252" s="7" t="str">
        <f>IFERROR(__xludf.DUMMYFUNCTION("""COMPUTED_VALUE"""),"COMPETITOR")</f>
        <v>COMPETITOR</v>
      </c>
      <c r="F252" s="7" t="str">
        <f>IFERROR(__xludf.DUMMYFUNCTION("""COMPUTED_VALUE"""),"Product Page")</f>
        <v>Product Page</v>
      </c>
      <c r="G252" s="7" t="b">
        <f>IFERROR(__xludf.DUMMYFUNCTION("""COMPUTED_VALUE"""),FALSE)</f>
        <v>0</v>
      </c>
      <c r="H252" s="7" t="str">
        <f>IFERROR(__xludf.DUMMYFUNCTION("""COMPUTED_VALUE"""),"StudioHawk, First Page, Measured")</f>
        <v>StudioHawk, First Page, Measured</v>
      </c>
      <c r="I252" s="7">
        <f>IFERROR(__xludf.DUMMYFUNCTION("""COMPUTED_VALUE"""),1.0)</f>
        <v>1</v>
      </c>
      <c r="J252" s="7">
        <f>IFERROR(__xludf.DUMMYFUNCTION("""COMPUTED_VALUE"""),0.0)</f>
        <v>0</v>
      </c>
      <c r="K252" s="7">
        <f>IFERROR(__xludf.DUMMYFUNCTION("""COMPUTED_VALUE"""),2.0)</f>
        <v>2</v>
      </c>
    </row>
    <row r="253" ht="15.75" customHeight="1">
      <c r="A253" s="6" t="str">
        <f>IFERROR(__xludf.DUMMYFUNCTION("""COMPUTED_VALUE"""),"https://studioslate.com.au/services/social-media-advertising")</f>
        <v>https://studioslate.com.au/services/social-media-advertising</v>
      </c>
      <c r="B253" s="7" t="str">
        <f>IFERROR(__xludf.DUMMYFUNCTION("""COMPUTED_VALUE"""),"Social Media Advertising Sydney | Studio Slate | Studio Slate")</f>
        <v>Social Media Advertising Sydney | Studio Slate | Studio Slate</v>
      </c>
      <c r="C253" s="6" t="str">
        <f>IFERROR(__xludf.DUMMYFUNCTION("""COMPUTED_VALUE"""),"studioslate.com.au")</f>
        <v>studioslate.com.au</v>
      </c>
      <c r="D253" s="7" t="str">
        <f>IFERROR(__xludf.DUMMYFUNCTION("""COMPUTED_VALUE"""),"PRODUCT_PAGE")</f>
        <v>PRODUCT_PAGE</v>
      </c>
      <c r="E253" s="7" t="str">
        <f>IFERROR(__xludf.DUMMYFUNCTION("""COMPUTED_VALUE"""),"CORPORATE")</f>
        <v>CORPORATE</v>
      </c>
      <c r="F253" s="7" t="str">
        <f>IFERROR(__xludf.DUMMYFUNCTION("""COMPUTED_VALUE"""),"Product Page")</f>
        <v>Product Page</v>
      </c>
      <c r="G253" s="7" t="b">
        <f>IFERROR(__xludf.DUMMYFUNCTION("""COMPUTED_VALUE"""),FALSE)</f>
        <v>0</v>
      </c>
      <c r="H253" s="7"/>
      <c r="I253" s="7">
        <f>IFERROR(__xludf.DUMMYFUNCTION("""COMPUTED_VALUE"""),1.0)</f>
        <v>1</v>
      </c>
      <c r="J253" s="7">
        <f>IFERROR(__xludf.DUMMYFUNCTION("""COMPUTED_VALUE"""),0.0)</f>
        <v>0</v>
      </c>
      <c r="K253" s="7">
        <f>IFERROR(__xludf.DUMMYFUNCTION("""COMPUTED_VALUE"""),0.0)</f>
        <v>0</v>
      </c>
    </row>
    <row r="254" ht="15.75" customHeight="1">
      <c r="A254" s="6" t="str">
        <f>IFERROR(__xludf.DUMMYFUNCTION("""COMPUTED_VALUE"""),"https://www.synap.au/readiness-assessment")</f>
        <v>https://www.synap.au/readiness-assessment</v>
      </c>
      <c r="B254" s="7" t="str">
        <f>IFERROR(__xludf.DUMMYFUNCTION("""COMPUTED_VALUE"""),"AI Readiness Assessment — Find Where AI Pays Off in Your Business | Synap - Synap")</f>
        <v>AI Readiness Assessment — Find Where AI Pays Off in Your Business | Synap - Synap</v>
      </c>
      <c r="C254" s="6" t="str">
        <f>IFERROR(__xludf.DUMMYFUNCTION("""COMPUTED_VALUE"""),"synap.au")</f>
        <v>synap.au</v>
      </c>
      <c r="D254" s="7" t="str">
        <f>IFERROR(__xludf.DUMMYFUNCTION("""COMPUTED_VALUE"""),"PRODUCT_PAGE")</f>
        <v>PRODUCT_PAGE</v>
      </c>
      <c r="E254" s="7" t="str">
        <f>IFERROR(__xludf.DUMMYFUNCTION("""COMPUTED_VALUE"""),"CORPORATE")</f>
        <v>CORPORATE</v>
      </c>
      <c r="F254" s="7" t="str">
        <f>IFERROR(__xludf.DUMMYFUNCTION("""COMPUTED_VALUE"""),"Product Page")</f>
        <v>Product Page</v>
      </c>
      <c r="G254" s="7" t="b">
        <f>IFERROR(__xludf.DUMMYFUNCTION("""COMPUTED_VALUE"""),FALSE)</f>
        <v>0</v>
      </c>
      <c r="H254" s="7"/>
      <c r="I254" s="7">
        <f>IFERROR(__xludf.DUMMYFUNCTION("""COMPUTED_VALUE"""),1.0)</f>
        <v>1</v>
      </c>
      <c r="J254" s="7">
        <f>IFERROR(__xludf.DUMMYFUNCTION("""COMPUTED_VALUE"""),0.0)</f>
        <v>0</v>
      </c>
      <c r="K254" s="7">
        <f>IFERROR(__xludf.DUMMYFUNCTION("""COMPUTED_VALUE"""),0.0)</f>
        <v>0</v>
      </c>
    </row>
    <row r="255" ht="15.75" customHeight="1">
      <c r="A255" s="6" t="str">
        <f>IFERROR(__xludf.DUMMYFUNCTION("""COMPUTED_VALUE"""),"https://www.thedigitalhub.com.au/ai-seo-services/")</f>
        <v>https://www.thedigitalhub.com.au/ai-seo-services/</v>
      </c>
      <c r="B255" s="7" t="str">
        <f>IFERROR(__xludf.DUMMYFUNCTION("""COMPUTED_VALUE"""),"GEO &amp;amp; AI SEO Services - AI SEO Agency - The Digital Hub Sydney")</f>
        <v>GEO &amp;amp; AI SEO Services - AI SEO Agency - The Digital Hub Sydney</v>
      </c>
      <c r="C255" s="6" t="str">
        <f>IFERROR(__xludf.DUMMYFUNCTION("""COMPUTED_VALUE"""),"thedigitalhub.com.au")</f>
        <v>thedigitalhub.com.au</v>
      </c>
      <c r="D255" s="7" t="str">
        <f>IFERROR(__xludf.DUMMYFUNCTION("""COMPUTED_VALUE"""),"PRODUCT_PAGE")</f>
        <v>PRODUCT_PAGE</v>
      </c>
      <c r="E255" s="7" t="str">
        <f>IFERROR(__xludf.DUMMYFUNCTION("""COMPUTED_VALUE"""),"CORPORATE")</f>
        <v>CORPORATE</v>
      </c>
      <c r="F255" s="7" t="str">
        <f>IFERROR(__xludf.DUMMYFUNCTION("""COMPUTED_VALUE"""),"Product Page")</f>
        <v>Product Page</v>
      </c>
      <c r="G255" s="7" t="b">
        <f>IFERROR(__xludf.DUMMYFUNCTION("""COMPUTED_VALUE"""),FALSE)</f>
        <v>0</v>
      </c>
      <c r="H255" s="7"/>
      <c r="I255" s="7">
        <f>IFERROR(__xludf.DUMMYFUNCTION("""COMPUTED_VALUE"""),1.0)</f>
        <v>1</v>
      </c>
      <c r="J255" s="7">
        <f>IFERROR(__xludf.DUMMYFUNCTION("""COMPUTED_VALUE"""),0.0)</f>
        <v>0</v>
      </c>
      <c r="K255" s="7">
        <f>IFERROR(__xludf.DUMMYFUNCTION("""COMPUTED_VALUE"""),2.0)</f>
        <v>2</v>
      </c>
    </row>
    <row r="256" ht="15.75" customHeight="1">
      <c r="A256" s="6" t="str">
        <f>IFERROR(__xludf.DUMMYFUNCTION("""COMPUTED_VALUE"""),"https://www.thehypesociety.com.au/growth-marketing/")</f>
        <v>https://www.thehypesociety.com.au/growth-marketing/</v>
      </c>
      <c r="B256" s="7" t="str">
        <f>IFERROR(__xludf.DUMMYFUNCTION("""COMPUTED_VALUE"""),"Growth Marketing - TheHypeSociety")</f>
        <v>Growth Marketing - TheHypeSociety</v>
      </c>
      <c r="C256" s="6" t="str">
        <f>IFERROR(__xludf.DUMMYFUNCTION("""COMPUTED_VALUE"""),"thehypesociety.com.au")</f>
        <v>thehypesociety.com.au</v>
      </c>
      <c r="D256" s="7" t="str">
        <f>IFERROR(__xludf.DUMMYFUNCTION("""COMPUTED_VALUE"""),"PRODUCT_PAGE")</f>
        <v>PRODUCT_PAGE</v>
      </c>
      <c r="E256" s="7" t="str">
        <f>IFERROR(__xludf.DUMMYFUNCTION("""COMPUTED_VALUE"""),"CORPORATE")</f>
        <v>CORPORATE</v>
      </c>
      <c r="F256" s="7" t="str">
        <f>IFERROR(__xludf.DUMMYFUNCTION("""COMPUTED_VALUE"""),"Product Page")</f>
        <v>Product Page</v>
      </c>
      <c r="G256" s="7" t="b">
        <f>IFERROR(__xludf.DUMMYFUNCTION("""COMPUTED_VALUE"""),FALSE)</f>
        <v>0</v>
      </c>
      <c r="H256" s="7"/>
      <c r="I256" s="7">
        <f>IFERROR(__xludf.DUMMYFUNCTION("""COMPUTED_VALUE"""),1.0)</f>
        <v>1</v>
      </c>
      <c r="J256" s="7">
        <f>IFERROR(__xludf.DUMMYFUNCTION("""COMPUTED_VALUE"""),0.0)</f>
        <v>0</v>
      </c>
      <c r="K256" s="7">
        <f>IFERROR(__xludf.DUMMYFUNCTION("""COMPUTED_VALUE"""),0.0)</f>
        <v>0</v>
      </c>
    </row>
    <row r="257" ht="15.75" customHeight="1">
      <c r="A257" s="6" t="str">
        <f>IFERROR(__xludf.DUMMYFUNCTION("""COMPUTED_VALUE"""),"https://thesearchspecialist.com.au/ai-seo-geo-services/")</f>
        <v>https://thesearchspecialist.com.au/ai-seo-geo-services/</v>
      </c>
      <c r="B257" s="7" t="str">
        <f>IFERROR(__xludf.DUMMYFUNCTION("""COMPUTED_VALUE"""),"AI SEO &amp;amp; GEO Services Perth – The Search Specialist")</f>
        <v>AI SEO &amp;amp; GEO Services Perth – The Search Specialist</v>
      </c>
      <c r="C257" s="6" t="str">
        <f>IFERROR(__xludf.DUMMYFUNCTION("""COMPUTED_VALUE"""),"thesearchspecialist.com.au")</f>
        <v>thesearchspecialist.com.au</v>
      </c>
      <c r="D257" s="7" t="str">
        <f>IFERROR(__xludf.DUMMYFUNCTION("""COMPUTED_VALUE"""),"PRODUCT_PAGE")</f>
        <v>PRODUCT_PAGE</v>
      </c>
      <c r="E257" s="7" t="str">
        <f>IFERROR(__xludf.DUMMYFUNCTION("""COMPUTED_VALUE"""),"CORPORATE")</f>
        <v>CORPORATE</v>
      </c>
      <c r="F257" s="7" t="str">
        <f>IFERROR(__xludf.DUMMYFUNCTION("""COMPUTED_VALUE"""),"Product Page")</f>
        <v>Product Page</v>
      </c>
      <c r="G257" s="7" t="b">
        <f>IFERROR(__xludf.DUMMYFUNCTION("""COMPUTED_VALUE"""),FALSE)</f>
        <v>0</v>
      </c>
      <c r="H257" s="7"/>
      <c r="I257" s="7">
        <f>IFERROR(__xludf.DUMMYFUNCTION("""COMPUTED_VALUE"""),1.0)</f>
        <v>1</v>
      </c>
      <c r="J257" s="7">
        <f>IFERROR(__xludf.DUMMYFUNCTION("""COMPUTED_VALUE"""),0.0)</f>
        <v>0</v>
      </c>
      <c r="K257" s="7">
        <f>IFERROR(__xludf.DUMMYFUNCTION("""COMPUTED_VALUE"""),0.0)</f>
        <v>0</v>
      </c>
    </row>
    <row r="258" ht="15.75" customHeight="1">
      <c r="A258" s="6" t="str">
        <f>IFERROR(__xludf.DUMMYFUNCTION("""COMPUTED_VALUE"""),"https://tmr.agency/social-media-ads/")</f>
        <v>https://tmr.agency/social-media-ads/</v>
      </c>
      <c r="B258" s="7" t="str">
        <f>IFERROR(__xludf.DUMMYFUNCTION("""COMPUTED_VALUE"""),"Social Media Advertising Northern Beaches | Meta &amp;amp; LinkedIn")</f>
        <v>Social Media Advertising Northern Beaches | Meta &amp;amp; LinkedIn</v>
      </c>
      <c r="C258" s="7" t="str">
        <f>IFERROR(__xludf.DUMMYFUNCTION("""COMPUTED_VALUE"""),"tmr.agency")</f>
        <v>tmr.agency</v>
      </c>
      <c r="D258" s="7" t="str">
        <f>IFERROR(__xludf.DUMMYFUNCTION("""COMPUTED_VALUE"""),"PRODUCT_PAGE")</f>
        <v>PRODUCT_PAGE</v>
      </c>
      <c r="E258" s="7" t="str">
        <f>IFERROR(__xludf.DUMMYFUNCTION("""COMPUTED_VALUE"""),"CORPORATE")</f>
        <v>CORPORATE</v>
      </c>
      <c r="F258" s="7" t="str">
        <f>IFERROR(__xludf.DUMMYFUNCTION("""COMPUTED_VALUE"""),"Product Page")</f>
        <v>Product Page</v>
      </c>
      <c r="G258" s="7" t="b">
        <f>IFERROR(__xludf.DUMMYFUNCTION("""COMPUTED_VALUE"""),FALSE)</f>
        <v>0</v>
      </c>
      <c r="H258" s="7"/>
      <c r="I258" s="7">
        <f>IFERROR(__xludf.DUMMYFUNCTION("""COMPUTED_VALUE"""),1.0)</f>
        <v>1</v>
      </c>
      <c r="J258" s="7">
        <f>IFERROR(__xludf.DUMMYFUNCTION("""COMPUTED_VALUE"""),0.0)</f>
        <v>0</v>
      </c>
      <c r="K258" s="7">
        <f>IFERROR(__xludf.DUMMYFUNCTION("""COMPUTED_VALUE"""),3.0)</f>
        <v>3</v>
      </c>
    </row>
    <row r="259" ht="15.75" customHeight="1">
      <c r="A259" s="6" t="str">
        <f>IFERROR(__xludf.DUMMYFUNCTION("""COMPUTED_VALUE"""),"https://www.tussledigital.com/services/performance-marketing/")</f>
        <v>https://www.tussledigital.com/services/performance-marketing/</v>
      </c>
      <c r="B259" s="7" t="str">
        <f>IFERROR(__xludf.DUMMYFUNCTION("""COMPUTED_VALUE"""),"performance marketing - Tussle Digital")</f>
        <v>performance marketing - Tussle Digital</v>
      </c>
      <c r="C259" s="6" t="str">
        <f>IFERROR(__xludf.DUMMYFUNCTION("""COMPUTED_VALUE"""),"tussledigital.com")</f>
        <v>tussledigital.com</v>
      </c>
      <c r="D259" s="7" t="str">
        <f>IFERROR(__xludf.DUMMYFUNCTION("""COMPUTED_VALUE"""),"PRODUCT_PAGE")</f>
        <v>PRODUCT_PAGE</v>
      </c>
      <c r="E259" s="7" t="str">
        <f>IFERROR(__xludf.DUMMYFUNCTION("""COMPUTED_VALUE"""),"CORPORATE")</f>
        <v>CORPORATE</v>
      </c>
      <c r="F259" s="7" t="str">
        <f>IFERROR(__xludf.DUMMYFUNCTION("""COMPUTED_VALUE"""),"Product Page")</f>
        <v>Product Page</v>
      </c>
      <c r="G259" s="7" t="b">
        <f>IFERROR(__xludf.DUMMYFUNCTION("""COMPUTED_VALUE"""),FALSE)</f>
        <v>0</v>
      </c>
      <c r="H259" s="7"/>
      <c r="I259" s="7">
        <f>IFERROR(__xludf.DUMMYFUNCTION("""COMPUTED_VALUE"""),1.0)</f>
        <v>1</v>
      </c>
      <c r="J259" s="7">
        <f>IFERROR(__xludf.DUMMYFUNCTION("""COMPUTED_VALUE"""),0.0)</f>
        <v>0</v>
      </c>
      <c r="K259" s="7">
        <f>IFERROR(__xludf.DUMMYFUNCTION("""COMPUTED_VALUE"""),0.0)</f>
        <v>0</v>
      </c>
    </row>
    <row r="260" ht="15.75" customHeight="1">
      <c r="A260" s="6" t="str">
        <f>IFERROR(__xludf.DUMMYFUNCTION("""COMPUTED_VALUE"""),"https://www.undivided.com.au/drtv")</f>
        <v>https://www.undivided.com.au/drtv</v>
      </c>
      <c r="B260" s="7" t="str">
        <f>IFERROR(__xludf.DUMMYFUNCTION("""COMPUTED_VALUE"""),"Digital Marketing Services Australia \| Online Marketing Services")</f>
        <v>Digital Marketing Services Australia \| Online Marketing Services</v>
      </c>
      <c r="C260" s="6" t="str">
        <f>IFERROR(__xludf.DUMMYFUNCTION("""COMPUTED_VALUE"""),"undivided.com.au")</f>
        <v>undivided.com.au</v>
      </c>
      <c r="D260" s="7" t="str">
        <f>IFERROR(__xludf.DUMMYFUNCTION("""COMPUTED_VALUE"""),"PRODUCT_PAGE")</f>
        <v>PRODUCT_PAGE</v>
      </c>
      <c r="E260" s="7" t="str">
        <f>IFERROR(__xludf.DUMMYFUNCTION("""COMPUTED_VALUE"""),"CORPORATE")</f>
        <v>CORPORATE</v>
      </c>
      <c r="F260" s="7" t="str">
        <f>IFERROR(__xludf.DUMMYFUNCTION("""COMPUTED_VALUE"""),"Product Page")</f>
        <v>Product Page</v>
      </c>
      <c r="G260" s="7" t="b">
        <f>IFERROR(__xludf.DUMMYFUNCTION("""COMPUTED_VALUE"""),FALSE)</f>
        <v>0</v>
      </c>
      <c r="H260" s="7" t="str">
        <f>IFERROR(__xludf.DUMMYFUNCTION("""COMPUTED_VALUE"""),"Undivided, Earned Media, Measured")</f>
        <v>Undivided, Earned Media, Measured</v>
      </c>
      <c r="I260" s="7">
        <f>IFERROR(__xludf.DUMMYFUNCTION("""COMPUTED_VALUE"""),1.0)</f>
        <v>1</v>
      </c>
      <c r="J260" s="7">
        <f>IFERROR(__xludf.DUMMYFUNCTION("""COMPUTED_VALUE"""),0.0)</f>
        <v>0</v>
      </c>
      <c r="K260" s="7">
        <f>IFERROR(__xludf.DUMMYFUNCTION("""COMPUTED_VALUE"""),0.0)</f>
        <v>0</v>
      </c>
    </row>
    <row r="261" ht="15.75" customHeight="1">
      <c r="A261" s="6" t="str">
        <f>IFERROR(__xludf.DUMMYFUNCTION("""COMPUTED_VALUE"""),"https://www.undivided.com.au/services/media/social/commerce")</f>
        <v>https://www.undivided.com.au/services/media/social/commerce</v>
      </c>
      <c r="B261" s="7" t="str">
        <f>IFERROR(__xludf.DUMMYFUNCTION("""COMPUTED_VALUE"""),"Social Commerce Marketing | Undivided Media")</f>
        <v>Social Commerce Marketing | Undivided Media</v>
      </c>
      <c r="C261" s="6" t="str">
        <f>IFERROR(__xludf.DUMMYFUNCTION("""COMPUTED_VALUE"""),"undivided.com.au")</f>
        <v>undivided.com.au</v>
      </c>
      <c r="D261" s="7" t="str">
        <f>IFERROR(__xludf.DUMMYFUNCTION("""COMPUTED_VALUE"""),"PRODUCT_PAGE")</f>
        <v>PRODUCT_PAGE</v>
      </c>
      <c r="E261" s="7" t="str">
        <f>IFERROR(__xludf.DUMMYFUNCTION("""COMPUTED_VALUE"""),"CORPORATE")</f>
        <v>CORPORATE</v>
      </c>
      <c r="F261" s="7" t="str">
        <f>IFERROR(__xludf.DUMMYFUNCTION("""COMPUTED_VALUE"""),"Product Page")</f>
        <v>Product Page</v>
      </c>
      <c r="G261" s="7" t="b">
        <f>IFERROR(__xludf.DUMMYFUNCTION("""COMPUTED_VALUE"""),FALSE)</f>
        <v>0</v>
      </c>
      <c r="H261" s="7" t="str">
        <f>IFERROR(__xludf.DUMMYFUNCTION("""COMPUTED_VALUE"""),"Undivided, Earned Media, Measured")</f>
        <v>Undivided, Earned Media, Measured</v>
      </c>
      <c r="I261" s="7">
        <f>IFERROR(__xludf.DUMMYFUNCTION("""COMPUTED_VALUE"""),1.0)</f>
        <v>1</v>
      </c>
      <c r="J261" s="7">
        <f>IFERROR(__xludf.DUMMYFUNCTION("""COMPUTED_VALUE"""),0.0)</f>
        <v>0</v>
      </c>
      <c r="K261" s="7">
        <f>IFERROR(__xludf.DUMMYFUNCTION("""COMPUTED_VALUE"""),0.0)</f>
        <v>0</v>
      </c>
    </row>
    <row r="262" ht="15.75" customHeight="1">
      <c r="A262" s="6" t="str">
        <f>IFERROR(__xludf.DUMMYFUNCTION("""COMPUTED_VALUE"""),"https://unify.net.au/services/programmatic/")</f>
        <v>https://unify.net.au/services/programmatic/</v>
      </c>
      <c r="B262" s="7" t="str">
        <f>IFERROR(__xludf.DUMMYFUNCTION("""COMPUTED_VALUE"""),"Programmatic Advertising Agency Perth | Unify Digital")</f>
        <v>Programmatic Advertising Agency Perth | Unify Digital</v>
      </c>
      <c r="C262" s="6" t="str">
        <f>IFERROR(__xludf.DUMMYFUNCTION("""COMPUTED_VALUE"""),"unify.net.au")</f>
        <v>unify.net.au</v>
      </c>
      <c r="D262" s="7" t="str">
        <f>IFERROR(__xludf.DUMMYFUNCTION("""COMPUTED_VALUE"""),"PRODUCT_PAGE")</f>
        <v>PRODUCT_PAGE</v>
      </c>
      <c r="E262" s="7" t="str">
        <f>IFERROR(__xludf.DUMMYFUNCTION("""COMPUTED_VALUE"""),"CORPORATE")</f>
        <v>CORPORATE</v>
      </c>
      <c r="F262" s="7" t="str">
        <f>IFERROR(__xludf.DUMMYFUNCTION("""COMPUTED_VALUE"""),"Product Page")</f>
        <v>Product Page</v>
      </c>
      <c r="G262" s="7" t="b">
        <f>IFERROR(__xludf.DUMMYFUNCTION("""COMPUTED_VALUE"""),FALSE)</f>
        <v>0</v>
      </c>
      <c r="H262" s="7"/>
      <c r="I262" s="7">
        <f>IFERROR(__xludf.DUMMYFUNCTION("""COMPUTED_VALUE"""),1.0)</f>
        <v>1</v>
      </c>
      <c r="J262" s="7">
        <f>IFERROR(__xludf.DUMMYFUNCTION("""COMPUTED_VALUE"""),0.0)</f>
        <v>0</v>
      </c>
      <c r="K262" s="7">
        <f>IFERROR(__xludf.DUMMYFUNCTION("""COMPUTED_VALUE"""),1.0)</f>
        <v>1</v>
      </c>
    </row>
    <row r="263" ht="15.75" customHeight="1">
      <c r="A263" s="6" t="str">
        <f>IFERROR(__xludf.DUMMYFUNCTION("""COMPUTED_VALUE"""),"https://www.uptech.team/hire-ai-developers")</f>
        <v>https://www.uptech.team/hire-ai-developers</v>
      </c>
      <c r="B263" s="7" t="str">
        <f>IFERROR(__xludf.DUMMYFUNCTION("""COMPUTED_VALUE"""),"Hire AI Developers")</f>
        <v>Hire AI Developers</v>
      </c>
      <c r="C263" s="7" t="str">
        <f>IFERROR(__xludf.DUMMYFUNCTION("""COMPUTED_VALUE"""),"uptech.team")</f>
        <v>uptech.team</v>
      </c>
      <c r="D263" s="7" t="str">
        <f>IFERROR(__xludf.DUMMYFUNCTION("""COMPUTED_VALUE"""),"PRODUCT_PAGE")</f>
        <v>PRODUCT_PAGE</v>
      </c>
      <c r="E263" s="7" t="str">
        <f>IFERROR(__xludf.DUMMYFUNCTION("""COMPUTED_VALUE"""),"CORPORATE")</f>
        <v>CORPORATE</v>
      </c>
      <c r="F263" s="7" t="str">
        <f>IFERROR(__xludf.DUMMYFUNCTION("""COMPUTED_VALUE"""),"Product Page")</f>
        <v>Product Page</v>
      </c>
      <c r="G263" s="7" t="b">
        <f>IFERROR(__xludf.DUMMYFUNCTION("""COMPUTED_VALUE"""),FALSE)</f>
        <v>0</v>
      </c>
      <c r="H263" s="7"/>
      <c r="I263" s="7">
        <f>IFERROR(__xludf.DUMMYFUNCTION("""COMPUTED_VALUE"""),1.0)</f>
        <v>1</v>
      </c>
      <c r="J263" s="7">
        <f>IFERROR(__xludf.DUMMYFUNCTION("""COMPUTED_VALUE"""),0.0)</f>
        <v>0</v>
      </c>
      <c r="K263" s="7">
        <f>IFERROR(__xludf.DUMMYFUNCTION("""COMPUTED_VALUE"""),1.0)</f>
        <v>1</v>
      </c>
    </row>
    <row r="264" ht="15.75" customHeight="1">
      <c r="A264" s="6" t="str">
        <f>IFERROR(__xludf.DUMMYFUNCTION("""COMPUTED_VALUE"""),"https://vtdigital.com.au/performance-marketing-agency/")</f>
        <v>https://vtdigital.com.au/performance-marketing-agency/</v>
      </c>
      <c r="B264" s="7" t="str">
        <f>IFERROR(__xludf.DUMMYFUNCTION("""COMPUTED_VALUE"""),"Performance Marketing Agency in Sydney - VT Digital")</f>
        <v>Performance Marketing Agency in Sydney - VT Digital</v>
      </c>
      <c r="C264" s="6" t="str">
        <f>IFERROR(__xludf.DUMMYFUNCTION("""COMPUTED_VALUE"""),"vtdigital.com.au")</f>
        <v>vtdigital.com.au</v>
      </c>
      <c r="D264" s="7" t="str">
        <f>IFERROR(__xludf.DUMMYFUNCTION("""COMPUTED_VALUE"""),"PRODUCT_PAGE")</f>
        <v>PRODUCT_PAGE</v>
      </c>
      <c r="E264" s="7" t="str">
        <f>IFERROR(__xludf.DUMMYFUNCTION("""COMPUTED_VALUE"""),"CORPORATE")</f>
        <v>CORPORATE</v>
      </c>
      <c r="F264" s="7" t="str">
        <f>IFERROR(__xludf.DUMMYFUNCTION("""COMPUTED_VALUE"""),"Product Page")</f>
        <v>Product Page</v>
      </c>
      <c r="G264" s="7" t="b">
        <f>IFERROR(__xludf.DUMMYFUNCTION("""COMPUTED_VALUE"""),FALSE)</f>
        <v>0</v>
      </c>
      <c r="H264" s="7" t="str">
        <f>IFERROR(__xludf.DUMMYFUNCTION("""COMPUTED_VALUE"""),"First Page")</f>
        <v>First Page</v>
      </c>
      <c r="I264" s="7">
        <f>IFERROR(__xludf.DUMMYFUNCTION("""COMPUTED_VALUE"""),1.0)</f>
        <v>1</v>
      </c>
      <c r="J264" s="7">
        <f>IFERROR(__xludf.DUMMYFUNCTION("""COMPUTED_VALUE"""),0.0)</f>
        <v>0</v>
      </c>
      <c r="K264" s="7">
        <f>IFERROR(__xludf.DUMMYFUNCTION("""COMPUTED_VALUE"""),0.0)</f>
        <v>0</v>
      </c>
    </row>
    <row r="265" ht="15.75" customHeight="1">
      <c r="A265" s="6" t="str">
        <f>IFERROR(__xludf.DUMMYFUNCTION("""COMPUTED_VALUE"""),"https://websavvy.com.au/services/display-video/")</f>
        <v>https://websavvy.com.au/services/display-video/</v>
      </c>
      <c r="B265" s="7" t="str">
        <f>IFERROR(__xludf.DUMMYFUNCTION("""COMPUTED_VALUE"""),"Display &amp;amp; Video Programmatic Campaigns That Convert | WebSavvy")</f>
        <v>Display &amp;amp; Video Programmatic Campaigns That Convert | WebSavvy</v>
      </c>
      <c r="C265" s="6" t="str">
        <f>IFERROR(__xludf.DUMMYFUNCTION("""COMPUTED_VALUE"""),"websavvy.com.au")</f>
        <v>websavvy.com.au</v>
      </c>
      <c r="D265" s="7" t="str">
        <f>IFERROR(__xludf.DUMMYFUNCTION("""COMPUTED_VALUE"""),"PRODUCT_PAGE")</f>
        <v>PRODUCT_PAGE</v>
      </c>
      <c r="E265" s="7" t="str">
        <f>IFERROR(__xludf.DUMMYFUNCTION("""COMPUTED_VALUE"""),"COMPETITOR")</f>
        <v>COMPETITOR</v>
      </c>
      <c r="F265" s="7" t="str">
        <f>IFERROR(__xludf.DUMMYFUNCTION("""COMPUTED_VALUE"""),"Product Page")</f>
        <v>Product Page</v>
      </c>
      <c r="G265" s="7" t="b">
        <f>IFERROR(__xludf.DUMMYFUNCTION("""COMPUTED_VALUE"""),FALSE)</f>
        <v>0</v>
      </c>
      <c r="H265" s="7" t="str">
        <f>IFERROR(__xludf.DUMMYFUNCTION("""COMPUTED_VALUE"""),"WebSavvy")</f>
        <v>WebSavvy</v>
      </c>
      <c r="I265" s="7">
        <f>IFERROR(__xludf.DUMMYFUNCTION("""COMPUTED_VALUE"""),1.0)</f>
        <v>1</v>
      </c>
      <c r="J265" s="7">
        <f>IFERROR(__xludf.DUMMYFUNCTION("""COMPUTED_VALUE"""),0.0)</f>
        <v>0</v>
      </c>
      <c r="K265" s="7">
        <f>IFERROR(__xludf.DUMMYFUNCTION("""COMPUTED_VALUE"""),1.0)</f>
        <v>1</v>
      </c>
    </row>
    <row r="266" ht="15.75" customHeight="1">
      <c r="A266" s="6" t="str">
        <f>IFERROR(__xludf.DUMMYFUNCTION("""COMPUTED_VALUE"""),"https://whitehatagency.com.au/ai-consulting/")</f>
        <v>https://whitehatagency.com.au/ai-consulting/</v>
      </c>
      <c r="B266" s="7" t="str">
        <f>IFERROR(__xludf.DUMMYFUNCTION("""COMPUTED_VALUE"""),"AI Consulting | 90-Day Transformation, $12M+ ROI | Whitehat")</f>
        <v>AI Consulting | 90-Day Transformation, $12M+ ROI | Whitehat</v>
      </c>
      <c r="C266" s="6" t="str">
        <f>IFERROR(__xludf.DUMMYFUNCTION("""COMPUTED_VALUE"""),"whitehatagency.com.au")</f>
        <v>whitehatagency.com.au</v>
      </c>
      <c r="D266" s="7" t="str">
        <f>IFERROR(__xludf.DUMMYFUNCTION("""COMPUTED_VALUE"""),"PRODUCT_PAGE")</f>
        <v>PRODUCT_PAGE</v>
      </c>
      <c r="E266" s="7" t="str">
        <f>IFERROR(__xludf.DUMMYFUNCTION("""COMPUTED_VALUE"""),"CORPORATE")</f>
        <v>CORPORATE</v>
      </c>
      <c r="F266" s="7" t="str">
        <f>IFERROR(__xludf.DUMMYFUNCTION("""COMPUTED_VALUE"""),"Product Page")</f>
        <v>Product Page</v>
      </c>
      <c r="G266" s="7" t="b">
        <f>IFERROR(__xludf.DUMMYFUNCTION("""COMPUTED_VALUE"""),FALSE)</f>
        <v>0</v>
      </c>
      <c r="H266" s="7" t="str">
        <f>IFERROR(__xludf.DUMMYFUNCTION("""COMPUTED_VALUE"""),"KPMG, Measured")</f>
        <v>KPMG, Measured</v>
      </c>
      <c r="I266" s="7">
        <f>IFERROR(__xludf.DUMMYFUNCTION("""COMPUTED_VALUE"""),1.0)</f>
        <v>1</v>
      </c>
      <c r="J266" s="7">
        <f>IFERROR(__xludf.DUMMYFUNCTION("""COMPUTED_VALUE"""),0.0)</f>
        <v>0</v>
      </c>
      <c r="K266" s="7">
        <f>IFERROR(__xludf.DUMMYFUNCTION("""COMPUTED_VALUE"""),2.0)</f>
        <v>2</v>
      </c>
    </row>
    <row r="267" ht="15.75" customHeight="1">
      <c r="A267" s="6" t="str">
        <f>IFERROR(__xludf.DUMMYFUNCTION("""COMPUTED_VALUE"""),"https://wilsonai.com/AI-Consultants-Australia.php")</f>
        <v>https://wilsonai.com/AI-Consultants-Australia.php</v>
      </c>
      <c r="B267" s="7" t="str">
        <f>IFERROR(__xludf.DUMMYFUNCTION("""COMPUTED_VALUE"""),"AI Consultants")</f>
        <v>AI Consultants</v>
      </c>
      <c r="C267" s="6" t="str">
        <f>IFERROR(__xludf.DUMMYFUNCTION("""COMPUTED_VALUE"""),"wilsonai.com")</f>
        <v>wilsonai.com</v>
      </c>
      <c r="D267" s="7" t="str">
        <f>IFERROR(__xludf.DUMMYFUNCTION("""COMPUTED_VALUE"""),"PRODUCT_PAGE")</f>
        <v>PRODUCT_PAGE</v>
      </c>
      <c r="E267" s="7" t="str">
        <f>IFERROR(__xludf.DUMMYFUNCTION("""COMPUTED_VALUE"""),"CORPORATE")</f>
        <v>CORPORATE</v>
      </c>
      <c r="F267" s="7" t="str">
        <f>IFERROR(__xludf.DUMMYFUNCTION("""COMPUTED_VALUE"""),"Product Page")</f>
        <v>Product Page</v>
      </c>
      <c r="G267" s="7" t="b">
        <f>IFERROR(__xludf.DUMMYFUNCTION("""COMPUTED_VALUE"""),FALSE)</f>
        <v>0</v>
      </c>
      <c r="H267" s="7" t="str">
        <f>IFERROR(__xludf.DUMMYFUNCTION("""COMPUTED_VALUE"""),"Momentum")</f>
        <v>Momentum</v>
      </c>
      <c r="I267" s="7">
        <f>IFERROR(__xludf.DUMMYFUNCTION("""COMPUTED_VALUE"""),1.0)</f>
        <v>1</v>
      </c>
      <c r="J267" s="7">
        <f>IFERROR(__xludf.DUMMYFUNCTION("""COMPUTED_VALUE"""),0.0)</f>
        <v>0</v>
      </c>
      <c r="K267" s="7">
        <f>IFERROR(__xludf.DUMMYFUNCTION("""COMPUTED_VALUE"""),2.0)</f>
        <v>2</v>
      </c>
    </row>
    <row r="268" ht="15.75" customHeight="1">
      <c r="A268" s="6" t="str">
        <f>IFERROR(__xludf.DUMMYFUNCTION("""COMPUTED_VALUE"""),"https://xpon.ai/au/resources/google-analytics-360-pricing/")</f>
        <v>https://xpon.ai/au/resources/google-analytics-360-pricing/</v>
      </c>
      <c r="B268" s="7" t="str">
        <f>IFERROR(__xludf.DUMMYFUNCTION("""COMPUTED_VALUE"""),"Google Analytics 360 Pricing | XPON Technologies | XPON Australia")</f>
        <v>Google Analytics 360 Pricing | XPON Technologies | XPON Australia</v>
      </c>
      <c r="C268" s="6" t="str">
        <f>IFERROR(__xludf.DUMMYFUNCTION("""COMPUTED_VALUE"""),"xpon.ai")</f>
        <v>xpon.ai</v>
      </c>
      <c r="D268" s="7" t="str">
        <f>IFERROR(__xludf.DUMMYFUNCTION("""COMPUTED_VALUE"""),"PRODUCT_PAGE")</f>
        <v>PRODUCT_PAGE</v>
      </c>
      <c r="E268" s="7" t="str">
        <f>IFERROR(__xludf.DUMMYFUNCTION("""COMPUTED_VALUE"""),"COMPETITOR")</f>
        <v>COMPETITOR</v>
      </c>
      <c r="F268" s="7" t="str">
        <f>IFERROR(__xludf.DUMMYFUNCTION("""COMPUTED_VALUE"""),"Product Page")</f>
        <v>Product Page</v>
      </c>
      <c r="G268" s="7" t="b">
        <f>IFERROR(__xludf.DUMMYFUNCTION("""COMPUTED_VALUE"""),FALSE)</f>
        <v>0</v>
      </c>
      <c r="H268" s="7" t="str">
        <f>IFERROR(__xludf.DUMMYFUNCTION("""COMPUTED_VALUE"""),"XPON")</f>
        <v>XPON</v>
      </c>
      <c r="I268" s="7">
        <f>IFERROR(__xludf.DUMMYFUNCTION("""COMPUTED_VALUE"""),1.0)</f>
        <v>1</v>
      </c>
      <c r="J268" s="7">
        <f>IFERROR(__xludf.DUMMYFUNCTION("""COMPUTED_VALUE"""),0.0)</f>
        <v>0</v>
      </c>
      <c r="K268" s="7">
        <f>IFERROR(__xludf.DUMMYFUNCTION("""COMPUTED_VALUE"""),1.0)</f>
        <v>1</v>
      </c>
    </row>
    <row r="269" ht="15.75" customHeight="1">
      <c r="A269" s="6" t="str">
        <f>IFERROR(__xludf.DUMMYFUNCTION("""COMPUTED_VALUE"""),"https://xpon.ai/google-cloud/")</f>
        <v>https://xpon.ai/google-cloud/</v>
      </c>
      <c r="B269" s="7" t="str">
        <f>IFERROR(__xludf.DUMMYFUNCTION("""COMPUTED_VALUE"""),"Google Cloud for Marketing | XPON")</f>
        <v>Google Cloud for Marketing | XPON</v>
      </c>
      <c r="C269" s="6" t="str">
        <f>IFERROR(__xludf.DUMMYFUNCTION("""COMPUTED_VALUE"""),"xpon.ai")</f>
        <v>xpon.ai</v>
      </c>
      <c r="D269" s="7" t="str">
        <f>IFERROR(__xludf.DUMMYFUNCTION("""COMPUTED_VALUE"""),"PRODUCT_PAGE")</f>
        <v>PRODUCT_PAGE</v>
      </c>
      <c r="E269" s="7" t="str">
        <f>IFERROR(__xludf.DUMMYFUNCTION("""COMPUTED_VALUE"""),"COMPETITOR")</f>
        <v>COMPETITOR</v>
      </c>
      <c r="F269" s="7" t="str">
        <f>IFERROR(__xludf.DUMMYFUNCTION("""COMPUTED_VALUE"""),"Product Page")</f>
        <v>Product Page</v>
      </c>
      <c r="G269" s="7" t="b">
        <f>IFERROR(__xludf.DUMMYFUNCTION("""COMPUTED_VALUE"""),FALSE)</f>
        <v>0</v>
      </c>
      <c r="H269" s="7" t="str">
        <f>IFERROR(__xludf.DUMMYFUNCTION("""COMPUTED_VALUE"""),"XPON")</f>
        <v>XPON</v>
      </c>
      <c r="I269" s="7">
        <f>IFERROR(__xludf.DUMMYFUNCTION("""COMPUTED_VALUE"""),1.0)</f>
        <v>1</v>
      </c>
      <c r="J269" s="7">
        <f>IFERROR(__xludf.DUMMYFUNCTION("""COMPUTED_VALUE"""),0.0)</f>
        <v>0</v>
      </c>
      <c r="K269" s="7">
        <f>IFERROR(__xludf.DUMMYFUNCTION("""COMPUTED_VALUE"""),1.0)</f>
        <v>1</v>
      </c>
    </row>
    <row r="270" ht="15.75" customHeight="1">
      <c r="A270" s="6" t="str">
        <f>IFERROR(__xludf.DUMMYFUNCTION("""COMPUTED_VALUE"""),"https://xpon.ai/resources/google-marketing-platform-partner/")</f>
        <v>https://xpon.ai/resources/google-marketing-platform-partner/</v>
      </c>
      <c r="B270" s="7" t="str">
        <f>IFERROR(__xludf.DUMMYFUNCTION("""COMPUTED_VALUE"""),"The Benefits of Certified Google Marketing Platform Partners | XPON")</f>
        <v>The Benefits of Certified Google Marketing Platform Partners | XPON</v>
      </c>
      <c r="C270" s="6" t="str">
        <f>IFERROR(__xludf.DUMMYFUNCTION("""COMPUTED_VALUE"""),"xpon.ai")</f>
        <v>xpon.ai</v>
      </c>
      <c r="D270" s="7" t="str">
        <f>IFERROR(__xludf.DUMMYFUNCTION("""COMPUTED_VALUE"""),"PRODUCT_PAGE")</f>
        <v>PRODUCT_PAGE</v>
      </c>
      <c r="E270" s="7" t="str">
        <f>IFERROR(__xludf.DUMMYFUNCTION("""COMPUTED_VALUE"""),"COMPETITOR")</f>
        <v>COMPETITOR</v>
      </c>
      <c r="F270" s="7" t="str">
        <f>IFERROR(__xludf.DUMMYFUNCTION("""COMPUTED_VALUE"""),"Product Page")</f>
        <v>Product Page</v>
      </c>
      <c r="G270" s="7" t="b">
        <f>IFERROR(__xludf.DUMMYFUNCTION("""COMPUTED_VALUE"""),FALSE)</f>
        <v>0</v>
      </c>
      <c r="H270" s="7" t="str">
        <f>IFERROR(__xludf.DUMMYFUNCTION("""COMPUTED_VALUE"""),"XPON")</f>
        <v>XPON</v>
      </c>
      <c r="I270" s="7">
        <f>IFERROR(__xludf.DUMMYFUNCTION("""COMPUTED_VALUE"""),1.0)</f>
        <v>1</v>
      </c>
      <c r="J270" s="7">
        <f>IFERROR(__xludf.DUMMYFUNCTION("""COMPUTED_VALUE"""),0.0)</f>
        <v>0</v>
      </c>
      <c r="K270" s="7">
        <f>IFERROR(__xludf.DUMMYFUNCTION("""COMPUTED_VALUE"""),1.0)</f>
        <v>1</v>
      </c>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A30"/>
    <hyperlink r:id="rId56" ref="C30"/>
    <hyperlink r:id="rId57" ref="A31"/>
    <hyperlink r:id="rId58" ref="C31"/>
    <hyperlink r:id="rId59"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location=":~:text=Organic%20Social%20%26%20EDM%20Performance.%20Effortlessly%20compare,%2D%20Controlled%20Experiments.%20%2D%20Marketing%20Mix%20Modelling." ref="A44"/>
    <hyperlink r:id="rId83" ref="C44"/>
    <hyperlink r:id="rId84" ref="A45"/>
    <hyperlink r:id="rId85" ref="C45"/>
    <hyperlink r:id="rId86" location=":~:text=If%20your%20reporting%20feels%20shallow%2C%20confusing%20or,sales%20across%20both%20brand%20and%20performance%20channels." ref="A46"/>
    <hyperlink r:id="rId87" ref="C46"/>
    <hyperlink r:id="rId88" ref="A47"/>
    <hyperlink r:id="rId89" ref="C47"/>
    <hyperlink r:id="rId90"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C58"/>
    <hyperlink r:id="rId112" ref="A59"/>
    <hyperlink r:id="rId113" ref="C59"/>
    <hyperlink r:id="rId114" ref="A60"/>
    <hyperlink r:id="rId115" ref="C60"/>
    <hyperlink r:id="rId116" ref="A61"/>
    <hyperlink r:id="rId117" ref="C61"/>
    <hyperlink r:id="rId118" ref="A62"/>
    <hyperlink r:id="rId119" ref="C62"/>
    <hyperlink r:id="rId120" ref="A63"/>
    <hyperlink r:id="rId121" ref="C63"/>
    <hyperlink r:id="rId122" ref="A64"/>
    <hyperlink r:id="rId123" ref="C64"/>
    <hyperlink r:id="rId124" ref="A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ref="A91"/>
    <hyperlink r:id="rId176" ref="C91"/>
    <hyperlink r:id="rId177" ref="A92"/>
    <hyperlink r:id="rId178" ref="C92"/>
    <hyperlink r:id="rId179" ref="A93"/>
    <hyperlink r:id="rId180" ref="C93"/>
    <hyperlink r:id="rId181" ref="A94"/>
    <hyperlink r:id="rId182" ref="C94"/>
    <hyperlink r:id="rId183" ref="A95"/>
    <hyperlink r:id="rId184" ref="C95"/>
    <hyperlink r:id="rId185" ref="A96"/>
    <hyperlink r:id="rId186" ref="C96"/>
    <hyperlink r:id="rId187" ref="A97"/>
    <hyperlink r:id="rId188" ref="C97"/>
    <hyperlink r:id="rId189" ref="A98"/>
    <hyperlink r:id="rId190" ref="C98"/>
    <hyperlink r:id="rId191" ref="A99"/>
    <hyperlink r:id="rId192" ref="C99"/>
    <hyperlink r:id="rId193" ref="A100"/>
    <hyperlink r:id="rId194" ref="C100"/>
    <hyperlink r:id="rId195" ref="A101"/>
    <hyperlink r:id="rId196" ref="C101"/>
    <hyperlink r:id="rId197" ref="A102"/>
    <hyperlink r:id="rId198" ref="C102"/>
    <hyperlink r:id="rId199" ref="A103"/>
    <hyperlink r:id="rId200" ref="C103"/>
    <hyperlink r:id="rId201" ref="A104"/>
    <hyperlink r:id="rId202" ref="C104"/>
    <hyperlink r:id="rId203" ref="A105"/>
    <hyperlink r:id="rId204" ref="C105"/>
    <hyperlink r:id="rId205" ref="A106"/>
    <hyperlink r:id="rId206" ref="C106"/>
    <hyperlink r:id="rId207" ref="A107"/>
    <hyperlink r:id="rId208" ref="C107"/>
    <hyperlink r:id="rId209" ref="A108"/>
    <hyperlink r:id="rId210" ref="C108"/>
    <hyperlink r:id="rId211" ref="A109"/>
    <hyperlink r:id="rId212" ref="C109"/>
    <hyperlink r:id="rId213" ref="A110"/>
    <hyperlink r:id="rId214" ref="C110"/>
    <hyperlink r:id="rId215" ref="A111"/>
    <hyperlink r:id="rId216" ref="C111"/>
    <hyperlink r:id="rId217" ref="A112"/>
    <hyperlink r:id="rId218" ref="C112"/>
    <hyperlink r:id="rId219" ref="A113"/>
    <hyperlink r:id="rId220" ref="A114"/>
    <hyperlink r:id="rId221" ref="C114"/>
    <hyperlink r:id="rId222" ref="A115"/>
    <hyperlink r:id="rId223" ref="C115"/>
    <hyperlink r:id="rId224" ref="A116"/>
    <hyperlink r:id="rId225" ref="C116"/>
    <hyperlink r:id="rId226" ref="A117"/>
    <hyperlink r:id="rId227" ref="C117"/>
    <hyperlink r:id="rId228" ref="A118"/>
    <hyperlink r:id="rId229" ref="C118"/>
    <hyperlink r:id="rId230" ref="A119"/>
    <hyperlink r:id="rId231" ref="C119"/>
    <hyperlink r:id="rId232" location=":~:text=Our%20LLM%20SEO%20services%20help,LLMs%20and%20AI%20search%20engines." ref="A120"/>
    <hyperlink r:id="rId233" ref="C120"/>
    <hyperlink r:id="rId234" location=":~:text=Our%20live%20dashboards%20track%20your%20brand's%20presence,optimised%20for%20the%20latest%20AI%2Dpowered%20search%20results." ref="A121"/>
    <hyperlink r:id="rId235" ref="C121"/>
    <hyperlink r:id="rId236" ref="A122"/>
    <hyperlink r:id="rId237" ref="C122"/>
    <hyperlink r:id="rId238" ref="A123"/>
    <hyperlink r:id="rId239" ref="C123"/>
    <hyperlink r:id="rId240" ref="A124"/>
    <hyperlink r:id="rId241" ref="C124"/>
    <hyperlink r:id="rId242" ref="A125"/>
    <hyperlink r:id="rId243" ref="C125"/>
    <hyperlink r:id="rId244" ref="A126"/>
    <hyperlink r:id="rId245" ref="C126"/>
    <hyperlink r:id="rId246" ref="A127"/>
    <hyperlink r:id="rId247" ref="C127"/>
    <hyperlink r:id="rId248" ref="A128"/>
    <hyperlink r:id="rId249" ref="C128"/>
    <hyperlink r:id="rId250" ref="A129"/>
    <hyperlink r:id="rId251" ref="C129"/>
    <hyperlink r:id="rId252" ref="A130"/>
    <hyperlink r:id="rId253" ref="C130"/>
    <hyperlink r:id="rId254" ref="A131"/>
    <hyperlink r:id="rId255" ref="C131"/>
    <hyperlink r:id="rId256" ref="A132"/>
    <hyperlink r:id="rId257" ref="C132"/>
    <hyperlink r:id="rId258" ref="A133"/>
    <hyperlink r:id="rId259" ref="C133"/>
    <hyperlink r:id="rId260" ref="A134"/>
    <hyperlink r:id="rId261" ref="C134"/>
    <hyperlink r:id="rId262" ref="A135"/>
    <hyperlink r:id="rId263" ref="C135"/>
    <hyperlink r:id="rId264" ref="A136"/>
    <hyperlink r:id="rId265" ref="C136"/>
    <hyperlink r:id="rId266" ref="A137"/>
    <hyperlink r:id="rId267" ref="C137"/>
    <hyperlink r:id="rId268" ref="A138"/>
    <hyperlink r:id="rId269" ref="C138"/>
    <hyperlink r:id="rId270" ref="A139"/>
    <hyperlink r:id="rId271" ref="C139"/>
    <hyperlink r:id="rId272" ref="A140"/>
    <hyperlink r:id="rId273" ref="C140"/>
    <hyperlink r:id="rId274" ref="A141"/>
    <hyperlink r:id="rId275" ref="C141"/>
    <hyperlink r:id="rId276" ref="A142"/>
    <hyperlink r:id="rId277" ref="C142"/>
    <hyperlink r:id="rId278" location=":~:text=They're%20engineered%20to%20be%20the%20reference.%20%2D,SEO%20clients%2C%20local%20trades%20to%20ASX%20brands." ref="A143"/>
    <hyperlink r:id="rId279" ref="C143"/>
    <hyperlink r:id="rId280" ref="A144"/>
    <hyperlink r:id="rId281" ref="C144"/>
    <hyperlink r:id="rId282" ref="A145"/>
    <hyperlink r:id="rId283" ref="C145"/>
    <hyperlink r:id="rId284" ref="A146"/>
    <hyperlink r:id="rId285" ref="C146"/>
    <hyperlink r:id="rId286" ref="A147"/>
    <hyperlink r:id="rId287" ref="C147"/>
    <hyperlink r:id="rId288" ref="A148"/>
    <hyperlink r:id="rId289" ref="C148"/>
    <hyperlink r:id="rId290" ref="A149"/>
    <hyperlink r:id="rId291" ref="C149"/>
    <hyperlink r:id="rId292" ref="A150"/>
    <hyperlink r:id="rId293" ref="C150"/>
    <hyperlink r:id="rId294" ref="A151"/>
    <hyperlink r:id="rId295" ref="C151"/>
    <hyperlink r:id="rId296" ref="A152"/>
    <hyperlink r:id="rId297" ref="C152"/>
    <hyperlink r:id="rId298" ref="A153"/>
    <hyperlink r:id="rId299" ref="C153"/>
    <hyperlink r:id="rId300" ref="A154"/>
    <hyperlink r:id="rId301" ref="C154"/>
    <hyperlink r:id="rId302" ref="A155"/>
    <hyperlink r:id="rId303" ref="C155"/>
    <hyperlink r:id="rId304" ref="A156"/>
    <hyperlink r:id="rId305" ref="C156"/>
    <hyperlink r:id="rId306" ref="A157"/>
    <hyperlink r:id="rId307" ref="C157"/>
    <hyperlink r:id="rId308" ref="A158"/>
    <hyperlink r:id="rId309" ref="C158"/>
    <hyperlink r:id="rId310" ref="A159"/>
    <hyperlink r:id="rId311" ref="C159"/>
    <hyperlink r:id="rId312" location=":~:text=BizWisdom%20leverage%20the%20latest%20programmatic,LEARN%20HOW" ref="A160"/>
    <hyperlink r:id="rId313" ref="C160"/>
    <hyperlink r:id="rId314" location=":~:text=Owns%20growth%20strategy%20across%20the%20portfolio%3A%20the,the%20concepts%20and%20angles%20that%20drive%20profit." ref="A161"/>
    <hyperlink r:id="rId315" ref="C161"/>
    <hyperlink r:id="rId316" ref="A162"/>
    <hyperlink r:id="rId317" ref="C162"/>
    <hyperlink r:id="rId318" ref="A163"/>
    <hyperlink r:id="rId319" ref="C163"/>
    <hyperlink r:id="rId320" ref="A164"/>
    <hyperlink r:id="rId321" ref="C164"/>
    <hyperlink r:id="rId322" ref="A165"/>
    <hyperlink r:id="rId323" ref="C165"/>
    <hyperlink r:id="rId324" ref="A166"/>
    <hyperlink r:id="rId325" ref="C166"/>
    <hyperlink r:id="rId326" ref="A167"/>
    <hyperlink r:id="rId327" ref="C167"/>
    <hyperlink r:id="rId328" location=":~:text=DV360%20(Google's%20enterprise%20DSP)%20and%20The%20Trade,work%20follows%20IAB%20Australia%20brand%20safety%20standards." ref="A168"/>
    <hyperlink r:id="rId329" ref="C168"/>
    <hyperlink r:id="rId330" ref="A169"/>
    <hyperlink r:id="rId331" ref="C169"/>
    <hyperlink r:id="rId332" ref="A170"/>
    <hyperlink r:id="rId333" ref="C170"/>
    <hyperlink r:id="rId334" ref="A171"/>
    <hyperlink r:id="rId335" ref="C171"/>
    <hyperlink r:id="rId336" ref="A172"/>
    <hyperlink r:id="rId337" ref="C172"/>
    <hyperlink r:id="rId338" ref="A173"/>
    <hyperlink r:id="rId339" ref="C173"/>
    <hyperlink r:id="rId340" ref="A174"/>
    <hyperlink r:id="rId341" ref="C174"/>
    <hyperlink r:id="rId342" ref="A175"/>
    <hyperlink r:id="rId343" ref="C175"/>
    <hyperlink r:id="rId344" ref="A176"/>
    <hyperlink r:id="rId345" ref="C176"/>
    <hyperlink r:id="rId346" ref="A177"/>
    <hyperlink r:id="rId347" ref="C177"/>
    <hyperlink r:id="rId348" ref="A178"/>
    <hyperlink r:id="rId349" ref="C178"/>
    <hyperlink r:id="rId350" ref="A179"/>
    <hyperlink r:id="rId351" ref="C179"/>
    <hyperlink r:id="rId352" ref="A180"/>
    <hyperlink r:id="rId353" ref="C180"/>
    <hyperlink r:id="rId354" ref="A181"/>
    <hyperlink r:id="rId355" ref="C181"/>
    <hyperlink r:id="rId356" ref="A182"/>
    <hyperlink r:id="rId357" ref="C182"/>
    <hyperlink r:id="rId358" ref="A183"/>
    <hyperlink r:id="rId359" ref="C183"/>
    <hyperlink r:id="rId360" ref="A184"/>
    <hyperlink r:id="rId361" ref="C184"/>
    <hyperlink r:id="rId362" ref="A185"/>
    <hyperlink r:id="rId363" ref="C185"/>
    <hyperlink r:id="rId364" ref="A186"/>
    <hyperlink r:id="rId365" ref="C186"/>
    <hyperlink r:id="rId366" ref="A187"/>
    <hyperlink r:id="rId367" ref="C187"/>
    <hyperlink r:id="rId368" ref="A188"/>
    <hyperlink r:id="rId369" ref="C188"/>
    <hyperlink r:id="rId370" ref="A189"/>
    <hyperlink r:id="rId371" ref="C189"/>
    <hyperlink r:id="rId372" ref="A190"/>
    <hyperlink r:id="rId373" ref="C190"/>
    <hyperlink r:id="rId374" ref="A191"/>
    <hyperlink r:id="rId375" ref="C191"/>
    <hyperlink r:id="rId376" ref="A192"/>
    <hyperlink r:id="rId377" ref="C192"/>
    <hyperlink r:id="rId378" ref="A193"/>
    <hyperlink r:id="rId379" ref="C193"/>
    <hyperlink r:id="rId380" ref="A194"/>
    <hyperlink r:id="rId381" ref="C194"/>
    <hyperlink r:id="rId382" ref="A195"/>
    <hyperlink r:id="rId383" ref="C195"/>
    <hyperlink r:id="rId384" ref="A196"/>
    <hyperlink r:id="rId385" ref="C196"/>
    <hyperlink r:id="rId386" ref="A197"/>
    <hyperlink r:id="rId387" ref="C197"/>
    <hyperlink r:id="rId388" ref="A198"/>
    <hyperlink r:id="rId389" ref="C198"/>
    <hyperlink r:id="rId390" ref="A199"/>
    <hyperlink r:id="rId391" ref="C199"/>
    <hyperlink r:id="rId392" ref="A200"/>
    <hyperlink r:id="rId393" ref="C200"/>
    <hyperlink r:id="rId394" ref="A201"/>
    <hyperlink r:id="rId395" ref="C201"/>
    <hyperlink r:id="rId396" location=":~:text=%2B66%25%20Rola.%20%2B147%25%20Synergie%20Skin.%20%2B459%25%20T2.,related%20content%20together%20to%20push%20relevance%20site%2Dwide." ref="A202"/>
    <hyperlink r:id="rId397" ref="C202"/>
    <hyperlink r:id="rId398" ref="A203"/>
    <hyperlink r:id="rId399" ref="C203"/>
    <hyperlink r:id="rId400" ref="A204"/>
    <hyperlink r:id="rId401" ref="C204"/>
    <hyperlink r:id="rId402" ref="A205"/>
    <hyperlink r:id="rId403" ref="C205"/>
    <hyperlink r:id="rId404" ref="A206"/>
    <hyperlink r:id="rId405" ref="C206"/>
    <hyperlink r:id="rId406" ref="A207"/>
    <hyperlink r:id="rId407" ref="C207"/>
    <hyperlink r:id="rId408" ref="A208"/>
    <hyperlink r:id="rId409" ref="C208"/>
    <hyperlink r:id="rId410" ref="A209"/>
    <hyperlink r:id="rId411" ref="C209"/>
    <hyperlink r:id="rId412" ref="A210"/>
    <hyperlink r:id="rId413" ref="C210"/>
    <hyperlink r:id="rId414" ref="A211"/>
    <hyperlink r:id="rId415" ref="C211"/>
    <hyperlink r:id="rId416" ref="A212"/>
    <hyperlink r:id="rId417" ref="C212"/>
    <hyperlink r:id="rId418" ref="A213"/>
    <hyperlink r:id="rId419" ref="C213"/>
    <hyperlink r:id="rId420" ref="A214"/>
    <hyperlink r:id="rId421" ref="C214"/>
    <hyperlink r:id="rId422" location=":~:text=Top%20AI%20Agency%20in%20Sydney.%20Lightning%20Ventures,build%20for%20Sydney%20businesses%20%2D%20AI%20Integration." ref="A215"/>
    <hyperlink r:id="rId423" ref="C215"/>
    <hyperlink r:id="rId424" ref="A216"/>
    <hyperlink r:id="rId425" ref="C216"/>
    <hyperlink r:id="rId426" ref="A217"/>
    <hyperlink r:id="rId427" ref="C217"/>
    <hyperlink r:id="rId428" location=":~:text=Run%20the%20campaign%20in%20test,Incrementality%20as%20calibration." ref="A218"/>
    <hyperlink r:id="rId429" ref="C218"/>
    <hyperlink r:id="rId430" ref="A219"/>
    <hyperlink r:id="rId431" ref="C219"/>
    <hyperlink r:id="rId432" ref="A220"/>
    <hyperlink r:id="rId433" ref="C220"/>
    <hyperlink r:id="rId434" ref="A221"/>
    <hyperlink r:id="rId435" ref="C221"/>
    <hyperlink r:id="rId436" ref="A222"/>
    <hyperlink r:id="rId437" ref="C222"/>
    <hyperlink r:id="rId438" ref="A223"/>
    <hyperlink r:id="rId439" ref="C223"/>
    <hyperlink r:id="rId440" ref="A224"/>
    <hyperlink r:id="rId441" ref="C224"/>
    <hyperlink r:id="rId442" location=":~:text=Move%20Ahead%20Media%20will%20assign%20you%20a,a%20significant%20return%20on%20your%20advertising%20investment." ref="A225"/>
    <hyperlink r:id="rId443" ref="C225"/>
    <hyperlink r:id="rId444" ref="A226"/>
    <hyperlink r:id="rId445" ref="C226"/>
    <hyperlink r:id="rId446" ref="A227"/>
    <hyperlink r:id="rId447" ref="C227"/>
    <hyperlink r:id="rId448" ref="A228"/>
    <hyperlink r:id="rId449" ref="C228"/>
    <hyperlink r:id="rId450" ref="A229"/>
    <hyperlink r:id="rId451" ref="C229"/>
    <hyperlink r:id="rId452" ref="A230"/>
    <hyperlink r:id="rId453" ref="C230"/>
    <hyperlink r:id="rId454" ref="A231"/>
    <hyperlink r:id="rId455" ref="C231"/>
    <hyperlink r:id="rId456" ref="A232"/>
    <hyperlink r:id="rId457" ref="C232"/>
    <hyperlink r:id="rId458" ref="A233"/>
    <hyperlink r:id="rId459" ref="C233"/>
    <hyperlink r:id="rId460" ref="A234"/>
    <hyperlink r:id="rId461" ref="C234"/>
    <hyperlink r:id="rId462" ref="A235"/>
    <hyperlink r:id="rId463" ref="C235"/>
    <hyperlink r:id="rId464" ref="A236"/>
    <hyperlink r:id="rId465" ref="C236"/>
    <hyperlink r:id="rId466" ref="A237"/>
    <hyperlink r:id="rId467" ref="C237"/>
    <hyperlink r:id="rId468" ref="A238"/>
    <hyperlink r:id="rId469" ref="C238"/>
    <hyperlink r:id="rId470" ref="A239"/>
    <hyperlink r:id="rId471" ref="C239"/>
    <hyperlink r:id="rId472" ref="A240"/>
    <hyperlink r:id="rId473" ref="C240"/>
    <hyperlink r:id="rId474" ref="A241"/>
    <hyperlink r:id="rId475" ref="C241"/>
    <hyperlink r:id="rId476" ref="A242"/>
    <hyperlink r:id="rId477" ref="C242"/>
    <hyperlink r:id="rId478" ref="A243"/>
    <hyperlink r:id="rId479" ref="C243"/>
    <hyperlink r:id="rId480" ref="A244"/>
    <hyperlink r:id="rId481" ref="C244"/>
    <hyperlink r:id="rId482" ref="A245"/>
    <hyperlink r:id="rId483" ref="C245"/>
    <hyperlink r:id="rId484" location=":~:text=There's%20no%20shortcut%20to%20being%20the%20preferred,opportunity%20to%20be%20cited.%20Entity%2Dbased%20content%20strategy." ref="A246"/>
    <hyperlink r:id="rId485" ref="C246"/>
    <hyperlink r:id="rId486" ref="A247"/>
    <hyperlink r:id="rId487" ref="C247"/>
    <hyperlink r:id="rId488" ref="A248"/>
    <hyperlink r:id="rId489" ref="C248"/>
    <hyperlink r:id="rId490" ref="A249"/>
    <hyperlink r:id="rId491" ref="C249"/>
    <hyperlink r:id="rId492" location=":~:text=Get%20to%20know%20us%20or,'single%20source%20of%20truth'." ref="A250"/>
    <hyperlink r:id="rId493" ref="C250"/>
    <hyperlink r:id="rId494" ref="A251"/>
    <hyperlink r:id="rId495" ref="C251"/>
    <hyperlink r:id="rId496" location=":~:text=The%20SEO%20masters%20partnering%20with%20you.%20In,for%20us%3B%20we%20live%20and%20breathe%20search." ref="A252"/>
    <hyperlink r:id="rId497" ref="C252"/>
    <hyperlink r:id="rId498" ref="A253"/>
    <hyperlink r:id="rId499" ref="C253"/>
    <hyperlink r:id="rId500" ref="A254"/>
    <hyperlink r:id="rId501" ref="C254"/>
    <hyperlink r:id="rId502" ref="A255"/>
    <hyperlink r:id="rId503" ref="C255"/>
    <hyperlink r:id="rId504" ref="A256"/>
    <hyperlink r:id="rId505" ref="C256"/>
    <hyperlink r:id="rId506" ref="A257"/>
    <hyperlink r:id="rId507" ref="C257"/>
    <hyperlink r:id="rId508" ref="A258"/>
    <hyperlink r:id="rId509" ref="A259"/>
    <hyperlink r:id="rId510" ref="C259"/>
    <hyperlink r:id="rId511" ref="A260"/>
    <hyperlink r:id="rId512" ref="C260"/>
    <hyperlink r:id="rId513" ref="A261"/>
    <hyperlink r:id="rId514" ref="C261"/>
    <hyperlink r:id="rId515" ref="A262"/>
    <hyperlink r:id="rId516" ref="C262"/>
    <hyperlink r:id="rId517" ref="A263"/>
    <hyperlink r:id="rId518" ref="A264"/>
    <hyperlink r:id="rId519" ref="C264"/>
    <hyperlink r:id="rId520" ref="A265"/>
    <hyperlink r:id="rId521" ref="C265"/>
    <hyperlink r:id="rId522" ref="A266"/>
    <hyperlink r:id="rId523" ref="C266"/>
    <hyperlink r:id="rId524" ref="A267"/>
    <hyperlink r:id="rId525" ref="C267"/>
    <hyperlink r:id="rId526" ref="A268"/>
    <hyperlink r:id="rId527" ref="C268"/>
    <hyperlink r:id="rId528" ref="A269"/>
    <hyperlink r:id="rId529" ref="C269"/>
    <hyperlink r:id="rId530" ref="A270"/>
    <hyperlink r:id="rId531" ref="C270"/>
  </hyperlinks>
  <drawing r:id="rId53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c r="Y1" s="4"/>
      <c r="Z1" s="4"/>
    </row>
    <row r="2" ht="15.75" customHeight="1">
      <c r="A2" s="6" t="str">
        <f>IFERROR(__xludf.DUMMYFUNCTION("IFERROR(
  FILTER(
    'PEEC - URLs - All'!A2:K1000,
    LOWER(TRIM(TO_TEXT('PEEC - URLs - All'!D2:D1000)))=""profile""
  ),
  """"
)"),"https://digitalagencynetwork.com/agencies/australia/ai-marketing/")</f>
        <v>https://digitalagencynetwork.com/agencies/australia/ai-marketing/</v>
      </c>
      <c r="B2" s="7" t="str">
        <f>IFERROR(__xludf.DUMMYFUNCTION("""COMPUTED_VALUE"""),"Top AI Marketing Agencies in Australia (2026)")</f>
        <v>Top AI Marketing Agencies in Australia (2026)</v>
      </c>
      <c r="C2" s="6" t="str">
        <f>IFERROR(__xludf.DUMMYFUNCTION("""COMPUTED_VALUE"""),"digitalagencynetwork.com")</f>
        <v>digitalagencynetwork.com</v>
      </c>
      <c r="D2" s="7" t="str">
        <f>IFERROR(__xludf.DUMMYFUNCTION("""COMPUTED_VALUE"""),"PROFILE")</f>
        <v>PROFILE</v>
      </c>
      <c r="E2" s="7" t="str">
        <f>IFERROR(__xludf.DUMMYFUNCTION("""COMPUTED_VALUE"""),"REFERENCE")</f>
        <v>REFERENCE</v>
      </c>
      <c r="F2" s="7" t="str">
        <f>IFERROR(__xludf.DUMMYFUNCTION("""COMPUTED_VALUE"""),"Profile")</f>
        <v>Profile</v>
      </c>
      <c r="G2" s="7" t="b">
        <f>IFERROR(__xludf.DUMMYFUNCTION("""COMPUTED_VALUE"""),FALSE)</f>
        <v>0</v>
      </c>
      <c r="H2" s="7" t="str">
        <f>IFERROR(__xludf.DUMMYFUNCTION("""COMPUTED_VALUE"""),"In Marketing We Trust, Soup Agency")</f>
        <v>In Marketing We Trust, Soup Agency</v>
      </c>
      <c r="I2" s="7">
        <f>IFERROR(__xludf.DUMMYFUNCTION("""COMPUTED_VALUE"""),40.0)</f>
        <v>40</v>
      </c>
      <c r="J2" s="7">
        <f>IFERROR(__xludf.DUMMYFUNCTION("""COMPUTED_VALUE"""),0.04)</f>
        <v>0.04</v>
      </c>
      <c r="K2" s="7">
        <f>IFERROR(__xludf.DUMMYFUNCTION("""COMPUTED_VALUE"""),0.88)</f>
        <v>0.88</v>
      </c>
    </row>
    <row r="3" ht="15.75" customHeight="1">
      <c r="A3" s="6" t="str">
        <f>IFERROR(__xludf.DUMMYFUNCTION("""COMPUTED_VALUE"""),"https://clutch.co/au/agencies/ppc/display")</f>
        <v>https://clutch.co/au/agencies/ppc/display</v>
      </c>
      <c r="B3" s="7" t="str">
        <f>IFERROR(__xludf.DUMMYFUNCTION("""COMPUTED_VALUE"""),"Top Display Advertising Services in Australia - Jul 2026 Rankings | Clutch.co")</f>
        <v>Top Display Advertising Services in Australia - Jul 2026 Rankings | Clutch.co</v>
      </c>
      <c r="C3" s="6" t="str">
        <f>IFERROR(__xludf.DUMMYFUNCTION("""COMPUTED_VALUE"""),"clutch.co")</f>
        <v>clutch.co</v>
      </c>
      <c r="D3" s="7" t="str">
        <f>IFERROR(__xludf.DUMMYFUNCTION("""COMPUTED_VALUE"""),"PROFILE")</f>
        <v>PROFILE</v>
      </c>
      <c r="E3" s="7" t="str">
        <f>IFERROR(__xludf.DUMMYFUNCTION("""COMPUTED_VALUE"""),"CORPORATE")</f>
        <v>CORPORATE</v>
      </c>
      <c r="F3" s="7" t="str">
        <f>IFERROR(__xludf.DUMMYFUNCTION("""COMPUTED_VALUE"""),"Profile")</f>
        <v>Profile</v>
      </c>
      <c r="G3" s="7" t="b">
        <f>IFERROR(__xludf.DUMMYFUNCTION("""COMPUTED_VALUE"""),FALSE)</f>
        <v>0</v>
      </c>
      <c r="H3" s="7" t="str">
        <f>IFERROR(__xludf.DUMMYFUNCTION("""COMPUTED_VALUE"""),"Intesols, First Page, Soup Agency, Impressive, Salt &amp; Fuessel, EvenDigit, Paradox Marketing, Click Click Media")</f>
        <v>Intesols, First Page, Soup Agency, Impressive, Salt &amp; Fuessel, EvenDigit, Paradox Marketing, Click Click Media</v>
      </c>
      <c r="I3" s="7">
        <f>IFERROR(__xludf.DUMMYFUNCTION("""COMPUTED_VALUE"""),32.0)</f>
        <v>32</v>
      </c>
      <c r="J3" s="7">
        <f>IFERROR(__xludf.DUMMYFUNCTION("""COMPUTED_VALUE"""),0.03)</f>
        <v>0.03</v>
      </c>
      <c r="K3" s="7">
        <f>IFERROR(__xludf.DUMMYFUNCTION("""COMPUTED_VALUE"""),1.09)</f>
        <v>1.09</v>
      </c>
    </row>
    <row r="4" ht="15.75" customHeight="1">
      <c r="A4" s="6" t="str">
        <f>IFERROR(__xludf.DUMMYFUNCTION("""COMPUTED_VALUE"""),"https://digitalagencynetwork.com/agencies/australia/geo/")</f>
        <v>https://digitalagencynetwork.com/agencies/australia/geo/</v>
      </c>
      <c r="B4" s="7" t="str">
        <f>IFERROR(__xludf.DUMMYFUNCTION("""COMPUTED_VALUE"""),"Top GEO Agencies in Australia for Generative Engine Optimization (2026)")</f>
        <v>Top GEO Agencies in Australia for Generative Engine Optimization (2026)</v>
      </c>
      <c r="C4" s="6" t="str">
        <f>IFERROR(__xludf.DUMMYFUNCTION("""COMPUTED_VALUE"""),"digitalagencynetwork.com")</f>
        <v>digitalagencynetwork.com</v>
      </c>
      <c r="D4" s="7" t="str">
        <f>IFERROR(__xludf.DUMMYFUNCTION("""COMPUTED_VALUE"""),"PROFILE")</f>
        <v>PROFILE</v>
      </c>
      <c r="E4" s="7" t="str">
        <f>IFERROR(__xludf.DUMMYFUNCTION("""COMPUTED_VALUE"""),"REFERENCE")</f>
        <v>REFERENCE</v>
      </c>
      <c r="F4" s="7" t="str">
        <f>IFERROR(__xludf.DUMMYFUNCTION("""COMPUTED_VALUE"""),"Profile")</f>
        <v>Profile</v>
      </c>
      <c r="G4" s="7" t="b">
        <f>IFERROR(__xludf.DUMMYFUNCTION("""COMPUTED_VALUE"""),FALSE)</f>
        <v>0</v>
      </c>
      <c r="H4" s="7" t="str">
        <f>IFERROR(__xludf.DUMMYFUNCTION("""COMPUTED_VALUE"""),"Luminary, Digital Nomads HQ, Clearwater Agency, In Marketing We Trust")</f>
        <v>Luminary, Digital Nomads HQ, Clearwater Agency, In Marketing We Trust</v>
      </c>
      <c r="I4" s="7">
        <f>IFERROR(__xludf.DUMMYFUNCTION("""COMPUTED_VALUE"""),28.0)</f>
        <v>28</v>
      </c>
      <c r="J4" s="7">
        <f>IFERROR(__xludf.DUMMYFUNCTION("""COMPUTED_VALUE"""),0.03)</f>
        <v>0.03</v>
      </c>
      <c r="K4" s="7">
        <f>IFERROR(__xludf.DUMMYFUNCTION("""COMPUTED_VALUE"""),1.32)</f>
        <v>1.32</v>
      </c>
    </row>
    <row r="5" ht="15.75" customHeight="1">
      <c r="A5" s="6" t="str">
        <f>IFERROR(__xludf.DUMMYFUNCTION("""COMPUTED_VALUE"""),"https://www.sortlist.com/s/display-advertising/australia-au")</f>
        <v>https://www.sortlist.com/s/display-advertising/australia-au</v>
      </c>
      <c r="B5" s="7" t="str">
        <f>IFERROR(__xludf.DUMMYFUNCTION("""COMPUTED_VALUE"""),"The 10 Best Display Advertising Agencies in Australia - 2026 Reviews")</f>
        <v>The 10 Best Display Advertising Agencies in Australia - 2026 Reviews</v>
      </c>
      <c r="C5" s="6" t="str">
        <f>IFERROR(__xludf.DUMMYFUNCTION("""COMPUTED_VALUE"""),"sortlist.com")</f>
        <v>sortlist.com</v>
      </c>
      <c r="D5" s="7" t="str">
        <f>IFERROR(__xludf.DUMMYFUNCTION("""COMPUTED_VALUE"""),"PROFILE")</f>
        <v>PROFILE</v>
      </c>
      <c r="E5" s="7" t="str">
        <f>IFERROR(__xludf.DUMMYFUNCTION("""COMPUTED_VALUE"""),"CORPORATE")</f>
        <v>CORPORATE</v>
      </c>
      <c r="F5" s="7" t="str">
        <f>IFERROR(__xludf.DUMMYFUNCTION("""COMPUTED_VALUE"""),"Profile")</f>
        <v>Profile</v>
      </c>
      <c r="G5" s="7" t="b">
        <f>IFERROR(__xludf.DUMMYFUNCTION("""COMPUTED_VALUE"""),FALSE)</f>
        <v>0</v>
      </c>
      <c r="H5" s="7" t="str">
        <f>IFERROR(__xludf.DUMMYFUNCTION("""COMPUTED_VALUE"""),"Measured, Earned Media, Clearwater Agency, Impressive, Supple Digital, SIXGUN, Soup Agency, HERO, Digital Nomads HQ, Momentum, CUT THRU")</f>
        <v>Measured, Earned Media, Clearwater Agency, Impressive, Supple Digital, SIXGUN, Soup Agency, HERO, Digital Nomads HQ, Momentum, CUT THRU</v>
      </c>
      <c r="I5" s="7">
        <f>IFERROR(__xludf.DUMMYFUNCTION("""COMPUTED_VALUE"""),27.0)</f>
        <v>27</v>
      </c>
      <c r="J5" s="7">
        <f>IFERROR(__xludf.DUMMYFUNCTION("""COMPUTED_VALUE"""),0.03)</f>
        <v>0.03</v>
      </c>
      <c r="K5" s="7">
        <f>IFERROR(__xludf.DUMMYFUNCTION("""COMPUTED_VALUE"""),0.56)</f>
        <v>0.56</v>
      </c>
    </row>
    <row r="6" ht="15.75" customHeight="1">
      <c r="A6" s="6" t="str">
        <f>IFERROR(__xludf.DUMMYFUNCTION("""COMPUTED_VALUE"""),"https://www.bbe.io/best-advertising-agencies-2026-melbourne-sydney-brisbane#:~:text=HERO%20dominated%20the%20new%20AdNews%20category%20with,2026%20AdNews%20Independent%20Agency%20of%20the%20Year.")</f>
        <v>https://www.bbe.io/best-advertising-agencies-2026-melbourne-sydney-brisbane#:~:text=HERO%20dominated%20the%20new%20AdNews%20category%20with,2026%20AdNews%20Independent%20Agency%20of%20the%20Year.</v>
      </c>
      <c r="B6" s="7" t="str">
        <f>IFERROR(__xludf.DUMMYFUNCTION("""COMPUTED_VALUE"""),"The BBE Best: Top Creative Advertising Agencies for 2026 in Sydney, Melbourne and Brisbane")</f>
        <v>The BBE Best: Top Creative Advertising Agencies for 2026 in Sydney, Melbourne and Brisbane</v>
      </c>
      <c r="C6" s="6" t="str">
        <f>IFERROR(__xludf.DUMMYFUNCTION("""COMPUTED_VALUE"""),"bbe.io")</f>
        <v>bbe.io</v>
      </c>
      <c r="D6" s="7" t="str">
        <f>IFERROR(__xludf.DUMMYFUNCTION("""COMPUTED_VALUE"""),"PROFILE")</f>
        <v>PROFILE</v>
      </c>
      <c r="E6" s="7" t="str">
        <f>IFERROR(__xludf.DUMMYFUNCTION("""COMPUTED_VALUE"""),"CORPORATE")</f>
        <v>CORPORATE</v>
      </c>
      <c r="F6" s="7" t="str">
        <f>IFERROR(__xludf.DUMMYFUNCTION("""COMPUTED_VALUE"""),"Profile")</f>
        <v>Profile</v>
      </c>
      <c r="G6" s="7" t="b">
        <f>IFERROR(__xludf.DUMMYFUNCTION("""COMPUTED_VALUE"""),FALSE)</f>
        <v>0</v>
      </c>
      <c r="H6" s="7" t="str">
        <f>IFERROR(__xludf.DUMMYFUNCTION("""COMPUTED_VALUE"""),"HERO, Impressive")</f>
        <v>HERO, Impressive</v>
      </c>
      <c r="I6" s="7">
        <f>IFERROR(__xludf.DUMMYFUNCTION("""COMPUTED_VALUE"""),24.0)</f>
        <v>24</v>
      </c>
      <c r="J6" s="7">
        <f>IFERROR(__xludf.DUMMYFUNCTION("""COMPUTED_VALUE"""),0.03)</f>
        <v>0.03</v>
      </c>
      <c r="K6" s="7">
        <f>IFERROR(__xludf.DUMMYFUNCTION("""COMPUTED_VALUE"""),1.33)</f>
        <v>1.33</v>
      </c>
    </row>
    <row r="7" ht="15.75" customHeight="1">
      <c r="A7" s="6" t="str">
        <f>IFERROR(__xludf.DUMMYFUNCTION("""COMPUTED_VALUE"""),"https://clutch.co/au/agencies/media-buying")</f>
        <v>https://clutch.co/au/agencies/media-buying</v>
      </c>
      <c r="B7" s="7" t="str">
        <f>IFERROR(__xludf.DUMMYFUNCTION("""COMPUTED_VALUE"""),"Top Media Buying Agencies in Australia - Jul 2026 Rankings \| Clutch.co")</f>
        <v>Top Media Buying Agencies in Australia - Jul 2026 Rankings \| Clutch.co</v>
      </c>
      <c r="C7" s="6" t="str">
        <f>IFERROR(__xludf.DUMMYFUNCTION("""COMPUTED_VALUE"""),"clutch.co")</f>
        <v>clutch.co</v>
      </c>
      <c r="D7" s="7" t="str">
        <f>IFERROR(__xludf.DUMMYFUNCTION("""COMPUTED_VALUE"""),"PROFILE")</f>
        <v>PROFILE</v>
      </c>
      <c r="E7" s="7" t="str">
        <f>IFERROR(__xludf.DUMMYFUNCTION("""COMPUTED_VALUE"""),"CORPORATE")</f>
        <v>CORPORATE</v>
      </c>
      <c r="F7" s="7" t="str">
        <f>IFERROR(__xludf.DUMMYFUNCTION("""COMPUTED_VALUE"""),"Profile")</f>
        <v>Profile</v>
      </c>
      <c r="G7" s="7" t="b">
        <f>IFERROR(__xludf.DUMMYFUNCTION("""COMPUTED_VALUE"""),FALSE)</f>
        <v>0</v>
      </c>
      <c r="H7" s="7" t="str">
        <f>IFERROR(__xludf.DUMMYFUNCTION("""COMPUTED_VALUE"""),"Soup Agency, DNM Digital, Bench Media, Impressive, MK Media")</f>
        <v>Soup Agency, DNM Digital, Bench Media, Impressive, MK Media</v>
      </c>
      <c r="I7" s="7">
        <f>IFERROR(__xludf.DUMMYFUNCTION("""COMPUTED_VALUE"""),23.0)</f>
        <v>23</v>
      </c>
      <c r="J7" s="7">
        <f>IFERROR(__xludf.DUMMYFUNCTION("""COMPUTED_VALUE"""),0.02)</f>
        <v>0.02</v>
      </c>
      <c r="K7" s="7">
        <f>IFERROR(__xludf.DUMMYFUNCTION("""COMPUTED_VALUE"""),0.39)</f>
        <v>0.39</v>
      </c>
    </row>
    <row r="8" ht="15.75" customHeight="1">
      <c r="A8" s="6" t="str">
        <f>IFERROR(__xludf.DUMMYFUNCTION("""COMPUTED_VALUE"""),"https://digitalagencynetwork.com/agencies/sydney/geo/")</f>
        <v>https://digitalagencynetwork.com/agencies/sydney/geo/</v>
      </c>
      <c r="B8" s="7" t="str">
        <f>IFERROR(__xludf.DUMMYFUNCTION("""COMPUTED_VALUE"""),"Top GEO Agencies in Sydney for Generative Engine Optimization (2026)")</f>
        <v>Top GEO Agencies in Sydney for Generative Engine Optimization (2026)</v>
      </c>
      <c r="C8" s="6" t="str">
        <f>IFERROR(__xludf.DUMMYFUNCTION("""COMPUTED_VALUE"""),"digitalagencynetwork.com")</f>
        <v>digitalagencynetwork.com</v>
      </c>
      <c r="D8" s="7" t="str">
        <f>IFERROR(__xludf.DUMMYFUNCTION("""COMPUTED_VALUE"""),"PROFILE")</f>
        <v>PROFILE</v>
      </c>
      <c r="E8" s="7" t="str">
        <f>IFERROR(__xludf.DUMMYFUNCTION("""COMPUTED_VALUE"""),"REFERENCE")</f>
        <v>REFERENCE</v>
      </c>
      <c r="F8" s="7" t="str">
        <f>IFERROR(__xludf.DUMMYFUNCTION("""COMPUTED_VALUE"""),"Profile")</f>
        <v>Profile</v>
      </c>
      <c r="G8" s="7" t="b">
        <f>IFERROR(__xludf.DUMMYFUNCTION("""COMPUTED_VALUE"""),FALSE)</f>
        <v>0</v>
      </c>
      <c r="H8" s="7" t="str">
        <f>IFERROR(__xludf.DUMMYFUNCTION("""COMPUTED_VALUE"""),"Luminary, Digital Nomads HQ, In Marketing We Trust")</f>
        <v>Luminary, Digital Nomads HQ, In Marketing We Trust</v>
      </c>
      <c r="I8" s="7">
        <f>IFERROR(__xludf.DUMMYFUNCTION("""COMPUTED_VALUE"""),23.0)</f>
        <v>23</v>
      </c>
      <c r="J8" s="7">
        <f>IFERROR(__xludf.DUMMYFUNCTION("""COMPUTED_VALUE"""),0.02)</f>
        <v>0.02</v>
      </c>
      <c r="K8" s="7">
        <f>IFERROR(__xludf.DUMMYFUNCTION("""COMPUTED_VALUE"""),0.22)</f>
        <v>0.22</v>
      </c>
    </row>
    <row r="9" ht="15.75" customHeight="1">
      <c r="A9" s="6" t="str">
        <f>IFERROR(__xludf.DUMMYFUNCTION("""COMPUTED_VALUE"""),"https://www.sortlist.com/s/creative/australia-au")</f>
        <v>https://www.sortlist.com/s/creative/australia-au</v>
      </c>
      <c r="B9" s="7" t="str">
        <f>IFERROR(__xludf.DUMMYFUNCTION("""COMPUTED_VALUE"""),"The 10 Best Creative Agencies in Australia - 2026 Reviews")</f>
        <v>The 10 Best Creative Agencies in Australia - 2026 Reviews</v>
      </c>
      <c r="C9" s="6" t="str">
        <f>IFERROR(__xludf.DUMMYFUNCTION("""COMPUTED_VALUE"""),"sortlist.com")</f>
        <v>sortlist.com</v>
      </c>
      <c r="D9" s="7" t="str">
        <f>IFERROR(__xludf.DUMMYFUNCTION("""COMPUTED_VALUE"""),"PROFILE")</f>
        <v>PROFILE</v>
      </c>
      <c r="E9" s="7" t="str">
        <f>IFERROR(__xludf.DUMMYFUNCTION("""COMPUTED_VALUE"""),"CORPORATE")</f>
        <v>CORPORATE</v>
      </c>
      <c r="F9" s="7" t="str">
        <f>IFERROR(__xludf.DUMMYFUNCTION("""COMPUTED_VALUE"""),"Profile")</f>
        <v>Profile</v>
      </c>
      <c r="G9" s="7" t="b">
        <f>IFERROR(__xludf.DUMMYFUNCTION("""COMPUTED_VALUE"""),FALSE)</f>
        <v>0</v>
      </c>
      <c r="H9" s="7" t="str">
        <f>IFERROR(__xludf.DUMMYFUNCTION("""COMPUTED_VALUE"""),"Momentum, Impressive, Ninja Promo")</f>
        <v>Momentum, Impressive, Ninja Promo</v>
      </c>
      <c r="I9" s="7">
        <f>IFERROR(__xludf.DUMMYFUNCTION("""COMPUTED_VALUE"""),18.0)</f>
        <v>18</v>
      </c>
      <c r="J9" s="7">
        <f>IFERROR(__xludf.DUMMYFUNCTION("""COMPUTED_VALUE"""),0.02)</f>
        <v>0.02</v>
      </c>
      <c r="K9" s="7">
        <f>IFERROR(__xludf.DUMMYFUNCTION("""COMPUTED_VALUE"""),0.0)</f>
        <v>0</v>
      </c>
    </row>
    <row r="10" ht="15.75" customHeight="1">
      <c r="A10" s="6" t="str">
        <f>IFERROR(__xludf.DUMMYFUNCTION("""COMPUTED_VALUE"""),"https://roi.com.au/our-expertise/")</f>
        <v>https://roi.com.au/our-expertise/</v>
      </c>
      <c r="B10" s="7" t="str">
        <f>IFERROR(__xludf.DUMMYFUNCTION("""COMPUTED_VALUE"""),"Our Expertise | AI Marketing Agency Australia | roi.com.au")</f>
        <v>Our Expertise | AI Marketing Agency Australia | roi.com.au</v>
      </c>
      <c r="C10" s="6" t="str">
        <f>IFERROR(__xludf.DUMMYFUNCTION("""COMPUTED_VALUE"""),"roi.com.au")</f>
        <v>roi.com.au</v>
      </c>
      <c r="D10" s="7" t="str">
        <f>IFERROR(__xludf.DUMMYFUNCTION("""COMPUTED_VALUE"""),"PROFILE")</f>
        <v>PROFILE</v>
      </c>
      <c r="E10" s="7" t="str">
        <f>IFERROR(__xludf.DUMMYFUNCTION("""COMPUTED_VALUE"""),"CORPORATE")</f>
        <v>CORPORATE</v>
      </c>
      <c r="F10" s="7" t="str">
        <f>IFERROR(__xludf.DUMMYFUNCTION("""COMPUTED_VALUE"""),"Profile")</f>
        <v>Profile</v>
      </c>
      <c r="G10" s="7" t="b">
        <f>IFERROR(__xludf.DUMMYFUNCTION("""COMPUTED_VALUE"""),FALSE)</f>
        <v>0</v>
      </c>
      <c r="H10" s="7" t="str">
        <f>IFERROR(__xludf.DUMMYFUNCTION("""COMPUTED_VALUE"""),"Deloitte, ROI Growth Agency")</f>
        <v>Deloitte, ROI Growth Agency</v>
      </c>
      <c r="I10" s="7">
        <f>IFERROR(__xludf.DUMMYFUNCTION("""COMPUTED_VALUE"""),16.0)</f>
        <v>16</v>
      </c>
      <c r="J10" s="7">
        <f>IFERROR(__xludf.DUMMYFUNCTION("""COMPUTED_VALUE"""),0.02)</f>
        <v>0.02</v>
      </c>
      <c r="K10" s="7">
        <f>IFERROR(__xludf.DUMMYFUNCTION("""COMPUTED_VALUE"""),0.63)</f>
        <v>0.63</v>
      </c>
    </row>
    <row r="11" ht="15.75" customHeight="1">
      <c r="A11" s="6" t="str">
        <f>IFERROR(__xludf.DUMMYFUNCTION("""COMPUTED_VALUE"""),"https://www.thehero.co/news/leading-advertising-agencies-in-australia-2026-creative-benchmark")</f>
        <v>https://www.thehero.co/news/leading-advertising-agencies-in-australia-2026-creative-benchmark</v>
      </c>
      <c r="B11" s="7" t="str">
        <f>IFERROR(__xludf.DUMMYFUNCTION("""COMPUTED_VALUE"""),"Leading Advertising Agencies in Australia 2026: The Creative Benchmark")</f>
        <v>Leading Advertising Agencies in Australia 2026: The Creative Benchmark</v>
      </c>
      <c r="C11" s="6" t="str">
        <f>IFERROR(__xludf.DUMMYFUNCTION("""COMPUTED_VALUE"""),"thehero.co")</f>
        <v>thehero.co</v>
      </c>
      <c r="D11" s="7" t="str">
        <f>IFERROR(__xludf.DUMMYFUNCTION("""COMPUTED_VALUE"""),"PROFILE")</f>
        <v>PROFILE</v>
      </c>
      <c r="E11" s="7" t="str">
        <f>IFERROR(__xludf.DUMMYFUNCTION("""COMPUTED_VALUE"""),"CORPORATE")</f>
        <v>CORPORATE</v>
      </c>
      <c r="F11" s="7" t="str">
        <f>IFERROR(__xludf.DUMMYFUNCTION("""COMPUTED_VALUE"""),"Profile")</f>
        <v>Profile</v>
      </c>
      <c r="G11" s="7" t="b">
        <f>IFERROR(__xludf.DUMMYFUNCTION("""COMPUTED_VALUE"""),FALSE)</f>
        <v>0</v>
      </c>
      <c r="H11" s="7" t="str">
        <f>IFERROR(__xludf.DUMMYFUNCTION("""COMPUTED_VALUE"""),"HERO, VML")</f>
        <v>HERO, VML</v>
      </c>
      <c r="I11" s="7">
        <f>IFERROR(__xludf.DUMMYFUNCTION("""COMPUTED_VALUE"""),16.0)</f>
        <v>16</v>
      </c>
      <c r="J11" s="7">
        <f>IFERROR(__xludf.DUMMYFUNCTION("""COMPUTED_VALUE"""),0.02)</f>
        <v>0.02</v>
      </c>
      <c r="K11" s="7">
        <f>IFERROR(__xludf.DUMMYFUNCTION("""COMPUTED_VALUE"""),0.31)</f>
        <v>0.31</v>
      </c>
    </row>
    <row r="12" ht="15.75" customHeight="1">
      <c r="A12" s="6" t="str">
        <f>IFERROR(__xludf.DUMMYFUNCTION("""COMPUTED_VALUE"""),"https://clutch.co/au/consulting/ai/strategy")</f>
        <v>https://clutch.co/au/consulting/ai/strategy</v>
      </c>
      <c r="B12" s="7" t="str">
        <f>IFERROR(__xludf.DUMMYFUNCTION("""COMPUTED_VALUE"""),"Top AI Strategy Companies in Australia - Jul 2026 Rankings \| Clutch.co")</f>
        <v>Top AI Strategy Companies in Australia - Jul 2026 Rankings \| Clutch.co</v>
      </c>
      <c r="C12" s="6" t="str">
        <f>IFERROR(__xludf.DUMMYFUNCTION("""COMPUTED_VALUE"""),"clutch.co")</f>
        <v>clutch.co</v>
      </c>
      <c r="D12" s="7" t="str">
        <f>IFERROR(__xludf.DUMMYFUNCTION("""COMPUTED_VALUE"""),"PROFILE")</f>
        <v>PROFILE</v>
      </c>
      <c r="E12" s="7" t="str">
        <f>IFERROR(__xludf.DUMMYFUNCTION("""COMPUTED_VALUE"""),"CORPORATE")</f>
        <v>CORPORATE</v>
      </c>
      <c r="F12" s="7" t="str">
        <f>IFERROR(__xludf.DUMMYFUNCTION("""COMPUTED_VALUE"""),"Profile")</f>
        <v>Profile</v>
      </c>
      <c r="G12" s="7" t="b">
        <f>IFERROR(__xludf.DUMMYFUNCTION("""COMPUTED_VALUE"""),FALSE)</f>
        <v>0</v>
      </c>
      <c r="H12" s="7" t="str">
        <f>IFERROR(__xludf.DUMMYFUNCTION("""COMPUTED_VALUE"""),"In Marketing We Trust, Impressive, Team 400")</f>
        <v>In Marketing We Trust, Impressive, Team 400</v>
      </c>
      <c r="I12" s="7">
        <f>IFERROR(__xludf.DUMMYFUNCTION("""COMPUTED_VALUE"""),13.0)</f>
        <v>13</v>
      </c>
      <c r="J12" s="7">
        <f>IFERROR(__xludf.DUMMYFUNCTION("""COMPUTED_VALUE"""),0.01)</f>
        <v>0.01</v>
      </c>
      <c r="K12" s="7">
        <f>IFERROR(__xludf.DUMMYFUNCTION("""COMPUTED_VALUE"""),0.77)</f>
        <v>0.77</v>
      </c>
    </row>
    <row r="13" ht="15.75" customHeight="1">
      <c r="A13" s="6" t="str">
        <f>IFERROR(__xludf.DUMMYFUNCTION("""COMPUTED_VALUE"""),"https://digitalagencynetwork.com/agencies/melbourne/ai-marketing/")</f>
        <v>https://digitalagencynetwork.com/agencies/melbourne/ai-marketing/</v>
      </c>
      <c r="B13" s="7" t="str">
        <f>IFERROR(__xludf.DUMMYFUNCTION("""COMPUTED_VALUE"""),"Top AI Marketing Agencies in Melbourne (2026)")</f>
        <v>Top AI Marketing Agencies in Melbourne (2026)</v>
      </c>
      <c r="C13" s="6" t="str">
        <f>IFERROR(__xludf.DUMMYFUNCTION("""COMPUTED_VALUE"""),"digitalagencynetwork.com")</f>
        <v>digitalagencynetwork.com</v>
      </c>
      <c r="D13" s="7" t="str">
        <f>IFERROR(__xludf.DUMMYFUNCTION("""COMPUTED_VALUE"""),"PROFILE")</f>
        <v>PROFILE</v>
      </c>
      <c r="E13" s="7" t="str">
        <f>IFERROR(__xludf.DUMMYFUNCTION("""COMPUTED_VALUE"""),"REFERENCE")</f>
        <v>REFERENCE</v>
      </c>
      <c r="F13" s="7" t="str">
        <f>IFERROR(__xludf.DUMMYFUNCTION("""COMPUTED_VALUE"""),"Profile")</f>
        <v>Profile</v>
      </c>
      <c r="G13" s="7" t="b">
        <f>IFERROR(__xludf.DUMMYFUNCTION("""COMPUTED_VALUE"""),FALSE)</f>
        <v>0</v>
      </c>
      <c r="H13" s="7" t="str">
        <f>IFERROR(__xludf.DUMMYFUNCTION("""COMPUTED_VALUE"""),"Emote Digital, Luminary, Soup Agency")</f>
        <v>Emote Digital, Luminary, Soup Agency</v>
      </c>
      <c r="I13" s="7">
        <f>IFERROR(__xludf.DUMMYFUNCTION("""COMPUTED_VALUE"""),13.0)</f>
        <v>13</v>
      </c>
      <c r="J13" s="7">
        <f>IFERROR(__xludf.DUMMYFUNCTION("""COMPUTED_VALUE"""),0.01)</f>
        <v>0.01</v>
      </c>
      <c r="K13" s="7">
        <f>IFERROR(__xludf.DUMMYFUNCTION("""COMPUTED_VALUE"""),0.15)</f>
        <v>0.15</v>
      </c>
    </row>
    <row r="14" ht="15.75" customHeight="1">
      <c r="A14" s="6" t="str">
        <f>IFERROR(__xludf.DUMMYFUNCTION("""COMPUTED_VALUE"""),"https://www.semrush.com/agencies/list/analytics-data-science/melbourne/")</f>
        <v>https://www.semrush.com/agencies/list/analytics-data-science/melbourne/</v>
      </c>
      <c r="B14" s="7" t="str">
        <f>IFERROR(__xludf.DUMMYFUNCTION("""COMPUTED_VALUE"""),"Best Data Analytics Services in Melbourne 2026 \| Semrush")</f>
        <v>Best Data Analytics Services in Melbourne 2026 \| Semrush</v>
      </c>
      <c r="C14" s="6" t="str">
        <f>IFERROR(__xludf.DUMMYFUNCTION("""COMPUTED_VALUE"""),"semrush.com")</f>
        <v>semrush.com</v>
      </c>
      <c r="D14" s="7" t="str">
        <f>IFERROR(__xludf.DUMMYFUNCTION("""COMPUTED_VALUE"""),"PROFILE")</f>
        <v>PROFILE</v>
      </c>
      <c r="E14" s="7" t="str">
        <f>IFERROR(__xludf.DUMMYFUNCTION("""COMPUTED_VALUE"""),"CORPORATE")</f>
        <v>CORPORATE</v>
      </c>
      <c r="F14" s="7" t="str">
        <f>IFERROR(__xludf.DUMMYFUNCTION("""COMPUTED_VALUE"""),"Profile")</f>
        <v>Profile</v>
      </c>
      <c r="G14" s="7" t="b">
        <f>IFERROR(__xludf.DUMMYFUNCTION("""COMPUTED_VALUE"""),FALSE)</f>
        <v>0</v>
      </c>
      <c r="H14" s="7"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I14" s="7">
        <f>IFERROR(__xludf.DUMMYFUNCTION("""COMPUTED_VALUE"""),12.0)</f>
        <v>12</v>
      </c>
      <c r="J14" s="7">
        <f>IFERROR(__xludf.DUMMYFUNCTION("""COMPUTED_VALUE"""),0.01)</f>
        <v>0.01</v>
      </c>
      <c r="K14" s="7">
        <f>IFERROR(__xludf.DUMMYFUNCTION("""COMPUTED_VALUE"""),0.25)</f>
        <v>0.25</v>
      </c>
    </row>
    <row r="15" ht="15.75" customHeight="1">
      <c r="A15" s="6" t="str">
        <f>IFERROR(__xludf.DUMMYFUNCTION("""COMPUTED_VALUE"""),"https://edisonmoment.com/agency/best/performance-marketing-agency-australia")</f>
        <v>https://edisonmoment.com/agency/best/performance-marketing-agency-australia</v>
      </c>
      <c r="B15" s="7" t="str">
        <f>IFERROR(__xludf.DUMMYFUNCTION("""COMPUTED_VALUE"""),"Performance Marketing Agency in Australia | Edison Moment")</f>
        <v>Performance Marketing Agency in Australia | Edison Moment</v>
      </c>
      <c r="C15" s="6" t="str">
        <f>IFERROR(__xludf.DUMMYFUNCTION("""COMPUTED_VALUE"""),"edisonmoment.com")</f>
        <v>edisonmoment.com</v>
      </c>
      <c r="D15" s="7" t="str">
        <f>IFERROR(__xludf.DUMMYFUNCTION("""COMPUTED_VALUE"""),"PROFILE")</f>
        <v>PROFILE</v>
      </c>
      <c r="E15" s="7" t="str">
        <f>IFERROR(__xludf.DUMMYFUNCTION("""COMPUTED_VALUE"""),"CORPORATE")</f>
        <v>CORPORATE</v>
      </c>
      <c r="F15" s="7" t="str">
        <f>IFERROR(__xludf.DUMMYFUNCTION("""COMPUTED_VALUE"""),"Profile")</f>
        <v>Profile</v>
      </c>
      <c r="G15" s="7" t="b">
        <f>IFERROR(__xludf.DUMMYFUNCTION("""COMPUTED_VALUE"""),FALSE)</f>
        <v>0</v>
      </c>
      <c r="H15" s="7" t="str">
        <f>IFERROR(__xludf.DUMMYFUNCTION("""COMPUTED_VALUE"""),"HERO, Measured")</f>
        <v>HERO, Measured</v>
      </c>
      <c r="I15" s="7">
        <f>IFERROR(__xludf.DUMMYFUNCTION("""COMPUTED_VALUE"""),11.0)</f>
        <v>11</v>
      </c>
      <c r="J15" s="7">
        <f>IFERROR(__xludf.DUMMYFUNCTION("""COMPUTED_VALUE"""),0.01)</f>
        <v>0.01</v>
      </c>
      <c r="K15" s="7">
        <f>IFERROR(__xludf.DUMMYFUNCTION("""COMPUTED_VALUE"""),0.64)</f>
        <v>0.64</v>
      </c>
    </row>
    <row r="16" ht="15.75" customHeight="1">
      <c r="A16" s="6" t="str">
        <f>IFERROR(__xludf.DUMMYFUNCTION("""COMPUTED_VALUE"""),"https://realmindsai.com.au/ai-consulting-melbourne/")</f>
        <v>https://realmindsai.com.au/ai-consulting-melbourne/</v>
      </c>
      <c r="B16" s="7" t="str">
        <f>IFERROR(__xludf.DUMMYFUNCTION("""COMPUTED_VALUE"""),"AI Consulting Melbourne — Local Team | Real Minds AI")</f>
        <v>AI Consulting Melbourne — Local Team | Real Minds AI</v>
      </c>
      <c r="C16" s="6" t="str">
        <f>IFERROR(__xludf.DUMMYFUNCTION("""COMPUTED_VALUE"""),"realmindsai.com.au")</f>
        <v>realmindsai.com.au</v>
      </c>
      <c r="D16" s="7" t="str">
        <f>IFERROR(__xludf.DUMMYFUNCTION("""COMPUTED_VALUE"""),"PROFILE")</f>
        <v>PROFILE</v>
      </c>
      <c r="E16" s="7" t="str">
        <f>IFERROR(__xludf.DUMMYFUNCTION("""COMPUTED_VALUE"""),"CORPORATE")</f>
        <v>CORPORATE</v>
      </c>
      <c r="F16" s="7" t="str">
        <f>IFERROR(__xludf.DUMMYFUNCTION("""COMPUTED_VALUE"""),"Profile")</f>
        <v>Profile</v>
      </c>
      <c r="G16" s="7" t="b">
        <f>IFERROR(__xludf.DUMMYFUNCTION("""COMPUTED_VALUE"""),FALSE)</f>
        <v>0</v>
      </c>
      <c r="H16" s="7"/>
      <c r="I16" s="7">
        <f>IFERROR(__xludf.DUMMYFUNCTION("""COMPUTED_VALUE"""),11.0)</f>
        <v>11</v>
      </c>
      <c r="J16" s="7">
        <f>IFERROR(__xludf.DUMMYFUNCTION("""COMPUTED_VALUE"""),0.01)</f>
        <v>0.01</v>
      </c>
      <c r="K16" s="7">
        <f>IFERROR(__xludf.DUMMYFUNCTION("""COMPUTED_VALUE"""),1.18)</f>
        <v>1.18</v>
      </c>
    </row>
    <row r="17" ht="15.75" customHeight="1">
      <c r="A17" s="6" t="str">
        <f>IFERROR(__xludf.DUMMYFUNCTION("""COMPUTED_VALUE"""),"https://www.semrush.com/agencies/list/display-advertising/australia/")</f>
        <v>https://www.semrush.com/agencies/list/display-advertising/australia/</v>
      </c>
      <c r="B17" s="7" t="str">
        <f>IFERROR(__xludf.DUMMYFUNCTION("""COMPUTED_VALUE"""),"Best Display Ads Agencies in Australia 2026 \| Semrush")</f>
        <v>Best Display Ads Agencies in Australia 2026 \| Semrush</v>
      </c>
      <c r="C17" s="6" t="str">
        <f>IFERROR(__xludf.DUMMYFUNCTION("""COMPUTED_VALUE"""),"semrush.com")</f>
        <v>semrush.com</v>
      </c>
      <c r="D17" s="7" t="str">
        <f>IFERROR(__xludf.DUMMYFUNCTION("""COMPUTED_VALUE"""),"PROFILE")</f>
        <v>PROFILE</v>
      </c>
      <c r="E17" s="7" t="str">
        <f>IFERROR(__xludf.DUMMYFUNCTION("""COMPUTED_VALUE"""),"CORPORATE")</f>
        <v>CORPORATE</v>
      </c>
      <c r="F17" s="7" t="str">
        <f>IFERROR(__xludf.DUMMYFUNCTION("""COMPUTED_VALUE"""),"Profile")</f>
        <v>Profile</v>
      </c>
      <c r="G17" s="7" t="b">
        <f>IFERROR(__xludf.DUMMYFUNCTION("""COMPUTED_VALUE"""),FALSE)</f>
        <v>0</v>
      </c>
      <c r="H17" s="7"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I17" s="7">
        <f>IFERROR(__xludf.DUMMYFUNCTION("""COMPUTED_VALUE"""),11.0)</f>
        <v>11</v>
      </c>
      <c r="J17" s="7">
        <f>IFERROR(__xludf.DUMMYFUNCTION("""COMPUTED_VALUE"""),0.01)</f>
        <v>0.01</v>
      </c>
      <c r="K17" s="7">
        <f>IFERROR(__xludf.DUMMYFUNCTION("""COMPUTED_VALUE"""),0.18)</f>
        <v>0.18</v>
      </c>
    </row>
    <row r="18" ht="15.75" customHeight="1">
      <c r="A18" s="6" t="str">
        <f>IFERROR(__xludf.DUMMYFUNCTION("""COMPUTED_VALUE"""),"https://techbehemoths.com/companies/google-marketing-platform/australia")</f>
        <v>https://techbehemoths.com/companies/google-marketing-platform/australia</v>
      </c>
      <c r="B18" s="7" t="str">
        <f>IFERROR(__xludf.DUMMYFUNCTION("""COMPUTED_VALUE"""),"Top 20+ Google Marketing Platform Companies in Australia (2026) - TechBehemoths")</f>
        <v>Top 20+ Google Marketing Platform Companies in Australia (2026) - TechBehemoths</v>
      </c>
      <c r="C18" s="6" t="str">
        <f>IFERROR(__xludf.DUMMYFUNCTION("""COMPUTED_VALUE"""),"techbehemoths.com")</f>
        <v>techbehemoths.com</v>
      </c>
      <c r="D18" s="7" t="str">
        <f>IFERROR(__xludf.DUMMYFUNCTION("""COMPUTED_VALUE"""),"PROFILE")</f>
        <v>PROFILE</v>
      </c>
      <c r="E18" s="7" t="str">
        <f>IFERROR(__xludf.DUMMYFUNCTION("""COMPUTED_VALUE"""),"REFERENCE")</f>
        <v>REFERENCE</v>
      </c>
      <c r="F18" s="7" t="str">
        <f>IFERROR(__xludf.DUMMYFUNCTION("""COMPUTED_VALUE"""),"Profile")</f>
        <v>Profile</v>
      </c>
      <c r="G18" s="7" t="b">
        <f>IFERROR(__xludf.DUMMYFUNCTION("""COMPUTED_VALUE"""),FALSE)</f>
        <v>0</v>
      </c>
      <c r="H18" s="7" t="str">
        <f>IFERROR(__xludf.DUMMYFUNCTION("""COMPUTED_VALUE"""),"SIXGUN")</f>
        <v>SIXGUN</v>
      </c>
      <c r="I18" s="7">
        <f>IFERROR(__xludf.DUMMYFUNCTION("""COMPUTED_VALUE"""),11.0)</f>
        <v>11</v>
      </c>
      <c r="J18" s="7">
        <f>IFERROR(__xludf.DUMMYFUNCTION("""COMPUTED_VALUE"""),0.01)</f>
        <v>0.01</v>
      </c>
      <c r="K18" s="7">
        <f>IFERROR(__xludf.DUMMYFUNCTION("""COMPUTED_VALUE"""),0.0)</f>
        <v>0</v>
      </c>
    </row>
    <row r="19" ht="15.75" customHeight="1">
      <c r="A19" s="6" t="str">
        <f>IFERROR(__xludf.DUMMYFUNCTION("""COMPUTED_VALUE"""),"https://avinashvagh.com/blog/best-geo-agencies-australia")</f>
        <v>https://avinashvagh.com/blog/best-geo-agencies-australia</v>
      </c>
      <c r="B19" s="7" t="str">
        <f>IFERROR(__xludf.DUMMYFUNCTION("""COMPUTED_VALUE"""),"Best GEO Agency Australia: 6 SaaS Options for 2026")</f>
        <v>Best GEO Agency Australia: 6 SaaS Options for 2026</v>
      </c>
      <c r="C19" s="6" t="str">
        <f>IFERROR(__xludf.DUMMYFUNCTION("""COMPUTED_VALUE"""),"avinashvagh.com")</f>
        <v>avinashvagh.com</v>
      </c>
      <c r="D19" s="7" t="str">
        <f>IFERROR(__xludf.DUMMYFUNCTION("""COMPUTED_VALUE"""),"PROFILE")</f>
        <v>PROFILE</v>
      </c>
      <c r="E19" s="7" t="str">
        <f>IFERROR(__xludf.DUMMYFUNCTION("""COMPUTED_VALUE"""),"CORPORATE")</f>
        <v>CORPORATE</v>
      </c>
      <c r="F19" s="7" t="str">
        <f>IFERROR(__xludf.DUMMYFUNCTION("""COMPUTED_VALUE"""),"Profile")</f>
        <v>Profile</v>
      </c>
      <c r="G19" s="7" t="b">
        <f>IFERROR(__xludf.DUMMYFUNCTION("""COMPUTED_VALUE"""),FALSE)</f>
        <v>0</v>
      </c>
      <c r="H19" s="7" t="str">
        <f>IFERROR(__xludf.DUMMYFUNCTION("""COMPUTED_VALUE"""),"Talons Marketing, Prosperity Media, In Marketing We Trust, Elephant In The Boardroom")</f>
        <v>Talons Marketing, Prosperity Media, In Marketing We Trust, Elephant In The Boardroom</v>
      </c>
      <c r="I19" s="7">
        <f>IFERROR(__xludf.DUMMYFUNCTION("""COMPUTED_VALUE"""),10.0)</f>
        <v>10</v>
      </c>
      <c r="J19" s="7">
        <f>IFERROR(__xludf.DUMMYFUNCTION("""COMPUTED_VALUE"""),0.01)</f>
        <v>0.01</v>
      </c>
      <c r="K19" s="7">
        <f>IFERROR(__xludf.DUMMYFUNCTION("""COMPUTED_VALUE"""),0.2)</f>
        <v>0.2</v>
      </c>
    </row>
    <row r="20" ht="15.75" customHeight="1">
      <c r="A20" s="6" t="str">
        <f>IFERROR(__xludf.DUMMYFUNCTION("""COMPUTED_VALUE"""),"https://clutch.co/au/agencies/programmatic")</f>
        <v>https://clutch.co/au/agencies/programmatic</v>
      </c>
      <c r="B20" s="7" t="str">
        <f>IFERROR(__xludf.DUMMYFUNCTION("""COMPUTED_VALUE"""),"Top Programmatic Advertising Companies in Australia - Jul 2026 Rankings | Clutch.co")</f>
        <v>Top Programmatic Advertising Companies in Australia - Jul 2026 Rankings | Clutch.co</v>
      </c>
      <c r="C20" s="6" t="str">
        <f>IFERROR(__xludf.DUMMYFUNCTION("""COMPUTED_VALUE"""),"clutch.co")</f>
        <v>clutch.co</v>
      </c>
      <c r="D20" s="7" t="str">
        <f>IFERROR(__xludf.DUMMYFUNCTION("""COMPUTED_VALUE"""),"PROFILE")</f>
        <v>PROFILE</v>
      </c>
      <c r="E20" s="7" t="str">
        <f>IFERROR(__xludf.DUMMYFUNCTION("""COMPUTED_VALUE"""),"CORPORATE")</f>
        <v>CORPORATE</v>
      </c>
      <c r="F20" s="7" t="str">
        <f>IFERROR(__xludf.DUMMYFUNCTION("""COMPUTED_VALUE"""),"Profile")</f>
        <v>Profile</v>
      </c>
      <c r="G20" s="7" t="b">
        <f>IFERROR(__xludf.DUMMYFUNCTION("""COMPUTED_VALUE"""),FALSE)</f>
        <v>0</v>
      </c>
      <c r="H20" s="7" t="str">
        <f>IFERROR(__xludf.DUMMYFUNCTION("""COMPUTED_VALUE"""),"Soup Agency, Impressive, DNM Digital, In Marketing We Trust, Bench Media")</f>
        <v>Soup Agency, Impressive, DNM Digital, In Marketing We Trust, Bench Media</v>
      </c>
      <c r="I20" s="7">
        <f>IFERROR(__xludf.DUMMYFUNCTION("""COMPUTED_VALUE"""),10.0)</f>
        <v>10</v>
      </c>
      <c r="J20" s="7">
        <f>IFERROR(__xludf.DUMMYFUNCTION("""COMPUTED_VALUE"""),0.01)</f>
        <v>0.01</v>
      </c>
      <c r="K20" s="7">
        <f>IFERROR(__xludf.DUMMYFUNCTION("""COMPUTED_VALUE"""),2.3)</f>
        <v>2.3</v>
      </c>
    </row>
    <row r="21" ht="15.75" customHeight="1">
      <c r="A21" s="6" t="str">
        <f>IFERROR(__xludf.DUMMYFUNCTION("""COMPUTED_VALUE"""),"https://farsiight.com/services/digital-strategy/performance-marketing-sydney/")</f>
        <v>https://farsiight.com/services/digital-strategy/performance-marketing-sydney/</v>
      </c>
      <c r="B21" s="7" t="str">
        <f>IFERROR(__xludf.DUMMYFUNCTION("""COMPUTED_VALUE"""),"Award-Winning Performance Marketing Agency in Sydney")</f>
        <v>Award-Winning Performance Marketing Agency in Sydney</v>
      </c>
      <c r="C21" s="6" t="str">
        <f>IFERROR(__xludf.DUMMYFUNCTION("""COMPUTED_VALUE"""),"farsiight.com")</f>
        <v>farsiight.com</v>
      </c>
      <c r="D21" s="7" t="str">
        <f>IFERROR(__xludf.DUMMYFUNCTION("""COMPUTED_VALUE"""),"PROFILE")</f>
        <v>PROFILE</v>
      </c>
      <c r="E21" s="7" t="str">
        <f>IFERROR(__xludf.DUMMYFUNCTION("""COMPUTED_VALUE"""),"COMPETITOR")</f>
        <v>COMPETITOR</v>
      </c>
      <c r="F21" s="7" t="str">
        <f>IFERROR(__xludf.DUMMYFUNCTION("""COMPUTED_VALUE"""),"Profile")</f>
        <v>Profile</v>
      </c>
      <c r="G21" s="7" t="b">
        <f>IFERROR(__xludf.DUMMYFUNCTION("""COMPUTED_VALUE"""),FALSE)</f>
        <v>0</v>
      </c>
      <c r="H21" s="7" t="str">
        <f>IFERROR(__xludf.DUMMYFUNCTION("""COMPUTED_VALUE"""),"Farsiight, Huge")</f>
        <v>Farsiight, Huge</v>
      </c>
      <c r="I21" s="7">
        <f>IFERROR(__xludf.DUMMYFUNCTION("""COMPUTED_VALUE"""),10.0)</f>
        <v>10</v>
      </c>
      <c r="J21" s="7">
        <f>IFERROR(__xludf.DUMMYFUNCTION("""COMPUTED_VALUE"""),0.01)</f>
        <v>0.01</v>
      </c>
      <c r="K21" s="7">
        <f>IFERROR(__xludf.DUMMYFUNCTION("""COMPUTED_VALUE"""),1.7)</f>
        <v>1.7</v>
      </c>
    </row>
    <row r="22" ht="15.75" customHeight="1">
      <c r="A22" s="6" t="str">
        <f>IFERROR(__xludf.DUMMYFUNCTION("""COMPUTED_VALUE"""),"https://getaiready.com.au/about")</f>
        <v>https://getaiready.com.au/about</v>
      </c>
      <c r="B22" s="7" t="str">
        <f>IFERROR(__xludf.DUMMYFUNCTION("""COMPUTED_VALUE"""),"About Get AI Ready | Senior AI Practitioners Australia")</f>
        <v>About Get AI Ready | Senior AI Practitioners Australia</v>
      </c>
      <c r="C22" s="6" t="str">
        <f>IFERROR(__xludf.DUMMYFUNCTION("""COMPUTED_VALUE"""),"getaiready.com.au")</f>
        <v>getaiready.com.au</v>
      </c>
      <c r="D22" s="7" t="str">
        <f>IFERROR(__xludf.DUMMYFUNCTION("""COMPUTED_VALUE"""),"PROFILE")</f>
        <v>PROFILE</v>
      </c>
      <c r="E22" s="7" t="str">
        <f>IFERROR(__xludf.DUMMYFUNCTION("""COMPUTED_VALUE"""),"CORPORATE")</f>
        <v>CORPORATE</v>
      </c>
      <c r="F22" s="7" t="str">
        <f>IFERROR(__xludf.DUMMYFUNCTION("""COMPUTED_VALUE"""),"Profile")</f>
        <v>Profile</v>
      </c>
      <c r="G22" s="7" t="b">
        <f>IFERROR(__xludf.DUMMYFUNCTION("""COMPUTED_VALUE"""),FALSE)</f>
        <v>0</v>
      </c>
      <c r="H22" s="7" t="str">
        <f>IFERROR(__xludf.DUMMYFUNCTION("""COMPUTED_VALUE"""),"Get AI Ready")</f>
        <v>Get AI Ready</v>
      </c>
      <c r="I22" s="7">
        <f>IFERROR(__xludf.DUMMYFUNCTION("""COMPUTED_VALUE"""),9.0)</f>
        <v>9</v>
      </c>
      <c r="J22" s="7">
        <f>IFERROR(__xludf.DUMMYFUNCTION("""COMPUTED_VALUE"""),0.01)</f>
        <v>0.01</v>
      </c>
      <c r="K22" s="7">
        <f>IFERROR(__xludf.DUMMYFUNCTION("""COMPUTED_VALUE"""),0.33)</f>
        <v>0.33</v>
      </c>
    </row>
    <row r="23" ht="15.75" customHeight="1">
      <c r="A23" s="6" t="str">
        <f>IFERROR(__xludf.DUMMYFUNCTION("""COMPUTED_VALUE"""),"https://agencies.semrush.com/list/analytics-data-science/australia/small-business/")</f>
        <v>https://agencies.semrush.com/list/analytics-data-science/australia/small-business/</v>
      </c>
      <c r="B23" s="7" t="str">
        <f>IFERROR(__xludf.DUMMYFUNCTION("""COMPUTED_VALUE"""),"Best Data Analytics Services for Small Business in Australia 2026 | Semrush")</f>
        <v>Best Data Analytics Services for Small Business in Australia 2026 | Semrush</v>
      </c>
      <c r="C23" s="6" t="str">
        <f>IFERROR(__xludf.DUMMYFUNCTION("""COMPUTED_VALUE"""),"semrush.com")</f>
        <v>semrush.com</v>
      </c>
      <c r="D23" s="7" t="str">
        <f>IFERROR(__xludf.DUMMYFUNCTION("""COMPUTED_VALUE"""),"PROFILE")</f>
        <v>PROFILE</v>
      </c>
      <c r="E23" s="7" t="str">
        <f>IFERROR(__xludf.DUMMYFUNCTION("""COMPUTED_VALUE"""),"CORPORATE")</f>
        <v>CORPORATE</v>
      </c>
      <c r="F23" s="7" t="str">
        <f>IFERROR(__xludf.DUMMYFUNCTION("""COMPUTED_VALUE"""),"Profile")</f>
        <v>Profile</v>
      </c>
      <c r="G23" s="7" t="b">
        <f>IFERROR(__xludf.DUMMYFUNCTION("""COMPUTED_VALUE"""),FALSE)</f>
        <v>0</v>
      </c>
      <c r="H23" s="7" t="str">
        <f>IFERROR(__xludf.DUMMYFUNCTION("""COMPUTED_VALUE"""),"Soup Agency, First Page, Clearwater Agency, Measured, Earned Media, Impressive, Online Marketing Gurus, Omnicom Media Group, Click Click Media, 80/20 Digital, Huge, Megantic")</f>
        <v>Soup Agency, First Page, Clearwater Agency, Measured, Earned Media, Impressive, Online Marketing Gurus, Omnicom Media Group, Click Click Media, 80/20 Digital, Huge, Megantic</v>
      </c>
      <c r="I23" s="7">
        <f>IFERROR(__xludf.DUMMYFUNCTION("""COMPUTED_VALUE"""),8.0)</f>
        <v>8</v>
      </c>
      <c r="J23" s="7">
        <f>IFERROR(__xludf.DUMMYFUNCTION("""COMPUTED_VALUE"""),0.01)</f>
        <v>0.01</v>
      </c>
      <c r="K23" s="7">
        <f>IFERROR(__xludf.DUMMYFUNCTION("""COMPUTED_VALUE"""),0.38)</f>
        <v>0.38</v>
      </c>
    </row>
    <row r="24" ht="15.75" customHeight="1">
      <c r="A24" s="6" t="str">
        <f>IFERROR(__xludf.DUMMYFUNCTION("""COMPUTED_VALUE"""),"https://farsiight.com/services/digital-strategy/performance-marketing-melbourne/#:~:text=At%20farsiight%2C%20we%20specialise%20in,Education%2C%20Travel%2C%20and%20more.")</f>
        <v>https://farsiight.com/services/digital-strategy/performance-marketing-melbourne/#:~:text=At%20farsiight%2C%20we%20specialise%20in,Education%2C%20Travel%2C%20and%20more.</v>
      </c>
      <c r="B24" s="7" t="str">
        <f>IFERROR(__xludf.DUMMYFUNCTION("""COMPUTED_VALUE"""),"Award-Winning Performance Marketing Agency in Melbourne")</f>
        <v>Award-Winning Performance Marketing Agency in Melbourne</v>
      </c>
      <c r="C24" s="6" t="str">
        <f>IFERROR(__xludf.DUMMYFUNCTION("""COMPUTED_VALUE"""),"farsiight.com")</f>
        <v>farsiight.com</v>
      </c>
      <c r="D24" s="7" t="str">
        <f>IFERROR(__xludf.DUMMYFUNCTION("""COMPUTED_VALUE"""),"PROFILE")</f>
        <v>PROFILE</v>
      </c>
      <c r="E24" s="7" t="str">
        <f>IFERROR(__xludf.DUMMYFUNCTION("""COMPUTED_VALUE"""),"COMPETITOR")</f>
        <v>COMPETITOR</v>
      </c>
      <c r="F24" s="7" t="str">
        <f>IFERROR(__xludf.DUMMYFUNCTION("""COMPUTED_VALUE"""),"Profile")</f>
        <v>Profile</v>
      </c>
      <c r="G24" s="7" t="b">
        <f>IFERROR(__xludf.DUMMYFUNCTION("""COMPUTED_VALUE"""),FALSE)</f>
        <v>0</v>
      </c>
      <c r="H24" s="7" t="str">
        <f>IFERROR(__xludf.DUMMYFUNCTION("""COMPUTED_VALUE"""),"Farsiight, Huge, Impressive")</f>
        <v>Farsiight, Huge, Impressive</v>
      </c>
      <c r="I24" s="7">
        <f>IFERROR(__xludf.DUMMYFUNCTION("""COMPUTED_VALUE"""),8.0)</f>
        <v>8</v>
      </c>
      <c r="J24" s="7">
        <f>IFERROR(__xludf.DUMMYFUNCTION("""COMPUTED_VALUE"""),0.01)</f>
        <v>0.01</v>
      </c>
      <c r="K24" s="7">
        <f>IFERROR(__xludf.DUMMYFUNCTION("""COMPUTED_VALUE"""),1.25)</f>
        <v>1.25</v>
      </c>
    </row>
    <row r="25" ht="15.75" customHeight="1">
      <c r="A25" s="6" t="str">
        <f>IFERROR(__xludf.DUMMYFUNCTION("""COMPUTED_VALUE"""),"https://agencies.semrush.com/list/ai-optimization/australia/")</f>
        <v>https://agencies.semrush.com/list/ai-optimization/australia/</v>
      </c>
      <c r="B25" s="7" t="str">
        <f>IFERROR(__xludf.DUMMYFUNCTION("""COMPUTED_VALUE"""),"Best AI Search Optimization Agencies in Australia 2026 | Semrush")</f>
        <v>Best AI Search Optimization Agencies in Australia 2026 | Semrush</v>
      </c>
      <c r="C25" s="6" t="str">
        <f>IFERROR(__xludf.DUMMYFUNCTION("""COMPUTED_VALUE"""),"semrush.com")</f>
        <v>semrush.com</v>
      </c>
      <c r="D25" s="7" t="str">
        <f>IFERROR(__xludf.DUMMYFUNCTION("""COMPUTED_VALUE"""),"PROFILE")</f>
        <v>PROFILE</v>
      </c>
      <c r="E25" s="7" t="str">
        <f>IFERROR(__xludf.DUMMYFUNCTION("""COMPUTED_VALUE"""),"CORPORATE")</f>
        <v>CORPORATE</v>
      </c>
      <c r="F25" s="7" t="str">
        <f>IFERROR(__xludf.DUMMYFUNCTION("""COMPUTED_VALUE"""),"Profile")</f>
        <v>Profile</v>
      </c>
      <c r="G25" s="7" t="b">
        <f>IFERROR(__xludf.DUMMYFUNCTION("""COMPUTED_VALUE"""),FALSE)</f>
        <v>0</v>
      </c>
      <c r="H25" s="7"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I25" s="7">
        <f>IFERROR(__xludf.DUMMYFUNCTION("""COMPUTED_VALUE"""),7.0)</f>
        <v>7</v>
      </c>
      <c r="J25" s="7">
        <f>IFERROR(__xludf.DUMMYFUNCTION("""COMPUTED_VALUE"""),0.01)</f>
        <v>0.01</v>
      </c>
      <c r="K25" s="7">
        <f>IFERROR(__xludf.DUMMYFUNCTION("""COMPUTED_VALUE"""),2.43)</f>
        <v>2.43</v>
      </c>
    </row>
    <row r="26" ht="15.75" customHeight="1">
      <c r="A26" s="6" t="str">
        <f>IFERROR(__xludf.DUMMYFUNCTION("""COMPUTED_VALUE"""),"https://digitalagencynetwork.com/agencies/sydney/ai-marketing/")</f>
        <v>https://digitalagencynetwork.com/agencies/sydney/ai-marketing/</v>
      </c>
      <c r="B26" s="7" t="str">
        <f>IFERROR(__xludf.DUMMYFUNCTION("""COMPUTED_VALUE"""),"Top AI Marketing Agencies in Sydney (2026)")</f>
        <v>Top AI Marketing Agencies in Sydney (2026)</v>
      </c>
      <c r="C26" s="6" t="str">
        <f>IFERROR(__xludf.DUMMYFUNCTION("""COMPUTED_VALUE"""),"digitalagencynetwork.com")</f>
        <v>digitalagencynetwork.com</v>
      </c>
      <c r="D26" s="7" t="str">
        <f>IFERROR(__xludf.DUMMYFUNCTION("""COMPUTED_VALUE"""),"PROFILE")</f>
        <v>PROFILE</v>
      </c>
      <c r="E26" s="7" t="str">
        <f>IFERROR(__xludf.DUMMYFUNCTION("""COMPUTED_VALUE"""),"REFERENCE")</f>
        <v>REFERENCE</v>
      </c>
      <c r="F26" s="7" t="str">
        <f>IFERROR(__xludf.DUMMYFUNCTION("""COMPUTED_VALUE"""),"Profile")</f>
        <v>Profile</v>
      </c>
      <c r="G26" s="7" t="b">
        <f>IFERROR(__xludf.DUMMYFUNCTION("""COMPUTED_VALUE"""),FALSE)</f>
        <v>0</v>
      </c>
      <c r="H26" s="7" t="str">
        <f>IFERROR(__xludf.DUMMYFUNCTION("""COMPUTED_VALUE"""),"Luminary, In Marketing We Trust, Soup Agency")</f>
        <v>Luminary, In Marketing We Trust, Soup Agency</v>
      </c>
      <c r="I26" s="7">
        <f>IFERROR(__xludf.DUMMYFUNCTION("""COMPUTED_VALUE"""),7.0)</f>
        <v>7</v>
      </c>
      <c r="J26" s="7">
        <f>IFERROR(__xludf.DUMMYFUNCTION("""COMPUTED_VALUE"""),0.01)</f>
        <v>0.01</v>
      </c>
      <c r="K26" s="7">
        <f>IFERROR(__xludf.DUMMYFUNCTION("""COMPUTED_VALUE"""),0.86)</f>
        <v>0.86</v>
      </c>
    </row>
    <row r="27" ht="15.75" customHeight="1">
      <c r="A27" s="6" t="str">
        <f>IFERROR(__xludf.DUMMYFUNCTION("""COMPUTED_VALUE"""),"https://edisonmoment.com/agency/best/digital-marketing-agency-australia")</f>
        <v>https://edisonmoment.com/agency/best/digital-marketing-agency-australia</v>
      </c>
      <c r="B27" s="7" t="str">
        <f>IFERROR(__xludf.DUMMYFUNCTION("""COMPUTED_VALUE"""),"Digital Marketing Agency in Australia | Edison Moment")</f>
        <v>Digital Marketing Agency in Australia | Edison Moment</v>
      </c>
      <c r="C27" s="6" t="str">
        <f>IFERROR(__xludf.DUMMYFUNCTION("""COMPUTED_VALUE"""),"edisonmoment.com")</f>
        <v>edisonmoment.com</v>
      </c>
      <c r="D27" s="7" t="str">
        <f>IFERROR(__xludf.DUMMYFUNCTION("""COMPUTED_VALUE"""),"PROFILE")</f>
        <v>PROFILE</v>
      </c>
      <c r="E27" s="7" t="str">
        <f>IFERROR(__xludf.DUMMYFUNCTION("""COMPUTED_VALUE"""),"CORPORATE")</f>
        <v>CORPORATE</v>
      </c>
      <c r="F27" s="7" t="str">
        <f>IFERROR(__xludf.DUMMYFUNCTION("""COMPUTED_VALUE"""),"Profile")</f>
        <v>Profile</v>
      </c>
      <c r="G27" s="7" t="b">
        <f>IFERROR(__xludf.DUMMYFUNCTION("""COMPUTED_VALUE"""),FALSE)</f>
        <v>0</v>
      </c>
      <c r="H27" s="7" t="str">
        <f>IFERROR(__xludf.DUMMYFUNCTION("""COMPUTED_VALUE"""),"Measured")</f>
        <v>Measured</v>
      </c>
      <c r="I27" s="7">
        <f>IFERROR(__xludf.DUMMYFUNCTION("""COMPUTED_VALUE"""),7.0)</f>
        <v>7</v>
      </c>
      <c r="J27" s="7">
        <f>IFERROR(__xludf.DUMMYFUNCTION("""COMPUTED_VALUE"""),0.01)</f>
        <v>0.01</v>
      </c>
      <c r="K27" s="7">
        <f>IFERROR(__xludf.DUMMYFUNCTION("""COMPUTED_VALUE"""),0.29)</f>
        <v>0.29</v>
      </c>
    </row>
    <row r="28" ht="15.75" customHeight="1">
      <c r="A28" s="6" t="str">
        <f>IFERROR(__xludf.DUMMYFUNCTION("""COMPUTED_VALUE"""),"https://hyperdot.com.au/about-hyperdot/")</f>
        <v>https://hyperdot.com.au/about-hyperdot/</v>
      </c>
      <c r="B28" s="7" t="str">
        <f>IFERROR(__xludf.DUMMYFUNCTION("""COMPUTED_VALUE"""),"About Us | Hyperdot")</f>
        <v>About Us | Hyperdot</v>
      </c>
      <c r="C28" s="6" t="str">
        <f>IFERROR(__xludf.DUMMYFUNCTION("""COMPUTED_VALUE"""),"hyperdot.com.au")</f>
        <v>hyperdot.com.au</v>
      </c>
      <c r="D28" s="7" t="str">
        <f>IFERROR(__xludf.DUMMYFUNCTION("""COMPUTED_VALUE"""),"PROFILE")</f>
        <v>PROFILE</v>
      </c>
      <c r="E28" s="7" t="str">
        <f>IFERROR(__xludf.DUMMYFUNCTION("""COMPUTED_VALUE"""),"CORPORATE")</f>
        <v>CORPORATE</v>
      </c>
      <c r="F28" s="7" t="str">
        <f>IFERROR(__xludf.DUMMYFUNCTION("""COMPUTED_VALUE"""),"Profile")</f>
        <v>Profile</v>
      </c>
      <c r="G28" s="7" t="b">
        <f>IFERROR(__xludf.DUMMYFUNCTION("""COMPUTED_VALUE"""),FALSE)</f>
        <v>0</v>
      </c>
      <c r="H28" s="7"/>
      <c r="I28" s="7">
        <f>IFERROR(__xludf.DUMMYFUNCTION("""COMPUTED_VALUE"""),7.0)</f>
        <v>7</v>
      </c>
      <c r="J28" s="7">
        <f>IFERROR(__xludf.DUMMYFUNCTION("""COMPUTED_VALUE"""),0.01)</f>
        <v>0.01</v>
      </c>
      <c r="K28" s="7">
        <f>IFERROR(__xludf.DUMMYFUNCTION("""COMPUTED_VALUE"""),1.14)</f>
        <v>1.14</v>
      </c>
    </row>
    <row r="29" ht="15.75" customHeight="1">
      <c r="A29" s="6" t="str">
        <f>IFERROR(__xludf.DUMMYFUNCTION("""COMPUTED_VALUE"""),"https://www.infraworx.com.au/ai-automation-consulting-sydney/")</f>
        <v>https://www.infraworx.com.au/ai-automation-consulting-sydney/</v>
      </c>
      <c r="B29" s="7" t="str">
        <f>IFERROR(__xludf.DUMMYFUNCTION("""COMPUTED_VALUE"""),"AI Consultants &amp;amp; Automation Agency Sydney | Infraworx")</f>
        <v>AI Consultants &amp;amp; Automation Agency Sydney | Infraworx</v>
      </c>
      <c r="C29" s="6" t="str">
        <f>IFERROR(__xludf.DUMMYFUNCTION("""COMPUTED_VALUE"""),"infraworx.com.au")</f>
        <v>infraworx.com.au</v>
      </c>
      <c r="D29" s="7" t="str">
        <f>IFERROR(__xludf.DUMMYFUNCTION("""COMPUTED_VALUE"""),"PROFILE")</f>
        <v>PROFILE</v>
      </c>
      <c r="E29" s="7" t="str">
        <f>IFERROR(__xludf.DUMMYFUNCTION("""COMPUTED_VALUE"""),"COMPETITOR")</f>
        <v>COMPETITOR</v>
      </c>
      <c r="F29" s="7" t="str">
        <f>IFERROR(__xludf.DUMMYFUNCTION("""COMPUTED_VALUE"""),"Profile")</f>
        <v>Profile</v>
      </c>
      <c r="G29" s="7" t="b">
        <f>IFERROR(__xludf.DUMMYFUNCTION("""COMPUTED_VALUE"""),FALSE)</f>
        <v>0</v>
      </c>
      <c r="H29" s="7" t="str">
        <f>IFERROR(__xludf.DUMMYFUNCTION("""COMPUTED_VALUE"""),"Infraworx")</f>
        <v>Infraworx</v>
      </c>
      <c r="I29" s="7">
        <f>IFERROR(__xludf.DUMMYFUNCTION("""COMPUTED_VALUE"""),7.0)</f>
        <v>7</v>
      </c>
      <c r="J29" s="7">
        <f>IFERROR(__xludf.DUMMYFUNCTION("""COMPUTED_VALUE"""),0.01)</f>
        <v>0.01</v>
      </c>
      <c r="K29" s="7">
        <f>IFERROR(__xludf.DUMMYFUNCTION("""COMPUTED_VALUE"""),0.29)</f>
        <v>0.29</v>
      </c>
    </row>
    <row r="30" ht="15.75" customHeight="1">
      <c r="A30" s="6" t="str">
        <f>IFERROR(__xludf.DUMMYFUNCTION("""COMPUTED_VALUE"""),"https://www.sortlist.com/l/australia-au")</f>
        <v>https://www.sortlist.com/l/australia-au</v>
      </c>
      <c r="B30" s="7" t="str">
        <f>IFERROR(__xludf.DUMMYFUNCTION("""COMPUTED_VALUE"""),"The 10 Best Marketing Agencies in Australia - 2026 Reviews")</f>
        <v>The 10 Best Marketing Agencies in Australia - 2026 Reviews</v>
      </c>
      <c r="C30" s="6" t="str">
        <f>IFERROR(__xludf.DUMMYFUNCTION("""COMPUTED_VALUE"""),"sortlist.com")</f>
        <v>sortlist.com</v>
      </c>
      <c r="D30" s="7" t="str">
        <f>IFERROR(__xludf.DUMMYFUNCTION("""COMPUTED_VALUE"""),"PROFILE")</f>
        <v>PROFILE</v>
      </c>
      <c r="E30" s="7" t="str">
        <f>IFERROR(__xludf.DUMMYFUNCTION("""COMPUTED_VALUE"""),"CORPORATE")</f>
        <v>CORPORATE</v>
      </c>
      <c r="F30" s="7" t="str">
        <f>IFERROR(__xludf.DUMMYFUNCTION("""COMPUTED_VALUE"""),"Profile")</f>
        <v>Profile</v>
      </c>
      <c r="G30" s="7" t="b">
        <f>IFERROR(__xludf.DUMMYFUNCTION("""COMPUTED_VALUE"""),FALSE)</f>
        <v>0</v>
      </c>
      <c r="H30" s="7" t="str">
        <f>IFERROR(__xludf.DUMMYFUNCTION("""COMPUTED_VALUE"""),"Measured, Earned Media, Clearwater Agency, Digital Nomads HQ, Soup Agency, HERO, Impressive, Supple Digital")</f>
        <v>Measured, Earned Media, Clearwater Agency, Digital Nomads HQ, Soup Agency, HERO, Impressive, Supple Digital</v>
      </c>
      <c r="I30" s="7">
        <f>IFERROR(__xludf.DUMMYFUNCTION("""COMPUTED_VALUE"""),7.0)</f>
        <v>7</v>
      </c>
      <c r="J30" s="7">
        <f>IFERROR(__xludf.DUMMYFUNCTION("""COMPUTED_VALUE"""),0.01)</f>
        <v>0.01</v>
      </c>
      <c r="K30" s="7">
        <f>IFERROR(__xludf.DUMMYFUNCTION("""COMPUTED_VALUE"""),0.86)</f>
        <v>0.86</v>
      </c>
    </row>
    <row r="31" ht="15.75" customHeight="1">
      <c r="A31" s="6" t="str">
        <f>IFERROR(__xludf.DUMMYFUNCTION("""COMPUTED_VALUE"""),"https://avinashvagh.com/blog/best-aeo-agencies-australia")</f>
        <v>https://avinashvagh.com/blog/best-aeo-agencies-australia</v>
      </c>
      <c r="B31" s="7" t="str">
        <f>IFERROR(__xludf.DUMMYFUNCTION("""COMPUTED_VALUE"""),"Best AEO Agencies in Australia for SaaS Founders 2026")</f>
        <v>Best AEO Agencies in Australia for SaaS Founders 2026</v>
      </c>
      <c r="C31" s="6" t="str">
        <f>IFERROR(__xludf.DUMMYFUNCTION("""COMPUTED_VALUE"""),"avinashvagh.com")</f>
        <v>avinashvagh.com</v>
      </c>
      <c r="D31" s="7" t="str">
        <f>IFERROR(__xludf.DUMMYFUNCTION("""COMPUTED_VALUE"""),"PROFILE")</f>
        <v>PROFILE</v>
      </c>
      <c r="E31" s="7" t="str">
        <f>IFERROR(__xludf.DUMMYFUNCTION("""COMPUTED_VALUE"""),"CORPORATE")</f>
        <v>CORPORATE</v>
      </c>
      <c r="F31" s="7" t="str">
        <f>IFERROR(__xludf.DUMMYFUNCTION("""COMPUTED_VALUE"""),"Profile")</f>
        <v>Profile</v>
      </c>
      <c r="G31" s="7" t="b">
        <f>IFERROR(__xludf.DUMMYFUNCTION("""COMPUTED_VALUE"""),FALSE)</f>
        <v>0</v>
      </c>
      <c r="H31" s="7" t="str">
        <f>IFERROR(__xludf.DUMMYFUNCTION("""COMPUTED_VALUE"""),"Measured, Digital Nomads HQ")</f>
        <v>Measured, Digital Nomads HQ</v>
      </c>
      <c r="I31" s="7">
        <f>IFERROR(__xludf.DUMMYFUNCTION("""COMPUTED_VALUE"""),6.0)</f>
        <v>6</v>
      </c>
      <c r="J31" s="7">
        <f>IFERROR(__xludf.DUMMYFUNCTION("""COMPUTED_VALUE"""),0.01)</f>
        <v>0.01</v>
      </c>
      <c r="K31" s="7">
        <f>IFERROR(__xludf.DUMMYFUNCTION("""COMPUTED_VALUE"""),0.17)</f>
        <v>0.17</v>
      </c>
    </row>
    <row r="32" ht="15.75" customHeight="1">
      <c r="A32" s="6" t="str">
        <f>IFERROR(__xludf.DUMMYFUNCTION("""COMPUTED_VALUE"""),"https://www.bbe.io/leading-advertising-agencies-in-australia-2025-sydney-melbourne-brisbane")</f>
        <v>https://www.bbe.io/leading-advertising-agencies-in-australia-2025-sydney-melbourne-brisbane</v>
      </c>
      <c r="B32" s="7" t="str">
        <f>IFERROR(__xludf.DUMMYFUNCTION("""COMPUTED_VALUE"""),"BBE Agency | Better Brand Experiences | Strategy, Creative, Digital, Brand, Performance Marketing Agency")</f>
        <v>BBE Agency | Better Brand Experiences | Strategy, Creative, Digital, Brand, Performance Marketing Agency</v>
      </c>
      <c r="C32" s="6" t="str">
        <f>IFERROR(__xludf.DUMMYFUNCTION("""COMPUTED_VALUE"""),"bbe.io")</f>
        <v>bbe.io</v>
      </c>
      <c r="D32" s="7" t="str">
        <f>IFERROR(__xludf.DUMMYFUNCTION("""COMPUTED_VALUE"""),"PROFILE")</f>
        <v>PROFILE</v>
      </c>
      <c r="E32" s="7" t="str">
        <f>IFERROR(__xludf.DUMMYFUNCTION("""COMPUTED_VALUE"""),"CORPORATE")</f>
        <v>CORPORATE</v>
      </c>
      <c r="F32" s="7" t="str">
        <f>IFERROR(__xludf.DUMMYFUNCTION("""COMPUTED_VALUE"""),"Profile")</f>
        <v>Profile</v>
      </c>
      <c r="G32" s="7" t="b">
        <f>IFERROR(__xludf.DUMMYFUNCTION("""COMPUTED_VALUE"""),FALSE)</f>
        <v>0</v>
      </c>
      <c r="H32" s="7"/>
      <c r="I32" s="7">
        <f>IFERROR(__xludf.DUMMYFUNCTION("""COMPUTED_VALUE"""),6.0)</f>
        <v>6</v>
      </c>
      <c r="J32" s="7">
        <f>IFERROR(__xludf.DUMMYFUNCTION("""COMPUTED_VALUE"""),0.01)</f>
        <v>0.01</v>
      </c>
      <c r="K32" s="7">
        <f>IFERROR(__xludf.DUMMYFUNCTION("""COMPUTED_VALUE"""),0.0)</f>
        <v>0</v>
      </c>
    </row>
    <row r="33" ht="15.75" customHeight="1">
      <c r="A33" s="6" t="str">
        <f>IFERROR(__xludf.DUMMYFUNCTION("""COMPUTED_VALUE"""),"https://pixelhatch.com.au/consulting/")</f>
        <v>https://pixelhatch.com.au/consulting/</v>
      </c>
      <c r="B33" s="7" t="str">
        <f>IFERROR(__xludf.DUMMYFUNCTION("""COMPUTED_VALUE"""),"Agentic Branding Consulting | Pixelhatch")</f>
        <v>Agentic Branding Consulting | Pixelhatch</v>
      </c>
      <c r="C33" s="6" t="str">
        <f>IFERROR(__xludf.DUMMYFUNCTION("""COMPUTED_VALUE"""),"pixelhatch.com.au")</f>
        <v>pixelhatch.com.au</v>
      </c>
      <c r="D33" s="7" t="str">
        <f>IFERROR(__xludf.DUMMYFUNCTION("""COMPUTED_VALUE"""),"PROFILE")</f>
        <v>PROFILE</v>
      </c>
      <c r="E33" s="7" t="str">
        <f>IFERROR(__xludf.DUMMYFUNCTION("""COMPUTED_VALUE"""),"CORPORATE")</f>
        <v>CORPORATE</v>
      </c>
      <c r="F33" s="7" t="str">
        <f>IFERROR(__xludf.DUMMYFUNCTION("""COMPUTED_VALUE"""),"Profile")</f>
        <v>Profile</v>
      </c>
      <c r="G33" s="7" t="b">
        <f>IFERROR(__xludf.DUMMYFUNCTION("""COMPUTED_VALUE"""),FALSE)</f>
        <v>0</v>
      </c>
      <c r="H33" s="7"/>
      <c r="I33" s="7">
        <f>IFERROR(__xludf.DUMMYFUNCTION("""COMPUTED_VALUE"""),6.0)</f>
        <v>6</v>
      </c>
      <c r="J33" s="7">
        <f>IFERROR(__xludf.DUMMYFUNCTION("""COMPUTED_VALUE"""),0.01)</f>
        <v>0.01</v>
      </c>
      <c r="K33" s="7">
        <f>IFERROR(__xludf.DUMMYFUNCTION("""COMPUTED_VALUE"""),0.33)</f>
        <v>0.33</v>
      </c>
    </row>
    <row r="34" ht="15.75" customHeight="1">
      <c r="A34" s="6" t="str">
        <f>IFERROR(__xludf.DUMMYFUNCTION("""COMPUTED_VALUE"""),"https://www.google.com/intl/en_GB/ads/publisher/partners/find-a-partner/")</f>
        <v>https://www.google.com/intl/en_GB/ads/publisher/partners/find-a-partner/</v>
      </c>
      <c r="B34" s="7" t="str">
        <f>IFERROR(__xludf.DUMMYFUNCTION("""COMPUTED_VALUE"""),"Find a Publishing Partner")</f>
        <v>Find a Publishing Partner</v>
      </c>
      <c r="C34" s="6" t="str">
        <f>IFERROR(__xludf.DUMMYFUNCTION("""COMPUTED_VALUE"""),"google.com")</f>
        <v>google.com</v>
      </c>
      <c r="D34" s="7" t="str">
        <f>IFERROR(__xludf.DUMMYFUNCTION("""COMPUTED_VALUE"""),"PROFILE")</f>
        <v>PROFILE</v>
      </c>
      <c r="E34" s="7" t="str">
        <f>IFERROR(__xludf.DUMMYFUNCTION("""COMPUTED_VALUE"""),"OTHER")</f>
        <v>OTHER</v>
      </c>
      <c r="F34" s="7" t="str">
        <f>IFERROR(__xludf.DUMMYFUNCTION("""COMPUTED_VALUE"""),"Profile")</f>
        <v>Profile</v>
      </c>
      <c r="G34" s="7" t="b">
        <f>IFERROR(__xludf.DUMMYFUNCTION("""COMPUTED_VALUE"""),FALSE)</f>
        <v>0</v>
      </c>
      <c r="H34" s="7"/>
      <c r="I34" s="7">
        <f>IFERROR(__xludf.DUMMYFUNCTION("""COMPUTED_VALUE"""),5.0)</f>
        <v>5</v>
      </c>
      <c r="J34" s="7">
        <f>IFERROR(__xludf.DUMMYFUNCTION("""COMPUTED_VALUE"""),0.01)</f>
        <v>0.01</v>
      </c>
      <c r="K34" s="7">
        <f>IFERROR(__xludf.DUMMYFUNCTION("""COMPUTED_VALUE"""),0.0)</f>
        <v>0</v>
      </c>
    </row>
    <row r="35" ht="15.75" customHeight="1">
      <c r="A35" s="6" t="str">
        <f>IFERROR(__xludf.DUMMYFUNCTION("""COMPUTED_VALUE"""),"https://www.onetoo.com.au/aeo-agency")</f>
        <v>https://www.onetoo.com.au/aeo-agency</v>
      </c>
      <c r="B35" s="7" t="str">
        <f>IFERROR(__xludf.DUMMYFUNCTION("""COMPUTED_VALUE"""),"AEO + GEO Agency Melbourne, Be the Answer - ONETOO")</f>
        <v>AEO + GEO Agency Melbourne, Be the Answer - ONETOO</v>
      </c>
      <c r="C35" s="6" t="str">
        <f>IFERROR(__xludf.DUMMYFUNCTION("""COMPUTED_VALUE"""),"onetoo.com.au")</f>
        <v>onetoo.com.au</v>
      </c>
      <c r="D35" s="7" t="str">
        <f>IFERROR(__xludf.DUMMYFUNCTION("""COMPUTED_VALUE"""),"PROFILE")</f>
        <v>PROFILE</v>
      </c>
      <c r="E35" s="7" t="str">
        <f>IFERROR(__xludf.DUMMYFUNCTION("""COMPUTED_VALUE"""),"CORPORATE")</f>
        <v>CORPORATE</v>
      </c>
      <c r="F35" s="7" t="str">
        <f>IFERROR(__xludf.DUMMYFUNCTION("""COMPUTED_VALUE"""),"Profile")</f>
        <v>Profile</v>
      </c>
      <c r="G35" s="7" t="b">
        <f>IFERROR(__xludf.DUMMYFUNCTION("""COMPUTED_VALUE"""),FALSE)</f>
        <v>0</v>
      </c>
      <c r="H35" s="7"/>
      <c r="I35" s="7">
        <f>IFERROR(__xludf.DUMMYFUNCTION("""COMPUTED_VALUE"""),5.0)</f>
        <v>5</v>
      </c>
      <c r="J35" s="7">
        <f>IFERROR(__xludf.DUMMYFUNCTION("""COMPUTED_VALUE"""),0.01)</f>
        <v>0.01</v>
      </c>
      <c r="K35" s="7">
        <f>IFERROR(__xludf.DUMMYFUNCTION("""COMPUTED_VALUE"""),1.4)</f>
        <v>1.4</v>
      </c>
    </row>
    <row r="36" ht="15.75" customHeight="1">
      <c r="A36" s="6" t="str">
        <f>IFERROR(__xludf.DUMMYFUNCTION("""COMPUTED_VALUE"""),"https://www.goodfirms.co/directory/country/top-digital-marketing-companies/media-planning-buying/australia")</f>
        <v>https://www.goodfirms.co/directory/country/top-digital-marketing-companies/media-planning-buying/australia</v>
      </c>
      <c r="B36" s="7" t="str">
        <f>IFERROR(__xludf.DUMMYFUNCTION("""COMPUTED_VALUE"""),"Top Media Buying Agencies in Australia - 2026 Reviews | Goodfirms")</f>
        <v>Top Media Buying Agencies in Australia - 2026 Reviews | Goodfirms</v>
      </c>
      <c r="C36" s="6" t="str">
        <f>IFERROR(__xludf.DUMMYFUNCTION("""COMPUTED_VALUE"""),"goodfirms.co")</f>
        <v>goodfirms.co</v>
      </c>
      <c r="D36" s="7" t="str">
        <f>IFERROR(__xludf.DUMMYFUNCTION("""COMPUTED_VALUE"""),"PROFILE")</f>
        <v>PROFILE</v>
      </c>
      <c r="E36" s="7" t="str">
        <f>IFERROR(__xludf.DUMMYFUNCTION("""COMPUTED_VALUE"""),"UGC")</f>
        <v>UGC</v>
      </c>
      <c r="F36" s="7" t="str">
        <f>IFERROR(__xludf.DUMMYFUNCTION("""COMPUTED_VALUE"""),"Profile")</f>
        <v>Profile</v>
      </c>
      <c r="G36" s="7" t="b">
        <f>IFERROR(__xludf.DUMMYFUNCTION("""COMPUTED_VALUE"""),FALSE)</f>
        <v>0</v>
      </c>
      <c r="H36" s="7" t="str">
        <f>IFERROR(__xludf.DUMMYFUNCTION("""COMPUTED_VALUE"""),"Emote Digital, Bench Media, Reload Media, Soup Agency, Impressive, eMarket Experts, CUT THRU")</f>
        <v>Emote Digital, Bench Media, Reload Media, Soup Agency, Impressive, eMarket Experts, CUT THRU</v>
      </c>
      <c r="I36" s="7">
        <f>IFERROR(__xludf.DUMMYFUNCTION("""COMPUTED_VALUE"""),4.0)</f>
        <v>4</v>
      </c>
      <c r="J36" s="7">
        <f>IFERROR(__xludf.DUMMYFUNCTION("""COMPUTED_VALUE"""),0.0)</f>
        <v>0</v>
      </c>
      <c r="K36" s="7">
        <f>IFERROR(__xludf.DUMMYFUNCTION("""COMPUTED_VALUE"""),0.0)</f>
        <v>0</v>
      </c>
    </row>
    <row r="37" ht="15.75" customHeight="1">
      <c r="A37" s="6" t="str">
        <f>IFERROR(__xludf.DUMMYFUNCTION("""COMPUTED_VALUE"""),"https://www.rankingco.com.au/google-premier-partner-2026")</f>
        <v>https://www.rankingco.com.au/google-premier-partner-2026</v>
      </c>
      <c r="B37" s="7" t="str">
        <f>IFERROR(__xludf.DUMMYFUNCTION("""COMPUTED_VALUE"""),"Google Premier Partner 2026")</f>
        <v>Google Premier Partner 2026</v>
      </c>
      <c r="C37" s="6" t="str">
        <f>IFERROR(__xludf.DUMMYFUNCTION("""COMPUTED_VALUE"""),"rankingco.com.au")</f>
        <v>rankingco.com.au</v>
      </c>
      <c r="D37" s="7" t="str">
        <f>IFERROR(__xludf.DUMMYFUNCTION("""COMPUTED_VALUE"""),"PROFILE")</f>
        <v>PROFILE</v>
      </c>
      <c r="E37" s="7" t="str">
        <f>IFERROR(__xludf.DUMMYFUNCTION("""COMPUTED_VALUE"""),"COMPETITOR")</f>
        <v>COMPETITOR</v>
      </c>
      <c r="F37" s="7" t="str">
        <f>IFERROR(__xludf.DUMMYFUNCTION("""COMPUTED_VALUE"""),"Profile")</f>
        <v>Profile</v>
      </c>
      <c r="G37" s="7" t="b">
        <f>IFERROR(__xludf.DUMMYFUNCTION("""COMPUTED_VALUE"""),FALSE)</f>
        <v>0</v>
      </c>
      <c r="H37" s="7" t="str">
        <f>IFERROR(__xludf.DUMMYFUNCTION("""COMPUTED_VALUE"""),"RankingCo")</f>
        <v>RankingCo</v>
      </c>
      <c r="I37" s="7">
        <f>IFERROR(__xludf.DUMMYFUNCTION("""COMPUTED_VALUE"""),4.0)</f>
        <v>4</v>
      </c>
      <c r="J37" s="7">
        <f>IFERROR(__xludf.DUMMYFUNCTION("""COMPUTED_VALUE"""),0.0)</f>
        <v>0</v>
      </c>
      <c r="K37" s="7">
        <f>IFERROR(__xludf.DUMMYFUNCTION("""COMPUTED_VALUE"""),1.0)</f>
        <v>1</v>
      </c>
    </row>
    <row r="38" ht="15.75" customHeight="1">
      <c r="A38" s="6" t="str">
        <f>IFERROR(__xludf.DUMMYFUNCTION("""COMPUTED_VALUE"""),"https://www.sortlist.com/s/display-advertising/brisbane-qld-au")</f>
        <v>https://www.sortlist.com/s/display-advertising/brisbane-qld-au</v>
      </c>
      <c r="B38" s="7" t="str">
        <f>IFERROR(__xludf.DUMMYFUNCTION("""COMPUTED_VALUE"""),"The 10 Best Display Advertising Agencies in Brisbane - 2026 Reviews")</f>
        <v>The 10 Best Display Advertising Agencies in Brisbane - 2026 Reviews</v>
      </c>
      <c r="C38" s="6" t="str">
        <f>IFERROR(__xludf.DUMMYFUNCTION("""COMPUTED_VALUE"""),"sortlist.com")</f>
        <v>sortlist.com</v>
      </c>
      <c r="D38" s="7" t="str">
        <f>IFERROR(__xludf.DUMMYFUNCTION("""COMPUTED_VALUE"""),"PROFILE")</f>
        <v>PROFILE</v>
      </c>
      <c r="E38" s="7" t="str">
        <f>IFERROR(__xludf.DUMMYFUNCTION("""COMPUTED_VALUE"""),"CORPORATE")</f>
        <v>CORPORATE</v>
      </c>
      <c r="F38" s="7" t="str">
        <f>IFERROR(__xludf.DUMMYFUNCTION("""COMPUTED_VALUE"""),"Profile")</f>
        <v>Profile</v>
      </c>
      <c r="G38" s="7" t="b">
        <f>IFERROR(__xludf.DUMMYFUNCTION("""COMPUTED_VALUE"""),FALSE)</f>
        <v>0</v>
      </c>
      <c r="H38" s="7" t="str">
        <f>IFERROR(__xludf.DUMMYFUNCTION("""COMPUTED_VALUE"""),"Measured, Earned Media, Clearwater Agency, SIXGUN, Soup Agency, HERO, Impressive, Supple Digital, Ninja Promo, Digital Nomads HQ, Momentum, Alpha Digital")</f>
        <v>Measured, Earned Media, Clearwater Agency, SIXGUN, Soup Agency, HERO, Impressive, Supple Digital, Ninja Promo, Digital Nomads HQ, Momentum, Alpha Digital</v>
      </c>
      <c r="I38" s="7">
        <f>IFERROR(__xludf.DUMMYFUNCTION("""COMPUTED_VALUE"""),4.0)</f>
        <v>4</v>
      </c>
      <c r="J38" s="7">
        <f>IFERROR(__xludf.DUMMYFUNCTION("""COMPUTED_VALUE"""),0.0)</f>
        <v>0</v>
      </c>
      <c r="K38" s="7">
        <f>IFERROR(__xludf.DUMMYFUNCTION("""COMPUTED_VALUE"""),0.0)</f>
        <v>0</v>
      </c>
    </row>
    <row r="39" ht="15.75" customHeight="1">
      <c r="A39" s="6" t="str">
        <f>IFERROR(__xludf.DUMMYFUNCTION("""COMPUTED_VALUE"""),"https://www.goodfirms.co/company/get-ai-ready")</f>
        <v>https://www.goodfirms.co/company/get-ai-ready</v>
      </c>
      <c r="B39" s="7" t="str">
        <f>IFERROR(__xludf.DUMMYFUNCTION("""COMPUTED_VALUE"""),"Get AI Ready Reviews &amp;amp; Ratings | Goodfirms")</f>
        <v>Get AI Ready Reviews &amp;amp; Ratings | Goodfirms</v>
      </c>
      <c r="C39" s="6" t="str">
        <f>IFERROR(__xludf.DUMMYFUNCTION("""COMPUTED_VALUE"""),"goodfirms.co")</f>
        <v>goodfirms.co</v>
      </c>
      <c r="D39" s="7" t="str">
        <f>IFERROR(__xludf.DUMMYFUNCTION("""COMPUTED_VALUE"""),"PROFILE")</f>
        <v>PROFILE</v>
      </c>
      <c r="E39" s="7" t="str">
        <f>IFERROR(__xludf.DUMMYFUNCTION("""COMPUTED_VALUE"""),"UGC")</f>
        <v>UGC</v>
      </c>
      <c r="F39" s="7" t="str">
        <f>IFERROR(__xludf.DUMMYFUNCTION("""COMPUTED_VALUE"""),"Profile")</f>
        <v>Profile</v>
      </c>
      <c r="G39" s="7" t="b">
        <f>IFERROR(__xludf.DUMMYFUNCTION("""COMPUTED_VALUE"""),FALSE)</f>
        <v>0</v>
      </c>
      <c r="H39" s="7" t="str">
        <f>IFERROR(__xludf.DUMMYFUNCTION("""COMPUTED_VALUE"""),"Get AI Ready")</f>
        <v>Get AI Ready</v>
      </c>
      <c r="I39" s="7">
        <f>IFERROR(__xludf.DUMMYFUNCTION("""COMPUTED_VALUE"""),3.0)</f>
        <v>3</v>
      </c>
      <c r="J39" s="7">
        <f>IFERROR(__xludf.DUMMYFUNCTION("""COMPUTED_VALUE"""),0.0)</f>
        <v>0</v>
      </c>
      <c r="K39" s="7">
        <f>IFERROR(__xludf.DUMMYFUNCTION("""COMPUTED_VALUE"""),0.0)</f>
        <v>0</v>
      </c>
    </row>
    <row r="40" ht="15.75" customHeight="1">
      <c r="A40" s="6" t="str">
        <f>IFERROR(__xludf.DUMMYFUNCTION("""COMPUTED_VALUE"""),"https://www.marshalltech.io/ai-consultant")</f>
        <v>https://www.marshalltech.io/ai-consultant</v>
      </c>
      <c r="B40" s="7" t="str">
        <f>IFERROR(__xludf.DUMMYFUNCTION("""COMPUTED_VALUE"""),"AI Consultant Australia | Marshall Tech, Led by Nick Hugh | Marshall Tech")</f>
        <v>AI Consultant Australia | Marshall Tech, Led by Nick Hugh | Marshall Tech</v>
      </c>
      <c r="C40" s="6" t="str">
        <f>IFERROR(__xludf.DUMMYFUNCTION("""COMPUTED_VALUE"""),"marshalltech.io")</f>
        <v>marshalltech.io</v>
      </c>
      <c r="D40" s="7" t="str">
        <f>IFERROR(__xludf.DUMMYFUNCTION("""COMPUTED_VALUE"""),"PROFILE")</f>
        <v>PROFILE</v>
      </c>
      <c r="E40" s="7" t="str">
        <f>IFERROR(__xludf.DUMMYFUNCTION("""COMPUTED_VALUE"""),"CORPORATE")</f>
        <v>CORPORATE</v>
      </c>
      <c r="F40" s="7" t="str">
        <f>IFERROR(__xludf.DUMMYFUNCTION("""COMPUTED_VALUE"""),"Profile")</f>
        <v>Profile</v>
      </c>
      <c r="G40" s="7" t="b">
        <f>IFERROR(__xludf.DUMMYFUNCTION("""COMPUTED_VALUE"""),FALSE)</f>
        <v>0</v>
      </c>
      <c r="H40" s="7"/>
      <c r="I40" s="7">
        <f>IFERROR(__xludf.DUMMYFUNCTION("""COMPUTED_VALUE"""),3.0)</f>
        <v>3</v>
      </c>
      <c r="J40" s="7">
        <f>IFERROR(__xludf.DUMMYFUNCTION("""COMPUTED_VALUE"""),0.0)</f>
        <v>0</v>
      </c>
      <c r="K40" s="7">
        <f>IFERROR(__xludf.DUMMYFUNCTION("""COMPUTED_VALUE"""),0.67)</f>
        <v>0.67</v>
      </c>
    </row>
    <row r="41" ht="15.75" customHeight="1">
      <c r="A41" s="6" t="str">
        <f>IFERROR(__xludf.DUMMYFUNCTION("""COMPUTED_VALUE"""),"https://rocketagency.com.au/about/digital-marketing-awards")</f>
        <v>https://rocketagency.com.au/about/digital-marketing-awards</v>
      </c>
      <c r="B41" s="7" t="str">
        <f>IFERROR(__xludf.DUMMYFUNCTION("""COMPUTED_VALUE"""),"Digital Marketing Awards: Australia &amp;amp; Global | Rocket Agency")</f>
        <v>Digital Marketing Awards: Australia &amp;amp; Global | Rocket Agency</v>
      </c>
      <c r="C41" s="6" t="str">
        <f>IFERROR(__xludf.DUMMYFUNCTION("""COMPUTED_VALUE"""),"rocketagency.com.au")</f>
        <v>rocketagency.com.au</v>
      </c>
      <c r="D41" s="7" t="str">
        <f>IFERROR(__xludf.DUMMYFUNCTION("""COMPUTED_VALUE"""),"PROFILE")</f>
        <v>PROFILE</v>
      </c>
      <c r="E41" s="7" t="str">
        <f>IFERROR(__xludf.DUMMYFUNCTION("""COMPUTED_VALUE"""),"COMPETITOR")</f>
        <v>COMPETITOR</v>
      </c>
      <c r="F41" s="7" t="str">
        <f>IFERROR(__xludf.DUMMYFUNCTION("""COMPUTED_VALUE"""),"Profile")</f>
        <v>Profile</v>
      </c>
      <c r="G41" s="7" t="b">
        <f>IFERROR(__xludf.DUMMYFUNCTION("""COMPUTED_VALUE"""),FALSE)</f>
        <v>0</v>
      </c>
      <c r="H41" s="7" t="str">
        <f>IFERROR(__xludf.DUMMYFUNCTION("""COMPUTED_VALUE"""),"Rocket Agency, Impressive")</f>
        <v>Rocket Agency, Impressive</v>
      </c>
      <c r="I41" s="7">
        <f>IFERROR(__xludf.DUMMYFUNCTION("""COMPUTED_VALUE"""),3.0)</f>
        <v>3</v>
      </c>
      <c r="J41" s="7">
        <f>IFERROR(__xludf.DUMMYFUNCTION("""COMPUTED_VALUE"""),0.0)</f>
        <v>0</v>
      </c>
      <c r="K41" s="7">
        <f>IFERROR(__xludf.DUMMYFUNCTION("""COMPUTED_VALUE"""),1.0)</f>
        <v>1</v>
      </c>
    </row>
    <row r="42" ht="15.75" customHeight="1">
      <c r="A42" s="6" t="str">
        <f>IFERROR(__xludf.DUMMYFUNCTION("""COMPUTED_VALUE"""),"https://www.thehero.co/news/australias-best-marketing-advertising-firm-2026-top-100")</f>
        <v>https://www.thehero.co/news/australias-best-marketing-advertising-firm-2026-top-100</v>
      </c>
      <c r="B42" s="7" t="str">
        <f>IFERROR(__xludf.DUMMYFUNCTION("""COMPUTED_VALUE"""),"Australia's Top Creative Agency in 2026 Global 100 Best Marketing and Advertising Awards Is HERO")</f>
        <v>Australia's Top Creative Agency in 2026 Global 100 Best Marketing and Advertising Awards Is HERO</v>
      </c>
      <c r="C42" s="6" t="str">
        <f>IFERROR(__xludf.DUMMYFUNCTION("""COMPUTED_VALUE"""),"thehero.co")</f>
        <v>thehero.co</v>
      </c>
      <c r="D42" s="7" t="str">
        <f>IFERROR(__xludf.DUMMYFUNCTION("""COMPUTED_VALUE"""),"PROFILE")</f>
        <v>PROFILE</v>
      </c>
      <c r="E42" s="7" t="str">
        <f>IFERROR(__xludf.DUMMYFUNCTION("""COMPUTED_VALUE"""),"CORPORATE")</f>
        <v>CORPORATE</v>
      </c>
      <c r="F42" s="7" t="str">
        <f>IFERROR(__xludf.DUMMYFUNCTION("""COMPUTED_VALUE"""),"Profile")</f>
        <v>Profile</v>
      </c>
      <c r="G42" s="7" t="b">
        <f>IFERROR(__xludf.DUMMYFUNCTION("""COMPUTED_VALUE"""),FALSE)</f>
        <v>0</v>
      </c>
      <c r="H42" s="7" t="str">
        <f>IFERROR(__xludf.DUMMYFUNCTION("""COMPUTED_VALUE"""),"HERO")</f>
        <v>HERO</v>
      </c>
      <c r="I42" s="7">
        <f>IFERROR(__xludf.DUMMYFUNCTION("""COMPUTED_VALUE"""),3.0)</f>
        <v>3</v>
      </c>
      <c r="J42" s="7">
        <f>IFERROR(__xludf.DUMMYFUNCTION("""COMPUTED_VALUE"""),0.0)</f>
        <v>0</v>
      </c>
      <c r="K42" s="7">
        <f>IFERROR(__xludf.DUMMYFUNCTION("""COMPUTED_VALUE"""),0.0)</f>
        <v>0</v>
      </c>
    </row>
    <row r="43" ht="15.75" customHeight="1">
      <c r="A43" s="6" t="str">
        <f>IFERROR(__xludf.DUMMYFUNCTION("""COMPUTED_VALUE"""),"https://webprofits.com.au/about.html")</f>
        <v>https://webprofits.com.au/about.html</v>
      </c>
      <c r="B43" s="7" t="str">
        <f>IFERROR(__xludf.DUMMYFUNCTION("""COMPUTED_VALUE"""),"About | The Best Performance Marketers in Australia | Webprofits")</f>
        <v>About | The Best Performance Marketers in Australia | Webprofits</v>
      </c>
      <c r="C43" s="6" t="str">
        <f>IFERROR(__xludf.DUMMYFUNCTION("""COMPUTED_VALUE"""),"webprofits.com.au")</f>
        <v>webprofits.com.au</v>
      </c>
      <c r="D43" s="7" t="str">
        <f>IFERROR(__xludf.DUMMYFUNCTION("""COMPUTED_VALUE"""),"PROFILE")</f>
        <v>PROFILE</v>
      </c>
      <c r="E43" s="7" t="str">
        <f>IFERROR(__xludf.DUMMYFUNCTION("""COMPUTED_VALUE"""),"COMPETITOR")</f>
        <v>COMPETITOR</v>
      </c>
      <c r="F43" s="7" t="str">
        <f>IFERROR(__xludf.DUMMYFUNCTION("""COMPUTED_VALUE"""),"Profile")</f>
        <v>Profile</v>
      </c>
      <c r="G43" s="7" t="b">
        <f>IFERROR(__xludf.DUMMYFUNCTION("""COMPUTED_VALUE"""),FALSE)</f>
        <v>0</v>
      </c>
      <c r="H43" s="7" t="str">
        <f>IFERROR(__xludf.DUMMYFUNCTION("""COMPUTED_VALUE"""),"Webprofits")</f>
        <v>Webprofits</v>
      </c>
      <c r="I43" s="7">
        <f>IFERROR(__xludf.DUMMYFUNCTION("""COMPUTED_VALUE"""),3.0)</f>
        <v>3</v>
      </c>
      <c r="J43" s="7">
        <f>IFERROR(__xludf.DUMMYFUNCTION("""COMPUTED_VALUE"""),0.0)</f>
        <v>0</v>
      </c>
      <c r="K43" s="7">
        <f>IFERROR(__xludf.DUMMYFUNCTION("""COMPUTED_VALUE"""),0.0)</f>
        <v>0</v>
      </c>
    </row>
    <row r="44" ht="15.75" customHeight="1">
      <c r="A44" s="6" t="str">
        <f>IFERROR(__xludf.DUMMYFUNCTION("""COMPUTED_VALUE"""),"https://www.advancer.com.au/about")</f>
        <v>https://www.advancer.com.au/about</v>
      </c>
      <c r="B44" s="7" t="str">
        <f>IFERROR(__xludf.DUMMYFUNCTION("""COMPUTED_VALUE"""),"About Advancer | Transform Your Business Today With AI — Advancer – The AI Agency | AI Consulting Brisbane &amp;amp; Automation in Australia")</f>
        <v>About Advancer | Transform Your Business Today With AI — Advancer – The AI Agency | AI Consulting Brisbane &amp;amp; Automation in Australia</v>
      </c>
      <c r="C44" s="6" t="str">
        <f>IFERROR(__xludf.DUMMYFUNCTION("""COMPUTED_VALUE"""),"advancer.com.au")</f>
        <v>advancer.com.au</v>
      </c>
      <c r="D44" s="7" t="str">
        <f>IFERROR(__xludf.DUMMYFUNCTION("""COMPUTED_VALUE"""),"PROFILE")</f>
        <v>PROFILE</v>
      </c>
      <c r="E44" s="7" t="str">
        <f>IFERROR(__xludf.DUMMYFUNCTION("""COMPUTED_VALUE"""),"CORPORATE")</f>
        <v>CORPORATE</v>
      </c>
      <c r="F44" s="7" t="str">
        <f>IFERROR(__xludf.DUMMYFUNCTION("""COMPUTED_VALUE"""),"Profile")</f>
        <v>Profile</v>
      </c>
      <c r="G44" s="7" t="b">
        <f>IFERROR(__xludf.DUMMYFUNCTION("""COMPUTED_VALUE"""),FALSE)</f>
        <v>0</v>
      </c>
      <c r="H44" s="7" t="str">
        <f>IFERROR(__xludf.DUMMYFUNCTION("""COMPUTED_VALUE"""),"Reload Media")</f>
        <v>Reload Media</v>
      </c>
      <c r="I44" s="7">
        <f>IFERROR(__xludf.DUMMYFUNCTION("""COMPUTED_VALUE"""),2.0)</f>
        <v>2</v>
      </c>
      <c r="J44" s="7">
        <f>IFERROR(__xludf.DUMMYFUNCTION("""COMPUTED_VALUE"""),0.0)</f>
        <v>0</v>
      </c>
      <c r="K44" s="7">
        <f>IFERROR(__xludf.DUMMYFUNCTION("""COMPUTED_VALUE"""),1.5)</f>
        <v>1.5</v>
      </c>
    </row>
    <row r="45" ht="15.75" customHeight="1">
      <c r="A45" s="6" t="str">
        <f>IFERROR(__xludf.DUMMYFUNCTION("""COMPUTED_VALUE"""),"https://agencies.semrush.com/list/smm/sydney/")</f>
        <v>https://agencies.semrush.com/list/smm/sydney/</v>
      </c>
      <c r="B45" s="7" t="str">
        <f>IFERROR(__xludf.DUMMYFUNCTION("""COMPUTED_VALUE"""),"Best Social Media Marketing Agencies in Sydney 2026 | Semrush")</f>
        <v>Best Social Media Marketing Agencies in Sydney 2026 | Semrush</v>
      </c>
      <c r="C45" s="6" t="str">
        <f>IFERROR(__xludf.DUMMYFUNCTION("""COMPUTED_VALUE"""),"semrush.com")</f>
        <v>semrush.com</v>
      </c>
      <c r="D45" s="7" t="str">
        <f>IFERROR(__xludf.DUMMYFUNCTION("""COMPUTED_VALUE"""),"PROFILE")</f>
        <v>PROFILE</v>
      </c>
      <c r="E45" s="7" t="str">
        <f>IFERROR(__xludf.DUMMYFUNCTION("""COMPUTED_VALUE"""),"CORPORATE")</f>
        <v>CORPORATE</v>
      </c>
      <c r="F45" s="7" t="str">
        <f>IFERROR(__xludf.DUMMYFUNCTION("""COMPUTED_VALUE"""),"Profile")</f>
        <v>Profile</v>
      </c>
      <c r="G45" s="7" t="b">
        <f>IFERROR(__xludf.DUMMYFUNCTION("""COMPUTED_VALUE"""),FALSE)</f>
        <v>0</v>
      </c>
      <c r="H45" s="7" t="str">
        <f>IFERROR(__xludf.DUMMYFUNCTION("""COMPUTED_VALUE"""),"DNM Digital, Soup Agency, Online Marketing Gurus, Omnicom Media Group, Human Digital, Digital Nomads HQ, Click Click Media, Bench Media, Earned Media, Rocket Agency, First Page, Clearwater Agency, Measured")</f>
        <v>DNM Digital, Soup Agency, Online Marketing Gurus, Omnicom Media Group, Human Digital, Digital Nomads HQ, Click Click Media, Bench Media, Earned Media, Rocket Agency, First Page, Clearwater Agency, Measured</v>
      </c>
      <c r="I45" s="7">
        <f>IFERROR(__xludf.DUMMYFUNCTION("""COMPUTED_VALUE"""),2.0)</f>
        <v>2</v>
      </c>
      <c r="J45" s="7">
        <f>IFERROR(__xludf.DUMMYFUNCTION("""COMPUTED_VALUE"""),0.0)</f>
        <v>0</v>
      </c>
      <c r="K45" s="7">
        <f>IFERROR(__xludf.DUMMYFUNCTION("""COMPUTED_VALUE"""),0.0)</f>
        <v>0</v>
      </c>
    </row>
    <row r="46" ht="15.75" customHeight="1">
      <c r="A46" s="6" t="str">
        <f>IFERROR(__xludf.DUMMYFUNCTION("""COMPUTED_VALUE"""),"https://agencylist.com/services/measurement-and-coverage-reports/au/")</f>
        <v>https://agencylist.com/services/measurement-and-coverage-reports/au/</v>
      </c>
      <c r="B46" s="7" t="str">
        <f>IFERROR(__xludf.DUMMYFUNCTION("""COMPUTED_VALUE"""),"Top Measurement and Coverage Reports Agencies in Australia")</f>
        <v>Top Measurement and Coverage Reports Agencies in Australia</v>
      </c>
      <c r="C46" s="6" t="str">
        <f>IFERROR(__xludf.DUMMYFUNCTION("""COMPUTED_VALUE"""),"agencylist.com")</f>
        <v>agencylist.com</v>
      </c>
      <c r="D46" s="7" t="str">
        <f>IFERROR(__xludf.DUMMYFUNCTION("""COMPUTED_VALUE"""),"PROFILE")</f>
        <v>PROFILE</v>
      </c>
      <c r="E46" s="7" t="str">
        <f>IFERROR(__xludf.DUMMYFUNCTION("""COMPUTED_VALUE"""),"REFERENCE")</f>
        <v>REFERENCE</v>
      </c>
      <c r="F46" s="7" t="str">
        <f>IFERROR(__xludf.DUMMYFUNCTION("""COMPUTED_VALUE"""),"Profile")</f>
        <v>Profile</v>
      </c>
      <c r="G46" s="7" t="b">
        <f>IFERROR(__xludf.DUMMYFUNCTION("""COMPUTED_VALUE"""),FALSE)</f>
        <v>0</v>
      </c>
      <c r="H46" s="7"/>
      <c r="I46" s="7">
        <f>IFERROR(__xludf.DUMMYFUNCTION("""COMPUTED_VALUE"""),2.0)</f>
        <v>2</v>
      </c>
      <c r="J46" s="7">
        <f>IFERROR(__xludf.DUMMYFUNCTION("""COMPUTED_VALUE"""),0.0)</f>
        <v>0</v>
      </c>
      <c r="K46" s="7">
        <f>IFERROR(__xludf.DUMMYFUNCTION("""COMPUTED_VALUE"""),0.0)</f>
        <v>0</v>
      </c>
    </row>
    <row r="47" ht="15.75" customHeight="1">
      <c r="A47" s="6" t="str">
        <f>IFERROR(__xludf.DUMMYFUNCTION("""COMPUTED_VALUE"""),"https://au.linkedin.com/company/thinkerbellagency")</f>
        <v>https://au.linkedin.com/company/thinkerbellagency</v>
      </c>
      <c r="B47" s="7" t="str">
        <f>IFERROR(__xludf.DUMMYFUNCTION("""COMPUTED_VALUE"""),"Thinkerbell | LinkedIn")</f>
        <v>Thinkerbell | LinkedIn</v>
      </c>
      <c r="C47" s="6" t="str">
        <f>IFERROR(__xludf.DUMMYFUNCTION("""COMPUTED_VALUE"""),"linkedin.com")</f>
        <v>linkedin.com</v>
      </c>
      <c r="D47" s="7" t="str">
        <f>IFERROR(__xludf.DUMMYFUNCTION("""COMPUTED_VALUE"""),"PROFILE")</f>
        <v>PROFILE</v>
      </c>
      <c r="E47" s="7" t="str">
        <f>IFERROR(__xludf.DUMMYFUNCTION("""COMPUTED_VALUE"""),"UGC")</f>
        <v>UGC</v>
      </c>
      <c r="F47" s="7" t="str">
        <f>IFERROR(__xludf.DUMMYFUNCTION("""COMPUTED_VALUE"""),"Profile")</f>
        <v>Profile</v>
      </c>
      <c r="G47" s="7" t="b">
        <f>IFERROR(__xludf.DUMMYFUNCTION("""COMPUTED_VALUE"""),FALSE)</f>
        <v>0</v>
      </c>
      <c r="H47" s="7" t="str">
        <f>IFERROR(__xludf.DUMMYFUNCTION("""COMPUTED_VALUE"""),"Thinkerbell, Measured, EssenceMediacom, Howatson+Company, BMF, Clemenger BBDO, Ogilvy Australia")</f>
        <v>Thinkerbell, Measured, EssenceMediacom, Howatson+Company, BMF, Clemenger BBDO, Ogilvy Australia</v>
      </c>
      <c r="I47" s="7">
        <f>IFERROR(__xludf.DUMMYFUNCTION("""COMPUTED_VALUE"""),2.0)</f>
        <v>2</v>
      </c>
      <c r="J47" s="7">
        <f>IFERROR(__xludf.DUMMYFUNCTION("""COMPUTED_VALUE"""),0.0)</f>
        <v>0</v>
      </c>
      <c r="K47" s="7">
        <f>IFERROR(__xludf.DUMMYFUNCTION("""COMPUTED_VALUE"""),1.0)</f>
        <v>1</v>
      </c>
    </row>
    <row r="48" ht="15.75" customHeight="1">
      <c r="A48" s="6" t="str">
        <f>IFERROR(__xludf.DUMMYFUNCTION("""COMPUTED_VALUE"""),"https://au.linkedin.com/company/xpontechnologies")</f>
        <v>https://au.linkedin.com/company/xpontechnologies</v>
      </c>
      <c r="B48" s="7" t="str">
        <f>IFERROR(__xludf.DUMMYFUNCTION("""COMPUTED_VALUE"""),"XPON | LinkedIn")</f>
        <v>XPON | LinkedIn</v>
      </c>
      <c r="C48" s="6" t="str">
        <f>IFERROR(__xludf.DUMMYFUNCTION("""COMPUTED_VALUE"""),"linkedin.com")</f>
        <v>linkedin.com</v>
      </c>
      <c r="D48" s="7" t="str">
        <f>IFERROR(__xludf.DUMMYFUNCTION("""COMPUTED_VALUE"""),"PROFILE")</f>
        <v>PROFILE</v>
      </c>
      <c r="E48" s="7" t="str">
        <f>IFERROR(__xludf.DUMMYFUNCTION("""COMPUTED_VALUE"""),"UGC")</f>
        <v>UGC</v>
      </c>
      <c r="F48" s="7" t="str">
        <f>IFERROR(__xludf.DUMMYFUNCTION("""COMPUTED_VALUE"""),"Profile")</f>
        <v>Profile</v>
      </c>
      <c r="G48" s="7" t="b">
        <f>IFERROR(__xludf.DUMMYFUNCTION("""COMPUTED_VALUE"""),TRUE)</f>
        <v>1</v>
      </c>
      <c r="H48" s="7" t="str">
        <f>IFERROR(__xludf.DUMMYFUNCTION("""COMPUTED_VALUE"""),"XPON, Momentum, Incubeta")</f>
        <v>XPON, Momentum, Incubeta</v>
      </c>
      <c r="I48" s="7">
        <f>IFERROR(__xludf.DUMMYFUNCTION("""COMPUTED_VALUE"""),2.0)</f>
        <v>2</v>
      </c>
      <c r="J48" s="7">
        <f>IFERROR(__xludf.DUMMYFUNCTION("""COMPUTED_VALUE"""),0.0)</f>
        <v>0</v>
      </c>
      <c r="K48" s="7">
        <f>IFERROR(__xludf.DUMMYFUNCTION("""COMPUTED_VALUE"""),1.0)</f>
        <v>1</v>
      </c>
    </row>
    <row r="49" ht="15.75" customHeight="1">
      <c r="A49" s="6" t="str">
        <f>IFERROR(__xludf.DUMMYFUNCTION("""COMPUTED_VALUE"""),"https://www.bonfire.com.au/about/")</f>
        <v>https://www.bonfire.com.au/about/</v>
      </c>
      <c r="B49" s="7" t="str">
        <f>IFERROR(__xludf.DUMMYFUNCTION("""COMPUTED_VALUE"""),"About - Bonfire Digital")</f>
        <v>About - Bonfire Digital</v>
      </c>
      <c r="C49" s="6" t="str">
        <f>IFERROR(__xludf.DUMMYFUNCTION("""COMPUTED_VALUE"""),"bonfire.com.au")</f>
        <v>bonfire.com.au</v>
      </c>
      <c r="D49" s="7" t="str">
        <f>IFERROR(__xludf.DUMMYFUNCTION("""COMPUTED_VALUE"""),"PROFILE")</f>
        <v>PROFILE</v>
      </c>
      <c r="E49" s="7" t="str">
        <f>IFERROR(__xludf.DUMMYFUNCTION("""COMPUTED_VALUE"""),"COMPETITOR")</f>
        <v>COMPETITOR</v>
      </c>
      <c r="F49" s="7" t="str">
        <f>IFERROR(__xludf.DUMMYFUNCTION("""COMPUTED_VALUE"""),"Profile")</f>
        <v>Profile</v>
      </c>
      <c r="G49" s="7" t="b">
        <f>IFERROR(__xludf.DUMMYFUNCTION("""COMPUTED_VALUE"""),FALSE)</f>
        <v>0</v>
      </c>
      <c r="H49" s="7" t="str">
        <f>IFERROR(__xludf.DUMMYFUNCTION("""COMPUTED_VALUE"""),"Bonfire, Impressive, HERO")</f>
        <v>Bonfire, Impressive, HERO</v>
      </c>
      <c r="I49" s="7">
        <f>IFERROR(__xludf.DUMMYFUNCTION("""COMPUTED_VALUE"""),2.0)</f>
        <v>2</v>
      </c>
      <c r="J49" s="7">
        <f>IFERROR(__xludf.DUMMYFUNCTION("""COMPUTED_VALUE"""),0.0)</f>
        <v>0</v>
      </c>
      <c r="K49" s="7">
        <f>IFERROR(__xludf.DUMMYFUNCTION("""COMPUTED_VALUE"""),0.0)</f>
        <v>0</v>
      </c>
    </row>
    <row r="50" ht="15.75" customHeight="1">
      <c r="A50" s="6" t="str">
        <f>IFERROR(__xludf.DUMMYFUNCTION("""COMPUTED_VALUE"""),"https://www.capterra.com.au/software/132822/bizible")</f>
        <v>https://www.capterra.com.au/software/132822/bizible</v>
      </c>
      <c r="B50" s="7"/>
      <c r="C50" s="6" t="str">
        <f>IFERROR(__xludf.DUMMYFUNCTION("""COMPUTED_VALUE"""),"capterra.com.au")</f>
        <v>capterra.com.au</v>
      </c>
      <c r="D50" s="7" t="str">
        <f>IFERROR(__xludf.DUMMYFUNCTION("""COMPUTED_VALUE"""),"PROFILE")</f>
        <v>PROFILE</v>
      </c>
      <c r="E50" s="7" t="str">
        <f>IFERROR(__xludf.DUMMYFUNCTION("""COMPUTED_VALUE"""),"UGC")</f>
        <v>UGC</v>
      </c>
      <c r="F50" s="7" t="str">
        <f>IFERROR(__xludf.DUMMYFUNCTION("""COMPUTED_VALUE"""),"Profile")</f>
        <v>Profile</v>
      </c>
      <c r="G50" s="7" t="b">
        <f>IFERROR(__xludf.DUMMYFUNCTION("""COMPUTED_VALUE"""),FALSE)</f>
        <v>0</v>
      </c>
      <c r="H50" s="7"/>
      <c r="I50" s="7">
        <f>IFERROR(__xludf.DUMMYFUNCTION("""COMPUTED_VALUE"""),2.0)</f>
        <v>2</v>
      </c>
      <c r="J50" s="7">
        <f>IFERROR(__xludf.DUMMYFUNCTION("""COMPUTED_VALUE"""),0.0)</f>
        <v>0</v>
      </c>
      <c r="K50" s="7">
        <f>IFERROR(__xludf.DUMMYFUNCTION("""COMPUTED_VALUE"""),0.0)</f>
        <v>0</v>
      </c>
    </row>
    <row r="51" ht="15.75" customHeight="1">
      <c r="A51" s="6" t="str">
        <f>IFERROR(__xludf.DUMMYFUNCTION("""COMPUTED_VALUE"""),"https://clutch.co/profile/megaphone-marketing")</f>
        <v>https://clutch.co/profile/megaphone-marketing</v>
      </c>
      <c r="B51" s="7" t="str">
        <f>IFERROR(__xludf.DUMMYFUNCTION("""COMPUTED_VALUE"""),"Megaphone Marketing Reviews (107), Pricing, Services &amp; Verified Ratings")</f>
        <v>Megaphone Marketing Reviews (107), Pricing, Services &amp; Verified Ratings</v>
      </c>
      <c r="C51" s="6" t="str">
        <f>IFERROR(__xludf.DUMMYFUNCTION("""COMPUTED_VALUE"""),"clutch.co")</f>
        <v>clutch.co</v>
      </c>
      <c r="D51" s="7" t="str">
        <f>IFERROR(__xludf.DUMMYFUNCTION("""COMPUTED_VALUE"""),"PROFILE")</f>
        <v>PROFILE</v>
      </c>
      <c r="E51" s="7" t="str">
        <f>IFERROR(__xludf.DUMMYFUNCTION("""COMPUTED_VALUE"""),"CORPORATE")</f>
        <v>CORPORATE</v>
      </c>
      <c r="F51" s="7" t="str">
        <f>IFERROR(__xludf.DUMMYFUNCTION("""COMPUTED_VALUE"""),"Profile")</f>
        <v>Profile</v>
      </c>
      <c r="G51" s="7" t="b">
        <f>IFERROR(__xludf.DUMMYFUNCTION("""COMPUTED_VALUE"""),FALSE)</f>
        <v>0</v>
      </c>
      <c r="H51" s="7" t="str">
        <f>IFERROR(__xludf.DUMMYFUNCTION("""COMPUTED_VALUE"""),"Megaphone, Impressive, Huge")</f>
        <v>Megaphone, Impressive, Huge</v>
      </c>
      <c r="I51" s="7">
        <f>IFERROR(__xludf.DUMMYFUNCTION("""COMPUTED_VALUE"""),2.0)</f>
        <v>2</v>
      </c>
      <c r="J51" s="7">
        <f>IFERROR(__xludf.DUMMYFUNCTION("""COMPUTED_VALUE"""),0.0)</f>
        <v>0</v>
      </c>
      <c r="K51" s="7">
        <f>IFERROR(__xludf.DUMMYFUNCTION("""COMPUTED_VALUE"""),1.5)</f>
        <v>1.5</v>
      </c>
    </row>
    <row r="52" ht="15.75" customHeight="1">
      <c r="A52" s="6" t="str">
        <f>IFERROR(__xludf.DUMMYFUNCTION("""COMPUTED_VALUE"""),"https://digitalagencynetwork.com/agencies/melbourne/geo/")</f>
        <v>https://digitalagencynetwork.com/agencies/melbourne/geo/</v>
      </c>
      <c r="B52" s="7" t="str">
        <f>IFERROR(__xludf.DUMMYFUNCTION("""COMPUTED_VALUE"""),"Top GEO Agencies in Melbourne for Generative Engine Optimization (2026)")</f>
        <v>Top GEO Agencies in Melbourne for Generative Engine Optimization (2026)</v>
      </c>
      <c r="C52" s="6" t="str">
        <f>IFERROR(__xludf.DUMMYFUNCTION("""COMPUTED_VALUE"""),"digitalagencynetwork.com")</f>
        <v>digitalagencynetwork.com</v>
      </c>
      <c r="D52" s="7" t="str">
        <f>IFERROR(__xludf.DUMMYFUNCTION("""COMPUTED_VALUE"""),"PROFILE")</f>
        <v>PROFILE</v>
      </c>
      <c r="E52" s="7" t="str">
        <f>IFERROR(__xludf.DUMMYFUNCTION("""COMPUTED_VALUE"""),"REFERENCE")</f>
        <v>REFERENCE</v>
      </c>
      <c r="F52" s="7" t="str">
        <f>IFERROR(__xludf.DUMMYFUNCTION("""COMPUTED_VALUE"""),"Profile")</f>
        <v>Profile</v>
      </c>
      <c r="G52" s="7" t="b">
        <f>IFERROR(__xludf.DUMMYFUNCTION("""COMPUTED_VALUE"""),FALSE)</f>
        <v>0</v>
      </c>
      <c r="H52" s="7" t="str">
        <f>IFERROR(__xludf.DUMMYFUNCTION("""COMPUTED_VALUE"""),"Emote Digital, Luminary, Clearwater Agency, Digital Nomads HQ")</f>
        <v>Emote Digital, Luminary, Clearwater Agency, Digital Nomads HQ</v>
      </c>
      <c r="I52" s="7">
        <f>IFERROR(__xludf.DUMMYFUNCTION("""COMPUTED_VALUE"""),2.0)</f>
        <v>2</v>
      </c>
      <c r="J52" s="7">
        <f>IFERROR(__xludf.DUMMYFUNCTION("""COMPUTED_VALUE"""),0.0)</f>
        <v>0</v>
      </c>
      <c r="K52" s="7">
        <f>IFERROR(__xludf.DUMMYFUNCTION("""COMPUTED_VALUE"""),2.0)</f>
        <v>2</v>
      </c>
    </row>
    <row r="53" ht="15.75" customHeight="1">
      <c r="A53" s="6" t="str">
        <f>IFERROR(__xludf.DUMMYFUNCTION("""COMPUTED_VALUE"""),"https://www.linkedin.com/company/sparro-digital")</f>
        <v>https://www.linkedin.com/company/sparro-digital</v>
      </c>
      <c r="B53" s="7" t="str">
        <f>IFERROR(__xludf.DUMMYFUNCTION("""COMPUTED_VALUE"""),"Sparro | LinkedIn")</f>
        <v>Sparro | LinkedIn</v>
      </c>
      <c r="C53" s="6" t="str">
        <f>IFERROR(__xludf.DUMMYFUNCTION("""COMPUTED_VALUE"""),"linkedin.com")</f>
        <v>linkedin.com</v>
      </c>
      <c r="D53" s="7" t="str">
        <f>IFERROR(__xludf.DUMMYFUNCTION("""COMPUTED_VALUE"""),"PROFILE")</f>
        <v>PROFILE</v>
      </c>
      <c r="E53" s="7" t="str">
        <f>IFERROR(__xludf.DUMMYFUNCTION("""COMPUTED_VALUE"""),"UGC")</f>
        <v>UGC</v>
      </c>
      <c r="F53" s="7" t="str">
        <f>IFERROR(__xludf.DUMMYFUNCTION("""COMPUTED_VALUE"""),"Profile")</f>
        <v>Profile</v>
      </c>
      <c r="G53" s="7" t="b">
        <f>IFERROR(__xludf.DUMMYFUNCTION("""COMPUTED_VALUE"""),FALSE)</f>
        <v>0</v>
      </c>
      <c r="H53" s="7" t="str">
        <f>IFERROR(__xludf.DUMMYFUNCTION("""COMPUTED_VALUE"""),"Sparro, Brainlabs, Huge, Rocket Agency, Thinkerbell, Impressive, Online Marketing Gurus")</f>
        <v>Sparro, Brainlabs, Huge, Rocket Agency, Thinkerbell, Impressive, Online Marketing Gurus</v>
      </c>
      <c r="I53" s="7">
        <f>IFERROR(__xludf.DUMMYFUNCTION("""COMPUTED_VALUE"""),2.0)</f>
        <v>2</v>
      </c>
      <c r="J53" s="7">
        <f>IFERROR(__xludf.DUMMYFUNCTION("""COMPUTED_VALUE"""),0.0)</f>
        <v>0</v>
      </c>
      <c r="K53" s="7">
        <f>IFERROR(__xludf.DUMMYFUNCTION("""COMPUTED_VALUE"""),1.5)</f>
        <v>1.5</v>
      </c>
    </row>
    <row r="54" ht="15.75" customHeight="1">
      <c r="A54" s="6" t="str">
        <f>IFERROR(__xludf.DUMMYFUNCTION("""COMPUTED_VALUE"""),"https://www.semrush.com/agencies/list/analytics-data-science/australia/")</f>
        <v>https://www.semrush.com/agencies/list/analytics-data-science/australia/</v>
      </c>
      <c r="B54" s="7" t="str">
        <f>IFERROR(__xludf.DUMMYFUNCTION("""COMPUTED_VALUE"""),"Best Data Analytics Services in Australia 2026 \| Semrush")</f>
        <v>Best Data Analytics Services in Australia 2026 \| Semrush</v>
      </c>
      <c r="C54" s="6" t="str">
        <f>IFERROR(__xludf.DUMMYFUNCTION("""COMPUTED_VALUE"""),"semrush.com")</f>
        <v>semrush.com</v>
      </c>
      <c r="D54" s="7" t="str">
        <f>IFERROR(__xludf.DUMMYFUNCTION("""COMPUTED_VALUE"""),"PROFILE")</f>
        <v>PROFILE</v>
      </c>
      <c r="E54" s="7" t="str">
        <f>IFERROR(__xludf.DUMMYFUNCTION("""COMPUTED_VALUE"""),"CORPORATE")</f>
        <v>CORPORATE</v>
      </c>
      <c r="F54" s="7" t="str">
        <f>IFERROR(__xludf.DUMMYFUNCTION("""COMPUTED_VALUE"""),"Profile")</f>
        <v>Profile</v>
      </c>
      <c r="G54" s="7" t="b">
        <f>IFERROR(__xludf.DUMMYFUNCTION("""COMPUTED_VALUE"""),FALSE)</f>
        <v>0</v>
      </c>
      <c r="H54" s="7"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I54" s="7">
        <f>IFERROR(__xludf.DUMMYFUNCTION("""COMPUTED_VALUE"""),2.0)</f>
        <v>2</v>
      </c>
      <c r="J54" s="7">
        <f>IFERROR(__xludf.DUMMYFUNCTION("""COMPUTED_VALUE"""),0.0)</f>
        <v>0</v>
      </c>
      <c r="K54" s="7">
        <f>IFERROR(__xludf.DUMMYFUNCTION("""COMPUTED_VALUE"""),1.0)</f>
        <v>1</v>
      </c>
    </row>
    <row r="55" ht="15.75" customHeight="1">
      <c r="A55" s="6" t="str">
        <f>IFERROR(__xludf.DUMMYFUNCTION("""COMPUTED_VALUE"""),"https://www.sortlist.com/s/performance-marketing/queensland-qld-au")</f>
        <v>https://www.sortlist.com/s/performance-marketing/queensland-qld-au</v>
      </c>
      <c r="B55" s="7" t="str">
        <f>IFERROR(__xludf.DUMMYFUNCTION("""COMPUTED_VALUE"""),"The 10 Best Performance Marketing Agencies in Queensland - 2026 Reviews")</f>
        <v>The 10 Best Performance Marketing Agencies in Queensland - 2026 Reviews</v>
      </c>
      <c r="C55" s="6" t="str">
        <f>IFERROR(__xludf.DUMMYFUNCTION("""COMPUTED_VALUE"""),"sortlist.com")</f>
        <v>sortlist.com</v>
      </c>
      <c r="D55" s="7" t="str">
        <f>IFERROR(__xludf.DUMMYFUNCTION("""COMPUTED_VALUE"""),"PROFILE")</f>
        <v>PROFILE</v>
      </c>
      <c r="E55" s="7" t="str">
        <f>IFERROR(__xludf.DUMMYFUNCTION("""COMPUTED_VALUE"""),"CORPORATE")</f>
        <v>CORPORATE</v>
      </c>
      <c r="F55" s="7" t="str">
        <f>IFERROR(__xludf.DUMMYFUNCTION("""COMPUTED_VALUE"""),"Profile")</f>
        <v>Profile</v>
      </c>
      <c r="G55" s="7" t="b">
        <f>IFERROR(__xludf.DUMMYFUNCTION("""COMPUTED_VALUE"""),FALSE)</f>
        <v>0</v>
      </c>
      <c r="H55" s="7" t="str">
        <f>IFERROR(__xludf.DUMMYFUNCTION("""COMPUTED_VALUE"""),"Digital Nomads HQ, Soup Agency, HERO, Measured, Earned Media, Clearwater Agency, SIXGUN, Impressive, Supple Digital, Momentum, Alpha Digital, 23 Digital")</f>
        <v>Digital Nomads HQ, Soup Agency, HERO, Measured, Earned Media, Clearwater Agency, SIXGUN, Impressive, Supple Digital, Momentum, Alpha Digital, 23 Digital</v>
      </c>
      <c r="I55" s="7">
        <f>IFERROR(__xludf.DUMMYFUNCTION("""COMPUTED_VALUE"""),2.0)</f>
        <v>2</v>
      </c>
      <c r="J55" s="7">
        <f>IFERROR(__xludf.DUMMYFUNCTION("""COMPUTED_VALUE"""),0.0)</f>
        <v>0</v>
      </c>
      <c r="K55" s="7">
        <f>IFERROR(__xludf.DUMMYFUNCTION("""COMPUTED_VALUE"""),0.0)</f>
        <v>0</v>
      </c>
    </row>
    <row r="56" ht="15.75" customHeight="1">
      <c r="A56" s="6" t="str">
        <f>IFERROR(__xludf.DUMMYFUNCTION("""COMPUTED_VALUE"""),"https://www.thehero.co/about")</f>
        <v>https://www.thehero.co/about</v>
      </c>
      <c r="B56" s="7" t="str">
        <f>IFERROR(__xludf.DUMMYFUNCTION("""COMPUTED_VALUE"""),"ABOUT | Leading Creative &amp;amp; Brand Partner for Australia’s Best Brands and Marketing Performance HERO")</f>
        <v>ABOUT | Leading Creative &amp;amp; Brand Partner for Australia’s Best Brands and Marketing Performance HERO</v>
      </c>
      <c r="C56" s="6" t="str">
        <f>IFERROR(__xludf.DUMMYFUNCTION("""COMPUTED_VALUE"""),"thehero.co")</f>
        <v>thehero.co</v>
      </c>
      <c r="D56" s="7" t="str">
        <f>IFERROR(__xludf.DUMMYFUNCTION("""COMPUTED_VALUE"""),"PROFILE")</f>
        <v>PROFILE</v>
      </c>
      <c r="E56" s="7" t="str">
        <f>IFERROR(__xludf.DUMMYFUNCTION("""COMPUTED_VALUE"""),"CORPORATE")</f>
        <v>CORPORATE</v>
      </c>
      <c r="F56" s="7" t="str">
        <f>IFERROR(__xludf.DUMMYFUNCTION("""COMPUTED_VALUE"""),"Profile")</f>
        <v>Profile</v>
      </c>
      <c r="G56" s="7" t="b">
        <f>IFERROR(__xludf.DUMMYFUNCTION("""COMPUTED_VALUE"""),FALSE)</f>
        <v>0</v>
      </c>
      <c r="H56" s="7" t="str">
        <f>IFERROR(__xludf.DUMMYFUNCTION("""COMPUTED_VALUE"""),"HERO, Momentum, PHD")</f>
        <v>HERO, Momentum, PHD</v>
      </c>
      <c r="I56" s="7">
        <f>IFERROR(__xludf.DUMMYFUNCTION("""COMPUTED_VALUE"""),2.0)</f>
        <v>2</v>
      </c>
      <c r="J56" s="7">
        <f>IFERROR(__xludf.DUMMYFUNCTION("""COMPUTED_VALUE"""),0.0)</f>
        <v>0</v>
      </c>
      <c r="K56" s="7">
        <f>IFERROR(__xludf.DUMMYFUNCTION("""COMPUTED_VALUE"""),0.0)</f>
        <v>0</v>
      </c>
    </row>
    <row r="57" ht="15.75" customHeight="1">
      <c r="A57" s="6" t="str">
        <f>IFERROR(__xludf.DUMMYFUNCTION("""COMPUTED_VALUE"""),"https://www.undivided.com.au/direct-response-marketing-agency")</f>
        <v>https://www.undivided.com.au/direct-response-marketing-agency</v>
      </c>
      <c r="B57" s="7" t="str">
        <f>IFERROR(__xludf.DUMMYFUNCTION("""COMPUTED_VALUE"""),"About Us")</f>
        <v>About Us</v>
      </c>
      <c r="C57" s="6" t="str">
        <f>IFERROR(__xludf.DUMMYFUNCTION("""COMPUTED_VALUE"""),"undivided.com.au")</f>
        <v>undivided.com.au</v>
      </c>
      <c r="D57" s="7" t="str">
        <f>IFERROR(__xludf.DUMMYFUNCTION("""COMPUTED_VALUE"""),"PROFILE")</f>
        <v>PROFILE</v>
      </c>
      <c r="E57" s="7" t="str">
        <f>IFERROR(__xludf.DUMMYFUNCTION("""COMPUTED_VALUE"""),"CORPORATE")</f>
        <v>CORPORATE</v>
      </c>
      <c r="F57" s="7" t="str">
        <f>IFERROR(__xludf.DUMMYFUNCTION("""COMPUTED_VALUE"""),"Profile")</f>
        <v>Profile</v>
      </c>
      <c r="G57" s="7" t="b">
        <f>IFERROR(__xludf.DUMMYFUNCTION("""COMPUTED_VALUE"""),FALSE)</f>
        <v>0</v>
      </c>
      <c r="H57" s="7" t="str">
        <f>IFERROR(__xludf.DUMMYFUNCTION("""COMPUTED_VALUE"""),"Undivided")</f>
        <v>Undivided</v>
      </c>
      <c r="I57" s="7">
        <f>IFERROR(__xludf.DUMMYFUNCTION("""COMPUTED_VALUE"""),2.0)</f>
        <v>2</v>
      </c>
      <c r="J57" s="7">
        <f>IFERROR(__xludf.DUMMYFUNCTION("""COMPUTED_VALUE"""),0.0)</f>
        <v>0</v>
      </c>
      <c r="K57" s="7">
        <f>IFERROR(__xludf.DUMMYFUNCTION("""COMPUTED_VALUE"""),0.0)</f>
        <v>0</v>
      </c>
    </row>
    <row r="58" ht="15.75" customHeight="1">
      <c r="A58" s="6" t="str">
        <f>IFERROR(__xludf.DUMMYFUNCTION("""COMPUTED_VALUE"""),"https://unglobalcompact.org.au/our-members/thinkerbell/")</f>
        <v>https://unglobalcompact.org.au/our-members/thinkerbell/</v>
      </c>
      <c r="B58" s="7" t="str">
        <f>IFERROR(__xludf.DUMMYFUNCTION("""COMPUTED_VALUE"""),"Thinkerbell - UN Global Compact Network Australia")</f>
        <v>Thinkerbell - UN Global Compact Network Australia</v>
      </c>
      <c r="C58" s="6" t="str">
        <f>IFERROR(__xludf.DUMMYFUNCTION("""COMPUTED_VALUE"""),"unglobalcompact.org.au")</f>
        <v>unglobalcompact.org.au</v>
      </c>
      <c r="D58" s="7" t="str">
        <f>IFERROR(__xludf.DUMMYFUNCTION("""COMPUTED_VALUE"""),"PROFILE")</f>
        <v>PROFILE</v>
      </c>
      <c r="E58" s="7" t="str">
        <f>IFERROR(__xludf.DUMMYFUNCTION("""COMPUTED_VALUE"""),"INSTITUTIONAL")</f>
        <v>INSTITUTIONAL</v>
      </c>
      <c r="F58" s="7" t="str">
        <f>IFERROR(__xludf.DUMMYFUNCTION("""COMPUTED_VALUE"""),"Profile")</f>
        <v>Profile</v>
      </c>
      <c r="G58" s="7" t="b">
        <f>IFERROR(__xludf.DUMMYFUNCTION("""COMPUTED_VALUE"""),FALSE)</f>
        <v>0</v>
      </c>
      <c r="H58" s="7" t="str">
        <f>IFERROR(__xludf.DUMMYFUNCTION("""COMPUTED_VALUE"""),"Thinkerbell, Measured")</f>
        <v>Thinkerbell, Measured</v>
      </c>
      <c r="I58" s="7">
        <f>IFERROR(__xludf.DUMMYFUNCTION("""COMPUTED_VALUE"""),2.0)</f>
        <v>2</v>
      </c>
      <c r="J58" s="7">
        <f>IFERROR(__xludf.DUMMYFUNCTION("""COMPUTED_VALUE"""),0.0)</f>
        <v>0</v>
      </c>
      <c r="K58" s="7">
        <f>IFERROR(__xludf.DUMMYFUNCTION("""COMPUTED_VALUE"""),1.0)</f>
        <v>1</v>
      </c>
    </row>
    <row r="59" ht="15.75" customHeight="1">
      <c r="A59" s="6" t="str">
        <f>IFERROR(__xludf.DUMMYFUNCTION("""COMPUTED_VALUE"""),"https://admatic.com/lp/digital-agency/auckland")</f>
        <v>https://admatic.com/lp/digital-agency/auckland</v>
      </c>
      <c r="B59" s="7" t="str">
        <f>IFERROR(__xludf.DUMMYFUNCTION("""COMPUTED_VALUE"""),"Digital Agency Auckland | Paid Media, SEO &amp;amp; Programmatic | ADMATIC")</f>
        <v>Digital Agency Auckland | Paid Media, SEO &amp;amp; Programmatic | ADMATIC</v>
      </c>
      <c r="C59" s="6" t="str">
        <f>IFERROR(__xludf.DUMMYFUNCTION("""COMPUTED_VALUE"""),"admatic.com")</f>
        <v>admatic.com</v>
      </c>
      <c r="D59" s="7" t="str">
        <f>IFERROR(__xludf.DUMMYFUNCTION("""COMPUTED_VALUE"""),"PROFILE")</f>
        <v>PROFILE</v>
      </c>
      <c r="E59" s="7" t="str">
        <f>IFERROR(__xludf.DUMMYFUNCTION("""COMPUTED_VALUE"""),"CORPORATE")</f>
        <v>CORPORATE</v>
      </c>
      <c r="F59" s="7" t="str">
        <f>IFERROR(__xludf.DUMMYFUNCTION("""COMPUTED_VALUE"""),"Profile")</f>
        <v>Profile</v>
      </c>
      <c r="G59" s="7" t="b">
        <f>IFERROR(__xludf.DUMMYFUNCTION("""COMPUTED_VALUE"""),FALSE)</f>
        <v>0</v>
      </c>
      <c r="H59" s="7"/>
      <c r="I59" s="7">
        <f>IFERROR(__xludf.DUMMYFUNCTION("""COMPUTED_VALUE"""),1.0)</f>
        <v>1</v>
      </c>
      <c r="J59" s="7">
        <f>IFERROR(__xludf.DUMMYFUNCTION("""COMPUTED_VALUE"""),0.0)</f>
        <v>0</v>
      </c>
      <c r="K59" s="7">
        <f>IFERROR(__xludf.DUMMYFUNCTION("""COMPUTED_VALUE"""),5.0)</f>
        <v>5</v>
      </c>
    </row>
    <row r="60" ht="15.75" customHeight="1">
      <c r="A60" s="6" t="str">
        <f>IFERROR(__xludf.DUMMYFUNCTION("""COMPUTED_VALUE"""),"https://admatic.com/lp/digital-agency/sydney")</f>
        <v>https://admatic.com/lp/digital-agency/sydney</v>
      </c>
      <c r="B60" s="7" t="str">
        <f>IFERROR(__xludf.DUMMYFUNCTION("""COMPUTED_VALUE"""),"Digital Agency Sydney | Paid Media, SEO &amp;amp; Programmatic | ADMATIC")</f>
        <v>Digital Agency Sydney | Paid Media, SEO &amp;amp; Programmatic | ADMATIC</v>
      </c>
      <c r="C60" s="6" t="str">
        <f>IFERROR(__xludf.DUMMYFUNCTION("""COMPUTED_VALUE"""),"admatic.com")</f>
        <v>admatic.com</v>
      </c>
      <c r="D60" s="7" t="str">
        <f>IFERROR(__xludf.DUMMYFUNCTION("""COMPUTED_VALUE"""),"PROFILE")</f>
        <v>PROFILE</v>
      </c>
      <c r="E60" s="7" t="str">
        <f>IFERROR(__xludf.DUMMYFUNCTION("""COMPUTED_VALUE"""),"CORPORATE")</f>
        <v>CORPORATE</v>
      </c>
      <c r="F60" s="7" t="str">
        <f>IFERROR(__xludf.DUMMYFUNCTION("""COMPUTED_VALUE"""),"Profile")</f>
        <v>Profile</v>
      </c>
      <c r="G60" s="7" t="b">
        <f>IFERROR(__xludf.DUMMYFUNCTION("""COMPUTED_VALUE"""),FALSE)</f>
        <v>0</v>
      </c>
      <c r="H60" s="7"/>
      <c r="I60" s="7">
        <f>IFERROR(__xludf.DUMMYFUNCTION("""COMPUTED_VALUE"""),1.0)</f>
        <v>1</v>
      </c>
      <c r="J60" s="7">
        <f>IFERROR(__xludf.DUMMYFUNCTION("""COMPUTED_VALUE"""),0.0)</f>
        <v>0</v>
      </c>
      <c r="K60" s="7">
        <f>IFERROR(__xludf.DUMMYFUNCTION("""COMPUTED_VALUE"""),1.0)</f>
        <v>1</v>
      </c>
    </row>
    <row r="61" ht="15.75" customHeight="1">
      <c r="A61" s="6" t="str">
        <f>IFERROR(__xludf.DUMMYFUNCTION("""COMPUTED_VALUE"""),"https://www.adsoftheworld.com/agencies/the-monkeys")</f>
        <v>https://www.adsoftheworld.com/agencies/the-monkeys</v>
      </c>
      <c r="B61" s="7" t="str">
        <f>IFERROR(__xludf.DUMMYFUNCTION("""COMPUTED_VALUE"""),"Agency: The Monkeys • Ads of the World™ | Part of The Clio Network")</f>
        <v>Agency: The Monkeys • Ads of the World™ | Part of The Clio Network</v>
      </c>
      <c r="C61" s="6" t="str">
        <f>IFERROR(__xludf.DUMMYFUNCTION("""COMPUTED_VALUE"""),"adsoftheworld.com")</f>
        <v>adsoftheworld.com</v>
      </c>
      <c r="D61" s="7" t="str">
        <f>IFERROR(__xludf.DUMMYFUNCTION("""COMPUTED_VALUE"""),"PROFILE")</f>
        <v>PROFILE</v>
      </c>
      <c r="E61" s="7" t="str">
        <f>IFERROR(__xludf.DUMMYFUNCTION("""COMPUTED_VALUE"""),"EDITORIAL")</f>
        <v>EDITORIAL</v>
      </c>
      <c r="F61" s="7" t="str">
        <f>IFERROR(__xludf.DUMMYFUNCTION("""COMPUTED_VALUE"""),"Profile")</f>
        <v>Profile</v>
      </c>
      <c r="G61" s="7" t="b">
        <f>IFERROR(__xludf.DUMMYFUNCTION("""COMPUTED_VALUE"""),FALSE)</f>
        <v>0</v>
      </c>
      <c r="H61" s="7" t="str">
        <f>IFERROR(__xludf.DUMMYFUNCTION("""COMPUTED_VALUE"""),"The Monkeys")</f>
        <v>The Monkeys</v>
      </c>
      <c r="I61" s="7">
        <f>IFERROR(__xludf.DUMMYFUNCTION("""COMPUTED_VALUE"""),1.0)</f>
        <v>1</v>
      </c>
      <c r="J61" s="7">
        <f>IFERROR(__xludf.DUMMYFUNCTION("""COMPUTED_VALUE"""),0.0)</f>
        <v>0</v>
      </c>
      <c r="K61" s="7">
        <f>IFERROR(__xludf.DUMMYFUNCTION("""COMPUTED_VALUE"""),1.0)</f>
        <v>1</v>
      </c>
    </row>
    <row r="62" ht="15.75" customHeight="1">
      <c r="A62" s="6" t="str">
        <f>IFERROR(__xludf.DUMMYFUNCTION("""COMPUTED_VALUE"""),"https://aiims.group/services/best-seo-agency-australia/")</f>
        <v>https://aiims.group/services/best-seo-agency-australia/</v>
      </c>
      <c r="B62" s="7" t="str">
        <f>IFERROR(__xludf.DUMMYFUNCTION("""COMPUTED_VALUE"""),"Best SEO Agency Australia | Award-Winning Digital Marketing Agency | AIIMS Group")</f>
        <v>Best SEO Agency Australia | Award-Winning Digital Marketing Agency | AIIMS Group</v>
      </c>
      <c r="C62" s="7" t="str">
        <f>IFERROR(__xludf.DUMMYFUNCTION("""COMPUTED_VALUE"""),"aiims.group")</f>
        <v>aiims.group</v>
      </c>
      <c r="D62" s="7" t="str">
        <f>IFERROR(__xludf.DUMMYFUNCTION("""COMPUTED_VALUE"""),"PROFILE")</f>
        <v>PROFILE</v>
      </c>
      <c r="E62" s="7" t="str">
        <f>IFERROR(__xludf.DUMMYFUNCTION("""COMPUTED_VALUE"""),"CORPORATE")</f>
        <v>CORPORATE</v>
      </c>
      <c r="F62" s="7" t="str">
        <f>IFERROR(__xludf.DUMMYFUNCTION("""COMPUTED_VALUE"""),"Profile")</f>
        <v>Profile</v>
      </c>
      <c r="G62" s="7" t="b">
        <f>IFERROR(__xludf.DUMMYFUNCTION("""COMPUTED_VALUE"""),FALSE)</f>
        <v>0</v>
      </c>
      <c r="H62" s="7" t="str">
        <f>IFERROR(__xludf.DUMMYFUNCTION("""COMPUTED_VALUE"""),"Huge, AdVisible")</f>
        <v>Huge, AdVisible</v>
      </c>
      <c r="I62" s="7">
        <f>IFERROR(__xludf.DUMMYFUNCTION("""COMPUTED_VALUE"""),1.0)</f>
        <v>1</v>
      </c>
      <c r="J62" s="7">
        <f>IFERROR(__xludf.DUMMYFUNCTION("""COMPUTED_VALUE"""),0.0)</f>
        <v>0</v>
      </c>
      <c r="K62" s="7">
        <f>IFERROR(__xludf.DUMMYFUNCTION("""COMPUTED_VALUE"""),0.0)</f>
        <v>0</v>
      </c>
    </row>
    <row r="63" ht="15.75" customHeight="1">
      <c r="A63" s="6" t="str">
        <f>IFERROR(__xludf.DUMMYFUNCTION("""COMPUTED_VALUE"""),"https://www.alphadigital.com.au/contact/")</f>
        <v>https://www.alphadigital.com.au/contact/</v>
      </c>
      <c r="B63" s="7" t="str">
        <f>IFERROR(__xludf.DUMMYFUNCTION("""COMPUTED_VALUE"""),"Contact Us | Get in Touch | Alpha Digital")</f>
        <v>Contact Us | Get in Touch | Alpha Digital</v>
      </c>
      <c r="C63" s="6" t="str">
        <f>IFERROR(__xludf.DUMMYFUNCTION("""COMPUTED_VALUE"""),"alphadigital.com.au")</f>
        <v>alphadigital.com.au</v>
      </c>
      <c r="D63" s="7" t="str">
        <f>IFERROR(__xludf.DUMMYFUNCTION("""COMPUTED_VALUE"""),"PROFILE")</f>
        <v>PROFILE</v>
      </c>
      <c r="E63" s="7" t="str">
        <f>IFERROR(__xludf.DUMMYFUNCTION("""COMPUTED_VALUE"""),"COMPETITOR")</f>
        <v>COMPETITOR</v>
      </c>
      <c r="F63" s="7" t="str">
        <f>IFERROR(__xludf.DUMMYFUNCTION("""COMPUTED_VALUE"""),"Profile")</f>
        <v>Profile</v>
      </c>
      <c r="G63" s="7" t="b">
        <f>IFERROR(__xludf.DUMMYFUNCTION("""COMPUTED_VALUE"""),FALSE)</f>
        <v>0</v>
      </c>
      <c r="H63" s="7" t="str">
        <f>IFERROR(__xludf.DUMMYFUNCTION("""COMPUTED_VALUE"""),"Alpha Digital")</f>
        <v>Alpha Digital</v>
      </c>
      <c r="I63" s="7">
        <f>IFERROR(__xludf.DUMMYFUNCTION("""COMPUTED_VALUE"""),1.0)</f>
        <v>1</v>
      </c>
      <c r="J63" s="7">
        <f>IFERROR(__xludf.DUMMYFUNCTION("""COMPUTED_VALUE"""),0.0)</f>
        <v>0</v>
      </c>
      <c r="K63" s="7">
        <f>IFERROR(__xludf.DUMMYFUNCTION("""COMPUTED_VALUE"""),1.0)</f>
        <v>1</v>
      </c>
    </row>
    <row r="64" ht="15.75" customHeight="1">
      <c r="A64" s="6" t="str">
        <f>IFERROR(__xludf.DUMMYFUNCTION("""COMPUTED_VALUE"""),"https://www.aoyglobalawards.com/finalists/droga5-anz-part-of-accenture-song-2jony4abg4wj6hj")</f>
        <v>https://www.aoyglobalawards.com/finalists/droga5-anz-part-of-accenture-song-2jony4abg4wj6hj</v>
      </c>
      <c r="B64" s="7" t="str">
        <f>IFERROR(__xludf.DUMMYFUNCTION("""COMPUTED_VALUE"""),"Campaign's AOY Global Awards")</f>
        <v>Campaign's AOY Global Awards</v>
      </c>
      <c r="C64" s="6" t="str">
        <f>IFERROR(__xludf.DUMMYFUNCTION("""COMPUTED_VALUE"""),"aoyglobalawards.com")</f>
        <v>aoyglobalawards.com</v>
      </c>
      <c r="D64" s="7" t="str">
        <f>IFERROR(__xludf.DUMMYFUNCTION("""COMPUTED_VALUE"""),"PROFILE")</f>
        <v>PROFILE</v>
      </c>
      <c r="E64" s="7" t="str">
        <f>IFERROR(__xludf.DUMMYFUNCTION("""COMPUTED_VALUE"""),"EDITORIAL")</f>
        <v>EDITORIAL</v>
      </c>
      <c r="F64" s="7" t="str">
        <f>IFERROR(__xludf.DUMMYFUNCTION("""COMPUTED_VALUE"""),"Profile")</f>
        <v>Profile</v>
      </c>
      <c r="G64" s="7" t="b">
        <f>IFERROR(__xludf.DUMMYFUNCTION("""COMPUTED_VALUE"""),FALSE)</f>
        <v>0</v>
      </c>
      <c r="H64" s="7" t="str">
        <f>IFERROR(__xludf.DUMMYFUNCTION("""COMPUTED_VALUE"""),"Accenture Song")</f>
        <v>Accenture Song</v>
      </c>
      <c r="I64" s="7">
        <f>IFERROR(__xludf.DUMMYFUNCTION("""COMPUTED_VALUE"""),1.0)</f>
        <v>1</v>
      </c>
      <c r="J64" s="7">
        <f>IFERROR(__xludf.DUMMYFUNCTION("""COMPUTED_VALUE"""),0.0)</f>
        <v>0</v>
      </c>
      <c r="K64" s="7">
        <f>IFERROR(__xludf.DUMMYFUNCTION("""COMPUTED_VALUE"""),0.0)</f>
        <v>0</v>
      </c>
    </row>
    <row r="65" ht="15.75" customHeight="1">
      <c r="A65" s="6" t="str">
        <f>IFERROR(__xludf.DUMMYFUNCTION("""COMPUTED_VALUE"""),"https://au.linkedin.com/company/alley-group")</f>
        <v>https://au.linkedin.com/company/alley-group</v>
      </c>
      <c r="B65" s="7" t="str">
        <f>IFERROR(__xludf.DUMMYFUNCTION("""COMPUTED_VALUE"""),"Alley Group | LinkedIn")</f>
        <v>Alley Group | LinkedIn</v>
      </c>
      <c r="C65" s="6" t="str">
        <f>IFERROR(__xludf.DUMMYFUNCTION("""COMPUTED_VALUE"""),"linkedin.com")</f>
        <v>linkedin.com</v>
      </c>
      <c r="D65" s="7" t="str">
        <f>IFERROR(__xludf.DUMMYFUNCTION("""COMPUTED_VALUE"""),"PROFILE")</f>
        <v>PROFILE</v>
      </c>
      <c r="E65" s="7" t="str">
        <f>IFERROR(__xludf.DUMMYFUNCTION("""COMPUTED_VALUE"""),"UGC")</f>
        <v>UGC</v>
      </c>
      <c r="F65" s="7" t="str">
        <f>IFERROR(__xludf.DUMMYFUNCTION("""COMPUTED_VALUE"""),"Profile")</f>
        <v>Profile</v>
      </c>
      <c r="G65" s="7" t="b">
        <f>IFERROR(__xludf.DUMMYFUNCTION("""COMPUTED_VALUE"""),FALSE)</f>
        <v>0</v>
      </c>
      <c r="H65" s="7" t="str">
        <f>IFERROR(__xludf.DUMMYFUNCTION("""COMPUTED_VALUE"""),"Alley Group, Huge, Rocket Agency")</f>
        <v>Alley Group, Huge, Rocket Agency</v>
      </c>
      <c r="I65" s="7">
        <f>IFERROR(__xludf.DUMMYFUNCTION("""COMPUTED_VALUE"""),1.0)</f>
        <v>1</v>
      </c>
      <c r="J65" s="7">
        <f>IFERROR(__xludf.DUMMYFUNCTION("""COMPUTED_VALUE"""),0.0)</f>
        <v>0</v>
      </c>
      <c r="K65" s="7">
        <f>IFERROR(__xludf.DUMMYFUNCTION("""COMPUTED_VALUE"""),1.0)</f>
        <v>1</v>
      </c>
    </row>
    <row r="66" ht="15.75" customHeight="1">
      <c r="A66" s="6" t="str">
        <f>IFERROR(__xludf.DUMMYFUNCTION("""COMPUTED_VALUE"""),"https://au.linkedin.com/company/alpha-digital")</f>
        <v>https://au.linkedin.com/company/alpha-digital</v>
      </c>
      <c r="B66" s="7" t="str">
        <f>IFERROR(__xludf.DUMMYFUNCTION("""COMPUTED_VALUE"""),"Alpha Digital | LinkedIn")</f>
        <v>Alpha Digital | LinkedIn</v>
      </c>
      <c r="C66" s="6" t="str">
        <f>IFERROR(__xludf.DUMMYFUNCTION("""COMPUTED_VALUE"""),"linkedin.com")</f>
        <v>linkedin.com</v>
      </c>
      <c r="D66" s="7" t="str">
        <f>IFERROR(__xludf.DUMMYFUNCTION("""COMPUTED_VALUE"""),"PROFILE")</f>
        <v>PROFILE</v>
      </c>
      <c r="E66" s="7" t="str">
        <f>IFERROR(__xludf.DUMMYFUNCTION("""COMPUTED_VALUE"""),"UGC")</f>
        <v>UGC</v>
      </c>
      <c r="F66" s="7" t="str">
        <f>IFERROR(__xludf.DUMMYFUNCTION("""COMPUTED_VALUE"""),"Profile")</f>
        <v>Profile</v>
      </c>
      <c r="G66" s="7" t="b">
        <f>IFERROR(__xludf.DUMMYFUNCTION("""COMPUTED_VALUE"""),FALSE)</f>
        <v>0</v>
      </c>
      <c r="H66" s="7" t="str">
        <f>IFERROR(__xludf.DUMMYFUNCTION("""COMPUTED_VALUE"""),"Alpha Digital, XPON, Momentum, Huge, Reload Media, Farsiight")</f>
        <v>Alpha Digital, XPON, Momentum, Huge, Reload Media, Farsiight</v>
      </c>
      <c r="I66" s="7">
        <f>IFERROR(__xludf.DUMMYFUNCTION("""COMPUTED_VALUE"""),1.0)</f>
        <v>1</v>
      </c>
      <c r="J66" s="7">
        <f>IFERROR(__xludf.DUMMYFUNCTION("""COMPUTED_VALUE"""),0.0)</f>
        <v>0</v>
      </c>
      <c r="K66" s="7">
        <f>IFERROR(__xludf.DUMMYFUNCTION("""COMPUTED_VALUE"""),2.0)</f>
        <v>2</v>
      </c>
    </row>
    <row r="67" ht="15.75" customHeight="1">
      <c r="A67" s="6" t="str">
        <f>IFERROR(__xludf.DUMMYFUNCTION("""COMPUTED_VALUE"""),"https://au.linkedin.com/company/bmf-advertising-pty-ltd-")</f>
        <v>https://au.linkedin.com/company/bmf-advertising-pty-ltd-</v>
      </c>
      <c r="B67" s="7" t="str">
        <f>IFERROR(__xludf.DUMMYFUNCTION("""COMPUTED_VALUE"""),"BMF Australia | LinkedIn")</f>
        <v>BMF Australia | LinkedIn</v>
      </c>
      <c r="C67" s="6" t="str">
        <f>IFERROR(__xludf.DUMMYFUNCTION("""COMPUTED_VALUE"""),"linkedin.com")</f>
        <v>linkedin.com</v>
      </c>
      <c r="D67" s="7" t="str">
        <f>IFERROR(__xludf.DUMMYFUNCTION("""COMPUTED_VALUE"""),"PROFILE")</f>
        <v>PROFILE</v>
      </c>
      <c r="E67" s="7" t="str">
        <f>IFERROR(__xludf.DUMMYFUNCTION("""COMPUTED_VALUE"""),"UGC")</f>
        <v>UGC</v>
      </c>
      <c r="F67" s="7" t="str">
        <f>IFERROR(__xludf.DUMMYFUNCTION("""COMPUTED_VALUE"""),"Profile")</f>
        <v>Profile</v>
      </c>
      <c r="G67" s="7" t="b">
        <f>IFERROR(__xludf.DUMMYFUNCTION("""COMPUTED_VALUE"""),FALSE)</f>
        <v>0</v>
      </c>
      <c r="H67" s="7" t="str">
        <f>IFERROR(__xludf.DUMMYFUNCTION("""COMPUTED_VALUE"""),"BMF, Huge, Thinkerbell, Howatson+Company, Clemenger BBDO, Ogilvy Australia, Leo Australia")</f>
        <v>BMF, Huge, Thinkerbell, Howatson+Company, Clemenger BBDO, Ogilvy Australia, Leo Australia</v>
      </c>
      <c r="I67" s="7">
        <f>IFERROR(__xludf.DUMMYFUNCTION("""COMPUTED_VALUE"""),1.0)</f>
        <v>1</v>
      </c>
      <c r="J67" s="7">
        <f>IFERROR(__xludf.DUMMYFUNCTION("""COMPUTED_VALUE"""),0.0)</f>
        <v>0</v>
      </c>
      <c r="K67" s="7">
        <f>IFERROR(__xludf.DUMMYFUNCTION("""COMPUTED_VALUE"""),1.0)</f>
        <v>1</v>
      </c>
    </row>
    <row r="68" ht="15.75" customHeight="1">
      <c r="A68" s="6" t="str">
        <f>IFERROR(__xludf.DUMMYFUNCTION("""COMPUTED_VALUE"""),"https://au.linkedin.com/company/clemenger-bbdo")</f>
        <v>https://au.linkedin.com/company/clemenger-bbdo</v>
      </c>
      <c r="B68" s="7" t="str">
        <f>IFERROR(__xludf.DUMMYFUNCTION("""COMPUTED_VALUE"""),"Clemenger BBDO | LinkedIn")</f>
        <v>Clemenger BBDO | LinkedIn</v>
      </c>
      <c r="C68" s="6" t="str">
        <f>IFERROR(__xludf.DUMMYFUNCTION("""COMPUTED_VALUE"""),"linkedin.com")</f>
        <v>linkedin.com</v>
      </c>
      <c r="D68" s="7" t="str">
        <f>IFERROR(__xludf.DUMMYFUNCTION("""COMPUTED_VALUE"""),"PROFILE")</f>
        <v>PROFILE</v>
      </c>
      <c r="E68" s="7" t="str">
        <f>IFERROR(__xludf.DUMMYFUNCTION("""COMPUTED_VALUE"""),"UGC")</f>
        <v>UGC</v>
      </c>
      <c r="F68" s="7" t="str">
        <f>IFERROR(__xludf.DUMMYFUNCTION("""COMPUTED_VALUE"""),"Profile")</f>
        <v>Profile</v>
      </c>
      <c r="G68" s="7" t="b">
        <f>IFERROR(__xludf.DUMMYFUNCTION("""COMPUTED_VALUE"""),FALSE)</f>
        <v>0</v>
      </c>
      <c r="H68" s="7" t="str">
        <f>IFERROR(__xludf.DUMMYFUNCTION("""COMPUTED_VALUE"""),"Clemenger BBDO, Earned Media, OMD, Huge, Thinkerbell, Howatson+Company, BMF, Ogilvy Australia")</f>
        <v>Clemenger BBDO, Earned Media, OMD, Huge, Thinkerbell, Howatson+Company, BMF, Ogilvy Australia</v>
      </c>
      <c r="I68" s="7">
        <f>IFERROR(__xludf.DUMMYFUNCTION("""COMPUTED_VALUE"""),1.0)</f>
        <v>1</v>
      </c>
      <c r="J68" s="7">
        <f>IFERROR(__xludf.DUMMYFUNCTION("""COMPUTED_VALUE"""),0.0)</f>
        <v>0</v>
      </c>
      <c r="K68" s="7">
        <f>IFERROR(__xludf.DUMMYFUNCTION("""COMPUTED_VALUE"""),1.0)</f>
        <v>1</v>
      </c>
    </row>
    <row r="69" ht="15.75" customHeight="1">
      <c r="A69" s="6" t="str">
        <f>IFERROR(__xludf.DUMMYFUNCTION("""COMPUTED_VALUE"""),"https://au.linkedin.com/company/droga5-anz")</f>
        <v>https://au.linkedin.com/company/droga5-anz</v>
      </c>
      <c r="B69" s="7" t="str">
        <f>IFERROR(__xludf.DUMMYFUNCTION("""COMPUTED_VALUE"""),"Droga5 ANZ | LinkedIn")</f>
        <v>Droga5 ANZ | LinkedIn</v>
      </c>
      <c r="C69" s="6" t="str">
        <f>IFERROR(__xludf.DUMMYFUNCTION("""COMPUTED_VALUE"""),"linkedin.com")</f>
        <v>linkedin.com</v>
      </c>
      <c r="D69" s="7" t="str">
        <f>IFERROR(__xludf.DUMMYFUNCTION("""COMPUTED_VALUE"""),"PROFILE")</f>
        <v>PROFILE</v>
      </c>
      <c r="E69" s="7" t="str">
        <f>IFERROR(__xludf.DUMMYFUNCTION("""COMPUTED_VALUE"""),"UGC")</f>
        <v>UGC</v>
      </c>
      <c r="F69" s="7" t="str">
        <f>IFERROR(__xludf.DUMMYFUNCTION("""COMPUTED_VALUE"""),"Profile")</f>
        <v>Profile</v>
      </c>
      <c r="G69" s="7" t="b">
        <f>IFERROR(__xludf.DUMMYFUNCTION("""COMPUTED_VALUE"""),FALSE)</f>
        <v>0</v>
      </c>
      <c r="H69" s="7" t="str">
        <f>IFERROR(__xludf.DUMMYFUNCTION("""COMPUTED_VALUE"""),"The Monkeys, Accenture Song, Huge, Thinkerbell, BMF, Howatson+Company, Clemenger BBDO, Ogilvy Australia, Bear Meets Eagle On Fire")</f>
        <v>The Monkeys, Accenture Song, Huge, Thinkerbell, BMF, Howatson+Company, Clemenger BBDO, Ogilvy Australia, Bear Meets Eagle On Fire</v>
      </c>
      <c r="I69" s="7">
        <f>IFERROR(__xludf.DUMMYFUNCTION("""COMPUTED_VALUE"""),1.0)</f>
        <v>1</v>
      </c>
      <c r="J69" s="7">
        <f>IFERROR(__xludf.DUMMYFUNCTION("""COMPUTED_VALUE"""),0.0)</f>
        <v>0</v>
      </c>
      <c r="K69" s="7">
        <f>IFERROR(__xludf.DUMMYFUNCTION("""COMPUTED_VALUE"""),1.0)</f>
        <v>1</v>
      </c>
    </row>
    <row r="70" ht="15.75" customHeight="1">
      <c r="A70" s="6" t="str">
        <f>IFERROR(__xludf.DUMMYFUNCTION("""COMPUTED_VALUE"""),"https://au.linkedin.com/company/metric-labs")</f>
        <v>https://au.linkedin.com/company/metric-labs</v>
      </c>
      <c r="B70" s="7" t="str">
        <f>IFERROR(__xludf.DUMMYFUNCTION("""COMPUTED_VALUE"""),"Metric Labs | LinkedIn")</f>
        <v>Metric Labs | LinkedIn</v>
      </c>
      <c r="C70" s="6" t="str">
        <f>IFERROR(__xludf.DUMMYFUNCTION("""COMPUTED_VALUE"""),"linkedin.com")</f>
        <v>linkedin.com</v>
      </c>
      <c r="D70" s="7" t="str">
        <f>IFERROR(__xludf.DUMMYFUNCTION("""COMPUTED_VALUE"""),"PROFILE")</f>
        <v>PROFILE</v>
      </c>
      <c r="E70" s="7" t="str">
        <f>IFERROR(__xludf.DUMMYFUNCTION("""COMPUTED_VALUE"""),"UGC")</f>
        <v>UGC</v>
      </c>
      <c r="F70" s="7" t="str">
        <f>IFERROR(__xludf.DUMMYFUNCTION("""COMPUTED_VALUE"""),"Profile")</f>
        <v>Profile</v>
      </c>
      <c r="G70" s="7" t="b">
        <f>IFERROR(__xludf.DUMMYFUNCTION("""COMPUTED_VALUE"""),FALSE)</f>
        <v>0</v>
      </c>
      <c r="H70" s="7" t="str">
        <f>IFERROR(__xludf.DUMMYFUNCTION("""COMPUTED_VALUE"""),"Metric Labs, Luminary")</f>
        <v>Metric Labs, Luminary</v>
      </c>
      <c r="I70" s="7">
        <f>IFERROR(__xludf.DUMMYFUNCTION("""COMPUTED_VALUE"""),1.0)</f>
        <v>1</v>
      </c>
      <c r="J70" s="7">
        <f>IFERROR(__xludf.DUMMYFUNCTION("""COMPUTED_VALUE"""),0.0)</f>
        <v>0</v>
      </c>
      <c r="K70" s="7">
        <f>IFERROR(__xludf.DUMMYFUNCTION("""COMPUTED_VALUE"""),1.0)</f>
        <v>1</v>
      </c>
    </row>
    <row r="71" ht="15.75" customHeight="1">
      <c r="A71" s="6" t="str">
        <f>IFERROR(__xludf.DUMMYFUNCTION("""COMPUTED_VALUE"""),"https://au.linkedin.com/company/ogilvy-australia")</f>
        <v>https://au.linkedin.com/company/ogilvy-australia</v>
      </c>
      <c r="B71" s="7" t="str">
        <f>IFERROR(__xludf.DUMMYFUNCTION("""COMPUTED_VALUE"""),"Ogilvy Australia | LinkedIn")</f>
        <v>Ogilvy Australia | LinkedIn</v>
      </c>
      <c r="C71" s="6" t="str">
        <f>IFERROR(__xludf.DUMMYFUNCTION("""COMPUTED_VALUE"""),"linkedin.com")</f>
        <v>linkedin.com</v>
      </c>
      <c r="D71" s="7" t="str">
        <f>IFERROR(__xludf.DUMMYFUNCTION("""COMPUTED_VALUE"""),"PROFILE")</f>
        <v>PROFILE</v>
      </c>
      <c r="E71" s="7" t="str">
        <f>IFERROR(__xludf.DUMMYFUNCTION("""COMPUTED_VALUE"""),"UGC")</f>
        <v>UGC</v>
      </c>
      <c r="F71" s="7" t="str">
        <f>IFERROR(__xludf.DUMMYFUNCTION("""COMPUTED_VALUE"""),"Profile")</f>
        <v>Profile</v>
      </c>
      <c r="G71" s="7" t="b">
        <f>IFERROR(__xludf.DUMMYFUNCTION("""COMPUTED_VALUE"""),FALSE)</f>
        <v>0</v>
      </c>
      <c r="H71" s="7" t="str">
        <f>IFERROR(__xludf.DUMMYFUNCTION("""COMPUTED_VALUE"""),"Ogilvy Australia, Huge, Thinkerbell, BMF, Saatchi &amp; Saatchi, Howatson+Company, Clemenger BBDO")</f>
        <v>Ogilvy Australia, Huge, Thinkerbell, BMF, Saatchi &amp; Saatchi, Howatson+Company, Clemenger BBDO</v>
      </c>
      <c r="I71" s="7">
        <f>IFERROR(__xludf.DUMMYFUNCTION("""COMPUTED_VALUE"""),1.0)</f>
        <v>1</v>
      </c>
      <c r="J71" s="7">
        <f>IFERROR(__xludf.DUMMYFUNCTION("""COMPUTED_VALUE"""),0.0)</f>
        <v>0</v>
      </c>
      <c r="K71" s="7">
        <f>IFERROR(__xludf.DUMMYFUNCTION("""COMPUTED_VALUE"""),1.0)</f>
        <v>1</v>
      </c>
    </row>
    <row r="72" ht="15.75" customHeight="1">
      <c r="A72" s="6" t="str">
        <f>IFERROR(__xludf.DUMMYFUNCTION("""COMPUTED_VALUE"""),"https://au.linkedin.com/company/online-marketing-gurus")</f>
        <v>https://au.linkedin.com/company/online-marketing-gurus</v>
      </c>
      <c r="B72" s="7" t="str">
        <f>IFERROR(__xludf.DUMMYFUNCTION("""COMPUTED_VALUE"""),"Online Marketing Gurus | LinkedIn")</f>
        <v>Online Marketing Gurus | LinkedIn</v>
      </c>
      <c r="C72" s="6" t="str">
        <f>IFERROR(__xludf.DUMMYFUNCTION("""COMPUTED_VALUE"""),"linkedin.com")</f>
        <v>linkedin.com</v>
      </c>
      <c r="D72" s="7" t="str">
        <f>IFERROR(__xludf.DUMMYFUNCTION("""COMPUTED_VALUE"""),"PROFILE")</f>
        <v>PROFILE</v>
      </c>
      <c r="E72" s="7" t="str">
        <f>IFERROR(__xludf.DUMMYFUNCTION("""COMPUTED_VALUE"""),"UGC")</f>
        <v>UGC</v>
      </c>
      <c r="F72" s="7" t="str">
        <f>IFERROR(__xludf.DUMMYFUNCTION("""COMPUTED_VALUE"""),"Profile")</f>
        <v>Profile</v>
      </c>
      <c r="G72" s="7" t="b">
        <f>IFERROR(__xludf.DUMMYFUNCTION("""COMPUTED_VALUE"""),FALSE)</f>
        <v>0</v>
      </c>
      <c r="H72" s="7" t="str">
        <f>IFERROR(__xludf.DUMMYFUNCTION("""COMPUTED_VALUE"""),"Online Marketing Gurus, Omnicom Media Group, Huge, Rocket Agency, StudioHawk, Megaphone, Sparro, Impressive, King Kong, Clearwater Agency, First Page, DNM Digital")</f>
        <v>Online Marketing Gurus, Omnicom Media Group, Huge, Rocket Agency, StudioHawk, Megaphone, Sparro, Impressive, King Kong, Clearwater Agency, First Page, DNM Digital</v>
      </c>
      <c r="I72" s="7">
        <f>IFERROR(__xludf.DUMMYFUNCTION("""COMPUTED_VALUE"""),1.0)</f>
        <v>1</v>
      </c>
      <c r="J72" s="7">
        <f>IFERROR(__xludf.DUMMYFUNCTION("""COMPUTED_VALUE"""),0.0)</f>
        <v>0</v>
      </c>
      <c r="K72" s="7">
        <f>IFERROR(__xludf.DUMMYFUNCTION("""COMPUTED_VALUE"""),1.0)</f>
        <v>1</v>
      </c>
    </row>
    <row r="73" ht="15.75" customHeight="1">
      <c r="A73" s="6" t="str">
        <f>IFERROR(__xludf.DUMMYFUNCTION("""COMPUTED_VALUE"""),"https://au.linkedin.com/company/trkkn")</f>
        <v>https://au.linkedin.com/company/trkkn</v>
      </c>
      <c r="B73" s="7" t="str">
        <f>IFERROR(__xludf.DUMMYFUNCTION("""COMPUTED_VALUE"""),"TRKKN | LinkedIn")</f>
        <v>TRKKN | LinkedIn</v>
      </c>
      <c r="C73" s="6" t="str">
        <f>IFERROR(__xludf.DUMMYFUNCTION("""COMPUTED_VALUE"""),"linkedin.com")</f>
        <v>linkedin.com</v>
      </c>
      <c r="D73" s="7" t="str">
        <f>IFERROR(__xludf.DUMMYFUNCTION("""COMPUTED_VALUE"""),"PROFILE")</f>
        <v>PROFILE</v>
      </c>
      <c r="E73" s="7" t="str">
        <f>IFERROR(__xludf.DUMMYFUNCTION("""COMPUTED_VALUE"""),"UGC")</f>
        <v>UGC</v>
      </c>
      <c r="F73" s="7" t="str">
        <f>IFERROR(__xludf.DUMMYFUNCTION("""COMPUTED_VALUE"""),"Profile")</f>
        <v>Profile</v>
      </c>
      <c r="G73" s="7" t="b">
        <f>IFERROR(__xludf.DUMMYFUNCTION("""COMPUTED_VALUE"""),FALSE)</f>
        <v>0</v>
      </c>
      <c r="H73" s="7" t="str">
        <f>IFERROR(__xludf.DUMMYFUNCTION("""COMPUTED_VALUE"""),"TRKKN, Omnicom Media Group, Huge, Measured, Dentsu, PHD")</f>
        <v>TRKKN, Omnicom Media Group, Huge, Measured, Dentsu, PHD</v>
      </c>
      <c r="I73" s="7">
        <f>IFERROR(__xludf.DUMMYFUNCTION("""COMPUTED_VALUE"""),1.0)</f>
        <v>1</v>
      </c>
      <c r="J73" s="7">
        <f>IFERROR(__xludf.DUMMYFUNCTION("""COMPUTED_VALUE"""),0.0)</f>
        <v>0</v>
      </c>
      <c r="K73" s="7">
        <f>IFERROR(__xludf.DUMMYFUNCTION("""COMPUTED_VALUE"""),0.0)</f>
        <v>0</v>
      </c>
    </row>
    <row r="74" ht="15.75" customHeight="1">
      <c r="A74" s="6" t="str">
        <f>IFERROR(__xludf.DUMMYFUNCTION("""COMPUTED_VALUE"""),"https://au.linkedin.com/in/iampaulio")</f>
        <v>https://au.linkedin.com/in/iampaulio</v>
      </c>
      <c r="B74" s="7" t="str">
        <f>IFERROR(__xludf.DUMMYFUNCTION("""COMPUTED_VALUE"""),"Paul Hewett - In Marketing We Trust \| LinkedIn")</f>
        <v>Paul Hewett - In Marketing We Trust \| LinkedIn</v>
      </c>
      <c r="C74" s="6" t="str">
        <f>IFERROR(__xludf.DUMMYFUNCTION("""COMPUTED_VALUE"""),"linkedin.com")</f>
        <v>linkedin.com</v>
      </c>
      <c r="D74" s="7" t="str">
        <f>IFERROR(__xludf.DUMMYFUNCTION("""COMPUTED_VALUE"""),"PROFILE")</f>
        <v>PROFILE</v>
      </c>
      <c r="E74" s="7" t="str">
        <f>IFERROR(__xludf.DUMMYFUNCTION("""COMPUTED_VALUE"""),"UGC")</f>
        <v>UGC</v>
      </c>
      <c r="F74" s="7" t="str">
        <f>IFERROR(__xludf.DUMMYFUNCTION("""COMPUTED_VALUE"""),"Profile")</f>
        <v>Profile</v>
      </c>
      <c r="G74" s="7" t="b">
        <f>IFERROR(__xludf.DUMMYFUNCTION("""COMPUTED_VALUE"""),FALSE)</f>
        <v>0</v>
      </c>
      <c r="H74" s="7" t="str">
        <f>IFERROR(__xludf.DUMMYFUNCTION("""COMPUTED_VALUE"""),"In Marketing We Trust, Thinkerbell, Measured")</f>
        <v>In Marketing We Trust, Thinkerbell, Measured</v>
      </c>
      <c r="I74" s="7">
        <f>IFERROR(__xludf.DUMMYFUNCTION("""COMPUTED_VALUE"""),1.0)</f>
        <v>1</v>
      </c>
      <c r="J74" s="7">
        <f>IFERROR(__xludf.DUMMYFUNCTION("""COMPUTED_VALUE"""),0.0)</f>
        <v>0</v>
      </c>
      <c r="K74" s="7">
        <f>IFERROR(__xludf.DUMMYFUNCTION("""COMPUTED_VALUE"""),1.0)</f>
        <v>1</v>
      </c>
    </row>
    <row r="75" ht="15.75" customHeight="1">
      <c r="A75" s="6" t="str">
        <f>IFERROR(__xludf.DUMMYFUNCTION("""COMPUTED_VALUE"""),"https://www.avionaustralia.com/certifications/")</f>
        <v>https://www.avionaustralia.com/certifications/</v>
      </c>
      <c r="B75" s="7" t="str">
        <f>IFERROR(__xludf.DUMMYFUNCTION("""COMPUTED_VALUE"""),"Certifications - Avion Australia")</f>
        <v>Certifications - Avion Australia</v>
      </c>
      <c r="C75" s="6" t="str">
        <f>IFERROR(__xludf.DUMMYFUNCTION("""COMPUTED_VALUE"""),"avionaustralia.com")</f>
        <v>avionaustralia.com</v>
      </c>
      <c r="D75" s="7" t="str">
        <f>IFERROR(__xludf.DUMMYFUNCTION("""COMPUTED_VALUE"""),"PROFILE")</f>
        <v>PROFILE</v>
      </c>
      <c r="E75" s="7" t="str">
        <f>IFERROR(__xludf.DUMMYFUNCTION("""COMPUTED_VALUE"""),"CORPORATE")</f>
        <v>CORPORATE</v>
      </c>
      <c r="F75" s="7" t="str">
        <f>IFERROR(__xludf.DUMMYFUNCTION("""COMPUTED_VALUE"""),"Profile")</f>
        <v>Profile</v>
      </c>
      <c r="G75" s="7" t="b">
        <f>IFERROR(__xludf.DUMMYFUNCTION("""COMPUTED_VALUE"""),FALSE)</f>
        <v>0</v>
      </c>
      <c r="H75" s="7"/>
      <c r="I75" s="7">
        <f>IFERROR(__xludf.DUMMYFUNCTION("""COMPUTED_VALUE"""),1.0)</f>
        <v>1</v>
      </c>
      <c r="J75" s="7">
        <f>IFERROR(__xludf.DUMMYFUNCTION("""COMPUTED_VALUE"""),0.0)</f>
        <v>0</v>
      </c>
      <c r="K75" s="7">
        <f>IFERROR(__xludf.DUMMYFUNCTION("""COMPUTED_VALUE"""),1.0)</f>
        <v>1</v>
      </c>
    </row>
    <row r="76" ht="15.75" customHeight="1">
      <c r="A76" s="6" t="str">
        <f>IFERROR(__xludf.DUMMYFUNCTION("""COMPUTED_VALUE"""),"https://www.bandt.com.au/droga5-bts-agency-scorecard-2026/")</f>
        <v>https://www.bandt.com.au/droga5-bts-agency-scorecard-2026/</v>
      </c>
      <c r="B76" s="7" t="str">
        <f>IFERROR(__xludf.DUMMYFUNCTION("""COMPUTED_VALUE"""),"Droga5: B&amp;amp;T's Agency Scorecard 2026 - B&amp;amp;T")</f>
        <v>Droga5: B&amp;amp;T's Agency Scorecard 2026 - B&amp;amp;T</v>
      </c>
      <c r="C76" s="6" t="str">
        <f>IFERROR(__xludf.DUMMYFUNCTION("""COMPUTED_VALUE"""),"bandt.com.au")</f>
        <v>bandt.com.au</v>
      </c>
      <c r="D76" s="7" t="str">
        <f>IFERROR(__xludf.DUMMYFUNCTION("""COMPUTED_VALUE"""),"PROFILE")</f>
        <v>PROFILE</v>
      </c>
      <c r="E76" s="7" t="str">
        <f>IFERROR(__xludf.DUMMYFUNCTION("""COMPUTED_VALUE"""),"EDITORIAL")</f>
        <v>EDITORIAL</v>
      </c>
      <c r="F76" s="7" t="str">
        <f>IFERROR(__xludf.DUMMYFUNCTION("""COMPUTED_VALUE"""),"Profile")</f>
        <v>Profile</v>
      </c>
      <c r="G76" s="7" t="b">
        <f>IFERROR(__xludf.DUMMYFUNCTION("""COMPUTED_VALUE"""),FALSE)</f>
        <v>0</v>
      </c>
      <c r="H76" s="7" t="str">
        <f>IFERROR(__xludf.DUMMYFUNCTION("""COMPUTED_VALUE"""),"WPP, Accenture Song, Impressive, Momentum")</f>
        <v>WPP, Accenture Song, Impressive, Momentum</v>
      </c>
      <c r="I76" s="7">
        <f>IFERROR(__xludf.DUMMYFUNCTION("""COMPUTED_VALUE"""),1.0)</f>
        <v>1</v>
      </c>
      <c r="J76" s="7">
        <f>IFERROR(__xludf.DUMMYFUNCTION("""COMPUTED_VALUE"""),0.0)</f>
        <v>0</v>
      </c>
      <c r="K76" s="7">
        <f>IFERROR(__xludf.DUMMYFUNCTION("""COMPUTED_VALUE"""),2.0)</f>
        <v>2</v>
      </c>
    </row>
    <row r="77" ht="15.75" customHeight="1">
      <c r="A77" s="6" t="str">
        <f>IFERROR(__xludf.DUMMYFUNCTION("""COMPUTED_VALUE"""),"https://clutch.co/au/agencies/media-buying?page=2")</f>
        <v>https://clutch.co/au/agencies/media-buying?page=2</v>
      </c>
      <c r="B77" s="7" t="str">
        <f>IFERROR(__xludf.DUMMYFUNCTION("""COMPUTED_VALUE"""),"Page 2 - Top Media Buying Agencies in Australia - Jul 2026 Rankings \| Clutch.co")</f>
        <v>Page 2 - Top Media Buying Agencies in Australia - Jul 2026 Rankings \| Clutch.co</v>
      </c>
      <c r="C77" s="6" t="str">
        <f>IFERROR(__xludf.DUMMYFUNCTION("""COMPUTED_VALUE"""),"clutch.co")</f>
        <v>clutch.co</v>
      </c>
      <c r="D77" s="7" t="str">
        <f>IFERROR(__xludf.DUMMYFUNCTION("""COMPUTED_VALUE"""),"PROFILE")</f>
        <v>PROFILE</v>
      </c>
      <c r="E77" s="7" t="str">
        <f>IFERROR(__xludf.DUMMYFUNCTION("""COMPUTED_VALUE"""),"CORPORATE")</f>
        <v>CORPORATE</v>
      </c>
      <c r="F77" s="7" t="str">
        <f>IFERROR(__xludf.DUMMYFUNCTION("""COMPUTED_VALUE"""),"Profile")</f>
        <v>Profile</v>
      </c>
      <c r="G77" s="7" t="b">
        <f>IFERROR(__xludf.DUMMYFUNCTION("""COMPUTED_VALUE"""),FALSE)</f>
        <v>0</v>
      </c>
      <c r="H77" s="7" t="str">
        <f>IFERROR(__xludf.DUMMYFUNCTION("""COMPUTED_VALUE"""),"Soup Agency, DNM Digital, Bench Media, Impressive, MK Media")</f>
        <v>Soup Agency, DNM Digital, Bench Media, Impressive, MK Media</v>
      </c>
      <c r="I77" s="7">
        <f>IFERROR(__xludf.DUMMYFUNCTION("""COMPUTED_VALUE"""),1.0)</f>
        <v>1</v>
      </c>
      <c r="J77" s="7">
        <f>IFERROR(__xludf.DUMMYFUNCTION("""COMPUTED_VALUE"""),0.0)</f>
        <v>0</v>
      </c>
      <c r="K77" s="7">
        <f>IFERROR(__xludf.DUMMYFUNCTION("""COMPUTED_VALUE"""),0.0)</f>
        <v>0</v>
      </c>
    </row>
    <row r="78" ht="15.75" customHeight="1">
      <c r="A78" s="6" t="str">
        <f>IFERROR(__xludf.DUMMYFUNCTION("""COMPUTED_VALUE"""),"https://clutch.co/profile/xpon-technologies")</f>
        <v>https://clutch.co/profile/xpon-technologies</v>
      </c>
      <c r="B78" s="7" t="str">
        <f>IFERROR(__xludf.DUMMYFUNCTION("""COMPUTED_VALUE"""),"XPON Technologies Reviews (1), Pricing, Services &amp;amp; Verified Ratings")</f>
        <v>XPON Technologies Reviews (1), Pricing, Services &amp;amp; Verified Ratings</v>
      </c>
      <c r="C78" s="6" t="str">
        <f>IFERROR(__xludf.DUMMYFUNCTION("""COMPUTED_VALUE"""),"clutch.co")</f>
        <v>clutch.co</v>
      </c>
      <c r="D78" s="7" t="str">
        <f>IFERROR(__xludf.DUMMYFUNCTION("""COMPUTED_VALUE"""),"PROFILE")</f>
        <v>PROFILE</v>
      </c>
      <c r="E78" s="7" t="str">
        <f>IFERROR(__xludf.DUMMYFUNCTION("""COMPUTED_VALUE"""),"CORPORATE")</f>
        <v>CORPORATE</v>
      </c>
      <c r="F78" s="7" t="str">
        <f>IFERROR(__xludf.DUMMYFUNCTION("""COMPUTED_VALUE"""),"Profile")</f>
        <v>Profile</v>
      </c>
      <c r="G78" s="7" t="b">
        <f>IFERROR(__xludf.DUMMYFUNCTION("""COMPUTED_VALUE"""),FALSE)</f>
        <v>0</v>
      </c>
      <c r="H78" s="7" t="str">
        <f>IFERROR(__xludf.DUMMYFUNCTION("""COMPUTED_VALUE"""),"XPON, Impressive")</f>
        <v>XPON, Impressive</v>
      </c>
      <c r="I78" s="7">
        <f>IFERROR(__xludf.DUMMYFUNCTION("""COMPUTED_VALUE"""),1.0)</f>
        <v>1</v>
      </c>
      <c r="J78" s="7">
        <f>IFERROR(__xludf.DUMMYFUNCTION("""COMPUTED_VALUE"""),0.0)</f>
        <v>0</v>
      </c>
      <c r="K78" s="7">
        <f>IFERROR(__xludf.DUMMYFUNCTION("""COMPUTED_VALUE"""),1.0)</f>
        <v>1</v>
      </c>
    </row>
    <row r="79" ht="15.75" customHeight="1">
      <c r="A79" s="6" t="str">
        <f>IFERROR(__xludf.DUMMYFUNCTION("""COMPUTED_VALUE"""),"https://conversioncreative.com.au/agencies/adgility/")</f>
        <v>https://conversioncreative.com.au/agencies/adgility/</v>
      </c>
      <c r="B79" s="7" t="str">
        <f>IFERROR(__xludf.DUMMYFUNCTION("""COMPUTED_VALUE"""),"Adgility - Conversion Creative")</f>
        <v>Adgility - Conversion Creative</v>
      </c>
      <c r="C79" s="6" t="str">
        <f>IFERROR(__xludf.DUMMYFUNCTION("""COMPUTED_VALUE"""),"conversioncreative.com.au")</f>
        <v>conversioncreative.com.au</v>
      </c>
      <c r="D79" s="7" t="str">
        <f>IFERROR(__xludf.DUMMYFUNCTION("""COMPUTED_VALUE"""),"PROFILE")</f>
        <v>PROFILE</v>
      </c>
      <c r="E79" s="7" t="str">
        <f>IFERROR(__xludf.DUMMYFUNCTION("""COMPUTED_VALUE"""),"CORPORATE")</f>
        <v>CORPORATE</v>
      </c>
      <c r="F79" s="7" t="str">
        <f>IFERROR(__xludf.DUMMYFUNCTION("""COMPUTED_VALUE"""),"Profile")</f>
        <v>Profile</v>
      </c>
      <c r="G79" s="7" t="b">
        <f>IFERROR(__xludf.DUMMYFUNCTION("""COMPUTED_VALUE"""),FALSE)</f>
        <v>0</v>
      </c>
      <c r="H79" s="7"/>
      <c r="I79" s="7">
        <f>IFERROR(__xludf.DUMMYFUNCTION("""COMPUTED_VALUE"""),1.0)</f>
        <v>1</v>
      </c>
      <c r="J79" s="7">
        <f>IFERROR(__xludf.DUMMYFUNCTION("""COMPUTED_VALUE"""),0.0)</f>
        <v>0</v>
      </c>
      <c r="K79" s="7">
        <f>IFERROR(__xludf.DUMMYFUNCTION("""COMPUTED_VALUE"""),1.0)</f>
        <v>1</v>
      </c>
    </row>
    <row r="80" ht="15.75" customHeight="1">
      <c r="A80" s="6" t="str">
        <f>IFERROR(__xludf.DUMMYFUNCTION("""COMPUTED_VALUE"""),"https://defencesa.com/industry/industry-directory/customs-agency-services-pty-ltd/")</f>
        <v>https://defencesa.com/industry/industry-directory/customs-agency-services-pty-ltd/</v>
      </c>
      <c r="B80" s="7" t="str">
        <f>IFERROR(__xludf.DUMMYFUNCTION("""COMPUTED_VALUE"""),"Customs Agency Services PTY LTD – Defence SA")</f>
        <v>Customs Agency Services PTY LTD – Defence SA</v>
      </c>
      <c r="C80" s="6" t="str">
        <f>IFERROR(__xludf.DUMMYFUNCTION("""COMPUTED_VALUE"""),"defencesa.com")</f>
        <v>defencesa.com</v>
      </c>
      <c r="D80" s="7" t="str">
        <f>IFERROR(__xludf.DUMMYFUNCTION("""COMPUTED_VALUE"""),"PROFILE")</f>
        <v>PROFILE</v>
      </c>
      <c r="E80" s="7" t="str">
        <f>IFERROR(__xludf.DUMMYFUNCTION("""COMPUTED_VALUE"""),"INSTITUTIONAL")</f>
        <v>INSTITUTIONAL</v>
      </c>
      <c r="F80" s="7" t="str">
        <f>IFERROR(__xludf.DUMMYFUNCTION("""COMPUTED_VALUE"""),"Profile")</f>
        <v>Profile</v>
      </c>
      <c r="G80" s="7" t="b">
        <f>IFERROR(__xludf.DUMMYFUNCTION("""COMPUTED_VALUE"""),FALSE)</f>
        <v>0</v>
      </c>
      <c r="H80" s="7"/>
      <c r="I80" s="7">
        <f>IFERROR(__xludf.DUMMYFUNCTION("""COMPUTED_VALUE"""),1.0)</f>
        <v>1</v>
      </c>
      <c r="J80" s="7">
        <f>IFERROR(__xludf.DUMMYFUNCTION("""COMPUTED_VALUE"""),0.0)</f>
        <v>0</v>
      </c>
      <c r="K80" s="7">
        <f>IFERROR(__xludf.DUMMYFUNCTION("""COMPUTED_VALUE"""),1.0)</f>
        <v>1</v>
      </c>
    </row>
    <row r="81" ht="15.75" customHeight="1">
      <c r="A81" s="6" t="str">
        <f>IFERROR(__xludf.DUMMYFUNCTION("""COMPUTED_VALUE"""),"https://www.dentsu.com/au/en/solutions/global-alliance-partners/google")</f>
        <v>https://www.dentsu.com/au/en/solutions/global-alliance-partners/google</v>
      </c>
      <c r="B81" s="7" t="str">
        <f>IFERROR(__xludf.DUMMYFUNCTION("""COMPUTED_VALUE"""),"dentsu")</f>
        <v>dentsu</v>
      </c>
      <c r="C81" s="6" t="str">
        <f>IFERROR(__xludf.DUMMYFUNCTION("""COMPUTED_VALUE"""),"dentsu.com")</f>
        <v>dentsu.com</v>
      </c>
      <c r="D81" s="7" t="str">
        <f>IFERROR(__xludf.DUMMYFUNCTION("""COMPUTED_VALUE"""),"PROFILE")</f>
        <v>PROFILE</v>
      </c>
      <c r="E81" s="7" t="str">
        <f>IFERROR(__xludf.DUMMYFUNCTION("""COMPUTED_VALUE"""),"COMPETITOR")</f>
        <v>COMPETITOR</v>
      </c>
      <c r="F81" s="7" t="str">
        <f>IFERROR(__xludf.DUMMYFUNCTION("""COMPUTED_VALUE"""),"Profile")</f>
        <v>Profile</v>
      </c>
      <c r="G81" s="7" t="b">
        <f>IFERROR(__xludf.DUMMYFUNCTION("""COMPUTED_VALUE"""),FALSE)</f>
        <v>0</v>
      </c>
      <c r="H81" s="7" t="str">
        <f>IFERROR(__xludf.DUMMYFUNCTION("""COMPUTED_VALUE"""),"Dentsu")</f>
        <v>Dentsu</v>
      </c>
      <c r="I81" s="7">
        <f>IFERROR(__xludf.DUMMYFUNCTION("""COMPUTED_VALUE"""),1.0)</f>
        <v>1</v>
      </c>
      <c r="J81" s="7">
        <f>IFERROR(__xludf.DUMMYFUNCTION("""COMPUTED_VALUE"""),0.0)</f>
        <v>0</v>
      </c>
      <c r="K81" s="7">
        <f>IFERROR(__xludf.DUMMYFUNCTION("""COMPUTED_VALUE"""),1.0)</f>
        <v>1</v>
      </c>
    </row>
    <row r="82" ht="15.75" customHeight="1">
      <c r="A82" s="6" t="str">
        <f>IFERROR(__xludf.DUMMYFUNCTION("""COMPUTED_VALUE"""),"https://www.deptagency.com/en-au/partner/google/")</f>
        <v>https://www.deptagency.com/en-au/partner/google/</v>
      </c>
      <c r="B82" s="7" t="str">
        <f>IFERROR(__xludf.DUMMYFUNCTION("""COMPUTED_VALUE"""),"Google Premier Partner - GMP &amp;amp; GCP - DEPT®")</f>
        <v>Google Premier Partner - GMP &amp;amp; GCP - DEPT®</v>
      </c>
      <c r="C82" s="6" t="str">
        <f>IFERROR(__xludf.DUMMYFUNCTION("""COMPUTED_VALUE"""),"deptagency.com")</f>
        <v>deptagency.com</v>
      </c>
      <c r="D82" s="7" t="str">
        <f>IFERROR(__xludf.DUMMYFUNCTION("""COMPUTED_VALUE"""),"PROFILE")</f>
        <v>PROFILE</v>
      </c>
      <c r="E82" s="7" t="str">
        <f>IFERROR(__xludf.DUMMYFUNCTION("""COMPUTED_VALUE"""),"CORPORATE")</f>
        <v>CORPORATE</v>
      </c>
      <c r="F82" s="7" t="str">
        <f>IFERROR(__xludf.DUMMYFUNCTION("""COMPUTED_VALUE"""),"Profile")</f>
        <v>Profile</v>
      </c>
      <c r="G82" s="7" t="b">
        <f>IFERROR(__xludf.DUMMYFUNCTION("""COMPUTED_VALUE"""),FALSE)</f>
        <v>0</v>
      </c>
      <c r="H82" s="7"/>
      <c r="I82" s="7">
        <f>IFERROR(__xludf.DUMMYFUNCTION("""COMPUTED_VALUE"""),1.0)</f>
        <v>1</v>
      </c>
      <c r="J82" s="7">
        <f>IFERROR(__xludf.DUMMYFUNCTION("""COMPUTED_VALUE"""),0.0)</f>
        <v>0</v>
      </c>
      <c r="K82" s="7">
        <f>IFERROR(__xludf.DUMMYFUNCTION("""COMPUTED_VALUE"""),0.0)</f>
        <v>0</v>
      </c>
    </row>
    <row r="83" ht="15.75" customHeight="1">
      <c r="A83" s="6" t="str">
        <f>IFERROR(__xludf.DUMMYFUNCTION("""COMPUTED_VALUE"""),"https://www.deptagency.com/partner/google/")</f>
        <v>https://www.deptagency.com/partner/google/</v>
      </c>
      <c r="B83" s="7" t="str">
        <f>IFERROR(__xludf.DUMMYFUNCTION("""COMPUTED_VALUE"""),"Google Premier Partner | Reseller | GMP &amp;amp; GCP - DEPT®")</f>
        <v>Google Premier Partner | Reseller | GMP &amp;amp; GCP - DEPT®</v>
      </c>
      <c r="C83" s="6" t="str">
        <f>IFERROR(__xludf.DUMMYFUNCTION("""COMPUTED_VALUE"""),"deptagency.com")</f>
        <v>deptagency.com</v>
      </c>
      <c r="D83" s="7" t="str">
        <f>IFERROR(__xludf.DUMMYFUNCTION("""COMPUTED_VALUE"""),"PROFILE")</f>
        <v>PROFILE</v>
      </c>
      <c r="E83" s="7" t="str">
        <f>IFERROR(__xludf.DUMMYFUNCTION("""COMPUTED_VALUE"""),"CORPORATE")</f>
        <v>CORPORATE</v>
      </c>
      <c r="F83" s="7" t="str">
        <f>IFERROR(__xludf.DUMMYFUNCTION("""COMPUTED_VALUE"""),"Profile")</f>
        <v>Profile</v>
      </c>
      <c r="G83" s="7" t="b">
        <f>IFERROR(__xludf.DUMMYFUNCTION("""COMPUTED_VALUE"""),FALSE)</f>
        <v>0</v>
      </c>
      <c r="H83" s="7"/>
      <c r="I83" s="7">
        <f>IFERROR(__xludf.DUMMYFUNCTION("""COMPUTED_VALUE"""),1.0)</f>
        <v>1</v>
      </c>
      <c r="J83" s="7">
        <f>IFERROR(__xludf.DUMMYFUNCTION("""COMPUTED_VALUE"""),0.0)</f>
        <v>0</v>
      </c>
      <c r="K83" s="7">
        <f>IFERROR(__xludf.DUMMYFUNCTION("""COMPUTED_VALUE"""),0.0)</f>
        <v>0</v>
      </c>
    </row>
    <row r="84" ht="15.75" customHeight="1">
      <c r="A84" s="6" t="str">
        <f>IFERROR(__xludf.DUMMYFUNCTION("""COMPUTED_VALUE"""),"https://digitalagencynetwork.com/agency/alpha-digital/")</f>
        <v>https://digitalagencynetwork.com/agency/alpha-digital/</v>
      </c>
      <c r="B84" s="7" t="str">
        <f>IFERROR(__xludf.DUMMYFUNCTION("""COMPUTED_VALUE"""),"Alpha Digital Agency | Digital Agency Network")</f>
        <v>Alpha Digital Agency | Digital Agency Network</v>
      </c>
      <c r="C84" s="6" t="str">
        <f>IFERROR(__xludf.DUMMYFUNCTION("""COMPUTED_VALUE"""),"digitalagencynetwork.com")</f>
        <v>digitalagencynetwork.com</v>
      </c>
      <c r="D84" s="7" t="str">
        <f>IFERROR(__xludf.DUMMYFUNCTION("""COMPUTED_VALUE"""),"PROFILE")</f>
        <v>PROFILE</v>
      </c>
      <c r="E84" s="7" t="str">
        <f>IFERROR(__xludf.DUMMYFUNCTION("""COMPUTED_VALUE"""),"REFERENCE")</f>
        <v>REFERENCE</v>
      </c>
      <c r="F84" s="7" t="str">
        <f>IFERROR(__xludf.DUMMYFUNCTION("""COMPUTED_VALUE"""),"Profile")</f>
        <v>Profile</v>
      </c>
      <c r="G84" s="7" t="b">
        <f>IFERROR(__xludf.DUMMYFUNCTION("""COMPUTED_VALUE"""),FALSE)</f>
        <v>0</v>
      </c>
      <c r="H84" s="7" t="str">
        <f>IFERROR(__xludf.DUMMYFUNCTION("""COMPUTED_VALUE"""),"Alpha Digital")</f>
        <v>Alpha Digital</v>
      </c>
      <c r="I84" s="7">
        <f>IFERROR(__xludf.DUMMYFUNCTION("""COMPUTED_VALUE"""),1.0)</f>
        <v>1</v>
      </c>
      <c r="J84" s="7">
        <f>IFERROR(__xludf.DUMMYFUNCTION("""COMPUTED_VALUE"""),0.0)</f>
        <v>0</v>
      </c>
      <c r="K84" s="7">
        <f>IFERROR(__xludf.DUMMYFUNCTION("""COMPUTED_VALUE"""),1.0)</f>
        <v>1</v>
      </c>
    </row>
    <row r="85" ht="15.75" customHeight="1">
      <c r="A85" s="6" t="str">
        <f>IFERROR(__xludf.DUMMYFUNCTION("""COMPUTED_VALUE"""),"https://directory.esomar.org/search/%2A?from=5")</f>
        <v>https://directory.esomar.org/search/%2A?from=5</v>
      </c>
      <c r="B85" s="7" t="str">
        <f>IFERROR(__xludf.DUMMYFUNCTION("""COMPUTED_VALUE"""),"ESOMAR \| Directory")</f>
        <v>ESOMAR \| Directory</v>
      </c>
      <c r="C85" s="6" t="str">
        <f>IFERROR(__xludf.DUMMYFUNCTION("""COMPUTED_VALUE"""),"esomar.org")</f>
        <v>esomar.org</v>
      </c>
      <c r="D85" s="7" t="str">
        <f>IFERROR(__xludf.DUMMYFUNCTION("""COMPUTED_VALUE"""),"PROFILE")</f>
        <v>PROFILE</v>
      </c>
      <c r="E85" s="7" t="str">
        <f>IFERROR(__xludf.DUMMYFUNCTION("""COMPUTED_VALUE"""),"INSTITUTIONAL")</f>
        <v>INSTITUTIONAL</v>
      </c>
      <c r="F85" s="7" t="str">
        <f>IFERROR(__xludf.DUMMYFUNCTION("""COMPUTED_VALUE"""),"Profile")</f>
        <v>Profile</v>
      </c>
      <c r="G85" s="7" t="b">
        <f>IFERROR(__xludf.DUMMYFUNCTION("""COMPUTED_VALUE"""),FALSE)</f>
        <v>0</v>
      </c>
      <c r="H85" s="7"/>
      <c r="I85" s="7">
        <f>IFERROR(__xludf.DUMMYFUNCTION("""COMPUTED_VALUE"""),1.0)</f>
        <v>1</v>
      </c>
      <c r="J85" s="7">
        <f>IFERROR(__xludf.DUMMYFUNCTION("""COMPUTED_VALUE"""),0.0)</f>
        <v>0</v>
      </c>
      <c r="K85" s="7">
        <f>IFERROR(__xludf.DUMMYFUNCTION("""COMPUTED_VALUE"""),2.0)</f>
        <v>2</v>
      </c>
    </row>
    <row r="86" ht="15.75" customHeight="1">
      <c r="A86" s="6" t="str">
        <f>IFERROR(__xludf.DUMMYFUNCTION("""COMPUTED_VALUE"""),"https://edisonai.au/about")</f>
        <v>https://edisonai.au/about</v>
      </c>
      <c r="B86" s="7" t="str">
        <f>IFERROR(__xludf.DUMMYFUNCTION("""COMPUTED_VALUE"""),"About Edison AI. Founder-led AI implementation and training")</f>
        <v>About Edison AI. Founder-led AI implementation and training</v>
      </c>
      <c r="C86" s="6" t="str">
        <f>IFERROR(__xludf.DUMMYFUNCTION("""COMPUTED_VALUE"""),"edisonai.au")</f>
        <v>edisonai.au</v>
      </c>
      <c r="D86" s="7" t="str">
        <f>IFERROR(__xludf.DUMMYFUNCTION("""COMPUTED_VALUE"""),"PROFILE")</f>
        <v>PROFILE</v>
      </c>
      <c r="E86" s="7" t="str">
        <f>IFERROR(__xludf.DUMMYFUNCTION("""COMPUTED_VALUE"""),"CORPORATE")</f>
        <v>CORPORATE</v>
      </c>
      <c r="F86" s="7" t="str">
        <f>IFERROR(__xludf.DUMMYFUNCTION("""COMPUTED_VALUE"""),"Profile")</f>
        <v>Profile</v>
      </c>
      <c r="G86" s="7" t="b">
        <f>IFERROR(__xludf.DUMMYFUNCTION("""COMPUTED_VALUE"""),FALSE)</f>
        <v>0</v>
      </c>
      <c r="H86" s="7" t="str">
        <f>IFERROR(__xludf.DUMMYFUNCTION("""COMPUTED_VALUE"""),"Edison AI")</f>
        <v>Edison AI</v>
      </c>
      <c r="I86" s="7">
        <f>IFERROR(__xludf.DUMMYFUNCTION("""COMPUTED_VALUE"""),1.0)</f>
        <v>1</v>
      </c>
      <c r="J86" s="7">
        <f>IFERROR(__xludf.DUMMYFUNCTION("""COMPUTED_VALUE"""),0.0)</f>
        <v>0</v>
      </c>
      <c r="K86" s="7">
        <f>IFERROR(__xludf.DUMMYFUNCTION("""COMPUTED_VALUE"""),1.0)</f>
        <v>1</v>
      </c>
    </row>
    <row r="87" ht="15.75" customHeight="1">
      <c r="A87" s="6" t="str">
        <f>IFERROR(__xludf.DUMMYFUNCTION("""COMPUTED_VALUE"""),"https://www.goodfirms.co/artificial-intelligence/ai-consulting")</f>
        <v>https://www.goodfirms.co/artificial-intelligence/ai-consulting</v>
      </c>
      <c r="B87" s="7" t="str">
        <f>IFERROR(__xludf.DUMMYFUNCTION("""COMPUTED_VALUE"""),"Top 10+ AI Consulting Companies - 2026 Reviews | Goodfirms")</f>
        <v>Top 10+ AI Consulting Companies - 2026 Reviews | Goodfirms</v>
      </c>
      <c r="C87" s="6" t="str">
        <f>IFERROR(__xludf.DUMMYFUNCTION("""COMPUTED_VALUE"""),"goodfirms.co")</f>
        <v>goodfirms.co</v>
      </c>
      <c r="D87" s="7" t="str">
        <f>IFERROR(__xludf.DUMMYFUNCTION("""COMPUTED_VALUE"""),"PROFILE")</f>
        <v>PROFILE</v>
      </c>
      <c r="E87" s="7" t="str">
        <f>IFERROR(__xludf.DUMMYFUNCTION("""COMPUTED_VALUE"""),"UGC")</f>
        <v>UGC</v>
      </c>
      <c r="F87" s="7" t="str">
        <f>IFERROR(__xludf.DUMMYFUNCTION("""COMPUTED_VALUE"""),"Profile")</f>
        <v>Profile</v>
      </c>
      <c r="G87" s="7" t="b">
        <f>IFERROR(__xludf.DUMMYFUNCTION("""COMPUTED_VALUE"""),FALSE)</f>
        <v>0</v>
      </c>
      <c r="H87" s="7" t="str">
        <f>IFERROR(__xludf.DUMMYFUNCTION("""COMPUTED_VALUE"""),"Impressive, Team 400")</f>
        <v>Impressive, Team 400</v>
      </c>
      <c r="I87" s="7">
        <f>IFERROR(__xludf.DUMMYFUNCTION("""COMPUTED_VALUE"""),1.0)</f>
        <v>1</v>
      </c>
      <c r="J87" s="7">
        <f>IFERROR(__xludf.DUMMYFUNCTION("""COMPUTED_VALUE"""),0.0)</f>
        <v>0</v>
      </c>
      <c r="K87" s="7">
        <f>IFERROR(__xludf.DUMMYFUNCTION("""COMPUTED_VALUE"""),0.0)</f>
        <v>0</v>
      </c>
    </row>
    <row r="88" ht="15.75" customHeight="1">
      <c r="A88" s="6" t="str">
        <f>IFERROR(__xludf.DUMMYFUNCTION("""COMPUTED_VALUE"""),"https://gorilla360.com.au/instagram-advertising/")</f>
        <v>https://gorilla360.com.au/instagram-advertising/</v>
      </c>
      <c r="B88" s="7" t="str">
        <f>IFERROR(__xludf.DUMMYFUNCTION("""COMPUTED_VALUE"""),"Instagram Ads Agency [Get Real Results] Gorilla 360")</f>
        <v>Instagram Ads Agency [Get Real Results] Gorilla 360</v>
      </c>
      <c r="C88" s="6" t="str">
        <f>IFERROR(__xludf.DUMMYFUNCTION("""COMPUTED_VALUE"""),"gorilla360.com.au")</f>
        <v>gorilla360.com.au</v>
      </c>
      <c r="D88" s="7" t="str">
        <f>IFERROR(__xludf.DUMMYFUNCTION("""COMPUTED_VALUE"""),"PROFILE")</f>
        <v>PROFILE</v>
      </c>
      <c r="E88" s="7" t="str">
        <f>IFERROR(__xludf.DUMMYFUNCTION("""COMPUTED_VALUE"""),"COMPETITOR")</f>
        <v>COMPETITOR</v>
      </c>
      <c r="F88" s="7" t="str">
        <f>IFERROR(__xludf.DUMMYFUNCTION("""COMPUTED_VALUE"""),"Profile")</f>
        <v>Profile</v>
      </c>
      <c r="G88" s="7" t="b">
        <f>IFERROR(__xludf.DUMMYFUNCTION("""COMPUTED_VALUE"""),FALSE)</f>
        <v>0</v>
      </c>
      <c r="H88" s="7" t="str">
        <f>IFERROR(__xludf.DUMMYFUNCTION("""COMPUTED_VALUE"""),"Gorilla 360, Impressive")</f>
        <v>Gorilla 360, Impressive</v>
      </c>
      <c r="I88" s="7">
        <f>IFERROR(__xludf.DUMMYFUNCTION("""COMPUTED_VALUE"""),1.0)</f>
        <v>1</v>
      </c>
      <c r="J88" s="7">
        <f>IFERROR(__xludf.DUMMYFUNCTION("""COMPUTED_VALUE"""),0.0)</f>
        <v>0</v>
      </c>
      <c r="K88" s="7">
        <f>IFERROR(__xludf.DUMMYFUNCTION("""COMPUTED_VALUE"""),0.0)</f>
        <v>0</v>
      </c>
    </row>
    <row r="89" ht="15.75" customHeight="1">
      <c r="A89" s="6" t="str">
        <f>IFERROR(__xludf.DUMMYFUNCTION("""COMPUTED_VALUE"""),"https://www.growthaffect.com.au/pages/about-us")</f>
        <v>https://www.growthaffect.com.au/pages/about-us</v>
      </c>
      <c r="B89" s="7" t="str">
        <f>IFERROR(__xludf.DUMMYFUNCTION("""COMPUTED_VALUE"""),"About Growth Affect CRO | Conversion Rate Optimisation Agency")</f>
        <v>About Growth Affect CRO | Conversion Rate Optimisation Agency</v>
      </c>
      <c r="C89" s="6" t="str">
        <f>IFERROR(__xludf.DUMMYFUNCTION("""COMPUTED_VALUE"""),"growthaffect.com.au")</f>
        <v>growthaffect.com.au</v>
      </c>
      <c r="D89" s="7" t="str">
        <f>IFERROR(__xludf.DUMMYFUNCTION("""COMPUTED_VALUE"""),"PROFILE")</f>
        <v>PROFILE</v>
      </c>
      <c r="E89" s="7" t="str">
        <f>IFERROR(__xludf.DUMMYFUNCTION("""COMPUTED_VALUE"""),"CORPORATE")</f>
        <v>CORPORATE</v>
      </c>
      <c r="F89" s="7" t="str">
        <f>IFERROR(__xludf.DUMMYFUNCTION("""COMPUTED_VALUE"""),"Profile")</f>
        <v>Profile</v>
      </c>
      <c r="G89" s="7" t="b">
        <f>IFERROR(__xludf.DUMMYFUNCTION("""COMPUTED_VALUE"""),FALSE)</f>
        <v>0</v>
      </c>
      <c r="H89" s="7"/>
      <c r="I89" s="7">
        <f>IFERROR(__xludf.DUMMYFUNCTION("""COMPUTED_VALUE"""),1.0)</f>
        <v>1</v>
      </c>
      <c r="J89" s="7">
        <f>IFERROR(__xludf.DUMMYFUNCTION("""COMPUTED_VALUE"""),0.0)</f>
        <v>0</v>
      </c>
      <c r="K89" s="7">
        <f>IFERROR(__xludf.DUMMYFUNCTION("""COMPUTED_VALUE"""),4.0)</f>
        <v>4</v>
      </c>
    </row>
    <row r="90" ht="15.75" customHeight="1">
      <c r="A90" s="6" t="str">
        <f>IFERROR(__xludf.DUMMYFUNCTION("""COMPUTED_VALUE"""),"https://www.intelliagent.com.au/about")</f>
        <v>https://www.intelliagent.com.au/about</v>
      </c>
      <c r="B90" s="7" t="str">
        <f>IFERROR(__xludf.DUMMYFUNCTION("""COMPUTED_VALUE"""),"About IntelliAgent | AI Consulting for Australian Businesses")</f>
        <v>About IntelliAgent | AI Consulting for Australian Businesses</v>
      </c>
      <c r="C90" s="6" t="str">
        <f>IFERROR(__xludf.DUMMYFUNCTION("""COMPUTED_VALUE"""),"intelliagent.com.au")</f>
        <v>intelliagent.com.au</v>
      </c>
      <c r="D90" s="7" t="str">
        <f>IFERROR(__xludf.DUMMYFUNCTION("""COMPUTED_VALUE"""),"PROFILE")</f>
        <v>PROFILE</v>
      </c>
      <c r="E90" s="7" t="str">
        <f>IFERROR(__xludf.DUMMYFUNCTION("""COMPUTED_VALUE"""),"CORPORATE")</f>
        <v>CORPORATE</v>
      </c>
      <c r="F90" s="7" t="str">
        <f>IFERROR(__xludf.DUMMYFUNCTION("""COMPUTED_VALUE"""),"Profile")</f>
        <v>Profile</v>
      </c>
      <c r="G90" s="7" t="b">
        <f>IFERROR(__xludf.DUMMYFUNCTION("""COMPUTED_VALUE"""),FALSE)</f>
        <v>0</v>
      </c>
      <c r="H90" s="7"/>
      <c r="I90" s="7">
        <f>IFERROR(__xludf.DUMMYFUNCTION("""COMPUTED_VALUE"""),1.0)</f>
        <v>1</v>
      </c>
      <c r="J90" s="7">
        <f>IFERROR(__xludf.DUMMYFUNCTION("""COMPUTED_VALUE"""),0.0)</f>
        <v>0</v>
      </c>
      <c r="K90" s="7">
        <f>IFERROR(__xludf.DUMMYFUNCTION("""COMPUTED_VALUE"""),1.0)</f>
        <v>1</v>
      </c>
    </row>
    <row r="91" ht="15.75" customHeight="1">
      <c r="A91" s="6" t="str">
        <f>IFERROR(__xludf.DUMMYFUNCTION("""COMPUTED_VALUE"""),"https://lengreo.com/australia-adelaide-aeo-geo-llmo-companies/")</f>
        <v>https://lengreo.com/australia-adelaide-aeo-geo-llmo-companies/</v>
      </c>
      <c r="B91" s="7" t="str">
        <f>IFERROR(__xludf.DUMMYFUNCTION("""COMPUTED_VALUE"""),"Top 5 AEO, LLMO and GEO Companies in Adelaide, Australia (2026)")</f>
        <v>Top 5 AEO, LLMO and GEO Companies in Adelaide, Australia (2026)</v>
      </c>
      <c r="C91" s="6" t="str">
        <f>IFERROR(__xludf.DUMMYFUNCTION("""COMPUTED_VALUE"""),"lengreo.com")</f>
        <v>lengreo.com</v>
      </c>
      <c r="D91" s="7" t="str">
        <f>IFERROR(__xludf.DUMMYFUNCTION("""COMPUTED_VALUE"""),"PROFILE")</f>
        <v>PROFILE</v>
      </c>
      <c r="E91" s="7" t="str">
        <f>IFERROR(__xludf.DUMMYFUNCTION("""COMPUTED_VALUE"""),"CORPORATE")</f>
        <v>CORPORATE</v>
      </c>
      <c r="F91" s="7" t="str">
        <f>IFERROR(__xludf.DUMMYFUNCTION("""COMPUTED_VALUE"""),"Profile")</f>
        <v>Profile</v>
      </c>
      <c r="G91" s="7" t="b">
        <f>IFERROR(__xludf.DUMMYFUNCTION("""COMPUTED_VALUE"""),FALSE)</f>
        <v>0</v>
      </c>
      <c r="H91" s="7"/>
      <c r="I91" s="7">
        <f>IFERROR(__xludf.DUMMYFUNCTION("""COMPUTED_VALUE"""),1.0)</f>
        <v>1</v>
      </c>
      <c r="J91" s="7">
        <f>IFERROR(__xludf.DUMMYFUNCTION("""COMPUTED_VALUE"""),0.0)</f>
        <v>0</v>
      </c>
      <c r="K91" s="7">
        <f>IFERROR(__xludf.DUMMYFUNCTION("""COMPUTED_VALUE"""),1.0)</f>
        <v>1</v>
      </c>
    </row>
    <row r="92" ht="15.75" customHeight="1">
      <c r="A92" s="6" t="str">
        <f>IFERROR(__xludf.DUMMYFUNCTION("""COMPUTED_VALUE"""),"https://lengreo.com/australia-melbourne-aeo-geo-llmo-companies/")</f>
        <v>https://lengreo.com/australia-melbourne-aeo-geo-llmo-companies/</v>
      </c>
      <c r="B92" s="7" t="str">
        <f>IFERROR(__xludf.DUMMYFUNCTION("""COMPUTED_VALUE"""),"Top 7 AEO, GEO &amp;amp; LLMO Companies in Melbourne, Australia (2026)")</f>
        <v>Top 7 AEO, GEO &amp;amp; LLMO Companies in Melbourne, Australia (2026)</v>
      </c>
      <c r="C92" s="6" t="str">
        <f>IFERROR(__xludf.DUMMYFUNCTION("""COMPUTED_VALUE"""),"lengreo.com")</f>
        <v>lengreo.com</v>
      </c>
      <c r="D92" s="7" t="str">
        <f>IFERROR(__xludf.DUMMYFUNCTION("""COMPUTED_VALUE"""),"PROFILE")</f>
        <v>PROFILE</v>
      </c>
      <c r="E92" s="7" t="str">
        <f>IFERROR(__xludf.DUMMYFUNCTION("""COMPUTED_VALUE"""),"CORPORATE")</f>
        <v>CORPORATE</v>
      </c>
      <c r="F92" s="7" t="str">
        <f>IFERROR(__xludf.DUMMYFUNCTION("""COMPUTED_VALUE"""),"Profile")</f>
        <v>Profile</v>
      </c>
      <c r="G92" s="7" t="b">
        <f>IFERROR(__xludf.DUMMYFUNCTION("""COMPUTED_VALUE"""),FALSE)</f>
        <v>0</v>
      </c>
      <c r="H92" s="7" t="str">
        <f>IFERROR(__xludf.DUMMYFUNCTION("""COMPUTED_VALUE"""),"Predicta Digital, Luminary, Salt &amp; Fuessel")</f>
        <v>Predicta Digital, Luminary, Salt &amp; Fuessel</v>
      </c>
      <c r="I92" s="7">
        <f>IFERROR(__xludf.DUMMYFUNCTION("""COMPUTED_VALUE"""),1.0)</f>
        <v>1</v>
      </c>
      <c r="J92" s="7">
        <f>IFERROR(__xludf.DUMMYFUNCTION("""COMPUTED_VALUE"""),0.0)</f>
        <v>0</v>
      </c>
      <c r="K92" s="7">
        <f>IFERROR(__xludf.DUMMYFUNCTION("""COMPUTED_VALUE"""),1.0)</f>
        <v>1</v>
      </c>
    </row>
    <row r="93" ht="15.75" customHeight="1">
      <c r="A93" s="6" t="str">
        <f>IFERROR(__xludf.DUMMYFUNCTION("""COMPUTED_VALUE"""),"https://luckyboy.agency/advertising-agency-collingwood")</f>
        <v>https://luckyboy.agency/advertising-agency-collingwood</v>
      </c>
      <c r="B93" s="7" t="str">
        <f>IFERROR(__xludf.DUMMYFUNCTION("""COMPUTED_VALUE"""),"Advertising Agency Collingwood, Melbourne | Lucky Boy Agency | Lucky Boy Agency")</f>
        <v>Advertising Agency Collingwood, Melbourne | Lucky Boy Agency | Lucky Boy Agency</v>
      </c>
      <c r="C93" s="7" t="str">
        <f>IFERROR(__xludf.DUMMYFUNCTION("""COMPUTED_VALUE"""),"luckyboy.agency")</f>
        <v>luckyboy.agency</v>
      </c>
      <c r="D93" s="7" t="str">
        <f>IFERROR(__xludf.DUMMYFUNCTION("""COMPUTED_VALUE"""),"PROFILE")</f>
        <v>PROFILE</v>
      </c>
      <c r="E93" s="7" t="str">
        <f>IFERROR(__xludf.DUMMYFUNCTION("""COMPUTED_VALUE"""),"CORPORATE")</f>
        <v>CORPORATE</v>
      </c>
      <c r="F93" s="7" t="str">
        <f>IFERROR(__xludf.DUMMYFUNCTION("""COMPUTED_VALUE"""),"Profile")</f>
        <v>Profile</v>
      </c>
      <c r="G93" s="7" t="b">
        <f>IFERROR(__xludf.DUMMYFUNCTION("""COMPUTED_VALUE"""),FALSE)</f>
        <v>0</v>
      </c>
      <c r="H93" s="7" t="str">
        <f>IFERROR(__xludf.DUMMYFUNCTION("""COMPUTED_VALUE"""),"HERO")</f>
        <v>HERO</v>
      </c>
      <c r="I93" s="7">
        <f>IFERROR(__xludf.DUMMYFUNCTION("""COMPUTED_VALUE"""),1.0)</f>
        <v>1</v>
      </c>
      <c r="J93" s="7">
        <f>IFERROR(__xludf.DUMMYFUNCTION("""COMPUTED_VALUE"""),0.0)</f>
        <v>0</v>
      </c>
      <c r="K93" s="7">
        <f>IFERROR(__xludf.DUMMYFUNCTION("""COMPUTED_VALUE"""),0.0)</f>
        <v>0</v>
      </c>
    </row>
    <row r="94" ht="15.75" customHeight="1">
      <c r="A94" s="6" t="str">
        <f>IFERROR(__xludf.DUMMYFUNCTION("""COMPUTED_VALUE"""),"https://m.yelp.com/biz/loves-data-pty-ltd-mosman")</f>
        <v>https://m.yelp.com/biz/loves-data-pty-ltd-mosman</v>
      </c>
      <c r="B94" s="7" t="str">
        <f>IFERROR(__xludf.DUMMYFUNCTION("""COMPUTED_VALUE"""),"LOVES DATA PTY LTD - Updated July 2026 - 1110 Middle Head Rd Cnr, Mosman New South Wales, Australia - Marketing - Phone Number - Yelp")</f>
        <v>LOVES DATA PTY LTD - Updated July 2026 - 1110 Middle Head Rd Cnr, Mosman New South Wales, Australia - Marketing - Phone Number - Yelp</v>
      </c>
      <c r="C94" s="6" t="str">
        <f>IFERROR(__xludf.DUMMYFUNCTION("""COMPUTED_VALUE"""),"yelp.com")</f>
        <v>yelp.com</v>
      </c>
      <c r="D94" s="7" t="str">
        <f>IFERROR(__xludf.DUMMYFUNCTION("""COMPUTED_VALUE"""),"PROFILE")</f>
        <v>PROFILE</v>
      </c>
      <c r="E94" s="7" t="str">
        <f>IFERROR(__xludf.DUMMYFUNCTION("""COMPUTED_VALUE"""),"UGC")</f>
        <v>UGC</v>
      </c>
      <c r="F94" s="7" t="str">
        <f>IFERROR(__xludf.DUMMYFUNCTION("""COMPUTED_VALUE"""),"Profile")</f>
        <v>Profile</v>
      </c>
      <c r="G94" s="7" t="b">
        <f>IFERROR(__xludf.DUMMYFUNCTION("""COMPUTED_VALUE"""),FALSE)</f>
        <v>0</v>
      </c>
      <c r="H94" s="7" t="str">
        <f>IFERROR(__xludf.DUMMYFUNCTION("""COMPUTED_VALUE"""),"Loves Data")</f>
        <v>Loves Data</v>
      </c>
      <c r="I94" s="7">
        <f>IFERROR(__xludf.DUMMYFUNCTION("""COMPUTED_VALUE"""),1.0)</f>
        <v>1</v>
      </c>
      <c r="J94" s="7">
        <f>IFERROR(__xludf.DUMMYFUNCTION("""COMPUTED_VALUE"""),0.0)</f>
        <v>0</v>
      </c>
      <c r="K94" s="7">
        <f>IFERROR(__xludf.DUMMYFUNCTION("""COMPUTED_VALUE"""),1.0)</f>
        <v>1</v>
      </c>
    </row>
    <row r="95" ht="15.75" customHeight="1">
      <c r="A95" s="6" t="str">
        <f>IFERROR(__xludf.DUMMYFUNCTION("""COMPUTED_VALUE"""),"https://mantelgroup.com.au/services/ai/")</f>
        <v>https://mantelgroup.com.au/services/ai/</v>
      </c>
      <c r="B95" s="7" t="str">
        <f>IFERROR(__xludf.DUMMYFUNCTION("""COMPUTED_VALUE"""),"AI Consulting Services &amp;amp; Solutions | Artificial Intelligence Experts | Mantel")</f>
        <v>AI Consulting Services &amp;amp; Solutions | Artificial Intelligence Experts | Mantel</v>
      </c>
      <c r="C95" s="6" t="str">
        <f>IFERROR(__xludf.DUMMYFUNCTION("""COMPUTED_VALUE"""),"mantelgroup.com.au")</f>
        <v>mantelgroup.com.au</v>
      </c>
      <c r="D95" s="7" t="str">
        <f>IFERROR(__xludf.DUMMYFUNCTION("""COMPUTED_VALUE"""),"PROFILE")</f>
        <v>PROFILE</v>
      </c>
      <c r="E95" s="7" t="str">
        <f>IFERROR(__xludf.DUMMYFUNCTION("""COMPUTED_VALUE"""),"COMPETITOR")</f>
        <v>COMPETITOR</v>
      </c>
      <c r="F95" s="7" t="str">
        <f>IFERROR(__xludf.DUMMYFUNCTION("""COMPUTED_VALUE"""),"Profile")</f>
        <v>Profile</v>
      </c>
      <c r="G95" s="7" t="b">
        <f>IFERROR(__xludf.DUMMYFUNCTION("""COMPUTED_VALUE"""),FALSE)</f>
        <v>0</v>
      </c>
      <c r="H95" s="7" t="str">
        <f>IFERROR(__xludf.DUMMYFUNCTION("""COMPUTED_VALUE"""),"Mantel Group")</f>
        <v>Mantel Group</v>
      </c>
      <c r="I95" s="7">
        <f>IFERROR(__xludf.DUMMYFUNCTION("""COMPUTED_VALUE"""),1.0)</f>
        <v>1</v>
      </c>
      <c r="J95" s="7">
        <f>IFERROR(__xludf.DUMMYFUNCTION("""COMPUTED_VALUE"""),0.0)</f>
        <v>0</v>
      </c>
      <c r="K95" s="7">
        <f>IFERROR(__xludf.DUMMYFUNCTION("""COMPUTED_VALUE"""),2.0)</f>
        <v>2</v>
      </c>
    </row>
    <row r="96" ht="15.75" customHeight="1">
      <c r="A96" s="6" t="str">
        <f>IFERROR(__xludf.DUMMYFUNCTION("""COMPUTED_VALUE"""),"https://mumbrella.com.au/pro/entity/bmf/")</f>
        <v>https://mumbrella.com.au/pro/entity/bmf/</v>
      </c>
      <c r="B96" s="7" t="str">
        <f>IFERROR(__xludf.DUMMYFUNCTION("""COMPUTED_VALUE"""),"BMF - Mumbrella Pro")</f>
        <v>BMF - Mumbrella Pro</v>
      </c>
      <c r="C96" s="6" t="str">
        <f>IFERROR(__xludf.DUMMYFUNCTION("""COMPUTED_VALUE"""),"mumbrella.com.au")</f>
        <v>mumbrella.com.au</v>
      </c>
      <c r="D96" s="7" t="str">
        <f>IFERROR(__xludf.DUMMYFUNCTION("""COMPUTED_VALUE"""),"PROFILE")</f>
        <v>PROFILE</v>
      </c>
      <c r="E96" s="7" t="str">
        <f>IFERROR(__xludf.DUMMYFUNCTION("""COMPUTED_VALUE"""),"EDITORIAL")</f>
        <v>EDITORIAL</v>
      </c>
      <c r="F96" s="7" t="str">
        <f>IFERROR(__xludf.DUMMYFUNCTION("""COMPUTED_VALUE"""),"Profile")</f>
        <v>Profile</v>
      </c>
      <c r="G96" s="7" t="b">
        <f>IFERROR(__xludf.DUMMYFUNCTION("""COMPUTED_VALUE"""),FALSE)</f>
        <v>0</v>
      </c>
      <c r="H96" s="7" t="str">
        <f>IFERROR(__xludf.DUMMYFUNCTION("""COMPUTED_VALUE"""),"BMF")</f>
        <v>BMF</v>
      </c>
      <c r="I96" s="7">
        <f>IFERROR(__xludf.DUMMYFUNCTION("""COMPUTED_VALUE"""),1.0)</f>
        <v>1</v>
      </c>
      <c r="J96" s="7">
        <f>IFERROR(__xludf.DUMMYFUNCTION("""COMPUTED_VALUE"""),0.0)</f>
        <v>0</v>
      </c>
      <c r="K96" s="7">
        <f>IFERROR(__xludf.DUMMYFUNCTION("""COMPUTED_VALUE"""),1.0)</f>
        <v>1</v>
      </c>
    </row>
    <row r="97" ht="15.75" customHeight="1">
      <c r="A97" s="6" t="str">
        <f>IFERROR(__xludf.DUMMYFUNCTION("""COMPUTED_VALUE"""),"https://www.onlinemarketinggurus.com.au/about/")</f>
        <v>https://www.onlinemarketinggurus.com.au/about/</v>
      </c>
      <c r="B97" s="7" t="str">
        <f>IFERROR(__xludf.DUMMYFUNCTION("""COMPUTED_VALUE"""),"About OMG - Digital Marketing Agency Australia \| 60+ Awards Won")</f>
        <v>About OMG - Digital Marketing Agency Australia \| 60+ Awards Won</v>
      </c>
      <c r="C97" s="6" t="str">
        <f>IFERROR(__xludf.DUMMYFUNCTION("""COMPUTED_VALUE"""),"onlinemarketinggurus.com.au")</f>
        <v>onlinemarketinggurus.com.au</v>
      </c>
      <c r="D97" s="7" t="str">
        <f>IFERROR(__xludf.DUMMYFUNCTION("""COMPUTED_VALUE"""),"PROFILE")</f>
        <v>PROFILE</v>
      </c>
      <c r="E97" s="7" t="str">
        <f>IFERROR(__xludf.DUMMYFUNCTION("""COMPUTED_VALUE"""),"COMPETITOR")</f>
        <v>COMPETITOR</v>
      </c>
      <c r="F97" s="7" t="str">
        <f>IFERROR(__xludf.DUMMYFUNCTION("""COMPUTED_VALUE"""),"Profile")</f>
        <v>Profile</v>
      </c>
      <c r="G97" s="7" t="b">
        <f>IFERROR(__xludf.DUMMYFUNCTION("""COMPUTED_VALUE"""),FALSE)</f>
        <v>0</v>
      </c>
      <c r="H97" s="7" t="str">
        <f>IFERROR(__xludf.DUMMYFUNCTION("""COMPUTED_VALUE"""),"Online Marketing Gurus, Omnicom Media Group, Measured, HERO")</f>
        <v>Online Marketing Gurus, Omnicom Media Group, Measured, HERO</v>
      </c>
      <c r="I97" s="7">
        <f>IFERROR(__xludf.DUMMYFUNCTION("""COMPUTED_VALUE"""),1.0)</f>
        <v>1</v>
      </c>
      <c r="J97" s="7">
        <f>IFERROR(__xludf.DUMMYFUNCTION("""COMPUTED_VALUE"""),0.0)</f>
        <v>0</v>
      </c>
      <c r="K97" s="7">
        <f>IFERROR(__xludf.DUMMYFUNCTION("""COMPUTED_VALUE"""),0.0)</f>
        <v>0</v>
      </c>
    </row>
    <row r="98" ht="15.75" customHeight="1">
      <c r="A98" s="6" t="str">
        <f>IFERROR(__xludf.DUMMYFUNCTION("""COMPUTED_VALUE"""),"https://www.precisiondatapartners.com.au/sydney/")</f>
        <v>https://www.precisiondatapartners.com.au/sydney/</v>
      </c>
      <c r="B98" s="7" t="str">
        <f>IFERROR(__xludf.DUMMYFUNCTION("""COMPUTED_VALUE"""),"AI Consulting Sydney | Precision Data Partners")</f>
        <v>AI Consulting Sydney | Precision Data Partners</v>
      </c>
      <c r="C98" s="6" t="str">
        <f>IFERROR(__xludf.DUMMYFUNCTION("""COMPUTED_VALUE"""),"precisiondatapartners.com.au")</f>
        <v>precisiondatapartners.com.au</v>
      </c>
      <c r="D98" s="7" t="str">
        <f>IFERROR(__xludf.DUMMYFUNCTION("""COMPUTED_VALUE"""),"PROFILE")</f>
        <v>PROFILE</v>
      </c>
      <c r="E98" s="7" t="str">
        <f>IFERROR(__xludf.DUMMYFUNCTION("""COMPUTED_VALUE"""),"CORPORATE")</f>
        <v>CORPORATE</v>
      </c>
      <c r="F98" s="7" t="str">
        <f>IFERROR(__xludf.DUMMYFUNCTION("""COMPUTED_VALUE"""),"Profile")</f>
        <v>Profile</v>
      </c>
      <c r="G98" s="7" t="b">
        <f>IFERROR(__xludf.DUMMYFUNCTION("""COMPUTED_VALUE"""),FALSE)</f>
        <v>0</v>
      </c>
      <c r="H98" s="7"/>
      <c r="I98" s="7">
        <f>IFERROR(__xludf.DUMMYFUNCTION("""COMPUTED_VALUE"""),1.0)</f>
        <v>1</v>
      </c>
      <c r="J98" s="7">
        <f>IFERROR(__xludf.DUMMYFUNCTION("""COMPUTED_VALUE"""),0.0)</f>
        <v>0</v>
      </c>
      <c r="K98" s="7">
        <f>IFERROR(__xludf.DUMMYFUNCTION("""COMPUTED_VALUE"""),0.0)</f>
        <v>0</v>
      </c>
    </row>
    <row r="99" ht="15.75" customHeight="1">
      <c r="A99" s="6" t="str">
        <f>IFERROR(__xludf.DUMMYFUNCTION("""COMPUTED_VALUE"""),"https://www.reloadmedia.com.au/contact/")</f>
        <v>https://www.reloadmedia.com.au/contact/</v>
      </c>
      <c r="B99" s="7" t="str">
        <f>IFERROR(__xludf.DUMMYFUNCTION("""COMPUTED_VALUE"""),"Contact Us | Reload Media")</f>
        <v>Contact Us | Reload Media</v>
      </c>
      <c r="C99" s="6" t="str">
        <f>IFERROR(__xludf.DUMMYFUNCTION("""COMPUTED_VALUE"""),"reloadmedia.com.au")</f>
        <v>reloadmedia.com.au</v>
      </c>
      <c r="D99" s="7" t="str">
        <f>IFERROR(__xludf.DUMMYFUNCTION("""COMPUTED_VALUE"""),"PROFILE")</f>
        <v>PROFILE</v>
      </c>
      <c r="E99" s="7" t="str">
        <f>IFERROR(__xludf.DUMMYFUNCTION("""COMPUTED_VALUE"""),"COMPETITOR")</f>
        <v>COMPETITOR</v>
      </c>
      <c r="F99" s="7" t="str">
        <f>IFERROR(__xludf.DUMMYFUNCTION("""COMPUTED_VALUE"""),"Profile")</f>
        <v>Profile</v>
      </c>
      <c r="G99" s="7" t="b">
        <f>IFERROR(__xludf.DUMMYFUNCTION("""COMPUTED_VALUE"""),FALSE)</f>
        <v>0</v>
      </c>
      <c r="H99" s="7" t="str">
        <f>IFERROR(__xludf.DUMMYFUNCTION("""COMPUTED_VALUE"""),"Reload Media")</f>
        <v>Reload Media</v>
      </c>
      <c r="I99" s="7">
        <f>IFERROR(__xludf.DUMMYFUNCTION("""COMPUTED_VALUE"""),1.0)</f>
        <v>1</v>
      </c>
      <c r="J99" s="7">
        <f>IFERROR(__xludf.DUMMYFUNCTION("""COMPUTED_VALUE"""),0.0)</f>
        <v>0</v>
      </c>
      <c r="K99" s="7">
        <f>IFERROR(__xludf.DUMMYFUNCTION("""COMPUTED_VALUE"""),1.0)</f>
        <v>1</v>
      </c>
    </row>
    <row r="100" ht="15.75" customHeight="1">
      <c r="A100" s="6" t="str">
        <f>IFERROR(__xludf.DUMMYFUNCTION("""COMPUTED_VALUE"""),"https://www.resolutiondigital.com.au/about/")</f>
        <v>https://www.resolutiondigital.com.au/about/</v>
      </c>
      <c r="B100" s="7" t="str">
        <f>IFERROR(__xludf.DUMMYFUNCTION("""COMPUTED_VALUE"""),"About Resolution Digital | Resolution Digital Australia")</f>
        <v>About Resolution Digital | Resolution Digital Australia</v>
      </c>
      <c r="C100" s="6" t="str">
        <f>IFERROR(__xludf.DUMMYFUNCTION("""COMPUTED_VALUE"""),"resolutiondigital.com.au")</f>
        <v>resolutiondigital.com.au</v>
      </c>
      <c r="D100" s="7" t="str">
        <f>IFERROR(__xludf.DUMMYFUNCTION("""COMPUTED_VALUE"""),"PROFILE")</f>
        <v>PROFILE</v>
      </c>
      <c r="E100" s="7" t="str">
        <f>IFERROR(__xludf.DUMMYFUNCTION("""COMPUTED_VALUE"""),"COMPETITOR")</f>
        <v>COMPETITOR</v>
      </c>
      <c r="F100" s="7" t="str">
        <f>IFERROR(__xludf.DUMMYFUNCTION("""COMPUTED_VALUE"""),"Profile")</f>
        <v>Profile</v>
      </c>
      <c r="G100" s="7" t="b">
        <f>IFERROR(__xludf.DUMMYFUNCTION("""COMPUTED_VALUE"""),FALSE)</f>
        <v>0</v>
      </c>
      <c r="H100" s="7" t="str">
        <f>IFERROR(__xludf.DUMMYFUNCTION("""COMPUTED_VALUE"""),"Resolution Digital, Omnicom Media Group")</f>
        <v>Resolution Digital, Omnicom Media Group</v>
      </c>
      <c r="I100" s="7">
        <f>IFERROR(__xludf.DUMMYFUNCTION("""COMPUTED_VALUE"""),1.0)</f>
        <v>1</v>
      </c>
      <c r="J100" s="7">
        <f>IFERROR(__xludf.DUMMYFUNCTION("""COMPUTED_VALUE"""),0.0)</f>
        <v>0</v>
      </c>
      <c r="K100" s="7">
        <f>IFERROR(__xludf.DUMMYFUNCTION("""COMPUTED_VALUE"""),1.0)</f>
        <v>1</v>
      </c>
    </row>
    <row r="101" ht="15.75" customHeight="1">
      <c r="A101" s="6" t="str">
        <f>IFERROR(__xludf.DUMMYFUNCTION("""COMPUTED_VALUE"""),"https://www.resolutiondigital.com.au/insights/resolution-digital-launches-resolution-kinetic-anz/")</f>
        <v>https://www.resolutiondigital.com.au/insights/resolution-digital-launches-resolution-kinetic-anz/</v>
      </c>
      <c r="B101" s="7" t="str">
        <f>IFERROR(__xludf.DUMMYFUNCTION("""COMPUTED_VALUE"""),"Resolution Kinetic launch | Resolution Digital Australia")</f>
        <v>Resolution Kinetic launch | Resolution Digital Australia</v>
      </c>
      <c r="C101" s="6" t="str">
        <f>IFERROR(__xludf.DUMMYFUNCTION("""COMPUTED_VALUE"""),"resolutiondigital.com.au")</f>
        <v>resolutiondigital.com.au</v>
      </c>
      <c r="D101" s="7" t="str">
        <f>IFERROR(__xludf.DUMMYFUNCTION("""COMPUTED_VALUE"""),"PROFILE")</f>
        <v>PROFILE</v>
      </c>
      <c r="E101" s="7" t="str">
        <f>IFERROR(__xludf.DUMMYFUNCTION("""COMPUTED_VALUE"""),"COMPETITOR")</f>
        <v>COMPETITOR</v>
      </c>
      <c r="F101" s="7" t="str">
        <f>IFERROR(__xludf.DUMMYFUNCTION("""COMPUTED_VALUE"""),"Profile")</f>
        <v>Profile</v>
      </c>
      <c r="G101" s="7" t="b">
        <f>IFERROR(__xludf.DUMMYFUNCTION("""COMPUTED_VALUE"""),FALSE)</f>
        <v>0</v>
      </c>
      <c r="H101" s="7" t="str">
        <f>IFERROR(__xludf.DUMMYFUNCTION("""COMPUTED_VALUE"""),"Resolution Digital, Omnicom Media Group")</f>
        <v>Resolution Digital, Omnicom Media Group</v>
      </c>
      <c r="I101" s="7">
        <f>IFERROR(__xludf.DUMMYFUNCTION("""COMPUTED_VALUE"""),1.0)</f>
        <v>1</v>
      </c>
      <c r="J101" s="7">
        <f>IFERROR(__xludf.DUMMYFUNCTION("""COMPUTED_VALUE"""),0.0)</f>
        <v>0</v>
      </c>
      <c r="K101" s="7">
        <f>IFERROR(__xludf.DUMMYFUNCTION("""COMPUTED_VALUE"""),1.0)</f>
        <v>1</v>
      </c>
    </row>
    <row r="102" ht="15.75" customHeight="1">
      <c r="A102" s="6" t="str">
        <f>IFERROR(__xludf.DUMMYFUNCTION("""COMPUTED_VALUE"""),"https://www.rfp.wiki/advertising-media-communications-services/integrated-creative-brand-agencies/droga5")</f>
        <v>https://www.rfp.wiki/advertising-media-communications-services/integrated-creative-brand-agencies/droga5</v>
      </c>
      <c r="B102" s="7" t="str">
        <f>IFERROR(__xludf.DUMMYFUNCTION("""COMPUTED_VALUE"""),"Droga5 · Rating Snapshot: Score &amp;amp; Reviews (2026)")</f>
        <v>Droga5 · Rating Snapshot: Score &amp;amp; Reviews (2026)</v>
      </c>
      <c r="C102" s="7" t="str">
        <f>IFERROR(__xludf.DUMMYFUNCTION("""COMPUTED_VALUE"""),"rfp.wiki")</f>
        <v>rfp.wiki</v>
      </c>
      <c r="D102" s="7" t="str">
        <f>IFERROR(__xludf.DUMMYFUNCTION("""COMPUTED_VALUE"""),"PROFILE")</f>
        <v>PROFILE</v>
      </c>
      <c r="E102" s="7" t="str">
        <f>IFERROR(__xludf.DUMMYFUNCTION("""COMPUTED_VALUE"""),"CORPORATE")</f>
        <v>CORPORATE</v>
      </c>
      <c r="F102" s="7" t="str">
        <f>IFERROR(__xludf.DUMMYFUNCTION("""COMPUTED_VALUE"""),"Profile")</f>
        <v>Profile</v>
      </c>
      <c r="G102" s="7" t="b">
        <f>IFERROR(__xludf.DUMMYFUNCTION("""COMPUTED_VALUE"""),FALSE)</f>
        <v>0</v>
      </c>
      <c r="H102" s="7" t="str">
        <f>IFERROR(__xludf.DUMMYFUNCTION("""COMPUTED_VALUE"""),"Accenture Song, WPP, VML")</f>
        <v>Accenture Song, WPP, VML</v>
      </c>
      <c r="I102" s="7">
        <f>IFERROR(__xludf.DUMMYFUNCTION("""COMPUTED_VALUE"""),1.0)</f>
        <v>1</v>
      </c>
      <c r="J102" s="7">
        <f>IFERROR(__xludf.DUMMYFUNCTION("""COMPUTED_VALUE"""),0.0)</f>
        <v>0</v>
      </c>
      <c r="K102" s="7">
        <f>IFERROR(__xludf.DUMMYFUNCTION("""COMPUTED_VALUE"""),0.0)</f>
        <v>0</v>
      </c>
    </row>
    <row r="103" ht="15.75" customHeight="1">
      <c r="A103" s="6" t="str">
        <f>IFERROR(__xludf.DUMMYFUNCTION("""COMPUTED_VALUE"""),"https://rocketreach.co/sparro-profile_b5d92a07f42e5d84")</f>
        <v>https://rocketreach.co/sparro-profile_b5d92a07f42e5d84</v>
      </c>
      <c r="B103" s="7" t="str">
        <f>IFERROR(__xludf.DUMMYFUNCTION("""COMPUTED_VALUE"""),"Sparro Information")</f>
        <v>Sparro Information</v>
      </c>
      <c r="C103" s="6" t="str">
        <f>IFERROR(__xludf.DUMMYFUNCTION("""COMPUTED_VALUE"""),"rocketreach.co")</f>
        <v>rocketreach.co</v>
      </c>
      <c r="D103" s="7" t="str">
        <f>IFERROR(__xludf.DUMMYFUNCTION("""COMPUTED_VALUE"""),"PROFILE")</f>
        <v>PROFILE</v>
      </c>
      <c r="E103" s="7" t="str">
        <f>IFERROR(__xludf.DUMMYFUNCTION("""COMPUTED_VALUE"""),"CORPORATE")</f>
        <v>CORPORATE</v>
      </c>
      <c r="F103" s="7" t="str">
        <f>IFERROR(__xludf.DUMMYFUNCTION("""COMPUTED_VALUE"""),"Profile")</f>
        <v>Profile</v>
      </c>
      <c r="G103" s="7" t="b">
        <f>IFERROR(__xludf.DUMMYFUNCTION("""COMPUTED_VALUE"""),FALSE)</f>
        <v>0</v>
      </c>
      <c r="H103" s="7" t="str">
        <f>IFERROR(__xludf.DUMMYFUNCTION("""COMPUTED_VALUE"""),"Sparro, Brainlabs")</f>
        <v>Sparro, Brainlabs</v>
      </c>
      <c r="I103" s="7">
        <f>IFERROR(__xludf.DUMMYFUNCTION("""COMPUTED_VALUE"""),1.0)</f>
        <v>1</v>
      </c>
      <c r="J103" s="7">
        <f>IFERROR(__xludf.DUMMYFUNCTION("""COMPUTED_VALUE"""),0.0)</f>
        <v>0</v>
      </c>
      <c r="K103" s="7">
        <f>IFERROR(__xludf.DUMMYFUNCTION("""COMPUTED_VALUE"""),1.0)</f>
        <v>1</v>
      </c>
    </row>
    <row r="104" ht="15.75" customHeight="1">
      <c r="A104" s="6" t="str">
        <f>IFERROR(__xludf.DUMMYFUNCTION("""COMPUTED_VALUE"""),"https://roi.com.au/about-us")</f>
        <v>https://roi.com.au/about-us</v>
      </c>
      <c r="B104" s="7" t="str">
        <f>IFERROR(__xludf.DUMMYFUNCTION("""COMPUTED_VALUE"""),"ABOUT US | AI Marketing Agency Australia | roi.com.au")</f>
        <v>ABOUT US | AI Marketing Agency Australia | roi.com.au</v>
      </c>
      <c r="C104" s="6" t="str">
        <f>IFERROR(__xludf.DUMMYFUNCTION("""COMPUTED_VALUE"""),"roi.com.au")</f>
        <v>roi.com.au</v>
      </c>
      <c r="D104" s="7" t="str">
        <f>IFERROR(__xludf.DUMMYFUNCTION("""COMPUTED_VALUE"""),"PROFILE")</f>
        <v>PROFILE</v>
      </c>
      <c r="E104" s="7" t="str">
        <f>IFERROR(__xludf.DUMMYFUNCTION("""COMPUTED_VALUE"""),"CORPORATE")</f>
        <v>CORPORATE</v>
      </c>
      <c r="F104" s="7" t="str">
        <f>IFERROR(__xludf.DUMMYFUNCTION("""COMPUTED_VALUE"""),"Profile")</f>
        <v>Profile</v>
      </c>
      <c r="G104" s="7" t="b">
        <f>IFERROR(__xludf.DUMMYFUNCTION("""COMPUTED_VALUE"""),FALSE)</f>
        <v>0</v>
      </c>
      <c r="H104" s="7" t="str">
        <f>IFERROR(__xludf.DUMMYFUNCTION("""COMPUTED_VALUE"""),"ROI Growth Agency, Deloitte")</f>
        <v>ROI Growth Agency, Deloitte</v>
      </c>
      <c r="I104" s="7">
        <f>IFERROR(__xludf.DUMMYFUNCTION("""COMPUTED_VALUE"""),1.0)</f>
        <v>1</v>
      </c>
      <c r="J104" s="7">
        <f>IFERROR(__xludf.DUMMYFUNCTION("""COMPUTED_VALUE"""),0.0)</f>
        <v>0</v>
      </c>
      <c r="K104" s="7">
        <f>IFERROR(__xludf.DUMMYFUNCTION("""COMPUTED_VALUE"""),0.0)</f>
        <v>0</v>
      </c>
    </row>
    <row r="105" ht="15.75" customHeight="1">
      <c r="A105" s="6" t="str">
        <f>IFERROR(__xludf.DUMMYFUNCTION("""COMPUTED_VALUE"""),"https://www.sortlist.com/s/paid-media/victoria-vic-au")</f>
        <v>https://www.sortlist.com/s/paid-media/victoria-vic-au</v>
      </c>
      <c r="B105" s="7" t="str">
        <f>IFERROR(__xludf.DUMMYFUNCTION("""COMPUTED_VALUE"""),"The 10 Best Paid Media Agencies in Victoria - 2026 Reviews")</f>
        <v>The 10 Best Paid Media Agencies in Victoria - 2026 Reviews</v>
      </c>
      <c r="C105" s="6" t="str">
        <f>IFERROR(__xludf.DUMMYFUNCTION("""COMPUTED_VALUE"""),"sortlist.com")</f>
        <v>sortlist.com</v>
      </c>
      <c r="D105" s="7" t="str">
        <f>IFERROR(__xludf.DUMMYFUNCTION("""COMPUTED_VALUE"""),"PROFILE")</f>
        <v>PROFILE</v>
      </c>
      <c r="E105" s="7" t="str">
        <f>IFERROR(__xludf.DUMMYFUNCTION("""COMPUTED_VALUE"""),"CORPORATE")</f>
        <v>CORPORATE</v>
      </c>
      <c r="F105" s="7" t="str">
        <f>IFERROR(__xludf.DUMMYFUNCTION("""COMPUTED_VALUE"""),"Profile")</f>
        <v>Profile</v>
      </c>
      <c r="G105" s="7" t="b">
        <f>IFERROR(__xludf.DUMMYFUNCTION("""COMPUTED_VALUE"""),FALSE)</f>
        <v>0</v>
      </c>
      <c r="H105" s="7" t="str">
        <f>IFERROR(__xludf.DUMMYFUNCTION("""COMPUTED_VALUE"""),"Measured, Earned Media, Clearwater Agency, Impressive, SIXGUN, Supple Digital, Momentum, 80/20 Digital")</f>
        <v>Measured, Earned Media, Clearwater Agency, Impressive, SIXGUN, Supple Digital, Momentum, 80/20 Digital</v>
      </c>
      <c r="I105" s="7">
        <f>IFERROR(__xludf.DUMMYFUNCTION("""COMPUTED_VALUE"""),1.0)</f>
        <v>1</v>
      </c>
      <c r="J105" s="7">
        <f>IFERROR(__xludf.DUMMYFUNCTION("""COMPUTED_VALUE"""),0.0)</f>
        <v>0</v>
      </c>
      <c r="K105" s="7">
        <f>IFERROR(__xludf.DUMMYFUNCTION("""COMPUTED_VALUE"""),0.0)</f>
        <v>0</v>
      </c>
    </row>
    <row r="106" ht="15.75" customHeight="1">
      <c r="A106" s="6" t="str">
        <f>IFERROR(__xludf.DUMMYFUNCTION("""COMPUTED_VALUE"""),"https://www.sortlist.com/s/performance-marketing/victoria-vic-au")</f>
        <v>https://www.sortlist.com/s/performance-marketing/victoria-vic-au</v>
      </c>
      <c r="B106" s="7" t="str">
        <f>IFERROR(__xludf.DUMMYFUNCTION("""COMPUTED_VALUE"""),"The 10 Best Performance Marketing Agencies in Victoria - 2026 Reviews")</f>
        <v>The 10 Best Performance Marketing Agencies in Victoria - 2026 Reviews</v>
      </c>
      <c r="C106" s="6" t="str">
        <f>IFERROR(__xludf.DUMMYFUNCTION("""COMPUTED_VALUE"""),"sortlist.com")</f>
        <v>sortlist.com</v>
      </c>
      <c r="D106" s="7" t="str">
        <f>IFERROR(__xludf.DUMMYFUNCTION("""COMPUTED_VALUE"""),"PROFILE")</f>
        <v>PROFILE</v>
      </c>
      <c r="E106" s="7" t="str">
        <f>IFERROR(__xludf.DUMMYFUNCTION("""COMPUTED_VALUE"""),"CORPORATE")</f>
        <v>CORPORATE</v>
      </c>
      <c r="F106" s="7" t="str">
        <f>IFERROR(__xludf.DUMMYFUNCTION("""COMPUTED_VALUE"""),"Profile")</f>
        <v>Profile</v>
      </c>
      <c r="G106" s="7" t="b">
        <f>IFERROR(__xludf.DUMMYFUNCTION("""COMPUTED_VALUE"""),FALSE)</f>
        <v>0</v>
      </c>
      <c r="H106" s="7" t="str">
        <f>IFERROR(__xludf.DUMMYFUNCTION("""COMPUTED_VALUE"""),"Measured, Earned Media, Clearwater Agency, SIXGUN, Impressive, Supple Digital, Momentum, 80/20 Digital, Adcore Elite")</f>
        <v>Measured, Earned Media, Clearwater Agency, SIXGUN, Impressive, Supple Digital, Momentum, 80/20 Digital, Adcore Elite</v>
      </c>
      <c r="I106" s="7">
        <f>IFERROR(__xludf.DUMMYFUNCTION("""COMPUTED_VALUE"""),1.0)</f>
        <v>1</v>
      </c>
      <c r="J106" s="7">
        <f>IFERROR(__xludf.DUMMYFUNCTION("""COMPUTED_VALUE"""),0.0)</f>
        <v>0</v>
      </c>
      <c r="K106" s="7">
        <f>IFERROR(__xludf.DUMMYFUNCTION("""COMPUTED_VALUE"""),0.0)</f>
        <v>0</v>
      </c>
    </row>
    <row r="107" ht="15.75" customHeight="1">
      <c r="A107" s="6" t="str">
        <f>IFERROR(__xludf.DUMMYFUNCTION("""COMPUTED_VALUE"""),"https://www.sortlist.com/web-analytics/australia-au")</f>
        <v>https://www.sortlist.com/web-analytics/australia-au</v>
      </c>
      <c r="B107" s="7" t="str">
        <f>IFERROR(__xludf.DUMMYFUNCTION("""COMPUTED_VALUE"""),"The 10 Best Web Analytics Agencies in Australia - 2026 Reviews")</f>
        <v>The 10 Best Web Analytics Agencies in Australia - 2026 Reviews</v>
      </c>
      <c r="C107" s="6" t="str">
        <f>IFERROR(__xludf.DUMMYFUNCTION("""COMPUTED_VALUE"""),"sortlist.com")</f>
        <v>sortlist.com</v>
      </c>
      <c r="D107" s="7" t="str">
        <f>IFERROR(__xludf.DUMMYFUNCTION("""COMPUTED_VALUE"""),"PROFILE")</f>
        <v>PROFILE</v>
      </c>
      <c r="E107" s="7" t="str">
        <f>IFERROR(__xludf.DUMMYFUNCTION("""COMPUTED_VALUE"""),"CORPORATE")</f>
        <v>CORPORATE</v>
      </c>
      <c r="F107" s="7" t="str">
        <f>IFERROR(__xludf.DUMMYFUNCTION("""COMPUTED_VALUE"""),"Profile")</f>
        <v>Profile</v>
      </c>
      <c r="G107" s="7" t="b">
        <f>IFERROR(__xludf.DUMMYFUNCTION("""COMPUTED_VALUE"""),FALSE)</f>
        <v>0</v>
      </c>
      <c r="H107" s="7" t="str">
        <f>IFERROR(__xludf.DUMMYFUNCTION("""COMPUTED_VALUE"""),"Impressive, SIXGUN")</f>
        <v>Impressive, SIXGUN</v>
      </c>
      <c r="I107" s="7">
        <f>IFERROR(__xludf.DUMMYFUNCTION("""COMPUTED_VALUE"""),1.0)</f>
        <v>1</v>
      </c>
      <c r="J107" s="7">
        <f>IFERROR(__xludf.DUMMYFUNCTION("""COMPUTED_VALUE"""),0.0)</f>
        <v>0</v>
      </c>
      <c r="K107" s="7">
        <f>IFERROR(__xludf.DUMMYFUNCTION("""COMPUTED_VALUE"""),0.0)</f>
        <v>0</v>
      </c>
    </row>
    <row r="108" ht="15.75" customHeight="1">
      <c r="A108" s="6" t="str">
        <f>IFERROR(__xludf.DUMMYFUNCTION("""COMPUTED_VALUE"""),"https://sparro.com.au/home-2/")</f>
        <v>https://sparro.com.au/home-2/</v>
      </c>
      <c r="B108" s="7" t="str">
        <f>IFERROR(__xludf.DUMMYFUNCTION("""COMPUTED_VALUE"""),"Home | Sparro by Brainlabs: Independent Digital Marketing")</f>
        <v>Home | Sparro by Brainlabs: Independent Digital Marketing</v>
      </c>
      <c r="C108" s="6" t="str">
        <f>IFERROR(__xludf.DUMMYFUNCTION("""COMPUTED_VALUE"""),"sparro.com.au")</f>
        <v>sparro.com.au</v>
      </c>
      <c r="D108" s="7" t="str">
        <f>IFERROR(__xludf.DUMMYFUNCTION("""COMPUTED_VALUE"""),"PROFILE")</f>
        <v>PROFILE</v>
      </c>
      <c r="E108" s="7" t="str">
        <f>IFERROR(__xludf.DUMMYFUNCTION("""COMPUTED_VALUE"""),"COMPETITOR")</f>
        <v>COMPETITOR</v>
      </c>
      <c r="F108" s="7" t="str">
        <f>IFERROR(__xludf.DUMMYFUNCTION("""COMPUTED_VALUE"""),"Profile")</f>
        <v>Profile</v>
      </c>
      <c r="G108" s="7" t="b">
        <f>IFERROR(__xludf.DUMMYFUNCTION("""COMPUTED_VALUE"""),FALSE)</f>
        <v>0</v>
      </c>
      <c r="H108" s="7" t="str">
        <f>IFERROR(__xludf.DUMMYFUNCTION("""COMPUTED_VALUE"""),"Sparro, Brainlabs")</f>
        <v>Sparro, Brainlabs</v>
      </c>
      <c r="I108" s="7">
        <f>IFERROR(__xludf.DUMMYFUNCTION("""COMPUTED_VALUE"""),1.0)</f>
        <v>1</v>
      </c>
      <c r="J108" s="7">
        <f>IFERROR(__xludf.DUMMYFUNCTION("""COMPUTED_VALUE"""),0.0)</f>
        <v>0</v>
      </c>
      <c r="K108" s="7">
        <f>IFERROR(__xludf.DUMMYFUNCTION("""COMPUTED_VALUE"""),2.0)</f>
        <v>2</v>
      </c>
    </row>
    <row r="109" ht="15.75" customHeight="1">
      <c r="A109" s="6" t="str">
        <f>IFERROR(__xludf.DUMMYFUNCTION("""COMPUTED_VALUE"""),"https://www.thehero.co/best/advertising/agency/australia")</f>
        <v>https://www.thehero.co/best/advertising/agency/australia</v>
      </c>
      <c r="B109" s="7" t="str">
        <f>IFERROR(__xludf.DUMMYFUNCTION("""COMPUTED_VALUE"""),"HERO Award-Winning Creative Advertising Agency Australia | Sydney, Melbourne, Brisbane")</f>
        <v>HERO Award-Winning Creative Advertising Agency Australia | Sydney, Melbourne, Brisbane</v>
      </c>
      <c r="C109" s="6" t="str">
        <f>IFERROR(__xludf.DUMMYFUNCTION("""COMPUTED_VALUE"""),"thehero.co")</f>
        <v>thehero.co</v>
      </c>
      <c r="D109" s="7" t="str">
        <f>IFERROR(__xludf.DUMMYFUNCTION("""COMPUTED_VALUE"""),"PROFILE")</f>
        <v>PROFILE</v>
      </c>
      <c r="E109" s="7" t="str">
        <f>IFERROR(__xludf.DUMMYFUNCTION("""COMPUTED_VALUE"""),"CORPORATE")</f>
        <v>CORPORATE</v>
      </c>
      <c r="F109" s="7" t="str">
        <f>IFERROR(__xludf.DUMMYFUNCTION("""COMPUTED_VALUE"""),"Profile")</f>
        <v>Profile</v>
      </c>
      <c r="G109" s="7" t="b">
        <f>IFERROR(__xludf.DUMMYFUNCTION("""COMPUTED_VALUE"""),FALSE)</f>
        <v>0</v>
      </c>
      <c r="H109" s="7" t="str">
        <f>IFERROR(__xludf.DUMMYFUNCTION("""COMPUTED_VALUE"""),"HERO")</f>
        <v>HERO</v>
      </c>
      <c r="I109" s="7">
        <f>IFERROR(__xludf.DUMMYFUNCTION("""COMPUTED_VALUE"""),1.0)</f>
        <v>1</v>
      </c>
      <c r="J109" s="7">
        <f>IFERROR(__xludf.DUMMYFUNCTION("""COMPUTED_VALUE"""),0.0)</f>
        <v>0</v>
      </c>
      <c r="K109" s="7">
        <f>IFERROR(__xludf.DUMMYFUNCTION("""COMPUTED_VALUE"""),0.0)</f>
        <v>0</v>
      </c>
    </row>
    <row r="110" ht="15.75" customHeight="1">
      <c r="A110" s="6" t="str">
        <f>IFERROR(__xludf.DUMMYFUNCTION("""COMPUTED_VALUE"""),"https://www.thehero.co/news/advertising-marketings-best-agencies-top-sydney-2026-mumbrella-awards-list")</f>
        <v>https://www.thehero.co/news/advertising-marketings-best-agencies-top-sydney-2026-mumbrella-awards-list</v>
      </c>
      <c r="B110" s="7" t="str">
        <f>IFERROR(__xludf.DUMMYFUNCTION("""COMPUTED_VALUE"""),"Advertising &amp;amp; Marketing’s Best Agencies In Sydney Top 2026 Mumbrella Awards List")</f>
        <v>Advertising &amp;amp; Marketing’s Best Agencies In Sydney Top 2026 Mumbrella Awards List</v>
      </c>
      <c r="C110" s="6" t="str">
        <f>IFERROR(__xludf.DUMMYFUNCTION("""COMPUTED_VALUE"""),"thehero.co")</f>
        <v>thehero.co</v>
      </c>
      <c r="D110" s="7" t="str">
        <f>IFERROR(__xludf.DUMMYFUNCTION("""COMPUTED_VALUE"""),"PROFILE")</f>
        <v>PROFILE</v>
      </c>
      <c r="E110" s="7" t="str">
        <f>IFERROR(__xludf.DUMMYFUNCTION("""COMPUTED_VALUE"""),"CORPORATE")</f>
        <v>CORPORATE</v>
      </c>
      <c r="F110" s="7" t="str">
        <f>IFERROR(__xludf.DUMMYFUNCTION("""COMPUTED_VALUE"""),"Profile")</f>
        <v>Profile</v>
      </c>
      <c r="G110" s="7" t="b">
        <f>IFERROR(__xludf.DUMMYFUNCTION("""COMPUTED_VALUE"""),FALSE)</f>
        <v>0</v>
      </c>
      <c r="H110" s="7" t="str">
        <f>IFERROR(__xludf.DUMMYFUNCTION("""COMPUTED_VALUE"""),"HERO")</f>
        <v>HERO</v>
      </c>
      <c r="I110" s="7">
        <f>IFERROR(__xludf.DUMMYFUNCTION("""COMPUTED_VALUE"""),1.0)</f>
        <v>1</v>
      </c>
      <c r="J110" s="7">
        <f>IFERROR(__xludf.DUMMYFUNCTION("""COMPUTED_VALUE"""),0.0)</f>
        <v>0</v>
      </c>
      <c r="K110" s="7">
        <f>IFERROR(__xludf.DUMMYFUNCTION("""COMPUTED_VALUE"""),0.0)</f>
        <v>0</v>
      </c>
    </row>
    <row r="111" ht="15.75" customHeight="1">
      <c r="A111" s="6" t="str">
        <f>IFERROR(__xludf.DUMMYFUNCTION("""COMPUTED_VALUE"""),"https://www.thehero.co/services-creative-performance-ai")</f>
        <v>https://www.thehero.co/services-creative-performance-ai</v>
      </c>
      <c r="B111" s="7" t="str">
        <f>IFERROR(__xludf.DUMMYFUNCTION("""COMPUTED_VALUE"""),"Australia's Best Creative, Performance &amp;amp; Top AI Innovation Agency | HERO")</f>
        <v>Australia's Best Creative, Performance &amp;amp; Top AI Innovation Agency | HERO</v>
      </c>
      <c r="C111" s="6" t="str">
        <f>IFERROR(__xludf.DUMMYFUNCTION("""COMPUTED_VALUE"""),"thehero.co")</f>
        <v>thehero.co</v>
      </c>
      <c r="D111" s="7" t="str">
        <f>IFERROR(__xludf.DUMMYFUNCTION("""COMPUTED_VALUE"""),"PROFILE")</f>
        <v>PROFILE</v>
      </c>
      <c r="E111" s="7" t="str">
        <f>IFERROR(__xludf.DUMMYFUNCTION("""COMPUTED_VALUE"""),"CORPORATE")</f>
        <v>CORPORATE</v>
      </c>
      <c r="F111" s="7" t="str">
        <f>IFERROR(__xludf.DUMMYFUNCTION("""COMPUTED_VALUE"""),"Profile")</f>
        <v>Profile</v>
      </c>
      <c r="G111" s="7" t="b">
        <f>IFERROR(__xludf.DUMMYFUNCTION("""COMPUTED_VALUE"""),FALSE)</f>
        <v>0</v>
      </c>
      <c r="H111" s="7" t="str">
        <f>IFERROR(__xludf.DUMMYFUNCTION("""COMPUTED_VALUE"""),"HERO, Earned Media")</f>
        <v>HERO, Earned Media</v>
      </c>
      <c r="I111" s="7">
        <f>IFERROR(__xludf.DUMMYFUNCTION("""COMPUTED_VALUE"""),1.0)</f>
        <v>1</v>
      </c>
      <c r="J111" s="7">
        <f>IFERROR(__xludf.DUMMYFUNCTION("""COMPUTED_VALUE"""),0.0)</f>
        <v>0</v>
      </c>
      <c r="K111" s="7">
        <f>IFERROR(__xludf.DUMMYFUNCTION("""COMPUTED_VALUE"""),0.0)</f>
        <v>0</v>
      </c>
    </row>
    <row r="112" ht="15.75" customHeight="1">
      <c r="A112" s="6" t="str">
        <f>IFERROR(__xludf.DUMMYFUNCTION("""COMPUTED_VALUE"""),"https://www.trkkn.com/products-tools")</f>
        <v>https://www.trkkn.com/products-tools</v>
      </c>
      <c r="B112" s="7" t="str">
        <f>IFERROR(__xludf.DUMMYFUNCTION("""COMPUTED_VALUE"""),"Your partner for the Google Marketing Platform and the Google Cloud | TRKKN")</f>
        <v>Your partner for the Google Marketing Platform and the Google Cloud | TRKKN</v>
      </c>
      <c r="C112" s="6" t="str">
        <f>IFERROR(__xludf.DUMMYFUNCTION("""COMPUTED_VALUE"""),"trkkn.com")</f>
        <v>trkkn.com</v>
      </c>
      <c r="D112" s="7" t="str">
        <f>IFERROR(__xludf.DUMMYFUNCTION("""COMPUTED_VALUE"""),"PROFILE")</f>
        <v>PROFILE</v>
      </c>
      <c r="E112" s="7" t="str">
        <f>IFERROR(__xludf.DUMMYFUNCTION("""COMPUTED_VALUE"""),"COMPETITOR")</f>
        <v>COMPETITOR</v>
      </c>
      <c r="F112" s="7" t="str">
        <f>IFERROR(__xludf.DUMMYFUNCTION("""COMPUTED_VALUE"""),"Profile")</f>
        <v>Profile</v>
      </c>
      <c r="G112" s="7" t="b">
        <f>IFERROR(__xludf.DUMMYFUNCTION("""COMPUTED_VALUE"""),FALSE)</f>
        <v>0</v>
      </c>
      <c r="H112" s="7" t="str">
        <f>IFERROR(__xludf.DUMMYFUNCTION("""COMPUTED_VALUE"""),"TRKKN")</f>
        <v>TRKKN</v>
      </c>
      <c r="I112" s="7">
        <f>IFERROR(__xludf.DUMMYFUNCTION("""COMPUTED_VALUE"""),1.0)</f>
        <v>1</v>
      </c>
      <c r="J112" s="7">
        <f>IFERROR(__xludf.DUMMYFUNCTION("""COMPUTED_VALUE"""),0.0)</f>
        <v>0</v>
      </c>
      <c r="K112" s="7">
        <f>IFERROR(__xludf.DUMMYFUNCTION("""COMPUTED_VALUE"""),4.0)</f>
        <v>4</v>
      </c>
    </row>
    <row r="113" ht="15.75" customHeight="1">
      <c r="A113" s="6" t="str">
        <f>IFERROR(__xludf.DUMMYFUNCTION("""COMPUTED_VALUE"""),"https://www.undivided.com.au/about-us")</f>
        <v>https://www.undivided.com.au/about-us</v>
      </c>
      <c r="B113" s="7" t="str">
        <f>IFERROR(__xludf.DUMMYFUNCTION("""COMPUTED_VALUE"""),"About Us")</f>
        <v>About Us</v>
      </c>
      <c r="C113" s="6" t="str">
        <f>IFERROR(__xludf.DUMMYFUNCTION("""COMPUTED_VALUE"""),"undivided.com.au")</f>
        <v>undivided.com.au</v>
      </c>
      <c r="D113" s="7" t="str">
        <f>IFERROR(__xludf.DUMMYFUNCTION("""COMPUTED_VALUE"""),"PROFILE")</f>
        <v>PROFILE</v>
      </c>
      <c r="E113" s="7" t="str">
        <f>IFERROR(__xludf.DUMMYFUNCTION("""COMPUTED_VALUE"""),"CORPORATE")</f>
        <v>CORPORATE</v>
      </c>
      <c r="F113" s="7" t="str">
        <f>IFERROR(__xludf.DUMMYFUNCTION("""COMPUTED_VALUE"""),"Profile")</f>
        <v>Profile</v>
      </c>
      <c r="G113" s="7" t="b">
        <f>IFERROR(__xludf.DUMMYFUNCTION("""COMPUTED_VALUE"""),FALSE)</f>
        <v>0</v>
      </c>
      <c r="H113" s="7" t="str">
        <f>IFERROR(__xludf.DUMMYFUNCTION("""COMPUTED_VALUE"""),"Undivided")</f>
        <v>Undivided</v>
      </c>
      <c r="I113" s="7">
        <f>IFERROR(__xludf.DUMMYFUNCTION("""COMPUTED_VALUE"""),1.0)</f>
        <v>1</v>
      </c>
      <c r="J113" s="7">
        <f>IFERROR(__xludf.DUMMYFUNCTION("""COMPUTED_VALUE"""),0.0)</f>
        <v>0</v>
      </c>
      <c r="K113" s="7">
        <f>IFERROR(__xludf.DUMMYFUNCTION("""COMPUTED_VALUE"""),1.0)</f>
        <v>1</v>
      </c>
    </row>
    <row r="114" ht="15.75" customHeight="1">
      <c r="A114" s="6" t="str">
        <f>IFERROR(__xludf.DUMMYFUNCTION("""COMPUTED_VALUE"""),"https://www.wpp.com/en/news/2026/03/wpp-claims-top-spot-on-warc-creative-100-for-fourth-consecutive-year")</f>
        <v>https://www.wpp.com/en/news/2026/03/wpp-claims-top-spot-on-warc-creative-100-for-fourth-consecutive-year</v>
      </c>
      <c r="B114" s="7" t="str">
        <f>IFERROR(__xludf.DUMMYFUNCTION("""COMPUTED_VALUE"""),"WPP claims top spot on WARC Creative 100 for fourth consecutive year | WPP")</f>
        <v>WPP claims top spot on WARC Creative 100 for fourth consecutive year | WPP</v>
      </c>
      <c r="C114" s="6" t="str">
        <f>IFERROR(__xludf.DUMMYFUNCTION("""COMPUTED_VALUE"""),"wpp.com")</f>
        <v>wpp.com</v>
      </c>
      <c r="D114" s="7" t="str">
        <f>IFERROR(__xludf.DUMMYFUNCTION("""COMPUTED_VALUE"""),"PROFILE")</f>
        <v>PROFILE</v>
      </c>
      <c r="E114" s="7" t="str">
        <f>IFERROR(__xludf.DUMMYFUNCTION("""COMPUTED_VALUE"""),"COMPETITOR")</f>
        <v>COMPETITOR</v>
      </c>
      <c r="F114" s="7" t="str">
        <f>IFERROR(__xludf.DUMMYFUNCTION("""COMPUTED_VALUE"""),"Profile")</f>
        <v>Profile</v>
      </c>
      <c r="G114" s="7" t="b">
        <f>IFERROR(__xludf.DUMMYFUNCTION("""COMPUTED_VALUE"""),FALSE)</f>
        <v>0</v>
      </c>
      <c r="H114" s="7" t="str">
        <f>IFERROR(__xludf.DUMMYFUNCTION("""COMPUTED_VALUE"""),"WPP, VML")</f>
        <v>WPP, VML</v>
      </c>
      <c r="I114" s="7">
        <f>IFERROR(__xludf.DUMMYFUNCTION("""COMPUTED_VALUE"""),1.0)</f>
        <v>1</v>
      </c>
      <c r="J114" s="7">
        <f>IFERROR(__xludf.DUMMYFUNCTION("""COMPUTED_VALUE"""),0.0)</f>
        <v>0</v>
      </c>
      <c r="K114" s="7">
        <f>IFERROR(__xludf.DUMMYFUNCTION("""COMPUTED_VALUE"""),0.0)</f>
        <v>0</v>
      </c>
    </row>
    <row r="115" ht="15.75" customHeight="1">
      <c r="A115" s="6" t="str">
        <f>IFERROR(__xludf.DUMMYFUNCTION("""COMPUTED_VALUE"""),"https://www.zoominfo.com/c/metric-labs/447146165")</f>
        <v>https://www.zoominfo.com/c/metric-labs/447146165</v>
      </c>
      <c r="B115" s="7" t="str">
        <f>IFERROR(__xludf.DUMMYFUNCTION("""COMPUTED_VALUE"""),"Metric Labs - Overview, News &amp; Similar companies \| ZoomInfo.com")</f>
        <v>Metric Labs - Overview, News &amp; Similar companies \| ZoomInfo.com</v>
      </c>
      <c r="C115" s="6" t="str">
        <f>IFERROR(__xludf.DUMMYFUNCTION("""COMPUTED_VALUE"""),"zoominfo.com")</f>
        <v>zoominfo.com</v>
      </c>
      <c r="D115" s="7" t="str">
        <f>IFERROR(__xludf.DUMMYFUNCTION("""COMPUTED_VALUE"""),"PROFILE")</f>
        <v>PROFILE</v>
      </c>
      <c r="E115" s="7" t="str">
        <f>IFERROR(__xludf.DUMMYFUNCTION("""COMPUTED_VALUE"""),"CORPORATE")</f>
        <v>CORPORATE</v>
      </c>
      <c r="F115" s="7" t="str">
        <f>IFERROR(__xludf.DUMMYFUNCTION("""COMPUTED_VALUE"""),"Profile")</f>
        <v>Profile</v>
      </c>
      <c r="G115" s="7" t="b">
        <f>IFERROR(__xludf.DUMMYFUNCTION("""COMPUTED_VALUE"""),FALSE)</f>
        <v>0</v>
      </c>
      <c r="H115" s="7" t="str">
        <f>IFERROR(__xludf.DUMMYFUNCTION("""COMPUTED_VALUE"""),"Metric Labs, Momentum")</f>
        <v>Metric Labs, Momentum</v>
      </c>
      <c r="I115" s="7">
        <f>IFERROR(__xludf.DUMMYFUNCTION("""COMPUTED_VALUE"""),1.0)</f>
        <v>1</v>
      </c>
      <c r="J115" s="7">
        <f>IFERROR(__xludf.DUMMYFUNCTION("""COMPUTED_VALUE"""),0.0)</f>
        <v>0</v>
      </c>
      <c r="K115" s="7">
        <f>IFERROR(__xludf.DUMMYFUNCTION("""COMPUTED_VALUE"""),1.0)</f>
        <v>1</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location=":~:text=HERO%20dominated%20the%20new%20AdNews%20category%20with,2026%20AdNews%20Independent%20Agency%20of%20the%20Year."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location=":~:text=At%20farsiight%2C%20we%20specialise%20in,Education%2C%20Travel%2C%20and%20more."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A94"/>
    <hyperlink r:id="rId183" ref="C94"/>
    <hyperlink r:id="rId184" ref="A95"/>
    <hyperlink r:id="rId185" ref="C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ref="A102"/>
    <hyperlink r:id="rId199" ref="A103"/>
    <hyperlink r:id="rId200" ref="C103"/>
    <hyperlink r:id="rId201" ref="A104"/>
    <hyperlink r:id="rId202" ref="C104"/>
    <hyperlink r:id="rId203" ref="A105"/>
    <hyperlink r:id="rId204" ref="C105"/>
    <hyperlink r:id="rId205" ref="A106"/>
    <hyperlink r:id="rId206" ref="C106"/>
    <hyperlink r:id="rId207" ref="A107"/>
    <hyperlink r:id="rId208" ref="C107"/>
    <hyperlink r:id="rId209" ref="A108"/>
    <hyperlink r:id="rId210" ref="C108"/>
    <hyperlink r:id="rId211" ref="A109"/>
    <hyperlink r:id="rId212" ref="C109"/>
    <hyperlink r:id="rId213" ref="A110"/>
    <hyperlink r:id="rId214" ref="C110"/>
    <hyperlink r:id="rId215" ref="A111"/>
    <hyperlink r:id="rId216" ref="C111"/>
    <hyperlink r:id="rId217" ref="A112"/>
    <hyperlink r:id="rId218" ref="C112"/>
    <hyperlink r:id="rId219" ref="A113"/>
    <hyperlink r:id="rId220" ref="C113"/>
    <hyperlink r:id="rId221" ref="A114"/>
    <hyperlink r:id="rId222" ref="C114"/>
    <hyperlink r:id="rId223" ref="A115"/>
    <hyperlink r:id="rId224" ref="C115"/>
  </hyperlinks>
  <drawing r:id="rId225"/>
</worksheet>
</file>