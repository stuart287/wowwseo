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How to Use" sheetId="1" r:id="rId4"/>
    <sheet state="visible" name="01 Profile &amp; Baseline" sheetId="2" r:id="rId5"/>
    <sheet state="visible" name="02 Casino Silo" sheetId="3" r:id="rId6"/>
    <sheet state="visible" name="03 Sports Silo" sheetId="4" r:id="rId7"/>
    <sheet state="visible" name="04 Content &amp; Guides" sheetId="5" r:id="rId8"/>
    <sheet state="visible" name="05 Local &amp; Authority" sheetId="6" r:id="rId9"/>
    <sheet state="visible" name="06 Summary" sheetId="7" r:id="rId10"/>
    <sheet state="visible" name="07 Action Plan" sheetId="8" r:id="rId11"/>
  </sheets>
  <definedNames>
    <definedName hidden="1" localSheetId="2" name="_xlnm._FilterDatabase">'02 Casino Silo'!$A$3:$L$19</definedName>
    <definedName hidden="1" localSheetId="3" name="_xlnm._FilterDatabase">'03 Sports Silo'!$A$3:$L$18</definedName>
    <definedName hidden="1" localSheetId="4" name="_xlnm._FilterDatabase">'04 Content &amp; Guides'!$A$3:$L$15</definedName>
    <definedName hidden="1" localSheetId="5" name="_xlnm._FilterDatabase">'05 Local &amp; Authority'!$A$3:$L$13</definedName>
  </definedNames>
  <calcPr/>
  <extLst>
    <ext uri="GoogleSheetsCustomDataVersion2">
      <go:sheetsCustomData xmlns:go="http://customooxmlschemas.google.com/" r:id="rId12" roundtripDataChecksum="zt/0iMeHa0EKaRdp0Sz3EpMuPojfmAUiM+c5yQvn5l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ID#AAACEzQ-oGg
Unknown Author    (2026-08-04 14:52:09)
0 = absent, 1 = poor, 2 = adequate, 3 = strong. N/A where the check does not apply.</t>
      </text>
    </comment>
  </commentList>
  <extLst>
    <ext uri="GoogleSheetsCustomDataVersion2">
      <go:sheetsCustomData xmlns:go="http://customooxmlschemas.google.com/" r:id="rId1" roundtripDataSignature="AMtx7mjjXuXv4pTFNmAmMXmOIcaz+DdaV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ID#AAACEzQ-oGc
Unknown Author    (2026-08-04 14:52:09)
0 = absent, 1 = poor, 2 = adequate, 3 = strong. N/A where the check does not apply.</t>
      </text>
    </comment>
  </commentList>
  <extLst>
    <ext uri="GoogleSheetsCustomDataVersion2">
      <go:sheetsCustomData xmlns:go="http://customooxmlschemas.google.com/" r:id="rId1" roundtripDataSignature="AMtx7mh36FPMnQisTdCY3DhLG/SwGQJKM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ID#AAACEzQ-oGk
Unknown Author    (2026-08-04 14:52:09)
0 = absent, 1 = poor, 2 = adequate, 3 = strong. N/A where the check does not apply.</t>
      </text>
    </comment>
  </commentList>
  <extLst>
    <ext uri="GoogleSheetsCustomDataVersion2">
      <go:sheetsCustomData xmlns:go="http://customooxmlschemas.google.com/" r:id="rId1" roundtripDataSignature="AMtx7mi1bjESbtAYlaNDT9WTsFI+WmW2/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ID#AAACEzQ-oGo
Unknown Author    (2026-08-04 14:52:09)
0 = absent, 1 = poor, 2 = adequate, 3 = strong. N/A where the check does not apply.</t>
      </text>
    </comment>
  </commentList>
  <extLst>
    <ext uri="GoogleSheetsCustomDataVersion2">
      <go:sheetsCustomData xmlns:go="http://customooxmlschemas.google.com/" r:id="rId1" roundtripDataSignature="AMtx7mjm/cMR3SrU6Ns4+EoLCUPYEabsdg=="/>
    </ext>
  </extLst>
</comments>
</file>

<file path=xl/sharedStrings.xml><?xml version="1.0" encoding="utf-8"?>
<sst xmlns="http://schemas.openxmlformats.org/spreadsheetml/2006/main" count="526" uniqueCount="332">
  <si>
    <t>Island Luck Competitor Audit — Ranking Focus</t>
  </si>
  <si>
    <t>Profile &amp; Baseline Metrics</t>
  </si>
  <si>
    <t>Casino Silo</t>
  </si>
  <si>
    <t>Sports Silo</t>
  </si>
  <si>
    <t>Compressed audit. Island Luck benchmarked against Paradise Games, scoped to the factors that most directly drive keyword coverage and rankings.</t>
  </si>
  <si>
    <t>Scope</t>
  </si>
  <si>
    <t>Complete first. Fixes the point-in-time context every later finding is read against.</t>
  </si>
  <si>
    <t>Island Luck only, benchmarked against Paradise Games on identical criteria. Technical SEO is deliberately excluded from this pass; it should be audited separately once the content and structural gaps are sized.</t>
  </si>
  <si>
    <t>Field</t>
  </si>
  <si>
    <t>What it covers</t>
  </si>
  <si>
    <t>Casino silo, sports silo, content and guides, and local trust and authority. Each tab is limited to the points that materially affect how many keywords the site can rank for and how well it ranks for them.</t>
  </si>
  <si>
    <t>Casino page inventory, on-page content, keyword coverage and product context. The largest keyword-expansion opportunity.</t>
  </si>
  <si>
    <t>Why it is captured</t>
  </si>
  <si>
    <t>How to complete</t>
  </si>
  <si>
    <t>Work Island Luck end to end first, then Paradise Games. Auditing one site at a time keeps context intact and is far faster than switching per row.</t>
  </si>
  <si>
    <t>Sportsbook page inventory, on-page content and keyword coverage, weighted to the US-league demand that dominates Bahamian betting interest.</t>
  </si>
  <si>
    <t>Island Luck</t>
  </si>
  <si>
    <t>Paradise Games (Client)</t>
  </si>
  <si>
    <t>Date audited / auditor</t>
  </si>
  <si>
    <t>Ref</t>
  </si>
  <si>
    <t>Scoring</t>
  </si>
  <si>
    <t>0 = absent · 1 = present but poor · 2 = adequate / market standard · 3 = strong, best in market. N/A where the check does not apply. Scores roll up automatically into the Summary tab.</t>
  </si>
  <si>
    <t>Fixes the point-in-time context for all findings.</t>
  </si>
  <si>
    <t>Section</t>
  </si>
  <si>
    <t>Audit point</t>
  </si>
  <si>
    <t>Evidence rule</t>
  </si>
  <si>
    <t>Why this matters (rationale for the client)</t>
  </si>
  <si>
    <t>Every score needs a finding written beside it. A score with no note is indefensible in a client meeting three weeks later.</t>
  </si>
  <si>
    <t>What good looks like (benchmark)</t>
  </si>
  <si>
    <t>Island Luck — finding</t>
  </si>
  <si>
    <t>Cells you fill in</t>
  </si>
  <si>
    <t>Primary domain audited</t>
  </si>
  <si>
    <t>All cream-shaded cells. Grey and white cells are fixed framework.</t>
  </si>
  <si>
    <t>Score</t>
  </si>
  <si>
    <t>Root domain, plus any redirecting legacy domains.</t>
  </si>
  <si>
    <t>Paradise Games (Client) — finding</t>
  </si>
  <si>
    <t>islandluck.com</t>
  </si>
  <si>
    <t>Gap / opportunity</t>
  </si>
  <si>
    <t>Priority</t>
  </si>
  <si>
    <t>Recommended action</t>
  </si>
  <si>
    <t>C01</t>
  </si>
  <si>
    <t>Silo &amp; Page Inventory</t>
  </si>
  <si>
    <t>Adding rows</t>
  </si>
  <si>
    <t>Category page inventory (slots, live casino, table games, jackpots, instant win, numbers/lotto)</t>
  </si>
  <si>
    <t>Insert inside the existing block, never below the last row, so the Summary formulas continue to cover them.</t>
  </si>
  <si>
    <t>Tools assumed</t>
  </si>
  <si>
    <t>S01</t>
  </si>
  <si>
    <t>Category pages are the head-term entry points for the whole silo. Each missing category is a whole keyword cluster we cannot rank for at all, regardless of how good the rest of the site is.</t>
  </si>
  <si>
    <t>Ahrefs or Semrush for keywords, backlinks and share of voice · Screaming Frog for page inventory, schema and internal links · manual site walkthrough for content and product · prompts to ChatGPT, Claude and Perplexity for AI visibility.</t>
  </si>
  <si>
    <t>One indexable, content-supported page per commercial category with real search demand.</t>
  </si>
  <si>
    <t>Sport-level page inventory (basketball, American football, baseball, football, boxing, MMA)</t>
  </si>
  <si>
    <t>Bahamas context</t>
  </si>
  <si>
    <t>10, including Casino 1, Casino 2, Casino 3, Casino 4, Live Dealers, Scratch Cards, Table Games. Jackpot Games</t>
  </si>
  <si>
    <t>The sport set defines which audiences they can rank for at all. Given Bahamian demand skews to NBA, NFL, MLB and boxing, any gap in those is a serious commercial miss.</t>
  </si>
  <si>
    <t>Domestic online gaming runs under the Gaming Act 2014 through licensed Gaming House Operators; casinos serve tourists, web shops serve residents. The addressable market is domestic, so local trust, local payment rails and local content carry more weight than international brand strength. Geo-restriction may serve you different content from outside the jurisdiction — verify what a Nassau IP sees.</t>
  </si>
  <si>
    <t>paradisegames.com</t>
  </si>
  <si>
    <t>An indexable, content-supported page per sport with genuine local betting demand.</t>
  </si>
  <si>
    <t>Google Sheets</t>
  </si>
  <si>
    <t>Upload to Drive and open with Google Sheets. Dropdowns, filters and formulas carry across; re-apply freeze panes if Sheets drops them.</t>
  </si>
  <si>
    <t>Worked example</t>
  </si>
  <si>
    <t>Audit point: individual game pages indexable · Island Luck: 412 indexable game URLs with RTP and provider data, two clicks from lobby — score 3 · Paradise Games: no game URLs, JS lobby only — score 0 · Gap: roughly 400 long-tail game queries uncontested; their pages are thin on review copy · Priority High — build an indexable game page template and launch with the top 100 titles.</t>
  </si>
  <si>
    <t>Estimated organic traffic (monthly)</t>
  </si>
  <si>
    <t>16, Also with Casino silos, live games, featured, new games, Table Games, Scratch, Jackpot Slots, New Games, Top Games</t>
  </si>
  <si>
    <t>Note the tool and date. Do not mix tools between the two sites.</t>
  </si>
  <si>
    <t>Estimated organic keywords</t>
  </si>
  <si>
    <t>Total ranking keywords, all silos. The headline number the whole audit explains.</t>
  </si>
  <si>
    <t>C02</t>
  </si>
  <si>
    <t>S02</t>
  </si>
  <si>
    <t>Domain Rating / Authority Score</t>
  </si>
  <si>
    <t>Provider/studio pages (Pragmatic Play, Evolution, Hacksaw, Play'n GO etc.)</t>
  </si>
  <si>
    <t>Sizes the authority gap and tells us whether links or content are the constraint.</t>
  </si>
  <si>
    <t>Provider searches carry high commercial intent and are the cheapest scalable page type in casino SEO. A provider page can be built once and target dozens of long-tail variants.</t>
  </si>
  <si>
    <t>League and competition pages (NBA, NFL, MLB, NCAA, Premier League, UFC)</t>
  </si>
  <si>
    <t>A page per major provider with its game library, a studio profile and links to top titles.</t>
  </si>
  <si>
    <t>League terms carry the bulk of sports search volume and return season after season. These are the workhorse pages of sportsbook SEO.</t>
  </si>
  <si>
    <t>Same as PG, but with fragmented URLs</t>
  </si>
  <si>
    <t>Referring domains</t>
  </si>
  <si>
    <t>A page per major league with markets, fixtures, odds and written context.</t>
  </si>
  <si>
    <t>Total unique linking domains.</t>
  </si>
  <si>
    <t>No pages, but categorised and changes once clicked</t>
  </si>
  <si>
    <t>Dedicated pages for each of the Providers, in stead of just filtered.</t>
  </si>
  <si>
    <t>Casino URLs indexed</t>
  </si>
  <si>
    <t>Medium</t>
  </si>
  <si>
    <t>Scale of the casino silo and its keyword ceiling.</t>
  </si>
  <si>
    <t>Create dedicated pages per Provier</t>
  </si>
  <si>
    <t>C03</t>
  </si>
  <si>
    <t>1; Login required</t>
  </si>
  <si>
    <t>Individual game pages and whether they are indexable</t>
  </si>
  <si>
    <t>Sports URLs indexed</t>
  </si>
  <si>
    <t>Game-name queries are the single largest volume block in casino search. If Island Luck has no indexable game pages, the entire long tail is uncontested and available to us at low cost.</t>
  </si>
  <si>
    <t>Scale of the sports silo and its keyword ceiling.</t>
  </si>
  <si>
    <t>Indexable page per game with RTP, volatility, provider, paylines and written review copy.</t>
  </si>
  <si>
    <t>S03</t>
  </si>
  <si>
    <t>Team, event and fixture pages and whether they are indexable</t>
  </si>
  <si>
    <t>Blog / guide URLs indexed</t>
  </si>
  <si>
    <t>Fixture pages capture large, spiky, low-competition demand. Whoever automates this well owns the seasonal tail, and it is the fastest route to keyword volume growth.</t>
  </si>
  <si>
    <t>Scale of the content programme.</t>
  </si>
  <si>
    <t>Record in full and compare like-for-like against Paradise Games.</t>
  </si>
  <si>
    <r>
      <rPr>
        <rFont val="Arial"/>
        <sz val="10.0"/>
      </rPr>
      <t xml:space="preserve">Each casino game has a dedicated page: E.G., </t>
    </r>
    <r>
      <rPr>
        <rFont val="Arial"/>
        <color rgb="FF1155CC"/>
        <sz val="10.0"/>
        <u/>
      </rPr>
      <t>https://www.islandluck.com/casino/jack-hammer</t>
    </r>
    <r>
      <rPr>
        <rFont val="Arial"/>
        <sz val="10.0"/>
      </rPr>
      <t xml:space="preserve">;
</t>
    </r>
    <r>
      <rPr>
        <rFont val="Arial"/>
        <color rgb="FF1155CC"/>
        <sz val="10.0"/>
        <u/>
      </rPr>
      <t>https://www.islandluck.com/casino/grand-wheel</t>
    </r>
  </si>
  <si>
    <r>
      <rPr>
        <rFont val="Arial"/>
        <color rgb="FF0000FF"/>
        <sz val="10.0"/>
        <u/>
      </rPr>
      <t>https://islandluckblogs.wordpress.com/</t>
    </r>
    <r>
      <rPr>
        <rFont val="Arial"/>
        <color rgb="FF1F1F1F"/>
        <sz val="10.0"/>
      </rPr>
      <t xml:space="preserve">;
</t>
    </r>
    <r>
      <rPr>
        <rFont val="Arial"/>
        <sz val="10.0"/>
      </rPr>
      <t>Over 10 Google pages;</t>
    </r>
  </si>
  <si>
    <t>S04</t>
  </si>
  <si>
    <t>Handling of expired events after the fixture passes</t>
  </si>
  <si>
    <t>Poor expiry handling leaves thousands of thin dead URLs dragging on site quality. Good handling recycles authority season to season.</t>
  </si>
  <si>
    <t>Persistent evergreen matchup URLs or clean 301s, never mass 404s.</t>
  </si>
  <si>
    <t>N/A</t>
  </si>
  <si>
    <t>Physical premises / agent locations</t>
  </si>
  <si>
    <t>Omnichannel footprint, including Family Islands.</t>
  </si>
  <si>
    <t>roughly 35</t>
  </si>
  <si>
    <t>Sportsbook / casino supplier (observed)</t>
  </si>
  <si>
    <t>Determines product ceiling and how many pages can legitimately be built.</t>
  </si>
  <si>
    <t>None dedicated, loads under casino</t>
  </si>
  <si>
    <t>32 Sports Silos; 396 casino games when clicking on 'All'</t>
  </si>
  <si>
    <t xml:space="preserve">TBD once live site access has been given. Can't view sports 1 and sports 2 on staging. </t>
  </si>
  <si>
    <t>Headline strengths</t>
  </si>
  <si>
    <t>PG does not have dedicated pages per game, whereas Island Luck does</t>
  </si>
  <si>
    <t>Three lines maximum. Written last, after the audit tabs are complete.</t>
  </si>
  <si>
    <t>S05</t>
  </si>
  <si>
    <t>High</t>
  </si>
  <si>
    <t>On-Page Content</t>
  </si>
  <si>
    <t>Create dedicated pages that host each casino game</t>
  </si>
  <si>
    <t>Depth and uniqueness of copy on sport and league pages</t>
  </si>
  <si>
    <t>Headline weaknesses</t>
  </si>
  <si>
    <t>Sports copy is usually thinner than casino copy, which makes it the easier of the two silos to win. Their word count tells us how little we need to do to beat them.</t>
  </si>
  <si>
    <t>C04</t>
  </si>
  <si>
    <t>Promotions hub and whether individual offers have persistent URLs</t>
  </si>
  <si>
    <t>Bonus queries are bottom-funnel and convert immediately. A JS-only promo page captures none of that demand and gives no internal-link target.</t>
  </si>
  <si>
    <t>A /promotions/ hub plus persistent URLs for evergreen offers.</t>
  </si>
  <si>
    <t>Three lines maximum. These become our attack points.</t>
  </si>
  <si>
    <r>
      <rPr>
        <rFont val="Arial"/>
        <sz val="10.0"/>
      </rPr>
      <t xml:space="preserve">Does have promotions pages, but using fragmented URLs; e.g., </t>
    </r>
    <r>
      <rPr>
        <rFont val="Arial"/>
        <color rgb="FF1155CC"/>
        <sz val="10.0"/>
        <u/>
      </rPr>
      <t>https://www.islandluck.com/promotion?section=Missions</t>
    </r>
  </si>
  <si>
    <t>S06</t>
  </si>
  <si>
    <t>Whether odds and fixtures are server-rendered and crawlable</t>
  </si>
  <si>
    <t>If live data only appears after JS execution, search engines may index an empty shell. That is a large, quiet ranking opportunity.</t>
  </si>
  <si>
    <t xml:space="preserve">Same as competitor, but there are overlays with more context </t>
  </si>
  <si>
    <t>Opportunity to create dedicated LPs for the promotions</t>
  </si>
  <si>
    <t>Low</t>
  </si>
  <si>
    <t>Create dedicated pages for each of the promotions.</t>
  </si>
  <si>
    <t>S07</t>
  </si>
  <si>
    <t>C05</t>
  </si>
  <si>
    <t>Betting-market explainer content (spreads, moneyline, totals, parlays, props)</t>
  </si>
  <si>
    <t>Word count, placement and depth of copy on category pages</t>
  </si>
  <si>
    <t>Sets the content bar we must clear to compete, and shows whether the ranking gap is a content-volume problem or a structural one. Two very different budgets.</t>
  </si>
  <si>
    <t>Market education captures informational demand, feeds AI answers and links directly into the relevant market page. It is the bridge between blog and sportsbook.</t>
  </si>
  <si>
    <t>500 to 1,200 words of genuinely useful copy placed below the game grid.</t>
  </si>
  <si>
    <t>Opportunity to create content to add depth on pages</t>
  </si>
  <si>
    <t>Create content per page for casino pages.</t>
  </si>
  <si>
    <t>C06</t>
  </si>
  <si>
    <t>S08</t>
  </si>
  <si>
    <t>Uniqueness of copy across categories and providers (templated vs bespoke)</t>
  </si>
  <si>
    <t>Templated copy at scale is a visible weakness and is vulnerable to quality-focused updates. If theirs is spun, differentiated pages will overtake them without matching their page count.</t>
  </si>
  <si>
    <t>Title and meta templates for league, team and fixture pages</t>
  </si>
  <si>
    <t>Programmatic title templates are where scaled sportsbook SEO succeeds or fails. Theirs is directly copyable or beatable at almost no cost.</t>
  </si>
  <si>
    <t>Same as above</t>
  </si>
  <si>
    <t>C07</t>
  </si>
  <si>
    <t>Presence of structured game data (RTP, volatility, min/max stake, provider, demo)</t>
  </si>
  <si>
    <t>Game facts are the substance behind game-page rankings and are exactly what AI assistants extract for 'RTP of X' style queries. Completeness is a citation advantage.</t>
  </si>
  <si>
    <t>None present</t>
  </si>
  <si>
    <t>S09</t>
  </si>
  <si>
    <t>Internal linking between sport, league, team and fixture pages</t>
  </si>
  <si>
    <t>Determines whether their fixture pages get crawled and ranked at all. Weak linking means their inventory exists but does not compete.</t>
  </si>
  <si>
    <t>C08</t>
  </si>
  <si>
    <t>Title tag and H1 patterns across category, provider and game pages</t>
  </si>
  <si>
    <t>Title patterns are the fastest-shipping ranking lever available and are directly copyable or beatable. They also reveal how they map keywords to page types.</t>
  </si>
  <si>
    <t>Distinct, keyword-led titles under 60 characters with no template collisions.</t>
  </si>
  <si>
    <t>No</t>
  </si>
  <si>
    <t>Opportunity to include title tags on all pages</t>
  </si>
  <si>
    <t>S10</t>
  </si>
  <si>
    <t>Keywords &amp; SERP</t>
  </si>
  <si>
    <t>Create unique title tags for all main pages,</t>
  </si>
  <si>
    <t>Top-ranking sports keywords and the page types earning them</t>
  </si>
  <si>
    <t>C09</t>
  </si>
  <si>
    <t>Tells us whether their sports traffic comes from league pages, fixture pages or the blog, so we concentrate the build where it demonstrably works.</t>
  </si>
  <si>
    <t>Internal linking from hub down to category, provider and game pages</t>
  </si>
  <si>
    <t>Internal linking is how authority reaches the tail. A strong hub with no downward links leaves their own inventory unranked, which is an opening we can exploit quickly.</t>
  </si>
  <si>
    <t>Only present in the navigation, game tiles and footer</t>
  </si>
  <si>
    <t>Only present in navigation, game tiles and footer</t>
  </si>
  <si>
    <t>Internal linking opportunity to improve structure</t>
  </si>
  <si>
    <t>Implement internal linking; as page content is implemented</t>
  </si>
  <si>
    <t>C10</t>
  </si>
  <si>
    <t>S11</t>
  </si>
  <si>
    <t>Content &amp; Guides</t>
  </si>
  <si>
    <t>Top-ranking casino keywords, estimated traffic and which page type earns it</t>
  </si>
  <si>
    <t>Shows which page archetype actually drives their casino traffic, so we build where returns are proven rather than where theory says.</t>
  </si>
  <si>
    <t>Coverage of Bahamian and Caribbean sports demand (NBA, NFL, MLB, boxing, athletics)</t>
  </si>
  <si>
    <t>Top 50 casino keywords mapped to landing page type.</t>
  </si>
  <si>
    <t>Content matched to what Bahamians actually watch converts far better than generic global sports coverage, and faces less competition.</t>
  </si>
  <si>
    <t>TBA</t>
  </si>
  <si>
    <t>Top-of-funnel content: coverage, E-E-A-T, extraction formatting and internal linking into the money silos.</t>
  </si>
  <si>
    <t>C11</t>
  </si>
  <si>
    <t>Keyword cannibalisation between lobby, category and game pages</t>
  </si>
  <si>
    <t>Cannibalisation splits their authority and destabilises their rankings. A single consolidated page from us can displace two of theirs.</t>
  </si>
  <si>
    <t>S12</t>
  </si>
  <si>
    <t>None</t>
  </si>
  <si>
    <t>Seasonality lead time (Super Bowl, March Madness, NBA Finals, World Cup)</t>
  </si>
  <si>
    <t>Publish dates reveal how early they prepare. That sets the deadline we must beat to own the peak.</t>
  </si>
  <si>
    <t>Ensure content for all pages are unique when being created and implemented.</t>
  </si>
  <si>
    <t>C12</t>
  </si>
  <si>
    <t>Coverage of Bahamas-modified terms (online slots Bahamas, casino games Nassau)</t>
  </si>
  <si>
    <t>Lower volume but far higher conversion in a domestic-licensed market. If they ignore local modifiers, this is cheap, defensible ground.</t>
  </si>
  <si>
    <t>N/A - only in footer and terms and conditions</t>
  </si>
  <si>
    <t>S13</t>
  </si>
  <si>
    <t>Opportunity to implement additional keyword references to Bahamas</t>
  </si>
  <si>
    <t>Schema on sports pages (SportsEvent, BreadcrumbList, FAQPage)</t>
  </si>
  <si>
    <t>B01</t>
  </si>
  <si>
    <t>Include keywords in the copy of the pages when creating content - specific to Bahamas</t>
  </si>
  <si>
    <t>C13</t>
  </si>
  <si>
    <t>Structure</t>
  </si>
  <si>
    <t>Event schema supports enhanced results for fixture queries, which is exactly where the spiky volume sits. Very few operators implement it correctly.</t>
  </si>
  <si>
    <t>Schema deployed on casino pages (BreadcrumbList, FAQPage, ItemList, VideoGame)</t>
  </si>
  <si>
    <t>Location and URL pattern of the content section (/blog/, /guides/)</t>
  </si>
  <si>
    <t>Schema drives SERP feature eligibility and AI parsing. In a vertical where most operators deploy none, it is a fast and defensible edge.</t>
  </si>
  <si>
    <t>Where content sits decides whether its authority flows into the money silos or strands in a disconnected corner. This is a structural decision we must get right before publishing.</t>
  </si>
  <si>
    <t>No items detected</t>
  </si>
  <si>
    <t>Content nested within or tightly linked to the relevant silo, under a clear parent hub.</t>
  </si>
  <si>
    <t>No Items detected</t>
  </si>
  <si>
    <t>Opportunity to include schema markup for casino games or casino section.</t>
  </si>
  <si>
    <t>S14</t>
  </si>
  <si>
    <t>Product Context</t>
  </si>
  <si>
    <t xml:space="preserve">Investigate schema markup for main casino page. </t>
  </si>
  <si>
    <t>Market depth per major fixture and in-play availability</t>
  </si>
  <si>
    <t>C14</t>
  </si>
  <si>
    <t>Market depth determines how many pages can legitimately be built and whether ranked traffic converts once it lands.</t>
  </si>
  <si>
    <t>Game library size, provider mix and live casino depth</t>
  </si>
  <si>
    <t>B02</t>
  </si>
  <si>
    <t>Library breadth caps how many game pages can ever be built, so it sets the ceiling on our own SEO programme as well as being the top product comparison players make.</t>
  </si>
  <si>
    <t>Publishing volume and cadence over the last 12 months</t>
  </si>
  <si>
    <t>Great selection of casino games; just under 400</t>
  </si>
  <si>
    <t>Cadence shows resourcing and intent, and sizes the effort needed to overtake them. A rival publishing weekly is compounding; one publishing quarterly is not defending the space.</t>
  </si>
  <si>
    <t>Paradise Games not trailing far behind in terms of casino games - 303. The graphics on casino game tile interactions on hover are far better for the competitor.</t>
  </si>
  <si>
    <t>Opportunity to make graphics more appealing when users hover/interact with game tiles</t>
  </si>
  <si>
    <t>Create graphics that change when users hover on the game tiles, even if it's just a button overlay that shows "Play Now"</t>
  </si>
  <si>
    <t>S15</t>
  </si>
  <si>
    <t>C15</t>
  </si>
  <si>
    <t>B03</t>
  </si>
  <si>
    <t>Demo / free play availability without registration</t>
  </si>
  <si>
    <t>Sports promotions: offer types and whether they have their own URLs</t>
  </si>
  <si>
    <t>Free-play queries are a large long-tail traffic source. Gating demo behind registration forfeits that traffic entirely.</t>
  </si>
  <si>
    <t>Whether guides link contextually into casino and sports money pages</t>
  </si>
  <si>
    <t>Sports offers are event-triggered and reward publishing speed. Persistent URLs turn each one into a recurring ranking asset.</t>
  </si>
  <si>
    <t>This is the entire commercial justification for a content programme. Content that does not link down is a cost centre, not an acquisition channel.</t>
  </si>
  <si>
    <t>Opportunity to include demo games for players who'd like to test games first</t>
  </si>
  <si>
    <t>Find out whether demo play is available.</t>
  </si>
  <si>
    <t>C16</t>
  </si>
  <si>
    <t>B04</t>
  </si>
  <si>
    <t>Numbers, cash pot and asue draw presentation</t>
  </si>
  <si>
    <t>Topic Coverage</t>
  </si>
  <si>
    <t>Culturally specific, high-frequency Bahamian demand that no international competitor targets. How they structure these pages transfers directly to our lottery content.</t>
  </si>
  <si>
    <t>How-to and beginner content (how to bet, how to read odds, how slots work)</t>
  </si>
  <si>
    <t>Captures top-of-funnel demand in a market where many players are newly converting from in-person web shops to online play. Also the most AI-cited content format.</t>
  </si>
  <si>
    <t>Numbers on Island Luck presented in table format with infinite scroll until user eventually gets to the bottom. Option to clear search. Also promotional banner in the hero of the page, if users want to jump to a casino game specific to the promotion</t>
  </si>
  <si>
    <t>Numbers on results page presented in table-format; users have the ability to go to different pages of the table, depending on what they want to see, No clear function</t>
  </si>
  <si>
    <t>Opportunity to include clear function for users to easily clear the search</t>
  </si>
  <si>
    <t>Create "Clear Search" function for users to easily reset their searches. Include hero banner that promotes popular casino game, or a specific promotion</t>
  </si>
  <si>
    <t>B05</t>
  </si>
  <si>
    <t>Game and market explainer content (RTP explained, volatility, spreads, parlays)</t>
  </si>
  <si>
    <t>Definitional content is what AI assistants quote and the natural internal-link feeder into game, provider and market pages.</t>
  </si>
  <si>
    <t>B06</t>
  </si>
  <si>
    <t>Payments, withdrawals and account help content</t>
  </si>
  <si>
    <t>High-intent, high-anxiety queries. Answering them clearly captures searchers at the exact point of deciding to deposit.</t>
  </si>
  <si>
    <t>B07</t>
  </si>
  <si>
    <t>Bahamas-specific content (legality, Gaming Board, local payments, local sport)</t>
  </si>
  <si>
    <t>The most defensible content territory available. International affiliates cannot match genuine local knowledge, and domestic searchers explicitly look for it.</t>
  </si>
  <si>
    <t>B08</t>
  </si>
  <si>
    <t>Sports previews and predictions, and their publishing lead time</t>
  </si>
  <si>
    <t>Preview content captures pre-event spikes only if published before demand peaks. Their lead time is a directly copyable operational benchmark.</t>
  </si>
  <si>
    <t>B09</t>
  </si>
  <si>
    <t>Quality &amp; Extraction</t>
  </si>
  <si>
    <t>Author attribution, bios, credentials and update dates</t>
  </si>
  <si>
    <t>The clearest E-E-A-T gap in the domestic market. Most operators publish anonymously, so named expertise is a cheap and durable differentiator in a trust-sensitive vertical.</t>
  </si>
  <si>
    <t>B10</t>
  </si>
  <si>
    <t>FAQ sections and their schema implementation</t>
  </si>
  <si>
    <t>Serves both People Also Ask capture and AI extraction, and is the lowest-effort structured content available.</t>
  </si>
  <si>
    <t>B11</t>
  </si>
  <si>
    <t>Formatting for extraction: question headings, direct answers, tables, defined terms</t>
  </si>
  <si>
    <t>Format determines extractability more than quality does. This becomes the concrete change list for our own content brief templates.</t>
  </si>
  <si>
    <t>B12</t>
  </si>
  <si>
    <t>Featured snippets and PAA results currently won by their content</t>
  </si>
  <si>
    <t>Each snippet they hold is a specific, winnable target and the closest proxy for how well their content answers real questions.</t>
  </si>
  <si>
    <t>Prioritised Action Plan</t>
  </si>
  <si>
    <t>Summary of Findings</t>
  </si>
  <si>
    <t>Local &amp; Authority</t>
  </si>
  <si>
    <t>Calculates automatically from the audit tabs. Averages on the 0-3 scale; blanks are ignored until scored.</t>
  </si>
  <si>
    <t>Pull every High and Medium priority row through here and sequence it.</t>
  </si>
  <si>
    <t>Trust, local relevance and link authority. Determines whether ranking gaps are a content problem or an authority problem.</t>
  </si>
  <si>
    <t>Area</t>
  </si>
  <si>
    <t>Source tab</t>
  </si>
  <si>
    <t>Opportunity</t>
  </si>
  <si>
    <t>Why it matters (client rationale)</t>
  </si>
  <si>
    <t>Client gap</t>
  </si>
  <si>
    <t>Silo</t>
  </si>
  <si>
    <t>Effort</t>
  </si>
  <si>
    <t>Impact</t>
  </si>
  <si>
    <t>L01</t>
  </si>
  <si>
    <t>Trust &amp; Compliance</t>
  </si>
  <si>
    <t>Gaming Board licence details displayed, and how prominently</t>
  </si>
  <si>
    <t>Visible licensing is the strongest trust signal in a domestic market and an explicit E-E-A-T factor for a money-and-life-adjacent vertical. Prominence varies widely and is easily beaten.</t>
  </si>
  <si>
    <t>L02</t>
  </si>
  <si>
    <t>Responsible gambling content and tools (limits, self-exclusion, time-outs)</t>
  </si>
  <si>
    <t>Compliance expectation, genuine trust signal, and content that ranks for its own queries. Three returns from one build.</t>
  </si>
  <si>
    <t>L03</t>
  </si>
  <si>
    <t>Local Relevance</t>
  </si>
  <si>
    <t>Local payment methods supported (Sand Dollar, Kanoo, Omni, bank transfer, cash at agent locations)</t>
  </si>
  <si>
    <t>The most decisive product factor in this market. Cash-in at agent premises has no online equivalent for operators without a network, and it drives its own search demand.</t>
  </si>
  <si>
    <t>L04</t>
  </si>
  <si>
    <t>Use of Bahamian references, place names and local voice in copy</t>
  </si>
  <si>
    <t>Local authenticity is the one advantage a domestic operator holds over offshore books and affiliates. Under-using it wastes a structural asset.</t>
  </si>
  <si>
    <t>L05</t>
  </si>
  <si>
    <t>Family Islands coverage in content and agent listings</t>
  </si>
  <si>
    <t>Nassau-centric messaging leaves Grand Bahama, Abaco, Eleuthera and Exuma underserved. That content is uncontested and reaches real demand.</t>
  </si>
  <si>
    <t>L06</t>
  </si>
  <si>
    <t>Geo-targeting signals: local business schema, NAP, contact details, ccTLD usage</t>
  </si>
  <si>
    <t>Explicit geographic signalling helps a domestic operator outrank larger international domains locally. Most rivals set none of it.</t>
  </si>
  <si>
    <t>L07</t>
  </si>
  <si>
    <t>Authority</t>
  </si>
  <si>
    <t>Referring domains, Domain Rating and 24-month growth trend</t>
  </si>
  <si>
    <t>Tells us whether the ranking gap is a content problem or an authority problem. Those need entirely different budgets, so this determines the shape of the recommendation.</t>
  </si>
  <si>
    <t>L08</t>
  </si>
  <si>
    <t>Bahamian media links specifically (Tribune 242, Nassau Guardian, Eyewitness News)</t>
  </si>
  <si>
    <t>Local press links carry disproportionate relevance for a domestically licensed brand and are realistically obtainable, unlike global iGaming media.</t>
  </si>
  <si>
    <t>L09</t>
  </si>
  <si>
    <t>Branded search volume and trend</t>
  </si>
  <si>
    <t>The truest measure of market share and the best single predictor of non-branded ranking strength in this vertical.</t>
  </si>
  <si>
    <t>L10</t>
  </si>
  <si>
    <t>Google Business Profiles and local citation coverage for physical locations</t>
  </si>
  <si>
    <t>With a licensed premises network, local pack visibility is a real acquisition channel that pure-online SEO thinking tends to miss.</t>
  </si>
  <si>
    <t>AREA AVERAGE — Casino Silo</t>
  </si>
  <si>
    <t>AREA AVERAGE — Sports Silo</t>
  </si>
  <si>
    <t>AREA AVERAGE — Content &amp; Guides</t>
  </si>
  <si>
    <t>AREA AVERAGE — Local &amp; Authority</t>
  </si>
  <si>
    <t>OVERALL POSITION (all areas)</t>
  </si>
  <si>
    <t>0 absent · 1 poor · 2 adequate · 3 strong. A negative client gap is ground to make up.</t>
  </si>
  <si>
    <t>PRIORITY WORKLOAD</t>
  </si>
  <si>
    <t>% scored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</si>
</sst>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0.0"/>
    <numFmt numFmtId="166" formatCode="0.0;[RED]\-0.0"/>
  </numFmts>
  <fonts count="15">
    <font>
      <sz val="11.0"/>
      <color theme="1"/>
      <name val="Calibri"/>
      <scheme val="minor"/>
    </font>
    <font>
      <b/>
      <sz val="13.0"/>
      <color rgb="FFFFFFFF"/>
      <name val="Arial"/>
    </font>
    <font/>
    <font>
      <i/>
      <sz val="9.0"/>
      <color rgb="FF404040"/>
      <name val="Arial"/>
    </font>
    <font>
      <b/>
      <sz val="10.0"/>
      <color rgb="FFFFFFFF"/>
      <name val="Arial"/>
    </font>
    <font>
      <sz val="10.0"/>
      <color rgb="FF000000"/>
      <name val="Arial"/>
    </font>
    <font>
      <b/>
      <sz val="10.0"/>
      <color theme="1"/>
      <name val="Arial"/>
    </font>
    <font>
      <sz val="10.0"/>
      <color theme="1"/>
      <name val="Arial"/>
    </font>
    <font>
      <u/>
      <sz val="10.0"/>
      <color rgb="FF0000FF"/>
      <name val="Arial"/>
    </font>
    <font>
      <i/>
      <sz val="10.0"/>
      <color rgb="FF404040"/>
      <name val="Arial"/>
    </font>
    <font>
      <u/>
      <sz val="10.0"/>
      <color rgb="FF0000FF"/>
      <name val="Arial"/>
    </font>
    <font>
      <color theme="1"/>
      <name val="Calibri"/>
      <scheme val="minor"/>
    </font>
    <font>
      <sz val="9.0"/>
      <color rgb="FF808080"/>
      <name val="Arial"/>
    </font>
    <font>
      <b/>
      <sz val="11.0"/>
      <color rgb="FFFFFFFF"/>
      <name val="Arial"/>
    </font>
    <font>
      <i/>
      <sz val="9.0"/>
      <color rgb="FF595959"/>
      <name val="Arial"/>
    </font>
  </fonts>
  <fills count="7">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2E5C8A"/>
        <bgColor rgb="FF2E5C8A"/>
      </patternFill>
    </fill>
    <fill>
      <patternFill patternType="solid">
        <fgColor rgb="FFFFF9E6"/>
        <bgColor rgb="FFFFF9E6"/>
      </patternFill>
    </fill>
    <fill>
      <patternFill patternType="solid">
        <fgColor rgb="FFFFFFFF"/>
        <bgColor rgb="FFFFFFFF"/>
      </patternFill>
    </fill>
  </fills>
  <borders count="7">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0"/>
    </xf>
    <xf borderId="4" fillId="4" fontId="4" numFmtId="0" xfId="0" applyAlignment="1" applyBorder="1" applyFill="1" applyFont="1">
      <alignment shrinkToFit="0" vertical="top" wrapText="1"/>
    </xf>
    <xf borderId="5" fillId="0" fontId="5" numFmtId="0" xfId="0" applyAlignment="1" applyBorder="1" applyFont="1">
      <alignment shrinkToFit="0" vertical="top" wrapText="1"/>
    </xf>
    <xf borderId="6" fillId="0" fontId="2" numFmtId="0" xfId="0" applyBorder="1" applyFont="1"/>
    <xf borderId="4" fillId="4" fontId="4" numFmtId="0" xfId="0" applyAlignment="1" applyBorder="1" applyFont="1">
      <alignment horizontal="center" shrinkToFit="0" vertical="center" wrapText="1"/>
    </xf>
    <xf borderId="4" fillId="2" fontId="4" numFmtId="0" xfId="0" applyAlignment="1" applyBorder="1" applyFont="1">
      <alignment horizontal="center" shrinkToFit="0" vertical="center" wrapText="1"/>
    </xf>
    <xf borderId="4" fillId="3" fontId="6" numFmtId="0" xfId="0" applyAlignment="1" applyBorder="1" applyFont="1">
      <alignment shrinkToFit="0" vertical="top" wrapText="1"/>
    </xf>
    <xf borderId="4" fillId="3" fontId="7" numFmtId="0" xfId="0" applyAlignment="1" applyBorder="1" applyFont="1">
      <alignment shrinkToFit="0" vertical="top" wrapText="1"/>
    </xf>
    <xf borderId="4" fillId="5" fontId="7" numFmtId="164" xfId="0" applyAlignment="1" applyBorder="1" applyFill="1" applyFont="1" applyNumberFormat="1">
      <alignment horizontal="center" readingOrder="0" shrinkToFit="0" vertical="top" wrapText="1"/>
    </xf>
    <xf borderId="4" fillId="6" fontId="6" numFmtId="0" xfId="0" applyAlignment="1" applyBorder="1" applyFill="1" applyFont="1">
      <alignment shrinkToFit="0" vertical="top" wrapText="1"/>
    </xf>
    <xf borderId="4" fillId="6" fontId="7" numFmtId="0" xfId="0" applyAlignment="1" applyBorder="1" applyFont="1">
      <alignment shrinkToFit="0" vertical="top" wrapText="1"/>
    </xf>
    <xf borderId="4" fillId="5" fontId="8" numFmtId="0" xfId="0" applyAlignment="1" applyBorder="1" applyFont="1">
      <alignment horizontal="center" readingOrder="0" shrinkToFit="0" vertical="top" wrapText="1"/>
    </xf>
    <xf borderId="4" fillId="5" fontId="7" numFmtId="0" xfId="0" applyAlignment="1" applyBorder="1" applyFont="1">
      <alignment readingOrder="0" shrinkToFit="0" vertical="top" wrapText="1"/>
    </xf>
    <xf borderId="4" fillId="5" fontId="7" numFmtId="0" xfId="0" applyAlignment="1" applyBorder="1" applyFont="1">
      <alignment shrinkToFit="0" vertical="top" wrapText="1"/>
    </xf>
    <xf borderId="4" fillId="5" fontId="7" numFmtId="0" xfId="0" applyAlignment="1" applyBorder="1" applyFont="1">
      <alignment horizontal="center" readingOrder="0" shrinkToFit="0" vertical="top" wrapText="1"/>
    </xf>
    <xf borderId="4" fillId="5" fontId="7" numFmtId="0" xfId="0" applyAlignment="1" applyBorder="1" applyFont="1">
      <alignment horizontal="center" shrinkToFit="0" vertical="top" wrapText="1"/>
    </xf>
    <xf borderId="5" fillId="0" fontId="9" numFmtId="0" xfId="0" applyAlignment="1" applyBorder="1" applyFont="1">
      <alignment shrinkToFit="0" vertical="top" wrapText="1"/>
    </xf>
    <xf borderId="4" fillId="5" fontId="7" numFmtId="3" xfId="0" applyAlignment="1" applyBorder="1" applyFont="1" applyNumberFormat="1">
      <alignment horizontal="center" readingOrder="0" shrinkToFit="0" vertical="top" wrapText="1"/>
    </xf>
    <xf borderId="4" fillId="5" fontId="10" numFmtId="0" xfId="0" applyAlignment="1" applyBorder="1" applyFont="1">
      <alignment readingOrder="0" shrinkToFit="0" vertical="top" wrapText="1"/>
    </xf>
    <xf borderId="0" fillId="0" fontId="11" numFmtId="0" xfId="0" applyAlignment="1" applyFont="1">
      <alignment horizontal="center"/>
    </xf>
    <xf borderId="4" fillId="0" fontId="12"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4" fillId="0" fontId="7" numFmtId="165" xfId="0" applyAlignment="1" applyBorder="1" applyFont="1" applyNumberFormat="1">
      <alignment horizontal="center" shrinkToFit="0" vertical="center" wrapText="1"/>
    </xf>
    <xf borderId="4" fillId="0" fontId="7" numFmtId="166" xfId="0" applyAlignment="1" applyBorder="1" applyFont="1" applyNumberFormat="1">
      <alignment horizontal="center" shrinkToFit="0" vertical="center" wrapText="1"/>
    </xf>
    <xf borderId="4" fillId="4" fontId="4" numFmtId="0" xfId="0" applyAlignment="1" applyBorder="1" applyFont="1">
      <alignment horizontal="left" shrinkToFit="0" vertical="center" wrapText="0"/>
    </xf>
    <xf borderId="4" fillId="4" fontId="4" numFmtId="165" xfId="0" applyAlignment="1" applyBorder="1" applyFont="1" applyNumberFormat="1">
      <alignment horizontal="center" shrinkToFit="0" vertical="center" wrapText="0"/>
    </xf>
    <xf borderId="4" fillId="4" fontId="4" numFmtId="166" xfId="0" applyAlignment="1" applyBorder="1" applyFont="1" applyNumberFormat="1">
      <alignment horizontal="center" shrinkToFit="0" vertical="center" wrapText="0"/>
    </xf>
    <xf borderId="4" fillId="2" fontId="13" numFmtId="0" xfId="0" applyAlignment="1" applyBorder="1" applyFont="1">
      <alignment horizontal="left" shrinkToFit="0" vertical="center" wrapText="0"/>
    </xf>
    <xf borderId="4" fillId="2" fontId="13" numFmtId="165" xfId="0" applyAlignment="1" applyBorder="1" applyFont="1" applyNumberFormat="1">
      <alignment horizontal="center" shrinkToFit="0" vertical="center" wrapText="0"/>
    </xf>
    <xf borderId="4" fillId="2" fontId="13" numFmtId="166" xfId="0" applyAlignment="1" applyBorder="1" applyFont="1" applyNumberFormat="1">
      <alignment horizontal="center" shrinkToFit="0" vertical="center" wrapText="0"/>
    </xf>
    <xf borderId="0" fillId="0" fontId="14" numFmtId="0" xfId="0" applyAlignment="1" applyFont="1">
      <alignment shrinkToFit="0" vertical="bottom" wrapText="0"/>
    </xf>
    <xf borderId="1" fillId="2" fontId="13" numFmtId="0" xfId="0" applyAlignment="1" applyBorder="1" applyFont="1">
      <alignment shrinkToFit="0" vertical="bottom" wrapText="0"/>
    </xf>
    <xf borderId="4" fillId="4" fontId="4" numFmtId="0" xfId="0" applyAlignment="1" applyBorder="1" applyFont="1">
      <alignment horizontal="center" shrinkToFit="0" vertical="bottom" wrapText="0"/>
    </xf>
    <xf borderId="4" fillId="0" fontId="7" numFmtId="0" xfId="0" applyAlignment="1" applyBorder="1" applyFont="1">
      <alignment horizontal="left" shrinkToFit="0" vertical="bottom" wrapText="0"/>
    </xf>
    <xf borderId="4" fillId="0" fontId="7" numFmtId="0" xfId="0" applyAlignment="1" applyBorder="1" applyFont="1">
      <alignment horizontal="center" shrinkToFit="0" vertical="bottom" wrapText="0"/>
    </xf>
    <xf borderId="4" fillId="0" fontId="7" numFmtId="9" xfId="0" applyAlignment="1" applyBorder="1" applyFont="1" applyNumberFormat="1">
      <alignment horizontal="center"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islandluck.com/" TargetMode="External"/><Relationship Id="rId2" Type="http://schemas.openxmlformats.org/officeDocument/2006/relationships/hyperlink" Target="http://paradisegames.com/" TargetMode="External"/><Relationship Id="rId3" Type="http://schemas.openxmlformats.org/officeDocument/2006/relationships/hyperlink" Target="https://islandluckblogs.wordpress.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islandluck.com/casino/jack-hammer" TargetMode="External"/><Relationship Id="rId3" Type="http://schemas.openxmlformats.org/officeDocument/2006/relationships/hyperlink" Target="https://www.islandluck.com/promotion?section=Missions"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4" width="44.0"/>
    <col customWidth="1" min="5" max="26" width="8.71"/>
  </cols>
  <sheetData>
    <row r="1" ht="25.5" customHeight="1">
      <c r="A1" s="1" t="s">
        <v>0</v>
      </c>
      <c r="B1" s="2"/>
      <c r="C1" s="2"/>
      <c r="D1" s="3"/>
    </row>
    <row r="2" ht="18.0" customHeight="1">
      <c r="A2" s="4" t="s">
        <v>4</v>
      </c>
      <c r="B2" s="2"/>
      <c r="C2" s="2"/>
      <c r="D2" s="3"/>
    </row>
    <row r="3" ht="48.0" customHeight="1">
      <c r="A3" s="5" t="s">
        <v>5</v>
      </c>
      <c r="B3" s="6" t="s">
        <v>7</v>
      </c>
      <c r="C3" s="7"/>
      <c r="D3" s="7"/>
    </row>
    <row r="4" ht="48.0" customHeight="1">
      <c r="A4" s="5" t="s">
        <v>9</v>
      </c>
      <c r="B4" s="6" t="s">
        <v>10</v>
      </c>
      <c r="C4" s="7"/>
      <c r="D4" s="7"/>
    </row>
    <row r="5" ht="48.0" customHeight="1">
      <c r="A5" s="5" t="s">
        <v>13</v>
      </c>
      <c r="B5" s="6" t="s">
        <v>14</v>
      </c>
      <c r="C5" s="7"/>
      <c r="D5" s="7"/>
    </row>
    <row r="6" ht="48.0" customHeight="1">
      <c r="A6" s="5" t="s">
        <v>20</v>
      </c>
      <c r="B6" s="6" t="s">
        <v>21</v>
      </c>
      <c r="C6" s="7"/>
      <c r="D6" s="7"/>
    </row>
    <row r="7" ht="48.0" customHeight="1">
      <c r="A7" s="5" t="s">
        <v>25</v>
      </c>
      <c r="B7" s="6" t="s">
        <v>27</v>
      </c>
      <c r="C7" s="7"/>
      <c r="D7" s="7"/>
    </row>
    <row r="8" ht="48.0" customHeight="1">
      <c r="A8" s="5" t="s">
        <v>30</v>
      </c>
      <c r="B8" s="6" t="s">
        <v>32</v>
      </c>
      <c r="C8" s="7"/>
      <c r="D8" s="7"/>
    </row>
    <row r="9" ht="48.0" customHeight="1">
      <c r="A9" s="5" t="s">
        <v>42</v>
      </c>
      <c r="B9" s="6" t="s">
        <v>44</v>
      </c>
      <c r="C9" s="7"/>
      <c r="D9" s="7"/>
    </row>
    <row r="10" ht="48.0" customHeight="1">
      <c r="A10" s="5" t="s">
        <v>45</v>
      </c>
      <c r="B10" s="6" t="s">
        <v>48</v>
      </c>
      <c r="C10" s="7"/>
      <c r="D10" s="7"/>
    </row>
    <row r="11" ht="48.0" customHeight="1">
      <c r="A11" s="5" t="s">
        <v>51</v>
      </c>
      <c r="B11" s="6" t="s">
        <v>54</v>
      </c>
      <c r="C11" s="7"/>
      <c r="D11" s="7"/>
    </row>
    <row r="12" ht="48.0" customHeight="1">
      <c r="A12" s="5" t="s">
        <v>57</v>
      </c>
      <c r="B12" s="6" t="s">
        <v>58</v>
      </c>
      <c r="C12" s="7"/>
      <c r="D12" s="7"/>
    </row>
    <row r="13" ht="48.0" customHeight="1">
      <c r="A13" s="5" t="s">
        <v>59</v>
      </c>
      <c r="B13" s="20" t="s">
        <v>60</v>
      </c>
      <c r="C13" s="7"/>
      <c r="D13"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8:D8"/>
    <mergeCell ref="B9:D9"/>
    <mergeCell ref="B10:D10"/>
    <mergeCell ref="B11:D11"/>
    <mergeCell ref="B12:D12"/>
    <mergeCell ref="B13:D13"/>
    <mergeCell ref="A1:D1"/>
    <mergeCell ref="A2:D2"/>
    <mergeCell ref="B3:D3"/>
    <mergeCell ref="B4:D4"/>
    <mergeCell ref="B5:D5"/>
    <mergeCell ref="B6:D6"/>
    <mergeCell ref="B7:D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34.0"/>
    <col customWidth="1" min="2" max="2" width="50.0"/>
    <col customWidth="1" min="3" max="3" width="25.14"/>
    <col customWidth="1" min="4" max="4" width="24.29"/>
    <col customWidth="1" min="5" max="26" width="8.71"/>
  </cols>
  <sheetData>
    <row r="1" ht="25.5" customHeight="1">
      <c r="A1" s="1" t="s">
        <v>1</v>
      </c>
      <c r="B1" s="2"/>
      <c r="C1" s="2"/>
      <c r="D1" s="3"/>
    </row>
    <row r="2" ht="18.0" customHeight="1">
      <c r="A2" s="4" t="s">
        <v>6</v>
      </c>
      <c r="B2" s="2"/>
      <c r="C2" s="2"/>
      <c r="D2" s="3"/>
    </row>
    <row r="3" ht="30.0" customHeight="1">
      <c r="A3" s="8" t="s">
        <v>8</v>
      </c>
      <c r="B3" s="8" t="s">
        <v>12</v>
      </c>
      <c r="C3" s="9" t="s">
        <v>16</v>
      </c>
      <c r="D3" s="9" t="s">
        <v>17</v>
      </c>
    </row>
    <row r="4" ht="30.0" customHeight="1">
      <c r="A4" s="10" t="s">
        <v>18</v>
      </c>
      <c r="B4" s="11" t="s">
        <v>22</v>
      </c>
      <c r="C4" s="12">
        <v>46238.0</v>
      </c>
      <c r="D4" s="12">
        <v>46238.0</v>
      </c>
    </row>
    <row r="5" ht="30.0" customHeight="1">
      <c r="A5" s="10" t="s">
        <v>31</v>
      </c>
      <c r="B5" s="11" t="s">
        <v>34</v>
      </c>
      <c r="C5" s="15" t="s">
        <v>36</v>
      </c>
      <c r="D5" s="15" t="s">
        <v>55</v>
      </c>
    </row>
    <row r="6" ht="30.0" customHeight="1">
      <c r="A6" s="10" t="s">
        <v>61</v>
      </c>
      <c r="B6" s="11" t="s">
        <v>63</v>
      </c>
      <c r="C6" s="21">
        <v>16800.0</v>
      </c>
      <c r="D6" s="21">
        <v>158000.0</v>
      </c>
    </row>
    <row r="7" ht="30.0" customHeight="1">
      <c r="A7" s="10" t="s">
        <v>64</v>
      </c>
      <c r="B7" s="11" t="s">
        <v>65</v>
      </c>
      <c r="C7" s="18">
        <v>195.0</v>
      </c>
      <c r="D7" s="18">
        <v>66.0</v>
      </c>
    </row>
    <row r="8" ht="30.0" customHeight="1">
      <c r="A8" s="10" t="s">
        <v>68</v>
      </c>
      <c r="B8" s="11" t="s">
        <v>70</v>
      </c>
      <c r="C8" s="18">
        <v>19.0</v>
      </c>
      <c r="D8" s="18">
        <v>19.0</v>
      </c>
    </row>
    <row r="9" ht="30.0" customHeight="1">
      <c r="A9" s="10" t="s">
        <v>76</v>
      </c>
      <c r="B9" s="11" t="s">
        <v>78</v>
      </c>
      <c r="C9" s="21">
        <v>3000.0</v>
      </c>
      <c r="D9" s="21">
        <v>3900.0</v>
      </c>
    </row>
    <row r="10" ht="30.0" customHeight="1">
      <c r="A10" s="10" t="s">
        <v>81</v>
      </c>
      <c r="B10" s="11" t="s">
        <v>83</v>
      </c>
      <c r="C10" s="18">
        <v>8.0</v>
      </c>
      <c r="D10" s="18" t="s">
        <v>86</v>
      </c>
    </row>
    <row r="11" ht="30.0" customHeight="1">
      <c r="A11" s="10" t="s">
        <v>88</v>
      </c>
      <c r="B11" s="11" t="s">
        <v>90</v>
      </c>
      <c r="C11" s="18">
        <v>1.0</v>
      </c>
      <c r="D11" s="18">
        <v>0.0</v>
      </c>
    </row>
    <row r="12" ht="30.0" customHeight="1">
      <c r="A12" s="10" t="s">
        <v>94</v>
      </c>
      <c r="B12" s="11" t="s">
        <v>96</v>
      </c>
      <c r="C12" s="15" t="s">
        <v>99</v>
      </c>
      <c r="D12" s="18" t="s">
        <v>104</v>
      </c>
    </row>
    <row r="13" ht="54.0" customHeight="1">
      <c r="A13" s="10" t="s">
        <v>105</v>
      </c>
      <c r="B13" s="11" t="s">
        <v>106</v>
      </c>
      <c r="C13" s="18">
        <v>51.0</v>
      </c>
      <c r="D13" s="18" t="s">
        <v>107</v>
      </c>
    </row>
    <row r="14" ht="45.0" customHeight="1">
      <c r="A14" s="10" t="s">
        <v>108</v>
      </c>
      <c r="B14" s="11" t="s">
        <v>109</v>
      </c>
      <c r="C14" s="18" t="s">
        <v>111</v>
      </c>
      <c r="D14" s="18" t="s">
        <v>112</v>
      </c>
    </row>
    <row r="15" ht="30.0" customHeight="1">
      <c r="A15" s="10" t="s">
        <v>113</v>
      </c>
      <c r="B15" s="11" t="s">
        <v>115</v>
      </c>
      <c r="C15" s="18" t="s">
        <v>104</v>
      </c>
      <c r="D15" s="18" t="s">
        <v>104</v>
      </c>
    </row>
    <row r="16" ht="30.0" customHeight="1">
      <c r="A16" s="10" t="s">
        <v>121</v>
      </c>
      <c r="B16" s="11" t="s">
        <v>127</v>
      </c>
      <c r="C16" s="18" t="s">
        <v>104</v>
      </c>
      <c r="D16" s="18" t="s">
        <v>104</v>
      </c>
    </row>
    <row r="17">
      <c r="C17" s="23"/>
      <c r="D17" s="23"/>
    </row>
    <row r="18">
      <c r="C18" s="23"/>
      <c r="D18" s="23"/>
    </row>
    <row r="19">
      <c r="C19" s="23"/>
      <c r="D19" s="23"/>
    </row>
    <row r="20">
      <c r="C20" s="23"/>
      <c r="D20" s="23"/>
    </row>
    <row r="21" ht="15.75" customHeight="1">
      <c r="C21" s="23"/>
      <c r="D21" s="23"/>
    </row>
    <row r="22" ht="15.75" customHeight="1">
      <c r="C22" s="23"/>
      <c r="D22" s="23"/>
    </row>
    <row r="23" ht="15.75" customHeight="1">
      <c r="C23" s="23"/>
      <c r="D23" s="23"/>
    </row>
    <row r="24" ht="15.75" customHeight="1">
      <c r="C24" s="23"/>
      <c r="D24" s="23"/>
    </row>
    <row r="25" ht="15.75" customHeight="1">
      <c r="C25" s="23"/>
      <c r="D25" s="23"/>
    </row>
    <row r="26" ht="15.75" customHeight="1">
      <c r="C26" s="23"/>
      <c r="D26" s="23"/>
    </row>
    <row r="27" ht="15.75" customHeight="1">
      <c r="C27" s="23"/>
      <c r="D27" s="23"/>
    </row>
    <row r="28" ht="15.75" customHeight="1">
      <c r="C28" s="23"/>
      <c r="D28" s="23"/>
    </row>
    <row r="29" ht="15.75" customHeight="1">
      <c r="C29" s="23"/>
      <c r="D29" s="23"/>
    </row>
    <row r="30" ht="15.75" customHeight="1">
      <c r="C30" s="23"/>
      <c r="D30" s="23"/>
    </row>
    <row r="31" ht="15.75" customHeight="1">
      <c r="C31" s="23"/>
      <c r="D31" s="23"/>
    </row>
    <row r="32" ht="15.75" customHeight="1">
      <c r="C32" s="23"/>
      <c r="D32" s="23"/>
    </row>
    <row r="33" ht="15.75" customHeight="1">
      <c r="C33" s="23"/>
      <c r="D33" s="23"/>
    </row>
    <row r="34" ht="15.75" customHeight="1">
      <c r="C34" s="23"/>
      <c r="D34" s="23"/>
    </row>
    <row r="35" ht="15.75" customHeight="1">
      <c r="C35" s="23"/>
      <c r="D35" s="23"/>
    </row>
    <row r="36" ht="15.75" customHeight="1">
      <c r="C36" s="23"/>
      <c r="D36" s="23"/>
    </row>
    <row r="37" ht="15.75" customHeight="1">
      <c r="C37" s="23"/>
      <c r="D37" s="23"/>
    </row>
    <row r="38" ht="15.75" customHeight="1">
      <c r="C38" s="23"/>
      <c r="D38" s="23"/>
    </row>
    <row r="39" ht="15.75" customHeight="1">
      <c r="C39" s="23"/>
      <c r="D39" s="23"/>
    </row>
    <row r="40" ht="15.75" customHeight="1">
      <c r="C40" s="23"/>
      <c r="D40" s="23"/>
    </row>
    <row r="41" ht="15.75" customHeight="1">
      <c r="C41" s="23"/>
      <c r="D41" s="23"/>
    </row>
    <row r="42" ht="15.75" customHeight="1">
      <c r="C42" s="23"/>
      <c r="D42" s="23"/>
    </row>
    <row r="43" ht="15.75" customHeight="1">
      <c r="C43" s="23"/>
      <c r="D43" s="23"/>
    </row>
    <row r="44" ht="15.75" customHeight="1">
      <c r="C44" s="23"/>
      <c r="D44" s="23"/>
    </row>
    <row r="45" ht="15.75" customHeight="1">
      <c r="C45" s="23"/>
      <c r="D45" s="23"/>
    </row>
    <row r="46" ht="15.75" customHeight="1">
      <c r="C46" s="23"/>
      <c r="D46" s="23"/>
    </row>
    <row r="47" ht="15.75" customHeight="1">
      <c r="C47" s="23"/>
      <c r="D47" s="23"/>
    </row>
    <row r="48" ht="15.75" customHeight="1">
      <c r="C48" s="23"/>
      <c r="D48" s="23"/>
    </row>
    <row r="49" ht="15.75" customHeight="1">
      <c r="C49" s="23"/>
      <c r="D49" s="23"/>
    </row>
    <row r="50" ht="15.75" customHeight="1">
      <c r="C50" s="23"/>
      <c r="D50" s="23"/>
    </row>
    <row r="51" ht="15.75" customHeight="1">
      <c r="C51" s="23"/>
      <c r="D51" s="23"/>
    </row>
    <row r="52" ht="15.75" customHeight="1">
      <c r="C52" s="23"/>
      <c r="D52" s="23"/>
    </row>
    <row r="53" ht="15.75" customHeight="1">
      <c r="C53" s="23"/>
      <c r="D53" s="23"/>
    </row>
    <row r="54" ht="15.75" customHeight="1">
      <c r="C54" s="23"/>
      <c r="D54" s="23"/>
    </row>
    <row r="55" ht="15.75" customHeight="1">
      <c r="C55" s="23"/>
      <c r="D55" s="23"/>
    </row>
    <row r="56" ht="15.75" customHeight="1">
      <c r="C56" s="23"/>
      <c r="D56" s="23"/>
    </row>
    <row r="57" ht="15.75" customHeight="1">
      <c r="C57" s="23"/>
      <c r="D57" s="23"/>
    </row>
    <row r="58" ht="15.75" customHeight="1">
      <c r="C58" s="23"/>
      <c r="D58" s="23"/>
    </row>
    <row r="59" ht="15.75" customHeight="1">
      <c r="C59" s="23"/>
      <c r="D59" s="23"/>
    </row>
    <row r="60" ht="15.75" customHeight="1">
      <c r="C60" s="23"/>
      <c r="D60" s="23"/>
    </row>
    <row r="61" ht="15.75" customHeight="1">
      <c r="C61" s="23"/>
      <c r="D61" s="23"/>
    </row>
    <row r="62" ht="15.75" customHeight="1">
      <c r="C62" s="23"/>
      <c r="D62" s="23"/>
    </row>
    <row r="63" ht="15.75" customHeight="1">
      <c r="C63" s="23"/>
      <c r="D63" s="23"/>
    </row>
    <row r="64" ht="15.75" customHeight="1">
      <c r="C64" s="23"/>
      <c r="D64" s="23"/>
    </row>
    <row r="65" ht="15.75" customHeight="1">
      <c r="C65" s="23"/>
      <c r="D65" s="23"/>
    </row>
    <row r="66" ht="15.75" customHeight="1">
      <c r="C66" s="23"/>
      <c r="D66" s="23"/>
    </row>
    <row r="67" ht="15.75" customHeight="1">
      <c r="C67" s="23"/>
      <c r="D67" s="23"/>
    </row>
    <row r="68" ht="15.75" customHeight="1">
      <c r="C68" s="23"/>
      <c r="D68" s="23"/>
    </row>
    <row r="69" ht="15.75" customHeight="1">
      <c r="C69" s="23"/>
      <c r="D69" s="23"/>
    </row>
    <row r="70" ht="15.75" customHeight="1">
      <c r="C70" s="23"/>
      <c r="D70" s="23"/>
    </row>
    <row r="71" ht="15.75" customHeight="1">
      <c r="C71" s="23"/>
      <c r="D71" s="23"/>
    </row>
    <row r="72" ht="15.75" customHeight="1">
      <c r="C72" s="23"/>
      <c r="D72" s="23"/>
    </row>
    <row r="73" ht="15.75" customHeight="1">
      <c r="C73" s="23"/>
      <c r="D73" s="23"/>
    </row>
    <row r="74" ht="15.75" customHeight="1">
      <c r="C74" s="23"/>
      <c r="D74" s="23"/>
    </row>
    <row r="75" ht="15.75" customHeight="1">
      <c r="C75" s="23"/>
      <c r="D75" s="23"/>
    </row>
    <row r="76" ht="15.75" customHeight="1">
      <c r="C76" s="23"/>
      <c r="D76" s="23"/>
    </row>
    <row r="77" ht="15.75" customHeight="1">
      <c r="C77" s="23"/>
      <c r="D77" s="23"/>
    </row>
    <row r="78" ht="15.75" customHeight="1">
      <c r="C78" s="23"/>
      <c r="D78" s="23"/>
    </row>
    <row r="79" ht="15.75" customHeight="1">
      <c r="C79" s="23"/>
      <c r="D79" s="23"/>
    </row>
    <row r="80" ht="15.75" customHeight="1">
      <c r="C80" s="23"/>
      <c r="D80" s="23"/>
    </row>
    <row r="81" ht="15.75" customHeight="1">
      <c r="C81" s="23"/>
      <c r="D81" s="23"/>
    </row>
    <row r="82" ht="15.75" customHeight="1">
      <c r="C82" s="23"/>
      <c r="D82" s="23"/>
    </row>
    <row r="83" ht="15.75" customHeight="1">
      <c r="C83" s="23"/>
      <c r="D83" s="23"/>
    </row>
    <row r="84" ht="15.75" customHeight="1">
      <c r="C84" s="23"/>
      <c r="D84" s="23"/>
    </row>
    <row r="85" ht="15.75" customHeight="1">
      <c r="C85" s="23"/>
      <c r="D85" s="23"/>
    </row>
    <row r="86" ht="15.75" customHeight="1">
      <c r="C86" s="23"/>
      <c r="D86" s="23"/>
    </row>
    <row r="87" ht="15.75" customHeight="1">
      <c r="C87" s="23"/>
      <c r="D87" s="23"/>
    </row>
    <row r="88" ht="15.75" customHeight="1">
      <c r="C88" s="23"/>
      <c r="D88" s="23"/>
    </row>
    <row r="89" ht="15.75" customHeight="1">
      <c r="C89" s="23"/>
      <c r="D89" s="23"/>
    </row>
    <row r="90" ht="15.75" customHeight="1">
      <c r="C90" s="23"/>
      <c r="D90" s="23"/>
    </row>
    <row r="91" ht="15.75" customHeight="1">
      <c r="C91" s="23"/>
      <c r="D91" s="23"/>
    </row>
    <row r="92" ht="15.75" customHeight="1">
      <c r="C92" s="23"/>
      <c r="D92" s="23"/>
    </row>
    <row r="93" ht="15.75" customHeight="1">
      <c r="C93" s="23"/>
      <c r="D93" s="23"/>
    </row>
    <row r="94" ht="15.75" customHeight="1">
      <c r="C94" s="23"/>
      <c r="D94" s="23"/>
    </row>
    <row r="95" ht="15.75" customHeight="1">
      <c r="C95" s="23"/>
      <c r="D95" s="23"/>
    </row>
    <row r="96" ht="15.75" customHeight="1">
      <c r="C96" s="23"/>
      <c r="D96" s="23"/>
    </row>
    <row r="97" ht="15.75" customHeight="1">
      <c r="C97" s="23"/>
      <c r="D97" s="23"/>
    </row>
    <row r="98" ht="15.75" customHeight="1">
      <c r="C98" s="23"/>
      <c r="D98" s="23"/>
    </row>
    <row r="99" ht="15.75" customHeight="1">
      <c r="C99" s="23"/>
      <c r="D99" s="23"/>
    </row>
    <row r="100" ht="15.75" customHeight="1">
      <c r="C100" s="23"/>
      <c r="D100" s="23"/>
    </row>
    <row r="101" ht="15.75" customHeight="1">
      <c r="C101" s="23"/>
      <c r="D101" s="23"/>
    </row>
    <row r="102" ht="15.75" customHeight="1">
      <c r="C102" s="23"/>
      <c r="D102" s="23"/>
    </row>
    <row r="103" ht="15.75" customHeight="1">
      <c r="C103" s="23"/>
      <c r="D103" s="23"/>
    </row>
    <row r="104" ht="15.75" customHeight="1">
      <c r="C104" s="23"/>
      <c r="D104" s="23"/>
    </row>
    <row r="105" ht="15.75" customHeight="1">
      <c r="C105" s="23"/>
      <c r="D105" s="23"/>
    </row>
    <row r="106" ht="15.75" customHeight="1">
      <c r="C106" s="23"/>
      <c r="D106" s="23"/>
    </row>
    <row r="107" ht="15.75" customHeight="1">
      <c r="C107" s="23"/>
      <c r="D107" s="23"/>
    </row>
    <row r="108" ht="15.75" customHeight="1">
      <c r="C108" s="23"/>
      <c r="D108" s="23"/>
    </row>
    <row r="109" ht="15.75" customHeight="1">
      <c r="C109" s="23"/>
      <c r="D109" s="23"/>
    </row>
    <row r="110" ht="15.75" customHeight="1">
      <c r="C110" s="23"/>
      <c r="D110" s="23"/>
    </row>
    <row r="111" ht="15.75" customHeight="1">
      <c r="C111" s="23"/>
      <c r="D111" s="23"/>
    </row>
    <row r="112" ht="15.75" customHeight="1">
      <c r="C112" s="23"/>
      <c r="D112" s="23"/>
    </row>
    <row r="113" ht="15.75" customHeight="1">
      <c r="C113" s="23"/>
      <c r="D113" s="23"/>
    </row>
    <row r="114" ht="15.75" customHeight="1">
      <c r="C114" s="23"/>
      <c r="D114" s="23"/>
    </row>
    <row r="115" ht="15.75" customHeight="1">
      <c r="C115" s="23"/>
      <c r="D115" s="23"/>
    </row>
    <row r="116" ht="15.75" customHeight="1">
      <c r="C116" s="23"/>
      <c r="D116" s="23"/>
    </row>
    <row r="117" ht="15.75" customHeight="1">
      <c r="C117" s="23"/>
      <c r="D117" s="23"/>
    </row>
    <row r="118" ht="15.75" customHeight="1">
      <c r="C118" s="23"/>
      <c r="D118" s="23"/>
    </row>
    <row r="119" ht="15.75" customHeight="1">
      <c r="C119" s="23"/>
      <c r="D119" s="23"/>
    </row>
    <row r="120" ht="15.75" customHeight="1">
      <c r="C120" s="23"/>
      <c r="D120" s="23"/>
    </row>
    <row r="121" ht="15.75" customHeight="1">
      <c r="C121" s="23"/>
      <c r="D121" s="23"/>
    </row>
    <row r="122" ht="15.75" customHeight="1">
      <c r="C122" s="23"/>
      <c r="D122" s="23"/>
    </row>
    <row r="123" ht="15.75" customHeight="1">
      <c r="C123" s="23"/>
      <c r="D123" s="23"/>
    </row>
    <row r="124" ht="15.75" customHeight="1">
      <c r="C124" s="23"/>
      <c r="D124" s="23"/>
    </row>
    <row r="125" ht="15.75" customHeight="1">
      <c r="C125" s="23"/>
      <c r="D125" s="23"/>
    </row>
    <row r="126" ht="15.75" customHeight="1">
      <c r="C126" s="23"/>
      <c r="D126" s="23"/>
    </row>
    <row r="127" ht="15.75" customHeight="1">
      <c r="C127" s="23"/>
      <c r="D127" s="23"/>
    </row>
    <row r="128" ht="15.75" customHeight="1">
      <c r="C128" s="23"/>
      <c r="D128" s="23"/>
    </row>
    <row r="129" ht="15.75" customHeight="1">
      <c r="C129" s="23"/>
      <c r="D129" s="23"/>
    </row>
    <row r="130" ht="15.75" customHeight="1">
      <c r="C130" s="23"/>
      <c r="D130" s="23"/>
    </row>
    <row r="131" ht="15.75" customHeight="1">
      <c r="C131" s="23"/>
      <c r="D131" s="23"/>
    </row>
    <row r="132" ht="15.75" customHeight="1">
      <c r="C132" s="23"/>
      <c r="D132" s="23"/>
    </row>
    <row r="133" ht="15.75" customHeight="1">
      <c r="C133" s="23"/>
      <c r="D133" s="23"/>
    </row>
    <row r="134" ht="15.75" customHeight="1">
      <c r="C134" s="23"/>
      <c r="D134" s="23"/>
    </row>
    <row r="135" ht="15.75" customHeight="1">
      <c r="C135" s="23"/>
      <c r="D135" s="23"/>
    </row>
    <row r="136" ht="15.75" customHeight="1">
      <c r="C136" s="23"/>
      <c r="D136" s="23"/>
    </row>
    <row r="137" ht="15.75" customHeight="1">
      <c r="C137" s="23"/>
      <c r="D137" s="23"/>
    </row>
    <row r="138" ht="15.75" customHeight="1">
      <c r="C138" s="23"/>
      <c r="D138" s="23"/>
    </row>
    <row r="139" ht="15.75" customHeight="1">
      <c r="C139" s="23"/>
      <c r="D139" s="23"/>
    </row>
    <row r="140" ht="15.75" customHeight="1">
      <c r="C140" s="23"/>
      <c r="D140" s="23"/>
    </row>
    <row r="141" ht="15.75" customHeight="1">
      <c r="C141" s="23"/>
      <c r="D141" s="23"/>
    </row>
    <row r="142" ht="15.75" customHeight="1">
      <c r="C142" s="23"/>
      <c r="D142" s="23"/>
    </row>
    <row r="143" ht="15.75" customHeight="1">
      <c r="C143" s="23"/>
      <c r="D143" s="23"/>
    </row>
    <row r="144" ht="15.75" customHeight="1">
      <c r="C144" s="23"/>
      <c r="D144" s="23"/>
    </row>
    <row r="145" ht="15.75" customHeight="1">
      <c r="C145" s="23"/>
      <c r="D145" s="23"/>
    </row>
    <row r="146" ht="15.75" customHeight="1">
      <c r="C146" s="23"/>
      <c r="D146" s="23"/>
    </row>
    <row r="147" ht="15.75" customHeight="1">
      <c r="C147" s="23"/>
      <c r="D147" s="23"/>
    </row>
    <row r="148" ht="15.75" customHeight="1">
      <c r="C148" s="23"/>
      <c r="D148" s="23"/>
    </row>
    <row r="149" ht="15.75" customHeight="1">
      <c r="C149" s="23"/>
      <c r="D149" s="23"/>
    </row>
    <row r="150" ht="15.75" customHeight="1">
      <c r="C150" s="23"/>
      <c r="D150" s="23"/>
    </row>
    <row r="151" ht="15.75" customHeight="1">
      <c r="C151" s="23"/>
      <c r="D151" s="23"/>
    </row>
    <row r="152" ht="15.75" customHeight="1">
      <c r="C152" s="23"/>
      <c r="D152" s="23"/>
    </row>
    <row r="153" ht="15.75" customHeight="1">
      <c r="C153" s="23"/>
      <c r="D153" s="23"/>
    </row>
    <row r="154" ht="15.75" customHeight="1">
      <c r="C154" s="23"/>
      <c r="D154" s="23"/>
    </row>
    <row r="155" ht="15.75" customHeight="1">
      <c r="C155" s="23"/>
      <c r="D155" s="23"/>
    </row>
    <row r="156" ht="15.75" customHeight="1">
      <c r="C156" s="23"/>
      <c r="D156" s="23"/>
    </row>
    <row r="157" ht="15.75" customHeight="1">
      <c r="C157" s="23"/>
      <c r="D157" s="23"/>
    </row>
    <row r="158" ht="15.75" customHeight="1">
      <c r="C158" s="23"/>
      <c r="D158" s="23"/>
    </row>
    <row r="159" ht="15.75" customHeight="1">
      <c r="C159" s="23"/>
      <c r="D159" s="23"/>
    </row>
    <row r="160" ht="15.75" customHeight="1">
      <c r="C160" s="23"/>
      <c r="D160" s="23"/>
    </row>
    <row r="161" ht="15.75" customHeight="1">
      <c r="C161" s="23"/>
      <c r="D161" s="23"/>
    </row>
    <row r="162" ht="15.75" customHeight="1">
      <c r="C162" s="23"/>
      <c r="D162" s="23"/>
    </row>
    <row r="163" ht="15.75" customHeight="1">
      <c r="C163" s="23"/>
      <c r="D163" s="23"/>
    </row>
    <row r="164" ht="15.75" customHeight="1">
      <c r="C164" s="23"/>
      <c r="D164" s="23"/>
    </row>
    <row r="165" ht="15.75" customHeight="1">
      <c r="C165" s="23"/>
      <c r="D165" s="23"/>
    </row>
    <row r="166" ht="15.75" customHeight="1">
      <c r="C166" s="23"/>
      <c r="D166" s="23"/>
    </row>
    <row r="167" ht="15.75" customHeight="1">
      <c r="C167" s="23"/>
      <c r="D167" s="23"/>
    </row>
    <row r="168" ht="15.75" customHeight="1">
      <c r="C168" s="23"/>
      <c r="D168" s="23"/>
    </row>
    <row r="169" ht="15.75" customHeight="1">
      <c r="C169" s="23"/>
      <c r="D169" s="23"/>
    </row>
    <row r="170" ht="15.75" customHeight="1">
      <c r="C170" s="23"/>
      <c r="D170" s="23"/>
    </row>
    <row r="171" ht="15.75" customHeight="1">
      <c r="C171" s="23"/>
      <c r="D171" s="23"/>
    </row>
    <row r="172" ht="15.75" customHeight="1">
      <c r="C172" s="23"/>
      <c r="D172" s="23"/>
    </row>
    <row r="173" ht="15.75" customHeight="1">
      <c r="C173" s="23"/>
      <c r="D173" s="23"/>
    </row>
    <row r="174" ht="15.75" customHeight="1">
      <c r="C174" s="23"/>
      <c r="D174" s="23"/>
    </row>
    <row r="175" ht="15.75" customHeight="1">
      <c r="C175" s="23"/>
      <c r="D175" s="23"/>
    </row>
    <row r="176" ht="15.75" customHeight="1">
      <c r="C176" s="23"/>
      <c r="D176" s="23"/>
    </row>
    <row r="177" ht="15.75" customHeight="1">
      <c r="C177" s="23"/>
      <c r="D177" s="23"/>
    </row>
    <row r="178" ht="15.75" customHeight="1">
      <c r="C178" s="23"/>
      <c r="D178" s="23"/>
    </row>
    <row r="179" ht="15.75" customHeight="1">
      <c r="C179" s="23"/>
      <c r="D179" s="23"/>
    </row>
    <row r="180" ht="15.75" customHeight="1">
      <c r="C180" s="23"/>
      <c r="D180" s="23"/>
    </row>
    <row r="181" ht="15.75" customHeight="1">
      <c r="C181" s="23"/>
      <c r="D181" s="23"/>
    </row>
    <row r="182" ht="15.75" customHeight="1">
      <c r="C182" s="23"/>
      <c r="D182" s="23"/>
    </row>
    <row r="183" ht="15.75" customHeight="1">
      <c r="C183" s="23"/>
      <c r="D183" s="23"/>
    </row>
    <row r="184" ht="15.75" customHeight="1">
      <c r="C184" s="23"/>
      <c r="D184" s="23"/>
    </row>
    <row r="185" ht="15.75" customHeight="1">
      <c r="C185" s="23"/>
      <c r="D185" s="23"/>
    </row>
    <row r="186" ht="15.75" customHeight="1">
      <c r="C186" s="23"/>
      <c r="D186" s="23"/>
    </row>
    <row r="187" ht="15.75" customHeight="1">
      <c r="C187" s="23"/>
      <c r="D187" s="23"/>
    </row>
    <row r="188" ht="15.75" customHeight="1">
      <c r="C188" s="23"/>
      <c r="D188" s="23"/>
    </row>
    <row r="189" ht="15.75" customHeight="1">
      <c r="C189" s="23"/>
      <c r="D189" s="23"/>
    </row>
    <row r="190" ht="15.75" customHeight="1">
      <c r="C190" s="23"/>
      <c r="D190" s="23"/>
    </row>
    <row r="191" ht="15.75" customHeight="1">
      <c r="C191" s="23"/>
      <c r="D191" s="23"/>
    </row>
    <row r="192" ht="15.75" customHeight="1">
      <c r="C192" s="23"/>
      <c r="D192" s="23"/>
    </row>
    <row r="193" ht="15.75" customHeight="1">
      <c r="C193" s="23"/>
      <c r="D193" s="23"/>
    </row>
    <row r="194" ht="15.75" customHeight="1">
      <c r="C194" s="23"/>
      <c r="D194" s="23"/>
    </row>
    <row r="195" ht="15.75" customHeight="1">
      <c r="C195" s="23"/>
      <c r="D195" s="23"/>
    </row>
    <row r="196" ht="15.75" customHeight="1">
      <c r="C196" s="23"/>
      <c r="D196" s="23"/>
    </row>
    <row r="197" ht="15.75" customHeight="1">
      <c r="C197" s="23"/>
      <c r="D197" s="23"/>
    </row>
    <row r="198" ht="15.75" customHeight="1">
      <c r="C198" s="23"/>
      <c r="D198" s="23"/>
    </row>
    <row r="199" ht="15.75" customHeight="1">
      <c r="C199" s="23"/>
      <c r="D199" s="23"/>
    </row>
    <row r="200" ht="15.75" customHeight="1">
      <c r="C200" s="23"/>
      <c r="D200" s="23"/>
    </row>
    <row r="201" ht="15.75" customHeight="1">
      <c r="C201" s="23"/>
      <c r="D201" s="23"/>
    </row>
    <row r="202" ht="15.75" customHeight="1">
      <c r="C202" s="23"/>
      <c r="D202" s="23"/>
    </row>
    <row r="203" ht="15.75" customHeight="1">
      <c r="C203" s="23"/>
      <c r="D203" s="23"/>
    </row>
    <row r="204" ht="15.75" customHeight="1">
      <c r="C204" s="23"/>
      <c r="D204" s="23"/>
    </row>
    <row r="205" ht="15.75" customHeight="1">
      <c r="C205" s="23"/>
      <c r="D205" s="23"/>
    </row>
    <row r="206" ht="15.75" customHeight="1">
      <c r="C206" s="23"/>
      <c r="D206" s="23"/>
    </row>
    <row r="207" ht="15.75" customHeight="1">
      <c r="C207" s="23"/>
      <c r="D207" s="23"/>
    </row>
    <row r="208" ht="15.75" customHeight="1">
      <c r="C208" s="23"/>
      <c r="D208" s="23"/>
    </row>
    <row r="209" ht="15.75" customHeight="1">
      <c r="C209" s="23"/>
      <c r="D209" s="23"/>
    </row>
    <row r="210" ht="15.75" customHeight="1">
      <c r="C210" s="23"/>
      <c r="D210" s="23"/>
    </row>
    <row r="211" ht="15.75" customHeight="1">
      <c r="C211" s="23"/>
      <c r="D211" s="23"/>
    </row>
    <row r="212" ht="15.75" customHeight="1">
      <c r="C212" s="23"/>
      <c r="D212" s="23"/>
    </row>
    <row r="213" ht="15.75" customHeight="1">
      <c r="C213" s="23"/>
      <c r="D213" s="23"/>
    </row>
    <row r="214" ht="15.75" customHeight="1">
      <c r="C214" s="23"/>
      <c r="D214" s="23"/>
    </row>
    <row r="215" ht="15.75" customHeight="1">
      <c r="C215" s="23"/>
      <c r="D215" s="23"/>
    </row>
    <row r="216" ht="15.75" customHeight="1">
      <c r="C216" s="23"/>
      <c r="D216" s="23"/>
    </row>
    <row r="217" ht="15.75" customHeight="1">
      <c r="C217" s="23"/>
      <c r="D217" s="23"/>
    </row>
    <row r="218" ht="15.75" customHeight="1">
      <c r="C218" s="23"/>
      <c r="D218" s="23"/>
    </row>
    <row r="219" ht="15.75" customHeight="1">
      <c r="C219" s="23"/>
      <c r="D219" s="23"/>
    </row>
    <row r="220" ht="15.75" customHeight="1">
      <c r="C220" s="23"/>
      <c r="D220" s="23"/>
    </row>
    <row r="221" ht="15.75" customHeight="1">
      <c r="C221" s="23"/>
      <c r="D221" s="23"/>
    </row>
    <row r="222" ht="15.75" customHeight="1">
      <c r="C222" s="23"/>
      <c r="D222" s="23"/>
    </row>
    <row r="223" ht="15.75" customHeight="1">
      <c r="C223" s="23"/>
      <c r="D223" s="23"/>
    </row>
    <row r="224" ht="15.75" customHeight="1">
      <c r="C224" s="23"/>
      <c r="D224" s="23"/>
    </row>
    <row r="225" ht="15.75" customHeight="1">
      <c r="C225" s="23"/>
      <c r="D225" s="23"/>
    </row>
    <row r="226" ht="15.75" customHeight="1">
      <c r="C226" s="23"/>
      <c r="D226" s="23"/>
    </row>
    <row r="227" ht="15.75" customHeight="1">
      <c r="C227" s="23"/>
      <c r="D227" s="23"/>
    </row>
    <row r="228" ht="15.75" customHeight="1">
      <c r="C228" s="23"/>
      <c r="D228" s="23"/>
    </row>
    <row r="229" ht="15.75" customHeight="1">
      <c r="C229" s="23"/>
      <c r="D229" s="23"/>
    </row>
    <row r="230" ht="15.75" customHeight="1">
      <c r="C230" s="23"/>
      <c r="D230" s="23"/>
    </row>
    <row r="231" ht="15.75" customHeight="1">
      <c r="C231" s="23"/>
      <c r="D231" s="23"/>
    </row>
    <row r="232" ht="15.75" customHeight="1">
      <c r="C232" s="23"/>
      <c r="D232" s="23"/>
    </row>
    <row r="233" ht="15.75" customHeight="1">
      <c r="C233" s="23"/>
      <c r="D233" s="23"/>
    </row>
    <row r="234" ht="15.75" customHeight="1">
      <c r="C234" s="23"/>
      <c r="D234" s="23"/>
    </row>
    <row r="235" ht="15.75" customHeight="1">
      <c r="C235" s="23"/>
      <c r="D235" s="23"/>
    </row>
    <row r="236" ht="15.75" customHeight="1">
      <c r="C236" s="23"/>
      <c r="D236" s="23"/>
    </row>
    <row r="237" ht="15.75" customHeight="1">
      <c r="C237" s="23"/>
      <c r="D237" s="23"/>
    </row>
    <row r="238" ht="15.75" customHeight="1">
      <c r="C238" s="23"/>
      <c r="D238" s="23"/>
    </row>
    <row r="239" ht="15.75" customHeight="1">
      <c r="C239" s="23"/>
      <c r="D239" s="23"/>
    </row>
    <row r="240" ht="15.75" customHeight="1">
      <c r="C240" s="23"/>
      <c r="D240" s="23"/>
    </row>
    <row r="241" ht="15.75" customHeight="1">
      <c r="C241" s="23"/>
      <c r="D241" s="23"/>
    </row>
    <row r="242" ht="15.75" customHeight="1">
      <c r="C242" s="23"/>
      <c r="D242" s="23"/>
    </row>
    <row r="243" ht="15.75" customHeight="1">
      <c r="C243" s="23"/>
      <c r="D243" s="23"/>
    </row>
    <row r="244" ht="15.75" customHeight="1">
      <c r="C244" s="23"/>
      <c r="D244" s="23"/>
    </row>
    <row r="245" ht="15.75" customHeight="1">
      <c r="C245" s="23"/>
      <c r="D245" s="23"/>
    </row>
    <row r="246" ht="15.75" customHeight="1">
      <c r="C246" s="23"/>
      <c r="D246" s="23"/>
    </row>
    <row r="247" ht="15.75" customHeight="1">
      <c r="C247" s="23"/>
      <c r="D247" s="23"/>
    </row>
    <row r="248" ht="15.75" customHeight="1">
      <c r="C248" s="23"/>
      <c r="D248" s="23"/>
    </row>
    <row r="249" ht="15.75" customHeight="1">
      <c r="C249" s="23"/>
      <c r="D249" s="23"/>
    </row>
    <row r="250" ht="15.75" customHeight="1">
      <c r="C250" s="23"/>
      <c r="D250" s="23"/>
    </row>
    <row r="251" ht="15.75" customHeight="1">
      <c r="C251" s="23"/>
      <c r="D251" s="23"/>
    </row>
    <row r="252" ht="15.75" customHeight="1">
      <c r="C252" s="23"/>
      <c r="D252" s="23"/>
    </row>
    <row r="253" ht="15.75" customHeight="1">
      <c r="C253" s="23"/>
      <c r="D253" s="23"/>
    </row>
    <row r="254" ht="15.75" customHeight="1">
      <c r="C254" s="23"/>
      <c r="D254" s="23"/>
    </row>
    <row r="255" ht="15.75" customHeight="1">
      <c r="C255" s="23"/>
      <c r="D255" s="23"/>
    </row>
    <row r="256" ht="15.75" customHeight="1">
      <c r="C256" s="23"/>
      <c r="D256" s="23"/>
    </row>
    <row r="257" ht="15.75" customHeight="1">
      <c r="C257" s="23"/>
      <c r="D257" s="23"/>
    </row>
    <row r="258" ht="15.75" customHeight="1">
      <c r="C258" s="23"/>
      <c r="D258" s="23"/>
    </row>
    <row r="259" ht="15.75" customHeight="1">
      <c r="C259" s="23"/>
      <c r="D259" s="23"/>
    </row>
    <row r="260" ht="15.75" customHeight="1">
      <c r="C260" s="23"/>
      <c r="D260" s="23"/>
    </row>
    <row r="261" ht="15.75" customHeight="1">
      <c r="C261" s="23"/>
      <c r="D261" s="23"/>
    </row>
    <row r="262" ht="15.75" customHeight="1">
      <c r="C262" s="23"/>
      <c r="D262" s="23"/>
    </row>
    <row r="263" ht="15.75" customHeight="1">
      <c r="C263" s="23"/>
      <c r="D263" s="23"/>
    </row>
    <row r="264" ht="15.75" customHeight="1">
      <c r="C264" s="23"/>
      <c r="D264" s="23"/>
    </row>
    <row r="265" ht="15.75" customHeight="1">
      <c r="C265" s="23"/>
      <c r="D265" s="23"/>
    </row>
    <row r="266" ht="15.75" customHeight="1">
      <c r="C266" s="23"/>
      <c r="D266" s="23"/>
    </row>
    <row r="267" ht="15.75" customHeight="1">
      <c r="C267" s="23"/>
      <c r="D267" s="23"/>
    </row>
    <row r="268" ht="15.75" customHeight="1">
      <c r="C268" s="23"/>
      <c r="D268" s="23"/>
    </row>
    <row r="269" ht="15.75" customHeight="1">
      <c r="C269" s="23"/>
      <c r="D269" s="23"/>
    </row>
    <row r="270" ht="15.75" customHeight="1">
      <c r="C270" s="23"/>
      <c r="D270" s="23"/>
    </row>
    <row r="271" ht="15.75" customHeight="1">
      <c r="C271" s="23"/>
      <c r="D271" s="23"/>
    </row>
    <row r="272" ht="15.75" customHeight="1">
      <c r="C272" s="23"/>
      <c r="D272" s="23"/>
    </row>
    <row r="273" ht="15.75" customHeight="1">
      <c r="C273" s="23"/>
      <c r="D273" s="23"/>
    </row>
    <row r="274" ht="15.75" customHeight="1">
      <c r="C274" s="23"/>
      <c r="D274" s="23"/>
    </row>
    <row r="275" ht="15.75" customHeight="1">
      <c r="C275" s="23"/>
      <c r="D275" s="23"/>
    </row>
    <row r="276" ht="15.75" customHeight="1">
      <c r="C276" s="23"/>
      <c r="D276" s="23"/>
    </row>
    <row r="277" ht="15.75" customHeight="1">
      <c r="C277" s="23"/>
      <c r="D277" s="23"/>
    </row>
    <row r="278" ht="15.75" customHeight="1">
      <c r="C278" s="23"/>
      <c r="D278" s="23"/>
    </row>
    <row r="279" ht="15.75" customHeight="1">
      <c r="C279" s="23"/>
      <c r="D279" s="23"/>
    </row>
    <row r="280" ht="15.75" customHeight="1">
      <c r="C280" s="23"/>
      <c r="D280" s="23"/>
    </row>
    <row r="281" ht="15.75" customHeight="1">
      <c r="C281" s="23"/>
      <c r="D281" s="23"/>
    </row>
    <row r="282" ht="15.75" customHeight="1">
      <c r="C282" s="23"/>
      <c r="D282" s="23"/>
    </row>
    <row r="283" ht="15.75" customHeight="1">
      <c r="C283" s="23"/>
      <c r="D283" s="23"/>
    </row>
    <row r="284" ht="15.75" customHeight="1">
      <c r="C284" s="23"/>
      <c r="D284" s="23"/>
    </row>
    <row r="285" ht="15.75" customHeight="1">
      <c r="C285" s="23"/>
      <c r="D285" s="23"/>
    </row>
    <row r="286" ht="15.75" customHeight="1">
      <c r="C286" s="23"/>
      <c r="D286" s="23"/>
    </row>
    <row r="287" ht="15.75" customHeight="1">
      <c r="C287" s="23"/>
      <c r="D287" s="23"/>
    </row>
    <row r="288" ht="15.75" customHeight="1">
      <c r="C288" s="23"/>
      <c r="D288" s="23"/>
    </row>
    <row r="289" ht="15.75" customHeight="1">
      <c r="C289" s="23"/>
      <c r="D289" s="23"/>
    </row>
    <row r="290" ht="15.75" customHeight="1">
      <c r="C290" s="23"/>
      <c r="D290" s="23"/>
    </row>
    <row r="291" ht="15.75" customHeight="1">
      <c r="C291" s="23"/>
      <c r="D291" s="23"/>
    </row>
    <row r="292" ht="15.75" customHeight="1">
      <c r="C292" s="23"/>
      <c r="D292" s="23"/>
    </row>
    <row r="293" ht="15.75" customHeight="1">
      <c r="C293" s="23"/>
      <c r="D293" s="23"/>
    </row>
    <row r="294" ht="15.75" customHeight="1">
      <c r="C294" s="23"/>
      <c r="D294" s="23"/>
    </row>
    <row r="295" ht="15.75" customHeight="1">
      <c r="C295" s="23"/>
      <c r="D295" s="23"/>
    </row>
    <row r="296" ht="15.75" customHeight="1">
      <c r="C296" s="23"/>
      <c r="D296" s="23"/>
    </row>
    <row r="297" ht="15.75" customHeight="1">
      <c r="C297" s="23"/>
      <c r="D297" s="23"/>
    </row>
    <row r="298" ht="15.75" customHeight="1">
      <c r="C298" s="23"/>
      <c r="D298" s="23"/>
    </row>
    <row r="299" ht="15.75" customHeight="1">
      <c r="C299" s="23"/>
      <c r="D299" s="23"/>
    </row>
    <row r="300" ht="15.75" customHeight="1">
      <c r="C300" s="23"/>
      <c r="D300" s="23"/>
    </row>
    <row r="301" ht="15.75" customHeight="1">
      <c r="C301" s="23"/>
      <c r="D301" s="23"/>
    </row>
    <row r="302" ht="15.75" customHeight="1">
      <c r="C302" s="23"/>
      <c r="D302" s="23"/>
    </row>
    <row r="303" ht="15.75" customHeight="1">
      <c r="C303" s="23"/>
      <c r="D303" s="23"/>
    </row>
    <row r="304" ht="15.75" customHeight="1">
      <c r="C304" s="23"/>
      <c r="D304" s="23"/>
    </row>
    <row r="305" ht="15.75" customHeight="1">
      <c r="C305" s="23"/>
      <c r="D305" s="23"/>
    </row>
    <row r="306" ht="15.75" customHeight="1">
      <c r="C306" s="23"/>
      <c r="D306" s="23"/>
    </row>
    <row r="307" ht="15.75" customHeight="1">
      <c r="C307" s="23"/>
      <c r="D307" s="23"/>
    </row>
    <row r="308" ht="15.75" customHeight="1">
      <c r="C308" s="23"/>
      <c r="D308" s="23"/>
    </row>
    <row r="309" ht="15.75" customHeight="1">
      <c r="C309" s="23"/>
      <c r="D309" s="23"/>
    </row>
    <row r="310" ht="15.75" customHeight="1">
      <c r="C310" s="23"/>
      <c r="D310" s="23"/>
    </row>
    <row r="311" ht="15.75" customHeight="1">
      <c r="C311" s="23"/>
      <c r="D311" s="23"/>
    </row>
    <row r="312" ht="15.75" customHeight="1">
      <c r="C312" s="23"/>
      <c r="D312" s="23"/>
    </row>
    <row r="313" ht="15.75" customHeight="1">
      <c r="C313" s="23"/>
      <c r="D313" s="23"/>
    </row>
    <row r="314" ht="15.75" customHeight="1">
      <c r="C314" s="23"/>
      <c r="D314" s="23"/>
    </row>
    <row r="315" ht="15.75" customHeight="1">
      <c r="C315" s="23"/>
      <c r="D315" s="23"/>
    </row>
    <row r="316" ht="15.75" customHeight="1">
      <c r="C316" s="23"/>
      <c r="D316" s="23"/>
    </row>
    <row r="317" ht="15.75" customHeight="1">
      <c r="C317" s="23"/>
      <c r="D317" s="23"/>
    </row>
    <row r="318" ht="15.75" customHeight="1">
      <c r="C318" s="23"/>
      <c r="D318" s="23"/>
    </row>
    <row r="319" ht="15.75" customHeight="1">
      <c r="C319" s="23"/>
      <c r="D319" s="23"/>
    </row>
    <row r="320" ht="15.75" customHeight="1">
      <c r="C320" s="23"/>
      <c r="D320" s="23"/>
    </row>
    <row r="321" ht="15.75" customHeight="1">
      <c r="C321" s="23"/>
      <c r="D321" s="23"/>
    </row>
    <row r="322" ht="15.75" customHeight="1">
      <c r="C322" s="23"/>
      <c r="D322" s="23"/>
    </row>
    <row r="323" ht="15.75" customHeight="1">
      <c r="C323" s="23"/>
      <c r="D323" s="23"/>
    </row>
    <row r="324" ht="15.75" customHeight="1">
      <c r="C324" s="23"/>
      <c r="D324" s="23"/>
    </row>
    <row r="325" ht="15.75" customHeight="1">
      <c r="C325" s="23"/>
      <c r="D325" s="23"/>
    </row>
    <row r="326" ht="15.75" customHeight="1">
      <c r="C326" s="23"/>
      <c r="D326" s="23"/>
    </row>
    <row r="327" ht="15.75" customHeight="1">
      <c r="C327" s="23"/>
      <c r="D327" s="23"/>
    </row>
    <row r="328" ht="15.75" customHeight="1">
      <c r="C328" s="23"/>
      <c r="D328" s="23"/>
    </row>
    <row r="329" ht="15.75" customHeight="1">
      <c r="C329" s="23"/>
      <c r="D329" s="23"/>
    </row>
    <row r="330" ht="15.75" customHeight="1">
      <c r="C330" s="23"/>
      <c r="D330" s="23"/>
    </row>
    <row r="331" ht="15.75" customHeight="1">
      <c r="C331" s="23"/>
      <c r="D331" s="23"/>
    </row>
    <row r="332" ht="15.75" customHeight="1">
      <c r="C332" s="23"/>
      <c r="D332" s="23"/>
    </row>
    <row r="333" ht="15.75" customHeight="1">
      <c r="C333" s="23"/>
      <c r="D333" s="23"/>
    </row>
    <row r="334" ht="15.75" customHeight="1">
      <c r="C334" s="23"/>
      <c r="D334" s="23"/>
    </row>
    <row r="335" ht="15.75" customHeight="1">
      <c r="C335" s="23"/>
      <c r="D335" s="23"/>
    </row>
    <row r="336" ht="15.75" customHeight="1">
      <c r="C336" s="23"/>
      <c r="D336" s="23"/>
    </row>
    <row r="337" ht="15.75" customHeight="1">
      <c r="C337" s="23"/>
      <c r="D337" s="23"/>
    </row>
    <row r="338" ht="15.75" customHeight="1">
      <c r="C338" s="23"/>
      <c r="D338" s="23"/>
    </row>
    <row r="339" ht="15.75" customHeight="1">
      <c r="C339" s="23"/>
      <c r="D339" s="23"/>
    </row>
    <row r="340" ht="15.75" customHeight="1">
      <c r="C340" s="23"/>
      <c r="D340" s="23"/>
    </row>
    <row r="341" ht="15.75" customHeight="1">
      <c r="C341" s="23"/>
      <c r="D341" s="23"/>
    </row>
    <row r="342" ht="15.75" customHeight="1">
      <c r="C342" s="23"/>
      <c r="D342" s="23"/>
    </row>
    <row r="343" ht="15.75" customHeight="1">
      <c r="C343" s="23"/>
      <c r="D343" s="23"/>
    </row>
    <row r="344" ht="15.75" customHeight="1">
      <c r="C344" s="23"/>
      <c r="D344" s="23"/>
    </row>
    <row r="345" ht="15.75" customHeight="1">
      <c r="C345" s="23"/>
      <c r="D345" s="23"/>
    </row>
    <row r="346" ht="15.75" customHeight="1">
      <c r="C346" s="23"/>
      <c r="D346" s="23"/>
    </row>
    <row r="347" ht="15.75" customHeight="1">
      <c r="C347" s="23"/>
      <c r="D347" s="23"/>
    </row>
    <row r="348" ht="15.75" customHeight="1">
      <c r="C348" s="23"/>
      <c r="D348" s="23"/>
    </row>
    <row r="349" ht="15.75" customHeight="1">
      <c r="C349" s="23"/>
      <c r="D349" s="23"/>
    </row>
    <row r="350" ht="15.75" customHeight="1">
      <c r="C350" s="23"/>
      <c r="D350" s="23"/>
    </row>
    <row r="351" ht="15.75" customHeight="1">
      <c r="C351" s="23"/>
      <c r="D351" s="23"/>
    </row>
    <row r="352" ht="15.75" customHeight="1">
      <c r="C352" s="23"/>
      <c r="D352" s="23"/>
    </row>
    <row r="353" ht="15.75" customHeight="1">
      <c r="C353" s="23"/>
      <c r="D353" s="23"/>
    </row>
    <row r="354" ht="15.75" customHeight="1">
      <c r="C354" s="23"/>
      <c r="D354" s="23"/>
    </row>
    <row r="355" ht="15.75" customHeight="1">
      <c r="C355" s="23"/>
      <c r="D355" s="23"/>
    </row>
    <row r="356" ht="15.75" customHeight="1">
      <c r="C356" s="23"/>
      <c r="D356" s="23"/>
    </row>
    <row r="357" ht="15.75" customHeight="1">
      <c r="C357" s="23"/>
      <c r="D357" s="23"/>
    </row>
    <row r="358" ht="15.75" customHeight="1">
      <c r="C358" s="23"/>
      <c r="D358" s="23"/>
    </row>
    <row r="359" ht="15.75" customHeight="1">
      <c r="C359" s="23"/>
      <c r="D359" s="23"/>
    </row>
    <row r="360" ht="15.75" customHeight="1">
      <c r="C360" s="23"/>
      <c r="D360" s="23"/>
    </row>
    <row r="361" ht="15.75" customHeight="1">
      <c r="C361" s="23"/>
      <c r="D361" s="23"/>
    </row>
    <row r="362" ht="15.75" customHeight="1">
      <c r="C362" s="23"/>
      <c r="D362" s="23"/>
    </row>
    <row r="363" ht="15.75" customHeight="1">
      <c r="C363" s="23"/>
      <c r="D363" s="23"/>
    </row>
    <row r="364" ht="15.75" customHeight="1">
      <c r="C364" s="23"/>
      <c r="D364" s="23"/>
    </row>
    <row r="365" ht="15.75" customHeight="1">
      <c r="C365" s="23"/>
      <c r="D365" s="23"/>
    </row>
    <row r="366" ht="15.75" customHeight="1">
      <c r="C366" s="23"/>
      <c r="D366" s="23"/>
    </row>
    <row r="367" ht="15.75" customHeight="1">
      <c r="C367" s="23"/>
      <c r="D367" s="23"/>
    </row>
    <row r="368" ht="15.75" customHeight="1">
      <c r="C368" s="23"/>
      <c r="D368" s="23"/>
    </row>
    <row r="369" ht="15.75" customHeight="1">
      <c r="C369" s="23"/>
      <c r="D369" s="23"/>
    </row>
    <row r="370" ht="15.75" customHeight="1">
      <c r="C370" s="23"/>
      <c r="D370" s="23"/>
    </row>
    <row r="371" ht="15.75" customHeight="1">
      <c r="C371" s="23"/>
      <c r="D371" s="23"/>
    </row>
    <row r="372" ht="15.75" customHeight="1">
      <c r="C372" s="23"/>
      <c r="D372" s="23"/>
    </row>
    <row r="373" ht="15.75" customHeight="1">
      <c r="C373" s="23"/>
      <c r="D373" s="23"/>
    </row>
    <row r="374" ht="15.75" customHeight="1">
      <c r="C374" s="23"/>
      <c r="D374" s="23"/>
    </row>
    <row r="375" ht="15.75" customHeight="1">
      <c r="C375" s="23"/>
      <c r="D375" s="23"/>
    </row>
    <row r="376" ht="15.75" customHeight="1">
      <c r="C376" s="23"/>
      <c r="D376" s="23"/>
    </row>
    <row r="377" ht="15.75" customHeight="1">
      <c r="C377" s="23"/>
      <c r="D377" s="23"/>
    </row>
    <row r="378" ht="15.75" customHeight="1">
      <c r="C378" s="23"/>
      <c r="D378" s="23"/>
    </row>
    <row r="379" ht="15.75" customHeight="1">
      <c r="C379" s="23"/>
      <c r="D379" s="23"/>
    </row>
    <row r="380" ht="15.75" customHeight="1">
      <c r="C380" s="23"/>
      <c r="D380" s="23"/>
    </row>
    <row r="381" ht="15.75" customHeight="1">
      <c r="C381" s="23"/>
      <c r="D381" s="23"/>
    </row>
    <row r="382" ht="15.75" customHeight="1">
      <c r="C382" s="23"/>
      <c r="D382" s="23"/>
    </row>
    <row r="383" ht="15.75" customHeight="1">
      <c r="C383" s="23"/>
      <c r="D383" s="23"/>
    </row>
    <row r="384" ht="15.75" customHeight="1">
      <c r="C384" s="23"/>
      <c r="D384" s="23"/>
    </row>
    <row r="385" ht="15.75" customHeight="1">
      <c r="C385" s="23"/>
      <c r="D385" s="23"/>
    </row>
    <row r="386" ht="15.75" customHeight="1">
      <c r="C386" s="23"/>
      <c r="D386" s="23"/>
    </row>
    <row r="387" ht="15.75" customHeight="1">
      <c r="C387" s="23"/>
      <c r="D387" s="23"/>
    </row>
    <row r="388" ht="15.75" customHeight="1">
      <c r="C388" s="23"/>
      <c r="D388" s="23"/>
    </row>
    <row r="389" ht="15.75" customHeight="1">
      <c r="C389" s="23"/>
      <c r="D389" s="23"/>
    </row>
    <row r="390" ht="15.75" customHeight="1">
      <c r="C390" s="23"/>
      <c r="D390" s="23"/>
    </row>
    <row r="391" ht="15.75" customHeight="1">
      <c r="C391" s="23"/>
      <c r="D391" s="23"/>
    </row>
    <row r="392" ht="15.75" customHeight="1">
      <c r="C392" s="23"/>
      <c r="D392" s="23"/>
    </row>
    <row r="393" ht="15.75" customHeight="1">
      <c r="C393" s="23"/>
      <c r="D393" s="23"/>
    </row>
    <row r="394" ht="15.75" customHeight="1">
      <c r="C394" s="23"/>
      <c r="D394" s="23"/>
    </row>
    <row r="395" ht="15.75" customHeight="1">
      <c r="C395" s="23"/>
      <c r="D395" s="23"/>
    </row>
    <row r="396" ht="15.75" customHeight="1">
      <c r="C396" s="23"/>
      <c r="D396" s="23"/>
    </row>
    <row r="397" ht="15.75" customHeight="1">
      <c r="C397" s="23"/>
      <c r="D397" s="23"/>
    </row>
    <row r="398" ht="15.75" customHeight="1">
      <c r="C398" s="23"/>
      <c r="D398" s="23"/>
    </row>
    <row r="399" ht="15.75" customHeight="1">
      <c r="C399" s="23"/>
      <c r="D399" s="23"/>
    </row>
    <row r="400" ht="15.75" customHeight="1">
      <c r="C400" s="23"/>
      <c r="D400" s="23"/>
    </row>
    <row r="401" ht="15.75" customHeight="1">
      <c r="C401" s="23"/>
      <c r="D401" s="23"/>
    </row>
    <row r="402" ht="15.75" customHeight="1">
      <c r="C402" s="23"/>
      <c r="D402" s="23"/>
    </row>
    <row r="403" ht="15.75" customHeight="1">
      <c r="C403" s="23"/>
      <c r="D403" s="23"/>
    </row>
    <row r="404" ht="15.75" customHeight="1">
      <c r="C404" s="23"/>
      <c r="D404" s="23"/>
    </row>
    <row r="405" ht="15.75" customHeight="1">
      <c r="C405" s="23"/>
      <c r="D405" s="23"/>
    </row>
    <row r="406" ht="15.75" customHeight="1">
      <c r="C406" s="23"/>
      <c r="D406" s="23"/>
    </row>
    <row r="407" ht="15.75" customHeight="1">
      <c r="C407" s="23"/>
      <c r="D407" s="23"/>
    </row>
    <row r="408" ht="15.75" customHeight="1">
      <c r="C408" s="23"/>
      <c r="D408" s="23"/>
    </row>
    <row r="409" ht="15.75" customHeight="1">
      <c r="C409" s="23"/>
      <c r="D409" s="23"/>
    </row>
    <row r="410" ht="15.75" customHeight="1">
      <c r="C410" s="23"/>
      <c r="D410" s="23"/>
    </row>
    <row r="411" ht="15.75" customHeight="1">
      <c r="C411" s="23"/>
      <c r="D411" s="23"/>
    </row>
    <row r="412" ht="15.75" customHeight="1">
      <c r="C412" s="23"/>
      <c r="D412" s="23"/>
    </row>
    <row r="413" ht="15.75" customHeight="1">
      <c r="C413" s="23"/>
      <c r="D413" s="23"/>
    </row>
    <row r="414" ht="15.75" customHeight="1">
      <c r="C414" s="23"/>
      <c r="D414" s="23"/>
    </row>
    <row r="415" ht="15.75" customHeight="1">
      <c r="C415" s="23"/>
      <c r="D415" s="23"/>
    </row>
    <row r="416" ht="15.75" customHeight="1">
      <c r="C416" s="23"/>
      <c r="D416" s="23"/>
    </row>
    <row r="417" ht="15.75" customHeight="1">
      <c r="C417" s="23"/>
      <c r="D417" s="23"/>
    </row>
    <row r="418" ht="15.75" customHeight="1">
      <c r="C418" s="23"/>
      <c r="D418" s="23"/>
    </row>
    <row r="419" ht="15.75" customHeight="1">
      <c r="C419" s="23"/>
      <c r="D419" s="23"/>
    </row>
    <row r="420" ht="15.75" customHeight="1">
      <c r="C420" s="23"/>
      <c r="D420" s="23"/>
    </row>
    <row r="421" ht="15.75" customHeight="1">
      <c r="C421" s="23"/>
      <c r="D421" s="23"/>
    </row>
    <row r="422" ht="15.75" customHeight="1">
      <c r="C422" s="23"/>
      <c r="D422" s="23"/>
    </row>
    <row r="423" ht="15.75" customHeight="1">
      <c r="C423" s="23"/>
      <c r="D423" s="23"/>
    </row>
    <row r="424" ht="15.75" customHeight="1">
      <c r="C424" s="23"/>
      <c r="D424" s="23"/>
    </row>
    <row r="425" ht="15.75" customHeight="1">
      <c r="C425" s="23"/>
      <c r="D425" s="23"/>
    </row>
    <row r="426" ht="15.75" customHeight="1">
      <c r="C426" s="23"/>
      <c r="D426" s="23"/>
    </row>
    <row r="427" ht="15.75" customHeight="1">
      <c r="C427" s="23"/>
      <c r="D427" s="23"/>
    </row>
    <row r="428" ht="15.75" customHeight="1">
      <c r="C428" s="23"/>
      <c r="D428" s="23"/>
    </row>
    <row r="429" ht="15.75" customHeight="1">
      <c r="C429" s="23"/>
      <c r="D429" s="23"/>
    </row>
    <row r="430" ht="15.75" customHeight="1">
      <c r="C430" s="23"/>
      <c r="D430" s="23"/>
    </row>
    <row r="431" ht="15.75" customHeight="1">
      <c r="C431" s="23"/>
      <c r="D431" s="23"/>
    </row>
    <row r="432" ht="15.75" customHeight="1">
      <c r="C432" s="23"/>
      <c r="D432" s="23"/>
    </row>
    <row r="433" ht="15.75" customHeight="1">
      <c r="C433" s="23"/>
      <c r="D433" s="23"/>
    </row>
    <row r="434" ht="15.75" customHeight="1">
      <c r="C434" s="23"/>
      <c r="D434" s="23"/>
    </row>
    <row r="435" ht="15.75" customHeight="1">
      <c r="C435" s="23"/>
      <c r="D435" s="23"/>
    </row>
    <row r="436" ht="15.75" customHeight="1">
      <c r="C436" s="23"/>
      <c r="D436" s="23"/>
    </row>
    <row r="437" ht="15.75" customHeight="1">
      <c r="C437" s="23"/>
      <c r="D437" s="23"/>
    </row>
    <row r="438" ht="15.75" customHeight="1">
      <c r="C438" s="23"/>
      <c r="D438" s="23"/>
    </row>
    <row r="439" ht="15.75" customHeight="1">
      <c r="C439" s="23"/>
      <c r="D439" s="23"/>
    </row>
    <row r="440" ht="15.75" customHeight="1">
      <c r="C440" s="23"/>
      <c r="D440" s="23"/>
    </row>
    <row r="441" ht="15.75" customHeight="1">
      <c r="C441" s="23"/>
      <c r="D441" s="23"/>
    </row>
    <row r="442" ht="15.75" customHeight="1">
      <c r="C442" s="23"/>
      <c r="D442" s="23"/>
    </row>
    <row r="443" ht="15.75" customHeight="1">
      <c r="C443" s="23"/>
      <c r="D443" s="23"/>
    </row>
    <row r="444" ht="15.75" customHeight="1">
      <c r="C444" s="23"/>
      <c r="D444" s="23"/>
    </row>
    <row r="445" ht="15.75" customHeight="1">
      <c r="C445" s="23"/>
      <c r="D445" s="23"/>
    </row>
    <row r="446" ht="15.75" customHeight="1">
      <c r="C446" s="23"/>
      <c r="D446" s="23"/>
    </row>
    <row r="447" ht="15.75" customHeight="1">
      <c r="C447" s="23"/>
      <c r="D447" s="23"/>
    </row>
    <row r="448" ht="15.75" customHeight="1">
      <c r="C448" s="23"/>
      <c r="D448" s="23"/>
    </row>
    <row r="449" ht="15.75" customHeight="1">
      <c r="C449" s="23"/>
      <c r="D449" s="23"/>
    </row>
    <row r="450" ht="15.75" customHeight="1">
      <c r="C450" s="23"/>
      <c r="D450" s="23"/>
    </row>
    <row r="451" ht="15.75" customHeight="1">
      <c r="C451" s="23"/>
      <c r="D451" s="23"/>
    </row>
    <row r="452" ht="15.75" customHeight="1">
      <c r="C452" s="23"/>
      <c r="D452" s="23"/>
    </row>
    <row r="453" ht="15.75" customHeight="1">
      <c r="C453" s="23"/>
      <c r="D453" s="23"/>
    </row>
    <row r="454" ht="15.75" customHeight="1">
      <c r="C454" s="23"/>
      <c r="D454" s="23"/>
    </row>
    <row r="455" ht="15.75" customHeight="1">
      <c r="C455" s="23"/>
      <c r="D455" s="23"/>
    </row>
    <row r="456" ht="15.75" customHeight="1">
      <c r="C456" s="23"/>
      <c r="D456" s="23"/>
    </row>
    <row r="457" ht="15.75" customHeight="1">
      <c r="C457" s="23"/>
      <c r="D457" s="23"/>
    </row>
    <row r="458" ht="15.75" customHeight="1">
      <c r="C458" s="23"/>
      <c r="D458" s="23"/>
    </row>
    <row r="459" ht="15.75" customHeight="1">
      <c r="C459" s="23"/>
      <c r="D459" s="23"/>
    </row>
    <row r="460" ht="15.75" customHeight="1">
      <c r="C460" s="23"/>
      <c r="D460" s="23"/>
    </row>
    <row r="461" ht="15.75" customHeight="1">
      <c r="C461" s="23"/>
      <c r="D461" s="23"/>
    </row>
    <row r="462" ht="15.75" customHeight="1">
      <c r="C462" s="23"/>
      <c r="D462" s="23"/>
    </row>
    <row r="463" ht="15.75" customHeight="1">
      <c r="C463" s="23"/>
      <c r="D463" s="23"/>
    </row>
    <row r="464" ht="15.75" customHeight="1">
      <c r="C464" s="23"/>
      <c r="D464" s="23"/>
    </row>
    <row r="465" ht="15.75" customHeight="1">
      <c r="C465" s="23"/>
      <c r="D465" s="23"/>
    </row>
    <row r="466" ht="15.75" customHeight="1">
      <c r="C466" s="23"/>
      <c r="D466" s="23"/>
    </row>
    <row r="467" ht="15.75" customHeight="1">
      <c r="C467" s="23"/>
      <c r="D467" s="23"/>
    </row>
    <row r="468" ht="15.75" customHeight="1">
      <c r="C468" s="23"/>
      <c r="D468" s="23"/>
    </row>
    <row r="469" ht="15.75" customHeight="1">
      <c r="C469" s="23"/>
      <c r="D469" s="23"/>
    </row>
    <row r="470" ht="15.75" customHeight="1">
      <c r="C470" s="23"/>
      <c r="D470" s="23"/>
    </row>
    <row r="471" ht="15.75" customHeight="1">
      <c r="C471" s="23"/>
      <c r="D471" s="23"/>
    </row>
    <row r="472" ht="15.75" customHeight="1">
      <c r="C472" s="23"/>
      <c r="D472" s="23"/>
    </row>
    <row r="473" ht="15.75" customHeight="1">
      <c r="C473" s="23"/>
      <c r="D473" s="23"/>
    </row>
    <row r="474" ht="15.75" customHeight="1">
      <c r="C474" s="23"/>
      <c r="D474" s="23"/>
    </row>
    <row r="475" ht="15.75" customHeight="1">
      <c r="C475" s="23"/>
      <c r="D475" s="23"/>
    </row>
    <row r="476" ht="15.75" customHeight="1">
      <c r="C476" s="23"/>
      <c r="D476" s="23"/>
    </row>
    <row r="477" ht="15.75" customHeight="1">
      <c r="C477" s="23"/>
      <c r="D477" s="23"/>
    </row>
    <row r="478" ht="15.75" customHeight="1">
      <c r="C478" s="23"/>
      <c r="D478" s="23"/>
    </row>
    <row r="479" ht="15.75" customHeight="1">
      <c r="C479" s="23"/>
      <c r="D479" s="23"/>
    </row>
    <row r="480" ht="15.75" customHeight="1">
      <c r="C480" s="23"/>
      <c r="D480" s="23"/>
    </row>
    <row r="481" ht="15.75" customHeight="1">
      <c r="C481" s="23"/>
      <c r="D481" s="23"/>
    </row>
    <row r="482" ht="15.75" customHeight="1">
      <c r="C482" s="23"/>
      <c r="D482" s="23"/>
    </row>
    <row r="483" ht="15.75" customHeight="1">
      <c r="C483" s="23"/>
      <c r="D483" s="23"/>
    </row>
    <row r="484" ht="15.75" customHeight="1">
      <c r="C484" s="23"/>
      <c r="D484" s="23"/>
    </row>
    <row r="485" ht="15.75" customHeight="1">
      <c r="C485" s="23"/>
      <c r="D485" s="23"/>
    </row>
    <row r="486" ht="15.75" customHeight="1">
      <c r="C486" s="23"/>
      <c r="D486" s="23"/>
    </row>
    <row r="487" ht="15.75" customHeight="1">
      <c r="C487" s="23"/>
      <c r="D487" s="23"/>
    </row>
    <row r="488" ht="15.75" customHeight="1">
      <c r="C488" s="23"/>
      <c r="D488" s="23"/>
    </row>
    <row r="489" ht="15.75" customHeight="1">
      <c r="C489" s="23"/>
      <c r="D489" s="23"/>
    </row>
    <row r="490" ht="15.75" customHeight="1">
      <c r="C490" s="23"/>
      <c r="D490" s="23"/>
    </row>
    <row r="491" ht="15.75" customHeight="1">
      <c r="C491" s="23"/>
      <c r="D491" s="23"/>
    </row>
    <row r="492" ht="15.75" customHeight="1">
      <c r="C492" s="23"/>
      <c r="D492" s="23"/>
    </row>
    <row r="493" ht="15.75" customHeight="1">
      <c r="C493" s="23"/>
      <c r="D493" s="23"/>
    </row>
    <row r="494" ht="15.75" customHeight="1">
      <c r="C494" s="23"/>
      <c r="D494" s="23"/>
    </row>
    <row r="495" ht="15.75" customHeight="1">
      <c r="C495" s="23"/>
      <c r="D495" s="23"/>
    </row>
    <row r="496" ht="15.75" customHeight="1">
      <c r="C496" s="23"/>
      <c r="D496" s="23"/>
    </row>
    <row r="497" ht="15.75" customHeight="1">
      <c r="C497" s="23"/>
      <c r="D497" s="23"/>
    </row>
    <row r="498" ht="15.75" customHeight="1">
      <c r="C498" s="23"/>
      <c r="D498" s="23"/>
    </row>
    <row r="499" ht="15.75" customHeight="1">
      <c r="C499" s="23"/>
      <c r="D499" s="23"/>
    </row>
    <row r="500" ht="15.75" customHeight="1">
      <c r="C500" s="23"/>
      <c r="D500" s="23"/>
    </row>
    <row r="501" ht="15.75" customHeight="1">
      <c r="C501" s="23"/>
      <c r="D501" s="23"/>
    </row>
    <row r="502" ht="15.75" customHeight="1">
      <c r="C502" s="23"/>
      <c r="D502" s="23"/>
    </row>
    <row r="503" ht="15.75" customHeight="1">
      <c r="C503" s="23"/>
      <c r="D503" s="23"/>
    </row>
    <row r="504" ht="15.75" customHeight="1">
      <c r="C504" s="23"/>
      <c r="D504" s="23"/>
    </row>
    <row r="505" ht="15.75" customHeight="1">
      <c r="C505" s="23"/>
      <c r="D505" s="23"/>
    </row>
    <row r="506" ht="15.75" customHeight="1">
      <c r="C506" s="23"/>
      <c r="D506" s="23"/>
    </row>
    <row r="507" ht="15.75" customHeight="1">
      <c r="C507" s="23"/>
      <c r="D507" s="23"/>
    </row>
    <row r="508" ht="15.75" customHeight="1">
      <c r="C508" s="23"/>
      <c r="D508" s="23"/>
    </row>
    <row r="509" ht="15.75" customHeight="1">
      <c r="C509" s="23"/>
      <c r="D509" s="23"/>
    </row>
    <row r="510" ht="15.75" customHeight="1">
      <c r="C510" s="23"/>
      <c r="D510" s="23"/>
    </row>
    <row r="511" ht="15.75" customHeight="1">
      <c r="C511" s="23"/>
      <c r="D511" s="23"/>
    </row>
    <row r="512" ht="15.75" customHeight="1">
      <c r="C512" s="23"/>
      <c r="D512" s="23"/>
    </row>
    <row r="513" ht="15.75" customHeight="1">
      <c r="C513" s="23"/>
      <c r="D513" s="23"/>
    </row>
    <row r="514" ht="15.75" customHeight="1">
      <c r="C514" s="23"/>
      <c r="D514" s="23"/>
    </row>
    <row r="515" ht="15.75" customHeight="1">
      <c r="C515" s="23"/>
      <c r="D515" s="23"/>
    </row>
    <row r="516" ht="15.75" customHeight="1">
      <c r="C516" s="23"/>
      <c r="D516" s="23"/>
    </row>
    <row r="517" ht="15.75" customHeight="1">
      <c r="C517" s="23"/>
      <c r="D517" s="23"/>
    </row>
    <row r="518" ht="15.75" customHeight="1">
      <c r="C518" s="23"/>
      <c r="D518" s="23"/>
    </row>
    <row r="519" ht="15.75" customHeight="1">
      <c r="C519" s="23"/>
      <c r="D519" s="23"/>
    </row>
    <row r="520" ht="15.75" customHeight="1">
      <c r="C520" s="23"/>
      <c r="D520" s="23"/>
    </row>
    <row r="521" ht="15.75" customHeight="1">
      <c r="C521" s="23"/>
      <c r="D521" s="23"/>
    </row>
    <row r="522" ht="15.75" customHeight="1">
      <c r="C522" s="23"/>
      <c r="D522" s="23"/>
    </row>
    <row r="523" ht="15.75" customHeight="1">
      <c r="C523" s="23"/>
      <c r="D523" s="23"/>
    </row>
    <row r="524" ht="15.75" customHeight="1">
      <c r="C524" s="23"/>
      <c r="D524" s="23"/>
    </row>
    <row r="525" ht="15.75" customHeight="1">
      <c r="C525" s="23"/>
      <c r="D525" s="23"/>
    </row>
    <row r="526" ht="15.75" customHeight="1">
      <c r="C526" s="23"/>
      <c r="D526" s="23"/>
    </row>
    <row r="527" ht="15.75" customHeight="1">
      <c r="C527" s="23"/>
      <c r="D527" s="23"/>
    </row>
    <row r="528" ht="15.75" customHeight="1">
      <c r="C528" s="23"/>
      <c r="D528" s="23"/>
    </row>
    <row r="529" ht="15.75" customHeight="1">
      <c r="C529" s="23"/>
      <c r="D529" s="23"/>
    </row>
    <row r="530" ht="15.75" customHeight="1">
      <c r="C530" s="23"/>
      <c r="D530" s="23"/>
    </row>
    <row r="531" ht="15.75" customHeight="1">
      <c r="C531" s="23"/>
      <c r="D531" s="23"/>
    </row>
    <row r="532" ht="15.75" customHeight="1">
      <c r="C532" s="23"/>
      <c r="D532" s="23"/>
    </row>
    <row r="533" ht="15.75" customHeight="1">
      <c r="C533" s="23"/>
      <c r="D533" s="23"/>
    </row>
    <row r="534" ht="15.75" customHeight="1">
      <c r="C534" s="23"/>
      <c r="D534" s="23"/>
    </row>
    <row r="535" ht="15.75" customHeight="1">
      <c r="C535" s="23"/>
      <c r="D535" s="23"/>
    </row>
    <row r="536" ht="15.75" customHeight="1">
      <c r="C536" s="23"/>
      <c r="D536" s="23"/>
    </row>
    <row r="537" ht="15.75" customHeight="1">
      <c r="C537" s="23"/>
      <c r="D537" s="23"/>
    </row>
    <row r="538" ht="15.75" customHeight="1">
      <c r="C538" s="23"/>
      <c r="D538" s="23"/>
    </row>
    <row r="539" ht="15.75" customHeight="1">
      <c r="C539" s="23"/>
      <c r="D539" s="23"/>
    </row>
    <row r="540" ht="15.75" customHeight="1">
      <c r="C540" s="23"/>
      <c r="D540" s="23"/>
    </row>
    <row r="541" ht="15.75" customHeight="1">
      <c r="C541" s="23"/>
      <c r="D541" s="23"/>
    </row>
    <row r="542" ht="15.75" customHeight="1">
      <c r="C542" s="23"/>
      <c r="D542" s="23"/>
    </row>
    <row r="543" ht="15.75" customHeight="1">
      <c r="C543" s="23"/>
      <c r="D543" s="23"/>
    </row>
    <row r="544" ht="15.75" customHeight="1">
      <c r="C544" s="23"/>
      <c r="D544" s="23"/>
    </row>
    <row r="545" ht="15.75" customHeight="1">
      <c r="C545" s="23"/>
      <c r="D545" s="23"/>
    </row>
    <row r="546" ht="15.75" customHeight="1">
      <c r="C546" s="23"/>
      <c r="D546" s="23"/>
    </row>
    <row r="547" ht="15.75" customHeight="1">
      <c r="C547" s="23"/>
      <c r="D547" s="23"/>
    </row>
    <row r="548" ht="15.75" customHeight="1">
      <c r="C548" s="23"/>
      <c r="D548" s="23"/>
    </row>
    <row r="549" ht="15.75" customHeight="1">
      <c r="C549" s="23"/>
      <c r="D549" s="23"/>
    </row>
    <row r="550" ht="15.75" customHeight="1">
      <c r="C550" s="23"/>
      <c r="D550" s="23"/>
    </row>
    <row r="551" ht="15.75" customHeight="1">
      <c r="C551" s="23"/>
      <c r="D551" s="23"/>
    </row>
    <row r="552" ht="15.75" customHeight="1">
      <c r="C552" s="23"/>
      <c r="D552" s="23"/>
    </row>
    <row r="553" ht="15.75" customHeight="1">
      <c r="C553" s="23"/>
      <c r="D553" s="23"/>
    </row>
    <row r="554" ht="15.75" customHeight="1">
      <c r="C554" s="23"/>
      <c r="D554" s="23"/>
    </row>
    <row r="555" ht="15.75" customHeight="1">
      <c r="C555" s="23"/>
      <c r="D555" s="23"/>
    </row>
    <row r="556" ht="15.75" customHeight="1">
      <c r="C556" s="23"/>
      <c r="D556" s="23"/>
    </row>
    <row r="557" ht="15.75" customHeight="1">
      <c r="C557" s="23"/>
      <c r="D557" s="23"/>
    </row>
    <row r="558" ht="15.75" customHeight="1">
      <c r="C558" s="23"/>
      <c r="D558" s="23"/>
    </row>
    <row r="559" ht="15.75" customHeight="1">
      <c r="C559" s="23"/>
      <c r="D559" s="23"/>
    </row>
    <row r="560" ht="15.75" customHeight="1">
      <c r="C560" s="23"/>
      <c r="D560" s="23"/>
    </row>
    <row r="561" ht="15.75" customHeight="1">
      <c r="C561" s="23"/>
      <c r="D561" s="23"/>
    </row>
    <row r="562" ht="15.75" customHeight="1">
      <c r="C562" s="23"/>
      <c r="D562" s="23"/>
    </row>
    <row r="563" ht="15.75" customHeight="1">
      <c r="C563" s="23"/>
      <c r="D563" s="23"/>
    </row>
    <row r="564" ht="15.75" customHeight="1">
      <c r="C564" s="23"/>
      <c r="D564" s="23"/>
    </row>
    <row r="565" ht="15.75" customHeight="1">
      <c r="C565" s="23"/>
      <c r="D565" s="23"/>
    </row>
    <row r="566" ht="15.75" customHeight="1">
      <c r="C566" s="23"/>
      <c r="D566" s="23"/>
    </row>
    <row r="567" ht="15.75" customHeight="1">
      <c r="C567" s="23"/>
      <c r="D567" s="23"/>
    </row>
    <row r="568" ht="15.75" customHeight="1">
      <c r="C568" s="23"/>
      <c r="D568" s="23"/>
    </row>
    <row r="569" ht="15.75" customHeight="1">
      <c r="C569" s="23"/>
      <c r="D569" s="23"/>
    </row>
    <row r="570" ht="15.75" customHeight="1">
      <c r="C570" s="23"/>
      <c r="D570" s="23"/>
    </row>
    <row r="571" ht="15.75" customHeight="1">
      <c r="C571" s="23"/>
      <c r="D571" s="23"/>
    </row>
    <row r="572" ht="15.75" customHeight="1">
      <c r="C572" s="23"/>
      <c r="D572" s="23"/>
    </row>
    <row r="573" ht="15.75" customHeight="1">
      <c r="C573" s="23"/>
      <c r="D573" s="23"/>
    </row>
    <row r="574" ht="15.75" customHeight="1">
      <c r="C574" s="23"/>
      <c r="D574" s="23"/>
    </row>
    <row r="575" ht="15.75" customHeight="1">
      <c r="C575" s="23"/>
      <c r="D575" s="23"/>
    </row>
    <row r="576" ht="15.75" customHeight="1">
      <c r="C576" s="23"/>
      <c r="D576" s="23"/>
    </row>
    <row r="577" ht="15.75" customHeight="1">
      <c r="C577" s="23"/>
      <c r="D577" s="23"/>
    </row>
    <row r="578" ht="15.75" customHeight="1">
      <c r="C578" s="23"/>
      <c r="D578" s="23"/>
    </row>
    <row r="579" ht="15.75" customHeight="1">
      <c r="C579" s="23"/>
      <c r="D579" s="23"/>
    </row>
    <row r="580" ht="15.75" customHeight="1">
      <c r="C580" s="23"/>
      <c r="D580" s="23"/>
    </row>
    <row r="581" ht="15.75" customHeight="1">
      <c r="C581" s="23"/>
      <c r="D581" s="23"/>
    </row>
    <row r="582" ht="15.75" customHeight="1">
      <c r="C582" s="23"/>
      <c r="D582" s="23"/>
    </row>
    <row r="583" ht="15.75" customHeight="1">
      <c r="C583" s="23"/>
      <c r="D583" s="23"/>
    </row>
    <row r="584" ht="15.75" customHeight="1">
      <c r="C584" s="23"/>
      <c r="D584" s="23"/>
    </row>
    <row r="585" ht="15.75" customHeight="1">
      <c r="C585" s="23"/>
      <c r="D585" s="23"/>
    </row>
    <row r="586" ht="15.75" customHeight="1">
      <c r="C586" s="23"/>
      <c r="D586" s="23"/>
    </row>
    <row r="587" ht="15.75" customHeight="1">
      <c r="C587" s="23"/>
      <c r="D587" s="23"/>
    </row>
    <row r="588" ht="15.75" customHeight="1">
      <c r="C588" s="23"/>
      <c r="D588" s="23"/>
    </row>
    <row r="589" ht="15.75" customHeight="1">
      <c r="C589" s="23"/>
      <c r="D589" s="23"/>
    </row>
    <row r="590" ht="15.75" customHeight="1">
      <c r="C590" s="23"/>
      <c r="D590" s="23"/>
    </row>
    <row r="591" ht="15.75" customHeight="1">
      <c r="C591" s="23"/>
      <c r="D591" s="23"/>
    </row>
    <row r="592" ht="15.75" customHeight="1">
      <c r="C592" s="23"/>
      <c r="D592" s="23"/>
    </row>
    <row r="593" ht="15.75" customHeight="1">
      <c r="C593" s="23"/>
      <c r="D593" s="23"/>
    </row>
    <row r="594" ht="15.75" customHeight="1">
      <c r="C594" s="23"/>
      <c r="D594" s="23"/>
    </row>
    <row r="595" ht="15.75" customHeight="1">
      <c r="C595" s="23"/>
      <c r="D595" s="23"/>
    </row>
    <row r="596" ht="15.75" customHeight="1">
      <c r="C596" s="23"/>
      <c r="D596" s="23"/>
    </row>
    <row r="597" ht="15.75" customHeight="1">
      <c r="C597" s="23"/>
      <c r="D597" s="23"/>
    </row>
    <row r="598" ht="15.75" customHeight="1">
      <c r="C598" s="23"/>
      <c r="D598" s="23"/>
    </row>
    <row r="599" ht="15.75" customHeight="1">
      <c r="C599" s="23"/>
      <c r="D599" s="23"/>
    </row>
    <row r="600" ht="15.75" customHeight="1">
      <c r="C600" s="23"/>
      <c r="D600" s="23"/>
    </row>
    <row r="601" ht="15.75" customHeight="1">
      <c r="C601" s="23"/>
      <c r="D601" s="23"/>
    </row>
    <row r="602" ht="15.75" customHeight="1">
      <c r="C602" s="23"/>
      <c r="D602" s="23"/>
    </row>
    <row r="603" ht="15.75" customHeight="1">
      <c r="C603" s="23"/>
      <c r="D603" s="23"/>
    </row>
    <row r="604" ht="15.75" customHeight="1">
      <c r="C604" s="23"/>
      <c r="D604" s="23"/>
    </row>
    <row r="605" ht="15.75" customHeight="1">
      <c r="C605" s="23"/>
      <c r="D605" s="23"/>
    </row>
    <row r="606" ht="15.75" customHeight="1">
      <c r="C606" s="23"/>
      <c r="D606" s="23"/>
    </row>
    <row r="607" ht="15.75" customHeight="1">
      <c r="C607" s="23"/>
      <c r="D607" s="23"/>
    </row>
    <row r="608" ht="15.75" customHeight="1">
      <c r="C608" s="23"/>
      <c r="D608" s="23"/>
    </row>
    <row r="609" ht="15.75" customHeight="1">
      <c r="C609" s="23"/>
      <c r="D609" s="23"/>
    </row>
    <row r="610" ht="15.75" customHeight="1">
      <c r="C610" s="23"/>
      <c r="D610" s="23"/>
    </row>
    <row r="611" ht="15.75" customHeight="1">
      <c r="C611" s="23"/>
      <c r="D611" s="23"/>
    </row>
    <row r="612" ht="15.75" customHeight="1">
      <c r="C612" s="23"/>
      <c r="D612" s="23"/>
    </row>
    <row r="613" ht="15.75" customHeight="1">
      <c r="C613" s="23"/>
      <c r="D613" s="23"/>
    </row>
    <row r="614" ht="15.75" customHeight="1">
      <c r="C614" s="23"/>
      <c r="D614" s="23"/>
    </row>
    <row r="615" ht="15.75" customHeight="1">
      <c r="C615" s="23"/>
      <c r="D615" s="23"/>
    </row>
    <row r="616" ht="15.75" customHeight="1">
      <c r="C616" s="23"/>
      <c r="D616" s="23"/>
    </row>
    <row r="617" ht="15.75" customHeight="1">
      <c r="C617" s="23"/>
      <c r="D617" s="23"/>
    </row>
    <row r="618" ht="15.75" customHeight="1">
      <c r="C618" s="23"/>
      <c r="D618" s="23"/>
    </row>
    <row r="619" ht="15.75" customHeight="1">
      <c r="C619" s="23"/>
      <c r="D619" s="23"/>
    </row>
    <row r="620" ht="15.75" customHeight="1">
      <c r="C620" s="23"/>
      <c r="D620" s="23"/>
    </row>
    <row r="621" ht="15.75" customHeight="1">
      <c r="C621" s="23"/>
      <c r="D621" s="23"/>
    </row>
    <row r="622" ht="15.75" customHeight="1">
      <c r="C622" s="23"/>
      <c r="D622" s="23"/>
    </row>
    <row r="623" ht="15.75" customHeight="1">
      <c r="C623" s="23"/>
      <c r="D623" s="23"/>
    </row>
    <row r="624" ht="15.75" customHeight="1">
      <c r="C624" s="23"/>
      <c r="D624" s="23"/>
    </row>
    <row r="625" ht="15.75" customHeight="1">
      <c r="C625" s="23"/>
      <c r="D625" s="23"/>
    </row>
    <row r="626" ht="15.75" customHeight="1">
      <c r="C626" s="23"/>
      <c r="D626" s="23"/>
    </row>
    <row r="627" ht="15.75" customHeight="1">
      <c r="C627" s="23"/>
      <c r="D627" s="23"/>
    </row>
    <row r="628" ht="15.75" customHeight="1">
      <c r="C628" s="23"/>
      <c r="D628" s="23"/>
    </row>
    <row r="629" ht="15.75" customHeight="1">
      <c r="C629" s="23"/>
      <c r="D629" s="23"/>
    </row>
    <row r="630" ht="15.75" customHeight="1">
      <c r="C630" s="23"/>
      <c r="D630" s="23"/>
    </row>
    <row r="631" ht="15.75" customHeight="1">
      <c r="C631" s="23"/>
      <c r="D631" s="23"/>
    </row>
    <row r="632" ht="15.75" customHeight="1">
      <c r="C632" s="23"/>
      <c r="D632" s="23"/>
    </row>
    <row r="633" ht="15.75" customHeight="1">
      <c r="C633" s="23"/>
      <c r="D633" s="23"/>
    </row>
    <row r="634" ht="15.75" customHeight="1">
      <c r="C634" s="23"/>
      <c r="D634" s="23"/>
    </row>
    <row r="635" ht="15.75" customHeight="1">
      <c r="C635" s="23"/>
      <c r="D635" s="23"/>
    </row>
    <row r="636" ht="15.75" customHeight="1">
      <c r="C636" s="23"/>
      <c r="D636" s="23"/>
    </row>
    <row r="637" ht="15.75" customHeight="1">
      <c r="C637" s="23"/>
      <c r="D637" s="23"/>
    </row>
    <row r="638" ht="15.75" customHeight="1">
      <c r="C638" s="23"/>
      <c r="D638" s="23"/>
    </row>
    <row r="639" ht="15.75" customHeight="1">
      <c r="C639" s="23"/>
      <c r="D639" s="23"/>
    </row>
    <row r="640" ht="15.75" customHeight="1">
      <c r="C640" s="23"/>
      <c r="D640" s="23"/>
    </row>
    <row r="641" ht="15.75" customHeight="1">
      <c r="C641" s="23"/>
      <c r="D641" s="23"/>
    </row>
    <row r="642" ht="15.75" customHeight="1">
      <c r="C642" s="23"/>
      <c r="D642" s="23"/>
    </row>
    <row r="643" ht="15.75" customHeight="1">
      <c r="C643" s="23"/>
      <c r="D643" s="23"/>
    </row>
    <row r="644" ht="15.75" customHeight="1">
      <c r="C644" s="23"/>
      <c r="D644" s="23"/>
    </row>
    <row r="645" ht="15.75" customHeight="1">
      <c r="C645" s="23"/>
      <c r="D645" s="23"/>
    </row>
    <row r="646" ht="15.75" customHeight="1">
      <c r="C646" s="23"/>
      <c r="D646" s="23"/>
    </row>
    <row r="647" ht="15.75" customHeight="1">
      <c r="C647" s="23"/>
      <c r="D647" s="23"/>
    </row>
    <row r="648" ht="15.75" customHeight="1">
      <c r="C648" s="23"/>
      <c r="D648" s="23"/>
    </row>
    <row r="649" ht="15.75" customHeight="1">
      <c r="C649" s="23"/>
      <c r="D649" s="23"/>
    </row>
    <row r="650" ht="15.75" customHeight="1">
      <c r="C650" s="23"/>
      <c r="D650" s="23"/>
    </row>
    <row r="651" ht="15.75" customHeight="1">
      <c r="C651" s="23"/>
      <c r="D651" s="23"/>
    </row>
    <row r="652" ht="15.75" customHeight="1">
      <c r="C652" s="23"/>
      <c r="D652" s="23"/>
    </row>
    <row r="653" ht="15.75" customHeight="1">
      <c r="C653" s="23"/>
      <c r="D653" s="23"/>
    </row>
    <row r="654" ht="15.75" customHeight="1">
      <c r="C654" s="23"/>
      <c r="D654" s="23"/>
    </row>
    <row r="655" ht="15.75" customHeight="1">
      <c r="C655" s="23"/>
      <c r="D655" s="23"/>
    </row>
    <row r="656" ht="15.75" customHeight="1">
      <c r="C656" s="23"/>
      <c r="D656" s="23"/>
    </row>
    <row r="657" ht="15.75" customHeight="1">
      <c r="C657" s="23"/>
      <c r="D657" s="23"/>
    </row>
    <row r="658" ht="15.75" customHeight="1">
      <c r="C658" s="23"/>
      <c r="D658" s="23"/>
    </row>
    <row r="659" ht="15.75" customHeight="1">
      <c r="C659" s="23"/>
      <c r="D659" s="23"/>
    </row>
    <row r="660" ht="15.75" customHeight="1">
      <c r="C660" s="23"/>
      <c r="D660" s="23"/>
    </row>
    <row r="661" ht="15.75" customHeight="1">
      <c r="C661" s="23"/>
      <c r="D661" s="23"/>
    </row>
    <row r="662" ht="15.75" customHeight="1">
      <c r="C662" s="23"/>
      <c r="D662" s="23"/>
    </row>
    <row r="663" ht="15.75" customHeight="1">
      <c r="C663" s="23"/>
      <c r="D663" s="23"/>
    </row>
    <row r="664" ht="15.75" customHeight="1">
      <c r="C664" s="23"/>
      <c r="D664" s="23"/>
    </row>
    <row r="665" ht="15.75" customHeight="1">
      <c r="C665" s="23"/>
      <c r="D665" s="23"/>
    </row>
    <row r="666" ht="15.75" customHeight="1">
      <c r="C666" s="23"/>
      <c r="D666" s="23"/>
    </row>
    <row r="667" ht="15.75" customHeight="1">
      <c r="C667" s="23"/>
      <c r="D667" s="23"/>
    </row>
    <row r="668" ht="15.75" customHeight="1">
      <c r="C668" s="23"/>
      <c r="D668" s="23"/>
    </row>
    <row r="669" ht="15.75" customHeight="1">
      <c r="C669" s="23"/>
      <c r="D669" s="23"/>
    </row>
    <row r="670" ht="15.75" customHeight="1">
      <c r="C670" s="23"/>
      <c r="D670" s="23"/>
    </row>
    <row r="671" ht="15.75" customHeight="1">
      <c r="C671" s="23"/>
      <c r="D671" s="23"/>
    </row>
    <row r="672" ht="15.75" customHeight="1">
      <c r="C672" s="23"/>
      <c r="D672" s="23"/>
    </row>
    <row r="673" ht="15.75" customHeight="1">
      <c r="C673" s="23"/>
      <c r="D673" s="23"/>
    </row>
    <row r="674" ht="15.75" customHeight="1">
      <c r="C674" s="23"/>
      <c r="D674" s="23"/>
    </row>
    <row r="675" ht="15.75" customHeight="1">
      <c r="C675" s="23"/>
      <c r="D675" s="23"/>
    </row>
    <row r="676" ht="15.75" customHeight="1">
      <c r="C676" s="23"/>
      <c r="D676" s="23"/>
    </row>
    <row r="677" ht="15.75" customHeight="1">
      <c r="C677" s="23"/>
      <c r="D677" s="23"/>
    </row>
    <row r="678" ht="15.75" customHeight="1">
      <c r="C678" s="23"/>
      <c r="D678" s="23"/>
    </row>
    <row r="679" ht="15.75" customHeight="1">
      <c r="C679" s="23"/>
      <c r="D679" s="23"/>
    </row>
    <row r="680" ht="15.75" customHeight="1">
      <c r="C680" s="23"/>
      <c r="D680" s="23"/>
    </row>
    <row r="681" ht="15.75" customHeight="1">
      <c r="C681" s="23"/>
      <c r="D681" s="23"/>
    </row>
    <row r="682" ht="15.75" customHeight="1">
      <c r="C682" s="23"/>
      <c r="D682" s="23"/>
    </row>
    <row r="683" ht="15.75" customHeight="1">
      <c r="C683" s="23"/>
      <c r="D683" s="23"/>
    </row>
    <row r="684" ht="15.75" customHeight="1">
      <c r="C684" s="23"/>
      <c r="D684" s="23"/>
    </row>
    <row r="685" ht="15.75" customHeight="1">
      <c r="C685" s="23"/>
      <c r="D685" s="23"/>
    </row>
    <row r="686" ht="15.75" customHeight="1">
      <c r="C686" s="23"/>
      <c r="D686" s="23"/>
    </row>
    <row r="687" ht="15.75" customHeight="1">
      <c r="C687" s="23"/>
      <c r="D687" s="23"/>
    </row>
    <row r="688" ht="15.75" customHeight="1">
      <c r="C688" s="23"/>
      <c r="D688" s="23"/>
    </row>
    <row r="689" ht="15.75" customHeight="1">
      <c r="C689" s="23"/>
      <c r="D689" s="23"/>
    </row>
    <row r="690" ht="15.75" customHeight="1">
      <c r="C690" s="23"/>
      <c r="D690" s="23"/>
    </row>
    <row r="691" ht="15.75" customHeight="1">
      <c r="C691" s="23"/>
      <c r="D691" s="23"/>
    </row>
    <row r="692" ht="15.75" customHeight="1">
      <c r="C692" s="23"/>
      <c r="D692" s="23"/>
    </row>
    <row r="693" ht="15.75" customHeight="1">
      <c r="C693" s="23"/>
      <c r="D693" s="23"/>
    </row>
    <row r="694" ht="15.75" customHeight="1">
      <c r="C694" s="23"/>
      <c r="D694" s="23"/>
    </row>
    <row r="695" ht="15.75" customHeight="1">
      <c r="C695" s="23"/>
      <c r="D695" s="23"/>
    </row>
    <row r="696" ht="15.75" customHeight="1">
      <c r="C696" s="23"/>
      <c r="D696" s="23"/>
    </row>
    <row r="697" ht="15.75" customHeight="1">
      <c r="C697" s="23"/>
      <c r="D697" s="23"/>
    </row>
    <row r="698" ht="15.75" customHeight="1">
      <c r="C698" s="23"/>
      <c r="D698" s="23"/>
    </row>
    <row r="699" ht="15.75" customHeight="1">
      <c r="C699" s="23"/>
      <c r="D699" s="23"/>
    </row>
    <row r="700" ht="15.75" customHeight="1">
      <c r="C700" s="23"/>
      <c r="D700" s="23"/>
    </row>
    <row r="701" ht="15.75" customHeight="1">
      <c r="C701" s="23"/>
      <c r="D701" s="23"/>
    </row>
    <row r="702" ht="15.75" customHeight="1">
      <c r="C702" s="23"/>
      <c r="D702" s="23"/>
    </row>
    <row r="703" ht="15.75" customHeight="1">
      <c r="C703" s="23"/>
      <c r="D703" s="23"/>
    </row>
    <row r="704" ht="15.75" customHeight="1">
      <c r="C704" s="23"/>
      <c r="D704" s="23"/>
    </row>
    <row r="705" ht="15.75" customHeight="1">
      <c r="C705" s="23"/>
      <c r="D705" s="23"/>
    </row>
    <row r="706" ht="15.75" customHeight="1">
      <c r="C706" s="23"/>
      <c r="D706" s="23"/>
    </row>
    <row r="707" ht="15.75" customHeight="1">
      <c r="C707" s="23"/>
      <c r="D707" s="23"/>
    </row>
    <row r="708" ht="15.75" customHeight="1">
      <c r="C708" s="23"/>
      <c r="D708" s="23"/>
    </row>
    <row r="709" ht="15.75" customHeight="1">
      <c r="C709" s="23"/>
      <c r="D709" s="23"/>
    </row>
    <row r="710" ht="15.75" customHeight="1">
      <c r="C710" s="23"/>
      <c r="D710" s="23"/>
    </row>
    <row r="711" ht="15.75" customHeight="1">
      <c r="C711" s="23"/>
      <c r="D711" s="23"/>
    </row>
    <row r="712" ht="15.75" customHeight="1">
      <c r="C712" s="23"/>
      <c r="D712" s="23"/>
    </row>
    <row r="713" ht="15.75" customHeight="1">
      <c r="C713" s="23"/>
      <c r="D713" s="23"/>
    </row>
    <row r="714" ht="15.75" customHeight="1">
      <c r="C714" s="23"/>
      <c r="D714" s="23"/>
    </row>
    <row r="715" ht="15.75" customHeight="1">
      <c r="C715" s="23"/>
      <c r="D715" s="23"/>
    </row>
    <row r="716" ht="15.75" customHeight="1">
      <c r="C716" s="23"/>
      <c r="D716" s="23"/>
    </row>
    <row r="717" ht="15.75" customHeight="1">
      <c r="C717" s="23"/>
      <c r="D717" s="23"/>
    </row>
    <row r="718" ht="15.75" customHeight="1">
      <c r="C718" s="23"/>
      <c r="D718" s="23"/>
    </row>
    <row r="719" ht="15.75" customHeight="1">
      <c r="C719" s="23"/>
      <c r="D719" s="23"/>
    </row>
    <row r="720" ht="15.75" customHeight="1">
      <c r="C720" s="23"/>
      <c r="D720" s="23"/>
    </row>
    <row r="721" ht="15.75" customHeight="1">
      <c r="C721" s="23"/>
      <c r="D721" s="23"/>
    </row>
    <row r="722" ht="15.75" customHeight="1">
      <c r="C722" s="23"/>
      <c r="D722" s="23"/>
    </row>
    <row r="723" ht="15.75" customHeight="1">
      <c r="C723" s="23"/>
      <c r="D723" s="23"/>
    </row>
    <row r="724" ht="15.75" customHeight="1">
      <c r="C724" s="23"/>
      <c r="D724" s="23"/>
    </row>
    <row r="725" ht="15.75" customHeight="1">
      <c r="C725" s="23"/>
      <c r="D725" s="23"/>
    </row>
    <row r="726" ht="15.75" customHeight="1">
      <c r="C726" s="23"/>
      <c r="D726" s="23"/>
    </row>
    <row r="727" ht="15.75" customHeight="1">
      <c r="C727" s="23"/>
      <c r="D727" s="23"/>
    </row>
    <row r="728" ht="15.75" customHeight="1">
      <c r="C728" s="23"/>
      <c r="D728" s="23"/>
    </row>
    <row r="729" ht="15.75" customHeight="1">
      <c r="C729" s="23"/>
      <c r="D729" s="23"/>
    </row>
    <row r="730" ht="15.75" customHeight="1">
      <c r="C730" s="23"/>
      <c r="D730" s="23"/>
    </row>
    <row r="731" ht="15.75" customHeight="1">
      <c r="C731" s="23"/>
      <c r="D731" s="23"/>
    </row>
    <row r="732" ht="15.75" customHeight="1">
      <c r="C732" s="23"/>
      <c r="D732" s="23"/>
    </row>
    <row r="733" ht="15.75" customHeight="1">
      <c r="C733" s="23"/>
      <c r="D733" s="23"/>
    </row>
    <row r="734" ht="15.75" customHeight="1">
      <c r="C734" s="23"/>
      <c r="D734" s="23"/>
    </row>
    <row r="735" ht="15.75" customHeight="1">
      <c r="C735" s="23"/>
      <c r="D735" s="23"/>
    </row>
    <row r="736" ht="15.75" customHeight="1">
      <c r="C736" s="23"/>
      <c r="D736" s="23"/>
    </row>
    <row r="737" ht="15.75" customHeight="1">
      <c r="C737" s="23"/>
      <c r="D737" s="23"/>
    </row>
    <row r="738" ht="15.75" customHeight="1">
      <c r="C738" s="23"/>
      <c r="D738" s="23"/>
    </row>
    <row r="739" ht="15.75" customHeight="1">
      <c r="C739" s="23"/>
      <c r="D739" s="23"/>
    </row>
    <row r="740" ht="15.75" customHeight="1">
      <c r="C740" s="23"/>
      <c r="D740" s="23"/>
    </row>
    <row r="741" ht="15.75" customHeight="1">
      <c r="C741" s="23"/>
      <c r="D741" s="23"/>
    </row>
    <row r="742" ht="15.75" customHeight="1">
      <c r="C742" s="23"/>
      <c r="D742" s="23"/>
    </row>
    <row r="743" ht="15.75" customHeight="1">
      <c r="C743" s="23"/>
      <c r="D743" s="23"/>
    </row>
    <row r="744" ht="15.75" customHeight="1">
      <c r="C744" s="23"/>
      <c r="D744" s="23"/>
    </row>
    <row r="745" ht="15.75" customHeight="1">
      <c r="C745" s="23"/>
      <c r="D745" s="23"/>
    </row>
    <row r="746" ht="15.75" customHeight="1">
      <c r="C746" s="23"/>
      <c r="D746" s="23"/>
    </row>
    <row r="747" ht="15.75" customHeight="1">
      <c r="C747" s="23"/>
      <c r="D747" s="23"/>
    </row>
    <row r="748" ht="15.75" customHeight="1">
      <c r="C748" s="23"/>
      <c r="D748" s="23"/>
    </row>
    <row r="749" ht="15.75" customHeight="1">
      <c r="C749" s="23"/>
      <c r="D749" s="23"/>
    </row>
    <row r="750" ht="15.75" customHeight="1">
      <c r="C750" s="23"/>
      <c r="D750" s="23"/>
    </row>
    <row r="751" ht="15.75" customHeight="1">
      <c r="C751" s="23"/>
      <c r="D751" s="23"/>
    </row>
    <row r="752" ht="15.75" customHeight="1">
      <c r="C752" s="23"/>
      <c r="D752" s="23"/>
    </row>
    <row r="753" ht="15.75" customHeight="1">
      <c r="C753" s="23"/>
      <c r="D753" s="23"/>
    </row>
    <row r="754" ht="15.75" customHeight="1">
      <c r="C754" s="23"/>
      <c r="D754" s="23"/>
    </row>
    <row r="755" ht="15.75" customHeight="1">
      <c r="C755" s="23"/>
      <c r="D755" s="23"/>
    </row>
    <row r="756" ht="15.75" customHeight="1">
      <c r="C756" s="23"/>
      <c r="D756" s="23"/>
    </row>
    <row r="757" ht="15.75" customHeight="1">
      <c r="C757" s="23"/>
      <c r="D757" s="23"/>
    </row>
    <row r="758" ht="15.75" customHeight="1">
      <c r="C758" s="23"/>
      <c r="D758" s="23"/>
    </row>
    <row r="759" ht="15.75" customHeight="1">
      <c r="C759" s="23"/>
      <c r="D759" s="23"/>
    </row>
    <row r="760" ht="15.75" customHeight="1">
      <c r="C760" s="23"/>
      <c r="D760" s="23"/>
    </row>
    <row r="761" ht="15.75" customHeight="1">
      <c r="C761" s="23"/>
      <c r="D761" s="23"/>
    </row>
    <row r="762" ht="15.75" customHeight="1">
      <c r="C762" s="23"/>
      <c r="D762" s="23"/>
    </row>
    <row r="763" ht="15.75" customHeight="1">
      <c r="C763" s="23"/>
      <c r="D763" s="23"/>
    </row>
    <row r="764" ht="15.75" customHeight="1">
      <c r="C764" s="23"/>
      <c r="D764" s="23"/>
    </row>
    <row r="765" ht="15.75" customHeight="1">
      <c r="C765" s="23"/>
      <c r="D765" s="23"/>
    </row>
    <row r="766" ht="15.75" customHeight="1">
      <c r="C766" s="23"/>
      <c r="D766" s="23"/>
    </row>
    <row r="767" ht="15.75" customHeight="1">
      <c r="C767" s="23"/>
      <c r="D767" s="23"/>
    </row>
    <row r="768" ht="15.75" customHeight="1">
      <c r="C768" s="23"/>
      <c r="D768" s="23"/>
    </row>
    <row r="769" ht="15.75" customHeight="1">
      <c r="C769" s="23"/>
      <c r="D769" s="23"/>
    </row>
    <row r="770" ht="15.75" customHeight="1">
      <c r="C770" s="23"/>
      <c r="D770" s="23"/>
    </row>
    <row r="771" ht="15.75" customHeight="1">
      <c r="C771" s="23"/>
      <c r="D771" s="23"/>
    </row>
    <row r="772" ht="15.75" customHeight="1">
      <c r="C772" s="23"/>
      <c r="D772" s="23"/>
    </row>
    <row r="773" ht="15.75" customHeight="1">
      <c r="C773" s="23"/>
      <c r="D773" s="23"/>
    </row>
    <row r="774" ht="15.75" customHeight="1">
      <c r="C774" s="23"/>
      <c r="D774" s="23"/>
    </row>
    <row r="775" ht="15.75" customHeight="1">
      <c r="C775" s="23"/>
      <c r="D775" s="23"/>
    </row>
    <row r="776" ht="15.75" customHeight="1">
      <c r="C776" s="23"/>
      <c r="D776" s="23"/>
    </row>
    <row r="777" ht="15.75" customHeight="1">
      <c r="C777" s="23"/>
      <c r="D777" s="23"/>
    </row>
    <row r="778" ht="15.75" customHeight="1">
      <c r="C778" s="23"/>
      <c r="D778" s="23"/>
    </row>
    <row r="779" ht="15.75" customHeight="1">
      <c r="C779" s="23"/>
      <c r="D779" s="23"/>
    </row>
    <row r="780" ht="15.75" customHeight="1">
      <c r="C780" s="23"/>
      <c r="D780" s="23"/>
    </row>
    <row r="781" ht="15.75" customHeight="1">
      <c r="C781" s="23"/>
      <c r="D781" s="23"/>
    </row>
    <row r="782" ht="15.75" customHeight="1">
      <c r="C782" s="23"/>
      <c r="D782" s="23"/>
    </row>
    <row r="783" ht="15.75" customHeight="1">
      <c r="C783" s="23"/>
      <c r="D783" s="23"/>
    </row>
    <row r="784" ht="15.75" customHeight="1">
      <c r="C784" s="23"/>
      <c r="D784" s="23"/>
    </row>
    <row r="785" ht="15.75" customHeight="1">
      <c r="C785" s="23"/>
      <c r="D785" s="23"/>
    </row>
    <row r="786" ht="15.75" customHeight="1">
      <c r="C786" s="23"/>
      <c r="D786" s="23"/>
    </row>
    <row r="787" ht="15.75" customHeight="1">
      <c r="C787" s="23"/>
      <c r="D787" s="23"/>
    </row>
    <row r="788" ht="15.75" customHeight="1">
      <c r="C788" s="23"/>
      <c r="D788" s="23"/>
    </row>
    <row r="789" ht="15.75" customHeight="1">
      <c r="C789" s="23"/>
      <c r="D789" s="23"/>
    </row>
    <row r="790" ht="15.75" customHeight="1">
      <c r="C790" s="23"/>
      <c r="D790" s="23"/>
    </row>
    <row r="791" ht="15.75" customHeight="1">
      <c r="C791" s="23"/>
      <c r="D791" s="23"/>
    </row>
    <row r="792" ht="15.75" customHeight="1">
      <c r="C792" s="23"/>
      <c r="D792" s="23"/>
    </row>
    <row r="793" ht="15.75" customHeight="1">
      <c r="C793" s="23"/>
      <c r="D793" s="23"/>
    </row>
    <row r="794" ht="15.75" customHeight="1">
      <c r="C794" s="23"/>
      <c r="D794" s="23"/>
    </row>
    <row r="795" ht="15.75" customHeight="1">
      <c r="C795" s="23"/>
      <c r="D795" s="23"/>
    </row>
    <row r="796" ht="15.75" customHeight="1">
      <c r="C796" s="23"/>
      <c r="D796" s="23"/>
    </row>
    <row r="797" ht="15.75" customHeight="1">
      <c r="C797" s="23"/>
      <c r="D797" s="23"/>
    </row>
    <row r="798" ht="15.75" customHeight="1">
      <c r="C798" s="23"/>
      <c r="D798" s="23"/>
    </row>
    <row r="799" ht="15.75" customHeight="1">
      <c r="C799" s="23"/>
      <c r="D799" s="23"/>
    </row>
    <row r="800" ht="15.75" customHeight="1">
      <c r="C800" s="23"/>
      <c r="D800" s="23"/>
    </row>
    <row r="801" ht="15.75" customHeight="1">
      <c r="C801" s="23"/>
      <c r="D801" s="23"/>
    </row>
    <row r="802" ht="15.75" customHeight="1">
      <c r="C802" s="23"/>
      <c r="D802" s="23"/>
    </row>
    <row r="803" ht="15.75" customHeight="1">
      <c r="C803" s="23"/>
      <c r="D803" s="23"/>
    </row>
    <row r="804" ht="15.75" customHeight="1">
      <c r="C804" s="23"/>
      <c r="D804" s="23"/>
    </row>
    <row r="805" ht="15.75" customHeight="1">
      <c r="C805" s="23"/>
      <c r="D805" s="23"/>
    </row>
    <row r="806" ht="15.75" customHeight="1">
      <c r="C806" s="23"/>
      <c r="D806" s="23"/>
    </row>
    <row r="807" ht="15.75" customHeight="1">
      <c r="C807" s="23"/>
      <c r="D807" s="23"/>
    </row>
    <row r="808" ht="15.75" customHeight="1">
      <c r="C808" s="23"/>
      <c r="D808" s="23"/>
    </row>
    <row r="809" ht="15.75" customHeight="1">
      <c r="C809" s="23"/>
      <c r="D809" s="23"/>
    </row>
    <row r="810" ht="15.75" customHeight="1">
      <c r="C810" s="23"/>
      <c r="D810" s="23"/>
    </row>
    <row r="811" ht="15.75" customHeight="1">
      <c r="C811" s="23"/>
      <c r="D811" s="23"/>
    </row>
    <row r="812" ht="15.75" customHeight="1">
      <c r="C812" s="23"/>
      <c r="D812" s="23"/>
    </row>
    <row r="813" ht="15.75" customHeight="1">
      <c r="C813" s="23"/>
      <c r="D813" s="23"/>
    </row>
    <row r="814" ht="15.75" customHeight="1">
      <c r="C814" s="23"/>
      <c r="D814" s="23"/>
    </row>
    <row r="815" ht="15.75" customHeight="1">
      <c r="C815" s="23"/>
      <c r="D815" s="23"/>
    </row>
    <row r="816" ht="15.75" customHeight="1">
      <c r="C816" s="23"/>
      <c r="D816" s="23"/>
    </row>
    <row r="817" ht="15.75" customHeight="1">
      <c r="C817" s="23"/>
      <c r="D817" s="23"/>
    </row>
    <row r="818" ht="15.75" customHeight="1">
      <c r="C818" s="23"/>
      <c r="D818" s="23"/>
    </row>
    <row r="819" ht="15.75" customHeight="1">
      <c r="C819" s="23"/>
      <c r="D819" s="23"/>
    </row>
    <row r="820" ht="15.75" customHeight="1">
      <c r="C820" s="23"/>
      <c r="D820" s="23"/>
    </row>
    <row r="821" ht="15.75" customHeight="1">
      <c r="C821" s="23"/>
      <c r="D821" s="23"/>
    </row>
    <row r="822" ht="15.75" customHeight="1">
      <c r="C822" s="23"/>
      <c r="D822" s="23"/>
    </row>
    <row r="823" ht="15.75" customHeight="1">
      <c r="C823" s="23"/>
      <c r="D823" s="23"/>
    </row>
    <row r="824" ht="15.75" customHeight="1">
      <c r="C824" s="23"/>
      <c r="D824" s="23"/>
    </row>
    <row r="825" ht="15.75" customHeight="1">
      <c r="C825" s="23"/>
      <c r="D825" s="23"/>
    </row>
    <row r="826" ht="15.75" customHeight="1">
      <c r="C826" s="23"/>
      <c r="D826" s="23"/>
    </row>
    <row r="827" ht="15.75" customHeight="1">
      <c r="C827" s="23"/>
      <c r="D827" s="23"/>
    </row>
    <row r="828" ht="15.75" customHeight="1">
      <c r="C828" s="23"/>
      <c r="D828" s="23"/>
    </row>
    <row r="829" ht="15.75" customHeight="1">
      <c r="C829" s="23"/>
      <c r="D829" s="23"/>
    </row>
    <row r="830" ht="15.75" customHeight="1">
      <c r="C830" s="23"/>
      <c r="D830" s="23"/>
    </row>
    <row r="831" ht="15.75" customHeight="1">
      <c r="C831" s="23"/>
      <c r="D831" s="23"/>
    </row>
    <row r="832" ht="15.75" customHeight="1">
      <c r="C832" s="23"/>
      <c r="D832" s="23"/>
    </row>
    <row r="833" ht="15.75" customHeight="1">
      <c r="C833" s="23"/>
      <c r="D833" s="23"/>
    </row>
    <row r="834" ht="15.75" customHeight="1">
      <c r="C834" s="23"/>
      <c r="D834" s="23"/>
    </row>
    <row r="835" ht="15.75" customHeight="1">
      <c r="C835" s="23"/>
      <c r="D835" s="23"/>
    </row>
    <row r="836" ht="15.75" customHeight="1">
      <c r="C836" s="23"/>
      <c r="D836" s="23"/>
    </row>
    <row r="837" ht="15.75" customHeight="1">
      <c r="C837" s="23"/>
      <c r="D837" s="23"/>
    </row>
    <row r="838" ht="15.75" customHeight="1">
      <c r="C838" s="23"/>
      <c r="D838" s="23"/>
    </row>
    <row r="839" ht="15.75" customHeight="1">
      <c r="C839" s="23"/>
      <c r="D839" s="23"/>
    </row>
    <row r="840" ht="15.75" customHeight="1">
      <c r="C840" s="23"/>
      <c r="D840" s="23"/>
    </row>
    <row r="841" ht="15.75" customHeight="1">
      <c r="C841" s="23"/>
      <c r="D841" s="23"/>
    </row>
    <row r="842" ht="15.75" customHeight="1">
      <c r="C842" s="23"/>
      <c r="D842" s="23"/>
    </row>
    <row r="843" ht="15.75" customHeight="1">
      <c r="C843" s="23"/>
      <c r="D843" s="23"/>
    </row>
    <row r="844" ht="15.75" customHeight="1">
      <c r="C844" s="23"/>
      <c r="D844" s="23"/>
    </row>
    <row r="845" ht="15.75" customHeight="1">
      <c r="C845" s="23"/>
      <c r="D845" s="23"/>
    </row>
    <row r="846" ht="15.75" customHeight="1">
      <c r="C846" s="23"/>
      <c r="D846" s="23"/>
    </row>
    <row r="847" ht="15.75" customHeight="1">
      <c r="C847" s="23"/>
      <c r="D847" s="23"/>
    </row>
    <row r="848" ht="15.75" customHeight="1">
      <c r="C848" s="23"/>
      <c r="D848" s="23"/>
    </row>
    <row r="849" ht="15.75" customHeight="1">
      <c r="C849" s="23"/>
      <c r="D849" s="23"/>
    </row>
    <row r="850" ht="15.75" customHeight="1">
      <c r="C850" s="23"/>
      <c r="D850" s="23"/>
    </row>
    <row r="851" ht="15.75" customHeight="1">
      <c r="C851" s="23"/>
      <c r="D851" s="23"/>
    </row>
    <row r="852" ht="15.75" customHeight="1">
      <c r="C852" s="23"/>
      <c r="D852" s="23"/>
    </row>
    <row r="853" ht="15.75" customHeight="1">
      <c r="C853" s="23"/>
      <c r="D853" s="23"/>
    </row>
    <row r="854" ht="15.75" customHeight="1">
      <c r="C854" s="23"/>
      <c r="D854" s="23"/>
    </row>
    <row r="855" ht="15.75" customHeight="1">
      <c r="C855" s="23"/>
      <c r="D855" s="23"/>
    </row>
    <row r="856" ht="15.75" customHeight="1">
      <c r="C856" s="23"/>
      <c r="D856" s="23"/>
    </row>
    <row r="857" ht="15.75" customHeight="1">
      <c r="C857" s="23"/>
      <c r="D857" s="23"/>
    </row>
    <row r="858" ht="15.75" customHeight="1">
      <c r="C858" s="23"/>
      <c r="D858" s="23"/>
    </row>
    <row r="859" ht="15.75" customHeight="1">
      <c r="C859" s="23"/>
      <c r="D859" s="23"/>
    </row>
    <row r="860" ht="15.75" customHeight="1">
      <c r="C860" s="23"/>
      <c r="D860" s="23"/>
    </row>
    <row r="861" ht="15.75" customHeight="1">
      <c r="C861" s="23"/>
      <c r="D861" s="23"/>
    </row>
    <row r="862" ht="15.75" customHeight="1">
      <c r="C862" s="23"/>
      <c r="D862" s="23"/>
    </row>
    <row r="863" ht="15.75" customHeight="1">
      <c r="C863" s="23"/>
      <c r="D863" s="23"/>
    </row>
    <row r="864" ht="15.75" customHeight="1">
      <c r="C864" s="23"/>
      <c r="D864" s="23"/>
    </row>
    <row r="865" ht="15.75" customHeight="1">
      <c r="C865" s="23"/>
      <c r="D865" s="23"/>
    </row>
    <row r="866" ht="15.75" customHeight="1">
      <c r="C866" s="23"/>
      <c r="D866" s="23"/>
    </row>
    <row r="867" ht="15.75" customHeight="1">
      <c r="C867" s="23"/>
      <c r="D867" s="23"/>
    </row>
    <row r="868" ht="15.75" customHeight="1">
      <c r="C868" s="23"/>
      <c r="D868" s="23"/>
    </row>
    <row r="869" ht="15.75" customHeight="1">
      <c r="C869" s="23"/>
      <c r="D869" s="23"/>
    </row>
    <row r="870" ht="15.75" customHeight="1">
      <c r="C870" s="23"/>
      <c r="D870" s="23"/>
    </row>
    <row r="871" ht="15.75" customHeight="1">
      <c r="C871" s="23"/>
      <c r="D871" s="23"/>
    </row>
    <row r="872" ht="15.75" customHeight="1">
      <c r="C872" s="23"/>
      <c r="D872" s="23"/>
    </row>
    <row r="873" ht="15.75" customHeight="1">
      <c r="C873" s="23"/>
      <c r="D873" s="23"/>
    </row>
    <row r="874" ht="15.75" customHeight="1">
      <c r="C874" s="23"/>
      <c r="D874" s="23"/>
    </row>
    <row r="875" ht="15.75" customHeight="1">
      <c r="C875" s="23"/>
      <c r="D875" s="23"/>
    </row>
    <row r="876" ht="15.75" customHeight="1">
      <c r="C876" s="23"/>
      <c r="D876" s="23"/>
    </row>
    <row r="877" ht="15.75" customHeight="1">
      <c r="C877" s="23"/>
      <c r="D877" s="23"/>
    </row>
    <row r="878" ht="15.75" customHeight="1">
      <c r="C878" s="23"/>
      <c r="D878" s="23"/>
    </row>
    <row r="879" ht="15.75" customHeight="1">
      <c r="C879" s="23"/>
      <c r="D879" s="23"/>
    </row>
    <row r="880" ht="15.75" customHeight="1">
      <c r="C880" s="23"/>
      <c r="D880" s="23"/>
    </row>
    <row r="881" ht="15.75" customHeight="1">
      <c r="C881" s="23"/>
      <c r="D881" s="23"/>
    </row>
    <row r="882" ht="15.75" customHeight="1">
      <c r="C882" s="23"/>
      <c r="D882" s="23"/>
    </row>
    <row r="883" ht="15.75" customHeight="1">
      <c r="C883" s="23"/>
      <c r="D883" s="23"/>
    </row>
    <row r="884" ht="15.75" customHeight="1">
      <c r="C884" s="23"/>
      <c r="D884" s="23"/>
    </row>
    <row r="885" ht="15.75" customHeight="1">
      <c r="C885" s="23"/>
      <c r="D885" s="23"/>
    </row>
    <row r="886" ht="15.75" customHeight="1">
      <c r="C886" s="23"/>
      <c r="D886" s="23"/>
    </row>
    <row r="887" ht="15.75" customHeight="1">
      <c r="C887" s="23"/>
      <c r="D887" s="23"/>
    </row>
    <row r="888" ht="15.75" customHeight="1">
      <c r="C888" s="23"/>
      <c r="D888" s="23"/>
    </row>
    <row r="889" ht="15.75" customHeight="1">
      <c r="C889" s="23"/>
      <c r="D889" s="23"/>
    </row>
    <row r="890" ht="15.75" customHeight="1">
      <c r="C890" s="23"/>
      <c r="D890" s="23"/>
    </row>
    <row r="891" ht="15.75" customHeight="1">
      <c r="C891" s="23"/>
      <c r="D891" s="23"/>
    </row>
    <row r="892" ht="15.75" customHeight="1">
      <c r="C892" s="23"/>
      <c r="D892" s="23"/>
    </row>
    <row r="893" ht="15.75" customHeight="1">
      <c r="C893" s="23"/>
      <c r="D893" s="23"/>
    </row>
    <row r="894" ht="15.75" customHeight="1">
      <c r="C894" s="23"/>
      <c r="D894" s="23"/>
    </row>
    <row r="895" ht="15.75" customHeight="1">
      <c r="C895" s="23"/>
      <c r="D895" s="23"/>
    </row>
    <row r="896" ht="15.75" customHeight="1">
      <c r="C896" s="23"/>
      <c r="D896" s="23"/>
    </row>
    <row r="897" ht="15.75" customHeight="1">
      <c r="C897" s="23"/>
      <c r="D897" s="23"/>
    </row>
    <row r="898" ht="15.75" customHeight="1">
      <c r="C898" s="23"/>
      <c r="D898" s="23"/>
    </row>
    <row r="899" ht="15.75" customHeight="1">
      <c r="C899" s="23"/>
      <c r="D899" s="23"/>
    </row>
    <row r="900" ht="15.75" customHeight="1">
      <c r="C900" s="23"/>
      <c r="D900" s="23"/>
    </row>
    <row r="901" ht="15.75" customHeight="1">
      <c r="C901" s="23"/>
      <c r="D901" s="23"/>
    </row>
    <row r="902" ht="15.75" customHeight="1">
      <c r="C902" s="23"/>
      <c r="D902" s="23"/>
    </row>
    <row r="903" ht="15.75" customHeight="1">
      <c r="C903" s="23"/>
      <c r="D903" s="23"/>
    </row>
    <row r="904" ht="15.75" customHeight="1">
      <c r="C904" s="23"/>
      <c r="D904" s="23"/>
    </row>
    <row r="905" ht="15.75" customHeight="1">
      <c r="C905" s="23"/>
      <c r="D905" s="23"/>
    </row>
    <row r="906" ht="15.75" customHeight="1">
      <c r="C906" s="23"/>
      <c r="D906" s="23"/>
    </row>
    <row r="907" ht="15.75" customHeight="1">
      <c r="C907" s="23"/>
      <c r="D907" s="23"/>
    </row>
    <row r="908" ht="15.75" customHeight="1">
      <c r="C908" s="23"/>
      <c r="D908" s="23"/>
    </row>
    <row r="909" ht="15.75" customHeight="1">
      <c r="C909" s="23"/>
      <c r="D909" s="23"/>
    </row>
    <row r="910" ht="15.75" customHeight="1">
      <c r="C910" s="23"/>
      <c r="D910" s="23"/>
    </row>
    <row r="911" ht="15.75" customHeight="1">
      <c r="C911" s="23"/>
      <c r="D911" s="23"/>
    </row>
    <row r="912" ht="15.75" customHeight="1">
      <c r="C912" s="23"/>
      <c r="D912" s="23"/>
    </row>
    <row r="913" ht="15.75" customHeight="1">
      <c r="C913" s="23"/>
      <c r="D913" s="23"/>
    </row>
    <row r="914" ht="15.75" customHeight="1">
      <c r="C914" s="23"/>
      <c r="D914" s="23"/>
    </row>
    <row r="915" ht="15.75" customHeight="1">
      <c r="C915" s="23"/>
      <c r="D915" s="23"/>
    </row>
    <row r="916" ht="15.75" customHeight="1">
      <c r="C916" s="23"/>
      <c r="D916" s="23"/>
    </row>
    <row r="917" ht="15.75" customHeight="1">
      <c r="C917" s="23"/>
      <c r="D917" s="23"/>
    </row>
    <row r="918" ht="15.75" customHeight="1">
      <c r="C918" s="23"/>
      <c r="D918" s="23"/>
    </row>
    <row r="919" ht="15.75" customHeight="1">
      <c r="C919" s="23"/>
      <c r="D919" s="23"/>
    </row>
    <row r="920" ht="15.75" customHeight="1">
      <c r="C920" s="23"/>
      <c r="D920" s="23"/>
    </row>
    <row r="921" ht="15.75" customHeight="1">
      <c r="C921" s="23"/>
      <c r="D921" s="23"/>
    </row>
    <row r="922" ht="15.75" customHeight="1">
      <c r="C922" s="23"/>
      <c r="D922" s="23"/>
    </row>
    <row r="923" ht="15.75" customHeight="1">
      <c r="C923" s="23"/>
      <c r="D923" s="23"/>
    </row>
    <row r="924" ht="15.75" customHeight="1">
      <c r="C924" s="23"/>
      <c r="D924" s="23"/>
    </row>
    <row r="925" ht="15.75" customHeight="1">
      <c r="C925" s="23"/>
      <c r="D925" s="23"/>
    </row>
    <row r="926" ht="15.75" customHeight="1">
      <c r="C926" s="23"/>
      <c r="D926" s="23"/>
    </row>
    <row r="927" ht="15.75" customHeight="1">
      <c r="C927" s="23"/>
      <c r="D927" s="23"/>
    </row>
    <row r="928" ht="15.75" customHeight="1">
      <c r="C928" s="23"/>
      <c r="D928" s="23"/>
    </row>
    <row r="929" ht="15.75" customHeight="1">
      <c r="C929" s="23"/>
      <c r="D929" s="23"/>
    </row>
    <row r="930" ht="15.75" customHeight="1">
      <c r="C930" s="23"/>
      <c r="D930" s="23"/>
    </row>
    <row r="931" ht="15.75" customHeight="1">
      <c r="C931" s="23"/>
      <c r="D931" s="23"/>
    </row>
    <row r="932" ht="15.75" customHeight="1">
      <c r="C932" s="23"/>
      <c r="D932" s="23"/>
    </row>
    <row r="933" ht="15.75" customHeight="1">
      <c r="C933" s="23"/>
      <c r="D933" s="23"/>
    </row>
    <row r="934" ht="15.75" customHeight="1">
      <c r="C934" s="23"/>
      <c r="D934" s="23"/>
    </row>
    <row r="935" ht="15.75" customHeight="1">
      <c r="C935" s="23"/>
      <c r="D935" s="23"/>
    </row>
    <row r="936" ht="15.75" customHeight="1">
      <c r="C936" s="23"/>
      <c r="D936" s="23"/>
    </row>
    <row r="937" ht="15.75" customHeight="1">
      <c r="C937" s="23"/>
      <c r="D937" s="23"/>
    </row>
    <row r="938" ht="15.75" customHeight="1">
      <c r="C938" s="23"/>
      <c r="D938" s="23"/>
    </row>
    <row r="939" ht="15.75" customHeight="1">
      <c r="C939" s="23"/>
      <c r="D939" s="23"/>
    </row>
    <row r="940" ht="15.75" customHeight="1">
      <c r="C940" s="23"/>
      <c r="D940" s="23"/>
    </row>
    <row r="941" ht="15.75" customHeight="1">
      <c r="C941" s="23"/>
      <c r="D941" s="23"/>
    </row>
    <row r="942" ht="15.75" customHeight="1">
      <c r="C942" s="23"/>
      <c r="D942" s="23"/>
    </row>
    <row r="943" ht="15.75" customHeight="1">
      <c r="C943" s="23"/>
      <c r="D943" s="23"/>
    </row>
    <row r="944" ht="15.75" customHeight="1">
      <c r="C944" s="23"/>
      <c r="D944" s="23"/>
    </row>
    <row r="945" ht="15.75" customHeight="1">
      <c r="C945" s="23"/>
      <c r="D945" s="23"/>
    </row>
    <row r="946" ht="15.75" customHeight="1">
      <c r="C946" s="23"/>
      <c r="D946" s="23"/>
    </row>
    <row r="947" ht="15.75" customHeight="1">
      <c r="C947" s="23"/>
      <c r="D947" s="23"/>
    </row>
    <row r="948" ht="15.75" customHeight="1">
      <c r="C948" s="23"/>
      <c r="D948" s="23"/>
    </row>
    <row r="949" ht="15.75" customHeight="1">
      <c r="C949" s="23"/>
      <c r="D949" s="23"/>
    </row>
    <row r="950" ht="15.75" customHeight="1">
      <c r="C950" s="23"/>
      <c r="D950" s="23"/>
    </row>
    <row r="951" ht="15.75" customHeight="1">
      <c r="C951" s="23"/>
      <c r="D951" s="23"/>
    </row>
    <row r="952" ht="15.75" customHeight="1">
      <c r="C952" s="23"/>
      <c r="D952" s="23"/>
    </row>
    <row r="953" ht="15.75" customHeight="1">
      <c r="C953" s="23"/>
      <c r="D953" s="23"/>
    </row>
    <row r="954" ht="15.75" customHeight="1">
      <c r="C954" s="23"/>
      <c r="D954" s="23"/>
    </row>
    <row r="955" ht="15.75" customHeight="1">
      <c r="C955" s="23"/>
      <c r="D955" s="23"/>
    </row>
    <row r="956" ht="15.75" customHeight="1">
      <c r="C956" s="23"/>
      <c r="D956" s="23"/>
    </row>
    <row r="957" ht="15.75" customHeight="1">
      <c r="C957" s="23"/>
      <c r="D957" s="23"/>
    </row>
    <row r="958" ht="15.75" customHeight="1">
      <c r="C958" s="23"/>
      <c r="D958" s="23"/>
    </row>
    <row r="959" ht="15.75" customHeight="1">
      <c r="C959" s="23"/>
      <c r="D959" s="23"/>
    </row>
    <row r="960" ht="15.75" customHeight="1">
      <c r="C960" s="23"/>
      <c r="D960" s="23"/>
    </row>
    <row r="961" ht="15.75" customHeight="1">
      <c r="C961" s="23"/>
      <c r="D961" s="23"/>
    </row>
    <row r="962" ht="15.75" customHeight="1">
      <c r="C962" s="23"/>
      <c r="D962" s="23"/>
    </row>
    <row r="963" ht="15.75" customHeight="1">
      <c r="C963" s="23"/>
      <c r="D963" s="23"/>
    </row>
    <row r="964" ht="15.75" customHeight="1">
      <c r="C964" s="23"/>
      <c r="D964" s="23"/>
    </row>
    <row r="965" ht="15.75" customHeight="1">
      <c r="C965" s="23"/>
      <c r="D965" s="23"/>
    </row>
    <row r="966" ht="15.75" customHeight="1">
      <c r="C966" s="23"/>
      <c r="D966" s="23"/>
    </row>
    <row r="967" ht="15.75" customHeight="1">
      <c r="C967" s="23"/>
      <c r="D967" s="23"/>
    </row>
    <row r="968" ht="15.75" customHeight="1">
      <c r="C968" s="23"/>
      <c r="D968" s="23"/>
    </row>
    <row r="969" ht="15.75" customHeight="1">
      <c r="C969" s="23"/>
      <c r="D969" s="23"/>
    </row>
    <row r="970" ht="15.75" customHeight="1">
      <c r="C970" s="23"/>
      <c r="D970" s="23"/>
    </row>
    <row r="971" ht="15.75" customHeight="1">
      <c r="C971" s="23"/>
      <c r="D971" s="23"/>
    </row>
    <row r="972" ht="15.75" customHeight="1">
      <c r="C972" s="23"/>
      <c r="D972" s="23"/>
    </row>
    <row r="973" ht="15.75" customHeight="1">
      <c r="C973" s="23"/>
      <c r="D973" s="23"/>
    </row>
    <row r="974" ht="15.75" customHeight="1">
      <c r="C974" s="23"/>
      <c r="D974" s="23"/>
    </row>
    <row r="975" ht="15.75" customHeight="1">
      <c r="C975" s="23"/>
      <c r="D975" s="23"/>
    </row>
    <row r="976" ht="15.75" customHeight="1">
      <c r="C976" s="23"/>
      <c r="D976" s="23"/>
    </row>
    <row r="977" ht="15.75" customHeight="1">
      <c r="C977" s="23"/>
      <c r="D977" s="23"/>
    </row>
    <row r="978" ht="15.75" customHeight="1">
      <c r="C978" s="23"/>
      <c r="D978" s="23"/>
    </row>
    <row r="979" ht="15.75" customHeight="1">
      <c r="C979" s="23"/>
      <c r="D979" s="23"/>
    </row>
    <row r="980" ht="15.75" customHeight="1">
      <c r="C980" s="23"/>
      <c r="D980" s="23"/>
    </row>
    <row r="981" ht="15.75" customHeight="1">
      <c r="C981" s="23"/>
      <c r="D981" s="23"/>
    </row>
    <row r="982" ht="15.75" customHeight="1">
      <c r="C982" s="23"/>
      <c r="D982" s="23"/>
    </row>
    <row r="983" ht="15.75" customHeight="1">
      <c r="C983" s="23"/>
      <c r="D983" s="23"/>
    </row>
    <row r="984" ht="15.75" customHeight="1">
      <c r="C984" s="23"/>
      <c r="D984" s="23"/>
    </row>
    <row r="985" ht="15.75" customHeight="1">
      <c r="C985" s="23"/>
      <c r="D985" s="23"/>
    </row>
    <row r="986" ht="15.75" customHeight="1">
      <c r="C986" s="23"/>
      <c r="D986" s="23"/>
    </row>
    <row r="987" ht="15.75" customHeight="1">
      <c r="C987" s="23"/>
      <c r="D987" s="23"/>
    </row>
    <row r="988" ht="15.75" customHeight="1">
      <c r="C988" s="23"/>
      <c r="D988" s="23"/>
    </row>
    <row r="989" ht="15.75" customHeight="1">
      <c r="C989" s="23"/>
      <c r="D989" s="23"/>
    </row>
    <row r="990" ht="15.75" customHeight="1">
      <c r="C990" s="23"/>
      <c r="D990" s="23"/>
    </row>
    <row r="991" ht="15.75" customHeight="1">
      <c r="C991" s="23"/>
      <c r="D991" s="23"/>
    </row>
    <row r="992" ht="15.75" customHeight="1">
      <c r="C992" s="23"/>
      <c r="D992" s="23"/>
    </row>
    <row r="993" ht="15.75" customHeight="1">
      <c r="C993" s="23"/>
      <c r="D993" s="23"/>
    </row>
    <row r="994" ht="15.75" customHeight="1">
      <c r="C994" s="23"/>
      <c r="D994" s="23"/>
    </row>
    <row r="995" ht="15.75" customHeight="1">
      <c r="C995" s="23"/>
      <c r="D995" s="23"/>
    </row>
    <row r="996" ht="15.75" customHeight="1">
      <c r="C996" s="23"/>
      <c r="D996" s="23"/>
    </row>
    <row r="997" ht="15.75" customHeight="1">
      <c r="C997" s="23"/>
      <c r="D997" s="23"/>
    </row>
    <row r="998" ht="15.75" customHeight="1">
      <c r="C998" s="23"/>
      <c r="D998" s="23"/>
    </row>
    <row r="999" ht="15.75" customHeight="1">
      <c r="C999" s="23"/>
      <c r="D999" s="23"/>
    </row>
    <row r="1000" ht="15.75" customHeight="1">
      <c r="C1000" s="23"/>
      <c r="D1000" s="23"/>
    </row>
  </sheetData>
  <mergeCells count="2">
    <mergeCell ref="A1:D1"/>
    <mergeCell ref="A2:D2"/>
  </mergeCells>
  <hyperlinks>
    <hyperlink r:id="rId1" ref="C5"/>
    <hyperlink r:id="rId2" ref="D5"/>
    <hyperlink r:id="rId3" ref="C12"/>
  </hyperlinks>
  <printOptions/>
  <pageMargins bottom="1.0" footer="0.0" header="0.0" left="0.75" right="0.75" top="1.0"/>
  <pageSetup paperSize="9"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7.0"/>
    <col customWidth="1" min="2" max="2" width="22.0"/>
    <col customWidth="1" min="3" max="3" width="44.0"/>
    <col customWidth="1" min="4" max="4" width="62.0"/>
    <col customWidth="1" min="5" max="5" width="50.0"/>
    <col customWidth="1" min="6" max="6" width="46.0"/>
    <col customWidth="1" min="7" max="7" width="18.43"/>
    <col customWidth="1" min="8" max="8" width="46.0"/>
    <col customWidth="1" min="9" max="9" width="15.29"/>
    <col customWidth="1" min="10" max="10" width="48.0"/>
    <col customWidth="1" min="11" max="11" width="12.86"/>
    <col customWidth="1" min="12" max="12" width="50.0"/>
    <col customWidth="1" min="13" max="26" width="8.71"/>
  </cols>
  <sheetData>
    <row r="1" ht="25.5" customHeight="1">
      <c r="A1" s="1" t="s">
        <v>2</v>
      </c>
      <c r="B1" s="2"/>
      <c r="C1" s="2"/>
      <c r="D1" s="2"/>
      <c r="E1" s="2"/>
      <c r="F1" s="2"/>
      <c r="G1" s="2"/>
      <c r="H1" s="2"/>
      <c r="I1" s="2"/>
      <c r="J1" s="2"/>
      <c r="K1" s="2"/>
      <c r="L1" s="3"/>
    </row>
    <row r="2" ht="18.0" customHeight="1">
      <c r="A2" s="4" t="s">
        <v>11</v>
      </c>
      <c r="B2" s="2"/>
      <c r="C2" s="2"/>
      <c r="D2" s="2"/>
      <c r="E2" s="2"/>
      <c r="F2" s="2"/>
      <c r="G2" s="2"/>
      <c r="H2" s="2"/>
      <c r="I2" s="2"/>
      <c r="J2" s="2"/>
      <c r="K2" s="2"/>
      <c r="L2" s="3"/>
    </row>
    <row r="3" ht="33.75" customHeight="1">
      <c r="A3" s="8" t="s">
        <v>19</v>
      </c>
      <c r="B3" s="8" t="s">
        <v>23</v>
      </c>
      <c r="C3" s="8" t="s">
        <v>24</v>
      </c>
      <c r="D3" s="8" t="s">
        <v>26</v>
      </c>
      <c r="E3" s="8" t="s">
        <v>28</v>
      </c>
      <c r="F3" s="9" t="s">
        <v>29</v>
      </c>
      <c r="G3" s="9" t="s">
        <v>33</v>
      </c>
      <c r="H3" s="9" t="s">
        <v>35</v>
      </c>
      <c r="I3" s="9" t="s">
        <v>33</v>
      </c>
      <c r="J3" s="9" t="s">
        <v>37</v>
      </c>
      <c r="K3" s="9" t="s">
        <v>38</v>
      </c>
      <c r="L3" s="9" t="s">
        <v>39</v>
      </c>
    </row>
    <row r="4">
      <c r="A4" s="11" t="s">
        <v>40</v>
      </c>
      <c r="B4" s="11" t="s">
        <v>41</v>
      </c>
      <c r="C4" s="13" t="s">
        <v>43</v>
      </c>
      <c r="D4" s="14" t="s">
        <v>47</v>
      </c>
      <c r="E4" s="14" t="s">
        <v>49</v>
      </c>
      <c r="F4" s="16" t="s">
        <v>52</v>
      </c>
      <c r="G4" s="18">
        <v>2.0</v>
      </c>
      <c r="H4" s="16" t="s">
        <v>62</v>
      </c>
      <c r="I4" s="18">
        <v>3.0</v>
      </c>
      <c r="J4" s="17"/>
      <c r="K4" s="19"/>
      <c r="L4" s="17"/>
    </row>
    <row r="5">
      <c r="A5" s="11" t="s">
        <v>66</v>
      </c>
      <c r="B5" s="11" t="s">
        <v>41</v>
      </c>
      <c r="C5" s="13" t="s">
        <v>69</v>
      </c>
      <c r="D5" s="14" t="s">
        <v>71</v>
      </c>
      <c r="E5" s="14" t="s">
        <v>73</v>
      </c>
      <c r="F5" s="16" t="s">
        <v>75</v>
      </c>
      <c r="G5" s="18">
        <v>1.0</v>
      </c>
      <c r="H5" s="16" t="s">
        <v>79</v>
      </c>
      <c r="I5" s="18">
        <v>1.0</v>
      </c>
      <c r="J5" s="16" t="s">
        <v>80</v>
      </c>
      <c r="K5" s="18" t="s">
        <v>82</v>
      </c>
      <c r="L5" s="16" t="s">
        <v>84</v>
      </c>
    </row>
    <row r="6">
      <c r="A6" s="11" t="s">
        <v>85</v>
      </c>
      <c r="B6" s="11" t="s">
        <v>41</v>
      </c>
      <c r="C6" s="13" t="s">
        <v>87</v>
      </c>
      <c r="D6" s="14" t="s">
        <v>89</v>
      </c>
      <c r="E6" s="14" t="s">
        <v>91</v>
      </c>
      <c r="F6" s="22" t="s">
        <v>98</v>
      </c>
      <c r="G6" s="18">
        <v>3.0</v>
      </c>
      <c r="H6" s="16" t="s">
        <v>110</v>
      </c>
      <c r="I6" s="18">
        <v>1.0</v>
      </c>
      <c r="J6" s="16" t="s">
        <v>114</v>
      </c>
      <c r="K6" s="18" t="s">
        <v>117</v>
      </c>
      <c r="L6" s="16" t="s">
        <v>119</v>
      </c>
    </row>
    <row r="7">
      <c r="A7" s="11" t="s">
        <v>123</v>
      </c>
      <c r="B7" s="11" t="s">
        <v>41</v>
      </c>
      <c r="C7" s="13" t="s">
        <v>124</v>
      </c>
      <c r="D7" s="14" t="s">
        <v>125</v>
      </c>
      <c r="E7" s="14" t="s">
        <v>126</v>
      </c>
      <c r="F7" s="22" t="s">
        <v>128</v>
      </c>
      <c r="G7" s="18">
        <v>1.0</v>
      </c>
      <c r="H7" s="16" t="s">
        <v>132</v>
      </c>
      <c r="I7" s="18">
        <v>1.0</v>
      </c>
      <c r="J7" s="16" t="s">
        <v>133</v>
      </c>
      <c r="K7" s="18" t="s">
        <v>134</v>
      </c>
      <c r="L7" s="16" t="s">
        <v>135</v>
      </c>
    </row>
    <row r="8">
      <c r="A8" s="11" t="s">
        <v>137</v>
      </c>
      <c r="B8" s="11" t="s">
        <v>118</v>
      </c>
      <c r="C8" s="13" t="s">
        <v>139</v>
      </c>
      <c r="D8" s="14" t="s">
        <v>140</v>
      </c>
      <c r="E8" s="14" t="s">
        <v>142</v>
      </c>
      <c r="F8" s="16" t="s">
        <v>104</v>
      </c>
      <c r="G8" s="18">
        <v>0.0</v>
      </c>
      <c r="H8" s="16" t="s">
        <v>104</v>
      </c>
      <c r="I8" s="18">
        <v>0.0</v>
      </c>
      <c r="J8" s="16" t="s">
        <v>143</v>
      </c>
      <c r="K8" s="18" t="s">
        <v>117</v>
      </c>
      <c r="L8" s="16" t="s">
        <v>144</v>
      </c>
    </row>
    <row r="9">
      <c r="A9" s="11" t="s">
        <v>145</v>
      </c>
      <c r="B9" s="11" t="s">
        <v>118</v>
      </c>
      <c r="C9" s="13" t="s">
        <v>147</v>
      </c>
      <c r="D9" s="14" t="s">
        <v>148</v>
      </c>
      <c r="E9" s="14" t="s">
        <v>97</v>
      </c>
      <c r="F9" s="16" t="s">
        <v>104</v>
      </c>
      <c r="G9" s="18">
        <v>0.0</v>
      </c>
      <c r="H9" s="16" t="s">
        <v>104</v>
      </c>
      <c r="I9" s="18">
        <v>0.0</v>
      </c>
      <c r="J9" s="16" t="s">
        <v>151</v>
      </c>
      <c r="K9" s="18" t="s">
        <v>117</v>
      </c>
      <c r="L9" s="16" t="s">
        <v>151</v>
      </c>
    </row>
    <row r="10">
      <c r="A10" s="11" t="s">
        <v>152</v>
      </c>
      <c r="B10" s="11" t="s">
        <v>118</v>
      </c>
      <c r="C10" s="13" t="s">
        <v>153</v>
      </c>
      <c r="D10" s="14" t="s">
        <v>154</v>
      </c>
      <c r="E10" s="14" t="s">
        <v>97</v>
      </c>
      <c r="F10" s="16" t="s">
        <v>155</v>
      </c>
      <c r="G10" s="18">
        <v>0.0</v>
      </c>
      <c r="H10" s="16" t="s">
        <v>155</v>
      </c>
      <c r="I10" s="18">
        <v>0.0</v>
      </c>
      <c r="J10" s="17"/>
      <c r="K10" s="19"/>
      <c r="L10" s="17"/>
    </row>
    <row r="11">
      <c r="A11" s="11" t="s">
        <v>159</v>
      </c>
      <c r="B11" s="11" t="s">
        <v>118</v>
      </c>
      <c r="C11" s="13" t="s">
        <v>160</v>
      </c>
      <c r="D11" s="14" t="s">
        <v>161</v>
      </c>
      <c r="E11" s="14" t="s">
        <v>162</v>
      </c>
      <c r="F11" s="16" t="s">
        <v>163</v>
      </c>
      <c r="G11" s="18">
        <v>0.0</v>
      </c>
      <c r="H11" s="16" t="s">
        <v>163</v>
      </c>
      <c r="I11" s="18">
        <v>0.0</v>
      </c>
      <c r="J11" s="16" t="s">
        <v>164</v>
      </c>
      <c r="K11" s="18" t="s">
        <v>82</v>
      </c>
      <c r="L11" s="16" t="s">
        <v>167</v>
      </c>
    </row>
    <row r="12">
      <c r="A12" s="11" t="s">
        <v>169</v>
      </c>
      <c r="B12" s="11" t="s">
        <v>118</v>
      </c>
      <c r="C12" s="13" t="s">
        <v>171</v>
      </c>
      <c r="D12" s="14" t="s">
        <v>172</v>
      </c>
      <c r="E12" s="14" t="s">
        <v>97</v>
      </c>
      <c r="F12" s="16" t="s">
        <v>173</v>
      </c>
      <c r="G12" s="18">
        <v>0.0</v>
      </c>
      <c r="H12" s="16" t="s">
        <v>174</v>
      </c>
      <c r="I12" s="18">
        <v>0.0</v>
      </c>
      <c r="J12" s="16" t="s">
        <v>175</v>
      </c>
      <c r="K12" s="18" t="s">
        <v>82</v>
      </c>
      <c r="L12" s="16" t="s">
        <v>176</v>
      </c>
    </row>
    <row r="13">
      <c r="A13" s="11" t="s">
        <v>177</v>
      </c>
      <c r="B13" s="11" t="s">
        <v>166</v>
      </c>
      <c r="C13" s="13" t="s">
        <v>180</v>
      </c>
      <c r="D13" s="14" t="s">
        <v>181</v>
      </c>
      <c r="E13" s="14" t="s">
        <v>183</v>
      </c>
      <c r="F13" s="16" t="s">
        <v>185</v>
      </c>
      <c r="G13" s="19"/>
      <c r="H13" s="16" t="s">
        <v>185</v>
      </c>
      <c r="I13" s="19"/>
      <c r="J13" s="16" t="s">
        <v>185</v>
      </c>
      <c r="K13" s="19"/>
      <c r="L13" s="17"/>
    </row>
    <row r="14">
      <c r="A14" s="11" t="s">
        <v>187</v>
      </c>
      <c r="B14" s="11" t="s">
        <v>166</v>
      </c>
      <c r="C14" s="13" t="s">
        <v>188</v>
      </c>
      <c r="D14" s="14" t="s">
        <v>189</v>
      </c>
      <c r="E14" s="14" t="s">
        <v>97</v>
      </c>
      <c r="F14" s="16" t="s">
        <v>191</v>
      </c>
      <c r="G14" s="18">
        <v>0.0</v>
      </c>
      <c r="H14" s="16" t="s">
        <v>191</v>
      </c>
      <c r="I14" s="18">
        <v>0.0</v>
      </c>
      <c r="J14" s="16" t="s">
        <v>194</v>
      </c>
      <c r="K14" s="18" t="s">
        <v>117</v>
      </c>
      <c r="L14" s="16" t="s">
        <v>194</v>
      </c>
    </row>
    <row r="15">
      <c r="A15" s="11" t="s">
        <v>195</v>
      </c>
      <c r="B15" s="11" t="s">
        <v>166</v>
      </c>
      <c r="C15" s="13" t="s">
        <v>196</v>
      </c>
      <c r="D15" s="14" t="s">
        <v>197</v>
      </c>
      <c r="E15" s="14" t="s">
        <v>97</v>
      </c>
      <c r="F15" s="16" t="s">
        <v>198</v>
      </c>
      <c r="G15" s="18">
        <v>1.0</v>
      </c>
      <c r="H15" s="16" t="s">
        <v>198</v>
      </c>
      <c r="I15" s="18">
        <v>1.0</v>
      </c>
      <c r="J15" s="16" t="s">
        <v>200</v>
      </c>
      <c r="K15" s="18" t="s">
        <v>117</v>
      </c>
      <c r="L15" s="16" t="s">
        <v>203</v>
      </c>
    </row>
    <row r="16">
      <c r="A16" s="11" t="s">
        <v>204</v>
      </c>
      <c r="B16" s="11" t="s">
        <v>166</v>
      </c>
      <c r="C16" s="13" t="s">
        <v>207</v>
      </c>
      <c r="D16" s="14" t="s">
        <v>209</v>
      </c>
      <c r="E16" s="14" t="s">
        <v>97</v>
      </c>
      <c r="F16" s="16" t="s">
        <v>211</v>
      </c>
      <c r="G16" s="18">
        <v>0.0</v>
      </c>
      <c r="H16" s="16" t="s">
        <v>213</v>
      </c>
      <c r="I16" s="18">
        <v>0.0</v>
      </c>
      <c r="J16" s="16" t="s">
        <v>214</v>
      </c>
      <c r="K16" s="18" t="s">
        <v>117</v>
      </c>
      <c r="L16" s="16" t="s">
        <v>217</v>
      </c>
    </row>
    <row r="17">
      <c r="A17" s="11" t="s">
        <v>219</v>
      </c>
      <c r="B17" s="11" t="s">
        <v>216</v>
      </c>
      <c r="C17" s="13" t="s">
        <v>221</v>
      </c>
      <c r="D17" s="14" t="s">
        <v>223</v>
      </c>
      <c r="E17" s="14" t="s">
        <v>97</v>
      </c>
      <c r="F17" s="16" t="s">
        <v>225</v>
      </c>
      <c r="G17" s="18">
        <v>3.0</v>
      </c>
      <c r="H17" s="16" t="s">
        <v>227</v>
      </c>
      <c r="I17" s="18">
        <v>2.0</v>
      </c>
      <c r="J17" s="16" t="s">
        <v>228</v>
      </c>
      <c r="K17" s="18" t="s">
        <v>82</v>
      </c>
      <c r="L17" s="16" t="s">
        <v>229</v>
      </c>
    </row>
    <row r="18">
      <c r="A18" s="11" t="s">
        <v>231</v>
      </c>
      <c r="B18" s="11" t="s">
        <v>216</v>
      </c>
      <c r="C18" s="13" t="s">
        <v>233</v>
      </c>
      <c r="D18" s="14" t="s">
        <v>235</v>
      </c>
      <c r="E18" s="14" t="s">
        <v>97</v>
      </c>
      <c r="F18" s="16" t="s">
        <v>163</v>
      </c>
      <c r="G18" s="18">
        <v>0.0</v>
      </c>
      <c r="H18" s="16" t="s">
        <v>163</v>
      </c>
      <c r="I18" s="18">
        <v>0.0</v>
      </c>
      <c r="J18" s="16" t="s">
        <v>239</v>
      </c>
      <c r="K18" s="18" t="s">
        <v>134</v>
      </c>
      <c r="L18" s="16" t="s">
        <v>240</v>
      </c>
    </row>
    <row r="19">
      <c r="A19" s="11" t="s">
        <v>241</v>
      </c>
      <c r="B19" s="11" t="s">
        <v>216</v>
      </c>
      <c r="C19" s="13" t="s">
        <v>243</v>
      </c>
      <c r="D19" s="14" t="s">
        <v>245</v>
      </c>
      <c r="E19" s="14" t="s">
        <v>97</v>
      </c>
      <c r="F19" s="16" t="s">
        <v>248</v>
      </c>
      <c r="G19" s="18">
        <v>2.0</v>
      </c>
      <c r="H19" s="16" t="s">
        <v>249</v>
      </c>
      <c r="I19" s="18">
        <v>2.0</v>
      </c>
      <c r="J19" s="16" t="s">
        <v>250</v>
      </c>
      <c r="K19" s="18" t="s">
        <v>134</v>
      </c>
      <c r="L19" s="16" t="s">
        <v>251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19"/>
  <mergeCells count="2">
    <mergeCell ref="A1:L1"/>
    <mergeCell ref="A2:L2"/>
  </mergeCells>
  <dataValidations>
    <dataValidation type="list" allowBlank="1" sqref="G4:G19 I4:I19">
      <formula1>"0,1,2,3,N/A"</formula1>
    </dataValidation>
    <dataValidation type="list" allowBlank="1" sqref="K4:K19">
      <formula1>"High,Medium,Low"</formula1>
    </dataValidation>
  </dataValidations>
  <hyperlinks>
    <hyperlink r:id="rId2" ref="F6"/>
    <hyperlink r:id="rId3" ref="F7"/>
  </hyperlinks>
  <printOptions/>
  <pageMargins bottom="1.0" footer="0.0" header="0.0" left="0.75" right="0.75" top="1.0"/>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2.0"/>
    <col customWidth="1" min="3" max="3" width="44.0"/>
    <col customWidth="1" min="4" max="4" width="62.0"/>
    <col customWidth="1" min="5" max="5" width="50.0"/>
    <col customWidth="1" min="6" max="6" width="46.0"/>
    <col customWidth="1" min="7" max="7" width="7.0"/>
    <col customWidth="1" min="8" max="8" width="46.0"/>
    <col customWidth="1" min="9" max="9" width="7.0"/>
    <col customWidth="1" min="10" max="10" width="48.0"/>
    <col customWidth="1" min="11" max="11" width="10.0"/>
    <col customWidth="1" min="12" max="12" width="50.0"/>
    <col customWidth="1" min="13" max="26" width="8.71"/>
  </cols>
  <sheetData>
    <row r="1" ht="25.5" customHeight="1">
      <c r="A1" s="1" t="s">
        <v>3</v>
      </c>
      <c r="B1" s="2"/>
      <c r="C1" s="2"/>
      <c r="D1" s="2"/>
      <c r="E1" s="2"/>
      <c r="F1" s="2"/>
      <c r="G1" s="2"/>
      <c r="H1" s="2"/>
      <c r="I1" s="2"/>
      <c r="J1" s="2"/>
      <c r="K1" s="2"/>
      <c r="L1" s="3"/>
    </row>
    <row r="2" ht="18.0" customHeight="1">
      <c r="A2" s="4" t="s">
        <v>15</v>
      </c>
      <c r="B2" s="2"/>
      <c r="C2" s="2"/>
      <c r="D2" s="2"/>
      <c r="E2" s="2"/>
      <c r="F2" s="2"/>
      <c r="G2" s="2"/>
      <c r="H2" s="2"/>
      <c r="I2" s="2"/>
      <c r="J2" s="2"/>
      <c r="K2" s="2"/>
      <c r="L2" s="3"/>
    </row>
    <row r="3" ht="33.75" customHeight="1">
      <c r="A3" s="8" t="s">
        <v>19</v>
      </c>
      <c r="B3" s="8" t="s">
        <v>23</v>
      </c>
      <c r="C3" s="8" t="s">
        <v>24</v>
      </c>
      <c r="D3" s="8" t="s">
        <v>26</v>
      </c>
      <c r="E3" s="8" t="s">
        <v>28</v>
      </c>
      <c r="F3" s="9" t="s">
        <v>29</v>
      </c>
      <c r="G3" s="9" t="s">
        <v>33</v>
      </c>
      <c r="H3" s="9" t="s">
        <v>35</v>
      </c>
      <c r="I3" s="9" t="s">
        <v>33</v>
      </c>
      <c r="J3" s="9" t="s">
        <v>37</v>
      </c>
      <c r="K3" s="9" t="s">
        <v>38</v>
      </c>
      <c r="L3" s="9" t="s">
        <v>39</v>
      </c>
    </row>
    <row r="4">
      <c r="A4" s="11" t="s">
        <v>46</v>
      </c>
      <c r="B4" s="11" t="s">
        <v>41</v>
      </c>
      <c r="C4" s="13" t="s">
        <v>50</v>
      </c>
      <c r="D4" s="14" t="s">
        <v>53</v>
      </c>
      <c r="E4" s="14" t="s">
        <v>56</v>
      </c>
      <c r="F4" s="17"/>
      <c r="G4" s="19"/>
      <c r="H4" s="17"/>
      <c r="I4" s="19"/>
      <c r="J4" s="17"/>
      <c r="K4" s="19"/>
      <c r="L4" s="17"/>
    </row>
    <row r="5">
      <c r="A5" s="11" t="s">
        <v>67</v>
      </c>
      <c r="B5" s="11" t="s">
        <v>41</v>
      </c>
      <c r="C5" s="13" t="s">
        <v>72</v>
      </c>
      <c r="D5" s="14" t="s">
        <v>74</v>
      </c>
      <c r="E5" s="14" t="s">
        <v>77</v>
      </c>
      <c r="F5" s="17"/>
      <c r="G5" s="19"/>
      <c r="H5" s="17"/>
      <c r="I5" s="19"/>
      <c r="J5" s="17"/>
      <c r="K5" s="19"/>
      <c r="L5" s="17"/>
    </row>
    <row r="6">
      <c r="A6" s="11" t="s">
        <v>92</v>
      </c>
      <c r="B6" s="11" t="s">
        <v>41</v>
      </c>
      <c r="C6" s="13" t="s">
        <v>93</v>
      </c>
      <c r="D6" s="14" t="s">
        <v>95</v>
      </c>
      <c r="E6" s="14" t="s">
        <v>97</v>
      </c>
      <c r="F6" s="17"/>
      <c r="G6" s="19"/>
      <c r="H6" s="17"/>
      <c r="I6" s="19"/>
      <c r="J6" s="17"/>
      <c r="K6" s="19"/>
      <c r="L6" s="17"/>
    </row>
    <row r="7">
      <c r="A7" s="11" t="s">
        <v>100</v>
      </c>
      <c r="B7" s="11" t="s">
        <v>41</v>
      </c>
      <c r="C7" s="13" t="s">
        <v>101</v>
      </c>
      <c r="D7" s="14" t="s">
        <v>102</v>
      </c>
      <c r="E7" s="14" t="s">
        <v>103</v>
      </c>
      <c r="F7" s="17"/>
      <c r="G7" s="19"/>
      <c r="H7" s="17"/>
      <c r="I7" s="19"/>
      <c r="J7" s="17"/>
      <c r="K7" s="19"/>
      <c r="L7" s="17"/>
    </row>
    <row r="8">
      <c r="A8" s="11" t="s">
        <v>116</v>
      </c>
      <c r="B8" s="11" t="s">
        <v>118</v>
      </c>
      <c r="C8" s="13" t="s">
        <v>120</v>
      </c>
      <c r="D8" s="14" t="s">
        <v>122</v>
      </c>
      <c r="E8" s="14" t="s">
        <v>97</v>
      </c>
      <c r="F8" s="17"/>
      <c r="G8" s="19"/>
      <c r="H8" s="17"/>
      <c r="I8" s="19"/>
      <c r="J8" s="17"/>
      <c r="K8" s="19"/>
      <c r="L8" s="17"/>
    </row>
    <row r="9">
      <c r="A9" s="11" t="s">
        <v>129</v>
      </c>
      <c r="B9" s="11" t="s">
        <v>118</v>
      </c>
      <c r="C9" s="13" t="s">
        <v>130</v>
      </c>
      <c r="D9" s="14" t="s">
        <v>131</v>
      </c>
      <c r="E9" s="14" t="s">
        <v>97</v>
      </c>
      <c r="F9" s="17"/>
      <c r="G9" s="19"/>
      <c r="H9" s="17"/>
      <c r="I9" s="19"/>
      <c r="J9" s="17"/>
      <c r="K9" s="19"/>
      <c r="L9" s="17"/>
    </row>
    <row r="10">
      <c r="A10" s="11" t="s">
        <v>136</v>
      </c>
      <c r="B10" s="11" t="s">
        <v>118</v>
      </c>
      <c r="C10" s="13" t="s">
        <v>138</v>
      </c>
      <c r="D10" s="14" t="s">
        <v>141</v>
      </c>
      <c r="E10" s="14" t="s">
        <v>97</v>
      </c>
      <c r="F10" s="17"/>
      <c r="G10" s="19"/>
      <c r="H10" s="17"/>
      <c r="I10" s="19"/>
      <c r="J10" s="17"/>
      <c r="K10" s="19"/>
      <c r="L10" s="17"/>
    </row>
    <row r="11">
      <c r="A11" s="11" t="s">
        <v>146</v>
      </c>
      <c r="B11" s="11" t="s">
        <v>118</v>
      </c>
      <c r="C11" s="13" t="s">
        <v>149</v>
      </c>
      <c r="D11" s="14" t="s">
        <v>150</v>
      </c>
      <c r="E11" s="14" t="s">
        <v>97</v>
      </c>
      <c r="F11" s="17"/>
      <c r="G11" s="19"/>
      <c r="H11" s="17"/>
      <c r="I11" s="19"/>
      <c r="J11" s="17"/>
      <c r="K11" s="19"/>
      <c r="L11" s="17"/>
    </row>
    <row r="12">
      <c r="A12" s="11" t="s">
        <v>156</v>
      </c>
      <c r="B12" s="11" t="s">
        <v>118</v>
      </c>
      <c r="C12" s="13" t="s">
        <v>157</v>
      </c>
      <c r="D12" s="14" t="s">
        <v>158</v>
      </c>
      <c r="E12" s="14" t="s">
        <v>97</v>
      </c>
      <c r="F12" s="17"/>
      <c r="G12" s="19"/>
      <c r="H12" s="17"/>
      <c r="I12" s="19"/>
      <c r="J12" s="17"/>
      <c r="K12" s="19"/>
      <c r="L12" s="17"/>
    </row>
    <row r="13">
      <c r="A13" s="11" t="s">
        <v>165</v>
      </c>
      <c r="B13" s="11" t="s">
        <v>166</v>
      </c>
      <c r="C13" s="13" t="s">
        <v>168</v>
      </c>
      <c r="D13" s="14" t="s">
        <v>170</v>
      </c>
      <c r="E13" s="14" t="s">
        <v>97</v>
      </c>
      <c r="F13" s="17"/>
      <c r="G13" s="19"/>
      <c r="H13" s="17"/>
      <c r="I13" s="19"/>
      <c r="J13" s="17"/>
      <c r="K13" s="19"/>
      <c r="L13" s="17"/>
    </row>
    <row r="14">
      <c r="A14" s="11" t="s">
        <v>178</v>
      </c>
      <c r="B14" s="11" t="s">
        <v>166</v>
      </c>
      <c r="C14" s="13" t="s">
        <v>182</v>
      </c>
      <c r="D14" s="14" t="s">
        <v>184</v>
      </c>
      <c r="E14" s="14" t="s">
        <v>97</v>
      </c>
      <c r="F14" s="17"/>
      <c r="G14" s="19"/>
      <c r="H14" s="17"/>
      <c r="I14" s="19"/>
      <c r="J14" s="17"/>
      <c r="K14" s="19"/>
      <c r="L14" s="17"/>
    </row>
    <row r="15">
      <c r="A15" s="11" t="s">
        <v>190</v>
      </c>
      <c r="B15" s="11" t="s">
        <v>166</v>
      </c>
      <c r="C15" s="13" t="s">
        <v>192</v>
      </c>
      <c r="D15" s="14" t="s">
        <v>193</v>
      </c>
      <c r="E15" s="14" t="s">
        <v>97</v>
      </c>
      <c r="F15" s="17"/>
      <c r="G15" s="19"/>
      <c r="H15" s="17"/>
      <c r="I15" s="19"/>
      <c r="J15" s="17"/>
      <c r="K15" s="19"/>
      <c r="L15" s="17"/>
    </row>
    <row r="16">
      <c r="A16" s="11" t="s">
        <v>199</v>
      </c>
      <c r="B16" s="11" t="s">
        <v>166</v>
      </c>
      <c r="C16" s="13" t="s">
        <v>201</v>
      </c>
      <c r="D16" s="14" t="s">
        <v>206</v>
      </c>
      <c r="E16" s="14" t="s">
        <v>97</v>
      </c>
      <c r="F16" s="17"/>
      <c r="G16" s="19"/>
      <c r="H16" s="17"/>
      <c r="I16" s="19"/>
      <c r="J16" s="17"/>
      <c r="K16" s="19"/>
      <c r="L16" s="17"/>
    </row>
    <row r="17">
      <c r="A17" s="11" t="s">
        <v>215</v>
      </c>
      <c r="B17" s="11" t="s">
        <v>216</v>
      </c>
      <c r="C17" s="13" t="s">
        <v>218</v>
      </c>
      <c r="D17" s="14" t="s">
        <v>220</v>
      </c>
      <c r="E17" s="14" t="s">
        <v>97</v>
      </c>
      <c r="F17" s="17"/>
      <c r="G17" s="19"/>
      <c r="H17" s="17"/>
      <c r="I17" s="19"/>
      <c r="J17" s="17"/>
      <c r="K17" s="19"/>
      <c r="L17" s="17"/>
    </row>
    <row r="18">
      <c r="A18" s="11" t="s">
        <v>230</v>
      </c>
      <c r="B18" s="11" t="s">
        <v>216</v>
      </c>
      <c r="C18" s="13" t="s">
        <v>234</v>
      </c>
      <c r="D18" s="14" t="s">
        <v>237</v>
      </c>
      <c r="E18" s="14" t="s">
        <v>97</v>
      </c>
      <c r="F18" s="17"/>
      <c r="G18" s="19"/>
      <c r="H18" s="17"/>
      <c r="I18" s="19"/>
      <c r="J18" s="17"/>
      <c r="K18" s="19"/>
      <c r="L18"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18"/>
  <mergeCells count="2">
    <mergeCell ref="A1:L1"/>
    <mergeCell ref="A2:L2"/>
  </mergeCells>
  <dataValidations>
    <dataValidation type="list" allowBlank="1" sqref="G4:G18 I4:I18">
      <formula1>"0,1,2,3,N/A"</formula1>
    </dataValidation>
    <dataValidation type="list" allowBlank="1" sqref="K4:K18">
      <formula1>"High,Medium,Low"</formula1>
    </dataValidation>
  </dataValidation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2.0"/>
    <col customWidth="1" min="3" max="3" width="44.0"/>
    <col customWidth="1" min="4" max="4" width="62.0"/>
    <col customWidth="1" min="5" max="5" width="50.0"/>
    <col customWidth="1" min="6" max="6" width="46.0"/>
    <col customWidth="1" min="7" max="7" width="7.0"/>
    <col customWidth="1" min="8" max="8" width="46.0"/>
    <col customWidth="1" min="9" max="9" width="7.0"/>
    <col customWidth="1" min="10" max="10" width="48.0"/>
    <col customWidth="1" min="11" max="11" width="10.0"/>
    <col customWidth="1" min="12" max="12" width="50.0"/>
    <col customWidth="1" min="13" max="26" width="8.71"/>
  </cols>
  <sheetData>
    <row r="1" ht="25.5" customHeight="1">
      <c r="A1" s="1" t="s">
        <v>179</v>
      </c>
      <c r="B1" s="2"/>
      <c r="C1" s="2"/>
      <c r="D1" s="2"/>
      <c r="E1" s="2"/>
      <c r="F1" s="2"/>
      <c r="G1" s="2"/>
      <c r="H1" s="2"/>
      <c r="I1" s="2"/>
      <c r="J1" s="2"/>
      <c r="K1" s="2"/>
      <c r="L1" s="3"/>
    </row>
    <row r="2" ht="18.0" customHeight="1">
      <c r="A2" s="4" t="s">
        <v>186</v>
      </c>
      <c r="B2" s="2"/>
      <c r="C2" s="2"/>
      <c r="D2" s="2"/>
      <c r="E2" s="2"/>
      <c r="F2" s="2"/>
      <c r="G2" s="2"/>
      <c r="H2" s="2"/>
      <c r="I2" s="2"/>
      <c r="J2" s="2"/>
      <c r="K2" s="2"/>
      <c r="L2" s="3"/>
    </row>
    <row r="3" ht="33.75" customHeight="1">
      <c r="A3" s="8" t="s">
        <v>19</v>
      </c>
      <c r="B3" s="8" t="s">
        <v>23</v>
      </c>
      <c r="C3" s="8" t="s">
        <v>24</v>
      </c>
      <c r="D3" s="8" t="s">
        <v>26</v>
      </c>
      <c r="E3" s="8" t="s">
        <v>28</v>
      </c>
      <c r="F3" s="9" t="s">
        <v>29</v>
      </c>
      <c r="G3" s="9" t="s">
        <v>33</v>
      </c>
      <c r="H3" s="9" t="s">
        <v>35</v>
      </c>
      <c r="I3" s="9" t="s">
        <v>33</v>
      </c>
      <c r="J3" s="9" t="s">
        <v>37</v>
      </c>
      <c r="K3" s="9" t="s">
        <v>38</v>
      </c>
      <c r="L3" s="9" t="s">
        <v>39</v>
      </c>
    </row>
    <row r="4">
      <c r="A4" s="11" t="s">
        <v>202</v>
      </c>
      <c r="B4" s="11" t="s">
        <v>205</v>
      </c>
      <c r="C4" s="13" t="s">
        <v>208</v>
      </c>
      <c r="D4" s="14" t="s">
        <v>210</v>
      </c>
      <c r="E4" s="14" t="s">
        <v>212</v>
      </c>
      <c r="F4" s="17"/>
      <c r="G4" s="19"/>
      <c r="H4" s="17"/>
      <c r="I4" s="19"/>
      <c r="J4" s="17"/>
      <c r="K4" s="19"/>
      <c r="L4" s="17"/>
    </row>
    <row r="5">
      <c r="A5" s="11" t="s">
        <v>222</v>
      </c>
      <c r="B5" s="11" t="s">
        <v>205</v>
      </c>
      <c r="C5" s="13" t="s">
        <v>224</v>
      </c>
      <c r="D5" s="14" t="s">
        <v>226</v>
      </c>
      <c r="E5" s="14" t="s">
        <v>97</v>
      </c>
      <c r="F5" s="17"/>
      <c r="G5" s="19"/>
      <c r="H5" s="17"/>
      <c r="I5" s="19"/>
      <c r="J5" s="17"/>
      <c r="K5" s="19"/>
      <c r="L5" s="17"/>
    </row>
    <row r="6">
      <c r="A6" s="11" t="s">
        <v>232</v>
      </c>
      <c r="B6" s="11" t="s">
        <v>205</v>
      </c>
      <c r="C6" s="13" t="s">
        <v>236</v>
      </c>
      <c r="D6" s="14" t="s">
        <v>238</v>
      </c>
      <c r="E6" s="14" t="s">
        <v>97</v>
      </c>
      <c r="F6" s="17"/>
      <c r="G6" s="19"/>
      <c r="H6" s="17"/>
      <c r="I6" s="19"/>
      <c r="J6" s="17"/>
      <c r="K6" s="19"/>
      <c r="L6" s="17"/>
    </row>
    <row r="7">
      <c r="A7" s="11" t="s">
        <v>242</v>
      </c>
      <c r="B7" s="11" t="s">
        <v>244</v>
      </c>
      <c r="C7" s="13" t="s">
        <v>246</v>
      </c>
      <c r="D7" s="14" t="s">
        <v>247</v>
      </c>
      <c r="E7" s="14" t="s">
        <v>97</v>
      </c>
      <c r="F7" s="17"/>
      <c r="G7" s="19"/>
      <c r="H7" s="17"/>
      <c r="I7" s="19"/>
      <c r="J7" s="17"/>
      <c r="K7" s="19"/>
      <c r="L7" s="17"/>
    </row>
    <row r="8">
      <c r="A8" s="11" t="s">
        <v>252</v>
      </c>
      <c r="B8" s="11" t="s">
        <v>244</v>
      </c>
      <c r="C8" s="13" t="s">
        <v>253</v>
      </c>
      <c r="D8" s="14" t="s">
        <v>254</v>
      </c>
      <c r="E8" s="14" t="s">
        <v>97</v>
      </c>
      <c r="F8" s="17"/>
      <c r="G8" s="19"/>
      <c r="H8" s="17"/>
      <c r="I8" s="19"/>
      <c r="J8" s="17"/>
      <c r="K8" s="19"/>
      <c r="L8" s="17"/>
    </row>
    <row r="9">
      <c r="A9" s="11" t="s">
        <v>255</v>
      </c>
      <c r="B9" s="11" t="s">
        <v>244</v>
      </c>
      <c r="C9" s="13" t="s">
        <v>256</v>
      </c>
      <c r="D9" s="14" t="s">
        <v>257</v>
      </c>
      <c r="E9" s="14" t="s">
        <v>97</v>
      </c>
      <c r="F9" s="17"/>
      <c r="G9" s="19"/>
      <c r="H9" s="17"/>
      <c r="I9" s="19"/>
      <c r="J9" s="17"/>
      <c r="K9" s="19"/>
      <c r="L9" s="17"/>
    </row>
    <row r="10">
      <c r="A10" s="11" t="s">
        <v>258</v>
      </c>
      <c r="B10" s="11" t="s">
        <v>244</v>
      </c>
      <c r="C10" s="13" t="s">
        <v>259</v>
      </c>
      <c r="D10" s="14" t="s">
        <v>260</v>
      </c>
      <c r="E10" s="14" t="s">
        <v>97</v>
      </c>
      <c r="F10" s="17"/>
      <c r="G10" s="19"/>
      <c r="H10" s="17"/>
      <c r="I10" s="19"/>
      <c r="J10" s="17"/>
      <c r="K10" s="19"/>
      <c r="L10" s="17"/>
    </row>
    <row r="11">
      <c r="A11" s="11" t="s">
        <v>261</v>
      </c>
      <c r="B11" s="11" t="s">
        <v>244</v>
      </c>
      <c r="C11" s="13" t="s">
        <v>262</v>
      </c>
      <c r="D11" s="14" t="s">
        <v>263</v>
      </c>
      <c r="E11" s="14" t="s">
        <v>97</v>
      </c>
      <c r="F11" s="17"/>
      <c r="G11" s="19"/>
      <c r="H11" s="17"/>
      <c r="I11" s="19"/>
      <c r="J11" s="17"/>
      <c r="K11" s="19"/>
      <c r="L11" s="17"/>
    </row>
    <row r="12">
      <c r="A12" s="11" t="s">
        <v>264</v>
      </c>
      <c r="B12" s="11" t="s">
        <v>265</v>
      </c>
      <c r="C12" s="13" t="s">
        <v>266</v>
      </c>
      <c r="D12" s="14" t="s">
        <v>267</v>
      </c>
      <c r="E12" s="14" t="s">
        <v>97</v>
      </c>
      <c r="F12" s="17"/>
      <c r="G12" s="19"/>
      <c r="H12" s="17"/>
      <c r="I12" s="19"/>
      <c r="J12" s="17"/>
      <c r="K12" s="19"/>
      <c r="L12" s="17"/>
    </row>
    <row r="13">
      <c r="A13" s="11" t="s">
        <v>268</v>
      </c>
      <c r="B13" s="11" t="s">
        <v>265</v>
      </c>
      <c r="C13" s="13" t="s">
        <v>269</v>
      </c>
      <c r="D13" s="14" t="s">
        <v>270</v>
      </c>
      <c r="E13" s="14" t="s">
        <v>97</v>
      </c>
      <c r="F13" s="17"/>
      <c r="G13" s="19"/>
      <c r="H13" s="17"/>
      <c r="I13" s="19"/>
      <c r="J13" s="17"/>
      <c r="K13" s="19"/>
      <c r="L13" s="17"/>
    </row>
    <row r="14">
      <c r="A14" s="11" t="s">
        <v>271</v>
      </c>
      <c r="B14" s="11" t="s">
        <v>265</v>
      </c>
      <c r="C14" s="13" t="s">
        <v>272</v>
      </c>
      <c r="D14" s="14" t="s">
        <v>273</v>
      </c>
      <c r="E14" s="14" t="s">
        <v>97</v>
      </c>
      <c r="F14" s="17"/>
      <c r="G14" s="19"/>
      <c r="H14" s="17"/>
      <c r="I14" s="19"/>
      <c r="J14" s="17"/>
      <c r="K14" s="19"/>
      <c r="L14" s="17"/>
    </row>
    <row r="15">
      <c r="A15" s="11" t="s">
        <v>274</v>
      </c>
      <c r="B15" s="11" t="s">
        <v>265</v>
      </c>
      <c r="C15" s="13" t="s">
        <v>275</v>
      </c>
      <c r="D15" s="14" t="s">
        <v>276</v>
      </c>
      <c r="E15" s="14" t="s">
        <v>97</v>
      </c>
      <c r="F15" s="17"/>
      <c r="G15" s="19"/>
      <c r="H15" s="17"/>
      <c r="I15" s="19"/>
      <c r="J15" s="17"/>
      <c r="K15" s="19"/>
      <c r="L15"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15"/>
  <mergeCells count="2">
    <mergeCell ref="A1:L1"/>
    <mergeCell ref="A2:L2"/>
  </mergeCells>
  <dataValidations>
    <dataValidation type="list" allowBlank="1" sqref="G4:G15 I4:I15">
      <formula1>"0,1,2,3,N/A"</formula1>
    </dataValidation>
    <dataValidation type="list" allowBlank="1" sqref="K4:K15">
      <formula1>"High,Medium,Low"</formula1>
    </dataValidation>
  </dataValidations>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0"/>
    <col customWidth="1" min="2" max="2" width="22.0"/>
    <col customWidth="1" min="3" max="3" width="44.0"/>
    <col customWidth="1" min="4" max="4" width="62.0"/>
    <col customWidth="1" min="5" max="5" width="50.0"/>
    <col customWidth="1" min="6" max="6" width="46.0"/>
    <col customWidth="1" min="7" max="7" width="7.0"/>
    <col customWidth="1" min="8" max="8" width="46.0"/>
    <col customWidth="1" min="9" max="9" width="7.0"/>
    <col customWidth="1" min="10" max="10" width="48.0"/>
    <col customWidth="1" min="11" max="11" width="10.0"/>
    <col customWidth="1" min="12" max="12" width="50.0"/>
    <col customWidth="1" min="13" max="26" width="8.71"/>
  </cols>
  <sheetData>
    <row r="1" ht="25.5" customHeight="1">
      <c r="A1" s="1" t="s">
        <v>279</v>
      </c>
      <c r="B1" s="2"/>
      <c r="C1" s="2"/>
      <c r="D1" s="2"/>
      <c r="E1" s="2"/>
      <c r="F1" s="2"/>
      <c r="G1" s="2"/>
      <c r="H1" s="2"/>
      <c r="I1" s="2"/>
      <c r="J1" s="2"/>
      <c r="K1" s="2"/>
      <c r="L1" s="3"/>
    </row>
    <row r="2" ht="18.0" customHeight="1">
      <c r="A2" s="4" t="s">
        <v>282</v>
      </c>
      <c r="B2" s="2"/>
      <c r="C2" s="2"/>
      <c r="D2" s="2"/>
      <c r="E2" s="2"/>
      <c r="F2" s="2"/>
      <c r="G2" s="2"/>
      <c r="H2" s="2"/>
      <c r="I2" s="2"/>
      <c r="J2" s="2"/>
      <c r="K2" s="2"/>
      <c r="L2" s="3"/>
    </row>
    <row r="3" ht="33.75" customHeight="1">
      <c r="A3" s="8" t="s">
        <v>19</v>
      </c>
      <c r="B3" s="8" t="s">
        <v>23</v>
      </c>
      <c r="C3" s="8" t="s">
        <v>24</v>
      </c>
      <c r="D3" s="8" t="s">
        <v>26</v>
      </c>
      <c r="E3" s="8" t="s">
        <v>28</v>
      </c>
      <c r="F3" s="9" t="s">
        <v>29</v>
      </c>
      <c r="G3" s="9" t="s">
        <v>33</v>
      </c>
      <c r="H3" s="9" t="s">
        <v>35</v>
      </c>
      <c r="I3" s="9" t="s">
        <v>33</v>
      </c>
      <c r="J3" s="9" t="s">
        <v>37</v>
      </c>
      <c r="K3" s="9" t="s">
        <v>38</v>
      </c>
      <c r="L3" s="9" t="s">
        <v>39</v>
      </c>
    </row>
    <row r="4">
      <c r="A4" s="11" t="s">
        <v>291</v>
      </c>
      <c r="B4" s="11" t="s">
        <v>292</v>
      </c>
      <c r="C4" s="13" t="s">
        <v>293</v>
      </c>
      <c r="D4" s="14" t="s">
        <v>294</v>
      </c>
      <c r="E4" s="14" t="s">
        <v>97</v>
      </c>
      <c r="F4" s="17"/>
      <c r="G4" s="19"/>
      <c r="H4" s="17"/>
      <c r="I4" s="19"/>
      <c r="J4" s="17"/>
      <c r="K4" s="19"/>
      <c r="L4" s="17"/>
    </row>
    <row r="5">
      <c r="A5" s="11" t="s">
        <v>295</v>
      </c>
      <c r="B5" s="11" t="s">
        <v>292</v>
      </c>
      <c r="C5" s="13" t="s">
        <v>296</v>
      </c>
      <c r="D5" s="14" t="s">
        <v>297</v>
      </c>
      <c r="E5" s="14" t="s">
        <v>97</v>
      </c>
      <c r="F5" s="17"/>
      <c r="G5" s="19"/>
      <c r="H5" s="17"/>
      <c r="I5" s="19"/>
      <c r="J5" s="17"/>
      <c r="K5" s="19"/>
      <c r="L5" s="17"/>
    </row>
    <row r="6">
      <c r="A6" s="11" t="s">
        <v>298</v>
      </c>
      <c r="B6" s="11" t="s">
        <v>299</v>
      </c>
      <c r="C6" s="13" t="s">
        <v>300</v>
      </c>
      <c r="D6" s="14" t="s">
        <v>301</v>
      </c>
      <c r="E6" s="14" t="s">
        <v>97</v>
      </c>
      <c r="F6" s="17"/>
      <c r="G6" s="19"/>
      <c r="H6" s="17"/>
      <c r="I6" s="19"/>
      <c r="J6" s="17"/>
      <c r="K6" s="19"/>
      <c r="L6" s="17"/>
    </row>
    <row r="7">
      <c r="A7" s="11" t="s">
        <v>302</v>
      </c>
      <c r="B7" s="11" t="s">
        <v>299</v>
      </c>
      <c r="C7" s="13" t="s">
        <v>303</v>
      </c>
      <c r="D7" s="14" t="s">
        <v>304</v>
      </c>
      <c r="E7" s="14" t="s">
        <v>97</v>
      </c>
      <c r="F7" s="17"/>
      <c r="G7" s="19"/>
      <c r="H7" s="17"/>
      <c r="I7" s="19"/>
      <c r="J7" s="17"/>
      <c r="K7" s="19"/>
      <c r="L7" s="17"/>
    </row>
    <row r="8">
      <c r="A8" s="11" t="s">
        <v>305</v>
      </c>
      <c r="B8" s="11" t="s">
        <v>299</v>
      </c>
      <c r="C8" s="13" t="s">
        <v>306</v>
      </c>
      <c r="D8" s="14" t="s">
        <v>307</v>
      </c>
      <c r="E8" s="14" t="s">
        <v>97</v>
      </c>
      <c r="F8" s="17"/>
      <c r="G8" s="19"/>
      <c r="H8" s="17"/>
      <c r="I8" s="19"/>
      <c r="J8" s="17"/>
      <c r="K8" s="19"/>
      <c r="L8" s="17"/>
    </row>
    <row r="9">
      <c r="A9" s="11" t="s">
        <v>308</v>
      </c>
      <c r="B9" s="11" t="s">
        <v>299</v>
      </c>
      <c r="C9" s="13" t="s">
        <v>309</v>
      </c>
      <c r="D9" s="14" t="s">
        <v>310</v>
      </c>
      <c r="E9" s="14" t="s">
        <v>97</v>
      </c>
      <c r="F9" s="17"/>
      <c r="G9" s="19"/>
      <c r="H9" s="17"/>
      <c r="I9" s="19"/>
      <c r="J9" s="17"/>
      <c r="K9" s="19"/>
      <c r="L9" s="17"/>
    </row>
    <row r="10">
      <c r="A10" s="11" t="s">
        <v>311</v>
      </c>
      <c r="B10" s="11" t="s">
        <v>312</v>
      </c>
      <c r="C10" s="13" t="s">
        <v>313</v>
      </c>
      <c r="D10" s="14" t="s">
        <v>314</v>
      </c>
      <c r="E10" s="14" t="s">
        <v>97</v>
      </c>
      <c r="F10" s="17"/>
      <c r="G10" s="19"/>
      <c r="H10" s="17"/>
      <c r="I10" s="19"/>
      <c r="J10" s="17"/>
      <c r="K10" s="19"/>
      <c r="L10" s="17"/>
    </row>
    <row r="11">
      <c r="A11" s="11" t="s">
        <v>315</v>
      </c>
      <c r="B11" s="11" t="s">
        <v>312</v>
      </c>
      <c r="C11" s="13" t="s">
        <v>316</v>
      </c>
      <c r="D11" s="14" t="s">
        <v>317</v>
      </c>
      <c r="E11" s="14" t="s">
        <v>97</v>
      </c>
      <c r="F11" s="17"/>
      <c r="G11" s="19"/>
      <c r="H11" s="17"/>
      <c r="I11" s="19"/>
      <c r="J11" s="17"/>
      <c r="K11" s="19"/>
      <c r="L11" s="17"/>
    </row>
    <row r="12">
      <c r="A12" s="11" t="s">
        <v>318</v>
      </c>
      <c r="B12" s="11" t="s">
        <v>312</v>
      </c>
      <c r="C12" s="13" t="s">
        <v>319</v>
      </c>
      <c r="D12" s="14" t="s">
        <v>320</v>
      </c>
      <c r="E12" s="14" t="s">
        <v>97</v>
      </c>
      <c r="F12" s="17"/>
      <c r="G12" s="19"/>
      <c r="H12" s="17"/>
      <c r="I12" s="19"/>
      <c r="J12" s="17"/>
      <c r="K12" s="19"/>
      <c r="L12" s="17"/>
    </row>
    <row r="13">
      <c r="A13" s="11" t="s">
        <v>321</v>
      </c>
      <c r="B13" s="11" t="s">
        <v>312</v>
      </c>
      <c r="C13" s="13" t="s">
        <v>322</v>
      </c>
      <c r="D13" s="14" t="s">
        <v>323</v>
      </c>
      <c r="E13" s="14" t="s">
        <v>97</v>
      </c>
      <c r="F13" s="17"/>
      <c r="G13" s="19"/>
      <c r="H13" s="17"/>
      <c r="I13" s="19"/>
      <c r="J13" s="17"/>
      <c r="K13" s="19"/>
      <c r="L13"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13"/>
  <mergeCells count="2">
    <mergeCell ref="A1:L1"/>
    <mergeCell ref="A2:L2"/>
  </mergeCells>
  <dataValidations>
    <dataValidation type="list" allowBlank="1" sqref="G4:G13 I4:I13">
      <formula1>"0,1,2,3,N/A"</formula1>
    </dataValidation>
    <dataValidation type="list" allowBlank="1" sqref="K4:K13">
      <formula1>"High,Medium,Low"</formula1>
    </dataValidation>
  </dataValidations>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2.0"/>
    <col customWidth="1" min="2" max="2" width="34.0"/>
    <col customWidth="1" min="3" max="5" width="22.0"/>
    <col customWidth="1" min="6" max="26" width="8.71"/>
  </cols>
  <sheetData>
    <row r="1" ht="25.5" customHeight="1">
      <c r="A1" s="1" t="s">
        <v>278</v>
      </c>
      <c r="B1" s="2"/>
      <c r="C1" s="2"/>
      <c r="D1" s="2"/>
      <c r="E1" s="3"/>
    </row>
    <row r="2" ht="18.0" customHeight="1">
      <c r="A2" s="4" t="s">
        <v>280</v>
      </c>
      <c r="B2" s="2"/>
      <c r="C2" s="2"/>
      <c r="D2" s="2"/>
      <c r="E2" s="3"/>
    </row>
    <row r="3" ht="27.75" customHeight="1">
      <c r="A3" s="8" t="s">
        <v>283</v>
      </c>
      <c r="B3" s="8" t="s">
        <v>23</v>
      </c>
      <c r="C3" s="9" t="s">
        <v>16</v>
      </c>
      <c r="D3" s="9" t="s">
        <v>17</v>
      </c>
      <c r="E3" s="9" t="s">
        <v>287</v>
      </c>
    </row>
    <row r="4">
      <c r="A4" s="24" t="s">
        <v>2</v>
      </c>
      <c r="B4" s="25" t="s">
        <v>41</v>
      </c>
      <c r="C4" s="26">
        <f>IFERROR(AVERAGEIFS('02 Casino Silo'!$G$4:$G$19,'02 Casino Silo'!$B$4:$B$19,$B4),"")</f>
        <v>1.75</v>
      </c>
      <c r="D4" s="26">
        <f>IFERROR(AVERAGEIFS('02 Casino Silo'!$I$4:$I$19,'02 Casino Silo'!$B$4:$B$19,$B4),"")</f>
        <v>1.5</v>
      </c>
      <c r="E4" s="27">
        <f t="shared" ref="E4:E21" si="1">IFERROR(D4-C4,"")</f>
        <v>-0.25</v>
      </c>
    </row>
    <row r="5">
      <c r="A5" s="24" t="s">
        <v>2</v>
      </c>
      <c r="B5" s="25" t="s">
        <v>118</v>
      </c>
      <c r="C5" s="26">
        <f>IFERROR(AVERAGEIFS('02 Casino Silo'!$G$4:$G$19,'02 Casino Silo'!$B$4:$B$19,$B5),"")</f>
        <v>0</v>
      </c>
      <c r="D5" s="26">
        <f>IFERROR(AVERAGEIFS('02 Casino Silo'!$I$4:$I$19,'02 Casino Silo'!$B$4:$B$19,$B5),"")</f>
        <v>0</v>
      </c>
      <c r="E5" s="27">
        <f t="shared" si="1"/>
        <v>0</v>
      </c>
    </row>
    <row r="6">
      <c r="A6" s="24" t="s">
        <v>2</v>
      </c>
      <c r="B6" s="25" t="s">
        <v>166</v>
      </c>
      <c r="C6" s="26">
        <f>IFERROR(AVERAGEIFS('02 Casino Silo'!$G$4:$G$19,'02 Casino Silo'!$B$4:$B$19,$B6),"")</f>
        <v>0.3333333333</v>
      </c>
      <c r="D6" s="26">
        <f>IFERROR(AVERAGEIFS('02 Casino Silo'!$I$4:$I$19,'02 Casino Silo'!$B$4:$B$19,$B6),"")</f>
        <v>0.3333333333</v>
      </c>
      <c r="E6" s="27">
        <f t="shared" si="1"/>
        <v>0</v>
      </c>
    </row>
    <row r="7">
      <c r="A7" s="24" t="s">
        <v>2</v>
      </c>
      <c r="B7" s="25" t="s">
        <v>216</v>
      </c>
      <c r="C7" s="26">
        <f>IFERROR(AVERAGEIFS('02 Casino Silo'!$G$4:$G$19,'02 Casino Silo'!$B$4:$B$19,$B7),"")</f>
        <v>1.666666667</v>
      </c>
      <c r="D7" s="26">
        <f>IFERROR(AVERAGEIFS('02 Casino Silo'!$I$4:$I$19,'02 Casino Silo'!$B$4:$B$19,$B7),"")</f>
        <v>1.333333333</v>
      </c>
      <c r="E7" s="27">
        <f t="shared" si="1"/>
        <v>-0.3333333333</v>
      </c>
    </row>
    <row r="8">
      <c r="A8" s="28" t="s">
        <v>2</v>
      </c>
      <c r="B8" s="28" t="s">
        <v>324</v>
      </c>
      <c r="C8" s="29">
        <f>IFERROR(AVERAGE('02 Casino Silo'!$G$4:$G$19),"")</f>
        <v>0.8666666667</v>
      </c>
      <c r="D8" s="29">
        <f>IFERROR(AVERAGE('02 Casino Silo'!$I$4:$I$19),"")</f>
        <v>0.7333333333</v>
      </c>
      <c r="E8" s="30">
        <f t="shared" si="1"/>
        <v>-0.1333333333</v>
      </c>
    </row>
    <row r="9">
      <c r="A9" s="24" t="s">
        <v>3</v>
      </c>
      <c r="B9" s="25" t="s">
        <v>41</v>
      </c>
      <c r="C9" s="26" t="str">
        <f>IFERROR(AVERAGEIFS('03 Sports Silo'!$G$4:$G$18,'03 Sports Silo'!$B$4:$B$18,$B9),"")</f>
        <v/>
      </c>
      <c r="D9" s="26" t="str">
        <f>IFERROR(AVERAGEIFS('03 Sports Silo'!$I$4:$I$18,'03 Sports Silo'!$B$4:$B$18,$B9),"")</f>
        <v/>
      </c>
      <c r="E9" s="27">
        <f t="shared" si="1"/>
        <v>0</v>
      </c>
    </row>
    <row r="10">
      <c r="A10" s="24" t="s">
        <v>3</v>
      </c>
      <c r="B10" s="25" t="s">
        <v>118</v>
      </c>
      <c r="C10" s="26" t="str">
        <f>IFERROR(AVERAGEIFS('03 Sports Silo'!$G$4:$G$18,'03 Sports Silo'!$B$4:$B$18,$B10),"")</f>
        <v/>
      </c>
      <c r="D10" s="26" t="str">
        <f>IFERROR(AVERAGEIFS('03 Sports Silo'!$I$4:$I$18,'03 Sports Silo'!$B$4:$B$18,$B10),"")</f>
        <v/>
      </c>
      <c r="E10" s="27">
        <f t="shared" si="1"/>
        <v>0</v>
      </c>
    </row>
    <row r="11">
      <c r="A11" s="24" t="s">
        <v>3</v>
      </c>
      <c r="B11" s="25" t="s">
        <v>166</v>
      </c>
      <c r="C11" s="26" t="str">
        <f>IFERROR(AVERAGEIFS('03 Sports Silo'!$G$4:$G$18,'03 Sports Silo'!$B$4:$B$18,$B11),"")</f>
        <v/>
      </c>
      <c r="D11" s="26" t="str">
        <f>IFERROR(AVERAGEIFS('03 Sports Silo'!$I$4:$I$18,'03 Sports Silo'!$B$4:$B$18,$B11),"")</f>
        <v/>
      </c>
      <c r="E11" s="27">
        <f t="shared" si="1"/>
        <v>0</v>
      </c>
    </row>
    <row r="12">
      <c r="A12" s="24" t="s">
        <v>3</v>
      </c>
      <c r="B12" s="25" t="s">
        <v>216</v>
      </c>
      <c r="C12" s="26" t="str">
        <f>IFERROR(AVERAGEIFS('03 Sports Silo'!$G$4:$G$18,'03 Sports Silo'!$B$4:$B$18,$B12),"")</f>
        <v/>
      </c>
      <c r="D12" s="26" t="str">
        <f>IFERROR(AVERAGEIFS('03 Sports Silo'!$I$4:$I$18,'03 Sports Silo'!$B$4:$B$18,$B12),"")</f>
        <v/>
      </c>
      <c r="E12" s="27">
        <f t="shared" si="1"/>
        <v>0</v>
      </c>
    </row>
    <row r="13">
      <c r="A13" s="28" t="s">
        <v>3</v>
      </c>
      <c r="B13" s="28" t="s">
        <v>325</v>
      </c>
      <c r="C13" s="29" t="str">
        <f>IFERROR(AVERAGE('03 Sports Silo'!$G$4:$G$18),"")</f>
        <v/>
      </c>
      <c r="D13" s="29" t="str">
        <f>IFERROR(AVERAGE('03 Sports Silo'!$I$4:$I$18),"")</f>
        <v/>
      </c>
      <c r="E13" s="30">
        <f t="shared" si="1"/>
        <v>0</v>
      </c>
    </row>
    <row r="14">
      <c r="A14" s="24" t="s">
        <v>179</v>
      </c>
      <c r="B14" s="25" t="s">
        <v>205</v>
      </c>
      <c r="C14" s="26" t="str">
        <f>IFERROR(AVERAGEIFS('04 Content &amp; Guides'!$G$4:$G$15,'04 Content &amp; Guides'!$B$4:$B$15,$B14),"")</f>
        <v/>
      </c>
      <c r="D14" s="26" t="str">
        <f>IFERROR(AVERAGEIFS('04 Content &amp; Guides'!$I$4:$I$15,'04 Content &amp; Guides'!$B$4:$B$15,$B14),"")</f>
        <v/>
      </c>
      <c r="E14" s="27">
        <f t="shared" si="1"/>
        <v>0</v>
      </c>
    </row>
    <row r="15">
      <c r="A15" s="24" t="s">
        <v>179</v>
      </c>
      <c r="B15" s="25" t="s">
        <v>244</v>
      </c>
      <c r="C15" s="26" t="str">
        <f>IFERROR(AVERAGEIFS('04 Content &amp; Guides'!$G$4:$G$15,'04 Content &amp; Guides'!$B$4:$B$15,$B15),"")</f>
        <v/>
      </c>
      <c r="D15" s="26" t="str">
        <f>IFERROR(AVERAGEIFS('04 Content &amp; Guides'!$I$4:$I$15,'04 Content &amp; Guides'!$B$4:$B$15,$B15),"")</f>
        <v/>
      </c>
      <c r="E15" s="27">
        <f t="shared" si="1"/>
        <v>0</v>
      </c>
    </row>
    <row r="16">
      <c r="A16" s="24" t="s">
        <v>179</v>
      </c>
      <c r="B16" s="25" t="s">
        <v>265</v>
      </c>
      <c r="C16" s="26" t="str">
        <f>IFERROR(AVERAGEIFS('04 Content &amp; Guides'!$G$4:$G$15,'04 Content &amp; Guides'!$B$4:$B$15,$B16),"")</f>
        <v/>
      </c>
      <c r="D16" s="26" t="str">
        <f>IFERROR(AVERAGEIFS('04 Content &amp; Guides'!$I$4:$I$15,'04 Content &amp; Guides'!$B$4:$B$15,$B16),"")</f>
        <v/>
      </c>
      <c r="E16" s="27">
        <f t="shared" si="1"/>
        <v>0</v>
      </c>
    </row>
    <row r="17">
      <c r="A17" s="28" t="s">
        <v>179</v>
      </c>
      <c r="B17" s="28" t="s">
        <v>326</v>
      </c>
      <c r="C17" s="29" t="str">
        <f>IFERROR(AVERAGE('04 Content &amp; Guides'!$G$4:$G$15),"")</f>
        <v/>
      </c>
      <c r="D17" s="29" t="str">
        <f>IFERROR(AVERAGE('04 Content &amp; Guides'!$I$4:$I$15),"")</f>
        <v/>
      </c>
      <c r="E17" s="30">
        <f t="shared" si="1"/>
        <v>0</v>
      </c>
    </row>
    <row r="18">
      <c r="A18" s="24" t="s">
        <v>279</v>
      </c>
      <c r="B18" s="25" t="s">
        <v>292</v>
      </c>
      <c r="C18" s="26" t="str">
        <f>IFERROR(AVERAGEIFS('05 Local &amp; Authority'!$G$4:$G$13,'05 Local &amp; Authority'!$B$4:$B$13,$B18),"")</f>
        <v/>
      </c>
      <c r="D18" s="26" t="str">
        <f>IFERROR(AVERAGEIFS('05 Local &amp; Authority'!$I$4:$I$13,'05 Local &amp; Authority'!$B$4:$B$13,$B18),"")</f>
        <v/>
      </c>
      <c r="E18" s="27">
        <f t="shared" si="1"/>
        <v>0</v>
      </c>
    </row>
    <row r="19">
      <c r="A19" s="24" t="s">
        <v>279</v>
      </c>
      <c r="B19" s="25" t="s">
        <v>299</v>
      </c>
      <c r="C19" s="26" t="str">
        <f>IFERROR(AVERAGEIFS('05 Local &amp; Authority'!$G$4:$G$13,'05 Local &amp; Authority'!$B$4:$B$13,$B19),"")</f>
        <v/>
      </c>
      <c r="D19" s="26" t="str">
        <f>IFERROR(AVERAGEIFS('05 Local &amp; Authority'!$I$4:$I$13,'05 Local &amp; Authority'!$B$4:$B$13,$B19),"")</f>
        <v/>
      </c>
      <c r="E19" s="27">
        <f t="shared" si="1"/>
        <v>0</v>
      </c>
    </row>
    <row r="20">
      <c r="A20" s="24" t="s">
        <v>279</v>
      </c>
      <c r="B20" s="25" t="s">
        <v>312</v>
      </c>
      <c r="C20" s="26" t="str">
        <f>IFERROR(AVERAGEIFS('05 Local &amp; Authority'!$G$4:$G$13,'05 Local &amp; Authority'!$B$4:$B$13,$B20),"")</f>
        <v/>
      </c>
      <c r="D20" s="26" t="str">
        <f>IFERROR(AVERAGEIFS('05 Local &amp; Authority'!$I$4:$I$13,'05 Local &amp; Authority'!$B$4:$B$13,$B20),"")</f>
        <v/>
      </c>
      <c r="E20" s="27">
        <f t="shared" si="1"/>
        <v>0</v>
      </c>
    </row>
    <row r="21" ht="15.75" customHeight="1">
      <c r="A21" s="28" t="s">
        <v>279</v>
      </c>
      <c r="B21" s="28" t="s">
        <v>327</v>
      </c>
      <c r="C21" s="29" t="str">
        <f>IFERROR(AVERAGE('05 Local &amp; Authority'!$G$4:$G$13),"")</f>
        <v/>
      </c>
      <c r="D21" s="29" t="str">
        <f>IFERROR(AVERAGE('05 Local &amp; Authority'!$I$4:$I$13),"")</f>
        <v/>
      </c>
      <c r="E21" s="30">
        <f t="shared" si="1"/>
        <v>0</v>
      </c>
    </row>
    <row r="22" ht="15.75" customHeight="1"/>
    <row r="23" ht="15.75" customHeight="1">
      <c r="A23" s="31"/>
      <c r="B23" s="31" t="s">
        <v>328</v>
      </c>
      <c r="C23" s="32">
        <f t="shared" ref="C23:D23" si="2">IFERROR(AVERAGE(C8,C13,C17,C21),"")</f>
        <v>0.8666666667</v>
      </c>
      <c r="D23" s="32">
        <f t="shared" si="2"/>
        <v>0.7333333333</v>
      </c>
      <c r="E23" s="33">
        <f>IFERROR(D23-C23,"")</f>
        <v>-0.1333333333</v>
      </c>
    </row>
    <row r="24" ht="15.75" customHeight="1">
      <c r="B24" s="34" t="s">
        <v>329</v>
      </c>
    </row>
    <row r="25" ht="15.75" customHeight="1"/>
    <row r="26" ht="15.75" customHeight="1">
      <c r="A26" s="35" t="s">
        <v>330</v>
      </c>
      <c r="B26" s="2"/>
      <c r="C26" s="2"/>
      <c r="D26" s="2"/>
      <c r="E26" s="3"/>
    </row>
    <row r="27" ht="15.75" customHeight="1">
      <c r="A27" s="36" t="s">
        <v>283</v>
      </c>
      <c r="B27" s="36" t="s">
        <v>117</v>
      </c>
      <c r="C27" s="36" t="s">
        <v>82</v>
      </c>
      <c r="D27" s="36" t="s">
        <v>134</v>
      </c>
      <c r="E27" s="36" t="s">
        <v>331</v>
      </c>
    </row>
    <row r="28" ht="15.75" customHeight="1">
      <c r="A28" s="37" t="s">
        <v>2</v>
      </c>
      <c r="B28" s="38">
        <f>COUNTIFS('02 Casino Silo'!$K$4:$K$19,"High")</f>
        <v>6</v>
      </c>
      <c r="C28" s="38">
        <f>COUNTIFS('02 Casino Silo'!$K$4:$K$19,"Medium")</f>
        <v>4</v>
      </c>
      <c r="D28" s="38">
        <f>COUNTIFS('02 Casino Silo'!$K$4:$K$19,"Low")</f>
        <v>3</v>
      </c>
      <c r="E28" s="39">
        <f>IFERROR(COUNT('02 Casino Silo'!$I$4:$I$19)/16,0)</f>
        <v>0.9375</v>
      </c>
    </row>
    <row r="29" ht="15.75" customHeight="1">
      <c r="A29" s="37" t="s">
        <v>3</v>
      </c>
      <c r="B29" s="38">
        <f>COUNTIFS('03 Sports Silo'!$K$4:$K$18,"High")</f>
        <v>0</v>
      </c>
      <c r="C29" s="38">
        <f>COUNTIFS('03 Sports Silo'!$K$4:$K$18,"Medium")</f>
        <v>0</v>
      </c>
      <c r="D29" s="38">
        <f>COUNTIFS('03 Sports Silo'!$K$4:$K$18,"Low")</f>
        <v>0</v>
      </c>
      <c r="E29" s="39">
        <f>IFERROR(COUNT('03 Sports Silo'!$I$4:$I$18)/15,0)</f>
        <v>0</v>
      </c>
    </row>
    <row r="30" ht="15.75" customHeight="1">
      <c r="A30" s="37" t="s">
        <v>179</v>
      </c>
      <c r="B30" s="38">
        <f>COUNTIFS('04 Content &amp; Guides'!$K$4:$K$15,"High")</f>
        <v>0</v>
      </c>
      <c r="C30" s="38">
        <f>COUNTIFS('04 Content &amp; Guides'!$K$4:$K$15,"Medium")</f>
        <v>0</v>
      </c>
      <c r="D30" s="38">
        <f>COUNTIFS('04 Content &amp; Guides'!$K$4:$K$15,"Low")</f>
        <v>0</v>
      </c>
      <c r="E30" s="39">
        <f>IFERROR(COUNT('04 Content &amp; Guides'!$I$4:$I$15)/12,0)</f>
        <v>0</v>
      </c>
    </row>
    <row r="31" ht="15.75" customHeight="1">
      <c r="A31" s="37" t="s">
        <v>279</v>
      </c>
      <c r="B31" s="38">
        <f>COUNTIFS('05 Local &amp; Authority'!$K$4:$K$13,"High")</f>
        <v>0</v>
      </c>
      <c r="C31" s="38">
        <f>COUNTIFS('05 Local &amp; Authority'!$K$4:$K$13,"Medium")</f>
        <v>0</v>
      </c>
      <c r="D31" s="38">
        <f>COUNTIFS('05 Local &amp; Authority'!$K$4:$K$13,"Low")</f>
        <v>0</v>
      </c>
      <c r="E31" s="39">
        <f>IFERROR(COUNT('05 Local &amp; Authority'!$I$4:$I$13)/10,0)</f>
        <v>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E2"/>
    <mergeCell ref="A26:E26"/>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8.0"/>
    <col customWidth="1" min="2" max="2" width="22.0"/>
    <col customWidth="1" min="3" max="3" width="46.0"/>
    <col customWidth="1" min="4" max="5" width="60.0"/>
    <col customWidth="1" min="6" max="6" width="16.0"/>
    <col customWidth="1" min="7" max="8" width="12.0"/>
    <col customWidth="1" min="9" max="26" width="8.71"/>
  </cols>
  <sheetData>
    <row r="1" ht="25.5" customHeight="1">
      <c r="A1" s="1" t="s">
        <v>277</v>
      </c>
      <c r="B1" s="2"/>
      <c r="C1" s="2"/>
      <c r="D1" s="2"/>
      <c r="E1" s="2"/>
      <c r="F1" s="2"/>
      <c r="G1" s="2"/>
      <c r="H1" s="3"/>
    </row>
    <row r="2" ht="18.0" customHeight="1">
      <c r="A2" s="4" t="s">
        <v>281</v>
      </c>
      <c r="B2" s="2"/>
      <c r="C2" s="2"/>
      <c r="D2" s="2"/>
      <c r="E2" s="2"/>
      <c r="F2" s="2"/>
      <c r="G2" s="2"/>
      <c r="H2" s="3"/>
    </row>
    <row r="3" ht="30.0" customHeight="1">
      <c r="A3" s="9" t="s">
        <v>19</v>
      </c>
      <c r="B3" s="9" t="s">
        <v>284</v>
      </c>
      <c r="C3" s="9" t="s">
        <v>285</v>
      </c>
      <c r="D3" s="9" t="s">
        <v>286</v>
      </c>
      <c r="E3" s="9" t="s">
        <v>39</v>
      </c>
      <c r="F3" s="9" t="s">
        <v>288</v>
      </c>
      <c r="G3" s="9" t="s">
        <v>289</v>
      </c>
      <c r="H3" s="9" t="s">
        <v>290</v>
      </c>
    </row>
    <row r="4">
      <c r="A4" s="17"/>
      <c r="B4" s="17"/>
      <c r="C4" s="17"/>
      <c r="D4" s="17"/>
      <c r="E4" s="17"/>
      <c r="F4" s="17"/>
      <c r="G4" s="17"/>
      <c r="H4" s="17"/>
    </row>
    <row r="5">
      <c r="A5" s="17"/>
      <c r="B5" s="17"/>
      <c r="C5" s="17"/>
      <c r="D5" s="17"/>
      <c r="E5" s="17"/>
      <c r="F5" s="17"/>
      <c r="G5" s="17"/>
      <c r="H5" s="17"/>
    </row>
    <row r="6">
      <c r="A6" s="17"/>
      <c r="B6" s="17"/>
      <c r="C6" s="17"/>
      <c r="D6" s="17"/>
      <c r="E6" s="17"/>
      <c r="F6" s="17"/>
      <c r="G6" s="17"/>
      <c r="H6" s="17"/>
    </row>
    <row r="7">
      <c r="A7" s="17"/>
      <c r="B7" s="17"/>
      <c r="C7" s="17"/>
      <c r="D7" s="17"/>
      <c r="E7" s="17"/>
      <c r="F7" s="17"/>
      <c r="G7" s="17"/>
      <c r="H7" s="17"/>
    </row>
    <row r="8">
      <c r="A8" s="17"/>
      <c r="B8" s="17"/>
      <c r="C8" s="17"/>
      <c r="D8" s="17"/>
      <c r="E8" s="17"/>
      <c r="F8" s="17"/>
      <c r="G8" s="17"/>
      <c r="H8" s="17"/>
    </row>
    <row r="9">
      <c r="A9" s="17"/>
      <c r="B9" s="17"/>
      <c r="C9" s="17"/>
      <c r="D9" s="17"/>
      <c r="E9" s="17"/>
      <c r="F9" s="17"/>
      <c r="G9" s="17"/>
      <c r="H9" s="17"/>
    </row>
    <row r="10">
      <c r="A10" s="17"/>
      <c r="B10" s="17"/>
      <c r="C10" s="17"/>
      <c r="D10" s="17"/>
      <c r="E10" s="17"/>
      <c r="F10" s="17"/>
      <c r="G10" s="17"/>
      <c r="H10" s="17"/>
    </row>
    <row r="11">
      <c r="A11" s="17"/>
      <c r="B11" s="17"/>
      <c r="C11" s="17"/>
      <c r="D11" s="17"/>
      <c r="E11" s="17"/>
      <c r="F11" s="17"/>
      <c r="G11" s="17"/>
      <c r="H11" s="17"/>
    </row>
    <row r="12">
      <c r="A12" s="17"/>
      <c r="B12" s="17"/>
      <c r="C12" s="17"/>
      <c r="D12" s="17"/>
      <c r="E12" s="17"/>
      <c r="F12" s="17"/>
      <c r="G12" s="17"/>
      <c r="H12" s="17"/>
    </row>
    <row r="13">
      <c r="A13" s="17"/>
      <c r="B13" s="17"/>
      <c r="C13" s="17"/>
      <c r="D13" s="17"/>
      <c r="E13" s="17"/>
      <c r="F13" s="17"/>
      <c r="G13" s="17"/>
      <c r="H13" s="17"/>
    </row>
    <row r="14">
      <c r="A14" s="17"/>
      <c r="B14" s="17"/>
      <c r="C14" s="17"/>
      <c r="D14" s="17"/>
      <c r="E14" s="17"/>
      <c r="F14" s="17"/>
      <c r="G14" s="17"/>
      <c r="H14" s="17"/>
    </row>
    <row r="15">
      <c r="A15" s="17"/>
      <c r="B15" s="17"/>
      <c r="C15" s="17"/>
      <c r="D15" s="17"/>
      <c r="E15" s="17"/>
      <c r="F15" s="17"/>
      <c r="G15" s="17"/>
      <c r="H15" s="17"/>
    </row>
    <row r="16">
      <c r="A16" s="17"/>
      <c r="B16" s="17"/>
      <c r="C16" s="17"/>
      <c r="D16" s="17"/>
      <c r="E16" s="17"/>
      <c r="F16" s="17"/>
      <c r="G16" s="17"/>
      <c r="H16" s="17"/>
    </row>
    <row r="17">
      <c r="A17" s="17"/>
      <c r="B17" s="17"/>
      <c r="C17" s="17"/>
      <c r="D17" s="17"/>
      <c r="E17" s="17"/>
      <c r="F17" s="17"/>
      <c r="G17" s="17"/>
      <c r="H17" s="17"/>
    </row>
    <row r="18">
      <c r="A18" s="17"/>
      <c r="B18" s="17"/>
      <c r="C18" s="17"/>
      <c r="D18" s="17"/>
      <c r="E18" s="17"/>
      <c r="F18" s="17"/>
      <c r="G18" s="17"/>
      <c r="H18" s="17"/>
    </row>
    <row r="19">
      <c r="A19" s="17"/>
      <c r="B19" s="17"/>
      <c r="C19" s="17"/>
      <c r="D19" s="17"/>
      <c r="E19" s="17"/>
      <c r="F19" s="17"/>
      <c r="G19" s="17"/>
      <c r="H19" s="17"/>
    </row>
    <row r="20">
      <c r="A20" s="17"/>
      <c r="B20" s="17"/>
      <c r="C20" s="17"/>
      <c r="D20" s="17"/>
      <c r="E20" s="17"/>
      <c r="F20" s="17"/>
      <c r="G20" s="17"/>
      <c r="H20" s="17"/>
    </row>
    <row r="21" ht="15.75" customHeight="1">
      <c r="A21" s="17"/>
      <c r="B21" s="17"/>
      <c r="C21" s="17"/>
      <c r="D21" s="17"/>
      <c r="E21" s="17"/>
      <c r="F21" s="17"/>
      <c r="G21" s="17"/>
      <c r="H21" s="17"/>
    </row>
    <row r="22" ht="15.75" customHeight="1">
      <c r="A22" s="17"/>
      <c r="B22" s="17"/>
      <c r="C22" s="17"/>
      <c r="D22" s="17"/>
      <c r="E22" s="17"/>
      <c r="F22" s="17"/>
      <c r="G22" s="17"/>
      <c r="H22" s="17"/>
    </row>
    <row r="23" ht="15.75" customHeight="1">
      <c r="A23" s="17"/>
      <c r="B23" s="17"/>
      <c r="C23" s="17"/>
      <c r="D23" s="17"/>
      <c r="E23" s="17"/>
      <c r="F23" s="17"/>
      <c r="G23" s="17"/>
      <c r="H23" s="17"/>
    </row>
    <row r="24" ht="15.75" customHeight="1">
      <c r="A24" s="17"/>
      <c r="B24" s="17"/>
      <c r="C24" s="17"/>
      <c r="D24" s="17"/>
      <c r="E24" s="17"/>
      <c r="F24" s="17"/>
      <c r="G24" s="17"/>
      <c r="H24" s="17"/>
    </row>
    <row r="25" ht="15.75" customHeight="1">
      <c r="A25" s="17"/>
      <c r="B25" s="17"/>
      <c r="C25" s="17"/>
      <c r="D25" s="17"/>
      <c r="E25" s="17"/>
      <c r="F25" s="17"/>
      <c r="G25" s="17"/>
      <c r="H25" s="17"/>
    </row>
    <row r="26" ht="15.75" customHeight="1">
      <c r="A26" s="17"/>
      <c r="B26" s="17"/>
      <c r="C26" s="17"/>
      <c r="D26" s="17"/>
      <c r="E26" s="17"/>
      <c r="F26" s="17"/>
      <c r="G26" s="17"/>
      <c r="H26" s="17"/>
    </row>
    <row r="27" ht="15.75" customHeight="1">
      <c r="A27" s="17"/>
      <c r="B27" s="17"/>
      <c r="C27" s="17"/>
      <c r="D27" s="17"/>
      <c r="E27" s="17"/>
      <c r="F27" s="17"/>
      <c r="G27" s="17"/>
      <c r="H27" s="17"/>
    </row>
    <row r="28" ht="15.75" customHeight="1">
      <c r="A28" s="17"/>
      <c r="B28" s="17"/>
      <c r="C28" s="17"/>
      <c r="D28" s="17"/>
      <c r="E28" s="17"/>
      <c r="F28" s="17"/>
      <c r="G28" s="17"/>
      <c r="H28" s="17"/>
    </row>
    <row r="29" ht="15.75" customHeight="1">
      <c r="A29" s="17"/>
      <c r="B29" s="17"/>
      <c r="C29" s="17"/>
      <c r="D29" s="17"/>
      <c r="E29" s="17"/>
      <c r="F29" s="17"/>
      <c r="G29" s="17"/>
      <c r="H29" s="17"/>
    </row>
    <row r="30" ht="15.75" customHeight="1">
      <c r="A30" s="17"/>
      <c r="B30" s="17"/>
      <c r="C30" s="17"/>
      <c r="D30" s="17"/>
      <c r="E30" s="17"/>
      <c r="F30" s="17"/>
      <c r="G30" s="17"/>
      <c r="H30" s="17"/>
    </row>
    <row r="31" ht="15.75" customHeight="1">
      <c r="A31" s="17"/>
      <c r="B31" s="17"/>
      <c r="C31" s="17"/>
      <c r="D31" s="17"/>
      <c r="E31" s="17"/>
      <c r="F31" s="17"/>
      <c r="G31" s="17"/>
      <c r="H31" s="17"/>
    </row>
    <row r="32" ht="15.75" customHeight="1">
      <c r="A32" s="17"/>
      <c r="B32" s="17"/>
      <c r="C32" s="17"/>
      <c r="D32" s="17"/>
      <c r="E32" s="17"/>
      <c r="F32" s="17"/>
      <c r="G32" s="17"/>
      <c r="H32" s="17"/>
    </row>
    <row r="33" ht="15.75" customHeight="1">
      <c r="A33" s="17"/>
      <c r="B33" s="17"/>
      <c r="C33" s="17"/>
      <c r="D33" s="17"/>
      <c r="E33" s="17"/>
      <c r="F33" s="17"/>
      <c r="G33" s="17"/>
      <c r="H33" s="1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B4:B33">
      <formula1>"02 Casino Silo,03 Sports Silo,04 Content &amp; Guides,05 Local &amp; Authority"</formula1>
    </dataValidation>
    <dataValidation type="list" allowBlank="1" sqref="G4:H33">
      <formula1>"High,Medium,Low"</formula1>
    </dataValidation>
    <dataValidation type="list" allowBlank="1" sqref="F4:F33">
      <formula1>"Casino,Sports,Content,Local,Authority,Cross-site"</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2026-08-04T14:49:41Z</dcterms:created>
  <dc:creator>openpyxl</dc:creator>
</cp:coreProperties>
</file>

<file path=docProps/custom.xml><?xml version="1.0" encoding="utf-8"?>
<Properties xmlns="http://schemas.openxmlformats.org/officeDocument/2006/custom-properties" xmlns:vt="http://schemas.openxmlformats.org/officeDocument/2006/docPropsVTypes"/>
</file>