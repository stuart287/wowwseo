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ed terms" sheetId="1" r:id="rId5"/>
    <sheet state="visible" name="Overview" sheetId="2" r:id="rId6"/>
    <sheet state="visible" name="Matching" sheetId="3" r:id="rId7"/>
    <sheet state="visible" name="Questions" sheetId="4" r:id="rId8"/>
    <sheet state="visible" name="Related" sheetId="5" r:id="rId9"/>
  </sheets>
  <definedNames>
    <definedName hidden="1" localSheetId="1" name="_xlnm._FilterDatabase">Overview!$A$1:$Z$12610</definedName>
    <definedName hidden="1" localSheetId="2" name="_xlnm._FilterDatabase">Matching!$A$1:$Z$1000</definedName>
    <definedName hidden="1" localSheetId="3" name="_xlnm._FilterDatabase">Questions!$A$1:$Z$1000</definedName>
    <definedName hidden="1" localSheetId="4" name="_xlnm._FilterDatabase">Related!$A$1:$Z$1000</definedName>
  </definedNames>
  <calcPr/>
</workbook>
</file>

<file path=xl/sharedStrings.xml><?xml version="1.0" encoding="utf-8"?>
<sst xmlns="http://schemas.openxmlformats.org/spreadsheetml/2006/main" count="1185" uniqueCount="359">
  <si>
    <t>#</t>
  </si>
  <si>
    <t>Keyword</t>
  </si>
  <si>
    <t>Country</t>
  </si>
  <si>
    <t>Difficulty</t>
  </si>
  <si>
    <t>Volume</t>
  </si>
  <si>
    <t>CPC</t>
  </si>
  <si>
    <t>CPS</t>
  </si>
  <si>
    <t>Parent Keyword</t>
  </si>
  <si>
    <t>Last Update</t>
  </si>
  <si>
    <t>SERP Features</t>
  </si>
  <si>
    <t>Global volume</t>
  </si>
  <si>
    <t>Traffic potential</t>
  </si>
  <si>
    <t>Global traffic potential</t>
  </si>
  <si>
    <t>First seen</t>
  </si>
  <si>
    <t>Intents</t>
  </si>
  <si>
    <t>Languages</t>
  </si>
  <si>
    <t>SV trend (08-2024 - 07-2026)</t>
  </si>
  <si>
    <t>SV Forecasting trend (08-2026 - 08-2027)</t>
  </si>
  <si>
    <t>Category</t>
  </si>
  <si>
    <t>leak detection school</t>
  </si>
  <si>
    <t>plumbing services</t>
  </si>
  <si>
    <t>za</t>
  </si>
  <si>
    <t>how to start a drain cleaning business</t>
  </si>
  <si>
    <t>emergency plumbing</t>
  </si>
  <si>
    <t>geyser repairs</t>
  </si>
  <si>
    <t>drain cleaning</t>
  </si>
  <si>
    <t>electrical repairs</t>
  </si>
  <si>
    <t>air conditioning services</t>
  </si>
  <si>
    <t>refrigeration services</t>
  </si>
  <si>
    <t>leak detection</t>
  </si>
  <si>
    <t>maintenance plumber</t>
  </si>
  <si>
    <t>plumbing company</t>
  </si>
  <si>
    <t>Combined - base phrase + modifier</t>
  </si>
  <si>
    <t>0, 0, 0, 0, 0, 0, 0, 0, 0, 0, 0, 0, 0, 1, 0, 0, 0, 0, 0, 0, 0, 0, 0, 1</t>
  </si>
  <si>
    <t>plumbing services home</t>
  </si>
  <si>
    <t>0, 0, 0, 0, 0, 0, 0, 0, 0, 0, 0, 0, 0, 0, 0, 0, 0, 0, 0, 0, 0, 0, 0, 1</t>
  </si>
  <si>
    <t>drain cleaning business</t>
  </si>
  <si>
    <t>2, 2, 5, 4, 3, 1, 5, 6, 4, 6, 4, 3, 3, 1, 0, 2, 0, 2, 1, 1, 0, 0, 2, 1</t>
  </si>
  <si>
    <t>electrical repairs shop</t>
  </si>
  <si>
    <t>0, 0, 0, 1, 0, 1, 1, 0, 0, 0, 0, 1, 0, 0, 1, 0, 0, 0, 0, 0, 0, 0, 0, 1</t>
  </si>
  <si>
    <t>air conditioning services apartment</t>
  </si>
  <si>
    <t>0, 1, 0, 0, 0, 2, 1, 0, 1, 1, 2, 1, 0, 0, 0, 0, 0, 2, 0, 0, 1, 0, 0, 1</t>
  </si>
  <si>
    <t>air conditioning services body corporate</t>
  </si>
  <si>
    <t>air conditioning services building</t>
  </si>
  <si>
    <t>how to grow a sewer and drain cleaning business</t>
  </si>
  <si>
    <t>air conditioning services business</t>
  </si>
  <si>
    <t>0, 0, 0, 0, 0, 1, 1, 0, 0, 0, 0, 0, 0, 0, 0, 0, 0, 0, 0, 0, 1, 0, 0, 1</t>
  </si>
  <si>
    <t>air conditioning services commercial property</t>
  </si>
  <si>
    <t>air conditioning services estate agent</t>
  </si>
  <si>
    <t>air conditioning services flat</t>
  </si>
  <si>
    <t>air conditioning services guesthouse</t>
  </si>
  <si>
    <t>air conditioning services home</t>
  </si>
  <si>
    <t>air conditioning services hotel</t>
  </si>
  <si>
    <t>air conditioning services house</t>
  </si>
  <si>
    <t>air conditioning services landlord</t>
  </si>
  <si>
    <t>air conditioning services office</t>
  </si>
  <si>
    <t>Combined - modifier + base phrase</t>
  </si>
  <si>
    <t>air conditioning services property manager</t>
  </si>
  <si>
    <t>air conditioning services residential property</t>
  </si>
  <si>
    <t>modifier</t>
  </si>
  <si>
    <t>air conditioning services restaurant</t>
  </si>
  <si>
    <t>base phrase + modifier</t>
  </si>
  <si>
    <t>air conditioning services school</t>
  </si>
  <si>
    <t>air conditioning services shop</t>
  </si>
  <si>
    <t>air conditioning services tenant</t>
  </si>
  <si>
    <t>air conditioning services townhouse</t>
  </si>
  <si>
    <t>drain cleaning apartment</t>
  </si>
  <si>
    <t>drain cleaning body corporate</t>
  </si>
  <si>
    <t>drain cleaning building</t>
  </si>
  <si>
    <t>drain cleaning commercial property</t>
  </si>
  <si>
    <t>drain cleaning estate agent</t>
  </si>
  <si>
    <t>drain cleaning flat</t>
  </si>
  <si>
    <t>modifier + base phrase</t>
  </si>
  <si>
    <t>drain cleaning guesthouse</t>
  </si>
  <si>
    <t>drain cleaning home</t>
  </si>
  <si>
    <t>drain cleaning hotel</t>
  </si>
  <si>
    <t>drain cleaning house</t>
  </si>
  <si>
    <t>drain cleaning landlord</t>
  </si>
  <si>
    <t>drain cleaning office</t>
  </si>
  <si>
    <t>home</t>
  </si>
  <si>
    <t>drain cleaning property manager</t>
  </si>
  <si>
    <t>drain cleaning residential property</t>
  </si>
  <si>
    <t>drain cleaning restaurant</t>
  </si>
  <si>
    <t>drain cleaning school</t>
  </si>
  <si>
    <t>drain cleaning shop</t>
  </si>
  <si>
    <t>drain cleaning tenant</t>
  </si>
  <si>
    <t>drain cleaning townhouse</t>
  </si>
  <si>
    <t>electrical repairs apartment</t>
  </si>
  <si>
    <t>electrical repairs body corporate</t>
  </si>
  <si>
    <t>electrical repairs building</t>
  </si>
  <si>
    <t>electrical repairs business</t>
  </si>
  <si>
    <t>electrical repairs commercial property</t>
  </si>
  <si>
    <t>electrical repairs estate agent</t>
  </si>
  <si>
    <t>electrical repairs flat</t>
  </si>
  <si>
    <t>electrical repairs guesthouse</t>
  </si>
  <si>
    <t>electrical repairs home</t>
  </si>
  <si>
    <t>electrical repairs hotel</t>
  </si>
  <si>
    <t>electrical repairs house</t>
  </si>
  <si>
    <t>electrical repairs landlord</t>
  </si>
  <si>
    <t>electrical repairs office</t>
  </si>
  <si>
    <t>electrical repairs property manager</t>
  </si>
  <si>
    <t>electrical repairs residential property</t>
  </si>
  <si>
    <t>electrical repairs restaurant</t>
  </si>
  <si>
    <t>electrical repairs school</t>
  </si>
  <si>
    <t>electrical repairs tenant</t>
  </si>
  <si>
    <t>electrical repairs townhouse</t>
  </si>
  <si>
    <t>emergency plumbing apartment</t>
  </si>
  <si>
    <t>emergency plumbing body corporate</t>
  </si>
  <si>
    <t>emergency plumbing building</t>
  </si>
  <si>
    <t>emergency plumbing business</t>
  </si>
  <si>
    <t>emergency plumbing commercial property</t>
  </si>
  <si>
    <t>emergency plumbing estate agent</t>
  </si>
  <si>
    <t>emergency plumbing flat</t>
  </si>
  <si>
    <t>emergency plumbing guesthouse</t>
  </si>
  <si>
    <t>emergency plumbing home</t>
  </si>
  <si>
    <t>emergency plumbing hotel</t>
  </si>
  <si>
    <t>emergency plumbing house</t>
  </si>
  <si>
    <t>emergency plumbing landlord</t>
  </si>
  <si>
    <t>emergency plumbing office</t>
  </si>
  <si>
    <t>emergency plumbing property manager</t>
  </si>
  <si>
    <t>emergency plumbing residential property</t>
  </si>
  <si>
    <t>emergency plumbing restaurant</t>
  </si>
  <si>
    <t>emergency plumbing school</t>
  </si>
  <si>
    <t>emergency plumbing shop</t>
  </si>
  <si>
    <t>emergency plumbing tenant</t>
  </si>
  <si>
    <t>emergency plumbing townhouse</t>
  </si>
  <si>
    <t>geyser repairs apartment</t>
  </si>
  <si>
    <t>geyser repairs body corporate</t>
  </si>
  <si>
    <t>geyser repairs building</t>
  </si>
  <si>
    <t>geyser repairs business</t>
  </si>
  <si>
    <t>geyser repairs commercial property</t>
  </si>
  <si>
    <t>geyser repairs estate agent</t>
  </si>
  <si>
    <t>geyser repairs flat</t>
  </si>
  <si>
    <t>geyser repairs guesthouse</t>
  </si>
  <si>
    <t>geyser repairs home</t>
  </si>
  <si>
    <t>geyser repairs hotel</t>
  </si>
  <si>
    <t>geyser repairs house</t>
  </si>
  <si>
    <t>geyser repairs landlord</t>
  </si>
  <si>
    <t>geyser repairs office</t>
  </si>
  <si>
    <t>geyser repairs property manager</t>
  </si>
  <si>
    <t>geyser repairs residential property</t>
  </si>
  <si>
    <t>geyser repairs restaurant</t>
  </si>
  <si>
    <t>geyser repairs school</t>
  </si>
  <si>
    <t>geyser repairs shop</t>
  </si>
  <si>
    <t>geyser repairs tenant</t>
  </si>
  <si>
    <t>geyser repairs townhouse</t>
  </si>
  <si>
    <t>house</t>
  </si>
  <si>
    <t>leak detection apartment</t>
  </si>
  <si>
    <t>leak detection body corporate</t>
  </si>
  <si>
    <t>leak detection building</t>
  </si>
  <si>
    <t>leak detection business</t>
  </si>
  <si>
    <t>leak detection commercial property</t>
  </si>
  <si>
    <t>leak detection estate agent</t>
  </si>
  <si>
    <t>leak detection flat</t>
  </si>
  <si>
    <t>leak detection guesthouse</t>
  </si>
  <si>
    <t>leak detection home</t>
  </si>
  <si>
    <t>leak detection hotel</t>
  </si>
  <si>
    <t>leak detection house</t>
  </si>
  <si>
    <t>leak detection landlord</t>
  </si>
  <si>
    <t>leak detection office</t>
  </si>
  <si>
    <t>leak detection property manager</t>
  </si>
  <si>
    <t>leak detection residential property</t>
  </si>
  <si>
    <t>leak detection restaurant</t>
  </si>
  <si>
    <t>leak detection shop</t>
  </si>
  <si>
    <t>leak detection tenant</t>
  </si>
  <si>
    <t>leak detection townhouse</t>
  </si>
  <si>
    <t>maintenance plumber apartment</t>
  </si>
  <si>
    <t>maintenance plumber body corporate</t>
  </si>
  <si>
    <t>maintenance plumber building</t>
  </si>
  <si>
    <t>maintenance plumber business</t>
  </si>
  <si>
    <t>maintenance plumber commercial property</t>
  </si>
  <si>
    <t>maintenance plumber estate agent</t>
  </si>
  <si>
    <t>maintenance plumber flat</t>
  </si>
  <si>
    <t>maintenance plumber guesthouse</t>
  </si>
  <si>
    <t>maintenance plumber home</t>
  </si>
  <si>
    <t>maintenance plumber hotel</t>
  </si>
  <si>
    <t>maintenance plumber house</t>
  </si>
  <si>
    <t>maintenance plumber landlord</t>
  </si>
  <si>
    <t>maintenance plumber office</t>
  </si>
  <si>
    <t>maintenance plumber property manager</t>
  </si>
  <si>
    <t>maintenance plumber residential property</t>
  </si>
  <si>
    <t>maintenance plumber restaurant</t>
  </si>
  <si>
    <t>apartment</t>
  </si>
  <si>
    <t>maintenance plumber school</t>
  </si>
  <si>
    <t>maintenance plumber shop</t>
  </si>
  <si>
    <t>maintenance plumber tenant</t>
  </si>
  <si>
    <t>maintenance plumber townhouse</t>
  </si>
  <si>
    <t>plumbing company apartment</t>
  </si>
  <si>
    <t>plumbing company body corporate</t>
  </si>
  <si>
    <t>plumbing company building</t>
  </si>
  <si>
    <t>plumbing company business</t>
  </si>
  <si>
    <t>plumbing company commercial property</t>
  </si>
  <si>
    <t>plumbing company estate agent</t>
  </si>
  <si>
    <t>plumbing company flat</t>
  </si>
  <si>
    <t>plumbing company guesthouse</t>
  </si>
  <si>
    <t>plumbing company home</t>
  </si>
  <si>
    <t>plumbing company hotel</t>
  </si>
  <si>
    <t>plumbing company house</t>
  </si>
  <si>
    <t>plumbing company landlord</t>
  </si>
  <si>
    <t>plumbing company office</t>
  </si>
  <si>
    <t>plumbing company property manager</t>
  </si>
  <si>
    <t>plumbing company residential property</t>
  </si>
  <si>
    <t>plumbing company restaurant</t>
  </si>
  <si>
    <t>plumbing company school</t>
  </si>
  <si>
    <t>plumbing company shop</t>
  </si>
  <si>
    <t>plumbing company tenant</t>
  </si>
  <si>
    <t>plumbing company townhouse</t>
  </si>
  <si>
    <t>flat</t>
  </si>
  <si>
    <t>plumbing services apartment</t>
  </si>
  <si>
    <t>plumbing services body corporate</t>
  </si>
  <si>
    <t>plumbing services building</t>
  </si>
  <si>
    <t>plumbing services business</t>
  </si>
  <si>
    <t>plumbing services commercial property</t>
  </si>
  <si>
    <t>plumbing services estate agent</t>
  </si>
  <si>
    <t>plumbing services flat</t>
  </si>
  <si>
    <t>plumbing services guesthouse</t>
  </si>
  <si>
    <t>plumbing services hotel</t>
  </si>
  <si>
    <t>plumbing services house</t>
  </si>
  <si>
    <t>plumbing services landlord</t>
  </si>
  <si>
    <t>plumbing services office</t>
  </si>
  <si>
    <t>plumbing services property manager</t>
  </si>
  <si>
    <t>plumbing services residential property</t>
  </si>
  <si>
    <t>plumbing services restaurant</t>
  </si>
  <si>
    <t>plumbing services school</t>
  </si>
  <si>
    <t>plumbing services shop</t>
  </si>
  <si>
    <t>plumbing services tenant</t>
  </si>
  <si>
    <t>plumbing services townhouse</t>
  </si>
  <si>
    <t>refrigeration services apartment</t>
  </si>
  <si>
    <t>refrigeration services body corporate</t>
  </si>
  <si>
    <t>refrigeration services building</t>
  </si>
  <si>
    <t>refrigeration services business</t>
  </si>
  <si>
    <t>refrigeration services commercial property</t>
  </si>
  <si>
    <t>refrigeration services estate agent</t>
  </si>
  <si>
    <t>refrigeration services flat</t>
  </si>
  <si>
    <t>refrigeration services guesthouse</t>
  </si>
  <si>
    <t>refrigeration services home</t>
  </si>
  <si>
    <t>refrigeration services hotel</t>
  </si>
  <si>
    <t>refrigeration services house</t>
  </si>
  <si>
    <t>townhouse</t>
  </si>
  <si>
    <t>refrigeration services landlord</t>
  </si>
  <si>
    <t>refrigeration services office</t>
  </si>
  <si>
    <t>refrigeration services property manager</t>
  </si>
  <si>
    <t>refrigeration services residential property</t>
  </si>
  <si>
    <t>refrigeration services restaurant</t>
  </si>
  <si>
    <t>refrigeration services school</t>
  </si>
  <si>
    <t>refrigeration services shop</t>
  </si>
  <si>
    <t>refrigeration services tenant</t>
  </si>
  <si>
    <t>refrigeration services townhouse</t>
  </si>
  <si>
    <t>office</t>
  </si>
  <si>
    <t>shop</t>
  </si>
  <si>
    <t>restaurant</t>
  </si>
  <si>
    <t>plumbers near me</t>
  </si>
  <si>
    <t>hotel</t>
  </si>
  <si>
    <t>AI Overview,Thumbnail,People also ask,Knowledge panel,Video preview</t>
  </si>
  <si>
    <t>Commercial,Transactional,Non-branded,Local</t>
  </si>
  <si>
    <t>English</t>
  </si>
  <si>
    <t>3426, 3480, 3405, 3171, 4017, 3698, 3124, 3488, 3399, 3449, 3689, 3436, 3447, 3496, 3425, 3161, 4046, 3715, 3146, 3529, 3412, 3454, 3692, 3441</t>
  </si>
  <si>
    <t>3453, 3502, 3431, 3170, 4044, 3717, 3156, 3535, 3419, 3460, 3694</t>
  </si>
  <si>
    <t>Plumbing; Business</t>
  </si>
  <si>
    <t>plumber near me</t>
  </si>
  <si>
    <t>AI Overview,Thumbnail,People also ask,Knowledge panel</t>
  </si>
  <si>
    <t>2415, 1774, 2123, 1707, 2031, 2438, 2159, 3134, 2585, 2704, 2233, 2584, 2610, 1936, 2065, 1747, 2139, 2067, 2003, 2156, 2099, 2028, 2152, 2311</t>
  </si>
  <si>
    <t>2218, 2078, 2157, 2114, 2158, 2211, 2067, 2213, 2155, 2125, 2220, 2378</t>
  </si>
  <si>
    <t>plumbers</t>
  </si>
  <si>
    <t>Local pack,People also ask</t>
  </si>
  <si>
    <t>Informational,Commercial,Non-branded,Local</t>
  </si>
  <si>
    <t>389, 380, 400, 369, 395, 405, 387, 375, 364, 391, 407, 410, 388, 379, 398, 368, 393, 404, 385, 373, 363, 390, 405, 409</t>
  </si>
  <si>
    <t>386, 377, 397, 366, 392, 402, 383, 372, 361, 388, 404, 407</t>
  </si>
  <si>
    <t>AI Overview,Thumbnail,People also ask,Video preview,Knowledge panel</t>
  </si>
  <si>
    <t>Informational,Commercial,Transactional,Non-branded,Local</t>
  </si>
  <si>
    <t>532, 354, 547, 321, 446, 371, 377, 398, 470, 257, 299, 394, 372, 378, 712, 354, 273, 399, 395, 403, 405, 436, 408, 417</t>
  </si>
  <si>
    <t>448, 381, 415, 420, 355, 407, 402, 411, 413, 444, 416, 424</t>
  </si>
  <si>
    <t>Plumbing</t>
  </si>
  <si>
    <t>plumbing services near me</t>
  </si>
  <si>
    <t>AI Overview,Thumbnail,People also ask,Discussions,Knowledge panel</t>
  </si>
  <si>
    <t>288, 239, 239, 280, 286, 207, 244, 304, 200, 184, 214, 292, 193, 221, 149, 230, 168, 204, 219, 247, 324, 220, 237, 249</t>
  </si>
  <si>
    <t>234, 231, 221, 228, 231, 238, 226, 267, 247, 225, 241, 253</t>
  </si>
  <si>
    <t>plumbers durban</t>
  </si>
  <si>
    <t>plumber durban</t>
  </si>
  <si>
    <t>294, 247, 208, 291, 231, 300, 289, 297, 245, 324, 246, 337, 331, 253, 243, 193, 205, 247, 282, 319, 250, 205, 277, 283</t>
  </si>
  <si>
    <t>296, 281, 287, 292, 272, 294, 282, 287, 282, 294, 277</t>
  </si>
  <si>
    <t>plumbing near me</t>
  </si>
  <si>
    <t>plumber</t>
  </si>
  <si>
    <t>272, 190, 230, 196, 226, 286, 238, 293, 246, 238, 208, 232, 235, 207, 239, 212, 258, 249, 229, 242, 235, 242, 240, 282</t>
  </si>
  <si>
    <t>253, 241, 247, 244, 255, 264, 243, 257, 250, 256, 254</t>
  </si>
  <si>
    <t>149, 83, 71, 90, 91, 87, 96, 92, 69, 136, 71, 288, 256, 230, 156, 145, 160, 177, 298, 113, 176, 174, 122, 158</t>
  </si>
  <si>
    <t>plumber somerset west</t>
  </si>
  <si>
    <t>plumbers somerset west</t>
  </si>
  <si>
    <t>guesthouse</t>
  </si>
  <si>
    <t>58, 61, 62, 60, 68, 70, 74, 84, 78, 67, 52, 181, 187, 151, 150, 147, 150, 166, 115, 119, 65, 47, 40, 50</t>
  </si>
  <si>
    <t>plumbing companies</t>
  </si>
  <si>
    <t>People also ask,Knowledge panel</t>
  </si>
  <si>
    <t>175, 181, 181, 106, 205, 225, 214, 231, 386, 201, 130, 198, 215, 165, 144, 136, 114, 171, 159, 173, 193, 174, 160, 158</t>
  </si>
  <si>
    <t>171, 159, 158, 147, 142, 175, 163, 177, 197, 178, 164, 162</t>
  </si>
  <si>
    <t>plumbers in kempton park</t>
  </si>
  <si>
    <t>plumbers kempton park</t>
  </si>
  <si>
    <t>141, 137, 139, 136, 142, 143, 143, 158, 121, 149, 145, 158, 189, 129, 160, 145, 152, 126, 133, 136, 151, 87, 36, 92</t>
  </si>
  <si>
    <t>plumbing contractor</t>
  </si>
  <si>
    <t>13, 25, 27, 26, 28, 59, 47, 82, 65, 66, 75, 100, 328, 71, 83, 73, 74, 92, 90, 127, 82, 85, 66, 79</t>
  </si>
  <si>
    <t>durban plumbers</t>
  </si>
  <si>
    <t>136, 240, 155, 127, 27, 43, 121, 189, 72, 71, 96, 273, 320, 171, 95, 74, 81, 109, 52, 105, 90, 39, 20, 51</t>
  </si>
  <si>
    <t>plumbing contractors</t>
  </si>
  <si>
    <t>emergency plumber near me</t>
  </si>
  <si>
    <t>28, 35, 32, 29, 31, 30, 47, 42, 61, 62, 55, 57, 149, 116, 109, 101, 92, 156, 137, 220, 153, 63, 55, 74</t>
  </si>
  <si>
    <t>plumbing company near me</t>
  </si>
  <si>
    <t>85, 99, 92, 97, 106, 141, 104, 158, 127, 151, 148, 81, 78, 56, 129, 95, 235, 256, 108, 90, 66, 73, 46, 63</t>
  </si>
  <si>
    <t>plumbers in durban</t>
  </si>
  <si>
    <t>Local pack,People also ask,Discussions</t>
  </si>
  <si>
    <t>76, 135, 87, 73, 50, 88, 74, 116, 78, 94, 87, 108, 159, 92, 95, 72, 63, 103, 78, 93, 78, 94, 81, 78</t>
  </si>
  <si>
    <t>90, 89, 102, 97, 78, 103, 78, 93, 78, 94, 81, 78</t>
  </si>
  <si>
    <t>school</t>
  </si>
  <si>
    <t>108, 106, 108, 90, 110, 129, 85, 103, 105, 90, 72, 103, 97, 87, 91, 85, 71, 85, 71, 73, 74, 77, 78, 84</t>
  </si>
  <si>
    <t>76, 76, 70, 72, 78, 82, 70, 72, 72, 75, 76, 82</t>
  </si>
  <si>
    <t>best plumber near me</t>
  </si>
  <si>
    <t>15, 24, 25, 17, 31, 31, 21, 44, 45, 47, 31, 140, 78, 71, 73, 58, 71, 68, 72, 101, 63, 54, 50, 57</t>
  </si>
  <si>
    <t>plumber shop near me</t>
  </si>
  <si>
    <t>plumblink</t>
  </si>
  <si>
    <t>42, 45, 47, 65, 69, 55, 47, 36, 66, 53, 57, 51, 49, 52, 41, 33, 41, 57, 157, 141, 47, 44, 62, 28</t>
  </si>
  <si>
    <t>plumber in durban</t>
  </si>
  <si>
    <t>20, 37, 14, 22, 22, 18, 19, 23, 16, 18, 42, 17, 152, 116, 89, 47, 41, 46, 52, 51, 49, 56, 49, 42</t>
  </si>
  <si>
    <t>best plumbers near me</t>
  </si>
  <si>
    <t>plumbers pinetown</t>
  </si>
  <si>
    <t>Local pack,People also ask,Video preview</t>
  </si>
  <si>
    <t>94, 82, 92, 113, 99, 106, 81, 105, 96, 118, 117, 65, 63, 56, 54, 48, 58, 47, 57, 70, 51, 54, 36, 48</t>
  </si>
  <si>
    <t>plumbing service near me</t>
  </si>
  <si>
    <t>40, 47, 63, 57, 58, 57, 80, 54, 80, 83, 83, 74, 24, 14, 13, 18, 59, 156, 154, 68, 31, 20, 34, 27</t>
  </si>
  <si>
    <t>registered plumbers near me</t>
  </si>
  <si>
    <t>plumber cape town</t>
  </si>
  <si>
    <t>67, 58, 92, 61, 66, 94, 75, 109, 66, 55, 73, 63, 82, 51, 67, 50, 43, 83, 43, 72, 48, 71, 37, 53</t>
  </si>
  <si>
    <t>plumbing companies durban</t>
  </si>
  <si>
    <t>26, 20, 30, 29, 27, 43, 34, 36, 26, 25, 42, 109, 114, 91, 38, 35, 17, 41, 18, 30, 48, 42, 39, 44</t>
  </si>
  <si>
    <t>body corporate</t>
  </si>
  <si>
    <t>plumbing companies in durban</t>
  </si>
  <si>
    <t>Local pack</t>
  </si>
  <si>
    <t>19, 15, 19, 9, 16, 38, 23, 29, 25, 24, 22, 107, 83, 64, 27, 22, 14, 20, 17, 21, 21, 19, 20, 21</t>
  </si>
  <si>
    <t>best plumbers</t>
  </si>
  <si>
    <t>best plumbing</t>
  </si>
  <si>
    <t>People also ask,Discussions</t>
  </si>
  <si>
    <t>74, 52, 48, 37, 39, 139, 113, 181, 159, 158, 184, 65, 59, 39, 51, 26, 49, 68, 34, 31, 23, 32, 21, 26</t>
  </si>
  <si>
    <t>plumber services</t>
  </si>
  <si>
    <t>74, 39, 43, 63, 48, 51, 64, 41, 101, 79, 71, 56, 89, 29, 21, 17, 21, 58, 62, 39, 14, 16, 15, 18</t>
  </si>
  <si>
    <t>good plumbers near me</t>
  </si>
  <si>
    <t>Local pack,People also ask,Discussions,Video preview</t>
  </si>
  <si>
    <t>18, 10, 15, 22, 11, 20, 18, 33, 24, 27, 26, 34, 18, 14, 13, 9, 52, 68, 26, 20, 15, 15, 12, 15</t>
  </si>
  <si>
    <t>plumber near me cheap</t>
  </si>
  <si>
    <t>7, 3, 6, 8, 1, 2, 7, 18, 9, 8, 17, 4, 7, 7, 5, 5, 9, 13, 11, 3, 8, 8, 7, 9</t>
  </si>
  <si>
    <t>b&amp;b plumbing</t>
  </si>
  <si>
    <t>b and b plumbing</t>
  </si>
  <si>
    <t>Knowledge panel</t>
  </si>
  <si>
    <t>Informational,Commercial,Transactional,Branded,Local</t>
  </si>
  <si>
    <t>1, 0, 0, 1, 0, 45, 0, 0, 0, 0, 2, 0, 2, 3, 1, 1, 0, 0, 2, 0, 2, 2, 2, 4</t>
  </si>
  <si>
    <t>landlord</t>
  </si>
  <si>
    <t>tenant</t>
  </si>
  <si>
    <t>estate agent</t>
  </si>
  <si>
    <t>property manager</t>
  </si>
  <si>
    <t>commercial property</t>
  </si>
  <si>
    <t>residential property</t>
  </si>
  <si>
    <t>business</t>
  </si>
  <si>
    <t>building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</si>
</sst>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rlito"/>
    </font>
    <font>
      <b/>
      <sz val="11.0"/>
      <color rgb="FF17365D"/>
      <name val="Montserrat"/>
    </font>
    <font>
      <sz val="11.0"/>
      <color theme="1"/>
      <name val="Montserrat"/>
    </font>
  </fonts>
  <fills count="6">
    <fill>
      <patternFill patternType="none"/>
    </fill>
    <fill>
      <patternFill patternType="lightGray"/>
    </fill>
    <fill>
      <patternFill patternType="solid">
        <fgColor rgb="FFE8F0FE"/>
        <bgColor rgb="FFE8F0FE"/>
      </patternFill>
    </fill>
    <fill>
      <patternFill patternType="solid">
        <fgColor rgb="FFEAF7EA"/>
        <bgColor rgb="FFEAF7EA"/>
      </patternFill>
    </fill>
    <fill>
      <patternFill patternType="solid">
        <fgColor rgb="FFFFF7E6"/>
        <bgColor rgb="FFFFF7E6"/>
      </patternFill>
    </fill>
    <fill>
      <patternFill patternType="solid">
        <fgColor rgb="FFF8FBFF"/>
        <bgColor rgb="FFF8FBFF"/>
      </patternFill>
    </fill>
  </fills>
  <borders count="13">
    <border/>
    <border>
      <left style="medium">
        <color rgb="FFB6C2D9"/>
      </left>
      <right style="thin">
        <color rgb="FFE2E8F0"/>
      </right>
      <top style="medium">
        <color rgb="FFB6C2D9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medium">
        <color rgb="FFB6C2D9"/>
      </top>
      <bottom style="thin">
        <color rgb="FFE2E8F0"/>
      </bottom>
    </border>
    <border>
      <left style="thin">
        <color rgb="FFE2E8F0"/>
      </left>
      <right style="medium">
        <color rgb="FFB6C2D9"/>
      </right>
      <top style="medium">
        <color rgb="FFB6C2D9"/>
      </top>
      <bottom style="thin">
        <color rgb="FFE2E8F0"/>
      </bottom>
    </border>
    <border>
      <left style="medium">
        <color rgb="FFB6C2D9"/>
      </left>
      <right style="thin">
        <color rgb="FFE2E8F0"/>
      </right>
      <top style="thin">
        <color rgb="FFE2E8F0"/>
      </top>
      <bottom style="medium">
        <color rgb="FFB6C2D9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B6C2D9"/>
      </bottom>
    </border>
    <border>
      <left style="thin">
        <color rgb="FFE2E8F0"/>
      </left>
      <right style="medium">
        <color rgb="FFB6C2D9"/>
      </right>
      <top style="thin">
        <color rgb="FFE2E8F0"/>
      </top>
      <bottom style="medium">
        <color rgb="FFB6C2D9"/>
      </bottom>
    </border>
    <border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top style="thin">
        <color rgb="FFE2E8F0"/>
      </top>
      <bottom style="thin">
        <color rgb="FFE2E8F0"/>
      </bottom>
    </border>
    <border>
      <right style="thin">
        <color rgb="FFE2E8F0"/>
      </right>
      <top style="thin">
        <color rgb="FFE2E8F0"/>
      </top>
    </border>
    <border>
      <left style="thin">
        <color rgb="FFE2E8F0"/>
      </left>
      <right style="thin">
        <color rgb="FFE2E8F0"/>
      </right>
      <top style="thin">
        <color rgb="FFE2E8F0"/>
      </top>
    </border>
    <border>
      <left style="thin">
        <color rgb="FFE2E8F0"/>
      </left>
      <top style="thin">
        <color rgb="FFE2E8F0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vertical="bottom"/>
    </xf>
    <xf borderId="2" fillId="2" fontId="3" numFmtId="0" xfId="0" applyAlignment="1" applyBorder="1" applyFont="1">
      <alignment shrinkToFit="0" vertical="bottom" wrapText="1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2" fillId="3" fontId="3" numFmtId="0" xfId="0" applyAlignment="1" applyBorder="1" applyFill="1" applyFont="1">
      <alignment shrinkToFit="0" vertical="bottom" wrapText="1"/>
    </xf>
    <xf borderId="2" fillId="2" fontId="2" numFmtId="0" xfId="0" applyAlignment="1" applyBorder="1" applyFont="1">
      <alignment vertical="bottom"/>
    </xf>
    <xf borderId="3" fillId="3" fontId="3" numFmtId="0" xfId="0" applyAlignment="1" applyBorder="1" applyFont="1">
      <alignment shrinkToFit="0" vertical="bottom" wrapText="1"/>
    </xf>
    <xf borderId="0" fillId="0" fontId="2" numFmtId="0" xfId="0" applyAlignment="1" applyFont="1">
      <alignment vertical="bottom"/>
    </xf>
    <xf borderId="4" fillId="2" fontId="3" numFmtId="0" xfId="0" applyAlignment="1" applyBorder="1" applyFont="1">
      <alignment shrinkToFit="0" vertical="bottom" wrapText="1"/>
    </xf>
    <xf borderId="5" fillId="2" fontId="3" numFmtId="0" xfId="0" applyAlignment="1" applyBorder="1" applyFont="1">
      <alignment shrinkToFit="0" vertical="bottom" wrapText="1"/>
    </xf>
    <xf borderId="5" fillId="2" fontId="2" numFmtId="0" xfId="0" applyAlignment="1" applyBorder="1" applyFont="1">
      <alignment vertical="bottom"/>
    </xf>
    <xf borderId="5" fillId="3" fontId="2" numFmtId="0" xfId="0" applyAlignment="1" applyBorder="1" applyFont="1">
      <alignment vertical="bottom"/>
    </xf>
    <xf borderId="6" fillId="3" fontId="2" numFmtId="0" xfId="0" applyAlignment="1" applyBorder="1" applyFont="1">
      <alignment vertical="bottom"/>
    </xf>
    <xf borderId="7" fillId="4" fontId="4" numFmtId="0" xfId="0" applyAlignment="1" applyBorder="1" applyFill="1" applyFont="1">
      <alignment vertical="bottom"/>
    </xf>
    <xf borderId="8" fillId="5" fontId="4" numFmtId="0" xfId="0" applyAlignment="1" applyBorder="1" applyFill="1" applyFont="1">
      <alignment vertical="bottom"/>
    </xf>
    <xf borderId="8" fillId="3" fontId="4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9" fillId="3" fontId="4" numFmtId="0" xfId="0" applyAlignment="1" applyBorder="1" applyFont="1">
      <alignment vertical="bottom"/>
    </xf>
    <xf borderId="7" fillId="4" fontId="2" numFmtId="0" xfId="0" applyAlignment="1" applyBorder="1" applyFont="1">
      <alignment vertical="bottom"/>
    </xf>
    <xf borderId="8" fillId="5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10" fillId="0" fontId="2" numFmtId="0" xfId="0" applyAlignment="1" applyBorder="1" applyFont="1">
      <alignment vertical="bottom"/>
    </xf>
    <xf borderId="11" fillId="0" fontId="2" numFmtId="0" xfId="0" applyAlignment="1" applyBorder="1" applyFont="1">
      <alignment vertical="bottom"/>
    </xf>
    <xf borderId="11" fillId="3" fontId="4" numFmtId="0" xfId="0" applyAlignment="1" applyBorder="1" applyFont="1">
      <alignment vertical="bottom"/>
    </xf>
    <xf borderId="12" fillId="3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21.13"/>
    <col customWidth="1" min="2" max="2" width="23.25"/>
    <col customWidth="1" min="3" max="11" width="18.88"/>
    <col customWidth="1" min="12" max="12" width="28.88"/>
    <col customWidth="1" min="13" max="13" width="2.63"/>
    <col customWidth="1" min="14" max="23" width="18.88"/>
    <col customWidth="1" min="24" max="24" width="28.88"/>
    <col customWidth="1" min="25" max="26" width="8.63"/>
  </cols>
  <sheetData>
    <row r="1">
      <c r="A1" s="2"/>
      <c r="B1" s="3" t="s">
        <v>20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6" t="s">
        <v>32</v>
      </c>
      <c r="M1" s="7"/>
      <c r="N1" s="3" t="s">
        <v>20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8" t="s">
        <v>56</v>
      </c>
      <c r="Y1" s="9"/>
      <c r="Z1" s="9"/>
    </row>
    <row r="2">
      <c r="A2" s="10" t="s">
        <v>59</v>
      </c>
      <c r="B2" s="11" t="s">
        <v>61</v>
      </c>
      <c r="C2" s="12"/>
      <c r="D2" s="12"/>
      <c r="E2" s="12"/>
      <c r="F2" s="12"/>
      <c r="G2" s="12"/>
      <c r="H2" s="12"/>
      <c r="I2" s="12"/>
      <c r="J2" s="12"/>
      <c r="K2" s="12"/>
      <c r="L2" s="13"/>
      <c r="M2" s="12"/>
      <c r="N2" s="11" t="s">
        <v>72</v>
      </c>
      <c r="O2" s="12"/>
      <c r="P2" s="12"/>
      <c r="Q2" s="12"/>
      <c r="R2" s="12"/>
      <c r="S2" s="12"/>
      <c r="T2" s="12"/>
      <c r="U2" s="12"/>
      <c r="V2" s="12"/>
      <c r="W2" s="12"/>
      <c r="X2" s="14"/>
      <c r="Y2" s="9"/>
      <c r="Z2" s="9"/>
    </row>
    <row r="3">
      <c r="A3" s="15" t="s">
        <v>79</v>
      </c>
      <c r="B3" s="16" t="str">
        <f t="shared" ref="B3:K3" si="1">IF($A3="","",IF(OR(ISNUMBER(SEARCH(LOWER($A3),LOWER(B$1))),AND(RIGHT(LOWER($A3),1)="s",ISNUMBER(SEARCH(LEFT(LOWER($A3),LEN($A3)-1),LOWER(B$1))))),B$1,B$1&amp;" "&amp;$A3))</f>
        <v>plumbing services home</v>
      </c>
      <c r="C3" s="16" t="str">
        <f t="shared" si="1"/>
        <v>emergency plumbing home</v>
      </c>
      <c r="D3" s="16" t="str">
        <f t="shared" si="1"/>
        <v>geyser repairs home</v>
      </c>
      <c r="E3" s="16" t="str">
        <f t="shared" si="1"/>
        <v>drain cleaning home</v>
      </c>
      <c r="F3" s="16" t="str">
        <f t="shared" si="1"/>
        <v>electrical repairs home</v>
      </c>
      <c r="G3" s="16" t="str">
        <f t="shared" si="1"/>
        <v>air conditioning services home</v>
      </c>
      <c r="H3" s="16" t="str">
        <f t="shared" si="1"/>
        <v>refrigeration services home</v>
      </c>
      <c r="I3" s="16" t="str">
        <f t="shared" si="1"/>
        <v>leak detection home</v>
      </c>
      <c r="J3" s="16" t="str">
        <f t="shared" si="1"/>
        <v>maintenance plumber home</v>
      </c>
      <c r="K3" s="16" t="str">
        <f t="shared" si="1"/>
        <v>plumbing company home</v>
      </c>
      <c r="L3" s="17" t="str">
        <f>IFERROR(__xludf.DUMMYFUNCTION("SORT(UNIQUE(FILTER(FLATTEN(B3:K82),FLATTEN(B3:K82)&lt;&gt;"""")))"),"air conditioning services apartment")</f>
        <v>air conditioning services apartment</v>
      </c>
      <c r="M3" s="18"/>
      <c r="N3" s="16" t="str">
        <f t="shared" ref="N3:W3" si="2">IF($A3="","",IF(OR(ISNUMBER(SEARCH(LOWER($A3),LOWER(N$1))),AND(RIGHT(LOWER($A3),1)="s",ISNUMBER(SEARCH(LEFT(LOWER($A3),LEN($A3)-1),LOWER(N$1))))),N$1,$A3&amp;" "&amp;N$1))</f>
        <v>home plumbing services</v>
      </c>
      <c r="O3" s="16" t="str">
        <f t="shared" si="2"/>
        <v>home emergency plumbing</v>
      </c>
      <c r="P3" s="16" t="str">
        <f t="shared" si="2"/>
        <v>home geyser repairs</v>
      </c>
      <c r="Q3" s="16" t="str">
        <f t="shared" si="2"/>
        <v>home drain cleaning</v>
      </c>
      <c r="R3" s="16" t="str">
        <f t="shared" si="2"/>
        <v>home electrical repairs</v>
      </c>
      <c r="S3" s="16" t="str">
        <f t="shared" si="2"/>
        <v>home air conditioning services</v>
      </c>
      <c r="T3" s="16" t="str">
        <f t="shared" si="2"/>
        <v>home refrigeration services</v>
      </c>
      <c r="U3" s="16" t="str">
        <f t="shared" si="2"/>
        <v>home leak detection</v>
      </c>
      <c r="V3" s="16" t="str">
        <f t="shared" si="2"/>
        <v>home maintenance plumber</v>
      </c>
      <c r="W3" s="16" t="str">
        <f t="shared" si="2"/>
        <v>home plumbing company</v>
      </c>
      <c r="X3" s="19" t="str">
        <f>IFERROR(__xludf.DUMMYFUNCTION("SORT(UNIQUE(FILTER(FLATTEN(N3:W82),FLATTEN(N3:W82)&lt;&gt;"""")))"),"apartment air conditioning services")</f>
        <v>apartment air conditioning services</v>
      </c>
      <c r="Y3" s="9"/>
      <c r="Z3" s="9"/>
    </row>
    <row r="4">
      <c r="A4" s="15" t="s">
        <v>146</v>
      </c>
      <c r="B4" s="16" t="str">
        <f t="shared" ref="B4:K4" si="3">IF($A4="","",IF(OR(ISNUMBER(SEARCH(LOWER($A4),LOWER(B$1))),AND(RIGHT(LOWER($A4),1)="s",ISNUMBER(SEARCH(LEFT(LOWER($A4),LEN($A4)-1),LOWER(B$1))))),B$1,B$1&amp;" "&amp;$A4))</f>
        <v>plumbing services house</v>
      </c>
      <c r="C4" s="16" t="str">
        <f t="shared" si="3"/>
        <v>emergency plumbing house</v>
      </c>
      <c r="D4" s="16" t="str">
        <f t="shared" si="3"/>
        <v>geyser repairs house</v>
      </c>
      <c r="E4" s="16" t="str">
        <f t="shared" si="3"/>
        <v>drain cleaning house</v>
      </c>
      <c r="F4" s="16" t="str">
        <f t="shared" si="3"/>
        <v>electrical repairs house</v>
      </c>
      <c r="G4" s="16" t="str">
        <f t="shared" si="3"/>
        <v>air conditioning services house</v>
      </c>
      <c r="H4" s="16" t="str">
        <f t="shared" si="3"/>
        <v>refrigeration services house</v>
      </c>
      <c r="I4" s="16" t="str">
        <f t="shared" si="3"/>
        <v>leak detection house</v>
      </c>
      <c r="J4" s="16" t="str">
        <f t="shared" si="3"/>
        <v>maintenance plumber house</v>
      </c>
      <c r="K4" s="16" t="str">
        <f t="shared" si="3"/>
        <v>plumbing company house</v>
      </c>
      <c r="L4" s="17" t="str">
        <f>IFERROR(__xludf.DUMMYFUNCTION("""COMPUTED_VALUE"""),"air conditioning services body corporate")</f>
        <v>air conditioning services body corporate</v>
      </c>
      <c r="M4" s="18"/>
      <c r="N4" s="16" t="str">
        <f t="shared" ref="N4:W4" si="4">IF($A4="","",IF(OR(ISNUMBER(SEARCH(LOWER($A4),LOWER(N$1))),AND(RIGHT(LOWER($A4),1)="s",ISNUMBER(SEARCH(LEFT(LOWER($A4),LEN($A4)-1),LOWER(N$1))))),N$1,$A4&amp;" "&amp;N$1))</f>
        <v>house plumbing services</v>
      </c>
      <c r="O4" s="16" t="str">
        <f t="shared" si="4"/>
        <v>house emergency plumbing</v>
      </c>
      <c r="P4" s="16" t="str">
        <f t="shared" si="4"/>
        <v>house geyser repairs</v>
      </c>
      <c r="Q4" s="16" t="str">
        <f t="shared" si="4"/>
        <v>house drain cleaning</v>
      </c>
      <c r="R4" s="16" t="str">
        <f t="shared" si="4"/>
        <v>house electrical repairs</v>
      </c>
      <c r="S4" s="16" t="str">
        <f t="shared" si="4"/>
        <v>house air conditioning services</v>
      </c>
      <c r="T4" s="16" t="str">
        <f t="shared" si="4"/>
        <v>house refrigeration services</v>
      </c>
      <c r="U4" s="16" t="str">
        <f t="shared" si="4"/>
        <v>house leak detection</v>
      </c>
      <c r="V4" s="16" t="str">
        <f t="shared" si="4"/>
        <v>house maintenance plumber</v>
      </c>
      <c r="W4" s="16" t="str">
        <f t="shared" si="4"/>
        <v>house plumbing company</v>
      </c>
      <c r="X4" s="19" t="str">
        <f>IFERROR(__xludf.DUMMYFUNCTION("""COMPUTED_VALUE"""),"apartment drain cleaning")</f>
        <v>apartment drain cleaning</v>
      </c>
      <c r="Y4" s="9"/>
      <c r="Z4" s="9"/>
    </row>
    <row r="5">
      <c r="A5" s="15" t="s">
        <v>182</v>
      </c>
      <c r="B5" s="16" t="str">
        <f t="shared" ref="B5:K5" si="5">IF($A5="","",IF(OR(ISNUMBER(SEARCH(LOWER($A5),LOWER(B$1))),AND(RIGHT(LOWER($A5),1)="s",ISNUMBER(SEARCH(LEFT(LOWER($A5),LEN($A5)-1),LOWER(B$1))))),B$1,B$1&amp;" "&amp;$A5))</f>
        <v>plumbing services apartment</v>
      </c>
      <c r="C5" s="16" t="str">
        <f t="shared" si="5"/>
        <v>emergency plumbing apartment</v>
      </c>
      <c r="D5" s="16" t="str">
        <f t="shared" si="5"/>
        <v>geyser repairs apartment</v>
      </c>
      <c r="E5" s="16" t="str">
        <f t="shared" si="5"/>
        <v>drain cleaning apartment</v>
      </c>
      <c r="F5" s="16" t="str">
        <f t="shared" si="5"/>
        <v>electrical repairs apartment</v>
      </c>
      <c r="G5" s="16" t="str">
        <f t="shared" si="5"/>
        <v>air conditioning services apartment</v>
      </c>
      <c r="H5" s="16" t="str">
        <f t="shared" si="5"/>
        <v>refrigeration services apartment</v>
      </c>
      <c r="I5" s="16" t="str">
        <f t="shared" si="5"/>
        <v>leak detection apartment</v>
      </c>
      <c r="J5" s="16" t="str">
        <f t="shared" si="5"/>
        <v>maintenance plumber apartment</v>
      </c>
      <c r="K5" s="16" t="str">
        <f t="shared" si="5"/>
        <v>plumbing company apartment</v>
      </c>
      <c r="L5" s="17" t="str">
        <f>IFERROR(__xludf.DUMMYFUNCTION("""COMPUTED_VALUE"""),"air conditioning services building")</f>
        <v>air conditioning services building</v>
      </c>
      <c r="M5" s="18"/>
      <c r="N5" s="16" t="str">
        <f t="shared" ref="N5:W5" si="6">IF($A5="","",IF(OR(ISNUMBER(SEARCH(LOWER($A5),LOWER(N$1))),AND(RIGHT(LOWER($A5),1)="s",ISNUMBER(SEARCH(LEFT(LOWER($A5),LEN($A5)-1),LOWER(N$1))))),N$1,$A5&amp;" "&amp;N$1))</f>
        <v>apartment plumbing services</v>
      </c>
      <c r="O5" s="16" t="str">
        <f t="shared" si="6"/>
        <v>apartment emergency plumbing</v>
      </c>
      <c r="P5" s="16" t="str">
        <f t="shared" si="6"/>
        <v>apartment geyser repairs</v>
      </c>
      <c r="Q5" s="16" t="str">
        <f t="shared" si="6"/>
        <v>apartment drain cleaning</v>
      </c>
      <c r="R5" s="16" t="str">
        <f t="shared" si="6"/>
        <v>apartment electrical repairs</v>
      </c>
      <c r="S5" s="16" t="str">
        <f t="shared" si="6"/>
        <v>apartment air conditioning services</v>
      </c>
      <c r="T5" s="16" t="str">
        <f t="shared" si="6"/>
        <v>apartment refrigeration services</v>
      </c>
      <c r="U5" s="16" t="str">
        <f t="shared" si="6"/>
        <v>apartment leak detection</v>
      </c>
      <c r="V5" s="16" t="str">
        <f t="shared" si="6"/>
        <v>apartment maintenance plumber</v>
      </c>
      <c r="W5" s="16" t="str">
        <f t="shared" si="6"/>
        <v>apartment plumbing company</v>
      </c>
      <c r="X5" s="19" t="str">
        <f>IFERROR(__xludf.DUMMYFUNCTION("""COMPUTED_VALUE"""),"apartment electrical repairs")</f>
        <v>apartment electrical repairs</v>
      </c>
      <c r="Y5" s="9"/>
      <c r="Z5" s="9"/>
    </row>
    <row r="6">
      <c r="A6" s="15" t="s">
        <v>207</v>
      </c>
      <c r="B6" s="16" t="str">
        <f t="shared" ref="B6:K6" si="7">IF($A6="","",IF(OR(ISNUMBER(SEARCH(LOWER($A6),LOWER(B$1))),AND(RIGHT(LOWER($A6),1)="s",ISNUMBER(SEARCH(LEFT(LOWER($A6),LEN($A6)-1),LOWER(B$1))))),B$1,B$1&amp;" "&amp;$A6))</f>
        <v>plumbing services flat</v>
      </c>
      <c r="C6" s="16" t="str">
        <f t="shared" si="7"/>
        <v>emergency plumbing flat</v>
      </c>
      <c r="D6" s="16" t="str">
        <f t="shared" si="7"/>
        <v>geyser repairs flat</v>
      </c>
      <c r="E6" s="16" t="str">
        <f t="shared" si="7"/>
        <v>drain cleaning flat</v>
      </c>
      <c r="F6" s="16" t="str">
        <f t="shared" si="7"/>
        <v>electrical repairs flat</v>
      </c>
      <c r="G6" s="16" t="str">
        <f t="shared" si="7"/>
        <v>air conditioning services flat</v>
      </c>
      <c r="H6" s="16" t="str">
        <f t="shared" si="7"/>
        <v>refrigeration services flat</v>
      </c>
      <c r="I6" s="16" t="str">
        <f t="shared" si="7"/>
        <v>leak detection flat</v>
      </c>
      <c r="J6" s="16" t="str">
        <f t="shared" si="7"/>
        <v>maintenance plumber flat</v>
      </c>
      <c r="K6" s="16" t="str">
        <f t="shared" si="7"/>
        <v>plumbing company flat</v>
      </c>
      <c r="L6" s="17" t="str">
        <f>IFERROR(__xludf.DUMMYFUNCTION("""COMPUTED_VALUE"""),"air conditioning services business")</f>
        <v>air conditioning services business</v>
      </c>
      <c r="M6" s="18"/>
      <c r="N6" s="16" t="str">
        <f t="shared" ref="N6:W6" si="8">IF($A6="","",IF(OR(ISNUMBER(SEARCH(LOWER($A6),LOWER(N$1))),AND(RIGHT(LOWER($A6),1)="s",ISNUMBER(SEARCH(LEFT(LOWER($A6),LEN($A6)-1),LOWER(N$1))))),N$1,$A6&amp;" "&amp;N$1))</f>
        <v>flat plumbing services</v>
      </c>
      <c r="O6" s="16" t="str">
        <f t="shared" si="8"/>
        <v>flat emergency plumbing</v>
      </c>
      <c r="P6" s="16" t="str">
        <f t="shared" si="8"/>
        <v>flat geyser repairs</v>
      </c>
      <c r="Q6" s="16" t="str">
        <f t="shared" si="8"/>
        <v>flat drain cleaning</v>
      </c>
      <c r="R6" s="16" t="str">
        <f t="shared" si="8"/>
        <v>flat electrical repairs</v>
      </c>
      <c r="S6" s="16" t="str">
        <f t="shared" si="8"/>
        <v>flat air conditioning services</v>
      </c>
      <c r="T6" s="16" t="str">
        <f t="shared" si="8"/>
        <v>flat refrigeration services</v>
      </c>
      <c r="U6" s="16" t="str">
        <f t="shared" si="8"/>
        <v>flat leak detection</v>
      </c>
      <c r="V6" s="16" t="str">
        <f t="shared" si="8"/>
        <v>flat maintenance plumber</v>
      </c>
      <c r="W6" s="16" t="str">
        <f t="shared" si="8"/>
        <v>flat plumbing company</v>
      </c>
      <c r="X6" s="19" t="str">
        <f>IFERROR(__xludf.DUMMYFUNCTION("""COMPUTED_VALUE"""),"apartment emergency plumbing")</f>
        <v>apartment emergency plumbing</v>
      </c>
      <c r="Y6" s="9"/>
      <c r="Z6" s="9"/>
    </row>
    <row r="7">
      <c r="A7" s="15" t="s">
        <v>238</v>
      </c>
      <c r="B7" s="16" t="str">
        <f t="shared" ref="B7:K7" si="9">IF($A7="","",IF(OR(ISNUMBER(SEARCH(LOWER($A7),LOWER(B$1))),AND(RIGHT(LOWER($A7),1)="s",ISNUMBER(SEARCH(LEFT(LOWER($A7),LEN($A7)-1),LOWER(B$1))))),B$1,B$1&amp;" "&amp;$A7))</f>
        <v>plumbing services townhouse</v>
      </c>
      <c r="C7" s="16" t="str">
        <f t="shared" si="9"/>
        <v>emergency plumbing townhouse</v>
      </c>
      <c r="D7" s="16" t="str">
        <f t="shared" si="9"/>
        <v>geyser repairs townhouse</v>
      </c>
      <c r="E7" s="16" t="str">
        <f t="shared" si="9"/>
        <v>drain cleaning townhouse</v>
      </c>
      <c r="F7" s="16" t="str">
        <f t="shared" si="9"/>
        <v>electrical repairs townhouse</v>
      </c>
      <c r="G7" s="16" t="str">
        <f t="shared" si="9"/>
        <v>air conditioning services townhouse</v>
      </c>
      <c r="H7" s="16" t="str">
        <f t="shared" si="9"/>
        <v>refrigeration services townhouse</v>
      </c>
      <c r="I7" s="16" t="str">
        <f t="shared" si="9"/>
        <v>leak detection townhouse</v>
      </c>
      <c r="J7" s="16" t="str">
        <f t="shared" si="9"/>
        <v>maintenance plumber townhouse</v>
      </c>
      <c r="K7" s="16" t="str">
        <f t="shared" si="9"/>
        <v>plumbing company townhouse</v>
      </c>
      <c r="L7" s="17" t="str">
        <f>IFERROR(__xludf.DUMMYFUNCTION("""COMPUTED_VALUE"""),"air conditioning services commercial property")</f>
        <v>air conditioning services commercial property</v>
      </c>
      <c r="M7" s="18"/>
      <c r="N7" s="16" t="str">
        <f t="shared" ref="N7:W7" si="10">IF($A7="","",IF(OR(ISNUMBER(SEARCH(LOWER($A7),LOWER(N$1))),AND(RIGHT(LOWER($A7),1)="s",ISNUMBER(SEARCH(LEFT(LOWER($A7),LEN($A7)-1),LOWER(N$1))))),N$1,$A7&amp;" "&amp;N$1))</f>
        <v>townhouse plumbing services</v>
      </c>
      <c r="O7" s="16" t="str">
        <f t="shared" si="10"/>
        <v>townhouse emergency plumbing</v>
      </c>
      <c r="P7" s="16" t="str">
        <f t="shared" si="10"/>
        <v>townhouse geyser repairs</v>
      </c>
      <c r="Q7" s="16" t="str">
        <f t="shared" si="10"/>
        <v>townhouse drain cleaning</v>
      </c>
      <c r="R7" s="16" t="str">
        <f t="shared" si="10"/>
        <v>townhouse electrical repairs</v>
      </c>
      <c r="S7" s="16" t="str">
        <f t="shared" si="10"/>
        <v>townhouse air conditioning services</v>
      </c>
      <c r="T7" s="16" t="str">
        <f t="shared" si="10"/>
        <v>townhouse refrigeration services</v>
      </c>
      <c r="U7" s="16" t="str">
        <f t="shared" si="10"/>
        <v>townhouse leak detection</v>
      </c>
      <c r="V7" s="16" t="str">
        <f t="shared" si="10"/>
        <v>townhouse maintenance plumber</v>
      </c>
      <c r="W7" s="16" t="str">
        <f t="shared" si="10"/>
        <v>townhouse plumbing company</v>
      </c>
      <c r="X7" s="19" t="str">
        <f>IFERROR(__xludf.DUMMYFUNCTION("""COMPUTED_VALUE"""),"apartment geyser repairs")</f>
        <v>apartment geyser repairs</v>
      </c>
      <c r="Y7" s="9"/>
      <c r="Z7" s="9"/>
    </row>
    <row r="8">
      <c r="A8" s="15" t="s">
        <v>248</v>
      </c>
      <c r="B8" s="16" t="str">
        <f t="shared" ref="B8:K8" si="11">IF($A8="","",IF(OR(ISNUMBER(SEARCH(LOWER($A8),LOWER(B$1))),AND(RIGHT(LOWER($A8),1)="s",ISNUMBER(SEARCH(LEFT(LOWER($A8),LEN($A8)-1),LOWER(B$1))))),B$1,B$1&amp;" "&amp;$A8))</f>
        <v>plumbing services office</v>
      </c>
      <c r="C8" s="16" t="str">
        <f t="shared" si="11"/>
        <v>emergency plumbing office</v>
      </c>
      <c r="D8" s="16" t="str">
        <f t="shared" si="11"/>
        <v>geyser repairs office</v>
      </c>
      <c r="E8" s="16" t="str">
        <f t="shared" si="11"/>
        <v>drain cleaning office</v>
      </c>
      <c r="F8" s="16" t="str">
        <f t="shared" si="11"/>
        <v>electrical repairs office</v>
      </c>
      <c r="G8" s="16" t="str">
        <f t="shared" si="11"/>
        <v>air conditioning services office</v>
      </c>
      <c r="H8" s="16" t="str">
        <f t="shared" si="11"/>
        <v>refrigeration services office</v>
      </c>
      <c r="I8" s="16" t="str">
        <f t="shared" si="11"/>
        <v>leak detection office</v>
      </c>
      <c r="J8" s="16" t="str">
        <f t="shared" si="11"/>
        <v>maintenance plumber office</v>
      </c>
      <c r="K8" s="16" t="str">
        <f t="shared" si="11"/>
        <v>plumbing company office</v>
      </c>
      <c r="L8" s="17" t="str">
        <f>IFERROR(__xludf.DUMMYFUNCTION("""COMPUTED_VALUE"""),"air conditioning services estate agent")</f>
        <v>air conditioning services estate agent</v>
      </c>
      <c r="M8" s="18"/>
      <c r="N8" s="16" t="str">
        <f t="shared" ref="N8:W8" si="12">IF($A8="","",IF(OR(ISNUMBER(SEARCH(LOWER($A8),LOWER(N$1))),AND(RIGHT(LOWER($A8),1)="s",ISNUMBER(SEARCH(LEFT(LOWER($A8),LEN($A8)-1),LOWER(N$1))))),N$1,$A8&amp;" "&amp;N$1))</f>
        <v>office plumbing services</v>
      </c>
      <c r="O8" s="16" t="str">
        <f t="shared" si="12"/>
        <v>office emergency plumbing</v>
      </c>
      <c r="P8" s="16" t="str">
        <f t="shared" si="12"/>
        <v>office geyser repairs</v>
      </c>
      <c r="Q8" s="16" t="str">
        <f t="shared" si="12"/>
        <v>office drain cleaning</v>
      </c>
      <c r="R8" s="16" t="str">
        <f t="shared" si="12"/>
        <v>office electrical repairs</v>
      </c>
      <c r="S8" s="16" t="str">
        <f t="shared" si="12"/>
        <v>office air conditioning services</v>
      </c>
      <c r="T8" s="16" t="str">
        <f t="shared" si="12"/>
        <v>office refrigeration services</v>
      </c>
      <c r="U8" s="16" t="str">
        <f t="shared" si="12"/>
        <v>office leak detection</v>
      </c>
      <c r="V8" s="16" t="str">
        <f t="shared" si="12"/>
        <v>office maintenance plumber</v>
      </c>
      <c r="W8" s="16" t="str">
        <f t="shared" si="12"/>
        <v>office plumbing company</v>
      </c>
      <c r="X8" s="19" t="str">
        <f>IFERROR(__xludf.DUMMYFUNCTION("""COMPUTED_VALUE"""),"apartment leak detection")</f>
        <v>apartment leak detection</v>
      </c>
      <c r="Y8" s="9"/>
      <c r="Z8" s="9"/>
    </row>
    <row r="9">
      <c r="A9" s="15" t="s">
        <v>249</v>
      </c>
      <c r="B9" s="16" t="str">
        <f t="shared" ref="B9:K9" si="13">IF($A9="","",IF(OR(ISNUMBER(SEARCH(LOWER($A9),LOWER(B$1))),AND(RIGHT(LOWER($A9),1)="s",ISNUMBER(SEARCH(LEFT(LOWER($A9),LEN($A9)-1),LOWER(B$1))))),B$1,B$1&amp;" "&amp;$A9))</f>
        <v>plumbing services shop</v>
      </c>
      <c r="C9" s="16" t="str">
        <f t="shared" si="13"/>
        <v>emergency plumbing shop</v>
      </c>
      <c r="D9" s="16" t="str">
        <f t="shared" si="13"/>
        <v>geyser repairs shop</v>
      </c>
      <c r="E9" s="16" t="str">
        <f t="shared" si="13"/>
        <v>drain cleaning shop</v>
      </c>
      <c r="F9" s="16" t="str">
        <f t="shared" si="13"/>
        <v>electrical repairs shop</v>
      </c>
      <c r="G9" s="16" t="str">
        <f t="shared" si="13"/>
        <v>air conditioning services shop</v>
      </c>
      <c r="H9" s="16" t="str">
        <f t="shared" si="13"/>
        <v>refrigeration services shop</v>
      </c>
      <c r="I9" s="16" t="str">
        <f t="shared" si="13"/>
        <v>leak detection shop</v>
      </c>
      <c r="J9" s="16" t="str">
        <f t="shared" si="13"/>
        <v>maintenance plumber shop</v>
      </c>
      <c r="K9" s="16" t="str">
        <f t="shared" si="13"/>
        <v>plumbing company shop</v>
      </c>
      <c r="L9" s="17" t="str">
        <f>IFERROR(__xludf.DUMMYFUNCTION("""COMPUTED_VALUE"""),"air conditioning services flat")</f>
        <v>air conditioning services flat</v>
      </c>
      <c r="M9" s="18"/>
      <c r="N9" s="16" t="str">
        <f t="shared" ref="N9:W9" si="14">IF($A9="","",IF(OR(ISNUMBER(SEARCH(LOWER($A9),LOWER(N$1))),AND(RIGHT(LOWER($A9),1)="s",ISNUMBER(SEARCH(LEFT(LOWER($A9),LEN($A9)-1),LOWER(N$1))))),N$1,$A9&amp;" "&amp;N$1))</f>
        <v>shop plumbing services</v>
      </c>
      <c r="O9" s="16" t="str">
        <f t="shared" si="14"/>
        <v>shop emergency plumbing</v>
      </c>
      <c r="P9" s="16" t="str">
        <f t="shared" si="14"/>
        <v>shop geyser repairs</v>
      </c>
      <c r="Q9" s="16" t="str">
        <f t="shared" si="14"/>
        <v>shop drain cleaning</v>
      </c>
      <c r="R9" s="16" t="str">
        <f t="shared" si="14"/>
        <v>shop electrical repairs</v>
      </c>
      <c r="S9" s="16" t="str">
        <f t="shared" si="14"/>
        <v>shop air conditioning services</v>
      </c>
      <c r="T9" s="16" t="str">
        <f t="shared" si="14"/>
        <v>shop refrigeration services</v>
      </c>
      <c r="U9" s="16" t="str">
        <f t="shared" si="14"/>
        <v>shop leak detection</v>
      </c>
      <c r="V9" s="16" t="str">
        <f t="shared" si="14"/>
        <v>shop maintenance plumber</v>
      </c>
      <c r="W9" s="16" t="str">
        <f t="shared" si="14"/>
        <v>shop plumbing company</v>
      </c>
      <c r="X9" s="19" t="str">
        <f>IFERROR(__xludf.DUMMYFUNCTION("""COMPUTED_VALUE"""),"apartment maintenance plumber")</f>
        <v>apartment maintenance plumber</v>
      </c>
      <c r="Y9" s="9"/>
      <c r="Z9" s="9"/>
    </row>
    <row r="10">
      <c r="A10" s="15" t="s">
        <v>250</v>
      </c>
      <c r="B10" s="16" t="str">
        <f t="shared" ref="B10:K10" si="15">IF($A10="","",IF(OR(ISNUMBER(SEARCH(LOWER($A10),LOWER(B$1))),AND(RIGHT(LOWER($A10),1)="s",ISNUMBER(SEARCH(LEFT(LOWER($A10),LEN($A10)-1),LOWER(B$1))))),B$1,B$1&amp;" "&amp;$A10))</f>
        <v>plumbing services restaurant</v>
      </c>
      <c r="C10" s="16" t="str">
        <f t="shared" si="15"/>
        <v>emergency plumbing restaurant</v>
      </c>
      <c r="D10" s="16" t="str">
        <f t="shared" si="15"/>
        <v>geyser repairs restaurant</v>
      </c>
      <c r="E10" s="16" t="str">
        <f t="shared" si="15"/>
        <v>drain cleaning restaurant</v>
      </c>
      <c r="F10" s="16" t="str">
        <f t="shared" si="15"/>
        <v>electrical repairs restaurant</v>
      </c>
      <c r="G10" s="16" t="str">
        <f t="shared" si="15"/>
        <v>air conditioning services restaurant</v>
      </c>
      <c r="H10" s="16" t="str">
        <f t="shared" si="15"/>
        <v>refrigeration services restaurant</v>
      </c>
      <c r="I10" s="16" t="str">
        <f t="shared" si="15"/>
        <v>leak detection restaurant</v>
      </c>
      <c r="J10" s="16" t="str">
        <f t="shared" si="15"/>
        <v>maintenance plumber restaurant</v>
      </c>
      <c r="K10" s="16" t="str">
        <f t="shared" si="15"/>
        <v>plumbing company restaurant</v>
      </c>
      <c r="L10" s="17" t="str">
        <f>IFERROR(__xludf.DUMMYFUNCTION("""COMPUTED_VALUE"""),"air conditioning services guesthouse")</f>
        <v>air conditioning services guesthouse</v>
      </c>
      <c r="M10" s="18"/>
      <c r="N10" s="16" t="str">
        <f t="shared" ref="N10:W10" si="16">IF($A10="","",IF(OR(ISNUMBER(SEARCH(LOWER($A10),LOWER(N$1))),AND(RIGHT(LOWER($A10),1)="s",ISNUMBER(SEARCH(LEFT(LOWER($A10),LEN($A10)-1),LOWER(N$1))))),N$1,$A10&amp;" "&amp;N$1))</f>
        <v>restaurant plumbing services</v>
      </c>
      <c r="O10" s="16" t="str">
        <f t="shared" si="16"/>
        <v>restaurant emergency plumbing</v>
      </c>
      <c r="P10" s="16" t="str">
        <f t="shared" si="16"/>
        <v>restaurant geyser repairs</v>
      </c>
      <c r="Q10" s="16" t="str">
        <f t="shared" si="16"/>
        <v>restaurant drain cleaning</v>
      </c>
      <c r="R10" s="16" t="str">
        <f t="shared" si="16"/>
        <v>restaurant electrical repairs</v>
      </c>
      <c r="S10" s="16" t="str">
        <f t="shared" si="16"/>
        <v>restaurant air conditioning services</v>
      </c>
      <c r="T10" s="16" t="str">
        <f t="shared" si="16"/>
        <v>restaurant refrigeration services</v>
      </c>
      <c r="U10" s="16" t="str">
        <f t="shared" si="16"/>
        <v>restaurant leak detection</v>
      </c>
      <c r="V10" s="16" t="str">
        <f t="shared" si="16"/>
        <v>restaurant maintenance plumber</v>
      </c>
      <c r="W10" s="16" t="str">
        <f t="shared" si="16"/>
        <v>restaurant plumbing company</v>
      </c>
      <c r="X10" s="19" t="str">
        <f>IFERROR(__xludf.DUMMYFUNCTION("""COMPUTED_VALUE"""),"apartment plumbing company")</f>
        <v>apartment plumbing company</v>
      </c>
      <c r="Y10" s="9"/>
      <c r="Z10" s="9"/>
    </row>
    <row r="11">
      <c r="A11" s="15" t="s">
        <v>252</v>
      </c>
      <c r="B11" s="16" t="str">
        <f t="shared" ref="B11:K11" si="17">IF($A11="","",IF(OR(ISNUMBER(SEARCH(LOWER($A11),LOWER(B$1))),AND(RIGHT(LOWER($A11),1)="s",ISNUMBER(SEARCH(LEFT(LOWER($A11),LEN($A11)-1),LOWER(B$1))))),B$1,B$1&amp;" "&amp;$A11))</f>
        <v>plumbing services hotel</v>
      </c>
      <c r="C11" s="16" t="str">
        <f t="shared" si="17"/>
        <v>emergency plumbing hotel</v>
      </c>
      <c r="D11" s="16" t="str">
        <f t="shared" si="17"/>
        <v>geyser repairs hotel</v>
      </c>
      <c r="E11" s="16" t="str">
        <f t="shared" si="17"/>
        <v>drain cleaning hotel</v>
      </c>
      <c r="F11" s="16" t="str">
        <f t="shared" si="17"/>
        <v>electrical repairs hotel</v>
      </c>
      <c r="G11" s="16" t="str">
        <f t="shared" si="17"/>
        <v>air conditioning services hotel</v>
      </c>
      <c r="H11" s="16" t="str">
        <f t="shared" si="17"/>
        <v>refrigeration services hotel</v>
      </c>
      <c r="I11" s="16" t="str">
        <f t="shared" si="17"/>
        <v>leak detection hotel</v>
      </c>
      <c r="J11" s="16" t="str">
        <f t="shared" si="17"/>
        <v>maintenance plumber hotel</v>
      </c>
      <c r="K11" s="16" t="str">
        <f t="shared" si="17"/>
        <v>plumbing company hotel</v>
      </c>
      <c r="L11" s="17" t="str">
        <f>IFERROR(__xludf.DUMMYFUNCTION("""COMPUTED_VALUE"""),"air conditioning services home")</f>
        <v>air conditioning services home</v>
      </c>
      <c r="M11" s="18"/>
      <c r="N11" s="16" t="str">
        <f t="shared" ref="N11:W11" si="18">IF($A11="","",IF(OR(ISNUMBER(SEARCH(LOWER($A11),LOWER(N$1))),AND(RIGHT(LOWER($A11),1)="s",ISNUMBER(SEARCH(LEFT(LOWER($A11),LEN($A11)-1),LOWER(N$1))))),N$1,$A11&amp;" "&amp;N$1))</f>
        <v>hotel plumbing services</v>
      </c>
      <c r="O11" s="16" t="str">
        <f t="shared" si="18"/>
        <v>hotel emergency plumbing</v>
      </c>
      <c r="P11" s="16" t="str">
        <f t="shared" si="18"/>
        <v>hotel geyser repairs</v>
      </c>
      <c r="Q11" s="16" t="str">
        <f t="shared" si="18"/>
        <v>hotel drain cleaning</v>
      </c>
      <c r="R11" s="16" t="str">
        <f t="shared" si="18"/>
        <v>hotel electrical repairs</v>
      </c>
      <c r="S11" s="16" t="str">
        <f t="shared" si="18"/>
        <v>hotel air conditioning services</v>
      </c>
      <c r="T11" s="16" t="str">
        <f t="shared" si="18"/>
        <v>hotel refrigeration services</v>
      </c>
      <c r="U11" s="16" t="str">
        <f t="shared" si="18"/>
        <v>hotel leak detection</v>
      </c>
      <c r="V11" s="16" t="str">
        <f t="shared" si="18"/>
        <v>hotel maintenance plumber</v>
      </c>
      <c r="W11" s="16" t="str">
        <f t="shared" si="18"/>
        <v>hotel plumbing company</v>
      </c>
      <c r="X11" s="19" t="str">
        <f>IFERROR(__xludf.DUMMYFUNCTION("""COMPUTED_VALUE"""),"apartment plumbing services")</f>
        <v>apartment plumbing services</v>
      </c>
      <c r="Y11" s="9"/>
      <c r="Z11" s="9"/>
    </row>
    <row r="12">
      <c r="A12" s="15" t="s">
        <v>288</v>
      </c>
      <c r="B12" s="16" t="str">
        <f t="shared" ref="B12:K12" si="19">IF($A12="","",IF(OR(ISNUMBER(SEARCH(LOWER($A12),LOWER(B$1))),AND(RIGHT(LOWER($A12),1)="s",ISNUMBER(SEARCH(LEFT(LOWER($A12),LEN($A12)-1),LOWER(B$1))))),B$1,B$1&amp;" "&amp;$A12))</f>
        <v>plumbing services guesthouse</v>
      </c>
      <c r="C12" s="16" t="str">
        <f t="shared" si="19"/>
        <v>emergency plumbing guesthouse</v>
      </c>
      <c r="D12" s="16" t="str">
        <f t="shared" si="19"/>
        <v>geyser repairs guesthouse</v>
      </c>
      <c r="E12" s="16" t="str">
        <f t="shared" si="19"/>
        <v>drain cleaning guesthouse</v>
      </c>
      <c r="F12" s="16" t="str">
        <f t="shared" si="19"/>
        <v>electrical repairs guesthouse</v>
      </c>
      <c r="G12" s="16" t="str">
        <f t="shared" si="19"/>
        <v>air conditioning services guesthouse</v>
      </c>
      <c r="H12" s="16" t="str">
        <f t="shared" si="19"/>
        <v>refrigeration services guesthouse</v>
      </c>
      <c r="I12" s="16" t="str">
        <f t="shared" si="19"/>
        <v>leak detection guesthouse</v>
      </c>
      <c r="J12" s="16" t="str">
        <f t="shared" si="19"/>
        <v>maintenance plumber guesthouse</v>
      </c>
      <c r="K12" s="16" t="str">
        <f t="shared" si="19"/>
        <v>plumbing company guesthouse</v>
      </c>
      <c r="L12" s="17" t="str">
        <f>IFERROR(__xludf.DUMMYFUNCTION("""COMPUTED_VALUE"""),"air conditioning services hotel")</f>
        <v>air conditioning services hotel</v>
      </c>
      <c r="M12" s="18"/>
      <c r="N12" s="16" t="str">
        <f t="shared" ref="N12:W12" si="20">IF($A12="","",IF(OR(ISNUMBER(SEARCH(LOWER($A12),LOWER(N$1))),AND(RIGHT(LOWER($A12),1)="s",ISNUMBER(SEARCH(LEFT(LOWER($A12),LEN($A12)-1),LOWER(N$1))))),N$1,$A12&amp;" "&amp;N$1))</f>
        <v>guesthouse plumbing services</v>
      </c>
      <c r="O12" s="16" t="str">
        <f t="shared" si="20"/>
        <v>guesthouse emergency plumbing</v>
      </c>
      <c r="P12" s="16" t="str">
        <f t="shared" si="20"/>
        <v>guesthouse geyser repairs</v>
      </c>
      <c r="Q12" s="16" t="str">
        <f t="shared" si="20"/>
        <v>guesthouse drain cleaning</v>
      </c>
      <c r="R12" s="16" t="str">
        <f t="shared" si="20"/>
        <v>guesthouse electrical repairs</v>
      </c>
      <c r="S12" s="16" t="str">
        <f t="shared" si="20"/>
        <v>guesthouse air conditioning services</v>
      </c>
      <c r="T12" s="16" t="str">
        <f t="shared" si="20"/>
        <v>guesthouse refrigeration services</v>
      </c>
      <c r="U12" s="16" t="str">
        <f t="shared" si="20"/>
        <v>guesthouse leak detection</v>
      </c>
      <c r="V12" s="16" t="str">
        <f t="shared" si="20"/>
        <v>guesthouse maintenance plumber</v>
      </c>
      <c r="W12" s="16" t="str">
        <f t="shared" si="20"/>
        <v>guesthouse plumbing company</v>
      </c>
      <c r="X12" s="19" t="str">
        <f>IFERROR(__xludf.DUMMYFUNCTION("""COMPUTED_VALUE"""),"apartment refrigeration services")</f>
        <v>apartment refrigeration services</v>
      </c>
      <c r="Y12" s="9"/>
      <c r="Z12" s="9"/>
    </row>
    <row r="13">
      <c r="A13" s="15" t="s">
        <v>310</v>
      </c>
      <c r="B13" s="16" t="str">
        <f t="shared" ref="B13:K13" si="21">IF($A13="","",IF(OR(ISNUMBER(SEARCH(LOWER($A13),LOWER(B$1))),AND(RIGHT(LOWER($A13),1)="s",ISNUMBER(SEARCH(LEFT(LOWER($A13),LEN($A13)-1),LOWER(B$1))))),B$1,B$1&amp;" "&amp;$A13))</f>
        <v>plumbing services school</v>
      </c>
      <c r="C13" s="16" t="str">
        <f t="shared" si="21"/>
        <v>emergency plumbing school</v>
      </c>
      <c r="D13" s="16" t="str">
        <f t="shared" si="21"/>
        <v>geyser repairs school</v>
      </c>
      <c r="E13" s="16" t="str">
        <f t="shared" si="21"/>
        <v>drain cleaning school</v>
      </c>
      <c r="F13" s="16" t="str">
        <f t="shared" si="21"/>
        <v>electrical repairs school</v>
      </c>
      <c r="G13" s="16" t="str">
        <f t="shared" si="21"/>
        <v>air conditioning services school</v>
      </c>
      <c r="H13" s="16" t="str">
        <f t="shared" si="21"/>
        <v>refrigeration services school</v>
      </c>
      <c r="I13" s="16" t="str">
        <f t="shared" si="21"/>
        <v>leak detection school</v>
      </c>
      <c r="J13" s="16" t="str">
        <f t="shared" si="21"/>
        <v>maintenance plumber school</v>
      </c>
      <c r="K13" s="16" t="str">
        <f t="shared" si="21"/>
        <v>plumbing company school</v>
      </c>
      <c r="L13" s="17" t="str">
        <f>IFERROR(__xludf.DUMMYFUNCTION("""COMPUTED_VALUE"""),"air conditioning services house")</f>
        <v>air conditioning services house</v>
      </c>
      <c r="M13" s="18"/>
      <c r="N13" s="16" t="str">
        <f t="shared" ref="N13:W13" si="22">IF($A13="","",IF(OR(ISNUMBER(SEARCH(LOWER($A13),LOWER(N$1))),AND(RIGHT(LOWER($A13),1)="s",ISNUMBER(SEARCH(LEFT(LOWER($A13),LEN($A13)-1),LOWER(N$1))))),N$1,$A13&amp;" "&amp;N$1))</f>
        <v>school plumbing services</v>
      </c>
      <c r="O13" s="16" t="str">
        <f t="shared" si="22"/>
        <v>school emergency plumbing</v>
      </c>
      <c r="P13" s="16" t="str">
        <f t="shared" si="22"/>
        <v>school geyser repairs</v>
      </c>
      <c r="Q13" s="16" t="str">
        <f t="shared" si="22"/>
        <v>school drain cleaning</v>
      </c>
      <c r="R13" s="16" t="str">
        <f t="shared" si="22"/>
        <v>school electrical repairs</v>
      </c>
      <c r="S13" s="16" t="str">
        <f t="shared" si="22"/>
        <v>school air conditioning services</v>
      </c>
      <c r="T13" s="16" t="str">
        <f t="shared" si="22"/>
        <v>school refrigeration services</v>
      </c>
      <c r="U13" s="16" t="str">
        <f t="shared" si="22"/>
        <v>school leak detection</v>
      </c>
      <c r="V13" s="16" t="str">
        <f t="shared" si="22"/>
        <v>school maintenance plumber</v>
      </c>
      <c r="W13" s="16" t="str">
        <f t="shared" si="22"/>
        <v>school plumbing company</v>
      </c>
      <c r="X13" s="19" t="str">
        <f>IFERROR(__xludf.DUMMYFUNCTION("""COMPUTED_VALUE"""),"body corporate air conditioning services")</f>
        <v>body corporate air conditioning services</v>
      </c>
      <c r="Y13" s="9"/>
      <c r="Z13" s="9"/>
    </row>
    <row r="14">
      <c r="A14" s="15" t="s">
        <v>331</v>
      </c>
      <c r="B14" s="16" t="str">
        <f t="shared" ref="B14:K14" si="23">IF($A14="","",IF(OR(ISNUMBER(SEARCH(LOWER($A14),LOWER(B$1))),AND(RIGHT(LOWER($A14),1)="s",ISNUMBER(SEARCH(LEFT(LOWER($A14),LEN($A14)-1),LOWER(B$1))))),B$1,B$1&amp;" "&amp;$A14))</f>
        <v>plumbing services body corporate</v>
      </c>
      <c r="C14" s="16" t="str">
        <f t="shared" si="23"/>
        <v>emergency plumbing body corporate</v>
      </c>
      <c r="D14" s="16" t="str">
        <f t="shared" si="23"/>
        <v>geyser repairs body corporate</v>
      </c>
      <c r="E14" s="16" t="str">
        <f t="shared" si="23"/>
        <v>drain cleaning body corporate</v>
      </c>
      <c r="F14" s="16" t="str">
        <f t="shared" si="23"/>
        <v>electrical repairs body corporate</v>
      </c>
      <c r="G14" s="16" t="str">
        <f t="shared" si="23"/>
        <v>air conditioning services body corporate</v>
      </c>
      <c r="H14" s="16" t="str">
        <f t="shared" si="23"/>
        <v>refrigeration services body corporate</v>
      </c>
      <c r="I14" s="16" t="str">
        <f t="shared" si="23"/>
        <v>leak detection body corporate</v>
      </c>
      <c r="J14" s="16" t="str">
        <f t="shared" si="23"/>
        <v>maintenance plumber body corporate</v>
      </c>
      <c r="K14" s="16" t="str">
        <f t="shared" si="23"/>
        <v>plumbing company body corporate</v>
      </c>
      <c r="L14" s="17" t="str">
        <f>IFERROR(__xludf.DUMMYFUNCTION("""COMPUTED_VALUE"""),"air conditioning services landlord")</f>
        <v>air conditioning services landlord</v>
      </c>
      <c r="M14" s="18"/>
      <c r="N14" s="16" t="str">
        <f t="shared" ref="N14:W14" si="24">IF($A14="","",IF(OR(ISNUMBER(SEARCH(LOWER($A14),LOWER(N$1))),AND(RIGHT(LOWER($A14),1)="s",ISNUMBER(SEARCH(LEFT(LOWER($A14),LEN($A14)-1),LOWER(N$1))))),N$1,$A14&amp;" "&amp;N$1))</f>
        <v>body corporate plumbing services</v>
      </c>
      <c r="O14" s="16" t="str">
        <f t="shared" si="24"/>
        <v>body corporate emergency plumbing</v>
      </c>
      <c r="P14" s="16" t="str">
        <f t="shared" si="24"/>
        <v>body corporate geyser repairs</v>
      </c>
      <c r="Q14" s="16" t="str">
        <f t="shared" si="24"/>
        <v>body corporate drain cleaning</v>
      </c>
      <c r="R14" s="16" t="str">
        <f t="shared" si="24"/>
        <v>body corporate electrical repairs</v>
      </c>
      <c r="S14" s="16" t="str">
        <f t="shared" si="24"/>
        <v>body corporate air conditioning services</v>
      </c>
      <c r="T14" s="16" t="str">
        <f t="shared" si="24"/>
        <v>body corporate refrigeration services</v>
      </c>
      <c r="U14" s="16" t="str">
        <f t="shared" si="24"/>
        <v>body corporate leak detection</v>
      </c>
      <c r="V14" s="16" t="str">
        <f t="shared" si="24"/>
        <v>body corporate maintenance plumber</v>
      </c>
      <c r="W14" s="16" t="str">
        <f t="shared" si="24"/>
        <v>body corporate plumbing company</v>
      </c>
      <c r="X14" s="19" t="str">
        <f>IFERROR(__xludf.DUMMYFUNCTION("""COMPUTED_VALUE"""),"body corporate drain cleaning")</f>
        <v>body corporate drain cleaning</v>
      </c>
      <c r="Y14" s="9"/>
      <c r="Z14" s="9"/>
    </row>
    <row r="15">
      <c r="A15" s="15" t="s">
        <v>351</v>
      </c>
      <c r="B15" s="16" t="str">
        <f t="shared" ref="B15:K15" si="25">IF($A15="","",IF(OR(ISNUMBER(SEARCH(LOWER($A15),LOWER(B$1))),AND(RIGHT(LOWER($A15),1)="s",ISNUMBER(SEARCH(LEFT(LOWER($A15),LEN($A15)-1),LOWER(B$1))))),B$1,B$1&amp;" "&amp;$A15))</f>
        <v>plumbing services landlord</v>
      </c>
      <c r="C15" s="16" t="str">
        <f t="shared" si="25"/>
        <v>emergency plumbing landlord</v>
      </c>
      <c r="D15" s="16" t="str">
        <f t="shared" si="25"/>
        <v>geyser repairs landlord</v>
      </c>
      <c r="E15" s="16" t="str">
        <f t="shared" si="25"/>
        <v>drain cleaning landlord</v>
      </c>
      <c r="F15" s="16" t="str">
        <f t="shared" si="25"/>
        <v>electrical repairs landlord</v>
      </c>
      <c r="G15" s="16" t="str">
        <f t="shared" si="25"/>
        <v>air conditioning services landlord</v>
      </c>
      <c r="H15" s="16" t="str">
        <f t="shared" si="25"/>
        <v>refrigeration services landlord</v>
      </c>
      <c r="I15" s="16" t="str">
        <f t="shared" si="25"/>
        <v>leak detection landlord</v>
      </c>
      <c r="J15" s="16" t="str">
        <f t="shared" si="25"/>
        <v>maintenance plumber landlord</v>
      </c>
      <c r="K15" s="16" t="str">
        <f t="shared" si="25"/>
        <v>plumbing company landlord</v>
      </c>
      <c r="L15" s="17" t="str">
        <f>IFERROR(__xludf.DUMMYFUNCTION("""COMPUTED_VALUE"""),"air conditioning services office")</f>
        <v>air conditioning services office</v>
      </c>
      <c r="M15" s="18"/>
      <c r="N15" s="16" t="str">
        <f t="shared" ref="N15:W15" si="26">IF($A15="","",IF(OR(ISNUMBER(SEARCH(LOWER($A15),LOWER(N$1))),AND(RIGHT(LOWER($A15),1)="s",ISNUMBER(SEARCH(LEFT(LOWER($A15),LEN($A15)-1),LOWER(N$1))))),N$1,$A15&amp;" "&amp;N$1))</f>
        <v>landlord plumbing services</v>
      </c>
      <c r="O15" s="16" t="str">
        <f t="shared" si="26"/>
        <v>landlord emergency plumbing</v>
      </c>
      <c r="P15" s="16" t="str">
        <f t="shared" si="26"/>
        <v>landlord geyser repairs</v>
      </c>
      <c r="Q15" s="16" t="str">
        <f t="shared" si="26"/>
        <v>landlord drain cleaning</v>
      </c>
      <c r="R15" s="16" t="str">
        <f t="shared" si="26"/>
        <v>landlord electrical repairs</v>
      </c>
      <c r="S15" s="16" t="str">
        <f t="shared" si="26"/>
        <v>landlord air conditioning services</v>
      </c>
      <c r="T15" s="16" t="str">
        <f t="shared" si="26"/>
        <v>landlord refrigeration services</v>
      </c>
      <c r="U15" s="16" t="str">
        <f t="shared" si="26"/>
        <v>landlord leak detection</v>
      </c>
      <c r="V15" s="16" t="str">
        <f t="shared" si="26"/>
        <v>landlord maintenance plumber</v>
      </c>
      <c r="W15" s="16" t="str">
        <f t="shared" si="26"/>
        <v>landlord plumbing company</v>
      </c>
      <c r="X15" s="19" t="str">
        <f>IFERROR(__xludf.DUMMYFUNCTION("""COMPUTED_VALUE"""),"body corporate electrical repairs")</f>
        <v>body corporate electrical repairs</v>
      </c>
      <c r="Y15" s="9"/>
      <c r="Z15" s="9"/>
    </row>
    <row r="16">
      <c r="A16" s="15" t="s">
        <v>352</v>
      </c>
      <c r="B16" s="16" t="str">
        <f t="shared" ref="B16:K16" si="27">IF($A16="","",IF(OR(ISNUMBER(SEARCH(LOWER($A16),LOWER(B$1))),AND(RIGHT(LOWER($A16),1)="s",ISNUMBER(SEARCH(LEFT(LOWER($A16),LEN($A16)-1),LOWER(B$1))))),B$1,B$1&amp;" "&amp;$A16))</f>
        <v>plumbing services tenant</v>
      </c>
      <c r="C16" s="16" t="str">
        <f t="shared" si="27"/>
        <v>emergency plumbing tenant</v>
      </c>
      <c r="D16" s="16" t="str">
        <f t="shared" si="27"/>
        <v>geyser repairs tenant</v>
      </c>
      <c r="E16" s="16" t="str">
        <f t="shared" si="27"/>
        <v>drain cleaning tenant</v>
      </c>
      <c r="F16" s="16" t="str">
        <f t="shared" si="27"/>
        <v>electrical repairs tenant</v>
      </c>
      <c r="G16" s="16" t="str">
        <f t="shared" si="27"/>
        <v>air conditioning services tenant</v>
      </c>
      <c r="H16" s="16" t="str">
        <f t="shared" si="27"/>
        <v>refrigeration services tenant</v>
      </c>
      <c r="I16" s="16" t="str">
        <f t="shared" si="27"/>
        <v>leak detection tenant</v>
      </c>
      <c r="J16" s="16" t="str">
        <f t="shared" si="27"/>
        <v>maintenance plumber tenant</v>
      </c>
      <c r="K16" s="16" t="str">
        <f t="shared" si="27"/>
        <v>plumbing company tenant</v>
      </c>
      <c r="L16" s="17" t="str">
        <f>IFERROR(__xludf.DUMMYFUNCTION("""COMPUTED_VALUE"""),"air conditioning services property manager")</f>
        <v>air conditioning services property manager</v>
      </c>
      <c r="M16" s="18"/>
      <c r="N16" s="16" t="str">
        <f t="shared" ref="N16:W16" si="28">IF($A16="","",IF(OR(ISNUMBER(SEARCH(LOWER($A16),LOWER(N$1))),AND(RIGHT(LOWER($A16),1)="s",ISNUMBER(SEARCH(LEFT(LOWER($A16),LEN($A16)-1),LOWER(N$1))))),N$1,$A16&amp;" "&amp;N$1))</f>
        <v>tenant plumbing services</v>
      </c>
      <c r="O16" s="16" t="str">
        <f t="shared" si="28"/>
        <v>tenant emergency plumbing</v>
      </c>
      <c r="P16" s="16" t="str">
        <f t="shared" si="28"/>
        <v>tenant geyser repairs</v>
      </c>
      <c r="Q16" s="16" t="str">
        <f t="shared" si="28"/>
        <v>tenant drain cleaning</v>
      </c>
      <c r="R16" s="16" t="str">
        <f t="shared" si="28"/>
        <v>tenant electrical repairs</v>
      </c>
      <c r="S16" s="16" t="str">
        <f t="shared" si="28"/>
        <v>tenant air conditioning services</v>
      </c>
      <c r="T16" s="16" t="str">
        <f t="shared" si="28"/>
        <v>tenant refrigeration services</v>
      </c>
      <c r="U16" s="16" t="str">
        <f t="shared" si="28"/>
        <v>tenant leak detection</v>
      </c>
      <c r="V16" s="16" t="str">
        <f t="shared" si="28"/>
        <v>tenant maintenance plumber</v>
      </c>
      <c r="W16" s="16" t="str">
        <f t="shared" si="28"/>
        <v>tenant plumbing company</v>
      </c>
      <c r="X16" s="19" t="str">
        <f>IFERROR(__xludf.DUMMYFUNCTION("""COMPUTED_VALUE"""),"body corporate emergency plumbing")</f>
        <v>body corporate emergency plumbing</v>
      </c>
      <c r="Y16" s="9"/>
      <c r="Z16" s="9"/>
    </row>
    <row r="17">
      <c r="A17" s="15" t="s">
        <v>353</v>
      </c>
      <c r="B17" s="16" t="str">
        <f t="shared" ref="B17:K17" si="29">IF($A17="","",IF(OR(ISNUMBER(SEARCH(LOWER($A17),LOWER(B$1))),AND(RIGHT(LOWER($A17),1)="s",ISNUMBER(SEARCH(LEFT(LOWER($A17),LEN($A17)-1),LOWER(B$1))))),B$1,B$1&amp;" "&amp;$A17))</f>
        <v>plumbing services estate agent</v>
      </c>
      <c r="C17" s="16" t="str">
        <f t="shared" si="29"/>
        <v>emergency plumbing estate agent</v>
      </c>
      <c r="D17" s="16" t="str">
        <f t="shared" si="29"/>
        <v>geyser repairs estate agent</v>
      </c>
      <c r="E17" s="16" t="str">
        <f t="shared" si="29"/>
        <v>drain cleaning estate agent</v>
      </c>
      <c r="F17" s="16" t="str">
        <f t="shared" si="29"/>
        <v>electrical repairs estate agent</v>
      </c>
      <c r="G17" s="16" t="str">
        <f t="shared" si="29"/>
        <v>air conditioning services estate agent</v>
      </c>
      <c r="H17" s="16" t="str">
        <f t="shared" si="29"/>
        <v>refrigeration services estate agent</v>
      </c>
      <c r="I17" s="16" t="str">
        <f t="shared" si="29"/>
        <v>leak detection estate agent</v>
      </c>
      <c r="J17" s="16" t="str">
        <f t="shared" si="29"/>
        <v>maintenance plumber estate agent</v>
      </c>
      <c r="K17" s="16" t="str">
        <f t="shared" si="29"/>
        <v>plumbing company estate agent</v>
      </c>
      <c r="L17" s="17" t="str">
        <f>IFERROR(__xludf.DUMMYFUNCTION("""COMPUTED_VALUE"""),"air conditioning services residential property")</f>
        <v>air conditioning services residential property</v>
      </c>
      <c r="M17" s="18"/>
      <c r="N17" s="16" t="str">
        <f t="shared" ref="N17:W17" si="30">IF($A17="","",IF(OR(ISNUMBER(SEARCH(LOWER($A17),LOWER(N$1))),AND(RIGHT(LOWER($A17),1)="s",ISNUMBER(SEARCH(LEFT(LOWER($A17),LEN($A17)-1),LOWER(N$1))))),N$1,$A17&amp;" "&amp;N$1))</f>
        <v>estate agent plumbing services</v>
      </c>
      <c r="O17" s="16" t="str">
        <f t="shared" si="30"/>
        <v>estate agent emergency plumbing</v>
      </c>
      <c r="P17" s="16" t="str">
        <f t="shared" si="30"/>
        <v>estate agent geyser repairs</v>
      </c>
      <c r="Q17" s="16" t="str">
        <f t="shared" si="30"/>
        <v>estate agent drain cleaning</v>
      </c>
      <c r="R17" s="16" t="str">
        <f t="shared" si="30"/>
        <v>estate agent electrical repairs</v>
      </c>
      <c r="S17" s="16" t="str">
        <f t="shared" si="30"/>
        <v>estate agent air conditioning services</v>
      </c>
      <c r="T17" s="16" t="str">
        <f t="shared" si="30"/>
        <v>estate agent refrigeration services</v>
      </c>
      <c r="U17" s="16" t="str">
        <f t="shared" si="30"/>
        <v>estate agent leak detection</v>
      </c>
      <c r="V17" s="16" t="str">
        <f t="shared" si="30"/>
        <v>estate agent maintenance plumber</v>
      </c>
      <c r="W17" s="16" t="str">
        <f t="shared" si="30"/>
        <v>estate agent plumbing company</v>
      </c>
      <c r="X17" s="19" t="str">
        <f>IFERROR(__xludf.DUMMYFUNCTION("""COMPUTED_VALUE"""),"body corporate geyser repairs")</f>
        <v>body corporate geyser repairs</v>
      </c>
      <c r="Y17" s="9"/>
      <c r="Z17" s="9"/>
    </row>
    <row r="18">
      <c r="A18" s="15" t="s">
        <v>354</v>
      </c>
      <c r="B18" s="16" t="str">
        <f t="shared" ref="B18:K18" si="31">IF($A18="","",IF(OR(ISNUMBER(SEARCH(LOWER($A18),LOWER(B$1))),AND(RIGHT(LOWER($A18),1)="s",ISNUMBER(SEARCH(LEFT(LOWER($A18),LEN($A18)-1),LOWER(B$1))))),B$1,B$1&amp;" "&amp;$A18))</f>
        <v>plumbing services property manager</v>
      </c>
      <c r="C18" s="16" t="str">
        <f t="shared" si="31"/>
        <v>emergency plumbing property manager</v>
      </c>
      <c r="D18" s="16" t="str">
        <f t="shared" si="31"/>
        <v>geyser repairs property manager</v>
      </c>
      <c r="E18" s="16" t="str">
        <f t="shared" si="31"/>
        <v>drain cleaning property manager</v>
      </c>
      <c r="F18" s="16" t="str">
        <f t="shared" si="31"/>
        <v>electrical repairs property manager</v>
      </c>
      <c r="G18" s="16" t="str">
        <f t="shared" si="31"/>
        <v>air conditioning services property manager</v>
      </c>
      <c r="H18" s="16" t="str">
        <f t="shared" si="31"/>
        <v>refrigeration services property manager</v>
      </c>
      <c r="I18" s="16" t="str">
        <f t="shared" si="31"/>
        <v>leak detection property manager</v>
      </c>
      <c r="J18" s="16" t="str">
        <f t="shared" si="31"/>
        <v>maintenance plumber property manager</v>
      </c>
      <c r="K18" s="16" t="str">
        <f t="shared" si="31"/>
        <v>plumbing company property manager</v>
      </c>
      <c r="L18" s="17" t="str">
        <f>IFERROR(__xludf.DUMMYFUNCTION("""COMPUTED_VALUE"""),"air conditioning services restaurant")</f>
        <v>air conditioning services restaurant</v>
      </c>
      <c r="M18" s="18"/>
      <c r="N18" s="16" t="str">
        <f t="shared" ref="N18:W18" si="32">IF($A18="","",IF(OR(ISNUMBER(SEARCH(LOWER($A18),LOWER(N$1))),AND(RIGHT(LOWER($A18),1)="s",ISNUMBER(SEARCH(LEFT(LOWER($A18),LEN($A18)-1),LOWER(N$1))))),N$1,$A18&amp;" "&amp;N$1))</f>
        <v>property manager plumbing services</v>
      </c>
      <c r="O18" s="16" t="str">
        <f t="shared" si="32"/>
        <v>property manager emergency plumbing</v>
      </c>
      <c r="P18" s="16" t="str">
        <f t="shared" si="32"/>
        <v>property manager geyser repairs</v>
      </c>
      <c r="Q18" s="16" t="str">
        <f t="shared" si="32"/>
        <v>property manager drain cleaning</v>
      </c>
      <c r="R18" s="16" t="str">
        <f t="shared" si="32"/>
        <v>property manager electrical repairs</v>
      </c>
      <c r="S18" s="16" t="str">
        <f t="shared" si="32"/>
        <v>property manager air conditioning services</v>
      </c>
      <c r="T18" s="16" t="str">
        <f t="shared" si="32"/>
        <v>property manager refrigeration services</v>
      </c>
      <c r="U18" s="16" t="str">
        <f t="shared" si="32"/>
        <v>property manager leak detection</v>
      </c>
      <c r="V18" s="16" t="str">
        <f t="shared" si="32"/>
        <v>property manager maintenance plumber</v>
      </c>
      <c r="W18" s="16" t="str">
        <f t="shared" si="32"/>
        <v>property manager plumbing company</v>
      </c>
      <c r="X18" s="19" t="str">
        <f>IFERROR(__xludf.DUMMYFUNCTION("""COMPUTED_VALUE"""),"body corporate leak detection")</f>
        <v>body corporate leak detection</v>
      </c>
      <c r="Y18" s="9"/>
      <c r="Z18" s="9"/>
    </row>
    <row r="19">
      <c r="A19" s="15" t="s">
        <v>355</v>
      </c>
      <c r="B19" s="16" t="str">
        <f t="shared" ref="B19:K19" si="33">IF($A19="","",IF(OR(ISNUMBER(SEARCH(LOWER($A19),LOWER(B$1))),AND(RIGHT(LOWER($A19),1)="s",ISNUMBER(SEARCH(LEFT(LOWER($A19),LEN($A19)-1),LOWER(B$1))))),B$1,B$1&amp;" "&amp;$A19))</f>
        <v>plumbing services commercial property</v>
      </c>
      <c r="C19" s="16" t="str">
        <f t="shared" si="33"/>
        <v>emergency plumbing commercial property</v>
      </c>
      <c r="D19" s="16" t="str">
        <f t="shared" si="33"/>
        <v>geyser repairs commercial property</v>
      </c>
      <c r="E19" s="16" t="str">
        <f t="shared" si="33"/>
        <v>drain cleaning commercial property</v>
      </c>
      <c r="F19" s="16" t="str">
        <f t="shared" si="33"/>
        <v>electrical repairs commercial property</v>
      </c>
      <c r="G19" s="16" t="str">
        <f t="shared" si="33"/>
        <v>air conditioning services commercial property</v>
      </c>
      <c r="H19" s="16" t="str">
        <f t="shared" si="33"/>
        <v>refrigeration services commercial property</v>
      </c>
      <c r="I19" s="16" t="str">
        <f t="shared" si="33"/>
        <v>leak detection commercial property</v>
      </c>
      <c r="J19" s="16" t="str">
        <f t="shared" si="33"/>
        <v>maintenance plumber commercial property</v>
      </c>
      <c r="K19" s="16" t="str">
        <f t="shared" si="33"/>
        <v>plumbing company commercial property</v>
      </c>
      <c r="L19" s="17" t="str">
        <f>IFERROR(__xludf.DUMMYFUNCTION("""COMPUTED_VALUE"""),"air conditioning services school")</f>
        <v>air conditioning services school</v>
      </c>
      <c r="M19" s="18"/>
      <c r="N19" s="16" t="str">
        <f t="shared" ref="N19:W19" si="34">IF($A19="","",IF(OR(ISNUMBER(SEARCH(LOWER($A19),LOWER(N$1))),AND(RIGHT(LOWER($A19),1)="s",ISNUMBER(SEARCH(LEFT(LOWER($A19),LEN($A19)-1),LOWER(N$1))))),N$1,$A19&amp;" "&amp;N$1))</f>
        <v>commercial property plumbing services</v>
      </c>
      <c r="O19" s="16" t="str">
        <f t="shared" si="34"/>
        <v>commercial property emergency plumbing</v>
      </c>
      <c r="P19" s="16" t="str">
        <f t="shared" si="34"/>
        <v>commercial property geyser repairs</v>
      </c>
      <c r="Q19" s="16" t="str">
        <f t="shared" si="34"/>
        <v>commercial property drain cleaning</v>
      </c>
      <c r="R19" s="16" t="str">
        <f t="shared" si="34"/>
        <v>commercial property electrical repairs</v>
      </c>
      <c r="S19" s="16" t="str">
        <f t="shared" si="34"/>
        <v>commercial property air conditioning services</v>
      </c>
      <c r="T19" s="16" t="str">
        <f t="shared" si="34"/>
        <v>commercial property refrigeration services</v>
      </c>
      <c r="U19" s="16" t="str">
        <f t="shared" si="34"/>
        <v>commercial property leak detection</v>
      </c>
      <c r="V19" s="16" t="str">
        <f t="shared" si="34"/>
        <v>commercial property maintenance plumber</v>
      </c>
      <c r="W19" s="16" t="str">
        <f t="shared" si="34"/>
        <v>commercial property plumbing company</v>
      </c>
      <c r="X19" s="19" t="str">
        <f>IFERROR(__xludf.DUMMYFUNCTION("""COMPUTED_VALUE"""),"body corporate maintenance plumber")</f>
        <v>body corporate maintenance plumber</v>
      </c>
      <c r="Y19" s="9"/>
      <c r="Z19" s="9"/>
    </row>
    <row r="20">
      <c r="A20" s="15" t="s">
        <v>356</v>
      </c>
      <c r="B20" s="16" t="str">
        <f t="shared" ref="B20:K20" si="35">IF($A20="","",IF(OR(ISNUMBER(SEARCH(LOWER($A20),LOWER(B$1))),AND(RIGHT(LOWER($A20),1)="s",ISNUMBER(SEARCH(LEFT(LOWER($A20),LEN($A20)-1),LOWER(B$1))))),B$1,B$1&amp;" "&amp;$A20))</f>
        <v>plumbing services residential property</v>
      </c>
      <c r="C20" s="16" t="str">
        <f t="shared" si="35"/>
        <v>emergency plumbing residential property</v>
      </c>
      <c r="D20" s="16" t="str">
        <f t="shared" si="35"/>
        <v>geyser repairs residential property</v>
      </c>
      <c r="E20" s="16" t="str">
        <f t="shared" si="35"/>
        <v>drain cleaning residential property</v>
      </c>
      <c r="F20" s="16" t="str">
        <f t="shared" si="35"/>
        <v>electrical repairs residential property</v>
      </c>
      <c r="G20" s="16" t="str">
        <f t="shared" si="35"/>
        <v>air conditioning services residential property</v>
      </c>
      <c r="H20" s="16" t="str">
        <f t="shared" si="35"/>
        <v>refrigeration services residential property</v>
      </c>
      <c r="I20" s="16" t="str">
        <f t="shared" si="35"/>
        <v>leak detection residential property</v>
      </c>
      <c r="J20" s="16" t="str">
        <f t="shared" si="35"/>
        <v>maintenance plumber residential property</v>
      </c>
      <c r="K20" s="16" t="str">
        <f t="shared" si="35"/>
        <v>plumbing company residential property</v>
      </c>
      <c r="L20" s="17" t="str">
        <f>IFERROR(__xludf.DUMMYFUNCTION("""COMPUTED_VALUE"""),"air conditioning services shop")</f>
        <v>air conditioning services shop</v>
      </c>
      <c r="M20" s="18"/>
      <c r="N20" s="16" t="str">
        <f t="shared" ref="N20:W20" si="36">IF($A20="","",IF(OR(ISNUMBER(SEARCH(LOWER($A20),LOWER(N$1))),AND(RIGHT(LOWER($A20),1)="s",ISNUMBER(SEARCH(LEFT(LOWER($A20),LEN($A20)-1),LOWER(N$1))))),N$1,$A20&amp;" "&amp;N$1))</f>
        <v>residential property plumbing services</v>
      </c>
      <c r="O20" s="16" t="str">
        <f t="shared" si="36"/>
        <v>residential property emergency plumbing</v>
      </c>
      <c r="P20" s="16" t="str">
        <f t="shared" si="36"/>
        <v>residential property geyser repairs</v>
      </c>
      <c r="Q20" s="16" t="str">
        <f t="shared" si="36"/>
        <v>residential property drain cleaning</v>
      </c>
      <c r="R20" s="16" t="str">
        <f t="shared" si="36"/>
        <v>residential property electrical repairs</v>
      </c>
      <c r="S20" s="16" t="str">
        <f t="shared" si="36"/>
        <v>residential property air conditioning services</v>
      </c>
      <c r="T20" s="16" t="str">
        <f t="shared" si="36"/>
        <v>residential property refrigeration services</v>
      </c>
      <c r="U20" s="16" t="str">
        <f t="shared" si="36"/>
        <v>residential property leak detection</v>
      </c>
      <c r="V20" s="16" t="str">
        <f t="shared" si="36"/>
        <v>residential property maintenance plumber</v>
      </c>
      <c r="W20" s="16" t="str">
        <f t="shared" si="36"/>
        <v>residential property plumbing company</v>
      </c>
      <c r="X20" s="19" t="str">
        <f>IFERROR(__xludf.DUMMYFUNCTION("""COMPUTED_VALUE"""),"body corporate plumbing company")</f>
        <v>body corporate plumbing company</v>
      </c>
      <c r="Y20" s="9"/>
      <c r="Z20" s="9"/>
    </row>
    <row r="21">
      <c r="A21" s="15" t="s">
        <v>357</v>
      </c>
      <c r="B21" s="16" t="str">
        <f t="shared" ref="B21:K21" si="37">IF($A21="","",IF(OR(ISNUMBER(SEARCH(LOWER($A21),LOWER(B$1))),AND(RIGHT(LOWER($A21),1)="s",ISNUMBER(SEARCH(LEFT(LOWER($A21),LEN($A21)-1),LOWER(B$1))))),B$1,B$1&amp;" "&amp;$A21))</f>
        <v>plumbing services business</v>
      </c>
      <c r="C21" s="16" t="str">
        <f t="shared" si="37"/>
        <v>emergency plumbing business</v>
      </c>
      <c r="D21" s="16" t="str">
        <f t="shared" si="37"/>
        <v>geyser repairs business</v>
      </c>
      <c r="E21" s="16" t="str">
        <f t="shared" si="37"/>
        <v>drain cleaning business</v>
      </c>
      <c r="F21" s="16" t="str">
        <f t="shared" si="37"/>
        <v>electrical repairs business</v>
      </c>
      <c r="G21" s="16" t="str">
        <f t="shared" si="37"/>
        <v>air conditioning services business</v>
      </c>
      <c r="H21" s="16" t="str">
        <f t="shared" si="37"/>
        <v>refrigeration services business</v>
      </c>
      <c r="I21" s="16" t="str">
        <f t="shared" si="37"/>
        <v>leak detection business</v>
      </c>
      <c r="J21" s="16" t="str">
        <f t="shared" si="37"/>
        <v>maintenance plumber business</v>
      </c>
      <c r="K21" s="16" t="str">
        <f t="shared" si="37"/>
        <v>plumbing company business</v>
      </c>
      <c r="L21" s="17" t="str">
        <f>IFERROR(__xludf.DUMMYFUNCTION("""COMPUTED_VALUE"""),"air conditioning services tenant")</f>
        <v>air conditioning services tenant</v>
      </c>
      <c r="M21" s="18"/>
      <c r="N21" s="16" t="str">
        <f t="shared" ref="N21:W21" si="38">IF($A21="","",IF(OR(ISNUMBER(SEARCH(LOWER($A21),LOWER(N$1))),AND(RIGHT(LOWER($A21),1)="s",ISNUMBER(SEARCH(LEFT(LOWER($A21),LEN($A21)-1),LOWER(N$1))))),N$1,$A21&amp;" "&amp;N$1))</f>
        <v>business plumbing services</v>
      </c>
      <c r="O21" s="16" t="str">
        <f t="shared" si="38"/>
        <v>business emergency plumbing</v>
      </c>
      <c r="P21" s="16" t="str">
        <f t="shared" si="38"/>
        <v>business geyser repairs</v>
      </c>
      <c r="Q21" s="16" t="str">
        <f t="shared" si="38"/>
        <v>business drain cleaning</v>
      </c>
      <c r="R21" s="16" t="str">
        <f t="shared" si="38"/>
        <v>business electrical repairs</v>
      </c>
      <c r="S21" s="16" t="str">
        <f t="shared" si="38"/>
        <v>business air conditioning services</v>
      </c>
      <c r="T21" s="16" t="str">
        <f t="shared" si="38"/>
        <v>business refrigeration services</v>
      </c>
      <c r="U21" s="16" t="str">
        <f t="shared" si="38"/>
        <v>business leak detection</v>
      </c>
      <c r="V21" s="16" t="str">
        <f t="shared" si="38"/>
        <v>business maintenance plumber</v>
      </c>
      <c r="W21" s="16" t="str">
        <f t="shared" si="38"/>
        <v>business plumbing company</v>
      </c>
      <c r="X21" s="19" t="str">
        <f>IFERROR(__xludf.DUMMYFUNCTION("""COMPUTED_VALUE"""),"body corporate plumbing services")</f>
        <v>body corporate plumbing services</v>
      </c>
      <c r="Y21" s="9"/>
      <c r="Z21" s="9"/>
    </row>
    <row r="22">
      <c r="A22" s="15" t="s">
        <v>358</v>
      </c>
      <c r="B22" s="16" t="str">
        <f t="shared" ref="B22:K22" si="39">IF($A22="","",IF(OR(ISNUMBER(SEARCH(LOWER($A22),LOWER(B$1))),AND(RIGHT(LOWER($A22),1)="s",ISNUMBER(SEARCH(LEFT(LOWER($A22),LEN($A22)-1),LOWER(B$1))))),B$1,B$1&amp;" "&amp;$A22))</f>
        <v>plumbing services building</v>
      </c>
      <c r="C22" s="16" t="str">
        <f t="shared" si="39"/>
        <v>emergency plumbing building</v>
      </c>
      <c r="D22" s="16" t="str">
        <f t="shared" si="39"/>
        <v>geyser repairs building</v>
      </c>
      <c r="E22" s="16" t="str">
        <f t="shared" si="39"/>
        <v>drain cleaning building</v>
      </c>
      <c r="F22" s="16" t="str">
        <f t="shared" si="39"/>
        <v>electrical repairs building</v>
      </c>
      <c r="G22" s="16" t="str">
        <f t="shared" si="39"/>
        <v>air conditioning services building</v>
      </c>
      <c r="H22" s="16" t="str">
        <f t="shared" si="39"/>
        <v>refrigeration services building</v>
      </c>
      <c r="I22" s="16" t="str">
        <f t="shared" si="39"/>
        <v>leak detection building</v>
      </c>
      <c r="J22" s="16" t="str">
        <f t="shared" si="39"/>
        <v>maintenance plumber building</v>
      </c>
      <c r="K22" s="16" t="str">
        <f t="shared" si="39"/>
        <v>plumbing company building</v>
      </c>
      <c r="L22" s="17" t="str">
        <f>IFERROR(__xludf.DUMMYFUNCTION("""COMPUTED_VALUE"""),"air conditioning services townhouse")</f>
        <v>air conditioning services townhouse</v>
      </c>
      <c r="M22" s="18"/>
      <c r="N22" s="16" t="str">
        <f t="shared" ref="N22:W22" si="40">IF($A22="","",IF(OR(ISNUMBER(SEARCH(LOWER($A22),LOWER(N$1))),AND(RIGHT(LOWER($A22),1)="s",ISNUMBER(SEARCH(LEFT(LOWER($A22),LEN($A22)-1),LOWER(N$1))))),N$1,$A22&amp;" "&amp;N$1))</f>
        <v>building plumbing services</v>
      </c>
      <c r="O22" s="16" t="str">
        <f t="shared" si="40"/>
        <v>building emergency plumbing</v>
      </c>
      <c r="P22" s="16" t="str">
        <f t="shared" si="40"/>
        <v>building geyser repairs</v>
      </c>
      <c r="Q22" s="16" t="str">
        <f t="shared" si="40"/>
        <v>building drain cleaning</v>
      </c>
      <c r="R22" s="16" t="str">
        <f t="shared" si="40"/>
        <v>building electrical repairs</v>
      </c>
      <c r="S22" s="16" t="str">
        <f t="shared" si="40"/>
        <v>building air conditioning services</v>
      </c>
      <c r="T22" s="16" t="str">
        <f t="shared" si="40"/>
        <v>building refrigeration services</v>
      </c>
      <c r="U22" s="16" t="str">
        <f t="shared" si="40"/>
        <v>building leak detection</v>
      </c>
      <c r="V22" s="16" t="str">
        <f t="shared" si="40"/>
        <v>building maintenance plumber</v>
      </c>
      <c r="W22" s="16" t="str">
        <f t="shared" si="40"/>
        <v>building plumbing company</v>
      </c>
      <c r="X22" s="19" t="str">
        <f>IFERROR(__xludf.DUMMYFUNCTION("""COMPUTED_VALUE"""),"body corporate refrigeration services")</f>
        <v>body corporate refrigeration services</v>
      </c>
      <c r="Y22" s="9"/>
      <c r="Z22" s="9"/>
    </row>
    <row r="23">
      <c r="A23" s="20"/>
      <c r="B23" s="21" t="str">
        <f t="shared" ref="B23:K23" si="41">IF($A23="","",IF(OR(ISNUMBER(SEARCH(LOWER($A23),LOWER(B$1))),AND(RIGHT(LOWER($A23),1)="s",ISNUMBER(SEARCH(LEFT(LOWER($A23),LEN($A23)-1),LOWER(B$1))))),B$1,B$1&amp;" "&amp;$A23))</f>
        <v/>
      </c>
      <c r="C23" s="21" t="str">
        <f t="shared" si="41"/>
        <v/>
      </c>
      <c r="D23" s="21" t="str">
        <f t="shared" si="41"/>
        <v/>
      </c>
      <c r="E23" s="21" t="str">
        <f t="shared" si="41"/>
        <v/>
      </c>
      <c r="F23" s="21" t="str">
        <f t="shared" si="41"/>
        <v/>
      </c>
      <c r="G23" s="21" t="str">
        <f t="shared" si="41"/>
        <v/>
      </c>
      <c r="H23" s="21" t="str">
        <f t="shared" si="41"/>
        <v/>
      </c>
      <c r="I23" s="21" t="str">
        <f t="shared" si="41"/>
        <v/>
      </c>
      <c r="J23" s="21" t="str">
        <f t="shared" si="41"/>
        <v/>
      </c>
      <c r="K23" s="21" t="str">
        <f t="shared" si="41"/>
        <v/>
      </c>
      <c r="L23" s="17" t="str">
        <f>IFERROR(__xludf.DUMMYFUNCTION("""COMPUTED_VALUE"""),"drain cleaning apartment")</f>
        <v>drain cleaning apartment</v>
      </c>
      <c r="M23" s="18"/>
      <c r="N23" s="21" t="str">
        <f t="shared" ref="N23:W23" si="42">IF($A23="","",IF(OR(ISNUMBER(SEARCH(LOWER($A23),LOWER(N$1))),AND(RIGHT(LOWER($A23),1)="s",ISNUMBER(SEARCH(LEFT(LOWER($A23),LEN($A23)-1),LOWER(N$1))))),N$1,$A23&amp;" "&amp;N$1))</f>
        <v/>
      </c>
      <c r="O23" s="21" t="str">
        <f t="shared" si="42"/>
        <v/>
      </c>
      <c r="P23" s="21" t="str">
        <f t="shared" si="42"/>
        <v/>
      </c>
      <c r="Q23" s="21" t="str">
        <f t="shared" si="42"/>
        <v/>
      </c>
      <c r="R23" s="21" t="str">
        <f t="shared" si="42"/>
        <v/>
      </c>
      <c r="S23" s="21" t="str">
        <f t="shared" si="42"/>
        <v/>
      </c>
      <c r="T23" s="21" t="str">
        <f t="shared" si="42"/>
        <v/>
      </c>
      <c r="U23" s="21" t="str">
        <f t="shared" si="42"/>
        <v/>
      </c>
      <c r="V23" s="21" t="str">
        <f t="shared" si="42"/>
        <v/>
      </c>
      <c r="W23" s="21" t="str">
        <f t="shared" si="42"/>
        <v/>
      </c>
      <c r="X23" s="19" t="str">
        <f>IFERROR(__xludf.DUMMYFUNCTION("""COMPUTED_VALUE"""),"building air conditioning services")</f>
        <v>building air conditioning services</v>
      </c>
      <c r="Y23" s="9"/>
      <c r="Z23" s="9"/>
    </row>
    <row r="24">
      <c r="A24" s="20"/>
      <c r="B24" s="21" t="str">
        <f t="shared" ref="B24:K24" si="43">IF($A24="","",IF(OR(ISNUMBER(SEARCH(LOWER($A24),LOWER(B$1))),AND(RIGHT(LOWER($A24),1)="s",ISNUMBER(SEARCH(LEFT(LOWER($A24),LEN($A24)-1),LOWER(B$1))))),B$1,B$1&amp;" "&amp;$A24))</f>
        <v/>
      </c>
      <c r="C24" s="21" t="str">
        <f t="shared" si="43"/>
        <v/>
      </c>
      <c r="D24" s="21" t="str">
        <f t="shared" si="43"/>
        <v/>
      </c>
      <c r="E24" s="21" t="str">
        <f t="shared" si="43"/>
        <v/>
      </c>
      <c r="F24" s="21" t="str">
        <f t="shared" si="43"/>
        <v/>
      </c>
      <c r="G24" s="21" t="str">
        <f t="shared" si="43"/>
        <v/>
      </c>
      <c r="H24" s="21" t="str">
        <f t="shared" si="43"/>
        <v/>
      </c>
      <c r="I24" s="21" t="str">
        <f t="shared" si="43"/>
        <v/>
      </c>
      <c r="J24" s="21" t="str">
        <f t="shared" si="43"/>
        <v/>
      </c>
      <c r="K24" s="21" t="str">
        <f t="shared" si="43"/>
        <v/>
      </c>
      <c r="L24" s="17" t="str">
        <f>IFERROR(__xludf.DUMMYFUNCTION("""COMPUTED_VALUE"""),"drain cleaning body corporate")</f>
        <v>drain cleaning body corporate</v>
      </c>
      <c r="M24" s="18"/>
      <c r="N24" s="21" t="str">
        <f t="shared" ref="N24:W24" si="44">IF($A24="","",IF(OR(ISNUMBER(SEARCH(LOWER($A24),LOWER(N$1))),AND(RIGHT(LOWER($A24),1)="s",ISNUMBER(SEARCH(LEFT(LOWER($A24),LEN($A24)-1),LOWER(N$1))))),N$1,$A24&amp;" "&amp;N$1))</f>
        <v/>
      </c>
      <c r="O24" s="21" t="str">
        <f t="shared" si="44"/>
        <v/>
      </c>
      <c r="P24" s="21" t="str">
        <f t="shared" si="44"/>
        <v/>
      </c>
      <c r="Q24" s="21" t="str">
        <f t="shared" si="44"/>
        <v/>
      </c>
      <c r="R24" s="21" t="str">
        <f t="shared" si="44"/>
        <v/>
      </c>
      <c r="S24" s="21" t="str">
        <f t="shared" si="44"/>
        <v/>
      </c>
      <c r="T24" s="21" t="str">
        <f t="shared" si="44"/>
        <v/>
      </c>
      <c r="U24" s="21" t="str">
        <f t="shared" si="44"/>
        <v/>
      </c>
      <c r="V24" s="21" t="str">
        <f t="shared" si="44"/>
        <v/>
      </c>
      <c r="W24" s="21" t="str">
        <f t="shared" si="44"/>
        <v/>
      </c>
      <c r="X24" s="19" t="str">
        <f>IFERROR(__xludf.DUMMYFUNCTION("""COMPUTED_VALUE"""),"building drain cleaning")</f>
        <v>building drain cleaning</v>
      </c>
      <c r="Y24" s="9"/>
      <c r="Z24" s="9"/>
    </row>
    <row r="25">
      <c r="A25" s="20"/>
      <c r="B25" s="21" t="str">
        <f t="shared" ref="B25:K25" si="45">IF($A25="","",IF(OR(ISNUMBER(SEARCH(LOWER($A25),LOWER(B$1))),AND(RIGHT(LOWER($A25),1)="s",ISNUMBER(SEARCH(LEFT(LOWER($A25),LEN($A25)-1),LOWER(B$1))))),B$1,B$1&amp;" "&amp;$A25))</f>
        <v/>
      </c>
      <c r="C25" s="21" t="str">
        <f t="shared" si="45"/>
        <v/>
      </c>
      <c r="D25" s="21" t="str">
        <f t="shared" si="45"/>
        <v/>
      </c>
      <c r="E25" s="21" t="str">
        <f t="shared" si="45"/>
        <v/>
      </c>
      <c r="F25" s="21" t="str">
        <f t="shared" si="45"/>
        <v/>
      </c>
      <c r="G25" s="21" t="str">
        <f t="shared" si="45"/>
        <v/>
      </c>
      <c r="H25" s="21" t="str">
        <f t="shared" si="45"/>
        <v/>
      </c>
      <c r="I25" s="21" t="str">
        <f t="shared" si="45"/>
        <v/>
      </c>
      <c r="J25" s="21" t="str">
        <f t="shared" si="45"/>
        <v/>
      </c>
      <c r="K25" s="21" t="str">
        <f t="shared" si="45"/>
        <v/>
      </c>
      <c r="L25" s="17" t="str">
        <f>IFERROR(__xludf.DUMMYFUNCTION("""COMPUTED_VALUE"""),"drain cleaning building")</f>
        <v>drain cleaning building</v>
      </c>
      <c r="M25" s="18"/>
      <c r="N25" s="21" t="str">
        <f t="shared" ref="N25:W25" si="46">IF($A25="","",IF(OR(ISNUMBER(SEARCH(LOWER($A25),LOWER(N$1))),AND(RIGHT(LOWER($A25),1)="s",ISNUMBER(SEARCH(LEFT(LOWER($A25),LEN($A25)-1),LOWER(N$1))))),N$1,$A25&amp;" "&amp;N$1))</f>
        <v/>
      </c>
      <c r="O25" s="21" t="str">
        <f t="shared" si="46"/>
        <v/>
      </c>
      <c r="P25" s="21" t="str">
        <f t="shared" si="46"/>
        <v/>
      </c>
      <c r="Q25" s="21" t="str">
        <f t="shared" si="46"/>
        <v/>
      </c>
      <c r="R25" s="21" t="str">
        <f t="shared" si="46"/>
        <v/>
      </c>
      <c r="S25" s="21" t="str">
        <f t="shared" si="46"/>
        <v/>
      </c>
      <c r="T25" s="21" t="str">
        <f t="shared" si="46"/>
        <v/>
      </c>
      <c r="U25" s="21" t="str">
        <f t="shared" si="46"/>
        <v/>
      </c>
      <c r="V25" s="21" t="str">
        <f t="shared" si="46"/>
        <v/>
      </c>
      <c r="W25" s="21" t="str">
        <f t="shared" si="46"/>
        <v/>
      </c>
      <c r="X25" s="19" t="str">
        <f>IFERROR(__xludf.DUMMYFUNCTION("""COMPUTED_VALUE"""),"building electrical repairs")</f>
        <v>building electrical repairs</v>
      </c>
      <c r="Y25" s="9"/>
      <c r="Z25" s="9"/>
    </row>
    <row r="26">
      <c r="A26" s="20"/>
      <c r="B26" s="21" t="str">
        <f t="shared" ref="B26:K26" si="47">IF($A26="","",IF(OR(ISNUMBER(SEARCH(LOWER($A26),LOWER(B$1))),AND(RIGHT(LOWER($A26),1)="s",ISNUMBER(SEARCH(LEFT(LOWER($A26),LEN($A26)-1),LOWER(B$1))))),B$1,B$1&amp;" "&amp;$A26))</f>
        <v/>
      </c>
      <c r="C26" s="21" t="str">
        <f t="shared" si="47"/>
        <v/>
      </c>
      <c r="D26" s="21" t="str">
        <f t="shared" si="47"/>
        <v/>
      </c>
      <c r="E26" s="21" t="str">
        <f t="shared" si="47"/>
        <v/>
      </c>
      <c r="F26" s="21" t="str">
        <f t="shared" si="47"/>
        <v/>
      </c>
      <c r="G26" s="21" t="str">
        <f t="shared" si="47"/>
        <v/>
      </c>
      <c r="H26" s="21" t="str">
        <f t="shared" si="47"/>
        <v/>
      </c>
      <c r="I26" s="21" t="str">
        <f t="shared" si="47"/>
        <v/>
      </c>
      <c r="J26" s="21" t="str">
        <f t="shared" si="47"/>
        <v/>
      </c>
      <c r="K26" s="21" t="str">
        <f t="shared" si="47"/>
        <v/>
      </c>
      <c r="L26" s="17" t="str">
        <f>IFERROR(__xludf.DUMMYFUNCTION("""COMPUTED_VALUE"""),"drain cleaning business")</f>
        <v>drain cleaning business</v>
      </c>
      <c r="M26" s="18"/>
      <c r="N26" s="21" t="str">
        <f t="shared" ref="N26:W26" si="48">IF($A26="","",IF(OR(ISNUMBER(SEARCH(LOWER($A26),LOWER(N$1))),AND(RIGHT(LOWER($A26),1)="s",ISNUMBER(SEARCH(LEFT(LOWER($A26),LEN($A26)-1),LOWER(N$1))))),N$1,$A26&amp;" "&amp;N$1))</f>
        <v/>
      </c>
      <c r="O26" s="21" t="str">
        <f t="shared" si="48"/>
        <v/>
      </c>
      <c r="P26" s="21" t="str">
        <f t="shared" si="48"/>
        <v/>
      </c>
      <c r="Q26" s="21" t="str">
        <f t="shared" si="48"/>
        <v/>
      </c>
      <c r="R26" s="21" t="str">
        <f t="shared" si="48"/>
        <v/>
      </c>
      <c r="S26" s="21" t="str">
        <f t="shared" si="48"/>
        <v/>
      </c>
      <c r="T26" s="21" t="str">
        <f t="shared" si="48"/>
        <v/>
      </c>
      <c r="U26" s="21" t="str">
        <f t="shared" si="48"/>
        <v/>
      </c>
      <c r="V26" s="21" t="str">
        <f t="shared" si="48"/>
        <v/>
      </c>
      <c r="W26" s="21" t="str">
        <f t="shared" si="48"/>
        <v/>
      </c>
      <c r="X26" s="19" t="str">
        <f>IFERROR(__xludf.DUMMYFUNCTION("""COMPUTED_VALUE"""),"building emergency plumbing")</f>
        <v>building emergency plumbing</v>
      </c>
      <c r="Y26" s="9"/>
      <c r="Z26" s="9"/>
    </row>
    <row r="27">
      <c r="A27" s="20"/>
      <c r="B27" s="21" t="str">
        <f t="shared" ref="B27:K27" si="49">IF($A27="","",IF(OR(ISNUMBER(SEARCH(LOWER($A27),LOWER(B$1))),AND(RIGHT(LOWER($A27),1)="s",ISNUMBER(SEARCH(LEFT(LOWER($A27),LEN($A27)-1),LOWER(B$1))))),B$1,B$1&amp;" "&amp;$A27))</f>
        <v/>
      </c>
      <c r="C27" s="21" t="str">
        <f t="shared" si="49"/>
        <v/>
      </c>
      <c r="D27" s="21" t="str">
        <f t="shared" si="49"/>
        <v/>
      </c>
      <c r="E27" s="21" t="str">
        <f t="shared" si="49"/>
        <v/>
      </c>
      <c r="F27" s="21" t="str">
        <f t="shared" si="49"/>
        <v/>
      </c>
      <c r="G27" s="21" t="str">
        <f t="shared" si="49"/>
        <v/>
      </c>
      <c r="H27" s="21" t="str">
        <f t="shared" si="49"/>
        <v/>
      </c>
      <c r="I27" s="21" t="str">
        <f t="shared" si="49"/>
        <v/>
      </c>
      <c r="J27" s="21" t="str">
        <f t="shared" si="49"/>
        <v/>
      </c>
      <c r="K27" s="21" t="str">
        <f t="shared" si="49"/>
        <v/>
      </c>
      <c r="L27" s="17" t="str">
        <f>IFERROR(__xludf.DUMMYFUNCTION("""COMPUTED_VALUE"""),"drain cleaning commercial property")</f>
        <v>drain cleaning commercial property</v>
      </c>
      <c r="M27" s="18"/>
      <c r="N27" s="21" t="str">
        <f t="shared" ref="N27:W27" si="50">IF($A27="","",IF(OR(ISNUMBER(SEARCH(LOWER($A27),LOWER(N$1))),AND(RIGHT(LOWER($A27),1)="s",ISNUMBER(SEARCH(LEFT(LOWER($A27),LEN($A27)-1),LOWER(N$1))))),N$1,$A27&amp;" "&amp;N$1))</f>
        <v/>
      </c>
      <c r="O27" s="21" t="str">
        <f t="shared" si="50"/>
        <v/>
      </c>
      <c r="P27" s="21" t="str">
        <f t="shared" si="50"/>
        <v/>
      </c>
      <c r="Q27" s="21" t="str">
        <f t="shared" si="50"/>
        <v/>
      </c>
      <c r="R27" s="21" t="str">
        <f t="shared" si="50"/>
        <v/>
      </c>
      <c r="S27" s="21" t="str">
        <f t="shared" si="50"/>
        <v/>
      </c>
      <c r="T27" s="21" t="str">
        <f t="shared" si="50"/>
        <v/>
      </c>
      <c r="U27" s="21" t="str">
        <f t="shared" si="50"/>
        <v/>
      </c>
      <c r="V27" s="21" t="str">
        <f t="shared" si="50"/>
        <v/>
      </c>
      <c r="W27" s="21" t="str">
        <f t="shared" si="50"/>
        <v/>
      </c>
      <c r="X27" s="19" t="str">
        <f>IFERROR(__xludf.DUMMYFUNCTION("""COMPUTED_VALUE"""),"building geyser repairs")</f>
        <v>building geyser repairs</v>
      </c>
      <c r="Y27" s="9"/>
      <c r="Z27" s="9"/>
    </row>
    <row r="28">
      <c r="A28" s="20"/>
      <c r="B28" s="21" t="str">
        <f t="shared" ref="B28:K28" si="51">IF($A28="","",IF(OR(ISNUMBER(SEARCH(LOWER($A28),LOWER(B$1))),AND(RIGHT(LOWER($A28),1)="s",ISNUMBER(SEARCH(LEFT(LOWER($A28),LEN($A28)-1),LOWER(B$1))))),B$1,B$1&amp;" "&amp;$A28))</f>
        <v/>
      </c>
      <c r="C28" s="21" t="str">
        <f t="shared" si="51"/>
        <v/>
      </c>
      <c r="D28" s="21" t="str">
        <f t="shared" si="51"/>
        <v/>
      </c>
      <c r="E28" s="21" t="str">
        <f t="shared" si="51"/>
        <v/>
      </c>
      <c r="F28" s="21" t="str">
        <f t="shared" si="51"/>
        <v/>
      </c>
      <c r="G28" s="21" t="str">
        <f t="shared" si="51"/>
        <v/>
      </c>
      <c r="H28" s="21" t="str">
        <f t="shared" si="51"/>
        <v/>
      </c>
      <c r="I28" s="21" t="str">
        <f t="shared" si="51"/>
        <v/>
      </c>
      <c r="J28" s="21" t="str">
        <f t="shared" si="51"/>
        <v/>
      </c>
      <c r="K28" s="21" t="str">
        <f t="shared" si="51"/>
        <v/>
      </c>
      <c r="L28" s="17" t="str">
        <f>IFERROR(__xludf.DUMMYFUNCTION("""COMPUTED_VALUE"""),"drain cleaning estate agent")</f>
        <v>drain cleaning estate agent</v>
      </c>
      <c r="M28" s="18"/>
      <c r="N28" s="21" t="str">
        <f t="shared" ref="N28:W28" si="52">IF($A28="","",IF(OR(ISNUMBER(SEARCH(LOWER($A28),LOWER(N$1))),AND(RIGHT(LOWER($A28),1)="s",ISNUMBER(SEARCH(LEFT(LOWER($A28),LEN($A28)-1),LOWER(N$1))))),N$1,$A28&amp;" "&amp;N$1))</f>
        <v/>
      </c>
      <c r="O28" s="21" t="str">
        <f t="shared" si="52"/>
        <v/>
      </c>
      <c r="P28" s="21" t="str">
        <f t="shared" si="52"/>
        <v/>
      </c>
      <c r="Q28" s="21" t="str">
        <f t="shared" si="52"/>
        <v/>
      </c>
      <c r="R28" s="21" t="str">
        <f t="shared" si="52"/>
        <v/>
      </c>
      <c r="S28" s="21" t="str">
        <f t="shared" si="52"/>
        <v/>
      </c>
      <c r="T28" s="21" t="str">
        <f t="shared" si="52"/>
        <v/>
      </c>
      <c r="U28" s="21" t="str">
        <f t="shared" si="52"/>
        <v/>
      </c>
      <c r="V28" s="21" t="str">
        <f t="shared" si="52"/>
        <v/>
      </c>
      <c r="W28" s="21" t="str">
        <f t="shared" si="52"/>
        <v/>
      </c>
      <c r="X28" s="19" t="str">
        <f>IFERROR(__xludf.DUMMYFUNCTION("""COMPUTED_VALUE"""),"building leak detection")</f>
        <v>building leak detection</v>
      </c>
      <c r="Y28" s="9"/>
      <c r="Z28" s="9"/>
    </row>
    <row r="29">
      <c r="A29" s="20"/>
      <c r="B29" s="21" t="str">
        <f t="shared" ref="B29:K29" si="53">IF($A29="","",IF(OR(ISNUMBER(SEARCH(LOWER($A29),LOWER(B$1))),AND(RIGHT(LOWER($A29),1)="s",ISNUMBER(SEARCH(LEFT(LOWER($A29),LEN($A29)-1),LOWER(B$1))))),B$1,B$1&amp;" "&amp;$A29))</f>
        <v/>
      </c>
      <c r="C29" s="21" t="str">
        <f t="shared" si="53"/>
        <v/>
      </c>
      <c r="D29" s="21" t="str">
        <f t="shared" si="53"/>
        <v/>
      </c>
      <c r="E29" s="21" t="str">
        <f t="shared" si="53"/>
        <v/>
      </c>
      <c r="F29" s="21" t="str">
        <f t="shared" si="53"/>
        <v/>
      </c>
      <c r="G29" s="21" t="str">
        <f t="shared" si="53"/>
        <v/>
      </c>
      <c r="H29" s="21" t="str">
        <f t="shared" si="53"/>
        <v/>
      </c>
      <c r="I29" s="21" t="str">
        <f t="shared" si="53"/>
        <v/>
      </c>
      <c r="J29" s="21" t="str">
        <f t="shared" si="53"/>
        <v/>
      </c>
      <c r="K29" s="21" t="str">
        <f t="shared" si="53"/>
        <v/>
      </c>
      <c r="L29" s="17" t="str">
        <f>IFERROR(__xludf.DUMMYFUNCTION("""COMPUTED_VALUE"""),"drain cleaning flat")</f>
        <v>drain cleaning flat</v>
      </c>
      <c r="M29" s="18"/>
      <c r="N29" s="21" t="str">
        <f t="shared" ref="N29:W29" si="54">IF($A29="","",IF(OR(ISNUMBER(SEARCH(LOWER($A29),LOWER(N$1))),AND(RIGHT(LOWER($A29),1)="s",ISNUMBER(SEARCH(LEFT(LOWER($A29),LEN($A29)-1),LOWER(N$1))))),N$1,$A29&amp;" "&amp;N$1))</f>
        <v/>
      </c>
      <c r="O29" s="21" t="str">
        <f t="shared" si="54"/>
        <v/>
      </c>
      <c r="P29" s="21" t="str">
        <f t="shared" si="54"/>
        <v/>
      </c>
      <c r="Q29" s="21" t="str">
        <f t="shared" si="54"/>
        <v/>
      </c>
      <c r="R29" s="21" t="str">
        <f t="shared" si="54"/>
        <v/>
      </c>
      <c r="S29" s="21" t="str">
        <f t="shared" si="54"/>
        <v/>
      </c>
      <c r="T29" s="21" t="str">
        <f t="shared" si="54"/>
        <v/>
      </c>
      <c r="U29" s="21" t="str">
        <f t="shared" si="54"/>
        <v/>
      </c>
      <c r="V29" s="21" t="str">
        <f t="shared" si="54"/>
        <v/>
      </c>
      <c r="W29" s="21" t="str">
        <f t="shared" si="54"/>
        <v/>
      </c>
      <c r="X29" s="19" t="str">
        <f>IFERROR(__xludf.DUMMYFUNCTION("""COMPUTED_VALUE"""),"building maintenance plumber")</f>
        <v>building maintenance plumber</v>
      </c>
      <c r="Y29" s="9"/>
      <c r="Z29" s="9"/>
    </row>
    <row r="30">
      <c r="A30" s="20"/>
      <c r="B30" s="21" t="str">
        <f t="shared" ref="B30:K30" si="55">IF($A30="","",IF(OR(ISNUMBER(SEARCH(LOWER($A30),LOWER(B$1))),AND(RIGHT(LOWER($A30),1)="s",ISNUMBER(SEARCH(LEFT(LOWER($A30),LEN($A30)-1),LOWER(B$1))))),B$1,B$1&amp;" "&amp;$A30))</f>
        <v/>
      </c>
      <c r="C30" s="21" t="str">
        <f t="shared" si="55"/>
        <v/>
      </c>
      <c r="D30" s="21" t="str">
        <f t="shared" si="55"/>
        <v/>
      </c>
      <c r="E30" s="21" t="str">
        <f t="shared" si="55"/>
        <v/>
      </c>
      <c r="F30" s="21" t="str">
        <f t="shared" si="55"/>
        <v/>
      </c>
      <c r="G30" s="21" t="str">
        <f t="shared" si="55"/>
        <v/>
      </c>
      <c r="H30" s="21" t="str">
        <f t="shared" si="55"/>
        <v/>
      </c>
      <c r="I30" s="21" t="str">
        <f t="shared" si="55"/>
        <v/>
      </c>
      <c r="J30" s="21" t="str">
        <f t="shared" si="55"/>
        <v/>
      </c>
      <c r="K30" s="21" t="str">
        <f t="shared" si="55"/>
        <v/>
      </c>
      <c r="L30" s="17" t="str">
        <f>IFERROR(__xludf.DUMMYFUNCTION("""COMPUTED_VALUE"""),"drain cleaning guesthouse")</f>
        <v>drain cleaning guesthouse</v>
      </c>
      <c r="M30" s="18"/>
      <c r="N30" s="21" t="str">
        <f t="shared" ref="N30:W30" si="56">IF($A30="","",IF(OR(ISNUMBER(SEARCH(LOWER($A30),LOWER(N$1))),AND(RIGHT(LOWER($A30),1)="s",ISNUMBER(SEARCH(LEFT(LOWER($A30),LEN($A30)-1),LOWER(N$1))))),N$1,$A30&amp;" "&amp;N$1))</f>
        <v/>
      </c>
      <c r="O30" s="21" t="str">
        <f t="shared" si="56"/>
        <v/>
      </c>
      <c r="P30" s="21" t="str">
        <f t="shared" si="56"/>
        <v/>
      </c>
      <c r="Q30" s="21" t="str">
        <f t="shared" si="56"/>
        <v/>
      </c>
      <c r="R30" s="21" t="str">
        <f t="shared" si="56"/>
        <v/>
      </c>
      <c r="S30" s="21" t="str">
        <f t="shared" si="56"/>
        <v/>
      </c>
      <c r="T30" s="21" t="str">
        <f t="shared" si="56"/>
        <v/>
      </c>
      <c r="U30" s="21" t="str">
        <f t="shared" si="56"/>
        <v/>
      </c>
      <c r="V30" s="21" t="str">
        <f t="shared" si="56"/>
        <v/>
      </c>
      <c r="W30" s="21" t="str">
        <f t="shared" si="56"/>
        <v/>
      </c>
      <c r="X30" s="19" t="str">
        <f>IFERROR(__xludf.DUMMYFUNCTION("""COMPUTED_VALUE"""),"building plumbing company")</f>
        <v>building plumbing company</v>
      </c>
      <c r="Y30" s="9"/>
      <c r="Z30" s="9"/>
    </row>
    <row r="31">
      <c r="A31" s="20"/>
      <c r="B31" s="21" t="str">
        <f t="shared" ref="B31:K31" si="57">IF($A31="","",IF(OR(ISNUMBER(SEARCH(LOWER($A31),LOWER(B$1))),AND(RIGHT(LOWER($A31),1)="s",ISNUMBER(SEARCH(LEFT(LOWER($A31),LEN($A31)-1),LOWER(B$1))))),B$1,B$1&amp;" "&amp;$A31))</f>
        <v/>
      </c>
      <c r="C31" s="21" t="str">
        <f t="shared" si="57"/>
        <v/>
      </c>
      <c r="D31" s="21" t="str">
        <f t="shared" si="57"/>
        <v/>
      </c>
      <c r="E31" s="21" t="str">
        <f t="shared" si="57"/>
        <v/>
      </c>
      <c r="F31" s="21" t="str">
        <f t="shared" si="57"/>
        <v/>
      </c>
      <c r="G31" s="21" t="str">
        <f t="shared" si="57"/>
        <v/>
      </c>
      <c r="H31" s="21" t="str">
        <f t="shared" si="57"/>
        <v/>
      </c>
      <c r="I31" s="21" t="str">
        <f t="shared" si="57"/>
        <v/>
      </c>
      <c r="J31" s="21" t="str">
        <f t="shared" si="57"/>
        <v/>
      </c>
      <c r="K31" s="21" t="str">
        <f t="shared" si="57"/>
        <v/>
      </c>
      <c r="L31" s="17" t="str">
        <f>IFERROR(__xludf.DUMMYFUNCTION("""COMPUTED_VALUE"""),"drain cleaning home")</f>
        <v>drain cleaning home</v>
      </c>
      <c r="M31" s="18"/>
      <c r="N31" s="21" t="str">
        <f t="shared" ref="N31:W31" si="58">IF($A31="","",IF(OR(ISNUMBER(SEARCH(LOWER($A31),LOWER(N$1))),AND(RIGHT(LOWER($A31),1)="s",ISNUMBER(SEARCH(LEFT(LOWER($A31),LEN($A31)-1),LOWER(N$1))))),N$1,$A31&amp;" "&amp;N$1))</f>
        <v/>
      </c>
      <c r="O31" s="21" t="str">
        <f t="shared" si="58"/>
        <v/>
      </c>
      <c r="P31" s="21" t="str">
        <f t="shared" si="58"/>
        <v/>
      </c>
      <c r="Q31" s="21" t="str">
        <f t="shared" si="58"/>
        <v/>
      </c>
      <c r="R31" s="21" t="str">
        <f t="shared" si="58"/>
        <v/>
      </c>
      <c r="S31" s="21" t="str">
        <f t="shared" si="58"/>
        <v/>
      </c>
      <c r="T31" s="21" t="str">
        <f t="shared" si="58"/>
        <v/>
      </c>
      <c r="U31" s="21" t="str">
        <f t="shared" si="58"/>
        <v/>
      </c>
      <c r="V31" s="21" t="str">
        <f t="shared" si="58"/>
        <v/>
      </c>
      <c r="W31" s="21" t="str">
        <f t="shared" si="58"/>
        <v/>
      </c>
      <c r="X31" s="19" t="str">
        <f>IFERROR(__xludf.DUMMYFUNCTION("""COMPUTED_VALUE"""),"building plumbing services")</f>
        <v>building plumbing services</v>
      </c>
      <c r="Y31" s="9"/>
      <c r="Z31" s="9"/>
    </row>
    <row r="32">
      <c r="A32" s="20"/>
      <c r="B32" s="21" t="str">
        <f t="shared" ref="B32:K32" si="59">IF($A32="","",IF(OR(ISNUMBER(SEARCH(LOWER($A32),LOWER(B$1))),AND(RIGHT(LOWER($A32),1)="s",ISNUMBER(SEARCH(LEFT(LOWER($A32),LEN($A32)-1),LOWER(B$1))))),B$1,B$1&amp;" "&amp;$A32))</f>
        <v/>
      </c>
      <c r="C32" s="21" t="str">
        <f t="shared" si="59"/>
        <v/>
      </c>
      <c r="D32" s="21" t="str">
        <f t="shared" si="59"/>
        <v/>
      </c>
      <c r="E32" s="21" t="str">
        <f t="shared" si="59"/>
        <v/>
      </c>
      <c r="F32" s="21" t="str">
        <f t="shared" si="59"/>
        <v/>
      </c>
      <c r="G32" s="21" t="str">
        <f t="shared" si="59"/>
        <v/>
      </c>
      <c r="H32" s="21" t="str">
        <f t="shared" si="59"/>
        <v/>
      </c>
      <c r="I32" s="21" t="str">
        <f t="shared" si="59"/>
        <v/>
      </c>
      <c r="J32" s="21" t="str">
        <f t="shared" si="59"/>
        <v/>
      </c>
      <c r="K32" s="21" t="str">
        <f t="shared" si="59"/>
        <v/>
      </c>
      <c r="L32" s="17" t="str">
        <f>IFERROR(__xludf.DUMMYFUNCTION("""COMPUTED_VALUE"""),"drain cleaning hotel")</f>
        <v>drain cleaning hotel</v>
      </c>
      <c r="M32" s="18"/>
      <c r="N32" s="21" t="str">
        <f t="shared" ref="N32:W32" si="60">IF($A32="","",IF(OR(ISNUMBER(SEARCH(LOWER($A32),LOWER(N$1))),AND(RIGHT(LOWER($A32),1)="s",ISNUMBER(SEARCH(LEFT(LOWER($A32),LEN($A32)-1),LOWER(N$1))))),N$1,$A32&amp;" "&amp;N$1))</f>
        <v/>
      </c>
      <c r="O32" s="21" t="str">
        <f t="shared" si="60"/>
        <v/>
      </c>
      <c r="P32" s="21" t="str">
        <f t="shared" si="60"/>
        <v/>
      </c>
      <c r="Q32" s="21" t="str">
        <f t="shared" si="60"/>
        <v/>
      </c>
      <c r="R32" s="21" t="str">
        <f t="shared" si="60"/>
        <v/>
      </c>
      <c r="S32" s="21" t="str">
        <f t="shared" si="60"/>
        <v/>
      </c>
      <c r="T32" s="21" t="str">
        <f t="shared" si="60"/>
        <v/>
      </c>
      <c r="U32" s="21" t="str">
        <f t="shared" si="60"/>
        <v/>
      </c>
      <c r="V32" s="21" t="str">
        <f t="shared" si="60"/>
        <v/>
      </c>
      <c r="W32" s="21" t="str">
        <f t="shared" si="60"/>
        <v/>
      </c>
      <c r="X32" s="19" t="str">
        <f>IFERROR(__xludf.DUMMYFUNCTION("""COMPUTED_VALUE"""),"building refrigeration services")</f>
        <v>building refrigeration services</v>
      </c>
      <c r="Y32" s="9"/>
      <c r="Z32" s="9"/>
    </row>
    <row r="33">
      <c r="A33" s="20"/>
      <c r="B33" s="21" t="str">
        <f t="shared" ref="B33:K33" si="61">IF($A33="","",IF(OR(ISNUMBER(SEARCH(LOWER($A33),LOWER(B$1))),AND(RIGHT(LOWER($A33),1)="s",ISNUMBER(SEARCH(LEFT(LOWER($A33),LEN($A33)-1),LOWER(B$1))))),B$1,B$1&amp;" "&amp;$A33))</f>
        <v/>
      </c>
      <c r="C33" s="21" t="str">
        <f t="shared" si="61"/>
        <v/>
      </c>
      <c r="D33" s="21" t="str">
        <f t="shared" si="61"/>
        <v/>
      </c>
      <c r="E33" s="21" t="str">
        <f t="shared" si="61"/>
        <v/>
      </c>
      <c r="F33" s="21" t="str">
        <f t="shared" si="61"/>
        <v/>
      </c>
      <c r="G33" s="21" t="str">
        <f t="shared" si="61"/>
        <v/>
      </c>
      <c r="H33" s="21" t="str">
        <f t="shared" si="61"/>
        <v/>
      </c>
      <c r="I33" s="21" t="str">
        <f t="shared" si="61"/>
        <v/>
      </c>
      <c r="J33" s="21" t="str">
        <f t="shared" si="61"/>
        <v/>
      </c>
      <c r="K33" s="21" t="str">
        <f t="shared" si="61"/>
        <v/>
      </c>
      <c r="L33" s="17" t="str">
        <f>IFERROR(__xludf.DUMMYFUNCTION("""COMPUTED_VALUE"""),"drain cleaning house")</f>
        <v>drain cleaning house</v>
      </c>
      <c r="M33" s="18"/>
      <c r="N33" s="21" t="str">
        <f t="shared" ref="N33:W33" si="62">IF($A33="","",IF(OR(ISNUMBER(SEARCH(LOWER($A33),LOWER(N$1))),AND(RIGHT(LOWER($A33),1)="s",ISNUMBER(SEARCH(LEFT(LOWER($A33),LEN($A33)-1),LOWER(N$1))))),N$1,$A33&amp;" "&amp;N$1))</f>
        <v/>
      </c>
      <c r="O33" s="21" t="str">
        <f t="shared" si="62"/>
        <v/>
      </c>
      <c r="P33" s="21" t="str">
        <f t="shared" si="62"/>
        <v/>
      </c>
      <c r="Q33" s="21" t="str">
        <f t="shared" si="62"/>
        <v/>
      </c>
      <c r="R33" s="21" t="str">
        <f t="shared" si="62"/>
        <v/>
      </c>
      <c r="S33" s="21" t="str">
        <f t="shared" si="62"/>
        <v/>
      </c>
      <c r="T33" s="21" t="str">
        <f t="shared" si="62"/>
        <v/>
      </c>
      <c r="U33" s="21" t="str">
        <f t="shared" si="62"/>
        <v/>
      </c>
      <c r="V33" s="21" t="str">
        <f t="shared" si="62"/>
        <v/>
      </c>
      <c r="W33" s="21" t="str">
        <f t="shared" si="62"/>
        <v/>
      </c>
      <c r="X33" s="19" t="str">
        <f>IFERROR(__xludf.DUMMYFUNCTION("""COMPUTED_VALUE"""),"business air conditioning services")</f>
        <v>business air conditioning services</v>
      </c>
      <c r="Y33" s="9"/>
      <c r="Z33" s="9"/>
    </row>
    <row r="34">
      <c r="A34" s="20"/>
      <c r="B34" s="21" t="str">
        <f t="shared" ref="B34:K34" si="63">IF($A34="","",IF(OR(ISNUMBER(SEARCH(LOWER($A34),LOWER(B$1))),AND(RIGHT(LOWER($A34),1)="s",ISNUMBER(SEARCH(LEFT(LOWER($A34),LEN($A34)-1),LOWER(B$1))))),B$1,B$1&amp;" "&amp;$A34))</f>
        <v/>
      </c>
      <c r="C34" s="21" t="str">
        <f t="shared" si="63"/>
        <v/>
      </c>
      <c r="D34" s="21" t="str">
        <f t="shared" si="63"/>
        <v/>
      </c>
      <c r="E34" s="21" t="str">
        <f t="shared" si="63"/>
        <v/>
      </c>
      <c r="F34" s="21" t="str">
        <f t="shared" si="63"/>
        <v/>
      </c>
      <c r="G34" s="21" t="str">
        <f t="shared" si="63"/>
        <v/>
      </c>
      <c r="H34" s="21" t="str">
        <f t="shared" si="63"/>
        <v/>
      </c>
      <c r="I34" s="21" t="str">
        <f t="shared" si="63"/>
        <v/>
      </c>
      <c r="J34" s="21" t="str">
        <f t="shared" si="63"/>
        <v/>
      </c>
      <c r="K34" s="21" t="str">
        <f t="shared" si="63"/>
        <v/>
      </c>
      <c r="L34" s="17" t="str">
        <f>IFERROR(__xludf.DUMMYFUNCTION("""COMPUTED_VALUE"""),"drain cleaning landlord")</f>
        <v>drain cleaning landlord</v>
      </c>
      <c r="M34" s="18"/>
      <c r="N34" s="21" t="str">
        <f t="shared" ref="N34:W34" si="64">IF($A34="","",IF(OR(ISNUMBER(SEARCH(LOWER($A34),LOWER(N$1))),AND(RIGHT(LOWER($A34),1)="s",ISNUMBER(SEARCH(LEFT(LOWER($A34),LEN($A34)-1),LOWER(N$1))))),N$1,$A34&amp;" "&amp;N$1))</f>
        <v/>
      </c>
      <c r="O34" s="21" t="str">
        <f t="shared" si="64"/>
        <v/>
      </c>
      <c r="P34" s="21" t="str">
        <f t="shared" si="64"/>
        <v/>
      </c>
      <c r="Q34" s="21" t="str">
        <f t="shared" si="64"/>
        <v/>
      </c>
      <c r="R34" s="21" t="str">
        <f t="shared" si="64"/>
        <v/>
      </c>
      <c r="S34" s="21" t="str">
        <f t="shared" si="64"/>
        <v/>
      </c>
      <c r="T34" s="21" t="str">
        <f t="shared" si="64"/>
        <v/>
      </c>
      <c r="U34" s="21" t="str">
        <f t="shared" si="64"/>
        <v/>
      </c>
      <c r="V34" s="21" t="str">
        <f t="shared" si="64"/>
        <v/>
      </c>
      <c r="W34" s="21" t="str">
        <f t="shared" si="64"/>
        <v/>
      </c>
      <c r="X34" s="19" t="str">
        <f>IFERROR(__xludf.DUMMYFUNCTION("""COMPUTED_VALUE"""),"business drain cleaning")</f>
        <v>business drain cleaning</v>
      </c>
      <c r="Y34" s="9"/>
      <c r="Z34" s="9"/>
    </row>
    <row r="35">
      <c r="A35" s="20"/>
      <c r="B35" s="21" t="str">
        <f t="shared" ref="B35:K35" si="65">IF($A35="","",IF(OR(ISNUMBER(SEARCH(LOWER($A35),LOWER(B$1))),AND(RIGHT(LOWER($A35),1)="s",ISNUMBER(SEARCH(LEFT(LOWER($A35),LEN($A35)-1),LOWER(B$1))))),B$1,B$1&amp;" "&amp;$A35))</f>
        <v/>
      </c>
      <c r="C35" s="21" t="str">
        <f t="shared" si="65"/>
        <v/>
      </c>
      <c r="D35" s="21" t="str">
        <f t="shared" si="65"/>
        <v/>
      </c>
      <c r="E35" s="21" t="str">
        <f t="shared" si="65"/>
        <v/>
      </c>
      <c r="F35" s="21" t="str">
        <f t="shared" si="65"/>
        <v/>
      </c>
      <c r="G35" s="21" t="str">
        <f t="shared" si="65"/>
        <v/>
      </c>
      <c r="H35" s="21" t="str">
        <f t="shared" si="65"/>
        <v/>
      </c>
      <c r="I35" s="21" t="str">
        <f t="shared" si="65"/>
        <v/>
      </c>
      <c r="J35" s="21" t="str">
        <f t="shared" si="65"/>
        <v/>
      </c>
      <c r="K35" s="21" t="str">
        <f t="shared" si="65"/>
        <v/>
      </c>
      <c r="L35" s="17" t="str">
        <f>IFERROR(__xludf.DUMMYFUNCTION("""COMPUTED_VALUE"""),"drain cleaning office")</f>
        <v>drain cleaning office</v>
      </c>
      <c r="M35" s="18"/>
      <c r="N35" s="21" t="str">
        <f t="shared" ref="N35:W35" si="66">IF($A35="","",IF(OR(ISNUMBER(SEARCH(LOWER($A35),LOWER(N$1))),AND(RIGHT(LOWER($A35),1)="s",ISNUMBER(SEARCH(LEFT(LOWER($A35),LEN($A35)-1),LOWER(N$1))))),N$1,$A35&amp;" "&amp;N$1))</f>
        <v/>
      </c>
      <c r="O35" s="21" t="str">
        <f t="shared" si="66"/>
        <v/>
      </c>
      <c r="P35" s="21" t="str">
        <f t="shared" si="66"/>
        <v/>
      </c>
      <c r="Q35" s="21" t="str">
        <f t="shared" si="66"/>
        <v/>
      </c>
      <c r="R35" s="21" t="str">
        <f t="shared" si="66"/>
        <v/>
      </c>
      <c r="S35" s="21" t="str">
        <f t="shared" si="66"/>
        <v/>
      </c>
      <c r="T35" s="21" t="str">
        <f t="shared" si="66"/>
        <v/>
      </c>
      <c r="U35" s="21" t="str">
        <f t="shared" si="66"/>
        <v/>
      </c>
      <c r="V35" s="21" t="str">
        <f t="shared" si="66"/>
        <v/>
      </c>
      <c r="W35" s="21" t="str">
        <f t="shared" si="66"/>
        <v/>
      </c>
      <c r="X35" s="19" t="str">
        <f>IFERROR(__xludf.DUMMYFUNCTION("""COMPUTED_VALUE"""),"business electrical repairs")</f>
        <v>business electrical repairs</v>
      </c>
      <c r="Y35" s="9"/>
      <c r="Z35" s="9"/>
    </row>
    <row r="36">
      <c r="A36" s="20"/>
      <c r="B36" s="21" t="str">
        <f t="shared" ref="B36:K36" si="67">IF($A36="","",IF(OR(ISNUMBER(SEARCH(LOWER($A36),LOWER(B$1))),AND(RIGHT(LOWER($A36),1)="s",ISNUMBER(SEARCH(LEFT(LOWER($A36),LEN($A36)-1),LOWER(B$1))))),B$1,B$1&amp;" "&amp;$A36))</f>
        <v/>
      </c>
      <c r="C36" s="21" t="str">
        <f t="shared" si="67"/>
        <v/>
      </c>
      <c r="D36" s="21" t="str">
        <f t="shared" si="67"/>
        <v/>
      </c>
      <c r="E36" s="21" t="str">
        <f t="shared" si="67"/>
        <v/>
      </c>
      <c r="F36" s="21" t="str">
        <f t="shared" si="67"/>
        <v/>
      </c>
      <c r="G36" s="21" t="str">
        <f t="shared" si="67"/>
        <v/>
      </c>
      <c r="H36" s="21" t="str">
        <f t="shared" si="67"/>
        <v/>
      </c>
      <c r="I36" s="21" t="str">
        <f t="shared" si="67"/>
        <v/>
      </c>
      <c r="J36" s="21" t="str">
        <f t="shared" si="67"/>
        <v/>
      </c>
      <c r="K36" s="21" t="str">
        <f t="shared" si="67"/>
        <v/>
      </c>
      <c r="L36" s="17" t="str">
        <f>IFERROR(__xludf.DUMMYFUNCTION("""COMPUTED_VALUE"""),"drain cleaning property manager")</f>
        <v>drain cleaning property manager</v>
      </c>
      <c r="M36" s="18"/>
      <c r="N36" s="21" t="str">
        <f t="shared" ref="N36:W36" si="68">IF($A36="","",IF(OR(ISNUMBER(SEARCH(LOWER($A36),LOWER(N$1))),AND(RIGHT(LOWER($A36),1)="s",ISNUMBER(SEARCH(LEFT(LOWER($A36),LEN($A36)-1),LOWER(N$1))))),N$1,$A36&amp;" "&amp;N$1))</f>
        <v/>
      </c>
      <c r="O36" s="21" t="str">
        <f t="shared" si="68"/>
        <v/>
      </c>
      <c r="P36" s="21" t="str">
        <f t="shared" si="68"/>
        <v/>
      </c>
      <c r="Q36" s="21" t="str">
        <f t="shared" si="68"/>
        <v/>
      </c>
      <c r="R36" s="21" t="str">
        <f t="shared" si="68"/>
        <v/>
      </c>
      <c r="S36" s="21" t="str">
        <f t="shared" si="68"/>
        <v/>
      </c>
      <c r="T36" s="21" t="str">
        <f t="shared" si="68"/>
        <v/>
      </c>
      <c r="U36" s="21" t="str">
        <f t="shared" si="68"/>
        <v/>
      </c>
      <c r="V36" s="21" t="str">
        <f t="shared" si="68"/>
        <v/>
      </c>
      <c r="W36" s="21" t="str">
        <f t="shared" si="68"/>
        <v/>
      </c>
      <c r="X36" s="19" t="str">
        <f>IFERROR(__xludf.DUMMYFUNCTION("""COMPUTED_VALUE"""),"business emergency plumbing")</f>
        <v>business emergency plumbing</v>
      </c>
      <c r="Y36" s="9"/>
      <c r="Z36" s="9"/>
    </row>
    <row r="37">
      <c r="A37" s="20"/>
      <c r="B37" s="21" t="str">
        <f t="shared" ref="B37:K37" si="69">IF($A37="","",IF(OR(ISNUMBER(SEARCH(LOWER($A37),LOWER(B$1))),AND(RIGHT(LOWER($A37),1)="s",ISNUMBER(SEARCH(LEFT(LOWER($A37),LEN($A37)-1),LOWER(B$1))))),B$1,B$1&amp;" "&amp;$A37))</f>
        <v/>
      </c>
      <c r="C37" s="21" t="str">
        <f t="shared" si="69"/>
        <v/>
      </c>
      <c r="D37" s="21" t="str">
        <f t="shared" si="69"/>
        <v/>
      </c>
      <c r="E37" s="21" t="str">
        <f t="shared" si="69"/>
        <v/>
      </c>
      <c r="F37" s="21" t="str">
        <f t="shared" si="69"/>
        <v/>
      </c>
      <c r="G37" s="21" t="str">
        <f t="shared" si="69"/>
        <v/>
      </c>
      <c r="H37" s="21" t="str">
        <f t="shared" si="69"/>
        <v/>
      </c>
      <c r="I37" s="21" t="str">
        <f t="shared" si="69"/>
        <v/>
      </c>
      <c r="J37" s="21" t="str">
        <f t="shared" si="69"/>
        <v/>
      </c>
      <c r="K37" s="21" t="str">
        <f t="shared" si="69"/>
        <v/>
      </c>
      <c r="L37" s="17" t="str">
        <f>IFERROR(__xludf.DUMMYFUNCTION("""COMPUTED_VALUE"""),"drain cleaning residential property")</f>
        <v>drain cleaning residential property</v>
      </c>
      <c r="M37" s="18"/>
      <c r="N37" s="21" t="str">
        <f t="shared" ref="N37:W37" si="70">IF($A37="","",IF(OR(ISNUMBER(SEARCH(LOWER($A37),LOWER(N$1))),AND(RIGHT(LOWER($A37),1)="s",ISNUMBER(SEARCH(LEFT(LOWER($A37),LEN($A37)-1),LOWER(N$1))))),N$1,$A37&amp;" "&amp;N$1))</f>
        <v/>
      </c>
      <c r="O37" s="21" t="str">
        <f t="shared" si="70"/>
        <v/>
      </c>
      <c r="P37" s="21" t="str">
        <f t="shared" si="70"/>
        <v/>
      </c>
      <c r="Q37" s="21" t="str">
        <f t="shared" si="70"/>
        <v/>
      </c>
      <c r="R37" s="21" t="str">
        <f t="shared" si="70"/>
        <v/>
      </c>
      <c r="S37" s="21" t="str">
        <f t="shared" si="70"/>
        <v/>
      </c>
      <c r="T37" s="21" t="str">
        <f t="shared" si="70"/>
        <v/>
      </c>
      <c r="U37" s="21" t="str">
        <f t="shared" si="70"/>
        <v/>
      </c>
      <c r="V37" s="21" t="str">
        <f t="shared" si="70"/>
        <v/>
      </c>
      <c r="W37" s="21" t="str">
        <f t="shared" si="70"/>
        <v/>
      </c>
      <c r="X37" s="19" t="str">
        <f>IFERROR(__xludf.DUMMYFUNCTION("""COMPUTED_VALUE"""),"business geyser repairs")</f>
        <v>business geyser repairs</v>
      </c>
      <c r="Y37" s="9"/>
      <c r="Z37" s="9"/>
    </row>
    <row r="38">
      <c r="A38" s="20"/>
      <c r="B38" s="21" t="str">
        <f t="shared" ref="B38:K38" si="71">IF($A38="","",IF(OR(ISNUMBER(SEARCH(LOWER($A38),LOWER(B$1))),AND(RIGHT(LOWER($A38),1)="s",ISNUMBER(SEARCH(LEFT(LOWER($A38),LEN($A38)-1),LOWER(B$1))))),B$1,B$1&amp;" "&amp;$A38))</f>
        <v/>
      </c>
      <c r="C38" s="21" t="str">
        <f t="shared" si="71"/>
        <v/>
      </c>
      <c r="D38" s="21" t="str">
        <f t="shared" si="71"/>
        <v/>
      </c>
      <c r="E38" s="21" t="str">
        <f t="shared" si="71"/>
        <v/>
      </c>
      <c r="F38" s="21" t="str">
        <f t="shared" si="71"/>
        <v/>
      </c>
      <c r="G38" s="21" t="str">
        <f t="shared" si="71"/>
        <v/>
      </c>
      <c r="H38" s="21" t="str">
        <f t="shared" si="71"/>
        <v/>
      </c>
      <c r="I38" s="21" t="str">
        <f t="shared" si="71"/>
        <v/>
      </c>
      <c r="J38" s="21" t="str">
        <f t="shared" si="71"/>
        <v/>
      </c>
      <c r="K38" s="21" t="str">
        <f t="shared" si="71"/>
        <v/>
      </c>
      <c r="L38" s="17" t="str">
        <f>IFERROR(__xludf.DUMMYFUNCTION("""COMPUTED_VALUE"""),"drain cleaning restaurant")</f>
        <v>drain cleaning restaurant</v>
      </c>
      <c r="M38" s="18"/>
      <c r="N38" s="21" t="str">
        <f t="shared" ref="N38:W38" si="72">IF($A38="","",IF(OR(ISNUMBER(SEARCH(LOWER($A38),LOWER(N$1))),AND(RIGHT(LOWER($A38),1)="s",ISNUMBER(SEARCH(LEFT(LOWER($A38),LEN($A38)-1),LOWER(N$1))))),N$1,$A38&amp;" "&amp;N$1))</f>
        <v/>
      </c>
      <c r="O38" s="21" t="str">
        <f t="shared" si="72"/>
        <v/>
      </c>
      <c r="P38" s="21" t="str">
        <f t="shared" si="72"/>
        <v/>
      </c>
      <c r="Q38" s="21" t="str">
        <f t="shared" si="72"/>
        <v/>
      </c>
      <c r="R38" s="21" t="str">
        <f t="shared" si="72"/>
        <v/>
      </c>
      <c r="S38" s="21" t="str">
        <f t="shared" si="72"/>
        <v/>
      </c>
      <c r="T38" s="21" t="str">
        <f t="shared" si="72"/>
        <v/>
      </c>
      <c r="U38" s="21" t="str">
        <f t="shared" si="72"/>
        <v/>
      </c>
      <c r="V38" s="21" t="str">
        <f t="shared" si="72"/>
        <v/>
      </c>
      <c r="W38" s="21" t="str">
        <f t="shared" si="72"/>
        <v/>
      </c>
      <c r="X38" s="19" t="str">
        <f>IFERROR(__xludf.DUMMYFUNCTION("""COMPUTED_VALUE"""),"business leak detection")</f>
        <v>business leak detection</v>
      </c>
      <c r="Y38" s="9"/>
      <c r="Z38" s="9"/>
    </row>
    <row r="39">
      <c r="A39" s="20"/>
      <c r="B39" s="21" t="str">
        <f t="shared" ref="B39:K39" si="73">IF($A39="","",IF(OR(ISNUMBER(SEARCH(LOWER($A39),LOWER(B$1))),AND(RIGHT(LOWER($A39),1)="s",ISNUMBER(SEARCH(LEFT(LOWER($A39),LEN($A39)-1),LOWER(B$1))))),B$1,B$1&amp;" "&amp;$A39))</f>
        <v/>
      </c>
      <c r="C39" s="21" t="str">
        <f t="shared" si="73"/>
        <v/>
      </c>
      <c r="D39" s="21" t="str">
        <f t="shared" si="73"/>
        <v/>
      </c>
      <c r="E39" s="21" t="str">
        <f t="shared" si="73"/>
        <v/>
      </c>
      <c r="F39" s="21" t="str">
        <f t="shared" si="73"/>
        <v/>
      </c>
      <c r="G39" s="21" t="str">
        <f t="shared" si="73"/>
        <v/>
      </c>
      <c r="H39" s="21" t="str">
        <f t="shared" si="73"/>
        <v/>
      </c>
      <c r="I39" s="21" t="str">
        <f t="shared" si="73"/>
        <v/>
      </c>
      <c r="J39" s="21" t="str">
        <f t="shared" si="73"/>
        <v/>
      </c>
      <c r="K39" s="21" t="str">
        <f t="shared" si="73"/>
        <v/>
      </c>
      <c r="L39" s="17" t="str">
        <f>IFERROR(__xludf.DUMMYFUNCTION("""COMPUTED_VALUE"""),"drain cleaning school")</f>
        <v>drain cleaning school</v>
      </c>
      <c r="M39" s="18"/>
      <c r="N39" s="21" t="str">
        <f t="shared" ref="N39:W39" si="74">IF($A39="","",IF(OR(ISNUMBER(SEARCH(LOWER($A39),LOWER(N$1))),AND(RIGHT(LOWER($A39),1)="s",ISNUMBER(SEARCH(LEFT(LOWER($A39),LEN($A39)-1),LOWER(N$1))))),N$1,$A39&amp;" "&amp;N$1))</f>
        <v/>
      </c>
      <c r="O39" s="21" t="str">
        <f t="shared" si="74"/>
        <v/>
      </c>
      <c r="P39" s="21" t="str">
        <f t="shared" si="74"/>
        <v/>
      </c>
      <c r="Q39" s="21" t="str">
        <f t="shared" si="74"/>
        <v/>
      </c>
      <c r="R39" s="21" t="str">
        <f t="shared" si="74"/>
        <v/>
      </c>
      <c r="S39" s="21" t="str">
        <f t="shared" si="74"/>
        <v/>
      </c>
      <c r="T39" s="21" t="str">
        <f t="shared" si="74"/>
        <v/>
      </c>
      <c r="U39" s="21" t="str">
        <f t="shared" si="74"/>
        <v/>
      </c>
      <c r="V39" s="21" t="str">
        <f t="shared" si="74"/>
        <v/>
      </c>
      <c r="W39" s="21" t="str">
        <f t="shared" si="74"/>
        <v/>
      </c>
      <c r="X39" s="19" t="str">
        <f>IFERROR(__xludf.DUMMYFUNCTION("""COMPUTED_VALUE"""),"business maintenance plumber")</f>
        <v>business maintenance plumber</v>
      </c>
      <c r="Y39" s="9"/>
      <c r="Z39" s="9"/>
    </row>
    <row r="40">
      <c r="A40" s="20"/>
      <c r="B40" s="21" t="str">
        <f t="shared" ref="B40:K40" si="75">IF($A40="","",IF(OR(ISNUMBER(SEARCH(LOWER($A40),LOWER(B$1))),AND(RIGHT(LOWER($A40),1)="s",ISNUMBER(SEARCH(LEFT(LOWER($A40),LEN($A40)-1),LOWER(B$1))))),B$1,B$1&amp;" "&amp;$A40))</f>
        <v/>
      </c>
      <c r="C40" s="21" t="str">
        <f t="shared" si="75"/>
        <v/>
      </c>
      <c r="D40" s="21" t="str">
        <f t="shared" si="75"/>
        <v/>
      </c>
      <c r="E40" s="21" t="str">
        <f t="shared" si="75"/>
        <v/>
      </c>
      <c r="F40" s="21" t="str">
        <f t="shared" si="75"/>
        <v/>
      </c>
      <c r="G40" s="21" t="str">
        <f t="shared" si="75"/>
        <v/>
      </c>
      <c r="H40" s="21" t="str">
        <f t="shared" si="75"/>
        <v/>
      </c>
      <c r="I40" s="21" t="str">
        <f t="shared" si="75"/>
        <v/>
      </c>
      <c r="J40" s="21" t="str">
        <f t="shared" si="75"/>
        <v/>
      </c>
      <c r="K40" s="21" t="str">
        <f t="shared" si="75"/>
        <v/>
      </c>
      <c r="L40" s="17" t="str">
        <f>IFERROR(__xludf.DUMMYFUNCTION("""COMPUTED_VALUE"""),"drain cleaning shop")</f>
        <v>drain cleaning shop</v>
      </c>
      <c r="M40" s="18"/>
      <c r="N40" s="21" t="str">
        <f t="shared" ref="N40:W40" si="76">IF($A40="","",IF(OR(ISNUMBER(SEARCH(LOWER($A40),LOWER(N$1))),AND(RIGHT(LOWER($A40),1)="s",ISNUMBER(SEARCH(LEFT(LOWER($A40),LEN($A40)-1),LOWER(N$1))))),N$1,$A40&amp;" "&amp;N$1))</f>
        <v/>
      </c>
      <c r="O40" s="21" t="str">
        <f t="shared" si="76"/>
        <v/>
      </c>
      <c r="P40" s="21" t="str">
        <f t="shared" si="76"/>
        <v/>
      </c>
      <c r="Q40" s="21" t="str">
        <f t="shared" si="76"/>
        <v/>
      </c>
      <c r="R40" s="21" t="str">
        <f t="shared" si="76"/>
        <v/>
      </c>
      <c r="S40" s="21" t="str">
        <f t="shared" si="76"/>
        <v/>
      </c>
      <c r="T40" s="21" t="str">
        <f t="shared" si="76"/>
        <v/>
      </c>
      <c r="U40" s="21" t="str">
        <f t="shared" si="76"/>
        <v/>
      </c>
      <c r="V40" s="21" t="str">
        <f t="shared" si="76"/>
        <v/>
      </c>
      <c r="W40" s="21" t="str">
        <f t="shared" si="76"/>
        <v/>
      </c>
      <c r="X40" s="19" t="str">
        <f>IFERROR(__xludf.DUMMYFUNCTION("""COMPUTED_VALUE"""),"business plumbing company")</f>
        <v>business plumbing company</v>
      </c>
      <c r="Y40" s="9"/>
      <c r="Z40" s="9"/>
    </row>
    <row r="41">
      <c r="A41" s="20"/>
      <c r="B41" s="21" t="str">
        <f t="shared" ref="B41:K41" si="77">IF($A41="","",IF(OR(ISNUMBER(SEARCH(LOWER($A41),LOWER(B$1))),AND(RIGHT(LOWER($A41),1)="s",ISNUMBER(SEARCH(LEFT(LOWER($A41),LEN($A41)-1),LOWER(B$1))))),B$1,B$1&amp;" "&amp;$A41))</f>
        <v/>
      </c>
      <c r="C41" s="21" t="str">
        <f t="shared" si="77"/>
        <v/>
      </c>
      <c r="D41" s="21" t="str">
        <f t="shared" si="77"/>
        <v/>
      </c>
      <c r="E41" s="21" t="str">
        <f t="shared" si="77"/>
        <v/>
      </c>
      <c r="F41" s="21" t="str">
        <f t="shared" si="77"/>
        <v/>
      </c>
      <c r="G41" s="21" t="str">
        <f t="shared" si="77"/>
        <v/>
      </c>
      <c r="H41" s="21" t="str">
        <f t="shared" si="77"/>
        <v/>
      </c>
      <c r="I41" s="21" t="str">
        <f t="shared" si="77"/>
        <v/>
      </c>
      <c r="J41" s="21" t="str">
        <f t="shared" si="77"/>
        <v/>
      </c>
      <c r="K41" s="21" t="str">
        <f t="shared" si="77"/>
        <v/>
      </c>
      <c r="L41" s="17" t="str">
        <f>IFERROR(__xludf.DUMMYFUNCTION("""COMPUTED_VALUE"""),"drain cleaning tenant")</f>
        <v>drain cleaning tenant</v>
      </c>
      <c r="M41" s="18"/>
      <c r="N41" s="21" t="str">
        <f t="shared" ref="N41:W41" si="78">IF($A41="","",IF(OR(ISNUMBER(SEARCH(LOWER($A41),LOWER(N$1))),AND(RIGHT(LOWER($A41),1)="s",ISNUMBER(SEARCH(LEFT(LOWER($A41),LEN($A41)-1),LOWER(N$1))))),N$1,$A41&amp;" "&amp;N$1))</f>
        <v/>
      </c>
      <c r="O41" s="21" t="str">
        <f t="shared" si="78"/>
        <v/>
      </c>
      <c r="P41" s="21" t="str">
        <f t="shared" si="78"/>
        <v/>
      </c>
      <c r="Q41" s="21" t="str">
        <f t="shared" si="78"/>
        <v/>
      </c>
      <c r="R41" s="21" t="str">
        <f t="shared" si="78"/>
        <v/>
      </c>
      <c r="S41" s="21" t="str">
        <f t="shared" si="78"/>
        <v/>
      </c>
      <c r="T41" s="21" t="str">
        <f t="shared" si="78"/>
        <v/>
      </c>
      <c r="U41" s="21" t="str">
        <f t="shared" si="78"/>
        <v/>
      </c>
      <c r="V41" s="21" t="str">
        <f t="shared" si="78"/>
        <v/>
      </c>
      <c r="W41" s="21" t="str">
        <f t="shared" si="78"/>
        <v/>
      </c>
      <c r="X41" s="19" t="str">
        <f>IFERROR(__xludf.DUMMYFUNCTION("""COMPUTED_VALUE"""),"business plumbing services")</f>
        <v>business plumbing services</v>
      </c>
      <c r="Y41" s="9"/>
      <c r="Z41" s="9"/>
    </row>
    <row r="42">
      <c r="A42" s="20"/>
      <c r="B42" s="21" t="str">
        <f t="shared" ref="B42:K42" si="79">IF($A42="","",IF(OR(ISNUMBER(SEARCH(LOWER($A42),LOWER(B$1))),AND(RIGHT(LOWER($A42),1)="s",ISNUMBER(SEARCH(LEFT(LOWER($A42),LEN($A42)-1),LOWER(B$1))))),B$1,B$1&amp;" "&amp;$A42))</f>
        <v/>
      </c>
      <c r="C42" s="21" t="str">
        <f t="shared" si="79"/>
        <v/>
      </c>
      <c r="D42" s="21" t="str">
        <f t="shared" si="79"/>
        <v/>
      </c>
      <c r="E42" s="21" t="str">
        <f t="shared" si="79"/>
        <v/>
      </c>
      <c r="F42" s="21" t="str">
        <f t="shared" si="79"/>
        <v/>
      </c>
      <c r="G42" s="21" t="str">
        <f t="shared" si="79"/>
        <v/>
      </c>
      <c r="H42" s="21" t="str">
        <f t="shared" si="79"/>
        <v/>
      </c>
      <c r="I42" s="21" t="str">
        <f t="shared" si="79"/>
        <v/>
      </c>
      <c r="J42" s="21" t="str">
        <f t="shared" si="79"/>
        <v/>
      </c>
      <c r="K42" s="21" t="str">
        <f t="shared" si="79"/>
        <v/>
      </c>
      <c r="L42" s="17" t="str">
        <f>IFERROR(__xludf.DUMMYFUNCTION("""COMPUTED_VALUE"""),"drain cleaning townhouse")</f>
        <v>drain cleaning townhouse</v>
      </c>
      <c r="M42" s="18"/>
      <c r="N42" s="21" t="str">
        <f t="shared" ref="N42:W42" si="80">IF($A42="","",IF(OR(ISNUMBER(SEARCH(LOWER($A42),LOWER(N$1))),AND(RIGHT(LOWER($A42),1)="s",ISNUMBER(SEARCH(LEFT(LOWER($A42),LEN($A42)-1),LOWER(N$1))))),N$1,$A42&amp;" "&amp;N$1))</f>
        <v/>
      </c>
      <c r="O42" s="21" t="str">
        <f t="shared" si="80"/>
        <v/>
      </c>
      <c r="P42" s="21" t="str">
        <f t="shared" si="80"/>
        <v/>
      </c>
      <c r="Q42" s="21" t="str">
        <f t="shared" si="80"/>
        <v/>
      </c>
      <c r="R42" s="21" t="str">
        <f t="shared" si="80"/>
        <v/>
      </c>
      <c r="S42" s="21" t="str">
        <f t="shared" si="80"/>
        <v/>
      </c>
      <c r="T42" s="21" t="str">
        <f t="shared" si="80"/>
        <v/>
      </c>
      <c r="U42" s="21" t="str">
        <f t="shared" si="80"/>
        <v/>
      </c>
      <c r="V42" s="21" t="str">
        <f t="shared" si="80"/>
        <v/>
      </c>
      <c r="W42" s="21" t="str">
        <f t="shared" si="80"/>
        <v/>
      </c>
      <c r="X42" s="19" t="str">
        <f>IFERROR(__xludf.DUMMYFUNCTION("""COMPUTED_VALUE"""),"business refrigeration services")</f>
        <v>business refrigeration services</v>
      </c>
      <c r="Y42" s="9"/>
      <c r="Z42" s="9"/>
    </row>
    <row r="43">
      <c r="A43" s="20"/>
      <c r="B43" s="21" t="str">
        <f t="shared" ref="B43:K43" si="81">IF($A43="","",IF(OR(ISNUMBER(SEARCH(LOWER($A43),LOWER(B$1))),AND(RIGHT(LOWER($A43),1)="s",ISNUMBER(SEARCH(LEFT(LOWER($A43),LEN($A43)-1),LOWER(B$1))))),B$1,B$1&amp;" "&amp;$A43))</f>
        <v/>
      </c>
      <c r="C43" s="21" t="str">
        <f t="shared" si="81"/>
        <v/>
      </c>
      <c r="D43" s="21" t="str">
        <f t="shared" si="81"/>
        <v/>
      </c>
      <c r="E43" s="21" t="str">
        <f t="shared" si="81"/>
        <v/>
      </c>
      <c r="F43" s="21" t="str">
        <f t="shared" si="81"/>
        <v/>
      </c>
      <c r="G43" s="21" t="str">
        <f t="shared" si="81"/>
        <v/>
      </c>
      <c r="H43" s="21" t="str">
        <f t="shared" si="81"/>
        <v/>
      </c>
      <c r="I43" s="21" t="str">
        <f t="shared" si="81"/>
        <v/>
      </c>
      <c r="J43" s="21" t="str">
        <f t="shared" si="81"/>
        <v/>
      </c>
      <c r="K43" s="21" t="str">
        <f t="shared" si="81"/>
        <v/>
      </c>
      <c r="L43" s="17" t="str">
        <f>IFERROR(__xludf.DUMMYFUNCTION("""COMPUTED_VALUE"""),"electrical repairs apartment")</f>
        <v>electrical repairs apartment</v>
      </c>
      <c r="M43" s="18"/>
      <c r="N43" s="21" t="str">
        <f t="shared" ref="N43:W43" si="82">IF($A43="","",IF(OR(ISNUMBER(SEARCH(LOWER($A43),LOWER(N$1))),AND(RIGHT(LOWER($A43),1)="s",ISNUMBER(SEARCH(LEFT(LOWER($A43),LEN($A43)-1),LOWER(N$1))))),N$1,$A43&amp;" "&amp;N$1))</f>
        <v/>
      </c>
      <c r="O43" s="21" t="str">
        <f t="shared" si="82"/>
        <v/>
      </c>
      <c r="P43" s="21" t="str">
        <f t="shared" si="82"/>
        <v/>
      </c>
      <c r="Q43" s="21" t="str">
        <f t="shared" si="82"/>
        <v/>
      </c>
      <c r="R43" s="21" t="str">
        <f t="shared" si="82"/>
        <v/>
      </c>
      <c r="S43" s="21" t="str">
        <f t="shared" si="82"/>
        <v/>
      </c>
      <c r="T43" s="21" t="str">
        <f t="shared" si="82"/>
        <v/>
      </c>
      <c r="U43" s="21" t="str">
        <f t="shared" si="82"/>
        <v/>
      </c>
      <c r="V43" s="21" t="str">
        <f t="shared" si="82"/>
        <v/>
      </c>
      <c r="W43" s="21" t="str">
        <f t="shared" si="82"/>
        <v/>
      </c>
      <c r="X43" s="19" t="str">
        <f>IFERROR(__xludf.DUMMYFUNCTION("""COMPUTED_VALUE"""),"commercial property air conditioning services")</f>
        <v>commercial property air conditioning services</v>
      </c>
      <c r="Y43" s="9"/>
      <c r="Z43" s="9"/>
    </row>
    <row r="44">
      <c r="A44" s="20"/>
      <c r="B44" s="21" t="str">
        <f t="shared" ref="B44:K44" si="83">IF($A44="","",IF(OR(ISNUMBER(SEARCH(LOWER($A44),LOWER(B$1))),AND(RIGHT(LOWER($A44),1)="s",ISNUMBER(SEARCH(LEFT(LOWER($A44),LEN($A44)-1),LOWER(B$1))))),B$1,B$1&amp;" "&amp;$A44))</f>
        <v/>
      </c>
      <c r="C44" s="21" t="str">
        <f t="shared" si="83"/>
        <v/>
      </c>
      <c r="D44" s="21" t="str">
        <f t="shared" si="83"/>
        <v/>
      </c>
      <c r="E44" s="21" t="str">
        <f t="shared" si="83"/>
        <v/>
      </c>
      <c r="F44" s="21" t="str">
        <f t="shared" si="83"/>
        <v/>
      </c>
      <c r="G44" s="21" t="str">
        <f t="shared" si="83"/>
        <v/>
      </c>
      <c r="H44" s="21" t="str">
        <f t="shared" si="83"/>
        <v/>
      </c>
      <c r="I44" s="21" t="str">
        <f t="shared" si="83"/>
        <v/>
      </c>
      <c r="J44" s="21" t="str">
        <f t="shared" si="83"/>
        <v/>
      </c>
      <c r="K44" s="21" t="str">
        <f t="shared" si="83"/>
        <v/>
      </c>
      <c r="L44" s="17" t="str">
        <f>IFERROR(__xludf.DUMMYFUNCTION("""COMPUTED_VALUE"""),"electrical repairs body corporate")</f>
        <v>electrical repairs body corporate</v>
      </c>
      <c r="M44" s="18"/>
      <c r="N44" s="21" t="str">
        <f t="shared" ref="N44:W44" si="84">IF($A44="","",IF(OR(ISNUMBER(SEARCH(LOWER($A44),LOWER(N$1))),AND(RIGHT(LOWER($A44),1)="s",ISNUMBER(SEARCH(LEFT(LOWER($A44),LEN($A44)-1),LOWER(N$1))))),N$1,$A44&amp;" "&amp;N$1))</f>
        <v/>
      </c>
      <c r="O44" s="21" t="str">
        <f t="shared" si="84"/>
        <v/>
      </c>
      <c r="P44" s="21" t="str">
        <f t="shared" si="84"/>
        <v/>
      </c>
      <c r="Q44" s="21" t="str">
        <f t="shared" si="84"/>
        <v/>
      </c>
      <c r="R44" s="21" t="str">
        <f t="shared" si="84"/>
        <v/>
      </c>
      <c r="S44" s="21" t="str">
        <f t="shared" si="84"/>
        <v/>
      </c>
      <c r="T44" s="21" t="str">
        <f t="shared" si="84"/>
        <v/>
      </c>
      <c r="U44" s="21" t="str">
        <f t="shared" si="84"/>
        <v/>
      </c>
      <c r="V44" s="21" t="str">
        <f t="shared" si="84"/>
        <v/>
      </c>
      <c r="W44" s="21" t="str">
        <f t="shared" si="84"/>
        <v/>
      </c>
      <c r="X44" s="19" t="str">
        <f>IFERROR(__xludf.DUMMYFUNCTION("""COMPUTED_VALUE"""),"commercial property drain cleaning")</f>
        <v>commercial property drain cleaning</v>
      </c>
      <c r="Y44" s="9"/>
      <c r="Z44" s="9"/>
    </row>
    <row r="45">
      <c r="A45" s="20"/>
      <c r="B45" s="21" t="str">
        <f t="shared" ref="B45:K45" si="85">IF($A45="","",IF(OR(ISNUMBER(SEARCH(LOWER($A45),LOWER(B$1))),AND(RIGHT(LOWER($A45),1)="s",ISNUMBER(SEARCH(LEFT(LOWER($A45),LEN($A45)-1),LOWER(B$1))))),B$1,B$1&amp;" "&amp;$A45))</f>
        <v/>
      </c>
      <c r="C45" s="21" t="str">
        <f t="shared" si="85"/>
        <v/>
      </c>
      <c r="D45" s="21" t="str">
        <f t="shared" si="85"/>
        <v/>
      </c>
      <c r="E45" s="21" t="str">
        <f t="shared" si="85"/>
        <v/>
      </c>
      <c r="F45" s="21" t="str">
        <f t="shared" si="85"/>
        <v/>
      </c>
      <c r="G45" s="21" t="str">
        <f t="shared" si="85"/>
        <v/>
      </c>
      <c r="H45" s="21" t="str">
        <f t="shared" si="85"/>
        <v/>
      </c>
      <c r="I45" s="21" t="str">
        <f t="shared" si="85"/>
        <v/>
      </c>
      <c r="J45" s="21" t="str">
        <f t="shared" si="85"/>
        <v/>
      </c>
      <c r="K45" s="21" t="str">
        <f t="shared" si="85"/>
        <v/>
      </c>
      <c r="L45" s="17" t="str">
        <f>IFERROR(__xludf.DUMMYFUNCTION("""COMPUTED_VALUE"""),"electrical repairs building")</f>
        <v>electrical repairs building</v>
      </c>
      <c r="M45" s="18"/>
      <c r="N45" s="21" t="str">
        <f t="shared" ref="N45:W45" si="86">IF($A45="","",IF(OR(ISNUMBER(SEARCH(LOWER($A45),LOWER(N$1))),AND(RIGHT(LOWER($A45),1)="s",ISNUMBER(SEARCH(LEFT(LOWER($A45),LEN($A45)-1),LOWER(N$1))))),N$1,$A45&amp;" "&amp;N$1))</f>
        <v/>
      </c>
      <c r="O45" s="21" t="str">
        <f t="shared" si="86"/>
        <v/>
      </c>
      <c r="P45" s="21" t="str">
        <f t="shared" si="86"/>
        <v/>
      </c>
      <c r="Q45" s="21" t="str">
        <f t="shared" si="86"/>
        <v/>
      </c>
      <c r="R45" s="21" t="str">
        <f t="shared" si="86"/>
        <v/>
      </c>
      <c r="S45" s="21" t="str">
        <f t="shared" si="86"/>
        <v/>
      </c>
      <c r="T45" s="21" t="str">
        <f t="shared" si="86"/>
        <v/>
      </c>
      <c r="U45" s="21" t="str">
        <f t="shared" si="86"/>
        <v/>
      </c>
      <c r="V45" s="21" t="str">
        <f t="shared" si="86"/>
        <v/>
      </c>
      <c r="W45" s="21" t="str">
        <f t="shared" si="86"/>
        <v/>
      </c>
      <c r="X45" s="19" t="str">
        <f>IFERROR(__xludf.DUMMYFUNCTION("""COMPUTED_VALUE"""),"commercial property electrical repairs")</f>
        <v>commercial property electrical repairs</v>
      </c>
      <c r="Y45" s="9"/>
      <c r="Z45" s="9"/>
    </row>
    <row r="46">
      <c r="A46" s="20"/>
      <c r="B46" s="21" t="str">
        <f t="shared" ref="B46:K46" si="87">IF($A46="","",IF(OR(ISNUMBER(SEARCH(LOWER($A46),LOWER(B$1))),AND(RIGHT(LOWER($A46),1)="s",ISNUMBER(SEARCH(LEFT(LOWER($A46),LEN($A46)-1),LOWER(B$1))))),B$1,B$1&amp;" "&amp;$A46))</f>
        <v/>
      </c>
      <c r="C46" s="21" t="str">
        <f t="shared" si="87"/>
        <v/>
      </c>
      <c r="D46" s="21" t="str">
        <f t="shared" si="87"/>
        <v/>
      </c>
      <c r="E46" s="21" t="str">
        <f t="shared" si="87"/>
        <v/>
      </c>
      <c r="F46" s="21" t="str">
        <f t="shared" si="87"/>
        <v/>
      </c>
      <c r="G46" s="21" t="str">
        <f t="shared" si="87"/>
        <v/>
      </c>
      <c r="H46" s="21" t="str">
        <f t="shared" si="87"/>
        <v/>
      </c>
      <c r="I46" s="21" t="str">
        <f t="shared" si="87"/>
        <v/>
      </c>
      <c r="J46" s="21" t="str">
        <f t="shared" si="87"/>
        <v/>
      </c>
      <c r="K46" s="21" t="str">
        <f t="shared" si="87"/>
        <v/>
      </c>
      <c r="L46" s="17" t="str">
        <f>IFERROR(__xludf.DUMMYFUNCTION("""COMPUTED_VALUE"""),"electrical repairs business")</f>
        <v>electrical repairs business</v>
      </c>
      <c r="M46" s="18"/>
      <c r="N46" s="21" t="str">
        <f t="shared" ref="N46:W46" si="88">IF($A46="","",IF(OR(ISNUMBER(SEARCH(LOWER($A46),LOWER(N$1))),AND(RIGHT(LOWER($A46),1)="s",ISNUMBER(SEARCH(LEFT(LOWER($A46),LEN($A46)-1),LOWER(N$1))))),N$1,$A46&amp;" "&amp;N$1))</f>
        <v/>
      </c>
      <c r="O46" s="21" t="str">
        <f t="shared" si="88"/>
        <v/>
      </c>
      <c r="P46" s="21" t="str">
        <f t="shared" si="88"/>
        <v/>
      </c>
      <c r="Q46" s="21" t="str">
        <f t="shared" si="88"/>
        <v/>
      </c>
      <c r="R46" s="21" t="str">
        <f t="shared" si="88"/>
        <v/>
      </c>
      <c r="S46" s="21" t="str">
        <f t="shared" si="88"/>
        <v/>
      </c>
      <c r="T46" s="21" t="str">
        <f t="shared" si="88"/>
        <v/>
      </c>
      <c r="U46" s="21" t="str">
        <f t="shared" si="88"/>
        <v/>
      </c>
      <c r="V46" s="21" t="str">
        <f t="shared" si="88"/>
        <v/>
      </c>
      <c r="W46" s="21" t="str">
        <f t="shared" si="88"/>
        <v/>
      </c>
      <c r="X46" s="19" t="str">
        <f>IFERROR(__xludf.DUMMYFUNCTION("""COMPUTED_VALUE"""),"commercial property emergency plumbing")</f>
        <v>commercial property emergency plumbing</v>
      </c>
      <c r="Y46" s="9"/>
      <c r="Z46" s="9"/>
    </row>
    <row r="47">
      <c r="A47" s="20"/>
      <c r="B47" s="21" t="str">
        <f t="shared" ref="B47:K47" si="89">IF($A47="","",IF(OR(ISNUMBER(SEARCH(LOWER($A47),LOWER(B$1))),AND(RIGHT(LOWER($A47),1)="s",ISNUMBER(SEARCH(LEFT(LOWER($A47),LEN($A47)-1),LOWER(B$1))))),B$1,B$1&amp;" "&amp;$A47))</f>
        <v/>
      </c>
      <c r="C47" s="21" t="str">
        <f t="shared" si="89"/>
        <v/>
      </c>
      <c r="D47" s="21" t="str">
        <f t="shared" si="89"/>
        <v/>
      </c>
      <c r="E47" s="21" t="str">
        <f t="shared" si="89"/>
        <v/>
      </c>
      <c r="F47" s="21" t="str">
        <f t="shared" si="89"/>
        <v/>
      </c>
      <c r="G47" s="21" t="str">
        <f t="shared" si="89"/>
        <v/>
      </c>
      <c r="H47" s="21" t="str">
        <f t="shared" si="89"/>
        <v/>
      </c>
      <c r="I47" s="21" t="str">
        <f t="shared" si="89"/>
        <v/>
      </c>
      <c r="J47" s="21" t="str">
        <f t="shared" si="89"/>
        <v/>
      </c>
      <c r="K47" s="21" t="str">
        <f t="shared" si="89"/>
        <v/>
      </c>
      <c r="L47" s="17" t="str">
        <f>IFERROR(__xludf.DUMMYFUNCTION("""COMPUTED_VALUE"""),"electrical repairs commercial property")</f>
        <v>electrical repairs commercial property</v>
      </c>
      <c r="M47" s="18"/>
      <c r="N47" s="21" t="str">
        <f t="shared" ref="N47:W47" si="90">IF($A47="","",IF(OR(ISNUMBER(SEARCH(LOWER($A47),LOWER(N$1))),AND(RIGHT(LOWER($A47),1)="s",ISNUMBER(SEARCH(LEFT(LOWER($A47),LEN($A47)-1),LOWER(N$1))))),N$1,$A47&amp;" "&amp;N$1))</f>
        <v/>
      </c>
      <c r="O47" s="21" t="str">
        <f t="shared" si="90"/>
        <v/>
      </c>
      <c r="P47" s="21" t="str">
        <f t="shared" si="90"/>
        <v/>
      </c>
      <c r="Q47" s="21" t="str">
        <f t="shared" si="90"/>
        <v/>
      </c>
      <c r="R47" s="21" t="str">
        <f t="shared" si="90"/>
        <v/>
      </c>
      <c r="S47" s="21" t="str">
        <f t="shared" si="90"/>
        <v/>
      </c>
      <c r="T47" s="21" t="str">
        <f t="shared" si="90"/>
        <v/>
      </c>
      <c r="U47" s="21" t="str">
        <f t="shared" si="90"/>
        <v/>
      </c>
      <c r="V47" s="21" t="str">
        <f t="shared" si="90"/>
        <v/>
      </c>
      <c r="W47" s="21" t="str">
        <f t="shared" si="90"/>
        <v/>
      </c>
      <c r="X47" s="19" t="str">
        <f>IFERROR(__xludf.DUMMYFUNCTION("""COMPUTED_VALUE"""),"commercial property geyser repairs")</f>
        <v>commercial property geyser repairs</v>
      </c>
      <c r="Y47" s="9"/>
      <c r="Z47" s="9"/>
    </row>
    <row r="48">
      <c r="A48" s="20"/>
      <c r="B48" s="21" t="str">
        <f t="shared" ref="B48:K48" si="91">IF($A48="","",IF(OR(ISNUMBER(SEARCH(LOWER($A48),LOWER(B$1))),AND(RIGHT(LOWER($A48),1)="s",ISNUMBER(SEARCH(LEFT(LOWER($A48),LEN($A48)-1),LOWER(B$1))))),B$1,B$1&amp;" "&amp;$A48))</f>
        <v/>
      </c>
      <c r="C48" s="21" t="str">
        <f t="shared" si="91"/>
        <v/>
      </c>
      <c r="D48" s="21" t="str">
        <f t="shared" si="91"/>
        <v/>
      </c>
      <c r="E48" s="21" t="str">
        <f t="shared" si="91"/>
        <v/>
      </c>
      <c r="F48" s="21" t="str">
        <f t="shared" si="91"/>
        <v/>
      </c>
      <c r="G48" s="21" t="str">
        <f t="shared" si="91"/>
        <v/>
      </c>
      <c r="H48" s="21" t="str">
        <f t="shared" si="91"/>
        <v/>
      </c>
      <c r="I48" s="21" t="str">
        <f t="shared" si="91"/>
        <v/>
      </c>
      <c r="J48" s="21" t="str">
        <f t="shared" si="91"/>
        <v/>
      </c>
      <c r="K48" s="21" t="str">
        <f t="shared" si="91"/>
        <v/>
      </c>
      <c r="L48" s="17" t="str">
        <f>IFERROR(__xludf.DUMMYFUNCTION("""COMPUTED_VALUE"""),"electrical repairs estate agent")</f>
        <v>electrical repairs estate agent</v>
      </c>
      <c r="M48" s="18"/>
      <c r="N48" s="21" t="str">
        <f t="shared" ref="N48:W48" si="92">IF($A48="","",IF(OR(ISNUMBER(SEARCH(LOWER($A48),LOWER(N$1))),AND(RIGHT(LOWER($A48),1)="s",ISNUMBER(SEARCH(LEFT(LOWER($A48),LEN($A48)-1),LOWER(N$1))))),N$1,$A48&amp;" "&amp;N$1))</f>
        <v/>
      </c>
      <c r="O48" s="21" t="str">
        <f t="shared" si="92"/>
        <v/>
      </c>
      <c r="P48" s="21" t="str">
        <f t="shared" si="92"/>
        <v/>
      </c>
      <c r="Q48" s="21" t="str">
        <f t="shared" si="92"/>
        <v/>
      </c>
      <c r="R48" s="21" t="str">
        <f t="shared" si="92"/>
        <v/>
      </c>
      <c r="S48" s="21" t="str">
        <f t="shared" si="92"/>
        <v/>
      </c>
      <c r="T48" s="21" t="str">
        <f t="shared" si="92"/>
        <v/>
      </c>
      <c r="U48" s="21" t="str">
        <f t="shared" si="92"/>
        <v/>
      </c>
      <c r="V48" s="21" t="str">
        <f t="shared" si="92"/>
        <v/>
      </c>
      <c r="W48" s="21" t="str">
        <f t="shared" si="92"/>
        <v/>
      </c>
      <c r="X48" s="19" t="str">
        <f>IFERROR(__xludf.DUMMYFUNCTION("""COMPUTED_VALUE"""),"commercial property leak detection")</f>
        <v>commercial property leak detection</v>
      </c>
      <c r="Y48" s="9"/>
      <c r="Z48" s="9"/>
    </row>
    <row r="49">
      <c r="A49" s="20"/>
      <c r="B49" s="21" t="str">
        <f t="shared" ref="B49:K49" si="93">IF($A49="","",IF(OR(ISNUMBER(SEARCH(LOWER($A49),LOWER(B$1))),AND(RIGHT(LOWER($A49),1)="s",ISNUMBER(SEARCH(LEFT(LOWER($A49),LEN($A49)-1),LOWER(B$1))))),B$1,B$1&amp;" "&amp;$A49))</f>
        <v/>
      </c>
      <c r="C49" s="21" t="str">
        <f t="shared" si="93"/>
        <v/>
      </c>
      <c r="D49" s="21" t="str">
        <f t="shared" si="93"/>
        <v/>
      </c>
      <c r="E49" s="21" t="str">
        <f t="shared" si="93"/>
        <v/>
      </c>
      <c r="F49" s="21" t="str">
        <f t="shared" si="93"/>
        <v/>
      </c>
      <c r="G49" s="21" t="str">
        <f t="shared" si="93"/>
        <v/>
      </c>
      <c r="H49" s="21" t="str">
        <f t="shared" si="93"/>
        <v/>
      </c>
      <c r="I49" s="21" t="str">
        <f t="shared" si="93"/>
        <v/>
      </c>
      <c r="J49" s="21" t="str">
        <f t="shared" si="93"/>
        <v/>
      </c>
      <c r="K49" s="21" t="str">
        <f t="shared" si="93"/>
        <v/>
      </c>
      <c r="L49" s="17" t="str">
        <f>IFERROR(__xludf.DUMMYFUNCTION("""COMPUTED_VALUE"""),"electrical repairs flat")</f>
        <v>electrical repairs flat</v>
      </c>
      <c r="M49" s="18"/>
      <c r="N49" s="21" t="str">
        <f t="shared" ref="N49:W49" si="94">IF($A49="","",IF(OR(ISNUMBER(SEARCH(LOWER($A49),LOWER(N$1))),AND(RIGHT(LOWER($A49),1)="s",ISNUMBER(SEARCH(LEFT(LOWER($A49),LEN($A49)-1),LOWER(N$1))))),N$1,$A49&amp;" "&amp;N$1))</f>
        <v/>
      </c>
      <c r="O49" s="21" t="str">
        <f t="shared" si="94"/>
        <v/>
      </c>
      <c r="P49" s="21" t="str">
        <f t="shared" si="94"/>
        <v/>
      </c>
      <c r="Q49" s="21" t="str">
        <f t="shared" si="94"/>
        <v/>
      </c>
      <c r="R49" s="21" t="str">
        <f t="shared" si="94"/>
        <v/>
      </c>
      <c r="S49" s="21" t="str">
        <f t="shared" si="94"/>
        <v/>
      </c>
      <c r="T49" s="21" t="str">
        <f t="shared" si="94"/>
        <v/>
      </c>
      <c r="U49" s="21" t="str">
        <f t="shared" si="94"/>
        <v/>
      </c>
      <c r="V49" s="21" t="str">
        <f t="shared" si="94"/>
        <v/>
      </c>
      <c r="W49" s="21" t="str">
        <f t="shared" si="94"/>
        <v/>
      </c>
      <c r="X49" s="19" t="str">
        <f>IFERROR(__xludf.DUMMYFUNCTION("""COMPUTED_VALUE"""),"commercial property maintenance plumber")</f>
        <v>commercial property maintenance plumber</v>
      </c>
      <c r="Y49" s="9"/>
      <c r="Z49" s="9"/>
    </row>
    <row r="50">
      <c r="A50" s="20"/>
      <c r="B50" s="21" t="str">
        <f t="shared" ref="B50:K50" si="95">IF($A50="","",IF(OR(ISNUMBER(SEARCH(LOWER($A50),LOWER(B$1))),AND(RIGHT(LOWER($A50),1)="s",ISNUMBER(SEARCH(LEFT(LOWER($A50),LEN($A50)-1),LOWER(B$1))))),B$1,B$1&amp;" "&amp;$A50))</f>
        <v/>
      </c>
      <c r="C50" s="21" t="str">
        <f t="shared" si="95"/>
        <v/>
      </c>
      <c r="D50" s="21" t="str">
        <f t="shared" si="95"/>
        <v/>
      </c>
      <c r="E50" s="21" t="str">
        <f t="shared" si="95"/>
        <v/>
      </c>
      <c r="F50" s="21" t="str">
        <f t="shared" si="95"/>
        <v/>
      </c>
      <c r="G50" s="21" t="str">
        <f t="shared" si="95"/>
        <v/>
      </c>
      <c r="H50" s="21" t="str">
        <f t="shared" si="95"/>
        <v/>
      </c>
      <c r="I50" s="21" t="str">
        <f t="shared" si="95"/>
        <v/>
      </c>
      <c r="J50" s="21" t="str">
        <f t="shared" si="95"/>
        <v/>
      </c>
      <c r="K50" s="21" t="str">
        <f t="shared" si="95"/>
        <v/>
      </c>
      <c r="L50" s="17" t="str">
        <f>IFERROR(__xludf.DUMMYFUNCTION("""COMPUTED_VALUE"""),"electrical repairs guesthouse")</f>
        <v>electrical repairs guesthouse</v>
      </c>
      <c r="M50" s="18"/>
      <c r="N50" s="21" t="str">
        <f t="shared" ref="N50:W50" si="96">IF($A50="","",IF(OR(ISNUMBER(SEARCH(LOWER($A50),LOWER(N$1))),AND(RIGHT(LOWER($A50),1)="s",ISNUMBER(SEARCH(LEFT(LOWER($A50),LEN($A50)-1),LOWER(N$1))))),N$1,$A50&amp;" "&amp;N$1))</f>
        <v/>
      </c>
      <c r="O50" s="21" t="str">
        <f t="shared" si="96"/>
        <v/>
      </c>
      <c r="P50" s="21" t="str">
        <f t="shared" si="96"/>
        <v/>
      </c>
      <c r="Q50" s="21" t="str">
        <f t="shared" si="96"/>
        <v/>
      </c>
      <c r="R50" s="21" t="str">
        <f t="shared" si="96"/>
        <v/>
      </c>
      <c r="S50" s="21" t="str">
        <f t="shared" si="96"/>
        <v/>
      </c>
      <c r="T50" s="21" t="str">
        <f t="shared" si="96"/>
        <v/>
      </c>
      <c r="U50" s="21" t="str">
        <f t="shared" si="96"/>
        <v/>
      </c>
      <c r="V50" s="21" t="str">
        <f t="shared" si="96"/>
        <v/>
      </c>
      <c r="W50" s="21" t="str">
        <f t="shared" si="96"/>
        <v/>
      </c>
      <c r="X50" s="19" t="str">
        <f>IFERROR(__xludf.DUMMYFUNCTION("""COMPUTED_VALUE"""),"commercial property plumbing company")</f>
        <v>commercial property plumbing company</v>
      </c>
      <c r="Y50" s="9"/>
      <c r="Z50" s="9"/>
    </row>
    <row r="51">
      <c r="A51" s="20"/>
      <c r="B51" s="21" t="str">
        <f t="shared" ref="B51:K51" si="97">IF($A51="","",IF(OR(ISNUMBER(SEARCH(LOWER($A51),LOWER(B$1))),AND(RIGHT(LOWER($A51),1)="s",ISNUMBER(SEARCH(LEFT(LOWER($A51),LEN($A51)-1),LOWER(B$1))))),B$1,B$1&amp;" "&amp;$A51))</f>
        <v/>
      </c>
      <c r="C51" s="21" t="str">
        <f t="shared" si="97"/>
        <v/>
      </c>
      <c r="D51" s="21" t="str">
        <f t="shared" si="97"/>
        <v/>
      </c>
      <c r="E51" s="21" t="str">
        <f t="shared" si="97"/>
        <v/>
      </c>
      <c r="F51" s="21" t="str">
        <f t="shared" si="97"/>
        <v/>
      </c>
      <c r="G51" s="21" t="str">
        <f t="shared" si="97"/>
        <v/>
      </c>
      <c r="H51" s="21" t="str">
        <f t="shared" si="97"/>
        <v/>
      </c>
      <c r="I51" s="21" t="str">
        <f t="shared" si="97"/>
        <v/>
      </c>
      <c r="J51" s="21" t="str">
        <f t="shared" si="97"/>
        <v/>
      </c>
      <c r="K51" s="21" t="str">
        <f t="shared" si="97"/>
        <v/>
      </c>
      <c r="L51" s="17" t="str">
        <f>IFERROR(__xludf.DUMMYFUNCTION("""COMPUTED_VALUE"""),"electrical repairs home")</f>
        <v>electrical repairs home</v>
      </c>
      <c r="M51" s="18"/>
      <c r="N51" s="21" t="str">
        <f t="shared" ref="N51:W51" si="98">IF($A51="","",IF(OR(ISNUMBER(SEARCH(LOWER($A51),LOWER(N$1))),AND(RIGHT(LOWER($A51),1)="s",ISNUMBER(SEARCH(LEFT(LOWER($A51),LEN($A51)-1),LOWER(N$1))))),N$1,$A51&amp;" "&amp;N$1))</f>
        <v/>
      </c>
      <c r="O51" s="21" t="str">
        <f t="shared" si="98"/>
        <v/>
      </c>
      <c r="P51" s="21" t="str">
        <f t="shared" si="98"/>
        <v/>
      </c>
      <c r="Q51" s="21" t="str">
        <f t="shared" si="98"/>
        <v/>
      </c>
      <c r="R51" s="21" t="str">
        <f t="shared" si="98"/>
        <v/>
      </c>
      <c r="S51" s="21" t="str">
        <f t="shared" si="98"/>
        <v/>
      </c>
      <c r="T51" s="21" t="str">
        <f t="shared" si="98"/>
        <v/>
      </c>
      <c r="U51" s="21" t="str">
        <f t="shared" si="98"/>
        <v/>
      </c>
      <c r="V51" s="21" t="str">
        <f t="shared" si="98"/>
        <v/>
      </c>
      <c r="W51" s="21" t="str">
        <f t="shared" si="98"/>
        <v/>
      </c>
      <c r="X51" s="19" t="str">
        <f>IFERROR(__xludf.DUMMYFUNCTION("""COMPUTED_VALUE"""),"commercial property plumbing services")</f>
        <v>commercial property plumbing services</v>
      </c>
      <c r="Y51" s="9"/>
      <c r="Z51" s="9"/>
    </row>
    <row r="52">
      <c r="A52" s="20"/>
      <c r="B52" s="21" t="str">
        <f t="shared" ref="B52:K52" si="99">IF($A52="","",IF(OR(ISNUMBER(SEARCH(LOWER($A52),LOWER(B$1))),AND(RIGHT(LOWER($A52),1)="s",ISNUMBER(SEARCH(LEFT(LOWER($A52),LEN($A52)-1),LOWER(B$1))))),B$1,B$1&amp;" "&amp;$A52))</f>
        <v/>
      </c>
      <c r="C52" s="21" t="str">
        <f t="shared" si="99"/>
        <v/>
      </c>
      <c r="D52" s="21" t="str">
        <f t="shared" si="99"/>
        <v/>
      </c>
      <c r="E52" s="21" t="str">
        <f t="shared" si="99"/>
        <v/>
      </c>
      <c r="F52" s="21" t="str">
        <f t="shared" si="99"/>
        <v/>
      </c>
      <c r="G52" s="21" t="str">
        <f t="shared" si="99"/>
        <v/>
      </c>
      <c r="H52" s="21" t="str">
        <f t="shared" si="99"/>
        <v/>
      </c>
      <c r="I52" s="21" t="str">
        <f t="shared" si="99"/>
        <v/>
      </c>
      <c r="J52" s="21" t="str">
        <f t="shared" si="99"/>
        <v/>
      </c>
      <c r="K52" s="21" t="str">
        <f t="shared" si="99"/>
        <v/>
      </c>
      <c r="L52" s="17" t="str">
        <f>IFERROR(__xludf.DUMMYFUNCTION("""COMPUTED_VALUE"""),"electrical repairs hotel")</f>
        <v>electrical repairs hotel</v>
      </c>
      <c r="M52" s="18"/>
      <c r="N52" s="21" t="str">
        <f t="shared" ref="N52:W52" si="100">IF($A52="","",IF(OR(ISNUMBER(SEARCH(LOWER($A52),LOWER(N$1))),AND(RIGHT(LOWER($A52),1)="s",ISNUMBER(SEARCH(LEFT(LOWER($A52),LEN($A52)-1),LOWER(N$1))))),N$1,$A52&amp;" "&amp;N$1))</f>
        <v/>
      </c>
      <c r="O52" s="21" t="str">
        <f t="shared" si="100"/>
        <v/>
      </c>
      <c r="P52" s="21" t="str">
        <f t="shared" si="100"/>
        <v/>
      </c>
      <c r="Q52" s="21" t="str">
        <f t="shared" si="100"/>
        <v/>
      </c>
      <c r="R52" s="21" t="str">
        <f t="shared" si="100"/>
        <v/>
      </c>
      <c r="S52" s="21" t="str">
        <f t="shared" si="100"/>
        <v/>
      </c>
      <c r="T52" s="21" t="str">
        <f t="shared" si="100"/>
        <v/>
      </c>
      <c r="U52" s="21" t="str">
        <f t="shared" si="100"/>
        <v/>
      </c>
      <c r="V52" s="21" t="str">
        <f t="shared" si="100"/>
        <v/>
      </c>
      <c r="W52" s="21" t="str">
        <f t="shared" si="100"/>
        <v/>
      </c>
      <c r="X52" s="19" t="str">
        <f>IFERROR(__xludf.DUMMYFUNCTION("""COMPUTED_VALUE"""),"commercial property refrigeration services")</f>
        <v>commercial property refrigeration services</v>
      </c>
      <c r="Y52" s="9"/>
      <c r="Z52" s="9"/>
    </row>
    <row r="53">
      <c r="A53" s="20"/>
      <c r="B53" s="21" t="str">
        <f t="shared" ref="B53:K53" si="101">IF($A53="","",IF(OR(ISNUMBER(SEARCH(LOWER($A53),LOWER(B$1))),AND(RIGHT(LOWER($A53),1)="s",ISNUMBER(SEARCH(LEFT(LOWER($A53),LEN($A53)-1),LOWER(B$1))))),B$1,B$1&amp;" "&amp;$A53))</f>
        <v/>
      </c>
      <c r="C53" s="21" t="str">
        <f t="shared" si="101"/>
        <v/>
      </c>
      <c r="D53" s="21" t="str">
        <f t="shared" si="101"/>
        <v/>
      </c>
      <c r="E53" s="21" t="str">
        <f t="shared" si="101"/>
        <v/>
      </c>
      <c r="F53" s="21" t="str">
        <f t="shared" si="101"/>
        <v/>
      </c>
      <c r="G53" s="21" t="str">
        <f t="shared" si="101"/>
        <v/>
      </c>
      <c r="H53" s="21" t="str">
        <f t="shared" si="101"/>
        <v/>
      </c>
      <c r="I53" s="21" t="str">
        <f t="shared" si="101"/>
        <v/>
      </c>
      <c r="J53" s="21" t="str">
        <f t="shared" si="101"/>
        <v/>
      </c>
      <c r="K53" s="21" t="str">
        <f t="shared" si="101"/>
        <v/>
      </c>
      <c r="L53" s="17" t="str">
        <f>IFERROR(__xludf.DUMMYFUNCTION("""COMPUTED_VALUE"""),"electrical repairs house")</f>
        <v>electrical repairs house</v>
      </c>
      <c r="M53" s="18"/>
      <c r="N53" s="21" t="str">
        <f t="shared" ref="N53:W53" si="102">IF($A53="","",IF(OR(ISNUMBER(SEARCH(LOWER($A53),LOWER(N$1))),AND(RIGHT(LOWER($A53),1)="s",ISNUMBER(SEARCH(LEFT(LOWER($A53),LEN($A53)-1),LOWER(N$1))))),N$1,$A53&amp;" "&amp;N$1))</f>
        <v/>
      </c>
      <c r="O53" s="21" t="str">
        <f t="shared" si="102"/>
        <v/>
      </c>
      <c r="P53" s="21" t="str">
        <f t="shared" si="102"/>
        <v/>
      </c>
      <c r="Q53" s="21" t="str">
        <f t="shared" si="102"/>
        <v/>
      </c>
      <c r="R53" s="21" t="str">
        <f t="shared" si="102"/>
        <v/>
      </c>
      <c r="S53" s="21" t="str">
        <f t="shared" si="102"/>
        <v/>
      </c>
      <c r="T53" s="21" t="str">
        <f t="shared" si="102"/>
        <v/>
      </c>
      <c r="U53" s="21" t="str">
        <f t="shared" si="102"/>
        <v/>
      </c>
      <c r="V53" s="21" t="str">
        <f t="shared" si="102"/>
        <v/>
      </c>
      <c r="W53" s="21" t="str">
        <f t="shared" si="102"/>
        <v/>
      </c>
      <c r="X53" s="19" t="str">
        <f>IFERROR(__xludf.DUMMYFUNCTION("""COMPUTED_VALUE"""),"estate agent air conditioning services")</f>
        <v>estate agent air conditioning services</v>
      </c>
      <c r="Y53" s="9"/>
      <c r="Z53" s="9"/>
    </row>
    <row r="54">
      <c r="A54" s="20"/>
      <c r="B54" s="21" t="str">
        <f t="shared" ref="B54:K54" si="103">IF($A54="","",IF(OR(ISNUMBER(SEARCH(LOWER($A54),LOWER(B$1))),AND(RIGHT(LOWER($A54),1)="s",ISNUMBER(SEARCH(LEFT(LOWER($A54),LEN($A54)-1),LOWER(B$1))))),B$1,B$1&amp;" "&amp;$A54))</f>
        <v/>
      </c>
      <c r="C54" s="21" t="str">
        <f t="shared" si="103"/>
        <v/>
      </c>
      <c r="D54" s="21" t="str">
        <f t="shared" si="103"/>
        <v/>
      </c>
      <c r="E54" s="21" t="str">
        <f t="shared" si="103"/>
        <v/>
      </c>
      <c r="F54" s="21" t="str">
        <f t="shared" si="103"/>
        <v/>
      </c>
      <c r="G54" s="21" t="str">
        <f t="shared" si="103"/>
        <v/>
      </c>
      <c r="H54" s="21" t="str">
        <f t="shared" si="103"/>
        <v/>
      </c>
      <c r="I54" s="21" t="str">
        <f t="shared" si="103"/>
        <v/>
      </c>
      <c r="J54" s="21" t="str">
        <f t="shared" si="103"/>
        <v/>
      </c>
      <c r="K54" s="21" t="str">
        <f t="shared" si="103"/>
        <v/>
      </c>
      <c r="L54" s="17" t="str">
        <f>IFERROR(__xludf.DUMMYFUNCTION("""COMPUTED_VALUE"""),"electrical repairs landlord")</f>
        <v>electrical repairs landlord</v>
      </c>
      <c r="M54" s="18"/>
      <c r="N54" s="21" t="str">
        <f t="shared" ref="N54:W54" si="104">IF($A54="","",IF(OR(ISNUMBER(SEARCH(LOWER($A54),LOWER(N$1))),AND(RIGHT(LOWER($A54),1)="s",ISNUMBER(SEARCH(LEFT(LOWER($A54),LEN($A54)-1),LOWER(N$1))))),N$1,$A54&amp;" "&amp;N$1))</f>
        <v/>
      </c>
      <c r="O54" s="21" t="str">
        <f t="shared" si="104"/>
        <v/>
      </c>
      <c r="P54" s="21" t="str">
        <f t="shared" si="104"/>
        <v/>
      </c>
      <c r="Q54" s="21" t="str">
        <f t="shared" si="104"/>
        <v/>
      </c>
      <c r="R54" s="21" t="str">
        <f t="shared" si="104"/>
        <v/>
      </c>
      <c r="S54" s="21" t="str">
        <f t="shared" si="104"/>
        <v/>
      </c>
      <c r="T54" s="21" t="str">
        <f t="shared" si="104"/>
        <v/>
      </c>
      <c r="U54" s="21" t="str">
        <f t="shared" si="104"/>
        <v/>
      </c>
      <c r="V54" s="21" t="str">
        <f t="shared" si="104"/>
        <v/>
      </c>
      <c r="W54" s="21" t="str">
        <f t="shared" si="104"/>
        <v/>
      </c>
      <c r="X54" s="19" t="str">
        <f>IFERROR(__xludf.DUMMYFUNCTION("""COMPUTED_VALUE"""),"estate agent drain cleaning")</f>
        <v>estate agent drain cleaning</v>
      </c>
      <c r="Y54" s="9"/>
      <c r="Z54" s="9"/>
    </row>
    <row r="55">
      <c r="A55" s="20"/>
      <c r="B55" s="21" t="str">
        <f t="shared" ref="B55:K55" si="105">IF($A55="","",IF(OR(ISNUMBER(SEARCH(LOWER($A55),LOWER(B$1))),AND(RIGHT(LOWER($A55),1)="s",ISNUMBER(SEARCH(LEFT(LOWER($A55),LEN($A55)-1),LOWER(B$1))))),B$1,B$1&amp;" "&amp;$A55))</f>
        <v/>
      </c>
      <c r="C55" s="21" t="str">
        <f t="shared" si="105"/>
        <v/>
      </c>
      <c r="D55" s="21" t="str">
        <f t="shared" si="105"/>
        <v/>
      </c>
      <c r="E55" s="21" t="str">
        <f t="shared" si="105"/>
        <v/>
      </c>
      <c r="F55" s="21" t="str">
        <f t="shared" si="105"/>
        <v/>
      </c>
      <c r="G55" s="21" t="str">
        <f t="shared" si="105"/>
        <v/>
      </c>
      <c r="H55" s="21" t="str">
        <f t="shared" si="105"/>
        <v/>
      </c>
      <c r="I55" s="21" t="str">
        <f t="shared" si="105"/>
        <v/>
      </c>
      <c r="J55" s="21" t="str">
        <f t="shared" si="105"/>
        <v/>
      </c>
      <c r="K55" s="21" t="str">
        <f t="shared" si="105"/>
        <v/>
      </c>
      <c r="L55" s="17" t="str">
        <f>IFERROR(__xludf.DUMMYFUNCTION("""COMPUTED_VALUE"""),"electrical repairs office")</f>
        <v>electrical repairs office</v>
      </c>
      <c r="M55" s="18"/>
      <c r="N55" s="21" t="str">
        <f t="shared" ref="N55:W55" si="106">IF($A55="","",IF(OR(ISNUMBER(SEARCH(LOWER($A55),LOWER(N$1))),AND(RIGHT(LOWER($A55),1)="s",ISNUMBER(SEARCH(LEFT(LOWER($A55),LEN($A55)-1),LOWER(N$1))))),N$1,$A55&amp;" "&amp;N$1))</f>
        <v/>
      </c>
      <c r="O55" s="21" t="str">
        <f t="shared" si="106"/>
        <v/>
      </c>
      <c r="P55" s="21" t="str">
        <f t="shared" si="106"/>
        <v/>
      </c>
      <c r="Q55" s="21" t="str">
        <f t="shared" si="106"/>
        <v/>
      </c>
      <c r="R55" s="21" t="str">
        <f t="shared" si="106"/>
        <v/>
      </c>
      <c r="S55" s="21" t="str">
        <f t="shared" si="106"/>
        <v/>
      </c>
      <c r="T55" s="21" t="str">
        <f t="shared" si="106"/>
        <v/>
      </c>
      <c r="U55" s="21" t="str">
        <f t="shared" si="106"/>
        <v/>
      </c>
      <c r="V55" s="21" t="str">
        <f t="shared" si="106"/>
        <v/>
      </c>
      <c r="W55" s="21" t="str">
        <f t="shared" si="106"/>
        <v/>
      </c>
      <c r="X55" s="19" t="str">
        <f>IFERROR(__xludf.DUMMYFUNCTION("""COMPUTED_VALUE"""),"estate agent electrical repairs")</f>
        <v>estate agent electrical repairs</v>
      </c>
      <c r="Y55" s="9"/>
      <c r="Z55" s="9"/>
    </row>
    <row r="56">
      <c r="A56" s="20"/>
      <c r="B56" s="21" t="str">
        <f t="shared" ref="B56:K56" si="107">IF($A56="","",IF(OR(ISNUMBER(SEARCH(LOWER($A56),LOWER(B$1))),AND(RIGHT(LOWER($A56),1)="s",ISNUMBER(SEARCH(LEFT(LOWER($A56),LEN($A56)-1),LOWER(B$1))))),B$1,B$1&amp;" "&amp;$A56))</f>
        <v/>
      </c>
      <c r="C56" s="21" t="str">
        <f t="shared" si="107"/>
        <v/>
      </c>
      <c r="D56" s="21" t="str">
        <f t="shared" si="107"/>
        <v/>
      </c>
      <c r="E56" s="21" t="str">
        <f t="shared" si="107"/>
        <v/>
      </c>
      <c r="F56" s="21" t="str">
        <f t="shared" si="107"/>
        <v/>
      </c>
      <c r="G56" s="21" t="str">
        <f t="shared" si="107"/>
        <v/>
      </c>
      <c r="H56" s="21" t="str">
        <f t="shared" si="107"/>
        <v/>
      </c>
      <c r="I56" s="21" t="str">
        <f t="shared" si="107"/>
        <v/>
      </c>
      <c r="J56" s="21" t="str">
        <f t="shared" si="107"/>
        <v/>
      </c>
      <c r="K56" s="21" t="str">
        <f t="shared" si="107"/>
        <v/>
      </c>
      <c r="L56" s="17" t="str">
        <f>IFERROR(__xludf.DUMMYFUNCTION("""COMPUTED_VALUE"""),"electrical repairs property manager")</f>
        <v>electrical repairs property manager</v>
      </c>
      <c r="M56" s="18"/>
      <c r="N56" s="21" t="str">
        <f t="shared" ref="N56:W56" si="108">IF($A56="","",IF(OR(ISNUMBER(SEARCH(LOWER($A56),LOWER(N$1))),AND(RIGHT(LOWER($A56),1)="s",ISNUMBER(SEARCH(LEFT(LOWER($A56),LEN($A56)-1),LOWER(N$1))))),N$1,$A56&amp;" "&amp;N$1))</f>
        <v/>
      </c>
      <c r="O56" s="21" t="str">
        <f t="shared" si="108"/>
        <v/>
      </c>
      <c r="P56" s="21" t="str">
        <f t="shared" si="108"/>
        <v/>
      </c>
      <c r="Q56" s="21" t="str">
        <f t="shared" si="108"/>
        <v/>
      </c>
      <c r="R56" s="21" t="str">
        <f t="shared" si="108"/>
        <v/>
      </c>
      <c r="S56" s="21" t="str">
        <f t="shared" si="108"/>
        <v/>
      </c>
      <c r="T56" s="21" t="str">
        <f t="shared" si="108"/>
        <v/>
      </c>
      <c r="U56" s="21" t="str">
        <f t="shared" si="108"/>
        <v/>
      </c>
      <c r="V56" s="21" t="str">
        <f t="shared" si="108"/>
        <v/>
      </c>
      <c r="W56" s="21" t="str">
        <f t="shared" si="108"/>
        <v/>
      </c>
      <c r="X56" s="19" t="str">
        <f>IFERROR(__xludf.DUMMYFUNCTION("""COMPUTED_VALUE"""),"estate agent emergency plumbing")</f>
        <v>estate agent emergency plumbing</v>
      </c>
      <c r="Y56" s="9"/>
      <c r="Z56" s="9"/>
    </row>
    <row r="57">
      <c r="A57" s="20"/>
      <c r="B57" s="21" t="str">
        <f t="shared" ref="B57:K57" si="109">IF($A57="","",IF(OR(ISNUMBER(SEARCH(LOWER($A57),LOWER(B$1))),AND(RIGHT(LOWER($A57),1)="s",ISNUMBER(SEARCH(LEFT(LOWER($A57),LEN($A57)-1),LOWER(B$1))))),B$1,B$1&amp;" "&amp;$A57))</f>
        <v/>
      </c>
      <c r="C57" s="21" t="str">
        <f t="shared" si="109"/>
        <v/>
      </c>
      <c r="D57" s="21" t="str">
        <f t="shared" si="109"/>
        <v/>
      </c>
      <c r="E57" s="21" t="str">
        <f t="shared" si="109"/>
        <v/>
      </c>
      <c r="F57" s="21" t="str">
        <f t="shared" si="109"/>
        <v/>
      </c>
      <c r="G57" s="21" t="str">
        <f t="shared" si="109"/>
        <v/>
      </c>
      <c r="H57" s="21" t="str">
        <f t="shared" si="109"/>
        <v/>
      </c>
      <c r="I57" s="21" t="str">
        <f t="shared" si="109"/>
        <v/>
      </c>
      <c r="J57" s="21" t="str">
        <f t="shared" si="109"/>
        <v/>
      </c>
      <c r="K57" s="21" t="str">
        <f t="shared" si="109"/>
        <v/>
      </c>
      <c r="L57" s="17" t="str">
        <f>IFERROR(__xludf.DUMMYFUNCTION("""COMPUTED_VALUE"""),"electrical repairs residential property")</f>
        <v>electrical repairs residential property</v>
      </c>
      <c r="M57" s="18"/>
      <c r="N57" s="21" t="str">
        <f t="shared" ref="N57:W57" si="110">IF($A57="","",IF(OR(ISNUMBER(SEARCH(LOWER($A57),LOWER(N$1))),AND(RIGHT(LOWER($A57),1)="s",ISNUMBER(SEARCH(LEFT(LOWER($A57),LEN($A57)-1),LOWER(N$1))))),N$1,$A57&amp;" "&amp;N$1))</f>
        <v/>
      </c>
      <c r="O57" s="21" t="str">
        <f t="shared" si="110"/>
        <v/>
      </c>
      <c r="P57" s="21" t="str">
        <f t="shared" si="110"/>
        <v/>
      </c>
      <c r="Q57" s="21" t="str">
        <f t="shared" si="110"/>
        <v/>
      </c>
      <c r="R57" s="21" t="str">
        <f t="shared" si="110"/>
        <v/>
      </c>
      <c r="S57" s="21" t="str">
        <f t="shared" si="110"/>
        <v/>
      </c>
      <c r="T57" s="21" t="str">
        <f t="shared" si="110"/>
        <v/>
      </c>
      <c r="U57" s="21" t="str">
        <f t="shared" si="110"/>
        <v/>
      </c>
      <c r="V57" s="21" t="str">
        <f t="shared" si="110"/>
        <v/>
      </c>
      <c r="W57" s="21" t="str">
        <f t="shared" si="110"/>
        <v/>
      </c>
      <c r="X57" s="19" t="str">
        <f>IFERROR(__xludf.DUMMYFUNCTION("""COMPUTED_VALUE"""),"estate agent geyser repairs")</f>
        <v>estate agent geyser repairs</v>
      </c>
      <c r="Y57" s="9"/>
      <c r="Z57" s="9"/>
    </row>
    <row r="58">
      <c r="A58" s="20"/>
      <c r="B58" s="21" t="str">
        <f t="shared" ref="B58:K58" si="111">IF($A58="","",IF(OR(ISNUMBER(SEARCH(LOWER($A58),LOWER(B$1))),AND(RIGHT(LOWER($A58),1)="s",ISNUMBER(SEARCH(LEFT(LOWER($A58),LEN($A58)-1),LOWER(B$1))))),B$1,B$1&amp;" "&amp;$A58))</f>
        <v/>
      </c>
      <c r="C58" s="21" t="str">
        <f t="shared" si="111"/>
        <v/>
      </c>
      <c r="D58" s="21" t="str">
        <f t="shared" si="111"/>
        <v/>
      </c>
      <c r="E58" s="21" t="str">
        <f t="shared" si="111"/>
        <v/>
      </c>
      <c r="F58" s="21" t="str">
        <f t="shared" si="111"/>
        <v/>
      </c>
      <c r="G58" s="21" t="str">
        <f t="shared" si="111"/>
        <v/>
      </c>
      <c r="H58" s="21" t="str">
        <f t="shared" si="111"/>
        <v/>
      </c>
      <c r="I58" s="21" t="str">
        <f t="shared" si="111"/>
        <v/>
      </c>
      <c r="J58" s="21" t="str">
        <f t="shared" si="111"/>
        <v/>
      </c>
      <c r="K58" s="21" t="str">
        <f t="shared" si="111"/>
        <v/>
      </c>
      <c r="L58" s="17" t="str">
        <f>IFERROR(__xludf.DUMMYFUNCTION("""COMPUTED_VALUE"""),"electrical repairs restaurant")</f>
        <v>electrical repairs restaurant</v>
      </c>
      <c r="M58" s="18"/>
      <c r="N58" s="21" t="str">
        <f t="shared" ref="N58:W58" si="112">IF($A58="","",IF(OR(ISNUMBER(SEARCH(LOWER($A58),LOWER(N$1))),AND(RIGHT(LOWER($A58),1)="s",ISNUMBER(SEARCH(LEFT(LOWER($A58),LEN($A58)-1),LOWER(N$1))))),N$1,$A58&amp;" "&amp;N$1))</f>
        <v/>
      </c>
      <c r="O58" s="21" t="str">
        <f t="shared" si="112"/>
        <v/>
      </c>
      <c r="P58" s="21" t="str">
        <f t="shared" si="112"/>
        <v/>
      </c>
      <c r="Q58" s="21" t="str">
        <f t="shared" si="112"/>
        <v/>
      </c>
      <c r="R58" s="21" t="str">
        <f t="shared" si="112"/>
        <v/>
      </c>
      <c r="S58" s="21" t="str">
        <f t="shared" si="112"/>
        <v/>
      </c>
      <c r="T58" s="21" t="str">
        <f t="shared" si="112"/>
        <v/>
      </c>
      <c r="U58" s="21" t="str">
        <f t="shared" si="112"/>
        <v/>
      </c>
      <c r="V58" s="21" t="str">
        <f t="shared" si="112"/>
        <v/>
      </c>
      <c r="W58" s="21" t="str">
        <f t="shared" si="112"/>
        <v/>
      </c>
      <c r="X58" s="19" t="str">
        <f>IFERROR(__xludf.DUMMYFUNCTION("""COMPUTED_VALUE"""),"estate agent leak detection")</f>
        <v>estate agent leak detection</v>
      </c>
      <c r="Y58" s="9"/>
      <c r="Z58" s="9"/>
    </row>
    <row r="59">
      <c r="A59" s="20"/>
      <c r="B59" s="21" t="str">
        <f t="shared" ref="B59:K59" si="113">IF($A59="","",IF(OR(ISNUMBER(SEARCH(LOWER($A59),LOWER(B$1))),AND(RIGHT(LOWER($A59),1)="s",ISNUMBER(SEARCH(LEFT(LOWER($A59),LEN($A59)-1),LOWER(B$1))))),B$1,B$1&amp;" "&amp;$A59))</f>
        <v/>
      </c>
      <c r="C59" s="21" t="str">
        <f t="shared" si="113"/>
        <v/>
      </c>
      <c r="D59" s="21" t="str">
        <f t="shared" si="113"/>
        <v/>
      </c>
      <c r="E59" s="21" t="str">
        <f t="shared" si="113"/>
        <v/>
      </c>
      <c r="F59" s="21" t="str">
        <f t="shared" si="113"/>
        <v/>
      </c>
      <c r="G59" s="21" t="str">
        <f t="shared" si="113"/>
        <v/>
      </c>
      <c r="H59" s="21" t="str">
        <f t="shared" si="113"/>
        <v/>
      </c>
      <c r="I59" s="21" t="str">
        <f t="shared" si="113"/>
        <v/>
      </c>
      <c r="J59" s="21" t="str">
        <f t="shared" si="113"/>
        <v/>
      </c>
      <c r="K59" s="21" t="str">
        <f t="shared" si="113"/>
        <v/>
      </c>
      <c r="L59" s="17" t="str">
        <f>IFERROR(__xludf.DUMMYFUNCTION("""COMPUTED_VALUE"""),"electrical repairs school")</f>
        <v>electrical repairs school</v>
      </c>
      <c r="M59" s="18"/>
      <c r="N59" s="21" t="str">
        <f t="shared" ref="N59:W59" si="114">IF($A59="","",IF(OR(ISNUMBER(SEARCH(LOWER($A59),LOWER(N$1))),AND(RIGHT(LOWER($A59),1)="s",ISNUMBER(SEARCH(LEFT(LOWER($A59),LEN($A59)-1),LOWER(N$1))))),N$1,$A59&amp;" "&amp;N$1))</f>
        <v/>
      </c>
      <c r="O59" s="21" t="str">
        <f t="shared" si="114"/>
        <v/>
      </c>
      <c r="P59" s="21" t="str">
        <f t="shared" si="114"/>
        <v/>
      </c>
      <c r="Q59" s="21" t="str">
        <f t="shared" si="114"/>
        <v/>
      </c>
      <c r="R59" s="21" t="str">
        <f t="shared" si="114"/>
        <v/>
      </c>
      <c r="S59" s="21" t="str">
        <f t="shared" si="114"/>
        <v/>
      </c>
      <c r="T59" s="21" t="str">
        <f t="shared" si="114"/>
        <v/>
      </c>
      <c r="U59" s="21" t="str">
        <f t="shared" si="114"/>
        <v/>
      </c>
      <c r="V59" s="21" t="str">
        <f t="shared" si="114"/>
        <v/>
      </c>
      <c r="W59" s="21" t="str">
        <f t="shared" si="114"/>
        <v/>
      </c>
      <c r="X59" s="19" t="str">
        <f>IFERROR(__xludf.DUMMYFUNCTION("""COMPUTED_VALUE"""),"estate agent maintenance plumber")</f>
        <v>estate agent maintenance plumber</v>
      </c>
      <c r="Y59" s="9"/>
      <c r="Z59" s="9"/>
    </row>
    <row r="60">
      <c r="A60" s="20"/>
      <c r="B60" s="21" t="str">
        <f t="shared" ref="B60:K60" si="115">IF($A60="","",IF(OR(ISNUMBER(SEARCH(LOWER($A60),LOWER(B$1))),AND(RIGHT(LOWER($A60),1)="s",ISNUMBER(SEARCH(LEFT(LOWER($A60),LEN($A60)-1),LOWER(B$1))))),B$1,B$1&amp;" "&amp;$A60))</f>
        <v/>
      </c>
      <c r="C60" s="21" t="str">
        <f t="shared" si="115"/>
        <v/>
      </c>
      <c r="D60" s="21" t="str">
        <f t="shared" si="115"/>
        <v/>
      </c>
      <c r="E60" s="21" t="str">
        <f t="shared" si="115"/>
        <v/>
      </c>
      <c r="F60" s="21" t="str">
        <f t="shared" si="115"/>
        <v/>
      </c>
      <c r="G60" s="21" t="str">
        <f t="shared" si="115"/>
        <v/>
      </c>
      <c r="H60" s="21" t="str">
        <f t="shared" si="115"/>
        <v/>
      </c>
      <c r="I60" s="21" t="str">
        <f t="shared" si="115"/>
        <v/>
      </c>
      <c r="J60" s="21" t="str">
        <f t="shared" si="115"/>
        <v/>
      </c>
      <c r="K60" s="21" t="str">
        <f t="shared" si="115"/>
        <v/>
      </c>
      <c r="L60" s="17" t="str">
        <f>IFERROR(__xludf.DUMMYFUNCTION("""COMPUTED_VALUE"""),"electrical repairs shop")</f>
        <v>electrical repairs shop</v>
      </c>
      <c r="M60" s="18"/>
      <c r="N60" s="21" t="str">
        <f t="shared" ref="N60:W60" si="116">IF($A60="","",IF(OR(ISNUMBER(SEARCH(LOWER($A60),LOWER(N$1))),AND(RIGHT(LOWER($A60),1)="s",ISNUMBER(SEARCH(LEFT(LOWER($A60),LEN($A60)-1),LOWER(N$1))))),N$1,$A60&amp;" "&amp;N$1))</f>
        <v/>
      </c>
      <c r="O60" s="21" t="str">
        <f t="shared" si="116"/>
        <v/>
      </c>
      <c r="P60" s="21" t="str">
        <f t="shared" si="116"/>
        <v/>
      </c>
      <c r="Q60" s="21" t="str">
        <f t="shared" si="116"/>
        <v/>
      </c>
      <c r="R60" s="21" t="str">
        <f t="shared" si="116"/>
        <v/>
      </c>
      <c r="S60" s="21" t="str">
        <f t="shared" si="116"/>
        <v/>
      </c>
      <c r="T60" s="21" t="str">
        <f t="shared" si="116"/>
        <v/>
      </c>
      <c r="U60" s="21" t="str">
        <f t="shared" si="116"/>
        <v/>
      </c>
      <c r="V60" s="21" t="str">
        <f t="shared" si="116"/>
        <v/>
      </c>
      <c r="W60" s="21" t="str">
        <f t="shared" si="116"/>
        <v/>
      </c>
      <c r="X60" s="19" t="str">
        <f>IFERROR(__xludf.DUMMYFUNCTION("""COMPUTED_VALUE"""),"estate agent plumbing company")</f>
        <v>estate agent plumbing company</v>
      </c>
      <c r="Y60" s="9"/>
      <c r="Z60" s="9"/>
    </row>
    <row r="61">
      <c r="A61" s="20"/>
      <c r="B61" s="21" t="str">
        <f t="shared" ref="B61:K61" si="117">IF($A61="","",IF(OR(ISNUMBER(SEARCH(LOWER($A61),LOWER(B$1))),AND(RIGHT(LOWER($A61),1)="s",ISNUMBER(SEARCH(LEFT(LOWER($A61),LEN($A61)-1),LOWER(B$1))))),B$1,B$1&amp;" "&amp;$A61))</f>
        <v/>
      </c>
      <c r="C61" s="21" t="str">
        <f t="shared" si="117"/>
        <v/>
      </c>
      <c r="D61" s="21" t="str">
        <f t="shared" si="117"/>
        <v/>
      </c>
      <c r="E61" s="21" t="str">
        <f t="shared" si="117"/>
        <v/>
      </c>
      <c r="F61" s="21" t="str">
        <f t="shared" si="117"/>
        <v/>
      </c>
      <c r="G61" s="21" t="str">
        <f t="shared" si="117"/>
        <v/>
      </c>
      <c r="H61" s="21" t="str">
        <f t="shared" si="117"/>
        <v/>
      </c>
      <c r="I61" s="21" t="str">
        <f t="shared" si="117"/>
        <v/>
      </c>
      <c r="J61" s="21" t="str">
        <f t="shared" si="117"/>
        <v/>
      </c>
      <c r="K61" s="21" t="str">
        <f t="shared" si="117"/>
        <v/>
      </c>
      <c r="L61" s="17" t="str">
        <f>IFERROR(__xludf.DUMMYFUNCTION("""COMPUTED_VALUE"""),"electrical repairs tenant")</f>
        <v>electrical repairs tenant</v>
      </c>
      <c r="M61" s="18"/>
      <c r="N61" s="21" t="str">
        <f t="shared" ref="N61:W61" si="118">IF($A61="","",IF(OR(ISNUMBER(SEARCH(LOWER($A61),LOWER(N$1))),AND(RIGHT(LOWER($A61),1)="s",ISNUMBER(SEARCH(LEFT(LOWER($A61),LEN($A61)-1),LOWER(N$1))))),N$1,$A61&amp;" "&amp;N$1))</f>
        <v/>
      </c>
      <c r="O61" s="21" t="str">
        <f t="shared" si="118"/>
        <v/>
      </c>
      <c r="P61" s="21" t="str">
        <f t="shared" si="118"/>
        <v/>
      </c>
      <c r="Q61" s="21" t="str">
        <f t="shared" si="118"/>
        <v/>
      </c>
      <c r="R61" s="21" t="str">
        <f t="shared" si="118"/>
        <v/>
      </c>
      <c r="S61" s="21" t="str">
        <f t="shared" si="118"/>
        <v/>
      </c>
      <c r="T61" s="21" t="str">
        <f t="shared" si="118"/>
        <v/>
      </c>
      <c r="U61" s="21" t="str">
        <f t="shared" si="118"/>
        <v/>
      </c>
      <c r="V61" s="21" t="str">
        <f t="shared" si="118"/>
        <v/>
      </c>
      <c r="W61" s="21" t="str">
        <f t="shared" si="118"/>
        <v/>
      </c>
      <c r="X61" s="19" t="str">
        <f>IFERROR(__xludf.DUMMYFUNCTION("""COMPUTED_VALUE"""),"estate agent plumbing services")</f>
        <v>estate agent plumbing services</v>
      </c>
      <c r="Y61" s="9"/>
      <c r="Z61" s="9"/>
    </row>
    <row r="62">
      <c r="A62" s="20"/>
      <c r="B62" s="21" t="str">
        <f t="shared" ref="B62:K62" si="119">IF($A62="","",IF(OR(ISNUMBER(SEARCH(LOWER($A62),LOWER(B$1))),AND(RIGHT(LOWER($A62),1)="s",ISNUMBER(SEARCH(LEFT(LOWER($A62),LEN($A62)-1),LOWER(B$1))))),B$1,B$1&amp;" "&amp;$A62))</f>
        <v/>
      </c>
      <c r="C62" s="21" t="str">
        <f t="shared" si="119"/>
        <v/>
      </c>
      <c r="D62" s="21" t="str">
        <f t="shared" si="119"/>
        <v/>
      </c>
      <c r="E62" s="21" t="str">
        <f t="shared" si="119"/>
        <v/>
      </c>
      <c r="F62" s="21" t="str">
        <f t="shared" si="119"/>
        <v/>
      </c>
      <c r="G62" s="21" t="str">
        <f t="shared" si="119"/>
        <v/>
      </c>
      <c r="H62" s="21" t="str">
        <f t="shared" si="119"/>
        <v/>
      </c>
      <c r="I62" s="21" t="str">
        <f t="shared" si="119"/>
        <v/>
      </c>
      <c r="J62" s="21" t="str">
        <f t="shared" si="119"/>
        <v/>
      </c>
      <c r="K62" s="21" t="str">
        <f t="shared" si="119"/>
        <v/>
      </c>
      <c r="L62" s="17" t="str">
        <f>IFERROR(__xludf.DUMMYFUNCTION("""COMPUTED_VALUE"""),"electrical repairs townhouse")</f>
        <v>electrical repairs townhouse</v>
      </c>
      <c r="M62" s="18"/>
      <c r="N62" s="21" t="str">
        <f t="shared" ref="N62:W62" si="120">IF($A62="","",IF(OR(ISNUMBER(SEARCH(LOWER($A62),LOWER(N$1))),AND(RIGHT(LOWER($A62),1)="s",ISNUMBER(SEARCH(LEFT(LOWER($A62),LEN($A62)-1),LOWER(N$1))))),N$1,$A62&amp;" "&amp;N$1))</f>
        <v/>
      </c>
      <c r="O62" s="21" t="str">
        <f t="shared" si="120"/>
        <v/>
      </c>
      <c r="P62" s="21" t="str">
        <f t="shared" si="120"/>
        <v/>
      </c>
      <c r="Q62" s="21" t="str">
        <f t="shared" si="120"/>
        <v/>
      </c>
      <c r="R62" s="21" t="str">
        <f t="shared" si="120"/>
        <v/>
      </c>
      <c r="S62" s="21" t="str">
        <f t="shared" si="120"/>
        <v/>
      </c>
      <c r="T62" s="21" t="str">
        <f t="shared" si="120"/>
        <v/>
      </c>
      <c r="U62" s="21" t="str">
        <f t="shared" si="120"/>
        <v/>
      </c>
      <c r="V62" s="21" t="str">
        <f t="shared" si="120"/>
        <v/>
      </c>
      <c r="W62" s="21" t="str">
        <f t="shared" si="120"/>
        <v/>
      </c>
      <c r="X62" s="19" t="str">
        <f>IFERROR(__xludf.DUMMYFUNCTION("""COMPUTED_VALUE"""),"estate agent refrigeration services")</f>
        <v>estate agent refrigeration services</v>
      </c>
      <c r="Y62" s="9"/>
      <c r="Z62" s="9"/>
    </row>
    <row r="63">
      <c r="A63" s="20"/>
      <c r="B63" s="21" t="str">
        <f t="shared" ref="B63:K63" si="121">IF($A63="","",IF(OR(ISNUMBER(SEARCH(LOWER($A63),LOWER(B$1))),AND(RIGHT(LOWER($A63),1)="s",ISNUMBER(SEARCH(LEFT(LOWER($A63),LEN($A63)-1),LOWER(B$1))))),B$1,B$1&amp;" "&amp;$A63))</f>
        <v/>
      </c>
      <c r="C63" s="21" t="str">
        <f t="shared" si="121"/>
        <v/>
      </c>
      <c r="D63" s="21" t="str">
        <f t="shared" si="121"/>
        <v/>
      </c>
      <c r="E63" s="21" t="str">
        <f t="shared" si="121"/>
        <v/>
      </c>
      <c r="F63" s="21" t="str">
        <f t="shared" si="121"/>
        <v/>
      </c>
      <c r="G63" s="21" t="str">
        <f t="shared" si="121"/>
        <v/>
      </c>
      <c r="H63" s="21" t="str">
        <f t="shared" si="121"/>
        <v/>
      </c>
      <c r="I63" s="21" t="str">
        <f t="shared" si="121"/>
        <v/>
      </c>
      <c r="J63" s="21" t="str">
        <f t="shared" si="121"/>
        <v/>
      </c>
      <c r="K63" s="21" t="str">
        <f t="shared" si="121"/>
        <v/>
      </c>
      <c r="L63" s="17" t="str">
        <f>IFERROR(__xludf.DUMMYFUNCTION("""COMPUTED_VALUE"""),"emergency plumbing apartment")</f>
        <v>emergency plumbing apartment</v>
      </c>
      <c r="M63" s="18"/>
      <c r="N63" s="21" t="str">
        <f t="shared" ref="N63:W63" si="122">IF($A63="","",IF(OR(ISNUMBER(SEARCH(LOWER($A63),LOWER(N$1))),AND(RIGHT(LOWER($A63),1)="s",ISNUMBER(SEARCH(LEFT(LOWER($A63),LEN($A63)-1),LOWER(N$1))))),N$1,$A63&amp;" "&amp;N$1))</f>
        <v/>
      </c>
      <c r="O63" s="21" t="str">
        <f t="shared" si="122"/>
        <v/>
      </c>
      <c r="P63" s="21" t="str">
        <f t="shared" si="122"/>
        <v/>
      </c>
      <c r="Q63" s="21" t="str">
        <f t="shared" si="122"/>
        <v/>
      </c>
      <c r="R63" s="21" t="str">
        <f t="shared" si="122"/>
        <v/>
      </c>
      <c r="S63" s="21" t="str">
        <f t="shared" si="122"/>
        <v/>
      </c>
      <c r="T63" s="21" t="str">
        <f t="shared" si="122"/>
        <v/>
      </c>
      <c r="U63" s="21" t="str">
        <f t="shared" si="122"/>
        <v/>
      </c>
      <c r="V63" s="21" t="str">
        <f t="shared" si="122"/>
        <v/>
      </c>
      <c r="W63" s="21" t="str">
        <f t="shared" si="122"/>
        <v/>
      </c>
      <c r="X63" s="19" t="str">
        <f>IFERROR(__xludf.DUMMYFUNCTION("""COMPUTED_VALUE"""),"flat air conditioning services")</f>
        <v>flat air conditioning services</v>
      </c>
      <c r="Y63" s="9"/>
      <c r="Z63" s="9"/>
    </row>
    <row r="64">
      <c r="A64" s="20"/>
      <c r="B64" s="21" t="str">
        <f t="shared" ref="B64:K64" si="123">IF($A64="","",IF(OR(ISNUMBER(SEARCH(LOWER($A64),LOWER(B$1))),AND(RIGHT(LOWER($A64),1)="s",ISNUMBER(SEARCH(LEFT(LOWER($A64),LEN($A64)-1),LOWER(B$1))))),B$1,B$1&amp;" "&amp;$A64))</f>
        <v/>
      </c>
      <c r="C64" s="21" t="str">
        <f t="shared" si="123"/>
        <v/>
      </c>
      <c r="D64" s="21" t="str">
        <f t="shared" si="123"/>
        <v/>
      </c>
      <c r="E64" s="21" t="str">
        <f t="shared" si="123"/>
        <v/>
      </c>
      <c r="F64" s="21" t="str">
        <f t="shared" si="123"/>
        <v/>
      </c>
      <c r="G64" s="21" t="str">
        <f t="shared" si="123"/>
        <v/>
      </c>
      <c r="H64" s="21" t="str">
        <f t="shared" si="123"/>
        <v/>
      </c>
      <c r="I64" s="21" t="str">
        <f t="shared" si="123"/>
        <v/>
      </c>
      <c r="J64" s="21" t="str">
        <f t="shared" si="123"/>
        <v/>
      </c>
      <c r="K64" s="21" t="str">
        <f t="shared" si="123"/>
        <v/>
      </c>
      <c r="L64" s="17" t="str">
        <f>IFERROR(__xludf.DUMMYFUNCTION("""COMPUTED_VALUE"""),"emergency plumbing body corporate")</f>
        <v>emergency plumbing body corporate</v>
      </c>
      <c r="M64" s="18"/>
      <c r="N64" s="21" t="str">
        <f t="shared" ref="N64:W64" si="124">IF($A64="","",IF(OR(ISNUMBER(SEARCH(LOWER($A64),LOWER(N$1))),AND(RIGHT(LOWER($A64),1)="s",ISNUMBER(SEARCH(LEFT(LOWER($A64),LEN($A64)-1),LOWER(N$1))))),N$1,$A64&amp;" "&amp;N$1))</f>
        <v/>
      </c>
      <c r="O64" s="21" t="str">
        <f t="shared" si="124"/>
        <v/>
      </c>
      <c r="P64" s="21" t="str">
        <f t="shared" si="124"/>
        <v/>
      </c>
      <c r="Q64" s="21" t="str">
        <f t="shared" si="124"/>
        <v/>
      </c>
      <c r="R64" s="21" t="str">
        <f t="shared" si="124"/>
        <v/>
      </c>
      <c r="S64" s="21" t="str">
        <f t="shared" si="124"/>
        <v/>
      </c>
      <c r="T64" s="21" t="str">
        <f t="shared" si="124"/>
        <v/>
      </c>
      <c r="U64" s="21" t="str">
        <f t="shared" si="124"/>
        <v/>
      </c>
      <c r="V64" s="21" t="str">
        <f t="shared" si="124"/>
        <v/>
      </c>
      <c r="W64" s="21" t="str">
        <f t="shared" si="124"/>
        <v/>
      </c>
      <c r="X64" s="19" t="str">
        <f>IFERROR(__xludf.DUMMYFUNCTION("""COMPUTED_VALUE"""),"flat drain cleaning")</f>
        <v>flat drain cleaning</v>
      </c>
      <c r="Y64" s="9"/>
      <c r="Z64" s="9"/>
    </row>
    <row r="65">
      <c r="A65" s="20"/>
      <c r="B65" s="21" t="str">
        <f t="shared" ref="B65:K65" si="125">IF($A65="","",IF(OR(ISNUMBER(SEARCH(LOWER($A65),LOWER(B$1))),AND(RIGHT(LOWER($A65),1)="s",ISNUMBER(SEARCH(LEFT(LOWER($A65),LEN($A65)-1),LOWER(B$1))))),B$1,B$1&amp;" "&amp;$A65))</f>
        <v/>
      </c>
      <c r="C65" s="21" t="str">
        <f t="shared" si="125"/>
        <v/>
      </c>
      <c r="D65" s="21" t="str">
        <f t="shared" si="125"/>
        <v/>
      </c>
      <c r="E65" s="21" t="str">
        <f t="shared" si="125"/>
        <v/>
      </c>
      <c r="F65" s="21" t="str">
        <f t="shared" si="125"/>
        <v/>
      </c>
      <c r="G65" s="21" t="str">
        <f t="shared" si="125"/>
        <v/>
      </c>
      <c r="H65" s="21" t="str">
        <f t="shared" si="125"/>
        <v/>
      </c>
      <c r="I65" s="21" t="str">
        <f t="shared" si="125"/>
        <v/>
      </c>
      <c r="J65" s="21" t="str">
        <f t="shared" si="125"/>
        <v/>
      </c>
      <c r="K65" s="21" t="str">
        <f t="shared" si="125"/>
        <v/>
      </c>
      <c r="L65" s="17" t="str">
        <f>IFERROR(__xludf.DUMMYFUNCTION("""COMPUTED_VALUE"""),"emergency plumbing building")</f>
        <v>emergency plumbing building</v>
      </c>
      <c r="M65" s="18"/>
      <c r="N65" s="21" t="str">
        <f t="shared" ref="N65:W65" si="126">IF($A65="","",IF(OR(ISNUMBER(SEARCH(LOWER($A65),LOWER(N$1))),AND(RIGHT(LOWER($A65),1)="s",ISNUMBER(SEARCH(LEFT(LOWER($A65),LEN($A65)-1),LOWER(N$1))))),N$1,$A65&amp;" "&amp;N$1))</f>
        <v/>
      </c>
      <c r="O65" s="21" t="str">
        <f t="shared" si="126"/>
        <v/>
      </c>
      <c r="P65" s="21" t="str">
        <f t="shared" si="126"/>
        <v/>
      </c>
      <c r="Q65" s="21" t="str">
        <f t="shared" si="126"/>
        <v/>
      </c>
      <c r="R65" s="21" t="str">
        <f t="shared" si="126"/>
        <v/>
      </c>
      <c r="S65" s="21" t="str">
        <f t="shared" si="126"/>
        <v/>
      </c>
      <c r="T65" s="21" t="str">
        <f t="shared" si="126"/>
        <v/>
      </c>
      <c r="U65" s="21" t="str">
        <f t="shared" si="126"/>
        <v/>
      </c>
      <c r="V65" s="21" t="str">
        <f t="shared" si="126"/>
        <v/>
      </c>
      <c r="W65" s="21" t="str">
        <f t="shared" si="126"/>
        <v/>
      </c>
      <c r="X65" s="19" t="str">
        <f>IFERROR(__xludf.DUMMYFUNCTION("""COMPUTED_VALUE"""),"flat electrical repairs")</f>
        <v>flat electrical repairs</v>
      </c>
      <c r="Y65" s="9"/>
      <c r="Z65" s="9"/>
    </row>
    <row r="66">
      <c r="A66" s="20"/>
      <c r="B66" s="21" t="str">
        <f t="shared" ref="B66:K66" si="127">IF($A66="","",IF(OR(ISNUMBER(SEARCH(LOWER($A66),LOWER(B$1))),AND(RIGHT(LOWER($A66),1)="s",ISNUMBER(SEARCH(LEFT(LOWER($A66),LEN($A66)-1),LOWER(B$1))))),B$1,B$1&amp;" "&amp;$A66))</f>
        <v/>
      </c>
      <c r="C66" s="21" t="str">
        <f t="shared" si="127"/>
        <v/>
      </c>
      <c r="D66" s="21" t="str">
        <f t="shared" si="127"/>
        <v/>
      </c>
      <c r="E66" s="21" t="str">
        <f t="shared" si="127"/>
        <v/>
      </c>
      <c r="F66" s="21" t="str">
        <f t="shared" si="127"/>
        <v/>
      </c>
      <c r="G66" s="21" t="str">
        <f t="shared" si="127"/>
        <v/>
      </c>
      <c r="H66" s="21" t="str">
        <f t="shared" si="127"/>
        <v/>
      </c>
      <c r="I66" s="21" t="str">
        <f t="shared" si="127"/>
        <v/>
      </c>
      <c r="J66" s="21" t="str">
        <f t="shared" si="127"/>
        <v/>
      </c>
      <c r="K66" s="21" t="str">
        <f t="shared" si="127"/>
        <v/>
      </c>
      <c r="L66" s="17" t="str">
        <f>IFERROR(__xludf.DUMMYFUNCTION("""COMPUTED_VALUE"""),"emergency plumbing business")</f>
        <v>emergency plumbing business</v>
      </c>
      <c r="M66" s="18"/>
      <c r="N66" s="21" t="str">
        <f t="shared" ref="N66:W66" si="128">IF($A66="","",IF(OR(ISNUMBER(SEARCH(LOWER($A66),LOWER(N$1))),AND(RIGHT(LOWER($A66),1)="s",ISNUMBER(SEARCH(LEFT(LOWER($A66),LEN($A66)-1),LOWER(N$1))))),N$1,$A66&amp;" "&amp;N$1))</f>
        <v/>
      </c>
      <c r="O66" s="21" t="str">
        <f t="shared" si="128"/>
        <v/>
      </c>
      <c r="P66" s="21" t="str">
        <f t="shared" si="128"/>
        <v/>
      </c>
      <c r="Q66" s="21" t="str">
        <f t="shared" si="128"/>
        <v/>
      </c>
      <c r="R66" s="21" t="str">
        <f t="shared" si="128"/>
        <v/>
      </c>
      <c r="S66" s="21" t="str">
        <f t="shared" si="128"/>
        <v/>
      </c>
      <c r="T66" s="21" t="str">
        <f t="shared" si="128"/>
        <v/>
      </c>
      <c r="U66" s="21" t="str">
        <f t="shared" si="128"/>
        <v/>
      </c>
      <c r="V66" s="21" t="str">
        <f t="shared" si="128"/>
        <v/>
      </c>
      <c r="W66" s="21" t="str">
        <f t="shared" si="128"/>
        <v/>
      </c>
      <c r="X66" s="19" t="str">
        <f>IFERROR(__xludf.DUMMYFUNCTION("""COMPUTED_VALUE"""),"flat emergency plumbing")</f>
        <v>flat emergency plumbing</v>
      </c>
      <c r="Y66" s="9"/>
      <c r="Z66" s="9"/>
    </row>
    <row r="67">
      <c r="A67" s="20"/>
      <c r="B67" s="21" t="str">
        <f t="shared" ref="B67:K67" si="129">IF($A67="","",IF(OR(ISNUMBER(SEARCH(LOWER($A67),LOWER(B$1))),AND(RIGHT(LOWER($A67),1)="s",ISNUMBER(SEARCH(LEFT(LOWER($A67),LEN($A67)-1),LOWER(B$1))))),B$1,B$1&amp;" "&amp;$A67))</f>
        <v/>
      </c>
      <c r="C67" s="21" t="str">
        <f t="shared" si="129"/>
        <v/>
      </c>
      <c r="D67" s="21" t="str">
        <f t="shared" si="129"/>
        <v/>
      </c>
      <c r="E67" s="21" t="str">
        <f t="shared" si="129"/>
        <v/>
      </c>
      <c r="F67" s="21" t="str">
        <f t="shared" si="129"/>
        <v/>
      </c>
      <c r="G67" s="21" t="str">
        <f t="shared" si="129"/>
        <v/>
      </c>
      <c r="H67" s="21" t="str">
        <f t="shared" si="129"/>
        <v/>
      </c>
      <c r="I67" s="21" t="str">
        <f t="shared" si="129"/>
        <v/>
      </c>
      <c r="J67" s="21" t="str">
        <f t="shared" si="129"/>
        <v/>
      </c>
      <c r="K67" s="21" t="str">
        <f t="shared" si="129"/>
        <v/>
      </c>
      <c r="L67" s="17" t="str">
        <f>IFERROR(__xludf.DUMMYFUNCTION("""COMPUTED_VALUE"""),"emergency plumbing commercial property")</f>
        <v>emergency plumbing commercial property</v>
      </c>
      <c r="M67" s="18"/>
      <c r="N67" s="21" t="str">
        <f t="shared" ref="N67:W67" si="130">IF($A67="","",IF(OR(ISNUMBER(SEARCH(LOWER($A67),LOWER(N$1))),AND(RIGHT(LOWER($A67),1)="s",ISNUMBER(SEARCH(LEFT(LOWER($A67),LEN($A67)-1),LOWER(N$1))))),N$1,$A67&amp;" "&amp;N$1))</f>
        <v/>
      </c>
      <c r="O67" s="21" t="str">
        <f t="shared" si="130"/>
        <v/>
      </c>
      <c r="P67" s="21" t="str">
        <f t="shared" si="130"/>
        <v/>
      </c>
      <c r="Q67" s="21" t="str">
        <f t="shared" si="130"/>
        <v/>
      </c>
      <c r="R67" s="21" t="str">
        <f t="shared" si="130"/>
        <v/>
      </c>
      <c r="S67" s="21" t="str">
        <f t="shared" si="130"/>
        <v/>
      </c>
      <c r="T67" s="21" t="str">
        <f t="shared" si="130"/>
        <v/>
      </c>
      <c r="U67" s="21" t="str">
        <f t="shared" si="130"/>
        <v/>
      </c>
      <c r="V67" s="21" t="str">
        <f t="shared" si="130"/>
        <v/>
      </c>
      <c r="W67" s="21" t="str">
        <f t="shared" si="130"/>
        <v/>
      </c>
      <c r="X67" s="19" t="str">
        <f>IFERROR(__xludf.DUMMYFUNCTION("""COMPUTED_VALUE"""),"flat geyser repairs")</f>
        <v>flat geyser repairs</v>
      </c>
      <c r="Y67" s="9"/>
      <c r="Z67" s="9"/>
    </row>
    <row r="68">
      <c r="A68" s="20"/>
      <c r="B68" s="21" t="str">
        <f t="shared" ref="B68:K68" si="131">IF($A68="","",IF(OR(ISNUMBER(SEARCH(LOWER($A68),LOWER(B$1))),AND(RIGHT(LOWER($A68),1)="s",ISNUMBER(SEARCH(LEFT(LOWER($A68),LEN($A68)-1),LOWER(B$1))))),B$1,B$1&amp;" "&amp;$A68))</f>
        <v/>
      </c>
      <c r="C68" s="21" t="str">
        <f t="shared" si="131"/>
        <v/>
      </c>
      <c r="D68" s="21" t="str">
        <f t="shared" si="131"/>
        <v/>
      </c>
      <c r="E68" s="21" t="str">
        <f t="shared" si="131"/>
        <v/>
      </c>
      <c r="F68" s="21" t="str">
        <f t="shared" si="131"/>
        <v/>
      </c>
      <c r="G68" s="21" t="str">
        <f t="shared" si="131"/>
        <v/>
      </c>
      <c r="H68" s="21" t="str">
        <f t="shared" si="131"/>
        <v/>
      </c>
      <c r="I68" s="21" t="str">
        <f t="shared" si="131"/>
        <v/>
      </c>
      <c r="J68" s="21" t="str">
        <f t="shared" si="131"/>
        <v/>
      </c>
      <c r="K68" s="21" t="str">
        <f t="shared" si="131"/>
        <v/>
      </c>
      <c r="L68" s="17" t="str">
        <f>IFERROR(__xludf.DUMMYFUNCTION("""COMPUTED_VALUE"""),"emergency plumbing estate agent")</f>
        <v>emergency plumbing estate agent</v>
      </c>
      <c r="M68" s="18"/>
      <c r="N68" s="21" t="str">
        <f t="shared" ref="N68:W68" si="132">IF($A68="","",IF(OR(ISNUMBER(SEARCH(LOWER($A68),LOWER(N$1))),AND(RIGHT(LOWER($A68),1)="s",ISNUMBER(SEARCH(LEFT(LOWER($A68),LEN($A68)-1),LOWER(N$1))))),N$1,$A68&amp;" "&amp;N$1))</f>
        <v/>
      </c>
      <c r="O68" s="21" t="str">
        <f t="shared" si="132"/>
        <v/>
      </c>
      <c r="P68" s="21" t="str">
        <f t="shared" si="132"/>
        <v/>
      </c>
      <c r="Q68" s="21" t="str">
        <f t="shared" si="132"/>
        <v/>
      </c>
      <c r="R68" s="21" t="str">
        <f t="shared" si="132"/>
        <v/>
      </c>
      <c r="S68" s="21" t="str">
        <f t="shared" si="132"/>
        <v/>
      </c>
      <c r="T68" s="21" t="str">
        <f t="shared" si="132"/>
        <v/>
      </c>
      <c r="U68" s="21" t="str">
        <f t="shared" si="132"/>
        <v/>
      </c>
      <c r="V68" s="21" t="str">
        <f t="shared" si="132"/>
        <v/>
      </c>
      <c r="W68" s="21" t="str">
        <f t="shared" si="132"/>
        <v/>
      </c>
      <c r="X68" s="19" t="str">
        <f>IFERROR(__xludf.DUMMYFUNCTION("""COMPUTED_VALUE"""),"flat leak detection")</f>
        <v>flat leak detection</v>
      </c>
      <c r="Y68" s="9"/>
      <c r="Z68" s="9"/>
    </row>
    <row r="69">
      <c r="A69" s="20"/>
      <c r="B69" s="21" t="str">
        <f t="shared" ref="B69:K69" si="133">IF($A69="","",IF(OR(ISNUMBER(SEARCH(LOWER($A69),LOWER(B$1))),AND(RIGHT(LOWER($A69),1)="s",ISNUMBER(SEARCH(LEFT(LOWER($A69),LEN($A69)-1),LOWER(B$1))))),B$1,B$1&amp;" "&amp;$A69))</f>
        <v/>
      </c>
      <c r="C69" s="21" t="str">
        <f t="shared" si="133"/>
        <v/>
      </c>
      <c r="D69" s="21" t="str">
        <f t="shared" si="133"/>
        <v/>
      </c>
      <c r="E69" s="21" t="str">
        <f t="shared" si="133"/>
        <v/>
      </c>
      <c r="F69" s="21" t="str">
        <f t="shared" si="133"/>
        <v/>
      </c>
      <c r="G69" s="21" t="str">
        <f t="shared" si="133"/>
        <v/>
      </c>
      <c r="H69" s="21" t="str">
        <f t="shared" si="133"/>
        <v/>
      </c>
      <c r="I69" s="21" t="str">
        <f t="shared" si="133"/>
        <v/>
      </c>
      <c r="J69" s="21" t="str">
        <f t="shared" si="133"/>
        <v/>
      </c>
      <c r="K69" s="21" t="str">
        <f t="shared" si="133"/>
        <v/>
      </c>
      <c r="L69" s="17" t="str">
        <f>IFERROR(__xludf.DUMMYFUNCTION("""COMPUTED_VALUE"""),"emergency plumbing flat")</f>
        <v>emergency plumbing flat</v>
      </c>
      <c r="M69" s="18"/>
      <c r="N69" s="21" t="str">
        <f t="shared" ref="N69:W69" si="134">IF($A69="","",IF(OR(ISNUMBER(SEARCH(LOWER($A69),LOWER(N$1))),AND(RIGHT(LOWER($A69),1)="s",ISNUMBER(SEARCH(LEFT(LOWER($A69),LEN($A69)-1),LOWER(N$1))))),N$1,$A69&amp;" "&amp;N$1))</f>
        <v/>
      </c>
      <c r="O69" s="21" t="str">
        <f t="shared" si="134"/>
        <v/>
      </c>
      <c r="P69" s="21" t="str">
        <f t="shared" si="134"/>
        <v/>
      </c>
      <c r="Q69" s="21" t="str">
        <f t="shared" si="134"/>
        <v/>
      </c>
      <c r="R69" s="21" t="str">
        <f t="shared" si="134"/>
        <v/>
      </c>
      <c r="S69" s="21" t="str">
        <f t="shared" si="134"/>
        <v/>
      </c>
      <c r="T69" s="21" t="str">
        <f t="shared" si="134"/>
        <v/>
      </c>
      <c r="U69" s="21" t="str">
        <f t="shared" si="134"/>
        <v/>
      </c>
      <c r="V69" s="21" t="str">
        <f t="shared" si="134"/>
        <v/>
      </c>
      <c r="W69" s="21" t="str">
        <f t="shared" si="134"/>
        <v/>
      </c>
      <c r="X69" s="19" t="str">
        <f>IFERROR(__xludf.DUMMYFUNCTION("""COMPUTED_VALUE"""),"flat maintenance plumber")</f>
        <v>flat maintenance plumber</v>
      </c>
      <c r="Y69" s="9"/>
      <c r="Z69" s="9"/>
    </row>
    <row r="70">
      <c r="A70" s="20"/>
      <c r="B70" s="21" t="str">
        <f t="shared" ref="B70:K70" si="135">IF($A70="","",IF(OR(ISNUMBER(SEARCH(LOWER($A70),LOWER(B$1))),AND(RIGHT(LOWER($A70),1)="s",ISNUMBER(SEARCH(LEFT(LOWER($A70),LEN($A70)-1),LOWER(B$1))))),B$1,B$1&amp;" "&amp;$A70))</f>
        <v/>
      </c>
      <c r="C70" s="21" t="str">
        <f t="shared" si="135"/>
        <v/>
      </c>
      <c r="D70" s="21" t="str">
        <f t="shared" si="135"/>
        <v/>
      </c>
      <c r="E70" s="21" t="str">
        <f t="shared" si="135"/>
        <v/>
      </c>
      <c r="F70" s="21" t="str">
        <f t="shared" si="135"/>
        <v/>
      </c>
      <c r="G70" s="21" t="str">
        <f t="shared" si="135"/>
        <v/>
      </c>
      <c r="H70" s="21" t="str">
        <f t="shared" si="135"/>
        <v/>
      </c>
      <c r="I70" s="21" t="str">
        <f t="shared" si="135"/>
        <v/>
      </c>
      <c r="J70" s="21" t="str">
        <f t="shared" si="135"/>
        <v/>
      </c>
      <c r="K70" s="21" t="str">
        <f t="shared" si="135"/>
        <v/>
      </c>
      <c r="L70" s="17" t="str">
        <f>IFERROR(__xludf.DUMMYFUNCTION("""COMPUTED_VALUE"""),"emergency plumbing guesthouse")</f>
        <v>emergency plumbing guesthouse</v>
      </c>
      <c r="M70" s="18"/>
      <c r="N70" s="21" t="str">
        <f t="shared" ref="N70:W70" si="136">IF($A70="","",IF(OR(ISNUMBER(SEARCH(LOWER($A70),LOWER(N$1))),AND(RIGHT(LOWER($A70),1)="s",ISNUMBER(SEARCH(LEFT(LOWER($A70),LEN($A70)-1),LOWER(N$1))))),N$1,$A70&amp;" "&amp;N$1))</f>
        <v/>
      </c>
      <c r="O70" s="21" t="str">
        <f t="shared" si="136"/>
        <v/>
      </c>
      <c r="P70" s="21" t="str">
        <f t="shared" si="136"/>
        <v/>
      </c>
      <c r="Q70" s="21" t="str">
        <f t="shared" si="136"/>
        <v/>
      </c>
      <c r="R70" s="21" t="str">
        <f t="shared" si="136"/>
        <v/>
      </c>
      <c r="S70" s="21" t="str">
        <f t="shared" si="136"/>
        <v/>
      </c>
      <c r="T70" s="21" t="str">
        <f t="shared" si="136"/>
        <v/>
      </c>
      <c r="U70" s="21" t="str">
        <f t="shared" si="136"/>
        <v/>
      </c>
      <c r="V70" s="21" t="str">
        <f t="shared" si="136"/>
        <v/>
      </c>
      <c r="W70" s="21" t="str">
        <f t="shared" si="136"/>
        <v/>
      </c>
      <c r="X70" s="19" t="str">
        <f>IFERROR(__xludf.DUMMYFUNCTION("""COMPUTED_VALUE"""),"flat plumbing company")</f>
        <v>flat plumbing company</v>
      </c>
      <c r="Y70" s="9"/>
      <c r="Z70" s="9"/>
    </row>
    <row r="71">
      <c r="A71" s="20"/>
      <c r="B71" s="21" t="str">
        <f t="shared" ref="B71:K71" si="137">IF($A71="","",IF(OR(ISNUMBER(SEARCH(LOWER($A71),LOWER(B$1))),AND(RIGHT(LOWER($A71),1)="s",ISNUMBER(SEARCH(LEFT(LOWER($A71),LEN($A71)-1),LOWER(B$1))))),B$1,B$1&amp;" "&amp;$A71))</f>
        <v/>
      </c>
      <c r="C71" s="21" t="str">
        <f t="shared" si="137"/>
        <v/>
      </c>
      <c r="D71" s="21" t="str">
        <f t="shared" si="137"/>
        <v/>
      </c>
      <c r="E71" s="21" t="str">
        <f t="shared" si="137"/>
        <v/>
      </c>
      <c r="F71" s="21" t="str">
        <f t="shared" si="137"/>
        <v/>
      </c>
      <c r="G71" s="21" t="str">
        <f t="shared" si="137"/>
        <v/>
      </c>
      <c r="H71" s="21" t="str">
        <f t="shared" si="137"/>
        <v/>
      </c>
      <c r="I71" s="21" t="str">
        <f t="shared" si="137"/>
        <v/>
      </c>
      <c r="J71" s="21" t="str">
        <f t="shared" si="137"/>
        <v/>
      </c>
      <c r="K71" s="21" t="str">
        <f t="shared" si="137"/>
        <v/>
      </c>
      <c r="L71" s="17" t="str">
        <f>IFERROR(__xludf.DUMMYFUNCTION("""COMPUTED_VALUE"""),"emergency plumbing home")</f>
        <v>emergency plumbing home</v>
      </c>
      <c r="M71" s="18"/>
      <c r="N71" s="21" t="str">
        <f t="shared" ref="N71:W71" si="138">IF($A71="","",IF(OR(ISNUMBER(SEARCH(LOWER($A71),LOWER(N$1))),AND(RIGHT(LOWER($A71),1)="s",ISNUMBER(SEARCH(LEFT(LOWER($A71),LEN($A71)-1),LOWER(N$1))))),N$1,$A71&amp;" "&amp;N$1))</f>
        <v/>
      </c>
      <c r="O71" s="21" t="str">
        <f t="shared" si="138"/>
        <v/>
      </c>
      <c r="P71" s="21" t="str">
        <f t="shared" si="138"/>
        <v/>
      </c>
      <c r="Q71" s="21" t="str">
        <f t="shared" si="138"/>
        <v/>
      </c>
      <c r="R71" s="21" t="str">
        <f t="shared" si="138"/>
        <v/>
      </c>
      <c r="S71" s="21" t="str">
        <f t="shared" si="138"/>
        <v/>
      </c>
      <c r="T71" s="21" t="str">
        <f t="shared" si="138"/>
        <v/>
      </c>
      <c r="U71" s="21" t="str">
        <f t="shared" si="138"/>
        <v/>
      </c>
      <c r="V71" s="21" t="str">
        <f t="shared" si="138"/>
        <v/>
      </c>
      <c r="W71" s="21" t="str">
        <f t="shared" si="138"/>
        <v/>
      </c>
      <c r="X71" s="19" t="str">
        <f>IFERROR(__xludf.DUMMYFUNCTION("""COMPUTED_VALUE"""),"flat plumbing services")</f>
        <v>flat plumbing services</v>
      </c>
      <c r="Y71" s="9"/>
      <c r="Z71" s="9"/>
    </row>
    <row r="72">
      <c r="A72" s="20"/>
      <c r="B72" s="21" t="str">
        <f t="shared" ref="B72:K72" si="139">IF($A72="","",IF(OR(ISNUMBER(SEARCH(LOWER($A72),LOWER(B$1))),AND(RIGHT(LOWER($A72),1)="s",ISNUMBER(SEARCH(LEFT(LOWER($A72),LEN($A72)-1),LOWER(B$1))))),B$1,B$1&amp;" "&amp;$A72))</f>
        <v/>
      </c>
      <c r="C72" s="21" t="str">
        <f t="shared" si="139"/>
        <v/>
      </c>
      <c r="D72" s="21" t="str">
        <f t="shared" si="139"/>
        <v/>
      </c>
      <c r="E72" s="21" t="str">
        <f t="shared" si="139"/>
        <v/>
      </c>
      <c r="F72" s="21" t="str">
        <f t="shared" si="139"/>
        <v/>
      </c>
      <c r="G72" s="21" t="str">
        <f t="shared" si="139"/>
        <v/>
      </c>
      <c r="H72" s="21" t="str">
        <f t="shared" si="139"/>
        <v/>
      </c>
      <c r="I72" s="21" t="str">
        <f t="shared" si="139"/>
        <v/>
      </c>
      <c r="J72" s="21" t="str">
        <f t="shared" si="139"/>
        <v/>
      </c>
      <c r="K72" s="21" t="str">
        <f t="shared" si="139"/>
        <v/>
      </c>
      <c r="L72" s="17" t="str">
        <f>IFERROR(__xludf.DUMMYFUNCTION("""COMPUTED_VALUE"""),"emergency plumbing hotel")</f>
        <v>emergency plumbing hotel</v>
      </c>
      <c r="M72" s="18"/>
      <c r="N72" s="21" t="str">
        <f t="shared" ref="N72:W72" si="140">IF($A72="","",IF(OR(ISNUMBER(SEARCH(LOWER($A72),LOWER(N$1))),AND(RIGHT(LOWER($A72),1)="s",ISNUMBER(SEARCH(LEFT(LOWER($A72),LEN($A72)-1),LOWER(N$1))))),N$1,$A72&amp;" "&amp;N$1))</f>
        <v/>
      </c>
      <c r="O72" s="21" t="str">
        <f t="shared" si="140"/>
        <v/>
      </c>
      <c r="P72" s="21" t="str">
        <f t="shared" si="140"/>
        <v/>
      </c>
      <c r="Q72" s="21" t="str">
        <f t="shared" si="140"/>
        <v/>
      </c>
      <c r="R72" s="21" t="str">
        <f t="shared" si="140"/>
        <v/>
      </c>
      <c r="S72" s="21" t="str">
        <f t="shared" si="140"/>
        <v/>
      </c>
      <c r="T72" s="21" t="str">
        <f t="shared" si="140"/>
        <v/>
      </c>
      <c r="U72" s="21" t="str">
        <f t="shared" si="140"/>
        <v/>
      </c>
      <c r="V72" s="21" t="str">
        <f t="shared" si="140"/>
        <v/>
      </c>
      <c r="W72" s="21" t="str">
        <f t="shared" si="140"/>
        <v/>
      </c>
      <c r="X72" s="19" t="str">
        <f>IFERROR(__xludf.DUMMYFUNCTION("""COMPUTED_VALUE"""),"flat refrigeration services")</f>
        <v>flat refrigeration services</v>
      </c>
      <c r="Y72" s="9"/>
      <c r="Z72" s="9"/>
    </row>
    <row r="73">
      <c r="A73" s="20"/>
      <c r="B73" s="21" t="str">
        <f t="shared" ref="B73:K73" si="141">IF($A73="","",IF(OR(ISNUMBER(SEARCH(LOWER($A73),LOWER(B$1))),AND(RIGHT(LOWER($A73),1)="s",ISNUMBER(SEARCH(LEFT(LOWER($A73),LEN($A73)-1),LOWER(B$1))))),B$1,B$1&amp;" "&amp;$A73))</f>
        <v/>
      </c>
      <c r="C73" s="21" t="str">
        <f t="shared" si="141"/>
        <v/>
      </c>
      <c r="D73" s="21" t="str">
        <f t="shared" si="141"/>
        <v/>
      </c>
      <c r="E73" s="21" t="str">
        <f t="shared" si="141"/>
        <v/>
      </c>
      <c r="F73" s="21" t="str">
        <f t="shared" si="141"/>
        <v/>
      </c>
      <c r="G73" s="21" t="str">
        <f t="shared" si="141"/>
        <v/>
      </c>
      <c r="H73" s="21" t="str">
        <f t="shared" si="141"/>
        <v/>
      </c>
      <c r="I73" s="21" t="str">
        <f t="shared" si="141"/>
        <v/>
      </c>
      <c r="J73" s="21" t="str">
        <f t="shared" si="141"/>
        <v/>
      </c>
      <c r="K73" s="21" t="str">
        <f t="shared" si="141"/>
        <v/>
      </c>
      <c r="L73" s="17" t="str">
        <f>IFERROR(__xludf.DUMMYFUNCTION("""COMPUTED_VALUE"""),"emergency plumbing house")</f>
        <v>emergency plumbing house</v>
      </c>
      <c r="M73" s="18"/>
      <c r="N73" s="21" t="str">
        <f t="shared" ref="N73:W73" si="142">IF($A73="","",IF(OR(ISNUMBER(SEARCH(LOWER($A73),LOWER(N$1))),AND(RIGHT(LOWER($A73),1)="s",ISNUMBER(SEARCH(LEFT(LOWER($A73),LEN($A73)-1),LOWER(N$1))))),N$1,$A73&amp;" "&amp;N$1))</f>
        <v/>
      </c>
      <c r="O73" s="21" t="str">
        <f t="shared" si="142"/>
        <v/>
      </c>
      <c r="P73" s="21" t="str">
        <f t="shared" si="142"/>
        <v/>
      </c>
      <c r="Q73" s="21" t="str">
        <f t="shared" si="142"/>
        <v/>
      </c>
      <c r="R73" s="21" t="str">
        <f t="shared" si="142"/>
        <v/>
      </c>
      <c r="S73" s="21" t="str">
        <f t="shared" si="142"/>
        <v/>
      </c>
      <c r="T73" s="21" t="str">
        <f t="shared" si="142"/>
        <v/>
      </c>
      <c r="U73" s="21" t="str">
        <f t="shared" si="142"/>
        <v/>
      </c>
      <c r="V73" s="21" t="str">
        <f t="shared" si="142"/>
        <v/>
      </c>
      <c r="W73" s="21" t="str">
        <f t="shared" si="142"/>
        <v/>
      </c>
      <c r="X73" s="19" t="str">
        <f>IFERROR(__xludf.DUMMYFUNCTION("""COMPUTED_VALUE"""),"guesthouse air conditioning services")</f>
        <v>guesthouse air conditioning services</v>
      </c>
      <c r="Y73" s="9"/>
      <c r="Z73" s="9"/>
    </row>
    <row r="74">
      <c r="A74" s="20"/>
      <c r="B74" s="21" t="str">
        <f t="shared" ref="B74:K74" si="143">IF($A74="","",IF(OR(ISNUMBER(SEARCH(LOWER($A74),LOWER(B$1))),AND(RIGHT(LOWER($A74),1)="s",ISNUMBER(SEARCH(LEFT(LOWER($A74),LEN($A74)-1),LOWER(B$1))))),B$1,B$1&amp;" "&amp;$A74))</f>
        <v/>
      </c>
      <c r="C74" s="21" t="str">
        <f t="shared" si="143"/>
        <v/>
      </c>
      <c r="D74" s="21" t="str">
        <f t="shared" si="143"/>
        <v/>
      </c>
      <c r="E74" s="21" t="str">
        <f t="shared" si="143"/>
        <v/>
      </c>
      <c r="F74" s="21" t="str">
        <f t="shared" si="143"/>
        <v/>
      </c>
      <c r="G74" s="21" t="str">
        <f t="shared" si="143"/>
        <v/>
      </c>
      <c r="H74" s="21" t="str">
        <f t="shared" si="143"/>
        <v/>
      </c>
      <c r="I74" s="21" t="str">
        <f t="shared" si="143"/>
        <v/>
      </c>
      <c r="J74" s="21" t="str">
        <f t="shared" si="143"/>
        <v/>
      </c>
      <c r="K74" s="21" t="str">
        <f t="shared" si="143"/>
        <v/>
      </c>
      <c r="L74" s="17" t="str">
        <f>IFERROR(__xludf.DUMMYFUNCTION("""COMPUTED_VALUE"""),"emergency plumbing landlord")</f>
        <v>emergency plumbing landlord</v>
      </c>
      <c r="M74" s="18"/>
      <c r="N74" s="21" t="str">
        <f t="shared" ref="N74:W74" si="144">IF($A74="","",IF(OR(ISNUMBER(SEARCH(LOWER($A74),LOWER(N$1))),AND(RIGHT(LOWER($A74),1)="s",ISNUMBER(SEARCH(LEFT(LOWER($A74),LEN($A74)-1),LOWER(N$1))))),N$1,$A74&amp;" "&amp;N$1))</f>
        <v/>
      </c>
      <c r="O74" s="21" t="str">
        <f t="shared" si="144"/>
        <v/>
      </c>
      <c r="P74" s="21" t="str">
        <f t="shared" si="144"/>
        <v/>
      </c>
      <c r="Q74" s="21" t="str">
        <f t="shared" si="144"/>
        <v/>
      </c>
      <c r="R74" s="21" t="str">
        <f t="shared" si="144"/>
        <v/>
      </c>
      <c r="S74" s="21" t="str">
        <f t="shared" si="144"/>
        <v/>
      </c>
      <c r="T74" s="21" t="str">
        <f t="shared" si="144"/>
        <v/>
      </c>
      <c r="U74" s="21" t="str">
        <f t="shared" si="144"/>
        <v/>
      </c>
      <c r="V74" s="21" t="str">
        <f t="shared" si="144"/>
        <v/>
      </c>
      <c r="W74" s="21" t="str">
        <f t="shared" si="144"/>
        <v/>
      </c>
      <c r="X74" s="19" t="str">
        <f>IFERROR(__xludf.DUMMYFUNCTION("""COMPUTED_VALUE"""),"guesthouse drain cleaning")</f>
        <v>guesthouse drain cleaning</v>
      </c>
      <c r="Y74" s="9"/>
      <c r="Z74" s="9"/>
    </row>
    <row r="75">
      <c r="A75" s="20"/>
      <c r="B75" s="21" t="str">
        <f t="shared" ref="B75:K75" si="145">IF($A75="","",IF(OR(ISNUMBER(SEARCH(LOWER($A75),LOWER(B$1))),AND(RIGHT(LOWER($A75),1)="s",ISNUMBER(SEARCH(LEFT(LOWER($A75),LEN($A75)-1),LOWER(B$1))))),B$1,B$1&amp;" "&amp;$A75))</f>
        <v/>
      </c>
      <c r="C75" s="21" t="str">
        <f t="shared" si="145"/>
        <v/>
      </c>
      <c r="D75" s="21" t="str">
        <f t="shared" si="145"/>
        <v/>
      </c>
      <c r="E75" s="21" t="str">
        <f t="shared" si="145"/>
        <v/>
      </c>
      <c r="F75" s="21" t="str">
        <f t="shared" si="145"/>
        <v/>
      </c>
      <c r="G75" s="21" t="str">
        <f t="shared" si="145"/>
        <v/>
      </c>
      <c r="H75" s="21" t="str">
        <f t="shared" si="145"/>
        <v/>
      </c>
      <c r="I75" s="21" t="str">
        <f t="shared" si="145"/>
        <v/>
      </c>
      <c r="J75" s="21" t="str">
        <f t="shared" si="145"/>
        <v/>
      </c>
      <c r="K75" s="21" t="str">
        <f t="shared" si="145"/>
        <v/>
      </c>
      <c r="L75" s="17" t="str">
        <f>IFERROR(__xludf.DUMMYFUNCTION("""COMPUTED_VALUE"""),"emergency plumbing office")</f>
        <v>emergency plumbing office</v>
      </c>
      <c r="M75" s="18"/>
      <c r="N75" s="21" t="str">
        <f t="shared" ref="N75:W75" si="146">IF($A75="","",IF(OR(ISNUMBER(SEARCH(LOWER($A75),LOWER(N$1))),AND(RIGHT(LOWER($A75),1)="s",ISNUMBER(SEARCH(LEFT(LOWER($A75),LEN($A75)-1),LOWER(N$1))))),N$1,$A75&amp;" "&amp;N$1))</f>
        <v/>
      </c>
      <c r="O75" s="21" t="str">
        <f t="shared" si="146"/>
        <v/>
      </c>
      <c r="P75" s="21" t="str">
        <f t="shared" si="146"/>
        <v/>
      </c>
      <c r="Q75" s="21" t="str">
        <f t="shared" si="146"/>
        <v/>
      </c>
      <c r="R75" s="21" t="str">
        <f t="shared" si="146"/>
        <v/>
      </c>
      <c r="S75" s="21" t="str">
        <f t="shared" si="146"/>
        <v/>
      </c>
      <c r="T75" s="21" t="str">
        <f t="shared" si="146"/>
        <v/>
      </c>
      <c r="U75" s="21" t="str">
        <f t="shared" si="146"/>
        <v/>
      </c>
      <c r="V75" s="21" t="str">
        <f t="shared" si="146"/>
        <v/>
      </c>
      <c r="W75" s="21" t="str">
        <f t="shared" si="146"/>
        <v/>
      </c>
      <c r="X75" s="19" t="str">
        <f>IFERROR(__xludf.DUMMYFUNCTION("""COMPUTED_VALUE"""),"guesthouse electrical repairs")</f>
        <v>guesthouse electrical repairs</v>
      </c>
      <c r="Y75" s="9"/>
      <c r="Z75" s="9"/>
    </row>
    <row r="76">
      <c r="A76" s="20"/>
      <c r="B76" s="21" t="str">
        <f t="shared" ref="B76:K76" si="147">IF($A76="","",IF(OR(ISNUMBER(SEARCH(LOWER($A76),LOWER(B$1))),AND(RIGHT(LOWER($A76),1)="s",ISNUMBER(SEARCH(LEFT(LOWER($A76),LEN($A76)-1),LOWER(B$1))))),B$1,B$1&amp;" "&amp;$A76))</f>
        <v/>
      </c>
      <c r="C76" s="21" t="str">
        <f t="shared" si="147"/>
        <v/>
      </c>
      <c r="D76" s="21" t="str">
        <f t="shared" si="147"/>
        <v/>
      </c>
      <c r="E76" s="21" t="str">
        <f t="shared" si="147"/>
        <v/>
      </c>
      <c r="F76" s="21" t="str">
        <f t="shared" si="147"/>
        <v/>
      </c>
      <c r="G76" s="21" t="str">
        <f t="shared" si="147"/>
        <v/>
      </c>
      <c r="H76" s="21" t="str">
        <f t="shared" si="147"/>
        <v/>
      </c>
      <c r="I76" s="21" t="str">
        <f t="shared" si="147"/>
        <v/>
      </c>
      <c r="J76" s="21" t="str">
        <f t="shared" si="147"/>
        <v/>
      </c>
      <c r="K76" s="21" t="str">
        <f t="shared" si="147"/>
        <v/>
      </c>
      <c r="L76" s="17" t="str">
        <f>IFERROR(__xludf.DUMMYFUNCTION("""COMPUTED_VALUE"""),"emergency plumbing property manager")</f>
        <v>emergency plumbing property manager</v>
      </c>
      <c r="M76" s="18"/>
      <c r="N76" s="21" t="str">
        <f t="shared" ref="N76:W76" si="148">IF($A76="","",IF(OR(ISNUMBER(SEARCH(LOWER($A76),LOWER(N$1))),AND(RIGHT(LOWER($A76),1)="s",ISNUMBER(SEARCH(LEFT(LOWER($A76),LEN($A76)-1),LOWER(N$1))))),N$1,$A76&amp;" "&amp;N$1))</f>
        <v/>
      </c>
      <c r="O76" s="21" t="str">
        <f t="shared" si="148"/>
        <v/>
      </c>
      <c r="P76" s="21" t="str">
        <f t="shared" si="148"/>
        <v/>
      </c>
      <c r="Q76" s="21" t="str">
        <f t="shared" si="148"/>
        <v/>
      </c>
      <c r="R76" s="21" t="str">
        <f t="shared" si="148"/>
        <v/>
      </c>
      <c r="S76" s="21" t="str">
        <f t="shared" si="148"/>
        <v/>
      </c>
      <c r="T76" s="21" t="str">
        <f t="shared" si="148"/>
        <v/>
      </c>
      <c r="U76" s="21" t="str">
        <f t="shared" si="148"/>
        <v/>
      </c>
      <c r="V76" s="21" t="str">
        <f t="shared" si="148"/>
        <v/>
      </c>
      <c r="W76" s="21" t="str">
        <f t="shared" si="148"/>
        <v/>
      </c>
      <c r="X76" s="19" t="str">
        <f>IFERROR(__xludf.DUMMYFUNCTION("""COMPUTED_VALUE"""),"guesthouse emergency plumbing")</f>
        <v>guesthouse emergency plumbing</v>
      </c>
      <c r="Y76" s="9"/>
      <c r="Z76" s="9"/>
    </row>
    <row r="77">
      <c r="A77" s="20"/>
      <c r="B77" s="21" t="str">
        <f t="shared" ref="B77:K77" si="149">IF($A77="","",IF(OR(ISNUMBER(SEARCH(LOWER($A77),LOWER(B$1))),AND(RIGHT(LOWER($A77),1)="s",ISNUMBER(SEARCH(LEFT(LOWER($A77),LEN($A77)-1),LOWER(B$1))))),B$1,B$1&amp;" "&amp;$A77))</f>
        <v/>
      </c>
      <c r="C77" s="21" t="str">
        <f t="shared" si="149"/>
        <v/>
      </c>
      <c r="D77" s="21" t="str">
        <f t="shared" si="149"/>
        <v/>
      </c>
      <c r="E77" s="21" t="str">
        <f t="shared" si="149"/>
        <v/>
      </c>
      <c r="F77" s="21" t="str">
        <f t="shared" si="149"/>
        <v/>
      </c>
      <c r="G77" s="21" t="str">
        <f t="shared" si="149"/>
        <v/>
      </c>
      <c r="H77" s="21" t="str">
        <f t="shared" si="149"/>
        <v/>
      </c>
      <c r="I77" s="21" t="str">
        <f t="shared" si="149"/>
        <v/>
      </c>
      <c r="J77" s="21" t="str">
        <f t="shared" si="149"/>
        <v/>
      </c>
      <c r="K77" s="21" t="str">
        <f t="shared" si="149"/>
        <v/>
      </c>
      <c r="L77" s="17" t="str">
        <f>IFERROR(__xludf.DUMMYFUNCTION("""COMPUTED_VALUE"""),"emergency plumbing residential property")</f>
        <v>emergency plumbing residential property</v>
      </c>
      <c r="M77" s="18"/>
      <c r="N77" s="21" t="str">
        <f t="shared" ref="N77:W77" si="150">IF($A77="","",IF(OR(ISNUMBER(SEARCH(LOWER($A77),LOWER(N$1))),AND(RIGHT(LOWER($A77),1)="s",ISNUMBER(SEARCH(LEFT(LOWER($A77),LEN($A77)-1),LOWER(N$1))))),N$1,$A77&amp;" "&amp;N$1))</f>
        <v/>
      </c>
      <c r="O77" s="21" t="str">
        <f t="shared" si="150"/>
        <v/>
      </c>
      <c r="P77" s="21" t="str">
        <f t="shared" si="150"/>
        <v/>
      </c>
      <c r="Q77" s="21" t="str">
        <f t="shared" si="150"/>
        <v/>
      </c>
      <c r="R77" s="21" t="str">
        <f t="shared" si="150"/>
        <v/>
      </c>
      <c r="S77" s="21" t="str">
        <f t="shared" si="150"/>
        <v/>
      </c>
      <c r="T77" s="21" t="str">
        <f t="shared" si="150"/>
        <v/>
      </c>
      <c r="U77" s="21" t="str">
        <f t="shared" si="150"/>
        <v/>
      </c>
      <c r="V77" s="21" t="str">
        <f t="shared" si="150"/>
        <v/>
      </c>
      <c r="W77" s="21" t="str">
        <f t="shared" si="150"/>
        <v/>
      </c>
      <c r="X77" s="19" t="str">
        <f>IFERROR(__xludf.DUMMYFUNCTION("""COMPUTED_VALUE"""),"guesthouse geyser repairs")</f>
        <v>guesthouse geyser repairs</v>
      </c>
      <c r="Y77" s="9"/>
      <c r="Z77" s="9"/>
    </row>
    <row r="78">
      <c r="A78" s="20"/>
      <c r="B78" s="21" t="str">
        <f t="shared" ref="B78:K78" si="151">IF($A78="","",IF(OR(ISNUMBER(SEARCH(LOWER($A78),LOWER(B$1))),AND(RIGHT(LOWER($A78),1)="s",ISNUMBER(SEARCH(LEFT(LOWER($A78),LEN($A78)-1),LOWER(B$1))))),B$1,B$1&amp;" "&amp;$A78))</f>
        <v/>
      </c>
      <c r="C78" s="21" t="str">
        <f t="shared" si="151"/>
        <v/>
      </c>
      <c r="D78" s="21" t="str">
        <f t="shared" si="151"/>
        <v/>
      </c>
      <c r="E78" s="21" t="str">
        <f t="shared" si="151"/>
        <v/>
      </c>
      <c r="F78" s="21" t="str">
        <f t="shared" si="151"/>
        <v/>
      </c>
      <c r="G78" s="21" t="str">
        <f t="shared" si="151"/>
        <v/>
      </c>
      <c r="H78" s="21" t="str">
        <f t="shared" si="151"/>
        <v/>
      </c>
      <c r="I78" s="21" t="str">
        <f t="shared" si="151"/>
        <v/>
      </c>
      <c r="J78" s="21" t="str">
        <f t="shared" si="151"/>
        <v/>
      </c>
      <c r="K78" s="21" t="str">
        <f t="shared" si="151"/>
        <v/>
      </c>
      <c r="L78" s="17" t="str">
        <f>IFERROR(__xludf.DUMMYFUNCTION("""COMPUTED_VALUE"""),"emergency plumbing restaurant")</f>
        <v>emergency plumbing restaurant</v>
      </c>
      <c r="M78" s="18"/>
      <c r="N78" s="21" t="str">
        <f t="shared" ref="N78:W78" si="152">IF($A78="","",IF(OR(ISNUMBER(SEARCH(LOWER($A78),LOWER(N$1))),AND(RIGHT(LOWER($A78),1)="s",ISNUMBER(SEARCH(LEFT(LOWER($A78),LEN($A78)-1),LOWER(N$1))))),N$1,$A78&amp;" "&amp;N$1))</f>
        <v/>
      </c>
      <c r="O78" s="21" t="str">
        <f t="shared" si="152"/>
        <v/>
      </c>
      <c r="P78" s="21" t="str">
        <f t="shared" si="152"/>
        <v/>
      </c>
      <c r="Q78" s="21" t="str">
        <f t="shared" si="152"/>
        <v/>
      </c>
      <c r="R78" s="21" t="str">
        <f t="shared" si="152"/>
        <v/>
      </c>
      <c r="S78" s="21" t="str">
        <f t="shared" si="152"/>
        <v/>
      </c>
      <c r="T78" s="21" t="str">
        <f t="shared" si="152"/>
        <v/>
      </c>
      <c r="U78" s="21" t="str">
        <f t="shared" si="152"/>
        <v/>
      </c>
      <c r="V78" s="21" t="str">
        <f t="shared" si="152"/>
        <v/>
      </c>
      <c r="W78" s="21" t="str">
        <f t="shared" si="152"/>
        <v/>
      </c>
      <c r="X78" s="19" t="str">
        <f>IFERROR(__xludf.DUMMYFUNCTION("""COMPUTED_VALUE"""),"guesthouse leak detection")</f>
        <v>guesthouse leak detection</v>
      </c>
      <c r="Y78" s="9"/>
      <c r="Z78" s="9"/>
    </row>
    <row r="79">
      <c r="A79" s="20"/>
      <c r="B79" s="21" t="str">
        <f t="shared" ref="B79:K79" si="153">IF($A79="","",IF(OR(ISNUMBER(SEARCH(LOWER($A79),LOWER(B$1))),AND(RIGHT(LOWER($A79),1)="s",ISNUMBER(SEARCH(LEFT(LOWER($A79),LEN($A79)-1),LOWER(B$1))))),B$1,B$1&amp;" "&amp;$A79))</f>
        <v/>
      </c>
      <c r="C79" s="21" t="str">
        <f t="shared" si="153"/>
        <v/>
      </c>
      <c r="D79" s="21" t="str">
        <f t="shared" si="153"/>
        <v/>
      </c>
      <c r="E79" s="21" t="str">
        <f t="shared" si="153"/>
        <v/>
      </c>
      <c r="F79" s="21" t="str">
        <f t="shared" si="153"/>
        <v/>
      </c>
      <c r="G79" s="21" t="str">
        <f t="shared" si="153"/>
        <v/>
      </c>
      <c r="H79" s="21" t="str">
        <f t="shared" si="153"/>
        <v/>
      </c>
      <c r="I79" s="21" t="str">
        <f t="shared" si="153"/>
        <v/>
      </c>
      <c r="J79" s="21" t="str">
        <f t="shared" si="153"/>
        <v/>
      </c>
      <c r="K79" s="21" t="str">
        <f t="shared" si="153"/>
        <v/>
      </c>
      <c r="L79" s="17" t="str">
        <f>IFERROR(__xludf.DUMMYFUNCTION("""COMPUTED_VALUE"""),"emergency plumbing school")</f>
        <v>emergency plumbing school</v>
      </c>
      <c r="M79" s="18"/>
      <c r="N79" s="21" t="str">
        <f t="shared" ref="N79:W79" si="154">IF($A79="","",IF(OR(ISNUMBER(SEARCH(LOWER($A79),LOWER(N$1))),AND(RIGHT(LOWER($A79),1)="s",ISNUMBER(SEARCH(LEFT(LOWER($A79),LEN($A79)-1),LOWER(N$1))))),N$1,$A79&amp;" "&amp;N$1))</f>
        <v/>
      </c>
      <c r="O79" s="21" t="str">
        <f t="shared" si="154"/>
        <v/>
      </c>
      <c r="P79" s="21" t="str">
        <f t="shared" si="154"/>
        <v/>
      </c>
      <c r="Q79" s="21" t="str">
        <f t="shared" si="154"/>
        <v/>
      </c>
      <c r="R79" s="21" t="str">
        <f t="shared" si="154"/>
        <v/>
      </c>
      <c r="S79" s="21" t="str">
        <f t="shared" si="154"/>
        <v/>
      </c>
      <c r="T79" s="21" t="str">
        <f t="shared" si="154"/>
        <v/>
      </c>
      <c r="U79" s="21" t="str">
        <f t="shared" si="154"/>
        <v/>
      </c>
      <c r="V79" s="21" t="str">
        <f t="shared" si="154"/>
        <v/>
      </c>
      <c r="W79" s="21" t="str">
        <f t="shared" si="154"/>
        <v/>
      </c>
      <c r="X79" s="19" t="str">
        <f>IFERROR(__xludf.DUMMYFUNCTION("""COMPUTED_VALUE"""),"guesthouse maintenance plumber")</f>
        <v>guesthouse maintenance plumber</v>
      </c>
      <c r="Y79" s="9"/>
      <c r="Z79" s="9"/>
    </row>
    <row r="80">
      <c r="A80" s="20"/>
      <c r="B80" s="21" t="str">
        <f t="shared" ref="B80:K80" si="155">IF($A80="","",IF(OR(ISNUMBER(SEARCH(LOWER($A80),LOWER(B$1))),AND(RIGHT(LOWER($A80),1)="s",ISNUMBER(SEARCH(LEFT(LOWER($A80),LEN($A80)-1),LOWER(B$1))))),B$1,B$1&amp;" "&amp;$A80))</f>
        <v/>
      </c>
      <c r="C80" s="21" t="str">
        <f t="shared" si="155"/>
        <v/>
      </c>
      <c r="D80" s="21" t="str">
        <f t="shared" si="155"/>
        <v/>
      </c>
      <c r="E80" s="21" t="str">
        <f t="shared" si="155"/>
        <v/>
      </c>
      <c r="F80" s="21" t="str">
        <f t="shared" si="155"/>
        <v/>
      </c>
      <c r="G80" s="21" t="str">
        <f t="shared" si="155"/>
        <v/>
      </c>
      <c r="H80" s="21" t="str">
        <f t="shared" si="155"/>
        <v/>
      </c>
      <c r="I80" s="21" t="str">
        <f t="shared" si="155"/>
        <v/>
      </c>
      <c r="J80" s="21" t="str">
        <f t="shared" si="155"/>
        <v/>
      </c>
      <c r="K80" s="21" t="str">
        <f t="shared" si="155"/>
        <v/>
      </c>
      <c r="L80" s="17" t="str">
        <f>IFERROR(__xludf.DUMMYFUNCTION("""COMPUTED_VALUE"""),"emergency plumbing shop")</f>
        <v>emergency plumbing shop</v>
      </c>
      <c r="M80" s="18"/>
      <c r="N80" s="21" t="str">
        <f t="shared" ref="N80:W80" si="156">IF($A80="","",IF(OR(ISNUMBER(SEARCH(LOWER($A80),LOWER(N$1))),AND(RIGHT(LOWER($A80),1)="s",ISNUMBER(SEARCH(LEFT(LOWER($A80),LEN($A80)-1),LOWER(N$1))))),N$1,$A80&amp;" "&amp;N$1))</f>
        <v/>
      </c>
      <c r="O80" s="21" t="str">
        <f t="shared" si="156"/>
        <v/>
      </c>
      <c r="P80" s="21" t="str">
        <f t="shared" si="156"/>
        <v/>
      </c>
      <c r="Q80" s="21" t="str">
        <f t="shared" si="156"/>
        <v/>
      </c>
      <c r="R80" s="21" t="str">
        <f t="shared" si="156"/>
        <v/>
      </c>
      <c r="S80" s="21" t="str">
        <f t="shared" si="156"/>
        <v/>
      </c>
      <c r="T80" s="21" t="str">
        <f t="shared" si="156"/>
        <v/>
      </c>
      <c r="U80" s="21" t="str">
        <f t="shared" si="156"/>
        <v/>
      </c>
      <c r="V80" s="21" t="str">
        <f t="shared" si="156"/>
        <v/>
      </c>
      <c r="W80" s="21" t="str">
        <f t="shared" si="156"/>
        <v/>
      </c>
      <c r="X80" s="19" t="str">
        <f>IFERROR(__xludf.DUMMYFUNCTION("""COMPUTED_VALUE"""),"guesthouse plumbing company")</f>
        <v>guesthouse plumbing company</v>
      </c>
      <c r="Y80" s="9"/>
      <c r="Z80" s="9"/>
    </row>
    <row r="81">
      <c r="A81" s="20"/>
      <c r="B81" s="21" t="str">
        <f t="shared" ref="B81:K81" si="157">IF($A81="","",IF(OR(ISNUMBER(SEARCH(LOWER($A81),LOWER(B$1))),AND(RIGHT(LOWER($A81),1)="s",ISNUMBER(SEARCH(LEFT(LOWER($A81),LEN($A81)-1),LOWER(B$1))))),B$1,B$1&amp;" "&amp;$A81))</f>
        <v/>
      </c>
      <c r="C81" s="21" t="str">
        <f t="shared" si="157"/>
        <v/>
      </c>
      <c r="D81" s="21" t="str">
        <f t="shared" si="157"/>
        <v/>
      </c>
      <c r="E81" s="21" t="str">
        <f t="shared" si="157"/>
        <v/>
      </c>
      <c r="F81" s="21" t="str">
        <f t="shared" si="157"/>
        <v/>
      </c>
      <c r="G81" s="21" t="str">
        <f t="shared" si="157"/>
        <v/>
      </c>
      <c r="H81" s="21" t="str">
        <f t="shared" si="157"/>
        <v/>
      </c>
      <c r="I81" s="21" t="str">
        <f t="shared" si="157"/>
        <v/>
      </c>
      <c r="J81" s="21" t="str">
        <f t="shared" si="157"/>
        <v/>
      </c>
      <c r="K81" s="21" t="str">
        <f t="shared" si="157"/>
        <v/>
      </c>
      <c r="L81" s="17" t="str">
        <f>IFERROR(__xludf.DUMMYFUNCTION("""COMPUTED_VALUE"""),"emergency plumbing tenant")</f>
        <v>emergency plumbing tenant</v>
      </c>
      <c r="M81" s="18"/>
      <c r="N81" s="21" t="str">
        <f t="shared" ref="N81:W81" si="158">IF($A81="","",IF(OR(ISNUMBER(SEARCH(LOWER($A81),LOWER(N$1))),AND(RIGHT(LOWER($A81),1)="s",ISNUMBER(SEARCH(LEFT(LOWER($A81),LEN($A81)-1),LOWER(N$1))))),N$1,$A81&amp;" "&amp;N$1))</f>
        <v/>
      </c>
      <c r="O81" s="21" t="str">
        <f t="shared" si="158"/>
        <v/>
      </c>
      <c r="P81" s="21" t="str">
        <f t="shared" si="158"/>
        <v/>
      </c>
      <c r="Q81" s="21" t="str">
        <f t="shared" si="158"/>
        <v/>
      </c>
      <c r="R81" s="21" t="str">
        <f t="shared" si="158"/>
        <v/>
      </c>
      <c r="S81" s="21" t="str">
        <f t="shared" si="158"/>
        <v/>
      </c>
      <c r="T81" s="21" t="str">
        <f t="shared" si="158"/>
        <v/>
      </c>
      <c r="U81" s="21" t="str">
        <f t="shared" si="158"/>
        <v/>
      </c>
      <c r="V81" s="21" t="str">
        <f t="shared" si="158"/>
        <v/>
      </c>
      <c r="W81" s="21" t="str">
        <f t="shared" si="158"/>
        <v/>
      </c>
      <c r="X81" s="19" t="str">
        <f>IFERROR(__xludf.DUMMYFUNCTION("""COMPUTED_VALUE"""),"guesthouse plumbing services")</f>
        <v>guesthouse plumbing services</v>
      </c>
      <c r="Y81" s="9"/>
      <c r="Z81" s="9"/>
    </row>
    <row r="82">
      <c r="A82" s="20"/>
      <c r="B82" s="21" t="str">
        <f t="shared" ref="B82:K82" si="159">IF($A82="","",IF(OR(ISNUMBER(SEARCH(LOWER($A82),LOWER(B$1))),AND(RIGHT(LOWER($A82),1)="s",ISNUMBER(SEARCH(LEFT(LOWER($A82),LEN($A82)-1),LOWER(B$1))))),B$1,B$1&amp;" "&amp;$A82))</f>
        <v/>
      </c>
      <c r="C82" s="21" t="str">
        <f t="shared" si="159"/>
        <v/>
      </c>
      <c r="D82" s="21" t="str">
        <f t="shared" si="159"/>
        <v/>
      </c>
      <c r="E82" s="21" t="str">
        <f t="shared" si="159"/>
        <v/>
      </c>
      <c r="F82" s="21" t="str">
        <f t="shared" si="159"/>
        <v/>
      </c>
      <c r="G82" s="21" t="str">
        <f t="shared" si="159"/>
        <v/>
      </c>
      <c r="H82" s="21" t="str">
        <f t="shared" si="159"/>
        <v/>
      </c>
      <c r="I82" s="21" t="str">
        <f t="shared" si="159"/>
        <v/>
      </c>
      <c r="J82" s="21" t="str">
        <f t="shared" si="159"/>
        <v/>
      </c>
      <c r="K82" s="21" t="str">
        <f t="shared" si="159"/>
        <v/>
      </c>
      <c r="L82" s="17" t="str">
        <f>IFERROR(__xludf.DUMMYFUNCTION("""COMPUTED_VALUE"""),"emergency plumbing townhouse")</f>
        <v>emergency plumbing townhouse</v>
      </c>
      <c r="M82" s="18"/>
      <c r="N82" s="21" t="str">
        <f t="shared" ref="N82:W82" si="160">IF($A82="","",IF(OR(ISNUMBER(SEARCH(LOWER($A82),LOWER(N$1))),AND(RIGHT(LOWER($A82),1)="s",ISNUMBER(SEARCH(LEFT(LOWER($A82),LEN($A82)-1),LOWER(N$1))))),N$1,$A82&amp;" "&amp;N$1))</f>
        <v/>
      </c>
      <c r="O82" s="21" t="str">
        <f t="shared" si="160"/>
        <v/>
      </c>
      <c r="P82" s="21" t="str">
        <f t="shared" si="160"/>
        <v/>
      </c>
      <c r="Q82" s="21" t="str">
        <f t="shared" si="160"/>
        <v/>
      </c>
      <c r="R82" s="21" t="str">
        <f t="shared" si="160"/>
        <v/>
      </c>
      <c r="S82" s="21" t="str">
        <f t="shared" si="160"/>
        <v/>
      </c>
      <c r="T82" s="21" t="str">
        <f t="shared" si="160"/>
        <v/>
      </c>
      <c r="U82" s="21" t="str">
        <f t="shared" si="160"/>
        <v/>
      </c>
      <c r="V82" s="21" t="str">
        <f t="shared" si="160"/>
        <v/>
      </c>
      <c r="W82" s="21" t="str">
        <f t="shared" si="160"/>
        <v/>
      </c>
      <c r="X82" s="19" t="str">
        <f>IFERROR(__xludf.DUMMYFUNCTION("""COMPUTED_VALUE"""),"guesthouse refrigeration services")</f>
        <v>guesthouse refrigeration services</v>
      </c>
      <c r="Y82" s="9"/>
      <c r="Z82" s="9"/>
    </row>
    <row r="83">
      <c r="A83" s="22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7" t="str">
        <f>IFERROR(__xludf.DUMMYFUNCTION("""COMPUTED_VALUE"""),"geyser repairs apartment")</f>
        <v>geyser repairs apartment</v>
      </c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9" t="str">
        <f>IFERROR(__xludf.DUMMYFUNCTION("""COMPUTED_VALUE"""),"home air conditioning services")</f>
        <v>home air conditioning services</v>
      </c>
      <c r="Y83" s="9"/>
      <c r="Z83" s="9"/>
    </row>
    <row r="84">
      <c r="A84" s="22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7" t="str">
        <f>IFERROR(__xludf.DUMMYFUNCTION("""COMPUTED_VALUE"""),"geyser repairs body corporate")</f>
        <v>geyser repairs body corporate</v>
      </c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9" t="str">
        <f>IFERROR(__xludf.DUMMYFUNCTION("""COMPUTED_VALUE"""),"home drain cleaning")</f>
        <v>home drain cleaning</v>
      </c>
      <c r="Y84" s="9"/>
      <c r="Z84" s="9"/>
    </row>
    <row r="85">
      <c r="A85" s="22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7" t="str">
        <f>IFERROR(__xludf.DUMMYFUNCTION("""COMPUTED_VALUE"""),"geyser repairs building")</f>
        <v>geyser repairs building</v>
      </c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9" t="str">
        <f>IFERROR(__xludf.DUMMYFUNCTION("""COMPUTED_VALUE"""),"home electrical repairs")</f>
        <v>home electrical repairs</v>
      </c>
      <c r="Y85" s="9"/>
      <c r="Z85" s="9"/>
    </row>
    <row r="86">
      <c r="A86" s="22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7" t="str">
        <f>IFERROR(__xludf.DUMMYFUNCTION("""COMPUTED_VALUE"""),"geyser repairs business")</f>
        <v>geyser repairs business</v>
      </c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9" t="str">
        <f>IFERROR(__xludf.DUMMYFUNCTION("""COMPUTED_VALUE"""),"home emergency plumbing")</f>
        <v>home emergency plumbing</v>
      </c>
      <c r="Y86" s="9"/>
      <c r="Z86" s="9"/>
    </row>
    <row r="87">
      <c r="A87" s="22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7" t="str">
        <f>IFERROR(__xludf.DUMMYFUNCTION("""COMPUTED_VALUE"""),"geyser repairs commercial property")</f>
        <v>geyser repairs commercial property</v>
      </c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9" t="str">
        <f>IFERROR(__xludf.DUMMYFUNCTION("""COMPUTED_VALUE"""),"home geyser repairs")</f>
        <v>home geyser repairs</v>
      </c>
      <c r="Y87" s="9"/>
      <c r="Z87" s="9"/>
    </row>
    <row r="88">
      <c r="A88" s="22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7" t="str">
        <f>IFERROR(__xludf.DUMMYFUNCTION("""COMPUTED_VALUE"""),"geyser repairs estate agent")</f>
        <v>geyser repairs estate agent</v>
      </c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9" t="str">
        <f>IFERROR(__xludf.DUMMYFUNCTION("""COMPUTED_VALUE"""),"home leak detection")</f>
        <v>home leak detection</v>
      </c>
      <c r="Y88" s="9"/>
      <c r="Z88" s="9"/>
    </row>
    <row r="89">
      <c r="A89" s="22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7" t="str">
        <f>IFERROR(__xludf.DUMMYFUNCTION("""COMPUTED_VALUE"""),"geyser repairs flat")</f>
        <v>geyser repairs flat</v>
      </c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9" t="str">
        <f>IFERROR(__xludf.DUMMYFUNCTION("""COMPUTED_VALUE"""),"home maintenance plumber")</f>
        <v>home maintenance plumber</v>
      </c>
      <c r="Y89" s="9"/>
      <c r="Z89" s="9"/>
    </row>
    <row r="90">
      <c r="A90" s="22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7" t="str">
        <f>IFERROR(__xludf.DUMMYFUNCTION("""COMPUTED_VALUE"""),"geyser repairs guesthouse")</f>
        <v>geyser repairs guesthouse</v>
      </c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9" t="str">
        <f>IFERROR(__xludf.DUMMYFUNCTION("""COMPUTED_VALUE"""),"home plumbing company")</f>
        <v>home plumbing company</v>
      </c>
      <c r="Y90" s="9"/>
      <c r="Z90" s="9"/>
    </row>
    <row r="91">
      <c r="A91" s="22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7" t="str">
        <f>IFERROR(__xludf.DUMMYFUNCTION("""COMPUTED_VALUE"""),"geyser repairs home")</f>
        <v>geyser repairs home</v>
      </c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9" t="str">
        <f>IFERROR(__xludf.DUMMYFUNCTION("""COMPUTED_VALUE"""),"home plumbing services")</f>
        <v>home plumbing services</v>
      </c>
      <c r="Y91" s="9"/>
      <c r="Z91" s="9"/>
    </row>
    <row r="92">
      <c r="A92" s="22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7" t="str">
        <f>IFERROR(__xludf.DUMMYFUNCTION("""COMPUTED_VALUE"""),"geyser repairs hotel")</f>
        <v>geyser repairs hotel</v>
      </c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9" t="str">
        <f>IFERROR(__xludf.DUMMYFUNCTION("""COMPUTED_VALUE"""),"home refrigeration services")</f>
        <v>home refrigeration services</v>
      </c>
      <c r="Y92" s="9"/>
      <c r="Z92" s="9"/>
    </row>
    <row r="93">
      <c r="A93" s="22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7" t="str">
        <f>IFERROR(__xludf.DUMMYFUNCTION("""COMPUTED_VALUE"""),"geyser repairs house")</f>
        <v>geyser repairs house</v>
      </c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9" t="str">
        <f>IFERROR(__xludf.DUMMYFUNCTION("""COMPUTED_VALUE"""),"hotel air conditioning services")</f>
        <v>hotel air conditioning services</v>
      </c>
      <c r="Y93" s="9"/>
      <c r="Z93" s="9"/>
    </row>
    <row r="94">
      <c r="A94" s="22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7" t="str">
        <f>IFERROR(__xludf.DUMMYFUNCTION("""COMPUTED_VALUE"""),"geyser repairs landlord")</f>
        <v>geyser repairs landlord</v>
      </c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9" t="str">
        <f>IFERROR(__xludf.DUMMYFUNCTION("""COMPUTED_VALUE"""),"hotel drain cleaning")</f>
        <v>hotel drain cleaning</v>
      </c>
      <c r="Y94" s="9"/>
      <c r="Z94" s="9"/>
    </row>
    <row r="95">
      <c r="A95" s="22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7" t="str">
        <f>IFERROR(__xludf.DUMMYFUNCTION("""COMPUTED_VALUE"""),"geyser repairs office")</f>
        <v>geyser repairs office</v>
      </c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9" t="str">
        <f>IFERROR(__xludf.DUMMYFUNCTION("""COMPUTED_VALUE"""),"hotel electrical repairs")</f>
        <v>hotel electrical repairs</v>
      </c>
      <c r="Y95" s="9"/>
      <c r="Z95" s="9"/>
    </row>
    <row r="96">
      <c r="A96" s="22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7" t="str">
        <f>IFERROR(__xludf.DUMMYFUNCTION("""COMPUTED_VALUE"""),"geyser repairs property manager")</f>
        <v>geyser repairs property manager</v>
      </c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9" t="str">
        <f>IFERROR(__xludf.DUMMYFUNCTION("""COMPUTED_VALUE"""),"hotel emergency plumbing")</f>
        <v>hotel emergency plumbing</v>
      </c>
      <c r="Y96" s="9"/>
      <c r="Z96" s="9"/>
    </row>
    <row r="97">
      <c r="A97" s="22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7" t="str">
        <f>IFERROR(__xludf.DUMMYFUNCTION("""COMPUTED_VALUE"""),"geyser repairs residential property")</f>
        <v>geyser repairs residential property</v>
      </c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9" t="str">
        <f>IFERROR(__xludf.DUMMYFUNCTION("""COMPUTED_VALUE"""),"hotel geyser repairs")</f>
        <v>hotel geyser repairs</v>
      </c>
      <c r="Y97" s="9"/>
      <c r="Z97" s="9"/>
    </row>
    <row r="98">
      <c r="A98" s="22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7" t="str">
        <f>IFERROR(__xludf.DUMMYFUNCTION("""COMPUTED_VALUE"""),"geyser repairs restaurant")</f>
        <v>geyser repairs restaurant</v>
      </c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9" t="str">
        <f>IFERROR(__xludf.DUMMYFUNCTION("""COMPUTED_VALUE"""),"hotel leak detection")</f>
        <v>hotel leak detection</v>
      </c>
      <c r="Y98" s="9"/>
      <c r="Z98" s="9"/>
    </row>
    <row r="99">
      <c r="A99" s="22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7" t="str">
        <f>IFERROR(__xludf.DUMMYFUNCTION("""COMPUTED_VALUE"""),"geyser repairs school")</f>
        <v>geyser repairs school</v>
      </c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9" t="str">
        <f>IFERROR(__xludf.DUMMYFUNCTION("""COMPUTED_VALUE"""),"hotel maintenance plumber")</f>
        <v>hotel maintenance plumber</v>
      </c>
      <c r="Y99" s="9"/>
      <c r="Z99" s="9"/>
    </row>
    <row r="100">
      <c r="A100" s="22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7" t="str">
        <f>IFERROR(__xludf.DUMMYFUNCTION("""COMPUTED_VALUE"""),"geyser repairs shop")</f>
        <v>geyser repairs shop</v>
      </c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9" t="str">
        <f>IFERROR(__xludf.DUMMYFUNCTION("""COMPUTED_VALUE"""),"hotel plumbing company")</f>
        <v>hotel plumbing company</v>
      </c>
      <c r="Y100" s="9"/>
      <c r="Z100" s="9"/>
    </row>
    <row r="101">
      <c r="A101" s="22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7" t="str">
        <f>IFERROR(__xludf.DUMMYFUNCTION("""COMPUTED_VALUE"""),"geyser repairs tenant")</f>
        <v>geyser repairs tenant</v>
      </c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9" t="str">
        <f>IFERROR(__xludf.DUMMYFUNCTION("""COMPUTED_VALUE"""),"hotel plumbing services")</f>
        <v>hotel plumbing services</v>
      </c>
      <c r="Y101" s="9"/>
      <c r="Z101" s="9"/>
    </row>
    <row r="102">
      <c r="A102" s="22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7" t="str">
        <f>IFERROR(__xludf.DUMMYFUNCTION("""COMPUTED_VALUE"""),"geyser repairs townhouse")</f>
        <v>geyser repairs townhouse</v>
      </c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9" t="str">
        <f>IFERROR(__xludf.DUMMYFUNCTION("""COMPUTED_VALUE"""),"hotel refrigeration services")</f>
        <v>hotel refrigeration services</v>
      </c>
      <c r="Y102" s="9"/>
      <c r="Z102" s="9"/>
    </row>
    <row r="103">
      <c r="A103" s="22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7" t="str">
        <f>IFERROR(__xludf.DUMMYFUNCTION("""COMPUTED_VALUE"""),"leak detection apartment")</f>
        <v>leak detection apartment</v>
      </c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9" t="str">
        <f>IFERROR(__xludf.DUMMYFUNCTION("""COMPUTED_VALUE"""),"house air conditioning services")</f>
        <v>house air conditioning services</v>
      </c>
      <c r="Y103" s="9"/>
      <c r="Z103" s="9"/>
    </row>
    <row r="104">
      <c r="A104" s="22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7" t="str">
        <f>IFERROR(__xludf.DUMMYFUNCTION("""COMPUTED_VALUE"""),"leak detection body corporate")</f>
        <v>leak detection body corporate</v>
      </c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9" t="str">
        <f>IFERROR(__xludf.DUMMYFUNCTION("""COMPUTED_VALUE"""),"house drain cleaning")</f>
        <v>house drain cleaning</v>
      </c>
      <c r="Y104" s="9"/>
      <c r="Z104" s="9"/>
    </row>
    <row r="105">
      <c r="A105" s="22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7" t="str">
        <f>IFERROR(__xludf.DUMMYFUNCTION("""COMPUTED_VALUE"""),"leak detection building")</f>
        <v>leak detection building</v>
      </c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9" t="str">
        <f>IFERROR(__xludf.DUMMYFUNCTION("""COMPUTED_VALUE"""),"house electrical repairs")</f>
        <v>house electrical repairs</v>
      </c>
      <c r="Y105" s="9"/>
      <c r="Z105" s="9"/>
    </row>
    <row r="106">
      <c r="A106" s="22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7" t="str">
        <f>IFERROR(__xludf.DUMMYFUNCTION("""COMPUTED_VALUE"""),"leak detection business")</f>
        <v>leak detection business</v>
      </c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9" t="str">
        <f>IFERROR(__xludf.DUMMYFUNCTION("""COMPUTED_VALUE"""),"house emergency plumbing")</f>
        <v>house emergency plumbing</v>
      </c>
      <c r="Y106" s="9"/>
      <c r="Z106" s="9"/>
    </row>
    <row r="107">
      <c r="A107" s="22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7" t="str">
        <f>IFERROR(__xludf.DUMMYFUNCTION("""COMPUTED_VALUE"""),"leak detection commercial property")</f>
        <v>leak detection commercial property</v>
      </c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9" t="str">
        <f>IFERROR(__xludf.DUMMYFUNCTION("""COMPUTED_VALUE"""),"house geyser repairs")</f>
        <v>house geyser repairs</v>
      </c>
      <c r="Y107" s="9"/>
      <c r="Z107" s="9"/>
    </row>
    <row r="108">
      <c r="A108" s="22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7" t="str">
        <f>IFERROR(__xludf.DUMMYFUNCTION("""COMPUTED_VALUE"""),"leak detection estate agent")</f>
        <v>leak detection estate agent</v>
      </c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9" t="str">
        <f>IFERROR(__xludf.DUMMYFUNCTION("""COMPUTED_VALUE"""),"house leak detection")</f>
        <v>house leak detection</v>
      </c>
      <c r="Y108" s="9"/>
      <c r="Z108" s="9"/>
    </row>
    <row r="109">
      <c r="A109" s="22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7" t="str">
        <f>IFERROR(__xludf.DUMMYFUNCTION("""COMPUTED_VALUE"""),"leak detection flat")</f>
        <v>leak detection flat</v>
      </c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9" t="str">
        <f>IFERROR(__xludf.DUMMYFUNCTION("""COMPUTED_VALUE"""),"house maintenance plumber")</f>
        <v>house maintenance plumber</v>
      </c>
      <c r="Y109" s="9"/>
      <c r="Z109" s="9"/>
    </row>
    <row r="110">
      <c r="A110" s="22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7" t="str">
        <f>IFERROR(__xludf.DUMMYFUNCTION("""COMPUTED_VALUE"""),"leak detection guesthouse")</f>
        <v>leak detection guesthouse</v>
      </c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9" t="str">
        <f>IFERROR(__xludf.DUMMYFUNCTION("""COMPUTED_VALUE"""),"house plumbing company")</f>
        <v>house plumbing company</v>
      </c>
      <c r="Y110" s="9"/>
      <c r="Z110" s="9"/>
    </row>
    <row r="111">
      <c r="A111" s="22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7" t="str">
        <f>IFERROR(__xludf.DUMMYFUNCTION("""COMPUTED_VALUE"""),"leak detection home")</f>
        <v>leak detection home</v>
      </c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9" t="str">
        <f>IFERROR(__xludf.DUMMYFUNCTION("""COMPUTED_VALUE"""),"house plumbing services")</f>
        <v>house plumbing services</v>
      </c>
      <c r="Y111" s="9"/>
      <c r="Z111" s="9"/>
    </row>
    <row r="112">
      <c r="A112" s="22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7" t="str">
        <f>IFERROR(__xludf.DUMMYFUNCTION("""COMPUTED_VALUE"""),"leak detection hotel")</f>
        <v>leak detection hotel</v>
      </c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9" t="str">
        <f>IFERROR(__xludf.DUMMYFUNCTION("""COMPUTED_VALUE"""),"house refrigeration services")</f>
        <v>house refrigeration services</v>
      </c>
      <c r="Y112" s="9"/>
      <c r="Z112" s="9"/>
    </row>
    <row r="113">
      <c r="A113" s="22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7" t="str">
        <f>IFERROR(__xludf.DUMMYFUNCTION("""COMPUTED_VALUE"""),"leak detection house")</f>
        <v>leak detection house</v>
      </c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9" t="str">
        <f>IFERROR(__xludf.DUMMYFUNCTION("""COMPUTED_VALUE"""),"landlord air conditioning services")</f>
        <v>landlord air conditioning services</v>
      </c>
      <c r="Y113" s="9"/>
      <c r="Z113" s="9"/>
    </row>
    <row r="114">
      <c r="A114" s="22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7" t="str">
        <f>IFERROR(__xludf.DUMMYFUNCTION("""COMPUTED_VALUE"""),"leak detection landlord")</f>
        <v>leak detection landlord</v>
      </c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9" t="str">
        <f>IFERROR(__xludf.DUMMYFUNCTION("""COMPUTED_VALUE"""),"landlord drain cleaning")</f>
        <v>landlord drain cleaning</v>
      </c>
      <c r="Y114" s="9"/>
      <c r="Z114" s="9"/>
    </row>
    <row r="115">
      <c r="A115" s="22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7" t="str">
        <f>IFERROR(__xludf.DUMMYFUNCTION("""COMPUTED_VALUE"""),"leak detection office")</f>
        <v>leak detection office</v>
      </c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9" t="str">
        <f>IFERROR(__xludf.DUMMYFUNCTION("""COMPUTED_VALUE"""),"landlord electrical repairs")</f>
        <v>landlord electrical repairs</v>
      </c>
      <c r="Y115" s="9"/>
      <c r="Z115" s="9"/>
    </row>
    <row r="116">
      <c r="A116" s="22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7" t="str">
        <f>IFERROR(__xludf.DUMMYFUNCTION("""COMPUTED_VALUE"""),"leak detection property manager")</f>
        <v>leak detection property manager</v>
      </c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9" t="str">
        <f>IFERROR(__xludf.DUMMYFUNCTION("""COMPUTED_VALUE"""),"landlord emergency plumbing")</f>
        <v>landlord emergency plumbing</v>
      </c>
      <c r="Y116" s="9"/>
      <c r="Z116" s="9"/>
    </row>
    <row r="117">
      <c r="A117" s="22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7" t="str">
        <f>IFERROR(__xludf.DUMMYFUNCTION("""COMPUTED_VALUE"""),"leak detection residential property")</f>
        <v>leak detection residential property</v>
      </c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9" t="str">
        <f>IFERROR(__xludf.DUMMYFUNCTION("""COMPUTED_VALUE"""),"landlord geyser repairs")</f>
        <v>landlord geyser repairs</v>
      </c>
      <c r="Y117" s="9"/>
      <c r="Z117" s="9"/>
    </row>
    <row r="118">
      <c r="A118" s="22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7" t="str">
        <f>IFERROR(__xludf.DUMMYFUNCTION("""COMPUTED_VALUE"""),"leak detection restaurant")</f>
        <v>leak detection restaurant</v>
      </c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9" t="str">
        <f>IFERROR(__xludf.DUMMYFUNCTION("""COMPUTED_VALUE"""),"landlord leak detection")</f>
        <v>landlord leak detection</v>
      </c>
      <c r="Y118" s="9"/>
      <c r="Z118" s="9"/>
    </row>
    <row r="119">
      <c r="A119" s="22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7" t="str">
        <f>IFERROR(__xludf.DUMMYFUNCTION("""COMPUTED_VALUE"""),"leak detection school")</f>
        <v>leak detection school</v>
      </c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9" t="str">
        <f>IFERROR(__xludf.DUMMYFUNCTION("""COMPUTED_VALUE"""),"landlord maintenance plumber")</f>
        <v>landlord maintenance plumber</v>
      </c>
      <c r="Y119" s="9"/>
      <c r="Z119" s="9"/>
    </row>
    <row r="120">
      <c r="A120" s="23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5" t="str">
        <f>IFERROR(__xludf.DUMMYFUNCTION("""COMPUTED_VALUE"""),"leak detection shop")</f>
        <v>leak detection shop</v>
      </c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6" t="str">
        <f>IFERROR(__xludf.DUMMYFUNCTION("""COMPUTED_VALUE"""),"landlord plumbing company")</f>
        <v>landlord plumbing company</v>
      </c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27" t="str">
        <f>IFERROR(__xludf.DUMMYFUNCTION("""COMPUTED_VALUE"""),"leak detection tenant")</f>
        <v>leak detection tenant</v>
      </c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27" t="str">
        <f>IFERROR(__xludf.DUMMYFUNCTION("""COMPUTED_VALUE"""),"landlord plumbing services")</f>
        <v>landlord plumbing services</v>
      </c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27" t="str">
        <f>IFERROR(__xludf.DUMMYFUNCTION("""COMPUTED_VALUE"""),"leak detection townhouse")</f>
        <v>leak detection townhouse</v>
      </c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27" t="str">
        <f>IFERROR(__xludf.DUMMYFUNCTION("""COMPUTED_VALUE"""),"landlord refrigeration services")</f>
        <v>landlord refrigeration services</v>
      </c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27" t="str">
        <f>IFERROR(__xludf.DUMMYFUNCTION("""COMPUTED_VALUE"""),"maintenance plumber apartment")</f>
        <v>maintenance plumber apartment</v>
      </c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27" t="str">
        <f>IFERROR(__xludf.DUMMYFUNCTION("""COMPUTED_VALUE"""),"office air conditioning services")</f>
        <v>office air conditioning services</v>
      </c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27" t="str">
        <f>IFERROR(__xludf.DUMMYFUNCTION("""COMPUTED_VALUE"""),"maintenance plumber body corporate")</f>
        <v>maintenance plumber body corporate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27" t="str">
        <f>IFERROR(__xludf.DUMMYFUNCTION("""COMPUTED_VALUE"""),"office drain cleaning")</f>
        <v>office drain cleaning</v>
      </c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27" t="str">
        <f>IFERROR(__xludf.DUMMYFUNCTION("""COMPUTED_VALUE"""),"maintenance plumber building")</f>
        <v>maintenance plumber building</v>
      </c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27" t="str">
        <f>IFERROR(__xludf.DUMMYFUNCTION("""COMPUTED_VALUE"""),"office electrical repairs")</f>
        <v>office electrical repairs</v>
      </c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27" t="str">
        <f>IFERROR(__xludf.DUMMYFUNCTION("""COMPUTED_VALUE"""),"maintenance plumber business")</f>
        <v>maintenance plumber business</v>
      </c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27" t="str">
        <f>IFERROR(__xludf.DUMMYFUNCTION("""COMPUTED_VALUE"""),"office emergency plumbing")</f>
        <v>office emergency plumbing</v>
      </c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27" t="str">
        <f>IFERROR(__xludf.DUMMYFUNCTION("""COMPUTED_VALUE"""),"maintenance plumber commercial property")</f>
        <v>maintenance plumber commercial property</v>
      </c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27" t="str">
        <f>IFERROR(__xludf.DUMMYFUNCTION("""COMPUTED_VALUE"""),"office geyser repairs")</f>
        <v>office geyser repairs</v>
      </c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27" t="str">
        <f>IFERROR(__xludf.DUMMYFUNCTION("""COMPUTED_VALUE"""),"maintenance plumber estate agent")</f>
        <v>maintenance plumber estate agent</v>
      </c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27" t="str">
        <f>IFERROR(__xludf.DUMMYFUNCTION("""COMPUTED_VALUE"""),"office leak detection")</f>
        <v>office leak detection</v>
      </c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27" t="str">
        <f>IFERROR(__xludf.DUMMYFUNCTION("""COMPUTED_VALUE"""),"maintenance plumber flat")</f>
        <v>maintenance plumber flat</v>
      </c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27" t="str">
        <f>IFERROR(__xludf.DUMMYFUNCTION("""COMPUTED_VALUE"""),"office maintenance plumber")</f>
        <v>office maintenance plumber</v>
      </c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27" t="str">
        <f>IFERROR(__xludf.DUMMYFUNCTION("""COMPUTED_VALUE"""),"maintenance plumber guesthouse")</f>
        <v>maintenance plumber guesthouse</v>
      </c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27" t="str">
        <f>IFERROR(__xludf.DUMMYFUNCTION("""COMPUTED_VALUE"""),"office plumbing company")</f>
        <v>office plumbing company</v>
      </c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27" t="str">
        <f>IFERROR(__xludf.DUMMYFUNCTION("""COMPUTED_VALUE"""),"maintenance plumber home")</f>
        <v>maintenance plumber home</v>
      </c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27" t="str">
        <f>IFERROR(__xludf.DUMMYFUNCTION("""COMPUTED_VALUE"""),"office plumbing services")</f>
        <v>office plumbing services</v>
      </c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27" t="str">
        <f>IFERROR(__xludf.DUMMYFUNCTION("""COMPUTED_VALUE"""),"maintenance plumber hotel")</f>
        <v>maintenance plumber hotel</v>
      </c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27" t="str">
        <f>IFERROR(__xludf.DUMMYFUNCTION("""COMPUTED_VALUE"""),"office refrigeration services")</f>
        <v>office refrigeration services</v>
      </c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27" t="str">
        <f>IFERROR(__xludf.DUMMYFUNCTION("""COMPUTED_VALUE"""),"maintenance plumber house")</f>
        <v>maintenance plumber house</v>
      </c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27" t="str">
        <f>IFERROR(__xludf.DUMMYFUNCTION("""COMPUTED_VALUE"""),"property manager air conditioning services")</f>
        <v>property manager air conditioning services</v>
      </c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27" t="str">
        <f>IFERROR(__xludf.DUMMYFUNCTION("""COMPUTED_VALUE"""),"maintenance plumber landlord")</f>
        <v>maintenance plumber landlord</v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27" t="str">
        <f>IFERROR(__xludf.DUMMYFUNCTION("""COMPUTED_VALUE"""),"property manager drain cleaning")</f>
        <v>property manager drain cleaning</v>
      </c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27" t="str">
        <f>IFERROR(__xludf.DUMMYFUNCTION("""COMPUTED_VALUE"""),"maintenance plumber office")</f>
        <v>maintenance plumber office</v>
      </c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27" t="str">
        <f>IFERROR(__xludf.DUMMYFUNCTION("""COMPUTED_VALUE"""),"property manager electrical repairs")</f>
        <v>property manager electrical repairs</v>
      </c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27" t="str">
        <f>IFERROR(__xludf.DUMMYFUNCTION("""COMPUTED_VALUE"""),"maintenance plumber property manager")</f>
        <v>maintenance plumber property manager</v>
      </c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27" t="str">
        <f>IFERROR(__xludf.DUMMYFUNCTION("""COMPUTED_VALUE"""),"property manager emergency plumbing")</f>
        <v>property manager emergency plumbing</v>
      </c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27" t="str">
        <f>IFERROR(__xludf.DUMMYFUNCTION("""COMPUTED_VALUE"""),"maintenance plumber residential property")</f>
        <v>maintenance plumber residential property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27" t="str">
        <f>IFERROR(__xludf.DUMMYFUNCTION("""COMPUTED_VALUE"""),"property manager geyser repairs")</f>
        <v>property manager geyser repairs</v>
      </c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27" t="str">
        <f>IFERROR(__xludf.DUMMYFUNCTION("""COMPUTED_VALUE"""),"maintenance plumber restaurant")</f>
        <v>maintenance plumber restaurant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27" t="str">
        <f>IFERROR(__xludf.DUMMYFUNCTION("""COMPUTED_VALUE"""),"property manager leak detection")</f>
        <v>property manager leak detection</v>
      </c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27" t="str">
        <f>IFERROR(__xludf.DUMMYFUNCTION("""COMPUTED_VALUE"""),"maintenance plumber school")</f>
        <v>maintenance plumber school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27" t="str">
        <f>IFERROR(__xludf.DUMMYFUNCTION("""COMPUTED_VALUE"""),"property manager maintenance plumber")</f>
        <v>property manager maintenance plumber</v>
      </c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27" t="str">
        <f>IFERROR(__xludf.DUMMYFUNCTION("""COMPUTED_VALUE"""),"maintenance plumber shop")</f>
        <v>maintenance plumber shop</v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27" t="str">
        <f>IFERROR(__xludf.DUMMYFUNCTION("""COMPUTED_VALUE"""),"property manager plumbing company")</f>
        <v>property manager plumbing company</v>
      </c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27" t="str">
        <f>IFERROR(__xludf.DUMMYFUNCTION("""COMPUTED_VALUE"""),"maintenance plumber tenant")</f>
        <v>maintenance plumber tenant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27" t="str">
        <f>IFERROR(__xludf.DUMMYFUNCTION("""COMPUTED_VALUE"""),"property manager plumbing services")</f>
        <v>property manager plumbing services</v>
      </c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27" t="str">
        <f>IFERROR(__xludf.DUMMYFUNCTION("""COMPUTED_VALUE"""),"maintenance plumber townhouse")</f>
        <v>maintenance plumber townhouse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27" t="str">
        <f>IFERROR(__xludf.DUMMYFUNCTION("""COMPUTED_VALUE"""),"property manager refrigeration services")</f>
        <v>property manager refrigeration services</v>
      </c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27" t="str">
        <f>IFERROR(__xludf.DUMMYFUNCTION("""COMPUTED_VALUE"""),"plumbing company apartment")</f>
        <v>plumbing company apartment</v>
      </c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27" t="str">
        <f>IFERROR(__xludf.DUMMYFUNCTION("""COMPUTED_VALUE"""),"residential property air conditioning services")</f>
        <v>residential property air conditioning services</v>
      </c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27" t="str">
        <f>IFERROR(__xludf.DUMMYFUNCTION("""COMPUTED_VALUE"""),"plumbing company body corporate")</f>
        <v>plumbing company body corporate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27" t="str">
        <f>IFERROR(__xludf.DUMMYFUNCTION("""COMPUTED_VALUE"""),"residential property drain cleaning")</f>
        <v>residential property drain cleaning</v>
      </c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27" t="str">
        <f>IFERROR(__xludf.DUMMYFUNCTION("""COMPUTED_VALUE"""),"plumbing company building")</f>
        <v>plumbing company building</v>
      </c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27" t="str">
        <f>IFERROR(__xludf.DUMMYFUNCTION("""COMPUTED_VALUE"""),"residential property electrical repairs")</f>
        <v>residential property electrical repairs</v>
      </c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27" t="str">
        <f>IFERROR(__xludf.DUMMYFUNCTION("""COMPUTED_VALUE"""),"plumbing company business")</f>
        <v>plumbing company business</v>
      </c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27" t="str">
        <f>IFERROR(__xludf.DUMMYFUNCTION("""COMPUTED_VALUE"""),"residential property emergency plumbing")</f>
        <v>residential property emergency plumbing</v>
      </c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27" t="str">
        <f>IFERROR(__xludf.DUMMYFUNCTION("""COMPUTED_VALUE"""),"plumbing company commercial property")</f>
        <v>plumbing company commercial property</v>
      </c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27" t="str">
        <f>IFERROR(__xludf.DUMMYFUNCTION("""COMPUTED_VALUE"""),"residential property geyser repairs")</f>
        <v>residential property geyser repairs</v>
      </c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27" t="str">
        <f>IFERROR(__xludf.DUMMYFUNCTION("""COMPUTED_VALUE"""),"plumbing company estate agent")</f>
        <v>plumbing company estate agent</v>
      </c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27" t="str">
        <f>IFERROR(__xludf.DUMMYFUNCTION("""COMPUTED_VALUE"""),"residential property leak detection")</f>
        <v>residential property leak detection</v>
      </c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27" t="str">
        <f>IFERROR(__xludf.DUMMYFUNCTION("""COMPUTED_VALUE"""),"plumbing company flat")</f>
        <v>plumbing company flat</v>
      </c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27" t="str">
        <f>IFERROR(__xludf.DUMMYFUNCTION("""COMPUTED_VALUE"""),"residential property maintenance plumber")</f>
        <v>residential property maintenance plumber</v>
      </c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27" t="str">
        <f>IFERROR(__xludf.DUMMYFUNCTION("""COMPUTED_VALUE"""),"plumbing company guesthouse")</f>
        <v>plumbing company guesthouse</v>
      </c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27" t="str">
        <f>IFERROR(__xludf.DUMMYFUNCTION("""COMPUTED_VALUE"""),"residential property plumbing company")</f>
        <v>residential property plumbing company</v>
      </c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27" t="str">
        <f>IFERROR(__xludf.DUMMYFUNCTION("""COMPUTED_VALUE"""),"plumbing company home")</f>
        <v>plumbing company home</v>
      </c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27" t="str">
        <f>IFERROR(__xludf.DUMMYFUNCTION("""COMPUTED_VALUE"""),"residential property plumbing services")</f>
        <v>residential property plumbing services</v>
      </c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27" t="str">
        <f>IFERROR(__xludf.DUMMYFUNCTION("""COMPUTED_VALUE"""),"plumbing company hotel")</f>
        <v>plumbing company hotel</v>
      </c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27" t="str">
        <f>IFERROR(__xludf.DUMMYFUNCTION("""COMPUTED_VALUE"""),"residential property refrigeration services")</f>
        <v>residential property refrigeration services</v>
      </c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27" t="str">
        <f>IFERROR(__xludf.DUMMYFUNCTION("""COMPUTED_VALUE"""),"plumbing company house")</f>
        <v>plumbing company house</v>
      </c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27" t="str">
        <f>IFERROR(__xludf.DUMMYFUNCTION("""COMPUTED_VALUE"""),"restaurant air conditioning services")</f>
        <v>restaurant air conditioning services</v>
      </c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27" t="str">
        <f>IFERROR(__xludf.DUMMYFUNCTION("""COMPUTED_VALUE"""),"plumbing company landlord")</f>
        <v>plumbing company landlord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27" t="str">
        <f>IFERROR(__xludf.DUMMYFUNCTION("""COMPUTED_VALUE"""),"restaurant drain cleaning")</f>
        <v>restaurant drain cleaning</v>
      </c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27" t="str">
        <f>IFERROR(__xludf.DUMMYFUNCTION("""COMPUTED_VALUE"""),"plumbing company office")</f>
        <v>plumbing company office</v>
      </c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27" t="str">
        <f>IFERROR(__xludf.DUMMYFUNCTION("""COMPUTED_VALUE"""),"restaurant electrical repairs")</f>
        <v>restaurant electrical repairs</v>
      </c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27" t="str">
        <f>IFERROR(__xludf.DUMMYFUNCTION("""COMPUTED_VALUE"""),"plumbing company property manager")</f>
        <v>plumbing company property manager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27" t="str">
        <f>IFERROR(__xludf.DUMMYFUNCTION("""COMPUTED_VALUE"""),"restaurant emergency plumbing")</f>
        <v>restaurant emergency plumbing</v>
      </c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27" t="str">
        <f>IFERROR(__xludf.DUMMYFUNCTION("""COMPUTED_VALUE"""),"plumbing company residential property")</f>
        <v>plumbing company residential property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27" t="str">
        <f>IFERROR(__xludf.DUMMYFUNCTION("""COMPUTED_VALUE"""),"restaurant geyser repairs")</f>
        <v>restaurant geyser repairs</v>
      </c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27" t="str">
        <f>IFERROR(__xludf.DUMMYFUNCTION("""COMPUTED_VALUE"""),"plumbing company restaurant")</f>
        <v>plumbing company restaurant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27" t="str">
        <f>IFERROR(__xludf.DUMMYFUNCTION("""COMPUTED_VALUE"""),"restaurant leak detection")</f>
        <v>restaurant leak detection</v>
      </c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27" t="str">
        <f>IFERROR(__xludf.DUMMYFUNCTION("""COMPUTED_VALUE"""),"plumbing company school")</f>
        <v>plumbing company school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27" t="str">
        <f>IFERROR(__xludf.DUMMYFUNCTION("""COMPUTED_VALUE"""),"restaurant maintenance plumber")</f>
        <v>restaurant maintenance plumber</v>
      </c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27" t="str">
        <f>IFERROR(__xludf.DUMMYFUNCTION("""COMPUTED_VALUE"""),"plumbing company shop")</f>
        <v>plumbing company shop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27" t="str">
        <f>IFERROR(__xludf.DUMMYFUNCTION("""COMPUTED_VALUE"""),"restaurant plumbing company")</f>
        <v>restaurant plumbing company</v>
      </c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27" t="str">
        <f>IFERROR(__xludf.DUMMYFUNCTION("""COMPUTED_VALUE"""),"plumbing company tenant")</f>
        <v>plumbing company tenant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27" t="str">
        <f>IFERROR(__xludf.DUMMYFUNCTION("""COMPUTED_VALUE"""),"restaurant plumbing services")</f>
        <v>restaurant plumbing services</v>
      </c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27" t="str">
        <f>IFERROR(__xludf.DUMMYFUNCTION("""COMPUTED_VALUE"""),"plumbing company townhouse")</f>
        <v>plumbing company townhouse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27" t="str">
        <f>IFERROR(__xludf.DUMMYFUNCTION("""COMPUTED_VALUE"""),"restaurant refrigeration services")</f>
        <v>restaurant refrigeration services</v>
      </c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27" t="str">
        <f>IFERROR(__xludf.DUMMYFUNCTION("""COMPUTED_VALUE"""),"plumbing services apartment")</f>
        <v>plumbing services apartment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27" t="str">
        <f>IFERROR(__xludf.DUMMYFUNCTION("""COMPUTED_VALUE"""),"school air conditioning services")</f>
        <v>school air conditioning services</v>
      </c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27" t="str">
        <f>IFERROR(__xludf.DUMMYFUNCTION("""COMPUTED_VALUE"""),"plumbing services body corporate")</f>
        <v>plumbing services body corporate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27" t="str">
        <f>IFERROR(__xludf.DUMMYFUNCTION("""COMPUTED_VALUE"""),"school drain cleaning")</f>
        <v>school drain cleaning</v>
      </c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27" t="str">
        <f>IFERROR(__xludf.DUMMYFUNCTION("""COMPUTED_VALUE"""),"plumbing services building")</f>
        <v>plumbing services building</v>
      </c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27" t="str">
        <f>IFERROR(__xludf.DUMMYFUNCTION("""COMPUTED_VALUE"""),"school electrical repairs")</f>
        <v>school electrical repairs</v>
      </c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27" t="str">
        <f>IFERROR(__xludf.DUMMYFUNCTION("""COMPUTED_VALUE"""),"plumbing services business")</f>
        <v>plumbing services business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27" t="str">
        <f>IFERROR(__xludf.DUMMYFUNCTION("""COMPUTED_VALUE"""),"school emergency plumbing")</f>
        <v>school emergency plumbing</v>
      </c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27" t="str">
        <f>IFERROR(__xludf.DUMMYFUNCTION("""COMPUTED_VALUE"""),"plumbing services commercial property")</f>
        <v>plumbing services commercial property</v>
      </c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27" t="str">
        <f>IFERROR(__xludf.DUMMYFUNCTION("""COMPUTED_VALUE"""),"school geyser repairs")</f>
        <v>school geyser repairs</v>
      </c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27" t="str">
        <f>IFERROR(__xludf.DUMMYFUNCTION("""COMPUTED_VALUE"""),"plumbing services estate agent")</f>
        <v>plumbing services estate agent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27" t="str">
        <f>IFERROR(__xludf.DUMMYFUNCTION("""COMPUTED_VALUE"""),"school leak detection")</f>
        <v>school leak detection</v>
      </c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27" t="str">
        <f>IFERROR(__xludf.DUMMYFUNCTION("""COMPUTED_VALUE"""),"plumbing services flat")</f>
        <v>plumbing services flat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27" t="str">
        <f>IFERROR(__xludf.DUMMYFUNCTION("""COMPUTED_VALUE"""),"school maintenance plumber")</f>
        <v>school maintenance plumber</v>
      </c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27" t="str">
        <f>IFERROR(__xludf.DUMMYFUNCTION("""COMPUTED_VALUE"""),"plumbing services guesthouse")</f>
        <v>plumbing services guesthouse</v>
      </c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27" t="str">
        <f>IFERROR(__xludf.DUMMYFUNCTION("""COMPUTED_VALUE"""),"school plumbing company")</f>
        <v>school plumbing company</v>
      </c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27" t="str">
        <f>IFERROR(__xludf.DUMMYFUNCTION("""COMPUTED_VALUE"""),"plumbing services home")</f>
        <v>plumbing services home</v>
      </c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27" t="str">
        <f>IFERROR(__xludf.DUMMYFUNCTION("""COMPUTED_VALUE"""),"school plumbing services")</f>
        <v>school plumbing services</v>
      </c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27" t="str">
        <f>IFERROR(__xludf.DUMMYFUNCTION("""COMPUTED_VALUE"""),"plumbing services hotel")</f>
        <v>plumbing services hotel</v>
      </c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27" t="str">
        <f>IFERROR(__xludf.DUMMYFUNCTION("""COMPUTED_VALUE"""),"school refrigeration services")</f>
        <v>school refrigeration services</v>
      </c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27" t="str">
        <f>IFERROR(__xludf.DUMMYFUNCTION("""COMPUTED_VALUE"""),"plumbing services house")</f>
        <v>plumbing services house</v>
      </c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27" t="str">
        <f>IFERROR(__xludf.DUMMYFUNCTION("""COMPUTED_VALUE"""),"shop air conditioning services")</f>
        <v>shop air conditioning services</v>
      </c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27" t="str">
        <f>IFERROR(__xludf.DUMMYFUNCTION("""COMPUTED_VALUE"""),"plumbing services landlord")</f>
        <v>plumbing services landlord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27" t="str">
        <f>IFERROR(__xludf.DUMMYFUNCTION("""COMPUTED_VALUE"""),"shop drain cleaning")</f>
        <v>shop drain cleaning</v>
      </c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27" t="str">
        <f>IFERROR(__xludf.DUMMYFUNCTION("""COMPUTED_VALUE"""),"plumbing services office")</f>
        <v>plumbing services office</v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27" t="str">
        <f>IFERROR(__xludf.DUMMYFUNCTION("""COMPUTED_VALUE"""),"shop electrical repairs")</f>
        <v>shop electrical repairs</v>
      </c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27" t="str">
        <f>IFERROR(__xludf.DUMMYFUNCTION("""COMPUTED_VALUE"""),"plumbing services property manager")</f>
        <v>plumbing services property manager</v>
      </c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27" t="str">
        <f>IFERROR(__xludf.DUMMYFUNCTION("""COMPUTED_VALUE"""),"shop emergency plumbing")</f>
        <v>shop emergency plumbing</v>
      </c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27" t="str">
        <f>IFERROR(__xludf.DUMMYFUNCTION("""COMPUTED_VALUE"""),"plumbing services residential property")</f>
        <v>plumbing services residential property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27" t="str">
        <f>IFERROR(__xludf.DUMMYFUNCTION("""COMPUTED_VALUE"""),"shop geyser repairs")</f>
        <v>shop geyser repairs</v>
      </c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27" t="str">
        <f>IFERROR(__xludf.DUMMYFUNCTION("""COMPUTED_VALUE"""),"plumbing services restaurant")</f>
        <v>plumbing services restaurant</v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27" t="str">
        <f>IFERROR(__xludf.DUMMYFUNCTION("""COMPUTED_VALUE"""),"shop leak detection")</f>
        <v>shop leak detection</v>
      </c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27" t="str">
        <f>IFERROR(__xludf.DUMMYFUNCTION("""COMPUTED_VALUE"""),"plumbing services school")</f>
        <v>plumbing services school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27" t="str">
        <f>IFERROR(__xludf.DUMMYFUNCTION("""COMPUTED_VALUE"""),"shop maintenance plumber")</f>
        <v>shop maintenance plumber</v>
      </c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27" t="str">
        <f>IFERROR(__xludf.DUMMYFUNCTION("""COMPUTED_VALUE"""),"plumbing services shop")</f>
        <v>plumbing services shop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27" t="str">
        <f>IFERROR(__xludf.DUMMYFUNCTION("""COMPUTED_VALUE"""),"shop plumbing company")</f>
        <v>shop plumbing company</v>
      </c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27" t="str">
        <f>IFERROR(__xludf.DUMMYFUNCTION("""COMPUTED_VALUE"""),"plumbing services tenant")</f>
        <v>plumbing services tenant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27" t="str">
        <f>IFERROR(__xludf.DUMMYFUNCTION("""COMPUTED_VALUE"""),"shop plumbing services")</f>
        <v>shop plumbing services</v>
      </c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27" t="str">
        <f>IFERROR(__xludf.DUMMYFUNCTION("""COMPUTED_VALUE"""),"plumbing services townhouse")</f>
        <v>plumbing services townhouse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27" t="str">
        <f>IFERROR(__xludf.DUMMYFUNCTION("""COMPUTED_VALUE"""),"shop refrigeration services")</f>
        <v>shop refrigeration services</v>
      </c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27" t="str">
        <f>IFERROR(__xludf.DUMMYFUNCTION("""COMPUTED_VALUE"""),"refrigeration services apartment")</f>
        <v>refrigeration services apartment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27" t="str">
        <f>IFERROR(__xludf.DUMMYFUNCTION("""COMPUTED_VALUE"""),"tenant air conditioning services")</f>
        <v>tenant air conditioning services</v>
      </c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27" t="str">
        <f>IFERROR(__xludf.DUMMYFUNCTION("""COMPUTED_VALUE"""),"refrigeration services body corporate")</f>
        <v>refrigeration services body corporate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27" t="str">
        <f>IFERROR(__xludf.DUMMYFUNCTION("""COMPUTED_VALUE"""),"tenant drain cleaning")</f>
        <v>tenant drain cleaning</v>
      </c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27" t="str">
        <f>IFERROR(__xludf.DUMMYFUNCTION("""COMPUTED_VALUE"""),"refrigeration services building")</f>
        <v>refrigeration services building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27" t="str">
        <f>IFERROR(__xludf.DUMMYFUNCTION("""COMPUTED_VALUE"""),"tenant electrical repairs")</f>
        <v>tenant electrical repairs</v>
      </c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27" t="str">
        <f>IFERROR(__xludf.DUMMYFUNCTION("""COMPUTED_VALUE"""),"refrigeration services business")</f>
        <v>refrigeration services business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27" t="str">
        <f>IFERROR(__xludf.DUMMYFUNCTION("""COMPUTED_VALUE"""),"tenant emergency plumbing")</f>
        <v>tenant emergency plumbing</v>
      </c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27" t="str">
        <f>IFERROR(__xludf.DUMMYFUNCTION("""COMPUTED_VALUE"""),"refrigeration services commercial property")</f>
        <v>refrigeration services commercial property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27" t="str">
        <f>IFERROR(__xludf.DUMMYFUNCTION("""COMPUTED_VALUE"""),"tenant geyser repairs")</f>
        <v>tenant geyser repairs</v>
      </c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27" t="str">
        <f>IFERROR(__xludf.DUMMYFUNCTION("""COMPUTED_VALUE"""),"refrigeration services estate agent")</f>
        <v>refrigeration services estate agent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27" t="str">
        <f>IFERROR(__xludf.DUMMYFUNCTION("""COMPUTED_VALUE"""),"tenant leak detection")</f>
        <v>tenant leak detection</v>
      </c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27" t="str">
        <f>IFERROR(__xludf.DUMMYFUNCTION("""COMPUTED_VALUE"""),"refrigeration services flat")</f>
        <v>refrigeration services flat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27" t="str">
        <f>IFERROR(__xludf.DUMMYFUNCTION("""COMPUTED_VALUE"""),"tenant maintenance plumber")</f>
        <v>tenant maintenance plumber</v>
      </c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27" t="str">
        <f>IFERROR(__xludf.DUMMYFUNCTION("""COMPUTED_VALUE"""),"refrigeration services guesthouse")</f>
        <v>refrigeration services guesthouse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27" t="str">
        <f>IFERROR(__xludf.DUMMYFUNCTION("""COMPUTED_VALUE"""),"tenant plumbing company")</f>
        <v>tenant plumbing company</v>
      </c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27" t="str">
        <f>IFERROR(__xludf.DUMMYFUNCTION("""COMPUTED_VALUE"""),"refrigeration services home")</f>
        <v>refrigeration services home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27" t="str">
        <f>IFERROR(__xludf.DUMMYFUNCTION("""COMPUTED_VALUE"""),"tenant plumbing services")</f>
        <v>tenant plumbing services</v>
      </c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27" t="str">
        <f>IFERROR(__xludf.DUMMYFUNCTION("""COMPUTED_VALUE"""),"refrigeration services hotel")</f>
        <v>refrigeration services hotel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27" t="str">
        <f>IFERROR(__xludf.DUMMYFUNCTION("""COMPUTED_VALUE"""),"tenant refrigeration services")</f>
        <v>tenant refrigeration services</v>
      </c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27" t="str">
        <f>IFERROR(__xludf.DUMMYFUNCTION("""COMPUTED_VALUE"""),"refrigeration services house")</f>
        <v>refrigeration services house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27" t="str">
        <f>IFERROR(__xludf.DUMMYFUNCTION("""COMPUTED_VALUE"""),"townhouse air conditioning services")</f>
        <v>townhouse air conditioning services</v>
      </c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27" t="str">
        <f>IFERROR(__xludf.DUMMYFUNCTION("""COMPUTED_VALUE"""),"refrigeration services landlord")</f>
        <v>refrigeration services landlord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27" t="str">
        <f>IFERROR(__xludf.DUMMYFUNCTION("""COMPUTED_VALUE"""),"townhouse drain cleaning")</f>
        <v>townhouse drain cleaning</v>
      </c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27" t="str">
        <f>IFERROR(__xludf.DUMMYFUNCTION("""COMPUTED_VALUE"""),"refrigeration services office")</f>
        <v>refrigeration services office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27" t="str">
        <f>IFERROR(__xludf.DUMMYFUNCTION("""COMPUTED_VALUE"""),"townhouse electrical repairs")</f>
        <v>townhouse electrical repairs</v>
      </c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27" t="str">
        <f>IFERROR(__xludf.DUMMYFUNCTION("""COMPUTED_VALUE"""),"refrigeration services property manager")</f>
        <v>refrigeration services property manager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27" t="str">
        <f>IFERROR(__xludf.DUMMYFUNCTION("""COMPUTED_VALUE"""),"townhouse emergency plumbing")</f>
        <v>townhouse emergency plumbing</v>
      </c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27" t="str">
        <f>IFERROR(__xludf.DUMMYFUNCTION("""COMPUTED_VALUE"""),"refrigeration services residential property")</f>
        <v>refrigeration services residential property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27" t="str">
        <f>IFERROR(__xludf.DUMMYFUNCTION("""COMPUTED_VALUE"""),"townhouse geyser repairs")</f>
        <v>townhouse geyser repairs</v>
      </c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27" t="str">
        <f>IFERROR(__xludf.DUMMYFUNCTION("""COMPUTED_VALUE"""),"refrigeration services restaurant")</f>
        <v>refrigeration services restaurant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27" t="str">
        <f>IFERROR(__xludf.DUMMYFUNCTION("""COMPUTED_VALUE"""),"townhouse leak detection")</f>
        <v>townhouse leak detection</v>
      </c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27" t="str">
        <f>IFERROR(__xludf.DUMMYFUNCTION("""COMPUTED_VALUE"""),"refrigeration services school")</f>
        <v>refrigeration services school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27" t="str">
        <f>IFERROR(__xludf.DUMMYFUNCTION("""COMPUTED_VALUE"""),"townhouse maintenance plumber")</f>
        <v>townhouse maintenance plumber</v>
      </c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27" t="str">
        <f>IFERROR(__xludf.DUMMYFUNCTION("""COMPUTED_VALUE"""),"refrigeration services shop")</f>
        <v>refrigeration services shop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27" t="str">
        <f>IFERROR(__xludf.DUMMYFUNCTION("""COMPUTED_VALUE"""),"townhouse plumbing company")</f>
        <v>townhouse plumbing company</v>
      </c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27" t="str">
        <f>IFERROR(__xludf.DUMMYFUNCTION("""COMPUTED_VALUE"""),"refrigeration services tenant")</f>
        <v>refrigeration services tenant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27" t="str">
        <f>IFERROR(__xludf.DUMMYFUNCTION("""COMPUTED_VALUE"""),"townhouse plumbing services")</f>
        <v>townhouse plumbing services</v>
      </c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27" t="str">
        <f>IFERROR(__xludf.DUMMYFUNCTION("""COMPUTED_VALUE"""),"refrigeration services townhouse")</f>
        <v>refrigeration services townhouse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27" t="str">
        <f>IFERROR(__xludf.DUMMYFUNCTION("""COMPUTED_VALUE"""),"townhouse refrigeration services")</f>
        <v>townhouse refrigeration services</v>
      </c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 t="s">
        <v>19</v>
      </c>
      <c r="C2" s="1" t="s">
        <v>21</v>
      </c>
      <c r="I2" s="4"/>
      <c r="K2" s="1">
        <v>20.0</v>
      </c>
      <c r="N2" s="5">
        <v>44282.0</v>
      </c>
      <c r="Q2" s="1" t="s">
        <v>33</v>
      </c>
    </row>
    <row r="3">
      <c r="A3" s="1">
        <v>2.0</v>
      </c>
      <c r="B3" s="1" t="s">
        <v>34</v>
      </c>
      <c r="C3" s="1" t="s">
        <v>21</v>
      </c>
      <c r="I3" s="4"/>
      <c r="K3" s="1">
        <v>30.0</v>
      </c>
      <c r="N3" s="5">
        <v>44592.0</v>
      </c>
      <c r="Q3" s="1" t="s">
        <v>35</v>
      </c>
    </row>
    <row r="4">
      <c r="A4" s="1">
        <v>3.0</v>
      </c>
      <c r="B4" s="1" t="s">
        <v>36</v>
      </c>
      <c r="C4" s="1" t="s">
        <v>21</v>
      </c>
      <c r="I4" s="4"/>
      <c r="K4" s="1">
        <v>250.0</v>
      </c>
      <c r="N4" s="5">
        <v>43860.0</v>
      </c>
      <c r="Q4" s="1" t="s">
        <v>37</v>
      </c>
    </row>
    <row r="5">
      <c r="A5" s="1">
        <v>4.0</v>
      </c>
      <c r="B5" s="1" t="s">
        <v>38</v>
      </c>
      <c r="C5" s="1" t="s">
        <v>21</v>
      </c>
      <c r="I5" s="4"/>
      <c r="N5" s="5">
        <v>43846.0</v>
      </c>
      <c r="Q5" s="1" t="s">
        <v>39</v>
      </c>
    </row>
    <row r="6">
      <c r="A6" s="1">
        <v>5.0</v>
      </c>
      <c r="B6" s="1" t="s">
        <v>40</v>
      </c>
      <c r="C6" s="1" t="s">
        <v>21</v>
      </c>
      <c r="I6" s="4"/>
      <c r="N6" s="5"/>
    </row>
    <row r="7">
      <c r="A7" s="1">
        <v>6.0</v>
      </c>
      <c r="B7" s="1" t="s">
        <v>42</v>
      </c>
      <c r="C7" s="1" t="s">
        <v>21</v>
      </c>
      <c r="I7" s="4"/>
      <c r="N7" s="5"/>
    </row>
    <row r="8">
      <c r="A8" s="1">
        <v>7.0</v>
      </c>
      <c r="B8" s="1" t="s">
        <v>43</v>
      </c>
      <c r="C8" s="1" t="s">
        <v>21</v>
      </c>
      <c r="I8" s="4"/>
      <c r="N8" s="5"/>
    </row>
    <row r="9">
      <c r="A9" s="1">
        <v>8.0</v>
      </c>
      <c r="B9" s="1" t="s">
        <v>45</v>
      </c>
      <c r="C9" s="1" t="s">
        <v>21</v>
      </c>
      <c r="I9" s="4"/>
      <c r="N9" s="5"/>
    </row>
    <row r="10">
      <c r="A10" s="1">
        <v>9.0</v>
      </c>
      <c r="B10" s="1" t="s">
        <v>47</v>
      </c>
      <c r="C10" s="1" t="s">
        <v>21</v>
      </c>
      <c r="I10" s="4"/>
      <c r="N10" s="5"/>
    </row>
    <row r="11">
      <c r="A11" s="1">
        <v>10.0</v>
      </c>
      <c r="B11" s="1" t="s">
        <v>48</v>
      </c>
      <c r="C11" s="1" t="s">
        <v>21</v>
      </c>
      <c r="I11" s="4"/>
      <c r="N11" s="5"/>
    </row>
    <row r="12">
      <c r="A12" s="1">
        <v>11.0</v>
      </c>
      <c r="B12" s="1" t="s">
        <v>49</v>
      </c>
      <c r="C12" s="1" t="s">
        <v>21</v>
      </c>
      <c r="I12" s="4"/>
      <c r="N12" s="5"/>
    </row>
    <row r="13">
      <c r="A13" s="1">
        <v>12.0</v>
      </c>
      <c r="B13" s="1" t="s">
        <v>50</v>
      </c>
      <c r="C13" s="1" t="s">
        <v>21</v>
      </c>
      <c r="I13" s="4"/>
      <c r="N13" s="5"/>
    </row>
    <row r="14">
      <c r="A14" s="1">
        <v>13.0</v>
      </c>
      <c r="B14" s="1" t="s">
        <v>51</v>
      </c>
      <c r="C14" s="1" t="s">
        <v>21</v>
      </c>
      <c r="I14" s="4"/>
      <c r="N14" s="5"/>
    </row>
    <row r="15">
      <c r="A15" s="1">
        <v>14.0</v>
      </c>
      <c r="B15" s="1" t="s">
        <v>52</v>
      </c>
      <c r="C15" s="1" t="s">
        <v>21</v>
      </c>
      <c r="I15" s="4"/>
      <c r="N15" s="5"/>
    </row>
    <row r="16">
      <c r="A16" s="1">
        <v>15.0</v>
      </c>
      <c r="B16" s="1" t="s">
        <v>53</v>
      </c>
      <c r="C16" s="1" t="s">
        <v>21</v>
      </c>
      <c r="I16" s="4"/>
      <c r="N16" s="5"/>
    </row>
    <row r="17">
      <c r="A17" s="1">
        <v>16.0</v>
      </c>
      <c r="B17" s="1" t="s">
        <v>54</v>
      </c>
      <c r="C17" s="1" t="s">
        <v>21</v>
      </c>
      <c r="I17" s="4"/>
      <c r="N17" s="5"/>
    </row>
    <row r="18">
      <c r="A18" s="1">
        <v>17.0</v>
      </c>
      <c r="B18" s="1" t="s">
        <v>55</v>
      </c>
      <c r="C18" s="1" t="s">
        <v>21</v>
      </c>
      <c r="I18" s="4"/>
      <c r="N18" s="5"/>
    </row>
    <row r="19">
      <c r="A19" s="1">
        <v>18.0</v>
      </c>
      <c r="B19" s="1" t="s">
        <v>57</v>
      </c>
      <c r="C19" s="1" t="s">
        <v>21</v>
      </c>
      <c r="I19" s="4"/>
      <c r="N19" s="5"/>
    </row>
    <row r="20">
      <c r="A20" s="1">
        <v>19.0</v>
      </c>
      <c r="B20" s="1" t="s">
        <v>58</v>
      </c>
      <c r="C20" s="1" t="s">
        <v>21</v>
      </c>
      <c r="I20" s="4"/>
      <c r="N20" s="5"/>
    </row>
    <row r="21">
      <c r="A21" s="1">
        <v>20.0</v>
      </c>
      <c r="B21" s="1" t="s">
        <v>60</v>
      </c>
      <c r="C21" s="1" t="s">
        <v>21</v>
      </c>
      <c r="I21" s="4"/>
      <c r="N21" s="5"/>
    </row>
    <row r="22">
      <c r="A22" s="1">
        <v>21.0</v>
      </c>
      <c r="B22" s="1" t="s">
        <v>62</v>
      </c>
      <c r="C22" s="1" t="s">
        <v>21</v>
      </c>
      <c r="I22" s="4"/>
      <c r="N22" s="5"/>
    </row>
    <row r="23">
      <c r="A23" s="1">
        <v>22.0</v>
      </c>
      <c r="B23" s="1" t="s">
        <v>63</v>
      </c>
      <c r="C23" s="1" t="s">
        <v>21</v>
      </c>
      <c r="I23" s="4"/>
      <c r="N23" s="5"/>
    </row>
    <row r="24">
      <c r="A24" s="1">
        <v>23.0</v>
      </c>
      <c r="B24" s="1" t="s">
        <v>64</v>
      </c>
      <c r="C24" s="1" t="s">
        <v>21</v>
      </c>
      <c r="I24" s="4"/>
      <c r="N24" s="5"/>
    </row>
    <row r="25">
      <c r="A25" s="1">
        <v>24.0</v>
      </c>
      <c r="B25" s="1" t="s">
        <v>65</v>
      </c>
      <c r="C25" s="1" t="s">
        <v>21</v>
      </c>
      <c r="I25" s="4"/>
      <c r="N25" s="5"/>
    </row>
    <row r="26">
      <c r="A26" s="1">
        <v>25.0</v>
      </c>
      <c r="B26" s="1" t="s">
        <v>66</v>
      </c>
      <c r="C26" s="1" t="s">
        <v>21</v>
      </c>
      <c r="I26" s="4"/>
      <c r="N26" s="5"/>
    </row>
    <row r="27">
      <c r="A27" s="1">
        <v>26.0</v>
      </c>
      <c r="B27" s="1" t="s">
        <v>67</v>
      </c>
      <c r="C27" s="1" t="s">
        <v>21</v>
      </c>
      <c r="I27" s="4"/>
      <c r="N27" s="5"/>
    </row>
    <row r="28">
      <c r="A28" s="1">
        <v>27.0</v>
      </c>
      <c r="B28" s="1" t="s">
        <v>68</v>
      </c>
      <c r="C28" s="1" t="s">
        <v>21</v>
      </c>
      <c r="I28" s="4"/>
      <c r="N28" s="5"/>
    </row>
    <row r="29">
      <c r="A29" s="1">
        <v>28.0</v>
      </c>
      <c r="B29" s="1" t="s">
        <v>69</v>
      </c>
      <c r="C29" s="1" t="s">
        <v>21</v>
      </c>
      <c r="I29" s="4"/>
      <c r="N29" s="5"/>
    </row>
    <row r="30">
      <c r="A30" s="1">
        <v>29.0</v>
      </c>
      <c r="B30" s="1" t="s">
        <v>70</v>
      </c>
      <c r="C30" s="1" t="s">
        <v>21</v>
      </c>
      <c r="I30" s="4"/>
      <c r="N30" s="5"/>
    </row>
    <row r="31">
      <c r="A31" s="1">
        <v>30.0</v>
      </c>
      <c r="B31" s="1" t="s">
        <v>71</v>
      </c>
      <c r="C31" s="1" t="s">
        <v>21</v>
      </c>
      <c r="I31" s="4"/>
      <c r="N31" s="5"/>
    </row>
    <row r="32">
      <c r="A32" s="1">
        <v>31.0</v>
      </c>
      <c r="B32" s="1" t="s">
        <v>73</v>
      </c>
      <c r="C32" s="1" t="s">
        <v>21</v>
      </c>
      <c r="I32" s="4"/>
      <c r="N32" s="5"/>
    </row>
    <row r="33">
      <c r="A33" s="1">
        <v>32.0</v>
      </c>
      <c r="B33" s="1" t="s">
        <v>74</v>
      </c>
      <c r="C33" s="1" t="s">
        <v>21</v>
      </c>
      <c r="I33" s="4"/>
      <c r="N33" s="5"/>
    </row>
    <row r="34">
      <c r="A34" s="1">
        <v>33.0</v>
      </c>
      <c r="B34" s="1" t="s">
        <v>75</v>
      </c>
      <c r="C34" s="1" t="s">
        <v>21</v>
      </c>
      <c r="I34" s="4"/>
      <c r="N34" s="5"/>
    </row>
    <row r="35">
      <c r="A35" s="1">
        <v>34.0</v>
      </c>
      <c r="B35" s="1" t="s">
        <v>76</v>
      </c>
      <c r="C35" s="1" t="s">
        <v>21</v>
      </c>
      <c r="I35" s="4"/>
      <c r="N35" s="5"/>
    </row>
    <row r="36">
      <c r="A36" s="1">
        <v>35.0</v>
      </c>
      <c r="B36" s="1" t="s">
        <v>77</v>
      </c>
      <c r="C36" s="1" t="s">
        <v>21</v>
      </c>
      <c r="I36" s="4"/>
      <c r="N36" s="5"/>
    </row>
    <row r="37">
      <c r="A37" s="1">
        <v>36.0</v>
      </c>
      <c r="B37" s="1" t="s">
        <v>78</v>
      </c>
      <c r="C37" s="1" t="s">
        <v>21</v>
      </c>
      <c r="I37" s="4"/>
      <c r="N37" s="5"/>
    </row>
    <row r="38">
      <c r="A38" s="1">
        <v>37.0</v>
      </c>
      <c r="B38" s="1" t="s">
        <v>80</v>
      </c>
      <c r="C38" s="1" t="s">
        <v>21</v>
      </c>
      <c r="I38" s="4"/>
      <c r="N38" s="5"/>
    </row>
    <row r="39">
      <c r="A39" s="1">
        <v>38.0</v>
      </c>
      <c r="B39" s="1" t="s">
        <v>81</v>
      </c>
      <c r="C39" s="1" t="s">
        <v>21</v>
      </c>
      <c r="I39" s="4"/>
      <c r="N39" s="5"/>
    </row>
    <row r="40">
      <c r="A40" s="1">
        <v>39.0</v>
      </c>
      <c r="B40" s="1" t="s">
        <v>82</v>
      </c>
      <c r="C40" s="1" t="s">
        <v>21</v>
      </c>
      <c r="I40" s="4"/>
      <c r="N40" s="5"/>
    </row>
    <row r="41">
      <c r="A41" s="1">
        <v>40.0</v>
      </c>
      <c r="B41" s="1" t="s">
        <v>83</v>
      </c>
      <c r="C41" s="1" t="s">
        <v>21</v>
      </c>
      <c r="I41" s="4"/>
      <c r="N41" s="5"/>
    </row>
    <row r="42">
      <c r="A42" s="1">
        <v>41.0</v>
      </c>
      <c r="B42" s="1" t="s">
        <v>84</v>
      </c>
      <c r="C42" s="1" t="s">
        <v>21</v>
      </c>
      <c r="N42" s="5"/>
    </row>
    <row r="43">
      <c r="A43" s="1">
        <v>42.0</v>
      </c>
      <c r="B43" s="1" t="s">
        <v>85</v>
      </c>
      <c r="C43" s="1" t="s">
        <v>21</v>
      </c>
      <c r="I43" s="4"/>
      <c r="N43" s="5"/>
    </row>
    <row r="44">
      <c r="A44" s="1">
        <v>43.0</v>
      </c>
      <c r="B44" s="1" t="s">
        <v>86</v>
      </c>
      <c r="C44" s="1" t="s">
        <v>21</v>
      </c>
      <c r="N44" s="5"/>
    </row>
    <row r="45">
      <c r="A45" s="1">
        <v>44.0</v>
      </c>
      <c r="B45" s="1" t="s">
        <v>87</v>
      </c>
      <c r="C45" s="1" t="s">
        <v>21</v>
      </c>
      <c r="I45" s="4"/>
      <c r="N45" s="5"/>
    </row>
    <row r="46">
      <c r="A46" s="1">
        <v>45.0</v>
      </c>
      <c r="B46" s="1" t="s">
        <v>88</v>
      </c>
      <c r="C46" s="1" t="s">
        <v>21</v>
      </c>
      <c r="I46" s="4"/>
      <c r="N46" s="5"/>
    </row>
    <row r="47">
      <c r="A47" s="1">
        <v>46.0</v>
      </c>
      <c r="B47" s="1" t="s">
        <v>89</v>
      </c>
      <c r="C47" s="1" t="s">
        <v>21</v>
      </c>
      <c r="I47" s="4"/>
      <c r="N47" s="5"/>
    </row>
    <row r="48">
      <c r="A48" s="1">
        <v>47.0</v>
      </c>
      <c r="B48" s="1" t="s">
        <v>90</v>
      </c>
      <c r="C48" s="1" t="s">
        <v>21</v>
      </c>
      <c r="I48" s="4"/>
      <c r="N48" s="5"/>
    </row>
    <row r="49">
      <c r="A49" s="1">
        <v>48.0</v>
      </c>
      <c r="B49" s="1" t="s">
        <v>91</v>
      </c>
      <c r="C49" s="1" t="s">
        <v>21</v>
      </c>
      <c r="I49" s="4"/>
      <c r="N49" s="5"/>
    </row>
    <row r="50">
      <c r="A50" s="1">
        <v>49.0</v>
      </c>
      <c r="B50" s="1" t="s">
        <v>92</v>
      </c>
      <c r="C50" s="1" t="s">
        <v>21</v>
      </c>
      <c r="I50" s="4"/>
      <c r="N50" s="5"/>
    </row>
    <row r="51">
      <c r="A51" s="1">
        <v>50.0</v>
      </c>
      <c r="B51" s="1" t="s">
        <v>93</v>
      </c>
      <c r="C51" s="1" t="s">
        <v>21</v>
      </c>
      <c r="I51" s="4"/>
      <c r="N51" s="5"/>
    </row>
    <row r="52">
      <c r="A52" s="1">
        <v>51.0</v>
      </c>
      <c r="B52" s="1" t="s">
        <v>94</v>
      </c>
      <c r="C52" s="1" t="s">
        <v>21</v>
      </c>
      <c r="I52" s="4"/>
      <c r="N52" s="5"/>
    </row>
    <row r="53">
      <c r="A53" s="1">
        <v>52.0</v>
      </c>
      <c r="B53" s="1" t="s">
        <v>95</v>
      </c>
      <c r="C53" s="1" t="s">
        <v>21</v>
      </c>
      <c r="N53" s="5"/>
    </row>
    <row r="54">
      <c r="A54" s="1">
        <v>53.0</v>
      </c>
      <c r="B54" s="1" t="s">
        <v>96</v>
      </c>
      <c r="C54" s="1" t="s">
        <v>21</v>
      </c>
      <c r="N54" s="5"/>
    </row>
    <row r="55">
      <c r="A55" s="1">
        <v>54.0</v>
      </c>
      <c r="B55" s="1" t="s">
        <v>97</v>
      </c>
      <c r="C55" s="1" t="s">
        <v>21</v>
      </c>
      <c r="I55" s="4"/>
      <c r="N55" s="5"/>
    </row>
    <row r="56">
      <c r="A56" s="1">
        <v>55.0</v>
      </c>
      <c r="B56" s="1" t="s">
        <v>98</v>
      </c>
      <c r="C56" s="1" t="s">
        <v>21</v>
      </c>
      <c r="I56" s="4"/>
      <c r="N56" s="5"/>
    </row>
    <row r="57">
      <c r="A57" s="1">
        <v>56.0</v>
      </c>
      <c r="B57" s="1" t="s">
        <v>99</v>
      </c>
      <c r="C57" s="1" t="s">
        <v>21</v>
      </c>
      <c r="I57" s="4"/>
      <c r="N57" s="5"/>
    </row>
    <row r="58">
      <c r="A58" s="1">
        <v>57.0</v>
      </c>
      <c r="B58" s="1" t="s">
        <v>100</v>
      </c>
      <c r="C58" s="1" t="s">
        <v>21</v>
      </c>
      <c r="N58" s="5"/>
    </row>
    <row r="59">
      <c r="A59" s="1">
        <v>58.0</v>
      </c>
      <c r="B59" s="1" t="s">
        <v>101</v>
      </c>
      <c r="C59" s="1" t="s">
        <v>21</v>
      </c>
      <c r="I59" s="4"/>
      <c r="N59" s="5"/>
    </row>
    <row r="60">
      <c r="A60" s="1">
        <v>59.0</v>
      </c>
      <c r="B60" s="1" t="s">
        <v>102</v>
      </c>
      <c r="C60" s="1" t="s">
        <v>21</v>
      </c>
      <c r="I60" s="4"/>
      <c r="N60" s="5"/>
    </row>
    <row r="61">
      <c r="A61" s="1">
        <v>60.0</v>
      </c>
      <c r="B61" s="1" t="s">
        <v>103</v>
      </c>
      <c r="C61" s="1" t="s">
        <v>21</v>
      </c>
      <c r="I61" s="4"/>
      <c r="N61" s="5"/>
    </row>
    <row r="62">
      <c r="A62" s="1">
        <v>61.0</v>
      </c>
      <c r="B62" s="1" t="s">
        <v>104</v>
      </c>
      <c r="C62" s="1" t="s">
        <v>21</v>
      </c>
      <c r="I62" s="4"/>
      <c r="N62" s="5"/>
    </row>
    <row r="63">
      <c r="A63" s="1">
        <v>62.0</v>
      </c>
      <c r="B63" s="1" t="s">
        <v>105</v>
      </c>
      <c r="C63" s="1" t="s">
        <v>21</v>
      </c>
      <c r="N63" s="5"/>
    </row>
    <row r="64">
      <c r="A64" s="1">
        <v>63.0</v>
      </c>
      <c r="B64" s="1" t="s">
        <v>106</v>
      </c>
      <c r="C64" s="1" t="s">
        <v>21</v>
      </c>
      <c r="I64" s="4"/>
      <c r="N64" s="5"/>
    </row>
    <row r="65">
      <c r="A65" s="1">
        <v>64.0</v>
      </c>
      <c r="B65" s="1" t="s">
        <v>107</v>
      </c>
      <c r="C65" s="1" t="s">
        <v>21</v>
      </c>
      <c r="N65" s="5"/>
    </row>
    <row r="66">
      <c r="A66" s="1">
        <v>65.0</v>
      </c>
      <c r="B66" s="1" t="s">
        <v>108</v>
      </c>
      <c r="C66" s="1" t="s">
        <v>21</v>
      </c>
      <c r="I66" s="4"/>
      <c r="N66" s="5"/>
    </row>
    <row r="67">
      <c r="A67" s="1">
        <v>66.0</v>
      </c>
      <c r="B67" s="1" t="s">
        <v>109</v>
      </c>
      <c r="C67" s="1" t="s">
        <v>21</v>
      </c>
      <c r="I67" s="4"/>
      <c r="N67" s="5"/>
    </row>
    <row r="68">
      <c r="A68" s="1">
        <v>67.0</v>
      </c>
      <c r="B68" s="1" t="s">
        <v>110</v>
      </c>
      <c r="C68" s="1" t="s">
        <v>21</v>
      </c>
      <c r="I68" s="4"/>
      <c r="N68" s="5"/>
    </row>
    <row r="69">
      <c r="A69" s="1">
        <v>68.0</v>
      </c>
      <c r="B69" s="1" t="s">
        <v>111</v>
      </c>
      <c r="C69" s="1" t="s">
        <v>21</v>
      </c>
      <c r="N69" s="5"/>
    </row>
    <row r="70">
      <c r="A70" s="1">
        <v>69.0</v>
      </c>
      <c r="B70" s="1" t="s">
        <v>112</v>
      </c>
      <c r="C70" s="1" t="s">
        <v>21</v>
      </c>
      <c r="I70" s="4"/>
      <c r="N70" s="5"/>
    </row>
    <row r="71">
      <c r="A71" s="1">
        <v>70.0</v>
      </c>
      <c r="B71" s="1" t="s">
        <v>113</v>
      </c>
      <c r="C71" s="1" t="s">
        <v>21</v>
      </c>
      <c r="I71" s="4"/>
      <c r="N71" s="5"/>
    </row>
    <row r="72">
      <c r="A72" s="1">
        <v>71.0</v>
      </c>
      <c r="B72" s="1" t="s">
        <v>114</v>
      </c>
      <c r="C72" s="1" t="s">
        <v>21</v>
      </c>
      <c r="I72" s="4"/>
      <c r="N72" s="5"/>
    </row>
    <row r="73">
      <c r="A73" s="1">
        <v>72.0</v>
      </c>
      <c r="B73" s="1" t="s">
        <v>115</v>
      </c>
      <c r="C73" s="1" t="s">
        <v>21</v>
      </c>
      <c r="N73" s="5"/>
    </row>
    <row r="74">
      <c r="A74" s="1">
        <v>73.0</v>
      </c>
      <c r="B74" s="1" t="s">
        <v>116</v>
      </c>
      <c r="C74" s="1" t="s">
        <v>21</v>
      </c>
      <c r="N74" s="5"/>
    </row>
    <row r="75">
      <c r="A75" s="1">
        <v>74.0</v>
      </c>
      <c r="B75" s="1" t="s">
        <v>117</v>
      </c>
      <c r="C75" s="1" t="s">
        <v>21</v>
      </c>
      <c r="I75" s="4"/>
      <c r="N75" s="5"/>
    </row>
    <row r="76">
      <c r="A76" s="1">
        <v>75.0</v>
      </c>
      <c r="B76" s="1" t="s">
        <v>118</v>
      </c>
      <c r="C76" s="1" t="s">
        <v>21</v>
      </c>
      <c r="N76" s="5"/>
    </row>
    <row r="77">
      <c r="A77" s="1">
        <v>76.0</v>
      </c>
      <c r="B77" s="1" t="s">
        <v>119</v>
      </c>
      <c r="C77" s="1" t="s">
        <v>21</v>
      </c>
      <c r="N77" s="5"/>
    </row>
    <row r="78">
      <c r="A78" s="1">
        <v>77.0</v>
      </c>
      <c r="B78" s="1" t="s">
        <v>120</v>
      </c>
      <c r="C78" s="1" t="s">
        <v>21</v>
      </c>
      <c r="I78" s="4"/>
      <c r="N78" s="5"/>
    </row>
    <row r="79">
      <c r="A79" s="1">
        <v>78.0</v>
      </c>
      <c r="B79" s="1" t="s">
        <v>121</v>
      </c>
      <c r="C79" s="1" t="s">
        <v>21</v>
      </c>
      <c r="N79" s="5"/>
    </row>
    <row r="80">
      <c r="A80" s="1">
        <v>79.0</v>
      </c>
      <c r="B80" s="1" t="s">
        <v>122</v>
      </c>
      <c r="C80" s="1" t="s">
        <v>21</v>
      </c>
      <c r="N80" s="5"/>
    </row>
    <row r="81">
      <c r="A81" s="1">
        <v>80.0</v>
      </c>
      <c r="B81" s="1" t="s">
        <v>123</v>
      </c>
      <c r="C81" s="1" t="s">
        <v>21</v>
      </c>
      <c r="N81" s="5"/>
    </row>
    <row r="82">
      <c r="A82" s="1">
        <v>81.0</v>
      </c>
      <c r="B82" s="1" t="s">
        <v>124</v>
      </c>
      <c r="C82" s="1" t="s">
        <v>21</v>
      </c>
      <c r="N82" s="5"/>
    </row>
    <row r="83">
      <c r="A83" s="1">
        <v>82.0</v>
      </c>
      <c r="B83" s="1" t="s">
        <v>125</v>
      </c>
      <c r="C83" s="1" t="s">
        <v>21</v>
      </c>
      <c r="N83" s="5"/>
    </row>
    <row r="84">
      <c r="A84" s="1">
        <v>83.0</v>
      </c>
      <c r="B84" s="1" t="s">
        <v>126</v>
      </c>
      <c r="C84" s="1" t="s">
        <v>21</v>
      </c>
      <c r="N84" s="5"/>
    </row>
    <row r="85">
      <c r="A85" s="1">
        <v>84.0</v>
      </c>
      <c r="B85" s="1" t="s">
        <v>127</v>
      </c>
      <c r="C85" s="1" t="s">
        <v>21</v>
      </c>
      <c r="I85" s="4"/>
      <c r="N85" s="5"/>
    </row>
    <row r="86">
      <c r="A86" s="1">
        <v>85.0</v>
      </c>
      <c r="B86" s="1" t="s">
        <v>128</v>
      </c>
      <c r="C86" s="1" t="s">
        <v>21</v>
      </c>
      <c r="N86" s="5"/>
    </row>
    <row r="87">
      <c r="A87" s="1">
        <v>86.0</v>
      </c>
      <c r="B87" s="1" t="s">
        <v>129</v>
      </c>
      <c r="C87" s="1" t="s">
        <v>21</v>
      </c>
      <c r="N87" s="5"/>
    </row>
    <row r="88">
      <c r="A88" s="1">
        <v>87.0</v>
      </c>
      <c r="B88" s="1" t="s">
        <v>130</v>
      </c>
      <c r="C88" s="1" t="s">
        <v>21</v>
      </c>
      <c r="N88" s="5"/>
    </row>
    <row r="89">
      <c r="A89" s="1">
        <v>88.0</v>
      </c>
      <c r="B89" s="1" t="s">
        <v>131</v>
      </c>
      <c r="C89" s="1" t="s">
        <v>21</v>
      </c>
      <c r="N89" s="5"/>
    </row>
    <row r="90">
      <c r="A90" s="1">
        <v>89.0</v>
      </c>
      <c r="B90" s="1" t="s">
        <v>132</v>
      </c>
      <c r="C90" s="1" t="s">
        <v>21</v>
      </c>
      <c r="I90" s="4"/>
      <c r="N90" s="5"/>
    </row>
    <row r="91">
      <c r="A91" s="1">
        <v>90.0</v>
      </c>
      <c r="B91" s="1" t="s">
        <v>133</v>
      </c>
      <c r="C91" s="1" t="s">
        <v>21</v>
      </c>
      <c r="N91" s="5"/>
    </row>
    <row r="92">
      <c r="A92" s="1">
        <v>91.0</v>
      </c>
      <c r="B92" s="1" t="s">
        <v>134</v>
      </c>
      <c r="C92" s="1" t="s">
        <v>21</v>
      </c>
      <c r="N92" s="5"/>
    </row>
    <row r="93">
      <c r="A93" s="1">
        <v>92.0</v>
      </c>
      <c r="B93" s="1" t="s">
        <v>135</v>
      </c>
      <c r="C93" s="1" t="s">
        <v>21</v>
      </c>
      <c r="N93" s="5"/>
    </row>
    <row r="94">
      <c r="A94" s="1">
        <v>93.0</v>
      </c>
      <c r="B94" s="1" t="s">
        <v>136</v>
      </c>
      <c r="C94" s="1" t="s">
        <v>21</v>
      </c>
      <c r="N94" s="5"/>
    </row>
    <row r="95">
      <c r="A95" s="1">
        <v>94.0</v>
      </c>
      <c r="B95" s="1" t="s">
        <v>137</v>
      </c>
      <c r="C95" s="1" t="s">
        <v>21</v>
      </c>
      <c r="I95" s="4"/>
      <c r="N95" s="5"/>
    </row>
    <row r="96">
      <c r="A96" s="1">
        <v>95.0</v>
      </c>
      <c r="B96" s="1" t="s">
        <v>138</v>
      </c>
      <c r="C96" s="1" t="s">
        <v>21</v>
      </c>
      <c r="I96" s="4"/>
      <c r="N96" s="5"/>
    </row>
    <row r="97">
      <c r="A97" s="1">
        <v>96.0</v>
      </c>
      <c r="B97" s="1" t="s">
        <v>139</v>
      </c>
      <c r="C97" s="1" t="s">
        <v>21</v>
      </c>
      <c r="N97" s="5"/>
    </row>
    <row r="98">
      <c r="A98" s="1">
        <v>97.0</v>
      </c>
      <c r="B98" s="1" t="s">
        <v>140</v>
      </c>
      <c r="C98" s="1" t="s">
        <v>21</v>
      </c>
      <c r="N98" s="5"/>
    </row>
    <row r="99">
      <c r="A99" s="1">
        <v>98.0</v>
      </c>
      <c r="B99" s="1" t="s">
        <v>141</v>
      </c>
      <c r="C99" s="1" t="s">
        <v>21</v>
      </c>
      <c r="N99" s="5"/>
    </row>
    <row r="100">
      <c r="A100" s="1">
        <v>99.0</v>
      </c>
      <c r="B100" s="1" t="s">
        <v>142</v>
      </c>
      <c r="C100" s="1" t="s">
        <v>21</v>
      </c>
      <c r="I100" s="4"/>
      <c r="N100" s="5"/>
    </row>
    <row r="101">
      <c r="A101" s="1">
        <v>100.0</v>
      </c>
      <c r="B101" s="1" t="s">
        <v>143</v>
      </c>
      <c r="C101" s="1" t="s">
        <v>21</v>
      </c>
      <c r="I101" s="4"/>
      <c r="N101" s="5"/>
    </row>
    <row r="102">
      <c r="A102" s="1">
        <v>101.0</v>
      </c>
      <c r="B102" s="1" t="s">
        <v>144</v>
      </c>
      <c r="C102" s="1" t="s">
        <v>21</v>
      </c>
      <c r="N102" s="5"/>
    </row>
    <row r="103">
      <c r="A103" s="1">
        <v>102.0</v>
      </c>
      <c r="B103" s="1" t="s">
        <v>145</v>
      </c>
      <c r="C103" s="1" t="s">
        <v>21</v>
      </c>
      <c r="N103" s="5"/>
    </row>
    <row r="104">
      <c r="A104" s="1">
        <v>103.0</v>
      </c>
      <c r="B104" s="1" t="s">
        <v>147</v>
      </c>
      <c r="C104" s="1" t="s">
        <v>21</v>
      </c>
      <c r="N104" s="5"/>
    </row>
    <row r="105">
      <c r="A105" s="1">
        <v>104.0</v>
      </c>
      <c r="B105" s="1" t="s">
        <v>148</v>
      </c>
      <c r="C105" s="1" t="s">
        <v>21</v>
      </c>
      <c r="N105" s="5"/>
    </row>
    <row r="106">
      <c r="A106" s="1">
        <v>105.0</v>
      </c>
      <c r="B106" s="1" t="s">
        <v>149</v>
      </c>
      <c r="C106" s="1" t="s">
        <v>21</v>
      </c>
      <c r="N106" s="5"/>
    </row>
    <row r="107">
      <c r="A107" s="1">
        <v>106.0</v>
      </c>
      <c r="B107" s="1" t="s">
        <v>150</v>
      </c>
      <c r="C107" s="1" t="s">
        <v>21</v>
      </c>
      <c r="N107" s="5"/>
    </row>
    <row r="108">
      <c r="A108" s="1">
        <v>107.0</v>
      </c>
      <c r="B108" s="1" t="s">
        <v>151</v>
      </c>
      <c r="C108" s="1" t="s">
        <v>21</v>
      </c>
      <c r="N108" s="5"/>
    </row>
    <row r="109">
      <c r="A109" s="1">
        <v>108.0</v>
      </c>
      <c r="B109" s="1" t="s">
        <v>152</v>
      </c>
      <c r="C109" s="1" t="s">
        <v>21</v>
      </c>
      <c r="N109" s="5"/>
    </row>
    <row r="110">
      <c r="A110" s="1">
        <v>109.0</v>
      </c>
      <c r="B110" s="1" t="s">
        <v>153</v>
      </c>
      <c r="C110" s="1" t="s">
        <v>21</v>
      </c>
      <c r="I110" s="4"/>
      <c r="N110" s="5"/>
    </row>
    <row r="111">
      <c r="A111" s="1">
        <v>110.0</v>
      </c>
      <c r="B111" s="1" t="s">
        <v>154</v>
      </c>
      <c r="C111" s="1" t="s">
        <v>21</v>
      </c>
      <c r="N111" s="5"/>
    </row>
    <row r="112">
      <c r="A112" s="1">
        <v>111.0</v>
      </c>
      <c r="B112" s="1" t="s">
        <v>155</v>
      </c>
      <c r="C112" s="1" t="s">
        <v>21</v>
      </c>
      <c r="N112" s="5"/>
    </row>
    <row r="113">
      <c r="A113" s="1">
        <v>112.0</v>
      </c>
      <c r="B113" s="1" t="s">
        <v>156</v>
      </c>
      <c r="C113" s="1" t="s">
        <v>21</v>
      </c>
      <c r="N113" s="5"/>
    </row>
    <row r="114">
      <c r="A114" s="1">
        <v>113.0</v>
      </c>
      <c r="B114" s="1" t="s">
        <v>157</v>
      </c>
      <c r="C114" s="1" t="s">
        <v>21</v>
      </c>
      <c r="N114" s="5"/>
    </row>
    <row r="115">
      <c r="A115" s="1">
        <v>114.0</v>
      </c>
      <c r="B115" s="1" t="s">
        <v>158</v>
      </c>
      <c r="C115" s="1" t="s">
        <v>21</v>
      </c>
      <c r="N115" s="5"/>
    </row>
    <row r="116">
      <c r="A116" s="1">
        <v>115.0</v>
      </c>
      <c r="B116" s="1" t="s">
        <v>159</v>
      </c>
      <c r="C116" s="1" t="s">
        <v>21</v>
      </c>
      <c r="N116" s="5"/>
    </row>
    <row r="117">
      <c r="A117" s="1">
        <v>116.0</v>
      </c>
      <c r="B117" s="1" t="s">
        <v>160</v>
      </c>
      <c r="C117" s="1" t="s">
        <v>21</v>
      </c>
      <c r="N117" s="5"/>
    </row>
    <row r="118">
      <c r="A118" s="1">
        <v>117.0</v>
      </c>
      <c r="B118" s="1" t="s">
        <v>161</v>
      </c>
      <c r="C118" s="1" t="s">
        <v>21</v>
      </c>
      <c r="N118" s="5"/>
    </row>
    <row r="119">
      <c r="A119" s="1">
        <v>118.0</v>
      </c>
      <c r="B119" s="1" t="s">
        <v>162</v>
      </c>
      <c r="C119" s="1" t="s">
        <v>21</v>
      </c>
      <c r="N119" s="5"/>
    </row>
    <row r="120">
      <c r="A120" s="1">
        <v>119.0</v>
      </c>
      <c r="B120" s="1" t="s">
        <v>163</v>
      </c>
      <c r="C120" s="1" t="s">
        <v>21</v>
      </c>
      <c r="N120" s="5"/>
    </row>
    <row r="121">
      <c r="A121" s="1">
        <v>120.0</v>
      </c>
      <c r="B121" s="1" t="s">
        <v>164</v>
      </c>
      <c r="C121" s="1" t="s">
        <v>21</v>
      </c>
      <c r="N121" s="5"/>
    </row>
    <row r="122">
      <c r="A122" s="1">
        <v>121.0</v>
      </c>
      <c r="B122" s="1" t="s">
        <v>165</v>
      </c>
      <c r="C122" s="1" t="s">
        <v>21</v>
      </c>
      <c r="N122" s="5"/>
    </row>
    <row r="123">
      <c r="A123" s="1">
        <v>122.0</v>
      </c>
      <c r="B123" s="1" t="s">
        <v>166</v>
      </c>
      <c r="C123" s="1" t="s">
        <v>21</v>
      </c>
      <c r="N123" s="5"/>
    </row>
    <row r="124">
      <c r="A124" s="1">
        <v>123.0</v>
      </c>
      <c r="B124" s="1" t="s">
        <v>167</v>
      </c>
      <c r="C124" s="1" t="s">
        <v>21</v>
      </c>
      <c r="N124" s="5"/>
    </row>
    <row r="125">
      <c r="A125" s="1">
        <v>124.0</v>
      </c>
      <c r="B125" s="1" t="s">
        <v>168</v>
      </c>
      <c r="C125" s="1" t="s">
        <v>21</v>
      </c>
      <c r="N125" s="5"/>
    </row>
    <row r="126">
      <c r="A126" s="1">
        <v>125.0</v>
      </c>
      <c r="B126" s="1" t="s">
        <v>169</v>
      </c>
      <c r="C126" s="1" t="s">
        <v>21</v>
      </c>
      <c r="I126" s="4"/>
      <c r="N126" s="5"/>
    </row>
    <row r="127">
      <c r="A127" s="1">
        <v>126.0</v>
      </c>
      <c r="B127" s="1" t="s">
        <v>170</v>
      </c>
      <c r="C127" s="1" t="s">
        <v>21</v>
      </c>
      <c r="N127" s="5"/>
    </row>
    <row r="128">
      <c r="A128" s="1">
        <v>127.0</v>
      </c>
      <c r="B128" s="1" t="s">
        <v>171</v>
      </c>
      <c r="C128" s="1" t="s">
        <v>21</v>
      </c>
      <c r="N128" s="5"/>
    </row>
    <row r="129">
      <c r="A129" s="1">
        <v>128.0</v>
      </c>
      <c r="B129" s="1" t="s">
        <v>172</v>
      </c>
      <c r="C129" s="1" t="s">
        <v>21</v>
      </c>
      <c r="N129" s="5"/>
    </row>
    <row r="130">
      <c r="A130" s="1">
        <v>129.0</v>
      </c>
      <c r="B130" s="1" t="s">
        <v>173</v>
      </c>
      <c r="C130" s="1" t="s">
        <v>21</v>
      </c>
      <c r="N130" s="5"/>
    </row>
    <row r="131">
      <c r="A131" s="1">
        <v>130.0</v>
      </c>
      <c r="B131" s="1" t="s">
        <v>174</v>
      </c>
      <c r="C131" s="1" t="s">
        <v>21</v>
      </c>
      <c r="N131" s="5"/>
    </row>
    <row r="132">
      <c r="A132" s="1">
        <v>131.0</v>
      </c>
      <c r="B132" s="1" t="s">
        <v>175</v>
      </c>
      <c r="C132" s="1" t="s">
        <v>21</v>
      </c>
      <c r="N132" s="5"/>
    </row>
    <row r="133">
      <c r="A133" s="1">
        <v>132.0</v>
      </c>
      <c r="B133" s="1" t="s">
        <v>176</v>
      </c>
      <c r="C133" s="1" t="s">
        <v>21</v>
      </c>
      <c r="N133" s="5"/>
    </row>
    <row r="134">
      <c r="A134" s="1">
        <v>133.0</v>
      </c>
      <c r="B134" s="1" t="s">
        <v>177</v>
      </c>
      <c r="C134" s="1" t="s">
        <v>21</v>
      </c>
      <c r="I134" s="4"/>
      <c r="N134" s="5"/>
    </row>
    <row r="135">
      <c r="A135" s="1">
        <v>134.0</v>
      </c>
      <c r="B135" s="1" t="s">
        <v>178</v>
      </c>
      <c r="C135" s="1" t="s">
        <v>21</v>
      </c>
      <c r="N135" s="5"/>
    </row>
    <row r="136">
      <c r="A136" s="1">
        <v>135.0</v>
      </c>
      <c r="B136" s="1" t="s">
        <v>179</v>
      </c>
      <c r="C136" s="1" t="s">
        <v>21</v>
      </c>
      <c r="N136" s="5"/>
    </row>
    <row r="137">
      <c r="A137" s="1">
        <v>136.0</v>
      </c>
      <c r="B137" s="1" t="s">
        <v>180</v>
      </c>
      <c r="C137" s="1" t="s">
        <v>21</v>
      </c>
      <c r="N137" s="5"/>
    </row>
    <row r="138">
      <c r="A138" s="1">
        <v>137.0</v>
      </c>
      <c r="B138" s="1" t="s">
        <v>181</v>
      </c>
      <c r="C138" s="1" t="s">
        <v>21</v>
      </c>
      <c r="N138" s="5"/>
    </row>
    <row r="139">
      <c r="A139" s="1">
        <v>138.0</v>
      </c>
      <c r="B139" s="1" t="s">
        <v>183</v>
      </c>
      <c r="C139" s="1" t="s">
        <v>21</v>
      </c>
      <c r="N139" s="5"/>
    </row>
    <row r="140">
      <c r="A140" s="1">
        <v>139.0</v>
      </c>
      <c r="B140" s="1" t="s">
        <v>184</v>
      </c>
      <c r="C140" s="1" t="s">
        <v>21</v>
      </c>
      <c r="N140" s="5"/>
    </row>
    <row r="141">
      <c r="A141" s="1">
        <v>140.0</v>
      </c>
      <c r="B141" s="1" t="s">
        <v>185</v>
      </c>
      <c r="C141" s="1" t="s">
        <v>21</v>
      </c>
      <c r="N141" s="5"/>
    </row>
    <row r="142">
      <c r="A142" s="1">
        <v>141.0</v>
      </c>
      <c r="B142" s="1" t="s">
        <v>186</v>
      </c>
      <c r="C142" s="1" t="s">
        <v>21</v>
      </c>
      <c r="N142" s="5"/>
    </row>
    <row r="143">
      <c r="A143" s="1">
        <v>142.0</v>
      </c>
      <c r="B143" s="1" t="s">
        <v>187</v>
      </c>
      <c r="C143" s="1" t="s">
        <v>21</v>
      </c>
      <c r="I143" s="4"/>
      <c r="N143" s="5"/>
    </row>
    <row r="144">
      <c r="A144" s="1">
        <v>143.0</v>
      </c>
      <c r="B144" s="1" t="s">
        <v>188</v>
      </c>
      <c r="C144" s="1" t="s">
        <v>21</v>
      </c>
      <c r="N144" s="5"/>
    </row>
    <row r="145">
      <c r="A145" s="1">
        <v>144.0</v>
      </c>
      <c r="B145" s="1" t="s">
        <v>189</v>
      </c>
      <c r="C145" s="1" t="s">
        <v>21</v>
      </c>
      <c r="I145" s="4"/>
      <c r="N145" s="5"/>
    </row>
    <row r="146">
      <c r="A146" s="1">
        <v>145.0</v>
      </c>
      <c r="B146" s="1" t="s">
        <v>190</v>
      </c>
      <c r="C146" s="1" t="s">
        <v>21</v>
      </c>
      <c r="N146" s="5"/>
    </row>
    <row r="147">
      <c r="A147" s="1">
        <v>146.0</v>
      </c>
      <c r="B147" s="1" t="s">
        <v>191</v>
      </c>
      <c r="C147" s="1" t="s">
        <v>21</v>
      </c>
      <c r="N147" s="5"/>
    </row>
    <row r="148">
      <c r="A148" s="1">
        <v>147.0</v>
      </c>
      <c r="B148" s="1" t="s">
        <v>192</v>
      </c>
      <c r="C148" s="1" t="s">
        <v>21</v>
      </c>
      <c r="N148" s="5"/>
    </row>
    <row r="149">
      <c r="A149" s="1">
        <v>148.0</v>
      </c>
      <c r="B149" s="1" t="s">
        <v>193</v>
      </c>
      <c r="C149" s="1" t="s">
        <v>21</v>
      </c>
      <c r="N149" s="5"/>
    </row>
    <row r="150">
      <c r="A150" s="1">
        <v>149.0</v>
      </c>
      <c r="B150" s="1" t="s">
        <v>194</v>
      </c>
      <c r="C150" s="1" t="s">
        <v>21</v>
      </c>
      <c r="I150" s="4"/>
      <c r="N150" s="5"/>
    </row>
    <row r="151">
      <c r="A151" s="1">
        <v>150.0</v>
      </c>
      <c r="B151" s="1" t="s">
        <v>195</v>
      </c>
      <c r="C151" s="1" t="s">
        <v>21</v>
      </c>
      <c r="N151" s="5"/>
    </row>
    <row r="152">
      <c r="A152" s="1">
        <v>151.0</v>
      </c>
      <c r="B152" s="1" t="s">
        <v>196</v>
      </c>
      <c r="C152" s="1" t="s">
        <v>21</v>
      </c>
      <c r="N152" s="5"/>
    </row>
    <row r="153">
      <c r="A153" s="1">
        <v>152.0</v>
      </c>
      <c r="B153" s="1" t="s">
        <v>197</v>
      </c>
      <c r="C153" s="1" t="s">
        <v>21</v>
      </c>
      <c r="N153" s="5"/>
    </row>
    <row r="154">
      <c r="A154" s="1">
        <v>153.0</v>
      </c>
      <c r="B154" s="1" t="s">
        <v>198</v>
      </c>
      <c r="C154" s="1" t="s">
        <v>21</v>
      </c>
      <c r="N154" s="5"/>
    </row>
    <row r="155">
      <c r="A155" s="1">
        <v>154.0</v>
      </c>
      <c r="B155" s="1" t="s">
        <v>199</v>
      </c>
      <c r="C155" s="1" t="s">
        <v>21</v>
      </c>
      <c r="N155" s="5"/>
    </row>
    <row r="156">
      <c r="A156" s="1">
        <v>155.0</v>
      </c>
      <c r="B156" s="1" t="s">
        <v>200</v>
      </c>
      <c r="C156" s="1" t="s">
        <v>21</v>
      </c>
      <c r="N156" s="5"/>
    </row>
    <row r="157">
      <c r="A157" s="1">
        <v>156.0</v>
      </c>
      <c r="B157" s="1" t="s">
        <v>201</v>
      </c>
      <c r="C157" s="1" t="s">
        <v>21</v>
      </c>
      <c r="N157" s="5"/>
    </row>
    <row r="158">
      <c r="A158" s="1">
        <v>157.0</v>
      </c>
      <c r="B158" s="1" t="s">
        <v>202</v>
      </c>
      <c r="C158" s="1" t="s">
        <v>21</v>
      </c>
      <c r="N158" s="5"/>
    </row>
    <row r="159">
      <c r="A159" s="1">
        <v>158.0</v>
      </c>
      <c r="B159" s="1" t="s">
        <v>203</v>
      </c>
      <c r="C159" s="1" t="s">
        <v>21</v>
      </c>
      <c r="N159" s="5"/>
    </row>
    <row r="160">
      <c r="A160" s="1">
        <v>159.0</v>
      </c>
      <c r="B160" s="1" t="s">
        <v>204</v>
      </c>
      <c r="C160" s="1" t="s">
        <v>21</v>
      </c>
      <c r="N160" s="5"/>
    </row>
    <row r="161">
      <c r="A161" s="1">
        <v>160.0</v>
      </c>
      <c r="B161" s="1" t="s">
        <v>205</v>
      </c>
      <c r="C161" s="1" t="s">
        <v>21</v>
      </c>
      <c r="I161" s="4"/>
      <c r="N161" s="5"/>
    </row>
    <row r="162">
      <c r="A162" s="1">
        <v>161.0</v>
      </c>
      <c r="B162" s="1" t="s">
        <v>206</v>
      </c>
      <c r="C162" s="1" t="s">
        <v>21</v>
      </c>
      <c r="N162" s="5"/>
    </row>
    <row r="163">
      <c r="A163" s="1">
        <v>162.0</v>
      </c>
      <c r="B163" s="1" t="s">
        <v>208</v>
      </c>
      <c r="C163" s="1" t="s">
        <v>21</v>
      </c>
      <c r="N163" s="5"/>
    </row>
    <row r="164">
      <c r="A164" s="1">
        <v>163.0</v>
      </c>
      <c r="B164" s="1" t="s">
        <v>209</v>
      </c>
      <c r="C164" s="1" t="s">
        <v>21</v>
      </c>
      <c r="N164" s="5"/>
    </row>
    <row r="165">
      <c r="A165" s="1">
        <v>164.0</v>
      </c>
      <c r="B165" s="1" t="s">
        <v>210</v>
      </c>
      <c r="C165" s="1" t="s">
        <v>21</v>
      </c>
      <c r="N165" s="5"/>
    </row>
    <row r="166">
      <c r="A166" s="1">
        <v>165.0</v>
      </c>
      <c r="B166" s="1" t="s">
        <v>211</v>
      </c>
      <c r="C166" s="1" t="s">
        <v>21</v>
      </c>
      <c r="N166" s="5"/>
    </row>
    <row r="167">
      <c r="A167" s="1">
        <v>166.0</v>
      </c>
      <c r="B167" s="1" t="s">
        <v>212</v>
      </c>
      <c r="C167" s="1" t="s">
        <v>21</v>
      </c>
      <c r="N167" s="5"/>
    </row>
    <row r="168">
      <c r="A168" s="1">
        <v>167.0</v>
      </c>
      <c r="B168" s="1" t="s">
        <v>213</v>
      </c>
      <c r="C168" s="1" t="s">
        <v>21</v>
      </c>
      <c r="N168" s="5"/>
    </row>
    <row r="169">
      <c r="A169" s="1">
        <v>168.0</v>
      </c>
      <c r="B169" s="1" t="s">
        <v>214</v>
      </c>
      <c r="C169" s="1" t="s">
        <v>21</v>
      </c>
      <c r="N169" s="5"/>
    </row>
    <row r="170">
      <c r="A170" s="1">
        <v>169.0</v>
      </c>
      <c r="B170" s="1" t="s">
        <v>215</v>
      </c>
      <c r="C170" s="1" t="s">
        <v>21</v>
      </c>
      <c r="N170" s="5"/>
    </row>
    <row r="171">
      <c r="A171" s="1">
        <v>170.0</v>
      </c>
      <c r="B171" s="1" t="s">
        <v>216</v>
      </c>
      <c r="C171" s="1" t="s">
        <v>21</v>
      </c>
      <c r="N171" s="5"/>
    </row>
    <row r="172">
      <c r="A172" s="1">
        <v>171.0</v>
      </c>
      <c r="B172" s="1" t="s">
        <v>217</v>
      </c>
      <c r="C172" s="1" t="s">
        <v>21</v>
      </c>
      <c r="N172" s="5"/>
    </row>
    <row r="173">
      <c r="A173" s="1">
        <v>172.0</v>
      </c>
      <c r="B173" s="1" t="s">
        <v>218</v>
      </c>
      <c r="C173" s="1" t="s">
        <v>21</v>
      </c>
      <c r="N173" s="5"/>
    </row>
    <row r="174">
      <c r="A174" s="1">
        <v>173.0</v>
      </c>
      <c r="B174" s="1" t="s">
        <v>219</v>
      </c>
      <c r="C174" s="1" t="s">
        <v>21</v>
      </c>
      <c r="N174" s="5"/>
    </row>
    <row r="175">
      <c r="A175" s="1">
        <v>174.0</v>
      </c>
      <c r="B175" s="1" t="s">
        <v>220</v>
      </c>
      <c r="C175" s="1" t="s">
        <v>21</v>
      </c>
      <c r="N175" s="5"/>
    </row>
    <row r="176">
      <c r="A176" s="1">
        <v>175.0</v>
      </c>
      <c r="B176" s="1" t="s">
        <v>221</v>
      </c>
      <c r="C176" s="1" t="s">
        <v>21</v>
      </c>
      <c r="N176" s="5"/>
    </row>
    <row r="177">
      <c r="A177" s="1">
        <v>176.0</v>
      </c>
      <c r="B177" s="1" t="s">
        <v>222</v>
      </c>
      <c r="C177" s="1" t="s">
        <v>21</v>
      </c>
      <c r="N177" s="5"/>
    </row>
    <row r="178">
      <c r="A178" s="1">
        <v>177.0</v>
      </c>
      <c r="B178" s="1" t="s">
        <v>223</v>
      </c>
      <c r="C178" s="1" t="s">
        <v>21</v>
      </c>
      <c r="N178" s="5"/>
    </row>
    <row r="179">
      <c r="A179" s="1">
        <v>178.0</v>
      </c>
      <c r="B179" s="1" t="s">
        <v>224</v>
      </c>
      <c r="C179" s="1" t="s">
        <v>21</v>
      </c>
      <c r="N179" s="5"/>
    </row>
    <row r="180">
      <c r="A180" s="1">
        <v>179.0</v>
      </c>
      <c r="B180" s="1" t="s">
        <v>225</v>
      </c>
      <c r="C180" s="1" t="s">
        <v>21</v>
      </c>
      <c r="I180" s="4"/>
      <c r="N180" s="5"/>
    </row>
    <row r="181">
      <c r="A181" s="1">
        <v>180.0</v>
      </c>
      <c r="B181" s="1" t="s">
        <v>226</v>
      </c>
      <c r="C181" s="1" t="s">
        <v>21</v>
      </c>
      <c r="N181" s="5"/>
    </row>
    <row r="182">
      <c r="A182" s="1">
        <v>181.0</v>
      </c>
      <c r="B182" s="1" t="s">
        <v>227</v>
      </c>
      <c r="C182" s="1" t="s">
        <v>21</v>
      </c>
      <c r="N182" s="5"/>
    </row>
    <row r="183">
      <c r="A183" s="1">
        <v>182.0</v>
      </c>
      <c r="B183" s="1" t="s">
        <v>228</v>
      </c>
      <c r="C183" s="1" t="s">
        <v>21</v>
      </c>
      <c r="N183" s="5"/>
    </row>
    <row r="184">
      <c r="A184" s="1">
        <v>183.0</v>
      </c>
      <c r="B184" s="1" t="s">
        <v>229</v>
      </c>
      <c r="C184" s="1" t="s">
        <v>21</v>
      </c>
      <c r="N184" s="5"/>
    </row>
    <row r="185">
      <c r="A185" s="1">
        <v>184.0</v>
      </c>
      <c r="B185" s="1" t="s">
        <v>230</v>
      </c>
      <c r="C185" s="1" t="s">
        <v>21</v>
      </c>
      <c r="N185" s="5"/>
    </row>
    <row r="186">
      <c r="A186" s="1">
        <v>185.0</v>
      </c>
      <c r="B186" s="1" t="s">
        <v>231</v>
      </c>
      <c r="C186" s="1" t="s">
        <v>21</v>
      </c>
      <c r="N186" s="5"/>
    </row>
    <row r="187">
      <c r="A187" s="1">
        <v>186.0</v>
      </c>
      <c r="B187" s="1" t="s">
        <v>232</v>
      </c>
      <c r="C187" s="1" t="s">
        <v>21</v>
      </c>
      <c r="N187" s="5"/>
    </row>
    <row r="188">
      <c r="A188" s="1">
        <v>187.0</v>
      </c>
      <c r="B188" s="1" t="s">
        <v>233</v>
      </c>
      <c r="C188" s="1" t="s">
        <v>21</v>
      </c>
      <c r="N188" s="5"/>
    </row>
    <row r="189">
      <c r="A189" s="1">
        <v>188.0</v>
      </c>
      <c r="B189" s="1" t="s">
        <v>234</v>
      </c>
      <c r="C189" s="1" t="s">
        <v>21</v>
      </c>
      <c r="N189" s="5"/>
    </row>
    <row r="190">
      <c r="A190" s="1">
        <v>189.0</v>
      </c>
      <c r="B190" s="1" t="s">
        <v>235</v>
      </c>
      <c r="C190" s="1" t="s">
        <v>21</v>
      </c>
      <c r="N190" s="5"/>
    </row>
    <row r="191">
      <c r="A191" s="1">
        <v>190.0</v>
      </c>
      <c r="B191" s="1" t="s">
        <v>236</v>
      </c>
      <c r="C191" s="1" t="s">
        <v>21</v>
      </c>
      <c r="N191" s="5"/>
    </row>
    <row r="192">
      <c r="A192" s="1">
        <v>191.0</v>
      </c>
      <c r="B192" s="1" t="s">
        <v>237</v>
      </c>
      <c r="C192" s="1" t="s">
        <v>21</v>
      </c>
      <c r="N192" s="5"/>
    </row>
    <row r="193">
      <c r="A193" s="1">
        <v>192.0</v>
      </c>
      <c r="B193" s="1" t="s">
        <v>239</v>
      </c>
      <c r="C193" s="1" t="s">
        <v>21</v>
      </c>
      <c r="N193" s="5"/>
    </row>
    <row r="194">
      <c r="A194" s="1">
        <v>193.0</v>
      </c>
      <c r="B194" s="1" t="s">
        <v>240</v>
      </c>
      <c r="C194" s="1" t="s">
        <v>21</v>
      </c>
      <c r="N194" s="5"/>
    </row>
    <row r="195">
      <c r="A195" s="1">
        <v>194.0</v>
      </c>
      <c r="B195" s="1" t="s">
        <v>241</v>
      </c>
      <c r="C195" s="1" t="s">
        <v>21</v>
      </c>
      <c r="N195" s="5"/>
    </row>
    <row r="196">
      <c r="A196" s="1">
        <v>195.0</v>
      </c>
      <c r="B196" s="1" t="s">
        <v>242</v>
      </c>
      <c r="C196" s="1" t="s">
        <v>21</v>
      </c>
      <c r="N196" s="5"/>
    </row>
    <row r="197">
      <c r="A197" s="1">
        <v>196.0</v>
      </c>
      <c r="B197" s="1" t="s">
        <v>243</v>
      </c>
      <c r="C197" s="1" t="s">
        <v>21</v>
      </c>
      <c r="N197" s="5"/>
    </row>
    <row r="198">
      <c r="A198" s="1">
        <v>197.0</v>
      </c>
      <c r="B198" s="1" t="s">
        <v>244</v>
      </c>
      <c r="C198" s="1" t="s">
        <v>21</v>
      </c>
      <c r="N198" s="5"/>
    </row>
    <row r="199">
      <c r="A199" s="1">
        <v>198.0</v>
      </c>
      <c r="B199" s="1" t="s">
        <v>245</v>
      </c>
      <c r="C199" s="1" t="s">
        <v>21</v>
      </c>
      <c r="N199" s="5"/>
    </row>
    <row r="200">
      <c r="A200" s="1">
        <v>199.0</v>
      </c>
      <c r="B200" s="1" t="s">
        <v>246</v>
      </c>
      <c r="C200" s="1" t="s">
        <v>21</v>
      </c>
      <c r="N200" s="5"/>
    </row>
    <row r="201">
      <c r="A201" s="1">
        <v>200.0</v>
      </c>
      <c r="B201" s="1" t="s">
        <v>247</v>
      </c>
      <c r="C201" s="1" t="s">
        <v>21</v>
      </c>
      <c r="N201" s="5"/>
    </row>
    <row r="202">
      <c r="I202" s="4"/>
      <c r="N202" s="5"/>
    </row>
    <row r="203">
      <c r="N203" s="5"/>
    </row>
    <row r="204">
      <c r="N204" s="5"/>
    </row>
    <row r="205">
      <c r="N205" s="5"/>
    </row>
    <row r="206">
      <c r="N206" s="5"/>
    </row>
    <row r="207">
      <c r="N207" s="5"/>
    </row>
    <row r="208">
      <c r="N208" s="5"/>
    </row>
    <row r="209">
      <c r="N209" s="5"/>
    </row>
    <row r="210">
      <c r="N210" s="5"/>
    </row>
    <row r="211">
      <c r="N211" s="5"/>
    </row>
    <row r="212">
      <c r="N212" s="5"/>
    </row>
    <row r="213">
      <c r="N213" s="5"/>
    </row>
    <row r="214">
      <c r="N214" s="5"/>
    </row>
    <row r="215">
      <c r="N215" s="5"/>
    </row>
    <row r="216">
      <c r="N216" s="5"/>
    </row>
    <row r="217">
      <c r="N217" s="5"/>
    </row>
    <row r="218">
      <c r="N218" s="5"/>
    </row>
    <row r="219">
      <c r="N219" s="5"/>
    </row>
    <row r="220">
      <c r="N220" s="5"/>
    </row>
    <row r="221">
      <c r="N221" s="5"/>
    </row>
    <row r="222">
      <c r="N222" s="5"/>
    </row>
    <row r="223">
      <c r="N223" s="5"/>
    </row>
    <row r="224">
      <c r="N224" s="5"/>
    </row>
    <row r="225">
      <c r="N225" s="5"/>
    </row>
    <row r="226">
      <c r="N226" s="5"/>
    </row>
    <row r="227">
      <c r="N227" s="5"/>
    </row>
    <row r="228">
      <c r="N228" s="5"/>
    </row>
    <row r="229">
      <c r="N229" s="5"/>
    </row>
    <row r="230">
      <c r="N230" s="5"/>
    </row>
    <row r="231">
      <c r="N231" s="5"/>
    </row>
    <row r="232">
      <c r="N232" s="5"/>
    </row>
    <row r="233">
      <c r="N233" s="5"/>
    </row>
    <row r="234">
      <c r="N234" s="5"/>
    </row>
    <row r="235">
      <c r="N235" s="5"/>
    </row>
    <row r="236">
      <c r="N236" s="5"/>
    </row>
    <row r="237">
      <c r="N237" s="5"/>
    </row>
    <row r="238">
      <c r="N238" s="5"/>
    </row>
    <row r="239">
      <c r="N239" s="5"/>
    </row>
    <row r="240">
      <c r="N240" s="5"/>
    </row>
    <row r="241">
      <c r="N241" s="5"/>
    </row>
    <row r="242">
      <c r="N242" s="5"/>
    </row>
    <row r="243">
      <c r="N243" s="5"/>
    </row>
    <row r="244">
      <c r="N244" s="5"/>
    </row>
    <row r="245">
      <c r="N245" s="5"/>
    </row>
    <row r="246">
      <c r="N246" s="5"/>
    </row>
    <row r="247">
      <c r="N247" s="5"/>
    </row>
    <row r="248">
      <c r="N248" s="5"/>
    </row>
    <row r="249">
      <c r="I249" s="4"/>
      <c r="N249" s="5"/>
    </row>
    <row r="250">
      <c r="N250" s="5"/>
    </row>
    <row r="251">
      <c r="N251" s="5"/>
    </row>
    <row r="252">
      <c r="N252" s="5"/>
    </row>
    <row r="253">
      <c r="N253" s="5"/>
    </row>
    <row r="254">
      <c r="N254" s="5"/>
    </row>
    <row r="255">
      <c r="N255" s="5"/>
    </row>
    <row r="256">
      <c r="N256" s="5"/>
    </row>
    <row r="257">
      <c r="N257" s="5"/>
    </row>
    <row r="258">
      <c r="N258" s="5"/>
    </row>
    <row r="259">
      <c r="N259" s="5"/>
    </row>
    <row r="260">
      <c r="N260" s="5"/>
    </row>
    <row r="261">
      <c r="I261" s="4"/>
      <c r="N261" s="5"/>
    </row>
    <row r="262">
      <c r="N262" s="5"/>
    </row>
    <row r="263">
      <c r="N263" s="5"/>
    </row>
    <row r="264">
      <c r="N264" s="5"/>
    </row>
    <row r="265">
      <c r="N265" s="5"/>
    </row>
    <row r="266">
      <c r="N266" s="5"/>
    </row>
    <row r="267">
      <c r="N267" s="5"/>
    </row>
    <row r="268">
      <c r="N268" s="5"/>
    </row>
    <row r="269">
      <c r="N269" s="5"/>
    </row>
    <row r="270">
      <c r="N270" s="5"/>
    </row>
    <row r="271">
      <c r="N271" s="5"/>
    </row>
    <row r="272">
      <c r="N272" s="5"/>
    </row>
    <row r="273">
      <c r="N273" s="5"/>
    </row>
    <row r="274">
      <c r="N274" s="5"/>
    </row>
    <row r="275">
      <c r="N275" s="5"/>
    </row>
    <row r="276">
      <c r="N276" s="5"/>
    </row>
    <row r="277">
      <c r="N277" s="5"/>
    </row>
    <row r="278">
      <c r="N278" s="5"/>
    </row>
    <row r="279">
      <c r="N279" s="5"/>
    </row>
    <row r="280">
      <c r="N280" s="5"/>
    </row>
    <row r="281">
      <c r="N281" s="5"/>
    </row>
    <row r="282">
      <c r="N282" s="5"/>
    </row>
    <row r="283">
      <c r="N283" s="5"/>
    </row>
    <row r="284">
      <c r="N284" s="5"/>
    </row>
    <row r="285">
      <c r="N285" s="5"/>
    </row>
    <row r="286">
      <c r="N286" s="5"/>
    </row>
    <row r="287">
      <c r="N287" s="5"/>
    </row>
    <row r="288">
      <c r="N288" s="5"/>
    </row>
    <row r="289">
      <c r="N289" s="5"/>
    </row>
    <row r="290">
      <c r="N290" s="5"/>
    </row>
    <row r="291">
      <c r="N291" s="5"/>
    </row>
    <row r="292">
      <c r="N292" s="5"/>
    </row>
    <row r="293">
      <c r="N293" s="5"/>
    </row>
    <row r="294">
      <c r="N294" s="5"/>
    </row>
    <row r="295">
      <c r="N295" s="5"/>
    </row>
    <row r="296">
      <c r="N296" s="5"/>
    </row>
    <row r="297">
      <c r="N297" s="5"/>
    </row>
    <row r="298">
      <c r="N298" s="5"/>
    </row>
    <row r="299">
      <c r="N299" s="5"/>
    </row>
    <row r="300">
      <c r="N300" s="5"/>
    </row>
    <row r="301">
      <c r="N301" s="5"/>
    </row>
    <row r="302">
      <c r="N302" s="5"/>
    </row>
    <row r="303">
      <c r="N303" s="5"/>
    </row>
    <row r="304">
      <c r="N304" s="5"/>
    </row>
    <row r="305">
      <c r="N305" s="5"/>
    </row>
    <row r="306">
      <c r="N306" s="5"/>
    </row>
    <row r="307">
      <c r="N307" s="5"/>
    </row>
    <row r="308">
      <c r="N308" s="5"/>
    </row>
    <row r="309">
      <c r="N309" s="5"/>
    </row>
    <row r="310">
      <c r="N310" s="5"/>
    </row>
    <row r="311">
      <c r="N311" s="5"/>
    </row>
    <row r="312">
      <c r="N312" s="5"/>
    </row>
    <row r="313">
      <c r="N313" s="5"/>
    </row>
    <row r="314">
      <c r="N314" s="5"/>
    </row>
    <row r="315">
      <c r="N315" s="5"/>
    </row>
    <row r="316">
      <c r="N316" s="5"/>
    </row>
    <row r="317">
      <c r="N317" s="5"/>
    </row>
    <row r="318">
      <c r="N318" s="5"/>
    </row>
    <row r="319">
      <c r="N319" s="5"/>
    </row>
    <row r="320">
      <c r="N320" s="5"/>
    </row>
    <row r="321">
      <c r="N321" s="5"/>
    </row>
    <row r="322">
      <c r="N322" s="5"/>
    </row>
    <row r="323">
      <c r="N323" s="5"/>
    </row>
    <row r="324">
      <c r="N324" s="5"/>
    </row>
    <row r="325">
      <c r="N325" s="5"/>
    </row>
    <row r="326">
      <c r="N326" s="5"/>
    </row>
    <row r="327">
      <c r="N327" s="5"/>
    </row>
    <row r="328">
      <c r="N328" s="5"/>
    </row>
    <row r="329">
      <c r="N329" s="5"/>
    </row>
    <row r="330">
      <c r="N330" s="5"/>
    </row>
    <row r="331">
      <c r="N331" s="5"/>
    </row>
    <row r="332">
      <c r="N332" s="5"/>
    </row>
    <row r="333">
      <c r="N333" s="5"/>
    </row>
    <row r="334">
      <c r="N334" s="5"/>
    </row>
    <row r="335">
      <c r="N335" s="5"/>
    </row>
    <row r="336">
      <c r="N336" s="5"/>
    </row>
    <row r="337">
      <c r="N337" s="5"/>
    </row>
    <row r="338">
      <c r="N338" s="5"/>
    </row>
    <row r="339">
      <c r="N339" s="5"/>
    </row>
    <row r="340">
      <c r="N340" s="5"/>
    </row>
    <row r="341">
      <c r="N341" s="5"/>
    </row>
    <row r="342">
      <c r="N342" s="5"/>
    </row>
    <row r="343">
      <c r="N343" s="5"/>
    </row>
    <row r="344">
      <c r="N344" s="5"/>
    </row>
    <row r="345">
      <c r="N345" s="5"/>
    </row>
    <row r="346">
      <c r="N346" s="5"/>
    </row>
    <row r="347">
      <c r="N347" s="5"/>
    </row>
    <row r="348">
      <c r="N348" s="5"/>
    </row>
    <row r="349">
      <c r="N349" s="5"/>
    </row>
    <row r="350">
      <c r="N350" s="5"/>
    </row>
    <row r="351">
      <c r="N351" s="5"/>
    </row>
    <row r="352">
      <c r="N352" s="5"/>
    </row>
    <row r="353">
      <c r="N353" s="5"/>
    </row>
    <row r="354">
      <c r="N354" s="5"/>
    </row>
    <row r="355">
      <c r="N355" s="5"/>
    </row>
    <row r="356">
      <c r="N356" s="5"/>
    </row>
    <row r="357">
      <c r="N357" s="5"/>
    </row>
    <row r="358">
      <c r="N358" s="5"/>
    </row>
    <row r="359">
      <c r="N359" s="5"/>
    </row>
    <row r="360">
      <c r="N360" s="5"/>
    </row>
    <row r="361">
      <c r="N361" s="5"/>
    </row>
    <row r="362">
      <c r="N362" s="5"/>
    </row>
    <row r="363">
      <c r="N363" s="5"/>
    </row>
    <row r="364">
      <c r="N364" s="5"/>
    </row>
    <row r="365">
      <c r="N365" s="5"/>
    </row>
    <row r="366">
      <c r="N366" s="5"/>
    </row>
    <row r="367">
      <c r="N367" s="5"/>
    </row>
    <row r="368">
      <c r="N368" s="5"/>
    </row>
    <row r="369">
      <c r="N369" s="5"/>
    </row>
    <row r="370">
      <c r="N370" s="5"/>
    </row>
    <row r="371">
      <c r="N371" s="5"/>
    </row>
    <row r="372">
      <c r="N372" s="5"/>
    </row>
    <row r="373">
      <c r="N373" s="5"/>
    </row>
    <row r="374">
      <c r="N374" s="5"/>
    </row>
    <row r="375">
      <c r="N375" s="5"/>
    </row>
    <row r="376">
      <c r="N376" s="5"/>
    </row>
    <row r="377">
      <c r="N377" s="5"/>
    </row>
    <row r="378">
      <c r="N378" s="5"/>
    </row>
    <row r="379">
      <c r="N379" s="5"/>
    </row>
    <row r="380">
      <c r="N380" s="5"/>
    </row>
    <row r="381">
      <c r="N381" s="5"/>
    </row>
    <row r="382">
      <c r="N382" s="5"/>
    </row>
    <row r="383">
      <c r="N383" s="5"/>
    </row>
    <row r="384">
      <c r="N384" s="5"/>
    </row>
    <row r="385">
      <c r="N385" s="5"/>
    </row>
    <row r="386">
      <c r="N386" s="5"/>
    </row>
    <row r="387">
      <c r="N387" s="5"/>
    </row>
    <row r="388">
      <c r="N388" s="5"/>
    </row>
    <row r="389">
      <c r="N389" s="5"/>
    </row>
    <row r="390">
      <c r="N390" s="5"/>
    </row>
    <row r="391">
      <c r="N391" s="5"/>
    </row>
    <row r="392">
      <c r="N392" s="5"/>
    </row>
    <row r="393">
      <c r="N393" s="5"/>
    </row>
    <row r="394">
      <c r="N394" s="5"/>
    </row>
    <row r="395">
      <c r="N395" s="5"/>
    </row>
    <row r="396">
      <c r="N396" s="5"/>
    </row>
    <row r="397">
      <c r="N397" s="5"/>
    </row>
    <row r="398">
      <c r="N398" s="5"/>
    </row>
    <row r="399">
      <c r="N399" s="5"/>
    </row>
    <row r="400">
      <c r="N400" s="5"/>
    </row>
    <row r="401">
      <c r="N401" s="5"/>
    </row>
    <row r="402">
      <c r="N402" s="5"/>
    </row>
    <row r="403">
      <c r="N403" s="5"/>
    </row>
    <row r="404">
      <c r="N404" s="5"/>
    </row>
    <row r="405">
      <c r="N405" s="5"/>
    </row>
    <row r="406">
      <c r="N406" s="5"/>
    </row>
    <row r="407">
      <c r="N407" s="5"/>
    </row>
    <row r="408">
      <c r="N408" s="5"/>
    </row>
    <row r="409">
      <c r="N409" s="5"/>
    </row>
    <row r="410">
      <c r="N410" s="5"/>
    </row>
    <row r="411">
      <c r="N411" s="5"/>
    </row>
    <row r="412">
      <c r="N412" s="5"/>
    </row>
    <row r="413">
      <c r="N413" s="5"/>
    </row>
    <row r="414">
      <c r="N414" s="5"/>
    </row>
    <row r="415">
      <c r="N415" s="5"/>
    </row>
    <row r="416">
      <c r="N416" s="5"/>
    </row>
    <row r="417">
      <c r="N417" s="5"/>
    </row>
    <row r="418">
      <c r="N418" s="5"/>
    </row>
    <row r="419">
      <c r="N419" s="5"/>
    </row>
    <row r="420">
      <c r="N420" s="5"/>
    </row>
    <row r="421">
      <c r="N421" s="5"/>
    </row>
    <row r="422">
      <c r="N422" s="5"/>
    </row>
    <row r="423">
      <c r="N423" s="5"/>
    </row>
    <row r="424">
      <c r="N424" s="5"/>
    </row>
    <row r="425">
      <c r="N425" s="5"/>
    </row>
    <row r="426">
      <c r="N426" s="5"/>
    </row>
    <row r="427">
      <c r="N427" s="5"/>
    </row>
    <row r="428">
      <c r="N428" s="5"/>
    </row>
    <row r="429">
      <c r="N429" s="5"/>
    </row>
    <row r="430">
      <c r="N430" s="5"/>
    </row>
    <row r="431">
      <c r="N431" s="5"/>
    </row>
    <row r="432">
      <c r="N432" s="5"/>
    </row>
    <row r="433">
      <c r="N433" s="5"/>
    </row>
    <row r="434">
      <c r="N434" s="5"/>
    </row>
    <row r="435">
      <c r="N435" s="5"/>
    </row>
    <row r="436">
      <c r="N436" s="5"/>
    </row>
    <row r="437">
      <c r="N437" s="5"/>
    </row>
    <row r="438">
      <c r="N438" s="5"/>
    </row>
    <row r="439">
      <c r="N439" s="5"/>
    </row>
    <row r="440">
      <c r="N440" s="5"/>
    </row>
    <row r="441">
      <c r="N441" s="5"/>
    </row>
    <row r="442">
      <c r="N442" s="5"/>
    </row>
    <row r="443">
      <c r="N443" s="5"/>
    </row>
    <row r="444">
      <c r="N444" s="5"/>
    </row>
    <row r="445">
      <c r="N445" s="5"/>
    </row>
    <row r="446">
      <c r="N446" s="5"/>
    </row>
    <row r="447">
      <c r="N447" s="5"/>
    </row>
    <row r="448">
      <c r="N448" s="5"/>
    </row>
    <row r="449">
      <c r="N449" s="5"/>
    </row>
    <row r="450">
      <c r="N450" s="5"/>
    </row>
    <row r="451">
      <c r="N451" s="5"/>
    </row>
    <row r="452">
      <c r="N452" s="5"/>
    </row>
    <row r="453">
      <c r="N453" s="5"/>
    </row>
    <row r="454">
      <c r="N454" s="5"/>
    </row>
    <row r="455">
      <c r="N455" s="5"/>
    </row>
    <row r="456">
      <c r="N456" s="5"/>
    </row>
    <row r="457">
      <c r="N457" s="5"/>
    </row>
    <row r="458">
      <c r="N458" s="5"/>
    </row>
    <row r="459">
      <c r="N459" s="5"/>
    </row>
    <row r="460">
      <c r="N460" s="5"/>
    </row>
    <row r="461">
      <c r="N461" s="5"/>
    </row>
    <row r="462">
      <c r="N462" s="5"/>
    </row>
    <row r="463">
      <c r="N463" s="5"/>
    </row>
    <row r="464">
      <c r="N464" s="5"/>
    </row>
    <row r="465">
      <c r="N465" s="5"/>
    </row>
    <row r="466">
      <c r="N466" s="5"/>
    </row>
    <row r="467">
      <c r="N467" s="5"/>
    </row>
    <row r="468">
      <c r="N468" s="5"/>
    </row>
    <row r="469">
      <c r="N469" s="5"/>
    </row>
    <row r="470">
      <c r="N470" s="5"/>
    </row>
    <row r="471">
      <c r="N471" s="5"/>
    </row>
    <row r="472">
      <c r="N472" s="5"/>
    </row>
    <row r="473">
      <c r="N473" s="5"/>
    </row>
    <row r="474">
      <c r="N474" s="5"/>
    </row>
    <row r="475">
      <c r="N475" s="5"/>
    </row>
    <row r="476">
      <c r="N476" s="5"/>
    </row>
    <row r="477">
      <c r="N477" s="5"/>
    </row>
    <row r="478">
      <c r="N478" s="5"/>
    </row>
    <row r="479">
      <c r="N479" s="5"/>
    </row>
    <row r="480">
      <c r="N480" s="5"/>
    </row>
    <row r="481">
      <c r="N481" s="5"/>
    </row>
    <row r="482">
      <c r="N482" s="5"/>
    </row>
    <row r="483">
      <c r="N483" s="5"/>
    </row>
    <row r="484">
      <c r="N484" s="5"/>
    </row>
    <row r="485">
      <c r="N485" s="5"/>
    </row>
    <row r="486">
      <c r="N486" s="5"/>
    </row>
    <row r="487">
      <c r="N487" s="5"/>
    </row>
    <row r="488">
      <c r="N488" s="5"/>
    </row>
    <row r="489">
      <c r="N489" s="5"/>
    </row>
    <row r="490">
      <c r="N490" s="5"/>
    </row>
    <row r="491">
      <c r="N491" s="5"/>
    </row>
    <row r="492">
      <c r="N492" s="5"/>
    </row>
    <row r="493">
      <c r="N493" s="5"/>
    </row>
    <row r="494">
      <c r="N494" s="5"/>
    </row>
    <row r="495">
      <c r="N495" s="5"/>
    </row>
    <row r="496">
      <c r="N496" s="5"/>
    </row>
    <row r="497">
      <c r="N497" s="5"/>
    </row>
    <row r="498">
      <c r="N498" s="5"/>
    </row>
    <row r="499">
      <c r="N499" s="5"/>
    </row>
    <row r="500">
      <c r="N500" s="5"/>
    </row>
    <row r="501">
      <c r="N501" s="5"/>
    </row>
    <row r="502">
      <c r="N502" s="5"/>
    </row>
    <row r="503">
      <c r="N503" s="5"/>
    </row>
    <row r="504">
      <c r="N504" s="5"/>
    </row>
    <row r="505">
      <c r="N505" s="5"/>
    </row>
    <row r="506">
      <c r="N506" s="5"/>
    </row>
    <row r="507">
      <c r="N507" s="5"/>
    </row>
    <row r="508">
      <c r="N508" s="5"/>
    </row>
    <row r="509">
      <c r="N509" s="5"/>
    </row>
    <row r="510">
      <c r="N510" s="5"/>
    </row>
    <row r="511">
      <c r="N511" s="5"/>
    </row>
    <row r="512">
      <c r="N512" s="5"/>
    </row>
    <row r="513">
      <c r="N513" s="5"/>
    </row>
    <row r="514">
      <c r="N514" s="5"/>
    </row>
    <row r="515">
      <c r="N515" s="5"/>
    </row>
    <row r="516">
      <c r="N516" s="5"/>
    </row>
    <row r="517">
      <c r="N517" s="5"/>
    </row>
    <row r="518">
      <c r="N518" s="5"/>
    </row>
    <row r="519">
      <c r="N519" s="5"/>
    </row>
    <row r="520">
      <c r="N520" s="5"/>
    </row>
    <row r="521">
      <c r="N521" s="5"/>
    </row>
    <row r="522">
      <c r="N522" s="5"/>
    </row>
    <row r="523">
      <c r="N523" s="5"/>
    </row>
    <row r="524">
      <c r="N524" s="5"/>
    </row>
    <row r="525">
      <c r="N525" s="5"/>
    </row>
    <row r="526">
      <c r="N526" s="5"/>
    </row>
    <row r="527">
      <c r="N527" s="5"/>
    </row>
    <row r="528">
      <c r="N528" s="5"/>
    </row>
    <row r="529">
      <c r="N529" s="5"/>
    </row>
    <row r="530">
      <c r="N530" s="5"/>
    </row>
    <row r="531">
      <c r="N531" s="5"/>
    </row>
    <row r="532">
      <c r="N532" s="5"/>
    </row>
    <row r="533">
      <c r="N533" s="5"/>
    </row>
    <row r="534">
      <c r="N534" s="5"/>
    </row>
    <row r="535">
      <c r="N535" s="5"/>
    </row>
    <row r="536">
      <c r="N536" s="5"/>
    </row>
    <row r="537">
      <c r="N537" s="5"/>
    </row>
    <row r="538">
      <c r="N538" s="5"/>
    </row>
    <row r="539">
      <c r="N539" s="5"/>
    </row>
    <row r="540">
      <c r="N540" s="5"/>
    </row>
    <row r="541">
      <c r="N541" s="5"/>
    </row>
    <row r="542">
      <c r="N542" s="5"/>
    </row>
    <row r="543">
      <c r="N543" s="5"/>
    </row>
    <row r="544">
      <c r="N544" s="5"/>
    </row>
    <row r="545">
      <c r="N545" s="5"/>
    </row>
    <row r="546">
      <c r="N546" s="5"/>
    </row>
    <row r="547">
      <c r="N547" s="5"/>
    </row>
    <row r="548">
      <c r="N548" s="5"/>
    </row>
    <row r="549">
      <c r="N549" s="5"/>
    </row>
    <row r="550">
      <c r="N550" s="5"/>
    </row>
    <row r="551">
      <c r="N551" s="5"/>
    </row>
    <row r="552">
      <c r="N552" s="5"/>
    </row>
    <row r="553">
      <c r="N553" s="5"/>
    </row>
    <row r="554">
      <c r="N554" s="5"/>
    </row>
    <row r="555">
      <c r="N555" s="5"/>
    </row>
    <row r="556">
      <c r="N556" s="5"/>
    </row>
    <row r="557">
      <c r="N557" s="5"/>
    </row>
    <row r="558">
      <c r="N558" s="5"/>
    </row>
    <row r="559">
      <c r="N559" s="5"/>
    </row>
    <row r="560">
      <c r="N560" s="5"/>
    </row>
    <row r="561">
      <c r="N561" s="5"/>
    </row>
    <row r="562">
      <c r="N562" s="5"/>
    </row>
    <row r="563">
      <c r="N563" s="5"/>
    </row>
    <row r="564">
      <c r="N564" s="5"/>
    </row>
    <row r="565">
      <c r="N565" s="5"/>
    </row>
    <row r="566">
      <c r="N566" s="5"/>
    </row>
    <row r="567">
      <c r="N567" s="5"/>
    </row>
    <row r="568">
      <c r="N568" s="5"/>
    </row>
    <row r="569">
      <c r="N569" s="5"/>
    </row>
    <row r="570">
      <c r="N570" s="5"/>
    </row>
    <row r="571">
      <c r="N571" s="5"/>
    </row>
    <row r="572">
      <c r="N572" s="5"/>
    </row>
    <row r="573">
      <c r="N573" s="5"/>
    </row>
    <row r="574">
      <c r="N574" s="5"/>
    </row>
    <row r="575">
      <c r="N575" s="5"/>
    </row>
    <row r="576">
      <c r="N576" s="5"/>
    </row>
    <row r="577">
      <c r="N577" s="5"/>
    </row>
    <row r="578">
      <c r="N578" s="5"/>
    </row>
    <row r="579">
      <c r="N579" s="5"/>
    </row>
    <row r="580">
      <c r="N580" s="5"/>
    </row>
    <row r="581">
      <c r="N581" s="5"/>
    </row>
    <row r="582">
      <c r="N582" s="5"/>
    </row>
    <row r="583">
      <c r="N583" s="5"/>
    </row>
    <row r="584">
      <c r="N584" s="5"/>
    </row>
    <row r="585">
      <c r="N585" s="5"/>
    </row>
    <row r="586">
      <c r="N586" s="5"/>
    </row>
    <row r="587">
      <c r="N587" s="5"/>
    </row>
    <row r="588">
      <c r="N588" s="5"/>
    </row>
    <row r="589">
      <c r="N589" s="5"/>
    </row>
    <row r="590">
      <c r="N590" s="5"/>
    </row>
    <row r="591">
      <c r="N591" s="5"/>
    </row>
    <row r="592">
      <c r="N592" s="5"/>
    </row>
    <row r="593">
      <c r="N593" s="5"/>
    </row>
    <row r="594">
      <c r="N594" s="5"/>
    </row>
    <row r="595">
      <c r="N595" s="5"/>
    </row>
    <row r="596">
      <c r="N596" s="5"/>
    </row>
    <row r="597">
      <c r="N597" s="5"/>
    </row>
    <row r="598">
      <c r="N598" s="5"/>
    </row>
    <row r="599">
      <c r="N599" s="5"/>
    </row>
    <row r="600">
      <c r="N600" s="5"/>
    </row>
    <row r="601">
      <c r="N601" s="5"/>
    </row>
    <row r="602">
      <c r="N602" s="5"/>
    </row>
    <row r="603">
      <c r="N603" s="5"/>
    </row>
    <row r="604">
      <c r="N604" s="5"/>
    </row>
    <row r="605">
      <c r="N605" s="5"/>
    </row>
    <row r="606">
      <c r="N606" s="5"/>
    </row>
    <row r="607">
      <c r="N607" s="5"/>
    </row>
    <row r="608">
      <c r="N608" s="5"/>
    </row>
    <row r="609">
      <c r="N609" s="5"/>
    </row>
    <row r="610">
      <c r="N610" s="5"/>
    </row>
    <row r="611">
      <c r="N611" s="5"/>
    </row>
    <row r="612">
      <c r="N612" s="5"/>
    </row>
    <row r="613">
      <c r="N613" s="5"/>
    </row>
    <row r="614">
      <c r="N614" s="5"/>
    </row>
    <row r="615">
      <c r="N615" s="5"/>
    </row>
    <row r="616">
      <c r="I616" s="4"/>
      <c r="N616" s="5"/>
    </row>
    <row r="617">
      <c r="N617" s="5"/>
    </row>
    <row r="618">
      <c r="N618" s="5"/>
    </row>
    <row r="619">
      <c r="N619" s="5"/>
    </row>
    <row r="620">
      <c r="N620" s="5"/>
    </row>
    <row r="621">
      <c r="N621" s="5"/>
    </row>
    <row r="622">
      <c r="N622" s="5"/>
    </row>
    <row r="623">
      <c r="N623" s="5"/>
    </row>
    <row r="624">
      <c r="N624" s="5"/>
    </row>
    <row r="625">
      <c r="N625" s="5"/>
    </row>
    <row r="626">
      <c r="N626" s="5"/>
    </row>
    <row r="627">
      <c r="N627" s="5"/>
    </row>
    <row r="628">
      <c r="N628" s="5"/>
    </row>
    <row r="629">
      <c r="N629" s="5"/>
    </row>
    <row r="630">
      <c r="N630" s="5"/>
    </row>
    <row r="631">
      <c r="N631" s="5"/>
    </row>
    <row r="632">
      <c r="N632" s="5"/>
    </row>
    <row r="633">
      <c r="N633" s="5"/>
    </row>
    <row r="634">
      <c r="N634" s="5"/>
    </row>
    <row r="635">
      <c r="N635" s="5"/>
    </row>
    <row r="636">
      <c r="N636" s="5"/>
    </row>
    <row r="637">
      <c r="N637" s="5"/>
    </row>
    <row r="638">
      <c r="N638" s="5"/>
    </row>
    <row r="639">
      <c r="N639" s="5"/>
    </row>
    <row r="640">
      <c r="N640" s="5"/>
    </row>
    <row r="641">
      <c r="N641" s="5"/>
    </row>
    <row r="642">
      <c r="N642" s="5"/>
    </row>
    <row r="643">
      <c r="N643" s="5"/>
    </row>
    <row r="644">
      <c r="N644" s="5"/>
    </row>
    <row r="645">
      <c r="N645" s="5"/>
    </row>
    <row r="646">
      <c r="N646" s="5"/>
    </row>
    <row r="647">
      <c r="N647" s="5"/>
    </row>
    <row r="648">
      <c r="N648" s="5"/>
    </row>
    <row r="649">
      <c r="N649" s="5"/>
    </row>
    <row r="650">
      <c r="N650" s="5"/>
    </row>
    <row r="651">
      <c r="N651" s="5"/>
    </row>
    <row r="652">
      <c r="N652" s="5"/>
    </row>
    <row r="653">
      <c r="N653" s="5"/>
    </row>
    <row r="654">
      <c r="N654" s="5"/>
    </row>
    <row r="655">
      <c r="N655" s="5"/>
    </row>
    <row r="656">
      <c r="N656" s="5"/>
    </row>
    <row r="657">
      <c r="N657" s="5"/>
    </row>
    <row r="658">
      <c r="N658" s="5"/>
    </row>
    <row r="659">
      <c r="N659" s="5"/>
    </row>
    <row r="660">
      <c r="N660" s="5"/>
    </row>
    <row r="661">
      <c r="N661" s="5"/>
    </row>
    <row r="662">
      <c r="N662" s="5"/>
    </row>
    <row r="663">
      <c r="N663" s="5"/>
    </row>
    <row r="664">
      <c r="N664" s="5"/>
    </row>
    <row r="665">
      <c r="N665" s="5"/>
    </row>
    <row r="666">
      <c r="N666" s="5"/>
    </row>
    <row r="667">
      <c r="N667" s="5"/>
    </row>
    <row r="668">
      <c r="N668" s="5"/>
    </row>
    <row r="669">
      <c r="N669" s="5"/>
    </row>
    <row r="670">
      <c r="N670" s="5"/>
    </row>
    <row r="671">
      <c r="N671" s="5"/>
    </row>
    <row r="672">
      <c r="N672" s="5"/>
    </row>
    <row r="673">
      <c r="N673" s="5"/>
    </row>
    <row r="674">
      <c r="N674" s="5"/>
    </row>
    <row r="675">
      <c r="N675" s="5"/>
    </row>
    <row r="676">
      <c r="N676" s="5"/>
    </row>
    <row r="677">
      <c r="N677" s="5"/>
    </row>
    <row r="678">
      <c r="N678" s="5"/>
    </row>
    <row r="679">
      <c r="N679" s="5"/>
    </row>
    <row r="680">
      <c r="N680" s="5"/>
    </row>
    <row r="681">
      <c r="N681" s="5"/>
    </row>
    <row r="682">
      <c r="N682" s="5"/>
    </row>
    <row r="683">
      <c r="N683" s="5"/>
    </row>
    <row r="684">
      <c r="N684" s="5"/>
    </row>
    <row r="685">
      <c r="N685" s="5"/>
    </row>
    <row r="686">
      <c r="N686" s="5"/>
    </row>
    <row r="687">
      <c r="N687" s="5"/>
    </row>
    <row r="688">
      <c r="N688" s="5"/>
    </row>
    <row r="689">
      <c r="N689" s="5"/>
    </row>
    <row r="690">
      <c r="N690" s="5"/>
    </row>
    <row r="691">
      <c r="N691" s="5"/>
    </row>
    <row r="692">
      <c r="N692" s="5"/>
    </row>
    <row r="693">
      <c r="N693" s="5"/>
    </row>
    <row r="694">
      <c r="N694" s="5"/>
    </row>
    <row r="695">
      <c r="N695" s="5"/>
    </row>
    <row r="696">
      <c r="N696" s="5"/>
    </row>
    <row r="697">
      <c r="N697" s="5"/>
    </row>
    <row r="698">
      <c r="N698" s="5"/>
    </row>
    <row r="699">
      <c r="N699" s="5"/>
    </row>
    <row r="700">
      <c r="N700" s="5"/>
    </row>
    <row r="701">
      <c r="N701" s="5"/>
    </row>
    <row r="702">
      <c r="N702" s="5"/>
    </row>
    <row r="703">
      <c r="N703" s="5"/>
    </row>
    <row r="704">
      <c r="N704" s="5"/>
    </row>
    <row r="705">
      <c r="N705" s="5"/>
    </row>
    <row r="706">
      <c r="N706" s="5"/>
    </row>
    <row r="707">
      <c r="N707" s="5"/>
    </row>
    <row r="708">
      <c r="N708" s="5"/>
    </row>
    <row r="709">
      <c r="N709" s="5"/>
    </row>
    <row r="710">
      <c r="N710" s="5"/>
    </row>
    <row r="711">
      <c r="N711" s="5"/>
    </row>
    <row r="712">
      <c r="N712" s="5"/>
    </row>
    <row r="713">
      <c r="N713" s="5"/>
    </row>
    <row r="714">
      <c r="N714" s="5"/>
    </row>
    <row r="715">
      <c r="N715" s="5"/>
    </row>
    <row r="716">
      <c r="N716" s="5"/>
    </row>
    <row r="717">
      <c r="N717" s="5"/>
    </row>
    <row r="718">
      <c r="N718" s="5"/>
    </row>
    <row r="719">
      <c r="N719" s="5"/>
    </row>
    <row r="720">
      <c r="N720" s="5"/>
    </row>
    <row r="721">
      <c r="N721" s="5"/>
    </row>
    <row r="722">
      <c r="N722" s="5"/>
    </row>
    <row r="723">
      <c r="N723" s="5"/>
    </row>
    <row r="724">
      <c r="N724" s="5"/>
    </row>
    <row r="725">
      <c r="N725" s="5"/>
    </row>
    <row r="726">
      <c r="N726" s="5"/>
    </row>
    <row r="727">
      <c r="N727" s="5"/>
    </row>
    <row r="728">
      <c r="N728" s="5"/>
    </row>
    <row r="729">
      <c r="N729" s="5"/>
    </row>
    <row r="730">
      <c r="N730" s="5"/>
    </row>
    <row r="731">
      <c r="N731" s="5"/>
    </row>
    <row r="732">
      <c r="N732" s="5"/>
    </row>
    <row r="733">
      <c r="N733" s="5"/>
    </row>
    <row r="734">
      <c r="N734" s="5"/>
    </row>
    <row r="735">
      <c r="N735" s="5"/>
    </row>
    <row r="736">
      <c r="N736" s="5"/>
    </row>
    <row r="737">
      <c r="N737" s="5"/>
    </row>
    <row r="738">
      <c r="N738" s="5"/>
    </row>
    <row r="739">
      <c r="N739" s="5"/>
    </row>
    <row r="740">
      <c r="N740" s="5"/>
    </row>
    <row r="741">
      <c r="N741" s="5"/>
    </row>
    <row r="742">
      <c r="N742" s="5"/>
    </row>
    <row r="743">
      <c r="N743" s="5"/>
    </row>
    <row r="744">
      <c r="N744" s="5"/>
    </row>
    <row r="745">
      <c r="N745" s="5"/>
    </row>
    <row r="746">
      <c r="N746" s="5"/>
    </row>
    <row r="747">
      <c r="N747" s="5"/>
    </row>
    <row r="748">
      <c r="N748" s="5"/>
    </row>
    <row r="749">
      <c r="N749" s="5"/>
    </row>
    <row r="750">
      <c r="N750" s="5"/>
    </row>
    <row r="751">
      <c r="N751" s="5"/>
    </row>
    <row r="752">
      <c r="N752" s="5"/>
    </row>
    <row r="753">
      <c r="N753" s="5"/>
    </row>
    <row r="754">
      <c r="N754" s="5"/>
    </row>
    <row r="755">
      <c r="N755" s="5"/>
    </row>
    <row r="756">
      <c r="N756" s="5"/>
    </row>
    <row r="757">
      <c r="N757" s="5"/>
    </row>
    <row r="758">
      <c r="N758" s="5"/>
    </row>
    <row r="759">
      <c r="N759" s="5"/>
    </row>
    <row r="760">
      <c r="N760" s="5"/>
    </row>
    <row r="761">
      <c r="N761" s="5"/>
    </row>
    <row r="762">
      <c r="N762" s="5"/>
    </row>
    <row r="763">
      <c r="N763" s="5"/>
    </row>
    <row r="764">
      <c r="N764" s="5"/>
    </row>
    <row r="765">
      <c r="N765" s="5"/>
    </row>
    <row r="766">
      <c r="N766" s="5"/>
    </row>
    <row r="767">
      <c r="N767" s="5"/>
    </row>
    <row r="768">
      <c r="N768" s="5"/>
    </row>
    <row r="769">
      <c r="N769" s="5"/>
    </row>
    <row r="770">
      <c r="N770" s="5"/>
    </row>
    <row r="771">
      <c r="N771" s="5"/>
    </row>
    <row r="772">
      <c r="N772" s="5"/>
    </row>
    <row r="773">
      <c r="N773" s="5"/>
    </row>
    <row r="774">
      <c r="N774" s="5"/>
    </row>
    <row r="775">
      <c r="N775" s="5"/>
    </row>
    <row r="776">
      <c r="N776" s="5"/>
    </row>
    <row r="777">
      <c r="N777" s="5"/>
    </row>
    <row r="778">
      <c r="N778" s="5"/>
    </row>
    <row r="779">
      <c r="N779" s="5"/>
    </row>
    <row r="780">
      <c r="N780" s="5"/>
    </row>
    <row r="781">
      <c r="N781" s="5"/>
    </row>
    <row r="782">
      <c r="N782" s="5"/>
    </row>
    <row r="783">
      <c r="N783" s="5"/>
    </row>
    <row r="784">
      <c r="N784" s="5"/>
    </row>
    <row r="785">
      <c r="N785" s="5"/>
    </row>
    <row r="786">
      <c r="N786" s="5"/>
    </row>
    <row r="787">
      <c r="N787" s="5"/>
    </row>
    <row r="788">
      <c r="N788" s="5"/>
    </row>
    <row r="789">
      <c r="N789" s="5"/>
    </row>
    <row r="790">
      <c r="N790" s="5"/>
    </row>
    <row r="791">
      <c r="N791" s="5"/>
    </row>
    <row r="792">
      <c r="N792" s="5"/>
    </row>
    <row r="793">
      <c r="N793" s="5"/>
    </row>
    <row r="794">
      <c r="N794" s="5"/>
    </row>
    <row r="795">
      <c r="N795" s="5"/>
    </row>
    <row r="796">
      <c r="N796" s="5"/>
    </row>
    <row r="797">
      <c r="N797" s="5"/>
    </row>
    <row r="798">
      <c r="N798" s="5"/>
    </row>
    <row r="799">
      <c r="N799" s="5"/>
    </row>
    <row r="800">
      <c r="N800" s="5"/>
    </row>
    <row r="801">
      <c r="N801" s="5"/>
    </row>
    <row r="802">
      <c r="N802" s="5"/>
    </row>
    <row r="803">
      <c r="N803" s="5"/>
    </row>
    <row r="804">
      <c r="N804" s="5"/>
    </row>
    <row r="805">
      <c r="N805" s="5"/>
    </row>
    <row r="806">
      <c r="N806" s="5"/>
    </row>
    <row r="807">
      <c r="N807" s="5"/>
    </row>
    <row r="808">
      <c r="N808" s="5"/>
    </row>
    <row r="809">
      <c r="N809" s="5"/>
    </row>
    <row r="810">
      <c r="N810" s="5"/>
    </row>
    <row r="811">
      <c r="N811" s="5"/>
    </row>
    <row r="812">
      <c r="N812" s="5"/>
    </row>
    <row r="813">
      <c r="N813" s="5"/>
    </row>
    <row r="814">
      <c r="N814" s="5"/>
    </row>
    <row r="815">
      <c r="N815" s="5"/>
    </row>
    <row r="816">
      <c r="N816" s="5"/>
    </row>
    <row r="817">
      <c r="N817" s="5"/>
    </row>
    <row r="818">
      <c r="N818" s="5"/>
    </row>
    <row r="819">
      <c r="N819" s="5"/>
    </row>
    <row r="820">
      <c r="N820" s="5"/>
    </row>
    <row r="821">
      <c r="N821" s="5"/>
    </row>
    <row r="822">
      <c r="N822" s="5"/>
    </row>
    <row r="823">
      <c r="N823" s="5"/>
    </row>
    <row r="824">
      <c r="N824" s="5"/>
    </row>
    <row r="825">
      <c r="N825" s="5"/>
    </row>
    <row r="826">
      <c r="N826" s="5"/>
    </row>
    <row r="827">
      <c r="N827" s="5"/>
    </row>
    <row r="828">
      <c r="N828" s="5"/>
    </row>
    <row r="829">
      <c r="N829" s="5"/>
    </row>
    <row r="830">
      <c r="N830" s="5"/>
    </row>
    <row r="831">
      <c r="N831" s="5"/>
    </row>
    <row r="832">
      <c r="N832" s="5"/>
    </row>
    <row r="833">
      <c r="N833" s="5"/>
    </row>
    <row r="834">
      <c r="N834" s="5"/>
    </row>
    <row r="835">
      <c r="N835" s="5"/>
    </row>
    <row r="836">
      <c r="N836" s="5"/>
    </row>
    <row r="837">
      <c r="N837" s="5"/>
    </row>
    <row r="838">
      <c r="N838" s="5"/>
    </row>
    <row r="839">
      <c r="N839" s="5"/>
    </row>
    <row r="840">
      <c r="N840" s="5"/>
    </row>
    <row r="841">
      <c r="N841" s="5"/>
    </row>
    <row r="842">
      <c r="N842" s="5"/>
    </row>
    <row r="843">
      <c r="N843" s="5"/>
    </row>
    <row r="844">
      <c r="N844" s="5"/>
    </row>
    <row r="845">
      <c r="N845" s="5"/>
    </row>
    <row r="846">
      <c r="N846" s="5"/>
    </row>
    <row r="847">
      <c r="N847" s="5"/>
    </row>
    <row r="848">
      <c r="N848" s="5"/>
    </row>
    <row r="849">
      <c r="N849" s="5"/>
    </row>
    <row r="850">
      <c r="N850" s="5"/>
    </row>
    <row r="851">
      <c r="N851" s="5"/>
    </row>
    <row r="852">
      <c r="N852" s="5"/>
    </row>
    <row r="853">
      <c r="N853" s="5"/>
    </row>
    <row r="854">
      <c r="N854" s="5"/>
    </row>
    <row r="855">
      <c r="N855" s="5"/>
    </row>
    <row r="856">
      <c r="N856" s="5"/>
    </row>
    <row r="857">
      <c r="N857" s="5"/>
    </row>
    <row r="858">
      <c r="N858" s="5"/>
    </row>
    <row r="859">
      <c r="N859" s="5"/>
    </row>
    <row r="860">
      <c r="N860" s="5"/>
    </row>
    <row r="861">
      <c r="N861" s="5"/>
    </row>
    <row r="862">
      <c r="N862" s="5"/>
    </row>
    <row r="863">
      <c r="N863" s="5"/>
    </row>
    <row r="864">
      <c r="N864" s="5"/>
    </row>
    <row r="865">
      <c r="N865" s="5"/>
    </row>
    <row r="866">
      <c r="N866" s="5"/>
    </row>
    <row r="867">
      <c r="N867" s="5"/>
    </row>
    <row r="868">
      <c r="N868" s="5"/>
    </row>
    <row r="869">
      <c r="N869" s="5"/>
    </row>
    <row r="870">
      <c r="N870" s="5"/>
    </row>
    <row r="871">
      <c r="N871" s="5"/>
    </row>
    <row r="872">
      <c r="N872" s="5"/>
    </row>
    <row r="873">
      <c r="N873" s="5"/>
    </row>
    <row r="874">
      <c r="N874" s="5"/>
    </row>
    <row r="875">
      <c r="N875" s="5"/>
    </row>
    <row r="876">
      <c r="N876" s="5"/>
    </row>
    <row r="877">
      <c r="N877" s="5"/>
    </row>
    <row r="878">
      <c r="N878" s="5"/>
    </row>
    <row r="879">
      <c r="N879" s="5"/>
    </row>
    <row r="880">
      <c r="N880" s="5"/>
    </row>
    <row r="881">
      <c r="N881" s="5"/>
    </row>
    <row r="882">
      <c r="N882" s="5"/>
    </row>
    <row r="883">
      <c r="N883" s="5"/>
    </row>
    <row r="884">
      <c r="N884" s="5"/>
    </row>
    <row r="885">
      <c r="N885" s="5"/>
    </row>
    <row r="886">
      <c r="N886" s="5"/>
    </row>
    <row r="887">
      <c r="N887" s="5"/>
    </row>
    <row r="888">
      <c r="N888" s="5"/>
    </row>
    <row r="889">
      <c r="N889" s="5"/>
    </row>
    <row r="890">
      <c r="N890" s="5"/>
    </row>
    <row r="891">
      <c r="N891" s="5"/>
    </row>
    <row r="892">
      <c r="N892" s="5"/>
    </row>
    <row r="893">
      <c r="N893" s="5"/>
    </row>
    <row r="894">
      <c r="N894" s="5"/>
    </row>
    <row r="895">
      <c r="N895" s="5"/>
    </row>
    <row r="896">
      <c r="N896" s="5"/>
    </row>
    <row r="897">
      <c r="N897" s="5"/>
    </row>
    <row r="898">
      <c r="N898" s="5"/>
    </row>
    <row r="899">
      <c r="N899" s="5"/>
    </row>
    <row r="900">
      <c r="N900" s="5"/>
    </row>
    <row r="901">
      <c r="N901" s="5"/>
    </row>
    <row r="902">
      <c r="N902" s="5"/>
    </row>
    <row r="903">
      <c r="N903" s="5"/>
    </row>
    <row r="904">
      <c r="N904" s="5"/>
    </row>
    <row r="905">
      <c r="N905" s="5"/>
    </row>
    <row r="906">
      <c r="N906" s="5"/>
    </row>
    <row r="907">
      <c r="N907" s="5"/>
    </row>
    <row r="908">
      <c r="N908" s="5"/>
    </row>
    <row r="909">
      <c r="N909" s="5"/>
    </row>
    <row r="910">
      <c r="N910" s="5"/>
    </row>
    <row r="911">
      <c r="N911" s="5"/>
    </row>
    <row r="912">
      <c r="N912" s="5"/>
    </row>
    <row r="913">
      <c r="N913" s="5"/>
    </row>
    <row r="914">
      <c r="N914" s="5"/>
    </row>
    <row r="915">
      <c r="N915" s="5"/>
    </row>
    <row r="916">
      <c r="N916" s="5"/>
    </row>
    <row r="917">
      <c r="N917" s="5"/>
    </row>
    <row r="918">
      <c r="N918" s="5"/>
    </row>
    <row r="919">
      <c r="N919" s="5"/>
    </row>
    <row r="920">
      <c r="N920" s="5"/>
    </row>
    <row r="921">
      <c r="N921" s="5"/>
    </row>
    <row r="922">
      <c r="N922" s="5"/>
    </row>
    <row r="923">
      <c r="N923" s="5"/>
    </row>
    <row r="924">
      <c r="N924" s="5"/>
    </row>
    <row r="925">
      <c r="N925" s="5"/>
    </row>
    <row r="926">
      <c r="N926" s="5"/>
    </row>
    <row r="927">
      <c r="N927" s="5"/>
    </row>
    <row r="928">
      <c r="N928" s="5"/>
    </row>
    <row r="929">
      <c r="N929" s="5"/>
    </row>
    <row r="930">
      <c r="N930" s="5"/>
    </row>
    <row r="931">
      <c r="N931" s="5"/>
    </row>
    <row r="932">
      <c r="N932" s="5"/>
    </row>
    <row r="933">
      <c r="N933" s="5"/>
    </row>
    <row r="934">
      <c r="N934" s="5"/>
    </row>
    <row r="935">
      <c r="N935" s="5"/>
    </row>
    <row r="936">
      <c r="N936" s="5"/>
    </row>
    <row r="937">
      <c r="N937" s="5"/>
    </row>
    <row r="938">
      <c r="N938" s="5"/>
    </row>
    <row r="939">
      <c r="N939" s="5"/>
    </row>
    <row r="940">
      <c r="N940" s="5"/>
    </row>
    <row r="941">
      <c r="N941" s="5"/>
    </row>
    <row r="942">
      <c r="N942" s="5"/>
    </row>
    <row r="943">
      <c r="N943" s="5"/>
    </row>
    <row r="944">
      <c r="N944" s="5"/>
    </row>
    <row r="945">
      <c r="N945" s="5"/>
    </row>
    <row r="946">
      <c r="N946" s="5"/>
    </row>
    <row r="947">
      <c r="N947" s="5"/>
    </row>
    <row r="948">
      <c r="N948" s="5"/>
    </row>
    <row r="949">
      <c r="N949" s="5"/>
    </row>
    <row r="950">
      <c r="N950" s="5"/>
    </row>
    <row r="951">
      <c r="N951" s="5"/>
    </row>
    <row r="952">
      <c r="N952" s="5"/>
    </row>
    <row r="953">
      <c r="N953" s="5"/>
    </row>
    <row r="954">
      <c r="N954" s="5"/>
    </row>
    <row r="955">
      <c r="N955" s="5"/>
    </row>
    <row r="956">
      <c r="N956" s="5"/>
    </row>
    <row r="957">
      <c r="N957" s="5"/>
    </row>
    <row r="958">
      <c r="N958" s="5"/>
    </row>
    <row r="959">
      <c r="N959" s="5"/>
    </row>
    <row r="960">
      <c r="N960" s="5"/>
    </row>
    <row r="961">
      <c r="N961" s="5"/>
    </row>
    <row r="962">
      <c r="N962" s="5"/>
    </row>
    <row r="963">
      <c r="N963" s="5"/>
    </row>
    <row r="964">
      <c r="N964" s="5"/>
    </row>
    <row r="965">
      <c r="N965" s="5"/>
    </row>
    <row r="966">
      <c r="N966" s="5"/>
    </row>
    <row r="967">
      <c r="N967" s="5"/>
    </row>
    <row r="968">
      <c r="N968" s="5"/>
    </row>
    <row r="969">
      <c r="N969" s="5"/>
    </row>
    <row r="970">
      <c r="N970" s="5"/>
    </row>
    <row r="971">
      <c r="N971" s="5"/>
    </row>
    <row r="972">
      <c r="N972" s="5"/>
    </row>
    <row r="973">
      <c r="N973" s="5"/>
    </row>
    <row r="974">
      <c r="N974" s="5"/>
    </row>
    <row r="975">
      <c r="N975" s="5"/>
    </row>
    <row r="976">
      <c r="N976" s="5"/>
    </row>
    <row r="977">
      <c r="N977" s="5"/>
    </row>
    <row r="978">
      <c r="N978" s="5"/>
    </row>
    <row r="979">
      <c r="N979" s="5"/>
    </row>
    <row r="980">
      <c r="N980" s="5"/>
    </row>
    <row r="981">
      <c r="N981" s="5"/>
    </row>
    <row r="982">
      <c r="N982" s="5"/>
    </row>
    <row r="983">
      <c r="N983" s="5"/>
    </row>
    <row r="984">
      <c r="N984" s="5"/>
    </row>
    <row r="985">
      <c r="N985" s="5"/>
    </row>
    <row r="986">
      <c r="N986" s="5"/>
    </row>
    <row r="987">
      <c r="N987" s="5"/>
    </row>
    <row r="988">
      <c r="N988" s="5"/>
    </row>
    <row r="989">
      <c r="N989" s="5"/>
    </row>
    <row r="990">
      <c r="N990" s="5"/>
    </row>
    <row r="991">
      <c r="N991" s="5"/>
    </row>
    <row r="992">
      <c r="N992" s="5"/>
    </row>
    <row r="993">
      <c r="N993" s="5"/>
    </row>
    <row r="994">
      <c r="N994" s="5"/>
    </row>
    <row r="995">
      <c r="N995" s="5"/>
    </row>
    <row r="996">
      <c r="N996" s="5"/>
    </row>
    <row r="997">
      <c r="N997" s="5"/>
    </row>
    <row r="998">
      <c r="N998" s="5"/>
    </row>
    <row r="999">
      <c r="N999" s="5"/>
    </row>
    <row r="1000">
      <c r="N1000" s="5"/>
    </row>
    <row r="1001">
      <c r="N1001" s="5"/>
    </row>
    <row r="1002">
      <c r="N1002" s="5"/>
    </row>
    <row r="1003">
      <c r="N1003" s="5"/>
    </row>
    <row r="1004">
      <c r="N1004" s="5"/>
    </row>
    <row r="1005">
      <c r="N1005" s="5"/>
    </row>
    <row r="1006">
      <c r="N1006" s="5"/>
    </row>
    <row r="1007">
      <c r="N1007" s="5"/>
    </row>
    <row r="1008">
      <c r="N1008" s="5"/>
    </row>
    <row r="1009">
      <c r="N1009" s="5"/>
    </row>
    <row r="1010">
      <c r="N1010" s="5"/>
    </row>
    <row r="1011">
      <c r="N1011" s="5"/>
    </row>
    <row r="1012">
      <c r="N1012" s="5"/>
    </row>
    <row r="1013">
      <c r="N1013" s="5"/>
    </row>
    <row r="1014">
      <c r="N1014" s="5"/>
    </row>
    <row r="1015">
      <c r="N1015" s="5"/>
    </row>
    <row r="1016">
      <c r="N1016" s="5"/>
    </row>
    <row r="1017">
      <c r="N1017" s="5"/>
    </row>
    <row r="1018">
      <c r="N1018" s="5"/>
    </row>
    <row r="1019">
      <c r="N1019" s="5"/>
    </row>
    <row r="1020">
      <c r="N1020" s="5"/>
    </row>
    <row r="1021">
      <c r="N1021" s="5"/>
    </row>
    <row r="1022">
      <c r="N1022" s="5"/>
    </row>
    <row r="1023">
      <c r="N1023" s="5"/>
    </row>
    <row r="1024">
      <c r="N1024" s="5"/>
    </row>
    <row r="1025">
      <c r="N1025" s="5"/>
    </row>
    <row r="1026">
      <c r="N1026" s="5"/>
    </row>
    <row r="1027">
      <c r="N1027" s="5"/>
    </row>
    <row r="1028">
      <c r="N1028" s="5"/>
    </row>
    <row r="1029">
      <c r="N1029" s="5"/>
    </row>
    <row r="1030">
      <c r="N1030" s="5"/>
    </row>
    <row r="1031">
      <c r="N1031" s="5"/>
    </row>
    <row r="1032">
      <c r="N1032" s="5"/>
    </row>
    <row r="1033">
      <c r="N1033" s="5"/>
    </row>
    <row r="1034">
      <c r="N1034" s="5"/>
    </row>
    <row r="1035">
      <c r="N1035" s="5"/>
    </row>
    <row r="1036">
      <c r="N1036" s="5"/>
    </row>
    <row r="1037">
      <c r="N1037" s="5"/>
    </row>
    <row r="1038">
      <c r="N1038" s="5"/>
    </row>
    <row r="1039">
      <c r="N1039" s="5"/>
    </row>
    <row r="1040">
      <c r="N1040" s="5"/>
    </row>
    <row r="1041">
      <c r="N1041" s="5"/>
    </row>
    <row r="1042">
      <c r="N1042" s="5"/>
    </row>
    <row r="1043">
      <c r="N1043" s="5"/>
    </row>
    <row r="1044">
      <c r="N1044" s="5"/>
    </row>
    <row r="1045">
      <c r="N1045" s="5"/>
    </row>
    <row r="1046">
      <c r="N1046" s="5"/>
    </row>
    <row r="1047">
      <c r="N1047" s="5"/>
    </row>
    <row r="1048">
      <c r="N1048" s="5"/>
    </row>
    <row r="1049">
      <c r="N1049" s="5"/>
    </row>
    <row r="1050">
      <c r="N1050" s="5"/>
    </row>
    <row r="1051">
      <c r="N1051" s="5"/>
    </row>
    <row r="1052">
      <c r="N1052" s="5"/>
    </row>
    <row r="1053">
      <c r="N1053" s="5"/>
    </row>
    <row r="1054">
      <c r="N1054" s="5"/>
    </row>
    <row r="1055">
      <c r="N1055" s="5"/>
    </row>
    <row r="1056">
      <c r="N1056" s="5"/>
    </row>
    <row r="1057">
      <c r="N1057" s="5"/>
    </row>
    <row r="1058">
      <c r="N1058" s="5"/>
    </row>
    <row r="1059">
      <c r="N1059" s="5"/>
    </row>
    <row r="1060">
      <c r="N1060" s="5"/>
    </row>
    <row r="1061">
      <c r="N1061" s="5"/>
    </row>
    <row r="1062">
      <c r="N1062" s="5"/>
    </row>
    <row r="1063">
      <c r="N1063" s="5"/>
    </row>
    <row r="1064">
      <c r="N1064" s="5"/>
    </row>
    <row r="1065">
      <c r="N1065" s="5"/>
    </row>
    <row r="1066">
      <c r="N1066" s="5"/>
    </row>
    <row r="1067">
      <c r="N1067" s="5"/>
    </row>
    <row r="1068">
      <c r="N1068" s="5"/>
    </row>
    <row r="1069">
      <c r="N1069" s="5"/>
    </row>
    <row r="1070">
      <c r="N1070" s="5"/>
    </row>
    <row r="1071">
      <c r="N1071" s="5"/>
    </row>
    <row r="1072">
      <c r="N1072" s="5"/>
    </row>
    <row r="1073">
      <c r="N1073" s="5"/>
    </row>
    <row r="1074">
      <c r="N1074" s="5"/>
    </row>
    <row r="1075">
      <c r="N1075" s="5"/>
    </row>
    <row r="1076">
      <c r="N1076" s="5"/>
    </row>
    <row r="1077">
      <c r="N1077" s="5"/>
    </row>
    <row r="1078">
      <c r="N1078" s="5"/>
    </row>
    <row r="1079">
      <c r="N1079" s="5"/>
    </row>
    <row r="1080">
      <c r="N1080" s="5"/>
    </row>
    <row r="1081">
      <c r="N1081" s="5"/>
    </row>
    <row r="1082">
      <c r="N1082" s="5"/>
    </row>
    <row r="1083">
      <c r="N1083" s="5"/>
    </row>
    <row r="1084">
      <c r="N1084" s="5"/>
    </row>
    <row r="1085">
      <c r="N1085" s="5"/>
    </row>
    <row r="1086">
      <c r="N1086" s="5"/>
    </row>
    <row r="1087">
      <c r="N1087" s="5"/>
    </row>
    <row r="1088">
      <c r="N1088" s="5"/>
    </row>
    <row r="1089">
      <c r="N1089" s="5"/>
    </row>
    <row r="1090">
      <c r="N1090" s="5"/>
    </row>
    <row r="1091">
      <c r="N1091" s="5"/>
    </row>
    <row r="1092">
      <c r="N1092" s="5"/>
    </row>
    <row r="1093">
      <c r="N1093" s="5"/>
    </row>
    <row r="1094">
      <c r="N1094" s="5"/>
    </row>
    <row r="1095">
      <c r="N1095" s="5"/>
    </row>
    <row r="1096">
      <c r="N1096" s="5"/>
    </row>
    <row r="1097">
      <c r="N1097" s="5"/>
    </row>
    <row r="1098">
      <c r="N1098" s="5"/>
    </row>
    <row r="1099">
      <c r="N1099" s="5"/>
    </row>
    <row r="1100">
      <c r="N1100" s="5"/>
    </row>
    <row r="1101">
      <c r="N1101" s="5"/>
    </row>
    <row r="1102">
      <c r="N1102" s="5"/>
    </row>
    <row r="1103">
      <c r="N1103" s="5"/>
    </row>
    <row r="1104">
      <c r="N1104" s="5"/>
    </row>
    <row r="1105">
      <c r="N1105" s="5"/>
    </row>
    <row r="1106">
      <c r="N1106" s="5"/>
    </row>
    <row r="1107">
      <c r="N1107" s="5"/>
    </row>
    <row r="1108">
      <c r="N1108" s="5"/>
    </row>
    <row r="1109">
      <c r="N1109" s="5"/>
    </row>
    <row r="1110">
      <c r="N1110" s="5"/>
    </row>
    <row r="1111">
      <c r="N1111" s="5"/>
    </row>
    <row r="1112">
      <c r="N1112" s="5"/>
    </row>
    <row r="1113">
      <c r="N1113" s="5"/>
    </row>
    <row r="1114">
      <c r="N1114" s="5"/>
    </row>
    <row r="1115">
      <c r="N1115" s="5"/>
    </row>
    <row r="1116">
      <c r="N1116" s="5"/>
    </row>
    <row r="1117">
      <c r="N1117" s="5"/>
    </row>
    <row r="1118">
      <c r="N1118" s="5"/>
    </row>
    <row r="1119">
      <c r="N1119" s="5"/>
    </row>
    <row r="1120">
      <c r="N1120" s="5"/>
    </row>
    <row r="1121">
      <c r="N1121" s="5"/>
    </row>
    <row r="1122">
      <c r="N1122" s="5"/>
    </row>
    <row r="1123">
      <c r="N1123" s="5"/>
    </row>
    <row r="1124">
      <c r="N1124" s="5"/>
    </row>
    <row r="1125">
      <c r="N1125" s="5"/>
    </row>
    <row r="1126">
      <c r="N1126" s="5"/>
    </row>
    <row r="1127">
      <c r="N1127" s="5"/>
    </row>
    <row r="1128">
      <c r="N1128" s="5"/>
    </row>
    <row r="1129">
      <c r="N1129" s="5"/>
    </row>
    <row r="1130">
      <c r="N1130" s="5"/>
    </row>
    <row r="1131">
      <c r="N1131" s="5"/>
    </row>
    <row r="1132">
      <c r="N1132" s="5"/>
    </row>
    <row r="1133">
      <c r="N1133" s="5"/>
    </row>
    <row r="1134">
      <c r="N1134" s="5"/>
    </row>
    <row r="1135">
      <c r="N1135" s="5"/>
    </row>
    <row r="1136">
      <c r="N1136" s="5"/>
    </row>
    <row r="1137">
      <c r="N1137" s="5"/>
    </row>
    <row r="1138">
      <c r="N1138" s="5"/>
    </row>
    <row r="1139">
      <c r="N1139" s="5"/>
    </row>
    <row r="1140">
      <c r="N1140" s="5"/>
    </row>
    <row r="1141">
      <c r="N1141" s="5"/>
    </row>
    <row r="1142">
      <c r="N1142" s="5"/>
    </row>
    <row r="1143">
      <c r="N1143" s="5"/>
    </row>
    <row r="1144">
      <c r="N1144" s="5"/>
    </row>
    <row r="1145">
      <c r="N1145" s="5"/>
    </row>
    <row r="1146">
      <c r="N1146" s="5"/>
    </row>
    <row r="1147">
      <c r="N1147" s="5"/>
    </row>
    <row r="1148">
      <c r="N1148" s="5"/>
    </row>
    <row r="1149">
      <c r="N1149" s="5"/>
    </row>
    <row r="1150">
      <c r="N1150" s="5"/>
    </row>
    <row r="1151">
      <c r="N1151" s="5"/>
    </row>
    <row r="1152">
      <c r="N1152" s="5"/>
    </row>
    <row r="1153">
      <c r="N1153" s="5"/>
    </row>
    <row r="1154">
      <c r="N1154" s="5"/>
    </row>
    <row r="1155">
      <c r="N1155" s="5"/>
    </row>
    <row r="1156">
      <c r="N1156" s="5"/>
    </row>
    <row r="1157">
      <c r="N1157" s="5"/>
    </row>
    <row r="1158">
      <c r="N1158" s="5"/>
    </row>
    <row r="1159">
      <c r="N1159" s="5"/>
    </row>
    <row r="1160">
      <c r="N1160" s="5"/>
    </row>
    <row r="1161">
      <c r="N1161" s="5"/>
    </row>
    <row r="1162">
      <c r="N1162" s="5"/>
    </row>
    <row r="1163">
      <c r="N1163" s="5"/>
    </row>
    <row r="1164">
      <c r="N1164" s="5"/>
    </row>
    <row r="1165">
      <c r="N1165" s="5"/>
    </row>
    <row r="1166">
      <c r="N1166" s="5"/>
    </row>
    <row r="1167">
      <c r="N1167" s="5"/>
    </row>
    <row r="1168">
      <c r="N1168" s="5"/>
    </row>
    <row r="1169">
      <c r="N1169" s="5"/>
    </row>
    <row r="1170">
      <c r="N1170" s="5"/>
    </row>
    <row r="1171">
      <c r="N1171" s="5"/>
    </row>
    <row r="1172">
      <c r="N1172" s="5"/>
    </row>
    <row r="1173">
      <c r="N1173" s="5"/>
    </row>
    <row r="1174">
      <c r="N1174" s="5"/>
    </row>
    <row r="1175">
      <c r="N1175" s="5"/>
    </row>
    <row r="1176">
      <c r="N1176" s="5"/>
    </row>
    <row r="1177">
      <c r="N1177" s="5"/>
    </row>
    <row r="1178">
      <c r="N1178" s="5"/>
    </row>
    <row r="1179">
      <c r="N1179" s="5"/>
    </row>
    <row r="1180">
      <c r="N1180" s="5"/>
    </row>
    <row r="1181">
      <c r="N1181" s="5"/>
    </row>
    <row r="1182">
      <c r="N1182" s="5"/>
    </row>
    <row r="1183">
      <c r="N1183" s="5"/>
    </row>
    <row r="1184">
      <c r="N1184" s="5"/>
    </row>
    <row r="1185">
      <c r="N1185" s="5"/>
    </row>
    <row r="1186">
      <c r="N1186" s="5"/>
    </row>
    <row r="1187">
      <c r="N1187" s="5"/>
    </row>
    <row r="1188">
      <c r="N1188" s="5"/>
    </row>
    <row r="1189">
      <c r="N1189" s="5"/>
    </row>
    <row r="1190">
      <c r="N1190" s="5"/>
    </row>
    <row r="1191">
      <c r="N1191" s="5"/>
    </row>
    <row r="1192">
      <c r="N1192" s="5"/>
    </row>
    <row r="1193">
      <c r="N1193" s="5"/>
    </row>
    <row r="1194">
      <c r="N1194" s="5"/>
    </row>
    <row r="1195">
      <c r="N1195" s="5"/>
    </row>
    <row r="1196">
      <c r="N1196" s="5"/>
    </row>
    <row r="1197">
      <c r="N1197" s="5"/>
    </row>
    <row r="1198">
      <c r="N1198" s="5"/>
    </row>
    <row r="1199">
      <c r="N1199" s="5"/>
    </row>
    <row r="1200">
      <c r="N1200" s="5"/>
    </row>
    <row r="1201">
      <c r="N1201" s="5"/>
    </row>
    <row r="1202">
      <c r="N1202" s="5"/>
    </row>
    <row r="1203">
      <c r="N1203" s="5"/>
    </row>
    <row r="1204">
      <c r="N1204" s="5"/>
    </row>
    <row r="1205">
      <c r="N1205" s="5"/>
    </row>
    <row r="1206">
      <c r="N1206" s="5"/>
    </row>
    <row r="1207">
      <c r="N1207" s="5"/>
    </row>
    <row r="1208">
      <c r="N1208" s="5"/>
    </row>
    <row r="1209">
      <c r="N1209" s="5"/>
    </row>
    <row r="1210">
      <c r="N1210" s="5"/>
    </row>
    <row r="1211">
      <c r="N1211" s="5"/>
    </row>
    <row r="1212">
      <c r="N1212" s="5"/>
    </row>
    <row r="1213">
      <c r="N1213" s="5"/>
    </row>
    <row r="1214">
      <c r="N1214" s="5"/>
    </row>
    <row r="1215">
      <c r="N1215" s="5"/>
    </row>
    <row r="1216">
      <c r="N1216" s="5"/>
    </row>
    <row r="1217">
      <c r="N1217" s="5"/>
    </row>
    <row r="1218">
      <c r="N1218" s="5"/>
    </row>
    <row r="1219">
      <c r="N1219" s="5"/>
    </row>
    <row r="1220">
      <c r="N1220" s="5"/>
    </row>
    <row r="1221">
      <c r="N1221" s="5"/>
    </row>
    <row r="1222">
      <c r="N1222" s="5"/>
    </row>
    <row r="1223">
      <c r="N1223" s="5"/>
    </row>
    <row r="1224">
      <c r="N1224" s="5"/>
    </row>
    <row r="1225">
      <c r="N1225" s="5"/>
    </row>
    <row r="1226">
      <c r="N1226" s="5"/>
    </row>
    <row r="1227">
      <c r="N1227" s="5"/>
    </row>
    <row r="1228">
      <c r="N1228" s="5"/>
    </row>
    <row r="1229">
      <c r="N1229" s="5"/>
    </row>
    <row r="1230">
      <c r="N1230" s="5"/>
    </row>
    <row r="1231">
      <c r="N1231" s="5"/>
    </row>
    <row r="1232">
      <c r="N1232" s="5"/>
    </row>
    <row r="1233">
      <c r="N1233" s="5"/>
    </row>
    <row r="1234">
      <c r="N1234" s="5"/>
    </row>
    <row r="1235">
      <c r="N1235" s="5"/>
    </row>
    <row r="1236">
      <c r="N1236" s="5"/>
    </row>
    <row r="1237">
      <c r="N1237" s="5"/>
    </row>
    <row r="1238">
      <c r="N1238" s="5"/>
    </row>
    <row r="1239">
      <c r="N1239" s="5"/>
    </row>
    <row r="1240">
      <c r="N1240" s="5"/>
    </row>
    <row r="1241">
      <c r="N1241" s="5"/>
    </row>
    <row r="1242">
      <c r="N1242" s="5"/>
    </row>
    <row r="1243">
      <c r="N1243" s="5"/>
    </row>
    <row r="1244">
      <c r="N1244" s="5"/>
    </row>
    <row r="1245">
      <c r="N1245" s="5"/>
    </row>
    <row r="1246">
      <c r="N1246" s="5"/>
    </row>
    <row r="1247">
      <c r="N1247" s="5"/>
    </row>
    <row r="1248">
      <c r="N1248" s="5"/>
    </row>
    <row r="1249">
      <c r="N1249" s="5"/>
    </row>
    <row r="1250">
      <c r="N1250" s="5"/>
    </row>
    <row r="1251">
      <c r="N1251" s="5"/>
    </row>
    <row r="1252">
      <c r="N1252" s="5"/>
    </row>
    <row r="1253">
      <c r="N1253" s="5"/>
    </row>
    <row r="1254">
      <c r="N1254" s="5"/>
    </row>
    <row r="1255">
      <c r="N1255" s="5"/>
    </row>
    <row r="1256">
      <c r="N1256" s="5"/>
    </row>
    <row r="1257">
      <c r="N1257" s="5"/>
    </row>
    <row r="1258">
      <c r="N1258" s="5"/>
    </row>
    <row r="1259">
      <c r="N1259" s="5"/>
    </row>
    <row r="1260">
      <c r="N1260" s="5"/>
    </row>
    <row r="1261">
      <c r="N1261" s="5"/>
    </row>
    <row r="1262">
      <c r="N1262" s="5"/>
    </row>
    <row r="1263">
      <c r="N1263" s="5"/>
    </row>
    <row r="1264">
      <c r="N1264" s="5"/>
    </row>
    <row r="1265">
      <c r="N1265" s="5"/>
    </row>
    <row r="1266">
      <c r="N1266" s="5"/>
    </row>
    <row r="1267">
      <c r="N1267" s="5"/>
    </row>
    <row r="1268">
      <c r="N1268" s="5"/>
    </row>
    <row r="1269">
      <c r="N1269" s="5"/>
    </row>
    <row r="1270">
      <c r="N1270" s="5"/>
    </row>
    <row r="1271">
      <c r="N1271" s="5"/>
    </row>
    <row r="1272">
      <c r="N1272" s="5"/>
    </row>
    <row r="1273">
      <c r="N1273" s="5"/>
    </row>
    <row r="1274">
      <c r="N1274" s="5"/>
    </row>
    <row r="1275">
      <c r="N1275" s="5"/>
    </row>
    <row r="1276">
      <c r="N1276" s="5"/>
    </row>
    <row r="1277">
      <c r="N1277" s="5"/>
    </row>
    <row r="1278">
      <c r="N1278" s="5"/>
    </row>
    <row r="1279">
      <c r="N1279" s="5"/>
    </row>
    <row r="1280">
      <c r="N1280" s="5"/>
    </row>
    <row r="1281">
      <c r="N1281" s="5"/>
    </row>
    <row r="1282">
      <c r="N1282" s="5"/>
    </row>
    <row r="1283">
      <c r="N1283" s="5"/>
    </row>
    <row r="1284">
      <c r="N1284" s="5"/>
    </row>
    <row r="1285">
      <c r="N1285" s="5"/>
    </row>
    <row r="1286">
      <c r="N1286" s="5"/>
    </row>
    <row r="1287">
      <c r="N1287" s="5"/>
    </row>
    <row r="1288">
      <c r="N1288" s="5"/>
    </row>
    <row r="1289">
      <c r="N1289" s="5"/>
    </row>
    <row r="1290">
      <c r="N1290" s="5"/>
    </row>
    <row r="1291">
      <c r="N1291" s="5"/>
    </row>
    <row r="1292">
      <c r="N1292" s="5"/>
    </row>
    <row r="1293">
      <c r="N1293" s="5"/>
    </row>
    <row r="1294">
      <c r="N1294" s="5"/>
    </row>
    <row r="1295">
      <c r="N1295" s="5"/>
    </row>
    <row r="1296">
      <c r="N1296" s="5"/>
    </row>
    <row r="1297">
      <c r="N1297" s="5"/>
    </row>
    <row r="1298">
      <c r="N1298" s="5"/>
    </row>
    <row r="1299">
      <c r="N1299" s="5"/>
    </row>
    <row r="1300">
      <c r="N1300" s="5"/>
    </row>
    <row r="1301">
      <c r="N1301" s="5"/>
    </row>
    <row r="1302">
      <c r="N1302" s="5"/>
    </row>
    <row r="1303">
      <c r="N1303" s="5"/>
    </row>
    <row r="1304">
      <c r="N1304" s="5"/>
    </row>
    <row r="1305">
      <c r="N1305" s="5"/>
    </row>
    <row r="1306">
      <c r="N1306" s="5"/>
    </row>
    <row r="1307">
      <c r="N1307" s="5"/>
    </row>
    <row r="1308">
      <c r="N1308" s="5"/>
    </row>
    <row r="1309">
      <c r="N1309" s="5"/>
    </row>
    <row r="1310">
      <c r="N1310" s="5"/>
    </row>
    <row r="1311">
      <c r="N1311" s="5"/>
    </row>
    <row r="1312">
      <c r="N1312" s="5"/>
    </row>
    <row r="1313">
      <c r="N1313" s="5"/>
    </row>
    <row r="1314">
      <c r="N1314" s="5"/>
    </row>
    <row r="1315">
      <c r="N1315" s="5"/>
    </row>
    <row r="1316">
      <c r="N1316" s="5"/>
    </row>
    <row r="1317">
      <c r="N1317" s="5"/>
    </row>
    <row r="1318">
      <c r="N1318" s="5"/>
    </row>
    <row r="1319">
      <c r="N1319" s="5"/>
    </row>
    <row r="1320">
      <c r="N1320" s="5"/>
    </row>
    <row r="1321">
      <c r="N1321" s="5"/>
    </row>
    <row r="1322">
      <c r="N1322" s="5"/>
    </row>
    <row r="1323">
      <c r="N1323" s="5"/>
    </row>
    <row r="1324">
      <c r="N1324" s="5"/>
    </row>
    <row r="1325">
      <c r="N1325" s="5"/>
    </row>
    <row r="1326">
      <c r="N1326" s="5"/>
    </row>
    <row r="1327">
      <c r="N1327" s="5"/>
    </row>
    <row r="1328">
      <c r="N1328" s="5"/>
    </row>
    <row r="1329">
      <c r="N1329" s="5"/>
    </row>
    <row r="1330">
      <c r="N1330" s="5"/>
    </row>
    <row r="1331">
      <c r="N1331" s="5"/>
    </row>
    <row r="1332">
      <c r="N1332" s="5"/>
    </row>
    <row r="1333">
      <c r="N1333" s="5"/>
    </row>
    <row r="1334">
      <c r="N1334" s="5"/>
    </row>
    <row r="1335">
      <c r="N1335" s="5"/>
    </row>
    <row r="1336">
      <c r="N1336" s="5"/>
    </row>
    <row r="1337">
      <c r="N1337" s="5"/>
    </row>
    <row r="1338">
      <c r="N1338" s="5"/>
    </row>
    <row r="1339">
      <c r="N1339" s="5"/>
    </row>
    <row r="1340">
      <c r="N1340" s="5"/>
    </row>
    <row r="1341">
      <c r="N1341" s="5"/>
    </row>
    <row r="1342">
      <c r="N1342" s="5"/>
    </row>
    <row r="1343">
      <c r="N1343" s="5"/>
    </row>
    <row r="1344">
      <c r="N1344" s="5"/>
    </row>
    <row r="1345">
      <c r="N1345" s="5"/>
    </row>
    <row r="1346">
      <c r="N1346" s="5"/>
    </row>
    <row r="1347">
      <c r="N1347" s="5"/>
    </row>
    <row r="1348">
      <c r="N1348" s="5"/>
    </row>
    <row r="1349">
      <c r="N1349" s="5"/>
    </row>
    <row r="1350">
      <c r="N1350" s="5"/>
    </row>
    <row r="1351">
      <c r="N1351" s="5"/>
    </row>
    <row r="1352">
      <c r="N1352" s="5"/>
    </row>
    <row r="1353">
      <c r="N1353" s="5"/>
    </row>
    <row r="1354">
      <c r="N1354" s="5"/>
    </row>
    <row r="1355">
      <c r="N1355" s="5"/>
    </row>
    <row r="1356">
      <c r="N1356" s="5"/>
    </row>
    <row r="1357">
      <c r="N1357" s="5"/>
    </row>
    <row r="1358">
      <c r="N1358" s="5"/>
    </row>
    <row r="1359">
      <c r="N1359" s="5"/>
    </row>
    <row r="1360">
      <c r="N1360" s="5"/>
    </row>
    <row r="1361">
      <c r="N1361" s="5"/>
    </row>
    <row r="1362">
      <c r="N1362" s="5"/>
    </row>
    <row r="1363">
      <c r="N1363" s="5"/>
    </row>
    <row r="1364">
      <c r="N1364" s="5"/>
    </row>
    <row r="1365">
      <c r="N1365" s="5"/>
    </row>
    <row r="1366">
      <c r="N1366" s="5"/>
    </row>
    <row r="1367">
      <c r="N1367" s="5"/>
    </row>
    <row r="1368">
      <c r="N1368" s="5"/>
    </row>
    <row r="1369">
      <c r="N1369" s="5"/>
    </row>
    <row r="1370">
      <c r="N1370" s="5"/>
    </row>
    <row r="1371">
      <c r="N1371" s="5"/>
    </row>
    <row r="1372">
      <c r="N1372" s="5"/>
    </row>
    <row r="1373">
      <c r="N1373" s="5"/>
    </row>
    <row r="1374">
      <c r="N1374" s="5"/>
    </row>
    <row r="1375">
      <c r="N1375" s="5"/>
    </row>
    <row r="1376">
      <c r="N1376" s="5"/>
    </row>
    <row r="1377">
      <c r="N1377" s="5"/>
    </row>
    <row r="1378">
      <c r="N1378" s="5"/>
    </row>
    <row r="1379">
      <c r="N1379" s="5"/>
    </row>
    <row r="1380">
      <c r="N1380" s="5"/>
    </row>
    <row r="1381">
      <c r="N1381" s="5"/>
    </row>
    <row r="1382">
      <c r="N1382" s="5"/>
    </row>
    <row r="1383">
      <c r="N1383" s="5"/>
    </row>
    <row r="1384">
      <c r="N1384" s="5"/>
    </row>
    <row r="1385">
      <c r="N1385" s="5"/>
    </row>
    <row r="1386">
      <c r="N1386" s="5"/>
    </row>
    <row r="1387">
      <c r="N1387" s="5"/>
    </row>
    <row r="1388">
      <c r="N1388" s="5"/>
    </row>
    <row r="1389">
      <c r="N1389" s="5"/>
    </row>
    <row r="1390">
      <c r="N1390" s="5"/>
    </row>
    <row r="1391">
      <c r="N1391" s="5"/>
    </row>
    <row r="1392">
      <c r="N1392" s="5"/>
    </row>
    <row r="1393">
      <c r="N1393" s="5"/>
    </row>
    <row r="1394">
      <c r="N1394" s="5"/>
    </row>
    <row r="1395">
      <c r="N1395" s="5"/>
    </row>
    <row r="1396">
      <c r="N1396" s="5"/>
    </row>
    <row r="1397">
      <c r="N1397" s="5"/>
    </row>
    <row r="1398">
      <c r="N1398" s="5"/>
    </row>
    <row r="1399">
      <c r="N1399" s="5"/>
    </row>
    <row r="1400">
      <c r="N1400" s="5"/>
    </row>
    <row r="1401">
      <c r="N1401" s="5"/>
    </row>
    <row r="1402">
      <c r="N1402" s="5"/>
    </row>
    <row r="1403">
      <c r="N1403" s="5"/>
    </row>
    <row r="1404">
      <c r="N1404" s="5"/>
    </row>
    <row r="1405">
      <c r="N1405" s="5"/>
    </row>
    <row r="1406">
      <c r="N1406" s="5"/>
    </row>
    <row r="1407">
      <c r="N1407" s="5"/>
    </row>
    <row r="1408">
      <c r="N1408" s="5"/>
    </row>
    <row r="1409">
      <c r="N1409" s="5"/>
    </row>
    <row r="1410">
      <c r="N1410" s="5"/>
    </row>
    <row r="1411">
      <c r="N1411" s="5"/>
    </row>
    <row r="1412">
      <c r="N1412" s="5"/>
    </row>
    <row r="1413">
      <c r="N1413" s="5"/>
    </row>
    <row r="1414">
      <c r="N1414" s="5"/>
    </row>
    <row r="1415">
      <c r="N1415" s="5"/>
    </row>
    <row r="1416">
      <c r="N1416" s="5"/>
    </row>
    <row r="1417">
      <c r="N1417" s="5"/>
    </row>
    <row r="1418">
      <c r="N1418" s="5"/>
    </row>
    <row r="1419">
      <c r="N1419" s="5"/>
    </row>
    <row r="1420">
      <c r="N1420" s="5"/>
    </row>
    <row r="1421">
      <c r="N1421" s="5"/>
    </row>
    <row r="1422">
      <c r="N1422" s="5"/>
    </row>
    <row r="1423">
      <c r="N1423" s="5"/>
    </row>
    <row r="1424">
      <c r="N1424" s="5"/>
    </row>
    <row r="1425">
      <c r="N1425" s="5"/>
    </row>
    <row r="1426">
      <c r="N1426" s="5"/>
    </row>
    <row r="1427">
      <c r="N1427" s="5"/>
    </row>
    <row r="1428">
      <c r="N1428" s="5"/>
    </row>
    <row r="1429">
      <c r="N1429" s="5"/>
    </row>
    <row r="1430">
      <c r="N1430" s="5"/>
    </row>
    <row r="1431">
      <c r="N1431" s="5"/>
    </row>
    <row r="1432">
      <c r="N1432" s="5"/>
    </row>
    <row r="1433">
      <c r="N1433" s="5"/>
    </row>
    <row r="1434">
      <c r="N1434" s="5"/>
    </row>
    <row r="1435">
      <c r="N1435" s="5"/>
    </row>
    <row r="1436">
      <c r="N1436" s="5"/>
    </row>
    <row r="1437">
      <c r="N1437" s="5"/>
    </row>
    <row r="1438">
      <c r="N1438" s="5"/>
    </row>
    <row r="1439">
      <c r="N1439" s="5"/>
    </row>
    <row r="1440">
      <c r="N1440" s="5"/>
    </row>
    <row r="1441">
      <c r="N1441" s="5"/>
    </row>
    <row r="1442">
      <c r="N1442" s="5"/>
    </row>
    <row r="1443">
      <c r="N1443" s="5"/>
    </row>
    <row r="1444">
      <c r="N1444" s="5"/>
    </row>
    <row r="1445">
      <c r="N1445" s="5"/>
    </row>
    <row r="1446">
      <c r="N1446" s="5"/>
    </row>
    <row r="1447">
      <c r="N1447" s="5"/>
    </row>
    <row r="1448">
      <c r="N1448" s="5"/>
    </row>
    <row r="1449">
      <c r="N1449" s="5"/>
    </row>
    <row r="1450">
      <c r="N1450" s="5"/>
    </row>
    <row r="1451">
      <c r="N1451" s="5"/>
    </row>
    <row r="1452">
      <c r="N1452" s="5"/>
    </row>
    <row r="1453">
      <c r="N1453" s="5"/>
    </row>
    <row r="1454">
      <c r="N1454" s="5"/>
    </row>
    <row r="1455">
      <c r="N1455" s="5"/>
    </row>
    <row r="1456">
      <c r="N1456" s="5"/>
    </row>
    <row r="1457">
      <c r="N1457" s="5"/>
    </row>
    <row r="1458">
      <c r="N1458" s="5"/>
    </row>
    <row r="1459">
      <c r="N1459" s="5"/>
    </row>
    <row r="1460">
      <c r="N1460" s="5"/>
    </row>
    <row r="1461">
      <c r="N1461" s="5"/>
    </row>
    <row r="1462">
      <c r="N1462" s="5"/>
    </row>
    <row r="1463">
      <c r="N1463" s="5"/>
    </row>
    <row r="1464">
      <c r="N1464" s="5"/>
    </row>
    <row r="1465">
      <c r="N1465" s="5"/>
    </row>
    <row r="1466">
      <c r="N1466" s="5"/>
    </row>
    <row r="1467">
      <c r="N1467" s="5"/>
    </row>
    <row r="1468">
      <c r="N1468" s="5"/>
    </row>
    <row r="1469">
      <c r="N1469" s="5"/>
    </row>
    <row r="1470">
      <c r="N1470" s="5"/>
    </row>
    <row r="1471">
      <c r="N1471" s="5"/>
    </row>
    <row r="1472">
      <c r="N1472" s="5"/>
    </row>
    <row r="1473">
      <c r="N1473" s="5"/>
    </row>
    <row r="1474">
      <c r="N1474" s="5"/>
    </row>
    <row r="1475">
      <c r="N1475" s="5"/>
    </row>
    <row r="1476">
      <c r="N1476" s="5"/>
    </row>
    <row r="1477">
      <c r="N1477" s="5"/>
    </row>
    <row r="1478">
      <c r="N1478" s="5"/>
    </row>
    <row r="1479">
      <c r="N1479" s="5"/>
    </row>
    <row r="1480">
      <c r="N1480" s="5"/>
    </row>
    <row r="1481">
      <c r="N1481" s="5"/>
    </row>
    <row r="1482">
      <c r="N1482" s="5"/>
    </row>
    <row r="1483">
      <c r="N1483" s="5"/>
    </row>
    <row r="1484">
      <c r="N1484" s="5"/>
    </row>
    <row r="1485">
      <c r="N1485" s="5"/>
    </row>
    <row r="1486">
      <c r="N1486" s="5"/>
    </row>
    <row r="1487">
      <c r="N1487" s="5"/>
    </row>
    <row r="1488">
      <c r="N1488" s="5"/>
    </row>
    <row r="1489">
      <c r="N1489" s="5"/>
    </row>
    <row r="1490">
      <c r="N1490" s="5"/>
    </row>
    <row r="1491">
      <c r="N1491" s="5"/>
    </row>
    <row r="1492">
      <c r="N1492" s="5"/>
    </row>
    <row r="1493">
      <c r="N1493" s="5"/>
    </row>
    <row r="1494">
      <c r="N1494" s="5"/>
    </row>
    <row r="1495">
      <c r="N1495" s="5"/>
    </row>
    <row r="1496">
      <c r="N1496" s="5"/>
    </row>
    <row r="1497">
      <c r="N1497" s="5"/>
    </row>
    <row r="1498">
      <c r="N1498" s="5"/>
    </row>
    <row r="1499">
      <c r="N1499" s="5"/>
    </row>
    <row r="1500">
      <c r="N1500" s="5"/>
    </row>
    <row r="1501">
      <c r="N1501" s="5"/>
    </row>
    <row r="1502">
      <c r="N1502" s="5"/>
    </row>
    <row r="1503">
      <c r="N1503" s="5"/>
    </row>
    <row r="1504">
      <c r="N1504" s="5"/>
    </row>
    <row r="1505">
      <c r="N1505" s="5"/>
    </row>
    <row r="1506">
      <c r="N1506" s="5"/>
    </row>
    <row r="1507">
      <c r="N1507" s="5"/>
    </row>
    <row r="1508">
      <c r="N1508" s="5"/>
    </row>
    <row r="1509">
      <c r="N1509" s="5"/>
    </row>
    <row r="1510">
      <c r="N1510" s="5"/>
    </row>
    <row r="1511">
      <c r="N1511" s="5"/>
    </row>
    <row r="1512">
      <c r="N1512" s="5"/>
    </row>
    <row r="1513">
      <c r="N1513" s="5"/>
    </row>
    <row r="1514">
      <c r="N1514" s="5"/>
    </row>
    <row r="1515">
      <c r="N1515" s="5"/>
    </row>
    <row r="1516">
      <c r="N1516" s="5"/>
    </row>
    <row r="1517">
      <c r="N1517" s="5"/>
    </row>
    <row r="1518">
      <c r="N1518" s="5"/>
    </row>
    <row r="1519">
      <c r="N1519" s="5"/>
    </row>
    <row r="1520">
      <c r="N1520" s="5"/>
    </row>
    <row r="1521">
      <c r="N1521" s="5"/>
    </row>
    <row r="1522">
      <c r="N1522" s="5"/>
    </row>
    <row r="1523">
      <c r="N1523" s="5"/>
    </row>
    <row r="1524">
      <c r="N1524" s="5"/>
    </row>
    <row r="1525">
      <c r="N1525" s="5"/>
    </row>
    <row r="1526">
      <c r="N1526" s="5"/>
    </row>
    <row r="1527">
      <c r="N1527" s="5"/>
    </row>
    <row r="1528">
      <c r="N1528" s="5"/>
    </row>
    <row r="1529">
      <c r="N1529" s="5"/>
    </row>
    <row r="1530">
      <c r="N1530" s="5"/>
    </row>
    <row r="1531">
      <c r="N1531" s="5"/>
    </row>
    <row r="1532">
      <c r="N1532" s="5"/>
    </row>
    <row r="1533">
      <c r="N1533" s="5"/>
    </row>
    <row r="1534">
      <c r="N1534" s="5"/>
    </row>
    <row r="1535">
      <c r="N1535" s="5"/>
    </row>
    <row r="1536">
      <c r="N1536" s="5"/>
    </row>
    <row r="1537">
      <c r="N1537" s="5"/>
    </row>
    <row r="1538">
      <c r="N1538" s="5"/>
    </row>
    <row r="1539">
      <c r="N1539" s="5"/>
    </row>
    <row r="1540">
      <c r="N1540" s="5"/>
    </row>
    <row r="1541">
      <c r="N1541" s="5"/>
    </row>
    <row r="1542">
      <c r="N1542" s="5"/>
    </row>
    <row r="1543">
      <c r="N1543" s="5"/>
    </row>
    <row r="1544">
      <c r="N1544" s="5"/>
    </row>
    <row r="1545">
      <c r="N1545" s="5"/>
    </row>
    <row r="1546">
      <c r="N1546" s="5"/>
    </row>
    <row r="1547">
      <c r="N1547" s="5"/>
    </row>
    <row r="1548">
      <c r="N1548" s="5"/>
    </row>
    <row r="1549">
      <c r="N1549" s="5"/>
    </row>
    <row r="1550">
      <c r="N1550" s="5"/>
    </row>
    <row r="1551">
      <c r="N1551" s="5"/>
    </row>
    <row r="1552">
      <c r="N1552" s="5"/>
    </row>
    <row r="1553">
      <c r="N1553" s="5"/>
    </row>
    <row r="1554">
      <c r="N1554" s="5"/>
    </row>
    <row r="1555">
      <c r="N1555" s="5"/>
    </row>
    <row r="1556">
      <c r="N1556" s="5"/>
    </row>
    <row r="1557">
      <c r="N1557" s="5"/>
    </row>
    <row r="1558">
      <c r="N1558" s="5"/>
    </row>
    <row r="1559">
      <c r="N1559" s="5"/>
    </row>
    <row r="1560">
      <c r="N1560" s="5"/>
    </row>
    <row r="1561">
      <c r="N1561" s="5"/>
    </row>
    <row r="1562">
      <c r="N1562" s="5"/>
    </row>
    <row r="1563">
      <c r="N1563" s="5"/>
    </row>
    <row r="1564">
      <c r="N1564" s="5"/>
    </row>
    <row r="1565">
      <c r="N1565" s="5"/>
    </row>
    <row r="1566">
      <c r="N1566" s="5"/>
    </row>
    <row r="1567">
      <c r="N1567" s="5"/>
    </row>
    <row r="1568">
      <c r="N1568" s="5"/>
    </row>
    <row r="1569">
      <c r="N1569" s="5"/>
    </row>
    <row r="1570">
      <c r="N1570" s="5"/>
    </row>
    <row r="1571">
      <c r="N1571" s="5"/>
    </row>
    <row r="1572">
      <c r="N1572" s="5"/>
    </row>
    <row r="1573">
      <c r="N1573" s="5"/>
    </row>
    <row r="1574">
      <c r="N1574" s="5"/>
    </row>
    <row r="1575">
      <c r="N1575" s="5"/>
    </row>
    <row r="1576">
      <c r="N1576" s="5"/>
    </row>
    <row r="1577">
      <c r="N1577" s="5"/>
    </row>
    <row r="1578">
      <c r="N1578" s="5"/>
    </row>
    <row r="1579">
      <c r="N1579" s="5"/>
    </row>
    <row r="1580">
      <c r="N1580" s="5"/>
    </row>
    <row r="1581">
      <c r="N1581" s="5"/>
    </row>
    <row r="1582">
      <c r="N1582" s="5"/>
    </row>
    <row r="1583">
      <c r="N1583" s="5"/>
    </row>
    <row r="1584">
      <c r="N1584" s="5"/>
    </row>
    <row r="1585">
      <c r="N1585" s="5"/>
    </row>
    <row r="1586">
      <c r="N1586" s="5"/>
    </row>
    <row r="1587">
      <c r="N1587" s="5"/>
    </row>
    <row r="1588">
      <c r="N1588" s="5"/>
    </row>
    <row r="1589">
      <c r="N1589" s="5"/>
    </row>
    <row r="1590">
      <c r="N1590" s="5"/>
    </row>
    <row r="1591">
      <c r="N1591" s="5"/>
    </row>
    <row r="1592">
      <c r="N1592" s="5"/>
    </row>
    <row r="1593">
      <c r="N1593" s="5"/>
    </row>
    <row r="1594">
      <c r="N1594" s="5"/>
    </row>
    <row r="1595">
      <c r="N1595" s="5"/>
    </row>
    <row r="1596">
      <c r="N1596" s="5"/>
    </row>
    <row r="1597">
      <c r="N1597" s="5"/>
    </row>
    <row r="1598">
      <c r="N1598" s="5"/>
    </row>
    <row r="1599">
      <c r="N1599" s="5"/>
    </row>
    <row r="1600">
      <c r="N1600" s="5"/>
    </row>
    <row r="1601">
      <c r="N1601" s="5"/>
    </row>
    <row r="1602">
      <c r="N1602" s="5"/>
    </row>
    <row r="1603">
      <c r="N1603" s="5"/>
    </row>
    <row r="1604">
      <c r="N1604" s="5"/>
    </row>
    <row r="1605">
      <c r="N1605" s="5"/>
    </row>
    <row r="1606">
      <c r="N1606" s="5"/>
    </row>
    <row r="1607">
      <c r="N1607" s="5"/>
    </row>
    <row r="1608">
      <c r="N1608" s="5"/>
    </row>
    <row r="1609">
      <c r="N1609" s="5"/>
    </row>
    <row r="1610">
      <c r="N1610" s="5"/>
    </row>
    <row r="1611">
      <c r="N1611" s="5"/>
    </row>
    <row r="1612">
      <c r="N1612" s="5"/>
    </row>
    <row r="1613">
      <c r="N1613" s="5"/>
    </row>
    <row r="1614">
      <c r="N1614" s="5"/>
    </row>
    <row r="1615">
      <c r="N1615" s="5"/>
    </row>
    <row r="1616">
      <c r="N1616" s="5"/>
    </row>
    <row r="1617">
      <c r="N1617" s="5"/>
    </row>
    <row r="1618">
      <c r="N1618" s="5"/>
    </row>
    <row r="1619">
      <c r="N1619" s="5"/>
    </row>
    <row r="1620">
      <c r="N1620" s="5"/>
    </row>
    <row r="1621">
      <c r="N1621" s="5"/>
    </row>
    <row r="1622">
      <c r="N1622" s="5"/>
    </row>
    <row r="1623">
      <c r="N1623" s="5"/>
    </row>
    <row r="1624">
      <c r="N1624" s="5"/>
    </row>
    <row r="1625">
      <c r="N1625" s="5"/>
    </row>
    <row r="1626">
      <c r="N1626" s="5"/>
    </row>
    <row r="1627">
      <c r="N1627" s="5"/>
    </row>
    <row r="1628">
      <c r="N1628" s="5"/>
    </row>
    <row r="1629">
      <c r="N1629" s="5"/>
    </row>
    <row r="1630">
      <c r="N1630" s="5"/>
    </row>
    <row r="1631">
      <c r="N1631" s="5"/>
    </row>
    <row r="1632">
      <c r="N1632" s="5"/>
    </row>
    <row r="1633">
      <c r="N1633" s="5"/>
    </row>
    <row r="1634">
      <c r="N1634" s="5"/>
    </row>
    <row r="1635">
      <c r="N1635" s="5"/>
    </row>
    <row r="1636">
      <c r="N1636" s="5"/>
    </row>
    <row r="1637">
      <c r="N1637" s="5"/>
    </row>
    <row r="1638">
      <c r="N1638" s="5"/>
    </row>
    <row r="1639">
      <c r="N1639" s="5"/>
    </row>
    <row r="1640">
      <c r="N1640" s="5"/>
    </row>
    <row r="1641">
      <c r="N1641" s="5"/>
    </row>
    <row r="1642">
      <c r="N1642" s="5"/>
    </row>
    <row r="1643">
      <c r="N1643" s="5"/>
    </row>
    <row r="1644">
      <c r="N1644" s="5"/>
    </row>
    <row r="1645">
      <c r="N1645" s="5"/>
    </row>
    <row r="1646">
      <c r="N1646" s="5"/>
    </row>
    <row r="1647">
      <c r="N1647" s="5"/>
    </row>
    <row r="1648">
      <c r="N1648" s="5"/>
    </row>
    <row r="1649">
      <c r="N1649" s="5"/>
    </row>
    <row r="1650">
      <c r="N1650" s="5"/>
    </row>
    <row r="1651">
      <c r="N1651" s="5"/>
    </row>
    <row r="1652">
      <c r="N1652" s="5"/>
    </row>
    <row r="1653">
      <c r="N1653" s="5"/>
    </row>
    <row r="1654">
      <c r="N1654" s="5"/>
    </row>
    <row r="1655">
      <c r="N1655" s="5"/>
    </row>
    <row r="1656">
      <c r="N1656" s="5"/>
    </row>
    <row r="1657">
      <c r="N1657" s="5"/>
    </row>
    <row r="1658">
      <c r="N1658" s="5"/>
    </row>
    <row r="1659">
      <c r="N1659" s="5"/>
    </row>
    <row r="1660">
      <c r="N1660" s="5"/>
    </row>
    <row r="1661">
      <c r="N1661" s="5"/>
    </row>
    <row r="1662">
      <c r="N1662" s="5"/>
    </row>
    <row r="1663">
      <c r="N1663" s="5"/>
    </row>
    <row r="1664">
      <c r="N1664" s="5"/>
    </row>
    <row r="1665">
      <c r="N1665" s="5"/>
    </row>
    <row r="1666">
      <c r="N1666" s="5"/>
    </row>
    <row r="1667">
      <c r="N1667" s="5"/>
    </row>
    <row r="1668">
      <c r="N1668" s="5"/>
    </row>
    <row r="1669">
      <c r="N1669" s="5"/>
    </row>
    <row r="1670">
      <c r="N1670" s="5"/>
    </row>
    <row r="1671">
      <c r="N1671" s="5"/>
    </row>
    <row r="1672">
      <c r="N1672" s="5"/>
    </row>
    <row r="1673">
      <c r="N1673" s="5"/>
    </row>
    <row r="1674">
      <c r="N1674" s="5"/>
    </row>
    <row r="1675">
      <c r="N1675" s="5"/>
    </row>
    <row r="1676">
      <c r="N1676" s="5"/>
    </row>
    <row r="1677">
      <c r="N1677" s="5"/>
    </row>
    <row r="1678">
      <c r="N1678" s="5"/>
    </row>
    <row r="1679">
      <c r="N1679" s="5"/>
    </row>
    <row r="1680">
      <c r="N1680" s="5"/>
    </row>
    <row r="1681">
      <c r="N1681" s="5"/>
    </row>
    <row r="1682">
      <c r="N1682" s="5"/>
    </row>
    <row r="1683">
      <c r="N1683" s="5"/>
    </row>
    <row r="1684">
      <c r="N1684" s="5"/>
    </row>
    <row r="1685">
      <c r="N1685" s="5"/>
    </row>
    <row r="1686">
      <c r="N1686" s="5"/>
    </row>
    <row r="1687">
      <c r="N1687" s="5"/>
    </row>
    <row r="1688">
      <c r="N1688" s="5"/>
    </row>
    <row r="1689">
      <c r="N1689" s="5"/>
    </row>
    <row r="1690">
      <c r="N1690" s="5"/>
    </row>
    <row r="1691">
      <c r="N1691" s="5"/>
    </row>
    <row r="1692">
      <c r="N1692" s="5"/>
    </row>
    <row r="1693">
      <c r="N1693" s="5"/>
    </row>
    <row r="1694">
      <c r="N1694" s="5"/>
    </row>
    <row r="1695">
      <c r="N1695" s="5"/>
    </row>
    <row r="1696">
      <c r="N1696" s="5"/>
    </row>
    <row r="1697">
      <c r="N1697" s="5"/>
    </row>
    <row r="1698">
      <c r="N1698" s="5"/>
    </row>
    <row r="1699">
      <c r="N1699" s="5"/>
    </row>
    <row r="1700">
      <c r="N1700" s="5"/>
    </row>
    <row r="1701">
      <c r="N1701" s="5"/>
    </row>
    <row r="1702">
      <c r="N1702" s="5"/>
    </row>
    <row r="1703">
      <c r="N1703" s="5"/>
    </row>
    <row r="1704">
      <c r="N1704" s="5"/>
    </row>
    <row r="1705">
      <c r="N1705" s="5"/>
    </row>
    <row r="1706">
      <c r="N1706" s="5"/>
    </row>
    <row r="1707">
      <c r="N1707" s="5"/>
    </row>
    <row r="1708">
      <c r="N1708" s="5"/>
    </row>
    <row r="1709">
      <c r="N1709" s="5"/>
    </row>
    <row r="1710">
      <c r="N1710" s="5"/>
    </row>
    <row r="1711">
      <c r="N1711" s="5"/>
    </row>
    <row r="1712">
      <c r="N1712" s="5"/>
    </row>
    <row r="1713">
      <c r="N1713" s="5"/>
    </row>
    <row r="1714">
      <c r="N1714" s="5"/>
    </row>
    <row r="1715">
      <c r="N1715" s="5"/>
    </row>
    <row r="1716">
      <c r="N1716" s="5"/>
    </row>
    <row r="1717">
      <c r="N1717" s="5"/>
    </row>
    <row r="1718">
      <c r="N1718" s="5"/>
    </row>
    <row r="1719">
      <c r="N1719" s="5"/>
    </row>
    <row r="1720">
      <c r="N1720" s="5"/>
    </row>
    <row r="1721">
      <c r="N1721" s="5"/>
    </row>
    <row r="1722">
      <c r="N1722" s="5"/>
    </row>
    <row r="1723">
      <c r="N1723" s="5"/>
    </row>
    <row r="1724">
      <c r="N1724" s="5"/>
    </row>
    <row r="1725">
      <c r="N1725" s="5"/>
    </row>
    <row r="1726">
      <c r="N1726" s="5"/>
    </row>
    <row r="1727">
      <c r="N1727" s="5"/>
    </row>
    <row r="1728">
      <c r="N1728" s="5"/>
    </row>
    <row r="1729">
      <c r="N1729" s="5"/>
    </row>
    <row r="1730">
      <c r="N1730" s="5"/>
    </row>
    <row r="1731">
      <c r="N1731" s="5"/>
    </row>
    <row r="1732">
      <c r="N1732" s="5"/>
    </row>
    <row r="1733">
      <c r="N1733" s="5"/>
    </row>
    <row r="1734">
      <c r="N1734" s="5"/>
    </row>
    <row r="1735">
      <c r="N1735" s="5"/>
    </row>
    <row r="1736">
      <c r="N1736" s="5"/>
    </row>
    <row r="1737">
      <c r="N1737" s="5"/>
    </row>
    <row r="1738">
      <c r="N1738" s="5"/>
    </row>
    <row r="1739">
      <c r="N1739" s="5"/>
    </row>
    <row r="1740">
      <c r="N1740" s="5"/>
    </row>
    <row r="1741">
      <c r="N1741" s="5"/>
    </row>
    <row r="1742">
      <c r="N1742" s="5"/>
    </row>
    <row r="1743">
      <c r="N1743" s="5"/>
    </row>
    <row r="1744">
      <c r="N1744" s="5"/>
    </row>
    <row r="1745">
      <c r="N1745" s="5"/>
    </row>
    <row r="1746">
      <c r="N1746" s="5"/>
    </row>
    <row r="1747">
      <c r="N1747" s="5"/>
    </row>
    <row r="1748">
      <c r="N1748" s="5"/>
    </row>
    <row r="1749">
      <c r="N1749" s="5"/>
    </row>
    <row r="1750">
      <c r="N1750" s="5"/>
    </row>
    <row r="1751">
      <c r="N1751" s="5"/>
    </row>
    <row r="1752">
      <c r="N1752" s="5"/>
    </row>
    <row r="1753">
      <c r="N1753" s="5"/>
    </row>
    <row r="1754">
      <c r="N1754" s="5"/>
    </row>
    <row r="1755">
      <c r="N1755" s="5"/>
    </row>
    <row r="1756">
      <c r="N1756" s="5"/>
    </row>
    <row r="1757">
      <c r="N1757" s="5"/>
    </row>
    <row r="1758">
      <c r="N1758" s="5"/>
    </row>
    <row r="1759">
      <c r="N1759" s="5"/>
    </row>
    <row r="1760">
      <c r="N1760" s="5"/>
    </row>
    <row r="1761">
      <c r="N1761" s="5"/>
    </row>
    <row r="1762">
      <c r="N1762" s="5"/>
    </row>
    <row r="1763">
      <c r="N1763" s="5"/>
    </row>
    <row r="1764">
      <c r="N1764" s="5"/>
    </row>
    <row r="1765">
      <c r="N1765" s="5"/>
    </row>
    <row r="1766">
      <c r="N1766" s="5"/>
    </row>
    <row r="1767">
      <c r="N1767" s="5"/>
    </row>
    <row r="1768">
      <c r="N1768" s="5"/>
    </row>
    <row r="1769">
      <c r="N1769" s="5"/>
    </row>
    <row r="1770">
      <c r="N1770" s="5"/>
    </row>
    <row r="1771">
      <c r="N1771" s="5"/>
    </row>
    <row r="1772">
      <c r="N1772" s="5"/>
    </row>
    <row r="1773">
      <c r="N1773" s="5"/>
    </row>
    <row r="1774">
      <c r="N1774" s="5"/>
    </row>
    <row r="1775">
      <c r="N1775" s="5"/>
    </row>
    <row r="1776">
      <c r="N1776" s="5"/>
    </row>
    <row r="1777">
      <c r="N1777" s="5"/>
    </row>
    <row r="1778">
      <c r="N1778" s="5"/>
    </row>
    <row r="1779">
      <c r="N1779" s="5"/>
    </row>
    <row r="1780">
      <c r="N1780" s="5"/>
    </row>
    <row r="1781">
      <c r="N1781" s="5"/>
    </row>
    <row r="1782">
      <c r="N1782" s="5"/>
    </row>
    <row r="1783">
      <c r="N1783" s="5"/>
    </row>
    <row r="1784">
      <c r="N1784" s="5"/>
    </row>
    <row r="1785">
      <c r="N1785" s="5"/>
    </row>
    <row r="1786">
      <c r="N1786" s="5"/>
    </row>
    <row r="1787">
      <c r="N1787" s="5"/>
    </row>
    <row r="1788">
      <c r="N1788" s="5"/>
    </row>
    <row r="1789">
      <c r="N1789" s="5"/>
    </row>
    <row r="1790">
      <c r="N1790" s="5"/>
    </row>
    <row r="1791">
      <c r="N1791" s="5"/>
    </row>
    <row r="1792">
      <c r="N1792" s="5"/>
    </row>
    <row r="1793">
      <c r="N1793" s="5"/>
    </row>
    <row r="1794">
      <c r="N1794" s="5"/>
    </row>
    <row r="1795">
      <c r="N1795" s="5"/>
    </row>
    <row r="1796">
      <c r="N1796" s="5"/>
    </row>
    <row r="1797">
      <c r="N1797" s="5"/>
    </row>
    <row r="1798">
      <c r="N1798" s="5"/>
    </row>
    <row r="1799">
      <c r="N1799" s="5"/>
    </row>
    <row r="1800">
      <c r="N1800" s="5"/>
    </row>
    <row r="1801">
      <c r="N1801" s="5"/>
    </row>
    <row r="1802">
      <c r="N1802" s="5"/>
    </row>
    <row r="1803">
      <c r="N1803" s="5"/>
    </row>
    <row r="1804">
      <c r="N1804" s="5"/>
    </row>
    <row r="1805">
      <c r="N1805" s="5"/>
    </row>
    <row r="1806">
      <c r="N1806" s="5"/>
    </row>
    <row r="1807">
      <c r="N1807" s="5"/>
    </row>
    <row r="1808">
      <c r="N1808" s="5"/>
    </row>
    <row r="1809">
      <c r="N1809" s="5"/>
    </row>
    <row r="1810">
      <c r="N1810" s="5"/>
    </row>
    <row r="1811">
      <c r="N1811" s="5"/>
    </row>
    <row r="1812">
      <c r="N1812" s="5"/>
    </row>
    <row r="1813">
      <c r="N1813" s="5"/>
    </row>
    <row r="1814">
      <c r="N1814" s="5"/>
    </row>
    <row r="1815">
      <c r="N1815" s="5"/>
    </row>
    <row r="1816">
      <c r="N1816" s="5"/>
    </row>
    <row r="1817">
      <c r="N1817" s="5"/>
    </row>
    <row r="1818">
      <c r="N1818" s="5"/>
    </row>
    <row r="1819">
      <c r="N1819" s="5"/>
    </row>
    <row r="1820">
      <c r="N1820" s="5"/>
    </row>
    <row r="1821">
      <c r="N1821" s="5"/>
    </row>
    <row r="1822">
      <c r="N1822" s="5"/>
    </row>
    <row r="1823">
      <c r="N1823" s="5"/>
    </row>
    <row r="1824">
      <c r="N1824" s="5"/>
    </row>
    <row r="1825">
      <c r="N1825" s="5"/>
    </row>
    <row r="1826">
      <c r="N1826" s="5"/>
    </row>
    <row r="1827">
      <c r="N1827" s="5"/>
    </row>
    <row r="1828">
      <c r="N1828" s="5"/>
    </row>
    <row r="1829">
      <c r="N1829" s="5"/>
    </row>
    <row r="1830">
      <c r="N1830" s="5"/>
    </row>
    <row r="1831">
      <c r="N1831" s="5"/>
    </row>
    <row r="1832">
      <c r="N1832" s="5"/>
    </row>
    <row r="1833">
      <c r="N1833" s="5"/>
    </row>
    <row r="1834">
      <c r="N1834" s="5"/>
    </row>
    <row r="1835">
      <c r="N1835" s="5"/>
    </row>
    <row r="1836">
      <c r="N1836" s="5"/>
    </row>
    <row r="1837">
      <c r="N1837" s="5"/>
    </row>
    <row r="1838">
      <c r="N1838" s="5"/>
    </row>
    <row r="1839">
      <c r="N1839" s="5"/>
    </row>
    <row r="1840">
      <c r="N1840" s="5"/>
    </row>
    <row r="1841">
      <c r="N1841" s="5"/>
    </row>
    <row r="1842">
      <c r="N1842" s="5"/>
    </row>
    <row r="1843">
      <c r="N1843" s="5"/>
    </row>
    <row r="1844">
      <c r="N1844" s="5"/>
    </row>
    <row r="1845">
      <c r="N1845" s="5"/>
    </row>
    <row r="1846">
      <c r="N1846" s="5"/>
    </row>
    <row r="1847">
      <c r="N1847" s="5"/>
    </row>
    <row r="1848">
      <c r="N1848" s="5"/>
    </row>
    <row r="1849">
      <c r="N1849" s="5"/>
    </row>
    <row r="1850">
      <c r="N1850" s="5"/>
    </row>
    <row r="1851">
      <c r="N1851" s="5"/>
    </row>
    <row r="1852">
      <c r="N1852" s="5"/>
    </row>
    <row r="1853">
      <c r="N1853" s="5"/>
    </row>
    <row r="1854">
      <c r="N1854" s="5"/>
    </row>
    <row r="1855">
      <c r="N1855" s="5"/>
    </row>
    <row r="1856">
      <c r="N1856" s="5"/>
    </row>
    <row r="1857">
      <c r="N1857" s="5"/>
    </row>
    <row r="1858">
      <c r="N1858" s="5"/>
    </row>
    <row r="1859">
      <c r="N1859" s="5"/>
    </row>
    <row r="1860">
      <c r="N1860" s="5"/>
    </row>
    <row r="1861">
      <c r="N1861" s="5"/>
    </row>
    <row r="1862">
      <c r="N1862" s="5"/>
    </row>
    <row r="1863">
      <c r="N1863" s="5"/>
    </row>
    <row r="1864">
      <c r="N1864" s="5"/>
    </row>
    <row r="1865">
      <c r="N1865" s="5"/>
    </row>
    <row r="1866">
      <c r="N1866" s="5"/>
    </row>
    <row r="1867">
      <c r="N1867" s="5"/>
    </row>
    <row r="1868">
      <c r="N1868" s="5"/>
    </row>
    <row r="1869">
      <c r="N1869" s="5"/>
    </row>
    <row r="1870">
      <c r="N1870" s="5"/>
    </row>
    <row r="1871">
      <c r="N1871" s="5"/>
    </row>
    <row r="1872">
      <c r="N1872" s="5"/>
    </row>
    <row r="1873">
      <c r="N1873" s="5"/>
    </row>
    <row r="1874">
      <c r="N1874" s="5"/>
    </row>
    <row r="1875">
      <c r="N1875" s="5"/>
    </row>
    <row r="1876">
      <c r="N1876" s="5"/>
    </row>
    <row r="1877">
      <c r="N1877" s="5"/>
    </row>
    <row r="1878">
      <c r="N1878" s="5"/>
    </row>
    <row r="1879">
      <c r="N1879" s="5"/>
    </row>
    <row r="1880">
      <c r="N1880" s="5"/>
    </row>
    <row r="1881">
      <c r="N1881" s="5"/>
    </row>
    <row r="1882">
      <c r="N1882" s="5"/>
    </row>
    <row r="1883">
      <c r="N1883" s="5"/>
    </row>
    <row r="1884">
      <c r="N1884" s="5"/>
    </row>
    <row r="1885">
      <c r="N1885" s="5"/>
    </row>
    <row r="1886">
      <c r="N1886" s="5"/>
    </row>
    <row r="1887">
      <c r="N1887" s="5"/>
    </row>
    <row r="1888">
      <c r="N1888" s="5"/>
    </row>
    <row r="1889">
      <c r="N1889" s="5"/>
    </row>
    <row r="1890">
      <c r="N1890" s="5"/>
    </row>
    <row r="1891">
      <c r="N1891" s="5"/>
    </row>
    <row r="1892">
      <c r="N1892" s="5"/>
    </row>
    <row r="1893">
      <c r="N1893" s="5"/>
    </row>
    <row r="1894">
      <c r="N1894" s="5"/>
    </row>
    <row r="1895">
      <c r="N1895" s="5"/>
    </row>
    <row r="1896">
      <c r="N1896" s="5"/>
    </row>
    <row r="1897">
      <c r="N1897" s="5"/>
    </row>
    <row r="1898">
      <c r="N1898" s="5"/>
    </row>
    <row r="1899">
      <c r="N1899" s="5"/>
    </row>
    <row r="1900">
      <c r="N1900" s="5"/>
    </row>
    <row r="1901">
      <c r="N1901" s="5"/>
    </row>
    <row r="1902">
      <c r="N1902" s="5"/>
    </row>
    <row r="1903">
      <c r="N1903" s="5"/>
    </row>
    <row r="1904">
      <c r="N1904" s="5"/>
    </row>
    <row r="1905">
      <c r="N1905" s="5"/>
    </row>
    <row r="1906">
      <c r="N1906" s="5"/>
    </row>
    <row r="1907">
      <c r="N1907" s="5"/>
    </row>
    <row r="1908">
      <c r="N1908" s="5"/>
    </row>
    <row r="1909">
      <c r="N1909" s="5"/>
    </row>
    <row r="1910">
      <c r="N1910" s="5"/>
    </row>
    <row r="1911">
      <c r="N1911" s="5"/>
    </row>
    <row r="1912">
      <c r="N1912" s="5"/>
    </row>
    <row r="1913">
      <c r="N1913" s="5"/>
    </row>
    <row r="1914">
      <c r="N1914" s="5"/>
    </row>
    <row r="1915">
      <c r="N1915" s="5"/>
    </row>
    <row r="1916">
      <c r="N1916" s="5"/>
    </row>
    <row r="1917">
      <c r="N1917" s="5"/>
    </row>
    <row r="1918">
      <c r="N1918" s="5"/>
    </row>
    <row r="1919">
      <c r="N1919" s="5"/>
    </row>
    <row r="1920">
      <c r="N1920" s="5"/>
    </row>
    <row r="1921">
      <c r="N1921" s="5"/>
    </row>
    <row r="1922">
      <c r="N1922" s="5"/>
    </row>
    <row r="1923">
      <c r="N1923" s="5"/>
    </row>
    <row r="1924">
      <c r="N1924" s="5"/>
    </row>
    <row r="1925">
      <c r="N1925" s="5"/>
    </row>
    <row r="1926">
      <c r="N1926" s="5"/>
    </row>
    <row r="1927">
      <c r="N1927" s="5"/>
    </row>
    <row r="1928">
      <c r="N1928" s="5"/>
    </row>
    <row r="1929">
      <c r="N1929" s="5"/>
    </row>
    <row r="1930">
      <c r="N1930" s="5"/>
    </row>
    <row r="1931">
      <c r="N1931" s="5"/>
    </row>
    <row r="1932">
      <c r="N1932" s="5"/>
    </row>
    <row r="1933">
      <c r="N1933" s="5"/>
    </row>
    <row r="1934">
      <c r="N1934" s="5"/>
    </row>
    <row r="1935">
      <c r="N1935" s="5"/>
    </row>
    <row r="1936">
      <c r="N1936" s="5"/>
    </row>
    <row r="1937">
      <c r="N1937" s="5"/>
    </row>
    <row r="1938">
      <c r="N1938" s="5"/>
    </row>
    <row r="1939">
      <c r="N1939" s="5"/>
    </row>
    <row r="1940">
      <c r="N1940" s="5"/>
    </row>
    <row r="1941">
      <c r="N1941" s="5"/>
    </row>
    <row r="1942">
      <c r="N1942" s="5"/>
    </row>
    <row r="1943">
      <c r="N1943" s="5"/>
    </row>
    <row r="1944">
      <c r="N1944" s="5"/>
    </row>
    <row r="1945">
      <c r="N1945" s="5"/>
    </row>
    <row r="1946">
      <c r="N1946" s="5"/>
    </row>
    <row r="1947">
      <c r="N1947" s="5"/>
    </row>
    <row r="1948">
      <c r="N1948" s="5"/>
    </row>
    <row r="1949">
      <c r="N1949" s="5"/>
    </row>
    <row r="1950">
      <c r="N1950" s="5"/>
    </row>
    <row r="1951">
      <c r="N1951" s="5"/>
    </row>
    <row r="1952">
      <c r="N1952" s="5"/>
    </row>
    <row r="1953">
      <c r="N1953" s="5"/>
    </row>
    <row r="1954">
      <c r="N1954" s="5"/>
    </row>
    <row r="1955">
      <c r="N1955" s="5"/>
    </row>
    <row r="1956">
      <c r="N1956" s="5"/>
    </row>
    <row r="1957">
      <c r="N1957" s="5"/>
    </row>
    <row r="1958">
      <c r="N1958" s="5"/>
    </row>
    <row r="1959">
      <c r="N1959" s="5"/>
    </row>
    <row r="1960">
      <c r="N1960" s="5"/>
    </row>
    <row r="1961">
      <c r="N1961" s="5"/>
    </row>
    <row r="1962">
      <c r="N1962" s="5"/>
    </row>
    <row r="1963">
      <c r="N1963" s="5"/>
    </row>
    <row r="1964">
      <c r="N1964" s="5"/>
    </row>
    <row r="1965">
      <c r="N1965" s="5"/>
    </row>
    <row r="1966">
      <c r="N1966" s="5"/>
    </row>
    <row r="1967">
      <c r="N1967" s="5"/>
    </row>
    <row r="1968">
      <c r="N1968" s="5"/>
    </row>
    <row r="1969">
      <c r="N1969" s="5"/>
    </row>
    <row r="1970">
      <c r="N1970" s="5"/>
    </row>
    <row r="1971">
      <c r="N1971" s="5"/>
    </row>
    <row r="1972">
      <c r="N1972" s="5"/>
    </row>
    <row r="1973">
      <c r="N1973" s="5"/>
    </row>
    <row r="1974">
      <c r="N1974" s="5"/>
    </row>
    <row r="1975">
      <c r="N1975" s="5"/>
    </row>
    <row r="1976">
      <c r="N1976" s="5"/>
    </row>
    <row r="1977">
      <c r="N1977" s="5"/>
    </row>
    <row r="1978">
      <c r="N1978" s="5"/>
    </row>
    <row r="1979">
      <c r="N1979" s="5"/>
    </row>
    <row r="1980">
      <c r="N1980" s="5"/>
    </row>
    <row r="1981">
      <c r="N1981" s="5"/>
    </row>
    <row r="1982">
      <c r="N1982" s="5"/>
    </row>
    <row r="1983">
      <c r="N1983" s="5"/>
    </row>
    <row r="1984">
      <c r="N1984" s="5"/>
    </row>
    <row r="1985">
      <c r="N1985" s="5"/>
    </row>
    <row r="1986">
      <c r="N1986" s="5"/>
    </row>
    <row r="1987">
      <c r="N1987" s="5"/>
    </row>
    <row r="1988">
      <c r="N1988" s="5"/>
    </row>
    <row r="1989">
      <c r="N1989" s="5"/>
    </row>
    <row r="1990">
      <c r="N1990" s="5"/>
    </row>
    <row r="1991">
      <c r="N1991" s="5"/>
    </row>
    <row r="1992">
      <c r="N1992" s="5"/>
    </row>
    <row r="1993">
      <c r="N1993" s="5"/>
    </row>
    <row r="1994">
      <c r="N1994" s="5"/>
    </row>
    <row r="1995">
      <c r="N1995" s="5"/>
    </row>
    <row r="1996">
      <c r="N1996" s="5"/>
    </row>
    <row r="1997">
      <c r="N1997" s="5"/>
    </row>
    <row r="1998">
      <c r="N1998" s="5"/>
    </row>
    <row r="1999">
      <c r="N1999" s="5"/>
    </row>
    <row r="2000">
      <c r="N2000" s="5"/>
    </row>
    <row r="2001">
      <c r="N2001" s="5"/>
    </row>
    <row r="2002">
      <c r="N2002" s="5"/>
    </row>
    <row r="2003">
      <c r="N2003" s="5"/>
    </row>
    <row r="2004">
      <c r="N2004" s="5"/>
    </row>
    <row r="2005">
      <c r="N2005" s="5"/>
    </row>
    <row r="2006">
      <c r="N2006" s="5"/>
    </row>
    <row r="2007">
      <c r="N2007" s="5"/>
    </row>
    <row r="2008">
      <c r="N2008" s="5"/>
    </row>
    <row r="2009">
      <c r="N2009" s="5"/>
    </row>
    <row r="2010">
      <c r="N2010" s="5"/>
    </row>
    <row r="2011">
      <c r="N2011" s="5"/>
    </row>
    <row r="2012">
      <c r="N2012" s="5"/>
    </row>
    <row r="2013">
      <c r="N2013" s="5"/>
    </row>
    <row r="2014">
      <c r="N2014" s="5"/>
    </row>
    <row r="2015">
      <c r="N2015" s="5"/>
    </row>
    <row r="2016">
      <c r="N2016" s="5"/>
    </row>
    <row r="2017">
      <c r="N2017" s="5"/>
    </row>
    <row r="2018">
      <c r="N2018" s="5"/>
    </row>
    <row r="2019">
      <c r="N2019" s="5"/>
    </row>
    <row r="2020">
      <c r="N2020" s="5"/>
    </row>
    <row r="2021">
      <c r="N2021" s="5"/>
    </row>
    <row r="2022">
      <c r="N2022" s="5"/>
    </row>
    <row r="2023">
      <c r="N2023" s="5"/>
    </row>
    <row r="2024">
      <c r="N2024" s="5"/>
    </row>
    <row r="2025">
      <c r="N2025" s="5"/>
    </row>
    <row r="2026">
      <c r="N2026" s="5"/>
    </row>
    <row r="2027">
      <c r="N2027" s="5"/>
    </row>
    <row r="2028">
      <c r="N2028" s="5"/>
    </row>
    <row r="2029">
      <c r="N2029" s="5"/>
    </row>
    <row r="2030">
      <c r="N2030" s="5"/>
    </row>
    <row r="2031">
      <c r="N2031" s="5"/>
    </row>
    <row r="2032">
      <c r="N2032" s="5"/>
    </row>
    <row r="2033">
      <c r="N2033" s="5"/>
    </row>
    <row r="2034">
      <c r="N2034" s="5"/>
    </row>
    <row r="2035">
      <c r="N2035" s="5"/>
    </row>
    <row r="2036">
      <c r="N2036" s="5"/>
    </row>
    <row r="2037">
      <c r="N2037" s="5"/>
    </row>
    <row r="2038">
      <c r="N2038" s="5"/>
    </row>
    <row r="2039">
      <c r="N2039" s="5"/>
    </row>
    <row r="2040">
      <c r="N2040" s="5"/>
    </row>
    <row r="2041">
      <c r="N2041" s="5"/>
    </row>
    <row r="2042">
      <c r="N2042" s="5"/>
    </row>
    <row r="2043">
      <c r="N2043" s="5"/>
    </row>
    <row r="2044">
      <c r="N2044" s="5"/>
    </row>
    <row r="2045">
      <c r="N2045" s="5"/>
    </row>
    <row r="2046">
      <c r="N2046" s="5"/>
    </row>
    <row r="2047">
      <c r="N2047" s="5"/>
    </row>
    <row r="2048">
      <c r="N2048" s="5"/>
    </row>
    <row r="2049">
      <c r="N2049" s="5"/>
    </row>
    <row r="2050">
      <c r="N2050" s="5"/>
    </row>
    <row r="2051">
      <c r="N2051" s="5"/>
    </row>
    <row r="2052">
      <c r="N2052" s="5"/>
    </row>
    <row r="2053">
      <c r="N2053" s="5"/>
    </row>
    <row r="2054">
      <c r="N2054" s="5"/>
    </row>
    <row r="2055">
      <c r="N2055" s="5"/>
    </row>
    <row r="2056">
      <c r="N2056" s="5"/>
    </row>
    <row r="2057">
      <c r="N2057" s="5"/>
    </row>
    <row r="2058">
      <c r="N2058" s="5"/>
    </row>
    <row r="2059">
      <c r="N2059" s="5"/>
    </row>
    <row r="2060">
      <c r="N2060" s="5"/>
    </row>
    <row r="2061">
      <c r="N2061" s="5"/>
    </row>
    <row r="2062">
      <c r="N2062" s="5"/>
    </row>
    <row r="2063">
      <c r="N2063" s="5"/>
    </row>
    <row r="2064">
      <c r="N2064" s="5"/>
    </row>
    <row r="2065">
      <c r="N2065" s="5"/>
    </row>
    <row r="2066">
      <c r="N2066" s="5"/>
    </row>
    <row r="2067">
      <c r="N2067" s="5"/>
    </row>
    <row r="2068">
      <c r="N2068" s="5"/>
    </row>
    <row r="2069">
      <c r="N2069" s="5"/>
    </row>
    <row r="2070">
      <c r="N2070" s="5"/>
    </row>
    <row r="2071">
      <c r="N2071" s="5"/>
    </row>
    <row r="2072">
      <c r="N2072" s="5"/>
    </row>
    <row r="2073">
      <c r="N2073" s="5"/>
    </row>
    <row r="2074">
      <c r="N2074" s="5"/>
    </row>
    <row r="2075">
      <c r="N2075" s="5"/>
    </row>
    <row r="2076">
      <c r="N2076" s="5"/>
    </row>
    <row r="2077">
      <c r="N2077" s="5"/>
    </row>
    <row r="2078">
      <c r="N2078" s="5"/>
    </row>
    <row r="2079">
      <c r="N2079" s="5"/>
    </row>
    <row r="2080">
      <c r="N2080" s="5"/>
    </row>
    <row r="2081">
      <c r="N2081" s="5"/>
    </row>
    <row r="2082">
      <c r="N2082" s="5"/>
    </row>
    <row r="2083">
      <c r="N2083" s="5"/>
    </row>
    <row r="2084">
      <c r="N2084" s="5"/>
    </row>
    <row r="2085">
      <c r="N2085" s="5"/>
    </row>
    <row r="2086">
      <c r="N2086" s="5"/>
    </row>
    <row r="2087">
      <c r="N2087" s="5"/>
    </row>
    <row r="2088">
      <c r="N2088" s="5"/>
    </row>
    <row r="2089">
      <c r="N2089" s="5"/>
    </row>
    <row r="2090">
      <c r="N2090" s="5"/>
    </row>
    <row r="2091">
      <c r="N2091" s="5"/>
    </row>
    <row r="2092">
      <c r="N2092" s="5"/>
    </row>
    <row r="2093">
      <c r="N2093" s="5"/>
    </row>
    <row r="2094">
      <c r="N2094" s="5"/>
    </row>
    <row r="2095">
      <c r="N2095" s="5"/>
    </row>
    <row r="2096">
      <c r="N2096" s="5"/>
    </row>
    <row r="2097">
      <c r="N2097" s="5"/>
    </row>
    <row r="2098">
      <c r="N2098" s="5"/>
    </row>
    <row r="2099">
      <c r="N2099" s="5"/>
    </row>
    <row r="2100">
      <c r="N2100" s="5"/>
    </row>
    <row r="2101">
      <c r="N2101" s="5"/>
    </row>
    <row r="2102">
      <c r="N2102" s="5"/>
    </row>
    <row r="2103">
      <c r="N2103" s="5"/>
    </row>
    <row r="2104">
      <c r="N2104" s="5"/>
    </row>
    <row r="2105">
      <c r="N2105" s="5"/>
    </row>
    <row r="2106">
      <c r="N2106" s="5"/>
    </row>
    <row r="2107">
      <c r="N2107" s="5"/>
    </row>
    <row r="2108">
      <c r="N2108" s="5"/>
    </row>
    <row r="2109">
      <c r="N2109" s="5"/>
    </row>
    <row r="2110">
      <c r="N2110" s="5"/>
    </row>
    <row r="2111">
      <c r="N2111" s="5"/>
    </row>
    <row r="2112">
      <c r="N2112" s="5"/>
    </row>
    <row r="2113">
      <c r="N2113" s="5"/>
    </row>
    <row r="2114">
      <c r="N2114" s="5"/>
    </row>
    <row r="2115">
      <c r="N2115" s="5"/>
    </row>
    <row r="2116">
      <c r="N2116" s="5"/>
    </row>
    <row r="2117">
      <c r="N2117" s="5"/>
    </row>
    <row r="2118">
      <c r="N2118" s="5"/>
    </row>
    <row r="2119">
      <c r="N2119" s="5"/>
    </row>
    <row r="2120">
      <c r="N2120" s="5"/>
    </row>
    <row r="2121">
      <c r="N2121" s="5"/>
    </row>
    <row r="2122">
      <c r="N2122" s="5"/>
    </row>
    <row r="2123">
      <c r="N2123" s="5"/>
    </row>
    <row r="2124">
      <c r="N2124" s="5"/>
    </row>
    <row r="2125">
      <c r="N2125" s="5"/>
    </row>
    <row r="2126">
      <c r="N2126" s="5"/>
    </row>
    <row r="2127">
      <c r="N2127" s="5"/>
    </row>
    <row r="2128">
      <c r="N2128" s="5"/>
    </row>
    <row r="2129">
      <c r="N2129" s="5"/>
    </row>
    <row r="2130">
      <c r="N2130" s="5"/>
    </row>
    <row r="2131">
      <c r="N2131" s="5"/>
    </row>
    <row r="2132">
      <c r="N2132" s="5"/>
    </row>
    <row r="2133">
      <c r="N2133" s="5"/>
    </row>
    <row r="2134">
      <c r="N2134" s="5"/>
    </row>
    <row r="2135">
      <c r="N2135" s="5"/>
    </row>
    <row r="2136">
      <c r="N2136" s="5"/>
    </row>
    <row r="2137">
      <c r="N2137" s="5"/>
    </row>
    <row r="2138">
      <c r="N2138" s="5"/>
    </row>
    <row r="2139">
      <c r="N2139" s="5"/>
    </row>
    <row r="2140">
      <c r="N2140" s="5"/>
    </row>
    <row r="2141">
      <c r="N2141" s="5"/>
    </row>
    <row r="2142">
      <c r="N2142" s="5"/>
    </row>
    <row r="2143">
      <c r="N2143" s="5"/>
    </row>
    <row r="2144">
      <c r="N2144" s="5"/>
    </row>
    <row r="2145">
      <c r="N2145" s="5"/>
    </row>
    <row r="2146">
      <c r="N2146" s="5"/>
    </row>
    <row r="2147">
      <c r="N2147" s="5"/>
    </row>
    <row r="2148">
      <c r="N2148" s="5"/>
    </row>
    <row r="2149">
      <c r="N2149" s="5"/>
    </row>
    <row r="2150">
      <c r="N2150" s="5"/>
    </row>
    <row r="2151">
      <c r="N2151" s="5"/>
    </row>
    <row r="2152">
      <c r="N2152" s="5"/>
    </row>
    <row r="2153">
      <c r="N2153" s="5"/>
    </row>
    <row r="2154">
      <c r="N2154" s="5"/>
    </row>
    <row r="2155">
      <c r="N2155" s="5"/>
    </row>
    <row r="2156">
      <c r="N2156" s="5"/>
    </row>
    <row r="2157">
      <c r="N2157" s="5"/>
    </row>
    <row r="2158">
      <c r="N2158" s="5"/>
    </row>
    <row r="2159">
      <c r="N2159" s="5"/>
    </row>
    <row r="2160">
      <c r="N2160" s="5"/>
    </row>
    <row r="2161">
      <c r="N2161" s="5"/>
    </row>
    <row r="2162">
      <c r="N2162" s="5"/>
    </row>
    <row r="2163">
      <c r="N2163" s="5"/>
    </row>
    <row r="2164">
      <c r="N2164" s="5"/>
    </row>
    <row r="2165">
      <c r="N2165" s="5"/>
    </row>
    <row r="2166">
      <c r="N2166" s="5"/>
    </row>
    <row r="2167">
      <c r="N2167" s="5"/>
    </row>
    <row r="2168">
      <c r="N2168" s="5"/>
    </row>
    <row r="2169">
      <c r="N2169" s="5"/>
    </row>
    <row r="2170">
      <c r="N2170" s="5"/>
    </row>
    <row r="2171">
      <c r="N2171" s="5"/>
    </row>
    <row r="2172">
      <c r="N2172" s="5"/>
    </row>
    <row r="2173">
      <c r="N2173" s="5"/>
    </row>
    <row r="2174">
      <c r="N2174" s="5"/>
    </row>
    <row r="2175">
      <c r="N2175" s="5"/>
    </row>
    <row r="2176">
      <c r="N2176" s="5"/>
    </row>
    <row r="2177">
      <c r="N2177" s="5"/>
    </row>
    <row r="2178">
      <c r="N2178" s="5"/>
    </row>
    <row r="2179">
      <c r="N2179" s="5"/>
    </row>
    <row r="2180">
      <c r="N2180" s="5"/>
    </row>
    <row r="2181">
      <c r="N2181" s="5"/>
    </row>
    <row r="2182">
      <c r="N2182" s="5"/>
    </row>
    <row r="2183">
      <c r="N2183" s="5"/>
    </row>
    <row r="2184">
      <c r="N2184" s="5"/>
    </row>
    <row r="2185">
      <c r="N2185" s="5"/>
    </row>
    <row r="2186">
      <c r="N2186" s="5"/>
    </row>
    <row r="2187">
      <c r="N2187" s="5"/>
    </row>
    <row r="2188">
      <c r="N2188" s="5"/>
    </row>
    <row r="2189">
      <c r="N2189" s="5"/>
    </row>
    <row r="2190">
      <c r="N2190" s="5"/>
    </row>
    <row r="2191">
      <c r="N2191" s="5"/>
    </row>
    <row r="2192">
      <c r="N2192" s="5"/>
    </row>
    <row r="2193">
      <c r="N2193" s="5"/>
    </row>
    <row r="2194">
      <c r="N2194" s="5"/>
    </row>
    <row r="2195">
      <c r="N2195" s="5"/>
    </row>
    <row r="2196">
      <c r="N2196" s="5"/>
    </row>
    <row r="2197">
      <c r="N2197" s="5"/>
    </row>
    <row r="2198">
      <c r="N2198" s="5"/>
    </row>
    <row r="2199">
      <c r="N2199" s="5"/>
    </row>
    <row r="2200">
      <c r="N2200" s="5"/>
    </row>
    <row r="2201">
      <c r="N2201" s="5"/>
    </row>
    <row r="2202">
      <c r="N2202" s="5"/>
    </row>
    <row r="2203">
      <c r="N2203" s="5"/>
    </row>
    <row r="2204">
      <c r="N2204" s="5"/>
    </row>
    <row r="2205">
      <c r="N2205" s="5"/>
    </row>
    <row r="2206">
      <c r="N2206" s="5"/>
    </row>
    <row r="2207">
      <c r="N2207" s="5"/>
    </row>
    <row r="2208">
      <c r="N2208" s="5"/>
    </row>
    <row r="2209">
      <c r="N2209" s="5"/>
    </row>
    <row r="2210">
      <c r="N2210" s="5"/>
    </row>
    <row r="2211">
      <c r="N2211" s="5"/>
    </row>
    <row r="2212">
      <c r="N2212" s="5"/>
    </row>
    <row r="2213">
      <c r="N2213" s="5"/>
    </row>
    <row r="2214">
      <c r="N2214" s="5"/>
    </row>
    <row r="2215">
      <c r="N2215" s="5"/>
    </row>
    <row r="2216">
      <c r="N2216" s="5"/>
    </row>
    <row r="2217">
      <c r="N2217" s="5"/>
    </row>
    <row r="2218">
      <c r="N2218" s="5"/>
    </row>
    <row r="2219">
      <c r="N2219" s="5"/>
    </row>
    <row r="2220">
      <c r="N2220" s="5"/>
    </row>
    <row r="2221">
      <c r="N2221" s="5"/>
    </row>
    <row r="2222">
      <c r="N2222" s="5"/>
    </row>
    <row r="2223">
      <c r="N2223" s="5"/>
    </row>
    <row r="2224">
      <c r="N2224" s="5"/>
    </row>
    <row r="2225">
      <c r="N2225" s="5"/>
    </row>
    <row r="2226">
      <c r="N2226" s="5"/>
    </row>
    <row r="2227">
      <c r="N2227" s="5"/>
    </row>
    <row r="2228">
      <c r="N2228" s="5"/>
    </row>
    <row r="2229">
      <c r="N2229" s="5"/>
    </row>
    <row r="2230">
      <c r="N2230" s="5"/>
    </row>
    <row r="2231">
      <c r="N2231" s="5"/>
    </row>
    <row r="2232">
      <c r="N2232" s="5"/>
    </row>
    <row r="2233">
      <c r="N2233" s="5"/>
    </row>
    <row r="2234">
      <c r="N2234" s="5"/>
    </row>
    <row r="2235">
      <c r="N2235" s="5"/>
    </row>
    <row r="2236">
      <c r="N2236" s="5"/>
    </row>
    <row r="2237">
      <c r="N2237" s="5"/>
    </row>
    <row r="2238">
      <c r="N2238" s="5"/>
    </row>
    <row r="2239">
      <c r="N2239" s="5"/>
    </row>
    <row r="2240">
      <c r="N2240" s="5"/>
    </row>
    <row r="2241">
      <c r="N2241" s="5"/>
    </row>
    <row r="2242">
      <c r="N2242" s="5"/>
    </row>
    <row r="2243">
      <c r="N2243" s="5"/>
    </row>
    <row r="2244">
      <c r="N2244" s="5"/>
    </row>
    <row r="2245">
      <c r="N2245" s="5"/>
    </row>
    <row r="2246">
      <c r="N2246" s="5"/>
    </row>
    <row r="2247">
      <c r="N2247" s="5"/>
    </row>
    <row r="2248">
      <c r="N2248" s="5"/>
    </row>
    <row r="2249">
      <c r="N2249" s="5"/>
    </row>
    <row r="2250">
      <c r="N2250" s="5"/>
    </row>
    <row r="2251">
      <c r="N2251" s="5"/>
    </row>
    <row r="2252">
      <c r="N2252" s="5"/>
    </row>
    <row r="2253">
      <c r="N2253" s="5"/>
    </row>
    <row r="2254">
      <c r="N2254" s="5"/>
    </row>
    <row r="2255">
      <c r="N2255" s="5"/>
    </row>
    <row r="2256">
      <c r="N2256" s="5"/>
    </row>
    <row r="2257">
      <c r="N2257" s="5"/>
    </row>
    <row r="2258">
      <c r="N2258" s="5"/>
    </row>
    <row r="2259">
      <c r="N2259" s="5"/>
    </row>
    <row r="2260">
      <c r="N2260" s="5"/>
    </row>
    <row r="2261">
      <c r="N2261" s="5"/>
    </row>
    <row r="2262">
      <c r="N2262" s="5"/>
    </row>
    <row r="2263">
      <c r="N2263" s="5"/>
    </row>
    <row r="2264">
      <c r="N2264" s="5"/>
    </row>
    <row r="2265">
      <c r="N2265" s="5"/>
    </row>
    <row r="2266">
      <c r="N2266" s="5"/>
    </row>
    <row r="2267">
      <c r="N2267" s="5"/>
    </row>
    <row r="2268">
      <c r="N2268" s="5"/>
    </row>
    <row r="2269">
      <c r="N2269" s="5"/>
    </row>
    <row r="2270">
      <c r="N2270" s="5"/>
    </row>
    <row r="2271">
      <c r="N2271" s="5"/>
    </row>
    <row r="2272">
      <c r="N2272" s="5"/>
    </row>
    <row r="2273">
      <c r="N2273" s="5"/>
    </row>
    <row r="2274">
      <c r="N2274" s="5"/>
    </row>
    <row r="2275">
      <c r="N2275" s="5"/>
    </row>
    <row r="2276">
      <c r="N2276" s="5"/>
    </row>
    <row r="2277">
      <c r="N2277" s="5"/>
    </row>
    <row r="2278">
      <c r="N2278" s="5"/>
    </row>
    <row r="2279">
      <c r="N2279" s="5"/>
    </row>
    <row r="2280">
      <c r="N2280" s="5"/>
    </row>
    <row r="2281">
      <c r="N2281" s="5"/>
    </row>
    <row r="2282">
      <c r="N2282" s="5"/>
    </row>
    <row r="2283">
      <c r="N2283" s="5"/>
    </row>
    <row r="2284">
      <c r="N2284" s="5"/>
    </row>
    <row r="2285">
      <c r="N2285" s="5"/>
    </row>
    <row r="2286">
      <c r="N2286" s="5"/>
    </row>
    <row r="2287">
      <c r="N2287" s="5"/>
    </row>
    <row r="2288">
      <c r="N2288" s="5"/>
    </row>
    <row r="2289">
      <c r="N2289" s="5"/>
    </row>
    <row r="2290">
      <c r="N2290" s="5"/>
    </row>
    <row r="2291">
      <c r="N2291" s="5"/>
    </row>
    <row r="2292">
      <c r="N2292" s="5"/>
    </row>
    <row r="2293">
      <c r="N2293" s="5"/>
    </row>
    <row r="2294">
      <c r="N2294" s="5"/>
    </row>
    <row r="2295">
      <c r="N2295" s="5"/>
    </row>
    <row r="2296">
      <c r="N2296" s="5"/>
    </row>
    <row r="2297">
      <c r="N2297" s="5"/>
    </row>
    <row r="2298">
      <c r="N2298" s="5"/>
    </row>
    <row r="2299">
      <c r="N2299" s="5"/>
    </row>
    <row r="2300">
      <c r="N2300" s="5"/>
    </row>
    <row r="2301">
      <c r="N2301" s="5"/>
    </row>
    <row r="2302">
      <c r="N2302" s="5"/>
    </row>
    <row r="2303">
      <c r="N2303" s="5"/>
    </row>
    <row r="2304">
      <c r="N2304" s="5"/>
    </row>
    <row r="2305">
      <c r="N2305" s="5"/>
    </row>
    <row r="2306">
      <c r="N2306" s="5"/>
    </row>
    <row r="2307">
      <c r="N2307" s="5"/>
    </row>
    <row r="2308">
      <c r="N2308" s="5"/>
    </row>
    <row r="2309">
      <c r="N2309" s="5"/>
    </row>
    <row r="2310">
      <c r="N2310" s="5"/>
    </row>
    <row r="2311">
      <c r="N2311" s="5"/>
    </row>
    <row r="2312">
      <c r="N2312" s="5"/>
    </row>
    <row r="2313">
      <c r="N2313" s="5"/>
    </row>
    <row r="2314">
      <c r="N2314" s="5"/>
    </row>
    <row r="2315">
      <c r="N2315" s="5"/>
    </row>
    <row r="2316">
      <c r="N2316" s="5"/>
    </row>
    <row r="2317">
      <c r="N2317" s="5"/>
    </row>
    <row r="2318">
      <c r="N2318" s="5"/>
    </row>
    <row r="2319">
      <c r="N2319" s="5"/>
    </row>
    <row r="2320">
      <c r="N2320" s="5"/>
    </row>
    <row r="2321">
      <c r="N2321" s="5"/>
    </row>
    <row r="2322">
      <c r="N2322" s="5"/>
    </row>
    <row r="2323">
      <c r="N2323" s="5"/>
    </row>
    <row r="2324">
      <c r="N2324" s="5"/>
    </row>
    <row r="2325">
      <c r="N2325" s="5"/>
    </row>
    <row r="2326">
      <c r="N2326" s="5"/>
    </row>
    <row r="2327">
      <c r="N2327" s="5"/>
    </row>
    <row r="2328">
      <c r="N2328" s="5"/>
    </row>
    <row r="2329">
      <c r="N2329" s="5"/>
    </row>
    <row r="2330">
      <c r="N2330" s="5"/>
    </row>
    <row r="2331">
      <c r="N2331" s="5"/>
    </row>
    <row r="2332">
      <c r="N2332" s="5"/>
    </row>
    <row r="2333">
      <c r="N2333" s="5"/>
    </row>
    <row r="2334">
      <c r="N2334" s="5"/>
    </row>
    <row r="2335">
      <c r="N2335" s="5"/>
    </row>
    <row r="2336">
      <c r="N2336" s="5"/>
    </row>
    <row r="2337">
      <c r="N2337" s="5"/>
    </row>
    <row r="2338">
      <c r="N2338" s="5"/>
    </row>
    <row r="2339">
      <c r="N2339" s="5"/>
    </row>
    <row r="2340">
      <c r="N2340" s="5"/>
    </row>
    <row r="2341">
      <c r="N2341" s="5"/>
    </row>
    <row r="2342">
      <c r="N2342" s="5"/>
    </row>
    <row r="2343">
      <c r="N2343" s="5"/>
    </row>
    <row r="2344">
      <c r="N2344" s="5"/>
    </row>
    <row r="2345">
      <c r="N2345" s="5"/>
    </row>
    <row r="2346">
      <c r="N2346" s="5"/>
    </row>
    <row r="2347">
      <c r="N2347" s="5"/>
    </row>
    <row r="2348">
      <c r="N2348" s="5"/>
    </row>
    <row r="2349">
      <c r="N2349" s="5"/>
    </row>
    <row r="2350">
      <c r="N2350" s="5"/>
    </row>
    <row r="2351">
      <c r="N2351" s="5"/>
    </row>
    <row r="2352">
      <c r="N2352" s="5"/>
    </row>
    <row r="2353">
      <c r="N2353" s="5"/>
    </row>
    <row r="2354">
      <c r="N2354" s="5"/>
    </row>
    <row r="2355">
      <c r="N2355" s="5"/>
    </row>
    <row r="2356">
      <c r="N2356" s="5"/>
    </row>
    <row r="2357">
      <c r="N2357" s="5"/>
    </row>
    <row r="2358">
      <c r="N2358" s="5"/>
    </row>
    <row r="2359">
      <c r="N2359" s="5"/>
    </row>
    <row r="2360">
      <c r="N2360" s="5"/>
    </row>
    <row r="2361">
      <c r="N2361" s="5"/>
    </row>
    <row r="2362">
      <c r="N2362" s="5"/>
    </row>
    <row r="2363">
      <c r="N2363" s="5"/>
    </row>
    <row r="2364">
      <c r="N2364" s="5"/>
    </row>
    <row r="2365">
      <c r="N2365" s="5"/>
    </row>
    <row r="2366">
      <c r="N2366" s="5"/>
    </row>
    <row r="2367">
      <c r="N2367" s="5"/>
    </row>
    <row r="2368">
      <c r="N2368" s="5"/>
    </row>
    <row r="2369">
      <c r="N2369" s="5"/>
    </row>
    <row r="2370">
      <c r="N2370" s="5"/>
    </row>
    <row r="2371">
      <c r="N2371" s="5"/>
    </row>
    <row r="2372">
      <c r="N2372" s="5"/>
    </row>
    <row r="2373">
      <c r="N2373" s="5"/>
    </row>
    <row r="2374">
      <c r="N2374" s="5"/>
    </row>
    <row r="2375">
      <c r="N2375" s="5"/>
    </row>
    <row r="2376">
      <c r="N2376" s="5"/>
    </row>
    <row r="2377">
      <c r="N2377" s="5"/>
    </row>
    <row r="2378">
      <c r="N2378" s="5"/>
    </row>
    <row r="2379">
      <c r="N2379" s="5"/>
    </row>
    <row r="2380">
      <c r="N2380" s="5"/>
    </row>
    <row r="2381">
      <c r="N2381" s="5"/>
    </row>
    <row r="2382">
      <c r="N2382" s="5"/>
    </row>
    <row r="2383">
      <c r="N2383" s="5"/>
    </row>
    <row r="2384">
      <c r="N2384" s="5"/>
    </row>
    <row r="2385">
      <c r="N2385" s="5"/>
    </row>
    <row r="2386">
      <c r="N2386" s="5"/>
    </row>
    <row r="2387">
      <c r="N2387" s="5"/>
    </row>
    <row r="2388">
      <c r="N2388" s="5"/>
    </row>
    <row r="2389">
      <c r="N2389" s="5"/>
    </row>
    <row r="2390">
      <c r="N2390" s="5"/>
    </row>
    <row r="2391">
      <c r="N2391" s="5"/>
    </row>
    <row r="2392">
      <c r="N2392" s="5"/>
    </row>
    <row r="2393">
      <c r="N2393" s="5"/>
    </row>
    <row r="2394">
      <c r="N2394" s="5"/>
    </row>
    <row r="2395">
      <c r="N2395" s="5"/>
    </row>
    <row r="2396">
      <c r="N2396" s="5"/>
    </row>
    <row r="2397">
      <c r="N2397" s="5"/>
    </row>
    <row r="2398">
      <c r="N2398" s="5"/>
    </row>
    <row r="2399">
      <c r="N2399" s="5"/>
    </row>
    <row r="2400">
      <c r="N2400" s="5"/>
    </row>
    <row r="2401">
      <c r="N2401" s="5"/>
    </row>
    <row r="2402">
      <c r="N2402" s="5"/>
    </row>
    <row r="2403">
      <c r="N2403" s="5"/>
    </row>
    <row r="2404">
      <c r="N2404" s="5"/>
    </row>
    <row r="2405">
      <c r="N2405" s="5"/>
    </row>
    <row r="2406">
      <c r="N2406" s="5"/>
    </row>
    <row r="2407">
      <c r="N2407" s="5"/>
    </row>
    <row r="2408">
      <c r="N2408" s="5"/>
    </row>
    <row r="2409">
      <c r="N2409" s="5"/>
    </row>
    <row r="2410">
      <c r="N2410" s="5"/>
    </row>
    <row r="2411">
      <c r="N2411" s="5"/>
    </row>
    <row r="2412">
      <c r="N2412" s="5"/>
    </row>
    <row r="2413">
      <c r="N2413" s="5"/>
    </row>
    <row r="2414">
      <c r="N2414" s="5"/>
    </row>
    <row r="2415">
      <c r="N2415" s="5"/>
    </row>
    <row r="2416">
      <c r="N2416" s="5"/>
    </row>
    <row r="2417">
      <c r="N2417" s="5"/>
    </row>
    <row r="2418">
      <c r="N2418" s="5"/>
    </row>
    <row r="2419">
      <c r="N2419" s="5"/>
    </row>
    <row r="2420">
      <c r="N2420" s="5"/>
    </row>
    <row r="2421">
      <c r="N2421" s="5"/>
    </row>
    <row r="2422">
      <c r="N2422" s="5"/>
    </row>
    <row r="2423">
      <c r="N2423" s="5"/>
    </row>
    <row r="2424">
      <c r="N2424" s="5"/>
    </row>
    <row r="2425">
      <c r="N2425" s="5"/>
    </row>
    <row r="2426">
      <c r="N2426" s="5"/>
    </row>
    <row r="2427">
      <c r="N2427" s="5"/>
    </row>
    <row r="2428">
      <c r="N2428" s="5"/>
    </row>
    <row r="2429">
      <c r="N2429" s="5"/>
    </row>
    <row r="2430">
      <c r="N2430" s="5"/>
    </row>
    <row r="2431">
      <c r="N2431" s="5"/>
    </row>
    <row r="2432">
      <c r="N2432" s="5"/>
    </row>
    <row r="2433">
      <c r="N2433" s="5"/>
    </row>
    <row r="2434">
      <c r="N2434" s="5"/>
    </row>
    <row r="2435">
      <c r="N2435" s="5"/>
    </row>
    <row r="2436">
      <c r="N2436" s="5"/>
    </row>
    <row r="2437">
      <c r="N2437" s="5"/>
    </row>
    <row r="2438">
      <c r="N2438" s="5"/>
    </row>
    <row r="2439">
      <c r="N2439" s="5"/>
    </row>
    <row r="2440">
      <c r="N2440" s="5"/>
    </row>
    <row r="2441">
      <c r="N2441" s="5"/>
    </row>
    <row r="2442">
      <c r="N2442" s="5"/>
    </row>
    <row r="2443">
      <c r="N2443" s="5"/>
    </row>
    <row r="2444">
      <c r="N2444" s="5"/>
    </row>
    <row r="2445">
      <c r="N2445" s="5"/>
    </row>
    <row r="2446">
      <c r="N2446" s="5"/>
    </row>
    <row r="2447">
      <c r="N2447" s="5"/>
    </row>
    <row r="2448">
      <c r="N2448" s="5"/>
    </row>
    <row r="2449">
      <c r="N2449" s="5"/>
    </row>
    <row r="2450">
      <c r="N2450" s="5"/>
    </row>
    <row r="2451">
      <c r="N2451" s="5"/>
    </row>
    <row r="2452">
      <c r="N2452" s="5"/>
    </row>
    <row r="2453">
      <c r="N2453" s="5"/>
    </row>
    <row r="2454">
      <c r="N2454" s="5"/>
    </row>
    <row r="2455">
      <c r="N2455" s="5"/>
    </row>
    <row r="2456">
      <c r="N2456" s="5"/>
    </row>
    <row r="2457">
      <c r="N2457" s="5"/>
    </row>
    <row r="2458">
      <c r="N2458" s="5"/>
    </row>
    <row r="2459">
      <c r="N2459" s="5"/>
    </row>
    <row r="2460">
      <c r="N2460" s="5"/>
    </row>
    <row r="2461">
      <c r="N2461" s="5"/>
    </row>
    <row r="2462">
      <c r="N2462" s="5"/>
    </row>
    <row r="2463">
      <c r="N2463" s="5"/>
    </row>
    <row r="2464">
      <c r="N2464" s="5"/>
    </row>
    <row r="2465">
      <c r="N2465" s="5"/>
    </row>
    <row r="2466">
      <c r="N2466" s="5"/>
    </row>
    <row r="2467">
      <c r="N2467" s="5"/>
    </row>
    <row r="2468">
      <c r="N2468" s="5"/>
    </row>
    <row r="2469">
      <c r="N2469" s="5"/>
    </row>
    <row r="2470">
      <c r="N2470" s="5"/>
    </row>
    <row r="2471">
      <c r="N2471" s="5"/>
    </row>
    <row r="2472">
      <c r="N2472" s="5"/>
    </row>
    <row r="2473">
      <c r="N2473" s="5"/>
    </row>
    <row r="2474">
      <c r="N2474" s="5"/>
    </row>
    <row r="2475">
      <c r="N2475" s="5"/>
    </row>
    <row r="2476">
      <c r="N2476" s="5"/>
    </row>
    <row r="2477">
      <c r="N2477" s="5"/>
    </row>
    <row r="2478">
      <c r="N2478" s="5"/>
    </row>
    <row r="2479">
      <c r="N2479" s="5"/>
    </row>
    <row r="2480">
      <c r="N2480" s="5"/>
    </row>
    <row r="2481">
      <c r="N2481" s="5"/>
    </row>
    <row r="2482">
      <c r="N2482" s="5"/>
    </row>
    <row r="2483">
      <c r="N2483" s="5"/>
    </row>
    <row r="2484">
      <c r="N2484" s="5"/>
    </row>
    <row r="2485">
      <c r="N2485" s="5"/>
    </row>
    <row r="2486">
      <c r="N2486" s="5"/>
    </row>
    <row r="2487">
      <c r="N2487" s="5"/>
    </row>
    <row r="2488">
      <c r="N2488" s="5"/>
    </row>
    <row r="2489">
      <c r="N2489" s="5"/>
    </row>
    <row r="2490">
      <c r="N2490" s="5"/>
    </row>
    <row r="2491">
      <c r="N2491" s="5"/>
    </row>
    <row r="2492">
      <c r="N2492" s="5"/>
    </row>
    <row r="2493">
      <c r="N2493" s="5"/>
    </row>
    <row r="2494">
      <c r="N2494" s="5"/>
    </row>
    <row r="2495">
      <c r="N2495" s="5"/>
    </row>
    <row r="2496">
      <c r="N2496" s="5"/>
    </row>
    <row r="2497">
      <c r="N2497" s="5"/>
    </row>
    <row r="2498">
      <c r="N2498" s="5"/>
    </row>
    <row r="2499">
      <c r="N2499" s="5"/>
    </row>
    <row r="2500">
      <c r="N2500" s="5"/>
    </row>
    <row r="2501">
      <c r="N2501" s="5"/>
    </row>
    <row r="2502">
      <c r="N2502" s="5"/>
    </row>
    <row r="2503">
      <c r="N2503" s="5"/>
    </row>
    <row r="2504">
      <c r="N2504" s="5"/>
    </row>
    <row r="2505">
      <c r="N2505" s="5"/>
    </row>
    <row r="2506">
      <c r="N2506" s="5"/>
    </row>
    <row r="2507">
      <c r="N2507" s="5"/>
    </row>
    <row r="2508">
      <c r="N2508" s="5"/>
    </row>
    <row r="2509">
      <c r="N2509" s="5"/>
    </row>
    <row r="2510">
      <c r="N2510" s="5"/>
    </row>
    <row r="2511">
      <c r="N2511" s="5"/>
    </row>
    <row r="2512">
      <c r="N2512" s="5"/>
    </row>
    <row r="2513">
      <c r="N2513" s="5"/>
    </row>
    <row r="2514">
      <c r="N2514" s="5"/>
    </row>
    <row r="2515">
      <c r="N2515" s="5"/>
    </row>
    <row r="2516">
      <c r="N2516" s="5"/>
    </row>
    <row r="2517">
      <c r="N2517" s="5"/>
    </row>
    <row r="2518">
      <c r="N2518" s="5"/>
    </row>
    <row r="2519">
      <c r="N2519" s="5"/>
    </row>
    <row r="2520">
      <c r="N2520" s="5"/>
    </row>
    <row r="2521">
      <c r="N2521" s="5"/>
    </row>
    <row r="2522">
      <c r="N2522" s="5"/>
    </row>
    <row r="2523">
      <c r="N2523" s="5"/>
    </row>
    <row r="2524">
      <c r="N2524" s="5"/>
    </row>
    <row r="2525">
      <c r="N2525" s="5"/>
    </row>
    <row r="2526">
      <c r="N2526" s="5"/>
    </row>
    <row r="2527">
      <c r="N2527" s="5"/>
    </row>
    <row r="2528">
      <c r="N2528" s="5"/>
    </row>
    <row r="2529">
      <c r="N2529" s="5"/>
    </row>
    <row r="2530">
      <c r="N2530" s="5"/>
    </row>
    <row r="2531">
      <c r="N2531" s="5"/>
    </row>
    <row r="2532">
      <c r="N2532" s="5"/>
    </row>
    <row r="2533">
      <c r="N2533" s="5"/>
    </row>
    <row r="2534">
      <c r="N2534" s="5"/>
    </row>
    <row r="2535">
      <c r="N2535" s="5"/>
    </row>
    <row r="2536">
      <c r="N2536" s="5"/>
    </row>
    <row r="2537">
      <c r="N2537" s="5"/>
    </row>
    <row r="2538">
      <c r="N2538" s="5"/>
    </row>
    <row r="2539">
      <c r="N2539" s="5"/>
    </row>
    <row r="2540">
      <c r="N2540" s="5"/>
    </row>
    <row r="2541">
      <c r="N2541" s="5"/>
    </row>
    <row r="2542">
      <c r="N2542" s="5"/>
    </row>
    <row r="2543">
      <c r="N2543" s="5"/>
    </row>
    <row r="2544">
      <c r="N2544" s="5"/>
    </row>
    <row r="2545">
      <c r="N2545" s="5"/>
    </row>
    <row r="2546">
      <c r="N2546" s="5"/>
    </row>
    <row r="2547">
      <c r="N2547" s="5"/>
    </row>
    <row r="2548">
      <c r="N2548" s="5"/>
    </row>
    <row r="2549">
      <c r="N2549" s="5"/>
    </row>
    <row r="2550">
      <c r="N2550" s="5"/>
    </row>
    <row r="2551">
      <c r="N2551" s="5"/>
    </row>
    <row r="2552">
      <c r="N2552" s="5"/>
    </row>
    <row r="2553">
      <c r="N2553" s="5"/>
    </row>
    <row r="2554">
      <c r="N2554" s="5"/>
    </row>
    <row r="2555">
      <c r="N2555" s="5"/>
    </row>
    <row r="2556">
      <c r="N2556" s="5"/>
    </row>
    <row r="2557">
      <c r="N2557" s="5"/>
    </row>
    <row r="2558">
      <c r="N2558" s="5"/>
    </row>
    <row r="2559">
      <c r="N2559" s="5"/>
    </row>
    <row r="2560">
      <c r="N2560" s="5"/>
    </row>
    <row r="2561">
      <c r="N2561" s="5"/>
    </row>
    <row r="2562">
      <c r="N2562" s="5"/>
    </row>
    <row r="2563">
      <c r="N2563" s="5"/>
    </row>
    <row r="2564">
      <c r="N2564" s="5"/>
    </row>
    <row r="2565">
      <c r="N2565" s="5"/>
    </row>
    <row r="2566">
      <c r="N2566" s="5"/>
    </row>
    <row r="2567">
      <c r="N2567" s="5"/>
    </row>
    <row r="2568">
      <c r="N2568" s="5"/>
    </row>
    <row r="2569">
      <c r="N2569" s="5"/>
    </row>
    <row r="2570">
      <c r="N2570" s="5"/>
    </row>
    <row r="2571">
      <c r="N2571" s="5"/>
    </row>
    <row r="2572">
      <c r="N2572" s="5"/>
    </row>
    <row r="2573">
      <c r="N2573" s="5"/>
    </row>
    <row r="2574">
      <c r="N2574" s="5"/>
    </row>
    <row r="2575">
      <c r="N2575" s="5"/>
    </row>
    <row r="2576">
      <c r="N2576" s="5"/>
    </row>
    <row r="2577">
      <c r="N2577" s="5"/>
    </row>
    <row r="2578">
      <c r="N2578" s="5"/>
    </row>
    <row r="2579">
      <c r="N2579" s="5"/>
    </row>
    <row r="2580">
      <c r="N2580" s="5"/>
    </row>
    <row r="2581">
      <c r="N2581" s="5"/>
    </row>
    <row r="2582">
      <c r="N2582" s="5"/>
    </row>
    <row r="2583">
      <c r="N2583" s="5"/>
    </row>
    <row r="2584">
      <c r="N2584" s="5"/>
    </row>
    <row r="2585">
      <c r="N2585" s="5"/>
    </row>
    <row r="2586">
      <c r="N2586" s="5"/>
    </row>
    <row r="2587">
      <c r="N2587" s="5"/>
    </row>
    <row r="2588">
      <c r="N2588" s="5"/>
    </row>
    <row r="2589">
      <c r="N2589" s="5"/>
    </row>
    <row r="2590">
      <c r="N2590" s="5"/>
    </row>
    <row r="2591">
      <c r="N2591" s="5"/>
    </row>
    <row r="2592">
      <c r="N2592" s="5"/>
    </row>
    <row r="2593">
      <c r="N2593" s="5"/>
    </row>
    <row r="2594">
      <c r="N2594" s="5"/>
    </row>
    <row r="2595">
      <c r="N2595" s="5"/>
    </row>
    <row r="2596">
      <c r="N2596" s="5"/>
    </row>
    <row r="2597">
      <c r="N2597" s="5"/>
    </row>
    <row r="2598">
      <c r="N2598" s="5"/>
    </row>
    <row r="2599">
      <c r="N2599" s="5"/>
    </row>
    <row r="2600">
      <c r="N2600" s="5"/>
    </row>
    <row r="2601">
      <c r="N2601" s="5"/>
    </row>
    <row r="2602">
      <c r="N2602" s="5"/>
    </row>
    <row r="2603">
      <c r="N2603" s="5"/>
    </row>
    <row r="2604">
      <c r="N2604" s="5"/>
    </row>
    <row r="2605">
      <c r="N2605" s="5"/>
    </row>
    <row r="2606">
      <c r="N2606" s="5"/>
    </row>
    <row r="2607">
      <c r="N2607" s="5"/>
    </row>
    <row r="2608">
      <c r="N2608" s="5"/>
    </row>
    <row r="2609">
      <c r="N2609" s="5"/>
    </row>
    <row r="2610">
      <c r="N2610" s="5"/>
    </row>
    <row r="2611">
      <c r="N2611" s="5"/>
    </row>
    <row r="2612">
      <c r="N2612" s="5"/>
    </row>
    <row r="2613">
      <c r="N2613" s="5"/>
    </row>
    <row r="2614">
      <c r="N2614" s="5"/>
    </row>
    <row r="2615">
      <c r="N2615" s="5"/>
    </row>
    <row r="2616">
      <c r="N2616" s="5"/>
    </row>
    <row r="2617">
      <c r="N2617" s="5"/>
    </row>
    <row r="2618">
      <c r="N2618" s="5"/>
    </row>
    <row r="2619">
      <c r="N2619" s="5"/>
    </row>
    <row r="2620">
      <c r="N2620" s="5"/>
    </row>
    <row r="2621">
      <c r="N2621" s="5"/>
    </row>
    <row r="2622">
      <c r="N2622" s="5"/>
    </row>
    <row r="2623">
      <c r="N2623" s="5"/>
    </row>
    <row r="2624">
      <c r="N2624" s="5"/>
    </row>
    <row r="2625">
      <c r="N2625" s="5"/>
    </row>
    <row r="2626">
      <c r="N2626" s="5"/>
    </row>
    <row r="2627">
      <c r="N2627" s="5"/>
    </row>
    <row r="2628">
      <c r="N2628" s="5"/>
    </row>
    <row r="2629">
      <c r="N2629" s="5"/>
    </row>
    <row r="2630">
      <c r="N2630" s="5"/>
    </row>
    <row r="2631">
      <c r="N2631" s="5"/>
    </row>
    <row r="2632">
      <c r="N2632" s="5"/>
    </row>
    <row r="2633">
      <c r="N2633" s="5"/>
    </row>
    <row r="2634">
      <c r="N2634" s="5"/>
    </row>
    <row r="2635">
      <c r="N2635" s="5"/>
    </row>
    <row r="2636">
      <c r="N2636" s="5"/>
    </row>
    <row r="2637">
      <c r="N2637" s="5"/>
    </row>
    <row r="2638">
      <c r="N2638" s="5"/>
    </row>
    <row r="2639">
      <c r="N2639" s="5"/>
    </row>
    <row r="2640">
      <c r="N2640" s="5"/>
    </row>
    <row r="2641">
      <c r="N2641" s="5"/>
    </row>
    <row r="2642">
      <c r="N2642" s="5"/>
    </row>
    <row r="2643">
      <c r="N2643" s="5"/>
    </row>
    <row r="2644">
      <c r="N2644" s="5"/>
    </row>
    <row r="2645">
      <c r="N2645" s="5"/>
    </row>
    <row r="2646">
      <c r="N2646" s="5"/>
    </row>
    <row r="2647">
      <c r="N2647" s="5"/>
    </row>
    <row r="2648">
      <c r="N2648" s="5"/>
    </row>
    <row r="2649">
      <c r="N2649" s="5"/>
    </row>
    <row r="2650">
      <c r="N2650" s="5"/>
    </row>
    <row r="2651">
      <c r="N2651" s="5"/>
    </row>
    <row r="2652">
      <c r="N2652" s="5"/>
    </row>
    <row r="2653">
      <c r="N2653" s="5"/>
    </row>
    <row r="2654">
      <c r="N2654" s="5"/>
    </row>
    <row r="2655">
      <c r="N2655" s="5"/>
    </row>
    <row r="2656">
      <c r="N2656" s="5"/>
    </row>
    <row r="2657">
      <c r="N2657" s="5"/>
    </row>
    <row r="2658">
      <c r="N2658" s="5"/>
    </row>
    <row r="2659">
      <c r="N2659" s="5"/>
    </row>
    <row r="2660">
      <c r="N2660" s="5"/>
    </row>
    <row r="2661">
      <c r="N2661" s="5"/>
    </row>
    <row r="2662">
      <c r="N2662" s="5"/>
    </row>
    <row r="2663">
      <c r="N2663" s="5"/>
    </row>
    <row r="2664">
      <c r="N2664" s="5"/>
    </row>
    <row r="2665">
      <c r="N2665" s="5"/>
    </row>
    <row r="2666">
      <c r="N2666" s="5"/>
    </row>
    <row r="2667">
      <c r="N2667" s="5"/>
    </row>
    <row r="2668">
      <c r="N2668" s="5"/>
    </row>
    <row r="2669">
      <c r="N2669" s="5"/>
    </row>
    <row r="2670">
      <c r="N2670" s="5"/>
    </row>
    <row r="2671">
      <c r="N2671" s="5"/>
    </row>
    <row r="2672">
      <c r="N2672" s="5"/>
    </row>
    <row r="2673">
      <c r="N2673" s="5"/>
    </row>
    <row r="2674">
      <c r="N2674" s="5"/>
    </row>
    <row r="2675">
      <c r="N2675" s="5"/>
    </row>
    <row r="2676">
      <c r="N2676" s="5"/>
    </row>
    <row r="2677">
      <c r="N2677" s="5"/>
    </row>
    <row r="2678">
      <c r="N2678" s="5"/>
    </row>
    <row r="2679">
      <c r="N2679" s="5"/>
    </row>
    <row r="2680">
      <c r="N2680" s="5"/>
    </row>
    <row r="2681">
      <c r="N2681" s="5"/>
    </row>
    <row r="2682">
      <c r="N2682" s="5"/>
    </row>
    <row r="2683">
      <c r="N2683" s="5"/>
    </row>
    <row r="2684">
      <c r="N2684" s="5"/>
    </row>
    <row r="2685">
      <c r="N2685" s="5"/>
    </row>
    <row r="2686">
      <c r="N2686" s="5"/>
    </row>
    <row r="2687">
      <c r="N2687" s="5"/>
    </row>
    <row r="2688">
      <c r="N2688" s="5"/>
    </row>
    <row r="2689">
      <c r="N2689" s="5"/>
    </row>
    <row r="2690">
      <c r="N2690" s="5"/>
    </row>
    <row r="2691">
      <c r="N2691" s="5"/>
    </row>
    <row r="2692">
      <c r="N2692" s="5"/>
    </row>
    <row r="2693">
      <c r="N2693" s="5"/>
    </row>
    <row r="2694">
      <c r="N2694" s="5"/>
    </row>
    <row r="2695">
      <c r="N2695" s="5"/>
    </row>
    <row r="2696">
      <c r="N2696" s="5"/>
    </row>
    <row r="2697">
      <c r="N2697" s="5"/>
    </row>
    <row r="2698">
      <c r="N2698" s="5"/>
    </row>
    <row r="2699">
      <c r="N2699" s="5"/>
    </row>
    <row r="2700">
      <c r="N2700" s="5"/>
    </row>
    <row r="2701">
      <c r="N2701" s="5"/>
    </row>
    <row r="2702">
      <c r="N2702" s="5"/>
    </row>
    <row r="2703">
      <c r="N2703" s="5"/>
    </row>
    <row r="2704">
      <c r="N2704" s="5"/>
    </row>
    <row r="2705">
      <c r="N2705" s="5"/>
    </row>
    <row r="2706">
      <c r="N2706" s="5"/>
    </row>
    <row r="2707">
      <c r="N2707" s="5"/>
    </row>
    <row r="2708">
      <c r="N2708" s="5"/>
    </row>
    <row r="2709">
      <c r="N2709" s="5"/>
    </row>
    <row r="2710">
      <c r="N2710" s="5"/>
    </row>
    <row r="2711">
      <c r="N2711" s="5"/>
    </row>
    <row r="2712">
      <c r="N2712" s="5"/>
    </row>
    <row r="2713">
      <c r="N2713" s="5"/>
    </row>
    <row r="2714">
      <c r="N2714" s="5"/>
    </row>
    <row r="2715">
      <c r="N2715" s="5"/>
    </row>
    <row r="2716">
      <c r="N2716" s="5"/>
    </row>
    <row r="2717">
      <c r="N2717" s="5"/>
    </row>
    <row r="2718">
      <c r="N2718" s="5"/>
    </row>
    <row r="2719">
      <c r="N2719" s="5"/>
    </row>
    <row r="2720">
      <c r="N2720" s="5"/>
    </row>
    <row r="2721">
      <c r="N2721" s="5"/>
    </row>
    <row r="2722">
      <c r="N2722" s="5"/>
    </row>
    <row r="2723">
      <c r="N2723" s="5"/>
    </row>
    <row r="2724">
      <c r="N2724" s="5"/>
    </row>
    <row r="2725">
      <c r="N2725" s="5"/>
    </row>
    <row r="2726">
      <c r="N2726" s="5"/>
    </row>
    <row r="2727">
      <c r="N2727" s="5"/>
    </row>
    <row r="2728">
      <c r="N2728" s="5"/>
    </row>
    <row r="2729">
      <c r="N2729" s="5"/>
    </row>
    <row r="2730">
      <c r="N2730" s="5"/>
    </row>
    <row r="2731">
      <c r="N2731" s="5"/>
    </row>
    <row r="2732">
      <c r="N2732" s="5"/>
    </row>
    <row r="2733">
      <c r="N2733" s="5"/>
    </row>
    <row r="2734">
      <c r="N2734" s="5"/>
    </row>
    <row r="2735">
      <c r="N2735" s="5"/>
    </row>
    <row r="2736">
      <c r="N2736" s="5"/>
    </row>
    <row r="2737">
      <c r="N2737" s="5"/>
    </row>
    <row r="2738">
      <c r="N2738" s="5"/>
    </row>
    <row r="2739">
      <c r="N2739" s="5"/>
    </row>
    <row r="2740">
      <c r="N2740" s="5"/>
    </row>
    <row r="2741">
      <c r="N2741" s="5"/>
    </row>
    <row r="2742">
      <c r="N2742" s="5"/>
    </row>
    <row r="2743">
      <c r="N2743" s="5"/>
    </row>
    <row r="2744">
      <c r="N2744" s="5"/>
    </row>
    <row r="2745">
      <c r="N2745" s="5"/>
    </row>
    <row r="2746">
      <c r="N2746" s="5"/>
    </row>
    <row r="2747">
      <c r="N2747" s="5"/>
    </row>
    <row r="2748">
      <c r="N2748" s="5"/>
    </row>
    <row r="2749">
      <c r="N2749" s="5"/>
    </row>
    <row r="2750">
      <c r="N2750" s="5"/>
    </row>
    <row r="2751">
      <c r="N2751" s="5"/>
    </row>
    <row r="2752">
      <c r="N2752" s="5"/>
    </row>
    <row r="2753">
      <c r="N2753" s="5"/>
    </row>
    <row r="2754">
      <c r="N2754" s="5"/>
    </row>
    <row r="2755">
      <c r="N2755" s="5"/>
    </row>
    <row r="2756">
      <c r="N2756" s="5"/>
    </row>
    <row r="2757">
      <c r="N2757" s="5"/>
    </row>
    <row r="2758">
      <c r="N2758" s="5"/>
    </row>
    <row r="2759">
      <c r="N2759" s="5"/>
    </row>
    <row r="2760">
      <c r="N2760" s="5"/>
    </row>
    <row r="2761">
      <c r="N2761" s="5"/>
    </row>
    <row r="2762">
      <c r="N2762" s="5"/>
    </row>
    <row r="2763">
      <c r="N2763" s="5"/>
    </row>
    <row r="2764">
      <c r="N2764" s="5"/>
    </row>
    <row r="2765">
      <c r="N2765" s="5"/>
    </row>
    <row r="2766">
      <c r="N2766" s="5"/>
    </row>
    <row r="2767">
      <c r="N2767" s="5"/>
    </row>
    <row r="2768">
      <c r="N2768" s="5"/>
    </row>
    <row r="2769">
      <c r="N2769" s="5"/>
    </row>
    <row r="2770">
      <c r="N2770" s="5"/>
    </row>
    <row r="2771">
      <c r="N2771" s="5"/>
    </row>
    <row r="2772">
      <c r="N2772" s="5"/>
    </row>
    <row r="2773">
      <c r="N2773" s="5"/>
    </row>
    <row r="2774">
      <c r="N2774" s="5"/>
    </row>
    <row r="2775">
      <c r="N2775" s="5"/>
    </row>
    <row r="2776">
      <c r="N2776" s="5"/>
    </row>
    <row r="2777">
      <c r="N2777" s="5"/>
    </row>
    <row r="2778">
      <c r="N2778" s="5"/>
    </row>
    <row r="2779">
      <c r="N2779" s="5"/>
    </row>
    <row r="2780">
      <c r="N2780" s="5"/>
    </row>
    <row r="2781">
      <c r="N2781" s="5"/>
    </row>
    <row r="2782">
      <c r="N2782" s="5"/>
    </row>
    <row r="2783">
      <c r="N2783" s="5"/>
    </row>
    <row r="2784">
      <c r="N2784" s="5"/>
    </row>
    <row r="2785">
      <c r="N2785" s="5"/>
    </row>
    <row r="2786">
      <c r="N2786" s="5"/>
    </row>
    <row r="2787">
      <c r="N2787" s="5"/>
    </row>
    <row r="2788">
      <c r="N2788" s="5"/>
    </row>
    <row r="2789">
      <c r="N2789" s="5"/>
    </row>
    <row r="2790">
      <c r="N2790" s="5"/>
    </row>
    <row r="2791">
      <c r="N2791" s="5"/>
    </row>
    <row r="2792">
      <c r="N2792" s="5"/>
    </row>
    <row r="2793">
      <c r="N2793" s="5"/>
    </row>
    <row r="2794">
      <c r="N2794" s="5"/>
    </row>
    <row r="2795">
      <c r="N2795" s="5"/>
    </row>
    <row r="2796">
      <c r="N2796" s="5"/>
    </row>
    <row r="2797">
      <c r="N2797" s="5"/>
    </row>
    <row r="2798">
      <c r="N2798" s="5"/>
    </row>
    <row r="2799">
      <c r="N2799" s="5"/>
    </row>
    <row r="2800">
      <c r="N2800" s="5"/>
    </row>
    <row r="2801">
      <c r="N2801" s="5"/>
    </row>
    <row r="2802">
      <c r="N2802" s="5"/>
    </row>
    <row r="2803">
      <c r="N2803" s="5"/>
    </row>
    <row r="2804">
      <c r="N2804" s="5"/>
    </row>
    <row r="2805">
      <c r="N2805" s="5"/>
    </row>
    <row r="2806">
      <c r="N2806" s="5"/>
    </row>
    <row r="2807">
      <c r="N2807" s="5"/>
    </row>
    <row r="2808">
      <c r="N2808" s="5"/>
    </row>
    <row r="2809">
      <c r="N2809" s="5"/>
    </row>
    <row r="2810">
      <c r="N2810" s="5"/>
    </row>
    <row r="2811">
      <c r="N2811" s="5"/>
    </row>
    <row r="2812">
      <c r="N2812" s="5"/>
    </row>
    <row r="2813">
      <c r="N2813" s="5"/>
    </row>
    <row r="2814">
      <c r="N2814" s="5"/>
    </row>
    <row r="2815">
      <c r="N2815" s="5"/>
    </row>
    <row r="2816">
      <c r="N2816" s="5"/>
    </row>
    <row r="2817">
      <c r="N2817" s="5"/>
    </row>
    <row r="2818">
      <c r="N2818" s="5"/>
    </row>
    <row r="2819">
      <c r="N2819" s="5"/>
    </row>
    <row r="2820">
      <c r="N2820" s="5"/>
    </row>
    <row r="2821">
      <c r="N2821" s="5"/>
    </row>
    <row r="2822">
      <c r="N2822" s="5"/>
    </row>
    <row r="2823">
      <c r="N2823" s="5"/>
    </row>
    <row r="2824">
      <c r="N2824" s="5"/>
    </row>
    <row r="2825">
      <c r="N2825" s="5"/>
    </row>
    <row r="2826">
      <c r="N2826" s="5"/>
    </row>
    <row r="2827">
      <c r="N2827" s="5"/>
    </row>
    <row r="2828">
      <c r="N2828" s="5"/>
    </row>
    <row r="2829">
      <c r="N2829" s="5"/>
    </row>
    <row r="2830">
      <c r="N2830" s="5"/>
    </row>
    <row r="2831">
      <c r="N2831" s="5"/>
    </row>
    <row r="2832">
      <c r="N2832" s="5"/>
    </row>
    <row r="2833">
      <c r="N2833" s="5"/>
    </row>
    <row r="2834">
      <c r="N2834" s="5"/>
    </row>
    <row r="2835">
      <c r="N2835" s="5"/>
    </row>
    <row r="2836">
      <c r="N2836" s="5"/>
    </row>
    <row r="2837">
      <c r="N2837" s="5"/>
    </row>
    <row r="2838">
      <c r="N2838" s="5"/>
    </row>
    <row r="2839">
      <c r="N2839" s="5"/>
    </row>
    <row r="2840">
      <c r="N2840" s="5"/>
    </row>
    <row r="2841">
      <c r="N2841" s="5"/>
    </row>
    <row r="2842">
      <c r="N2842" s="5"/>
    </row>
    <row r="2843">
      <c r="N2843" s="5"/>
    </row>
    <row r="2844">
      <c r="N2844" s="5"/>
    </row>
    <row r="2845">
      <c r="N2845" s="5"/>
    </row>
    <row r="2846">
      <c r="N2846" s="5"/>
    </row>
    <row r="2847">
      <c r="N2847" s="5"/>
    </row>
    <row r="2848">
      <c r="N2848" s="5"/>
    </row>
    <row r="2849">
      <c r="N2849" s="5"/>
    </row>
    <row r="2850">
      <c r="N2850" s="5"/>
    </row>
    <row r="2851">
      <c r="N2851" s="5"/>
    </row>
    <row r="2852">
      <c r="N2852" s="5"/>
    </row>
    <row r="2853">
      <c r="N2853" s="5"/>
    </row>
    <row r="2854">
      <c r="N2854" s="5"/>
    </row>
    <row r="2855">
      <c r="N2855" s="5"/>
    </row>
    <row r="2856">
      <c r="N2856" s="5"/>
    </row>
    <row r="2857">
      <c r="N2857" s="5"/>
    </row>
    <row r="2858">
      <c r="N2858" s="5"/>
    </row>
    <row r="2859">
      <c r="N2859" s="5"/>
    </row>
    <row r="2860">
      <c r="N2860" s="5"/>
    </row>
    <row r="2861">
      <c r="N2861" s="5"/>
    </row>
    <row r="2862">
      <c r="N2862" s="5"/>
    </row>
    <row r="2863">
      <c r="N2863" s="5"/>
    </row>
    <row r="2864">
      <c r="N2864" s="5"/>
    </row>
    <row r="2865">
      <c r="N2865" s="5"/>
    </row>
    <row r="2866">
      <c r="N2866" s="5"/>
    </row>
    <row r="2867">
      <c r="N2867" s="5"/>
    </row>
    <row r="2868">
      <c r="N2868" s="5"/>
    </row>
    <row r="2869">
      <c r="N2869" s="5"/>
    </row>
    <row r="2870">
      <c r="N2870" s="5"/>
    </row>
    <row r="2871">
      <c r="N2871" s="5"/>
    </row>
    <row r="2872">
      <c r="N2872" s="5"/>
    </row>
    <row r="2873">
      <c r="N2873" s="5"/>
    </row>
    <row r="2874">
      <c r="N2874" s="5"/>
    </row>
    <row r="2875">
      <c r="N2875" s="5"/>
    </row>
    <row r="2876">
      <c r="N2876" s="5"/>
    </row>
    <row r="2877">
      <c r="N2877" s="5"/>
    </row>
    <row r="2878">
      <c r="N2878" s="5"/>
    </row>
    <row r="2879">
      <c r="N2879" s="5"/>
    </row>
    <row r="2880">
      <c r="N2880" s="5"/>
    </row>
    <row r="2881">
      <c r="N2881" s="5"/>
    </row>
    <row r="2882">
      <c r="N2882" s="5"/>
    </row>
    <row r="2883">
      <c r="N2883" s="5"/>
    </row>
    <row r="2884">
      <c r="N2884" s="5"/>
    </row>
    <row r="2885">
      <c r="N2885" s="5"/>
    </row>
    <row r="2886">
      <c r="N2886" s="5"/>
    </row>
    <row r="2887">
      <c r="N2887" s="5"/>
    </row>
    <row r="2888">
      <c r="N2888" s="5"/>
    </row>
    <row r="2889">
      <c r="N2889" s="5"/>
    </row>
    <row r="2890">
      <c r="N2890" s="5"/>
    </row>
    <row r="2891">
      <c r="N2891" s="5"/>
    </row>
    <row r="2892">
      <c r="N2892" s="5"/>
    </row>
    <row r="2893">
      <c r="N2893" s="5"/>
    </row>
    <row r="2894">
      <c r="N2894" s="5"/>
    </row>
    <row r="2895">
      <c r="N2895" s="5"/>
    </row>
    <row r="2896">
      <c r="N2896" s="5"/>
    </row>
    <row r="2897">
      <c r="N2897" s="5"/>
    </row>
    <row r="2898">
      <c r="N2898" s="5"/>
    </row>
    <row r="2899">
      <c r="N2899" s="5"/>
    </row>
    <row r="2900">
      <c r="N2900" s="5"/>
    </row>
    <row r="2901">
      <c r="N2901" s="5"/>
    </row>
    <row r="2902">
      <c r="N2902" s="5"/>
    </row>
    <row r="2903">
      <c r="N2903" s="5"/>
    </row>
    <row r="2904">
      <c r="N2904" s="5"/>
    </row>
    <row r="2905">
      <c r="N2905" s="5"/>
    </row>
    <row r="2906">
      <c r="N2906" s="5"/>
    </row>
    <row r="2907">
      <c r="N2907" s="5"/>
    </row>
    <row r="2908">
      <c r="N2908" s="5"/>
    </row>
    <row r="2909">
      <c r="N2909" s="5"/>
    </row>
    <row r="2910">
      <c r="N2910" s="5"/>
    </row>
    <row r="2911">
      <c r="N2911" s="5"/>
    </row>
    <row r="2912">
      <c r="N2912" s="5"/>
    </row>
    <row r="2913">
      <c r="N2913" s="5"/>
    </row>
    <row r="2914">
      <c r="N2914" s="5"/>
    </row>
    <row r="2915">
      <c r="N2915" s="5"/>
    </row>
    <row r="2916">
      <c r="N2916" s="5"/>
    </row>
    <row r="2917">
      <c r="N2917" s="5"/>
    </row>
    <row r="2918">
      <c r="N2918" s="5"/>
    </row>
    <row r="2919">
      <c r="N2919" s="5"/>
    </row>
    <row r="2920">
      <c r="N2920" s="5"/>
    </row>
    <row r="2921">
      <c r="N2921" s="5"/>
    </row>
    <row r="2922">
      <c r="N2922" s="5"/>
    </row>
    <row r="2923">
      <c r="N2923" s="5"/>
    </row>
    <row r="2924">
      <c r="N2924" s="5"/>
    </row>
    <row r="2925">
      <c r="N2925" s="5"/>
    </row>
    <row r="2926">
      <c r="N2926" s="5"/>
    </row>
    <row r="2927">
      <c r="N2927" s="5"/>
    </row>
    <row r="2928">
      <c r="N2928" s="5"/>
    </row>
    <row r="2929">
      <c r="N2929" s="5"/>
    </row>
    <row r="2930">
      <c r="N2930" s="5"/>
    </row>
    <row r="2931">
      <c r="N2931" s="5"/>
    </row>
    <row r="2932">
      <c r="N2932" s="5"/>
    </row>
    <row r="2933">
      <c r="N2933" s="5"/>
    </row>
    <row r="2934">
      <c r="N2934" s="5"/>
    </row>
    <row r="2935">
      <c r="N2935" s="5"/>
    </row>
    <row r="2936">
      <c r="N2936" s="5"/>
    </row>
    <row r="2937">
      <c r="N2937" s="5"/>
    </row>
    <row r="2938">
      <c r="N2938" s="5"/>
    </row>
    <row r="2939">
      <c r="N2939" s="5"/>
    </row>
    <row r="2940">
      <c r="N2940" s="5"/>
    </row>
    <row r="2941">
      <c r="N2941" s="5"/>
    </row>
    <row r="2942">
      <c r="N2942" s="5"/>
    </row>
    <row r="2943">
      <c r="N2943" s="5"/>
    </row>
    <row r="2944">
      <c r="N2944" s="5"/>
    </row>
    <row r="2945">
      <c r="N2945" s="5"/>
    </row>
    <row r="2946">
      <c r="N2946" s="5"/>
    </row>
    <row r="2947">
      <c r="N2947" s="5"/>
    </row>
    <row r="2948">
      <c r="N2948" s="5"/>
    </row>
    <row r="2949">
      <c r="N2949" s="5"/>
    </row>
    <row r="2950">
      <c r="N2950" s="5"/>
    </row>
    <row r="2951">
      <c r="N2951" s="5"/>
    </row>
    <row r="2952">
      <c r="N2952" s="5"/>
    </row>
    <row r="2953">
      <c r="N2953" s="5"/>
    </row>
    <row r="2954">
      <c r="N2954" s="5"/>
    </row>
    <row r="2955">
      <c r="N2955" s="5"/>
    </row>
    <row r="2956">
      <c r="N2956" s="5"/>
    </row>
    <row r="2957">
      <c r="N2957" s="5"/>
    </row>
    <row r="2958">
      <c r="N2958" s="5"/>
    </row>
    <row r="2959">
      <c r="N2959" s="5"/>
    </row>
    <row r="2960">
      <c r="N2960" s="5"/>
    </row>
    <row r="2961">
      <c r="N2961" s="5"/>
    </row>
    <row r="2962">
      <c r="N2962" s="5"/>
    </row>
    <row r="2963">
      <c r="N2963" s="5"/>
    </row>
    <row r="2964">
      <c r="N2964" s="5"/>
    </row>
    <row r="2965">
      <c r="N2965" s="5"/>
    </row>
    <row r="2966">
      <c r="N2966" s="5"/>
    </row>
    <row r="2967">
      <c r="N2967" s="5"/>
    </row>
    <row r="2968">
      <c r="N2968" s="5"/>
    </row>
    <row r="2969">
      <c r="N2969" s="5"/>
    </row>
    <row r="2970">
      <c r="N2970" s="5"/>
    </row>
    <row r="2971">
      <c r="N2971" s="5"/>
    </row>
    <row r="2972">
      <c r="N2972" s="5"/>
    </row>
    <row r="2973">
      <c r="N2973" s="5"/>
    </row>
    <row r="2974">
      <c r="N2974" s="5"/>
    </row>
    <row r="2975">
      <c r="N2975" s="5"/>
    </row>
    <row r="2976">
      <c r="N2976" s="5"/>
    </row>
    <row r="2977">
      <c r="N2977" s="5"/>
    </row>
    <row r="2978">
      <c r="N2978" s="5"/>
    </row>
    <row r="2979">
      <c r="N2979" s="5"/>
    </row>
    <row r="2980">
      <c r="N2980" s="5"/>
    </row>
    <row r="2981">
      <c r="N2981" s="5"/>
    </row>
    <row r="2982">
      <c r="N2982" s="5"/>
    </row>
    <row r="2983">
      <c r="N2983" s="5"/>
    </row>
    <row r="2984">
      <c r="N2984" s="5"/>
    </row>
    <row r="2985">
      <c r="N2985" s="5"/>
    </row>
    <row r="2986">
      <c r="N2986" s="5"/>
    </row>
    <row r="2987">
      <c r="N2987" s="5"/>
    </row>
    <row r="2988">
      <c r="N2988" s="5"/>
    </row>
    <row r="2989">
      <c r="N2989" s="5"/>
    </row>
    <row r="2990">
      <c r="N2990" s="5"/>
    </row>
    <row r="2991">
      <c r="N2991" s="5"/>
    </row>
    <row r="2992">
      <c r="N2992" s="5"/>
    </row>
    <row r="2993">
      <c r="N2993" s="5"/>
    </row>
    <row r="2994">
      <c r="N2994" s="5"/>
    </row>
    <row r="2995">
      <c r="N2995" s="5"/>
    </row>
    <row r="2996">
      <c r="N2996" s="5"/>
    </row>
    <row r="2997">
      <c r="N2997" s="5"/>
    </row>
    <row r="2998">
      <c r="N2998" s="5"/>
    </row>
    <row r="2999">
      <c r="N2999" s="5"/>
    </row>
    <row r="3000">
      <c r="N3000" s="5"/>
    </row>
    <row r="3001">
      <c r="N3001" s="5"/>
    </row>
    <row r="3002">
      <c r="N3002" s="5"/>
    </row>
    <row r="3003">
      <c r="N3003" s="5"/>
    </row>
    <row r="3004">
      <c r="N3004" s="5"/>
    </row>
    <row r="3005">
      <c r="N3005" s="5"/>
    </row>
    <row r="3006">
      <c r="N3006" s="5"/>
    </row>
    <row r="3007">
      <c r="N3007" s="5"/>
    </row>
    <row r="3008">
      <c r="N3008" s="5"/>
    </row>
    <row r="3009">
      <c r="N3009" s="5"/>
    </row>
    <row r="3010">
      <c r="N3010" s="5"/>
    </row>
    <row r="3011">
      <c r="N3011" s="5"/>
    </row>
    <row r="3012">
      <c r="N3012" s="5"/>
    </row>
    <row r="3013">
      <c r="N3013" s="5"/>
    </row>
    <row r="3014">
      <c r="N3014" s="5"/>
    </row>
    <row r="3015">
      <c r="N3015" s="5"/>
    </row>
    <row r="3016">
      <c r="N3016" s="5"/>
    </row>
    <row r="3017">
      <c r="N3017" s="5"/>
    </row>
    <row r="3018">
      <c r="N3018" s="5"/>
    </row>
    <row r="3019">
      <c r="N3019" s="5"/>
    </row>
    <row r="3020">
      <c r="N3020" s="5"/>
    </row>
    <row r="3021">
      <c r="N3021" s="5"/>
    </row>
    <row r="3022">
      <c r="N3022" s="5"/>
    </row>
    <row r="3023">
      <c r="N3023" s="5"/>
    </row>
    <row r="3024">
      <c r="N3024" s="5"/>
    </row>
    <row r="3025">
      <c r="N3025" s="5"/>
    </row>
    <row r="3026">
      <c r="N3026" s="5"/>
    </row>
    <row r="3027">
      <c r="N3027" s="5"/>
    </row>
    <row r="3028">
      <c r="N3028" s="5"/>
    </row>
    <row r="3029">
      <c r="N3029" s="5"/>
    </row>
    <row r="3030">
      <c r="N3030" s="5"/>
    </row>
    <row r="3031">
      <c r="N3031" s="5"/>
    </row>
    <row r="3032">
      <c r="N3032" s="5"/>
    </row>
    <row r="3033">
      <c r="N3033" s="5"/>
    </row>
    <row r="3034">
      <c r="N3034" s="5"/>
    </row>
    <row r="3035">
      <c r="N3035" s="5"/>
    </row>
    <row r="3036">
      <c r="N3036" s="5"/>
    </row>
    <row r="3037">
      <c r="N3037" s="5"/>
    </row>
    <row r="3038">
      <c r="N3038" s="5"/>
    </row>
    <row r="3039">
      <c r="N3039" s="5"/>
    </row>
    <row r="3040">
      <c r="N3040" s="5"/>
    </row>
    <row r="3041">
      <c r="N3041" s="5"/>
    </row>
    <row r="3042">
      <c r="N3042" s="5"/>
    </row>
    <row r="3043">
      <c r="N3043" s="5"/>
    </row>
    <row r="3044">
      <c r="N3044" s="5"/>
    </row>
    <row r="3045">
      <c r="N3045" s="5"/>
    </row>
    <row r="3046">
      <c r="N3046" s="5"/>
    </row>
    <row r="3047">
      <c r="N3047" s="5"/>
    </row>
    <row r="3048">
      <c r="N3048" s="5"/>
    </row>
    <row r="3049">
      <c r="N3049" s="5"/>
    </row>
    <row r="3050">
      <c r="N3050" s="5"/>
    </row>
    <row r="3051">
      <c r="N3051" s="5"/>
    </row>
    <row r="3052">
      <c r="N3052" s="5"/>
    </row>
    <row r="3053">
      <c r="N3053" s="5"/>
    </row>
    <row r="3054">
      <c r="N3054" s="5"/>
    </row>
    <row r="3055">
      <c r="N3055" s="5"/>
    </row>
    <row r="3056">
      <c r="N3056" s="5"/>
    </row>
    <row r="3057">
      <c r="N3057" s="5"/>
    </row>
    <row r="3058">
      <c r="N3058" s="5"/>
    </row>
    <row r="3059">
      <c r="N3059" s="5"/>
    </row>
    <row r="3060">
      <c r="N3060" s="5"/>
    </row>
    <row r="3061">
      <c r="N3061" s="5"/>
    </row>
    <row r="3062">
      <c r="N3062" s="5"/>
    </row>
    <row r="3063">
      <c r="N3063" s="5"/>
    </row>
    <row r="3064">
      <c r="N3064" s="5"/>
    </row>
    <row r="3065">
      <c r="N3065" s="5"/>
    </row>
    <row r="3066">
      <c r="N3066" s="5"/>
    </row>
    <row r="3067">
      <c r="N3067" s="5"/>
    </row>
    <row r="3068">
      <c r="N3068" s="5"/>
    </row>
    <row r="3069">
      <c r="N3069" s="5"/>
    </row>
    <row r="3070">
      <c r="N3070" s="5"/>
    </row>
    <row r="3071">
      <c r="N3071" s="5"/>
    </row>
    <row r="3072">
      <c r="N3072" s="5"/>
    </row>
    <row r="3073">
      <c r="N3073" s="5"/>
    </row>
    <row r="3074">
      <c r="N3074" s="5"/>
    </row>
    <row r="3075">
      <c r="N3075" s="5"/>
    </row>
    <row r="3076">
      <c r="N3076" s="5"/>
    </row>
    <row r="3077">
      <c r="N3077" s="5"/>
    </row>
    <row r="3078">
      <c r="N3078" s="5"/>
    </row>
    <row r="3079">
      <c r="N3079" s="5"/>
    </row>
    <row r="3080">
      <c r="N3080" s="5"/>
    </row>
    <row r="3081">
      <c r="N3081" s="5"/>
    </row>
    <row r="3082">
      <c r="N3082" s="5"/>
    </row>
    <row r="3083">
      <c r="N3083" s="5"/>
    </row>
    <row r="3084">
      <c r="N3084" s="5"/>
    </row>
    <row r="3085">
      <c r="N3085" s="5"/>
    </row>
    <row r="3086">
      <c r="N3086" s="5"/>
    </row>
    <row r="3087">
      <c r="N3087" s="5"/>
    </row>
    <row r="3088">
      <c r="N3088" s="5"/>
    </row>
    <row r="3089">
      <c r="N3089" s="5"/>
    </row>
    <row r="3090">
      <c r="N3090" s="5"/>
    </row>
    <row r="3091">
      <c r="N3091" s="5"/>
    </row>
    <row r="3092">
      <c r="N3092" s="5"/>
    </row>
    <row r="3093">
      <c r="N3093" s="5"/>
    </row>
    <row r="3094">
      <c r="N3094" s="5"/>
    </row>
    <row r="3095">
      <c r="N3095" s="5"/>
    </row>
    <row r="3096">
      <c r="N3096" s="5"/>
    </row>
    <row r="3097">
      <c r="N3097" s="5"/>
    </row>
    <row r="3098">
      <c r="N3098" s="5"/>
    </row>
    <row r="3099">
      <c r="N3099" s="5"/>
    </row>
    <row r="3100">
      <c r="N3100" s="5"/>
    </row>
    <row r="3101">
      <c r="N3101" s="5"/>
    </row>
    <row r="3102">
      <c r="N3102" s="5"/>
    </row>
    <row r="3103">
      <c r="N3103" s="5"/>
    </row>
    <row r="3104">
      <c r="N3104" s="5"/>
    </row>
    <row r="3105">
      <c r="N3105" s="5"/>
    </row>
    <row r="3106">
      <c r="N3106" s="5"/>
    </row>
    <row r="3107">
      <c r="N3107" s="5"/>
    </row>
    <row r="3108">
      <c r="N3108" s="5"/>
    </row>
    <row r="3109">
      <c r="N3109" s="5"/>
    </row>
    <row r="3110">
      <c r="N3110" s="5"/>
    </row>
    <row r="3111">
      <c r="N3111" s="5"/>
    </row>
    <row r="3112">
      <c r="N3112" s="5"/>
    </row>
    <row r="3113">
      <c r="N3113" s="5"/>
    </row>
    <row r="3114">
      <c r="N3114" s="5"/>
    </row>
    <row r="3115">
      <c r="N3115" s="5"/>
    </row>
    <row r="3116">
      <c r="N3116" s="5"/>
    </row>
    <row r="3117">
      <c r="N3117" s="5"/>
    </row>
    <row r="3118">
      <c r="N3118" s="5"/>
    </row>
    <row r="3119">
      <c r="N3119" s="5"/>
    </row>
    <row r="3120">
      <c r="N3120" s="5"/>
    </row>
    <row r="3121">
      <c r="N3121" s="5"/>
    </row>
    <row r="3122">
      <c r="N3122" s="5"/>
    </row>
    <row r="3123">
      <c r="N3123" s="5"/>
    </row>
    <row r="3124">
      <c r="N3124" s="5"/>
    </row>
    <row r="3125">
      <c r="N3125" s="5"/>
    </row>
    <row r="3126">
      <c r="N3126" s="5"/>
    </row>
    <row r="3127">
      <c r="N3127" s="5"/>
    </row>
    <row r="3128">
      <c r="N3128" s="5"/>
    </row>
    <row r="3129">
      <c r="N3129" s="5"/>
    </row>
    <row r="3130">
      <c r="N3130" s="5"/>
    </row>
    <row r="3131">
      <c r="N3131" s="5"/>
    </row>
    <row r="3132">
      <c r="N3132" s="5"/>
    </row>
    <row r="3133">
      <c r="N3133" s="5"/>
    </row>
    <row r="3134">
      <c r="N3134" s="5"/>
    </row>
    <row r="3135">
      <c r="N3135" s="5"/>
    </row>
    <row r="3136">
      <c r="N3136" s="5"/>
    </row>
    <row r="3137">
      <c r="N3137" s="5"/>
    </row>
    <row r="3138">
      <c r="N3138" s="5"/>
    </row>
    <row r="3139">
      <c r="N3139" s="5"/>
    </row>
    <row r="3140">
      <c r="N3140" s="5"/>
    </row>
    <row r="3141">
      <c r="N3141" s="5"/>
    </row>
    <row r="3142">
      <c r="N3142" s="5"/>
    </row>
    <row r="3143">
      <c r="N3143" s="5"/>
    </row>
    <row r="3144">
      <c r="N3144" s="5"/>
    </row>
    <row r="3145">
      <c r="N3145" s="5"/>
    </row>
    <row r="3146">
      <c r="N3146" s="5"/>
    </row>
    <row r="3147">
      <c r="N3147" s="5"/>
    </row>
    <row r="3148">
      <c r="N3148" s="5"/>
    </row>
    <row r="3149">
      <c r="N3149" s="5"/>
    </row>
    <row r="3150">
      <c r="N3150" s="5"/>
    </row>
    <row r="3151">
      <c r="N3151" s="5"/>
    </row>
    <row r="3152">
      <c r="N3152" s="5"/>
    </row>
    <row r="3153">
      <c r="N3153" s="5"/>
    </row>
    <row r="3154">
      <c r="N3154" s="5"/>
    </row>
    <row r="3155">
      <c r="N3155" s="5"/>
    </row>
    <row r="3156">
      <c r="N3156" s="5"/>
    </row>
    <row r="3157">
      <c r="N3157" s="5"/>
    </row>
    <row r="3158">
      <c r="N3158" s="5"/>
    </row>
    <row r="3159">
      <c r="N3159" s="5"/>
    </row>
    <row r="3160">
      <c r="N3160" s="5"/>
    </row>
    <row r="3161">
      <c r="N3161" s="5"/>
    </row>
    <row r="3162">
      <c r="N3162" s="5"/>
    </row>
    <row r="3163">
      <c r="N3163" s="5"/>
    </row>
    <row r="3164">
      <c r="N3164" s="5"/>
    </row>
    <row r="3165">
      <c r="N3165" s="5"/>
    </row>
    <row r="3166">
      <c r="N3166" s="5"/>
    </row>
    <row r="3167">
      <c r="N3167" s="5"/>
    </row>
    <row r="3168">
      <c r="N3168" s="5"/>
    </row>
    <row r="3169">
      <c r="N3169" s="5"/>
    </row>
    <row r="3170">
      <c r="N3170" s="5"/>
    </row>
    <row r="3171">
      <c r="N3171" s="5"/>
    </row>
    <row r="3172">
      <c r="N3172" s="5"/>
    </row>
    <row r="3173">
      <c r="N3173" s="5"/>
    </row>
    <row r="3174">
      <c r="N3174" s="5"/>
    </row>
    <row r="3175">
      <c r="N3175" s="5"/>
    </row>
    <row r="3176">
      <c r="N3176" s="5"/>
    </row>
    <row r="3177">
      <c r="N3177" s="5"/>
    </row>
    <row r="3178">
      <c r="N3178" s="5"/>
    </row>
    <row r="3179">
      <c r="N3179" s="5"/>
    </row>
    <row r="3180">
      <c r="N3180" s="5"/>
    </row>
    <row r="3181">
      <c r="N3181" s="5"/>
    </row>
    <row r="3182">
      <c r="N3182" s="5"/>
    </row>
    <row r="3183">
      <c r="N3183" s="5"/>
    </row>
    <row r="3184">
      <c r="N3184" s="5"/>
    </row>
    <row r="3185">
      <c r="N3185" s="5"/>
    </row>
    <row r="3186">
      <c r="N3186" s="5"/>
    </row>
    <row r="3187">
      <c r="N3187" s="5"/>
    </row>
    <row r="3188">
      <c r="N3188" s="5"/>
    </row>
    <row r="3189">
      <c r="N3189" s="5"/>
    </row>
    <row r="3190">
      <c r="N3190" s="5"/>
    </row>
    <row r="3191">
      <c r="N3191" s="5"/>
    </row>
    <row r="3192">
      <c r="N3192" s="5"/>
    </row>
    <row r="3193">
      <c r="N3193" s="5"/>
    </row>
    <row r="3194">
      <c r="N3194" s="5"/>
    </row>
    <row r="3195">
      <c r="N3195" s="5"/>
    </row>
    <row r="3196">
      <c r="N3196" s="5"/>
    </row>
    <row r="3197">
      <c r="N3197" s="5"/>
    </row>
    <row r="3198">
      <c r="N3198" s="5"/>
    </row>
    <row r="3199">
      <c r="N3199" s="5"/>
    </row>
    <row r="3200">
      <c r="N3200" s="5"/>
    </row>
    <row r="3201">
      <c r="N3201" s="5"/>
    </row>
    <row r="3202">
      <c r="N3202" s="5"/>
    </row>
    <row r="3203">
      <c r="N3203" s="5"/>
    </row>
    <row r="3204">
      <c r="N3204" s="5"/>
    </row>
    <row r="3205">
      <c r="N3205" s="5"/>
    </row>
    <row r="3206">
      <c r="N3206" s="5"/>
    </row>
    <row r="3207">
      <c r="N3207" s="5"/>
    </row>
    <row r="3208">
      <c r="N3208" s="5"/>
    </row>
    <row r="3209">
      <c r="N3209" s="5"/>
    </row>
    <row r="3210">
      <c r="N3210" s="5"/>
    </row>
    <row r="3211">
      <c r="N3211" s="5"/>
    </row>
    <row r="3212">
      <c r="N3212" s="5"/>
    </row>
    <row r="3213">
      <c r="N3213" s="5"/>
    </row>
    <row r="3214">
      <c r="N3214" s="5"/>
    </row>
    <row r="3215">
      <c r="N3215" s="5"/>
    </row>
    <row r="3216">
      <c r="N3216" s="5"/>
    </row>
    <row r="3217">
      <c r="N3217" s="5"/>
    </row>
    <row r="3218">
      <c r="N3218" s="5"/>
    </row>
    <row r="3219">
      <c r="N3219" s="5"/>
    </row>
    <row r="3220">
      <c r="N3220" s="5"/>
    </row>
    <row r="3221">
      <c r="N3221" s="5"/>
    </row>
    <row r="3222">
      <c r="N3222" s="5"/>
    </row>
    <row r="3223">
      <c r="N3223" s="5"/>
    </row>
    <row r="3224">
      <c r="N3224" s="5"/>
    </row>
    <row r="3225">
      <c r="N3225" s="5"/>
    </row>
    <row r="3226">
      <c r="N3226" s="5"/>
    </row>
    <row r="3227">
      <c r="N3227" s="5"/>
    </row>
    <row r="3228">
      <c r="N3228" s="5"/>
    </row>
    <row r="3229">
      <c r="N3229" s="5"/>
    </row>
    <row r="3230">
      <c r="N3230" s="5"/>
    </row>
    <row r="3231">
      <c r="N3231" s="5"/>
    </row>
    <row r="3232">
      <c r="N3232" s="5"/>
    </row>
    <row r="3233">
      <c r="N3233" s="5"/>
    </row>
    <row r="3234">
      <c r="N3234" s="5"/>
    </row>
    <row r="3235">
      <c r="N3235" s="5"/>
    </row>
    <row r="3236">
      <c r="N3236" s="5"/>
    </row>
    <row r="3237">
      <c r="N3237" s="5"/>
    </row>
    <row r="3238">
      <c r="N3238" s="5"/>
    </row>
    <row r="3239">
      <c r="N3239" s="5"/>
    </row>
    <row r="3240">
      <c r="N3240" s="5"/>
    </row>
    <row r="3241">
      <c r="N3241" s="5"/>
    </row>
    <row r="3242">
      <c r="N3242" s="5"/>
    </row>
    <row r="3243">
      <c r="N3243" s="5"/>
    </row>
    <row r="3244">
      <c r="N3244" s="5"/>
    </row>
    <row r="3245">
      <c r="N3245" s="5"/>
    </row>
    <row r="3246">
      <c r="N3246" s="5"/>
    </row>
    <row r="3247">
      <c r="N3247" s="5"/>
    </row>
    <row r="3248">
      <c r="N3248" s="5"/>
    </row>
    <row r="3249">
      <c r="N3249" s="5"/>
    </row>
    <row r="3250">
      <c r="N3250" s="5"/>
    </row>
    <row r="3251">
      <c r="N3251" s="5"/>
    </row>
    <row r="3252">
      <c r="N3252" s="5"/>
    </row>
    <row r="3253">
      <c r="N3253" s="5"/>
    </row>
    <row r="3254">
      <c r="N3254" s="5"/>
    </row>
    <row r="3255">
      <c r="N3255" s="5"/>
    </row>
    <row r="3256">
      <c r="N3256" s="5"/>
    </row>
    <row r="3257">
      <c r="N3257" s="5"/>
    </row>
    <row r="3258">
      <c r="N3258" s="5"/>
    </row>
    <row r="3259">
      <c r="N3259" s="5"/>
    </row>
    <row r="3260">
      <c r="N3260" s="5"/>
    </row>
    <row r="3261">
      <c r="N3261" s="5"/>
    </row>
    <row r="3262">
      <c r="N3262" s="5"/>
    </row>
    <row r="3263">
      <c r="N3263" s="5"/>
    </row>
    <row r="3264">
      <c r="N3264" s="5"/>
    </row>
    <row r="3265">
      <c r="N3265" s="5"/>
    </row>
    <row r="3266">
      <c r="N3266" s="5"/>
    </row>
    <row r="3267">
      <c r="N3267" s="5"/>
    </row>
    <row r="3268">
      <c r="N3268" s="5"/>
    </row>
    <row r="3269">
      <c r="N3269" s="5"/>
    </row>
    <row r="3270">
      <c r="N3270" s="5"/>
    </row>
    <row r="3271">
      <c r="N3271" s="5"/>
    </row>
    <row r="3272">
      <c r="N3272" s="5"/>
    </row>
    <row r="3273">
      <c r="N3273" s="5"/>
    </row>
    <row r="3274">
      <c r="N3274" s="5"/>
    </row>
    <row r="3275">
      <c r="N3275" s="5"/>
    </row>
    <row r="3276">
      <c r="N3276" s="5"/>
    </row>
    <row r="3277">
      <c r="N3277" s="5"/>
    </row>
    <row r="3278">
      <c r="N3278" s="5"/>
    </row>
    <row r="3279">
      <c r="N3279" s="5"/>
    </row>
    <row r="3280">
      <c r="N3280" s="5"/>
    </row>
    <row r="3281">
      <c r="N3281" s="5"/>
    </row>
    <row r="3282">
      <c r="N3282" s="5"/>
    </row>
    <row r="3283">
      <c r="N3283" s="5"/>
    </row>
    <row r="3284">
      <c r="N3284" s="5"/>
    </row>
    <row r="3285">
      <c r="N3285" s="5"/>
    </row>
    <row r="3286">
      <c r="N3286" s="5"/>
    </row>
    <row r="3287">
      <c r="N3287" s="5"/>
    </row>
    <row r="3288">
      <c r="N3288" s="5"/>
    </row>
    <row r="3289">
      <c r="N3289" s="5"/>
    </row>
    <row r="3290">
      <c r="N3290" s="5"/>
    </row>
    <row r="3291">
      <c r="N3291" s="5"/>
    </row>
    <row r="3292">
      <c r="N3292" s="5"/>
    </row>
    <row r="3293">
      <c r="N3293" s="5"/>
    </row>
    <row r="3294">
      <c r="N3294" s="5"/>
    </row>
    <row r="3295">
      <c r="N3295" s="5"/>
    </row>
    <row r="3296">
      <c r="N3296" s="5"/>
    </row>
    <row r="3297">
      <c r="N3297" s="5"/>
    </row>
    <row r="3298">
      <c r="N3298" s="5"/>
    </row>
    <row r="3299">
      <c r="N3299" s="5"/>
    </row>
    <row r="3300">
      <c r="N3300" s="5"/>
    </row>
    <row r="3301">
      <c r="N3301" s="5"/>
    </row>
    <row r="3302">
      <c r="N3302" s="5"/>
    </row>
    <row r="3303">
      <c r="N3303" s="5"/>
    </row>
    <row r="3304">
      <c r="N3304" s="5"/>
    </row>
    <row r="3305">
      <c r="N3305" s="5"/>
    </row>
    <row r="3306">
      <c r="N3306" s="5"/>
    </row>
    <row r="3307">
      <c r="N3307" s="5"/>
    </row>
    <row r="3308">
      <c r="N3308" s="5"/>
    </row>
    <row r="3309">
      <c r="N3309" s="5"/>
    </row>
    <row r="3310">
      <c r="N3310" s="5"/>
    </row>
    <row r="3311">
      <c r="N3311" s="5"/>
    </row>
    <row r="3312">
      <c r="N3312" s="5"/>
    </row>
    <row r="3313">
      <c r="N3313" s="5"/>
    </row>
    <row r="3314">
      <c r="N3314" s="5"/>
    </row>
    <row r="3315">
      <c r="N3315" s="5"/>
    </row>
    <row r="3316">
      <c r="N3316" s="5"/>
    </row>
    <row r="3317">
      <c r="N3317" s="5"/>
    </row>
    <row r="3318">
      <c r="N3318" s="5"/>
    </row>
    <row r="3319">
      <c r="N3319" s="5"/>
    </row>
    <row r="3320">
      <c r="N3320" s="5"/>
    </row>
    <row r="3321">
      <c r="N3321" s="5"/>
    </row>
    <row r="3322">
      <c r="N3322" s="5"/>
    </row>
    <row r="3323">
      <c r="N3323" s="5"/>
    </row>
    <row r="3324">
      <c r="N3324" s="5"/>
    </row>
    <row r="3325">
      <c r="N3325" s="5"/>
    </row>
    <row r="3326">
      <c r="N3326" s="5"/>
    </row>
    <row r="3327">
      <c r="N3327" s="5"/>
    </row>
    <row r="3328">
      <c r="N3328" s="5"/>
    </row>
    <row r="3329">
      <c r="N3329" s="5"/>
    </row>
    <row r="3330">
      <c r="N3330" s="5"/>
    </row>
    <row r="3331">
      <c r="N3331" s="5"/>
    </row>
    <row r="3332">
      <c r="N3332" s="5"/>
    </row>
    <row r="3333">
      <c r="N3333" s="5"/>
    </row>
    <row r="3334">
      <c r="N3334" s="5"/>
    </row>
    <row r="3335">
      <c r="N3335" s="5"/>
    </row>
    <row r="3336">
      <c r="N3336" s="5"/>
    </row>
    <row r="3337">
      <c r="N3337" s="5"/>
    </row>
    <row r="3338">
      <c r="N3338" s="5"/>
    </row>
    <row r="3339">
      <c r="N3339" s="5"/>
    </row>
    <row r="3340">
      <c r="N3340" s="5"/>
    </row>
    <row r="3341">
      <c r="N3341" s="5"/>
    </row>
    <row r="3342">
      <c r="N3342" s="5"/>
    </row>
    <row r="3343">
      <c r="N3343" s="5"/>
    </row>
    <row r="3344">
      <c r="N3344" s="5"/>
    </row>
    <row r="3345">
      <c r="N3345" s="5"/>
    </row>
    <row r="3346">
      <c r="N3346" s="5"/>
    </row>
    <row r="3347">
      <c r="N3347" s="5"/>
    </row>
    <row r="3348">
      <c r="N3348" s="5"/>
    </row>
    <row r="3349">
      <c r="N3349" s="5"/>
    </row>
    <row r="3350">
      <c r="N3350" s="5"/>
    </row>
    <row r="3351">
      <c r="N3351" s="5"/>
    </row>
    <row r="3352">
      <c r="N3352" s="5"/>
    </row>
    <row r="3353">
      <c r="N3353" s="5"/>
    </row>
    <row r="3354">
      <c r="N3354" s="5"/>
    </row>
    <row r="3355">
      <c r="N3355" s="5"/>
    </row>
    <row r="3356">
      <c r="N3356" s="5"/>
    </row>
    <row r="3357">
      <c r="N3357" s="5"/>
    </row>
    <row r="3358">
      <c r="N3358" s="5"/>
    </row>
    <row r="3359">
      <c r="N3359" s="5"/>
    </row>
    <row r="3360">
      <c r="N3360" s="5"/>
    </row>
    <row r="3361">
      <c r="N3361" s="5"/>
    </row>
    <row r="3362">
      <c r="N3362" s="5"/>
    </row>
    <row r="3363">
      <c r="N3363" s="5"/>
    </row>
    <row r="3364">
      <c r="N3364" s="5"/>
    </row>
    <row r="3365">
      <c r="N3365" s="5"/>
    </row>
    <row r="3366">
      <c r="N3366" s="5"/>
    </row>
    <row r="3367">
      <c r="N3367" s="5"/>
    </row>
    <row r="3368">
      <c r="N3368" s="5"/>
    </row>
    <row r="3369">
      <c r="N3369" s="5"/>
    </row>
    <row r="3370">
      <c r="N3370" s="5"/>
    </row>
    <row r="3371">
      <c r="N3371" s="5"/>
    </row>
    <row r="3372">
      <c r="N3372" s="5"/>
    </row>
    <row r="3373">
      <c r="N3373" s="5"/>
    </row>
    <row r="3374">
      <c r="N3374" s="5"/>
    </row>
    <row r="3375">
      <c r="N3375" s="5"/>
    </row>
    <row r="3376">
      <c r="N3376" s="5"/>
    </row>
    <row r="3377">
      <c r="N3377" s="5"/>
    </row>
    <row r="3378">
      <c r="N3378" s="5"/>
    </row>
    <row r="3379">
      <c r="N3379" s="5"/>
    </row>
    <row r="3380">
      <c r="N3380" s="5"/>
    </row>
    <row r="3381">
      <c r="N3381" s="5"/>
    </row>
    <row r="3382">
      <c r="N3382" s="5"/>
    </row>
    <row r="3383">
      <c r="N3383" s="5"/>
    </row>
    <row r="3384">
      <c r="N3384" s="5"/>
    </row>
    <row r="3385">
      <c r="N3385" s="5"/>
    </row>
    <row r="3386">
      <c r="N3386" s="5"/>
    </row>
    <row r="3387">
      <c r="N3387" s="5"/>
    </row>
    <row r="3388">
      <c r="N3388" s="5"/>
    </row>
    <row r="3389">
      <c r="N3389" s="5"/>
    </row>
    <row r="3390">
      <c r="N3390" s="5"/>
    </row>
    <row r="3391">
      <c r="N3391" s="5"/>
    </row>
    <row r="3392">
      <c r="N3392" s="5"/>
    </row>
    <row r="3393">
      <c r="N3393" s="5"/>
    </row>
    <row r="3394">
      <c r="N3394" s="5"/>
    </row>
    <row r="3395">
      <c r="N3395" s="5"/>
    </row>
    <row r="3396">
      <c r="N3396" s="5"/>
    </row>
    <row r="3397">
      <c r="N3397" s="5"/>
    </row>
    <row r="3398">
      <c r="N3398" s="5"/>
    </row>
    <row r="3399">
      <c r="N3399" s="5"/>
    </row>
    <row r="3400">
      <c r="N3400" s="5"/>
    </row>
    <row r="3401">
      <c r="N3401" s="5"/>
    </row>
    <row r="3402">
      <c r="N3402" s="5"/>
    </row>
    <row r="3403">
      <c r="N3403" s="5"/>
    </row>
    <row r="3404">
      <c r="N3404" s="5"/>
    </row>
    <row r="3405">
      <c r="N3405" s="5"/>
    </row>
    <row r="3406">
      <c r="N3406" s="5"/>
    </row>
    <row r="3407">
      <c r="N3407" s="5"/>
    </row>
    <row r="3408">
      <c r="N3408" s="5"/>
    </row>
    <row r="3409">
      <c r="N3409" s="5"/>
    </row>
    <row r="3410">
      <c r="N3410" s="5"/>
    </row>
    <row r="3411">
      <c r="N3411" s="5"/>
    </row>
    <row r="3412">
      <c r="N3412" s="5"/>
    </row>
    <row r="3413">
      <c r="N3413" s="5"/>
    </row>
    <row r="3414">
      <c r="N3414" s="5"/>
    </row>
    <row r="3415">
      <c r="N3415" s="5"/>
    </row>
    <row r="3416">
      <c r="N3416" s="5"/>
    </row>
    <row r="3417">
      <c r="N3417" s="5"/>
    </row>
    <row r="3418">
      <c r="N3418" s="5"/>
    </row>
    <row r="3419">
      <c r="N3419" s="5"/>
    </row>
    <row r="3420">
      <c r="N3420" s="5"/>
    </row>
    <row r="3421">
      <c r="N3421" s="5"/>
    </row>
    <row r="3422">
      <c r="N3422" s="5"/>
    </row>
    <row r="3423">
      <c r="N3423" s="5"/>
    </row>
    <row r="3424">
      <c r="N3424" s="5"/>
    </row>
    <row r="3425">
      <c r="N3425" s="5"/>
    </row>
    <row r="3426">
      <c r="N3426" s="5"/>
    </row>
    <row r="3427">
      <c r="N3427" s="5"/>
    </row>
    <row r="3428">
      <c r="N3428" s="5"/>
    </row>
    <row r="3429">
      <c r="N3429" s="5"/>
    </row>
    <row r="3430">
      <c r="N3430" s="5"/>
    </row>
    <row r="3431">
      <c r="N3431" s="5"/>
    </row>
    <row r="3432">
      <c r="N3432" s="5"/>
    </row>
    <row r="3433">
      <c r="N3433" s="5"/>
    </row>
    <row r="3434">
      <c r="N3434" s="5"/>
    </row>
    <row r="3435">
      <c r="N3435" s="5"/>
    </row>
    <row r="3436">
      <c r="N3436" s="5"/>
    </row>
    <row r="3437">
      <c r="N3437" s="5"/>
    </row>
    <row r="3438">
      <c r="N3438" s="5"/>
    </row>
    <row r="3439">
      <c r="N3439" s="5"/>
    </row>
    <row r="3440">
      <c r="N3440" s="5"/>
    </row>
    <row r="3441">
      <c r="N3441" s="5"/>
    </row>
    <row r="3442">
      <c r="N3442" s="5"/>
    </row>
    <row r="3443">
      <c r="N3443" s="5"/>
    </row>
    <row r="3444">
      <c r="N3444" s="5"/>
    </row>
    <row r="3445">
      <c r="N3445" s="5"/>
    </row>
    <row r="3446">
      <c r="N3446" s="5"/>
    </row>
    <row r="3447">
      <c r="N3447" s="5"/>
    </row>
    <row r="3448">
      <c r="N3448" s="5"/>
    </row>
    <row r="3449">
      <c r="N3449" s="5"/>
    </row>
    <row r="3450">
      <c r="N3450" s="5"/>
    </row>
    <row r="3451">
      <c r="N3451" s="5"/>
    </row>
    <row r="3452">
      <c r="N3452" s="5"/>
    </row>
    <row r="3453">
      <c r="N3453" s="5"/>
    </row>
    <row r="3454">
      <c r="N3454" s="5"/>
    </row>
    <row r="3455">
      <c r="N3455" s="5"/>
    </row>
    <row r="3456">
      <c r="N3456" s="5"/>
    </row>
    <row r="3457">
      <c r="N3457" s="5"/>
    </row>
    <row r="3458">
      <c r="N3458" s="5"/>
    </row>
    <row r="3459">
      <c r="N3459" s="5"/>
    </row>
    <row r="3460">
      <c r="N3460" s="5"/>
    </row>
    <row r="3461">
      <c r="N3461" s="5"/>
    </row>
    <row r="3462">
      <c r="N3462" s="5"/>
    </row>
    <row r="3463">
      <c r="N3463" s="5"/>
    </row>
    <row r="3464">
      <c r="N3464" s="5"/>
    </row>
    <row r="3465">
      <c r="N3465" s="5"/>
    </row>
    <row r="3466">
      <c r="N3466" s="5"/>
    </row>
    <row r="3467">
      <c r="N3467" s="5"/>
    </row>
    <row r="3468">
      <c r="N3468" s="5"/>
    </row>
    <row r="3469">
      <c r="N3469" s="5"/>
    </row>
    <row r="3470">
      <c r="N3470" s="5"/>
    </row>
    <row r="3471">
      <c r="N3471" s="5"/>
    </row>
    <row r="3472">
      <c r="N3472" s="5"/>
    </row>
    <row r="3473">
      <c r="N3473" s="5"/>
    </row>
    <row r="3474">
      <c r="N3474" s="5"/>
    </row>
    <row r="3475">
      <c r="N3475" s="5"/>
    </row>
    <row r="3476">
      <c r="N3476" s="5"/>
    </row>
    <row r="3477">
      <c r="N3477" s="5"/>
    </row>
    <row r="3478">
      <c r="N3478" s="5"/>
    </row>
    <row r="3479">
      <c r="N3479" s="5"/>
    </row>
    <row r="3480">
      <c r="N3480" s="5"/>
    </row>
    <row r="3481">
      <c r="N3481" s="5"/>
    </row>
    <row r="3482">
      <c r="N3482" s="5"/>
    </row>
    <row r="3483">
      <c r="N3483" s="5"/>
    </row>
    <row r="3484">
      <c r="N3484" s="5"/>
    </row>
    <row r="3485">
      <c r="N3485" s="5"/>
    </row>
    <row r="3486">
      <c r="N3486" s="5"/>
    </row>
    <row r="3487">
      <c r="N3487" s="5"/>
    </row>
    <row r="3488">
      <c r="N3488" s="5"/>
    </row>
    <row r="3489">
      <c r="N3489" s="5"/>
    </row>
    <row r="3490">
      <c r="N3490" s="5"/>
    </row>
    <row r="3491">
      <c r="N3491" s="5"/>
    </row>
    <row r="3492">
      <c r="N3492" s="5"/>
    </row>
    <row r="3493">
      <c r="N3493" s="5"/>
    </row>
    <row r="3494">
      <c r="N3494" s="5"/>
    </row>
    <row r="3495">
      <c r="N3495" s="5"/>
    </row>
    <row r="3496">
      <c r="N3496" s="5"/>
    </row>
    <row r="3497">
      <c r="N3497" s="5"/>
    </row>
    <row r="3498">
      <c r="N3498" s="5"/>
    </row>
    <row r="3499">
      <c r="N3499" s="5"/>
    </row>
    <row r="3500">
      <c r="N3500" s="5"/>
    </row>
    <row r="3501">
      <c r="N3501" s="5"/>
    </row>
    <row r="3502">
      <c r="N3502" s="5"/>
    </row>
    <row r="3503">
      <c r="N3503" s="5"/>
    </row>
    <row r="3504">
      <c r="N3504" s="5"/>
    </row>
    <row r="3505">
      <c r="N3505" s="5"/>
    </row>
    <row r="3506">
      <c r="N3506" s="5"/>
    </row>
    <row r="3507">
      <c r="N3507" s="5"/>
    </row>
    <row r="3508">
      <c r="N3508" s="5"/>
    </row>
    <row r="3509">
      <c r="N3509" s="5"/>
    </row>
    <row r="3510">
      <c r="N3510" s="5"/>
    </row>
    <row r="3511">
      <c r="N3511" s="5"/>
    </row>
    <row r="3512">
      <c r="N3512" s="5"/>
    </row>
    <row r="3513">
      <c r="N3513" s="5"/>
    </row>
    <row r="3514">
      <c r="N3514" s="5"/>
    </row>
    <row r="3515">
      <c r="N3515" s="5"/>
    </row>
    <row r="3516">
      <c r="N3516" s="5"/>
    </row>
    <row r="3517">
      <c r="N3517" s="5"/>
    </row>
    <row r="3518">
      <c r="N3518" s="5"/>
    </row>
    <row r="3519">
      <c r="N3519" s="5"/>
    </row>
    <row r="3520">
      <c r="N3520" s="5"/>
    </row>
    <row r="3521">
      <c r="N3521" s="5"/>
    </row>
    <row r="3522">
      <c r="N3522" s="5"/>
    </row>
    <row r="3523">
      <c r="N3523" s="5"/>
    </row>
    <row r="3524">
      <c r="N3524" s="5"/>
    </row>
    <row r="3525">
      <c r="N3525" s="5"/>
    </row>
    <row r="3526">
      <c r="N3526" s="5"/>
    </row>
    <row r="3527">
      <c r="N3527" s="5"/>
    </row>
    <row r="3528">
      <c r="N3528" s="5"/>
    </row>
    <row r="3529">
      <c r="N3529" s="5"/>
    </row>
    <row r="3530">
      <c r="N3530" s="5"/>
    </row>
    <row r="3531">
      <c r="N3531" s="5"/>
    </row>
    <row r="3532">
      <c r="N3532" s="5"/>
    </row>
    <row r="3533">
      <c r="N3533" s="5"/>
    </row>
    <row r="3534">
      <c r="N3534" s="5"/>
    </row>
    <row r="3535">
      <c r="N3535" s="5"/>
    </row>
    <row r="3536">
      <c r="N3536" s="5"/>
    </row>
    <row r="3537">
      <c r="N3537" s="5"/>
    </row>
    <row r="3538">
      <c r="N3538" s="5"/>
    </row>
    <row r="3539">
      <c r="N3539" s="5"/>
    </row>
    <row r="3540">
      <c r="N3540" s="5"/>
    </row>
    <row r="3541">
      <c r="N3541" s="5"/>
    </row>
    <row r="3542">
      <c r="N3542" s="5"/>
    </row>
    <row r="3543">
      <c r="N3543" s="5"/>
    </row>
    <row r="3544">
      <c r="N3544" s="5"/>
    </row>
    <row r="3545">
      <c r="N3545" s="5"/>
    </row>
    <row r="3546">
      <c r="N3546" s="5"/>
    </row>
    <row r="3547">
      <c r="N3547" s="5"/>
    </row>
    <row r="3548">
      <c r="N3548" s="5"/>
    </row>
    <row r="3549">
      <c r="N3549" s="5"/>
    </row>
    <row r="3550">
      <c r="N3550" s="5"/>
    </row>
    <row r="3551">
      <c r="N3551" s="5"/>
    </row>
    <row r="3552">
      <c r="N3552" s="5"/>
    </row>
    <row r="3553">
      <c r="N3553" s="5"/>
    </row>
    <row r="3554">
      <c r="N3554" s="5"/>
    </row>
    <row r="3555">
      <c r="N3555" s="5"/>
    </row>
    <row r="3556">
      <c r="N3556" s="5"/>
    </row>
    <row r="3557">
      <c r="N3557" s="5"/>
    </row>
    <row r="3558">
      <c r="N3558" s="5"/>
    </row>
    <row r="3559">
      <c r="N3559" s="5"/>
    </row>
    <row r="3560">
      <c r="N3560" s="5"/>
    </row>
    <row r="3561">
      <c r="N3561" s="5"/>
    </row>
    <row r="3562">
      <c r="N3562" s="5"/>
    </row>
    <row r="3563">
      <c r="N3563" s="5"/>
    </row>
    <row r="3564">
      <c r="N3564" s="5"/>
    </row>
    <row r="3565">
      <c r="N3565" s="5"/>
    </row>
    <row r="3566">
      <c r="N3566" s="5"/>
    </row>
    <row r="3567">
      <c r="N3567" s="5"/>
    </row>
    <row r="3568">
      <c r="N3568" s="5"/>
    </row>
    <row r="3569">
      <c r="N3569" s="5"/>
    </row>
    <row r="3570">
      <c r="N3570" s="5"/>
    </row>
    <row r="3571">
      <c r="N3571" s="5"/>
    </row>
    <row r="3572">
      <c r="N3572" s="5"/>
    </row>
    <row r="3573">
      <c r="N3573" s="5"/>
    </row>
    <row r="3574">
      <c r="N3574" s="5"/>
    </row>
    <row r="3575">
      <c r="N3575" s="5"/>
    </row>
    <row r="3576">
      <c r="N3576" s="5"/>
    </row>
    <row r="3577">
      <c r="N3577" s="5"/>
    </row>
    <row r="3578">
      <c r="N3578" s="5"/>
    </row>
    <row r="3579">
      <c r="N3579" s="5"/>
    </row>
    <row r="3580">
      <c r="N3580" s="5"/>
    </row>
    <row r="3581">
      <c r="N3581" s="5"/>
    </row>
    <row r="3582">
      <c r="N3582" s="5"/>
    </row>
    <row r="3583">
      <c r="N3583" s="5"/>
    </row>
    <row r="3584">
      <c r="N3584" s="5"/>
    </row>
    <row r="3585">
      <c r="N3585" s="5"/>
    </row>
    <row r="3586">
      <c r="N3586" s="5"/>
    </row>
    <row r="3587">
      <c r="N3587" s="5"/>
    </row>
    <row r="3588">
      <c r="N3588" s="5"/>
    </row>
    <row r="3589">
      <c r="N3589" s="5"/>
    </row>
    <row r="3590">
      <c r="N3590" s="5"/>
    </row>
    <row r="3591">
      <c r="N3591" s="5"/>
    </row>
    <row r="3592">
      <c r="N3592" s="5"/>
    </row>
    <row r="3593">
      <c r="N3593" s="5"/>
    </row>
    <row r="3594">
      <c r="N3594" s="5"/>
    </row>
    <row r="3595">
      <c r="N3595" s="5"/>
    </row>
    <row r="3596">
      <c r="N3596" s="5"/>
    </row>
    <row r="3597">
      <c r="N3597" s="5"/>
    </row>
    <row r="3598">
      <c r="N3598" s="5"/>
    </row>
    <row r="3599">
      <c r="N3599" s="5"/>
    </row>
    <row r="3600">
      <c r="N3600" s="5"/>
    </row>
    <row r="3601">
      <c r="N3601" s="5"/>
    </row>
    <row r="3602">
      <c r="N3602" s="5"/>
    </row>
    <row r="3603">
      <c r="N3603" s="5"/>
    </row>
    <row r="3604">
      <c r="N3604" s="5"/>
    </row>
    <row r="3605">
      <c r="N3605" s="5"/>
    </row>
    <row r="3606">
      <c r="N3606" s="5"/>
    </row>
    <row r="3607">
      <c r="N3607" s="5"/>
    </row>
    <row r="3608">
      <c r="N3608" s="5"/>
    </row>
    <row r="3609">
      <c r="N3609" s="5"/>
    </row>
    <row r="3610">
      <c r="N3610" s="5"/>
    </row>
    <row r="3611">
      <c r="N3611" s="5"/>
    </row>
    <row r="3612">
      <c r="N3612" s="5"/>
    </row>
    <row r="3613">
      <c r="N3613" s="5"/>
    </row>
    <row r="3614">
      <c r="N3614" s="5"/>
    </row>
    <row r="3615">
      <c r="N3615" s="5"/>
    </row>
    <row r="3616">
      <c r="N3616" s="5"/>
    </row>
    <row r="3617">
      <c r="N3617" s="5"/>
    </row>
    <row r="3618">
      <c r="N3618" s="5"/>
    </row>
    <row r="3619">
      <c r="N3619" s="5"/>
    </row>
    <row r="3620">
      <c r="N3620" s="5"/>
    </row>
    <row r="3621">
      <c r="N3621" s="5"/>
    </row>
    <row r="3622">
      <c r="N3622" s="5"/>
    </row>
    <row r="3623">
      <c r="N3623" s="5"/>
    </row>
    <row r="3624">
      <c r="N3624" s="5"/>
    </row>
    <row r="3625">
      <c r="N3625" s="5"/>
    </row>
    <row r="3626">
      <c r="N3626" s="5"/>
    </row>
    <row r="3627">
      <c r="N3627" s="5"/>
    </row>
    <row r="3628">
      <c r="N3628" s="5"/>
    </row>
    <row r="3629">
      <c r="N3629" s="5"/>
    </row>
    <row r="3630">
      <c r="N3630" s="5"/>
    </row>
    <row r="3631">
      <c r="N3631" s="5"/>
    </row>
    <row r="3632">
      <c r="N3632" s="5"/>
    </row>
    <row r="3633">
      <c r="N3633" s="5"/>
    </row>
    <row r="3634">
      <c r="N3634" s="5"/>
    </row>
    <row r="3635">
      <c r="N3635" s="5"/>
    </row>
    <row r="3636">
      <c r="N3636" s="5"/>
    </row>
    <row r="3637">
      <c r="N3637" s="5"/>
    </row>
    <row r="3638">
      <c r="N3638" s="5"/>
    </row>
    <row r="3639">
      <c r="N3639" s="5"/>
    </row>
    <row r="3640">
      <c r="N3640" s="5"/>
    </row>
    <row r="3641">
      <c r="N3641" s="5"/>
    </row>
    <row r="3642">
      <c r="N3642" s="5"/>
    </row>
    <row r="3643">
      <c r="N3643" s="5"/>
    </row>
    <row r="3644">
      <c r="N3644" s="5"/>
    </row>
    <row r="3645">
      <c r="N3645" s="5"/>
    </row>
    <row r="3646">
      <c r="N3646" s="5"/>
    </row>
    <row r="3647">
      <c r="N3647" s="5"/>
    </row>
    <row r="3648">
      <c r="N3648" s="5"/>
    </row>
    <row r="3649">
      <c r="N3649" s="5"/>
    </row>
    <row r="3650">
      <c r="N3650" s="5"/>
    </row>
    <row r="3651">
      <c r="N3651" s="5"/>
    </row>
    <row r="3652">
      <c r="N3652" s="5"/>
    </row>
    <row r="3653">
      <c r="N3653" s="5"/>
    </row>
    <row r="3654">
      <c r="N3654" s="5"/>
    </row>
    <row r="3655">
      <c r="N3655" s="5"/>
    </row>
    <row r="3656">
      <c r="N3656" s="5"/>
    </row>
    <row r="3657">
      <c r="N3657" s="5"/>
    </row>
    <row r="3658">
      <c r="N3658" s="5"/>
    </row>
    <row r="3659">
      <c r="N3659" s="5"/>
    </row>
    <row r="3660">
      <c r="N3660" s="5"/>
    </row>
    <row r="3661">
      <c r="N3661" s="5"/>
    </row>
    <row r="3662">
      <c r="N3662" s="5"/>
    </row>
    <row r="3663">
      <c r="N3663" s="5"/>
    </row>
    <row r="3664">
      <c r="N3664" s="5"/>
    </row>
    <row r="3665">
      <c r="N3665" s="5"/>
    </row>
    <row r="3666">
      <c r="N3666" s="5"/>
    </row>
    <row r="3667">
      <c r="N3667" s="5"/>
    </row>
    <row r="3668">
      <c r="N3668" s="5"/>
    </row>
    <row r="3669">
      <c r="N3669" s="5"/>
    </row>
    <row r="3670">
      <c r="N3670" s="5"/>
    </row>
    <row r="3671">
      <c r="N3671" s="5"/>
    </row>
    <row r="3672">
      <c r="N3672" s="5"/>
    </row>
    <row r="3673">
      <c r="N3673" s="5"/>
    </row>
    <row r="3674">
      <c r="N3674" s="5"/>
    </row>
    <row r="3675">
      <c r="N3675" s="5"/>
    </row>
    <row r="3676">
      <c r="N3676" s="5"/>
    </row>
    <row r="3677">
      <c r="N3677" s="5"/>
    </row>
    <row r="3678">
      <c r="N3678" s="5"/>
    </row>
    <row r="3679">
      <c r="N3679" s="5"/>
    </row>
    <row r="3680">
      <c r="N3680" s="5"/>
    </row>
    <row r="3681">
      <c r="N3681" s="5"/>
    </row>
    <row r="3682">
      <c r="N3682" s="5"/>
    </row>
    <row r="3683">
      <c r="N3683" s="5"/>
    </row>
    <row r="3684">
      <c r="N3684" s="5"/>
    </row>
    <row r="3685">
      <c r="N3685" s="5"/>
    </row>
    <row r="3686">
      <c r="N3686" s="5"/>
    </row>
    <row r="3687">
      <c r="N3687" s="5"/>
    </row>
    <row r="3688">
      <c r="N3688" s="5"/>
    </row>
    <row r="3689">
      <c r="N3689" s="5"/>
    </row>
    <row r="3690">
      <c r="N3690" s="5"/>
    </row>
    <row r="3691">
      <c r="N3691" s="5"/>
    </row>
    <row r="3692">
      <c r="N3692" s="5"/>
    </row>
    <row r="3693">
      <c r="N3693" s="5"/>
    </row>
    <row r="3694">
      <c r="N3694" s="5"/>
    </row>
    <row r="3695">
      <c r="N3695" s="5"/>
    </row>
    <row r="3696">
      <c r="N3696" s="5"/>
    </row>
    <row r="3697">
      <c r="N3697" s="5"/>
    </row>
    <row r="3698">
      <c r="N3698" s="5"/>
    </row>
    <row r="3699">
      <c r="N3699" s="5"/>
    </row>
    <row r="3700">
      <c r="N3700" s="5"/>
    </row>
    <row r="3701">
      <c r="N3701" s="5"/>
    </row>
    <row r="3702">
      <c r="N3702" s="5"/>
    </row>
    <row r="3703">
      <c r="N3703" s="5"/>
    </row>
    <row r="3704">
      <c r="N3704" s="5"/>
    </row>
    <row r="3705">
      <c r="N3705" s="5"/>
    </row>
    <row r="3706">
      <c r="N3706" s="5"/>
    </row>
    <row r="3707">
      <c r="N3707" s="5"/>
    </row>
    <row r="3708">
      <c r="N3708" s="5"/>
    </row>
    <row r="3709">
      <c r="N3709" s="5"/>
    </row>
    <row r="3710">
      <c r="N3710" s="5"/>
    </row>
    <row r="3711">
      <c r="N3711" s="5"/>
    </row>
    <row r="3712">
      <c r="N3712" s="5"/>
    </row>
    <row r="3713">
      <c r="N3713" s="5"/>
    </row>
    <row r="3714">
      <c r="N3714" s="5"/>
    </row>
    <row r="3715">
      <c r="N3715" s="5"/>
    </row>
    <row r="3716">
      <c r="N3716" s="5"/>
    </row>
    <row r="3717">
      <c r="N3717" s="5"/>
    </row>
    <row r="3718">
      <c r="N3718" s="5"/>
    </row>
    <row r="3719">
      <c r="N3719" s="5"/>
    </row>
    <row r="3720">
      <c r="N3720" s="5"/>
    </row>
    <row r="3721">
      <c r="N3721" s="5"/>
    </row>
    <row r="3722">
      <c r="N3722" s="5"/>
    </row>
    <row r="3723">
      <c r="N3723" s="5"/>
    </row>
    <row r="3724">
      <c r="N3724" s="5"/>
    </row>
    <row r="3725">
      <c r="N3725" s="5"/>
    </row>
    <row r="3726">
      <c r="N3726" s="5"/>
    </row>
    <row r="3727">
      <c r="N3727" s="5"/>
    </row>
    <row r="3728">
      <c r="N3728" s="5"/>
    </row>
    <row r="3729">
      <c r="N3729" s="5"/>
    </row>
    <row r="3730">
      <c r="N3730" s="5"/>
    </row>
    <row r="3731">
      <c r="N3731" s="5"/>
    </row>
    <row r="3732">
      <c r="N3732" s="5"/>
    </row>
    <row r="3733">
      <c r="N3733" s="5"/>
    </row>
    <row r="3734">
      <c r="N3734" s="5"/>
    </row>
    <row r="3735">
      <c r="N3735" s="5"/>
    </row>
    <row r="3736">
      <c r="N3736" s="5"/>
    </row>
    <row r="3737">
      <c r="N3737" s="5"/>
    </row>
    <row r="3738">
      <c r="N3738" s="5"/>
    </row>
    <row r="3739">
      <c r="N3739" s="5"/>
    </row>
    <row r="3740">
      <c r="N3740" s="5"/>
    </row>
    <row r="3741">
      <c r="N3741" s="5"/>
    </row>
    <row r="3742">
      <c r="N3742" s="5"/>
    </row>
    <row r="3743">
      <c r="N3743" s="5"/>
    </row>
    <row r="3744">
      <c r="N3744" s="5"/>
    </row>
    <row r="3745">
      <c r="N3745" s="5"/>
    </row>
    <row r="3746">
      <c r="N3746" s="5"/>
    </row>
    <row r="3747">
      <c r="N3747" s="5"/>
    </row>
    <row r="3748">
      <c r="N3748" s="5"/>
    </row>
    <row r="3749">
      <c r="N3749" s="5"/>
    </row>
    <row r="3750">
      <c r="N3750" s="5"/>
    </row>
    <row r="3751">
      <c r="N3751" s="5"/>
    </row>
    <row r="3752">
      <c r="N3752" s="5"/>
    </row>
    <row r="3753">
      <c r="N3753" s="5"/>
    </row>
    <row r="3754">
      <c r="N3754" s="5"/>
    </row>
    <row r="3755">
      <c r="N3755" s="5"/>
    </row>
    <row r="3756">
      <c r="N3756" s="5"/>
    </row>
    <row r="3757">
      <c r="N3757" s="5"/>
    </row>
    <row r="3758">
      <c r="N3758" s="5"/>
    </row>
    <row r="3759">
      <c r="N3759" s="5"/>
    </row>
    <row r="3760">
      <c r="N3760" s="5"/>
    </row>
    <row r="3761">
      <c r="N3761" s="5"/>
    </row>
    <row r="3762">
      <c r="N3762" s="5"/>
    </row>
    <row r="3763">
      <c r="N3763" s="5"/>
    </row>
    <row r="3764">
      <c r="N3764" s="5"/>
    </row>
    <row r="3765">
      <c r="N3765" s="5"/>
    </row>
    <row r="3766">
      <c r="N3766" s="5"/>
    </row>
    <row r="3767">
      <c r="N3767" s="5"/>
    </row>
    <row r="3768">
      <c r="N3768" s="5"/>
    </row>
    <row r="3769">
      <c r="N3769" s="5"/>
    </row>
    <row r="3770">
      <c r="N3770" s="5"/>
    </row>
    <row r="3771">
      <c r="N3771" s="5"/>
    </row>
    <row r="3772">
      <c r="N3772" s="5"/>
    </row>
    <row r="3773">
      <c r="N3773" s="5"/>
    </row>
    <row r="3774">
      <c r="N3774" s="5"/>
    </row>
    <row r="3775">
      <c r="N3775" s="5"/>
    </row>
    <row r="3776">
      <c r="N3776" s="5"/>
    </row>
    <row r="3777">
      <c r="N3777" s="5"/>
    </row>
    <row r="3778">
      <c r="N3778" s="5"/>
    </row>
    <row r="3779">
      <c r="N3779" s="5"/>
    </row>
    <row r="3780">
      <c r="N3780" s="5"/>
    </row>
    <row r="3781">
      <c r="N3781" s="5"/>
    </row>
    <row r="3782">
      <c r="N3782" s="5"/>
    </row>
    <row r="3783">
      <c r="N3783" s="5"/>
    </row>
    <row r="3784">
      <c r="N3784" s="5"/>
    </row>
    <row r="3785">
      <c r="N3785" s="5"/>
    </row>
    <row r="3786">
      <c r="N3786" s="5"/>
    </row>
    <row r="3787">
      <c r="N3787" s="5"/>
    </row>
    <row r="3788">
      <c r="N3788" s="5"/>
    </row>
    <row r="3789">
      <c r="N3789" s="5"/>
    </row>
    <row r="3790">
      <c r="N3790" s="5"/>
    </row>
    <row r="3791">
      <c r="N3791" s="5"/>
    </row>
    <row r="3792">
      <c r="N3792" s="5"/>
    </row>
    <row r="3793">
      <c r="N3793" s="5"/>
    </row>
    <row r="3794">
      <c r="N3794" s="5"/>
    </row>
    <row r="3795">
      <c r="N3795" s="5"/>
    </row>
    <row r="3796">
      <c r="N3796" s="5"/>
    </row>
    <row r="3797">
      <c r="N3797" s="5"/>
    </row>
    <row r="3798">
      <c r="N3798" s="5"/>
    </row>
    <row r="3799">
      <c r="N3799" s="5"/>
    </row>
    <row r="3800">
      <c r="N3800" s="5"/>
    </row>
    <row r="3801">
      <c r="N3801" s="5"/>
    </row>
    <row r="3802">
      <c r="N3802" s="5"/>
    </row>
    <row r="3803">
      <c r="N3803" s="5"/>
    </row>
    <row r="3804">
      <c r="N3804" s="5"/>
    </row>
    <row r="3805">
      <c r="N3805" s="5"/>
    </row>
    <row r="3806">
      <c r="N3806" s="5"/>
    </row>
    <row r="3807">
      <c r="N3807" s="5"/>
    </row>
    <row r="3808">
      <c r="N3808" s="5"/>
    </row>
    <row r="3809">
      <c r="N3809" s="5"/>
    </row>
    <row r="3810">
      <c r="N3810" s="5"/>
    </row>
    <row r="3811">
      <c r="N3811" s="5"/>
    </row>
    <row r="3812">
      <c r="N3812" s="5"/>
    </row>
    <row r="3813">
      <c r="N3813" s="5"/>
    </row>
    <row r="3814">
      <c r="N3814" s="5"/>
    </row>
    <row r="3815">
      <c r="N3815" s="5"/>
    </row>
    <row r="3816">
      <c r="N3816" s="5"/>
    </row>
    <row r="3817">
      <c r="N3817" s="5"/>
    </row>
    <row r="3818">
      <c r="N3818" s="5"/>
    </row>
    <row r="3819">
      <c r="N3819" s="5"/>
    </row>
    <row r="3820">
      <c r="N3820" s="5"/>
    </row>
    <row r="3821">
      <c r="N3821" s="5"/>
    </row>
    <row r="3822">
      <c r="N3822" s="5"/>
    </row>
    <row r="3823">
      <c r="N3823" s="5"/>
    </row>
    <row r="3824">
      <c r="N3824" s="5"/>
    </row>
    <row r="3825">
      <c r="N3825" s="5"/>
    </row>
    <row r="3826">
      <c r="N3826" s="5"/>
    </row>
    <row r="3827">
      <c r="N3827" s="5"/>
    </row>
    <row r="3828">
      <c r="N3828" s="5"/>
    </row>
    <row r="3829">
      <c r="N3829" s="5"/>
    </row>
    <row r="3830">
      <c r="N3830" s="5"/>
    </row>
    <row r="3831">
      <c r="N3831" s="5"/>
    </row>
    <row r="3832">
      <c r="N3832" s="5"/>
    </row>
    <row r="3833">
      <c r="N3833" s="5"/>
    </row>
    <row r="3834">
      <c r="N3834" s="5"/>
    </row>
    <row r="3835">
      <c r="N3835" s="5"/>
    </row>
    <row r="3836">
      <c r="N3836" s="5"/>
    </row>
    <row r="3837">
      <c r="N3837" s="5"/>
    </row>
    <row r="3838">
      <c r="N3838" s="5"/>
    </row>
    <row r="3839">
      <c r="N3839" s="5"/>
    </row>
    <row r="3840">
      <c r="N3840" s="5"/>
    </row>
    <row r="3841">
      <c r="N3841" s="5"/>
    </row>
    <row r="3842">
      <c r="N3842" s="5"/>
    </row>
    <row r="3843">
      <c r="N3843" s="5"/>
    </row>
    <row r="3844">
      <c r="N3844" s="5"/>
    </row>
    <row r="3845">
      <c r="N3845" s="5"/>
    </row>
    <row r="3846">
      <c r="N3846" s="5"/>
    </row>
    <row r="3847">
      <c r="N3847" s="5"/>
    </row>
    <row r="3848">
      <c r="N3848" s="5"/>
    </row>
    <row r="3849">
      <c r="N3849" s="5"/>
    </row>
    <row r="3850">
      <c r="N3850" s="5"/>
    </row>
    <row r="3851">
      <c r="N3851" s="5"/>
    </row>
    <row r="3852">
      <c r="N3852" s="5"/>
    </row>
    <row r="3853">
      <c r="N3853" s="5"/>
    </row>
    <row r="3854">
      <c r="N3854" s="5"/>
    </row>
    <row r="3855">
      <c r="N3855" s="5"/>
    </row>
    <row r="3856">
      <c r="N3856" s="5"/>
    </row>
    <row r="3857">
      <c r="N3857" s="5"/>
    </row>
    <row r="3858">
      <c r="N3858" s="5"/>
    </row>
    <row r="3859">
      <c r="N3859" s="5"/>
    </row>
    <row r="3860">
      <c r="N3860" s="5"/>
    </row>
    <row r="3861">
      <c r="N3861" s="5"/>
    </row>
    <row r="3862">
      <c r="N3862" s="5"/>
    </row>
    <row r="3863">
      <c r="N3863" s="5"/>
    </row>
    <row r="3864">
      <c r="N3864" s="5"/>
    </row>
    <row r="3865">
      <c r="N3865" s="5"/>
    </row>
    <row r="3866">
      <c r="N3866" s="5"/>
    </row>
    <row r="3867">
      <c r="N3867" s="5"/>
    </row>
    <row r="3868">
      <c r="N3868" s="5"/>
    </row>
    <row r="3869">
      <c r="N3869" s="5"/>
    </row>
    <row r="3870">
      <c r="N3870" s="5"/>
    </row>
    <row r="3871">
      <c r="N3871" s="5"/>
    </row>
    <row r="3872">
      <c r="N3872" s="5"/>
    </row>
    <row r="3873">
      <c r="N3873" s="5"/>
    </row>
    <row r="3874">
      <c r="N3874" s="5"/>
    </row>
    <row r="3875">
      <c r="N3875" s="5"/>
    </row>
    <row r="3876">
      <c r="N3876" s="5"/>
    </row>
    <row r="3877">
      <c r="N3877" s="5"/>
    </row>
    <row r="3878">
      <c r="N3878" s="5"/>
    </row>
    <row r="3879">
      <c r="N3879" s="5"/>
    </row>
    <row r="3880">
      <c r="N3880" s="5"/>
    </row>
    <row r="3881">
      <c r="N3881" s="5"/>
    </row>
    <row r="3882">
      <c r="N3882" s="5"/>
    </row>
    <row r="3883">
      <c r="N3883" s="5"/>
    </row>
    <row r="3884">
      <c r="N3884" s="5"/>
    </row>
    <row r="3885">
      <c r="N3885" s="5"/>
    </row>
    <row r="3886">
      <c r="N3886" s="5"/>
    </row>
    <row r="3887">
      <c r="N3887" s="5"/>
    </row>
    <row r="3888">
      <c r="N3888" s="5"/>
    </row>
    <row r="3889">
      <c r="N3889" s="5"/>
    </row>
    <row r="3890">
      <c r="N3890" s="5"/>
    </row>
    <row r="3891">
      <c r="N3891" s="5"/>
    </row>
    <row r="3892">
      <c r="N3892" s="5"/>
    </row>
    <row r="3893">
      <c r="N3893" s="5"/>
    </row>
    <row r="3894">
      <c r="N3894" s="5"/>
    </row>
    <row r="3895">
      <c r="N3895" s="5"/>
    </row>
    <row r="3896">
      <c r="N3896" s="5"/>
    </row>
    <row r="3897">
      <c r="N3897" s="5"/>
    </row>
    <row r="3898">
      <c r="N3898" s="5"/>
    </row>
    <row r="3899">
      <c r="N3899" s="5"/>
    </row>
    <row r="3900">
      <c r="N3900" s="5"/>
    </row>
    <row r="3901">
      <c r="N3901" s="5"/>
    </row>
    <row r="3902">
      <c r="N3902" s="5"/>
    </row>
    <row r="3903">
      <c r="N3903" s="5"/>
    </row>
    <row r="3904">
      <c r="N3904" s="5"/>
    </row>
    <row r="3905">
      <c r="N3905" s="5"/>
    </row>
    <row r="3906">
      <c r="N3906" s="5"/>
    </row>
    <row r="3907">
      <c r="N3907" s="5"/>
    </row>
    <row r="3908">
      <c r="N3908" s="5"/>
    </row>
    <row r="3909">
      <c r="N3909" s="5"/>
    </row>
    <row r="3910">
      <c r="N3910" s="5"/>
    </row>
    <row r="3911">
      <c r="N3911" s="5"/>
    </row>
    <row r="3912">
      <c r="N3912" s="5"/>
    </row>
    <row r="3913">
      <c r="N3913" s="5"/>
    </row>
    <row r="3914">
      <c r="N3914" s="5"/>
    </row>
    <row r="3915">
      <c r="N3915" s="5"/>
    </row>
    <row r="3916">
      <c r="N3916" s="5"/>
    </row>
    <row r="3917">
      <c r="N3917" s="5"/>
    </row>
    <row r="3918">
      <c r="N3918" s="5"/>
    </row>
    <row r="3919">
      <c r="N3919" s="5"/>
    </row>
    <row r="3920">
      <c r="N3920" s="5"/>
    </row>
    <row r="3921">
      <c r="N3921" s="5"/>
    </row>
    <row r="3922">
      <c r="N3922" s="5"/>
    </row>
    <row r="3923">
      <c r="N3923" s="5"/>
    </row>
    <row r="3924">
      <c r="N3924" s="5"/>
    </row>
    <row r="3925">
      <c r="N3925" s="5"/>
    </row>
    <row r="3926">
      <c r="N3926" s="5"/>
    </row>
    <row r="3927">
      <c r="N3927" s="5"/>
    </row>
    <row r="3928">
      <c r="N3928" s="5"/>
    </row>
    <row r="3929">
      <c r="N3929" s="5"/>
    </row>
    <row r="3930">
      <c r="N3930" s="5"/>
    </row>
    <row r="3931">
      <c r="N3931" s="5"/>
    </row>
    <row r="3932">
      <c r="N3932" s="5"/>
    </row>
    <row r="3933">
      <c r="N3933" s="5"/>
    </row>
    <row r="3934">
      <c r="N3934" s="5"/>
    </row>
    <row r="3935">
      <c r="N3935" s="5"/>
    </row>
    <row r="3936">
      <c r="N3936" s="5"/>
    </row>
    <row r="3937">
      <c r="N3937" s="5"/>
    </row>
    <row r="3938">
      <c r="N3938" s="5"/>
    </row>
    <row r="3939">
      <c r="N3939" s="5"/>
    </row>
    <row r="3940">
      <c r="N3940" s="5"/>
    </row>
    <row r="3941">
      <c r="N3941" s="5"/>
    </row>
    <row r="3942">
      <c r="N3942" s="5"/>
    </row>
    <row r="3943">
      <c r="N3943" s="5"/>
    </row>
    <row r="3944">
      <c r="N3944" s="5"/>
    </row>
    <row r="3945">
      <c r="N3945" s="5"/>
    </row>
    <row r="3946">
      <c r="N3946" s="5"/>
    </row>
    <row r="3947">
      <c r="N3947" s="5"/>
    </row>
    <row r="3948">
      <c r="N3948" s="5"/>
    </row>
    <row r="3949">
      <c r="N3949" s="5"/>
    </row>
    <row r="3950">
      <c r="N3950" s="5"/>
    </row>
    <row r="3951">
      <c r="N3951" s="5"/>
    </row>
    <row r="3952">
      <c r="N3952" s="5"/>
    </row>
    <row r="3953">
      <c r="N3953" s="5"/>
    </row>
    <row r="3954">
      <c r="N3954" s="5"/>
    </row>
    <row r="3955">
      <c r="N3955" s="5"/>
    </row>
    <row r="3956">
      <c r="N3956" s="5"/>
    </row>
    <row r="3957">
      <c r="N3957" s="5"/>
    </row>
    <row r="3958">
      <c r="N3958" s="5"/>
    </row>
    <row r="3959">
      <c r="N3959" s="5"/>
    </row>
    <row r="3960">
      <c r="N3960" s="5"/>
    </row>
    <row r="3961">
      <c r="N3961" s="5"/>
    </row>
    <row r="3962">
      <c r="N3962" s="5"/>
    </row>
    <row r="3963">
      <c r="N3963" s="5"/>
    </row>
    <row r="3964">
      <c r="N3964" s="5"/>
    </row>
    <row r="3965">
      <c r="N3965" s="5"/>
    </row>
    <row r="3966">
      <c r="N3966" s="5"/>
    </row>
    <row r="3967">
      <c r="N3967" s="5"/>
    </row>
    <row r="3968">
      <c r="N3968" s="5"/>
    </row>
    <row r="3969">
      <c r="N3969" s="5"/>
    </row>
    <row r="3970">
      <c r="N3970" s="5"/>
    </row>
    <row r="3971">
      <c r="N3971" s="5"/>
    </row>
    <row r="3972">
      <c r="N3972" s="5"/>
    </row>
    <row r="3973">
      <c r="N3973" s="5"/>
    </row>
    <row r="3974">
      <c r="N3974" s="5"/>
    </row>
    <row r="3975">
      <c r="N3975" s="5"/>
    </row>
    <row r="3976">
      <c r="N3976" s="5"/>
    </row>
    <row r="3977">
      <c r="N3977" s="5"/>
    </row>
    <row r="3978">
      <c r="N3978" s="5"/>
    </row>
    <row r="3979">
      <c r="N3979" s="5"/>
    </row>
    <row r="3980">
      <c r="N3980" s="5"/>
    </row>
    <row r="3981">
      <c r="N3981" s="5"/>
    </row>
    <row r="3982">
      <c r="N3982" s="5"/>
    </row>
    <row r="3983">
      <c r="N3983" s="5"/>
    </row>
    <row r="3984">
      <c r="N3984" s="5"/>
    </row>
    <row r="3985">
      <c r="N3985" s="5"/>
    </row>
    <row r="3986">
      <c r="N3986" s="5"/>
    </row>
    <row r="3987">
      <c r="N3987" s="5"/>
    </row>
    <row r="3988">
      <c r="N3988" s="5"/>
    </row>
    <row r="3989">
      <c r="N3989" s="5"/>
    </row>
    <row r="3990">
      <c r="N3990" s="5"/>
    </row>
    <row r="3991">
      <c r="N3991" s="5"/>
    </row>
    <row r="3992">
      <c r="N3992" s="5"/>
    </row>
    <row r="3993">
      <c r="N3993" s="5"/>
    </row>
    <row r="3994">
      <c r="N3994" s="5"/>
    </row>
    <row r="3995">
      <c r="N3995" s="5"/>
    </row>
    <row r="3996">
      <c r="N3996" s="5"/>
    </row>
    <row r="3997">
      <c r="N3997" s="5"/>
    </row>
    <row r="3998">
      <c r="N3998" s="5"/>
    </row>
    <row r="3999">
      <c r="N3999" s="5"/>
    </row>
    <row r="4000">
      <c r="N4000" s="5"/>
    </row>
    <row r="4001">
      <c r="N4001" s="5"/>
    </row>
    <row r="4002">
      <c r="N4002" s="5"/>
    </row>
    <row r="4003">
      <c r="N4003" s="5"/>
    </row>
    <row r="4004">
      <c r="N4004" s="5"/>
    </row>
    <row r="4005">
      <c r="N4005" s="5"/>
    </row>
    <row r="4006">
      <c r="N4006" s="5"/>
    </row>
    <row r="4007">
      <c r="N4007" s="5"/>
    </row>
    <row r="4008">
      <c r="N4008" s="5"/>
    </row>
    <row r="4009">
      <c r="N4009" s="5"/>
    </row>
    <row r="4010">
      <c r="N4010" s="5"/>
    </row>
    <row r="4011">
      <c r="N4011" s="5"/>
    </row>
    <row r="4012">
      <c r="N4012" s="5"/>
    </row>
    <row r="4013">
      <c r="N4013" s="5"/>
    </row>
    <row r="4014">
      <c r="N4014" s="5"/>
    </row>
    <row r="4015">
      <c r="N4015" s="5"/>
    </row>
    <row r="4016">
      <c r="N4016" s="5"/>
    </row>
    <row r="4017">
      <c r="N4017" s="5"/>
    </row>
    <row r="4018">
      <c r="N4018" s="5"/>
    </row>
    <row r="4019">
      <c r="N4019" s="5"/>
    </row>
    <row r="4020">
      <c r="N4020" s="5"/>
    </row>
    <row r="4021">
      <c r="N4021" s="5"/>
    </row>
    <row r="4022">
      <c r="N4022" s="5"/>
    </row>
    <row r="4023">
      <c r="N4023" s="5"/>
    </row>
    <row r="4024">
      <c r="N4024" s="5"/>
    </row>
    <row r="4025">
      <c r="N4025" s="5"/>
    </row>
    <row r="4026">
      <c r="N4026" s="5"/>
    </row>
    <row r="4027">
      <c r="N4027" s="5"/>
    </row>
    <row r="4028">
      <c r="N4028" s="5"/>
    </row>
    <row r="4029">
      <c r="N4029" s="5"/>
    </row>
    <row r="4030">
      <c r="N4030" s="5"/>
    </row>
    <row r="4031">
      <c r="N4031" s="5"/>
    </row>
    <row r="4032">
      <c r="N4032" s="5"/>
    </row>
    <row r="4033">
      <c r="N4033" s="5"/>
    </row>
    <row r="4034">
      <c r="N4034" s="5"/>
    </row>
    <row r="4035">
      <c r="N4035" s="5"/>
    </row>
    <row r="4036">
      <c r="N4036" s="5"/>
    </row>
    <row r="4037">
      <c r="N4037" s="5"/>
    </row>
    <row r="4038">
      <c r="N4038" s="5"/>
    </row>
    <row r="4039">
      <c r="N4039" s="5"/>
    </row>
    <row r="4040">
      <c r="N4040" s="5"/>
    </row>
    <row r="4041">
      <c r="N4041" s="5"/>
    </row>
    <row r="4042">
      <c r="N4042" s="5"/>
    </row>
    <row r="4043">
      <c r="N4043" s="5"/>
    </row>
    <row r="4044">
      <c r="N4044" s="5"/>
    </row>
    <row r="4045">
      <c r="N4045" s="5"/>
    </row>
    <row r="4046">
      <c r="N4046" s="5"/>
    </row>
    <row r="4047">
      <c r="N4047" s="5"/>
    </row>
    <row r="4048">
      <c r="N4048" s="5"/>
    </row>
    <row r="4049">
      <c r="N4049" s="5"/>
    </row>
    <row r="4050">
      <c r="N4050" s="5"/>
    </row>
    <row r="4051">
      <c r="N4051" s="5"/>
    </row>
    <row r="4052">
      <c r="N4052" s="5"/>
    </row>
    <row r="4053">
      <c r="N4053" s="5"/>
    </row>
    <row r="4054">
      <c r="N4054" s="5"/>
    </row>
    <row r="4055">
      <c r="N4055" s="5"/>
    </row>
    <row r="4056">
      <c r="N4056" s="5"/>
    </row>
    <row r="4057">
      <c r="N4057" s="5"/>
    </row>
    <row r="4058">
      <c r="N4058" s="5"/>
    </row>
    <row r="4059">
      <c r="N4059" s="5"/>
    </row>
    <row r="4060">
      <c r="N4060" s="5"/>
    </row>
    <row r="4061">
      <c r="N4061" s="5"/>
    </row>
    <row r="4062">
      <c r="N4062" s="5"/>
    </row>
    <row r="4063">
      <c r="N4063" s="5"/>
    </row>
    <row r="4064">
      <c r="N4064" s="5"/>
    </row>
    <row r="4065">
      <c r="N4065" s="5"/>
    </row>
    <row r="4066">
      <c r="N4066" s="5"/>
    </row>
    <row r="4067">
      <c r="N4067" s="5"/>
    </row>
    <row r="4068">
      <c r="N4068" s="5"/>
    </row>
    <row r="4069">
      <c r="N4069" s="5"/>
    </row>
    <row r="4070">
      <c r="N4070" s="5"/>
    </row>
    <row r="4071">
      <c r="N4071" s="5"/>
    </row>
    <row r="4072">
      <c r="N4072" s="5"/>
    </row>
    <row r="4073">
      <c r="N4073" s="5"/>
    </row>
    <row r="4074">
      <c r="N4074" s="5"/>
    </row>
    <row r="4075">
      <c r="N4075" s="5"/>
    </row>
    <row r="4076">
      <c r="N4076" s="5"/>
    </row>
    <row r="4077">
      <c r="N4077" s="5"/>
    </row>
    <row r="4078">
      <c r="N4078" s="5"/>
    </row>
    <row r="4079">
      <c r="N4079" s="5"/>
    </row>
    <row r="4080">
      <c r="N4080" s="5"/>
    </row>
    <row r="4081">
      <c r="N4081" s="5"/>
    </row>
    <row r="4082">
      <c r="N4082" s="5"/>
    </row>
    <row r="4083">
      <c r="N4083" s="5"/>
    </row>
    <row r="4084">
      <c r="N4084" s="5"/>
    </row>
    <row r="4085">
      <c r="N4085" s="5"/>
    </row>
    <row r="4086">
      <c r="N4086" s="5"/>
    </row>
    <row r="4087">
      <c r="N4087" s="5"/>
    </row>
    <row r="4088">
      <c r="N4088" s="5"/>
    </row>
    <row r="4089">
      <c r="N4089" s="5"/>
    </row>
    <row r="4090">
      <c r="N4090" s="5"/>
    </row>
    <row r="4091">
      <c r="N4091" s="5"/>
    </row>
    <row r="4092">
      <c r="N4092" s="5"/>
    </row>
    <row r="4093">
      <c r="N4093" s="5"/>
    </row>
    <row r="4094">
      <c r="N4094" s="5"/>
    </row>
    <row r="4095">
      <c r="N4095" s="5"/>
    </row>
    <row r="4096">
      <c r="N4096" s="5"/>
    </row>
    <row r="4097">
      <c r="N4097" s="5"/>
    </row>
    <row r="4098">
      <c r="N4098" s="5"/>
    </row>
    <row r="4099">
      <c r="N4099" s="5"/>
    </row>
    <row r="4100">
      <c r="N4100" s="5"/>
    </row>
    <row r="4101">
      <c r="N4101" s="5"/>
    </row>
    <row r="4102">
      <c r="N4102" s="5"/>
    </row>
    <row r="4103">
      <c r="N4103" s="5"/>
    </row>
    <row r="4104">
      <c r="N4104" s="5"/>
    </row>
    <row r="4105">
      <c r="N4105" s="5"/>
    </row>
    <row r="4106">
      <c r="N4106" s="5"/>
    </row>
    <row r="4107">
      <c r="N4107" s="5"/>
    </row>
    <row r="4108">
      <c r="N4108" s="5"/>
    </row>
    <row r="4109">
      <c r="N4109" s="5"/>
    </row>
    <row r="4110">
      <c r="N4110" s="5"/>
    </row>
    <row r="4111">
      <c r="N4111" s="5"/>
    </row>
    <row r="4112">
      <c r="N4112" s="5"/>
    </row>
    <row r="4113">
      <c r="N4113" s="5"/>
    </row>
    <row r="4114">
      <c r="N4114" s="5"/>
    </row>
    <row r="4115">
      <c r="N4115" s="5"/>
    </row>
    <row r="4116">
      <c r="N4116" s="5"/>
    </row>
    <row r="4117">
      <c r="N4117" s="5"/>
    </row>
    <row r="4118">
      <c r="N4118" s="5"/>
    </row>
    <row r="4119">
      <c r="N4119" s="5"/>
    </row>
    <row r="4120">
      <c r="N4120" s="5"/>
    </row>
    <row r="4121">
      <c r="N4121" s="5"/>
    </row>
    <row r="4122">
      <c r="N4122" s="5"/>
    </row>
    <row r="4123">
      <c r="N4123" s="5"/>
    </row>
    <row r="4124">
      <c r="N4124" s="5"/>
    </row>
    <row r="4125">
      <c r="N4125" s="5"/>
    </row>
    <row r="4126">
      <c r="N4126" s="5"/>
    </row>
    <row r="4127">
      <c r="N4127" s="5"/>
    </row>
    <row r="4128">
      <c r="N4128" s="5"/>
    </row>
    <row r="4129">
      <c r="N4129" s="5"/>
    </row>
    <row r="4130">
      <c r="N4130" s="5"/>
    </row>
    <row r="4131">
      <c r="N4131" s="5"/>
    </row>
    <row r="4132">
      <c r="N4132" s="5"/>
    </row>
    <row r="4133">
      <c r="N4133" s="5"/>
    </row>
    <row r="4134">
      <c r="N4134" s="5"/>
    </row>
    <row r="4135">
      <c r="N4135" s="5"/>
    </row>
    <row r="4136">
      <c r="N4136" s="5"/>
    </row>
    <row r="4137">
      <c r="N4137" s="5"/>
    </row>
    <row r="4138">
      <c r="N4138" s="5"/>
    </row>
    <row r="4139">
      <c r="N4139" s="5"/>
    </row>
    <row r="4140">
      <c r="N4140" s="5"/>
    </row>
    <row r="4141">
      <c r="N4141" s="5"/>
    </row>
    <row r="4142">
      <c r="N4142" s="5"/>
    </row>
    <row r="4143">
      <c r="N4143" s="5"/>
    </row>
    <row r="4144">
      <c r="N4144" s="5"/>
    </row>
    <row r="4145">
      <c r="N4145" s="5"/>
    </row>
    <row r="4146">
      <c r="N4146" s="5"/>
    </row>
    <row r="4147">
      <c r="N4147" s="5"/>
    </row>
    <row r="4148">
      <c r="N4148" s="5"/>
    </row>
    <row r="4149">
      <c r="N4149" s="5"/>
    </row>
    <row r="4150">
      <c r="N4150" s="5"/>
    </row>
    <row r="4151">
      <c r="N4151" s="5"/>
    </row>
    <row r="4152">
      <c r="N4152" s="5"/>
    </row>
    <row r="4153">
      <c r="N4153" s="5"/>
    </row>
    <row r="4154">
      <c r="N4154" s="5"/>
    </row>
    <row r="4155">
      <c r="N4155" s="5"/>
    </row>
    <row r="4156">
      <c r="N4156" s="5"/>
    </row>
    <row r="4157">
      <c r="N4157" s="5"/>
    </row>
    <row r="4158">
      <c r="N4158" s="5"/>
    </row>
    <row r="4159">
      <c r="N4159" s="5"/>
    </row>
    <row r="4160">
      <c r="N4160" s="5"/>
    </row>
    <row r="4161">
      <c r="N4161" s="5"/>
    </row>
    <row r="4162">
      <c r="N4162" s="5"/>
    </row>
    <row r="4163">
      <c r="N4163" s="5"/>
    </row>
    <row r="4164">
      <c r="N4164" s="5"/>
    </row>
    <row r="4165">
      <c r="N4165" s="5"/>
    </row>
    <row r="4166">
      <c r="N4166" s="5"/>
    </row>
    <row r="4167">
      <c r="N4167" s="5"/>
    </row>
    <row r="4168">
      <c r="N4168" s="5"/>
    </row>
    <row r="4169">
      <c r="N4169" s="5"/>
    </row>
    <row r="4170">
      <c r="N4170" s="5"/>
    </row>
    <row r="4171">
      <c r="N4171" s="5"/>
    </row>
    <row r="4172">
      <c r="N4172" s="5"/>
    </row>
    <row r="4173">
      <c r="N4173" s="5"/>
    </row>
    <row r="4174">
      <c r="N4174" s="5"/>
    </row>
    <row r="4175">
      <c r="N4175" s="5"/>
    </row>
    <row r="4176">
      <c r="N4176" s="5"/>
    </row>
    <row r="4177">
      <c r="N4177" s="5"/>
    </row>
    <row r="4178">
      <c r="N4178" s="5"/>
    </row>
    <row r="4179">
      <c r="N4179" s="5"/>
    </row>
    <row r="4180">
      <c r="N4180" s="5"/>
    </row>
    <row r="4181">
      <c r="N4181" s="5"/>
    </row>
    <row r="4182">
      <c r="N4182" s="5"/>
    </row>
    <row r="4183">
      <c r="N4183" s="5"/>
    </row>
    <row r="4184">
      <c r="N4184" s="5"/>
    </row>
    <row r="4185">
      <c r="N4185" s="5"/>
    </row>
    <row r="4186">
      <c r="N4186" s="5"/>
    </row>
    <row r="4187">
      <c r="N4187" s="5"/>
    </row>
    <row r="4188">
      <c r="N4188" s="5"/>
    </row>
    <row r="4189">
      <c r="N4189" s="5"/>
    </row>
    <row r="4190">
      <c r="N4190" s="5"/>
    </row>
    <row r="4191">
      <c r="N4191" s="5"/>
    </row>
    <row r="4192">
      <c r="N4192" s="5"/>
    </row>
    <row r="4193">
      <c r="N4193" s="5"/>
    </row>
    <row r="4194">
      <c r="N4194" s="5"/>
    </row>
    <row r="4195">
      <c r="N4195" s="5"/>
    </row>
    <row r="4196">
      <c r="N4196" s="5"/>
    </row>
    <row r="4197">
      <c r="N4197" s="5"/>
    </row>
    <row r="4198">
      <c r="N4198" s="5"/>
    </row>
    <row r="4199">
      <c r="N4199" s="5"/>
    </row>
    <row r="4200">
      <c r="N4200" s="5"/>
    </row>
    <row r="4201">
      <c r="N4201" s="5"/>
    </row>
    <row r="4202">
      <c r="N4202" s="5"/>
    </row>
    <row r="4203">
      <c r="N4203" s="5"/>
    </row>
    <row r="4204">
      <c r="N4204" s="5"/>
    </row>
    <row r="4205">
      <c r="N4205" s="5"/>
    </row>
    <row r="4206">
      <c r="N4206" s="5"/>
    </row>
    <row r="4207">
      <c r="N4207" s="5"/>
    </row>
    <row r="4208">
      <c r="N4208" s="5"/>
    </row>
    <row r="4209">
      <c r="N4209" s="5"/>
    </row>
    <row r="4210">
      <c r="N4210" s="5"/>
    </row>
    <row r="4211">
      <c r="N4211" s="5"/>
    </row>
    <row r="4212">
      <c r="N4212" s="5"/>
    </row>
    <row r="4213">
      <c r="N4213" s="5"/>
    </row>
    <row r="4214">
      <c r="N4214" s="5"/>
    </row>
    <row r="4215">
      <c r="N4215" s="5"/>
    </row>
    <row r="4216">
      <c r="N4216" s="5"/>
    </row>
    <row r="4217">
      <c r="N4217" s="5"/>
    </row>
    <row r="4218">
      <c r="N4218" s="5"/>
    </row>
    <row r="4219">
      <c r="N4219" s="5"/>
    </row>
    <row r="4220">
      <c r="N4220" s="5"/>
    </row>
    <row r="4221">
      <c r="N4221" s="5"/>
    </row>
    <row r="4222">
      <c r="N4222" s="5"/>
    </row>
    <row r="4223">
      <c r="N4223" s="5"/>
    </row>
    <row r="4224">
      <c r="N4224" s="5"/>
    </row>
    <row r="4225">
      <c r="N4225" s="5"/>
    </row>
    <row r="4226">
      <c r="N4226" s="5"/>
    </row>
    <row r="4227">
      <c r="N4227" s="5"/>
    </row>
    <row r="4228">
      <c r="N4228" s="5"/>
    </row>
    <row r="4229">
      <c r="N4229" s="5"/>
    </row>
    <row r="4230">
      <c r="N4230" s="5"/>
    </row>
    <row r="4231">
      <c r="N4231" s="5"/>
    </row>
    <row r="4232">
      <c r="N4232" s="5"/>
    </row>
    <row r="4233">
      <c r="N4233" s="5"/>
    </row>
    <row r="4234">
      <c r="N4234" s="5"/>
    </row>
    <row r="4235">
      <c r="N4235" s="5"/>
    </row>
    <row r="4236">
      <c r="N4236" s="5"/>
    </row>
    <row r="4237">
      <c r="N4237" s="5"/>
    </row>
    <row r="4238">
      <c r="N4238" s="5"/>
    </row>
    <row r="4239">
      <c r="N4239" s="5"/>
    </row>
    <row r="4240">
      <c r="N4240" s="5"/>
    </row>
    <row r="4241">
      <c r="N4241" s="5"/>
    </row>
    <row r="4242">
      <c r="N4242" s="5"/>
    </row>
    <row r="4243">
      <c r="N4243" s="5"/>
    </row>
    <row r="4244">
      <c r="N4244" s="5"/>
    </row>
    <row r="4245">
      <c r="N4245" s="5"/>
    </row>
    <row r="4246">
      <c r="N4246" s="5"/>
    </row>
    <row r="4247">
      <c r="N4247" s="5"/>
    </row>
    <row r="4248">
      <c r="N4248" s="5"/>
    </row>
    <row r="4249">
      <c r="N4249" s="5"/>
    </row>
    <row r="4250">
      <c r="N4250" s="5"/>
    </row>
    <row r="4251">
      <c r="N4251" s="5"/>
    </row>
    <row r="4252">
      <c r="N4252" s="5"/>
    </row>
    <row r="4253">
      <c r="N4253" s="5"/>
    </row>
    <row r="4254">
      <c r="N4254" s="5"/>
    </row>
    <row r="4255">
      <c r="N4255" s="5"/>
    </row>
    <row r="4256">
      <c r="N4256" s="5"/>
    </row>
    <row r="4257">
      <c r="N4257" s="5"/>
    </row>
    <row r="4258">
      <c r="N4258" s="5"/>
    </row>
    <row r="4259">
      <c r="N4259" s="5"/>
    </row>
    <row r="4260">
      <c r="N4260" s="5"/>
    </row>
    <row r="4261">
      <c r="N4261" s="5"/>
    </row>
    <row r="4262">
      <c r="N4262" s="5"/>
    </row>
    <row r="4263">
      <c r="N4263" s="5"/>
    </row>
    <row r="4264">
      <c r="N4264" s="5"/>
    </row>
    <row r="4265">
      <c r="N4265" s="5"/>
    </row>
    <row r="4266">
      <c r="N4266" s="5"/>
    </row>
    <row r="4267">
      <c r="N4267" s="5"/>
    </row>
    <row r="4268">
      <c r="N4268" s="5"/>
    </row>
    <row r="4269">
      <c r="N4269" s="5"/>
    </row>
    <row r="4270">
      <c r="N4270" s="5"/>
    </row>
    <row r="4271">
      <c r="N4271" s="5"/>
    </row>
    <row r="4272">
      <c r="N4272" s="5"/>
    </row>
    <row r="4273">
      <c r="N4273" s="5"/>
    </row>
    <row r="4274">
      <c r="N4274" s="5"/>
    </row>
    <row r="4275">
      <c r="N4275" s="5"/>
    </row>
    <row r="4276">
      <c r="N4276" s="5"/>
    </row>
    <row r="4277">
      <c r="N4277" s="5"/>
    </row>
    <row r="4278">
      <c r="N4278" s="5"/>
    </row>
    <row r="4279">
      <c r="N4279" s="5"/>
    </row>
    <row r="4280">
      <c r="N4280" s="5"/>
    </row>
    <row r="4281">
      <c r="N4281" s="5"/>
    </row>
    <row r="4282">
      <c r="N4282" s="5"/>
    </row>
    <row r="4283">
      <c r="N4283" s="5"/>
    </row>
    <row r="4284">
      <c r="N4284" s="5"/>
    </row>
    <row r="4285">
      <c r="N4285" s="5"/>
    </row>
    <row r="4286">
      <c r="N4286" s="5"/>
    </row>
    <row r="4287">
      <c r="N4287" s="5"/>
    </row>
    <row r="4288">
      <c r="N4288" s="5"/>
    </row>
    <row r="4289">
      <c r="N4289" s="5"/>
    </row>
    <row r="4290">
      <c r="N4290" s="5"/>
    </row>
    <row r="4291">
      <c r="N4291" s="5"/>
    </row>
    <row r="4292">
      <c r="N4292" s="5"/>
    </row>
    <row r="4293">
      <c r="N4293" s="5"/>
    </row>
    <row r="4294">
      <c r="N4294" s="5"/>
    </row>
    <row r="4295">
      <c r="N4295" s="5"/>
    </row>
    <row r="4296">
      <c r="N4296" s="5"/>
    </row>
    <row r="4297">
      <c r="N4297" s="5"/>
    </row>
    <row r="4298">
      <c r="N4298" s="5"/>
    </row>
    <row r="4299">
      <c r="N4299" s="5"/>
    </row>
    <row r="4300">
      <c r="N4300" s="5"/>
    </row>
    <row r="4301">
      <c r="N4301" s="5"/>
    </row>
    <row r="4302">
      <c r="N4302" s="5"/>
    </row>
    <row r="4303">
      <c r="N4303" s="5"/>
    </row>
    <row r="4304">
      <c r="N4304" s="5"/>
    </row>
    <row r="4305">
      <c r="N4305" s="5"/>
    </row>
    <row r="4306">
      <c r="N4306" s="5"/>
    </row>
    <row r="4307">
      <c r="N4307" s="5"/>
    </row>
    <row r="4308">
      <c r="N4308" s="5"/>
    </row>
    <row r="4309">
      <c r="N4309" s="5"/>
    </row>
    <row r="4310">
      <c r="N4310" s="5"/>
    </row>
    <row r="4311">
      <c r="N4311" s="5"/>
    </row>
    <row r="4312">
      <c r="N4312" s="5"/>
    </row>
    <row r="4313">
      <c r="N4313" s="5"/>
    </row>
    <row r="4314">
      <c r="N4314" s="5"/>
    </row>
    <row r="4315">
      <c r="N4315" s="5"/>
    </row>
    <row r="4316">
      <c r="N4316" s="5"/>
    </row>
    <row r="4317">
      <c r="N4317" s="5"/>
    </row>
    <row r="4318">
      <c r="N4318" s="5"/>
    </row>
    <row r="4319">
      <c r="N4319" s="5"/>
    </row>
    <row r="4320">
      <c r="N4320" s="5"/>
    </row>
    <row r="4321">
      <c r="N4321" s="5"/>
    </row>
    <row r="4322">
      <c r="N4322" s="5"/>
    </row>
    <row r="4323">
      <c r="N4323" s="5"/>
    </row>
    <row r="4324">
      <c r="N4324" s="5"/>
    </row>
    <row r="4325">
      <c r="N4325" s="5"/>
    </row>
    <row r="4326">
      <c r="N4326" s="5"/>
    </row>
    <row r="4327">
      <c r="N4327" s="5"/>
    </row>
    <row r="4328">
      <c r="N4328" s="5"/>
    </row>
    <row r="4329">
      <c r="N4329" s="5"/>
    </row>
    <row r="4330">
      <c r="N4330" s="5"/>
    </row>
    <row r="4331">
      <c r="N4331" s="5"/>
    </row>
    <row r="4332">
      <c r="N4332" s="5"/>
    </row>
    <row r="4333">
      <c r="N4333" s="5"/>
    </row>
    <row r="4334">
      <c r="N4334" s="5"/>
    </row>
    <row r="4335">
      <c r="N4335" s="5"/>
    </row>
    <row r="4336">
      <c r="N4336" s="5"/>
    </row>
    <row r="4337">
      <c r="N4337" s="5"/>
    </row>
    <row r="4338">
      <c r="N4338" s="5"/>
    </row>
    <row r="4339">
      <c r="N4339" s="5"/>
    </row>
    <row r="4340">
      <c r="N4340" s="5"/>
    </row>
    <row r="4341">
      <c r="N4341" s="5"/>
    </row>
    <row r="4342">
      <c r="N4342" s="5"/>
    </row>
    <row r="4343">
      <c r="N4343" s="5"/>
    </row>
    <row r="4344">
      <c r="N4344" s="5"/>
    </row>
    <row r="4345">
      <c r="N4345" s="5"/>
    </row>
    <row r="4346">
      <c r="N4346" s="5"/>
    </row>
    <row r="4347">
      <c r="N4347" s="5"/>
    </row>
    <row r="4348">
      <c r="N4348" s="5"/>
    </row>
    <row r="4349">
      <c r="N4349" s="5"/>
    </row>
    <row r="4350">
      <c r="N4350" s="5"/>
    </row>
    <row r="4351">
      <c r="N4351" s="5"/>
    </row>
    <row r="4352">
      <c r="N4352" s="5"/>
    </row>
    <row r="4353">
      <c r="N4353" s="5"/>
    </row>
    <row r="4354">
      <c r="N4354" s="5"/>
    </row>
    <row r="4355">
      <c r="N4355" s="5"/>
    </row>
    <row r="4356">
      <c r="N4356" s="5"/>
    </row>
    <row r="4357">
      <c r="N4357" s="5"/>
    </row>
    <row r="4358">
      <c r="N4358" s="5"/>
    </row>
    <row r="4359">
      <c r="N4359" s="5"/>
    </row>
    <row r="4360">
      <c r="N4360" s="5"/>
    </row>
    <row r="4361">
      <c r="N4361" s="5"/>
    </row>
    <row r="4362">
      <c r="N4362" s="5"/>
    </row>
    <row r="4363">
      <c r="N4363" s="5"/>
    </row>
    <row r="4364">
      <c r="N4364" s="5"/>
    </row>
    <row r="4365">
      <c r="N4365" s="5"/>
    </row>
    <row r="4366">
      <c r="N4366" s="5"/>
    </row>
    <row r="4367">
      <c r="N4367" s="5"/>
    </row>
    <row r="4368">
      <c r="N4368" s="5"/>
    </row>
    <row r="4369">
      <c r="N4369" s="5"/>
    </row>
    <row r="4370">
      <c r="N4370" s="5"/>
    </row>
    <row r="4371">
      <c r="N4371" s="5"/>
    </row>
    <row r="4372">
      <c r="N4372" s="5"/>
    </row>
    <row r="4373">
      <c r="N4373" s="5"/>
    </row>
    <row r="4374">
      <c r="N4374" s="5"/>
    </row>
    <row r="4375">
      <c r="N4375" s="5"/>
    </row>
    <row r="4376">
      <c r="N4376" s="5"/>
    </row>
    <row r="4377">
      <c r="N4377" s="5"/>
    </row>
    <row r="4378">
      <c r="N4378" s="5"/>
    </row>
    <row r="4379">
      <c r="N4379" s="5"/>
    </row>
    <row r="4380">
      <c r="N4380" s="5"/>
    </row>
    <row r="4381">
      <c r="N4381" s="5"/>
    </row>
    <row r="4382">
      <c r="N4382" s="5"/>
    </row>
    <row r="4383">
      <c r="N4383" s="5"/>
    </row>
    <row r="4384">
      <c r="N4384" s="5"/>
    </row>
    <row r="4385">
      <c r="N4385" s="5"/>
    </row>
    <row r="4386">
      <c r="N4386" s="5"/>
    </row>
    <row r="4387">
      <c r="N4387" s="5"/>
    </row>
    <row r="4388">
      <c r="N4388" s="5"/>
    </row>
    <row r="4389">
      <c r="N4389" s="5"/>
    </row>
    <row r="4390">
      <c r="N4390" s="5"/>
    </row>
    <row r="4391">
      <c r="N4391" s="5"/>
    </row>
    <row r="4392">
      <c r="N4392" s="5"/>
    </row>
    <row r="4393">
      <c r="N4393" s="5"/>
    </row>
    <row r="4394">
      <c r="N4394" s="5"/>
    </row>
    <row r="4395">
      <c r="N4395" s="5"/>
    </row>
    <row r="4396">
      <c r="N4396" s="5"/>
    </row>
    <row r="4397">
      <c r="N4397" s="5"/>
    </row>
    <row r="4398">
      <c r="N4398" s="5"/>
    </row>
    <row r="4399">
      <c r="N4399" s="5"/>
    </row>
    <row r="4400">
      <c r="N4400" s="5"/>
    </row>
    <row r="4401">
      <c r="N4401" s="5"/>
    </row>
    <row r="4402">
      <c r="N4402" s="5"/>
    </row>
    <row r="4403">
      <c r="N4403" s="5"/>
    </row>
    <row r="4404">
      <c r="N4404" s="5"/>
    </row>
    <row r="4405">
      <c r="N4405" s="5"/>
    </row>
    <row r="4406">
      <c r="N4406" s="5"/>
    </row>
    <row r="4407">
      <c r="N4407" s="5"/>
    </row>
    <row r="4408">
      <c r="N4408" s="5"/>
    </row>
    <row r="4409">
      <c r="N4409" s="5"/>
    </row>
    <row r="4410">
      <c r="N4410" s="5"/>
    </row>
    <row r="4411">
      <c r="N4411" s="5"/>
    </row>
    <row r="4412">
      <c r="N4412" s="5"/>
    </row>
    <row r="4413">
      <c r="N4413" s="5"/>
    </row>
    <row r="4414">
      <c r="N4414" s="5"/>
    </row>
    <row r="4415">
      <c r="N4415" s="5"/>
    </row>
    <row r="4416">
      <c r="N4416" s="5"/>
    </row>
    <row r="4417">
      <c r="N4417" s="5"/>
    </row>
    <row r="4418">
      <c r="N4418" s="5"/>
    </row>
    <row r="4419">
      <c r="N4419" s="5"/>
    </row>
    <row r="4420">
      <c r="N4420" s="5"/>
    </row>
    <row r="4421">
      <c r="N4421" s="5"/>
    </row>
    <row r="4422">
      <c r="N4422" s="5"/>
    </row>
    <row r="4423">
      <c r="N4423" s="5"/>
    </row>
    <row r="4424">
      <c r="N4424" s="5"/>
    </row>
    <row r="4425">
      <c r="N4425" s="5"/>
    </row>
    <row r="4426">
      <c r="N4426" s="5"/>
    </row>
    <row r="4427">
      <c r="N4427" s="5"/>
    </row>
    <row r="4428">
      <c r="N4428" s="5"/>
    </row>
    <row r="4429">
      <c r="N4429" s="5"/>
    </row>
    <row r="4430">
      <c r="N4430" s="5"/>
    </row>
    <row r="4431">
      <c r="N4431" s="5"/>
    </row>
    <row r="4432">
      <c r="N4432" s="5"/>
    </row>
    <row r="4433">
      <c r="N4433" s="5"/>
    </row>
    <row r="4434">
      <c r="N4434" s="5"/>
    </row>
    <row r="4435">
      <c r="N4435" s="5"/>
    </row>
    <row r="4436">
      <c r="N4436" s="5"/>
    </row>
    <row r="4437">
      <c r="N4437" s="5"/>
    </row>
    <row r="4438">
      <c r="N4438" s="5"/>
    </row>
    <row r="4439">
      <c r="N4439" s="5"/>
    </row>
    <row r="4440">
      <c r="N4440" s="5"/>
    </row>
    <row r="4441">
      <c r="N4441" s="5"/>
    </row>
    <row r="4442">
      <c r="N4442" s="5"/>
    </row>
    <row r="4443">
      <c r="N4443" s="5"/>
    </row>
    <row r="4444">
      <c r="N4444" s="5"/>
    </row>
    <row r="4445">
      <c r="N4445" s="5"/>
    </row>
    <row r="4446">
      <c r="N4446" s="5"/>
    </row>
    <row r="4447">
      <c r="N4447" s="5"/>
    </row>
    <row r="4448">
      <c r="N4448" s="5"/>
    </row>
    <row r="4449">
      <c r="N4449" s="5"/>
    </row>
    <row r="4450">
      <c r="N4450" s="5"/>
    </row>
    <row r="4451">
      <c r="N4451" s="5"/>
    </row>
    <row r="4452">
      <c r="N4452" s="5"/>
    </row>
    <row r="4453">
      <c r="N4453" s="5"/>
    </row>
    <row r="4454">
      <c r="N4454" s="5"/>
    </row>
    <row r="4455">
      <c r="N4455" s="5"/>
    </row>
    <row r="4456">
      <c r="N4456" s="5"/>
    </row>
    <row r="4457">
      <c r="N4457" s="5"/>
    </row>
    <row r="4458">
      <c r="N4458" s="5"/>
    </row>
    <row r="4459">
      <c r="N4459" s="5"/>
    </row>
    <row r="4460">
      <c r="N4460" s="5"/>
    </row>
    <row r="4461">
      <c r="N4461" s="5"/>
    </row>
    <row r="4462">
      <c r="N4462" s="5"/>
    </row>
    <row r="4463">
      <c r="N4463" s="5"/>
    </row>
    <row r="4464">
      <c r="N4464" s="5"/>
    </row>
    <row r="4465">
      <c r="N4465" s="5"/>
    </row>
    <row r="4466">
      <c r="N4466" s="5"/>
    </row>
    <row r="4467">
      <c r="N4467" s="5"/>
    </row>
    <row r="4468">
      <c r="N4468" s="5"/>
    </row>
    <row r="4469">
      <c r="N4469" s="5"/>
    </row>
    <row r="4470">
      <c r="N4470" s="5"/>
    </row>
    <row r="4471">
      <c r="N4471" s="5"/>
    </row>
    <row r="4472">
      <c r="N4472" s="5"/>
    </row>
    <row r="4473">
      <c r="N4473" s="5"/>
    </row>
    <row r="4474">
      <c r="N4474" s="5"/>
    </row>
    <row r="4475">
      <c r="N4475" s="5"/>
    </row>
    <row r="4476">
      <c r="N4476" s="5"/>
    </row>
    <row r="4477">
      <c r="N4477" s="5"/>
    </row>
    <row r="4478">
      <c r="N4478" s="5"/>
    </row>
    <row r="4479">
      <c r="N4479" s="5"/>
    </row>
    <row r="4480">
      <c r="N4480" s="5"/>
    </row>
    <row r="4481">
      <c r="N4481" s="5"/>
    </row>
    <row r="4482">
      <c r="N4482" s="5"/>
    </row>
    <row r="4483">
      <c r="N4483" s="5"/>
    </row>
    <row r="4484">
      <c r="N4484" s="5"/>
    </row>
    <row r="4485">
      <c r="N4485" s="5"/>
    </row>
    <row r="4486">
      <c r="N4486" s="5"/>
    </row>
    <row r="4487">
      <c r="N4487" s="5"/>
    </row>
    <row r="4488">
      <c r="N4488" s="5"/>
    </row>
    <row r="4489">
      <c r="N4489" s="5"/>
    </row>
    <row r="4490">
      <c r="N4490" s="5"/>
    </row>
    <row r="4491">
      <c r="N4491" s="5"/>
    </row>
    <row r="4492">
      <c r="N4492" s="5"/>
    </row>
    <row r="4493">
      <c r="N4493" s="5"/>
    </row>
    <row r="4494">
      <c r="N4494" s="5"/>
    </row>
    <row r="4495">
      <c r="N4495" s="5"/>
    </row>
    <row r="4496">
      <c r="N4496" s="5"/>
    </row>
    <row r="4497">
      <c r="N4497" s="5"/>
    </row>
    <row r="4498">
      <c r="N4498" s="5"/>
    </row>
    <row r="4499">
      <c r="N4499" s="5"/>
    </row>
    <row r="4500">
      <c r="N4500" s="5"/>
    </row>
    <row r="4501">
      <c r="N4501" s="5"/>
    </row>
    <row r="4502">
      <c r="N4502" s="5"/>
    </row>
    <row r="4503">
      <c r="N4503" s="5"/>
    </row>
    <row r="4504">
      <c r="N4504" s="5"/>
    </row>
    <row r="4505">
      <c r="N4505" s="5"/>
    </row>
    <row r="4506">
      <c r="N4506" s="5"/>
    </row>
    <row r="4507">
      <c r="N4507" s="5"/>
    </row>
    <row r="4508">
      <c r="N4508" s="5"/>
    </row>
    <row r="4509">
      <c r="N4509" s="5"/>
    </row>
    <row r="4510">
      <c r="N4510" s="5"/>
    </row>
    <row r="4511">
      <c r="N4511" s="5"/>
    </row>
    <row r="4512">
      <c r="N4512" s="5"/>
    </row>
    <row r="4513">
      <c r="N4513" s="5"/>
    </row>
    <row r="4514">
      <c r="N4514" s="5"/>
    </row>
    <row r="4515">
      <c r="N4515" s="5"/>
    </row>
    <row r="4516">
      <c r="N4516" s="5"/>
    </row>
    <row r="4517">
      <c r="N4517" s="5"/>
    </row>
    <row r="4518">
      <c r="N4518" s="5"/>
    </row>
    <row r="4519">
      <c r="N4519" s="5"/>
    </row>
    <row r="4520">
      <c r="N4520" s="5"/>
    </row>
    <row r="4521">
      <c r="N4521" s="5"/>
    </row>
    <row r="4522">
      <c r="N4522" s="5"/>
    </row>
    <row r="4523">
      <c r="N4523" s="5"/>
    </row>
    <row r="4524">
      <c r="N4524" s="5"/>
    </row>
    <row r="4525">
      <c r="N4525" s="5"/>
    </row>
    <row r="4526">
      <c r="N4526" s="5"/>
    </row>
    <row r="4527">
      <c r="N4527" s="5"/>
    </row>
    <row r="4528">
      <c r="N4528" s="5"/>
    </row>
    <row r="4529">
      <c r="N4529" s="5"/>
    </row>
    <row r="4530">
      <c r="N4530" s="5"/>
    </row>
    <row r="4531">
      <c r="N4531" s="5"/>
    </row>
    <row r="4532">
      <c r="N4532" s="5"/>
    </row>
    <row r="4533">
      <c r="N4533" s="5"/>
    </row>
    <row r="4534">
      <c r="N4534" s="5"/>
    </row>
    <row r="4535">
      <c r="N4535" s="5"/>
    </row>
    <row r="4536">
      <c r="N4536" s="5"/>
    </row>
    <row r="4537">
      <c r="N4537" s="5"/>
    </row>
    <row r="4538">
      <c r="N4538" s="5"/>
    </row>
    <row r="4539">
      <c r="N4539" s="5"/>
    </row>
    <row r="4540">
      <c r="N4540" s="5"/>
    </row>
    <row r="4541">
      <c r="N4541" s="5"/>
    </row>
    <row r="4542">
      <c r="N4542" s="5"/>
    </row>
    <row r="4543">
      <c r="N4543" s="5"/>
    </row>
    <row r="4544">
      <c r="N4544" s="5"/>
    </row>
    <row r="4545">
      <c r="N4545" s="5"/>
    </row>
    <row r="4546">
      <c r="N4546" s="5"/>
    </row>
    <row r="4547">
      <c r="N4547" s="5"/>
    </row>
    <row r="4548">
      <c r="N4548" s="5"/>
    </row>
    <row r="4549">
      <c r="N4549" s="5"/>
    </row>
    <row r="4550">
      <c r="N4550" s="5"/>
    </row>
    <row r="4551">
      <c r="N4551" s="5"/>
    </row>
    <row r="4552">
      <c r="N4552" s="5"/>
    </row>
    <row r="4553">
      <c r="N4553" s="5"/>
    </row>
    <row r="4554">
      <c r="N4554" s="5"/>
    </row>
    <row r="4555">
      <c r="N4555" s="5"/>
    </row>
    <row r="4556">
      <c r="N4556" s="5"/>
    </row>
    <row r="4557">
      <c r="N4557" s="5"/>
    </row>
    <row r="4558">
      <c r="N4558" s="5"/>
    </row>
    <row r="4559">
      <c r="N4559" s="5"/>
    </row>
    <row r="4560">
      <c r="N4560" s="5"/>
    </row>
    <row r="4561">
      <c r="N4561" s="5"/>
    </row>
    <row r="4562">
      <c r="N4562" s="5"/>
    </row>
    <row r="4563">
      <c r="N4563" s="5"/>
    </row>
    <row r="4564">
      <c r="N4564" s="5"/>
    </row>
    <row r="4565">
      <c r="N4565" s="5"/>
    </row>
    <row r="4566">
      <c r="N4566" s="5"/>
    </row>
    <row r="4567">
      <c r="N4567" s="5"/>
    </row>
    <row r="4568">
      <c r="N4568" s="5"/>
    </row>
    <row r="4569">
      <c r="N4569" s="5"/>
    </row>
    <row r="4570">
      <c r="N4570" s="5"/>
    </row>
    <row r="4571">
      <c r="N4571" s="5"/>
    </row>
    <row r="4572">
      <c r="N4572" s="5"/>
    </row>
    <row r="4573">
      <c r="N4573" s="5"/>
    </row>
    <row r="4574">
      <c r="N4574" s="5"/>
    </row>
    <row r="4575">
      <c r="N4575" s="5"/>
    </row>
    <row r="4576">
      <c r="N4576" s="5"/>
    </row>
    <row r="4577">
      <c r="N4577" s="5"/>
    </row>
    <row r="4578">
      <c r="N4578" s="5"/>
    </row>
    <row r="4579">
      <c r="N4579" s="5"/>
    </row>
    <row r="4580">
      <c r="N4580" s="5"/>
    </row>
    <row r="4581">
      <c r="N4581" s="5"/>
    </row>
    <row r="4582">
      <c r="N4582" s="5"/>
    </row>
    <row r="4583">
      <c r="N4583" s="5"/>
    </row>
    <row r="4584">
      <c r="N4584" s="5"/>
    </row>
    <row r="4585">
      <c r="N4585" s="5"/>
    </row>
    <row r="4586">
      <c r="N4586" s="5"/>
    </row>
    <row r="4587">
      <c r="N4587" s="5"/>
    </row>
    <row r="4588">
      <c r="N4588" s="5"/>
    </row>
    <row r="4589">
      <c r="N4589" s="5"/>
    </row>
    <row r="4590">
      <c r="N4590" s="5"/>
    </row>
    <row r="4591">
      <c r="N4591" s="5"/>
    </row>
    <row r="4592">
      <c r="N4592" s="5"/>
    </row>
    <row r="4593">
      <c r="N4593" s="5"/>
    </row>
    <row r="4594">
      <c r="N4594" s="5"/>
    </row>
    <row r="4595">
      <c r="N4595" s="5"/>
    </row>
    <row r="4596">
      <c r="N4596" s="5"/>
    </row>
    <row r="4597">
      <c r="N4597" s="5"/>
    </row>
    <row r="4598">
      <c r="N4598" s="5"/>
    </row>
    <row r="4599">
      <c r="N4599" s="5"/>
    </row>
    <row r="4600">
      <c r="N4600" s="5"/>
    </row>
    <row r="4601">
      <c r="N4601" s="5"/>
    </row>
    <row r="4602">
      <c r="N4602" s="5"/>
    </row>
    <row r="4603">
      <c r="N4603" s="5"/>
    </row>
    <row r="4604">
      <c r="N4604" s="5"/>
    </row>
    <row r="4605">
      <c r="N4605" s="5"/>
    </row>
    <row r="4606">
      <c r="N4606" s="5"/>
    </row>
    <row r="4607">
      <c r="N4607" s="5"/>
    </row>
    <row r="4608">
      <c r="N4608" s="5"/>
    </row>
    <row r="4609">
      <c r="N4609" s="5"/>
    </row>
    <row r="4610">
      <c r="N4610" s="5"/>
    </row>
    <row r="4611">
      <c r="N4611" s="5"/>
    </row>
    <row r="4612">
      <c r="N4612" s="5"/>
    </row>
    <row r="4613">
      <c r="N4613" s="5"/>
    </row>
    <row r="4614">
      <c r="N4614" s="5"/>
    </row>
    <row r="4615">
      <c r="N4615" s="5"/>
    </row>
    <row r="4616">
      <c r="N4616" s="5"/>
    </row>
    <row r="4617">
      <c r="N4617" s="5"/>
    </row>
    <row r="4618">
      <c r="N4618" s="5"/>
    </row>
    <row r="4619">
      <c r="N4619" s="5"/>
    </row>
    <row r="4620">
      <c r="N4620" s="5"/>
    </row>
    <row r="4621">
      <c r="N4621" s="5"/>
    </row>
    <row r="4622">
      <c r="N4622" s="5"/>
    </row>
    <row r="4623">
      <c r="N4623" s="5"/>
    </row>
    <row r="4624">
      <c r="N4624" s="5"/>
    </row>
    <row r="4625">
      <c r="N4625" s="5"/>
    </row>
    <row r="4626">
      <c r="N4626" s="5"/>
    </row>
    <row r="4627">
      <c r="N4627" s="5"/>
    </row>
    <row r="4628">
      <c r="N4628" s="5"/>
    </row>
    <row r="4629">
      <c r="N4629" s="5"/>
    </row>
    <row r="4630">
      <c r="N4630" s="5"/>
    </row>
    <row r="4631">
      <c r="N4631" s="5"/>
    </row>
    <row r="4632">
      <c r="N4632" s="5"/>
    </row>
    <row r="4633">
      <c r="N4633" s="5"/>
    </row>
    <row r="4634">
      <c r="N4634" s="5"/>
    </row>
    <row r="4635">
      <c r="N4635" s="5"/>
    </row>
    <row r="4636">
      <c r="N4636" s="5"/>
    </row>
    <row r="4637">
      <c r="N4637" s="5"/>
    </row>
    <row r="4638">
      <c r="N4638" s="5"/>
    </row>
    <row r="4639">
      <c r="N4639" s="5"/>
    </row>
    <row r="4640">
      <c r="N4640" s="5"/>
    </row>
    <row r="4641">
      <c r="N4641" s="5"/>
    </row>
    <row r="4642">
      <c r="N4642" s="5"/>
    </row>
    <row r="4643">
      <c r="N4643" s="5"/>
    </row>
    <row r="4644">
      <c r="N4644" s="5"/>
    </row>
    <row r="4645">
      <c r="N4645" s="5"/>
    </row>
    <row r="4646">
      <c r="N4646" s="5"/>
    </row>
    <row r="4647">
      <c r="N4647" s="5"/>
    </row>
    <row r="4648">
      <c r="N4648" s="5"/>
    </row>
    <row r="4649">
      <c r="N4649" s="5"/>
    </row>
    <row r="4650">
      <c r="N4650" s="5"/>
    </row>
    <row r="4651">
      <c r="N4651" s="5"/>
    </row>
    <row r="4652">
      <c r="N4652" s="5"/>
    </row>
    <row r="4653">
      <c r="N4653" s="5"/>
    </row>
    <row r="4654">
      <c r="N4654" s="5"/>
    </row>
    <row r="4655">
      <c r="N4655" s="5"/>
    </row>
    <row r="4656">
      <c r="N4656" s="5"/>
    </row>
    <row r="4657">
      <c r="N4657" s="5"/>
    </row>
    <row r="4658">
      <c r="N4658" s="5"/>
    </row>
    <row r="4659">
      <c r="N4659" s="5"/>
    </row>
    <row r="4660">
      <c r="N4660" s="5"/>
    </row>
    <row r="4661">
      <c r="N4661" s="5"/>
    </row>
    <row r="4662">
      <c r="N4662" s="5"/>
    </row>
    <row r="4663">
      <c r="N4663" s="5"/>
    </row>
    <row r="4664">
      <c r="N4664" s="5"/>
    </row>
    <row r="4665">
      <c r="N4665" s="5"/>
    </row>
    <row r="4666">
      <c r="N4666" s="5"/>
    </row>
    <row r="4667">
      <c r="N4667" s="5"/>
    </row>
    <row r="4668">
      <c r="N4668" s="5"/>
    </row>
    <row r="4669">
      <c r="N4669" s="5"/>
    </row>
    <row r="4670">
      <c r="N4670" s="5"/>
    </row>
    <row r="4671">
      <c r="N4671" s="5"/>
    </row>
    <row r="4672">
      <c r="N4672" s="5"/>
    </row>
    <row r="4673">
      <c r="N4673" s="5"/>
    </row>
    <row r="4674">
      <c r="N4674" s="5"/>
    </row>
    <row r="4675">
      <c r="N4675" s="5"/>
    </row>
    <row r="4676">
      <c r="N4676" s="5"/>
    </row>
    <row r="4677">
      <c r="N4677" s="5"/>
    </row>
    <row r="4678">
      <c r="N4678" s="5"/>
    </row>
    <row r="4679">
      <c r="N4679" s="5"/>
    </row>
    <row r="4680">
      <c r="N4680" s="5"/>
    </row>
    <row r="4681">
      <c r="N4681" s="5"/>
    </row>
    <row r="4682">
      <c r="N4682" s="5"/>
    </row>
    <row r="4683">
      <c r="N4683" s="5"/>
    </row>
    <row r="4684">
      <c r="N4684" s="5"/>
    </row>
    <row r="4685">
      <c r="N4685" s="5"/>
    </row>
    <row r="4686">
      <c r="N4686" s="5"/>
    </row>
    <row r="4687">
      <c r="N4687" s="5"/>
    </row>
    <row r="4688">
      <c r="N4688" s="5"/>
    </row>
    <row r="4689">
      <c r="N4689" s="5"/>
    </row>
    <row r="4690">
      <c r="N4690" s="5"/>
    </row>
    <row r="4691">
      <c r="N4691" s="5"/>
    </row>
    <row r="4692">
      <c r="N4692" s="5"/>
    </row>
    <row r="4693">
      <c r="N4693" s="5"/>
    </row>
    <row r="4694">
      <c r="N4694" s="5"/>
    </row>
    <row r="4695">
      <c r="N4695" s="5"/>
    </row>
    <row r="4696">
      <c r="N4696" s="5"/>
    </row>
    <row r="4697">
      <c r="N4697" s="5"/>
    </row>
    <row r="4698">
      <c r="N4698" s="5"/>
    </row>
    <row r="4699">
      <c r="N4699" s="5"/>
    </row>
    <row r="4700">
      <c r="N4700" s="5"/>
    </row>
    <row r="4701">
      <c r="N4701" s="5"/>
    </row>
    <row r="4702">
      <c r="N4702" s="5"/>
    </row>
    <row r="4703">
      <c r="N4703" s="5"/>
    </row>
    <row r="4704">
      <c r="N4704" s="5"/>
    </row>
    <row r="4705">
      <c r="N4705" s="5"/>
    </row>
    <row r="4706">
      <c r="N4706" s="5"/>
    </row>
    <row r="4707">
      <c r="N4707" s="5"/>
    </row>
    <row r="4708">
      <c r="N4708" s="5"/>
    </row>
    <row r="4709">
      <c r="N4709" s="5"/>
    </row>
    <row r="4710">
      <c r="N4710" s="5"/>
    </row>
    <row r="4711">
      <c r="N4711" s="5"/>
    </row>
    <row r="4712">
      <c r="N4712" s="5"/>
    </row>
    <row r="4713">
      <c r="N4713" s="5"/>
    </row>
    <row r="4714">
      <c r="N4714" s="5"/>
    </row>
    <row r="4715">
      <c r="N4715" s="5"/>
    </row>
    <row r="4716">
      <c r="N4716" s="5"/>
    </row>
    <row r="4717">
      <c r="N4717" s="5"/>
    </row>
    <row r="4718">
      <c r="N4718" s="5"/>
    </row>
    <row r="4719">
      <c r="N4719" s="5"/>
    </row>
    <row r="4720">
      <c r="N4720" s="5"/>
    </row>
    <row r="4721">
      <c r="N4721" s="5"/>
    </row>
    <row r="4722">
      <c r="N4722" s="5"/>
    </row>
    <row r="4723">
      <c r="N4723" s="5"/>
    </row>
    <row r="4724">
      <c r="N4724" s="5"/>
    </row>
    <row r="4725">
      <c r="N4725" s="5"/>
    </row>
    <row r="4726">
      <c r="N4726" s="5"/>
    </row>
    <row r="4727">
      <c r="N4727" s="5"/>
    </row>
    <row r="4728">
      <c r="N4728" s="5"/>
    </row>
    <row r="4729">
      <c r="N4729" s="5"/>
    </row>
    <row r="4730">
      <c r="N4730" s="5"/>
    </row>
    <row r="4731">
      <c r="N4731" s="5"/>
    </row>
    <row r="4732">
      <c r="N4732" s="5"/>
    </row>
    <row r="4733">
      <c r="N4733" s="5"/>
    </row>
    <row r="4734">
      <c r="N4734" s="5"/>
    </row>
    <row r="4735">
      <c r="N4735" s="5"/>
    </row>
    <row r="4736">
      <c r="N4736" s="5"/>
    </row>
    <row r="4737">
      <c r="N4737" s="5"/>
    </row>
    <row r="4738">
      <c r="N4738" s="5"/>
    </row>
    <row r="4739">
      <c r="N4739" s="5"/>
    </row>
    <row r="4740">
      <c r="N4740" s="5"/>
    </row>
    <row r="4741">
      <c r="N4741" s="5"/>
    </row>
    <row r="4742">
      <c r="N4742" s="5"/>
    </row>
    <row r="4743">
      <c r="N4743" s="5"/>
    </row>
    <row r="4744">
      <c r="N4744" s="5"/>
    </row>
    <row r="4745">
      <c r="N4745" s="5"/>
    </row>
    <row r="4746">
      <c r="N4746" s="5"/>
    </row>
    <row r="4747">
      <c r="N4747" s="5"/>
    </row>
    <row r="4748">
      <c r="N4748" s="5"/>
    </row>
    <row r="4749">
      <c r="N4749" s="5"/>
    </row>
    <row r="4750">
      <c r="N4750" s="5"/>
    </row>
    <row r="4751">
      <c r="N4751" s="5"/>
    </row>
    <row r="4752">
      <c r="N4752" s="5"/>
    </row>
    <row r="4753">
      <c r="N4753" s="5"/>
    </row>
    <row r="4754">
      <c r="N4754" s="5"/>
    </row>
    <row r="4755">
      <c r="N4755" s="5"/>
    </row>
    <row r="4756">
      <c r="N4756" s="5"/>
    </row>
    <row r="4757">
      <c r="N4757" s="5"/>
    </row>
    <row r="4758">
      <c r="N4758" s="5"/>
    </row>
    <row r="4759">
      <c r="N4759" s="5"/>
    </row>
    <row r="4760">
      <c r="N4760" s="5"/>
    </row>
    <row r="4761">
      <c r="N4761" s="5"/>
    </row>
    <row r="4762">
      <c r="N4762" s="5"/>
    </row>
    <row r="4763">
      <c r="N4763" s="5"/>
    </row>
    <row r="4764">
      <c r="N4764" s="5"/>
    </row>
    <row r="4765">
      <c r="N4765" s="5"/>
    </row>
    <row r="4766">
      <c r="N4766" s="5"/>
    </row>
    <row r="4767">
      <c r="N4767" s="5"/>
    </row>
    <row r="4768">
      <c r="N4768" s="5"/>
    </row>
    <row r="4769">
      <c r="N4769" s="5"/>
    </row>
    <row r="4770">
      <c r="N4770" s="5"/>
    </row>
    <row r="4771">
      <c r="N4771" s="5"/>
    </row>
    <row r="4772">
      <c r="N4772" s="5"/>
    </row>
    <row r="4773">
      <c r="N4773" s="5"/>
    </row>
    <row r="4774">
      <c r="N4774" s="5"/>
    </row>
    <row r="4775">
      <c r="N4775" s="5"/>
    </row>
    <row r="4776">
      <c r="N4776" s="5"/>
    </row>
    <row r="4777">
      <c r="N4777" s="5"/>
    </row>
    <row r="4778">
      <c r="N4778" s="5"/>
    </row>
    <row r="4779">
      <c r="N4779" s="5"/>
    </row>
    <row r="4780">
      <c r="N4780" s="5"/>
    </row>
    <row r="4781">
      <c r="N4781" s="5"/>
    </row>
    <row r="4782">
      <c r="N4782" s="5"/>
    </row>
    <row r="4783">
      <c r="N4783" s="5"/>
    </row>
    <row r="4784">
      <c r="N4784" s="5"/>
    </row>
    <row r="4785">
      <c r="N4785" s="5"/>
    </row>
    <row r="4786">
      <c r="N4786" s="5"/>
    </row>
    <row r="4787">
      <c r="N4787" s="5"/>
    </row>
    <row r="4788">
      <c r="N4788" s="5"/>
    </row>
    <row r="4789">
      <c r="N4789" s="5"/>
    </row>
    <row r="4790">
      <c r="N4790" s="5"/>
    </row>
    <row r="4791">
      <c r="N4791" s="5"/>
    </row>
    <row r="4792">
      <c r="N4792" s="5"/>
    </row>
    <row r="4793">
      <c r="N4793" s="5"/>
    </row>
    <row r="4794">
      <c r="N4794" s="5"/>
    </row>
    <row r="4795">
      <c r="N4795" s="5"/>
    </row>
    <row r="4796">
      <c r="N4796" s="5"/>
    </row>
    <row r="4797">
      <c r="N4797" s="5"/>
    </row>
    <row r="4798">
      <c r="N4798" s="5"/>
    </row>
    <row r="4799">
      <c r="N4799" s="5"/>
    </row>
    <row r="4800">
      <c r="N4800" s="5"/>
    </row>
    <row r="4801">
      <c r="N4801" s="5"/>
    </row>
    <row r="4802">
      <c r="N4802" s="5"/>
    </row>
    <row r="4803">
      <c r="N4803" s="5"/>
    </row>
    <row r="4804">
      <c r="N4804" s="5"/>
    </row>
    <row r="4805">
      <c r="N4805" s="5"/>
    </row>
    <row r="4806">
      <c r="N4806" s="5"/>
    </row>
    <row r="4807">
      <c r="N4807" s="5"/>
    </row>
    <row r="4808">
      <c r="N4808" s="5"/>
    </row>
    <row r="4809">
      <c r="N4809" s="5"/>
    </row>
    <row r="4810">
      <c r="N4810" s="5"/>
    </row>
    <row r="4811">
      <c r="N4811" s="5"/>
    </row>
    <row r="4812">
      <c r="N4812" s="5"/>
    </row>
    <row r="4813">
      <c r="N4813" s="5"/>
    </row>
    <row r="4814">
      <c r="N4814" s="5"/>
    </row>
    <row r="4815">
      <c r="N4815" s="5"/>
    </row>
    <row r="4816">
      <c r="N4816" s="5"/>
    </row>
    <row r="4817">
      <c r="N4817" s="5"/>
    </row>
    <row r="4818">
      <c r="N4818" s="5"/>
    </row>
    <row r="4819">
      <c r="N4819" s="5"/>
    </row>
    <row r="4820">
      <c r="N4820" s="5"/>
    </row>
    <row r="4821">
      <c r="N4821" s="5"/>
    </row>
    <row r="4822">
      <c r="N4822" s="5"/>
    </row>
    <row r="4823">
      <c r="N4823" s="5"/>
    </row>
    <row r="4824">
      <c r="N4824" s="5"/>
    </row>
    <row r="4825">
      <c r="N4825" s="5"/>
    </row>
    <row r="4826">
      <c r="N4826" s="5"/>
    </row>
    <row r="4827">
      <c r="N4827" s="5"/>
    </row>
    <row r="4828">
      <c r="N4828" s="5"/>
    </row>
    <row r="4829">
      <c r="N4829" s="5"/>
    </row>
    <row r="4830">
      <c r="N4830" s="5"/>
    </row>
    <row r="4831">
      <c r="N4831" s="5"/>
    </row>
    <row r="4832">
      <c r="N4832" s="5"/>
    </row>
    <row r="4833">
      <c r="N4833" s="5"/>
    </row>
    <row r="4834">
      <c r="N4834" s="5"/>
    </row>
    <row r="4835">
      <c r="N4835" s="5"/>
    </row>
    <row r="4836">
      <c r="N4836" s="5"/>
    </row>
    <row r="4837">
      <c r="N4837" s="5"/>
    </row>
    <row r="4838">
      <c r="N4838" s="5"/>
    </row>
    <row r="4839">
      <c r="N4839" s="5"/>
    </row>
    <row r="4840">
      <c r="N4840" s="5"/>
    </row>
    <row r="4841">
      <c r="N4841" s="5"/>
    </row>
    <row r="4842">
      <c r="N4842" s="5"/>
    </row>
    <row r="4843">
      <c r="N4843" s="5"/>
    </row>
    <row r="4844">
      <c r="N4844" s="5"/>
    </row>
    <row r="4845">
      <c r="N4845" s="5"/>
    </row>
    <row r="4846">
      <c r="N4846" s="5"/>
    </row>
    <row r="4847">
      <c r="N4847" s="5"/>
    </row>
    <row r="4848">
      <c r="N4848" s="5"/>
    </row>
    <row r="4849">
      <c r="N4849" s="5"/>
    </row>
    <row r="4850">
      <c r="N4850" s="5"/>
    </row>
    <row r="4851">
      <c r="N4851" s="5"/>
    </row>
    <row r="4852">
      <c r="N4852" s="5"/>
    </row>
    <row r="4853">
      <c r="N4853" s="5"/>
    </row>
    <row r="4854">
      <c r="N4854" s="5"/>
    </row>
    <row r="4855">
      <c r="N4855" s="5"/>
    </row>
    <row r="4856">
      <c r="N4856" s="5"/>
    </row>
    <row r="4857">
      <c r="N4857" s="5"/>
    </row>
    <row r="4858">
      <c r="N4858" s="5"/>
    </row>
    <row r="4859">
      <c r="N4859" s="5"/>
    </row>
    <row r="4860">
      <c r="N4860" s="5"/>
    </row>
    <row r="4861">
      <c r="N4861" s="5"/>
    </row>
    <row r="4862">
      <c r="N4862" s="5"/>
    </row>
    <row r="4863">
      <c r="N4863" s="5"/>
    </row>
    <row r="4864">
      <c r="N4864" s="5"/>
    </row>
    <row r="4865">
      <c r="N4865" s="5"/>
    </row>
    <row r="4866">
      <c r="N4866" s="5"/>
    </row>
    <row r="4867">
      <c r="N4867" s="5"/>
    </row>
    <row r="4868">
      <c r="N4868" s="5"/>
    </row>
    <row r="4869">
      <c r="N4869" s="5"/>
    </row>
    <row r="4870">
      <c r="N4870" s="5"/>
    </row>
    <row r="4871">
      <c r="N4871" s="5"/>
    </row>
    <row r="4872">
      <c r="N4872" s="5"/>
    </row>
    <row r="4873">
      <c r="N4873" s="5"/>
    </row>
    <row r="4874">
      <c r="N4874" s="5"/>
    </row>
    <row r="4875">
      <c r="N4875" s="5"/>
    </row>
    <row r="4876">
      <c r="N4876" s="5"/>
    </row>
    <row r="4877">
      <c r="N4877" s="5"/>
    </row>
    <row r="4878">
      <c r="N4878" s="5"/>
    </row>
    <row r="4879">
      <c r="N4879" s="5"/>
    </row>
    <row r="4880">
      <c r="N4880" s="5"/>
    </row>
    <row r="4881">
      <c r="N4881" s="5"/>
    </row>
    <row r="4882">
      <c r="N4882" s="5"/>
    </row>
    <row r="4883">
      <c r="N4883" s="5"/>
    </row>
    <row r="4884">
      <c r="N4884" s="5"/>
    </row>
    <row r="4885">
      <c r="N4885" s="5"/>
    </row>
    <row r="4886">
      <c r="N4886" s="5"/>
    </row>
    <row r="4887">
      <c r="N4887" s="5"/>
    </row>
    <row r="4888">
      <c r="N4888" s="5"/>
    </row>
    <row r="4889">
      <c r="N4889" s="5"/>
    </row>
    <row r="4890">
      <c r="N4890" s="5"/>
    </row>
    <row r="4891">
      <c r="N4891" s="5"/>
    </row>
    <row r="4892">
      <c r="N4892" s="5"/>
    </row>
    <row r="4893">
      <c r="N4893" s="5"/>
    </row>
    <row r="4894">
      <c r="N4894" s="5"/>
    </row>
    <row r="4895">
      <c r="N4895" s="5"/>
    </row>
    <row r="4896">
      <c r="N4896" s="5"/>
    </row>
    <row r="4897">
      <c r="N4897" s="5"/>
    </row>
    <row r="4898">
      <c r="N4898" s="5"/>
    </row>
    <row r="4899">
      <c r="N4899" s="5"/>
    </row>
    <row r="4900">
      <c r="N4900" s="5"/>
    </row>
    <row r="4901">
      <c r="N4901" s="5"/>
    </row>
    <row r="4902">
      <c r="N4902" s="5"/>
    </row>
    <row r="4903">
      <c r="N4903" s="5"/>
    </row>
    <row r="4904">
      <c r="N4904" s="5"/>
    </row>
    <row r="4905">
      <c r="N4905" s="5"/>
    </row>
    <row r="4906">
      <c r="N4906" s="5"/>
    </row>
    <row r="4907">
      <c r="N4907" s="5"/>
    </row>
    <row r="4908">
      <c r="N4908" s="5"/>
    </row>
    <row r="4909">
      <c r="N4909" s="5"/>
    </row>
    <row r="4910">
      <c r="N4910" s="5"/>
    </row>
    <row r="4911">
      <c r="N4911" s="5"/>
    </row>
    <row r="4912">
      <c r="N4912" s="5"/>
    </row>
    <row r="4913">
      <c r="N4913" s="5"/>
    </row>
    <row r="4914">
      <c r="N4914" s="5"/>
    </row>
    <row r="4915">
      <c r="N4915" s="5"/>
    </row>
    <row r="4916">
      <c r="N4916" s="5"/>
    </row>
    <row r="4917">
      <c r="N4917" s="5"/>
    </row>
    <row r="4918">
      <c r="N4918" s="5"/>
    </row>
    <row r="4919">
      <c r="N4919" s="5"/>
    </row>
    <row r="4920">
      <c r="N4920" s="5"/>
    </row>
    <row r="4921">
      <c r="N4921" s="5"/>
    </row>
    <row r="4922">
      <c r="N4922" s="5"/>
    </row>
    <row r="4923">
      <c r="N4923" s="5"/>
    </row>
    <row r="4924">
      <c r="N4924" s="5"/>
    </row>
    <row r="4925">
      <c r="N4925" s="5"/>
    </row>
    <row r="4926">
      <c r="N4926" s="5"/>
    </row>
    <row r="4927">
      <c r="N4927" s="5"/>
    </row>
    <row r="4928">
      <c r="N4928" s="5"/>
    </row>
    <row r="4929">
      <c r="N4929" s="5"/>
    </row>
    <row r="4930">
      <c r="N4930" s="5"/>
    </row>
    <row r="4931">
      <c r="N4931" s="5"/>
    </row>
    <row r="4932">
      <c r="N4932" s="5"/>
    </row>
    <row r="4933">
      <c r="N4933" s="5"/>
    </row>
    <row r="4934">
      <c r="N4934" s="5"/>
    </row>
    <row r="4935">
      <c r="N4935" s="5"/>
    </row>
    <row r="4936">
      <c r="N4936" s="5"/>
    </row>
    <row r="4937">
      <c r="N4937" s="5"/>
    </row>
    <row r="4938">
      <c r="N4938" s="5"/>
    </row>
    <row r="4939">
      <c r="N4939" s="5"/>
    </row>
    <row r="4940">
      <c r="N4940" s="5"/>
    </row>
    <row r="4941">
      <c r="N4941" s="5"/>
    </row>
    <row r="4942">
      <c r="N4942" s="5"/>
    </row>
    <row r="4943">
      <c r="N4943" s="5"/>
    </row>
    <row r="4944">
      <c r="N4944" s="5"/>
    </row>
    <row r="4945">
      <c r="N4945" s="5"/>
    </row>
    <row r="4946">
      <c r="N4946" s="5"/>
    </row>
    <row r="4947">
      <c r="N4947" s="5"/>
    </row>
    <row r="4948">
      <c r="N4948" s="5"/>
    </row>
    <row r="4949">
      <c r="N4949" s="5"/>
    </row>
    <row r="4950">
      <c r="N4950" s="5"/>
    </row>
    <row r="4951">
      <c r="N4951" s="5"/>
    </row>
    <row r="4952">
      <c r="N4952" s="5"/>
    </row>
    <row r="4953">
      <c r="N4953" s="5"/>
    </row>
    <row r="4954">
      <c r="N4954" s="5"/>
    </row>
    <row r="4955">
      <c r="N4955" s="5"/>
    </row>
    <row r="4956">
      <c r="N4956" s="5"/>
    </row>
    <row r="4957">
      <c r="N4957" s="5"/>
    </row>
    <row r="4958">
      <c r="N4958" s="5"/>
    </row>
    <row r="4959">
      <c r="N4959" s="5"/>
    </row>
    <row r="4960">
      <c r="N4960" s="5"/>
    </row>
    <row r="4961">
      <c r="N4961" s="5"/>
    </row>
    <row r="4962">
      <c r="N4962" s="5"/>
    </row>
    <row r="4963">
      <c r="N4963" s="5"/>
    </row>
    <row r="4964">
      <c r="N4964" s="5"/>
    </row>
    <row r="4965">
      <c r="N4965" s="5"/>
    </row>
    <row r="4966">
      <c r="N4966" s="5"/>
    </row>
    <row r="4967">
      <c r="N4967" s="5"/>
    </row>
    <row r="4968">
      <c r="N4968" s="5"/>
    </row>
    <row r="4969">
      <c r="N4969" s="5"/>
    </row>
    <row r="4970">
      <c r="N4970" s="5"/>
    </row>
    <row r="4971">
      <c r="N4971" s="5"/>
    </row>
    <row r="4972">
      <c r="N4972" s="5"/>
    </row>
    <row r="4973">
      <c r="N4973" s="5"/>
    </row>
    <row r="4974">
      <c r="N4974" s="5"/>
    </row>
    <row r="4975">
      <c r="N4975" s="5"/>
    </row>
    <row r="4976">
      <c r="N4976" s="5"/>
    </row>
    <row r="4977">
      <c r="N4977" s="5"/>
    </row>
    <row r="4978">
      <c r="N4978" s="5"/>
    </row>
    <row r="4979">
      <c r="N4979" s="5"/>
    </row>
    <row r="4980">
      <c r="N4980" s="5"/>
    </row>
    <row r="4981">
      <c r="N4981" s="5"/>
    </row>
    <row r="4982">
      <c r="N4982" s="5"/>
    </row>
    <row r="4983">
      <c r="N4983" s="5"/>
    </row>
    <row r="4984">
      <c r="N4984" s="5"/>
    </row>
    <row r="4985">
      <c r="N4985" s="5"/>
    </row>
    <row r="4986">
      <c r="N4986" s="5"/>
    </row>
    <row r="4987">
      <c r="N4987" s="5"/>
    </row>
    <row r="4988">
      <c r="N4988" s="5"/>
    </row>
    <row r="4989">
      <c r="N4989" s="5"/>
    </row>
    <row r="4990">
      <c r="N4990" s="5"/>
    </row>
    <row r="4991">
      <c r="N4991" s="5"/>
    </row>
    <row r="4992">
      <c r="N4992" s="5"/>
    </row>
    <row r="4993">
      <c r="N4993" s="5"/>
    </row>
    <row r="4994">
      <c r="N4994" s="5"/>
    </row>
    <row r="4995">
      <c r="N4995" s="5"/>
    </row>
    <row r="4996">
      <c r="N4996" s="5"/>
    </row>
    <row r="4997">
      <c r="N4997" s="5"/>
    </row>
    <row r="4998">
      <c r="N4998" s="5"/>
    </row>
    <row r="4999">
      <c r="N4999" s="5"/>
    </row>
    <row r="5000">
      <c r="N5000" s="5"/>
    </row>
    <row r="5001">
      <c r="N5001" s="5"/>
    </row>
    <row r="5002">
      <c r="N5002" s="5"/>
    </row>
    <row r="5003">
      <c r="N5003" s="5"/>
    </row>
    <row r="5004">
      <c r="N5004" s="5"/>
    </row>
    <row r="5005">
      <c r="N5005" s="5"/>
    </row>
    <row r="5006">
      <c r="N5006" s="5"/>
    </row>
    <row r="5007">
      <c r="N5007" s="5"/>
    </row>
    <row r="5008">
      <c r="N5008" s="5"/>
    </row>
    <row r="5009">
      <c r="N5009" s="5"/>
    </row>
    <row r="5010">
      <c r="N5010" s="5"/>
    </row>
    <row r="5011">
      <c r="N5011" s="5"/>
    </row>
    <row r="5012">
      <c r="N5012" s="5"/>
    </row>
    <row r="5013">
      <c r="N5013" s="5"/>
    </row>
    <row r="5014">
      <c r="N5014" s="5"/>
    </row>
    <row r="5015">
      <c r="N5015" s="5"/>
    </row>
    <row r="5016">
      <c r="N5016" s="5"/>
    </row>
    <row r="5017">
      <c r="N5017" s="5"/>
    </row>
    <row r="5018">
      <c r="N5018" s="5"/>
    </row>
    <row r="5019">
      <c r="N5019" s="5"/>
    </row>
    <row r="5020">
      <c r="N5020" s="5"/>
    </row>
    <row r="5021">
      <c r="N5021" s="5"/>
    </row>
    <row r="5022">
      <c r="N5022" s="5"/>
    </row>
    <row r="5023">
      <c r="N5023" s="5"/>
    </row>
    <row r="5024">
      <c r="N5024" s="5"/>
    </row>
    <row r="5025">
      <c r="N5025" s="5"/>
    </row>
    <row r="5026">
      <c r="N5026" s="5"/>
    </row>
    <row r="5027">
      <c r="N5027" s="5"/>
    </row>
    <row r="5028">
      <c r="N5028" s="5"/>
    </row>
    <row r="5029">
      <c r="N5029" s="5"/>
    </row>
    <row r="5030">
      <c r="N5030" s="5"/>
    </row>
    <row r="5031">
      <c r="N5031" s="5"/>
    </row>
    <row r="5032">
      <c r="N5032" s="5"/>
    </row>
    <row r="5033">
      <c r="N5033" s="5"/>
    </row>
    <row r="5034">
      <c r="N5034" s="5"/>
    </row>
    <row r="5035">
      <c r="N5035" s="5"/>
    </row>
    <row r="5036">
      <c r="N5036" s="5"/>
    </row>
    <row r="5037">
      <c r="N5037" s="5"/>
    </row>
    <row r="5038">
      <c r="N5038" s="5"/>
    </row>
    <row r="5039">
      <c r="N5039" s="5"/>
    </row>
    <row r="5040">
      <c r="N5040" s="5"/>
    </row>
    <row r="5041">
      <c r="N5041" s="5"/>
    </row>
    <row r="5042">
      <c r="N5042" s="5"/>
    </row>
    <row r="5043">
      <c r="N5043" s="5"/>
    </row>
    <row r="5044">
      <c r="N5044" s="5"/>
    </row>
    <row r="5045">
      <c r="N5045" s="5"/>
    </row>
    <row r="5046">
      <c r="N5046" s="5"/>
    </row>
    <row r="5047">
      <c r="N5047" s="5"/>
    </row>
    <row r="5048">
      <c r="N5048" s="5"/>
    </row>
    <row r="5049">
      <c r="N5049" s="5"/>
    </row>
    <row r="5050">
      <c r="N5050" s="5"/>
    </row>
    <row r="5051">
      <c r="N5051" s="5"/>
    </row>
    <row r="5052">
      <c r="N5052" s="5"/>
    </row>
    <row r="5053">
      <c r="N5053" s="5"/>
    </row>
    <row r="5054">
      <c r="N5054" s="5"/>
    </row>
    <row r="5055">
      <c r="N5055" s="5"/>
    </row>
    <row r="5056">
      <c r="N5056" s="5"/>
    </row>
    <row r="5057">
      <c r="N5057" s="5"/>
    </row>
    <row r="5058">
      <c r="N5058" s="5"/>
    </row>
    <row r="5059">
      <c r="I5059" s="4"/>
      <c r="N5059" s="5"/>
    </row>
    <row r="5060">
      <c r="N5060" s="5"/>
    </row>
    <row r="5061">
      <c r="N5061" s="5"/>
    </row>
    <row r="5062">
      <c r="N5062" s="5"/>
    </row>
    <row r="5063">
      <c r="N5063" s="5"/>
    </row>
    <row r="5064">
      <c r="N5064" s="5"/>
    </row>
    <row r="5065">
      <c r="N5065" s="5"/>
    </row>
    <row r="5066">
      <c r="N5066" s="5"/>
    </row>
    <row r="5067">
      <c r="N5067" s="5"/>
    </row>
    <row r="5068">
      <c r="N5068" s="5"/>
    </row>
    <row r="5069">
      <c r="N5069" s="5"/>
    </row>
    <row r="5070">
      <c r="N5070" s="5"/>
    </row>
    <row r="5071">
      <c r="N5071" s="5"/>
    </row>
    <row r="5072">
      <c r="N5072" s="5"/>
    </row>
    <row r="5073">
      <c r="N5073" s="5"/>
    </row>
    <row r="5074">
      <c r="N5074" s="5"/>
    </row>
    <row r="5075">
      <c r="N5075" s="5"/>
    </row>
    <row r="5076">
      <c r="N5076" s="5"/>
    </row>
    <row r="5077">
      <c r="N5077" s="5"/>
    </row>
    <row r="5078">
      <c r="N5078" s="5"/>
    </row>
    <row r="5079">
      <c r="N5079" s="5"/>
    </row>
    <row r="5080">
      <c r="N5080" s="5"/>
    </row>
    <row r="5081">
      <c r="N5081" s="5"/>
    </row>
    <row r="5082">
      <c r="N5082" s="5"/>
    </row>
    <row r="5083">
      <c r="N5083" s="5"/>
    </row>
    <row r="5084">
      <c r="N5084" s="5"/>
    </row>
    <row r="5085">
      <c r="N5085" s="5"/>
    </row>
    <row r="5086">
      <c r="N5086" s="5"/>
    </row>
    <row r="5087">
      <c r="N5087" s="5"/>
    </row>
    <row r="5088">
      <c r="N5088" s="5"/>
    </row>
    <row r="5089">
      <c r="N5089" s="5"/>
    </row>
    <row r="5090">
      <c r="N5090" s="5"/>
    </row>
    <row r="5091">
      <c r="N5091" s="5"/>
    </row>
    <row r="5092">
      <c r="N5092" s="5"/>
    </row>
    <row r="5093">
      <c r="N5093" s="5"/>
    </row>
    <row r="5094">
      <c r="N5094" s="5"/>
    </row>
    <row r="5095">
      <c r="N5095" s="5"/>
    </row>
    <row r="5096">
      <c r="N5096" s="5"/>
    </row>
    <row r="5097">
      <c r="N5097" s="5"/>
    </row>
    <row r="5098">
      <c r="N5098" s="5"/>
    </row>
    <row r="5099">
      <c r="N5099" s="5"/>
    </row>
    <row r="5100">
      <c r="N5100" s="5"/>
    </row>
    <row r="5101">
      <c r="N5101" s="5"/>
    </row>
    <row r="5102">
      <c r="N5102" s="5"/>
    </row>
    <row r="5103">
      <c r="N5103" s="5"/>
    </row>
    <row r="5104">
      <c r="N5104" s="5"/>
    </row>
    <row r="5105">
      <c r="N5105" s="5"/>
    </row>
    <row r="5106">
      <c r="N5106" s="5"/>
    </row>
    <row r="5107">
      <c r="N5107" s="5"/>
    </row>
    <row r="5108">
      <c r="N5108" s="5"/>
    </row>
    <row r="5109">
      <c r="N5109" s="5"/>
    </row>
    <row r="5110">
      <c r="N5110" s="5"/>
    </row>
    <row r="5111">
      <c r="N5111" s="5"/>
    </row>
    <row r="5112">
      <c r="N5112" s="5"/>
    </row>
    <row r="5113">
      <c r="N5113" s="5"/>
    </row>
    <row r="5114">
      <c r="N5114" s="5"/>
    </row>
    <row r="5115">
      <c r="N5115" s="5"/>
    </row>
    <row r="5116">
      <c r="N5116" s="5"/>
    </row>
    <row r="5117">
      <c r="N5117" s="5"/>
    </row>
    <row r="5118">
      <c r="N5118" s="5"/>
    </row>
    <row r="5119">
      <c r="N5119" s="5"/>
    </row>
    <row r="5120">
      <c r="N5120" s="5"/>
    </row>
    <row r="5121">
      <c r="N5121" s="5"/>
    </row>
    <row r="5122">
      <c r="N5122" s="5"/>
    </row>
    <row r="5123">
      <c r="N5123" s="5"/>
    </row>
    <row r="5124">
      <c r="N5124" s="5"/>
    </row>
    <row r="5125">
      <c r="N5125" s="5"/>
    </row>
    <row r="5126">
      <c r="N5126" s="5"/>
    </row>
    <row r="5127">
      <c r="N5127" s="5"/>
    </row>
    <row r="5128">
      <c r="N5128" s="5"/>
    </row>
    <row r="5129">
      <c r="N5129" s="5"/>
    </row>
    <row r="5130">
      <c r="N5130" s="5"/>
    </row>
    <row r="5131">
      <c r="N5131" s="5"/>
    </row>
    <row r="5132">
      <c r="N5132" s="5"/>
    </row>
    <row r="5133">
      <c r="N5133" s="5"/>
    </row>
    <row r="5134">
      <c r="N5134" s="5"/>
    </row>
    <row r="5135">
      <c r="N5135" s="5"/>
    </row>
    <row r="5136">
      <c r="N5136" s="5"/>
    </row>
    <row r="5137">
      <c r="N5137" s="5"/>
    </row>
    <row r="5138">
      <c r="N5138" s="5"/>
    </row>
    <row r="5139">
      <c r="N5139" s="5"/>
    </row>
    <row r="5140">
      <c r="N5140" s="5"/>
    </row>
    <row r="5141">
      <c r="N5141" s="5"/>
    </row>
    <row r="5142">
      <c r="N5142" s="5"/>
    </row>
    <row r="5143">
      <c r="N5143" s="5"/>
    </row>
    <row r="5144">
      <c r="N5144" s="5"/>
    </row>
    <row r="5145">
      <c r="N5145" s="5"/>
    </row>
    <row r="5146">
      <c r="N5146" s="5"/>
    </row>
    <row r="5147">
      <c r="N5147" s="5"/>
    </row>
    <row r="5148">
      <c r="N5148" s="5"/>
    </row>
    <row r="5149">
      <c r="N5149" s="5"/>
    </row>
    <row r="5150">
      <c r="N5150" s="5"/>
    </row>
    <row r="5151">
      <c r="N5151" s="5"/>
    </row>
    <row r="5152">
      <c r="N5152" s="5"/>
    </row>
    <row r="5153">
      <c r="N5153" s="5"/>
    </row>
    <row r="5154">
      <c r="N5154" s="5"/>
    </row>
    <row r="5155">
      <c r="N5155" s="5"/>
    </row>
    <row r="5156">
      <c r="N5156" s="5"/>
    </row>
    <row r="5157">
      <c r="N5157" s="5"/>
    </row>
    <row r="5158">
      <c r="N5158" s="5"/>
    </row>
    <row r="5159">
      <c r="N5159" s="5"/>
    </row>
    <row r="5160">
      <c r="N5160" s="5"/>
    </row>
    <row r="5161">
      <c r="N5161" s="5"/>
    </row>
    <row r="5162">
      <c r="N5162" s="5"/>
    </row>
    <row r="5163">
      <c r="N5163" s="5"/>
    </row>
    <row r="5164">
      <c r="N5164" s="5"/>
    </row>
    <row r="5165">
      <c r="N5165" s="5"/>
    </row>
    <row r="5166">
      <c r="N5166" s="5"/>
    </row>
    <row r="5167">
      <c r="N5167" s="5"/>
    </row>
    <row r="5168">
      <c r="N5168" s="5"/>
    </row>
    <row r="5169">
      <c r="N5169" s="5"/>
    </row>
    <row r="5170">
      <c r="N5170" s="5"/>
    </row>
    <row r="5171">
      <c r="N5171" s="5"/>
    </row>
    <row r="5172">
      <c r="N5172" s="5"/>
    </row>
    <row r="5173">
      <c r="N5173" s="5"/>
    </row>
    <row r="5174">
      <c r="N5174" s="5"/>
    </row>
    <row r="5175">
      <c r="N5175" s="5"/>
    </row>
    <row r="5176">
      <c r="N5176" s="5"/>
    </row>
    <row r="5177">
      <c r="N5177" s="5"/>
    </row>
    <row r="5178">
      <c r="N5178" s="5"/>
    </row>
    <row r="5179">
      <c r="N5179" s="5"/>
    </row>
    <row r="5180">
      <c r="N5180" s="5"/>
    </row>
    <row r="5181">
      <c r="N5181" s="5"/>
    </row>
    <row r="5182">
      <c r="N5182" s="5"/>
    </row>
    <row r="5183">
      <c r="N5183" s="5"/>
    </row>
    <row r="5184">
      <c r="N5184" s="5"/>
    </row>
    <row r="5185">
      <c r="N5185" s="5"/>
    </row>
    <row r="5186">
      <c r="N5186" s="5"/>
    </row>
    <row r="5187">
      <c r="N5187" s="5"/>
    </row>
    <row r="5188">
      <c r="N5188" s="5"/>
    </row>
    <row r="5189">
      <c r="N5189" s="5"/>
    </row>
    <row r="5190">
      <c r="N5190" s="5"/>
    </row>
    <row r="5191">
      <c r="N5191" s="5"/>
    </row>
    <row r="5192">
      <c r="N5192" s="5"/>
    </row>
    <row r="5193">
      <c r="N5193" s="5"/>
    </row>
    <row r="5194">
      <c r="N5194" s="5"/>
    </row>
    <row r="5195">
      <c r="N5195" s="5"/>
    </row>
    <row r="5196">
      <c r="N5196" s="5"/>
    </row>
    <row r="5197">
      <c r="N5197" s="5"/>
    </row>
    <row r="5198">
      <c r="N5198" s="5"/>
    </row>
    <row r="5199">
      <c r="N5199" s="5"/>
    </row>
    <row r="5200">
      <c r="N5200" s="5"/>
    </row>
    <row r="5201">
      <c r="N5201" s="5"/>
    </row>
    <row r="5202">
      <c r="N5202" s="5"/>
    </row>
    <row r="5203">
      <c r="N5203" s="5"/>
    </row>
    <row r="5204">
      <c r="N5204" s="5"/>
    </row>
    <row r="5205">
      <c r="N5205" s="5"/>
    </row>
    <row r="5206">
      <c r="N5206" s="5"/>
    </row>
    <row r="5207">
      <c r="N5207" s="5"/>
    </row>
    <row r="5208">
      <c r="N5208" s="5"/>
    </row>
    <row r="5209">
      <c r="N5209" s="5"/>
    </row>
    <row r="5210">
      <c r="N5210" s="5"/>
    </row>
    <row r="5211">
      <c r="N5211" s="5"/>
    </row>
    <row r="5212">
      <c r="N5212" s="5"/>
    </row>
    <row r="5213">
      <c r="N5213" s="5"/>
    </row>
    <row r="5214">
      <c r="N5214" s="5"/>
    </row>
    <row r="5215">
      <c r="N5215" s="5"/>
    </row>
    <row r="5216">
      <c r="N5216" s="5"/>
    </row>
    <row r="5217">
      <c r="N5217" s="5"/>
    </row>
    <row r="5218">
      <c r="N5218" s="5"/>
    </row>
    <row r="5219">
      <c r="N5219" s="5"/>
    </row>
    <row r="5220">
      <c r="N5220" s="5"/>
    </row>
    <row r="5221">
      <c r="N5221" s="5"/>
    </row>
    <row r="5222">
      <c r="N5222" s="5"/>
    </row>
    <row r="5223">
      <c r="N5223" s="5"/>
    </row>
    <row r="5224">
      <c r="N5224" s="5"/>
    </row>
    <row r="5225">
      <c r="N5225" s="5"/>
    </row>
    <row r="5226">
      <c r="N5226" s="5"/>
    </row>
    <row r="5227">
      <c r="N5227" s="5"/>
    </row>
    <row r="5228">
      <c r="N5228" s="5"/>
    </row>
    <row r="5229">
      <c r="N5229" s="5"/>
    </row>
    <row r="5230">
      <c r="N5230" s="5"/>
    </row>
    <row r="5231">
      <c r="N5231" s="5"/>
    </row>
    <row r="5232">
      <c r="N5232" s="5"/>
    </row>
    <row r="5233">
      <c r="N5233" s="5"/>
    </row>
    <row r="5234">
      <c r="N5234" s="5"/>
    </row>
    <row r="5235">
      <c r="N5235" s="5"/>
    </row>
    <row r="5236">
      <c r="N5236" s="5"/>
    </row>
    <row r="5237">
      <c r="N5237" s="5"/>
    </row>
    <row r="5238">
      <c r="N5238" s="5"/>
    </row>
    <row r="5239">
      <c r="N5239" s="5"/>
    </row>
    <row r="5240">
      <c r="N5240" s="5"/>
    </row>
    <row r="5241">
      <c r="N5241" s="5"/>
    </row>
    <row r="5242">
      <c r="N5242" s="5"/>
    </row>
    <row r="5243">
      <c r="N5243" s="5"/>
    </row>
    <row r="5244">
      <c r="N5244" s="5"/>
    </row>
    <row r="5245">
      <c r="N5245" s="5"/>
    </row>
    <row r="5246">
      <c r="N5246" s="5"/>
    </row>
    <row r="5247">
      <c r="N5247" s="5"/>
    </row>
    <row r="5248">
      <c r="N5248" s="5"/>
    </row>
    <row r="5249">
      <c r="N5249" s="5"/>
    </row>
    <row r="5250">
      <c r="N5250" s="5"/>
    </row>
    <row r="5251">
      <c r="N5251" s="5"/>
    </row>
    <row r="5252">
      <c r="N5252" s="5"/>
    </row>
    <row r="5253">
      <c r="N5253" s="5"/>
    </row>
    <row r="5254">
      <c r="N5254" s="5"/>
    </row>
    <row r="5255">
      <c r="N5255" s="5"/>
    </row>
    <row r="5256">
      <c r="N5256" s="5"/>
    </row>
    <row r="5257">
      <c r="N5257" s="5"/>
    </row>
    <row r="5258">
      <c r="N5258" s="5"/>
    </row>
    <row r="5259">
      <c r="N5259" s="5"/>
    </row>
    <row r="5260">
      <c r="N5260" s="5"/>
    </row>
    <row r="5261">
      <c r="N5261" s="5"/>
    </row>
    <row r="5262">
      <c r="N5262" s="5"/>
    </row>
    <row r="5263">
      <c r="N5263" s="5"/>
    </row>
    <row r="5264">
      <c r="N5264" s="5"/>
    </row>
    <row r="5265">
      <c r="N5265" s="5"/>
    </row>
    <row r="5266">
      <c r="N5266" s="5"/>
    </row>
    <row r="5267">
      <c r="N5267" s="5"/>
    </row>
    <row r="5268">
      <c r="N5268" s="5"/>
    </row>
    <row r="5269">
      <c r="N5269" s="5"/>
    </row>
    <row r="5270">
      <c r="N5270" s="5"/>
    </row>
    <row r="5271">
      <c r="N5271" s="5"/>
    </row>
    <row r="5272">
      <c r="N5272" s="5"/>
    </row>
    <row r="5273">
      <c r="N5273" s="5"/>
    </row>
    <row r="5274">
      <c r="N5274" s="5"/>
    </row>
    <row r="5275">
      <c r="N5275" s="5"/>
    </row>
    <row r="5276">
      <c r="N5276" s="5"/>
    </row>
    <row r="5277">
      <c r="N5277" s="5"/>
    </row>
    <row r="5278">
      <c r="N5278" s="5"/>
    </row>
    <row r="5279">
      <c r="N5279" s="5"/>
    </row>
    <row r="5280">
      <c r="N5280" s="5"/>
    </row>
    <row r="5281">
      <c r="N5281" s="5"/>
    </row>
    <row r="5282">
      <c r="N5282" s="5"/>
    </row>
    <row r="5283">
      <c r="N5283" s="5"/>
    </row>
    <row r="5284">
      <c r="N5284" s="5"/>
    </row>
    <row r="5285">
      <c r="N5285" s="5"/>
    </row>
    <row r="5286">
      <c r="N5286" s="5"/>
    </row>
    <row r="5287">
      <c r="N5287" s="5"/>
    </row>
    <row r="5288">
      <c r="N5288" s="5"/>
    </row>
    <row r="5289">
      <c r="N5289" s="5"/>
    </row>
    <row r="5290">
      <c r="N5290" s="5"/>
    </row>
    <row r="5291">
      <c r="N5291" s="5"/>
    </row>
    <row r="5292">
      <c r="N5292" s="5"/>
    </row>
    <row r="5293">
      <c r="N5293" s="5"/>
    </row>
    <row r="5294">
      <c r="N5294" s="5"/>
    </row>
    <row r="5295">
      <c r="N5295" s="5"/>
    </row>
    <row r="5296">
      <c r="N5296" s="5"/>
    </row>
    <row r="5297">
      <c r="N5297" s="5"/>
    </row>
    <row r="5298">
      <c r="N5298" s="5"/>
    </row>
    <row r="5299">
      <c r="N5299" s="5"/>
    </row>
    <row r="5300">
      <c r="N5300" s="5"/>
    </row>
    <row r="5301">
      <c r="N5301" s="5"/>
    </row>
    <row r="5302">
      <c r="N5302" s="5"/>
    </row>
    <row r="5303">
      <c r="N5303" s="5"/>
    </row>
    <row r="5304">
      <c r="N5304" s="5"/>
    </row>
    <row r="5305">
      <c r="N5305" s="5"/>
    </row>
    <row r="5306">
      <c r="N5306" s="5"/>
    </row>
    <row r="5307">
      <c r="N5307" s="5"/>
    </row>
    <row r="5308">
      <c r="N5308" s="5"/>
    </row>
    <row r="5309">
      <c r="N5309" s="5"/>
    </row>
    <row r="5310">
      <c r="N5310" s="5"/>
    </row>
    <row r="5311">
      <c r="N5311" s="5"/>
    </row>
    <row r="5312">
      <c r="N5312" s="5"/>
    </row>
    <row r="5313">
      <c r="N5313" s="5"/>
    </row>
    <row r="5314">
      <c r="N5314" s="5"/>
    </row>
    <row r="5315">
      <c r="N5315" s="5"/>
    </row>
    <row r="5316">
      <c r="N5316" s="5"/>
    </row>
    <row r="5317">
      <c r="N5317" s="5"/>
    </row>
    <row r="5318">
      <c r="N5318" s="5"/>
    </row>
    <row r="5319">
      <c r="N5319" s="5"/>
    </row>
    <row r="5320">
      <c r="N5320" s="5"/>
    </row>
    <row r="5321">
      <c r="N5321" s="5"/>
    </row>
    <row r="5322">
      <c r="N5322" s="5"/>
    </row>
    <row r="5323">
      <c r="N5323" s="5"/>
    </row>
    <row r="5324">
      <c r="N5324" s="5"/>
    </row>
    <row r="5325">
      <c r="N5325" s="5"/>
    </row>
    <row r="5326">
      <c r="N5326" s="5"/>
    </row>
    <row r="5327">
      <c r="N5327" s="5"/>
    </row>
    <row r="5328">
      <c r="N5328" s="5"/>
    </row>
    <row r="5329">
      <c r="N5329" s="5"/>
    </row>
    <row r="5330">
      <c r="N5330" s="5"/>
    </row>
    <row r="5331">
      <c r="N5331" s="5"/>
    </row>
    <row r="5332">
      <c r="N5332" s="5"/>
    </row>
    <row r="5333">
      <c r="N5333" s="5"/>
    </row>
    <row r="5334">
      <c r="N5334" s="5"/>
    </row>
    <row r="5335">
      <c r="N5335" s="5"/>
    </row>
    <row r="5336">
      <c r="N5336" s="5"/>
    </row>
    <row r="5337">
      <c r="N5337" s="5"/>
    </row>
    <row r="5338">
      <c r="N5338" s="5"/>
    </row>
    <row r="5339">
      <c r="N5339" s="5"/>
    </row>
    <row r="5340">
      <c r="N5340" s="5"/>
    </row>
    <row r="5341">
      <c r="N5341" s="5"/>
    </row>
    <row r="5342">
      <c r="N5342" s="5"/>
    </row>
    <row r="5343">
      <c r="N5343" s="5"/>
    </row>
    <row r="5344">
      <c r="N5344" s="5"/>
    </row>
    <row r="5345">
      <c r="N5345" s="5"/>
    </row>
    <row r="5346">
      <c r="N5346" s="5"/>
    </row>
    <row r="5347">
      <c r="N5347" s="5"/>
    </row>
    <row r="5348">
      <c r="N5348" s="5"/>
    </row>
    <row r="5349">
      <c r="N5349" s="5"/>
    </row>
    <row r="5350">
      <c r="N5350" s="5"/>
    </row>
    <row r="5351">
      <c r="N5351" s="5"/>
    </row>
    <row r="5352">
      <c r="N5352" s="5"/>
    </row>
    <row r="5353">
      <c r="N5353" s="5"/>
    </row>
    <row r="5354">
      <c r="N5354" s="5"/>
    </row>
    <row r="5355">
      <c r="N5355" s="5"/>
    </row>
    <row r="5356">
      <c r="N5356" s="5"/>
    </row>
    <row r="5357">
      <c r="N5357" s="5"/>
    </row>
    <row r="5358">
      <c r="N5358" s="5"/>
    </row>
    <row r="5359">
      <c r="N5359" s="5"/>
    </row>
    <row r="5360">
      <c r="N5360" s="5"/>
    </row>
    <row r="5361">
      <c r="N5361" s="5"/>
    </row>
    <row r="5362">
      <c r="N5362" s="5"/>
    </row>
    <row r="5363">
      <c r="N5363" s="5"/>
    </row>
    <row r="5364">
      <c r="N5364" s="5"/>
    </row>
    <row r="5365">
      <c r="N5365" s="5"/>
    </row>
    <row r="5366">
      <c r="N5366" s="5"/>
    </row>
    <row r="5367">
      <c r="N5367" s="5"/>
    </row>
    <row r="5368">
      <c r="N5368" s="5"/>
    </row>
    <row r="5369">
      <c r="N5369" s="5"/>
    </row>
    <row r="5370">
      <c r="N5370" s="5"/>
    </row>
    <row r="5371">
      <c r="N5371" s="5"/>
    </row>
    <row r="5372">
      <c r="N5372" s="5"/>
    </row>
    <row r="5373">
      <c r="N5373" s="5"/>
    </row>
    <row r="5374">
      <c r="N5374" s="5"/>
    </row>
    <row r="5375">
      <c r="N5375" s="5"/>
    </row>
    <row r="5376">
      <c r="N5376" s="5"/>
    </row>
    <row r="5377">
      <c r="N5377" s="5"/>
    </row>
    <row r="5378">
      <c r="N5378" s="5"/>
    </row>
    <row r="5379">
      <c r="N5379" s="5"/>
    </row>
    <row r="5380">
      <c r="N5380" s="5"/>
    </row>
    <row r="5381">
      <c r="N5381" s="5"/>
    </row>
    <row r="5382">
      <c r="N5382" s="5"/>
    </row>
    <row r="5383">
      <c r="N5383" s="5"/>
    </row>
    <row r="5384">
      <c r="N5384" s="5"/>
    </row>
    <row r="5385">
      <c r="N5385" s="5"/>
    </row>
    <row r="5386">
      <c r="N5386" s="5"/>
    </row>
    <row r="5387">
      <c r="N5387" s="5"/>
    </row>
    <row r="5388">
      <c r="N5388" s="5"/>
    </row>
    <row r="5389">
      <c r="N5389" s="5"/>
    </row>
    <row r="5390">
      <c r="N5390" s="5"/>
    </row>
    <row r="5391">
      <c r="N5391" s="5"/>
    </row>
    <row r="5392">
      <c r="N5392" s="5"/>
    </row>
    <row r="5393">
      <c r="N5393" s="5"/>
    </row>
    <row r="5394">
      <c r="N5394" s="5"/>
    </row>
    <row r="5395">
      <c r="N5395" s="5"/>
    </row>
    <row r="5396">
      <c r="N5396" s="5"/>
    </row>
    <row r="5397">
      <c r="N5397" s="5"/>
    </row>
    <row r="5398">
      <c r="N5398" s="5"/>
    </row>
    <row r="5399">
      <c r="N5399" s="5"/>
    </row>
    <row r="5400">
      <c r="N5400" s="5"/>
    </row>
    <row r="5401">
      <c r="N5401" s="5"/>
    </row>
    <row r="5402">
      <c r="N5402" s="5"/>
    </row>
    <row r="5403">
      <c r="N5403" s="5"/>
    </row>
    <row r="5404">
      <c r="N5404" s="5"/>
    </row>
    <row r="5405">
      <c r="N5405" s="5"/>
    </row>
    <row r="5406">
      <c r="N5406" s="5"/>
    </row>
    <row r="5407">
      <c r="N5407" s="5"/>
    </row>
    <row r="5408">
      <c r="N5408" s="5"/>
    </row>
    <row r="5409">
      <c r="N5409" s="5"/>
    </row>
    <row r="5410">
      <c r="N5410" s="5"/>
    </row>
    <row r="5411">
      <c r="N5411" s="5"/>
    </row>
    <row r="5412">
      <c r="N5412" s="5"/>
    </row>
    <row r="5413">
      <c r="N5413" s="5"/>
    </row>
    <row r="5414">
      <c r="N5414" s="5"/>
    </row>
    <row r="5415">
      <c r="N5415" s="5"/>
    </row>
    <row r="5416">
      <c r="N5416" s="5"/>
    </row>
    <row r="5417">
      <c r="N5417" s="5"/>
    </row>
    <row r="5418">
      <c r="N5418" s="5"/>
    </row>
    <row r="5419">
      <c r="N5419" s="5"/>
    </row>
    <row r="5420">
      <c r="N5420" s="5"/>
    </row>
    <row r="5421">
      <c r="N5421" s="5"/>
    </row>
    <row r="5422">
      <c r="N5422" s="5"/>
    </row>
    <row r="5423">
      <c r="N5423" s="5"/>
    </row>
    <row r="5424">
      <c r="N5424" s="5"/>
    </row>
    <row r="5425">
      <c r="N5425" s="5"/>
    </row>
    <row r="5426">
      <c r="N5426" s="5"/>
    </row>
    <row r="5427">
      <c r="N5427" s="5"/>
    </row>
    <row r="5428">
      <c r="N5428" s="5"/>
    </row>
    <row r="5429">
      <c r="N5429" s="5"/>
    </row>
    <row r="5430">
      <c r="N5430" s="5"/>
    </row>
    <row r="5431">
      <c r="N5431" s="5"/>
    </row>
    <row r="5432">
      <c r="N5432" s="5"/>
    </row>
    <row r="5433">
      <c r="N5433" s="5"/>
    </row>
    <row r="5434">
      <c r="N5434" s="5"/>
    </row>
    <row r="5435">
      <c r="N5435" s="5"/>
    </row>
    <row r="5436">
      <c r="N5436" s="5"/>
    </row>
    <row r="5437">
      <c r="N5437" s="5"/>
    </row>
    <row r="5438">
      <c r="N5438" s="5"/>
    </row>
    <row r="5439">
      <c r="N5439" s="5"/>
    </row>
    <row r="5440">
      <c r="N5440" s="5"/>
    </row>
    <row r="5441">
      <c r="N5441" s="5"/>
    </row>
    <row r="5442">
      <c r="N5442" s="5"/>
    </row>
    <row r="5443">
      <c r="N5443" s="5"/>
    </row>
    <row r="5444">
      <c r="N5444" s="5"/>
    </row>
    <row r="5445">
      <c r="N5445" s="5"/>
    </row>
    <row r="5446">
      <c r="N5446" s="5"/>
    </row>
    <row r="5447">
      <c r="N5447" s="5"/>
    </row>
    <row r="5448">
      <c r="N5448" s="5"/>
    </row>
    <row r="5449">
      <c r="N5449" s="5"/>
    </row>
    <row r="5450">
      <c r="N5450" s="5"/>
    </row>
    <row r="5451">
      <c r="N5451" s="5"/>
    </row>
    <row r="5452">
      <c r="N5452" s="5"/>
    </row>
    <row r="5453">
      <c r="N5453" s="5"/>
    </row>
    <row r="5454">
      <c r="N5454" s="5"/>
    </row>
    <row r="5455">
      <c r="N5455" s="5"/>
    </row>
    <row r="5456">
      <c r="N5456" s="5"/>
    </row>
    <row r="5457">
      <c r="N5457" s="5"/>
    </row>
    <row r="5458">
      <c r="N5458" s="5"/>
    </row>
    <row r="5459">
      <c r="N5459" s="5"/>
    </row>
    <row r="5460">
      <c r="N5460" s="5"/>
    </row>
    <row r="5461">
      <c r="N5461" s="5"/>
    </row>
    <row r="5462">
      <c r="N5462" s="5"/>
    </row>
    <row r="5463">
      <c r="N5463" s="5"/>
    </row>
    <row r="5464">
      <c r="N5464" s="5"/>
    </row>
    <row r="5465">
      <c r="N5465" s="5"/>
    </row>
    <row r="5466">
      <c r="N5466" s="5"/>
    </row>
    <row r="5467">
      <c r="N5467" s="5"/>
    </row>
    <row r="5468">
      <c r="N5468" s="5"/>
    </row>
    <row r="5469">
      <c r="N5469" s="5"/>
    </row>
    <row r="5470">
      <c r="N5470" s="5"/>
    </row>
    <row r="5471">
      <c r="N5471" s="5"/>
    </row>
    <row r="5472">
      <c r="N5472" s="5"/>
    </row>
    <row r="5473">
      <c r="N5473" s="5"/>
    </row>
    <row r="5474">
      <c r="N5474" s="5"/>
    </row>
    <row r="5475">
      <c r="N5475" s="5"/>
    </row>
    <row r="5476">
      <c r="N5476" s="5"/>
    </row>
    <row r="5477">
      <c r="N5477" s="5"/>
    </row>
    <row r="5478">
      <c r="N5478" s="5"/>
    </row>
    <row r="5479">
      <c r="N5479" s="5"/>
    </row>
    <row r="5480">
      <c r="N5480" s="5"/>
    </row>
    <row r="5481">
      <c r="N5481" s="5"/>
    </row>
    <row r="5482">
      <c r="N5482" s="5"/>
    </row>
    <row r="5483">
      <c r="N5483" s="5"/>
    </row>
    <row r="5484">
      <c r="N5484" s="5"/>
    </row>
    <row r="5485">
      <c r="N5485" s="5"/>
    </row>
    <row r="5486">
      <c r="N5486" s="5"/>
    </row>
    <row r="5487">
      <c r="N5487" s="5"/>
    </row>
    <row r="5488">
      <c r="N5488" s="5"/>
    </row>
    <row r="5489">
      <c r="N5489" s="5"/>
    </row>
    <row r="5490">
      <c r="N5490" s="5"/>
    </row>
    <row r="5491">
      <c r="N5491" s="5"/>
    </row>
    <row r="5492">
      <c r="N5492" s="5"/>
    </row>
    <row r="5493">
      <c r="N5493" s="5"/>
    </row>
    <row r="5494">
      <c r="N5494" s="5"/>
    </row>
    <row r="5495">
      <c r="N5495" s="5"/>
    </row>
    <row r="5496">
      <c r="N5496" s="5"/>
    </row>
    <row r="5497">
      <c r="N5497" s="5"/>
    </row>
    <row r="5498">
      <c r="N5498" s="5"/>
    </row>
    <row r="5499">
      <c r="N5499" s="5"/>
    </row>
    <row r="5500">
      <c r="N5500" s="5"/>
    </row>
    <row r="5501">
      <c r="N5501" s="5"/>
    </row>
    <row r="5502">
      <c r="N5502" s="5"/>
    </row>
    <row r="5503">
      <c r="N5503" s="5"/>
    </row>
    <row r="5504">
      <c r="N5504" s="5"/>
    </row>
    <row r="5505">
      <c r="N5505" s="5"/>
    </row>
    <row r="5506">
      <c r="N5506" s="5"/>
    </row>
    <row r="5507">
      <c r="N5507" s="5"/>
    </row>
    <row r="5508">
      <c r="N5508" s="5"/>
    </row>
    <row r="5509">
      <c r="N5509" s="5"/>
    </row>
    <row r="5510">
      <c r="N5510" s="5"/>
    </row>
    <row r="5511">
      <c r="N5511" s="5"/>
    </row>
    <row r="5512">
      <c r="N5512" s="5"/>
    </row>
    <row r="5513">
      <c r="N5513" s="5"/>
    </row>
    <row r="5514">
      <c r="N5514" s="5"/>
    </row>
    <row r="5515">
      <c r="N5515" s="5"/>
    </row>
    <row r="5516">
      <c r="N5516" s="5"/>
    </row>
    <row r="5517">
      <c r="N5517" s="5"/>
    </row>
    <row r="5518">
      <c r="N5518" s="5"/>
    </row>
    <row r="5519">
      <c r="N5519" s="5"/>
    </row>
    <row r="5520">
      <c r="N5520" s="5"/>
    </row>
    <row r="5521">
      <c r="N5521" s="5"/>
    </row>
    <row r="5522">
      <c r="N5522" s="5"/>
    </row>
    <row r="5523">
      <c r="N5523" s="5"/>
    </row>
    <row r="5524">
      <c r="N5524" s="5"/>
    </row>
    <row r="5525">
      <c r="N5525" s="5"/>
    </row>
    <row r="5526">
      <c r="N5526" s="5"/>
    </row>
    <row r="5527">
      <c r="N5527" s="5"/>
    </row>
    <row r="5528">
      <c r="N5528" s="5"/>
    </row>
    <row r="5529">
      <c r="N5529" s="5"/>
    </row>
    <row r="5530">
      <c r="N5530" s="5"/>
    </row>
    <row r="5531">
      <c r="N5531" s="5"/>
    </row>
    <row r="5532">
      <c r="N5532" s="5"/>
    </row>
    <row r="5533">
      <c r="N5533" s="5"/>
    </row>
    <row r="5534">
      <c r="N5534" s="5"/>
    </row>
    <row r="5535">
      <c r="N5535" s="5"/>
    </row>
    <row r="5536">
      <c r="N5536" s="5"/>
    </row>
    <row r="5537">
      <c r="N5537" s="5"/>
    </row>
    <row r="5538">
      <c r="N5538" s="5"/>
    </row>
    <row r="5539">
      <c r="N5539" s="5"/>
    </row>
    <row r="5540">
      <c r="N5540" s="5"/>
    </row>
    <row r="5541">
      <c r="N5541" s="5"/>
    </row>
    <row r="5542">
      <c r="N5542" s="5"/>
    </row>
    <row r="5543">
      <c r="N5543" s="5"/>
    </row>
    <row r="5544">
      <c r="N5544" s="5"/>
    </row>
    <row r="5545">
      <c r="N5545" s="5"/>
    </row>
    <row r="5546">
      <c r="N5546" s="5"/>
    </row>
    <row r="5547">
      <c r="N5547" s="5"/>
    </row>
    <row r="5548">
      <c r="N5548" s="5"/>
    </row>
    <row r="5549">
      <c r="N5549" s="5"/>
    </row>
    <row r="5550">
      <c r="N5550" s="5"/>
    </row>
    <row r="5551">
      <c r="N5551" s="5"/>
    </row>
    <row r="5552">
      <c r="N5552" s="5"/>
    </row>
    <row r="5553">
      <c r="N5553" s="5"/>
    </row>
    <row r="5554">
      <c r="N5554" s="5"/>
    </row>
    <row r="5555">
      <c r="N5555" s="5"/>
    </row>
    <row r="5556">
      <c r="N5556" s="5"/>
    </row>
    <row r="5557">
      <c r="N5557" s="5"/>
    </row>
    <row r="5558">
      <c r="N5558" s="5"/>
    </row>
    <row r="5559">
      <c r="N5559" s="5"/>
    </row>
    <row r="5560">
      <c r="N5560" s="5"/>
    </row>
    <row r="5561">
      <c r="N5561" s="5"/>
    </row>
    <row r="5562">
      <c r="N5562" s="5"/>
    </row>
    <row r="5563">
      <c r="N5563" s="5"/>
    </row>
    <row r="5564">
      <c r="N5564" s="5"/>
    </row>
    <row r="5565">
      <c r="N5565" s="5"/>
    </row>
    <row r="5566">
      <c r="N5566" s="5"/>
    </row>
    <row r="5567">
      <c r="N5567" s="5"/>
    </row>
    <row r="5568">
      <c r="N5568" s="5"/>
    </row>
    <row r="5569">
      <c r="N5569" s="5"/>
    </row>
    <row r="5570">
      <c r="N5570" s="5"/>
    </row>
    <row r="5571">
      <c r="N5571" s="5"/>
    </row>
    <row r="5572">
      <c r="N5572" s="5"/>
    </row>
    <row r="5573">
      <c r="N5573" s="5"/>
    </row>
    <row r="5574">
      <c r="N5574" s="5"/>
    </row>
    <row r="5575">
      <c r="N5575" s="5"/>
    </row>
    <row r="5576">
      <c r="N5576" s="5"/>
    </row>
    <row r="5577">
      <c r="N5577" s="5"/>
    </row>
    <row r="5578">
      <c r="N5578" s="5"/>
    </row>
    <row r="5579">
      <c r="N5579" s="5"/>
    </row>
    <row r="5580">
      <c r="N5580" s="5"/>
    </row>
    <row r="5581">
      <c r="N5581" s="5"/>
    </row>
    <row r="5582">
      <c r="N5582" s="5"/>
    </row>
    <row r="5583">
      <c r="N5583" s="5"/>
    </row>
    <row r="5584">
      <c r="N5584" s="5"/>
    </row>
    <row r="5585">
      <c r="N5585" s="5"/>
    </row>
    <row r="5586">
      <c r="N5586" s="5"/>
    </row>
    <row r="5587">
      <c r="N5587" s="5"/>
    </row>
    <row r="5588">
      <c r="N5588" s="5"/>
    </row>
    <row r="5589">
      <c r="N5589" s="5"/>
    </row>
    <row r="5590">
      <c r="N5590" s="5"/>
    </row>
    <row r="5591">
      <c r="N5591" s="5"/>
    </row>
    <row r="5592">
      <c r="N5592" s="5"/>
    </row>
    <row r="5593">
      <c r="N5593" s="5"/>
    </row>
    <row r="5594">
      <c r="N5594" s="5"/>
    </row>
    <row r="5595">
      <c r="N5595" s="5"/>
    </row>
    <row r="5596">
      <c r="N5596" s="5"/>
    </row>
    <row r="5597">
      <c r="N5597" s="5"/>
    </row>
    <row r="5598">
      <c r="N5598" s="5"/>
    </row>
    <row r="5599">
      <c r="N5599" s="5"/>
    </row>
    <row r="5600">
      <c r="N5600" s="5"/>
    </row>
    <row r="5601">
      <c r="N5601" s="5"/>
    </row>
    <row r="5602">
      <c r="N5602" s="5"/>
    </row>
    <row r="5603">
      <c r="N5603" s="5"/>
    </row>
    <row r="5604">
      <c r="N5604" s="5"/>
    </row>
    <row r="5605">
      <c r="N5605" s="5"/>
    </row>
    <row r="5606">
      <c r="N5606" s="5"/>
    </row>
    <row r="5607">
      <c r="N5607" s="5"/>
    </row>
    <row r="5608">
      <c r="N5608" s="5"/>
    </row>
    <row r="5609">
      <c r="N5609" s="5"/>
    </row>
    <row r="5610">
      <c r="N5610" s="5"/>
    </row>
    <row r="5611">
      <c r="N5611" s="5"/>
    </row>
    <row r="5612">
      <c r="N5612" s="5"/>
    </row>
    <row r="5613">
      <c r="N5613" s="5"/>
    </row>
    <row r="5614">
      <c r="N5614" s="5"/>
    </row>
    <row r="5615">
      <c r="N5615" s="5"/>
    </row>
    <row r="5616">
      <c r="N5616" s="5"/>
    </row>
    <row r="5617">
      <c r="N5617" s="5"/>
    </row>
    <row r="5618">
      <c r="N5618" s="5"/>
    </row>
    <row r="5619">
      <c r="N5619" s="5"/>
    </row>
    <row r="5620">
      <c r="N5620" s="5"/>
    </row>
    <row r="5621">
      <c r="N5621" s="5"/>
    </row>
    <row r="5622">
      <c r="N5622" s="5"/>
    </row>
    <row r="5623">
      <c r="N5623" s="5"/>
    </row>
    <row r="5624">
      <c r="N5624" s="5"/>
    </row>
    <row r="5625">
      <c r="N5625" s="5"/>
    </row>
    <row r="5626">
      <c r="N5626" s="5"/>
    </row>
    <row r="5627">
      <c r="N5627" s="5"/>
    </row>
    <row r="5628">
      <c r="N5628" s="5"/>
    </row>
    <row r="5629">
      <c r="N5629" s="5"/>
    </row>
    <row r="5630">
      <c r="N5630" s="5"/>
    </row>
    <row r="5631">
      <c r="N5631" s="5"/>
    </row>
    <row r="5632">
      <c r="N5632" s="5"/>
    </row>
    <row r="5633">
      <c r="N5633" s="5"/>
    </row>
    <row r="5634">
      <c r="N5634" s="5"/>
    </row>
    <row r="5635">
      <c r="N5635" s="5"/>
    </row>
    <row r="5636">
      <c r="N5636" s="5"/>
    </row>
    <row r="5637">
      <c r="N5637" s="5"/>
    </row>
    <row r="5638">
      <c r="N5638" s="5"/>
    </row>
    <row r="5639">
      <c r="N5639" s="5"/>
    </row>
    <row r="5640">
      <c r="N5640" s="5"/>
    </row>
    <row r="5641">
      <c r="N5641" s="5"/>
    </row>
    <row r="5642">
      <c r="N5642" s="5"/>
    </row>
    <row r="5643">
      <c r="N5643" s="5"/>
    </row>
    <row r="5644">
      <c r="N5644" s="5"/>
    </row>
    <row r="5645">
      <c r="N5645" s="5"/>
    </row>
    <row r="5646">
      <c r="N5646" s="5"/>
    </row>
    <row r="5647">
      <c r="N5647" s="5"/>
    </row>
    <row r="5648">
      <c r="N5648" s="5"/>
    </row>
    <row r="5649">
      <c r="N5649" s="5"/>
    </row>
    <row r="5650">
      <c r="N5650" s="5"/>
    </row>
    <row r="5651">
      <c r="N5651" s="5"/>
    </row>
    <row r="5652">
      <c r="N5652" s="5"/>
    </row>
    <row r="5653">
      <c r="N5653" s="5"/>
    </row>
    <row r="5654">
      <c r="N5654" s="5"/>
    </row>
    <row r="5655">
      <c r="N5655" s="5"/>
    </row>
    <row r="5656">
      <c r="N5656" s="5"/>
    </row>
    <row r="5657">
      <c r="N5657" s="5"/>
    </row>
    <row r="5658">
      <c r="N5658" s="5"/>
    </row>
    <row r="5659">
      <c r="N5659" s="5"/>
    </row>
    <row r="5660">
      <c r="N5660" s="5"/>
    </row>
    <row r="5661">
      <c r="N5661" s="5"/>
    </row>
    <row r="5662">
      <c r="N5662" s="5"/>
    </row>
    <row r="5663">
      <c r="N5663" s="5"/>
    </row>
    <row r="5664">
      <c r="N5664" s="5"/>
    </row>
    <row r="5665">
      <c r="N5665" s="5"/>
    </row>
    <row r="5666">
      <c r="N5666" s="5"/>
    </row>
    <row r="5667">
      <c r="N5667" s="5"/>
    </row>
    <row r="5668">
      <c r="N5668" s="5"/>
    </row>
    <row r="5669">
      <c r="N5669" s="5"/>
    </row>
    <row r="5670">
      <c r="N5670" s="5"/>
    </row>
    <row r="5671">
      <c r="N5671" s="5"/>
    </row>
    <row r="5672">
      <c r="N5672" s="5"/>
    </row>
    <row r="5673">
      <c r="N5673" s="5"/>
    </row>
    <row r="5674">
      <c r="N5674" s="5"/>
    </row>
    <row r="5675">
      <c r="N5675" s="5"/>
    </row>
    <row r="5676">
      <c r="N5676" s="5"/>
    </row>
    <row r="5677">
      <c r="N5677" s="5"/>
    </row>
    <row r="5678">
      <c r="N5678" s="5"/>
    </row>
    <row r="5679">
      <c r="N5679" s="5"/>
    </row>
    <row r="5680">
      <c r="N5680" s="5"/>
    </row>
    <row r="5681">
      <c r="N5681" s="5"/>
    </row>
    <row r="5682">
      <c r="N5682" s="5"/>
    </row>
    <row r="5683">
      <c r="N5683" s="5"/>
    </row>
    <row r="5684">
      <c r="N5684" s="5"/>
    </row>
    <row r="5685">
      <c r="N5685" s="5"/>
    </row>
    <row r="5686">
      <c r="N5686" s="5"/>
    </row>
    <row r="5687">
      <c r="N5687" s="5"/>
    </row>
    <row r="5688">
      <c r="N5688" s="5"/>
    </row>
    <row r="5689">
      <c r="N5689" s="5"/>
    </row>
    <row r="5690">
      <c r="N5690" s="5"/>
    </row>
    <row r="5691">
      <c r="N5691" s="5"/>
    </row>
    <row r="5692">
      <c r="N5692" s="5"/>
    </row>
    <row r="5693">
      <c r="N5693" s="5"/>
    </row>
    <row r="5694">
      <c r="N5694" s="5"/>
    </row>
    <row r="5695">
      <c r="N5695" s="5"/>
    </row>
    <row r="5696">
      <c r="N5696" s="5"/>
    </row>
    <row r="5697">
      <c r="N5697" s="5"/>
    </row>
    <row r="5698">
      <c r="N5698" s="5"/>
    </row>
    <row r="5699">
      <c r="N5699" s="5"/>
    </row>
    <row r="5700">
      <c r="N5700" s="5"/>
    </row>
    <row r="5701">
      <c r="N5701" s="5"/>
    </row>
    <row r="5702">
      <c r="N5702" s="5"/>
    </row>
    <row r="5703">
      <c r="N5703" s="5"/>
    </row>
    <row r="5704">
      <c r="N5704" s="5"/>
    </row>
    <row r="5705">
      <c r="N5705" s="5"/>
    </row>
    <row r="5706">
      <c r="N5706" s="5"/>
    </row>
    <row r="5707">
      <c r="N5707" s="5"/>
    </row>
    <row r="5708">
      <c r="N5708" s="5"/>
    </row>
    <row r="5709">
      <c r="N5709" s="5"/>
    </row>
    <row r="5710">
      <c r="N5710" s="5"/>
    </row>
    <row r="5711">
      <c r="N5711" s="5"/>
    </row>
    <row r="5712">
      <c r="N5712" s="5"/>
    </row>
    <row r="5713">
      <c r="N5713" s="5"/>
    </row>
    <row r="5714">
      <c r="N5714" s="5"/>
    </row>
    <row r="5715">
      <c r="N5715" s="5"/>
    </row>
    <row r="5716">
      <c r="N5716" s="5"/>
    </row>
    <row r="5717">
      <c r="N5717" s="5"/>
    </row>
    <row r="5718">
      <c r="N5718" s="5"/>
    </row>
    <row r="5719">
      <c r="N5719" s="5"/>
    </row>
    <row r="5720">
      <c r="N5720" s="5"/>
    </row>
    <row r="5721">
      <c r="N5721" s="5"/>
    </row>
    <row r="5722">
      <c r="N5722" s="5"/>
    </row>
    <row r="5723">
      <c r="N5723" s="5"/>
    </row>
    <row r="5724">
      <c r="N5724" s="5"/>
    </row>
    <row r="5725">
      <c r="N5725" s="5"/>
    </row>
    <row r="5726">
      <c r="N5726" s="5"/>
    </row>
    <row r="5727">
      <c r="N5727" s="5"/>
    </row>
    <row r="5728">
      <c r="N5728" s="5"/>
    </row>
    <row r="5729">
      <c r="N5729" s="5"/>
    </row>
    <row r="5730">
      <c r="N5730" s="5"/>
    </row>
    <row r="5731">
      <c r="N5731" s="5"/>
    </row>
    <row r="5732">
      <c r="N5732" s="5"/>
    </row>
    <row r="5733">
      <c r="N5733" s="5"/>
    </row>
    <row r="5734">
      <c r="N5734" s="5"/>
    </row>
    <row r="5735">
      <c r="N5735" s="5"/>
    </row>
    <row r="5736">
      <c r="N5736" s="5"/>
    </row>
    <row r="5737">
      <c r="N5737" s="5"/>
    </row>
    <row r="5738">
      <c r="N5738" s="5"/>
    </row>
    <row r="5739">
      <c r="N5739" s="5"/>
    </row>
    <row r="5740">
      <c r="N5740" s="5"/>
    </row>
    <row r="5741">
      <c r="N5741" s="5"/>
    </row>
    <row r="5742">
      <c r="N5742" s="5"/>
    </row>
    <row r="5743">
      <c r="N5743" s="5"/>
    </row>
    <row r="5744">
      <c r="N5744" s="5"/>
    </row>
    <row r="5745">
      <c r="N5745" s="5"/>
    </row>
    <row r="5746">
      <c r="N5746" s="5"/>
    </row>
    <row r="5747">
      <c r="N5747" s="5"/>
    </row>
    <row r="5748">
      <c r="N5748" s="5"/>
    </row>
    <row r="5749">
      <c r="N5749" s="5"/>
    </row>
    <row r="5750">
      <c r="N5750" s="5"/>
    </row>
    <row r="5751">
      <c r="N5751" s="5"/>
    </row>
    <row r="5752">
      <c r="N5752" s="5"/>
    </row>
    <row r="5753">
      <c r="N5753" s="5"/>
    </row>
    <row r="5754">
      <c r="N5754" s="5"/>
    </row>
    <row r="5755">
      <c r="N5755" s="5"/>
    </row>
    <row r="5756">
      <c r="N5756" s="5"/>
    </row>
    <row r="5757">
      <c r="N5757" s="5"/>
    </row>
    <row r="5758">
      <c r="N5758" s="5"/>
    </row>
    <row r="5759">
      <c r="N5759" s="5"/>
    </row>
    <row r="5760">
      <c r="N5760" s="5"/>
    </row>
    <row r="5761">
      <c r="N5761" s="5"/>
    </row>
    <row r="5762">
      <c r="N5762" s="5"/>
    </row>
    <row r="5763">
      <c r="N5763" s="5"/>
    </row>
    <row r="5764">
      <c r="N5764" s="5"/>
    </row>
    <row r="5765">
      <c r="N5765" s="5"/>
    </row>
    <row r="5766">
      <c r="N5766" s="5"/>
    </row>
    <row r="5767">
      <c r="N5767" s="5"/>
    </row>
    <row r="5768">
      <c r="N5768" s="5"/>
    </row>
    <row r="5769">
      <c r="N5769" s="5"/>
    </row>
    <row r="5770">
      <c r="N5770" s="5"/>
    </row>
    <row r="5771">
      <c r="N5771" s="5"/>
    </row>
    <row r="5772">
      <c r="N5772" s="5"/>
    </row>
    <row r="5773">
      <c r="N5773" s="5"/>
    </row>
    <row r="5774">
      <c r="N5774" s="5"/>
    </row>
    <row r="5775">
      <c r="N5775" s="5"/>
    </row>
    <row r="5776">
      <c r="N5776" s="5"/>
    </row>
    <row r="5777">
      <c r="N5777" s="5"/>
    </row>
    <row r="5778">
      <c r="N5778" s="5"/>
    </row>
    <row r="5779">
      <c r="N5779" s="5"/>
    </row>
    <row r="5780">
      <c r="N5780" s="5"/>
    </row>
    <row r="5781">
      <c r="N5781" s="5"/>
    </row>
    <row r="5782">
      <c r="N5782" s="5"/>
    </row>
    <row r="5783">
      <c r="N5783" s="5"/>
    </row>
    <row r="5784">
      <c r="N5784" s="5"/>
    </row>
    <row r="5785">
      <c r="N5785" s="5"/>
    </row>
    <row r="5786">
      <c r="N5786" s="5"/>
    </row>
    <row r="5787">
      <c r="N5787" s="5"/>
    </row>
    <row r="5788">
      <c r="N5788" s="5"/>
    </row>
    <row r="5789">
      <c r="N5789" s="5"/>
    </row>
    <row r="5790">
      <c r="N5790" s="5"/>
    </row>
    <row r="5791">
      <c r="N5791" s="5"/>
    </row>
    <row r="5792">
      <c r="N5792" s="5"/>
    </row>
    <row r="5793">
      <c r="N5793" s="5"/>
    </row>
    <row r="5794">
      <c r="N5794" s="5"/>
    </row>
    <row r="5795">
      <c r="N5795" s="5"/>
    </row>
    <row r="5796">
      <c r="N5796" s="5"/>
    </row>
    <row r="5797">
      <c r="N5797" s="5"/>
    </row>
    <row r="5798">
      <c r="N5798" s="5"/>
    </row>
    <row r="5799">
      <c r="N5799" s="5"/>
    </row>
    <row r="5800">
      <c r="N5800" s="5"/>
    </row>
    <row r="5801">
      <c r="N5801" s="5"/>
    </row>
    <row r="5802">
      <c r="N5802" s="5"/>
    </row>
    <row r="5803">
      <c r="N5803" s="5"/>
    </row>
    <row r="5804">
      <c r="N5804" s="5"/>
    </row>
    <row r="5805">
      <c r="N5805" s="5"/>
    </row>
    <row r="5806">
      <c r="N5806" s="5"/>
    </row>
    <row r="5807">
      <c r="N5807" s="5"/>
    </row>
    <row r="5808">
      <c r="N5808" s="5"/>
    </row>
    <row r="5809">
      <c r="N5809" s="5"/>
    </row>
    <row r="5810">
      <c r="N5810" s="5"/>
    </row>
    <row r="5811">
      <c r="N5811" s="5"/>
    </row>
    <row r="5812">
      <c r="N5812" s="5"/>
    </row>
    <row r="5813">
      <c r="N5813" s="5"/>
    </row>
    <row r="5814">
      <c r="N5814" s="5"/>
    </row>
    <row r="5815">
      <c r="N5815" s="5"/>
    </row>
    <row r="5816">
      <c r="N5816" s="5"/>
    </row>
    <row r="5817">
      <c r="N5817" s="5"/>
    </row>
    <row r="5818">
      <c r="N5818" s="5"/>
    </row>
    <row r="5819">
      <c r="N5819" s="5"/>
    </row>
    <row r="5820">
      <c r="N5820" s="5"/>
    </row>
    <row r="5821">
      <c r="N5821" s="5"/>
    </row>
    <row r="5822">
      <c r="N5822" s="5"/>
    </row>
    <row r="5823">
      <c r="N5823" s="5"/>
    </row>
    <row r="5824">
      <c r="N5824" s="5"/>
    </row>
    <row r="5825">
      <c r="N5825" s="5"/>
    </row>
    <row r="5826">
      <c r="N5826" s="5"/>
    </row>
    <row r="5827">
      <c r="N5827" s="5"/>
    </row>
    <row r="5828">
      <c r="N5828" s="5"/>
    </row>
    <row r="5829">
      <c r="N5829" s="5"/>
    </row>
    <row r="5830">
      <c r="N5830" s="5"/>
    </row>
    <row r="5831">
      <c r="N5831" s="5"/>
    </row>
    <row r="5832">
      <c r="N5832" s="5"/>
    </row>
    <row r="5833">
      <c r="N5833" s="5"/>
    </row>
    <row r="5834">
      <c r="N5834" s="5"/>
    </row>
    <row r="5835">
      <c r="N5835" s="5"/>
    </row>
    <row r="5836">
      <c r="N5836" s="5"/>
    </row>
    <row r="5837">
      <c r="N5837" s="5"/>
    </row>
    <row r="5838">
      <c r="N5838" s="5"/>
    </row>
    <row r="5839">
      <c r="N5839" s="5"/>
    </row>
    <row r="5840">
      <c r="N5840" s="5"/>
    </row>
    <row r="5841">
      <c r="N5841" s="5"/>
    </row>
    <row r="5842">
      <c r="N5842" s="5"/>
    </row>
    <row r="5843">
      <c r="N5843" s="5"/>
    </row>
    <row r="5844">
      <c r="N5844" s="5"/>
    </row>
    <row r="5845">
      <c r="N5845" s="5"/>
    </row>
    <row r="5846">
      <c r="N5846" s="5"/>
    </row>
    <row r="5847">
      <c r="N5847" s="5"/>
    </row>
    <row r="5848">
      <c r="N5848" s="5"/>
    </row>
    <row r="5849">
      <c r="N5849" s="5"/>
    </row>
    <row r="5850">
      <c r="N5850" s="5"/>
    </row>
    <row r="5851">
      <c r="N5851" s="5"/>
    </row>
    <row r="5852">
      <c r="N5852" s="5"/>
    </row>
    <row r="5853">
      <c r="N5853" s="5"/>
    </row>
    <row r="5854">
      <c r="N5854" s="5"/>
    </row>
    <row r="5855">
      <c r="N5855" s="5"/>
    </row>
    <row r="5856">
      <c r="N5856" s="5"/>
    </row>
    <row r="5857">
      <c r="N5857" s="5"/>
    </row>
    <row r="5858">
      <c r="N5858" s="5"/>
    </row>
    <row r="5859">
      <c r="N5859" s="5"/>
    </row>
    <row r="5860">
      <c r="N5860" s="5"/>
    </row>
    <row r="5861">
      <c r="N5861" s="5"/>
    </row>
    <row r="5862">
      <c r="N5862" s="5"/>
    </row>
    <row r="5863">
      <c r="N5863" s="5"/>
    </row>
    <row r="5864">
      <c r="N5864" s="5"/>
    </row>
    <row r="5865">
      <c r="N5865" s="5"/>
    </row>
    <row r="5866">
      <c r="N5866" s="5"/>
    </row>
    <row r="5867">
      <c r="N5867" s="5"/>
    </row>
    <row r="5868">
      <c r="N5868" s="5"/>
    </row>
    <row r="5869">
      <c r="N5869" s="5"/>
    </row>
    <row r="5870">
      <c r="N5870" s="5"/>
    </row>
    <row r="5871">
      <c r="N5871" s="5"/>
    </row>
    <row r="5872">
      <c r="N5872" s="5"/>
    </row>
    <row r="5873">
      <c r="N5873" s="5"/>
    </row>
    <row r="5874">
      <c r="N5874" s="5"/>
    </row>
    <row r="5875">
      <c r="N5875" s="5"/>
    </row>
    <row r="5876">
      <c r="N5876" s="5"/>
    </row>
    <row r="5877">
      <c r="N5877" s="5"/>
    </row>
    <row r="5878">
      <c r="N5878" s="5"/>
    </row>
    <row r="5879">
      <c r="N5879" s="5"/>
    </row>
    <row r="5880">
      <c r="N5880" s="5"/>
    </row>
    <row r="5881">
      <c r="N5881" s="5"/>
    </row>
    <row r="5882">
      <c r="N5882" s="5"/>
    </row>
    <row r="5883">
      <c r="N5883" s="5"/>
    </row>
    <row r="5884">
      <c r="N5884" s="5"/>
    </row>
    <row r="5885">
      <c r="N5885" s="5"/>
    </row>
    <row r="5886">
      <c r="N5886" s="5"/>
    </row>
    <row r="5887">
      <c r="N5887" s="5"/>
    </row>
    <row r="5888">
      <c r="N5888" s="5"/>
    </row>
    <row r="5889">
      <c r="N5889" s="5"/>
    </row>
    <row r="5890">
      <c r="N5890" s="5"/>
    </row>
    <row r="5891">
      <c r="N5891" s="5"/>
    </row>
    <row r="5892">
      <c r="N5892" s="5"/>
    </row>
    <row r="5893">
      <c r="N5893" s="5"/>
    </row>
    <row r="5894">
      <c r="N5894" s="5"/>
    </row>
    <row r="5895">
      <c r="N5895" s="5"/>
    </row>
    <row r="5896">
      <c r="N5896" s="5"/>
    </row>
    <row r="5897">
      <c r="N5897" s="5"/>
    </row>
    <row r="5898">
      <c r="N5898" s="5"/>
    </row>
    <row r="5899">
      <c r="N5899" s="5"/>
    </row>
    <row r="5900">
      <c r="N5900" s="5"/>
    </row>
    <row r="5901">
      <c r="N5901" s="5"/>
    </row>
    <row r="5902">
      <c r="N5902" s="5"/>
    </row>
    <row r="5903">
      <c r="N5903" s="5"/>
    </row>
    <row r="5904">
      <c r="N5904" s="5"/>
    </row>
    <row r="5905">
      <c r="N5905" s="5"/>
    </row>
    <row r="5906">
      <c r="N5906" s="5"/>
    </row>
    <row r="5907">
      <c r="N5907" s="5"/>
    </row>
    <row r="5908">
      <c r="N5908" s="5"/>
    </row>
    <row r="5909">
      <c r="N5909" s="5"/>
    </row>
    <row r="5910">
      <c r="N5910" s="5"/>
    </row>
    <row r="5911">
      <c r="N5911" s="5"/>
    </row>
    <row r="5912">
      <c r="N5912" s="5"/>
    </row>
    <row r="5913">
      <c r="N5913" s="5"/>
    </row>
    <row r="5914">
      <c r="N5914" s="5"/>
    </row>
    <row r="5915">
      <c r="N5915" s="5"/>
    </row>
    <row r="5916">
      <c r="N5916" s="5"/>
    </row>
    <row r="5917">
      <c r="N5917" s="5"/>
    </row>
    <row r="5918">
      <c r="N5918" s="5"/>
    </row>
    <row r="5919">
      <c r="N5919" s="5"/>
    </row>
    <row r="5920">
      <c r="N5920" s="5"/>
    </row>
    <row r="5921">
      <c r="N5921" s="5"/>
    </row>
    <row r="5922">
      <c r="N5922" s="5"/>
    </row>
    <row r="5923">
      <c r="N5923" s="5"/>
    </row>
    <row r="5924">
      <c r="N5924" s="5"/>
    </row>
    <row r="5925">
      <c r="N5925" s="5"/>
    </row>
    <row r="5926">
      <c r="N5926" s="5"/>
    </row>
    <row r="5927">
      <c r="N5927" s="5"/>
    </row>
    <row r="5928">
      <c r="N5928" s="5"/>
    </row>
    <row r="5929">
      <c r="N5929" s="5"/>
    </row>
    <row r="5930">
      <c r="N5930" s="5"/>
    </row>
    <row r="5931">
      <c r="N5931" s="5"/>
    </row>
    <row r="5932">
      <c r="N5932" s="5"/>
    </row>
    <row r="5933">
      <c r="N5933" s="5"/>
    </row>
    <row r="5934">
      <c r="N5934" s="5"/>
    </row>
    <row r="5935">
      <c r="N5935" s="5"/>
    </row>
    <row r="5936">
      <c r="N5936" s="5"/>
    </row>
    <row r="5937">
      <c r="N5937" s="5"/>
    </row>
    <row r="5938">
      <c r="N5938" s="5"/>
    </row>
    <row r="5939">
      <c r="N5939" s="5"/>
    </row>
    <row r="5940">
      <c r="N5940" s="5"/>
    </row>
    <row r="5941">
      <c r="N5941" s="5"/>
    </row>
    <row r="5942">
      <c r="N5942" s="5"/>
    </row>
    <row r="5943">
      <c r="N5943" s="5"/>
    </row>
    <row r="5944">
      <c r="N5944" s="5"/>
    </row>
    <row r="5945">
      <c r="N5945" s="5"/>
    </row>
    <row r="5946">
      <c r="N5946" s="5"/>
    </row>
    <row r="5947">
      <c r="N5947" s="5"/>
    </row>
    <row r="5948">
      <c r="N5948" s="5"/>
    </row>
    <row r="5949">
      <c r="N5949" s="5"/>
    </row>
    <row r="5950">
      <c r="N5950" s="5"/>
    </row>
    <row r="5951">
      <c r="N5951" s="5"/>
    </row>
    <row r="5952">
      <c r="N5952" s="5"/>
    </row>
    <row r="5953">
      <c r="N5953" s="5"/>
    </row>
    <row r="5954">
      <c r="N5954" s="5"/>
    </row>
    <row r="5955">
      <c r="N5955" s="5"/>
    </row>
    <row r="5956">
      <c r="N5956" s="5"/>
    </row>
    <row r="5957">
      <c r="N5957" s="5"/>
    </row>
    <row r="5958">
      <c r="N5958" s="5"/>
    </row>
    <row r="5959">
      <c r="N5959" s="5"/>
    </row>
    <row r="5960">
      <c r="N5960" s="5"/>
    </row>
    <row r="5961">
      <c r="N5961" s="5"/>
    </row>
    <row r="5962">
      <c r="N5962" s="5"/>
    </row>
    <row r="5963">
      <c r="N5963" s="5"/>
    </row>
    <row r="5964">
      <c r="N5964" s="5"/>
    </row>
    <row r="5965">
      <c r="N5965" s="5"/>
    </row>
    <row r="5966">
      <c r="N5966" s="5"/>
    </row>
    <row r="5967">
      <c r="N5967" s="5"/>
    </row>
    <row r="5968">
      <c r="N5968" s="5"/>
    </row>
    <row r="5969">
      <c r="N5969" s="5"/>
    </row>
    <row r="5970">
      <c r="N5970" s="5"/>
    </row>
    <row r="5971">
      <c r="N5971" s="5"/>
    </row>
    <row r="5972">
      <c r="N5972" s="5"/>
    </row>
    <row r="5973">
      <c r="N5973" s="5"/>
    </row>
    <row r="5974">
      <c r="N5974" s="5"/>
    </row>
    <row r="5975">
      <c r="N5975" s="5"/>
    </row>
    <row r="5976">
      <c r="N5976" s="5"/>
    </row>
    <row r="5977">
      <c r="N5977" s="5"/>
    </row>
    <row r="5978">
      <c r="N5978" s="5"/>
    </row>
    <row r="5979">
      <c r="N5979" s="5"/>
    </row>
    <row r="5980">
      <c r="N5980" s="5"/>
    </row>
    <row r="5981">
      <c r="N5981" s="5"/>
    </row>
    <row r="5982">
      <c r="N5982" s="5"/>
    </row>
    <row r="5983">
      <c r="N5983" s="5"/>
    </row>
    <row r="5984">
      <c r="N5984" s="5"/>
    </row>
    <row r="5985">
      <c r="N5985" s="5"/>
    </row>
    <row r="5986">
      <c r="N5986" s="5"/>
    </row>
    <row r="5987">
      <c r="N5987" s="5"/>
    </row>
    <row r="5988">
      <c r="N5988" s="5"/>
    </row>
    <row r="5989">
      <c r="N5989" s="5"/>
    </row>
    <row r="5990">
      <c r="N5990" s="5"/>
    </row>
    <row r="5991">
      <c r="N5991" s="5"/>
    </row>
    <row r="5992">
      <c r="N5992" s="5"/>
    </row>
    <row r="5993">
      <c r="N5993" s="5"/>
    </row>
    <row r="5994">
      <c r="N5994" s="5"/>
    </row>
    <row r="5995">
      <c r="N5995" s="5"/>
    </row>
    <row r="5996">
      <c r="N5996" s="5"/>
    </row>
    <row r="5997">
      <c r="N5997" s="5"/>
    </row>
    <row r="5998">
      <c r="N5998" s="5"/>
    </row>
    <row r="5999">
      <c r="N5999" s="5"/>
    </row>
    <row r="6000">
      <c r="N6000" s="5"/>
    </row>
    <row r="6001">
      <c r="N6001" s="5"/>
    </row>
    <row r="6002">
      <c r="N6002" s="5"/>
    </row>
    <row r="6003">
      <c r="N6003" s="5"/>
    </row>
    <row r="6004">
      <c r="N6004" s="5"/>
    </row>
    <row r="6005">
      <c r="N6005" s="5"/>
    </row>
    <row r="6006">
      <c r="N6006" s="5"/>
    </row>
    <row r="6007">
      <c r="N6007" s="5"/>
    </row>
    <row r="6008">
      <c r="N6008" s="5"/>
    </row>
    <row r="6009">
      <c r="N6009" s="5"/>
    </row>
    <row r="6010">
      <c r="N6010" s="5"/>
    </row>
    <row r="6011">
      <c r="N6011" s="5"/>
    </row>
    <row r="6012">
      <c r="N6012" s="5"/>
    </row>
    <row r="6013">
      <c r="N6013" s="5"/>
    </row>
    <row r="6014">
      <c r="N6014" s="5"/>
    </row>
    <row r="6015">
      <c r="N6015" s="5"/>
    </row>
    <row r="6016">
      <c r="N6016" s="5"/>
    </row>
    <row r="6017">
      <c r="N6017" s="5"/>
    </row>
    <row r="6018">
      <c r="N6018" s="5"/>
    </row>
    <row r="6019">
      <c r="N6019" s="5"/>
    </row>
    <row r="6020">
      <c r="N6020" s="5"/>
    </row>
    <row r="6021">
      <c r="N6021" s="5"/>
    </row>
    <row r="6022">
      <c r="N6022" s="5"/>
    </row>
    <row r="6023">
      <c r="N6023" s="5"/>
    </row>
    <row r="6024">
      <c r="N6024" s="5"/>
    </row>
    <row r="6025">
      <c r="N6025" s="5"/>
    </row>
    <row r="6026">
      <c r="N6026" s="5"/>
    </row>
    <row r="6027">
      <c r="N6027" s="5"/>
    </row>
    <row r="6028">
      <c r="N6028" s="5"/>
    </row>
    <row r="6029">
      <c r="N6029" s="5"/>
    </row>
    <row r="6030">
      <c r="N6030" s="5"/>
    </row>
    <row r="6031">
      <c r="N6031" s="5"/>
    </row>
    <row r="6032">
      <c r="N6032" s="5"/>
    </row>
    <row r="6033">
      <c r="N6033" s="5"/>
    </row>
    <row r="6034">
      <c r="N6034" s="5"/>
    </row>
    <row r="6035">
      <c r="N6035" s="5"/>
    </row>
    <row r="6036">
      <c r="N6036" s="5"/>
    </row>
    <row r="6037">
      <c r="N6037" s="5"/>
    </row>
    <row r="6038">
      <c r="N6038" s="5"/>
    </row>
    <row r="6039">
      <c r="N6039" s="5"/>
    </row>
    <row r="6040">
      <c r="N6040" s="5"/>
    </row>
    <row r="6041">
      <c r="N6041" s="5"/>
    </row>
    <row r="6042">
      <c r="N6042" s="5"/>
    </row>
    <row r="6043">
      <c r="N6043" s="5"/>
    </row>
    <row r="6044">
      <c r="N6044" s="5"/>
    </row>
    <row r="6045">
      <c r="N6045" s="5"/>
    </row>
    <row r="6046">
      <c r="N6046" s="5"/>
    </row>
    <row r="6047">
      <c r="N6047" s="5"/>
    </row>
    <row r="6048">
      <c r="N6048" s="5"/>
    </row>
    <row r="6049">
      <c r="N6049" s="5"/>
    </row>
    <row r="6050">
      <c r="N6050" s="5"/>
    </row>
    <row r="6051">
      <c r="N6051" s="5"/>
    </row>
    <row r="6052">
      <c r="N6052" s="5"/>
    </row>
    <row r="6053">
      <c r="N6053" s="5"/>
    </row>
    <row r="6054">
      <c r="N6054" s="5"/>
    </row>
    <row r="6055">
      <c r="N6055" s="5"/>
    </row>
    <row r="6056">
      <c r="N6056" s="5"/>
    </row>
    <row r="6057">
      <c r="N6057" s="5"/>
    </row>
    <row r="6058">
      <c r="N6058" s="5"/>
    </row>
    <row r="6059">
      <c r="N6059" s="5"/>
    </row>
    <row r="6060">
      <c r="N6060" s="5"/>
    </row>
    <row r="6061">
      <c r="N6061" s="5"/>
    </row>
    <row r="6062">
      <c r="N6062" s="5"/>
    </row>
    <row r="6063">
      <c r="N6063" s="5"/>
    </row>
    <row r="6064">
      <c r="N6064" s="5"/>
    </row>
    <row r="6065">
      <c r="N6065" s="5"/>
    </row>
    <row r="6066">
      <c r="N6066" s="5"/>
    </row>
    <row r="6067">
      <c r="N6067" s="5"/>
    </row>
    <row r="6068">
      <c r="N6068" s="5"/>
    </row>
    <row r="6069">
      <c r="N6069" s="5"/>
    </row>
    <row r="6070">
      <c r="N6070" s="5"/>
    </row>
    <row r="6071">
      <c r="N6071" s="5"/>
    </row>
    <row r="6072">
      <c r="N6072" s="5"/>
    </row>
    <row r="6073">
      <c r="N6073" s="5"/>
    </row>
    <row r="6074">
      <c r="N6074" s="5"/>
    </row>
    <row r="6075">
      <c r="N6075" s="5"/>
    </row>
    <row r="6076">
      <c r="N6076" s="5"/>
    </row>
    <row r="6077">
      <c r="N6077" s="5"/>
    </row>
    <row r="6078">
      <c r="N6078" s="5"/>
    </row>
    <row r="6079">
      <c r="N6079" s="5"/>
    </row>
    <row r="6080">
      <c r="N6080" s="5"/>
    </row>
    <row r="6081">
      <c r="N6081" s="5"/>
    </row>
    <row r="6082">
      <c r="N6082" s="5"/>
    </row>
    <row r="6083">
      <c r="N6083" s="5"/>
    </row>
    <row r="6084">
      <c r="N6084" s="5"/>
    </row>
    <row r="6085">
      <c r="N6085" s="5"/>
    </row>
    <row r="6086">
      <c r="N6086" s="5"/>
    </row>
    <row r="6087">
      <c r="N6087" s="5"/>
    </row>
    <row r="6088">
      <c r="N6088" s="5"/>
    </row>
    <row r="6089">
      <c r="N6089" s="5"/>
    </row>
    <row r="6090">
      <c r="N6090" s="5"/>
    </row>
    <row r="6091">
      <c r="N6091" s="5"/>
    </row>
    <row r="6092">
      <c r="N6092" s="5"/>
    </row>
    <row r="6093">
      <c r="N6093" s="5"/>
    </row>
    <row r="6094">
      <c r="N6094" s="5"/>
    </row>
    <row r="6095">
      <c r="N6095" s="5"/>
    </row>
    <row r="6096">
      <c r="N6096" s="5"/>
    </row>
    <row r="6097">
      <c r="N6097" s="5"/>
    </row>
    <row r="6098">
      <c r="N6098" s="5"/>
    </row>
    <row r="6099">
      <c r="N6099" s="5"/>
    </row>
    <row r="6100">
      <c r="N6100" s="5"/>
    </row>
    <row r="6101">
      <c r="N6101" s="5"/>
    </row>
    <row r="6102">
      <c r="N6102" s="5"/>
    </row>
    <row r="6103">
      <c r="N6103" s="5"/>
    </row>
    <row r="6104">
      <c r="N6104" s="5"/>
    </row>
    <row r="6105">
      <c r="N6105" s="5"/>
    </row>
    <row r="6106">
      <c r="N6106" s="5"/>
    </row>
    <row r="6107">
      <c r="N6107" s="5"/>
    </row>
    <row r="6108">
      <c r="N6108" s="5"/>
    </row>
    <row r="6109">
      <c r="N6109" s="5"/>
    </row>
    <row r="6110">
      <c r="N6110" s="5"/>
    </row>
    <row r="6111">
      <c r="N6111" s="5"/>
    </row>
    <row r="6112">
      <c r="N6112" s="5"/>
    </row>
    <row r="6113">
      <c r="N6113" s="5"/>
    </row>
    <row r="6114">
      <c r="N6114" s="5"/>
    </row>
    <row r="6115">
      <c r="N6115" s="5"/>
    </row>
    <row r="6116">
      <c r="N6116" s="5"/>
    </row>
    <row r="6117">
      <c r="N6117" s="5"/>
    </row>
    <row r="6118">
      <c r="N6118" s="5"/>
    </row>
    <row r="6119">
      <c r="N6119" s="5"/>
    </row>
    <row r="6120">
      <c r="N6120" s="5"/>
    </row>
    <row r="6121">
      <c r="N6121" s="5"/>
    </row>
    <row r="6122">
      <c r="N6122" s="5"/>
    </row>
    <row r="6123">
      <c r="N6123" s="5"/>
    </row>
    <row r="6124">
      <c r="N6124" s="5"/>
    </row>
    <row r="6125">
      <c r="N6125" s="5"/>
    </row>
    <row r="6126">
      <c r="N6126" s="5"/>
    </row>
    <row r="6127">
      <c r="N6127" s="5"/>
    </row>
    <row r="6128">
      <c r="N6128" s="5"/>
    </row>
    <row r="6129">
      <c r="N6129" s="5"/>
    </row>
    <row r="6130">
      <c r="N6130" s="5"/>
    </row>
    <row r="6131">
      <c r="N6131" s="5"/>
    </row>
    <row r="6132">
      <c r="N6132" s="5"/>
    </row>
    <row r="6133">
      <c r="N6133" s="5"/>
    </row>
    <row r="6134">
      <c r="N6134" s="5"/>
    </row>
    <row r="6135">
      <c r="N6135" s="5"/>
    </row>
    <row r="6136">
      <c r="N6136" s="5"/>
    </row>
    <row r="6137">
      <c r="N6137" s="5"/>
    </row>
    <row r="6138">
      <c r="N6138" s="5"/>
    </row>
    <row r="6139">
      <c r="N6139" s="5"/>
    </row>
    <row r="6140">
      <c r="N6140" s="5"/>
    </row>
    <row r="6141">
      <c r="N6141" s="5"/>
    </row>
    <row r="6142">
      <c r="N6142" s="5"/>
    </row>
    <row r="6143">
      <c r="N6143" s="5"/>
    </row>
    <row r="6144">
      <c r="N6144" s="5"/>
    </row>
    <row r="6145">
      <c r="N6145" s="5"/>
    </row>
    <row r="6146">
      <c r="N6146" s="5"/>
    </row>
    <row r="6147">
      <c r="N6147" s="5"/>
    </row>
    <row r="6148">
      <c r="N6148" s="5"/>
    </row>
    <row r="6149">
      <c r="N6149" s="5"/>
    </row>
    <row r="6150">
      <c r="N6150" s="5"/>
    </row>
    <row r="6151">
      <c r="N6151" s="5"/>
    </row>
    <row r="6152">
      <c r="N6152" s="5"/>
    </row>
    <row r="6153">
      <c r="N6153" s="5"/>
    </row>
    <row r="6154">
      <c r="N6154" s="5"/>
    </row>
    <row r="6155">
      <c r="N6155" s="5"/>
    </row>
    <row r="6156">
      <c r="N6156" s="5"/>
    </row>
    <row r="6157">
      <c r="N6157" s="5"/>
    </row>
    <row r="6158">
      <c r="N6158" s="5"/>
    </row>
    <row r="6159">
      <c r="N6159" s="5"/>
    </row>
    <row r="6160">
      <c r="N6160" s="5"/>
    </row>
    <row r="6161">
      <c r="N6161" s="5"/>
    </row>
    <row r="6162">
      <c r="N6162" s="5"/>
    </row>
    <row r="6163">
      <c r="N6163" s="5"/>
    </row>
    <row r="6164">
      <c r="N6164" s="5"/>
    </row>
    <row r="6165">
      <c r="N6165" s="5"/>
    </row>
    <row r="6166">
      <c r="N6166" s="5"/>
    </row>
    <row r="6167">
      <c r="N6167" s="5"/>
    </row>
    <row r="6168">
      <c r="N6168" s="5"/>
    </row>
    <row r="6169">
      <c r="N6169" s="5"/>
    </row>
    <row r="6170">
      <c r="N6170" s="5"/>
    </row>
    <row r="6171">
      <c r="N6171" s="5"/>
    </row>
    <row r="6172">
      <c r="N6172" s="5"/>
    </row>
    <row r="6173">
      <c r="N6173" s="5"/>
    </row>
    <row r="6174">
      <c r="N6174" s="5"/>
    </row>
    <row r="6175">
      <c r="N6175" s="5"/>
    </row>
    <row r="6176">
      <c r="N6176" s="5"/>
    </row>
    <row r="6177">
      <c r="N6177" s="5"/>
    </row>
    <row r="6178">
      <c r="N6178" s="5"/>
    </row>
    <row r="6179">
      <c r="N6179" s="5"/>
    </row>
    <row r="6180">
      <c r="N6180" s="5"/>
    </row>
    <row r="6181">
      <c r="N6181" s="5"/>
    </row>
    <row r="6182">
      <c r="N6182" s="5"/>
    </row>
    <row r="6183">
      <c r="N6183" s="5"/>
    </row>
    <row r="6184">
      <c r="N6184" s="5"/>
    </row>
    <row r="6185">
      <c r="N6185" s="5"/>
    </row>
    <row r="6186">
      <c r="N6186" s="5"/>
    </row>
    <row r="6187">
      <c r="N6187" s="5"/>
    </row>
    <row r="6188">
      <c r="N6188" s="5"/>
    </row>
    <row r="6189">
      <c r="N6189" s="5"/>
    </row>
    <row r="6190">
      <c r="N6190" s="5"/>
    </row>
    <row r="6191">
      <c r="N6191" s="5"/>
    </row>
    <row r="6192">
      <c r="N6192" s="5"/>
    </row>
    <row r="6193">
      <c r="N6193" s="5"/>
    </row>
    <row r="6194">
      <c r="N6194" s="5"/>
    </row>
    <row r="6195">
      <c r="N6195" s="5"/>
    </row>
    <row r="6196">
      <c r="N6196" s="5"/>
    </row>
    <row r="6197">
      <c r="N6197" s="5"/>
    </row>
    <row r="6198">
      <c r="N6198" s="5"/>
    </row>
    <row r="6199">
      <c r="N6199" s="5"/>
    </row>
    <row r="6200">
      <c r="N6200" s="5"/>
    </row>
    <row r="6201">
      <c r="N6201" s="5"/>
    </row>
    <row r="6202">
      <c r="N6202" s="5"/>
    </row>
    <row r="6203">
      <c r="N6203" s="5"/>
    </row>
    <row r="6204">
      <c r="N6204" s="5"/>
    </row>
    <row r="6205">
      <c r="N6205" s="5"/>
    </row>
    <row r="6206">
      <c r="N6206" s="5"/>
    </row>
    <row r="6207">
      <c r="N6207" s="5"/>
    </row>
    <row r="6208">
      <c r="N6208" s="5"/>
    </row>
    <row r="6209">
      <c r="N6209" s="5"/>
    </row>
    <row r="6210">
      <c r="N6210" s="5"/>
    </row>
    <row r="6211">
      <c r="N6211" s="5"/>
    </row>
    <row r="6212">
      <c r="N6212" s="5"/>
    </row>
    <row r="6213">
      <c r="N6213" s="5"/>
    </row>
    <row r="6214">
      <c r="N6214" s="5"/>
    </row>
    <row r="6215">
      <c r="N6215" s="5"/>
    </row>
    <row r="6216">
      <c r="N6216" s="5"/>
    </row>
    <row r="6217">
      <c r="N6217" s="5"/>
    </row>
    <row r="6218">
      <c r="N6218" s="5"/>
    </row>
    <row r="6219">
      <c r="N6219" s="5"/>
    </row>
    <row r="6220">
      <c r="N6220" s="5"/>
    </row>
    <row r="6221">
      <c r="N6221" s="5"/>
    </row>
    <row r="6222">
      <c r="N6222" s="5"/>
    </row>
    <row r="6223">
      <c r="N6223" s="5"/>
    </row>
    <row r="6224">
      <c r="N6224" s="5"/>
    </row>
    <row r="6225">
      <c r="N6225" s="5"/>
    </row>
    <row r="6226">
      <c r="N6226" s="5"/>
    </row>
    <row r="6227">
      <c r="N6227" s="5"/>
    </row>
    <row r="6228">
      <c r="N6228" s="5"/>
    </row>
    <row r="6229">
      <c r="N6229" s="5"/>
    </row>
    <row r="6230">
      <c r="N6230" s="5"/>
    </row>
    <row r="6231">
      <c r="N6231" s="5"/>
    </row>
    <row r="6232">
      <c r="N6232" s="5"/>
    </row>
    <row r="6233">
      <c r="N6233" s="5"/>
    </row>
    <row r="6234">
      <c r="N6234" s="5"/>
    </row>
    <row r="6235">
      <c r="N6235" s="5"/>
    </row>
    <row r="6236">
      <c r="N6236" s="5"/>
    </row>
    <row r="6237">
      <c r="N6237" s="5"/>
    </row>
    <row r="6238">
      <c r="N6238" s="5"/>
    </row>
    <row r="6239">
      <c r="N6239" s="5"/>
    </row>
    <row r="6240">
      <c r="N6240" s="5"/>
    </row>
    <row r="6241">
      <c r="N6241" s="5"/>
    </row>
    <row r="6242">
      <c r="N6242" s="5"/>
    </row>
    <row r="6243">
      <c r="N6243" s="5"/>
    </row>
    <row r="6244">
      <c r="N6244" s="5"/>
    </row>
    <row r="6245">
      <c r="N6245" s="5"/>
    </row>
    <row r="6246">
      <c r="N6246" s="5"/>
    </row>
    <row r="6247">
      <c r="N6247" s="5"/>
    </row>
    <row r="6248">
      <c r="N6248" s="5"/>
    </row>
    <row r="6249">
      <c r="N6249" s="5"/>
    </row>
    <row r="6250">
      <c r="N6250" s="5"/>
    </row>
    <row r="6251">
      <c r="N6251" s="5"/>
    </row>
    <row r="6252">
      <c r="N6252" s="5"/>
    </row>
    <row r="6253">
      <c r="N6253" s="5"/>
    </row>
    <row r="6254">
      <c r="N6254" s="5"/>
    </row>
    <row r="6255">
      <c r="N6255" s="5"/>
    </row>
    <row r="6256">
      <c r="N6256" s="5"/>
    </row>
    <row r="6257">
      <c r="N6257" s="5"/>
    </row>
    <row r="6258">
      <c r="N6258" s="5"/>
    </row>
    <row r="6259">
      <c r="N6259" s="5"/>
    </row>
    <row r="6260">
      <c r="N6260" s="5"/>
    </row>
    <row r="6261">
      <c r="N6261" s="5"/>
    </row>
    <row r="6262">
      <c r="N6262" s="5"/>
    </row>
    <row r="6263">
      <c r="N6263" s="5"/>
    </row>
    <row r="6264">
      <c r="N6264" s="5"/>
    </row>
    <row r="6265">
      <c r="N6265" s="5"/>
    </row>
    <row r="6266">
      <c r="N6266" s="5"/>
    </row>
    <row r="6267">
      <c r="N6267" s="5"/>
    </row>
    <row r="6268">
      <c r="N6268" s="5"/>
    </row>
    <row r="6269">
      <c r="N6269" s="5"/>
    </row>
    <row r="6270">
      <c r="N6270" s="5"/>
    </row>
    <row r="6271">
      <c r="N6271" s="5"/>
    </row>
    <row r="6272">
      <c r="N6272" s="5"/>
    </row>
    <row r="6273">
      <c r="N6273" s="5"/>
    </row>
    <row r="6274">
      <c r="N6274" s="5"/>
    </row>
    <row r="6275">
      <c r="N6275" s="5"/>
    </row>
    <row r="6276">
      <c r="N6276" s="5"/>
    </row>
    <row r="6277">
      <c r="N6277" s="5"/>
    </row>
    <row r="6278">
      <c r="N6278" s="5"/>
    </row>
    <row r="6279">
      <c r="N6279" s="5"/>
    </row>
    <row r="6280">
      <c r="N6280" s="5"/>
    </row>
    <row r="6281">
      <c r="N6281" s="5"/>
    </row>
    <row r="6282">
      <c r="N6282" s="5"/>
    </row>
    <row r="6283">
      <c r="N6283" s="5"/>
    </row>
    <row r="6284">
      <c r="N6284" s="5"/>
    </row>
    <row r="6285">
      <c r="N6285" s="5"/>
    </row>
    <row r="6286">
      <c r="N6286" s="5"/>
    </row>
    <row r="6287">
      <c r="N6287" s="5"/>
    </row>
    <row r="6288">
      <c r="N6288" s="5"/>
    </row>
    <row r="6289">
      <c r="N6289" s="5"/>
    </row>
    <row r="6290">
      <c r="N6290" s="5"/>
    </row>
    <row r="6291">
      <c r="N6291" s="5"/>
    </row>
    <row r="6292">
      <c r="N6292" s="5"/>
    </row>
    <row r="6293">
      <c r="N6293" s="5"/>
    </row>
    <row r="6294">
      <c r="N6294" s="5"/>
    </row>
    <row r="6295">
      <c r="N6295" s="5"/>
    </row>
    <row r="6296">
      <c r="N6296" s="5"/>
    </row>
    <row r="6297">
      <c r="N6297" s="5"/>
    </row>
    <row r="6298">
      <c r="N6298" s="5"/>
    </row>
    <row r="6299">
      <c r="N6299" s="5"/>
    </row>
    <row r="6300">
      <c r="N6300" s="5"/>
    </row>
    <row r="6301">
      <c r="N6301" s="5"/>
    </row>
    <row r="6302">
      <c r="N6302" s="5"/>
    </row>
    <row r="6303">
      <c r="N6303" s="5"/>
    </row>
    <row r="6304">
      <c r="N6304" s="5"/>
    </row>
    <row r="6305">
      <c r="N6305" s="5"/>
    </row>
    <row r="6306">
      <c r="N6306" s="5"/>
    </row>
    <row r="6307">
      <c r="N6307" s="5"/>
    </row>
    <row r="6308">
      <c r="N6308" s="5"/>
    </row>
    <row r="6309">
      <c r="N6309" s="5"/>
    </row>
    <row r="6310">
      <c r="N6310" s="5"/>
    </row>
    <row r="6311">
      <c r="N6311" s="5"/>
    </row>
    <row r="6312">
      <c r="N6312" s="5"/>
    </row>
    <row r="6313">
      <c r="N6313" s="5"/>
    </row>
    <row r="6314">
      <c r="N6314" s="5"/>
    </row>
    <row r="6315">
      <c r="N6315" s="5"/>
    </row>
    <row r="6316">
      <c r="N6316" s="5"/>
    </row>
    <row r="6317">
      <c r="N6317" s="5"/>
    </row>
    <row r="6318">
      <c r="N6318" s="5"/>
    </row>
    <row r="6319">
      <c r="N6319" s="5"/>
    </row>
    <row r="6320">
      <c r="N6320" s="5"/>
    </row>
    <row r="6321">
      <c r="N6321" s="5"/>
    </row>
    <row r="6322">
      <c r="N6322" s="5"/>
    </row>
    <row r="6323">
      <c r="N6323" s="5"/>
    </row>
    <row r="6324">
      <c r="N6324" s="5"/>
    </row>
    <row r="6325">
      <c r="N6325" s="5"/>
    </row>
    <row r="6326">
      <c r="N6326" s="5"/>
    </row>
    <row r="6327">
      <c r="N6327" s="5"/>
    </row>
    <row r="6328">
      <c r="N6328" s="5"/>
    </row>
    <row r="6329">
      <c r="N6329" s="5"/>
    </row>
    <row r="6330">
      <c r="N6330" s="5"/>
    </row>
    <row r="6331">
      <c r="N6331" s="5"/>
    </row>
    <row r="6332">
      <c r="N6332" s="5"/>
    </row>
    <row r="6333">
      <c r="N6333" s="5"/>
    </row>
    <row r="6334">
      <c r="N6334" s="5"/>
    </row>
    <row r="6335">
      <c r="N6335" s="5"/>
    </row>
    <row r="6336">
      <c r="N6336" s="5"/>
    </row>
    <row r="6337">
      <c r="N6337" s="5"/>
    </row>
    <row r="6338">
      <c r="N6338" s="5"/>
    </row>
    <row r="6339">
      <c r="N6339" s="5"/>
    </row>
    <row r="6340">
      <c r="N6340" s="5"/>
    </row>
    <row r="6341">
      <c r="N6341" s="5"/>
    </row>
    <row r="6342">
      <c r="N6342" s="5"/>
    </row>
    <row r="6343">
      <c r="N6343" s="5"/>
    </row>
    <row r="6344">
      <c r="N6344" s="5"/>
    </row>
    <row r="6345">
      <c r="N6345" s="5"/>
    </row>
    <row r="6346">
      <c r="N6346" s="5"/>
    </row>
    <row r="6347">
      <c r="N6347" s="5"/>
    </row>
    <row r="6348">
      <c r="N6348" s="5"/>
    </row>
    <row r="6349">
      <c r="N6349" s="5"/>
    </row>
    <row r="6350">
      <c r="N6350" s="5"/>
    </row>
    <row r="6351">
      <c r="N6351" s="5"/>
    </row>
    <row r="6352">
      <c r="N6352" s="5"/>
    </row>
    <row r="6353">
      <c r="N6353" s="5"/>
    </row>
    <row r="6354">
      <c r="N6354" s="5"/>
    </row>
    <row r="6355">
      <c r="N6355" s="5"/>
    </row>
    <row r="6356">
      <c r="N6356" s="5"/>
    </row>
    <row r="6357">
      <c r="N6357" s="5"/>
    </row>
    <row r="6358">
      <c r="N6358" s="5"/>
    </row>
    <row r="6359">
      <c r="N6359" s="5"/>
    </row>
    <row r="6360">
      <c r="N6360" s="5"/>
    </row>
    <row r="6361">
      <c r="N6361" s="5"/>
    </row>
    <row r="6362">
      <c r="N6362" s="5"/>
    </row>
    <row r="6363">
      <c r="N6363" s="5"/>
    </row>
    <row r="6364">
      <c r="N6364" s="5"/>
    </row>
    <row r="6365">
      <c r="N6365" s="5"/>
    </row>
    <row r="6366">
      <c r="N6366" s="5"/>
    </row>
    <row r="6367">
      <c r="N6367" s="5"/>
    </row>
    <row r="6368">
      <c r="N6368" s="5"/>
    </row>
    <row r="6369">
      <c r="N6369" s="5"/>
    </row>
    <row r="6370">
      <c r="N6370" s="5"/>
    </row>
    <row r="6371">
      <c r="N6371" s="5"/>
    </row>
    <row r="6372">
      <c r="N6372" s="5"/>
    </row>
    <row r="6373">
      <c r="N6373" s="5"/>
    </row>
    <row r="6374">
      <c r="N6374" s="5"/>
    </row>
    <row r="6375">
      <c r="N6375" s="5"/>
    </row>
    <row r="6376">
      <c r="N6376" s="5"/>
    </row>
    <row r="6377">
      <c r="N6377" s="5"/>
    </row>
    <row r="6378">
      <c r="N6378" s="5"/>
    </row>
    <row r="6379">
      <c r="N6379" s="5"/>
    </row>
    <row r="6380">
      <c r="N6380" s="5"/>
    </row>
    <row r="6381">
      <c r="N6381" s="5"/>
    </row>
    <row r="6382">
      <c r="N6382" s="5"/>
    </row>
    <row r="6383">
      <c r="N6383" s="5"/>
    </row>
    <row r="6384">
      <c r="N6384" s="5"/>
    </row>
    <row r="6385">
      <c r="N6385" s="5"/>
    </row>
    <row r="6386">
      <c r="N6386" s="5"/>
    </row>
    <row r="6387">
      <c r="N6387" s="5"/>
    </row>
    <row r="6388">
      <c r="N6388" s="5"/>
    </row>
    <row r="6389">
      <c r="N6389" s="5"/>
    </row>
    <row r="6390">
      <c r="N6390" s="5"/>
    </row>
    <row r="6391">
      <c r="N6391" s="5"/>
    </row>
    <row r="6392">
      <c r="N6392" s="5"/>
    </row>
    <row r="6393">
      <c r="N6393" s="5"/>
    </row>
    <row r="6394">
      <c r="N6394" s="5"/>
    </row>
    <row r="6395">
      <c r="N6395" s="5"/>
    </row>
    <row r="6396">
      <c r="N6396" s="5"/>
    </row>
    <row r="6397">
      <c r="N6397" s="5"/>
    </row>
    <row r="6398">
      <c r="N6398" s="5"/>
    </row>
    <row r="6399">
      <c r="N6399" s="5"/>
    </row>
    <row r="6400">
      <c r="N6400" s="5"/>
    </row>
    <row r="6401">
      <c r="N6401" s="5"/>
    </row>
    <row r="6402">
      <c r="N6402" s="5"/>
    </row>
    <row r="6403">
      <c r="N6403" s="5"/>
    </row>
    <row r="6404">
      <c r="N6404" s="5"/>
    </row>
    <row r="6405">
      <c r="N6405" s="5"/>
    </row>
    <row r="6406">
      <c r="N6406" s="5"/>
    </row>
    <row r="6407">
      <c r="N6407" s="5"/>
    </row>
    <row r="6408">
      <c r="N6408" s="5"/>
    </row>
    <row r="6409">
      <c r="N6409" s="5"/>
    </row>
    <row r="6410">
      <c r="N6410" s="5"/>
    </row>
    <row r="6411">
      <c r="N6411" s="5"/>
    </row>
    <row r="6412">
      <c r="N6412" s="5"/>
    </row>
    <row r="6413">
      <c r="N6413" s="5"/>
    </row>
    <row r="6414">
      <c r="N6414" s="5"/>
    </row>
    <row r="6415">
      <c r="N6415" s="5"/>
    </row>
    <row r="6416">
      <c r="N6416" s="5"/>
    </row>
    <row r="6417">
      <c r="N6417" s="5"/>
    </row>
    <row r="6418">
      <c r="N6418" s="5"/>
    </row>
    <row r="6419">
      <c r="N6419" s="5"/>
    </row>
    <row r="6420">
      <c r="N6420" s="5"/>
    </row>
    <row r="6421">
      <c r="N6421" s="5"/>
    </row>
    <row r="6422">
      <c r="N6422" s="5"/>
    </row>
    <row r="6423">
      <c r="N6423" s="5"/>
    </row>
    <row r="6424">
      <c r="N6424" s="5"/>
    </row>
    <row r="6425">
      <c r="N6425" s="5"/>
    </row>
    <row r="6426">
      <c r="N6426" s="5"/>
    </row>
    <row r="6427">
      <c r="N6427" s="5"/>
    </row>
    <row r="6428">
      <c r="N6428" s="5"/>
    </row>
    <row r="6429">
      <c r="N6429" s="5"/>
    </row>
    <row r="6430">
      <c r="N6430" s="5"/>
    </row>
    <row r="6431">
      <c r="N6431" s="5"/>
    </row>
    <row r="6432">
      <c r="N6432" s="5"/>
    </row>
    <row r="6433">
      <c r="N6433" s="5"/>
    </row>
    <row r="6434">
      <c r="N6434" s="5"/>
    </row>
    <row r="6435">
      <c r="N6435" s="5"/>
    </row>
    <row r="6436">
      <c r="N6436" s="5"/>
    </row>
    <row r="6437">
      <c r="N6437" s="5"/>
    </row>
    <row r="6438">
      <c r="N6438" s="5"/>
    </row>
    <row r="6439">
      <c r="N6439" s="5"/>
    </row>
    <row r="6440">
      <c r="N6440" s="5"/>
    </row>
    <row r="6441">
      <c r="N6441" s="5"/>
    </row>
    <row r="6442">
      <c r="N6442" s="5"/>
    </row>
    <row r="6443">
      <c r="N6443" s="5"/>
    </row>
    <row r="6444">
      <c r="N6444" s="5"/>
    </row>
    <row r="6445">
      <c r="N6445" s="5"/>
    </row>
    <row r="6446">
      <c r="N6446" s="5"/>
    </row>
    <row r="6447">
      <c r="N6447" s="5"/>
    </row>
    <row r="6448">
      <c r="N6448" s="5"/>
    </row>
    <row r="6449">
      <c r="N6449" s="5"/>
    </row>
    <row r="6450">
      <c r="N6450" s="5"/>
    </row>
    <row r="6451">
      <c r="N6451" s="5"/>
    </row>
    <row r="6452">
      <c r="N6452" s="5"/>
    </row>
    <row r="6453">
      <c r="N6453" s="5"/>
    </row>
    <row r="6454">
      <c r="N6454" s="5"/>
    </row>
    <row r="6455">
      <c r="N6455" s="5"/>
    </row>
    <row r="6456">
      <c r="N6456" s="5"/>
    </row>
    <row r="6457">
      <c r="N6457" s="5"/>
    </row>
    <row r="6458">
      <c r="N6458" s="5"/>
    </row>
    <row r="6459">
      <c r="N6459" s="5"/>
    </row>
    <row r="6460">
      <c r="N6460" s="5"/>
    </row>
    <row r="6461">
      <c r="N6461" s="5"/>
    </row>
    <row r="6462">
      <c r="N6462" s="5"/>
    </row>
    <row r="6463">
      <c r="N6463" s="5"/>
    </row>
    <row r="6464">
      <c r="N6464" s="5"/>
    </row>
    <row r="6465">
      <c r="N6465" s="5"/>
    </row>
    <row r="6466">
      <c r="N6466" s="5"/>
    </row>
    <row r="6467">
      <c r="N6467" s="5"/>
    </row>
    <row r="6468">
      <c r="N6468" s="5"/>
    </row>
    <row r="6469">
      <c r="N6469" s="5"/>
    </row>
    <row r="6470">
      <c r="N6470" s="5"/>
    </row>
    <row r="6471">
      <c r="N6471" s="5"/>
    </row>
    <row r="6472">
      <c r="N6472" s="5"/>
    </row>
    <row r="6473">
      <c r="N6473" s="5"/>
    </row>
    <row r="6474">
      <c r="N6474" s="5"/>
    </row>
    <row r="6475">
      <c r="N6475" s="5"/>
    </row>
    <row r="6476">
      <c r="N6476" s="5"/>
    </row>
    <row r="6477">
      <c r="N6477" s="5"/>
    </row>
    <row r="6478">
      <c r="N6478" s="5"/>
    </row>
    <row r="6479">
      <c r="N6479" s="5"/>
    </row>
    <row r="6480">
      <c r="N6480" s="5"/>
    </row>
    <row r="6481">
      <c r="N6481" s="5"/>
    </row>
    <row r="6482">
      <c r="N6482" s="5"/>
    </row>
    <row r="6483">
      <c r="N6483" s="5"/>
    </row>
    <row r="6484">
      <c r="N6484" s="5"/>
    </row>
    <row r="6485">
      <c r="N6485" s="5"/>
    </row>
    <row r="6486">
      <c r="N6486" s="5"/>
    </row>
    <row r="6487">
      <c r="N6487" s="5"/>
    </row>
    <row r="6488">
      <c r="N6488" s="5"/>
    </row>
    <row r="6489">
      <c r="N6489" s="5"/>
    </row>
    <row r="6490">
      <c r="N6490" s="5"/>
    </row>
    <row r="6491">
      <c r="N6491" s="5"/>
    </row>
    <row r="6492">
      <c r="N6492" s="5"/>
    </row>
    <row r="6493">
      <c r="N6493" s="5"/>
    </row>
    <row r="6494">
      <c r="N6494" s="5"/>
    </row>
    <row r="6495">
      <c r="N6495" s="5"/>
    </row>
    <row r="6496">
      <c r="N6496" s="5"/>
    </row>
    <row r="6497">
      <c r="N6497" s="5"/>
    </row>
    <row r="6498">
      <c r="N6498" s="5"/>
    </row>
    <row r="6499">
      <c r="N6499" s="5"/>
    </row>
    <row r="6500">
      <c r="N6500" s="5"/>
    </row>
    <row r="6501">
      <c r="N6501" s="5"/>
    </row>
    <row r="6502">
      <c r="N6502" s="5"/>
    </row>
    <row r="6503">
      <c r="N6503" s="5"/>
    </row>
    <row r="6504">
      <c r="N6504" s="5"/>
    </row>
    <row r="6505">
      <c r="N6505" s="5"/>
    </row>
    <row r="6506">
      <c r="N6506" s="5"/>
    </row>
    <row r="6507">
      <c r="N6507" s="5"/>
    </row>
    <row r="6508">
      <c r="N6508" s="5"/>
    </row>
    <row r="6509">
      <c r="N6509" s="5"/>
    </row>
    <row r="6510">
      <c r="N6510" s="5"/>
    </row>
    <row r="6511">
      <c r="N6511" s="5"/>
    </row>
    <row r="6512">
      <c r="N6512" s="5"/>
    </row>
    <row r="6513">
      <c r="N6513" s="5"/>
    </row>
    <row r="6514">
      <c r="N6514" s="5"/>
    </row>
    <row r="6515">
      <c r="N6515" s="5"/>
    </row>
    <row r="6516">
      <c r="N6516" s="5"/>
    </row>
    <row r="6517">
      <c r="N6517" s="5"/>
    </row>
    <row r="6518">
      <c r="N6518" s="5"/>
    </row>
    <row r="6519">
      <c r="N6519" s="5"/>
    </row>
    <row r="6520">
      <c r="N6520" s="5"/>
    </row>
    <row r="6521">
      <c r="N6521" s="5"/>
    </row>
    <row r="6522">
      <c r="N6522" s="5"/>
    </row>
    <row r="6523">
      <c r="N6523" s="5"/>
    </row>
    <row r="6524">
      <c r="N6524" s="5"/>
    </row>
    <row r="6525">
      <c r="N6525" s="5"/>
    </row>
    <row r="6526">
      <c r="N6526" s="5"/>
    </row>
    <row r="6527">
      <c r="N6527" s="5"/>
    </row>
    <row r="6528">
      <c r="N6528" s="5"/>
    </row>
    <row r="6529">
      <c r="N6529" s="5"/>
    </row>
    <row r="6530">
      <c r="N6530" s="5"/>
    </row>
    <row r="6531">
      <c r="N6531" s="5"/>
    </row>
    <row r="6532">
      <c r="N6532" s="5"/>
    </row>
    <row r="6533">
      <c r="N6533" s="5"/>
    </row>
    <row r="6534">
      <c r="N6534" s="5"/>
    </row>
    <row r="6535">
      <c r="N6535" s="5"/>
    </row>
    <row r="6536">
      <c r="N6536" s="5"/>
    </row>
    <row r="6537">
      <c r="N6537" s="5"/>
    </row>
    <row r="6538">
      <c r="N6538" s="5"/>
    </row>
    <row r="6539">
      <c r="N6539" s="5"/>
    </row>
    <row r="6540">
      <c r="N6540" s="5"/>
    </row>
    <row r="6541">
      <c r="N6541" s="5"/>
    </row>
    <row r="6542">
      <c r="N6542" s="5"/>
    </row>
    <row r="6543">
      <c r="N6543" s="5"/>
    </row>
    <row r="6544">
      <c r="N6544" s="5"/>
    </row>
    <row r="6545">
      <c r="N6545" s="5"/>
    </row>
    <row r="6546">
      <c r="N6546" s="5"/>
    </row>
    <row r="6547">
      <c r="N6547" s="5"/>
    </row>
    <row r="6548">
      <c r="N6548" s="5"/>
    </row>
    <row r="6549">
      <c r="N6549" s="5"/>
    </row>
    <row r="6550">
      <c r="N6550" s="5"/>
    </row>
    <row r="6551">
      <c r="N6551" s="5"/>
    </row>
    <row r="6552">
      <c r="N6552" s="5"/>
    </row>
    <row r="6553">
      <c r="N6553" s="5"/>
    </row>
    <row r="6554">
      <c r="N6554" s="5"/>
    </row>
    <row r="6555">
      <c r="N6555" s="5"/>
    </row>
    <row r="6556">
      <c r="N6556" s="5"/>
    </row>
    <row r="6557">
      <c r="N6557" s="5"/>
    </row>
    <row r="6558">
      <c r="N6558" s="5"/>
    </row>
    <row r="6559">
      <c r="N6559" s="5"/>
    </row>
    <row r="6560">
      <c r="N6560" s="5"/>
    </row>
    <row r="6561">
      <c r="N6561" s="5"/>
    </row>
    <row r="6562">
      <c r="N6562" s="5"/>
    </row>
    <row r="6563">
      <c r="N6563" s="5"/>
    </row>
    <row r="6564">
      <c r="N6564" s="5"/>
    </row>
    <row r="6565">
      <c r="N6565" s="5"/>
    </row>
    <row r="6566">
      <c r="N6566" s="5"/>
    </row>
    <row r="6567">
      <c r="N6567" s="5"/>
    </row>
    <row r="6568">
      <c r="N6568" s="5"/>
    </row>
    <row r="6569">
      <c r="N6569" s="5"/>
    </row>
    <row r="6570">
      <c r="N6570" s="5"/>
    </row>
    <row r="6571">
      <c r="N6571" s="5"/>
    </row>
    <row r="6572">
      <c r="N6572" s="5"/>
    </row>
    <row r="6573">
      <c r="N6573" s="5"/>
    </row>
    <row r="6574">
      <c r="N6574" s="5"/>
    </row>
    <row r="6575">
      <c r="N6575" s="5"/>
    </row>
    <row r="6576">
      <c r="N6576" s="5"/>
    </row>
    <row r="6577">
      <c r="N6577" s="5"/>
    </row>
    <row r="6578">
      <c r="N6578" s="5"/>
    </row>
    <row r="6579">
      <c r="N6579" s="5"/>
    </row>
    <row r="6580">
      <c r="N6580" s="5"/>
    </row>
    <row r="6581">
      <c r="N6581" s="5"/>
    </row>
    <row r="6582">
      <c r="N6582" s="5"/>
    </row>
    <row r="6583">
      <c r="N6583" s="5"/>
    </row>
    <row r="6584">
      <c r="N6584" s="5"/>
    </row>
    <row r="6585">
      <c r="N6585" s="5"/>
    </row>
    <row r="6586">
      <c r="N6586" s="5"/>
    </row>
    <row r="6587">
      <c r="N6587" s="5"/>
    </row>
    <row r="6588">
      <c r="N6588" s="5"/>
    </row>
    <row r="6589">
      <c r="N6589" s="5"/>
    </row>
    <row r="6590">
      <c r="N6590" s="5"/>
    </row>
    <row r="6591">
      <c r="N6591" s="5"/>
    </row>
    <row r="6592">
      <c r="N6592" s="5"/>
    </row>
    <row r="6593">
      <c r="N6593" s="5"/>
    </row>
    <row r="6594">
      <c r="N6594" s="5"/>
    </row>
    <row r="6595">
      <c r="N6595" s="5"/>
    </row>
    <row r="6596">
      <c r="N6596" s="5"/>
    </row>
    <row r="6597">
      <c r="N6597" s="5"/>
    </row>
    <row r="6598">
      <c r="N6598" s="5"/>
    </row>
    <row r="6599">
      <c r="N6599" s="5"/>
    </row>
    <row r="6600">
      <c r="N6600" s="5"/>
    </row>
    <row r="6601">
      <c r="N6601" s="5"/>
    </row>
    <row r="6602">
      <c r="N6602" s="5"/>
    </row>
    <row r="6603">
      <c r="N6603" s="5"/>
    </row>
    <row r="6604">
      <c r="N6604" s="5"/>
    </row>
    <row r="6605">
      <c r="N6605" s="5"/>
    </row>
    <row r="6606">
      <c r="N6606" s="5"/>
    </row>
    <row r="6607">
      <c r="N6607" s="5"/>
    </row>
    <row r="6608">
      <c r="N6608" s="5"/>
    </row>
    <row r="6609">
      <c r="N6609" s="5"/>
    </row>
    <row r="6610">
      <c r="N6610" s="5"/>
    </row>
    <row r="6611">
      <c r="N6611" s="5"/>
    </row>
    <row r="6612">
      <c r="N6612" s="5"/>
    </row>
    <row r="6613">
      <c r="N6613" s="5"/>
    </row>
    <row r="6614">
      <c r="N6614" s="5"/>
    </row>
    <row r="6615">
      <c r="N6615" s="5"/>
    </row>
    <row r="6616">
      <c r="N6616" s="5"/>
    </row>
    <row r="6617">
      <c r="N6617" s="5"/>
    </row>
    <row r="6618">
      <c r="N6618" s="5"/>
    </row>
    <row r="6619">
      <c r="N6619" s="5"/>
    </row>
    <row r="6620">
      <c r="N6620" s="5"/>
    </row>
    <row r="6621">
      <c r="N6621" s="5"/>
    </row>
    <row r="6622">
      <c r="N6622" s="5"/>
    </row>
    <row r="6623">
      <c r="N6623" s="5"/>
    </row>
    <row r="6624">
      <c r="N6624" s="5"/>
    </row>
    <row r="6625">
      <c r="N6625" s="5"/>
    </row>
    <row r="6626">
      <c r="N6626" s="5"/>
    </row>
    <row r="6627">
      <c r="N6627" s="5"/>
    </row>
    <row r="6628">
      <c r="N6628" s="5"/>
    </row>
    <row r="6629">
      <c r="N6629" s="5"/>
    </row>
    <row r="6630">
      <c r="N6630" s="5"/>
    </row>
    <row r="6631">
      <c r="N6631" s="5"/>
    </row>
    <row r="6632">
      <c r="N6632" s="5"/>
    </row>
    <row r="6633">
      <c r="N6633" s="5"/>
    </row>
    <row r="6634">
      <c r="N6634" s="5"/>
    </row>
    <row r="6635">
      <c r="N6635" s="5"/>
    </row>
    <row r="6636">
      <c r="N6636" s="5"/>
    </row>
    <row r="6637">
      <c r="N6637" s="5"/>
    </row>
    <row r="6638">
      <c r="N6638" s="5"/>
    </row>
    <row r="6639">
      <c r="N6639" s="5"/>
    </row>
    <row r="6640">
      <c r="N6640" s="5"/>
    </row>
    <row r="6641">
      <c r="N6641" s="5"/>
    </row>
    <row r="6642">
      <c r="N6642" s="5"/>
    </row>
    <row r="6643">
      <c r="N6643" s="5"/>
    </row>
    <row r="6644">
      <c r="N6644" s="5"/>
    </row>
    <row r="6645">
      <c r="N6645" s="5"/>
    </row>
    <row r="6646">
      <c r="N6646" s="5"/>
    </row>
    <row r="6647">
      <c r="N6647" s="5"/>
    </row>
    <row r="6648">
      <c r="N6648" s="5"/>
    </row>
    <row r="6649">
      <c r="N6649" s="5"/>
    </row>
    <row r="6650">
      <c r="N6650" s="5"/>
    </row>
    <row r="6651">
      <c r="N6651" s="5"/>
    </row>
    <row r="6652">
      <c r="N6652" s="5"/>
    </row>
    <row r="6653">
      <c r="N6653" s="5"/>
    </row>
    <row r="6654">
      <c r="N6654" s="5"/>
    </row>
    <row r="6655">
      <c r="N6655" s="5"/>
    </row>
    <row r="6656">
      <c r="N6656" s="5"/>
    </row>
    <row r="6657">
      <c r="N6657" s="5"/>
    </row>
    <row r="6658">
      <c r="N6658" s="5"/>
    </row>
    <row r="6659">
      <c r="N6659" s="5"/>
    </row>
    <row r="6660">
      <c r="N6660" s="5"/>
    </row>
    <row r="6661">
      <c r="N6661" s="5"/>
    </row>
    <row r="6662">
      <c r="N6662" s="5"/>
    </row>
    <row r="6663">
      <c r="N6663" s="5"/>
    </row>
    <row r="6664">
      <c r="N6664" s="5"/>
    </row>
    <row r="6665">
      <c r="N6665" s="5"/>
    </row>
    <row r="6666">
      <c r="N6666" s="5"/>
    </row>
    <row r="6667">
      <c r="N6667" s="5"/>
    </row>
    <row r="6668">
      <c r="N6668" s="5"/>
    </row>
    <row r="6669">
      <c r="N6669" s="5"/>
    </row>
    <row r="6670">
      <c r="N6670" s="5"/>
    </row>
    <row r="6671">
      <c r="N6671" s="5"/>
    </row>
    <row r="6672">
      <c r="N6672" s="5"/>
    </row>
    <row r="6673">
      <c r="N6673" s="5"/>
    </row>
    <row r="6674">
      <c r="N6674" s="5"/>
    </row>
    <row r="6675">
      <c r="N6675" s="5"/>
    </row>
    <row r="6676">
      <c r="N6676" s="5"/>
    </row>
    <row r="6677">
      <c r="N6677" s="5"/>
    </row>
    <row r="6678">
      <c r="N6678" s="5"/>
    </row>
    <row r="6679">
      <c r="N6679" s="5"/>
    </row>
    <row r="6680">
      <c r="N6680" s="5"/>
    </row>
    <row r="6681">
      <c r="N6681" s="5"/>
    </row>
    <row r="6682">
      <c r="N6682" s="5"/>
    </row>
    <row r="6683">
      <c r="N6683" s="5"/>
    </row>
    <row r="6684">
      <c r="N6684" s="5"/>
    </row>
    <row r="6685">
      <c r="N6685" s="5"/>
    </row>
    <row r="6686">
      <c r="N6686" s="5"/>
    </row>
    <row r="6687">
      <c r="N6687" s="5"/>
    </row>
    <row r="6688">
      <c r="N6688" s="5"/>
    </row>
    <row r="6689">
      <c r="N6689" s="5"/>
    </row>
    <row r="6690">
      <c r="N6690" s="5"/>
    </row>
    <row r="6691">
      <c r="N6691" s="5"/>
    </row>
    <row r="6692">
      <c r="N6692" s="5"/>
    </row>
    <row r="6693">
      <c r="N6693" s="5"/>
    </row>
    <row r="6694">
      <c r="N6694" s="5"/>
    </row>
    <row r="6695">
      <c r="N6695" s="5"/>
    </row>
    <row r="6696">
      <c r="N6696" s="5"/>
    </row>
    <row r="6697">
      <c r="N6697" s="5"/>
    </row>
    <row r="6698">
      <c r="N6698" s="5"/>
    </row>
    <row r="6699">
      <c r="N6699" s="5"/>
    </row>
    <row r="6700">
      <c r="N6700" s="5"/>
    </row>
    <row r="6701">
      <c r="N6701" s="5"/>
    </row>
    <row r="6702">
      <c r="N6702" s="5"/>
    </row>
    <row r="6703">
      <c r="N6703" s="5"/>
    </row>
    <row r="6704">
      <c r="N6704" s="5"/>
    </row>
    <row r="6705">
      <c r="N6705" s="5"/>
    </row>
    <row r="6706">
      <c r="N6706" s="5"/>
    </row>
    <row r="6707">
      <c r="N6707" s="5"/>
    </row>
    <row r="6708">
      <c r="N6708" s="5"/>
    </row>
    <row r="6709">
      <c r="N6709" s="5"/>
    </row>
    <row r="6710">
      <c r="N6710" s="5"/>
    </row>
    <row r="6711">
      <c r="N6711" s="5"/>
    </row>
    <row r="6712">
      <c r="N6712" s="5"/>
    </row>
    <row r="6713">
      <c r="N6713" s="5"/>
    </row>
    <row r="6714">
      <c r="N6714" s="5"/>
    </row>
    <row r="6715">
      <c r="N6715" s="5"/>
    </row>
    <row r="6716">
      <c r="N6716" s="5"/>
    </row>
    <row r="6717">
      <c r="N6717" s="5"/>
    </row>
    <row r="6718">
      <c r="N6718" s="5"/>
    </row>
    <row r="6719">
      <c r="N6719" s="5"/>
    </row>
    <row r="6720">
      <c r="N6720" s="5"/>
    </row>
    <row r="6721">
      <c r="N6721" s="5"/>
    </row>
    <row r="6722">
      <c r="N6722" s="5"/>
    </row>
    <row r="6723">
      <c r="N6723" s="5"/>
    </row>
    <row r="6724">
      <c r="N6724" s="5"/>
    </row>
    <row r="6725">
      <c r="N6725" s="5"/>
    </row>
    <row r="6726">
      <c r="N6726" s="5"/>
    </row>
    <row r="6727">
      <c r="N6727" s="5"/>
    </row>
    <row r="6728">
      <c r="N6728" s="5"/>
    </row>
    <row r="6729">
      <c r="N6729" s="5"/>
    </row>
    <row r="6730">
      <c r="N6730" s="5"/>
    </row>
    <row r="6731">
      <c r="N6731" s="5"/>
    </row>
    <row r="6732">
      <c r="N6732" s="5"/>
    </row>
    <row r="6733">
      <c r="N6733" s="5"/>
    </row>
    <row r="6734">
      <c r="N6734" s="5"/>
    </row>
    <row r="6735">
      <c r="N6735" s="5"/>
    </row>
    <row r="6736">
      <c r="N6736" s="5"/>
    </row>
    <row r="6737">
      <c r="N6737" s="5"/>
    </row>
    <row r="6738">
      <c r="N6738" s="5"/>
    </row>
    <row r="6739">
      <c r="N6739" s="5"/>
    </row>
    <row r="6740">
      <c r="N6740" s="5"/>
    </row>
    <row r="6741">
      <c r="N6741" s="5"/>
    </row>
    <row r="6742">
      <c r="N6742" s="5"/>
    </row>
    <row r="6743">
      <c r="N6743" s="5"/>
    </row>
    <row r="6744">
      <c r="N6744" s="5"/>
    </row>
    <row r="6745">
      <c r="N6745" s="5"/>
    </row>
    <row r="6746">
      <c r="N6746" s="5"/>
    </row>
    <row r="6747">
      <c r="N6747" s="5"/>
    </row>
    <row r="6748">
      <c r="N6748" s="5"/>
    </row>
    <row r="6749">
      <c r="N6749" s="5"/>
    </row>
    <row r="6750">
      <c r="N6750" s="5"/>
    </row>
    <row r="6751">
      <c r="N6751" s="5"/>
    </row>
    <row r="6752">
      <c r="N6752" s="5"/>
    </row>
    <row r="6753">
      <c r="N6753" s="5"/>
    </row>
    <row r="6754">
      <c r="N6754" s="5"/>
    </row>
    <row r="6755">
      <c r="N6755" s="5"/>
    </row>
    <row r="6756">
      <c r="N6756" s="5"/>
    </row>
    <row r="6757">
      <c r="N6757" s="5"/>
    </row>
    <row r="6758">
      <c r="N6758" s="5"/>
    </row>
    <row r="6759">
      <c r="N6759" s="5"/>
    </row>
    <row r="6760">
      <c r="N6760" s="5"/>
    </row>
    <row r="6761">
      <c r="N6761" s="5"/>
    </row>
    <row r="6762">
      <c r="N6762" s="5"/>
    </row>
    <row r="6763">
      <c r="N6763" s="5"/>
    </row>
    <row r="6764">
      <c r="N6764" s="5"/>
    </row>
    <row r="6765">
      <c r="N6765" s="5"/>
    </row>
    <row r="6766">
      <c r="N6766" s="5"/>
    </row>
    <row r="6767">
      <c r="N6767" s="5"/>
    </row>
    <row r="6768">
      <c r="N6768" s="5"/>
    </row>
    <row r="6769">
      <c r="N6769" s="5"/>
    </row>
    <row r="6770">
      <c r="N6770" s="5"/>
    </row>
    <row r="6771">
      <c r="N6771" s="5"/>
    </row>
    <row r="6772">
      <c r="N6772" s="5"/>
    </row>
    <row r="6773">
      <c r="N6773" s="5"/>
    </row>
    <row r="6774">
      <c r="N6774" s="5"/>
    </row>
    <row r="6775">
      <c r="N6775" s="5"/>
    </row>
    <row r="6776">
      <c r="N6776" s="5"/>
    </row>
    <row r="6777">
      <c r="N6777" s="5"/>
    </row>
    <row r="6778">
      <c r="N6778" s="5"/>
    </row>
    <row r="6779">
      <c r="N6779" s="5"/>
    </row>
    <row r="6780">
      <c r="N6780" s="5"/>
    </row>
    <row r="6781">
      <c r="N6781" s="5"/>
    </row>
    <row r="6782">
      <c r="N6782" s="5"/>
    </row>
    <row r="6783">
      <c r="N6783" s="5"/>
    </row>
    <row r="6784">
      <c r="N6784" s="5"/>
    </row>
    <row r="6785">
      <c r="N6785" s="5"/>
    </row>
    <row r="6786">
      <c r="N6786" s="5"/>
    </row>
    <row r="6787">
      <c r="N6787" s="5"/>
    </row>
    <row r="6788">
      <c r="N6788" s="5"/>
    </row>
    <row r="6789">
      <c r="N6789" s="5"/>
    </row>
    <row r="6790">
      <c r="N6790" s="5"/>
    </row>
    <row r="6791">
      <c r="N6791" s="5"/>
    </row>
    <row r="6792">
      <c r="N6792" s="5"/>
    </row>
    <row r="6793">
      <c r="N6793" s="5"/>
    </row>
    <row r="6794">
      <c r="N6794" s="5"/>
    </row>
    <row r="6795">
      <c r="N6795" s="5"/>
    </row>
    <row r="6796">
      <c r="N6796" s="5"/>
    </row>
    <row r="6797">
      <c r="N6797" s="5"/>
    </row>
    <row r="6798">
      <c r="N6798" s="5"/>
    </row>
    <row r="6799">
      <c r="N6799" s="5"/>
    </row>
    <row r="6800">
      <c r="N6800" s="5"/>
    </row>
    <row r="6801">
      <c r="N6801" s="5"/>
    </row>
    <row r="6802">
      <c r="N6802" s="5"/>
    </row>
    <row r="6803">
      <c r="N6803" s="5"/>
    </row>
    <row r="6804">
      <c r="N6804" s="5"/>
    </row>
    <row r="6805">
      <c r="N6805" s="5"/>
    </row>
    <row r="6806">
      <c r="N6806" s="5"/>
    </row>
    <row r="6807">
      <c r="N6807" s="5"/>
    </row>
    <row r="6808">
      <c r="N6808" s="5"/>
    </row>
    <row r="6809">
      <c r="N6809" s="5"/>
    </row>
    <row r="6810">
      <c r="N6810" s="5"/>
    </row>
    <row r="6811">
      <c r="N6811" s="5"/>
    </row>
    <row r="6812">
      <c r="N6812" s="5"/>
    </row>
    <row r="6813">
      <c r="N6813" s="5"/>
    </row>
    <row r="6814">
      <c r="N6814" s="5"/>
    </row>
    <row r="6815">
      <c r="N6815" s="5"/>
    </row>
    <row r="6816">
      <c r="N6816" s="5"/>
    </row>
    <row r="6817">
      <c r="N6817" s="5"/>
    </row>
    <row r="6818">
      <c r="N6818" s="5"/>
    </row>
    <row r="6819">
      <c r="N6819" s="5"/>
    </row>
    <row r="6820">
      <c r="N6820" s="5"/>
    </row>
    <row r="6821">
      <c r="N6821" s="5"/>
    </row>
    <row r="6822">
      <c r="N6822" s="5"/>
    </row>
    <row r="6823">
      <c r="N6823" s="5"/>
    </row>
    <row r="6824">
      <c r="N6824" s="5"/>
    </row>
    <row r="6825">
      <c r="N6825" s="5"/>
    </row>
    <row r="6826">
      <c r="N6826" s="5"/>
    </row>
    <row r="6827">
      <c r="N6827" s="5"/>
    </row>
    <row r="6828">
      <c r="N6828" s="5"/>
    </row>
    <row r="6829">
      <c r="N6829" s="5"/>
    </row>
    <row r="6830">
      <c r="N6830" s="5"/>
    </row>
    <row r="6831">
      <c r="N6831" s="5"/>
    </row>
    <row r="6832">
      <c r="N6832" s="5"/>
    </row>
    <row r="6833">
      <c r="N6833" s="5"/>
    </row>
    <row r="6834">
      <c r="N6834" s="5"/>
    </row>
    <row r="6835">
      <c r="N6835" s="5"/>
    </row>
    <row r="6836">
      <c r="N6836" s="5"/>
    </row>
    <row r="6837">
      <c r="N6837" s="5"/>
    </row>
    <row r="6838">
      <c r="N6838" s="5"/>
    </row>
    <row r="6839">
      <c r="N6839" s="5"/>
    </row>
    <row r="6840">
      <c r="N6840" s="5"/>
    </row>
    <row r="6841">
      <c r="N6841" s="5"/>
    </row>
    <row r="6842">
      <c r="N6842" s="5"/>
    </row>
    <row r="6843">
      <c r="N6843" s="5"/>
    </row>
    <row r="6844">
      <c r="N6844" s="5"/>
    </row>
    <row r="6845">
      <c r="N6845" s="5"/>
    </row>
    <row r="6846">
      <c r="N6846" s="5"/>
    </row>
    <row r="6847">
      <c r="N6847" s="5"/>
    </row>
    <row r="6848">
      <c r="N6848" s="5"/>
    </row>
    <row r="6849">
      <c r="N6849" s="5"/>
    </row>
    <row r="6850">
      <c r="N6850" s="5"/>
    </row>
    <row r="6851">
      <c r="N6851" s="5"/>
    </row>
    <row r="6852">
      <c r="N6852" s="5"/>
    </row>
    <row r="6853">
      <c r="N6853" s="5"/>
    </row>
    <row r="6854">
      <c r="N6854" s="5"/>
    </row>
    <row r="6855">
      <c r="N6855" s="5"/>
    </row>
    <row r="6856">
      <c r="N6856" s="5"/>
    </row>
    <row r="6857">
      <c r="N6857" s="5"/>
    </row>
    <row r="6858">
      <c r="N6858" s="5"/>
    </row>
    <row r="6859">
      <c r="N6859" s="5"/>
    </row>
    <row r="6860">
      <c r="N6860" s="5"/>
    </row>
    <row r="6861">
      <c r="N6861" s="5"/>
    </row>
    <row r="6862">
      <c r="N6862" s="5"/>
    </row>
    <row r="6863">
      <c r="N6863" s="5"/>
    </row>
    <row r="6864">
      <c r="N6864" s="5"/>
    </row>
    <row r="6865">
      <c r="N6865" s="5"/>
    </row>
    <row r="6866">
      <c r="N6866" s="5"/>
    </row>
    <row r="6867">
      <c r="N6867" s="5"/>
    </row>
    <row r="6868">
      <c r="N6868" s="5"/>
    </row>
    <row r="6869">
      <c r="N6869" s="5"/>
    </row>
    <row r="6870">
      <c r="N6870" s="5"/>
    </row>
    <row r="6871">
      <c r="N6871" s="5"/>
    </row>
    <row r="6872">
      <c r="N6872" s="5"/>
    </row>
    <row r="6873">
      <c r="N6873" s="5"/>
    </row>
    <row r="6874">
      <c r="N6874" s="5"/>
    </row>
    <row r="6875">
      <c r="N6875" s="5"/>
    </row>
    <row r="6876">
      <c r="N6876" s="5"/>
    </row>
    <row r="6877">
      <c r="N6877" s="5"/>
    </row>
    <row r="6878">
      <c r="N6878" s="5"/>
    </row>
    <row r="6879">
      <c r="N6879" s="5"/>
    </row>
    <row r="6880">
      <c r="N6880" s="5"/>
    </row>
    <row r="6881">
      <c r="N6881" s="5"/>
    </row>
    <row r="6882">
      <c r="N6882" s="5"/>
    </row>
    <row r="6883">
      <c r="N6883" s="5"/>
    </row>
    <row r="6884">
      <c r="N6884" s="5"/>
    </row>
    <row r="6885">
      <c r="N6885" s="5"/>
    </row>
    <row r="6886">
      <c r="N6886" s="5"/>
    </row>
    <row r="6887">
      <c r="N6887" s="5"/>
    </row>
    <row r="6888">
      <c r="N6888" s="5"/>
    </row>
    <row r="6889">
      <c r="N6889" s="5"/>
    </row>
    <row r="6890">
      <c r="N6890" s="5"/>
    </row>
    <row r="6891">
      <c r="N6891" s="5"/>
    </row>
    <row r="6892">
      <c r="N6892" s="5"/>
    </row>
    <row r="6893">
      <c r="N6893" s="5"/>
    </row>
    <row r="6894">
      <c r="N6894" s="5"/>
    </row>
    <row r="6895">
      <c r="N6895" s="5"/>
    </row>
    <row r="6896">
      <c r="N6896" s="5"/>
    </row>
    <row r="6897">
      <c r="N6897" s="5"/>
    </row>
    <row r="6898">
      <c r="N6898" s="5"/>
    </row>
    <row r="6899">
      <c r="N6899" s="5"/>
    </row>
    <row r="6900">
      <c r="N6900" s="5"/>
    </row>
    <row r="6901">
      <c r="N6901" s="5"/>
    </row>
    <row r="6902">
      <c r="N6902" s="5"/>
    </row>
    <row r="6903">
      <c r="N6903" s="5"/>
    </row>
    <row r="6904">
      <c r="N6904" s="5"/>
    </row>
    <row r="6905">
      <c r="N6905" s="5"/>
    </row>
    <row r="6906">
      <c r="N6906" s="5"/>
    </row>
    <row r="6907">
      <c r="N6907" s="5"/>
    </row>
    <row r="6908">
      <c r="N6908" s="5"/>
    </row>
    <row r="6909">
      <c r="N6909" s="5"/>
    </row>
    <row r="6910">
      <c r="N6910" s="5"/>
    </row>
    <row r="6911">
      <c r="N6911" s="5"/>
    </row>
    <row r="6912">
      <c r="N6912" s="5"/>
    </row>
    <row r="6913">
      <c r="N6913" s="5"/>
    </row>
    <row r="6914">
      <c r="N6914" s="5"/>
    </row>
    <row r="6915">
      <c r="N6915" s="5"/>
    </row>
    <row r="6916">
      <c r="N6916" s="5"/>
    </row>
    <row r="6917">
      <c r="N6917" s="5"/>
    </row>
    <row r="6918">
      <c r="N6918" s="5"/>
    </row>
    <row r="6919">
      <c r="N6919" s="5"/>
    </row>
    <row r="6920">
      <c r="N6920" s="5"/>
    </row>
    <row r="6921">
      <c r="N6921" s="5"/>
    </row>
    <row r="6922">
      <c r="N6922" s="5"/>
    </row>
    <row r="6923">
      <c r="N6923" s="5"/>
    </row>
    <row r="6924">
      <c r="N6924" s="5"/>
    </row>
    <row r="6925">
      <c r="N6925" s="5"/>
    </row>
    <row r="6926">
      <c r="N6926" s="5"/>
    </row>
    <row r="6927">
      <c r="N6927" s="5"/>
    </row>
    <row r="6928">
      <c r="N6928" s="5"/>
    </row>
    <row r="6929">
      <c r="N6929" s="5"/>
    </row>
    <row r="6930">
      <c r="N6930" s="5"/>
    </row>
    <row r="6931">
      <c r="N6931" s="5"/>
    </row>
    <row r="6932">
      <c r="N6932" s="5"/>
    </row>
    <row r="6933">
      <c r="N6933" s="5"/>
    </row>
    <row r="6934">
      <c r="N6934" s="5"/>
    </row>
    <row r="6935">
      <c r="N6935" s="5"/>
    </row>
    <row r="6936">
      <c r="N6936" s="5"/>
    </row>
    <row r="6937">
      <c r="N6937" s="5"/>
    </row>
    <row r="6938">
      <c r="N6938" s="5"/>
    </row>
    <row r="6939">
      <c r="N6939" s="5"/>
    </row>
    <row r="6940">
      <c r="N6940" s="5"/>
    </row>
    <row r="6941">
      <c r="N6941" s="5"/>
    </row>
    <row r="6942">
      <c r="N6942" s="5"/>
    </row>
    <row r="6943">
      <c r="N6943" s="5"/>
    </row>
    <row r="6944">
      <c r="N6944" s="5"/>
    </row>
    <row r="6945">
      <c r="N6945" s="5"/>
    </row>
    <row r="6946">
      <c r="N6946" s="5"/>
    </row>
    <row r="6947">
      <c r="N6947" s="5"/>
    </row>
    <row r="6948">
      <c r="N6948" s="5"/>
    </row>
    <row r="6949">
      <c r="N6949" s="5"/>
    </row>
    <row r="6950">
      <c r="N6950" s="5"/>
    </row>
    <row r="6951">
      <c r="N6951" s="5"/>
    </row>
    <row r="6952">
      <c r="N6952" s="5"/>
    </row>
    <row r="6953">
      <c r="N6953" s="5"/>
    </row>
    <row r="6954">
      <c r="N6954" s="5"/>
    </row>
    <row r="6955">
      <c r="N6955" s="5"/>
    </row>
    <row r="6956">
      <c r="N6956" s="5"/>
    </row>
    <row r="6957">
      <c r="N6957" s="5"/>
    </row>
    <row r="6958">
      <c r="N6958" s="5"/>
    </row>
    <row r="6959">
      <c r="N6959" s="5"/>
    </row>
    <row r="6960">
      <c r="N6960" s="5"/>
    </row>
    <row r="6961">
      <c r="N6961" s="5"/>
    </row>
    <row r="6962">
      <c r="N6962" s="5"/>
    </row>
    <row r="6963">
      <c r="N6963" s="5"/>
    </row>
    <row r="6964">
      <c r="N6964" s="5"/>
    </row>
    <row r="6965">
      <c r="N6965" s="5"/>
    </row>
    <row r="6966">
      <c r="N6966" s="5"/>
    </row>
    <row r="6967">
      <c r="N6967" s="5"/>
    </row>
    <row r="6968">
      <c r="N6968" s="5"/>
    </row>
    <row r="6969">
      <c r="N6969" s="5"/>
    </row>
    <row r="6970">
      <c r="N6970" s="5"/>
    </row>
    <row r="6971">
      <c r="N6971" s="5"/>
    </row>
    <row r="6972">
      <c r="N6972" s="5"/>
    </row>
    <row r="6973">
      <c r="N6973" s="5"/>
    </row>
    <row r="6974">
      <c r="N6974" s="5"/>
    </row>
    <row r="6975">
      <c r="N6975" s="5"/>
    </row>
    <row r="6976">
      <c r="N6976" s="5"/>
    </row>
    <row r="6977">
      <c r="N6977" s="5"/>
    </row>
    <row r="6978">
      <c r="N6978" s="5"/>
    </row>
    <row r="6979">
      <c r="N6979" s="5"/>
    </row>
    <row r="6980">
      <c r="N6980" s="5"/>
    </row>
    <row r="6981">
      <c r="N6981" s="5"/>
    </row>
    <row r="6982">
      <c r="N6982" s="5"/>
    </row>
    <row r="6983">
      <c r="N6983" s="5"/>
    </row>
    <row r="6984">
      <c r="N6984" s="5"/>
    </row>
    <row r="6985">
      <c r="N6985" s="5"/>
    </row>
    <row r="6986">
      <c r="N6986" s="5"/>
    </row>
    <row r="6987">
      <c r="N6987" s="5"/>
    </row>
    <row r="6988">
      <c r="N6988" s="5"/>
    </row>
    <row r="6989">
      <c r="N6989" s="5"/>
    </row>
    <row r="6990">
      <c r="N6990" s="5"/>
    </row>
    <row r="6991">
      <c r="N6991" s="5"/>
    </row>
    <row r="6992">
      <c r="N6992" s="5"/>
    </row>
    <row r="6993">
      <c r="N6993" s="5"/>
    </row>
    <row r="6994">
      <c r="N6994" s="5"/>
    </row>
    <row r="6995">
      <c r="N6995" s="5"/>
    </row>
    <row r="6996">
      <c r="N6996" s="5"/>
    </row>
    <row r="6997">
      <c r="N6997" s="5"/>
    </row>
    <row r="6998">
      <c r="N6998" s="5"/>
    </row>
    <row r="6999">
      <c r="N6999" s="5"/>
    </row>
    <row r="7000">
      <c r="N7000" s="5"/>
    </row>
    <row r="7001">
      <c r="N7001" s="5"/>
    </row>
    <row r="7002">
      <c r="N7002" s="5"/>
    </row>
    <row r="7003">
      <c r="N7003" s="5"/>
    </row>
    <row r="7004">
      <c r="N7004" s="5"/>
    </row>
    <row r="7005">
      <c r="N7005" s="5"/>
    </row>
    <row r="7006">
      <c r="N7006" s="5"/>
    </row>
    <row r="7007">
      <c r="N7007" s="5"/>
    </row>
    <row r="7008">
      <c r="N7008" s="5"/>
    </row>
    <row r="7009">
      <c r="N7009" s="5"/>
    </row>
    <row r="7010">
      <c r="N7010" s="5"/>
    </row>
    <row r="7011">
      <c r="N7011" s="5"/>
    </row>
    <row r="7012">
      <c r="N7012" s="5"/>
    </row>
    <row r="7013">
      <c r="N7013" s="5"/>
    </row>
    <row r="7014">
      <c r="N7014" s="5"/>
    </row>
    <row r="7015">
      <c r="N7015" s="5"/>
    </row>
    <row r="7016">
      <c r="N7016" s="5"/>
    </row>
    <row r="7017">
      <c r="N7017" s="5"/>
    </row>
    <row r="7018">
      <c r="N7018" s="5"/>
    </row>
    <row r="7019">
      <c r="N7019" s="5"/>
    </row>
    <row r="7020">
      <c r="N7020" s="5"/>
    </row>
    <row r="7021">
      <c r="N7021" s="5"/>
    </row>
    <row r="7022">
      <c r="N7022" s="5"/>
    </row>
    <row r="7023">
      <c r="N7023" s="5"/>
    </row>
    <row r="7024">
      <c r="N7024" s="5"/>
    </row>
    <row r="7025">
      <c r="N7025" s="5"/>
    </row>
    <row r="7026">
      <c r="N7026" s="5"/>
    </row>
    <row r="7027">
      <c r="N7027" s="5"/>
    </row>
    <row r="7028">
      <c r="N7028" s="5"/>
    </row>
    <row r="7029">
      <c r="N7029" s="5"/>
    </row>
    <row r="7030">
      <c r="N7030" s="5"/>
    </row>
    <row r="7031">
      <c r="N7031" s="5"/>
    </row>
    <row r="7032">
      <c r="N7032" s="5"/>
    </row>
    <row r="7033">
      <c r="N7033" s="5"/>
    </row>
    <row r="7034">
      <c r="N7034" s="5"/>
    </row>
    <row r="7035">
      <c r="N7035" s="5"/>
    </row>
    <row r="7036">
      <c r="N7036" s="5"/>
    </row>
    <row r="7037">
      <c r="N7037" s="5"/>
    </row>
    <row r="7038">
      <c r="N7038" s="5"/>
    </row>
    <row r="7039">
      <c r="N7039" s="5"/>
    </row>
    <row r="7040">
      <c r="N7040" s="5"/>
    </row>
    <row r="7041">
      <c r="N7041" s="5"/>
    </row>
    <row r="7042">
      <c r="N7042" s="5"/>
    </row>
    <row r="7043">
      <c r="N7043" s="5"/>
    </row>
    <row r="7044">
      <c r="N7044" s="5"/>
    </row>
    <row r="7045">
      <c r="N7045" s="5"/>
    </row>
    <row r="7046">
      <c r="N7046" s="5"/>
    </row>
    <row r="7047">
      <c r="N7047" s="5"/>
    </row>
    <row r="7048">
      <c r="N7048" s="5"/>
    </row>
    <row r="7049">
      <c r="N7049" s="5"/>
    </row>
    <row r="7050">
      <c r="N7050" s="5"/>
    </row>
    <row r="7051">
      <c r="N7051" s="5"/>
    </row>
    <row r="7052">
      <c r="N7052" s="5"/>
    </row>
    <row r="7053">
      <c r="N7053" s="5"/>
    </row>
    <row r="7054">
      <c r="N7054" s="5"/>
    </row>
    <row r="7055">
      <c r="N7055" s="5"/>
    </row>
    <row r="7056">
      <c r="N7056" s="5"/>
    </row>
    <row r="7057">
      <c r="N7057" s="5"/>
    </row>
    <row r="7058">
      <c r="N7058" s="5"/>
    </row>
    <row r="7059">
      <c r="N7059" s="5"/>
    </row>
    <row r="7060">
      <c r="N7060" s="5"/>
    </row>
    <row r="7061">
      <c r="N7061" s="5"/>
    </row>
    <row r="7062">
      <c r="N7062" s="5"/>
    </row>
    <row r="7063">
      <c r="N7063" s="5"/>
    </row>
    <row r="7064">
      <c r="N7064" s="5"/>
    </row>
    <row r="7065">
      <c r="N7065" s="5"/>
    </row>
    <row r="7066">
      <c r="N7066" s="5"/>
    </row>
    <row r="7067">
      <c r="N7067" s="5"/>
    </row>
    <row r="7068">
      <c r="N7068" s="5"/>
    </row>
    <row r="7069">
      <c r="N7069" s="5"/>
    </row>
    <row r="7070">
      <c r="N7070" s="5"/>
    </row>
    <row r="7071">
      <c r="N7071" s="5"/>
    </row>
    <row r="7072">
      <c r="N7072" s="5"/>
    </row>
    <row r="7073">
      <c r="N7073" s="5"/>
    </row>
    <row r="7074">
      <c r="N7074" s="5"/>
    </row>
    <row r="7075">
      <c r="N7075" s="5"/>
    </row>
    <row r="7076">
      <c r="N7076" s="5"/>
    </row>
    <row r="7077">
      <c r="N7077" s="5"/>
    </row>
    <row r="7078">
      <c r="N7078" s="5"/>
    </row>
    <row r="7079">
      <c r="N7079" s="5"/>
    </row>
    <row r="7080">
      <c r="N7080" s="5"/>
    </row>
    <row r="7081">
      <c r="N7081" s="5"/>
    </row>
    <row r="7082">
      <c r="N7082" s="5"/>
    </row>
    <row r="7083">
      <c r="N7083" s="5"/>
    </row>
    <row r="7084">
      <c r="N7084" s="5"/>
    </row>
    <row r="7085">
      <c r="N7085" s="5"/>
    </row>
    <row r="7086">
      <c r="N7086" s="5"/>
    </row>
    <row r="7087">
      <c r="N7087" s="5"/>
    </row>
    <row r="7088">
      <c r="N7088" s="5"/>
    </row>
    <row r="7089">
      <c r="N7089" s="5"/>
    </row>
    <row r="7090">
      <c r="N7090" s="5"/>
    </row>
    <row r="7091">
      <c r="N7091" s="5"/>
    </row>
    <row r="7092">
      <c r="N7092" s="5"/>
    </row>
    <row r="7093">
      <c r="N7093" s="5"/>
    </row>
    <row r="7094">
      <c r="N7094" s="5"/>
    </row>
    <row r="7095">
      <c r="N7095" s="5"/>
    </row>
    <row r="7096">
      <c r="N7096" s="5"/>
    </row>
    <row r="7097">
      <c r="N7097" s="5"/>
    </row>
    <row r="7098">
      <c r="N7098" s="5"/>
    </row>
    <row r="7099">
      <c r="N7099" s="5"/>
    </row>
    <row r="7100">
      <c r="N7100" s="5"/>
    </row>
    <row r="7101">
      <c r="N7101" s="5"/>
    </row>
    <row r="7102">
      <c r="N7102" s="5"/>
    </row>
    <row r="7103">
      <c r="N7103" s="5"/>
    </row>
    <row r="7104">
      <c r="N7104" s="5"/>
    </row>
    <row r="7105">
      <c r="N7105" s="5"/>
    </row>
    <row r="7106">
      <c r="N7106" s="5"/>
    </row>
    <row r="7107">
      <c r="N7107" s="5"/>
    </row>
    <row r="7108">
      <c r="N7108" s="5"/>
    </row>
    <row r="7109">
      <c r="N7109" s="5"/>
    </row>
    <row r="7110">
      <c r="N7110" s="5"/>
    </row>
    <row r="7111">
      <c r="N7111" s="5"/>
    </row>
    <row r="7112">
      <c r="N7112" s="5"/>
    </row>
    <row r="7113">
      <c r="N7113" s="5"/>
    </row>
    <row r="7114">
      <c r="N7114" s="5"/>
    </row>
    <row r="7115">
      <c r="N7115" s="5"/>
    </row>
    <row r="7116">
      <c r="N7116" s="5"/>
    </row>
    <row r="7117">
      <c r="N7117" s="5"/>
    </row>
    <row r="7118">
      <c r="N7118" s="5"/>
    </row>
    <row r="7119">
      <c r="N7119" s="5"/>
    </row>
    <row r="7120">
      <c r="N7120" s="5"/>
    </row>
    <row r="7121">
      <c r="N7121" s="5"/>
    </row>
    <row r="7122">
      <c r="N7122" s="5"/>
    </row>
    <row r="7123">
      <c r="N7123" s="5"/>
    </row>
    <row r="7124">
      <c r="N7124" s="5"/>
    </row>
    <row r="7125">
      <c r="N7125" s="5"/>
    </row>
    <row r="7126">
      <c r="N7126" s="5"/>
    </row>
    <row r="7127">
      <c r="N7127" s="5"/>
    </row>
    <row r="7128">
      <c r="N7128" s="5"/>
    </row>
    <row r="7129">
      <c r="N7129" s="5"/>
    </row>
    <row r="7130">
      <c r="N7130" s="5"/>
    </row>
    <row r="7131">
      <c r="N7131" s="5"/>
    </row>
    <row r="7132">
      <c r="N7132" s="5"/>
    </row>
    <row r="7133">
      <c r="N7133" s="5"/>
    </row>
    <row r="7134">
      <c r="N7134" s="5"/>
    </row>
    <row r="7135">
      <c r="N7135" s="5"/>
    </row>
    <row r="7136">
      <c r="N7136" s="5"/>
    </row>
    <row r="7137">
      <c r="N7137" s="5"/>
    </row>
    <row r="7138">
      <c r="N7138" s="5"/>
    </row>
    <row r="7139">
      <c r="N7139" s="5"/>
    </row>
    <row r="7140">
      <c r="N7140" s="5"/>
    </row>
    <row r="7141">
      <c r="N7141" s="5"/>
    </row>
    <row r="7142">
      <c r="N7142" s="5"/>
    </row>
    <row r="7143">
      <c r="N7143" s="5"/>
    </row>
    <row r="7144">
      <c r="N7144" s="5"/>
    </row>
    <row r="7145">
      <c r="N7145" s="5"/>
    </row>
    <row r="7146">
      <c r="N7146" s="5"/>
    </row>
    <row r="7147">
      <c r="N7147" s="5"/>
    </row>
    <row r="7148">
      <c r="N7148" s="5"/>
    </row>
    <row r="7149">
      <c r="N7149" s="5"/>
    </row>
    <row r="7150">
      <c r="N7150" s="5"/>
    </row>
    <row r="7151">
      <c r="N7151" s="5"/>
    </row>
    <row r="7152">
      <c r="N7152" s="5"/>
    </row>
    <row r="7153">
      <c r="N7153" s="5"/>
    </row>
    <row r="7154">
      <c r="N7154" s="5"/>
    </row>
    <row r="7155">
      <c r="N7155" s="5"/>
    </row>
    <row r="7156">
      <c r="N7156" s="5"/>
    </row>
    <row r="7157">
      <c r="N7157" s="5"/>
    </row>
    <row r="7158">
      <c r="N7158" s="5"/>
    </row>
    <row r="7159">
      <c r="N7159" s="5"/>
    </row>
    <row r="7160">
      <c r="N7160" s="5"/>
    </row>
    <row r="7161">
      <c r="N7161" s="5"/>
    </row>
    <row r="7162">
      <c r="N7162" s="5"/>
    </row>
    <row r="7163">
      <c r="N7163" s="5"/>
    </row>
    <row r="7164">
      <c r="N7164" s="5"/>
    </row>
    <row r="7165">
      <c r="N7165" s="5"/>
    </row>
    <row r="7166">
      <c r="N7166" s="5"/>
    </row>
    <row r="7167">
      <c r="N7167" s="5"/>
    </row>
    <row r="7168">
      <c r="N7168" s="5"/>
    </row>
    <row r="7169">
      <c r="N7169" s="5"/>
    </row>
    <row r="7170">
      <c r="N7170" s="5"/>
    </row>
    <row r="7171">
      <c r="N7171" s="5"/>
    </row>
    <row r="7172">
      <c r="N7172" s="5"/>
    </row>
    <row r="7173">
      <c r="N7173" s="5"/>
    </row>
    <row r="7174">
      <c r="N7174" s="5"/>
    </row>
    <row r="7175">
      <c r="N7175" s="5"/>
    </row>
    <row r="7176">
      <c r="N7176" s="5"/>
    </row>
    <row r="7177">
      <c r="N7177" s="5"/>
    </row>
    <row r="7178">
      <c r="N7178" s="5"/>
    </row>
    <row r="7179">
      <c r="N7179" s="5"/>
    </row>
    <row r="7180">
      <c r="N7180" s="5"/>
    </row>
    <row r="7181">
      <c r="N7181" s="5"/>
    </row>
    <row r="7182">
      <c r="N7182" s="5"/>
    </row>
    <row r="7183">
      <c r="N7183" s="5"/>
    </row>
    <row r="7184">
      <c r="N7184" s="5"/>
    </row>
    <row r="7185">
      <c r="N7185" s="5"/>
    </row>
    <row r="7186">
      <c r="N7186" s="5"/>
    </row>
    <row r="7187">
      <c r="N7187" s="5"/>
    </row>
    <row r="7188">
      <c r="N7188" s="5"/>
    </row>
    <row r="7189">
      <c r="N7189" s="5"/>
    </row>
    <row r="7190">
      <c r="N7190" s="5"/>
    </row>
    <row r="7191">
      <c r="N7191" s="5"/>
    </row>
    <row r="7192">
      <c r="N7192" s="5"/>
    </row>
    <row r="7193">
      <c r="N7193" s="5"/>
    </row>
    <row r="7194">
      <c r="N7194" s="5"/>
    </row>
    <row r="7195">
      <c r="N7195" s="5"/>
    </row>
    <row r="7196">
      <c r="N7196" s="5"/>
    </row>
    <row r="7197">
      <c r="N7197" s="5"/>
    </row>
    <row r="7198">
      <c r="N7198" s="5"/>
    </row>
    <row r="7199">
      <c r="N7199" s="5"/>
    </row>
    <row r="7200">
      <c r="N7200" s="5"/>
    </row>
    <row r="7201">
      <c r="N7201" s="5"/>
    </row>
    <row r="7202">
      <c r="N7202" s="5"/>
    </row>
    <row r="7203">
      <c r="N7203" s="5"/>
    </row>
    <row r="7204">
      <c r="N7204" s="5"/>
    </row>
    <row r="7205">
      <c r="N7205" s="5"/>
    </row>
    <row r="7206">
      <c r="N7206" s="5"/>
    </row>
    <row r="7207">
      <c r="N7207" s="5"/>
    </row>
    <row r="7208">
      <c r="N7208" s="5"/>
    </row>
    <row r="7209">
      <c r="N7209" s="5"/>
    </row>
    <row r="7210">
      <c r="N7210" s="5"/>
    </row>
    <row r="7211">
      <c r="N7211" s="5"/>
    </row>
    <row r="7212">
      <c r="N7212" s="5"/>
    </row>
    <row r="7213">
      <c r="N7213" s="5"/>
    </row>
    <row r="7214">
      <c r="N7214" s="5"/>
    </row>
    <row r="7215">
      <c r="N7215" s="5"/>
    </row>
    <row r="7216">
      <c r="N7216" s="5"/>
    </row>
    <row r="7217">
      <c r="N7217" s="5"/>
    </row>
    <row r="7218">
      <c r="N7218" s="5"/>
    </row>
    <row r="7219">
      <c r="N7219" s="5"/>
    </row>
    <row r="7220">
      <c r="N7220" s="5"/>
    </row>
    <row r="7221">
      <c r="N7221" s="5"/>
    </row>
    <row r="7222">
      <c r="N7222" s="5"/>
    </row>
    <row r="7223">
      <c r="N7223" s="5"/>
    </row>
    <row r="7224">
      <c r="N7224" s="5"/>
    </row>
    <row r="7225">
      <c r="N7225" s="5"/>
    </row>
    <row r="7226">
      <c r="N7226" s="5"/>
    </row>
    <row r="7227">
      <c r="N7227" s="5"/>
    </row>
    <row r="7228">
      <c r="N7228" s="5"/>
    </row>
    <row r="7229">
      <c r="N7229" s="5"/>
    </row>
    <row r="7230">
      <c r="N7230" s="5"/>
    </row>
    <row r="7231">
      <c r="N7231" s="5"/>
    </row>
    <row r="7232">
      <c r="N7232" s="5"/>
    </row>
    <row r="7233">
      <c r="N7233" s="5"/>
    </row>
    <row r="7234">
      <c r="N7234" s="5"/>
    </row>
    <row r="7235">
      <c r="N7235" s="5"/>
    </row>
    <row r="7236">
      <c r="N7236" s="5"/>
    </row>
    <row r="7237">
      <c r="N7237" s="5"/>
    </row>
    <row r="7238">
      <c r="N7238" s="5"/>
    </row>
    <row r="7239">
      <c r="N7239" s="5"/>
    </row>
    <row r="7240">
      <c r="N7240" s="5"/>
    </row>
    <row r="7241">
      <c r="N7241" s="5"/>
    </row>
    <row r="7242">
      <c r="N7242" s="5"/>
    </row>
    <row r="7243">
      <c r="N7243" s="5"/>
    </row>
    <row r="7244">
      <c r="N7244" s="5"/>
    </row>
    <row r="7245">
      <c r="N7245" s="5"/>
    </row>
    <row r="7246">
      <c r="N7246" s="5"/>
    </row>
    <row r="7247">
      <c r="N7247" s="5"/>
    </row>
    <row r="7248">
      <c r="N7248" s="5"/>
    </row>
    <row r="7249">
      <c r="N7249" s="5"/>
    </row>
    <row r="7250">
      <c r="N7250" s="5"/>
    </row>
    <row r="7251">
      <c r="N7251" s="5"/>
    </row>
    <row r="7252">
      <c r="N7252" s="5"/>
    </row>
    <row r="7253">
      <c r="N7253" s="5"/>
    </row>
    <row r="7254">
      <c r="N7254" s="5"/>
    </row>
    <row r="7255">
      <c r="N7255" s="5"/>
    </row>
    <row r="7256">
      <c r="N7256" s="5"/>
    </row>
    <row r="7257">
      <c r="N7257" s="5"/>
    </row>
    <row r="7258">
      <c r="N7258" s="5"/>
    </row>
    <row r="7259">
      <c r="N7259" s="5"/>
    </row>
    <row r="7260">
      <c r="N7260" s="5"/>
    </row>
    <row r="7261">
      <c r="N7261" s="5"/>
    </row>
    <row r="7262">
      <c r="N7262" s="5"/>
    </row>
    <row r="7263">
      <c r="N7263" s="5"/>
    </row>
    <row r="7264">
      <c r="N7264" s="5"/>
    </row>
    <row r="7265">
      <c r="N7265" s="5"/>
    </row>
    <row r="7266">
      <c r="N7266" s="5"/>
    </row>
    <row r="7267">
      <c r="N7267" s="5"/>
    </row>
    <row r="7268">
      <c r="N7268" s="5"/>
    </row>
    <row r="7269">
      <c r="N7269" s="5"/>
    </row>
    <row r="7270">
      <c r="N7270" s="5"/>
    </row>
    <row r="7271">
      <c r="N7271" s="5"/>
    </row>
    <row r="7272">
      <c r="N7272" s="5"/>
    </row>
    <row r="7273">
      <c r="N7273" s="5"/>
    </row>
    <row r="7274">
      <c r="N7274" s="5"/>
    </row>
    <row r="7275">
      <c r="N7275" s="5"/>
    </row>
    <row r="7276">
      <c r="N7276" s="5"/>
    </row>
    <row r="7277">
      <c r="N7277" s="5"/>
    </row>
    <row r="7278">
      <c r="N7278" s="5"/>
    </row>
    <row r="7279">
      <c r="N7279" s="5"/>
    </row>
    <row r="7280">
      <c r="N7280" s="5"/>
    </row>
    <row r="7281">
      <c r="N7281" s="5"/>
    </row>
    <row r="7282">
      <c r="N7282" s="5"/>
    </row>
    <row r="7283">
      <c r="N7283" s="5"/>
    </row>
    <row r="7284">
      <c r="N7284" s="5"/>
    </row>
    <row r="7285">
      <c r="N7285" s="5"/>
    </row>
    <row r="7286">
      <c r="N7286" s="5"/>
    </row>
    <row r="7287">
      <c r="N7287" s="5"/>
    </row>
    <row r="7288">
      <c r="N7288" s="5"/>
    </row>
    <row r="7289">
      <c r="N7289" s="5"/>
    </row>
    <row r="7290">
      <c r="N7290" s="5"/>
    </row>
    <row r="7291">
      <c r="N7291" s="5"/>
    </row>
    <row r="7292">
      <c r="N7292" s="5"/>
    </row>
    <row r="7293">
      <c r="N7293" s="5"/>
    </row>
    <row r="7294">
      <c r="N7294" s="5"/>
    </row>
    <row r="7295">
      <c r="N7295" s="5"/>
    </row>
    <row r="7296">
      <c r="N7296" s="5"/>
    </row>
    <row r="7297">
      <c r="N7297" s="5"/>
    </row>
    <row r="7298">
      <c r="N7298" s="5"/>
    </row>
    <row r="7299">
      <c r="N7299" s="5"/>
    </row>
    <row r="7300">
      <c r="N7300" s="5"/>
    </row>
    <row r="7301">
      <c r="N7301" s="5"/>
    </row>
    <row r="7302">
      <c r="N7302" s="5"/>
    </row>
    <row r="7303">
      <c r="N7303" s="5"/>
    </row>
    <row r="7304">
      <c r="N7304" s="5"/>
    </row>
    <row r="7305">
      <c r="N7305" s="5"/>
    </row>
    <row r="7306">
      <c r="N7306" s="5"/>
    </row>
    <row r="7307">
      <c r="N7307" s="5"/>
    </row>
    <row r="7308">
      <c r="N7308" s="5"/>
    </row>
    <row r="7309">
      <c r="N7309" s="5"/>
    </row>
    <row r="7310">
      <c r="N7310" s="5"/>
    </row>
    <row r="7311">
      <c r="N7311" s="5"/>
    </row>
    <row r="7312">
      <c r="N7312" s="5"/>
    </row>
    <row r="7313">
      <c r="N7313" s="5"/>
    </row>
    <row r="7314">
      <c r="N7314" s="5"/>
    </row>
    <row r="7315">
      <c r="N7315" s="5"/>
    </row>
    <row r="7316">
      <c r="N7316" s="5"/>
    </row>
    <row r="7317">
      <c r="N7317" s="5"/>
    </row>
    <row r="7318">
      <c r="N7318" s="5"/>
    </row>
    <row r="7319">
      <c r="N7319" s="5"/>
    </row>
    <row r="7320">
      <c r="N7320" s="5"/>
    </row>
    <row r="7321">
      <c r="N7321" s="5"/>
    </row>
    <row r="7322">
      <c r="N7322" s="5"/>
    </row>
    <row r="7323">
      <c r="N7323" s="5"/>
    </row>
    <row r="7324">
      <c r="N7324" s="5"/>
    </row>
    <row r="7325">
      <c r="N7325" s="5"/>
    </row>
    <row r="7326">
      <c r="N7326" s="5"/>
    </row>
    <row r="7327">
      <c r="N7327" s="5"/>
    </row>
    <row r="7328">
      <c r="N7328" s="5"/>
    </row>
    <row r="7329">
      <c r="N7329" s="5"/>
    </row>
    <row r="7330">
      <c r="N7330" s="5"/>
    </row>
    <row r="7331">
      <c r="N7331" s="5"/>
    </row>
    <row r="7332">
      <c r="N7332" s="5"/>
    </row>
    <row r="7333">
      <c r="N7333" s="5"/>
    </row>
    <row r="7334">
      <c r="N7334" s="5"/>
    </row>
    <row r="7335">
      <c r="N7335" s="5"/>
    </row>
    <row r="7336">
      <c r="N7336" s="5"/>
    </row>
    <row r="7337">
      <c r="N7337" s="5"/>
    </row>
    <row r="7338">
      <c r="N7338" s="5"/>
    </row>
    <row r="7339">
      <c r="N7339" s="5"/>
    </row>
    <row r="7340">
      <c r="N7340" s="5"/>
    </row>
    <row r="7341">
      <c r="N7341" s="5"/>
    </row>
    <row r="7342">
      <c r="N7342" s="5"/>
    </row>
    <row r="7343">
      <c r="N7343" s="5"/>
    </row>
    <row r="7344">
      <c r="N7344" s="5"/>
    </row>
    <row r="7345">
      <c r="N7345" s="5"/>
    </row>
    <row r="7346">
      <c r="N7346" s="5"/>
    </row>
    <row r="7347">
      <c r="N7347" s="5"/>
    </row>
    <row r="7348">
      <c r="N7348" s="5"/>
    </row>
    <row r="7349">
      <c r="N7349" s="5"/>
    </row>
    <row r="7350">
      <c r="N7350" s="5"/>
    </row>
    <row r="7351">
      <c r="N7351" s="5"/>
    </row>
    <row r="7352">
      <c r="N7352" s="5"/>
    </row>
    <row r="7353">
      <c r="N7353" s="5"/>
    </row>
    <row r="7354">
      <c r="N7354" s="5"/>
    </row>
    <row r="7355">
      <c r="N7355" s="5"/>
    </row>
    <row r="7356">
      <c r="N7356" s="5"/>
    </row>
    <row r="7357">
      <c r="N7357" s="5"/>
    </row>
    <row r="7358">
      <c r="N7358" s="5"/>
    </row>
    <row r="7359">
      <c r="N7359" s="5"/>
    </row>
    <row r="7360">
      <c r="N7360" s="5"/>
    </row>
    <row r="7361">
      <c r="N7361" s="5"/>
    </row>
    <row r="7362">
      <c r="N7362" s="5"/>
    </row>
    <row r="7363">
      <c r="N7363" s="5"/>
    </row>
    <row r="7364">
      <c r="N7364" s="5"/>
    </row>
    <row r="7365">
      <c r="N7365" s="5"/>
    </row>
    <row r="7366">
      <c r="N7366" s="5"/>
    </row>
    <row r="7367">
      <c r="N7367" s="5"/>
    </row>
    <row r="7368">
      <c r="N7368" s="5"/>
    </row>
    <row r="7369">
      <c r="N7369" s="5"/>
    </row>
    <row r="7370">
      <c r="N7370" s="5"/>
    </row>
    <row r="7371">
      <c r="N7371" s="5"/>
    </row>
    <row r="7372">
      <c r="N7372" s="5"/>
    </row>
    <row r="7373">
      <c r="N7373" s="5"/>
    </row>
    <row r="7374">
      <c r="N7374" s="5"/>
    </row>
    <row r="7375">
      <c r="N7375" s="5"/>
    </row>
    <row r="7376">
      <c r="N7376" s="5"/>
    </row>
    <row r="7377">
      <c r="N7377" s="5"/>
    </row>
    <row r="7378">
      <c r="N7378" s="5"/>
    </row>
    <row r="7379">
      <c r="N7379" s="5"/>
    </row>
    <row r="7380">
      <c r="N7380" s="5"/>
    </row>
    <row r="7381">
      <c r="N7381" s="5"/>
    </row>
    <row r="7382">
      <c r="N7382" s="5"/>
    </row>
    <row r="7383">
      <c r="N7383" s="5"/>
    </row>
    <row r="7384">
      <c r="N7384" s="5"/>
    </row>
    <row r="7385">
      <c r="N7385" s="5"/>
    </row>
    <row r="7386">
      <c r="N7386" s="5"/>
    </row>
    <row r="7387">
      <c r="N7387" s="5"/>
    </row>
    <row r="7388">
      <c r="N7388" s="5"/>
    </row>
    <row r="7389">
      <c r="N7389" s="5"/>
    </row>
    <row r="7390">
      <c r="N7390" s="5"/>
    </row>
    <row r="7391">
      <c r="N7391" s="5"/>
    </row>
    <row r="7392">
      <c r="N7392" s="5"/>
    </row>
    <row r="7393">
      <c r="N7393" s="5"/>
    </row>
    <row r="7394">
      <c r="N7394" s="5"/>
    </row>
    <row r="7395">
      <c r="N7395" s="5"/>
    </row>
    <row r="7396">
      <c r="N7396" s="5"/>
    </row>
    <row r="7397">
      <c r="N7397" s="5"/>
    </row>
    <row r="7398">
      <c r="N7398" s="5"/>
    </row>
    <row r="7399">
      <c r="N7399" s="5"/>
    </row>
    <row r="7400">
      <c r="N7400" s="5"/>
    </row>
    <row r="7401">
      <c r="N7401" s="5"/>
    </row>
    <row r="7402">
      <c r="N7402" s="5"/>
    </row>
    <row r="7403">
      <c r="N7403" s="5"/>
    </row>
    <row r="7404">
      <c r="N7404" s="5"/>
    </row>
    <row r="7405">
      <c r="N7405" s="5"/>
    </row>
    <row r="7406">
      <c r="N7406" s="5"/>
    </row>
    <row r="7407">
      <c r="N7407" s="5"/>
    </row>
    <row r="7408">
      <c r="N7408" s="5"/>
    </row>
    <row r="7409">
      <c r="N7409" s="5"/>
    </row>
    <row r="7410">
      <c r="N7410" s="5"/>
    </row>
    <row r="7411">
      <c r="N7411" s="5"/>
    </row>
    <row r="7412">
      <c r="N7412" s="5"/>
    </row>
    <row r="7413">
      <c r="N7413" s="5"/>
    </row>
    <row r="7414">
      <c r="N7414" s="5"/>
    </row>
    <row r="7415">
      <c r="N7415" s="5"/>
    </row>
    <row r="7416">
      <c r="N7416" s="5"/>
    </row>
    <row r="7417">
      <c r="N7417" s="5"/>
    </row>
    <row r="7418">
      <c r="N7418" s="5"/>
    </row>
    <row r="7419">
      <c r="N7419" s="5"/>
    </row>
    <row r="7420">
      <c r="N7420" s="5"/>
    </row>
    <row r="7421">
      <c r="N7421" s="5"/>
    </row>
    <row r="7422">
      <c r="N7422" s="5"/>
    </row>
    <row r="7423">
      <c r="N7423" s="5"/>
    </row>
    <row r="7424">
      <c r="N7424" s="5"/>
    </row>
    <row r="7425">
      <c r="N7425" s="5"/>
    </row>
    <row r="7426">
      <c r="N7426" s="5"/>
    </row>
    <row r="7427">
      <c r="N7427" s="5"/>
    </row>
    <row r="7428">
      <c r="N7428" s="5"/>
    </row>
    <row r="7429">
      <c r="N7429" s="5"/>
    </row>
    <row r="7430">
      <c r="N7430" s="5"/>
    </row>
    <row r="7431">
      <c r="N7431" s="5"/>
    </row>
    <row r="7432">
      <c r="N7432" s="5"/>
    </row>
    <row r="7433">
      <c r="N7433" s="5"/>
    </row>
    <row r="7434">
      <c r="N7434" s="5"/>
    </row>
    <row r="7435">
      <c r="N7435" s="5"/>
    </row>
    <row r="7436">
      <c r="N7436" s="5"/>
    </row>
    <row r="7437">
      <c r="N7437" s="5"/>
    </row>
    <row r="7438">
      <c r="N7438" s="5"/>
    </row>
    <row r="7439">
      <c r="N7439" s="5"/>
    </row>
    <row r="7440">
      <c r="N7440" s="5"/>
    </row>
    <row r="7441">
      <c r="N7441" s="5"/>
    </row>
    <row r="7442">
      <c r="N7442" s="5"/>
    </row>
    <row r="7443">
      <c r="N7443" s="5"/>
    </row>
    <row r="7444">
      <c r="N7444" s="5"/>
    </row>
    <row r="7445">
      <c r="N7445" s="5"/>
    </row>
    <row r="7446">
      <c r="N7446" s="5"/>
    </row>
    <row r="7447">
      <c r="N7447" s="5"/>
    </row>
    <row r="7448">
      <c r="N7448" s="5"/>
    </row>
    <row r="7449">
      <c r="N7449" s="5"/>
    </row>
    <row r="7450">
      <c r="N7450" s="5"/>
    </row>
    <row r="7451">
      <c r="N7451" s="5"/>
    </row>
    <row r="7452">
      <c r="N7452" s="5"/>
    </row>
    <row r="7453">
      <c r="N7453" s="5"/>
    </row>
    <row r="7454">
      <c r="N7454" s="5"/>
    </row>
    <row r="7455">
      <c r="N7455" s="5"/>
    </row>
    <row r="7456">
      <c r="N7456" s="5"/>
    </row>
    <row r="7457">
      <c r="N7457" s="5"/>
    </row>
    <row r="7458">
      <c r="N7458" s="5"/>
    </row>
    <row r="7459">
      <c r="N7459" s="5"/>
    </row>
    <row r="7460">
      <c r="N7460" s="5"/>
    </row>
    <row r="7461">
      <c r="N7461" s="5"/>
    </row>
    <row r="7462">
      <c r="N7462" s="5"/>
    </row>
    <row r="7463">
      <c r="N7463" s="5"/>
    </row>
    <row r="7464">
      <c r="N7464" s="5"/>
    </row>
    <row r="7465">
      <c r="N7465" s="5"/>
    </row>
    <row r="7466">
      <c r="N7466" s="5"/>
    </row>
    <row r="7467">
      <c r="N7467" s="5"/>
    </row>
    <row r="7468">
      <c r="N7468" s="5"/>
    </row>
    <row r="7469">
      <c r="N7469" s="5"/>
    </row>
    <row r="7470">
      <c r="N7470" s="5"/>
    </row>
    <row r="7471">
      <c r="N7471" s="5"/>
    </row>
    <row r="7472">
      <c r="N7472" s="5"/>
    </row>
    <row r="7473">
      <c r="N7473" s="5"/>
    </row>
    <row r="7474">
      <c r="N7474" s="5"/>
    </row>
    <row r="7475">
      <c r="N7475" s="5"/>
    </row>
    <row r="7476">
      <c r="N7476" s="5"/>
    </row>
    <row r="7477">
      <c r="N7477" s="5"/>
    </row>
    <row r="7478">
      <c r="N7478" s="5"/>
    </row>
    <row r="7479">
      <c r="N7479" s="5"/>
    </row>
    <row r="7480">
      <c r="N7480" s="5"/>
    </row>
    <row r="7481">
      <c r="N7481" s="5"/>
    </row>
    <row r="7482">
      <c r="N7482" s="5"/>
    </row>
    <row r="7483">
      <c r="N7483" s="5"/>
    </row>
    <row r="7484">
      <c r="N7484" s="5"/>
    </row>
    <row r="7485">
      <c r="N7485" s="5"/>
    </row>
    <row r="7486">
      <c r="N7486" s="5"/>
    </row>
    <row r="7487">
      <c r="N7487" s="5"/>
    </row>
    <row r="7488">
      <c r="N7488" s="5"/>
    </row>
    <row r="7489">
      <c r="N7489" s="5"/>
    </row>
    <row r="7490">
      <c r="N7490" s="5"/>
    </row>
    <row r="7491">
      <c r="N7491" s="5"/>
    </row>
    <row r="7492">
      <c r="N7492" s="5"/>
    </row>
    <row r="7493">
      <c r="N7493" s="5"/>
    </row>
    <row r="7494">
      <c r="N7494" s="5"/>
    </row>
    <row r="7495">
      <c r="N7495" s="5"/>
    </row>
    <row r="7496">
      <c r="N7496" s="5"/>
    </row>
    <row r="7497">
      <c r="N7497" s="5"/>
    </row>
    <row r="7498">
      <c r="N7498" s="5"/>
    </row>
    <row r="7499">
      <c r="N7499" s="5"/>
    </row>
    <row r="7500">
      <c r="N7500" s="5"/>
    </row>
    <row r="7501">
      <c r="N7501" s="5"/>
    </row>
    <row r="7502">
      <c r="N7502" s="5"/>
    </row>
    <row r="7503">
      <c r="N7503" s="5"/>
    </row>
    <row r="7504">
      <c r="N7504" s="5"/>
    </row>
    <row r="7505">
      <c r="N7505" s="5"/>
    </row>
    <row r="7506">
      <c r="N7506" s="5"/>
    </row>
    <row r="7507">
      <c r="N7507" s="5"/>
    </row>
    <row r="7508">
      <c r="N7508" s="5"/>
    </row>
    <row r="7509">
      <c r="N7509" s="5"/>
    </row>
    <row r="7510">
      <c r="N7510" s="5"/>
    </row>
    <row r="7511">
      <c r="N7511" s="5"/>
    </row>
    <row r="7512">
      <c r="N7512" s="5"/>
    </row>
    <row r="7513">
      <c r="N7513" s="5"/>
    </row>
    <row r="7514">
      <c r="N7514" s="5"/>
    </row>
    <row r="7515">
      <c r="N7515" s="5"/>
    </row>
    <row r="7516">
      <c r="N7516" s="5"/>
    </row>
    <row r="7517">
      <c r="N7517" s="5"/>
    </row>
    <row r="7518">
      <c r="N7518" s="5"/>
    </row>
    <row r="7519">
      <c r="N7519" s="5"/>
    </row>
    <row r="7520">
      <c r="N7520" s="5"/>
    </row>
    <row r="7521">
      <c r="N7521" s="5"/>
    </row>
    <row r="7522">
      <c r="N7522" s="5"/>
    </row>
    <row r="7523">
      <c r="N7523" s="5"/>
    </row>
    <row r="7524">
      <c r="N7524" s="5"/>
    </row>
    <row r="7525">
      <c r="N7525" s="5"/>
    </row>
    <row r="7526">
      <c r="N7526" s="5"/>
    </row>
    <row r="7527">
      <c r="N7527" s="5"/>
    </row>
    <row r="7528">
      <c r="N7528" s="5"/>
    </row>
    <row r="7529">
      <c r="N7529" s="5"/>
    </row>
    <row r="7530">
      <c r="N7530" s="5"/>
    </row>
    <row r="7531">
      <c r="N7531" s="5"/>
    </row>
    <row r="7532">
      <c r="N7532" s="5"/>
    </row>
    <row r="7533">
      <c r="N7533" s="5"/>
    </row>
    <row r="7534">
      <c r="N7534" s="5"/>
    </row>
    <row r="7535">
      <c r="N7535" s="5"/>
    </row>
    <row r="7536">
      <c r="N7536" s="5"/>
    </row>
    <row r="7537">
      <c r="N7537" s="5"/>
    </row>
    <row r="7538">
      <c r="N7538" s="5"/>
    </row>
    <row r="7539">
      <c r="N7539" s="5"/>
    </row>
    <row r="7540">
      <c r="N7540" s="5"/>
    </row>
    <row r="7541">
      <c r="N7541" s="5"/>
    </row>
    <row r="7542">
      <c r="N7542" s="5"/>
    </row>
    <row r="7543">
      <c r="N7543" s="5"/>
    </row>
    <row r="7544">
      <c r="N7544" s="5"/>
    </row>
    <row r="7545">
      <c r="N7545" s="5"/>
    </row>
    <row r="7546">
      <c r="N7546" s="5"/>
    </row>
    <row r="7547">
      <c r="N7547" s="5"/>
    </row>
    <row r="7548">
      <c r="N7548" s="5"/>
    </row>
    <row r="7549">
      <c r="N7549" s="5"/>
    </row>
    <row r="7550">
      <c r="N7550" s="5"/>
    </row>
    <row r="7551">
      <c r="N7551" s="5"/>
    </row>
    <row r="7552">
      <c r="N7552" s="5"/>
    </row>
    <row r="7553">
      <c r="N7553" s="5"/>
    </row>
    <row r="7554">
      <c r="N7554" s="5"/>
    </row>
    <row r="7555">
      <c r="N7555" s="5"/>
    </row>
    <row r="7556">
      <c r="N7556" s="5"/>
    </row>
    <row r="7557">
      <c r="N7557" s="5"/>
    </row>
    <row r="7558">
      <c r="N7558" s="5"/>
    </row>
    <row r="7559">
      <c r="N7559" s="5"/>
    </row>
    <row r="7560">
      <c r="N7560" s="5"/>
    </row>
    <row r="7561">
      <c r="N7561" s="5"/>
    </row>
    <row r="7562">
      <c r="N7562" s="5"/>
    </row>
    <row r="7563">
      <c r="N7563" s="5"/>
    </row>
    <row r="7564">
      <c r="N7564" s="5"/>
    </row>
    <row r="7565">
      <c r="N7565" s="5"/>
    </row>
    <row r="7566">
      <c r="N7566" s="5"/>
    </row>
    <row r="7567">
      <c r="N7567" s="5"/>
    </row>
    <row r="7568">
      <c r="N7568" s="5"/>
    </row>
    <row r="7569">
      <c r="N7569" s="5"/>
    </row>
    <row r="7570">
      <c r="N7570" s="5"/>
    </row>
    <row r="7571">
      <c r="N7571" s="5"/>
    </row>
    <row r="7572">
      <c r="N7572" s="5"/>
    </row>
    <row r="7573">
      <c r="N7573" s="5"/>
    </row>
    <row r="7574">
      <c r="N7574" s="5"/>
    </row>
    <row r="7575">
      <c r="N7575" s="5"/>
    </row>
    <row r="7576">
      <c r="N7576" s="5"/>
    </row>
    <row r="7577">
      <c r="N7577" s="5"/>
    </row>
    <row r="7578">
      <c r="N7578" s="5"/>
    </row>
    <row r="7579">
      <c r="N7579" s="5"/>
    </row>
    <row r="7580">
      <c r="N7580" s="5"/>
    </row>
    <row r="7581">
      <c r="N7581" s="5"/>
    </row>
    <row r="7582">
      <c r="N7582" s="5"/>
    </row>
    <row r="7583">
      <c r="N7583" s="5"/>
    </row>
    <row r="7584">
      <c r="N7584" s="5"/>
    </row>
    <row r="7585">
      <c r="N7585" s="5"/>
    </row>
    <row r="7586">
      <c r="N7586" s="5"/>
    </row>
    <row r="7587">
      <c r="N7587" s="5"/>
    </row>
    <row r="7588">
      <c r="N7588" s="5"/>
    </row>
    <row r="7589">
      <c r="N7589" s="5"/>
    </row>
    <row r="7590">
      <c r="N7590" s="5"/>
    </row>
    <row r="7591">
      <c r="N7591" s="5"/>
    </row>
    <row r="7592">
      <c r="N7592" s="5"/>
    </row>
    <row r="7593">
      <c r="N7593" s="5"/>
    </row>
    <row r="7594">
      <c r="N7594" s="5"/>
    </row>
    <row r="7595">
      <c r="N7595" s="5"/>
    </row>
    <row r="7596">
      <c r="N7596" s="5"/>
    </row>
    <row r="7597">
      <c r="N7597" s="5"/>
    </row>
    <row r="7598">
      <c r="N7598" s="5"/>
    </row>
    <row r="7599">
      <c r="N7599" s="5"/>
    </row>
    <row r="7600">
      <c r="N7600" s="5"/>
    </row>
    <row r="7601">
      <c r="N7601" s="5"/>
    </row>
    <row r="7602">
      <c r="N7602" s="5"/>
    </row>
    <row r="7603">
      <c r="N7603" s="5"/>
    </row>
    <row r="7604">
      <c r="N7604" s="5"/>
    </row>
    <row r="7605">
      <c r="N7605" s="5"/>
    </row>
    <row r="7606">
      <c r="N7606" s="5"/>
    </row>
    <row r="7607">
      <c r="N7607" s="5"/>
    </row>
    <row r="7608">
      <c r="N7608" s="5"/>
    </row>
    <row r="7609">
      <c r="N7609" s="5"/>
    </row>
    <row r="7610">
      <c r="N7610" s="5"/>
    </row>
    <row r="7611">
      <c r="N7611" s="5"/>
    </row>
    <row r="7612">
      <c r="N7612" s="5"/>
    </row>
    <row r="7613">
      <c r="N7613" s="5"/>
    </row>
    <row r="7614">
      <c r="N7614" s="5"/>
    </row>
    <row r="7615">
      <c r="N7615" s="5"/>
    </row>
    <row r="7616">
      <c r="N7616" s="5"/>
    </row>
    <row r="7617">
      <c r="N7617" s="5"/>
    </row>
    <row r="7618">
      <c r="N7618" s="5"/>
    </row>
    <row r="7619">
      <c r="N7619" s="5"/>
    </row>
    <row r="7620">
      <c r="N7620" s="5"/>
    </row>
    <row r="7621">
      <c r="N7621" s="5"/>
    </row>
    <row r="7622">
      <c r="N7622" s="5"/>
    </row>
    <row r="7623">
      <c r="N7623" s="5"/>
    </row>
    <row r="7624">
      <c r="N7624" s="5"/>
    </row>
    <row r="7625">
      <c r="N7625" s="5"/>
    </row>
    <row r="7626">
      <c r="N7626" s="5"/>
    </row>
    <row r="7627">
      <c r="N7627" s="5"/>
    </row>
    <row r="7628">
      <c r="N7628" s="5"/>
    </row>
    <row r="7629">
      <c r="N7629" s="5"/>
    </row>
    <row r="7630">
      <c r="N7630" s="5"/>
    </row>
    <row r="7631">
      <c r="N7631" s="5"/>
    </row>
    <row r="7632">
      <c r="N7632" s="5"/>
    </row>
    <row r="7633">
      <c r="N7633" s="5"/>
    </row>
    <row r="7634">
      <c r="N7634" s="5"/>
    </row>
    <row r="7635">
      <c r="N7635" s="5"/>
    </row>
    <row r="7636">
      <c r="N7636" s="5"/>
    </row>
    <row r="7637">
      <c r="N7637" s="5"/>
    </row>
    <row r="7638">
      <c r="N7638" s="5"/>
    </row>
    <row r="7639">
      <c r="N7639" s="5"/>
    </row>
    <row r="7640">
      <c r="N7640" s="5"/>
    </row>
    <row r="7641">
      <c r="N7641" s="5"/>
    </row>
    <row r="7642">
      <c r="N7642" s="5"/>
    </row>
    <row r="7643">
      <c r="N7643" s="5"/>
    </row>
    <row r="7644">
      <c r="N7644" s="5"/>
    </row>
    <row r="7645">
      <c r="N7645" s="5"/>
    </row>
    <row r="7646">
      <c r="N7646" s="5"/>
    </row>
    <row r="7647">
      <c r="N7647" s="5"/>
    </row>
    <row r="7648">
      <c r="N7648" s="5"/>
    </row>
    <row r="7649">
      <c r="N7649" s="5"/>
    </row>
    <row r="7650">
      <c r="N7650" s="5"/>
    </row>
    <row r="7651">
      <c r="N7651" s="5"/>
    </row>
    <row r="7652">
      <c r="N7652" s="5"/>
    </row>
    <row r="7653">
      <c r="N7653" s="5"/>
    </row>
    <row r="7654">
      <c r="N7654" s="5"/>
    </row>
    <row r="7655">
      <c r="N7655" s="5"/>
    </row>
    <row r="7656">
      <c r="N7656" s="5"/>
    </row>
    <row r="7657">
      <c r="N7657" s="5"/>
    </row>
    <row r="7658">
      <c r="N7658" s="5"/>
    </row>
    <row r="7659">
      <c r="N7659" s="5"/>
    </row>
    <row r="7660">
      <c r="N7660" s="5"/>
    </row>
    <row r="7661">
      <c r="N7661" s="5"/>
    </row>
    <row r="7662">
      <c r="N7662" s="5"/>
    </row>
    <row r="7663">
      <c r="N7663" s="5"/>
    </row>
    <row r="7664">
      <c r="N7664" s="5"/>
    </row>
    <row r="7665">
      <c r="N7665" s="5"/>
    </row>
    <row r="7666">
      <c r="N7666" s="5"/>
    </row>
    <row r="7667">
      <c r="N7667" s="5"/>
    </row>
    <row r="7668">
      <c r="N7668" s="5"/>
    </row>
    <row r="7669">
      <c r="N7669" s="5"/>
    </row>
    <row r="7670">
      <c r="N7670" s="5"/>
    </row>
    <row r="7671">
      <c r="N7671" s="5"/>
    </row>
    <row r="7672">
      <c r="N7672" s="5"/>
    </row>
    <row r="7673">
      <c r="N7673" s="5"/>
    </row>
    <row r="7674">
      <c r="N7674" s="5"/>
    </row>
    <row r="7675">
      <c r="N7675" s="5"/>
    </row>
    <row r="7676">
      <c r="N7676" s="5"/>
    </row>
    <row r="7677">
      <c r="N7677" s="5"/>
    </row>
    <row r="7678">
      <c r="N7678" s="5"/>
    </row>
    <row r="7679">
      <c r="N7679" s="5"/>
    </row>
    <row r="7680">
      <c r="N7680" s="5"/>
    </row>
    <row r="7681">
      <c r="N7681" s="5"/>
    </row>
    <row r="7682">
      <c r="N7682" s="5"/>
    </row>
    <row r="7683">
      <c r="N7683" s="5"/>
    </row>
    <row r="7684">
      <c r="N7684" s="5"/>
    </row>
    <row r="7685">
      <c r="N7685" s="5"/>
    </row>
    <row r="7686">
      <c r="N7686" s="5"/>
    </row>
    <row r="7687">
      <c r="N7687" s="5"/>
    </row>
    <row r="7688">
      <c r="N7688" s="5"/>
    </row>
    <row r="7689">
      <c r="N7689" s="5"/>
    </row>
    <row r="7690">
      <c r="N7690" s="5"/>
    </row>
    <row r="7691">
      <c r="N7691" s="5"/>
    </row>
    <row r="7692">
      <c r="N7692" s="5"/>
    </row>
    <row r="7693">
      <c r="N7693" s="5"/>
    </row>
    <row r="7694">
      <c r="N7694" s="5"/>
    </row>
    <row r="7695">
      <c r="N7695" s="5"/>
    </row>
    <row r="7696">
      <c r="N7696" s="5"/>
    </row>
    <row r="7697">
      <c r="N7697" s="5"/>
    </row>
    <row r="7698">
      <c r="N7698" s="5"/>
    </row>
    <row r="7699">
      <c r="N7699" s="5"/>
    </row>
    <row r="7700">
      <c r="N7700" s="5"/>
    </row>
    <row r="7701">
      <c r="N7701" s="5"/>
    </row>
    <row r="7702">
      <c r="N7702" s="5"/>
    </row>
    <row r="7703">
      <c r="N7703" s="5"/>
    </row>
    <row r="7704">
      <c r="N7704" s="5"/>
    </row>
    <row r="7705">
      <c r="N7705" s="5"/>
    </row>
    <row r="7706">
      <c r="N7706" s="5"/>
    </row>
    <row r="7707">
      <c r="N7707" s="5"/>
    </row>
    <row r="7708">
      <c r="N7708" s="5"/>
    </row>
    <row r="7709">
      <c r="N7709" s="5"/>
    </row>
    <row r="7710">
      <c r="N7710" s="5"/>
    </row>
    <row r="7711">
      <c r="N7711" s="5"/>
    </row>
    <row r="7712">
      <c r="N7712" s="5"/>
    </row>
    <row r="7713">
      <c r="N7713" s="5"/>
    </row>
    <row r="7714">
      <c r="N7714" s="5"/>
    </row>
    <row r="7715">
      <c r="N7715" s="5"/>
    </row>
    <row r="7716">
      <c r="N7716" s="5"/>
    </row>
    <row r="7717">
      <c r="N7717" s="5"/>
    </row>
    <row r="7718">
      <c r="N7718" s="5"/>
    </row>
    <row r="7719">
      <c r="N7719" s="5"/>
    </row>
    <row r="7720">
      <c r="N7720" s="5"/>
    </row>
    <row r="7721">
      <c r="N7721" s="5"/>
    </row>
    <row r="7722">
      <c r="N7722" s="5"/>
    </row>
    <row r="7723">
      <c r="N7723" s="5"/>
    </row>
    <row r="7724">
      <c r="N7724" s="5"/>
    </row>
    <row r="7725">
      <c r="N7725" s="5"/>
    </row>
    <row r="7726">
      <c r="N7726" s="5"/>
    </row>
    <row r="7727">
      <c r="N7727" s="5"/>
    </row>
    <row r="7728">
      <c r="N7728" s="5"/>
    </row>
    <row r="7729">
      <c r="N7729" s="5"/>
    </row>
    <row r="7730">
      <c r="N7730" s="5"/>
    </row>
    <row r="7731">
      <c r="N7731" s="5"/>
    </row>
    <row r="7732">
      <c r="N7732" s="5"/>
    </row>
    <row r="7733">
      <c r="N7733" s="5"/>
    </row>
    <row r="7734">
      <c r="N7734" s="5"/>
    </row>
    <row r="7735">
      <c r="N7735" s="5"/>
    </row>
    <row r="7736">
      <c r="N7736" s="5"/>
    </row>
    <row r="7737">
      <c r="N7737" s="5"/>
    </row>
    <row r="7738">
      <c r="N7738" s="5"/>
    </row>
    <row r="7739">
      <c r="N7739" s="5"/>
    </row>
    <row r="7740">
      <c r="N7740" s="5"/>
    </row>
    <row r="7741">
      <c r="N7741" s="5"/>
    </row>
    <row r="7742">
      <c r="N7742" s="5"/>
    </row>
    <row r="7743">
      <c r="N7743" s="5"/>
    </row>
    <row r="7744">
      <c r="N7744" s="5"/>
    </row>
    <row r="7745">
      <c r="N7745" s="5"/>
    </row>
    <row r="7746">
      <c r="N7746" s="5"/>
    </row>
    <row r="7747">
      <c r="N7747" s="5"/>
    </row>
    <row r="7748">
      <c r="N7748" s="5"/>
    </row>
    <row r="7749">
      <c r="N7749" s="5"/>
    </row>
    <row r="7750">
      <c r="N7750" s="5"/>
    </row>
    <row r="7751">
      <c r="N7751" s="5"/>
    </row>
    <row r="7752">
      <c r="N7752" s="5"/>
    </row>
    <row r="7753">
      <c r="N7753" s="5"/>
    </row>
    <row r="7754">
      <c r="N7754" s="5"/>
    </row>
    <row r="7755">
      <c r="N7755" s="5"/>
    </row>
    <row r="7756">
      <c r="N7756" s="5"/>
    </row>
    <row r="7757">
      <c r="N7757" s="5"/>
    </row>
    <row r="7758">
      <c r="N7758" s="5"/>
    </row>
    <row r="7759">
      <c r="N7759" s="5"/>
    </row>
    <row r="7760">
      <c r="N7760" s="5"/>
    </row>
    <row r="7761">
      <c r="N7761" s="5"/>
    </row>
    <row r="7762">
      <c r="N7762" s="5"/>
    </row>
    <row r="7763">
      <c r="N7763" s="5"/>
    </row>
    <row r="7764">
      <c r="N7764" s="5"/>
    </row>
    <row r="7765">
      <c r="N7765" s="5"/>
    </row>
    <row r="7766">
      <c r="N7766" s="5"/>
    </row>
    <row r="7767">
      <c r="N7767" s="5"/>
    </row>
    <row r="7768">
      <c r="N7768" s="5"/>
    </row>
    <row r="7769">
      <c r="N7769" s="5"/>
    </row>
    <row r="7770">
      <c r="N7770" s="5"/>
    </row>
    <row r="7771">
      <c r="N7771" s="5"/>
    </row>
    <row r="7772">
      <c r="N7772" s="5"/>
    </row>
    <row r="7773">
      <c r="N7773" s="5"/>
    </row>
    <row r="7774">
      <c r="N7774" s="5"/>
    </row>
    <row r="7775">
      <c r="N7775" s="5"/>
    </row>
    <row r="7776">
      <c r="N7776" s="5"/>
    </row>
    <row r="7777">
      <c r="N7777" s="5"/>
    </row>
    <row r="7778">
      <c r="N7778" s="5"/>
    </row>
    <row r="7779">
      <c r="N7779" s="5"/>
    </row>
    <row r="7780">
      <c r="N7780" s="5"/>
    </row>
    <row r="7781">
      <c r="N7781" s="5"/>
    </row>
    <row r="7782">
      <c r="N7782" s="5"/>
    </row>
    <row r="7783">
      <c r="N7783" s="5"/>
    </row>
    <row r="7784">
      <c r="N7784" s="5"/>
    </row>
    <row r="7785">
      <c r="N7785" s="5"/>
    </row>
    <row r="7786">
      <c r="N7786" s="5"/>
    </row>
    <row r="7787">
      <c r="N7787" s="5"/>
    </row>
    <row r="7788">
      <c r="N7788" s="5"/>
    </row>
    <row r="7789">
      <c r="N7789" s="5"/>
    </row>
    <row r="7790">
      <c r="N7790" s="5"/>
    </row>
    <row r="7791">
      <c r="N7791" s="5"/>
    </row>
    <row r="7792">
      <c r="N7792" s="5"/>
    </row>
    <row r="7793">
      <c r="N7793" s="5"/>
    </row>
    <row r="7794">
      <c r="N7794" s="5"/>
    </row>
    <row r="7795">
      <c r="N7795" s="5"/>
    </row>
    <row r="7796">
      <c r="N7796" s="5"/>
    </row>
    <row r="7797">
      <c r="N7797" s="5"/>
    </row>
    <row r="7798">
      <c r="N7798" s="5"/>
    </row>
    <row r="7799">
      <c r="N7799" s="5"/>
    </row>
    <row r="7800">
      <c r="N7800" s="5"/>
    </row>
    <row r="7801">
      <c r="N7801" s="5"/>
    </row>
    <row r="7802">
      <c r="N7802" s="5"/>
    </row>
    <row r="7803">
      <c r="N7803" s="5"/>
    </row>
    <row r="7804">
      <c r="N7804" s="5"/>
    </row>
    <row r="7805">
      <c r="N7805" s="5"/>
    </row>
    <row r="7806">
      <c r="N7806" s="5"/>
    </row>
    <row r="7807">
      <c r="N7807" s="5"/>
    </row>
    <row r="7808">
      <c r="N7808" s="5"/>
    </row>
    <row r="7809">
      <c r="N7809" s="5"/>
    </row>
    <row r="7810">
      <c r="N7810" s="5"/>
    </row>
    <row r="7811">
      <c r="N7811" s="5"/>
    </row>
    <row r="7812">
      <c r="N7812" s="5"/>
    </row>
    <row r="7813">
      <c r="N7813" s="5"/>
    </row>
    <row r="7814">
      <c r="N7814" s="5"/>
    </row>
    <row r="7815">
      <c r="N7815" s="5"/>
    </row>
    <row r="7816">
      <c r="N7816" s="5"/>
    </row>
    <row r="7817">
      <c r="N7817" s="5"/>
    </row>
    <row r="7818">
      <c r="N7818" s="5"/>
    </row>
    <row r="7819">
      <c r="N7819" s="5"/>
    </row>
    <row r="7820">
      <c r="N7820" s="5"/>
    </row>
    <row r="7821">
      <c r="N7821" s="5"/>
    </row>
    <row r="7822">
      <c r="N7822" s="5"/>
    </row>
    <row r="7823">
      <c r="N7823" s="5"/>
    </row>
    <row r="7824">
      <c r="N7824" s="5"/>
    </row>
    <row r="7825">
      <c r="N7825" s="5"/>
    </row>
    <row r="7826">
      <c r="N7826" s="5"/>
    </row>
    <row r="7827">
      <c r="N7827" s="5"/>
    </row>
    <row r="7828">
      <c r="N7828" s="5"/>
    </row>
    <row r="7829">
      <c r="N7829" s="5"/>
    </row>
    <row r="7830">
      <c r="N7830" s="5"/>
    </row>
    <row r="7831">
      <c r="N7831" s="5"/>
    </row>
    <row r="7832">
      <c r="N7832" s="5"/>
    </row>
    <row r="7833">
      <c r="N7833" s="5"/>
    </row>
    <row r="7834">
      <c r="N7834" s="5"/>
    </row>
    <row r="7835">
      <c r="N7835" s="5"/>
    </row>
    <row r="7836">
      <c r="N7836" s="5"/>
    </row>
    <row r="7837">
      <c r="N7837" s="5"/>
    </row>
    <row r="7838">
      <c r="N7838" s="5"/>
    </row>
    <row r="7839">
      <c r="N7839" s="5"/>
    </row>
    <row r="7840">
      <c r="N7840" s="5"/>
    </row>
    <row r="7841">
      <c r="N7841" s="5"/>
    </row>
    <row r="7842">
      <c r="N7842" s="5"/>
    </row>
    <row r="7843">
      <c r="N7843" s="5"/>
    </row>
    <row r="7844">
      <c r="N7844" s="5"/>
    </row>
    <row r="7845">
      <c r="N7845" s="5"/>
    </row>
    <row r="7846">
      <c r="N7846" s="5"/>
    </row>
    <row r="7847">
      <c r="N7847" s="5"/>
    </row>
    <row r="7848">
      <c r="N7848" s="5"/>
    </row>
    <row r="7849">
      <c r="N7849" s="5"/>
    </row>
    <row r="7850">
      <c r="N7850" s="5"/>
    </row>
    <row r="7851">
      <c r="N7851" s="5"/>
    </row>
    <row r="7852">
      <c r="N7852" s="5"/>
    </row>
    <row r="7853">
      <c r="N7853" s="5"/>
    </row>
    <row r="7854">
      <c r="N7854" s="5"/>
    </row>
    <row r="7855">
      <c r="N7855" s="5"/>
    </row>
    <row r="7856">
      <c r="N7856" s="5"/>
    </row>
    <row r="7857">
      <c r="N7857" s="5"/>
    </row>
    <row r="7858">
      <c r="N7858" s="5"/>
    </row>
    <row r="7859">
      <c r="N7859" s="5"/>
    </row>
    <row r="7860">
      <c r="N7860" s="5"/>
    </row>
    <row r="7861">
      <c r="N7861" s="5"/>
    </row>
    <row r="7862">
      <c r="N7862" s="5"/>
    </row>
    <row r="7863">
      <c r="N7863" s="5"/>
    </row>
    <row r="7864">
      <c r="N7864" s="5"/>
    </row>
    <row r="7865">
      <c r="N7865" s="5"/>
    </row>
    <row r="7866">
      <c r="N7866" s="5"/>
    </row>
    <row r="7867">
      <c r="N7867" s="5"/>
    </row>
    <row r="7868">
      <c r="N7868" s="5"/>
    </row>
    <row r="7869">
      <c r="N7869" s="5"/>
    </row>
    <row r="7870">
      <c r="N7870" s="5"/>
    </row>
    <row r="7871">
      <c r="N7871" s="5"/>
    </row>
    <row r="7872">
      <c r="N7872" s="5"/>
    </row>
    <row r="7873">
      <c r="N7873" s="5"/>
    </row>
    <row r="7874">
      <c r="N7874" s="5"/>
    </row>
    <row r="7875">
      <c r="N7875" s="5"/>
    </row>
    <row r="7876">
      <c r="N7876" s="5"/>
    </row>
    <row r="7877">
      <c r="N7877" s="5"/>
    </row>
    <row r="7878">
      <c r="N7878" s="5"/>
    </row>
    <row r="7879">
      <c r="N7879" s="5"/>
    </row>
    <row r="7880">
      <c r="N7880" s="5"/>
    </row>
    <row r="7881">
      <c r="N7881" s="5"/>
    </row>
    <row r="7882">
      <c r="N7882" s="5"/>
    </row>
    <row r="7883">
      <c r="N7883" s="5"/>
    </row>
    <row r="7884">
      <c r="N7884" s="5"/>
    </row>
    <row r="7885">
      <c r="N7885" s="5"/>
    </row>
    <row r="7886">
      <c r="N7886" s="5"/>
    </row>
    <row r="7887">
      <c r="N7887" s="5"/>
    </row>
    <row r="7888">
      <c r="N7888" s="5"/>
    </row>
    <row r="7889">
      <c r="N7889" s="5"/>
    </row>
    <row r="7890">
      <c r="N7890" s="5"/>
    </row>
    <row r="7891">
      <c r="N7891" s="5"/>
    </row>
    <row r="7892">
      <c r="N7892" s="5"/>
    </row>
    <row r="7893">
      <c r="N7893" s="5"/>
    </row>
    <row r="7894">
      <c r="N7894" s="5"/>
    </row>
    <row r="7895">
      <c r="N7895" s="5"/>
    </row>
    <row r="7896">
      <c r="N7896" s="5"/>
    </row>
    <row r="7897">
      <c r="N7897" s="5"/>
    </row>
    <row r="7898">
      <c r="N7898" s="5"/>
    </row>
    <row r="7899">
      <c r="N7899" s="5"/>
    </row>
    <row r="7900">
      <c r="N7900" s="5"/>
    </row>
    <row r="7901">
      <c r="N7901" s="5"/>
    </row>
    <row r="7902">
      <c r="N7902" s="5"/>
    </row>
    <row r="7903">
      <c r="N7903" s="5"/>
    </row>
    <row r="7904">
      <c r="N7904" s="5"/>
    </row>
    <row r="7905">
      <c r="N7905" s="5"/>
    </row>
    <row r="7906">
      <c r="N7906" s="5"/>
    </row>
    <row r="7907">
      <c r="N7907" s="5"/>
    </row>
    <row r="7908">
      <c r="N7908" s="5"/>
    </row>
    <row r="7909">
      <c r="N7909" s="5"/>
    </row>
    <row r="7910">
      <c r="N7910" s="5"/>
    </row>
    <row r="7911">
      <c r="N7911" s="5"/>
    </row>
    <row r="7912">
      <c r="N7912" s="5"/>
    </row>
    <row r="7913">
      <c r="N7913" s="5"/>
    </row>
    <row r="7914">
      <c r="N7914" s="5"/>
    </row>
    <row r="7915">
      <c r="N7915" s="5"/>
    </row>
    <row r="7916">
      <c r="N7916" s="5"/>
    </row>
    <row r="7917">
      <c r="N7917" s="5"/>
    </row>
    <row r="7918">
      <c r="N7918" s="5"/>
    </row>
    <row r="7919">
      <c r="N7919" s="5"/>
    </row>
    <row r="7920">
      <c r="N7920" s="5"/>
    </row>
    <row r="7921">
      <c r="N7921" s="5"/>
    </row>
    <row r="7922">
      <c r="N7922" s="5"/>
    </row>
    <row r="7923">
      <c r="N7923" s="5"/>
    </row>
    <row r="7924">
      <c r="N7924" s="5"/>
    </row>
    <row r="7925">
      <c r="N7925" s="5"/>
    </row>
    <row r="7926">
      <c r="N7926" s="5"/>
    </row>
    <row r="7927">
      <c r="N7927" s="5"/>
    </row>
    <row r="7928">
      <c r="N7928" s="5"/>
    </row>
    <row r="7929">
      <c r="N7929" s="5"/>
    </row>
    <row r="7930">
      <c r="N7930" s="5"/>
    </row>
    <row r="7931">
      <c r="N7931" s="5"/>
    </row>
    <row r="7932">
      <c r="N7932" s="5"/>
    </row>
    <row r="7933">
      <c r="N7933" s="5"/>
    </row>
    <row r="7934">
      <c r="N7934" s="5"/>
    </row>
    <row r="7935">
      <c r="N7935" s="5"/>
    </row>
    <row r="7936">
      <c r="N7936" s="5"/>
    </row>
    <row r="7937">
      <c r="N7937" s="5"/>
    </row>
    <row r="7938">
      <c r="N7938" s="5"/>
    </row>
    <row r="7939">
      <c r="N7939" s="5"/>
    </row>
    <row r="7940">
      <c r="N7940" s="5"/>
    </row>
    <row r="7941">
      <c r="N7941" s="5"/>
    </row>
    <row r="7942">
      <c r="N7942" s="5"/>
    </row>
    <row r="7943">
      <c r="N7943" s="5"/>
    </row>
    <row r="7944">
      <c r="N7944" s="5"/>
    </row>
    <row r="7945">
      <c r="N7945" s="5"/>
    </row>
    <row r="7946">
      <c r="N7946" s="5"/>
    </row>
    <row r="7947">
      <c r="N7947" s="5"/>
    </row>
    <row r="7948">
      <c r="N7948" s="5"/>
    </row>
    <row r="7949">
      <c r="N7949" s="5"/>
    </row>
    <row r="7950">
      <c r="N7950" s="5"/>
    </row>
    <row r="7951">
      <c r="N7951" s="5"/>
    </row>
    <row r="7952">
      <c r="N7952" s="5"/>
    </row>
    <row r="7953">
      <c r="N7953" s="5"/>
    </row>
    <row r="7954">
      <c r="N7954" s="5"/>
    </row>
    <row r="7955">
      <c r="N7955" s="5"/>
    </row>
    <row r="7956">
      <c r="N7956" s="5"/>
    </row>
    <row r="7957">
      <c r="N7957" s="5"/>
    </row>
    <row r="7958">
      <c r="N7958" s="5"/>
    </row>
    <row r="7959">
      <c r="N7959" s="5"/>
    </row>
    <row r="7960">
      <c r="N7960" s="5"/>
    </row>
    <row r="7961">
      <c r="N7961" s="5"/>
    </row>
    <row r="7962">
      <c r="N7962" s="5"/>
    </row>
    <row r="7963">
      <c r="N7963" s="5"/>
    </row>
    <row r="7964">
      <c r="N7964" s="5"/>
    </row>
    <row r="7965">
      <c r="N7965" s="5"/>
    </row>
    <row r="7966">
      <c r="N7966" s="5"/>
    </row>
    <row r="7967">
      <c r="N7967" s="5"/>
    </row>
    <row r="7968">
      <c r="N7968" s="5"/>
    </row>
    <row r="7969">
      <c r="N7969" s="5"/>
    </row>
    <row r="7970">
      <c r="N7970" s="5"/>
    </row>
    <row r="7971">
      <c r="N7971" s="5"/>
    </row>
    <row r="7972">
      <c r="N7972" s="5"/>
    </row>
    <row r="7973">
      <c r="N7973" s="5"/>
    </row>
    <row r="7974">
      <c r="N7974" s="5"/>
    </row>
    <row r="7975">
      <c r="N7975" s="5"/>
    </row>
    <row r="7976">
      <c r="N7976" s="5"/>
    </row>
    <row r="7977">
      <c r="N7977" s="5"/>
    </row>
    <row r="7978">
      <c r="N7978" s="5"/>
    </row>
    <row r="7979">
      <c r="N7979" s="5"/>
    </row>
    <row r="7980">
      <c r="N7980" s="5"/>
    </row>
    <row r="7981">
      <c r="N7981" s="5"/>
    </row>
    <row r="7982">
      <c r="N7982" s="5"/>
    </row>
    <row r="7983">
      <c r="N7983" s="5"/>
    </row>
    <row r="7984">
      <c r="N7984" s="5"/>
    </row>
    <row r="7985">
      <c r="N7985" s="5"/>
    </row>
    <row r="7986">
      <c r="N7986" s="5"/>
    </row>
    <row r="7987">
      <c r="N7987" s="5"/>
    </row>
    <row r="7988">
      <c r="N7988" s="5"/>
    </row>
    <row r="7989">
      <c r="N7989" s="5"/>
    </row>
    <row r="7990">
      <c r="N7990" s="5"/>
    </row>
    <row r="7991">
      <c r="N7991" s="5"/>
    </row>
    <row r="7992">
      <c r="N7992" s="5"/>
    </row>
    <row r="7993">
      <c r="N7993" s="5"/>
    </row>
    <row r="7994">
      <c r="N7994" s="5"/>
    </row>
    <row r="7995">
      <c r="N7995" s="5"/>
    </row>
    <row r="7996">
      <c r="N7996" s="5"/>
    </row>
    <row r="7997">
      <c r="N7997" s="5"/>
    </row>
    <row r="7998">
      <c r="N7998" s="5"/>
    </row>
    <row r="7999">
      <c r="N7999" s="5"/>
    </row>
    <row r="8000">
      <c r="N8000" s="5"/>
    </row>
    <row r="8001">
      <c r="N8001" s="5"/>
    </row>
    <row r="8002">
      <c r="N8002" s="5"/>
    </row>
    <row r="8003">
      <c r="N8003" s="5"/>
    </row>
    <row r="8004">
      <c r="N8004" s="5"/>
    </row>
    <row r="8005">
      <c r="N8005" s="5"/>
    </row>
    <row r="8006">
      <c r="N8006" s="5"/>
    </row>
    <row r="8007">
      <c r="N8007" s="5"/>
    </row>
    <row r="8008">
      <c r="N8008" s="5"/>
    </row>
    <row r="8009">
      <c r="N8009" s="5"/>
    </row>
    <row r="8010">
      <c r="N8010" s="5"/>
    </row>
    <row r="8011">
      <c r="N8011" s="5"/>
    </row>
    <row r="8012">
      <c r="N8012" s="5"/>
    </row>
    <row r="8013">
      <c r="N8013" s="5"/>
    </row>
    <row r="8014">
      <c r="N8014" s="5"/>
    </row>
    <row r="8015">
      <c r="N8015" s="5"/>
    </row>
    <row r="8016">
      <c r="N8016" s="5"/>
    </row>
    <row r="8017">
      <c r="N8017" s="5"/>
    </row>
    <row r="8018">
      <c r="N8018" s="5"/>
    </row>
    <row r="8019">
      <c r="N8019" s="5"/>
    </row>
    <row r="8020">
      <c r="N8020" s="5"/>
    </row>
    <row r="8021">
      <c r="N8021" s="5"/>
    </row>
    <row r="8022">
      <c r="N8022" s="5"/>
    </row>
    <row r="8023">
      <c r="N8023" s="5"/>
    </row>
    <row r="8024">
      <c r="N8024" s="5"/>
    </row>
    <row r="8025">
      <c r="N8025" s="5"/>
    </row>
    <row r="8026">
      <c r="N8026" s="5"/>
    </row>
    <row r="8027">
      <c r="N8027" s="5"/>
    </row>
    <row r="8028">
      <c r="N8028" s="5"/>
    </row>
    <row r="8029">
      <c r="N8029" s="5"/>
    </row>
    <row r="8030">
      <c r="N8030" s="5"/>
    </row>
    <row r="8031">
      <c r="N8031" s="5"/>
    </row>
    <row r="8032">
      <c r="N8032" s="5"/>
    </row>
    <row r="8033">
      <c r="N8033" s="5"/>
    </row>
    <row r="8034">
      <c r="N8034" s="5"/>
    </row>
    <row r="8035">
      <c r="N8035" s="5"/>
    </row>
    <row r="8036">
      <c r="N8036" s="5"/>
    </row>
    <row r="8037">
      <c r="N8037" s="5"/>
    </row>
    <row r="8038">
      <c r="N8038" s="5"/>
    </row>
    <row r="8039">
      <c r="N8039" s="5"/>
    </row>
    <row r="8040">
      <c r="N8040" s="5"/>
    </row>
    <row r="8041">
      <c r="N8041" s="5"/>
    </row>
    <row r="8042">
      <c r="N8042" s="5"/>
    </row>
    <row r="8043">
      <c r="N8043" s="5"/>
    </row>
    <row r="8044">
      <c r="N8044" s="5"/>
    </row>
    <row r="8045">
      <c r="N8045" s="5"/>
    </row>
    <row r="8046">
      <c r="N8046" s="5"/>
    </row>
    <row r="8047">
      <c r="N8047" s="5"/>
    </row>
    <row r="8048">
      <c r="N8048" s="5"/>
    </row>
    <row r="8049">
      <c r="N8049" s="5"/>
    </row>
    <row r="8050">
      <c r="N8050" s="5"/>
    </row>
    <row r="8051">
      <c r="N8051" s="5"/>
    </row>
    <row r="8052">
      <c r="N8052" s="5"/>
    </row>
    <row r="8053">
      <c r="N8053" s="5"/>
    </row>
    <row r="8054">
      <c r="N8054" s="5"/>
    </row>
    <row r="8055">
      <c r="N8055" s="5"/>
    </row>
    <row r="8056">
      <c r="N8056" s="5"/>
    </row>
    <row r="8057">
      <c r="N8057" s="5"/>
    </row>
    <row r="8058">
      <c r="N8058" s="5"/>
    </row>
    <row r="8059">
      <c r="N8059" s="5"/>
    </row>
    <row r="8060">
      <c r="N8060" s="5"/>
    </row>
    <row r="8061">
      <c r="N8061" s="5"/>
    </row>
    <row r="8062">
      <c r="N8062" s="5"/>
    </row>
    <row r="8063">
      <c r="N8063" s="5"/>
    </row>
    <row r="8064">
      <c r="N8064" s="5"/>
    </row>
    <row r="8065">
      <c r="N8065" s="5"/>
    </row>
    <row r="8066">
      <c r="N8066" s="5"/>
    </row>
    <row r="8067">
      <c r="N8067" s="5"/>
    </row>
    <row r="8068">
      <c r="N8068" s="5"/>
    </row>
    <row r="8069">
      <c r="N8069" s="5"/>
    </row>
    <row r="8070">
      <c r="N8070" s="5"/>
    </row>
    <row r="8071">
      <c r="N8071" s="5"/>
    </row>
    <row r="8072">
      <c r="N8072" s="5"/>
    </row>
    <row r="8073">
      <c r="N8073" s="5"/>
    </row>
    <row r="8074">
      <c r="N8074" s="5"/>
    </row>
    <row r="8075">
      <c r="N8075" s="5"/>
    </row>
    <row r="8076">
      <c r="N8076" s="5"/>
    </row>
    <row r="8077">
      <c r="N8077" s="5"/>
    </row>
    <row r="8078">
      <c r="N8078" s="5"/>
    </row>
    <row r="8079">
      <c r="N8079" s="5"/>
    </row>
    <row r="8080">
      <c r="N8080" s="5"/>
    </row>
    <row r="8081">
      <c r="N8081" s="5"/>
    </row>
    <row r="8082">
      <c r="N8082" s="5"/>
    </row>
    <row r="8083">
      <c r="N8083" s="5"/>
    </row>
    <row r="8084">
      <c r="N8084" s="5"/>
    </row>
    <row r="8085">
      <c r="N8085" s="5"/>
    </row>
    <row r="8086">
      <c r="N8086" s="5"/>
    </row>
    <row r="8087">
      <c r="N8087" s="5"/>
    </row>
    <row r="8088">
      <c r="N8088" s="5"/>
    </row>
    <row r="8089">
      <c r="N8089" s="5"/>
    </row>
    <row r="8090">
      <c r="N8090" s="5"/>
    </row>
    <row r="8091">
      <c r="N8091" s="5"/>
    </row>
    <row r="8092">
      <c r="N8092" s="5"/>
    </row>
    <row r="8093">
      <c r="N8093" s="5"/>
    </row>
    <row r="8094">
      <c r="N8094" s="5"/>
    </row>
    <row r="8095">
      <c r="N8095" s="5"/>
    </row>
    <row r="8096">
      <c r="N8096" s="5"/>
    </row>
    <row r="8097">
      <c r="N8097" s="5"/>
    </row>
    <row r="8098">
      <c r="N8098" s="5"/>
    </row>
    <row r="8099">
      <c r="N8099" s="5"/>
    </row>
    <row r="8100">
      <c r="N8100" s="5"/>
    </row>
    <row r="8101">
      <c r="N8101" s="5"/>
    </row>
    <row r="8102">
      <c r="N8102" s="5"/>
    </row>
    <row r="8103">
      <c r="N8103" s="5"/>
    </row>
    <row r="8104">
      <c r="N8104" s="5"/>
    </row>
    <row r="8105">
      <c r="N8105" s="5"/>
    </row>
    <row r="8106">
      <c r="N8106" s="5"/>
    </row>
    <row r="8107">
      <c r="N8107" s="5"/>
    </row>
    <row r="8108">
      <c r="N8108" s="5"/>
    </row>
    <row r="8109">
      <c r="N8109" s="5"/>
    </row>
    <row r="8110">
      <c r="N8110" s="5"/>
    </row>
    <row r="8111">
      <c r="N8111" s="5"/>
    </row>
    <row r="8112">
      <c r="N8112" s="5"/>
    </row>
    <row r="8113">
      <c r="N8113" s="5"/>
    </row>
    <row r="8114">
      <c r="N8114" s="5"/>
    </row>
    <row r="8115">
      <c r="N8115" s="5"/>
    </row>
    <row r="8116">
      <c r="N8116" s="5"/>
    </row>
    <row r="8117">
      <c r="N8117" s="5"/>
    </row>
    <row r="8118">
      <c r="N8118" s="5"/>
    </row>
    <row r="8119">
      <c r="N8119" s="5"/>
    </row>
    <row r="8120">
      <c r="N8120" s="5"/>
    </row>
    <row r="8121">
      <c r="N8121" s="5"/>
    </row>
    <row r="8122">
      <c r="N8122" s="5"/>
    </row>
    <row r="8123">
      <c r="N8123" s="5"/>
    </row>
    <row r="8124">
      <c r="N8124" s="5"/>
    </row>
    <row r="8125">
      <c r="N8125" s="5"/>
    </row>
    <row r="8126">
      <c r="N8126" s="5"/>
    </row>
    <row r="8127">
      <c r="N8127" s="5"/>
    </row>
    <row r="8128">
      <c r="N8128" s="5"/>
    </row>
    <row r="8129">
      <c r="N8129" s="5"/>
    </row>
    <row r="8130">
      <c r="N8130" s="5"/>
    </row>
    <row r="8131">
      <c r="N8131" s="5"/>
    </row>
    <row r="8132">
      <c r="N8132" s="5"/>
    </row>
    <row r="8133">
      <c r="N8133" s="5"/>
    </row>
    <row r="8134">
      <c r="N8134" s="5"/>
    </row>
    <row r="8135">
      <c r="N8135" s="5"/>
    </row>
    <row r="8136">
      <c r="N8136" s="5"/>
    </row>
    <row r="8137">
      <c r="N8137" s="5"/>
    </row>
    <row r="8138">
      <c r="N8138" s="5"/>
    </row>
    <row r="8139">
      <c r="N8139" s="5"/>
    </row>
    <row r="8140">
      <c r="N8140" s="5"/>
    </row>
    <row r="8141">
      <c r="N8141" s="5"/>
    </row>
    <row r="8142">
      <c r="N8142" s="5"/>
    </row>
    <row r="8143">
      <c r="N8143" s="5"/>
    </row>
    <row r="8144">
      <c r="N8144" s="5"/>
    </row>
    <row r="8145">
      <c r="N8145" s="5"/>
    </row>
    <row r="8146">
      <c r="N8146" s="5"/>
    </row>
    <row r="8147">
      <c r="N8147" s="5"/>
    </row>
    <row r="8148">
      <c r="N8148" s="5"/>
    </row>
    <row r="8149">
      <c r="N8149" s="5"/>
    </row>
    <row r="8150">
      <c r="N8150" s="5"/>
    </row>
    <row r="8151">
      <c r="N8151" s="5"/>
    </row>
    <row r="8152">
      <c r="N8152" s="5"/>
    </row>
    <row r="8153">
      <c r="N8153" s="5"/>
    </row>
    <row r="8154">
      <c r="N8154" s="5"/>
    </row>
    <row r="8155">
      <c r="N8155" s="5"/>
    </row>
    <row r="8156">
      <c r="N8156" s="5"/>
    </row>
    <row r="8157">
      <c r="N8157" s="5"/>
    </row>
    <row r="8158">
      <c r="N8158" s="5"/>
    </row>
    <row r="8159">
      <c r="N8159" s="5"/>
    </row>
    <row r="8160">
      <c r="N8160" s="5"/>
    </row>
    <row r="8161">
      <c r="N8161" s="5"/>
    </row>
    <row r="8162">
      <c r="N8162" s="5"/>
    </row>
    <row r="8163">
      <c r="N8163" s="5"/>
    </row>
    <row r="8164">
      <c r="N8164" s="5"/>
    </row>
    <row r="8165">
      <c r="N8165" s="5"/>
    </row>
    <row r="8166">
      <c r="N8166" s="5"/>
    </row>
    <row r="8167">
      <c r="N8167" s="5"/>
    </row>
    <row r="8168">
      <c r="N8168" s="5"/>
    </row>
    <row r="8169">
      <c r="N8169" s="5"/>
    </row>
    <row r="8170">
      <c r="N8170" s="5"/>
    </row>
    <row r="8171">
      <c r="N8171" s="5"/>
    </row>
    <row r="8172">
      <c r="N8172" s="5"/>
    </row>
    <row r="8173">
      <c r="N8173" s="5"/>
    </row>
    <row r="8174">
      <c r="N8174" s="5"/>
    </row>
    <row r="8175">
      <c r="N8175" s="5"/>
    </row>
    <row r="8176">
      <c r="N8176" s="5"/>
    </row>
    <row r="8177">
      <c r="N8177" s="5"/>
    </row>
    <row r="8178">
      <c r="N8178" s="5"/>
    </row>
    <row r="8179">
      <c r="N8179" s="5"/>
    </row>
    <row r="8180">
      <c r="N8180" s="5"/>
    </row>
    <row r="8181">
      <c r="N8181" s="5"/>
    </row>
    <row r="8182">
      <c r="N8182" s="5"/>
    </row>
    <row r="8183">
      <c r="N8183" s="5"/>
    </row>
    <row r="8184">
      <c r="N8184" s="5"/>
    </row>
    <row r="8185">
      <c r="N8185" s="5"/>
    </row>
    <row r="8186">
      <c r="N8186" s="5"/>
    </row>
    <row r="8187">
      <c r="N8187" s="5"/>
    </row>
    <row r="8188">
      <c r="N8188" s="5"/>
    </row>
    <row r="8189">
      <c r="N8189" s="5"/>
    </row>
    <row r="8190">
      <c r="N8190" s="5"/>
    </row>
    <row r="8191">
      <c r="N8191" s="5"/>
    </row>
    <row r="8192">
      <c r="N8192" s="5"/>
    </row>
    <row r="8193">
      <c r="N8193" s="5"/>
    </row>
    <row r="8194">
      <c r="N8194" s="5"/>
    </row>
    <row r="8195">
      <c r="N8195" s="5"/>
    </row>
    <row r="8196">
      <c r="N8196" s="5"/>
    </row>
    <row r="8197">
      <c r="N8197" s="5"/>
    </row>
    <row r="8198">
      <c r="N8198" s="5"/>
    </row>
    <row r="8199">
      <c r="N8199" s="5"/>
    </row>
    <row r="8200">
      <c r="N8200" s="5"/>
    </row>
    <row r="8201">
      <c r="N8201" s="5"/>
    </row>
    <row r="8202">
      <c r="N8202" s="5"/>
    </row>
    <row r="8203">
      <c r="N8203" s="5"/>
    </row>
    <row r="8204">
      <c r="N8204" s="5"/>
    </row>
    <row r="8205">
      <c r="N8205" s="5"/>
    </row>
    <row r="8206">
      <c r="N8206" s="5"/>
    </row>
    <row r="8207">
      <c r="N8207" s="5"/>
    </row>
    <row r="8208">
      <c r="N8208" s="5"/>
    </row>
    <row r="8209">
      <c r="N8209" s="5"/>
    </row>
    <row r="8210">
      <c r="N8210" s="5"/>
    </row>
    <row r="8211">
      <c r="N8211" s="5"/>
    </row>
    <row r="8212">
      <c r="N8212" s="5"/>
    </row>
    <row r="8213">
      <c r="N8213" s="5"/>
    </row>
    <row r="8214">
      <c r="N8214" s="5"/>
    </row>
    <row r="8215">
      <c r="N8215" s="5"/>
    </row>
    <row r="8216">
      <c r="N8216" s="5"/>
    </row>
    <row r="8217">
      <c r="N8217" s="5"/>
    </row>
    <row r="8218">
      <c r="N8218" s="5"/>
    </row>
    <row r="8219">
      <c r="N8219" s="5"/>
    </row>
    <row r="8220">
      <c r="N8220" s="5"/>
    </row>
    <row r="8221">
      <c r="N8221" s="5"/>
    </row>
    <row r="8222">
      <c r="N8222" s="5"/>
    </row>
    <row r="8223">
      <c r="N8223" s="5"/>
    </row>
    <row r="8224">
      <c r="N8224" s="5"/>
    </row>
    <row r="8225">
      <c r="N8225" s="5"/>
    </row>
    <row r="8226">
      <c r="N8226" s="5"/>
    </row>
    <row r="8227">
      <c r="N8227" s="5"/>
    </row>
    <row r="8228">
      <c r="N8228" s="5"/>
    </row>
    <row r="8229">
      <c r="N8229" s="5"/>
    </row>
    <row r="8230">
      <c r="N8230" s="5"/>
    </row>
    <row r="8231">
      <c r="N8231" s="5"/>
    </row>
    <row r="8232">
      <c r="N8232" s="5"/>
    </row>
    <row r="8233">
      <c r="N8233" s="5"/>
    </row>
    <row r="8234">
      <c r="N8234" s="5"/>
    </row>
    <row r="8235">
      <c r="N8235" s="5"/>
    </row>
    <row r="8236">
      <c r="N8236" s="5"/>
    </row>
    <row r="8237">
      <c r="N8237" s="5"/>
    </row>
    <row r="8238">
      <c r="N8238" s="5"/>
    </row>
    <row r="8239">
      <c r="N8239" s="5"/>
    </row>
    <row r="8240">
      <c r="N8240" s="5"/>
    </row>
    <row r="8241">
      <c r="N8241" s="5"/>
    </row>
    <row r="8242">
      <c r="N8242" s="5"/>
    </row>
    <row r="8243">
      <c r="N8243" s="5"/>
    </row>
    <row r="8244">
      <c r="N8244" s="5"/>
    </row>
    <row r="8245">
      <c r="N8245" s="5"/>
    </row>
    <row r="8246">
      <c r="N8246" s="5"/>
    </row>
    <row r="8247">
      <c r="N8247" s="5"/>
    </row>
    <row r="8248">
      <c r="N8248" s="5"/>
    </row>
    <row r="8249">
      <c r="N8249" s="5"/>
    </row>
    <row r="8250">
      <c r="N8250" s="5"/>
    </row>
    <row r="8251">
      <c r="N8251" s="5"/>
    </row>
    <row r="8252">
      <c r="N8252" s="5"/>
    </row>
    <row r="8253">
      <c r="N8253" s="5"/>
    </row>
    <row r="8254">
      <c r="N8254" s="5"/>
    </row>
    <row r="8255">
      <c r="N8255" s="5"/>
    </row>
    <row r="8256">
      <c r="N8256" s="5"/>
    </row>
    <row r="8257">
      <c r="N8257" s="5"/>
    </row>
    <row r="8258">
      <c r="N8258" s="5"/>
    </row>
    <row r="8259">
      <c r="N8259" s="5"/>
    </row>
    <row r="8260">
      <c r="N8260" s="5"/>
    </row>
    <row r="8261">
      <c r="N8261" s="5"/>
    </row>
    <row r="8262">
      <c r="N8262" s="5"/>
    </row>
    <row r="8263">
      <c r="N8263" s="5"/>
    </row>
    <row r="8264">
      <c r="N8264" s="5"/>
    </row>
    <row r="8265">
      <c r="N8265" s="5"/>
    </row>
    <row r="8266">
      <c r="N8266" s="5"/>
    </row>
    <row r="8267">
      <c r="N8267" s="5"/>
    </row>
    <row r="8268">
      <c r="N8268" s="5"/>
    </row>
    <row r="8269">
      <c r="N8269" s="5"/>
    </row>
    <row r="8270">
      <c r="N8270" s="5"/>
    </row>
    <row r="8271">
      <c r="N8271" s="5"/>
    </row>
    <row r="8272">
      <c r="N8272" s="5"/>
    </row>
    <row r="8273">
      <c r="N8273" s="5"/>
    </row>
    <row r="8274">
      <c r="N8274" s="5"/>
    </row>
    <row r="8275">
      <c r="N8275" s="5"/>
    </row>
    <row r="8276">
      <c r="N8276" s="5"/>
    </row>
    <row r="8277">
      <c r="N8277" s="5"/>
    </row>
    <row r="8278">
      <c r="N8278" s="5"/>
    </row>
    <row r="8279">
      <c r="N8279" s="5"/>
    </row>
    <row r="8280">
      <c r="N8280" s="5"/>
    </row>
    <row r="8281">
      <c r="N8281" s="5"/>
    </row>
    <row r="8282">
      <c r="N8282" s="5"/>
    </row>
    <row r="8283">
      <c r="N8283" s="5"/>
    </row>
    <row r="8284">
      <c r="N8284" s="5"/>
    </row>
    <row r="8285">
      <c r="N8285" s="5"/>
    </row>
    <row r="8286">
      <c r="N8286" s="5"/>
    </row>
    <row r="8287">
      <c r="N8287" s="5"/>
    </row>
    <row r="8288">
      <c r="N8288" s="5"/>
    </row>
    <row r="8289">
      <c r="N8289" s="5"/>
    </row>
    <row r="8290">
      <c r="N8290" s="5"/>
    </row>
    <row r="8291">
      <c r="N8291" s="5"/>
    </row>
    <row r="8292">
      <c r="N8292" s="5"/>
    </row>
    <row r="8293">
      <c r="N8293" s="5"/>
    </row>
    <row r="8294">
      <c r="N8294" s="5"/>
    </row>
    <row r="8295">
      <c r="N8295" s="5"/>
    </row>
    <row r="8296">
      <c r="N8296" s="5"/>
    </row>
    <row r="8297">
      <c r="N8297" s="5"/>
    </row>
    <row r="8298">
      <c r="N8298" s="5"/>
    </row>
    <row r="8299">
      <c r="N8299" s="5"/>
    </row>
    <row r="8300">
      <c r="N8300" s="5"/>
    </row>
    <row r="8301">
      <c r="N8301" s="5"/>
    </row>
    <row r="8302">
      <c r="N8302" s="5"/>
    </row>
    <row r="8303">
      <c r="N8303" s="5"/>
    </row>
    <row r="8304">
      <c r="N8304" s="5"/>
    </row>
    <row r="8305">
      <c r="N8305" s="5"/>
    </row>
    <row r="8306">
      <c r="N8306" s="5"/>
    </row>
    <row r="8307">
      <c r="N8307" s="5"/>
    </row>
    <row r="8308">
      <c r="N8308" s="5"/>
    </row>
    <row r="8309">
      <c r="N8309" s="5"/>
    </row>
    <row r="8310">
      <c r="N8310" s="5"/>
    </row>
    <row r="8311">
      <c r="N8311" s="5"/>
    </row>
    <row r="8312">
      <c r="N8312" s="5"/>
    </row>
    <row r="8313">
      <c r="N8313" s="5"/>
    </row>
    <row r="8314">
      <c r="N8314" s="5"/>
    </row>
    <row r="8315">
      <c r="N8315" s="5"/>
    </row>
    <row r="8316">
      <c r="N8316" s="5"/>
    </row>
    <row r="8317">
      <c r="N8317" s="5"/>
    </row>
    <row r="8318">
      <c r="N8318" s="5"/>
    </row>
    <row r="8319">
      <c r="N8319" s="5"/>
    </row>
    <row r="8320">
      <c r="N8320" s="5"/>
    </row>
    <row r="8321">
      <c r="N8321" s="5"/>
    </row>
    <row r="8322">
      <c r="N8322" s="5"/>
    </row>
    <row r="8323">
      <c r="N8323" s="5"/>
    </row>
    <row r="8324">
      <c r="N8324" s="5"/>
    </row>
    <row r="8325">
      <c r="N8325" s="5"/>
    </row>
    <row r="8326">
      <c r="N8326" s="5"/>
    </row>
    <row r="8327">
      <c r="N8327" s="5"/>
    </row>
    <row r="8328">
      <c r="N8328" s="5"/>
    </row>
    <row r="8329">
      <c r="N8329" s="5"/>
    </row>
    <row r="8330">
      <c r="N8330" s="5"/>
    </row>
    <row r="8331">
      <c r="N8331" s="5"/>
    </row>
    <row r="8332">
      <c r="N8332" s="5"/>
    </row>
    <row r="8333">
      <c r="N8333" s="5"/>
    </row>
    <row r="8334">
      <c r="N8334" s="5"/>
    </row>
    <row r="8335">
      <c r="N8335" s="5"/>
    </row>
    <row r="8336">
      <c r="N8336" s="5"/>
    </row>
    <row r="8337">
      <c r="N8337" s="5"/>
    </row>
    <row r="8338">
      <c r="N8338" s="5"/>
    </row>
    <row r="8339">
      <c r="N8339" s="5"/>
    </row>
    <row r="8340">
      <c r="N8340" s="5"/>
    </row>
    <row r="8341">
      <c r="N8341" s="5"/>
    </row>
    <row r="8342">
      <c r="N8342" s="5"/>
    </row>
    <row r="8343">
      <c r="N8343" s="5"/>
    </row>
    <row r="8344">
      <c r="N8344" s="5"/>
    </row>
    <row r="8345">
      <c r="N8345" s="5"/>
    </row>
    <row r="8346">
      <c r="N8346" s="5"/>
    </row>
    <row r="8347">
      <c r="N8347" s="5"/>
    </row>
    <row r="8348">
      <c r="N8348" s="5"/>
    </row>
    <row r="8349">
      <c r="N8349" s="5"/>
    </row>
    <row r="8350">
      <c r="N8350" s="5"/>
    </row>
    <row r="8351">
      <c r="N8351" s="5"/>
    </row>
    <row r="8352">
      <c r="N8352" s="5"/>
    </row>
    <row r="8353">
      <c r="N8353" s="5"/>
    </row>
    <row r="8354">
      <c r="N8354" s="5"/>
    </row>
    <row r="8355">
      <c r="N8355" s="5"/>
    </row>
    <row r="8356">
      <c r="N8356" s="5"/>
    </row>
    <row r="8357">
      <c r="N8357" s="5"/>
    </row>
    <row r="8358">
      <c r="N8358" s="5"/>
    </row>
    <row r="8359">
      <c r="N8359" s="5"/>
    </row>
    <row r="8360">
      <c r="N8360" s="5"/>
    </row>
    <row r="8361">
      <c r="N8361" s="5"/>
    </row>
    <row r="8362">
      <c r="N8362" s="5"/>
    </row>
    <row r="8363">
      <c r="N8363" s="5"/>
    </row>
    <row r="8364">
      <c r="N8364" s="5"/>
    </row>
    <row r="8365">
      <c r="N8365" s="5"/>
    </row>
    <row r="8366">
      <c r="N8366" s="5"/>
    </row>
    <row r="8367">
      <c r="N8367" s="5"/>
    </row>
    <row r="8368">
      <c r="N8368" s="5"/>
    </row>
    <row r="8369">
      <c r="N8369" s="5"/>
    </row>
    <row r="8370">
      <c r="N8370" s="5"/>
    </row>
    <row r="8371">
      <c r="N8371" s="5"/>
    </row>
    <row r="8372">
      <c r="N8372" s="5"/>
    </row>
    <row r="8373">
      <c r="N8373" s="5"/>
    </row>
    <row r="8374">
      <c r="N8374" s="5"/>
    </row>
    <row r="8375">
      <c r="N8375" s="5"/>
    </row>
    <row r="8376">
      <c r="N8376" s="5"/>
    </row>
    <row r="8377">
      <c r="N8377" s="5"/>
    </row>
    <row r="8378">
      <c r="N8378" s="5"/>
    </row>
    <row r="8379">
      <c r="N8379" s="5"/>
    </row>
    <row r="8380">
      <c r="N8380" s="5"/>
    </row>
    <row r="8381">
      <c r="N8381" s="5"/>
    </row>
    <row r="8382">
      <c r="N8382" s="5"/>
    </row>
    <row r="8383">
      <c r="N8383" s="5"/>
    </row>
    <row r="8384">
      <c r="N8384" s="5"/>
    </row>
    <row r="8385">
      <c r="N8385" s="5"/>
    </row>
    <row r="8386">
      <c r="N8386" s="5"/>
    </row>
    <row r="8387">
      <c r="N8387" s="5"/>
    </row>
    <row r="8388">
      <c r="N8388" s="5"/>
    </row>
    <row r="8389">
      <c r="N8389" s="5"/>
    </row>
    <row r="8390">
      <c r="N8390" s="5"/>
    </row>
    <row r="8391">
      <c r="N8391" s="5"/>
    </row>
    <row r="8392">
      <c r="N8392" s="5"/>
    </row>
    <row r="8393">
      <c r="N8393" s="5"/>
    </row>
    <row r="8394">
      <c r="N8394" s="5"/>
    </row>
    <row r="8395">
      <c r="N8395" s="5"/>
    </row>
    <row r="8396">
      <c r="N8396" s="5"/>
    </row>
    <row r="8397">
      <c r="N8397" s="5"/>
    </row>
    <row r="8398">
      <c r="N8398" s="5"/>
    </row>
    <row r="8399">
      <c r="N8399" s="5"/>
    </row>
    <row r="8400">
      <c r="N8400" s="5"/>
    </row>
    <row r="8401">
      <c r="N8401" s="5"/>
    </row>
    <row r="8402">
      <c r="N8402" s="5"/>
    </row>
    <row r="8403">
      <c r="N8403" s="5"/>
    </row>
    <row r="8404">
      <c r="N8404" s="5"/>
    </row>
    <row r="8405">
      <c r="N8405" s="5"/>
    </row>
    <row r="8406">
      <c r="N8406" s="5"/>
    </row>
    <row r="8407">
      <c r="N8407" s="5"/>
    </row>
    <row r="8408">
      <c r="N8408" s="5"/>
    </row>
    <row r="8409">
      <c r="N8409" s="5"/>
    </row>
    <row r="8410">
      <c r="N8410" s="5"/>
    </row>
    <row r="8411">
      <c r="N8411" s="5"/>
    </row>
    <row r="8412">
      <c r="N8412" s="5"/>
    </row>
    <row r="8413">
      <c r="N8413" s="5"/>
    </row>
    <row r="8414">
      <c r="N8414" s="5"/>
    </row>
    <row r="8415">
      <c r="N8415" s="5"/>
    </row>
    <row r="8416">
      <c r="N8416" s="5"/>
    </row>
    <row r="8417">
      <c r="N8417" s="5"/>
    </row>
    <row r="8418">
      <c r="N8418" s="5"/>
    </row>
    <row r="8419">
      <c r="N8419" s="5"/>
    </row>
    <row r="8420">
      <c r="N8420" s="5"/>
    </row>
    <row r="8421">
      <c r="N8421" s="5"/>
    </row>
    <row r="8422">
      <c r="N8422" s="5"/>
    </row>
    <row r="8423">
      <c r="N8423" s="5"/>
    </row>
    <row r="8424">
      <c r="N8424" s="5"/>
    </row>
    <row r="8425">
      <c r="N8425" s="5"/>
    </row>
    <row r="8426">
      <c r="N8426" s="5"/>
    </row>
    <row r="8427">
      <c r="N8427" s="5"/>
    </row>
    <row r="8428">
      <c r="N8428" s="5"/>
    </row>
    <row r="8429">
      <c r="N8429" s="5"/>
    </row>
    <row r="8430">
      <c r="N8430" s="5"/>
    </row>
    <row r="8431">
      <c r="N8431" s="5"/>
    </row>
    <row r="8432">
      <c r="N8432" s="5"/>
    </row>
    <row r="8433">
      <c r="N8433" s="5"/>
    </row>
    <row r="8434">
      <c r="N8434" s="5"/>
    </row>
    <row r="8435">
      <c r="N8435" s="5"/>
    </row>
    <row r="8436">
      <c r="N8436" s="5"/>
    </row>
    <row r="8437">
      <c r="N8437" s="5"/>
    </row>
    <row r="8438">
      <c r="N8438" s="5"/>
    </row>
    <row r="8439">
      <c r="N8439" s="5"/>
    </row>
    <row r="8440">
      <c r="N8440" s="5"/>
    </row>
    <row r="8441">
      <c r="N8441" s="5"/>
    </row>
    <row r="8442">
      <c r="N8442" s="5"/>
    </row>
    <row r="8443">
      <c r="N8443" s="5"/>
    </row>
    <row r="8444">
      <c r="N8444" s="5"/>
    </row>
    <row r="8445">
      <c r="N8445" s="5"/>
    </row>
    <row r="8446">
      <c r="N8446" s="5"/>
    </row>
    <row r="8447">
      <c r="N8447" s="5"/>
    </row>
    <row r="8448">
      <c r="N8448" s="5"/>
    </row>
    <row r="8449">
      <c r="N8449" s="5"/>
    </row>
    <row r="8450">
      <c r="N8450" s="5"/>
    </row>
    <row r="8451">
      <c r="N8451" s="5"/>
    </row>
    <row r="8452">
      <c r="N8452" s="5"/>
    </row>
    <row r="8453">
      <c r="N8453" s="5"/>
    </row>
    <row r="8454">
      <c r="N8454" s="5"/>
    </row>
    <row r="8455">
      <c r="N8455" s="5"/>
    </row>
    <row r="8456">
      <c r="N8456" s="5"/>
    </row>
    <row r="8457">
      <c r="N8457" s="5"/>
    </row>
    <row r="8458">
      <c r="N8458" s="5"/>
    </row>
    <row r="8459">
      <c r="N8459" s="5"/>
    </row>
    <row r="8460">
      <c r="N8460" s="5"/>
    </row>
    <row r="8461">
      <c r="N8461" s="5"/>
    </row>
    <row r="8462">
      <c r="N8462" s="5"/>
    </row>
    <row r="8463">
      <c r="N8463" s="5"/>
    </row>
    <row r="8464">
      <c r="N8464" s="5"/>
    </row>
    <row r="8465">
      <c r="N8465" s="5"/>
    </row>
    <row r="8466">
      <c r="N8466" s="5"/>
    </row>
    <row r="8467">
      <c r="N8467" s="5"/>
    </row>
    <row r="8468">
      <c r="N8468" s="5"/>
    </row>
    <row r="8469">
      <c r="N8469" s="5"/>
    </row>
    <row r="8470">
      <c r="N8470" s="5"/>
    </row>
    <row r="8471">
      <c r="N8471" s="5"/>
    </row>
    <row r="8472">
      <c r="N8472" s="5"/>
    </row>
    <row r="8473">
      <c r="N8473" s="5"/>
    </row>
    <row r="8474">
      <c r="N8474" s="5"/>
    </row>
    <row r="8475">
      <c r="N8475" s="5"/>
    </row>
    <row r="8476">
      <c r="N8476" s="5"/>
    </row>
    <row r="8477">
      <c r="N8477" s="5"/>
    </row>
    <row r="8478">
      <c r="N8478" s="5"/>
    </row>
    <row r="8479">
      <c r="N8479" s="5"/>
    </row>
    <row r="8480">
      <c r="N8480" s="5"/>
    </row>
    <row r="8481">
      <c r="N8481" s="5"/>
    </row>
    <row r="8482">
      <c r="N8482" s="5"/>
    </row>
    <row r="8483">
      <c r="N8483" s="5"/>
    </row>
    <row r="8484">
      <c r="N8484" s="5"/>
    </row>
    <row r="8485">
      <c r="N8485" s="5"/>
    </row>
    <row r="8486">
      <c r="N8486" s="5"/>
    </row>
    <row r="8487">
      <c r="N8487" s="5"/>
    </row>
    <row r="8488">
      <c r="N8488" s="5"/>
    </row>
    <row r="8489">
      <c r="N8489" s="5"/>
    </row>
    <row r="8490">
      <c r="N8490" s="5"/>
    </row>
    <row r="8491">
      <c r="N8491" s="5"/>
    </row>
    <row r="8492">
      <c r="N8492" s="5"/>
    </row>
    <row r="8493">
      <c r="N8493" s="5"/>
    </row>
    <row r="8494">
      <c r="N8494" s="5"/>
    </row>
    <row r="8495">
      <c r="N8495" s="5"/>
    </row>
    <row r="8496">
      <c r="N8496" s="5"/>
    </row>
    <row r="8497">
      <c r="N8497" s="5"/>
    </row>
    <row r="8498">
      <c r="N8498" s="5"/>
    </row>
    <row r="8499">
      <c r="N8499" s="5"/>
    </row>
    <row r="8500">
      <c r="N8500" s="5"/>
    </row>
    <row r="8501">
      <c r="N8501" s="5"/>
    </row>
    <row r="8502">
      <c r="N8502" s="5"/>
    </row>
    <row r="8503">
      <c r="N8503" s="5"/>
    </row>
    <row r="8504">
      <c r="N8504" s="5"/>
    </row>
    <row r="8505">
      <c r="N8505" s="5"/>
    </row>
    <row r="8506">
      <c r="N8506" s="5"/>
    </row>
    <row r="8507">
      <c r="N8507" s="5"/>
    </row>
    <row r="8508">
      <c r="N8508" s="5"/>
    </row>
    <row r="8509">
      <c r="N8509" s="5"/>
    </row>
    <row r="8510">
      <c r="N8510" s="5"/>
    </row>
    <row r="8511">
      <c r="N8511" s="5"/>
    </row>
    <row r="8512">
      <c r="N8512" s="5"/>
    </row>
    <row r="8513">
      <c r="N8513" s="5"/>
    </row>
    <row r="8514">
      <c r="N8514" s="5"/>
    </row>
    <row r="8515">
      <c r="N8515" s="5"/>
    </row>
    <row r="8516">
      <c r="N8516" s="5"/>
    </row>
    <row r="8517">
      <c r="N8517" s="5"/>
    </row>
    <row r="8518">
      <c r="N8518" s="5"/>
    </row>
    <row r="8519">
      <c r="N8519" s="5"/>
    </row>
    <row r="8520">
      <c r="N8520" s="5"/>
    </row>
    <row r="8521">
      <c r="I8521" s="4"/>
      <c r="N8521" s="5"/>
    </row>
    <row r="8522">
      <c r="N8522" s="5"/>
    </row>
    <row r="8523">
      <c r="N8523" s="5"/>
    </row>
    <row r="8524">
      <c r="N8524" s="5"/>
    </row>
    <row r="8525">
      <c r="N8525" s="5"/>
    </row>
    <row r="8526">
      <c r="N8526" s="5"/>
    </row>
    <row r="8527">
      <c r="N8527" s="5"/>
    </row>
    <row r="8528">
      <c r="N8528" s="5"/>
    </row>
    <row r="8529">
      <c r="N8529" s="5"/>
    </row>
    <row r="8530">
      <c r="N8530" s="5"/>
    </row>
    <row r="8531">
      <c r="N8531" s="5"/>
    </row>
    <row r="8532">
      <c r="N8532" s="5"/>
    </row>
    <row r="8533">
      <c r="N8533" s="5"/>
    </row>
    <row r="8534">
      <c r="N8534" s="5"/>
    </row>
    <row r="8535">
      <c r="N8535" s="5"/>
    </row>
    <row r="8536">
      <c r="N8536" s="5"/>
    </row>
    <row r="8537">
      <c r="N8537" s="5"/>
    </row>
    <row r="8538">
      <c r="N8538" s="5"/>
    </row>
    <row r="8539">
      <c r="N8539" s="5"/>
    </row>
    <row r="8540">
      <c r="N8540" s="5"/>
    </row>
    <row r="8541">
      <c r="N8541" s="5"/>
    </row>
    <row r="8542">
      <c r="N8542" s="5"/>
    </row>
    <row r="8543">
      <c r="N8543" s="5"/>
    </row>
    <row r="8544">
      <c r="N8544" s="5"/>
    </row>
    <row r="8545">
      <c r="N8545" s="5"/>
    </row>
    <row r="8546">
      <c r="N8546" s="5"/>
    </row>
    <row r="8547">
      <c r="N8547" s="5"/>
    </row>
    <row r="8548">
      <c r="N8548" s="5"/>
    </row>
    <row r="8549">
      <c r="N8549" s="5"/>
    </row>
    <row r="8550">
      <c r="N8550" s="5"/>
    </row>
    <row r="8551">
      <c r="N8551" s="5"/>
    </row>
    <row r="8552">
      <c r="N8552" s="5"/>
    </row>
    <row r="8553">
      <c r="N8553" s="5"/>
    </row>
    <row r="8554">
      <c r="N8554" s="5"/>
    </row>
    <row r="8555">
      <c r="N8555" s="5"/>
    </row>
    <row r="8556">
      <c r="N8556" s="5"/>
    </row>
    <row r="8557">
      <c r="N8557" s="5"/>
    </row>
    <row r="8558">
      <c r="N8558" s="5"/>
    </row>
    <row r="8559">
      <c r="N8559" s="5"/>
    </row>
    <row r="8560">
      <c r="N8560" s="5"/>
    </row>
    <row r="8561">
      <c r="N8561" s="5"/>
    </row>
    <row r="8562">
      <c r="N8562" s="5"/>
    </row>
    <row r="8563">
      <c r="N8563" s="5"/>
    </row>
    <row r="8564">
      <c r="N8564" s="5"/>
    </row>
    <row r="8565">
      <c r="N8565" s="5"/>
    </row>
    <row r="8566">
      <c r="N8566" s="5"/>
    </row>
    <row r="8567">
      <c r="N8567" s="5"/>
    </row>
    <row r="8568">
      <c r="N8568" s="5"/>
    </row>
    <row r="8569">
      <c r="N8569" s="5"/>
    </row>
    <row r="8570">
      <c r="N8570" s="5"/>
    </row>
    <row r="8571">
      <c r="N8571" s="5"/>
    </row>
    <row r="8572">
      <c r="N8572" s="5"/>
    </row>
    <row r="8573">
      <c r="N8573" s="5"/>
    </row>
    <row r="8574">
      <c r="N8574" s="5"/>
    </row>
    <row r="8575">
      <c r="N8575" s="5"/>
    </row>
    <row r="8576">
      <c r="N8576" s="5"/>
    </row>
    <row r="8577">
      <c r="N8577" s="5"/>
    </row>
    <row r="8578">
      <c r="N8578" s="5"/>
    </row>
    <row r="8579">
      <c r="N8579" s="5"/>
    </row>
    <row r="8580">
      <c r="N8580" s="5"/>
    </row>
    <row r="8581">
      <c r="N8581" s="5"/>
    </row>
    <row r="8582">
      <c r="N8582" s="5"/>
    </row>
    <row r="8583">
      <c r="N8583" s="5"/>
    </row>
    <row r="8584">
      <c r="N8584" s="5"/>
    </row>
    <row r="8585">
      <c r="N8585" s="5"/>
    </row>
    <row r="8586">
      <c r="N8586" s="5"/>
    </row>
    <row r="8587">
      <c r="N8587" s="5"/>
    </row>
    <row r="8588">
      <c r="N8588" s="5"/>
    </row>
    <row r="8589">
      <c r="N8589" s="5"/>
    </row>
    <row r="8590">
      <c r="N8590" s="5"/>
    </row>
    <row r="8591">
      <c r="N8591" s="5"/>
    </row>
    <row r="8592">
      <c r="N8592" s="5"/>
    </row>
    <row r="8593">
      <c r="N8593" s="5"/>
    </row>
    <row r="8594">
      <c r="N8594" s="5"/>
    </row>
    <row r="8595">
      <c r="N8595" s="5"/>
    </row>
    <row r="8596">
      <c r="N8596" s="5"/>
    </row>
    <row r="8597">
      <c r="N8597" s="5"/>
    </row>
    <row r="8598">
      <c r="N8598" s="5"/>
    </row>
    <row r="8599">
      <c r="N8599" s="5"/>
    </row>
    <row r="8600">
      <c r="N8600" s="5"/>
    </row>
    <row r="8601">
      <c r="N8601" s="5"/>
    </row>
    <row r="8602">
      <c r="N8602" s="5"/>
    </row>
    <row r="8603">
      <c r="N8603" s="5"/>
    </row>
    <row r="8604">
      <c r="N8604" s="5"/>
    </row>
    <row r="8605">
      <c r="N8605" s="5"/>
    </row>
    <row r="8606">
      <c r="N8606" s="5"/>
    </row>
    <row r="8607">
      <c r="N8607" s="5"/>
    </row>
    <row r="8608">
      <c r="N8608" s="5"/>
    </row>
    <row r="8609">
      <c r="N8609" s="5"/>
    </row>
    <row r="8610">
      <c r="N8610" s="5"/>
    </row>
    <row r="8611">
      <c r="N8611" s="5"/>
    </row>
    <row r="8612">
      <c r="N8612" s="5"/>
    </row>
    <row r="8613">
      <c r="N8613" s="5"/>
    </row>
    <row r="8614">
      <c r="N8614" s="5"/>
    </row>
    <row r="8615">
      <c r="N8615" s="5"/>
    </row>
    <row r="8616">
      <c r="N8616" s="5"/>
    </row>
    <row r="8617">
      <c r="N8617" s="5"/>
    </row>
    <row r="8618">
      <c r="N8618" s="5"/>
    </row>
    <row r="8619">
      <c r="N8619" s="5"/>
    </row>
    <row r="8620">
      <c r="N8620" s="5"/>
    </row>
    <row r="8621">
      <c r="N8621" s="5"/>
    </row>
    <row r="8622">
      <c r="N8622" s="5"/>
    </row>
    <row r="8623">
      <c r="N8623" s="5"/>
    </row>
    <row r="8624">
      <c r="N8624" s="5"/>
    </row>
    <row r="8625">
      <c r="N8625" s="5"/>
    </row>
    <row r="8626">
      <c r="N8626" s="5"/>
    </row>
    <row r="8627">
      <c r="N8627" s="5"/>
    </row>
    <row r="8628">
      <c r="N8628" s="5"/>
    </row>
    <row r="8629">
      <c r="N8629" s="5"/>
    </row>
    <row r="8630">
      <c r="N8630" s="5"/>
    </row>
    <row r="8631">
      <c r="N8631" s="5"/>
    </row>
    <row r="8632">
      <c r="N8632" s="5"/>
    </row>
    <row r="8633">
      <c r="N8633" s="5"/>
    </row>
    <row r="8634">
      <c r="N8634" s="5"/>
    </row>
    <row r="8635">
      <c r="N8635" s="5"/>
    </row>
    <row r="8636">
      <c r="N8636" s="5"/>
    </row>
    <row r="8637">
      <c r="N8637" s="5"/>
    </row>
    <row r="8638">
      <c r="N8638" s="5"/>
    </row>
    <row r="8639">
      <c r="N8639" s="5"/>
    </row>
    <row r="8640">
      <c r="N8640" s="5"/>
    </row>
    <row r="8641">
      <c r="N8641" s="5"/>
    </row>
    <row r="8642">
      <c r="N8642" s="5"/>
    </row>
    <row r="8643">
      <c r="N8643" s="5"/>
    </row>
    <row r="8644">
      <c r="N8644" s="5"/>
    </row>
    <row r="8645">
      <c r="N8645" s="5"/>
    </row>
    <row r="8646">
      <c r="N8646" s="5"/>
    </row>
    <row r="8647">
      <c r="N8647" s="5"/>
    </row>
    <row r="8648">
      <c r="N8648" s="5"/>
    </row>
    <row r="8649">
      <c r="N8649" s="5"/>
    </row>
    <row r="8650">
      <c r="N8650" s="5"/>
    </row>
    <row r="8651">
      <c r="N8651" s="5"/>
    </row>
    <row r="8652">
      <c r="N8652" s="5"/>
    </row>
    <row r="8653">
      <c r="N8653" s="5"/>
    </row>
    <row r="8654">
      <c r="N8654" s="5"/>
    </row>
    <row r="8655">
      <c r="N8655" s="5"/>
    </row>
    <row r="8656">
      <c r="N8656" s="5"/>
    </row>
    <row r="8657">
      <c r="N8657" s="5"/>
    </row>
    <row r="8658">
      <c r="N8658" s="5"/>
    </row>
    <row r="8659">
      <c r="N8659" s="5"/>
    </row>
    <row r="8660">
      <c r="N8660" s="5"/>
    </row>
    <row r="8661">
      <c r="N8661" s="5"/>
    </row>
    <row r="8662">
      <c r="N8662" s="5"/>
    </row>
    <row r="8663">
      <c r="N8663" s="5"/>
    </row>
    <row r="8664">
      <c r="N8664" s="5"/>
    </row>
    <row r="8665">
      <c r="N8665" s="5"/>
    </row>
    <row r="8666">
      <c r="N8666" s="5"/>
    </row>
    <row r="8667">
      <c r="N8667" s="5"/>
    </row>
    <row r="8668">
      <c r="N8668" s="5"/>
    </row>
    <row r="8669">
      <c r="N8669" s="5"/>
    </row>
    <row r="8670">
      <c r="N8670" s="5"/>
    </row>
    <row r="8671">
      <c r="N8671" s="5"/>
    </row>
    <row r="8672">
      <c r="N8672" s="5"/>
    </row>
    <row r="8673">
      <c r="N8673" s="5"/>
    </row>
    <row r="8674">
      <c r="N8674" s="5"/>
    </row>
    <row r="8675">
      <c r="N8675" s="5"/>
    </row>
    <row r="8676">
      <c r="N8676" s="5"/>
    </row>
    <row r="8677">
      <c r="N8677" s="5"/>
    </row>
    <row r="8678">
      <c r="N8678" s="5"/>
    </row>
    <row r="8679">
      <c r="N8679" s="5"/>
    </row>
    <row r="8680">
      <c r="N8680" s="5"/>
    </row>
    <row r="8681">
      <c r="N8681" s="5"/>
    </row>
    <row r="8682">
      <c r="N8682" s="5"/>
    </row>
    <row r="8683">
      <c r="N8683" s="5"/>
    </row>
    <row r="8684">
      <c r="N8684" s="5"/>
    </row>
    <row r="8685">
      <c r="N8685" s="5"/>
    </row>
    <row r="8686">
      <c r="N8686" s="5"/>
    </row>
    <row r="8687">
      <c r="N8687" s="5"/>
    </row>
    <row r="8688">
      <c r="N8688" s="5"/>
    </row>
    <row r="8689">
      <c r="N8689" s="5"/>
    </row>
    <row r="8690">
      <c r="N8690" s="5"/>
    </row>
    <row r="8691">
      <c r="N8691" s="5"/>
    </row>
    <row r="8692">
      <c r="N8692" s="5"/>
    </row>
    <row r="8693">
      <c r="N8693" s="5"/>
    </row>
    <row r="8694">
      <c r="N8694" s="5"/>
    </row>
    <row r="8695">
      <c r="N8695" s="5"/>
    </row>
    <row r="8696">
      <c r="N8696" s="5"/>
    </row>
    <row r="8697">
      <c r="N8697" s="5"/>
    </row>
    <row r="8698">
      <c r="N8698" s="5"/>
    </row>
    <row r="8699">
      <c r="N8699" s="5"/>
    </row>
    <row r="8700">
      <c r="N8700" s="5"/>
    </row>
    <row r="8701">
      <c r="N8701" s="5"/>
    </row>
    <row r="8702">
      <c r="N8702" s="5"/>
    </row>
    <row r="8703">
      <c r="N8703" s="5"/>
    </row>
    <row r="8704">
      <c r="N8704" s="5"/>
    </row>
    <row r="8705">
      <c r="N8705" s="5"/>
    </row>
    <row r="8706">
      <c r="N8706" s="5"/>
    </row>
    <row r="8707">
      <c r="N8707" s="5"/>
    </row>
    <row r="8708">
      <c r="N8708" s="5"/>
    </row>
    <row r="8709">
      <c r="N8709" s="5"/>
    </row>
    <row r="8710">
      <c r="N8710" s="5"/>
    </row>
    <row r="8711">
      <c r="N8711" s="5"/>
    </row>
    <row r="8712">
      <c r="N8712" s="5"/>
    </row>
    <row r="8713">
      <c r="N8713" s="5"/>
    </row>
    <row r="8714">
      <c r="N8714" s="5"/>
    </row>
    <row r="8715">
      <c r="N8715" s="5"/>
    </row>
    <row r="8716">
      <c r="N8716" s="5"/>
    </row>
    <row r="8717">
      <c r="N8717" s="5"/>
    </row>
    <row r="8718">
      <c r="N8718" s="5"/>
    </row>
    <row r="8719">
      <c r="N8719" s="5"/>
    </row>
    <row r="8720">
      <c r="N8720" s="5"/>
    </row>
    <row r="8721">
      <c r="N8721" s="5"/>
    </row>
    <row r="8722">
      <c r="N8722" s="5"/>
    </row>
    <row r="8723">
      <c r="N8723" s="5"/>
    </row>
    <row r="8724">
      <c r="N8724" s="5"/>
    </row>
    <row r="8725">
      <c r="N8725" s="5"/>
    </row>
    <row r="8726">
      <c r="N8726" s="5"/>
    </row>
    <row r="8727">
      <c r="N8727" s="5"/>
    </row>
    <row r="8728">
      <c r="N8728" s="5"/>
    </row>
    <row r="8729">
      <c r="N8729" s="5"/>
    </row>
    <row r="8730">
      <c r="N8730" s="5"/>
    </row>
    <row r="8731">
      <c r="N8731" s="5"/>
    </row>
    <row r="8732">
      <c r="N8732" s="5"/>
    </row>
    <row r="8733">
      <c r="N8733" s="5"/>
    </row>
    <row r="8734">
      <c r="N8734" s="5"/>
    </row>
    <row r="8735">
      <c r="N8735" s="5"/>
    </row>
    <row r="8736">
      <c r="N8736" s="5"/>
    </row>
    <row r="8737">
      <c r="N8737" s="5"/>
    </row>
    <row r="8738">
      <c r="N8738" s="5"/>
    </row>
    <row r="8739">
      <c r="N8739" s="5"/>
    </row>
    <row r="8740">
      <c r="N8740" s="5"/>
    </row>
    <row r="8741">
      <c r="N8741" s="5"/>
    </row>
    <row r="8742">
      <c r="N8742" s="5"/>
    </row>
    <row r="8743">
      <c r="N8743" s="5"/>
    </row>
    <row r="8744">
      <c r="N8744" s="5"/>
    </row>
    <row r="8745">
      <c r="N8745" s="5"/>
    </row>
    <row r="8746">
      <c r="N8746" s="5"/>
    </row>
    <row r="8747">
      <c r="N8747" s="5"/>
    </row>
    <row r="8748">
      <c r="N8748" s="5"/>
    </row>
    <row r="8749">
      <c r="N8749" s="5"/>
    </row>
    <row r="8750">
      <c r="N8750" s="5"/>
    </row>
    <row r="8751">
      <c r="N8751" s="5"/>
    </row>
    <row r="8752">
      <c r="N8752" s="5"/>
    </row>
    <row r="8753">
      <c r="N8753" s="5"/>
    </row>
    <row r="8754">
      <c r="N8754" s="5"/>
    </row>
    <row r="8755">
      <c r="N8755" s="5"/>
    </row>
    <row r="8756">
      <c r="N8756" s="5"/>
    </row>
    <row r="8757">
      <c r="N8757" s="5"/>
    </row>
    <row r="8758">
      <c r="N8758" s="5"/>
    </row>
    <row r="8759">
      <c r="N8759" s="5"/>
    </row>
    <row r="8760">
      <c r="N8760" s="5"/>
    </row>
    <row r="8761">
      <c r="N8761" s="5"/>
    </row>
    <row r="8762">
      <c r="N8762" s="5"/>
    </row>
    <row r="8763">
      <c r="N8763" s="5"/>
    </row>
    <row r="8764">
      <c r="N8764" s="5"/>
    </row>
    <row r="8765">
      <c r="N8765" s="5"/>
    </row>
    <row r="8766">
      <c r="N8766" s="5"/>
    </row>
    <row r="8767">
      <c r="N8767" s="5"/>
    </row>
    <row r="8768">
      <c r="N8768" s="5"/>
    </row>
    <row r="8769">
      <c r="N8769" s="5"/>
    </row>
    <row r="8770">
      <c r="N8770" s="5"/>
    </row>
    <row r="8771">
      <c r="N8771" s="5"/>
    </row>
    <row r="8772">
      <c r="N8772" s="5"/>
    </row>
    <row r="8773">
      <c r="N8773" s="5"/>
    </row>
    <row r="8774">
      <c r="N8774" s="5"/>
    </row>
    <row r="8775">
      <c r="N8775" s="5"/>
    </row>
    <row r="8776">
      <c r="N8776" s="5"/>
    </row>
    <row r="8777">
      <c r="N8777" s="5"/>
    </row>
    <row r="8778">
      <c r="N8778" s="5"/>
    </row>
    <row r="8779">
      <c r="N8779" s="5"/>
    </row>
    <row r="8780">
      <c r="N8780" s="5"/>
    </row>
    <row r="8781">
      <c r="N8781" s="5"/>
    </row>
    <row r="8782">
      <c r="N8782" s="5"/>
    </row>
    <row r="8783">
      <c r="N8783" s="5"/>
    </row>
    <row r="8784">
      <c r="N8784" s="5"/>
    </row>
    <row r="8785">
      <c r="N8785" s="5"/>
    </row>
    <row r="8786">
      <c r="N8786" s="5"/>
    </row>
    <row r="8787">
      <c r="N8787" s="5"/>
    </row>
    <row r="8788">
      <c r="N8788" s="5"/>
    </row>
    <row r="8789">
      <c r="N8789" s="5"/>
    </row>
    <row r="8790">
      <c r="N8790" s="5"/>
    </row>
    <row r="8791">
      <c r="N8791" s="5"/>
    </row>
    <row r="8792">
      <c r="N8792" s="5"/>
    </row>
    <row r="8793">
      <c r="N8793" s="5"/>
    </row>
    <row r="8794">
      <c r="N8794" s="5"/>
    </row>
    <row r="8795">
      <c r="N8795" s="5"/>
    </row>
    <row r="8796">
      <c r="N8796" s="5"/>
    </row>
    <row r="8797">
      <c r="N8797" s="5"/>
    </row>
    <row r="8798">
      <c r="N8798" s="5"/>
    </row>
    <row r="8799">
      <c r="N8799" s="5"/>
    </row>
    <row r="8800">
      <c r="N8800" s="5"/>
    </row>
    <row r="8801">
      <c r="N8801" s="5"/>
    </row>
    <row r="8802">
      <c r="N8802" s="5"/>
    </row>
    <row r="8803">
      <c r="N8803" s="5"/>
    </row>
    <row r="8804">
      <c r="N8804" s="5"/>
    </row>
    <row r="8805">
      <c r="N8805" s="5"/>
    </row>
    <row r="8806">
      <c r="N8806" s="5"/>
    </row>
    <row r="8807">
      <c r="N8807" s="5"/>
    </row>
    <row r="8808">
      <c r="N8808" s="5"/>
    </row>
    <row r="8809">
      <c r="N8809" s="5"/>
    </row>
    <row r="8810">
      <c r="N8810" s="5"/>
    </row>
    <row r="8811">
      <c r="N8811" s="5"/>
    </row>
    <row r="8812">
      <c r="N8812" s="5"/>
    </row>
    <row r="8813">
      <c r="N8813" s="5"/>
    </row>
    <row r="8814">
      <c r="N8814" s="5"/>
    </row>
    <row r="8815">
      <c r="N8815" s="5"/>
    </row>
    <row r="8816">
      <c r="N8816" s="5"/>
    </row>
    <row r="8817">
      <c r="N8817" s="5"/>
    </row>
    <row r="8818">
      <c r="N8818" s="5"/>
    </row>
    <row r="8819">
      <c r="N8819" s="5"/>
    </row>
    <row r="8820">
      <c r="N8820" s="5"/>
    </row>
    <row r="8821">
      <c r="N8821" s="5"/>
    </row>
    <row r="8822">
      <c r="N8822" s="5"/>
    </row>
    <row r="8823">
      <c r="N8823" s="5"/>
    </row>
    <row r="8824">
      <c r="N8824" s="5"/>
    </row>
    <row r="8825">
      <c r="N8825" s="5"/>
    </row>
    <row r="8826">
      <c r="N8826" s="5"/>
    </row>
    <row r="8827">
      <c r="N8827" s="5"/>
    </row>
    <row r="8828">
      <c r="N8828" s="5"/>
    </row>
    <row r="8829">
      <c r="N8829" s="5"/>
    </row>
    <row r="8830">
      <c r="N8830" s="5"/>
    </row>
    <row r="8831">
      <c r="N8831" s="5"/>
    </row>
    <row r="8832">
      <c r="N8832" s="5"/>
    </row>
    <row r="8833">
      <c r="N8833" s="5"/>
    </row>
    <row r="8834">
      <c r="N8834" s="5"/>
    </row>
    <row r="8835">
      <c r="N8835" s="5"/>
    </row>
    <row r="8836">
      <c r="N8836" s="5"/>
    </row>
    <row r="8837">
      <c r="N8837" s="5"/>
    </row>
    <row r="8838">
      <c r="N8838" s="5"/>
    </row>
    <row r="8839">
      <c r="N8839" s="5"/>
    </row>
    <row r="8840">
      <c r="N8840" s="5"/>
    </row>
    <row r="8841">
      <c r="N8841" s="5"/>
    </row>
    <row r="8842">
      <c r="N8842" s="5"/>
    </row>
    <row r="8843">
      <c r="N8843" s="5"/>
    </row>
    <row r="8844">
      <c r="N8844" s="5"/>
    </row>
    <row r="8845">
      <c r="N8845" s="5"/>
    </row>
    <row r="8846">
      <c r="N8846" s="5"/>
    </row>
    <row r="8847">
      <c r="N8847" s="5"/>
    </row>
    <row r="8848">
      <c r="N8848" s="5"/>
    </row>
    <row r="8849">
      <c r="N8849" s="5"/>
    </row>
    <row r="8850">
      <c r="N8850" s="5"/>
    </row>
    <row r="8851">
      <c r="N8851" s="5"/>
    </row>
    <row r="8852">
      <c r="N8852" s="5"/>
    </row>
    <row r="8853">
      <c r="N8853" s="5"/>
    </row>
    <row r="8854">
      <c r="N8854" s="5"/>
    </row>
    <row r="8855">
      <c r="N8855" s="5"/>
    </row>
    <row r="8856">
      <c r="N8856" s="5"/>
    </row>
    <row r="8857">
      <c r="N8857" s="5"/>
    </row>
    <row r="8858">
      <c r="N8858" s="5"/>
    </row>
    <row r="8859">
      <c r="N8859" s="5"/>
    </row>
    <row r="8860">
      <c r="N8860" s="5"/>
    </row>
    <row r="8861">
      <c r="N8861" s="5"/>
    </row>
    <row r="8862">
      <c r="N8862" s="5"/>
    </row>
    <row r="8863">
      <c r="N8863" s="5"/>
    </row>
    <row r="8864">
      <c r="N8864" s="5"/>
    </row>
    <row r="8865">
      <c r="N8865" s="5"/>
    </row>
    <row r="8866">
      <c r="N8866" s="5"/>
    </row>
    <row r="8867">
      <c r="N8867" s="5"/>
    </row>
    <row r="8868">
      <c r="N8868" s="5"/>
    </row>
    <row r="8869">
      <c r="N8869" s="5"/>
    </row>
    <row r="8870">
      <c r="N8870" s="5"/>
    </row>
    <row r="8871">
      <c r="N8871" s="5"/>
    </row>
    <row r="8872">
      <c r="N8872" s="5"/>
    </row>
    <row r="8873">
      <c r="N8873" s="5"/>
    </row>
    <row r="8874">
      <c r="N8874" s="5"/>
    </row>
    <row r="8875">
      <c r="N8875" s="5"/>
    </row>
    <row r="8876">
      <c r="N8876" s="5"/>
    </row>
    <row r="8877">
      <c r="N8877" s="5"/>
    </row>
    <row r="8878">
      <c r="N8878" s="5"/>
    </row>
    <row r="8879">
      <c r="N8879" s="5"/>
    </row>
    <row r="8880">
      <c r="N8880" s="5"/>
    </row>
    <row r="8881">
      <c r="N8881" s="5"/>
    </row>
    <row r="8882">
      <c r="N8882" s="5"/>
    </row>
    <row r="8883">
      <c r="N8883" s="5"/>
    </row>
    <row r="8884">
      <c r="N8884" s="5"/>
    </row>
    <row r="8885">
      <c r="N8885" s="5"/>
    </row>
    <row r="8886">
      <c r="N8886" s="5"/>
    </row>
    <row r="8887">
      <c r="N8887" s="5"/>
    </row>
    <row r="8888">
      <c r="N8888" s="5"/>
    </row>
    <row r="8889">
      <c r="N8889" s="5"/>
    </row>
    <row r="8890">
      <c r="N8890" s="5"/>
    </row>
    <row r="8891">
      <c r="N8891" s="5"/>
    </row>
    <row r="8892">
      <c r="N8892" s="5"/>
    </row>
    <row r="8893">
      <c r="N8893" s="5"/>
    </row>
    <row r="8894">
      <c r="N8894" s="5"/>
    </row>
    <row r="8895">
      <c r="N8895" s="5"/>
    </row>
    <row r="8896">
      <c r="N8896" s="5"/>
    </row>
    <row r="8897">
      <c r="N8897" s="5"/>
    </row>
    <row r="8898">
      <c r="N8898" s="5"/>
    </row>
    <row r="8899">
      <c r="N8899" s="5"/>
    </row>
    <row r="8900">
      <c r="N8900" s="5"/>
    </row>
    <row r="8901">
      <c r="N8901" s="5"/>
    </row>
    <row r="8902">
      <c r="N8902" s="5"/>
    </row>
    <row r="8903">
      <c r="N8903" s="5"/>
    </row>
    <row r="8904">
      <c r="N8904" s="5"/>
    </row>
    <row r="8905">
      <c r="N8905" s="5"/>
    </row>
    <row r="8906">
      <c r="N8906" s="5"/>
    </row>
    <row r="8907">
      <c r="N8907" s="5"/>
    </row>
    <row r="8908">
      <c r="N8908" s="5"/>
    </row>
    <row r="8909">
      <c r="N8909" s="5"/>
    </row>
    <row r="8910">
      <c r="N8910" s="5"/>
    </row>
    <row r="8911">
      <c r="N8911" s="5"/>
    </row>
    <row r="8912">
      <c r="N8912" s="5"/>
    </row>
    <row r="8913">
      <c r="N8913" s="5"/>
    </row>
    <row r="8914">
      <c r="N8914" s="5"/>
    </row>
    <row r="8915">
      <c r="N8915" s="5"/>
    </row>
    <row r="8916">
      <c r="N8916" s="5"/>
    </row>
    <row r="8917">
      <c r="N8917" s="5"/>
    </row>
    <row r="8918">
      <c r="N8918" s="5"/>
    </row>
    <row r="8919">
      <c r="N8919" s="5"/>
    </row>
    <row r="8920">
      <c r="N8920" s="5"/>
    </row>
    <row r="8921">
      <c r="N8921" s="5"/>
    </row>
    <row r="8922">
      <c r="N8922" s="5"/>
    </row>
    <row r="8923">
      <c r="N8923" s="5"/>
    </row>
    <row r="8924">
      <c r="N8924" s="5"/>
    </row>
    <row r="8925">
      <c r="N8925" s="5"/>
    </row>
    <row r="8926">
      <c r="N8926" s="5"/>
    </row>
    <row r="8927">
      <c r="N8927" s="5"/>
    </row>
    <row r="8928">
      <c r="N8928" s="5"/>
    </row>
    <row r="8929">
      <c r="N8929" s="5"/>
    </row>
    <row r="8930">
      <c r="N8930" s="5"/>
    </row>
    <row r="8931">
      <c r="N8931" s="5"/>
    </row>
    <row r="8932">
      <c r="N8932" s="5"/>
    </row>
    <row r="8933">
      <c r="N8933" s="5"/>
    </row>
    <row r="8934">
      <c r="N8934" s="5"/>
    </row>
    <row r="8935">
      <c r="N8935" s="5"/>
    </row>
    <row r="8936">
      <c r="N8936" s="5"/>
    </row>
    <row r="8937">
      <c r="N8937" s="5"/>
    </row>
    <row r="8938">
      <c r="N8938" s="5"/>
    </row>
    <row r="8939">
      <c r="N8939" s="5"/>
    </row>
    <row r="8940">
      <c r="N8940" s="5"/>
    </row>
    <row r="8941">
      <c r="N8941" s="5"/>
    </row>
    <row r="8942">
      <c r="N8942" s="5"/>
    </row>
    <row r="8943">
      <c r="N8943" s="5"/>
    </row>
    <row r="8944">
      <c r="N8944" s="5"/>
    </row>
    <row r="8945">
      <c r="N8945" s="5"/>
    </row>
    <row r="8946">
      <c r="N8946" s="5"/>
    </row>
    <row r="8947">
      <c r="N8947" s="5"/>
    </row>
    <row r="8948">
      <c r="N8948" s="5"/>
    </row>
    <row r="8949">
      <c r="N8949" s="5"/>
    </row>
    <row r="8950">
      <c r="N8950" s="5"/>
    </row>
    <row r="8951">
      <c r="N8951" s="5"/>
    </row>
    <row r="8952">
      <c r="N8952" s="5"/>
    </row>
    <row r="8953">
      <c r="N8953" s="5"/>
    </row>
    <row r="8954">
      <c r="N8954" s="5"/>
    </row>
    <row r="8955">
      <c r="N8955" s="5"/>
    </row>
    <row r="8956">
      <c r="N8956" s="5"/>
    </row>
    <row r="8957">
      <c r="N8957" s="5"/>
    </row>
    <row r="8958">
      <c r="N8958" s="5"/>
    </row>
    <row r="8959">
      <c r="N8959" s="5"/>
    </row>
    <row r="8960">
      <c r="N8960" s="5"/>
    </row>
    <row r="8961">
      <c r="N8961" s="5"/>
    </row>
    <row r="8962">
      <c r="N8962" s="5"/>
    </row>
    <row r="8963">
      <c r="N8963" s="5"/>
    </row>
    <row r="8964">
      <c r="N8964" s="5"/>
    </row>
    <row r="8965">
      <c r="N8965" s="5"/>
    </row>
    <row r="8966">
      <c r="N8966" s="5"/>
    </row>
    <row r="8967">
      <c r="N8967" s="5"/>
    </row>
    <row r="8968">
      <c r="N8968" s="5"/>
    </row>
    <row r="8969">
      <c r="N8969" s="5"/>
    </row>
    <row r="8970">
      <c r="N8970" s="5"/>
    </row>
    <row r="8971">
      <c r="N8971" s="5"/>
    </row>
    <row r="8972">
      <c r="N8972" s="5"/>
    </row>
    <row r="8973">
      <c r="N8973" s="5"/>
    </row>
    <row r="8974">
      <c r="N8974" s="5"/>
    </row>
    <row r="8975">
      <c r="N8975" s="5"/>
    </row>
    <row r="8976">
      <c r="N8976" s="5"/>
    </row>
    <row r="8977">
      <c r="N8977" s="5"/>
    </row>
    <row r="8978">
      <c r="N8978" s="5"/>
    </row>
    <row r="8979">
      <c r="N8979" s="5"/>
    </row>
    <row r="8980">
      <c r="N8980" s="5"/>
    </row>
    <row r="8981">
      <c r="N8981" s="5"/>
    </row>
    <row r="8982">
      <c r="N8982" s="5"/>
    </row>
    <row r="8983">
      <c r="N8983" s="5"/>
    </row>
    <row r="8984">
      <c r="N8984" s="5"/>
    </row>
    <row r="8985">
      <c r="N8985" s="5"/>
    </row>
    <row r="8986">
      <c r="N8986" s="5"/>
    </row>
    <row r="8987">
      <c r="N8987" s="5"/>
    </row>
    <row r="8988">
      <c r="N8988" s="5"/>
    </row>
    <row r="8989">
      <c r="N8989" s="5"/>
    </row>
    <row r="8990">
      <c r="N8990" s="5"/>
    </row>
    <row r="8991">
      <c r="N8991" s="5"/>
    </row>
    <row r="8992">
      <c r="N8992" s="5"/>
    </row>
    <row r="8993">
      <c r="N8993" s="5"/>
    </row>
    <row r="8994">
      <c r="N8994" s="5"/>
    </row>
    <row r="8995">
      <c r="N8995" s="5"/>
    </row>
    <row r="8996">
      <c r="N8996" s="5"/>
    </row>
    <row r="8997">
      <c r="N8997" s="5"/>
    </row>
    <row r="8998">
      <c r="N8998" s="5"/>
    </row>
    <row r="8999">
      <c r="N8999" s="5"/>
    </row>
    <row r="9000">
      <c r="N9000" s="5"/>
    </row>
    <row r="9001">
      <c r="N9001" s="5"/>
    </row>
    <row r="9002">
      <c r="N9002" s="5"/>
    </row>
    <row r="9003">
      <c r="N9003" s="5"/>
    </row>
    <row r="9004">
      <c r="N9004" s="5"/>
    </row>
    <row r="9005">
      <c r="N9005" s="5"/>
    </row>
    <row r="9006">
      <c r="N9006" s="5"/>
    </row>
    <row r="9007">
      <c r="N9007" s="5"/>
    </row>
    <row r="9008">
      <c r="N9008" s="5"/>
    </row>
    <row r="9009">
      <c r="N9009" s="5"/>
    </row>
    <row r="9010">
      <c r="N9010" s="5"/>
    </row>
    <row r="9011">
      <c r="N9011" s="5"/>
    </row>
    <row r="9012">
      <c r="N9012" s="5"/>
    </row>
    <row r="9013">
      <c r="N9013" s="5"/>
    </row>
    <row r="9014">
      <c r="N9014" s="5"/>
    </row>
    <row r="9015">
      <c r="N9015" s="5"/>
    </row>
    <row r="9016">
      <c r="N9016" s="5"/>
    </row>
    <row r="9017">
      <c r="N9017" s="5"/>
    </row>
    <row r="9018">
      <c r="N9018" s="5"/>
    </row>
    <row r="9019">
      <c r="N9019" s="5"/>
    </row>
    <row r="9020">
      <c r="N9020" s="5"/>
    </row>
    <row r="9021">
      <c r="N9021" s="5"/>
    </row>
    <row r="9022">
      <c r="N9022" s="5"/>
    </row>
    <row r="9023">
      <c r="N9023" s="5"/>
    </row>
    <row r="9024">
      <c r="N9024" s="5"/>
    </row>
    <row r="9025">
      <c r="N9025" s="5"/>
    </row>
    <row r="9026">
      <c r="N9026" s="5"/>
    </row>
    <row r="9027">
      <c r="N9027" s="5"/>
    </row>
    <row r="9028">
      <c r="N9028" s="5"/>
    </row>
    <row r="9029">
      <c r="N9029" s="5"/>
    </row>
    <row r="9030">
      <c r="N9030" s="5"/>
    </row>
    <row r="9031">
      <c r="N9031" s="5"/>
    </row>
    <row r="9032">
      <c r="N9032" s="5"/>
    </row>
    <row r="9033">
      <c r="N9033" s="5"/>
    </row>
    <row r="9034">
      <c r="N9034" s="5"/>
    </row>
    <row r="9035">
      <c r="N9035" s="5"/>
    </row>
    <row r="9036">
      <c r="N9036" s="5"/>
    </row>
    <row r="9037">
      <c r="N9037" s="5"/>
    </row>
    <row r="9038">
      <c r="N9038" s="5"/>
    </row>
    <row r="9039">
      <c r="N9039" s="5"/>
    </row>
    <row r="9040">
      <c r="N9040" s="5"/>
    </row>
    <row r="9041">
      <c r="N9041" s="5"/>
    </row>
    <row r="9042">
      <c r="N9042" s="5"/>
    </row>
    <row r="9043">
      <c r="N9043" s="5"/>
    </row>
    <row r="9044">
      <c r="N9044" s="5"/>
    </row>
    <row r="9045">
      <c r="N9045" s="5"/>
    </row>
    <row r="9046">
      <c r="N9046" s="5"/>
    </row>
    <row r="9047">
      <c r="N9047" s="5"/>
    </row>
    <row r="9048">
      <c r="N9048" s="5"/>
    </row>
    <row r="9049">
      <c r="N9049" s="5"/>
    </row>
    <row r="9050">
      <c r="N9050" s="5"/>
    </row>
    <row r="9051">
      <c r="N9051" s="5"/>
    </row>
    <row r="9052">
      <c r="N9052" s="5"/>
    </row>
    <row r="9053">
      <c r="N9053" s="5"/>
    </row>
    <row r="9054">
      <c r="N9054" s="5"/>
    </row>
    <row r="9055">
      <c r="N9055" s="5"/>
    </row>
    <row r="9056">
      <c r="N9056" s="5"/>
    </row>
    <row r="9057">
      <c r="N9057" s="5"/>
    </row>
    <row r="9058">
      <c r="N9058" s="5"/>
    </row>
    <row r="9059">
      <c r="N9059" s="5"/>
    </row>
    <row r="9060">
      <c r="N9060" s="5"/>
    </row>
    <row r="9061">
      <c r="N9061" s="5"/>
    </row>
    <row r="9062">
      <c r="N9062" s="5"/>
    </row>
    <row r="9063">
      <c r="N9063" s="5"/>
    </row>
    <row r="9064">
      <c r="N9064" s="5"/>
    </row>
    <row r="9065">
      <c r="N9065" s="5"/>
    </row>
    <row r="9066">
      <c r="N9066" s="5"/>
    </row>
    <row r="9067">
      <c r="N9067" s="5"/>
    </row>
    <row r="9068">
      <c r="N9068" s="5"/>
    </row>
    <row r="9069">
      <c r="N9069" s="5"/>
    </row>
    <row r="9070">
      <c r="N9070" s="5"/>
    </row>
    <row r="9071">
      <c r="N9071" s="5"/>
    </row>
    <row r="9072">
      <c r="N9072" s="5"/>
    </row>
    <row r="9073">
      <c r="N9073" s="5"/>
    </row>
    <row r="9074">
      <c r="N9074" s="5"/>
    </row>
    <row r="9075">
      <c r="N9075" s="5"/>
    </row>
    <row r="9076">
      <c r="N9076" s="5"/>
    </row>
    <row r="9077">
      <c r="N9077" s="5"/>
    </row>
    <row r="9078">
      <c r="N9078" s="5"/>
    </row>
    <row r="9079">
      <c r="N9079" s="5"/>
    </row>
    <row r="9080">
      <c r="N9080" s="5"/>
    </row>
    <row r="9081">
      <c r="N9081" s="5"/>
    </row>
    <row r="9082">
      <c r="N9082" s="5"/>
    </row>
    <row r="9083">
      <c r="N9083" s="5"/>
    </row>
    <row r="9084">
      <c r="N9084" s="5"/>
    </row>
    <row r="9085">
      <c r="N9085" s="5"/>
    </row>
    <row r="9086">
      <c r="N9086" s="5"/>
    </row>
    <row r="9087">
      <c r="N9087" s="5"/>
    </row>
    <row r="9088">
      <c r="N9088" s="5"/>
    </row>
    <row r="9089">
      <c r="N9089" s="5"/>
    </row>
    <row r="9090">
      <c r="N9090" s="5"/>
    </row>
    <row r="9091">
      <c r="N9091" s="5"/>
    </row>
    <row r="9092">
      <c r="N9092" s="5"/>
    </row>
    <row r="9093">
      <c r="N9093" s="5"/>
    </row>
    <row r="9094">
      <c r="N9094" s="5"/>
    </row>
    <row r="9095">
      <c r="N9095" s="5"/>
    </row>
    <row r="9096">
      <c r="N9096" s="5"/>
    </row>
    <row r="9097">
      <c r="N9097" s="5"/>
    </row>
    <row r="9098">
      <c r="N9098" s="5"/>
    </row>
    <row r="9099">
      <c r="N9099" s="5"/>
    </row>
    <row r="9100">
      <c r="N9100" s="5"/>
    </row>
    <row r="9101">
      <c r="N9101" s="5"/>
    </row>
    <row r="9102">
      <c r="N9102" s="5"/>
    </row>
    <row r="9103">
      <c r="N9103" s="5"/>
    </row>
    <row r="9104">
      <c r="N9104" s="5"/>
    </row>
    <row r="9105">
      <c r="N9105" s="5"/>
    </row>
    <row r="9106">
      <c r="N9106" s="5"/>
    </row>
    <row r="9107">
      <c r="N9107" s="5"/>
    </row>
    <row r="9108">
      <c r="N9108" s="5"/>
    </row>
    <row r="9109">
      <c r="N9109" s="5"/>
    </row>
    <row r="9110">
      <c r="N9110" s="5"/>
    </row>
    <row r="9111">
      <c r="N9111" s="5"/>
    </row>
    <row r="9112">
      <c r="N9112" s="5"/>
    </row>
    <row r="9113">
      <c r="N9113" s="5"/>
    </row>
    <row r="9114">
      <c r="N9114" s="5"/>
    </row>
    <row r="9115">
      <c r="N9115" s="5"/>
    </row>
    <row r="9116">
      <c r="N9116" s="5"/>
    </row>
    <row r="9117">
      <c r="N9117" s="5"/>
    </row>
    <row r="9118">
      <c r="N9118" s="5"/>
    </row>
    <row r="9119">
      <c r="N9119" s="5"/>
    </row>
    <row r="9120">
      <c r="N9120" s="5"/>
    </row>
    <row r="9121">
      <c r="N9121" s="5"/>
    </row>
    <row r="9122">
      <c r="N9122" s="5"/>
    </row>
    <row r="9123">
      <c r="N9123" s="5"/>
    </row>
    <row r="9124">
      <c r="N9124" s="5"/>
    </row>
    <row r="9125">
      <c r="N9125" s="5"/>
    </row>
    <row r="9126">
      <c r="N9126" s="5"/>
    </row>
    <row r="9127">
      <c r="N9127" s="5"/>
    </row>
    <row r="9128">
      <c r="N9128" s="5"/>
    </row>
    <row r="9129">
      <c r="N9129" s="5"/>
    </row>
    <row r="9130">
      <c r="N9130" s="5"/>
    </row>
    <row r="9131">
      <c r="N9131" s="5"/>
    </row>
    <row r="9132">
      <c r="N9132" s="5"/>
    </row>
    <row r="9133">
      <c r="N9133" s="5"/>
    </row>
    <row r="9134">
      <c r="N9134" s="5"/>
    </row>
    <row r="9135">
      <c r="N9135" s="5"/>
    </row>
    <row r="9136">
      <c r="N9136" s="5"/>
    </row>
    <row r="9137">
      <c r="N9137" s="5"/>
    </row>
    <row r="9138">
      <c r="N9138" s="5"/>
    </row>
    <row r="9139">
      <c r="N9139" s="5"/>
    </row>
    <row r="9140">
      <c r="N9140" s="5"/>
    </row>
    <row r="9141">
      <c r="N9141" s="5"/>
    </row>
    <row r="9142">
      <c r="N9142" s="5"/>
    </row>
    <row r="9143">
      <c r="N9143" s="5"/>
    </row>
    <row r="9144">
      <c r="N9144" s="5"/>
    </row>
    <row r="9145">
      <c r="N9145" s="5"/>
    </row>
    <row r="9146">
      <c r="N9146" s="5"/>
    </row>
    <row r="9147">
      <c r="N9147" s="5"/>
    </row>
    <row r="9148">
      <c r="N9148" s="5"/>
    </row>
    <row r="9149">
      <c r="N9149" s="5"/>
    </row>
    <row r="9150">
      <c r="N9150" s="5"/>
    </row>
    <row r="9151">
      <c r="N9151" s="5"/>
    </row>
    <row r="9152">
      <c r="N9152" s="5"/>
    </row>
    <row r="9153">
      <c r="N9153" s="5"/>
    </row>
    <row r="9154">
      <c r="N9154" s="5"/>
    </row>
    <row r="9155">
      <c r="N9155" s="5"/>
    </row>
    <row r="9156">
      <c r="N9156" s="5"/>
    </row>
    <row r="9157">
      <c r="N9157" s="5"/>
    </row>
    <row r="9158">
      <c r="N9158" s="5"/>
    </row>
    <row r="9159">
      <c r="N9159" s="5"/>
    </row>
    <row r="9160">
      <c r="N9160" s="5"/>
    </row>
    <row r="9161">
      <c r="N9161" s="5"/>
    </row>
    <row r="9162">
      <c r="N9162" s="5"/>
    </row>
    <row r="9163">
      <c r="N9163" s="5"/>
    </row>
    <row r="9164">
      <c r="N9164" s="5"/>
    </row>
    <row r="9165">
      <c r="N9165" s="5"/>
    </row>
    <row r="9166">
      <c r="N9166" s="5"/>
    </row>
    <row r="9167">
      <c r="N9167" s="5"/>
    </row>
    <row r="9168">
      <c r="N9168" s="5"/>
    </row>
    <row r="9169">
      <c r="N9169" s="5"/>
    </row>
    <row r="9170">
      <c r="N9170" s="5"/>
    </row>
    <row r="9171">
      <c r="N9171" s="5"/>
    </row>
    <row r="9172">
      <c r="N9172" s="5"/>
    </row>
    <row r="9173">
      <c r="N9173" s="5"/>
    </row>
    <row r="9174">
      <c r="N9174" s="5"/>
    </row>
    <row r="9175">
      <c r="N9175" s="5"/>
    </row>
    <row r="9176">
      <c r="N9176" s="5"/>
    </row>
    <row r="9177">
      <c r="N9177" s="5"/>
    </row>
    <row r="9178">
      <c r="N9178" s="5"/>
    </row>
    <row r="9179">
      <c r="N9179" s="5"/>
    </row>
    <row r="9180">
      <c r="N9180" s="5"/>
    </row>
    <row r="9181">
      <c r="N9181" s="5"/>
    </row>
    <row r="9182">
      <c r="N9182" s="5"/>
    </row>
    <row r="9183">
      <c r="N9183" s="5"/>
    </row>
    <row r="9184">
      <c r="N9184" s="5"/>
    </row>
    <row r="9185">
      <c r="N9185" s="5"/>
    </row>
    <row r="9186">
      <c r="N9186" s="5"/>
    </row>
    <row r="9187">
      <c r="N9187" s="5"/>
    </row>
    <row r="9188">
      <c r="N9188" s="5"/>
    </row>
    <row r="9189">
      <c r="N9189" s="5"/>
    </row>
    <row r="9190">
      <c r="N9190" s="5"/>
    </row>
    <row r="9191">
      <c r="N9191" s="5"/>
    </row>
    <row r="9192">
      <c r="N9192" s="5"/>
    </row>
    <row r="9193">
      <c r="N9193" s="5"/>
    </row>
    <row r="9194">
      <c r="N9194" s="5"/>
    </row>
    <row r="9195">
      <c r="N9195" s="5"/>
    </row>
    <row r="9196">
      <c r="N9196" s="5"/>
    </row>
    <row r="9197">
      <c r="N9197" s="5"/>
    </row>
    <row r="9198">
      <c r="N9198" s="5"/>
    </row>
    <row r="9199">
      <c r="N9199" s="5"/>
    </row>
    <row r="9200">
      <c r="N9200" s="5"/>
    </row>
    <row r="9201">
      <c r="N9201" s="5"/>
    </row>
    <row r="9202">
      <c r="N9202" s="5"/>
    </row>
    <row r="9203">
      <c r="N9203" s="5"/>
    </row>
    <row r="9204">
      <c r="N9204" s="5"/>
    </row>
    <row r="9205">
      <c r="N9205" s="5"/>
    </row>
    <row r="9206">
      <c r="N9206" s="5"/>
    </row>
    <row r="9207">
      <c r="N9207" s="5"/>
    </row>
    <row r="9208">
      <c r="N9208" s="5"/>
    </row>
    <row r="9209">
      <c r="N9209" s="5"/>
    </row>
    <row r="9210">
      <c r="N9210" s="5"/>
    </row>
    <row r="9211">
      <c r="N9211" s="5"/>
    </row>
    <row r="9212">
      <c r="N9212" s="5"/>
    </row>
    <row r="9213">
      <c r="N9213" s="5"/>
    </row>
    <row r="9214">
      <c r="N9214" s="5"/>
    </row>
    <row r="9215">
      <c r="N9215" s="5"/>
    </row>
    <row r="9216">
      <c r="N9216" s="5"/>
    </row>
    <row r="9217">
      <c r="N9217" s="5"/>
    </row>
    <row r="9218">
      <c r="N9218" s="5"/>
    </row>
    <row r="9219">
      <c r="N9219" s="5"/>
    </row>
    <row r="9220">
      <c r="N9220" s="5"/>
    </row>
    <row r="9221">
      <c r="N9221" s="5"/>
    </row>
    <row r="9222">
      <c r="N9222" s="5"/>
    </row>
    <row r="9223">
      <c r="N9223" s="5"/>
    </row>
    <row r="9224">
      <c r="N9224" s="5"/>
    </row>
    <row r="9225">
      <c r="N9225" s="5"/>
    </row>
    <row r="9226">
      <c r="N9226" s="5"/>
    </row>
    <row r="9227">
      <c r="N9227" s="5"/>
    </row>
    <row r="9228">
      <c r="N9228" s="5"/>
    </row>
    <row r="9229">
      <c r="N9229" s="5"/>
    </row>
    <row r="9230">
      <c r="N9230" s="5"/>
    </row>
    <row r="9231">
      <c r="N9231" s="5"/>
    </row>
    <row r="9232">
      <c r="N9232" s="5"/>
    </row>
    <row r="9233">
      <c r="N9233" s="5"/>
    </row>
    <row r="9234">
      <c r="N9234" s="5"/>
    </row>
    <row r="9235">
      <c r="N9235" s="5"/>
    </row>
    <row r="9236">
      <c r="N9236" s="5"/>
    </row>
    <row r="9237">
      <c r="N9237" s="5"/>
    </row>
    <row r="9238">
      <c r="N9238" s="5"/>
    </row>
    <row r="9239">
      <c r="N9239" s="5"/>
    </row>
    <row r="9240">
      <c r="N9240" s="5"/>
    </row>
    <row r="9241">
      <c r="N9241" s="5"/>
    </row>
    <row r="9242">
      <c r="N9242" s="5"/>
    </row>
    <row r="9243">
      <c r="N9243" s="5"/>
    </row>
    <row r="9244">
      <c r="N9244" s="5"/>
    </row>
    <row r="9245">
      <c r="N9245" s="5"/>
    </row>
    <row r="9246">
      <c r="N9246" s="5"/>
    </row>
    <row r="9247">
      <c r="N9247" s="5"/>
    </row>
    <row r="9248">
      <c r="N9248" s="5"/>
    </row>
    <row r="9249">
      <c r="N9249" s="5"/>
    </row>
    <row r="9250">
      <c r="N9250" s="5"/>
    </row>
    <row r="9251">
      <c r="N9251" s="5"/>
    </row>
    <row r="9252">
      <c r="N9252" s="5"/>
    </row>
    <row r="9253">
      <c r="N9253" s="5"/>
    </row>
    <row r="9254">
      <c r="N9254" s="5"/>
    </row>
    <row r="9255">
      <c r="N9255" s="5"/>
    </row>
    <row r="9256">
      <c r="N9256" s="5"/>
    </row>
    <row r="9257">
      <c r="N9257" s="5"/>
    </row>
    <row r="9258">
      <c r="N9258" s="5"/>
    </row>
    <row r="9259">
      <c r="N9259" s="5"/>
    </row>
    <row r="9260">
      <c r="N9260" s="5"/>
    </row>
    <row r="9261">
      <c r="N9261" s="5"/>
    </row>
    <row r="9262">
      <c r="N9262" s="5"/>
    </row>
    <row r="9263">
      <c r="N9263" s="5"/>
    </row>
    <row r="9264">
      <c r="N9264" s="5"/>
    </row>
    <row r="9265">
      <c r="N9265" s="5"/>
    </row>
    <row r="9266">
      <c r="N9266" s="5"/>
    </row>
    <row r="9267">
      <c r="N9267" s="5"/>
    </row>
    <row r="9268">
      <c r="N9268" s="5"/>
    </row>
    <row r="9269">
      <c r="N9269" s="5"/>
    </row>
    <row r="9270">
      <c r="N9270" s="5"/>
    </row>
    <row r="9271">
      <c r="N9271" s="5"/>
    </row>
    <row r="9272">
      <c r="N9272" s="5"/>
    </row>
    <row r="9273">
      <c r="N9273" s="5"/>
    </row>
    <row r="9274">
      <c r="N9274" s="5"/>
    </row>
    <row r="9275">
      <c r="N9275" s="5"/>
    </row>
    <row r="9276">
      <c r="N9276" s="5"/>
    </row>
    <row r="9277">
      <c r="N9277" s="5"/>
    </row>
    <row r="9278">
      <c r="N9278" s="5"/>
    </row>
    <row r="9279">
      <c r="N9279" s="5"/>
    </row>
    <row r="9280">
      <c r="N9280" s="5"/>
    </row>
    <row r="9281">
      <c r="N9281" s="5"/>
    </row>
    <row r="9282">
      <c r="N9282" s="5"/>
    </row>
    <row r="9283">
      <c r="N9283" s="5"/>
    </row>
    <row r="9284">
      <c r="N9284" s="5"/>
    </row>
    <row r="9285">
      <c r="N9285" s="5"/>
    </row>
    <row r="9286">
      <c r="N9286" s="5"/>
    </row>
    <row r="9287">
      <c r="N9287" s="5"/>
    </row>
    <row r="9288">
      <c r="N9288" s="5"/>
    </row>
    <row r="9289">
      <c r="N9289" s="5"/>
    </row>
    <row r="9290">
      <c r="N9290" s="5"/>
    </row>
    <row r="9291">
      <c r="N9291" s="5"/>
    </row>
    <row r="9292">
      <c r="N9292" s="5"/>
    </row>
    <row r="9293">
      <c r="N9293" s="5"/>
    </row>
    <row r="9294">
      <c r="N9294" s="5"/>
    </row>
    <row r="9295">
      <c r="N9295" s="5"/>
    </row>
    <row r="9296">
      <c r="N9296" s="5"/>
    </row>
    <row r="9297">
      <c r="N9297" s="5"/>
    </row>
    <row r="9298">
      <c r="N9298" s="5"/>
    </row>
    <row r="9299">
      <c r="N9299" s="5"/>
    </row>
    <row r="9300">
      <c r="N9300" s="5"/>
    </row>
    <row r="9301">
      <c r="N9301" s="5"/>
    </row>
    <row r="9302">
      <c r="N9302" s="5"/>
    </row>
    <row r="9303">
      <c r="N9303" s="5"/>
    </row>
    <row r="9304">
      <c r="N9304" s="5"/>
    </row>
    <row r="9305">
      <c r="N9305" s="5"/>
    </row>
    <row r="9306">
      <c r="N9306" s="5"/>
    </row>
    <row r="9307">
      <c r="N9307" s="5"/>
    </row>
    <row r="9308">
      <c r="N9308" s="5"/>
    </row>
    <row r="9309">
      <c r="N9309" s="5"/>
    </row>
    <row r="9310">
      <c r="N9310" s="5"/>
    </row>
    <row r="9311">
      <c r="N9311" s="5"/>
    </row>
    <row r="9312">
      <c r="N9312" s="5"/>
    </row>
    <row r="9313">
      <c r="N9313" s="5"/>
    </row>
    <row r="9314">
      <c r="N9314" s="5"/>
    </row>
    <row r="9315">
      <c r="N9315" s="5"/>
    </row>
    <row r="9316">
      <c r="N9316" s="5"/>
    </row>
    <row r="9317">
      <c r="N9317" s="5"/>
    </row>
    <row r="9318">
      <c r="N9318" s="5"/>
    </row>
    <row r="9319">
      <c r="N9319" s="5"/>
    </row>
    <row r="9320">
      <c r="N9320" s="5"/>
    </row>
    <row r="9321">
      <c r="N9321" s="5"/>
    </row>
    <row r="9322">
      <c r="N9322" s="5"/>
    </row>
    <row r="9323">
      <c r="N9323" s="5"/>
    </row>
    <row r="9324">
      <c r="N9324" s="5"/>
    </row>
    <row r="9325">
      <c r="N9325" s="5"/>
    </row>
    <row r="9326">
      <c r="N9326" s="5"/>
    </row>
    <row r="9327">
      <c r="N9327" s="5"/>
    </row>
    <row r="9328">
      <c r="N9328" s="5"/>
    </row>
    <row r="9329">
      <c r="N9329" s="5"/>
    </row>
    <row r="9330">
      <c r="N9330" s="5"/>
    </row>
    <row r="9331">
      <c r="N9331" s="5"/>
    </row>
    <row r="9332">
      <c r="N9332" s="5"/>
    </row>
    <row r="9333">
      <c r="N9333" s="5"/>
    </row>
    <row r="9334">
      <c r="N9334" s="5"/>
    </row>
    <row r="9335">
      <c r="N9335" s="5"/>
    </row>
    <row r="9336">
      <c r="N9336" s="5"/>
    </row>
    <row r="9337">
      <c r="N9337" s="5"/>
    </row>
    <row r="9338">
      <c r="N9338" s="5"/>
    </row>
    <row r="9339">
      <c r="N9339" s="5"/>
    </row>
    <row r="9340">
      <c r="N9340" s="5"/>
    </row>
    <row r="9341">
      <c r="N9341" s="5"/>
    </row>
    <row r="9342">
      <c r="N9342" s="5"/>
    </row>
    <row r="9343">
      <c r="N9343" s="5"/>
    </row>
    <row r="9344">
      <c r="N9344" s="5"/>
    </row>
    <row r="9345">
      <c r="N9345" s="5"/>
    </row>
    <row r="9346">
      <c r="N9346" s="5"/>
    </row>
    <row r="9347">
      <c r="N9347" s="5"/>
    </row>
    <row r="9348">
      <c r="N9348" s="5"/>
    </row>
    <row r="9349">
      <c r="N9349" s="5"/>
    </row>
    <row r="9350">
      <c r="N9350" s="5"/>
    </row>
    <row r="9351">
      <c r="N9351" s="5"/>
    </row>
    <row r="9352">
      <c r="N9352" s="5"/>
    </row>
    <row r="9353">
      <c r="N9353" s="5"/>
    </row>
    <row r="9354">
      <c r="N9354" s="5"/>
    </row>
    <row r="9355">
      <c r="N9355" s="5"/>
    </row>
    <row r="9356">
      <c r="N9356" s="5"/>
    </row>
    <row r="9357">
      <c r="N9357" s="5"/>
    </row>
    <row r="9358">
      <c r="N9358" s="5"/>
    </row>
    <row r="9359">
      <c r="N9359" s="5"/>
    </row>
    <row r="9360">
      <c r="N9360" s="5"/>
    </row>
    <row r="9361">
      <c r="N9361" s="5"/>
    </row>
    <row r="9362">
      <c r="N9362" s="5"/>
    </row>
    <row r="9363">
      <c r="N9363" s="5"/>
    </row>
    <row r="9364">
      <c r="N9364" s="5"/>
    </row>
    <row r="9365">
      <c r="N9365" s="5"/>
    </row>
    <row r="9366">
      <c r="N9366" s="5"/>
    </row>
    <row r="9367">
      <c r="N9367" s="5"/>
    </row>
    <row r="9368">
      <c r="N9368" s="5"/>
    </row>
    <row r="9369">
      <c r="N9369" s="5"/>
    </row>
    <row r="9370">
      <c r="N9370" s="5"/>
    </row>
    <row r="9371">
      <c r="N9371" s="5"/>
    </row>
    <row r="9372">
      <c r="N9372" s="5"/>
    </row>
    <row r="9373">
      <c r="N9373" s="5"/>
    </row>
    <row r="9374">
      <c r="N9374" s="5"/>
    </row>
    <row r="9375">
      <c r="N9375" s="5"/>
    </row>
    <row r="9376">
      <c r="N9376" s="5"/>
    </row>
    <row r="9377">
      <c r="N9377" s="5"/>
    </row>
    <row r="9378">
      <c r="N9378" s="5"/>
    </row>
    <row r="9379">
      <c r="N9379" s="5"/>
    </row>
    <row r="9380">
      <c r="N9380" s="5"/>
    </row>
    <row r="9381">
      <c r="N9381" s="5"/>
    </row>
    <row r="9382">
      <c r="N9382" s="5"/>
    </row>
    <row r="9383">
      <c r="N9383" s="5"/>
    </row>
    <row r="9384">
      <c r="N9384" s="5"/>
    </row>
    <row r="9385">
      <c r="N9385" s="5"/>
    </row>
    <row r="9386">
      <c r="N9386" s="5"/>
    </row>
    <row r="9387">
      <c r="N9387" s="5"/>
    </row>
    <row r="9388">
      <c r="N9388" s="5"/>
    </row>
    <row r="9389">
      <c r="N9389" s="5"/>
    </row>
    <row r="9390">
      <c r="N9390" s="5"/>
    </row>
    <row r="9391">
      <c r="N9391" s="5"/>
    </row>
    <row r="9392">
      <c r="N9392" s="5"/>
    </row>
    <row r="9393">
      <c r="N9393" s="5"/>
    </row>
    <row r="9394">
      <c r="N9394" s="5"/>
    </row>
    <row r="9395">
      <c r="N9395" s="5"/>
    </row>
    <row r="9396">
      <c r="N9396" s="5"/>
    </row>
    <row r="9397">
      <c r="N9397" s="5"/>
    </row>
    <row r="9398">
      <c r="N9398" s="5"/>
    </row>
    <row r="9399">
      <c r="N9399" s="5"/>
    </row>
    <row r="9400">
      <c r="N9400" s="5"/>
    </row>
    <row r="9401">
      <c r="N9401" s="5"/>
    </row>
    <row r="9402">
      <c r="N9402" s="5"/>
    </row>
    <row r="9403">
      <c r="N9403" s="5"/>
    </row>
    <row r="9404">
      <c r="N9404" s="5"/>
    </row>
    <row r="9405">
      <c r="N9405" s="5"/>
    </row>
    <row r="9406">
      <c r="N9406" s="5"/>
    </row>
    <row r="9407">
      <c r="N9407" s="5"/>
    </row>
    <row r="9408">
      <c r="N9408" s="5"/>
    </row>
    <row r="9409">
      <c r="N9409" s="5"/>
    </row>
    <row r="9410">
      <c r="N9410" s="5"/>
    </row>
    <row r="9411">
      <c r="N9411" s="5"/>
    </row>
    <row r="9412">
      <c r="N9412" s="5"/>
    </row>
    <row r="9413">
      <c r="N9413" s="5"/>
    </row>
    <row r="9414">
      <c r="N9414" s="5"/>
    </row>
    <row r="9415">
      <c r="N9415" s="5"/>
    </row>
    <row r="9416">
      <c r="N9416" s="5"/>
    </row>
    <row r="9417">
      <c r="N9417" s="5"/>
    </row>
    <row r="9418">
      <c r="N9418" s="5"/>
    </row>
    <row r="9419">
      <c r="N9419" s="5"/>
    </row>
    <row r="9420">
      <c r="N9420" s="5"/>
    </row>
    <row r="9421">
      <c r="N9421" s="5"/>
    </row>
    <row r="9422">
      <c r="N9422" s="5"/>
    </row>
    <row r="9423">
      <c r="N9423" s="5"/>
    </row>
    <row r="9424">
      <c r="N9424" s="5"/>
    </row>
    <row r="9425">
      <c r="N9425" s="5"/>
    </row>
    <row r="9426">
      <c r="N9426" s="5"/>
    </row>
    <row r="9427">
      <c r="N9427" s="5"/>
    </row>
    <row r="9428">
      <c r="N9428" s="5"/>
    </row>
    <row r="9429">
      <c r="N9429" s="5"/>
    </row>
    <row r="9430">
      <c r="N9430" s="5"/>
    </row>
    <row r="9431">
      <c r="N9431" s="5"/>
    </row>
    <row r="9432">
      <c r="N9432" s="5"/>
    </row>
    <row r="9433">
      <c r="N9433" s="5"/>
    </row>
    <row r="9434">
      <c r="N9434" s="5"/>
    </row>
    <row r="9435">
      <c r="N9435" s="5"/>
    </row>
    <row r="9436">
      <c r="N9436" s="5"/>
    </row>
    <row r="9437">
      <c r="N9437" s="5"/>
    </row>
    <row r="9438">
      <c r="N9438" s="5"/>
    </row>
    <row r="9439">
      <c r="N9439" s="5"/>
    </row>
    <row r="9440">
      <c r="N9440" s="5"/>
    </row>
    <row r="9441">
      <c r="N9441" s="5"/>
    </row>
    <row r="9442">
      <c r="N9442" s="5"/>
    </row>
    <row r="9443">
      <c r="N9443" s="5"/>
    </row>
    <row r="9444">
      <c r="N9444" s="5"/>
    </row>
    <row r="9445">
      <c r="N9445" s="5"/>
    </row>
    <row r="9446">
      <c r="N9446" s="5"/>
    </row>
    <row r="9447">
      <c r="N9447" s="5"/>
    </row>
    <row r="9448">
      <c r="N9448" s="5"/>
    </row>
    <row r="9449">
      <c r="N9449" s="5"/>
    </row>
    <row r="9450">
      <c r="N9450" s="5"/>
    </row>
    <row r="9451">
      <c r="N9451" s="5"/>
    </row>
    <row r="9452">
      <c r="N9452" s="5"/>
    </row>
    <row r="9453">
      <c r="N9453" s="5"/>
    </row>
    <row r="9454">
      <c r="N9454" s="5"/>
    </row>
    <row r="9455">
      <c r="N9455" s="5"/>
    </row>
    <row r="9456">
      <c r="N9456" s="5"/>
    </row>
    <row r="9457">
      <c r="N9457" s="5"/>
    </row>
    <row r="9458">
      <c r="N9458" s="5"/>
    </row>
    <row r="9459">
      <c r="N9459" s="5"/>
    </row>
    <row r="9460">
      <c r="N9460" s="5"/>
    </row>
    <row r="9461">
      <c r="N9461" s="5"/>
    </row>
    <row r="9462">
      <c r="N9462" s="5"/>
    </row>
    <row r="9463">
      <c r="N9463" s="5"/>
    </row>
    <row r="9464">
      <c r="N9464" s="5"/>
    </row>
    <row r="9465">
      <c r="N9465" s="5"/>
    </row>
    <row r="9466">
      <c r="N9466" s="5"/>
    </row>
    <row r="9467">
      <c r="N9467" s="5"/>
    </row>
    <row r="9468">
      <c r="N9468" s="5"/>
    </row>
    <row r="9469">
      <c r="N9469" s="5"/>
    </row>
    <row r="9470">
      <c r="N9470" s="5"/>
    </row>
    <row r="9471">
      <c r="N9471" s="5"/>
    </row>
    <row r="9472">
      <c r="N9472" s="5"/>
    </row>
    <row r="9473">
      <c r="N9473" s="5"/>
    </row>
    <row r="9474">
      <c r="N9474" s="5"/>
    </row>
    <row r="9475">
      <c r="N9475" s="5"/>
    </row>
    <row r="9476">
      <c r="N9476" s="5"/>
    </row>
    <row r="9477">
      <c r="I9477" s="4"/>
      <c r="N9477" s="5"/>
    </row>
    <row r="9478">
      <c r="N9478" s="5"/>
    </row>
    <row r="9479">
      <c r="N9479" s="5"/>
    </row>
    <row r="9480">
      <c r="N9480" s="5"/>
    </row>
    <row r="9481">
      <c r="N9481" s="5"/>
    </row>
    <row r="9482">
      <c r="N9482" s="5"/>
    </row>
    <row r="9483">
      <c r="N9483" s="5"/>
    </row>
    <row r="9484">
      <c r="N9484" s="5"/>
    </row>
    <row r="9485">
      <c r="N9485" s="5"/>
    </row>
    <row r="9486">
      <c r="N9486" s="5"/>
    </row>
    <row r="9487">
      <c r="N9487" s="5"/>
    </row>
    <row r="9488">
      <c r="N9488" s="5"/>
    </row>
    <row r="9489">
      <c r="N9489" s="5"/>
    </row>
    <row r="9490">
      <c r="N9490" s="5"/>
    </row>
    <row r="9491">
      <c r="N9491" s="5"/>
    </row>
    <row r="9492">
      <c r="N9492" s="5"/>
    </row>
    <row r="9493">
      <c r="N9493" s="5"/>
    </row>
    <row r="9494">
      <c r="N9494" s="5"/>
    </row>
    <row r="9495">
      <c r="N9495" s="5"/>
    </row>
    <row r="9496">
      <c r="N9496" s="5"/>
    </row>
    <row r="9497">
      <c r="N9497" s="5"/>
    </row>
    <row r="9498">
      <c r="N9498" s="5"/>
    </row>
    <row r="9499">
      <c r="N9499" s="5"/>
    </row>
    <row r="9500">
      <c r="N9500" s="5"/>
    </row>
    <row r="9501">
      <c r="N9501" s="5"/>
    </row>
    <row r="9502">
      <c r="N9502" s="5"/>
    </row>
    <row r="9503">
      <c r="N9503" s="5"/>
    </row>
    <row r="9504">
      <c r="N9504" s="5"/>
    </row>
    <row r="9505">
      <c r="N9505" s="5"/>
    </row>
    <row r="9506">
      <c r="N9506" s="5"/>
    </row>
    <row r="9507">
      <c r="N9507" s="5"/>
    </row>
    <row r="9508">
      <c r="N9508" s="5"/>
    </row>
    <row r="9509">
      <c r="N9509" s="5"/>
    </row>
    <row r="9510">
      <c r="N9510" s="5"/>
    </row>
    <row r="9511">
      <c r="N9511" s="5"/>
    </row>
    <row r="9512">
      <c r="N9512" s="5"/>
    </row>
    <row r="9513">
      <c r="N9513" s="5"/>
    </row>
    <row r="9514">
      <c r="N9514" s="5"/>
    </row>
    <row r="9515">
      <c r="N9515" s="5"/>
    </row>
    <row r="9516">
      <c r="N9516" s="5"/>
    </row>
    <row r="9517">
      <c r="N9517" s="5"/>
    </row>
    <row r="9518">
      <c r="N9518" s="5"/>
    </row>
    <row r="9519">
      <c r="N9519" s="5"/>
    </row>
    <row r="9520">
      <c r="N9520" s="5"/>
    </row>
    <row r="9521">
      <c r="N9521" s="5"/>
    </row>
    <row r="9522">
      <c r="N9522" s="5"/>
    </row>
    <row r="9523">
      <c r="N9523" s="5"/>
    </row>
    <row r="9524">
      <c r="N9524" s="5"/>
    </row>
    <row r="9525">
      <c r="N9525" s="5"/>
    </row>
    <row r="9526">
      <c r="N9526" s="5"/>
    </row>
    <row r="9527">
      <c r="N9527" s="5"/>
    </row>
    <row r="9528">
      <c r="N9528" s="5"/>
    </row>
    <row r="9529">
      <c r="N9529" s="5"/>
    </row>
    <row r="9530">
      <c r="N9530" s="5"/>
    </row>
    <row r="9531">
      <c r="N9531" s="5"/>
    </row>
    <row r="9532">
      <c r="N9532" s="5"/>
    </row>
    <row r="9533">
      <c r="N9533" s="5"/>
    </row>
    <row r="9534">
      <c r="N9534" s="5"/>
    </row>
    <row r="9535">
      <c r="N9535" s="5"/>
    </row>
    <row r="9536">
      <c r="N9536" s="5"/>
    </row>
    <row r="9537">
      <c r="N9537" s="5"/>
    </row>
    <row r="9538">
      <c r="N9538" s="5"/>
    </row>
    <row r="9539">
      <c r="N9539" s="5"/>
    </row>
    <row r="9540">
      <c r="N9540" s="5"/>
    </row>
    <row r="9541">
      <c r="N9541" s="5"/>
    </row>
    <row r="9542">
      <c r="N9542" s="5"/>
    </row>
    <row r="9543">
      <c r="N9543" s="5"/>
    </row>
    <row r="9544">
      <c r="N9544" s="5"/>
    </row>
    <row r="9545">
      <c r="N9545" s="5"/>
    </row>
    <row r="9546">
      <c r="N9546" s="5"/>
    </row>
    <row r="9547">
      <c r="N9547" s="5"/>
    </row>
    <row r="9548">
      <c r="N9548" s="5"/>
    </row>
    <row r="9549">
      <c r="N9549" s="5"/>
    </row>
    <row r="9550">
      <c r="N9550" s="5"/>
    </row>
    <row r="9551">
      <c r="N9551" s="5"/>
    </row>
    <row r="9552">
      <c r="N9552" s="5"/>
    </row>
    <row r="9553">
      <c r="N9553" s="5"/>
    </row>
    <row r="9554">
      <c r="N9554" s="5"/>
    </row>
    <row r="9555">
      <c r="N9555" s="5"/>
    </row>
    <row r="9556">
      <c r="N9556" s="5"/>
    </row>
    <row r="9557">
      <c r="N9557" s="5"/>
    </row>
    <row r="9558">
      <c r="N9558" s="5"/>
    </row>
    <row r="9559">
      <c r="N9559" s="5"/>
    </row>
    <row r="9560">
      <c r="N9560" s="5"/>
    </row>
    <row r="9561">
      <c r="N9561" s="5"/>
    </row>
    <row r="9562">
      <c r="N9562" s="5"/>
    </row>
    <row r="9563">
      <c r="N9563" s="5"/>
    </row>
    <row r="9564">
      <c r="N9564" s="5"/>
    </row>
    <row r="9565">
      <c r="N9565" s="5"/>
    </row>
    <row r="9566">
      <c r="N9566" s="5"/>
    </row>
    <row r="9567">
      <c r="N9567" s="5"/>
    </row>
    <row r="9568">
      <c r="N9568" s="5"/>
    </row>
    <row r="9569">
      <c r="N9569" s="5"/>
    </row>
    <row r="9570">
      <c r="N9570" s="5"/>
    </row>
    <row r="9571">
      <c r="N9571" s="5"/>
    </row>
    <row r="9572">
      <c r="N9572" s="5"/>
    </row>
    <row r="9573">
      <c r="N9573" s="5"/>
    </row>
    <row r="9574">
      <c r="N9574" s="5"/>
    </row>
    <row r="9575">
      <c r="N9575" s="5"/>
    </row>
    <row r="9576">
      <c r="N9576" s="5"/>
    </row>
    <row r="9577">
      <c r="N9577" s="5"/>
    </row>
    <row r="9578">
      <c r="N9578" s="5"/>
    </row>
    <row r="9579">
      <c r="N9579" s="5"/>
    </row>
    <row r="9580">
      <c r="N9580" s="5"/>
    </row>
    <row r="9581">
      <c r="N9581" s="5"/>
    </row>
    <row r="9582">
      <c r="N9582" s="5"/>
    </row>
    <row r="9583">
      <c r="N9583" s="5"/>
    </row>
    <row r="9584">
      <c r="N9584" s="5"/>
    </row>
    <row r="9585">
      <c r="N9585" s="5"/>
    </row>
    <row r="9586">
      <c r="N9586" s="5"/>
    </row>
    <row r="9587">
      <c r="N9587" s="5"/>
    </row>
    <row r="9588">
      <c r="N9588" s="5"/>
    </row>
    <row r="9589">
      <c r="N9589" s="5"/>
    </row>
    <row r="9590">
      <c r="N9590" s="5"/>
    </row>
    <row r="9591">
      <c r="N9591" s="5"/>
    </row>
    <row r="9592">
      <c r="N9592" s="5"/>
    </row>
    <row r="9593">
      <c r="N9593" s="5"/>
    </row>
    <row r="9594">
      <c r="N9594" s="5"/>
    </row>
    <row r="9595">
      <c r="N9595" s="5"/>
    </row>
    <row r="9596">
      <c r="N9596" s="5"/>
    </row>
    <row r="9597">
      <c r="N9597" s="5"/>
    </row>
    <row r="9598">
      <c r="N9598" s="5"/>
    </row>
    <row r="9599">
      <c r="N9599" s="5"/>
    </row>
    <row r="9600">
      <c r="N9600" s="5"/>
    </row>
    <row r="9601">
      <c r="N9601" s="5"/>
    </row>
    <row r="9602">
      <c r="N9602" s="5"/>
    </row>
    <row r="9603">
      <c r="N9603" s="5"/>
    </row>
    <row r="9604">
      <c r="N9604" s="5"/>
    </row>
    <row r="9605">
      <c r="N9605" s="5"/>
    </row>
    <row r="9606">
      <c r="N9606" s="5"/>
    </row>
    <row r="9607">
      <c r="N9607" s="5"/>
    </row>
    <row r="9608">
      <c r="N9608" s="5"/>
    </row>
    <row r="9609">
      <c r="N9609" s="5"/>
    </row>
    <row r="9610">
      <c r="N9610" s="5"/>
    </row>
    <row r="9611">
      <c r="N9611" s="5"/>
    </row>
    <row r="9612">
      <c r="N9612" s="5"/>
    </row>
    <row r="9613">
      <c r="N9613" s="5"/>
    </row>
    <row r="9614">
      <c r="N9614" s="5"/>
    </row>
    <row r="9615">
      <c r="N9615" s="5"/>
    </row>
    <row r="9616">
      <c r="N9616" s="5"/>
    </row>
    <row r="9617">
      <c r="N9617" s="5"/>
    </row>
    <row r="9618">
      <c r="N9618" s="5"/>
    </row>
    <row r="9619">
      <c r="N9619" s="5"/>
    </row>
    <row r="9620">
      <c r="N9620" s="5"/>
    </row>
    <row r="9621">
      <c r="N9621" s="5"/>
    </row>
    <row r="9622">
      <c r="N9622" s="5"/>
    </row>
    <row r="9623">
      <c r="N9623" s="5"/>
    </row>
    <row r="9624">
      <c r="N9624" s="5"/>
    </row>
    <row r="9625">
      <c r="N9625" s="5"/>
    </row>
    <row r="9626">
      <c r="N9626" s="5"/>
    </row>
    <row r="9627">
      <c r="N9627" s="5"/>
    </row>
    <row r="9628">
      <c r="N9628" s="5"/>
    </row>
    <row r="9629">
      <c r="N9629" s="5"/>
    </row>
    <row r="9630">
      <c r="N9630" s="5"/>
    </row>
    <row r="9631">
      <c r="N9631" s="5"/>
    </row>
    <row r="9632">
      <c r="N9632" s="5"/>
    </row>
    <row r="9633">
      <c r="N9633" s="5"/>
    </row>
    <row r="9634">
      <c r="N9634" s="5"/>
    </row>
    <row r="9635">
      <c r="N9635" s="5"/>
    </row>
    <row r="9636">
      <c r="N9636" s="5"/>
    </row>
    <row r="9637">
      <c r="N9637" s="5"/>
    </row>
    <row r="9638">
      <c r="N9638" s="5"/>
    </row>
    <row r="9639">
      <c r="N9639" s="5"/>
    </row>
    <row r="9640">
      <c r="N9640" s="5"/>
    </row>
    <row r="9641">
      <c r="N9641" s="5"/>
    </row>
    <row r="9642">
      <c r="N9642" s="5"/>
    </row>
    <row r="9643">
      <c r="N9643" s="5"/>
    </row>
    <row r="9644">
      <c r="N9644" s="5"/>
    </row>
    <row r="9645">
      <c r="N9645" s="5"/>
    </row>
    <row r="9646">
      <c r="N9646" s="5"/>
    </row>
    <row r="9647">
      <c r="N9647" s="5"/>
    </row>
    <row r="9648">
      <c r="N9648" s="5"/>
    </row>
    <row r="9649">
      <c r="N9649" s="5"/>
    </row>
    <row r="9650">
      <c r="N9650" s="5"/>
    </row>
    <row r="9651">
      <c r="N9651" s="5"/>
    </row>
    <row r="9652">
      <c r="N9652" s="5"/>
    </row>
    <row r="9653">
      <c r="N9653" s="5"/>
    </row>
    <row r="9654">
      <c r="N9654" s="5"/>
    </row>
    <row r="9655">
      <c r="N9655" s="5"/>
    </row>
    <row r="9656">
      <c r="N9656" s="5"/>
    </row>
    <row r="9657">
      <c r="N9657" s="5"/>
    </row>
    <row r="9658">
      <c r="N9658" s="5"/>
    </row>
    <row r="9659">
      <c r="N9659" s="5"/>
    </row>
    <row r="9660">
      <c r="N9660" s="5"/>
    </row>
    <row r="9661">
      <c r="N9661" s="5"/>
    </row>
    <row r="9662">
      <c r="N9662" s="5"/>
    </row>
    <row r="9663">
      <c r="N9663" s="5"/>
    </row>
    <row r="9664">
      <c r="N9664" s="5"/>
    </row>
    <row r="9665">
      <c r="N9665" s="5"/>
    </row>
    <row r="9666">
      <c r="N9666" s="5"/>
    </row>
    <row r="9667">
      <c r="N9667" s="5"/>
    </row>
    <row r="9668">
      <c r="N9668" s="5"/>
    </row>
    <row r="9669">
      <c r="N9669" s="5"/>
    </row>
    <row r="9670">
      <c r="N9670" s="5"/>
    </row>
    <row r="9671">
      <c r="N9671" s="5"/>
    </row>
    <row r="9672">
      <c r="N9672" s="5"/>
    </row>
    <row r="9673">
      <c r="N9673" s="5"/>
    </row>
    <row r="9674">
      <c r="N9674" s="5"/>
    </row>
    <row r="9675">
      <c r="N9675" s="5"/>
    </row>
    <row r="9676">
      <c r="N9676" s="5"/>
    </row>
    <row r="9677">
      <c r="N9677" s="5"/>
    </row>
    <row r="9678">
      <c r="N9678" s="5"/>
    </row>
    <row r="9679">
      <c r="N9679" s="5"/>
    </row>
    <row r="9680">
      <c r="N9680" s="5"/>
    </row>
    <row r="9681">
      <c r="N9681" s="5"/>
    </row>
    <row r="9682">
      <c r="N9682" s="5"/>
    </row>
    <row r="9683">
      <c r="N9683" s="5"/>
    </row>
    <row r="9684">
      <c r="N9684" s="5"/>
    </row>
    <row r="9685">
      <c r="N9685" s="5"/>
    </row>
    <row r="9686">
      <c r="N9686" s="5"/>
    </row>
    <row r="9687">
      <c r="N9687" s="5"/>
    </row>
    <row r="9688">
      <c r="N9688" s="5"/>
    </row>
    <row r="9689">
      <c r="N9689" s="5"/>
    </row>
    <row r="9690">
      <c r="N9690" s="5"/>
    </row>
    <row r="9691">
      <c r="N9691" s="5"/>
    </row>
    <row r="9692">
      <c r="N9692" s="5"/>
    </row>
    <row r="9693">
      <c r="N9693" s="5"/>
    </row>
    <row r="9694">
      <c r="N9694" s="5"/>
    </row>
    <row r="9695">
      <c r="N9695" s="5"/>
    </row>
    <row r="9696">
      <c r="N9696" s="5"/>
    </row>
    <row r="9697">
      <c r="N9697" s="5"/>
    </row>
    <row r="9698">
      <c r="N9698" s="5"/>
    </row>
    <row r="9699">
      <c r="N9699" s="5"/>
    </row>
    <row r="9700">
      <c r="N9700" s="5"/>
    </row>
    <row r="9701">
      <c r="N9701" s="5"/>
    </row>
    <row r="9702">
      <c r="N9702" s="5"/>
    </row>
    <row r="9703">
      <c r="N9703" s="5"/>
    </row>
    <row r="9704">
      <c r="N9704" s="5"/>
    </row>
    <row r="9705">
      <c r="N9705" s="5"/>
    </row>
    <row r="9706">
      <c r="N9706" s="5"/>
    </row>
    <row r="9707">
      <c r="N9707" s="5"/>
    </row>
    <row r="9708">
      <c r="N9708" s="5"/>
    </row>
    <row r="9709">
      <c r="N9709" s="5"/>
    </row>
    <row r="9710">
      <c r="N9710" s="5"/>
    </row>
    <row r="9711">
      <c r="N9711" s="5"/>
    </row>
    <row r="9712">
      <c r="N9712" s="5"/>
    </row>
    <row r="9713">
      <c r="N9713" s="5"/>
    </row>
    <row r="9714">
      <c r="N9714" s="5"/>
    </row>
    <row r="9715">
      <c r="N9715" s="5"/>
    </row>
    <row r="9716">
      <c r="N9716" s="5"/>
    </row>
    <row r="9717">
      <c r="N9717" s="5"/>
    </row>
    <row r="9718">
      <c r="N9718" s="5"/>
    </row>
    <row r="9719">
      <c r="N9719" s="5"/>
    </row>
    <row r="9720">
      <c r="N9720" s="5"/>
    </row>
    <row r="9721">
      <c r="N9721" s="5"/>
    </row>
    <row r="9722">
      <c r="N9722" s="5"/>
    </row>
    <row r="9723">
      <c r="N9723" s="5"/>
    </row>
    <row r="9724">
      <c r="N9724" s="5"/>
    </row>
    <row r="9725">
      <c r="N9725" s="5"/>
    </row>
    <row r="9726">
      <c r="N9726" s="5"/>
    </row>
    <row r="9727">
      <c r="N9727" s="5"/>
    </row>
    <row r="9728">
      <c r="N9728" s="5"/>
    </row>
    <row r="9729">
      <c r="N9729" s="5"/>
    </row>
    <row r="9730">
      <c r="N9730" s="5"/>
    </row>
    <row r="9731">
      <c r="N9731" s="5"/>
    </row>
    <row r="9732">
      <c r="N9732" s="5"/>
    </row>
    <row r="9733">
      <c r="N9733" s="5"/>
    </row>
    <row r="9734">
      <c r="N9734" s="5"/>
    </row>
    <row r="9735">
      <c r="N9735" s="5"/>
    </row>
    <row r="9736">
      <c r="N9736" s="5"/>
    </row>
    <row r="9737">
      <c r="N9737" s="5"/>
    </row>
    <row r="9738">
      <c r="N9738" s="5"/>
    </row>
    <row r="9739">
      <c r="N9739" s="5"/>
    </row>
    <row r="9740">
      <c r="N9740" s="5"/>
    </row>
    <row r="9741">
      <c r="N9741" s="5"/>
    </row>
    <row r="9742">
      <c r="N9742" s="5"/>
    </row>
    <row r="9743">
      <c r="N9743" s="5"/>
    </row>
    <row r="9744">
      <c r="N9744" s="5"/>
    </row>
    <row r="9745">
      <c r="N9745" s="5"/>
    </row>
    <row r="9746">
      <c r="N9746" s="5"/>
    </row>
    <row r="9747">
      <c r="N9747" s="5"/>
    </row>
    <row r="9748">
      <c r="N9748" s="5"/>
    </row>
    <row r="9749">
      <c r="N9749" s="5"/>
    </row>
    <row r="9750">
      <c r="N9750" s="5"/>
    </row>
    <row r="9751">
      <c r="N9751" s="5"/>
    </row>
    <row r="9752">
      <c r="N9752" s="5"/>
    </row>
    <row r="9753">
      <c r="N9753" s="5"/>
    </row>
    <row r="9754">
      <c r="N9754" s="5"/>
    </row>
    <row r="9755">
      <c r="N9755" s="5"/>
    </row>
    <row r="9756">
      <c r="N9756" s="5"/>
    </row>
    <row r="9757">
      <c r="N9757" s="5"/>
    </row>
    <row r="9758">
      <c r="N9758" s="5"/>
    </row>
    <row r="9759">
      <c r="N9759" s="5"/>
    </row>
    <row r="9760">
      <c r="N9760" s="5"/>
    </row>
    <row r="9761">
      <c r="N9761" s="5"/>
    </row>
    <row r="9762">
      <c r="N9762" s="5"/>
    </row>
    <row r="9763">
      <c r="N9763" s="5"/>
    </row>
    <row r="9764">
      <c r="N9764" s="5"/>
    </row>
    <row r="9765">
      <c r="N9765" s="5"/>
    </row>
    <row r="9766">
      <c r="N9766" s="5"/>
    </row>
    <row r="9767">
      <c r="N9767" s="5"/>
    </row>
    <row r="9768">
      <c r="N9768" s="5"/>
    </row>
    <row r="9769">
      <c r="N9769" s="5"/>
    </row>
    <row r="9770">
      <c r="N9770" s="5"/>
    </row>
    <row r="9771">
      <c r="N9771" s="5"/>
    </row>
    <row r="9772">
      <c r="N9772" s="5"/>
    </row>
    <row r="9773">
      <c r="N9773" s="5"/>
    </row>
    <row r="9774">
      <c r="N9774" s="5"/>
    </row>
    <row r="9775">
      <c r="N9775" s="5"/>
    </row>
    <row r="9776">
      <c r="N9776" s="5"/>
    </row>
    <row r="9777">
      <c r="N9777" s="5"/>
    </row>
    <row r="9778">
      <c r="N9778" s="5"/>
    </row>
    <row r="9779">
      <c r="N9779" s="5"/>
    </row>
    <row r="9780">
      <c r="N9780" s="5"/>
    </row>
    <row r="9781">
      <c r="N9781" s="5"/>
    </row>
    <row r="9782">
      <c r="N9782" s="5"/>
    </row>
    <row r="9783">
      <c r="N9783" s="5"/>
    </row>
    <row r="9784">
      <c r="N9784" s="5"/>
    </row>
    <row r="9785">
      <c r="N9785" s="5"/>
    </row>
    <row r="9786">
      <c r="N9786" s="5"/>
    </row>
    <row r="9787">
      <c r="N9787" s="5"/>
    </row>
    <row r="9788">
      <c r="N9788" s="5"/>
    </row>
    <row r="9789">
      <c r="N9789" s="5"/>
    </row>
    <row r="9790">
      <c r="N9790" s="5"/>
    </row>
    <row r="9791">
      <c r="N9791" s="5"/>
    </row>
    <row r="9792">
      <c r="N9792" s="5"/>
    </row>
    <row r="9793">
      <c r="N9793" s="5"/>
    </row>
    <row r="9794">
      <c r="N9794" s="5"/>
    </row>
    <row r="9795">
      <c r="N9795" s="5"/>
    </row>
    <row r="9796">
      <c r="N9796" s="5"/>
    </row>
    <row r="9797">
      <c r="N9797" s="5"/>
    </row>
    <row r="9798">
      <c r="N9798" s="5"/>
    </row>
    <row r="9799">
      <c r="N9799" s="5"/>
    </row>
    <row r="9800">
      <c r="N9800" s="5"/>
    </row>
    <row r="9801">
      <c r="N9801" s="5"/>
    </row>
    <row r="9802">
      <c r="N9802" s="5"/>
    </row>
    <row r="9803">
      <c r="N9803" s="5"/>
    </row>
    <row r="9804">
      <c r="N9804" s="5"/>
    </row>
    <row r="9805">
      <c r="N9805" s="5"/>
    </row>
    <row r="9806">
      <c r="N9806" s="5"/>
    </row>
    <row r="9807">
      <c r="N9807" s="5"/>
    </row>
    <row r="9808">
      <c r="N9808" s="5"/>
    </row>
    <row r="9809">
      <c r="N9809" s="5"/>
    </row>
    <row r="9810">
      <c r="N9810" s="5"/>
    </row>
    <row r="9811">
      <c r="N9811" s="5"/>
    </row>
    <row r="9812">
      <c r="N9812" s="5"/>
    </row>
    <row r="9813">
      <c r="N9813" s="5"/>
    </row>
    <row r="9814">
      <c r="N9814" s="5"/>
    </row>
    <row r="9815">
      <c r="N9815" s="5"/>
    </row>
    <row r="9816">
      <c r="N9816" s="5"/>
    </row>
    <row r="9817">
      <c r="N9817" s="5"/>
    </row>
    <row r="9818">
      <c r="N9818" s="5"/>
    </row>
    <row r="9819">
      <c r="N9819" s="5"/>
    </row>
    <row r="9820">
      <c r="N9820" s="5"/>
    </row>
    <row r="9821">
      <c r="N9821" s="5"/>
    </row>
    <row r="9822">
      <c r="N9822" s="5"/>
    </row>
    <row r="9823">
      <c r="N9823" s="5"/>
    </row>
    <row r="9824">
      <c r="N9824" s="5"/>
    </row>
    <row r="9825">
      <c r="N9825" s="5"/>
    </row>
    <row r="9826">
      <c r="N9826" s="5"/>
    </row>
    <row r="9827">
      <c r="N9827" s="5"/>
    </row>
    <row r="9828">
      <c r="N9828" s="5"/>
    </row>
    <row r="9829">
      <c r="N9829" s="5"/>
    </row>
    <row r="9830">
      <c r="N9830" s="5"/>
    </row>
    <row r="9831">
      <c r="N9831" s="5"/>
    </row>
    <row r="9832">
      <c r="N9832" s="5"/>
    </row>
    <row r="9833">
      <c r="N9833" s="5"/>
    </row>
    <row r="9834">
      <c r="N9834" s="5"/>
    </row>
    <row r="9835">
      <c r="N9835" s="5"/>
    </row>
    <row r="9836">
      <c r="N9836" s="5"/>
    </row>
    <row r="9837">
      <c r="N9837" s="5"/>
    </row>
    <row r="9838">
      <c r="N9838" s="5"/>
    </row>
    <row r="9839">
      <c r="N9839" s="5"/>
    </row>
    <row r="9840">
      <c r="N9840" s="5"/>
    </row>
    <row r="9841">
      <c r="N9841" s="5"/>
    </row>
    <row r="9842">
      <c r="N9842" s="5"/>
    </row>
    <row r="9843">
      <c r="N9843" s="5"/>
    </row>
    <row r="9844">
      <c r="N9844" s="5"/>
    </row>
    <row r="9845">
      <c r="N9845" s="5"/>
    </row>
    <row r="9846">
      <c r="N9846" s="5"/>
    </row>
    <row r="9847">
      <c r="N9847" s="5"/>
    </row>
    <row r="9848">
      <c r="N9848" s="5"/>
    </row>
    <row r="9849">
      <c r="N9849" s="5"/>
    </row>
    <row r="9850">
      <c r="N9850" s="5"/>
    </row>
    <row r="9851">
      <c r="N9851" s="5"/>
    </row>
    <row r="9852">
      <c r="N9852" s="5"/>
    </row>
    <row r="9853">
      <c r="N9853" s="5"/>
    </row>
    <row r="9854">
      <c r="N9854" s="5"/>
    </row>
    <row r="9855">
      <c r="N9855" s="5"/>
    </row>
    <row r="9856">
      <c r="N9856" s="5"/>
    </row>
    <row r="9857">
      <c r="N9857" s="5"/>
    </row>
    <row r="9858">
      <c r="N9858" s="5"/>
    </row>
    <row r="9859">
      <c r="N9859" s="5"/>
    </row>
    <row r="9860">
      <c r="N9860" s="5"/>
    </row>
    <row r="9861">
      <c r="N9861" s="5"/>
    </row>
    <row r="9862">
      <c r="N9862" s="5"/>
    </row>
    <row r="9863">
      <c r="N9863" s="5"/>
    </row>
    <row r="9864">
      <c r="N9864" s="5"/>
    </row>
    <row r="9865">
      <c r="N9865" s="5"/>
    </row>
    <row r="9866">
      <c r="N9866" s="5"/>
    </row>
    <row r="9867">
      <c r="N9867" s="5"/>
    </row>
    <row r="9868">
      <c r="N9868" s="5"/>
    </row>
    <row r="9869">
      <c r="N9869" s="5"/>
    </row>
    <row r="9870">
      <c r="N9870" s="5"/>
    </row>
    <row r="9871">
      <c r="N9871" s="5"/>
    </row>
    <row r="9872">
      <c r="N9872" s="5"/>
    </row>
    <row r="9873">
      <c r="N9873" s="5"/>
    </row>
    <row r="9874">
      <c r="N9874" s="5"/>
    </row>
    <row r="9875">
      <c r="N9875" s="5"/>
    </row>
    <row r="9876">
      <c r="N9876" s="5"/>
    </row>
    <row r="9877">
      <c r="N9877" s="5"/>
    </row>
    <row r="9878">
      <c r="N9878" s="5"/>
    </row>
    <row r="9879">
      <c r="N9879" s="5"/>
    </row>
    <row r="9880">
      <c r="N9880" s="5"/>
    </row>
    <row r="9881">
      <c r="N9881" s="5"/>
    </row>
    <row r="9882">
      <c r="N9882" s="5"/>
    </row>
    <row r="9883">
      <c r="N9883" s="5"/>
    </row>
    <row r="9884">
      <c r="N9884" s="5"/>
    </row>
    <row r="9885">
      <c r="N9885" s="5"/>
    </row>
    <row r="9886">
      <c r="N9886" s="5"/>
    </row>
    <row r="9887">
      <c r="N9887" s="5"/>
    </row>
    <row r="9888">
      <c r="N9888" s="5"/>
    </row>
    <row r="9889">
      <c r="N9889" s="5"/>
    </row>
    <row r="9890">
      <c r="N9890" s="5"/>
    </row>
    <row r="9891">
      <c r="N9891" s="5"/>
    </row>
    <row r="9892">
      <c r="N9892" s="5"/>
    </row>
    <row r="9893">
      <c r="N9893" s="5"/>
    </row>
    <row r="9894">
      <c r="N9894" s="5"/>
    </row>
    <row r="9895">
      <c r="N9895" s="5"/>
    </row>
    <row r="9896">
      <c r="N9896" s="5"/>
    </row>
    <row r="9897">
      <c r="N9897" s="5"/>
    </row>
    <row r="9898">
      <c r="N9898" s="5"/>
    </row>
    <row r="9899">
      <c r="N9899" s="5"/>
    </row>
    <row r="9900">
      <c r="N9900" s="5"/>
    </row>
    <row r="9901">
      <c r="N9901" s="5"/>
    </row>
    <row r="9902">
      <c r="N9902" s="5"/>
    </row>
    <row r="9903">
      <c r="N9903" s="5"/>
    </row>
    <row r="9904">
      <c r="N9904" s="5"/>
    </row>
    <row r="9905">
      <c r="N9905" s="5"/>
    </row>
    <row r="9906">
      <c r="N9906" s="5"/>
    </row>
    <row r="9907">
      <c r="N9907" s="5"/>
    </row>
    <row r="9908">
      <c r="N9908" s="5"/>
    </row>
    <row r="9909">
      <c r="N9909" s="5"/>
    </row>
    <row r="9910">
      <c r="N9910" s="5"/>
    </row>
    <row r="9911">
      <c r="N9911" s="5"/>
    </row>
    <row r="9912">
      <c r="N9912" s="5"/>
    </row>
    <row r="9913">
      <c r="N9913" s="5"/>
    </row>
    <row r="9914">
      <c r="N9914" s="5"/>
    </row>
    <row r="9915">
      <c r="N9915" s="5"/>
    </row>
    <row r="9916">
      <c r="N9916" s="5"/>
    </row>
    <row r="9917">
      <c r="N9917" s="5"/>
    </row>
    <row r="9918">
      <c r="N9918" s="5"/>
    </row>
    <row r="9919">
      <c r="N9919" s="5"/>
    </row>
    <row r="9920">
      <c r="N9920" s="5"/>
    </row>
    <row r="9921">
      <c r="N9921" s="5"/>
    </row>
    <row r="9922">
      <c r="N9922" s="5"/>
    </row>
    <row r="9923">
      <c r="N9923" s="5"/>
    </row>
    <row r="9924">
      <c r="N9924" s="5"/>
    </row>
    <row r="9925">
      <c r="N9925" s="5"/>
    </row>
    <row r="9926">
      <c r="N9926" s="5"/>
    </row>
    <row r="9927">
      <c r="N9927" s="5"/>
    </row>
    <row r="9928">
      <c r="N9928" s="5"/>
    </row>
    <row r="9929">
      <c r="N9929" s="5"/>
    </row>
    <row r="9930">
      <c r="N9930" s="5"/>
    </row>
    <row r="9931">
      <c r="N9931" s="5"/>
    </row>
    <row r="9932">
      <c r="N9932" s="5"/>
    </row>
    <row r="9933">
      <c r="N9933" s="5"/>
    </row>
    <row r="9934">
      <c r="N9934" s="5"/>
    </row>
    <row r="9935">
      <c r="N9935" s="5"/>
    </row>
    <row r="9936">
      <c r="N9936" s="5"/>
    </row>
    <row r="9937">
      <c r="N9937" s="5"/>
    </row>
    <row r="9938">
      <c r="N9938" s="5"/>
    </row>
    <row r="9939">
      <c r="N9939" s="5"/>
    </row>
    <row r="9940">
      <c r="N9940" s="5"/>
    </row>
    <row r="9941">
      <c r="N9941" s="5"/>
    </row>
    <row r="9942">
      <c r="N9942" s="5"/>
    </row>
    <row r="9943">
      <c r="N9943" s="5"/>
    </row>
    <row r="9944">
      <c r="N9944" s="5"/>
    </row>
    <row r="9945">
      <c r="N9945" s="5"/>
    </row>
    <row r="9946">
      <c r="N9946" s="5"/>
    </row>
    <row r="9947">
      <c r="N9947" s="5"/>
    </row>
    <row r="9948">
      <c r="N9948" s="5"/>
    </row>
    <row r="9949">
      <c r="N9949" s="5"/>
    </row>
    <row r="9950">
      <c r="N9950" s="5"/>
    </row>
    <row r="9951">
      <c r="N9951" s="5"/>
    </row>
    <row r="9952">
      <c r="N9952" s="5"/>
    </row>
    <row r="9953">
      <c r="N9953" s="5"/>
    </row>
    <row r="9954">
      <c r="N9954" s="5"/>
    </row>
    <row r="9955">
      <c r="N9955" s="5"/>
    </row>
    <row r="9956">
      <c r="N9956" s="5"/>
    </row>
    <row r="9957">
      <c r="N9957" s="5"/>
    </row>
    <row r="9958">
      <c r="N9958" s="5"/>
    </row>
    <row r="9959">
      <c r="N9959" s="5"/>
    </row>
    <row r="9960">
      <c r="N9960" s="5"/>
    </row>
    <row r="9961">
      <c r="N9961" s="5"/>
    </row>
    <row r="9962">
      <c r="N9962" s="5"/>
    </row>
    <row r="9963">
      <c r="N9963" s="5"/>
    </row>
    <row r="9964">
      <c r="N9964" s="5"/>
    </row>
    <row r="9965">
      <c r="N9965" s="5"/>
    </row>
    <row r="9966">
      <c r="N9966" s="5"/>
    </row>
    <row r="9967">
      <c r="N9967" s="5"/>
    </row>
    <row r="9968">
      <c r="N9968" s="5"/>
    </row>
    <row r="9969">
      <c r="N9969" s="5"/>
    </row>
    <row r="9970">
      <c r="N9970" s="5"/>
    </row>
    <row r="9971">
      <c r="N9971" s="5"/>
    </row>
    <row r="9972">
      <c r="N9972" s="5"/>
    </row>
    <row r="9973">
      <c r="N9973" s="5"/>
    </row>
    <row r="9974">
      <c r="N9974" s="5"/>
    </row>
    <row r="9975">
      <c r="N9975" s="5"/>
    </row>
    <row r="9976">
      <c r="N9976" s="5"/>
    </row>
    <row r="9977">
      <c r="N9977" s="5"/>
    </row>
    <row r="9978">
      <c r="N9978" s="5"/>
    </row>
    <row r="9979">
      <c r="N9979" s="5"/>
    </row>
    <row r="9980">
      <c r="N9980" s="5"/>
    </row>
    <row r="9981">
      <c r="N9981" s="5"/>
    </row>
    <row r="9982">
      <c r="N9982" s="5"/>
    </row>
    <row r="9983">
      <c r="N9983" s="5"/>
    </row>
    <row r="9984">
      <c r="N9984" s="5"/>
    </row>
    <row r="9985">
      <c r="N9985" s="5"/>
    </row>
    <row r="9986">
      <c r="N9986" s="5"/>
    </row>
    <row r="9987">
      <c r="N9987" s="5"/>
    </row>
    <row r="9988">
      <c r="N9988" s="5"/>
    </row>
    <row r="9989">
      <c r="N9989" s="5"/>
    </row>
    <row r="9990">
      <c r="N9990" s="5"/>
    </row>
    <row r="9991">
      <c r="N9991" s="5"/>
    </row>
    <row r="9992">
      <c r="N9992" s="5"/>
    </row>
    <row r="9993">
      <c r="N9993" s="5"/>
    </row>
    <row r="9994">
      <c r="N9994" s="5"/>
    </row>
    <row r="9995">
      <c r="N9995" s="5"/>
    </row>
    <row r="9996">
      <c r="N9996" s="5"/>
    </row>
    <row r="9997">
      <c r="N9997" s="5"/>
    </row>
    <row r="9998">
      <c r="N9998" s="5"/>
    </row>
    <row r="9999">
      <c r="N9999" s="5"/>
    </row>
    <row r="10000">
      <c r="N10000" s="5"/>
    </row>
    <row r="10001">
      <c r="N10001" s="5"/>
    </row>
    <row r="10002">
      <c r="N10002" s="5"/>
    </row>
    <row r="10003">
      <c r="N10003" s="5"/>
    </row>
    <row r="10004">
      <c r="N10004" s="5"/>
    </row>
    <row r="10005">
      <c r="N10005" s="5"/>
    </row>
    <row r="10006">
      <c r="N10006" s="5"/>
    </row>
    <row r="10007">
      <c r="N10007" s="5"/>
    </row>
    <row r="10008">
      <c r="N10008" s="5"/>
    </row>
    <row r="10009">
      <c r="N10009" s="5"/>
    </row>
    <row r="10010">
      <c r="N10010" s="5"/>
    </row>
    <row r="10011">
      <c r="N10011" s="5"/>
    </row>
    <row r="10012">
      <c r="N10012" s="5"/>
    </row>
    <row r="10013">
      <c r="N10013" s="5"/>
    </row>
    <row r="10014">
      <c r="N10014" s="5"/>
    </row>
    <row r="10015">
      <c r="N10015" s="5"/>
    </row>
    <row r="10016">
      <c r="N10016" s="5"/>
    </row>
    <row r="10017">
      <c r="N10017" s="5"/>
    </row>
    <row r="10018">
      <c r="N10018" s="5"/>
    </row>
    <row r="10019">
      <c r="N10019" s="5"/>
    </row>
    <row r="10020">
      <c r="N10020" s="5"/>
    </row>
    <row r="10021">
      <c r="N10021" s="5"/>
    </row>
    <row r="10022">
      <c r="N10022" s="5"/>
    </row>
    <row r="10023">
      <c r="N10023" s="5"/>
    </row>
    <row r="10024">
      <c r="N10024" s="5"/>
    </row>
    <row r="10025">
      <c r="N10025" s="5"/>
    </row>
    <row r="10026">
      <c r="N10026" s="5"/>
    </row>
    <row r="10027">
      <c r="N10027" s="5"/>
    </row>
    <row r="10028">
      <c r="N10028" s="5"/>
    </row>
    <row r="10029">
      <c r="N10029" s="5"/>
    </row>
    <row r="10030">
      <c r="N10030" s="5"/>
    </row>
    <row r="10031">
      <c r="N10031" s="5"/>
    </row>
    <row r="10032">
      <c r="N10032" s="5"/>
    </row>
    <row r="10033">
      <c r="N10033" s="5"/>
    </row>
    <row r="10034">
      <c r="N10034" s="5"/>
    </row>
    <row r="10035">
      <c r="N10035" s="5"/>
    </row>
    <row r="10036">
      <c r="N10036" s="5"/>
    </row>
    <row r="10037">
      <c r="N10037" s="5"/>
    </row>
    <row r="10038">
      <c r="N10038" s="5"/>
    </row>
    <row r="10039">
      <c r="N10039" s="5"/>
    </row>
    <row r="10040">
      <c r="N10040" s="5"/>
    </row>
    <row r="10041">
      <c r="N10041" s="5"/>
    </row>
    <row r="10042">
      <c r="N10042" s="5"/>
    </row>
    <row r="10043">
      <c r="N10043" s="5"/>
    </row>
    <row r="10044">
      <c r="N10044" s="5"/>
    </row>
    <row r="10045">
      <c r="N10045" s="5"/>
    </row>
    <row r="10046">
      <c r="N10046" s="5"/>
    </row>
    <row r="10047">
      <c r="N10047" s="5"/>
    </row>
    <row r="10048">
      <c r="N10048" s="5"/>
    </row>
    <row r="10049">
      <c r="N10049" s="5"/>
    </row>
    <row r="10050">
      <c r="N10050" s="5"/>
    </row>
    <row r="10051">
      <c r="N10051" s="5"/>
    </row>
    <row r="10052">
      <c r="N10052" s="5"/>
    </row>
    <row r="10053">
      <c r="N10053" s="5"/>
    </row>
    <row r="10054">
      <c r="N10054" s="5"/>
    </row>
    <row r="10055">
      <c r="N10055" s="5"/>
    </row>
    <row r="10056">
      <c r="N10056" s="5"/>
    </row>
    <row r="10057">
      <c r="N10057" s="5"/>
    </row>
    <row r="10058">
      <c r="N10058" s="5"/>
    </row>
    <row r="10059">
      <c r="N10059" s="5"/>
    </row>
    <row r="10060">
      <c r="N10060" s="5"/>
    </row>
    <row r="10061">
      <c r="N10061" s="5"/>
    </row>
    <row r="10062">
      <c r="N10062" s="5"/>
    </row>
    <row r="10063">
      <c r="N10063" s="5"/>
    </row>
    <row r="10064">
      <c r="N10064" s="5"/>
    </row>
    <row r="10065">
      <c r="N10065" s="5"/>
    </row>
    <row r="10066">
      <c r="N10066" s="5"/>
    </row>
    <row r="10067">
      <c r="N10067" s="5"/>
    </row>
    <row r="10068">
      <c r="N10068" s="5"/>
    </row>
    <row r="10069">
      <c r="N10069" s="5"/>
    </row>
    <row r="10070">
      <c r="N10070" s="5"/>
    </row>
    <row r="10071">
      <c r="N10071" s="5"/>
    </row>
    <row r="10072">
      <c r="N10072" s="5"/>
    </row>
    <row r="10073">
      <c r="N10073" s="5"/>
    </row>
    <row r="10074">
      <c r="N10074" s="5"/>
    </row>
    <row r="10075">
      <c r="N10075" s="5"/>
    </row>
    <row r="10076">
      <c r="N10076" s="5"/>
    </row>
    <row r="10077">
      <c r="N10077" s="5"/>
    </row>
    <row r="10078">
      <c r="N10078" s="5"/>
    </row>
    <row r="10079">
      <c r="N10079" s="5"/>
    </row>
    <row r="10080">
      <c r="N10080" s="5"/>
    </row>
    <row r="10081">
      <c r="N10081" s="5"/>
    </row>
    <row r="10082">
      <c r="N10082" s="5"/>
    </row>
    <row r="10083">
      <c r="N10083" s="5"/>
    </row>
    <row r="10084">
      <c r="N10084" s="5"/>
    </row>
    <row r="10085">
      <c r="N10085" s="5"/>
    </row>
    <row r="10086">
      <c r="N10086" s="5"/>
    </row>
    <row r="10087">
      <c r="N10087" s="5"/>
    </row>
    <row r="10088">
      <c r="N10088" s="5"/>
    </row>
    <row r="10089">
      <c r="N10089" s="5"/>
    </row>
    <row r="10090">
      <c r="N10090" s="5"/>
    </row>
    <row r="10091">
      <c r="N10091" s="5"/>
    </row>
    <row r="10092">
      <c r="N10092" s="5"/>
    </row>
    <row r="10093">
      <c r="N10093" s="5"/>
    </row>
    <row r="10094">
      <c r="N10094" s="5"/>
    </row>
    <row r="10095">
      <c r="N10095" s="5"/>
    </row>
    <row r="10096">
      <c r="N10096" s="5"/>
    </row>
    <row r="10097">
      <c r="N10097" s="5"/>
    </row>
    <row r="10098">
      <c r="N10098" s="5"/>
    </row>
    <row r="10099">
      <c r="N10099" s="5"/>
    </row>
    <row r="10100">
      <c r="N10100" s="5"/>
    </row>
    <row r="10101">
      <c r="N10101" s="5"/>
    </row>
    <row r="10102">
      <c r="N10102" s="5"/>
    </row>
    <row r="10103">
      <c r="N10103" s="5"/>
    </row>
    <row r="10104">
      <c r="N10104" s="5"/>
    </row>
    <row r="10105">
      <c r="N10105" s="5"/>
    </row>
    <row r="10106">
      <c r="N10106" s="5"/>
    </row>
    <row r="10107">
      <c r="N10107" s="5"/>
    </row>
    <row r="10108">
      <c r="N10108" s="5"/>
    </row>
    <row r="10109">
      <c r="N10109" s="5"/>
    </row>
    <row r="10110">
      <c r="N10110" s="5"/>
    </row>
    <row r="10111">
      <c r="N10111" s="5"/>
    </row>
    <row r="10112">
      <c r="N10112" s="5"/>
    </row>
    <row r="10113">
      <c r="N10113" s="5"/>
    </row>
    <row r="10114">
      <c r="N10114" s="5"/>
    </row>
    <row r="10115">
      <c r="N10115" s="5"/>
    </row>
    <row r="10116">
      <c r="N10116" s="5"/>
    </row>
    <row r="10117">
      <c r="N10117" s="5"/>
    </row>
    <row r="10118">
      <c r="N10118" s="5"/>
    </row>
    <row r="10119">
      <c r="N10119" s="5"/>
    </row>
    <row r="10120">
      <c r="N10120" s="5"/>
    </row>
    <row r="10121">
      <c r="N10121" s="5"/>
    </row>
    <row r="10122">
      <c r="N10122" s="5"/>
    </row>
    <row r="10123">
      <c r="N10123" s="5"/>
    </row>
    <row r="10124">
      <c r="N10124" s="5"/>
    </row>
    <row r="10125">
      <c r="N10125" s="5"/>
    </row>
    <row r="10126">
      <c r="N10126" s="5"/>
    </row>
    <row r="10127">
      <c r="N10127" s="5"/>
    </row>
    <row r="10128">
      <c r="N10128" s="5"/>
    </row>
    <row r="10129">
      <c r="N10129" s="5"/>
    </row>
    <row r="10130">
      <c r="N10130" s="5"/>
    </row>
    <row r="10131">
      <c r="N10131" s="5"/>
    </row>
    <row r="10132">
      <c r="N10132" s="5"/>
    </row>
    <row r="10133">
      <c r="N10133" s="5"/>
    </row>
    <row r="10134">
      <c r="N10134" s="5"/>
    </row>
    <row r="10135">
      <c r="N10135" s="5"/>
    </row>
    <row r="10136">
      <c r="N10136" s="5"/>
    </row>
    <row r="10137">
      <c r="N10137" s="5"/>
    </row>
    <row r="10138">
      <c r="N10138" s="5"/>
    </row>
    <row r="10139">
      <c r="N10139" s="5"/>
    </row>
    <row r="10140">
      <c r="N10140" s="5"/>
    </row>
    <row r="10141">
      <c r="N10141" s="5"/>
    </row>
    <row r="10142">
      <c r="N10142" s="5"/>
    </row>
    <row r="10143">
      <c r="N10143" s="5"/>
    </row>
    <row r="10144">
      <c r="N10144" s="5"/>
    </row>
    <row r="10145">
      <c r="N10145" s="5"/>
    </row>
    <row r="10146">
      <c r="N10146" s="5"/>
    </row>
    <row r="10147">
      <c r="N10147" s="5"/>
    </row>
    <row r="10148">
      <c r="N10148" s="5"/>
    </row>
    <row r="10149">
      <c r="N10149" s="5"/>
    </row>
    <row r="10150">
      <c r="N10150" s="5"/>
    </row>
    <row r="10151">
      <c r="N10151" s="5"/>
    </row>
    <row r="10152">
      <c r="N10152" s="5"/>
    </row>
    <row r="10153">
      <c r="N10153" s="5"/>
    </row>
    <row r="10154">
      <c r="N10154" s="5"/>
    </row>
    <row r="10155">
      <c r="N10155" s="5"/>
    </row>
    <row r="10156">
      <c r="N10156" s="5"/>
    </row>
    <row r="10157">
      <c r="N10157" s="5"/>
    </row>
    <row r="10158">
      <c r="N10158" s="5"/>
    </row>
    <row r="10159">
      <c r="N10159" s="5"/>
    </row>
    <row r="10160">
      <c r="N10160" s="5"/>
    </row>
    <row r="10161">
      <c r="N10161" s="5"/>
    </row>
    <row r="10162">
      <c r="N10162" s="5"/>
    </row>
    <row r="10163">
      <c r="N10163" s="5"/>
    </row>
    <row r="10164">
      <c r="N10164" s="5"/>
    </row>
    <row r="10165">
      <c r="N10165" s="5"/>
    </row>
    <row r="10166">
      <c r="N10166" s="5"/>
    </row>
    <row r="10167">
      <c r="N10167" s="5"/>
    </row>
    <row r="10168">
      <c r="N10168" s="5"/>
    </row>
    <row r="10169">
      <c r="N10169" s="5"/>
    </row>
    <row r="10170">
      <c r="N10170" s="5"/>
    </row>
    <row r="10171">
      <c r="N10171" s="5"/>
    </row>
    <row r="10172">
      <c r="N10172" s="5"/>
    </row>
    <row r="10173">
      <c r="N10173" s="5"/>
    </row>
    <row r="10174">
      <c r="N10174" s="5"/>
    </row>
    <row r="10175">
      <c r="N10175" s="5"/>
    </row>
    <row r="10176">
      <c r="N10176" s="5"/>
    </row>
    <row r="10177">
      <c r="N10177" s="5"/>
    </row>
    <row r="10178">
      <c r="N10178" s="5"/>
    </row>
    <row r="10179">
      <c r="N10179" s="5"/>
    </row>
    <row r="10180">
      <c r="N10180" s="5"/>
    </row>
    <row r="10181">
      <c r="N10181" s="5"/>
    </row>
    <row r="10182">
      <c r="N10182" s="5"/>
    </row>
    <row r="10183">
      <c r="N10183" s="5"/>
    </row>
    <row r="10184">
      <c r="N10184" s="5"/>
    </row>
    <row r="10185">
      <c r="N10185" s="5"/>
    </row>
    <row r="10186">
      <c r="N10186" s="5"/>
    </row>
    <row r="10187">
      <c r="N10187" s="5"/>
    </row>
    <row r="10188">
      <c r="N10188" s="5"/>
    </row>
    <row r="10189">
      <c r="N10189" s="5"/>
    </row>
    <row r="10190">
      <c r="N10190" s="5"/>
    </row>
    <row r="10191">
      <c r="N10191" s="5"/>
    </row>
    <row r="10192">
      <c r="N10192" s="5"/>
    </row>
    <row r="10193">
      <c r="N10193" s="5"/>
    </row>
    <row r="10194">
      <c r="N10194" s="5"/>
    </row>
    <row r="10195">
      <c r="N10195" s="5"/>
    </row>
    <row r="10196">
      <c r="N10196" s="5"/>
    </row>
    <row r="10197">
      <c r="N10197" s="5"/>
    </row>
    <row r="10198">
      <c r="N10198" s="5"/>
    </row>
    <row r="10199">
      <c r="N10199" s="5"/>
    </row>
    <row r="10200">
      <c r="N10200" s="5"/>
    </row>
    <row r="10201">
      <c r="N10201" s="5"/>
    </row>
    <row r="10202">
      <c r="N10202" s="5"/>
    </row>
    <row r="10203">
      <c r="N10203" s="5"/>
    </row>
    <row r="10204">
      <c r="N10204" s="5"/>
    </row>
    <row r="10205">
      <c r="N10205" s="5"/>
    </row>
    <row r="10206">
      <c r="N10206" s="5"/>
    </row>
    <row r="10207">
      <c r="N10207" s="5"/>
    </row>
    <row r="10208">
      <c r="N10208" s="5"/>
    </row>
    <row r="10209">
      <c r="N10209" s="5"/>
    </row>
    <row r="10210">
      <c r="N10210" s="5"/>
    </row>
    <row r="10211">
      <c r="N10211" s="5"/>
    </row>
    <row r="10212">
      <c r="N10212" s="5"/>
    </row>
    <row r="10213">
      <c r="N10213" s="5"/>
    </row>
    <row r="10214">
      <c r="N10214" s="5"/>
    </row>
    <row r="10215">
      <c r="N10215" s="5"/>
    </row>
    <row r="10216">
      <c r="N10216" s="5"/>
    </row>
    <row r="10217">
      <c r="N10217" s="5"/>
    </row>
    <row r="10218">
      <c r="N10218" s="5"/>
    </row>
    <row r="10219">
      <c r="N10219" s="5"/>
    </row>
    <row r="10220">
      <c r="N10220" s="5"/>
    </row>
    <row r="10221">
      <c r="N10221" s="5"/>
    </row>
    <row r="10222">
      <c r="N10222" s="5"/>
    </row>
    <row r="10223">
      <c r="N10223" s="5"/>
    </row>
    <row r="10224">
      <c r="N10224" s="5"/>
    </row>
    <row r="10225">
      <c r="N10225" s="5"/>
    </row>
    <row r="10226">
      <c r="N10226" s="5"/>
    </row>
    <row r="10227">
      <c r="N10227" s="5"/>
    </row>
    <row r="10228">
      <c r="N10228" s="5"/>
    </row>
    <row r="10229">
      <c r="N10229" s="5"/>
    </row>
    <row r="10230">
      <c r="N10230" s="5"/>
    </row>
    <row r="10231">
      <c r="N10231" s="5"/>
    </row>
    <row r="10232">
      <c r="N10232" s="5"/>
    </row>
    <row r="10233">
      <c r="N10233" s="5"/>
    </row>
    <row r="10234">
      <c r="N10234" s="5"/>
    </row>
    <row r="10235">
      <c r="N10235" s="5"/>
    </row>
    <row r="10236">
      <c r="N10236" s="5"/>
    </row>
    <row r="10237">
      <c r="N10237" s="5"/>
    </row>
    <row r="10238">
      <c r="N10238" s="5"/>
    </row>
    <row r="10239">
      <c r="N10239" s="5"/>
    </row>
    <row r="10240">
      <c r="N10240" s="5"/>
    </row>
    <row r="10241">
      <c r="N10241" s="5"/>
    </row>
    <row r="10242">
      <c r="N10242" s="5"/>
    </row>
    <row r="10243">
      <c r="N10243" s="5"/>
    </row>
    <row r="10244">
      <c r="N10244" s="5"/>
    </row>
    <row r="10245">
      <c r="N10245" s="5"/>
    </row>
    <row r="10246">
      <c r="N10246" s="5"/>
    </row>
    <row r="10247">
      <c r="N10247" s="5"/>
    </row>
    <row r="10248">
      <c r="N10248" s="5"/>
    </row>
    <row r="10249">
      <c r="N10249" s="5"/>
    </row>
    <row r="10250">
      <c r="N10250" s="5"/>
    </row>
    <row r="10251">
      <c r="N10251" s="5"/>
    </row>
    <row r="10252">
      <c r="N10252" s="5"/>
    </row>
    <row r="10253">
      <c r="N10253" s="5"/>
    </row>
    <row r="10254">
      <c r="N10254" s="5"/>
    </row>
    <row r="10255">
      <c r="N10255" s="5"/>
    </row>
    <row r="10256">
      <c r="N10256" s="5"/>
    </row>
    <row r="10257">
      <c r="N10257" s="5"/>
    </row>
    <row r="10258">
      <c r="N10258" s="5"/>
    </row>
    <row r="10259">
      <c r="N10259" s="5"/>
    </row>
    <row r="10260">
      <c r="N10260" s="5"/>
    </row>
    <row r="10261">
      <c r="N10261" s="5"/>
    </row>
    <row r="10262">
      <c r="N10262" s="5"/>
    </row>
    <row r="10263">
      <c r="N10263" s="5"/>
    </row>
    <row r="10264">
      <c r="N10264" s="5"/>
    </row>
    <row r="10265">
      <c r="N10265" s="5"/>
    </row>
    <row r="10266">
      <c r="N10266" s="5"/>
    </row>
    <row r="10267">
      <c r="N10267" s="5"/>
    </row>
    <row r="10268">
      <c r="N10268" s="5"/>
    </row>
    <row r="10269">
      <c r="N10269" s="5"/>
    </row>
    <row r="10270">
      <c r="N10270" s="5"/>
    </row>
    <row r="10271">
      <c r="N10271" s="5"/>
    </row>
    <row r="10272">
      <c r="N10272" s="5"/>
    </row>
    <row r="10273">
      <c r="N10273" s="5"/>
    </row>
    <row r="10274">
      <c r="N10274" s="5"/>
    </row>
    <row r="10275">
      <c r="N10275" s="5"/>
    </row>
    <row r="10276">
      <c r="N10276" s="5"/>
    </row>
    <row r="10277">
      <c r="N10277" s="5"/>
    </row>
    <row r="10278">
      <c r="N10278" s="5"/>
    </row>
    <row r="10279">
      <c r="N10279" s="5"/>
    </row>
    <row r="10280">
      <c r="N10280" s="5"/>
    </row>
    <row r="10281">
      <c r="N10281" s="5"/>
    </row>
    <row r="10282">
      <c r="N10282" s="5"/>
    </row>
    <row r="10283">
      <c r="N10283" s="5"/>
    </row>
    <row r="10284">
      <c r="N10284" s="5"/>
    </row>
    <row r="10285">
      <c r="N10285" s="5"/>
    </row>
    <row r="10286">
      <c r="N10286" s="5"/>
    </row>
    <row r="10287">
      <c r="N10287" s="5"/>
    </row>
    <row r="10288">
      <c r="N10288" s="5"/>
    </row>
    <row r="10289">
      <c r="N10289" s="5"/>
    </row>
    <row r="10290">
      <c r="N10290" s="5"/>
    </row>
    <row r="10291">
      <c r="N10291" s="5"/>
    </row>
    <row r="10292">
      <c r="N10292" s="5"/>
    </row>
    <row r="10293">
      <c r="N10293" s="5"/>
    </row>
    <row r="10294">
      <c r="N10294" s="5"/>
    </row>
    <row r="10295">
      <c r="N10295" s="5"/>
    </row>
    <row r="10296">
      <c r="N10296" s="5"/>
    </row>
    <row r="10297">
      <c r="N10297" s="5"/>
    </row>
    <row r="10298">
      <c r="N10298" s="5"/>
    </row>
    <row r="10299">
      <c r="N10299" s="5"/>
    </row>
    <row r="10300">
      <c r="N10300" s="5"/>
    </row>
    <row r="10301">
      <c r="N10301" s="5"/>
    </row>
    <row r="10302">
      <c r="N10302" s="5"/>
    </row>
    <row r="10303">
      <c r="N10303" s="5"/>
    </row>
    <row r="10304">
      <c r="N10304" s="5"/>
    </row>
    <row r="10305">
      <c r="N10305" s="5"/>
    </row>
    <row r="10306">
      <c r="N10306" s="5"/>
    </row>
    <row r="10307">
      <c r="N10307" s="5"/>
    </row>
    <row r="10308">
      <c r="N10308" s="5"/>
    </row>
    <row r="10309">
      <c r="N10309" s="5"/>
    </row>
    <row r="10310">
      <c r="N10310" s="5"/>
    </row>
    <row r="10311">
      <c r="N10311" s="5"/>
    </row>
    <row r="10312">
      <c r="N10312" s="5"/>
    </row>
    <row r="10313">
      <c r="N10313" s="5"/>
    </row>
    <row r="10314">
      <c r="N10314" s="5"/>
    </row>
    <row r="10315">
      <c r="N10315" s="5"/>
    </row>
    <row r="10316">
      <c r="N10316" s="5"/>
    </row>
    <row r="10317">
      <c r="N10317" s="5"/>
    </row>
    <row r="10318">
      <c r="N10318" s="5"/>
    </row>
    <row r="10319">
      <c r="N10319" s="5"/>
    </row>
    <row r="10320">
      <c r="N10320" s="5"/>
    </row>
    <row r="10321">
      <c r="N10321" s="5"/>
    </row>
    <row r="10322">
      <c r="N10322" s="5"/>
    </row>
    <row r="10323">
      <c r="N10323" s="5"/>
    </row>
    <row r="10324">
      <c r="N10324" s="5"/>
    </row>
    <row r="10325">
      <c r="N10325" s="5"/>
    </row>
    <row r="10326">
      <c r="N10326" s="5"/>
    </row>
    <row r="10327">
      <c r="N10327" s="5"/>
    </row>
    <row r="10328">
      <c r="N10328" s="5"/>
    </row>
    <row r="10329">
      <c r="N10329" s="5"/>
    </row>
    <row r="10330">
      <c r="N10330" s="5"/>
    </row>
    <row r="10331">
      <c r="N10331" s="5"/>
    </row>
    <row r="10332">
      <c r="N10332" s="5"/>
    </row>
    <row r="10333">
      <c r="N10333" s="5"/>
    </row>
    <row r="10334">
      <c r="N10334" s="5"/>
    </row>
    <row r="10335">
      <c r="N10335" s="5"/>
    </row>
    <row r="10336">
      <c r="N10336" s="5"/>
    </row>
    <row r="10337">
      <c r="N10337" s="5"/>
    </row>
    <row r="10338">
      <c r="N10338" s="5"/>
    </row>
    <row r="10339">
      <c r="N10339" s="5"/>
    </row>
    <row r="10340">
      <c r="N10340" s="5"/>
    </row>
    <row r="10341">
      <c r="N10341" s="5"/>
    </row>
    <row r="10342">
      <c r="N10342" s="5"/>
    </row>
    <row r="10343">
      <c r="N10343" s="5"/>
    </row>
    <row r="10344">
      <c r="N10344" s="5"/>
    </row>
    <row r="10345">
      <c r="N10345" s="5"/>
    </row>
    <row r="10346">
      <c r="N10346" s="5"/>
    </row>
    <row r="10347">
      <c r="N10347" s="5"/>
    </row>
    <row r="10348">
      <c r="N10348" s="5"/>
    </row>
    <row r="10349">
      <c r="N10349" s="5"/>
    </row>
    <row r="10350">
      <c r="N10350" s="5"/>
    </row>
    <row r="10351">
      <c r="N10351" s="5"/>
    </row>
    <row r="10352">
      <c r="N10352" s="5"/>
    </row>
    <row r="10353">
      <c r="N10353" s="5"/>
    </row>
    <row r="10354">
      <c r="N10354" s="5"/>
    </row>
    <row r="10355">
      <c r="N10355" s="5"/>
    </row>
    <row r="10356">
      <c r="N10356" s="5"/>
    </row>
    <row r="10357">
      <c r="N10357" s="5"/>
    </row>
    <row r="10358">
      <c r="N10358" s="5"/>
    </row>
    <row r="10359">
      <c r="N10359" s="5"/>
    </row>
    <row r="10360">
      <c r="N10360" s="5"/>
    </row>
    <row r="10361">
      <c r="N10361" s="5"/>
    </row>
    <row r="10362">
      <c r="N10362" s="5"/>
    </row>
    <row r="10363">
      <c r="N10363" s="5"/>
    </row>
    <row r="10364">
      <c r="N10364" s="5"/>
    </row>
    <row r="10365">
      <c r="N10365" s="5"/>
    </row>
    <row r="10366">
      <c r="N10366" s="5"/>
    </row>
    <row r="10367">
      <c r="N10367" s="5"/>
    </row>
    <row r="10368">
      <c r="N10368" s="5"/>
    </row>
    <row r="10369">
      <c r="N10369" s="5"/>
    </row>
    <row r="10370">
      <c r="N10370" s="5"/>
    </row>
    <row r="10371">
      <c r="N10371" s="5"/>
    </row>
    <row r="10372">
      <c r="N10372" s="5"/>
    </row>
    <row r="10373">
      <c r="N10373" s="5"/>
    </row>
    <row r="10374">
      <c r="N10374" s="5"/>
    </row>
    <row r="10375">
      <c r="N10375" s="5"/>
    </row>
    <row r="10376">
      <c r="N10376" s="5"/>
    </row>
    <row r="10377">
      <c r="N10377" s="5"/>
    </row>
    <row r="10378">
      <c r="N10378" s="5"/>
    </row>
    <row r="10379">
      <c r="N10379" s="5"/>
    </row>
    <row r="10380">
      <c r="N10380" s="5"/>
    </row>
    <row r="10381">
      <c r="N10381" s="5"/>
    </row>
    <row r="10382">
      <c r="N10382" s="5"/>
    </row>
    <row r="10383">
      <c r="N10383" s="5"/>
    </row>
    <row r="10384">
      <c r="N10384" s="5"/>
    </row>
    <row r="10385">
      <c r="N10385" s="5"/>
    </row>
    <row r="10386">
      <c r="N10386" s="5"/>
    </row>
    <row r="10387">
      <c r="N10387" s="5"/>
    </row>
    <row r="10388">
      <c r="N10388" s="5"/>
    </row>
    <row r="10389">
      <c r="N10389" s="5"/>
    </row>
    <row r="10390">
      <c r="N10390" s="5"/>
    </row>
    <row r="10391">
      <c r="N10391" s="5"/>
    </row>
    <row r="10392">
      <c r="N10392" s="5"/>
    </row>
    <row r="10393">
      <c r="N10393" s="5"/>
    </row>
    <row r="10394">
      <c r="N10394" s="5"/>
    </row>
    <row r="10395">
      <c r="N10395" s="5"/>
    </row>
    <row r="10396">
      <c r="N10396" s="5"/>
    </row>
    <row r="10397">
      <c r="N10397" s="5"/>
    </row>
    <row r="10398">
      <c r="N10398" s="5"/>
    </row>
    <row r="10399">
      <c r="N10399" s="5"/>
    </row>
    <row r="10400">
      <c r="N10400" s="5"/>
    </row>
    <row r="10401">
      <c r="N10401" s="5"/>
    </row>
    <row r="10402">
      <c r="N10402" s="5"/>
    </row>
    <row r="10403">
      <c r="N10403" s="5"/>
    </row>
    <row r="10404">
      <c r="N10404" s="5"/>
    </row>
    <row r="10405">
      <c r="N10405" s="5"/>
    </row>
    <row r="10406">
      <c r="N10406" s="5"/>
    </row>
    <row r="10407">
      <c r="N10407" s="5"/>
    </row>
    <row r="10408">
      <c r="N10408" s="5"/>
    </row>
    <row r="10409">
      <c r="N10409" s="5"/>
    </row>
    <row r="10410">
      <c r="N10410" s="5"/>
    </row>
    <row r="10411">
      <c r="N10411" s="5"/>
    </row>
    <row r="10412">
      <c r="N10412" s="5"/>
    </row>
    <row r="10413">
      <c r="N10413" s="5"/>
    </row>
    <row r="10414">
      <c r="N10414" s="5"/>
    </row>
    <row r="10415">
      <c r="N10415" s="5"/>
    </row>
    <row r="10416">
      <c r="N10416" s="5"/>
    </row>
    <row r="10417">
      <c r="N10417" s="5"/>
    </row>
    <row r="10418">
      <c r="N10418" s="5"/>
    </row>
    <row r="10419">
      <c r="N10419" s="5"/>
    </row>
    <row r="10420">
      <c r="N10420" s="5"/>
    </row>
    <row r="10421">
      <c r="N10421" s="5"/>
    </row>
    <row r="10422">
      <c r="N10422" s="5"/>
    </row>
    <row r="10423">
      <c r="N10423" s="5"/>
    </row>
    <row r="10424">
      <c r="N10424" s="5"/>
    </row>
    <row r="10425">
      <c r="N10425" s="5"/>
    </row>
    <row r="10426">
      <c r="N10426" s="5"/>
    </row>
    <row r="10427">
      <c r="N10427" s="5"/>
    </row>
    <row r="10428">
      <c r="N10428" s="5"/>
    </row>
    <row r="10429">
      <c r="N10429" s="5"/>
    </row>
    <row r="10430">
      <c r="N10430" s="5"/>
    </row>
    <row r="10431">
      <c r="N10431" s="5"/>
    </row>
    <row r="10432">
      <c r="N10432" s="5"/>
    </row>
    <row r="10433">
      <c r="N10433" s="5"/>
    </row>
    <row r="10434">
      <c r="N10434" s="5"/>
    </row>
    <row r="10435">
      <c r="N10435" s="5"/>
    </row>
    <row r="10436">
      <c r="N10436" s="5"/>
    </row>
    <row r="10437">
      <c r="N10437" s="5"/>
    </row>
    <row r="10438">
      <c r="N10438" s="5"/>
    </row>
    <row r="10439">
      <c r="N10439" s="5"/>
    </row>
    <row r="10440">
      <c r="N10440" s="5"/>
    </row>
    <row r="10441">
      <c r="N10441" s="5"/>
    </row>
    <row r="10442">
      <c r="N10442" s="5"/>
    </row>
    <row r="10443">
      <c r="N10443" s="5"/>
    </row>
    <row r="10444">
      <c r="N10444" s="5"/>
    </row>
    <row r="10445">
      <c r="N10445" s="5"/>
    </row>
    <row r="10446">
      <c r="N10446" s="5"/>
    </row>
    <row r="10447">
      <c r="N10447" s="5"/>
    </row>
    <row r="10448">
      <c r="N10448" s="5"/>
    </row>
    <row r="10449">
      <c r="N10449" s="5"/>
    </row>
    <row r="10450">
      <c r="N10450" s="5"/>
    </row>
    <row r="10451">
      <c r="N10451" s="5"/>
    </row>
    <row r="10452">
      <c r="N10452" s="5"/>
    </row>
    <row r="10453">
      <c r="N10453" s="5"/>
    </row>
    <row r="10454">
      <c r="N10454" s="5"/>
    </row>
    <row r="10455">
      <c r="N10455" s="5"/>
    </row>
    <row r="10456">
      <c r="N10456" s="5"/>
    </row>
    <row r="10457">
      <c r="N10457" s="5"/>
    </row>
    <row r="10458">
      <c r="N10458" s="5"/>
    </row>
    <row r="10459">
      <c r="N10459" s="5"/>
    </row>
    <row r="10460">
      <c r="N10460" s="5"/>
    </row>
    <row r="10461">
      <c r="N10461" s="5"/>
    </row>
    <row r="10462">
      <c r="N10462" s="5"/>
    </row>
    <row r="10463">
      <c r="N10463" s="5"/>
    </row>
    <row r="10464">
      <c r="N10464" s="5"/>
    </row>
    <row r="10465">
      <c r="N10465" s="5"/>
    </row>
    <row r="10466">
      <c r="N10466" s="5"/>
    </row>
    <row r="10467">
      <c r="N10467" s="5"/>
    </row>
    <row r="10468">
      <c r="N10468" s="5"/>
    </row>
    <row r="10469">
      <c r="N10469" s="5"/>
    </row>
    <row r="10470">
      <c r="N10470" s="5"/>
    </row>
    <row r="10471">
      <c r="N10471" s="5"/>
    </row>
    <row r="10472">
      <c r="N10472" s="5"/>
    </row>
    <row r="10473">
      <c r="N10473" s="5"/>
    </row>
    <row r="10474">
      <c r="N10474" s="5"/>
    </row>
    <row r="10475">
      <c r="N10475" s="5"/>
    </row>
    <row r="10476">
      <c r="N10476" s="5"/>
    </row>
    <row r="10477">
      <c r="N10477" s="5"/>
    </row>
    <row r="10478">
      <c r="N10478" s="5"/>
    </row>
    <row r="10479">
      <c r="N10479" s="5"/>
    </row>
    <row r="10480">
      <c r="N10480" s="5"/>
    </row>
    <row r="10481">
      <c r="N10481" s="5"/>
    </row>
    <row r="10482">
      <c r="N10482" s="5"/>
    </row>
    <row r="10483">
      <c r="N10483" s="5"/>
    </row>
    <row r="10484">
      <c r="N10484" s="5"/>
    </row>
    <row r="10485">
      <c r="N10485" s="5"/>
    </row>
    <row r="10486">
      <c r="N10486" s="5"/>
    </row>
    <row r="10487">
      <c r="N10487" s="5"/>
    </row>
    <row r="10488">
      <c r="N10488" s="5"/>
    </row>
    <row r="10489">
      <c r="N10489" s="5"/>
    </row>
    <row r="10490">
      <c r="N10490" s="5"/>
    </row>
    <row r="10491">
      <c r="N10491" s="5"/>
    </row>
    <row r="10492">
      <c r="N10492" s="5"/>
    </row>
    <row r="10493">
      <c r="N10493" s="5"/>
    </row>
    <row r="10494">
      <c r="N10494" s="5"/>
    </row>
    <row r="10495">
      <c r="N10495" s="5"/>
    </row>
    <row r="10496">
      <c r="N10496" s="5"/>
    </row>
    <row r="10497">
      <c r="N10497" s="5"/>
    </row>
    <row r="10498">
      <c r="N10498" s="5"/>
    </row>
    <row r="10499">
      <c r="N10499" s="5"/>
    </row>
    <row r="10500">
      <c r="N10500" s="5"/>
    </row>
    <row r="10501">
      <c r="N10501" s="5"/>
    </row>
    <row r="10502">
      <c r="N10502" s="5"/>
    </row>
    <row r="10503">
      <c r="N10503" s="5"/>
    </row>
    <row r="10504">
      <c r="N10504" s="5"/>
    </row>
    <row r="10505">
      <c r="N10505" s="5"/>
    </row>
    <row r="10506">
      <c r="N10506" s="5"/>
    </row>
    <row r="10507">
      <c r="N10507" s="5"/>
    </row>
    <row r="10508">
      <c r="N10508" s="5"/>
    </row>
    <row r="10509">
      <c r="N10509" s="5"/>
    </row>
    <row r="10510">
      <c r="N10510" s="5"/>
    </row>
    <row r="10511">
      <c r="N10511" s="5"/>
    </row>
    <row r="10512">
      <c r="N10512" s="5"/>
    </row>
    <row r="10513">
      <c r="N10513" s="5"/>
    </row>
    <row r="10514">
      <c r="N10514" s="5"/>
    </row>
    <row r="10515">
      <c r="N10515" s="5"/>
    </row>
    <row r="10516">
      <c r="N10516" s="5"/>
    </row>
    <row r="10517">
      <c r="N10517" s="5"/>
    </row>
    <row r="10518">
      <c r="N10518" s="5"/>
    </row>
    <row r="10519">
      <c r="N10519" s="5"/>
    </row>
    <row r="10520">
      <c r="N10520" s="5"/>
    </row>
    <row r="10521">
      <c r="N10521" s="5"/>
    </row>
    <row r="10522">
      <c r="N10522" s="5"/>
    </row>
    <row r="10523">
      <c r="N10523" s="5"/>
    </row>
    <row r="10524">
      <c r="N10524" s="5"/>
    </row>
    <row r="10525">
      <c r="N10525" s="5"/>
    </row>
    <row r="10526">
      <c r="N10526" s="5"/>
    </row>
    <row r="10527">
      <c r="N10527" s="5"/>
    </row>
    <row r="10528">
      <c r="N10528" s="5"/>
    </row>
    <row r="10529">
      <c r="N10529" s="5"/>
    </row>
    <row r="10530">
      <c r="N10530" s="5"/>
    </row>
    <row r="10531">
      <c r="N10531" s="5"/>
    </row>
    <row r="10532">
      <c r="N10532" s="5"/>
    </row>
    <row r="10533">
      <c r="N10533" s="5"/>
    </row>
    <row r="10534">
      <c r="N10534" s="5"/>
    </row>
    <row r="10535">
      <c r="N10535" s="5"/>
    </row>
    <row r="10536">
      <c r="N10536" s="5"/>
    </row>
    <row r="10537">
      <c r="N10537" s="5"/>
    </row>
    <row r="10538">
      <c r="N10538" s="5"/>
    </row>
    <row r="10539">
      <c r="N10539" s="5"/>
    </row>
    <row r="10540">
      <c r="N10540" s="5"/>
    </row>
    <row r="10541">
      <c r="N10541" s="5"/>
    </row>
    <row r="10542">
      <c r="N10542" s="5"/>
    </row>
    <row r="10543">
      <c r="N10543" s="5"/>
    </row>
    <row r="10544">
      <c r="N10544" s="5"/>
    </row>
    <row r="10545">
      <c r="N10545" s="5"/>
    </row>
    <row r="10546">
      <c r="N10546" s="5"/>
    </row>
    <row r="10547">
      <c r="N10547" s="5"/>
    </row>
    <row r="10548">
      <c r="N10548" s="5"/>
    </row>
    <row r="10549">
      <c r="N10549" s="5"/>
    </row>
    <row r="10550">
      <c r="N10550" s="5"/>
    </row>
    <row r="10551">
      <c r="N10551" s="5"/>
    </row>
    <row r="10552">
      <c r="N10552" s="5"/>
    </row>
    <row r="10553">
      <c r="N10553" s="5"/>
    </row>
    <row r="10554">
      <c r="N10554" s="5"/>
    </row>
    <row r="10555">
      <c r="N10555" s="5"/>
    </row>
    <row r="10556">
      <c r="N10556" s="5"/>
    </row>
    <row r="10557">
      <c r="N10557" s="5"/>
    </row>
    <row r="10558">
      <c r="N10558" s="5"/>
    </row>
    <row r="10559">
      <c r="N10559" s="5"/>
    </row>
    <row r="10560">
      <c r="N10560" s="5"/>
    </row>
    <row r="10561">
      <c r="N10561" s="5"/>
    </row>
    <row r="10562">
      <c r="N10562" s="5"/>
    </row>
    <row r="10563">
      <c r="N10563" s="5"/>
    </row>
    <row r="10564">
      <c r="N10564" s="5"/>
    </row>
    <row r="10565">
      <c r="N10565" s="5"/>
    </row>
    <row r="10566">
      <c r="N10566" s="5"/>
    </row>
    <row r="10567">
      <c r="N10567" s="5"/>
    </row>
    <row r="10568">
      <c r="N10568" s="5"/>
    </row>
    <row r="10569">
      <c r="N10569" s="5"/>
    </row>
    <row r="10570">
      <c r="N10570" s="5"/>
    </row>
    <row r="10571">
      <c r="N10571" s="5"/>
    </row>
    <row r="10572">
      <c r="N10572" s="5"/>
    </row>
    <row r="10573">
      <c r="N10573" s="5"/>
    </row>
    <row r="10574">
      <c r="N10574" s="5"/>
    </row>
    <row r="10575">
      <c r="N10575" s="5"/>
    </row>
    <row r="10576">
      <c r="N10576" s="5"/>
    </row>
    <row r="10577">
      <c r="N10577" s="5"/>
    </row>
    <row r="10578">
      <c r="N10578" s="5"/>
    </row>
    <row r="10579">
      <c r="N10579" s="5"/>
    </row>
    <row r="10580">
      <c r="N10580" s="5"/>
    </row>
    <row r="10581">
      <c r="N10581" s="5"/>
    </row>
    <row r="10582">
      <c r="N10582" s="5"/>
    </row>
    <row r="10583">
      <c r="N10583" s="5"/>
    </row>
    <row r="10584">
      <c r="N10584" s="5"/>
    </row>
    <row r="10585">
      <c r="N10585" s="5"/>
    </row>
    <row r="10586">
      <c r="N10586" s="5"/>
    </row>
    <row r="10587">
      <c r="N10587" s="5"/>
    </row>
    <row r="10588">
      <c r="N10588" s="5"/>
    </row>
    <row r="10589">
      <c r="N10589" s="5"/>
    </row>
    <row r="10590">
      <c r="N10590" s="5"/>
    </row>
    <row r="10591">
      <c r="N10591" s="5"/>
    </row>
    <row r="10592">
      <c r="N10592" s="5"/>
    </row>
    <row r="10593">
      <c r="N10593" s="5"/>
    </row>
    <row r="10594">
      <c r="N10594" s="5"/>
    </row>
    <row r="10595">
      <c r="N10595" s="5"/>
    </row>
    <row r="10596">
      <c r="N10596" s="5"/>
    </row>
    <row r="10597">
      <c r="N10597" s="5"/>
    </row>
    <row r="10598">
      <c r="N10598" s="5"/>
    </row>
    <row r="10599">
      <c r="N10599" s="5"/>
    </row>
    <row r="10600">
      <c r="N10600" s="5"/>
    </row>
    <row r="10601">
      <c r="N10601" s="5"/>
    </row>
    <row r="10602">
      <c r="N10602" s="5"/>
    </row>
    <row r="10603">
      <c r="N10603" s="5"/>
    </row>
    <row r="10604">
      <c r="N10604" s="5"/>
    </row>
    <row r="10605">
      <c r="N10605" s="5"/>
    </row>
    <row r="10606">
      <c r="N10606" s="5"/>
    </row>
    <row r="10607">
      <c r="N10607" s="5"/>
    </row>
    <row r="10608">
      <c r="N10608" s="5"/>
    </row>
    <row r="10609">
      <c r="N10609" s="5"/>
    </row>
    <row r="10610">
      <c r="N10610" s="5"/>
    </row>
    <row r="10611">
      <c r="N10611" s="5"/>
    </row>
    <row r="10612">
      <c r="N10612" s="5"/>
    </row>
    <row r="10613">
      <c r="N10613" s="5"/>
    </row>
    <row r="10614">
      <c r="N10614" s="5"/>
    </row>
    <row r="10615">
      <c r="N10615" s="5"/>
    </row>
    <row r="10616">
      <c r="N10616" s="5"/>
    </row>
    <row r="10617">
      <c r="N10617" s="5"/>
    </row>
    <row r="10618">
      <c r="N10618" s="5"/>
    </row>
    <row r="10619">
      <c r="N10619" s="5"/>
    </row>
    <row r="10620">
      <c r="N10620" s="5"/>
    </row>
    <row r="10621">
      <c r="N10621" s="5"/>
    </row>
    <row r="10622">
      <c r="N10622" s="5"/>
    </row>
    <row r="10623">
      <c r="N10623" s="5"/>
    </row>
    <row r="10624">
      <c r="N10624" s="5"/>
    </row>
    <row r="10625">
      <c r="N10625" s="5"/>
    </row>
    <row r="10626">
      <c r="N10626" s="5"/>
    </row>
    <row r="10627">
      <c r="N10627" s="5"/>
    </row>
    <row r="10628">
      <c r="N10628" s="5"/>
    </row>
    <row r="10629">
      <c r="N10629" s="5"/>
    </row>
    <row r="10630">
      <c r="N10630" s="5"/>
    </row>
    <row r="10631">
      <c r="N10631" s="5"/>
    </row>
    <row r="10632">
      <c r="N10632" s="5"/>
    </row>
    <row r="10633">
      <c r="N10633" s="5"/>
    </row>
    <row r="10634">
      <c r="N10634" s="5"/>
    </row>
    <row r="10635">
      <c r="N10635" s="5"/>
    </row>
    <row r="10636">
      <c r="N10636" s="5"/>
    </row>
    <row r="10637">
      <c r="N10637" s="5"/>
    </row>
    <row r="10638">
      <c r="N10638" s="5"/>
    </row>
    <row r="10639">
      <c r="N10639" s="5"/>
    </row>
    <row r="10640">
      <c r="N10640" s="5"/>
    </row>
    <row r="10641">
      <c r="N10641" s="5"/>
    </row>
    <row r="10642">
      <c r="N10642" s="5"/>
    </row>
    <row r="10643">
      <c r="N10643" s="5"/>
    </row>
    <row r="10644">
      <c r="N10644" s="5"/>
    </row>
    <row r="10645">
      <c r="N10645" s="5"/>
    </row>
    <row r="10646">
      <c r="N10646" s="5"/>
    </row>
    <row r="10647">
      <c r="N10647" s="5"/>
    </row>
    <row r="10648">
      <c r="N10648" s="5"/>
    </row>
    <row r="10649">
      <c r="N10649" s="5"/>
    </row>
    <row r="10650">
      <c r="N10650" s="5"/>
    </row>
    <row r="10651">
      <c r="N10651" s="5"/>
    </row>
    <row r="10652">
      <c r="N10652" s="5"/>
    </row>
    <row r="10653">
      <c r="N10653" s="5"/>
    </row>
    <row r="10654">
      <c r="N10654" s="5"/>
    </row>
    <row r="10655">
      <c r="N10655" s="5"/>
    </row>
    <row r="10656">
      <c r="N10656" s="5"/>
    </row>
    <row r="10657">
      <c r="N10657" s="5"/>
    </row>
    <row r="10658">
      <c r="N10658" s="5"/>
    </row>
    <row r="10659">
      <c r="N10659" s="5"/>
    </row>
    <row r="10660">
      <c r="N10660" s="5"/>
    </row>
    <row r="10661">
      <c r="N10661" s="5"/>
    </row>
    <row r="10662">
      <c r="N10662" s="5"/>
    </row>
    <row r="10663">
      <c r="N10663" s="5"/>
    </row>
    <row r="10664">
      <c r="N10664" s="5"/>
    </row>
    <row r="10665">
      <c r="N10665" s="5"/>
    </row>
    <row r="10666">
      <c r="N10666" s="5"/>
    </row>
    <row r="10667">
      <c r="N10667" s="5"/>
    </row>
    <row r="10668">
      <c r="N10668" s="5"/>
    </row>
    <row r="10669">
      <c r="N10669" s="5"/>
    </row>
    <row r="10670">
      <c r="N10670" s="5"/>
    </row>
    <row r="10671">
      <c r="N10671" s="5"/>
    </row>
    <row r="10672">
      <c r="N10672" s="5"/>
    </row>
    <row r="10673">
      <c r="N10673" s="5"/>
    </row>
    <row r="10674">
      <c r="N10674" s="5"/>
    </row>
    <row r="10675">
      <c r="N10675" s="5"/>
    </row>
    <row r="10676">
      <c r="N10676" s="5"/>
    </row>
    <row r="10677">
      <c r="N10677" s="5"/>
    </row>
    <row r="10678">
      <c r="N10678" s="5"/>
    </row>
    <row r="10679">
      <c r="N10679" s="5"/>
    </row>
    <row r="10680">
      <c r="N10680" s="5"/>
    </row>
    <row r="10681">
      <c r="N10681" s="5"/>
    </row>
    <row r="10682">
      <c r="N10682" s="5"/>
    </row>
    <row r="10683">
      <c r="N10683" s="5"/>
    </row>
    <row r="10684">
      <c r="N10684" s="5"/>
    </row>
    <row r="10685">
      <c r="N10685" s="5"/>
    </row>
    <row r="10686">
      <c r="N10686" s="5"/>
    </row>
    <row r="10687">
      <c r="N10687" s="5"/>
    </row>
    <row r="10688">
      <c r="N10688" s="5"/>
    </row>
    <row r="10689">
      <c r="N10689" s="5"/>
    </row>
    <row r="10690">
      <c r="N10690" s="5"/>
    </row>
    <row r="10691">
      <c r="N10691" s="5"/>
    </row>
    <row r="10692">
      <c r="N10692" s="5"/>
    </row>
    <row r="10693">
      <c r="N10693" s="5"/>
    </row>
    <row r="10694">
      <c r="N10694" s="5"/>
    </row>
    <row r="10695">
      <c r="N10695" s="5"/>
    </row>
    <row r="10696">
      <c r="N10696" s="5"/>
    </row>
    <row r="10697">
      <c r="N10697" s="5"/>
    </row>
    <row r="10698">
      <c r="N10698" s="5"/>
    </row>
    <row r="10699">
      <c r="N10699" s="5"/>
    </row>
    <row r="10700">
      <c r="N10700" s="5"/>
    </row>
    <row r="10701">
      <c r="N10701" s="5"/>
    </row>
    <row r="10702">
      <c r="N10702" s="5"/>
    </row>
    <row r="10703">
      <c r="N10703" s="5"/>
    </row>
    <row r="10704">
      <c r="N10704" s="5"/>
    </row>
    <row r="10705">
      <c r="N10705" s="5"/>
    </row>
    <row r="10706">
      <c r="N10706" s="5"/>
    </row>
    <row r="10707">
      <c r="N10707" s="5"/>
    </row>
    <row r="10708">
      <c r="N10708" s="5"/>
    </row>
    <row r="10709">
      <c r="N10709" s="5"/>
    </row>
    <row r="10710">
      <c r="N10710" s="5"/>
    </row>
    <row r="10711">
      <c r="N10711" s="5"/>
    </row>
    <row r="10712">
      <c r="N10712" s="5"/>
    </row>
    <row r="10713">
      <c r="N10713" s="5"/>
    </row>
    <row r="10714">
      <c r="N10714" s="5"/>
    </row>
    <row r="10715">
      <c r="N10715" s="5"/>
    </row>
    <row r="10716">
      <c r="N10716" s="5"/>
    </row>
    <row r="10717">
      <c r="N10717" s="5"/>
    </row>
    <row r="10718">
      <c r="N10718" s="5"/>
    </row>
    <row r="10719">
      <c r="N10719" s="5"/>
    </row>
    <row r="10720">
      <c r="N10720" s="5"/>
    </row>
    <row r="10721">
      <c r="N10721" s="5"/>
    </row>
    <row r="10722">
      <c r="N10722" s="5"/>
    </row>
    <row r="10723">
      <c r="N10723" s="5"/>
    </row>
    <row r="10724">
      <c r="N10724" s="5"/>
    </row>
    <row r="10725">
      <c r="N10725" s="5"/>
    </row>
    <row r="10726">
      <c r="N10726" s="5"/>
    </row>
    <row r="10727">
      <c r="N10727" s="5"/>
    </row>
    <row r="10728">
      <c r="N10728" s="5"/>
    </row>
    <row r="10729">
      <c r="N10729" s="5"/>
    </row>
    <row r="10730">
      <c r="N10730" s="5"/>
    </row>
    <row r="10731">
      <c r="N10731" s="5"/>
    </row>
    <row r="10732">
      <c r="N10732" s="5"/>
    </row>
    <row r="10733">
      <c r="N10733" s="5"/>
    </row>
    <row r="10734">
      <c r="N10734" s="5"/>
    </row>
    <row r="10735">
      <c r="N10735" s="5"/>
    </row>
    <row r="10736">
      <c r="N10736" s="5"/>
    </row>
    <row r="10737">
      <c r="N10737" s="5"/>
    </row>
    <row r="10738">
      <c r="N10738" s="5"/>
    </row>
    <row r="10739">
      <c r="N10739" s="5"/>
    </row>
    <row r="10740">
      <c r="N10740" s="5"/>
    </row>
    <row r="10741">
      <c r="N10741" s="5"/>
    </row>
    <row r="10742">
      <c r="N10742" s="5"/>
    </row>
    <row r="10743">
      <c r="N10743" s="5"/>
    </row>
    <row r="10744">
      <c r="N10744" s="5"/>
    </row>
    <row r="10745">
      <c r="N10745" s="5"/>
    </row>
    <row r="10746">
      <c r="N10746" s="5"/>
    </row>
    <row r="10747">
      <c r="N10747" s="5"/>
    </row>
    <row r="10748">
      <c r="N10748" s="5"/>
    </row>
    <row r="10749">
      <c r="N10749" s="5"/>
    </row>
    <row r="10750">
      <c r="N10750" s="5"/>
    </row>
    <row r="10751">
      <c r="N10751" s="5"/>
    </row>
    <row r="10752">
      <c r="N10752" s="5"/>
    </row>
    <row r="10753">
      <c r="N10753" s="5"/>
    </row>
    <row r="10754">
      <c r="N10754" s="5"/>
    </row>
    <row r="10755">
      <c r="N10755" s="5"/>
    </row>
    <row r="10756">
      <c r="N10756" s="5"/>
    </row>
    <row r="10757">
      <c r="N10757" s="5"/>
    </row>
    <row r="10758">
      <c r="N10758" s="5"/>
    </row>
    <row r="10759">
      <c r="N10759" s="5"/>
    </row>
    <row r="10760">
      <c r="N10760" s="5"/>
    </row>
    <row r="10761">
      <c r="N10761" s="5"/>
    </row>
    <row r="10762">
      <c r="N10762" s="5"/>
    </row>
    <row r="10763">
      <c r="N10763" s="5"/>
    </row>
    <row r="10764">
      <c r="N10764" s="5"/>
    </row>
    <row r="10765">
      <c r="N10765" s="5"/>
    </row>
    <row r="10766">
      <c r="N10766" s="5"/>
    </row>
    <row r="10767">
      <c r="N10767" s="5"/>
    </row>
    <row r="10768">
      <c r="N10768" s="5"/>
    </row>
    <row r="10769">
      <c r="N10769" s="5"/>
    </row>
    <row r="10770">
      <c r="N10770" s="5"/>
    </row>
    <row r="10771">
      <c r="N10771" s="5"/>
    </row>
    <row r="10772">
      <c r="N10772" s="5"/>
    </row>
    <row r="10773">
      <c r="N10773" s="5"/>
    </row>
    <row r="10774">
      <c r="N10774" s="5"/>
    </row>
    <row r="10775">
      <c r="N10775" s="5"/>
    </row>
    <row r="10776">
      <c r="N10776" s="5"/>
    </row>
    <row r="10777">
      <c r="N10777" s="5"/>
    </row>
    <row r="10778">
      <c r="N10778" s="5"/>
    </row>
    <row r="10779">
      <c r="N10779" s="5"/>
    </row>
    <row r="10780">
      <c r="N10780" s="5"/>
    </row>
    <row r="10781">
      <c r="N10781" s="5"/>
    </row>
    <row r="10782">
      <c r="N10782" s="5"/>
    </row>
    <row r="10783">
      <c r="N10783" s="5"/>
    </row>
    <row r="10784">
      <c r="N10784" s="5"/>
    </row>
    <row r="10785">
      <c r="N10785" s="5"/>
    </row>
    <row r="10786">
      <c r="N10786" s="5"/>
    </row>
    <row r="10787">
      <c r="N10787" s="5"/>
    </row>
    <row r="10788">
      <c r="N10788" s="5"/>
    </row>
    <row r="10789">
      <c r="N10789" s="5"/>
    </row>
    <row r="10790">
      <c r="N10790" s="5"/>
    </row>
    <row r="10791">
      <c r="N10791" s="5"/>
    </row>
    <row r="10792">
      <c r="N10792" s="5"/>
    </row>
    <row r="10793">
      <c r="N10793" s="5"/>
    </row>
    <row r="10794">
      <c r="N10794" s="5"/>
    </row>
    <row r="10795">
      <c r="N10795" s="5"/>
    </row>
    <row r="10796">
      <c r="N10796" s="5"/>
    </row>
    <row r="10797">
      <c r="N10797" s="5"/>
    </row>
    <row r="10798">
      <c r="N10798" s="5"/>
    </row>
    <row r="10799">
      <c r="N10799" s="5"/>
    </row>
    <row r="10800">
      <c r="N10800" s="5"/>
    </row>
    <row r="10801">
      <c r="N10801" s="5"/>
    </row>
    <row r="10802">
      <c r="N10802" s="5"/>
    </row>
    <row r="10803">
      <c r="N10803" s="5"/>
    </row>
    <row r="10804">
      <c r="N10804" s="5"/>
    </row>
    <row r="10805">
      <c r="N10805" s="5"/>
    </row>
    <row r="10806">
      <c r="N10806" s="5"/>
    </row>
    <row r="10807">
      <c r="N10807" s="5"/>
    </row>
    <row r="10808">
      <c r="N10808" s="5"/>
    </row>
    <row r="10809">
      <c r="N10809" s="5"/>
    </row>
    <row r="10810">
      <c r="N10810" s="5"/>
    </row>
    <row r="10811">
      <c r="N10811" s="5"/>
    </row>
    <row r="10812">
      <c r="N10812" s="5"/>
    </row>
    <row r="10813">
      <c r="N10813" s="5"/>
    </row>
    <row r="10814">
      <c r="N10814" s="5"/>
    </row>
    <row r="10815">
      <c r="N10815" s="5"/>
    </row>
    <row r="10816">
      <c r="N10816" s="5"/>
    </row>
    <row r="10817">
      <c r="N10817" s="5"/>
    </row>
    <row r="10818">
      <c r="N10818" s="5"/>
    </row>
    <row r="10819">
      <c r="N10819" s="5"/>
    </row>
    <row r="10820">
      <c r="N10820" s="5"/>
    </row>
    <row r="10821">
      <c r="N10821" s="5"/>
    </row>
    <row r="10822">
      <c r="N10822" s="5"/>
    </row>
    <row r="10823">
      <c r="N10823" s="5"/>
    </row>
    <row r="10824">
      <c r="N10824" s="5"/>
    </row>
    <row r="10825">
      <c r="N10825" s="5"/>
    </row>
    <row r="10826">
      <c r="N10826" s="5"/>
    </row>
    <row r="10827">
      <c r="N10827" s="5"/>
    </row>
    <row r="10828">
      <c r="N10828" s="5"/>
    </row>
    <row r="10829">
      <c r="N10829" s="5"/>
    </row>
    <row r="10830">
      <c r="N10830" s="5"/>
    </row>
    <row r="10831">
      <c r="N10831" s="5"/>
    </row>
    <row r="10832">
      <c r="N10832" s="5"/>
    </row>
    <row r="10833">
      <c r="N10833" s="5"/>
    </row>
    <row r="10834">
      <c r="N10834" s="5"/>
    </row>
    <row r="10835">
      <c r="N10835" s="5"/>
    </row>
    <row r="10836">
      <c r="N10836" s="5"/>
    </row>
    <row r="10837">
      <c r="N10837" s="5"/>
    </row>
    <row r="10838">
      <c r="N10838" s="5"/>
    </row>
    <row r="10839">
      <c r="N10839" s="5"/>
    </row>
    <row r="10840">
      <c r="N10840" s="5"/>
    </row>
    <row r="10841">
      <c r="N10841" s="5"/>
    </row>
    <row r="10842">
      <c r="N10842" s="5"/>
    </row>
    <row r="10843">
      <c r="N10843" s="5"/>
    </row>
    <row r="10844">
      <c r="N10844" s="5"/>
    </row>
    <row r="10845">
      <c r="N10845" s="5"/>
    </row>
    <row r="10846">
      <c r="N10846" s="5"/>
    </row>
    <row r="10847">
      <c r="N10847" s="5"/>
    </row>
    <row r="10848">
      <c r="N10848" s="5"/>
    </row>
    <row r="10849">
      <c r="N10849" s="5"/>
    </row>
    <row r="10850">
      <c r="N10850" s="5"/>
    </row>
    <row r="10851">
      <c r="N10851" s="5"/>
    </row>
    <row r="10852">
      <c r="N10852" s="5"/>
    </row>
    <row r="10853">
      <c r="N10853" s="5"/>
    </row>
    <row r="10854">
      <c r="N10854" s="5"/>
    </row>
    <row r="10855">
      <c r="N10855" s="5"/>
    </row>
    <row r="10856">
      <c r="N10856" s="5"/>
    </row>
    <row r="10857">
      <c r="N10857" s="5"/>
    </row>
    <row r="10858">
      <c r="N10858" s="5"/>
    </row>
    <row r="10859">
      <c r="N10859" s="5"/>
    </row>
    <row r="10860">
      <c r="N10860" s="5"/>
    </row>
    <row r="10861">
      <c r="N10861" s="5"/>
    </row>
    <row r="10862">
      <c r="N10862" s="5"/>
    </row>
    <row r="10863">
      <c r="N10863" s="5"/>
    </row>
    <row r="10864">
      <c r="N10864" s="5"/>
    </row>
    <row r="10865">
      <c r="N10865" s="5"/>
    </row>
    <row r="10866">
      <c r="N10866" s="5"/>
    </row>
    <row r="10867">
      <c r="N10867" s="5"/>
    </row>
    <row r="10868">
      <c r="N10868" s="5"/>
    </row>
    <row r="10869">
      <c r="N10869" s="5"/>
    </row>
    <row r="10870">
      <c r="N10870" s="5"/>
    </row>
    <row r="10871">
      <c r="N10871" s="5"/>
    </row>
    <row r="10872">
      <c r="N10872" s="5"/>
    </row>
    <row r="10873">
      <c r="N10873" s="5"/>
    </row>
    <row r="10874">
      <c r="N10874" s="5"/>
    </row>
    <row r="10875">
      <c r="N10875" s="5"/>
    </row>
    <row r="10876">
      <c r="N10876" s="5"/>
    </row>
    <row r="10877">
      <c r="N10877" s="5"/>
    </row>
    <row r="10878">
      <c r="N10878" s="5"/>
    </row>
    <row r="10879">
      <c r="N10879" s="5"/>
    </row>
    <row r="10880">
      <c r="N10880" s="5"/>
    </row>
    <row r="10881">
      <c r="N10881" s="5"/>
    </row>
    <row r="10882">
      <c r="N10882" s="5"/>
    </row>
    <row r="10883">
      <c r="N10883" s="5"/>
    </row>
    <row r="10884">
      <c r="N10884" s="5"/>
    </row>
    <row r="10885">
      <c r="N10885" s="5"/>
    </row>
    <row r="10886">
      <c r="N10886" s="5"/>
    </row>
    <row r="10887">
      <c r="N10887" s="5"/>
    </row>
    <row r="10888">
      <c r="N10888" s="5"/>
    </row>
    <row r="10889">
      <c r="N10889" s="5"/>
    </row>
    <row r="10890">
      <c r="N10890" s="5"/>
    </row>
    <row r="10891">
      <c r="N10891" s="5"/>
    </row>
    <row r="10892">
      <c r="N10892" s="5"/>
    </row>
    <row r="10893">
      <c r="N10893" s="5"/>
    </row>
    <row r="10894">
      <c r="N10894" s="5"/>
    </row>
    <row r="10895">
      <c r="N10895" s="5"/>
    </row>
    <row r="10896">
      <c r="N10896" s="5"/>
    </row>
    <row r="10897">
      <c r="N10897" s="5"/>
    </row>
    <row r="10898">
      <c r="N10898" s="5"/>
    </row>
    <row r="10899">
      <c r="N10899" s="5"/>
    </row>
    <row r="10900">
      <c r="N10900" s="5"/>
    </row>
    <row r="10901">
      <c r="N10901" s="5"/>
    </row>
    <row r="10902">
      <c r="N10902" s="5"/>
    </row>
    <row r="10903">
      <c r="N10903" s="5"/>
    </row>
    <row r="10904">
      <c r="N10904" s="5"/>
    </row>
    <row r="10905">
      <c r="N10905" s="5"/>
    </row>
    <row r="10906">
      <c r="N10906" s="5"/>
    </row>
    <row r="10907">
      <c r="N10907" s="5"/>
    </row>
    <row r="10908">
      <c r="N10908" s="5"/>
    </row>
    <row r="10909">
      <c r="N10909" s="5"/>
    </row>
    <row r="10910">
      <c r="N10910" s="5"/>
    </row>
    <row r="10911">
      <c r="N10911" s="5"/>
    </row>
    <row r="10912">
      <c r="N10912" s="5"/>
    </row>
    <row r="10913">
      <c r="N10913" s="5"/>
    </row>
    <row r="10914">
      <c r="N10914" s="5"/>
    </row>
    <row r="10915">
      <c r="N10915" s="5"/>
    </row>
    <row r="10916">
      <c r="N10916" s="5"/>
    </row>
    <row r="10917">
      <c r="N10917" s="5"/>
    </row>
    <row r="10918">
      <c r="N10918" s="5"/>
    </row>
    <row r="10919">
      <c r="N10919" s="5"/>
    </row>
    <row r="10920">
      <c r="N10920" s="5"/>
    </row>
    <row r="10921">
      <c r="N10921" s="5"/>
    </row>
    <row r="10922">
      <c r="N10922" s="5"/>
    </row>
    <row r="10923">
      <c r="N10923" s="5"/>
    </row>
    <row r="10924">
      <c r="N10924" s="5"/>
    </row>
    <row r="10925">
      <c r="N10925" s="5"/>
    </row>
    <row r="10926">
      <c r="N10926" s="5"/>
    </row>
    <row r="10927">
      <c r="N10927" s="5"/>
    </row>
    <row r="10928">
      <c r="N10928" s="5"/>
    </row>
    <row r="10929">
      <c r="N10929" s="5"/>
    </row>
    <row r="10930">
      <c r="N10930" s="5"/>
    </row>
    <row r="10931">
      <c r="N10931" s="5"/>
    </row>
    <row r="10932">
      <c r="N10932" s="5"/>
    </row>
    <row r="10933">
      <c r="N10933" s="5"/>
    </row>
    <row r="10934">
      <c r="N10934" s="5"/>
    </row>
    <row r="10935">
      <c r="N10935" s="5"/>
    </row>
    <row r="10936">
      <c r="N10936" s="5"/>
    </row>
    <row r="10937">
      <c r="N10937" s="5"/>
    </row>
    <row r="10938">
      <c r="N10938" s="5"/>
    </row>
    <row r="10939">
      <c r="N10939" s="5"/>
    </row>
    <row r="10940">
      <c r="N10940" s="5"/>
    </row>
    <row r="10941">
      <c r="N10941" s="5"/>
    </row>
    <row r="10942">
      <c r="N10942" s="5"/>
    </row>
    <row r="10943">
      <c r="N10943" s="5"/>
    </row>
    <row r="10944">
      <c r="N10944" s="5"/>
    </row>
    <row r="10945">
      <c r="N10945" s="5"/>
    </row>
    <row r="10946">
      <c r="N10946" s="5"/>
    </row>
    <row r="10947">
      <c r="N10947" s="5"/>
    </row>
    <row r="10948">
      <c r="N10948" s="5"/>
    </row>
    <row r="10949">
      <c r="N10949" s="5"/>
    </row>
    <row r="10950">
      <c r="N10950" s="5"/>
    </row>
    <row r="10951">
      <c r="N10951" s="5"/>
    </row>
    <row r="10952">
      <c r="N10952" s="5"/>
    </row>
    <row r="10953">
      <c r="N10953" s="5"/>
    </row>
    <row r="10954">
      <c r="N10954" s="5"/>
    </row>
    <row r="10955">
      <c r="N10955" s="5"/>
    </row>
    <row r="10956">
      <c r="N10956" s="5"/>
    </row>
    <row r="10957">
      <c r="N10957" s="5"/>
    </row>
    <row r="10958">
      <c r="N10958" s="5"/>
    </row>
    <row r="10959">
      <c r="N10959" s="5"/>
    </row>
    <row r="10960">
      <c r="N10960" s="5"/>
    </row>
    <row r="10961">
      <c r="N10961" s="5"/>
    </row>
    <row r="10962">
      <c r="N10962" s="5"/>
    </row>
    <row r="10963">
      <c r="N10963" s="5"/>
    </row>
    <row r="10964">
      <c r="N10964" s="5"/>
    </row>
    <row r="10965">
      <c r="N10965" s="5"/>
    </row>
    <row r="10966">
      <c r="N10966" s="5"/>
    </row>
    <row r="10967">
      <c r="N10967" s="5"/>
    </row>
    <row r="10968">
      <c r="N10968" s="5"/>
    </row>
    <row r="10969">
      <c r="N10969" s="5"/>
    </row>
    <row r="10970">
      <c r="N10970" s="5"/>
    </row>
    <row r="10971">
      <c r="N10971" s="5"/>
    </row>
    <row r="10972">
      <c r="N10972" s="5"/>
    </row>
    <row r="10973">
      <c r="N10973" s="5"/>
    </row>
    <row r="10974">
      <c r="N10974" s="5"/>
    </row>
    <row r="10975">
      <c r="N10975" s="5"/>
    </row>
    <row r="10976">
      <c r="N10976" s="5"/>
    </row>
    <row r="10977">
      <c r="N10977" s="5"/>
    </row>
    <row r="10978">
      <c r="N10978" s="5"/>
    </row>
    <row r="10979">
      <c r="N10979" s="5"/>
    </row>
    <row r="10980">
      <c r="N10980" s="5"/>
    </row>
    <row r="10981">
      <c r="N10981" s="5"/>
    </row>
    <row r="10982">
      <c r="N10982" s="5"/>
    </row>
    <row r="10983">
      <c r="N10983" s="5"/>
    </row>
    <row r="10984">
      <c r="N10984" s="5"/>
    </row>
    <row r="10985">
      <c r="N10985" s="5"/>
    </row>
    <row r="10986">
      <c r="N10986" s="5"/>
    </row>
    <row r="10987">
      <c r="N10987" s="5"/>
    </row>
    <row r="10988">
      <c r="N10988" s="5"/>
    </row>
    <row r="10989">
      <c r="N10989" s="5"/>
    </row>
    <row r="10990">
      <c r="N10990" s="5"/>
    </row>
    <row r="10991">
      <c r="N10991" s="5"/>
    </row>
    <row r="10992">
      <c r="N10992" s="5"/>
    </row>
    <row r="10993">
      <c r="N10993" s="5"/>
    </row>
    <row r="10994">
      <c r="N10994" s="5"/>
    </row>
    <row r="10995">
      <c r="N10995" s="5"/>
    </row>
    <row r="10996">
      <c r="N10996" s="5"/>
    </row>
    <row r="10997">
      <c r="N10997" s="5"/>
    </row>
    <row r="10998">
      <c r="N10998" s="5"/>
    </row>
    <row r="10999">
      <c r="N10999" s="5"/>
    </row>
    <row r="11000">
      <c r="N11000" s="5"/>
    </row>
    <row r="11001">
      <c r="N11001" s="5"/>
    </row>
    <row r="11002">
      <c r="N11002" s="5"/>
    </row>
    <row r="11003">
      <c r="N11003" s="5"/>
    </row>
    <row r="11004">
      <c r="N11004" s="5"/>
    </row>
    <row r="11005">
      <c r="N11005" s="5"/>
    </row>
    <row r="11006">
      <c r="N11006" s="5"/>
    </row>
    <row r="11007">
      <c r="N11007" s="5"/>
    </row>
    <row r="11008">
      <c r="N11008" s="5"/>
    </row>
    <row r="11009">
      <c r="N11009" s="5"/>
    </row>
    <row r="11010">
      <c r="N11010" s="5"/>
    </row>
    <row r="11011">
      <c r="N11011" s="5"/>
    </row>
    <row r="11012">
      <c r="N11012" s="5"/>
    </row>
    <row r="11013">
      <c r="N11013" s="5"/>
    </row>
    <row r="11014">
      <c r="N11014" s="5"/>
    </row>
    <row r="11015">
      <c r="N11015" s="5"/>
    </row>
    <row r="11016">
      <c r="N11016" s="5"/>
    </row>
    <row r="11017">
      <c r="N11017" s="5"/>
    </row>
    <row r="11018">
      <c r="N11018" s="5"/>
    </row>
    <row r="11019">
      <c r="N11019" s="5"/>
    </row>
    <row r="11020">
      <c r="N11020" s="5"/>
    </row>
    <row r="11021">
      <c r="N11021" s="5"/>
    </row>
    <row r="11022">
      <c r="N11022" s="5"/>
    </row>
    <row r="11023">
      <c r="N11023" s="5"/>
    </row>
    <row r="11024">
      <c r="N11024" s="5"/>
    </row>
    <row r="11025">
      <c r="N11025" s="5"/>
    </row>
    <row r="11026">
      <c r="N11026" s="5"/>
    </row>
    <row r="11027">
      <c r="N11027" s="5"/>
    </row>
    <row r="11028">
      <c r="N11028" s="5"/>
    </row>
    <row r="11029">
      <c r="N11029" s="5"/>
    </row>
    <row r="11030">
      <c r="N11030" s="5"/>
    </row>
    <row r="11031">
      <c r="N11031" s="5"/>
    </row>
    <row r="11032">
      <c r="N11032" s="5"/>
    </row>
    <row r="11033">
      <c r="N11033" s="5"/>
    </row>
    <row r="11034">
      <c r="N11034" s="5"/>
    </row>
    <row r="11035">
      <c r="N11035" s="5"/>
    </row>
    <row r="11036">
      <c r="N11036" s="5"/>
    </row>
    <row r="11037">
      <c r="N11037" s="5"/>
    </row>
    <row r="11038">
      <c r="N11038" s="5"/>
    </row>
    <row r="11039">
      <c r="N11039" s="5"/>
    </row>
    <row r="11040">
      <c r="N11040" s="5"/>
    </row>
    <row r="11041">
      <c r="N11041" s="5"/>
    </row>
    <row r="11042">
      <c r="N11042" s="5"/>
    </row>
    <row r="11043">
      <c r="N11043" s="5"/>
    </row>
    <row r="11044">
      <c r="N11044" s="5"/>
    </row>
    <row r="11045">
      <c r="N11045" s="5"/>
    </row>
    <row r="11046">
      <c r="N11046" s="5"/>
    </row>
    <row r="11047">
      <c r="N11047" s="5"/>
    </row>
    <row r="11048">
      <c r="N11048" s="5"/>
    </row>
    <row r="11049">
      <c r="N11049" s="5"/>
    </row>
    <row r="11050">
      <c r="N11050" s="5"/>
    </row>
    <row r="11051">
      <c r="N11051" s="5"/>
    </row>
    <row r="11052">
      <c r="N11052" s="5"/>
    </row>
    <row r="11053">
      <c r="N11053" s="5"/>
    </row>
    <row r="11054">
      <c r="N11054" s="5"/>
    </row>
    <row r="11055">
      <c r="N11055" s="5"/>
    </row>
    <row r="11056">
      <c r="N11056" s="5"/>
    </row>
    <row r="11057">
      <c r="N11057" s="5"/>
    </row>
    <row r="11058">
      <c r="N11058" s="5"/>
    </row>
    <row r="11059">
      <c r="N11059" s="5"/>
    </row>
    <row r="11060">
      <c r="N11060" s="5"/>
    </row>
    <row r="11061">
      <c r="N11061" s="5"/>
    </row>
    <row r="11062">
      <c r="N11062" s="5"/>
    </row>
    <row r="11063">
      <c r="N11063" s="5"/>
    </row>
    <row r="11064">
      <c r="N11064" s="5"/>
    </row>
    <row r="11065">
      <c r="N11065" s="5"/>
    </row>
    <row r="11066">
      <c r="N11066" s="5"/>
    </row>
    <row r="11067">
      <c r="N11067" s="5"/>
    </row>
    <row r="11068">
      <c r="N11068" s="5"/>
    </row>
    <row r="11069">
      <c r="N11069" s="5"/>
    </row>
    <row r="11070">
      <c r="N11070" s="5"/>
    </row>
    <row r="11071">
      <c r="N11071" s="5"/>
    </row>
    <row r="11072">
      <c r="N11072" s="5"/>
    </row>
    <row r="11073">
      <c r="N11073" s="5"/>
    </row>
    <row r="11074">
      <c r="N11074" s="5"/>
    </row>
    <row r="11075">
      <c r="N11075" s="5"/>
    </row>
    <row r="11076">
      <c r="N11076" s="5"/>
    </row>
    <row r="11077">
      <c r="N11077" s="5"/>
    </row>
    <row r="11078">
      <c r="N11078" s="5"/>
    </row>
    <row r="11079">
      <c r="N11079" s="5"/>
    </row>
    <row r="11080">
      <c r="N11080" s="5"/>
    </row>
    <row r="11081">
      <c r="N11081" s="5"/>
    </row>
    <row r="11082">
      <c r="N11082" s="5"/>
    </row>
    <row r="11083">
      <c r="N11083" s="5"/>
    </row>
    <row r="11084">
      <c r="N11084" s="5"/>
    </row>
    <row r="11085">
      <c r="N11085" s="5"/>
    </row>
    <row r="11086">
      <c r="N11086" s="5"/>
    </row>
    <row r="11087">
      <c r="N11087" s="5"/>
    </row>
    <row r="11088">
      <c r="N11088" s="5"/>
    </row>
    <row r="11089">
      <c r="N11089" s="5"/>
    </row>
    <row r="11090">
      <c r="N11090" s="5"/>
    </row>
    <row r="11091">
      <c r="N11091" s="5"/>
    </row>
    <row r="11092">
      <c r="N11092" s="5"/>
    </row>
    <row r="11093">
      <c r="N11093" s="5"/>
    </row>
    <row r="11094">
      <c r="N11094" s="5"/>
    </row>
    <row r="11095">
      <c r="N11095" s="5"/>
    </row>
    <row r="11096">
      <c r="N11096" s="5"/>
    </row>
    <row r="11097">
      <c r="N11097" s="5"/>
    </row>
    <row r="11098">
      <c r="N11098" s="5"/>
    </row>
    <row r="11099">
      <c r="N11099" s="5"/>
    </row>
    <row r="11100">
      <c r="N11100" s="5"/>
    </row>
    <row r="11101">
      <c r="N11101" s="5"/>
    </row>
    <row r="11102">
      <c r="N11102" s="5"/>
    </row>
    <row r="11103">
      <c r="N11103" s="5"/>
    </row>
    <row r="11104">
      <c r="N11104" s="5"/>
    </row>
    <row r="11105">
      <c r="N11105" s="5"/>
    </row>
    <row r="11106">
      <c r="N11106" s="5"/>
    </row>
    <row r="11107">
      <c r="N11107" s="5"/>
    </row>
    <row r="11108">
      <c r="N11108" s="5"/>
    </row>
    <row r="11109">
      <c r="N11109" s="5"/>
    </row>
    <row r="11110">
      <c r="N11110" s="5"/>
    </row>
    <row r="11111">
      <c r="N11111" s="5"/>
    </row>
    <row r="11112">
      <c r="N11112" s="5"/>
    </row>
    <row r="11113">
      <c r="N11113" s="5"/>
    </row>
    <row r="11114">
      <c r="N11114" s="5"/>
    </row>
    <row r="11115">
      <c r="N11115" s="5"/>
    </row>
    <row r="11116">
      <c r="N11116" s="5"/>
    </row>
    <row r="11117">
      <c r="N11117" s="5"/>
    </row>
    <row r="11118">
      <c r="N11118" s="5"/>
    </row>
    <row r="11119">
      <c r="N11119" s="5"/>
    </row>
    <row r="11120">
      <c r="N11120" s="5"/>
    </row>
    <row r="11121">
      <c r="N11121" s="5"/>
    </row>
    <row r="11122">
      <c r="N11122" s="5"/>
    </row>
    <row r="11123">
      <c r="N11123" s="5"/>
    </row>
    <row r="11124">
      <c r="N11124" s="5"/>
    </row>
    <row r="11125">
      <c r="N11125" s="5"/>
    </row>
    <row r="11126">
      <c r="N11126" s="5"/>
    </row>
    <row r="11127">
      <c r="N11127" s="5"/>
    </row>
    <row r="11128">
      <c r="N11128" s="5"/>
    </row>
    <row r="11129">
      <c r="N11129" s="5"/>
    </row>
    <row r="11130">
      <c r="N11130" s="5"/>
    </row>
    <row r="11131">
      <c r="N11131" s="5"/>
    </row>
    <row r="11132">
      <c r="N11132" s="5"/>
    </row>
    <row r="11133">
      <c r="N11133" s="5"/>
    </row>
    <row r="11134">
      <c r="N11134" s="5"/>
    </row>
    <row r="11135">
      <c r="N11135" s="5"/>
    </row>
    <row r="11136">
      <c r="N11136" s="5"/>
    </row>
    <row r="11137">
      <c r="N11137" s="5"/>
    </row>
    <row r="11138">
      <c r="N11138" s="5"/>
    </row>
    <row r="11139">
      <c r="N11139" s="5"/>
    </row>
    <row r="11140">
      <c r="N11140" s="5"/>
    </row>
    <row r="11141">
      <c r="N11141" s="5"/>
    </row>
    <row r="11142">
      <c r="N11142" s="5"/>
    </row>
    <row r="11143">
      <c r="N11143" s="5"/>
    </row>
    <row r="11144">
      <c r="N11144" s="5"/>
    </row>
    <row r="11145">
      <c r="N11145" s="5"/>
    </row>
    <row r="11146">
      <c r="N11146" s="5"/>
    </row>
    <row r="11147">
      <c r="N11147" s="5"/>
    </row>
    <row r="11148">
      <c r="N11148" s="5"/>
    </row>
    <row r="11149">
      <c r="N11149" s="5"/>
    </row>
    <row r="11150">
      <c r="N11150" s="5"/>
    </row>
    <row r="11151">
      <c r="N11151" s="5"/>
    </row>
    <row r="11152">
      <c r="N11152" s="5"/>
    </row>
    <row r="11153">
      <c r="N11153" s="5"/>
    </row>
    <row r="11154">
      <c r="N11154" s="5"/>
    </row>
    <row r="11155">
      <c r="N11155" s="5"/>
    </row>
    <row r="11156">
      <c r="N11156" s="5"/>
    </row>
    <row r="11157">
      <c r="N11157" s="5"/>
    </row>
    <row r="11158">
      <c r="N11158" s="5"/>
    </row>
    <row r="11159">
      <c r="N11159" s="5"/>
    </row>
    <row r="11160">
      <c r="N11160" s="5"/>
    </row>
    <row r="11161">
      <c r="N11161" s="5"/>
    </row>
    <row r="11162">
      <c r="N11162" s="5"/>
    </row>
    <row r="11163">
      <c r="N11163" s="5"/>
    </row>
    <row r="11164">
      <c r="N11164" s="5"/>
    </row>
    <row r="11165">
      <c r="N11165" s="5"/>
    </row>
    <row r="11166">
      <c r="N11166" s="5"/>
    </row>
    <row r="11167">
      <c r="N11167" s="5"/>
    </row>
    <row r="11168">
      <c r="N11168" s="5"/>
    </row>
    <row r="11169">
      <c r="N11169" s="5"/>
    </row>
    <row r="11170">
      <c r="N11170" s="5"/>
    </row>
    <row r="11171">
      <c r="N11171" s="5"/>
    </row>
    <row r="11172">
      <c r="N11172" s="5"/>
    </row>
    <row r="11173">
      <c r="N11173" s="5"/>
    </row>
    <row r="11174">
      <c r="N11174" s="5"/>
    </row>
    <row r="11175">
      <c r="N11175" s="5"/>
    </row>
    <row r="11176">
      <c r="N11176" s="5"/>
    </row>
    <row r="11177">
      <c r="N11177" s="5"/>
    </row>
    <row r="11178">
      <c r="N11178" s="5"/>
    </row>
    <row r="11179">
      <c r="N11179" s="5"/>
    </row>
    <row r="11180">
      <c r="N11180" s="5"/>
    </row>
    <row r="11181">
      <c r="N11181" s="5"/>
    </row>
    <row r="11182">
      <c r="N11182" s="5"/>
    </row>
    <row r="11183">
      <c r="N11183" s="5"/>
    </row>
    <row r="11184">
      <c r="N11184" s="5"/>
    </row>
    <row r="11185">
      <c r="N11185" s="5"/>
    </row>
    <row r="11186">
      <c r="N11186" s="5"/>
    </row>
    <row r="11187">
      <c r="N11187" s="5"/>
    </row>
    <row r="11188">
      <c r="N11188" s="5"/>
    </row>
    <row r="11189">
      <c r="N11189" s="5"/>
    </row>
    <row r="11190">
      <c r="N11190" s="5"/>
    </row>
    <row r="11191">
      <c r="N11191" s="5"/>
    </row>
    <row r="11192">
      <c r="N11192" s="5"/>
    </row>
    <row r="11193">
      <c r="N11193" s="5"/>
    </row>
    <row r="11194">
      <c r="N11194" s="5"/>
    </row>
    <row r="11195">
      <c r="N11195" s="5"/>
    </row>
    <row r="11196">
      <c r="N11196" s="5"/>
    </row>
    <row r="11197">
      <c r="N11197" s="5"/>
    </row>
    <row r="11198">
      <c r="N11198" s="5"/>
    </row>
    <row r="11199">
      <c r="N11199" s="5"/>
    </row>
    <row r="11200">
      <c r="N11200" s="5"/>
    </row>
    <row r="11201">
      <c r="N11201" s="5"/>
    </row>
    <row r="11202">
      <c r="N11202" s="5"/>
    </row>
    <row r="11203">
      <c r="N11203" s="5"/>
    </row>
    <row r="11204">
      <c r="N11204" s="5"/>
    </row>
    <row r="11205">
      <c r="N11205" s="5"/>
    </row>
    <row r="11206">
      <c r="N11206" s="5"/>
    </row>
    <row r="11207">
      <c r="N11207" s="5"/>
    </row>
    <row r="11208">
      <c r="N11208" s="5"/>
    </row>
    <row r="11209">
      <c r="N11209" s="5"/>
    </row>
    <row r="11210">
      <c r="N11210" s="5"/>
    </row>
    <row r="11211">
      <c r="N11211" s="5"/>
    </row>
    <row r="11212">
      <c r="N11212" s="5"/>
    </row>
    <row r="11213">
      <c r="N11213" s="5"/>
    </row>
    <row r="11214">
      <c r="N11214" s="5"/>
    </row>
    <row r="11215">
      <c r="N11215" s="5"/>
    </row>
    <row r="11216">
      <c r="N11216" s="5"/>
    </row>
    <row r="11217">
      <c r="N11217" s="5"/>
    </row>
    <row r="11218">
      <c r="N11218" s="5"/>
    </row>
    <row r="11219">
      <c r="N11219" s="5"/>
    </row>
    <row r="11220">
      <c r="N11220" s="5"/>
    </row>
    <row r="11221">
      <c r="N11221" s="5"/>
    </row>
    <row r="11222">
      <c r="N11222" s="5"/>
    </row>
    <row r="11223">
      <c r="N11223" s="5"/>
    </row>
    <row r="11224">
      <c r="N11224" s="5"/>
    </row>
    <row r="11225">
      <c r="N11225" s="5"/>
    </row>
    <row r="11226">
      <c r="N11226" s="5"/>
    </row>
    <row r="11227">
      <c r="N11227" s="5"/>
    </row>
    <row r="11228">
      <c r="N11228" s="5"/>
    </row>
    <row r="11229">
      <c r="N11229" s="5"/>
    </row>
    <row r="11230">
      <c r="N11230" s="5"/>
    </row>
    <row r="11231">
      <c r="N11231" s="5"/>
    </row>
    <row r="11232">
      <c r="N11232" s="5"/>
    </row>
    <row r="11233">
      <c r="N11233" s="5"/>
    </row>
    <row r="11234">
      <c r="N11234" s="5"/>
    </row>
    <row r="11235">
      <c r="N11235" s="5"/>
    </row>
    <row r="11236">
      <c r="N11236" s="5"/>
    </row>
    <row r="11237">
      <c r="N11237" s="5"/>
    </row>
    <row r="11238">
      <c r="N11238" s="5"/>
    </row>
    <row r="11239">
      <c r="N11239" s="5"/>
    </row>
    <row r="11240">
      <c r="N11240" s="5"/>
    </row>
    <row r="11241">
      <c r="N11241" s="5"/>
    </row>
    <row r="11242">
      <c r="N11242" s="5"/>
    </row>
    <row r="11243">
      <c r="N11243" s="5"/>
    </row>
    <row r="11244">
      <c r="N11244" s="5"/>
    </row>
    <row r="11245">
      <c r="N11245" s="5"/>
    </row>
    <row r="11246">
      <c r="N11246" s="5"/>
    </row>
    <row r="11247">
      <c r="N11247" s="5"/>
    </row>
    <row r="11248">
      <c r="N11248" s="5"/>
    </row>
    <row r="11249">
      <c r="N11249" s="5"/>
    </row>
    <row r="11250">
      <c r="N11250" s="5"/>
    </row>
    <row r="11251">
      <c r="N11251" s="5"/>
    </row>
    <row r="11252">
      <c r="N11252" s="5"/>
    </row>
    <row r="11253">
      <c r="N11253" s="5"/>
    </row>
    <row r="11254">
      <c r="N11254" s="5"/>
    </row>
    <row r="11255">
      <c r="N11255" s="5"/>
    </row>
    <row r="11256">
      <c r="N11256" s="5"/>
    </row>
    <row r="11257">
      <c r="N11257" s="5"/>
    </row>
    <row r="11258">
      <c r="N11258" s="5"/>
    </row>
    <row r="11259">
      <c r="N11259" s="5"/>
    </row>
    <row r="11260">
      <c r="N11260" s="5"/>
    </row>
    <row r="11261">
      <c r="N11261" s="5"/>
    </row>
    <row r="11262">
      <c r="N11262" s="5"/>
    </row>
    <row r="11263">
      <c r="N11263" s="5"/>
    </row>
    <row r="11264">
      <c r="N11264" s="5"/>
    </row>
    <row r="11265">
      <c r="N11265" s="5"/>
    </row>
    <row r="11266">
      <c r="N11266" s="5"/>
    </row>
    <row r="11267">
      <c r="N11267" s="5"/>
    </row>
    <row r="11268">
      <c r="N11268" s="5"/>
    </row>
    <row r="11269">
      <c r="N11269" s="5"/>
    </row>
    <row r="11270">
      <c r="N11270" s="5"/>
    </row>
    <row r="11271">
      <c r="N11271" s="5"/>
    </row>
    <row r="11272">
      <c r="N11272" s="5"/>
    </row>
    <row r="11273">
      <c r="N11273" s="5"/>
    </row>
    <row r="11274">
      <c r="N11274" s="5"/>
    </row>
    <row r="11275">
      <c r="N11275" s="5"/>
    </row>
    <row r="11276">
      <c r="N11276" s="5"/>
    </row>
    <row r="11277">
      <c r="N11277" s="5"/>
    </row>
    <row r="11278">
      <c r="N11278" s="5"/>
    </row>
    <row r="11279">
      <c r="N11279" s="5"/>
    </row>
    <row r="11280">
      <c r="N11280" s="5"/>
    </row>
    <row r="11281">
      <c r="N11281" s="5"/>
    </row>
    <row r="11282">
      <c r="N11282" s="5"/>
    </row>
    <row r="11283">
      <c r="N11283" s="5"/>
    </row>
    <row r="11284">
      <c r="N11284" s="5"/>
    </row>
    <row r="11285">
      <c r="N11285" s="5"/>
    </row>
    <row r="11286">
      <c r="N11286" s="5"/>
    </row>
    <row r="11287">
      <c r="N11287" s="5"/>
    </row>
    <row r="11288">
      <c r="N11288" s="5"/>
    </row>
    <row r="11289">
      <c r="N11289" s="5"/>
    </row>
    <row r="11290">
      <c r="N11290" s="5"/>
    </row>
    <row r="11291">
      <c r="N11291" s="5"/>
    </row>
    <row r="11292">
      <c r="N11292" s="5"/>
    </row>
    <row r="11293">
      <c r="N11293" s="5"/>
    </row>
    <row r="11294">
      <c r="N11294" s="5"/>
    </row>
    <row r="11295">
      <c r="N11295" s="5"/>
    </row>
    <row r="11296">
      <c r="N11296" s="5"/>
    </row>
    <row r="11297">
      <c r="N11297" s="5"/>
    </row>
    <row r="11298">
      <c r="N11298" s="5"/>
    </row>
    <row r="11299">
      <c r="N11299" s="5"/>
    </row>
    <row r="11300">
      <c r="N11300" s="5"/>
    </row>
    <row r="11301">
      <c r="N11301" s="5"/>
    </row>
    <row r="11302">
      <c r="N11302" s="5"/>
    </row>
    <row r="11303">
      <c r="N11303" s="5"/>
    </row>
    <row r="11304">
      <c r="N11304" s="5"/>
    </row>
    <row r="11305">
      <c r="N11305" s="5"/>
    </row>
    <row r="11306">
      <c r="N11306" s="5"/>
    </row>
    <row r="11307">
      <c r="N11307" s="5"/>
    </row>
    <row r="11308">
      <c r="N11308" s="5"/>
    </row>
    <row r="11309">
      <c r="N11309" s="5"/>
    </row>
    <row r="11310">
      <c r="N11310" s="5"/>
    </row>
    <row r="11311">
      <c r="N11311" s="5"/>
    </row>
    <row r="11312">
      <c r="N11312" s="5"/>
    </row>
    <row r="11313">
      <c r="N11313" s="5"/>
    </row>
    <row r="11314">
      <c r="N11314" s="5"/>
    </row>
    <row r="11315">
      <c r="N11315" s="5"/>
    </row>
    <row r="11316">
      <c r="N11316" s="5"/>
    </row>
    <row r="11317">
      <c r="N11317" s="5"/>
    </row>
    <row r="11318">
      <c r="N11318" s="5"/>
    </row>
    <row r="11319">
      <c r="N11319" s="5"/>
    </row>
    <row r="11320">
      <c r="N11320" s="5"/>
    </row>
    <row r="11321">
      <c r="N11321" s="5"/>
    </row>
    <row r="11322">
      <c r="N11322" s="5"/>
    </row>
    <row r="11323">
      <c r="N11323" s="5"/>
    </row>
    <row r="11324">
      <c r="N11324" s="5"/>
    </row>
    <row r="11325">
      <c r="N11325" s="5"/>
    </row>
    <row r="11326">
      <c r="N11326" s="5"/>
    </row>
    <row r="11327">
      <c r="N11327" s="5"/>
    </row>
    <row r="11328">
      <c r="N11328" s="5"/>
    </row>
    <row r="11329">
      <c r="N11329" s="5"/>
    </row>
    <row r="11330">
      <c r="N11330" s="5"/>
    </row>
    <row r="11331">
      <c r="N11331" s="5"/>
    </row>
    <row r="11332">
      <c r="N11332" s="5"/>
    </row>
    <row r="11333">
      <c r="N11333" s="5"/>
    </row>
    <row r="11334">
      <c r="N11334" s="5"/>
    </row>
    <row r="11335">
      <c r="N11335" s="5"/>
    </row>
    <row r="11336">
      <c r="N11336" s="5"/>
    </row>
    <row r="11337">
      <c r="N11337" s="5"/>
    </row>
    <row r="11338">
      <c r="N11338" s="5"/>
    </row>
    <row r="11339">
      <c r="N11339" s="5"/>
    </row>
    <row r="11340">
      <c r="N11340" s="5"/>
    </row>
    <row r="11341">
      <c r="N11341" s="5"/>
    </row>
    <row r="11342">
      <c r="N11342" s="5"/>
    </row>
    <row r="11343">
      <c r="N11343" s="5"/>
    </row>
    <row r="11344">
      <c r="N11344" s="5"/>
    </row>
    <row r="11345">
      <c r="N11345" s="5"/>
    </row>
    <row r="11346">
      <c r="N11346" s="5"/>
    </row>
    <row r="11347">
      <c r="N11347" s="5"/>
    </row>
    <row r="11348">
      <c r="N11348" s="5"/>
    </row>
    <row r="11349">
      <c r="N11349" s="5"/>
    </row>
    <row r="11350">
      <c r="N11350" s="5"/>
    </row>
    <row r="11351">
      <c r="N11351" s="5"/>
    </row>
    <row r="11352">
      <c r="N11352" s="5"/>
    </row>
    <row r="11353">
      <c r="N11353" s="5"/>
    </row>
    <row r="11354">
      <c r="N11354" s="5"/>
    </row>
    <row r="11355">
      <c r="N11355" s="5"/>
    </row>
    <row r="11356">
      <c r="N11356" s="5"/>
    </row>
    <row r="11357">
      <c r="N11357" s="5"/>
    </row>
    <row r="11358">
      <c r="N11358" s="5"/>
    </row>
    <row r="11359">
      <c r="N11359" s="5"/>
    </row>
    <row r="11360">
      <c r="N11360" s="5"/>
    </row>
    <row r="11361">
      <c r="N11361" s="5"/>
    </row>
    <row r="11362">
      <c r="N11362" s="5"/>
    </row>
    <row r="11363">
      <c r="N11363" s="5"/>
    </row>
    <row r="11364">
      <c r="N11364" s="5"/>
    </row>
    <row r="11365">
      <c r="N11365" s="5"/>
    </row>
    <row r="11366">
      <c r="N11366" s="5"/>
    </row>
    <row r="11367">
      <c r="N11367" s="5"/>
    </row>
    <row r="11368">
      <c r="N11368" s="5"/>
    </row>
    <row r="11369">
      <c r="N11369" s="5"/>
    </row>
    <row r="11370">
      <c r="N11370" s="5"/>
    </row>
    <row r="11371">
      <c r="N11371" s="5"/>
    </row>
    <row r="11372">
      <c r="N11372" s="5"/>
    </row>
    <row r="11373">
      <c r="N11373" s="5"/>
    </row>
    <row r="11374">
      <c r="N11374" s="5"/>
    </row>
    <row r="11375">
      <c r="N11375" s="5"/>
    </row>
    <row r="11376">
      <c r="N11376" s="5"/>
    </row>
    <row r="11377">
      <c r="N11377" s="5"/>
    </row>
    <row r="11378">
      <c r="N11378" s="5"/>
    </row>
    <row r="11379">
      <c r="N11379" s="5"/>
    </row>
    <row r="11380">
      <c r="N11380" s="5"/>
    </row>
    <row r="11381">
      <c r="N11381" s="5"/>
    </row>
    <row r="11382">
      <c r="N11382" s="5"/>
    </row>
    <row r="11383">
      <c r="N11383" s="5"/>
    </row>
    <row r="11384">
      <c r="N11384" s="5"/>
    </row>
    <row r="11385">
      <c r="N11385" s="5"/>
    </row>
    <row r="11386">
      <c r="N11386" s="5"/>
    </row>
    <row r="11387">
      <c r="N11387" s="5"/>
    </row>
    <row r="11388">
      <c r="N11388" s="5"/>
    </row>
    <row r="11389">
      <c r="N11389" s="5"/>
    </row>
    <row r="11390">
      <c r="N11390" s="5"/>
    </row>
    <row r="11391">
      <c r="N11391" s="5"/>
    </row>
    <row r="11392">
      <c r="N11392" s="5"/>
    </row>
    <row r="11393">
      <c r="N11393" s="5"/>
    </row>
    <row r="11394">
      <c r="N11394" s="5"/>
    </row>
    <row r="11395">
      <c r="N11395" s="5"/>
    </row>
    <row r="11396">
      <c r="N11396" s="5"/>
    </row>
    <row r="11397">
      <c r="N11397" s="5"/>
    </row>
    <row r="11398">
      <c r="N11398" s="5"/>
    </row>
    <row r="11399">
      <c r="N11399" s="5"/>
    </row>
    <row r="11400">
      <c r="N11400" s="5"/>
    </row>
    <row r="11401">
      <c r="N11401" s="5"/>
    </row>
    <row r="11402">
      <c r="N11402" s="5"/>
    </row>
    <row r="11403">
      <c r="N11403" s="5"/>
    </row>
    <row r="11404">
      <c r="N11404" s="5"/>
    </row>
    <row r="11405">
      <c r="N11405" s="5"/>
    </row>
    <row r="11406">
      <c r="N11406" s="5"/>
    </row>
    <row r="11407">
      <c r="N11407" s="5"/>
    </row>
    <row r="11408">
      <c r="N11408" s="5"/>
    </row>
    <row r="11409">
      <c r="N11409" s="5"/>
    </row>
    <row r="11410">
      <c r="N11410" s="5"/>
    </row>
    <row r="11411">
      <c r="N11411" s="5"/>
    </row>
    <row r="11412">
      <c r="N11412" s="5"/>
    </row>
    <row r="11413">
      <c r="N11413" s="5"/>
    </row>
    <row r="11414">
      <c r="N11414" s="5"/>
    </row>
    <row r="11415">
      <c r="N11415" s="5"/>
    </row>
    <row r="11416">
      <c r="N11416" s="5"/>
    </row>
    <row r="11417">
      <c r="N11417" s="5"/>
    </row>
    <row r="11418">
      <c r="N11418" s="5"/>
    </row>
    <row r="11419">
      <c r="N11419" s="5"/>
    </row>
    <row r="11420">
      <c r="N11420" s="5"/>
    </row>
    <row r="11421">
      <c r="N11421" s="5"/>
    </row>
    <row r="11422">
      <c r="N11422" s="5"/>
    </row>
    <row r="11423">
      <c r="N11423" s="5"/>
    </row>
    <row r="11424">
      <c r="N11424" s="5"/>
    </row>
    <row r="11425">
      <c r="N11425" s="5"/>
    </row>
    <row r="11426">
      <c r="N11426" s="5"/>
    </row>
    <row r="11427">
      <c r="N11427" s="5"/>
    </row>
    <row r="11428">
      <c r="N11428" s="5"/>
    </row>
    <row r="11429">
      <c r="N11429" s="5"/>
    </row>
    <row r="11430">
      <c r="N11430" s="5"/>
    </row>
    <row r="11431">
      <c r="N11431" s="5"/>
    </row>
    <row r="11432">
      <c r="N11432" s="5"/>
    </row>
    <row r="11433">
      <c r="N11433" s="5"/>
    </row>
    <row r="11434">
      <c r="N11434" s="5"/>
    </row>
    <row r="11435">
      <c r="N11435" s="5"/>
    </row>
    <row r="11436">
      <c r="N11436" s="5"/>
    </row>
    <row r="11437">
      <c r="N11437" s="5"/>
    </row>
    <row r="11438">
      <c r="N11438" s="5"/>
    </row>
    <row r="11439">
      <c r="N11439" s="5"/>
    </row>
    <row r="11440">
      <c r="N11440" s="5"/>
    </row>
    <row r="11441">
      <c r="N11441" s="5"/>
    </row>
    <row r="11442">
      <c r="N11442" s="5"/>
    </row>
    <row r="11443">
      <c r="N11443" s="5"/>
    </row>
    <row r="11444">
      <c r="N11444" s="5"/>
    </row>
    <row r="11445">
      <c r="N11445" s="5"/>
    </row>
    <row r="11446">
      <c r="N11446" s="5"/>
    </row>
    <row r="11447">
      <c r="N11447" s="5"/>
    </row>
    <row r="11448">
      <c r="N11448" s="5"/>
    </row>
    <row r="11449">
      <c r="N11449" s="5"/>
    </row>
    <row r="11450">
      <c r="N11450" s="5"/>
    </row>
    <row r="11451">
      <c r="N11451" s="5"/>
    </row>
    <row r="11452">
      <c r="N11452" s="5"/>
    </row>
    <row r="11453">
      <c r="N11453" s="5"/>
    </row>
    <row r="11454">
      <c r="N11454" s="5"/>
    </row>
    <row r="11455">
      <c r="N11455" s="5"/>
    </row>
    <row r="11456">
      <c r="N11456" s="5"/>
    </row>
    <row r="11457">
      <c r="N11457" s="5"/>
    </row>
    <row r="11458">
      <c r="N11458" s="5"/>
    </row>
    <row r="11459">
      <c r="N11459" s="5"/>
    </row>
    <row r="11460">
      <c r="N11460" s="5"/>
    </row>
    <row r="11461">
      <c r="N11461" s="5"/>
    </row>
    <row r="11462">
      <c r="N11462" s="5"/>
    </row>
    <row r="11463">
      <c r="N11463" s="5"/>
    </row>
    <row r="11464">
      <c r="N11464" s="5"/>
    </row>
    <row r="11465">
      <c r="N11465" s="5"/>
    </row>
    <row r="11466">
      <c r="N11466" s="5"/>
    </row>
    <row r="11467">
      <c r="N11467" s="5"/>
    </row>
    <row r="11468">
      <c r="N11468" s="5"/>
    </row>
    <row r="11469">
      <c r="N11469" s="5"/>
    </row>
    <row r="11470">
      <c r="N11470" s="5"/>
    </row>
    <row r="11471">
      <c r="N11471" s="5"/>
    </row>
    <row r="11472">
      <c r="N11472" s="5"/>
    </row>
    <row r="11473">
      <c r="N11473" s="5"/>
    </row>
    <row r="11474">
      <c r="N11474" s="5"/>
    </row>
    <row r="11475">
      <c r="N11475" s="5"/>
    </row>
    <row r="11476">
      <c r="N11476" s="5"/>
    </row>
    <row r="11477">
      <c r="N11477" s="5"/>
    </row>
    <row r="11478">
      <c r="N11478" s="5"/>
    </row>
    <row r="11479">
      <c r="N11479" s="5"/>
    </row>
    <row r="11480">
      <c r="N11480" s="5"/>
    </row>
    <row r="11481">
      <c r="N11481" s="5"/>
    </row>
    <row r="11482">
      <c r="N11482" s="5"/>
    </row>
    <row r="11483">
      <c r="N11483" s="5"/>
    </row>
    <row r="11484">
      <c r="N11484" s="5"/>
    </row>
    <row r="11485">
      <c r="N11485" s="5"/>
    </row>
    <row r="11486">
      <c r="N11486" s="5"/>
    </row>
    <row r="11487">
      <c r="N11487" s="5"/>
    </row>
    <row r="11488">
      <c r="N11488" s="5"/>
    </row>
    <row r="11489">
      <c r="N11489" s="5"/>
    </row>
    <row r="11490">
      <c r="N11490" s="5"/>
    </row>
    <row r="11491">
      <c r="N11491" s="5"/>
    </row>
    <row r="11492">
      <c r="N11492" s="5"/>
    </row>
    <row r="11493">
      <c r="N11493" s="5"/>
    </row>
    <row r="11494">
      <c r="N11494" s="5"/>
    </row>
    <row r="11495">
      <c r="N11495" s="5"/>
    </row>
    <row r="11496">
      <c r="N11496" s="5"/>
    </row>
    <row r="11497">
      <c r="N11497" s="5"/>
    </row>
    <row r="11498">
      <c r="N11498" s="5"/>
    </row>
    <row r="11499">
      <c r="N11499" s="5"/>
    </row>
    <row r="11500">
      <c r="N11500" s="5"/>
    </row>
    <row r="11501">
      <c r="N11501" s="5"/>
    </row>
    <row r="11502">
      <c r="N11502" s="5"/>
    </row>
    <row r="11503">
      <c r="N11503" s="5"/>
    </row>
    <row r="11504">
      <c r="N11504" s="5"/>
    </row>
    <row r="11505">
      <c r="N11505" s="5"/>
    </row>
    <row r="11506">
      <c r="N11506" s="5"/>
    </row>
    <row r="11507">
      <c r="N11507" s="5"/>
    </row>
    <row r="11508">
      <c r="N11508" s="5"/>
    </row>
    <row r="11509">
      <c r="N11509" s="5"/>
    </row>
    <row r="11510">
      <c r="N11510" s="5"/>
    </row>
    <row r="11511">
      <c r="N11511" s="5"/>
    </row>
    <row r="11512">
      <c r="N11512" s="5"/>
    </row>
    <row r="11513">
      <c r="N11513" s="5"/>
    </row>
    <row r="11514">
      <c r="N11514" s="5"/>
    </row>
    <row r="11515">
      <c r="N11515" s="5"/>
    </row>
    <row r="11516">
      <c r="N11516" s="5"/>
    </row>
    <row r="11517">
      <c r="N11517" s="5"/>
    </row>
    <row r="11518">
      <c r="N11518" s="5"/>
    </row>
    <row r="11519">
      <c r="N11519" s="5"/>
    </row>
    <row r="11520">
      <c r="N11520" s="5"/>
    </row>
    <row r="11521">
      <c r="N11521" s="5"/>
    </row>
    <row r="11522">
      <c r="N11522" s="5"/>
    </row>
    <row r="11523">
      <c r="N11523" s="5"/>
    </row>
    <row r="11524">
      <c r="N11524" s="5"/>
    </row>
    <row r="11525">
      <c r="N11525" s="5"/>
    </row>
    <row r="11526">
      <c r="N11526" s="5"/>
    </row>
    <row r="11527">
      <c r="N11527" s="5"/>
    </row>
    <row r="11528">
      <c r="N11528" s="5"/>
    </row>
    <row r="11529">
      <c r="N11529" s="5"/>
    </row>
    <row r="11530">
      <c r="N11530" s="5"/>
    </row>
    <row r="11531">
      <c r="N11531" s="5"/>
    </row>
    <row r="11532">
      <c r="N11532" s="5"/>
    </row>
    <row r="11533">
      <c r="N11533" s="5"/>
    </row>
    <row r="11534">
      <c r="N11534" s="5"/>
    </row>
    <row r="11535">
      <c r="N11535" s="5"/>
    </row>
    <row r="11536">
      <c r="N11536" s="5"/>
    </row>
    <row r="11537">
      <c r="N11537" s="5"/>
    </row>
    <row r="11538">
      <c r="N11538" s="5"/>
    </row>
    <row r="11539">
      <c r="N11539" s="5"/>
    </row>
    <row r="11540">
      <c r="N11540" s="5"/>
    </row>
    <row r="11541">
      <c r="N11541" s="5"/>
    </row>
    <row r="11542">
      <c r="N11542" s="5"/>
    </row>
    <row r="11543">
      <c r="N11543" s="5"/>
    </row>
    <row r="11544">
      <c r="N11544" s="5"/>
    </row>
    <row r="11545">
      <c r="N11545" s="5"/>
    </row>
    <row r="11546">
      <c r="N11546" s="5"/>
    </row>
    <row r="11547">
      <c r="N11547" s="5"/>
    </row>
    <row r="11548">
      <c r="N11548" s="5"/>
    </row>
    <row r="11549">
      <c r="N11549" s="5"/>
    </row>
    <row r="11550">
      <c r="N11550" s="5"/>
    </row>
    <row r="11551">
      <c r="N11551" s="5"/>
    </row>
    <row r="11552">
      <c r="N11552" s="5"/>
    </row>
    <row r="11553">
      <c r="N11553" s="5"/>
    </row>
    <row r="11554">
      <c r="N11554" s="5"/>
    </row>
    <row r="11555">
      <c r="N11555" s="5"/>
    </row>
    <row r="11556">
      <c r="N11556" s="5"/>
    </row>
    <row r="11557">
      <c r="N11557" s="5"/>
    </row>
    <row r="11558">
      <c r="N11558" s="5"/>
    </row>
    <row r="11559">
      <c r="N11559" s="5"/>
    </row>
    <row r="11560">
      <c r="N11560" s="5"/>
    </row>
    <row r="11561">
      <c r="N11561" s="5"/>
    </row>
    <row r="11562">
      <c r="N11562" s="5"/>
    </row>
    <row r="11563">
      <c r="N11563" s="5"/>
    </row>
    <row r="11564">
      <c r="N11564" s="5"/>
    </row>
    <row r="11565">
      <c r="N11565" s="5"/>
    </row>
    <row r="11566">
      <c r="N11566" s="5"/>
    </row>
    <row r="11567">
      <c r="N11567" s="5"/>
    </row>
    <row r="11568">
      <c r="N11568" s="5"/>
    </row>
    <row r="11569">
      <c r="N11569" s="5"/>
    </row>
    <row r="11570">
      <c r="N11570" s="5"/>
    </row>
    <row r="11571">
      <c r="N11571" s="5"/>
    </row>
    <row r="11572">
      <c r="N11572" s="5"/>
    </row>
    <row r="11573">
      <c r="N11573" s="5"/>
    </row>
    <row r="11574">
      <c r="N11574" s="5"/>
    </row>
    <row r="11575">
      <c r="N11575" s="5"/>
    </row>
    <row r="11576">
      <c r="N11576" s="5"/>
    </row>
    <row r="11577">
      <c r="N11577" s="5"/>
    </row>
    <row r="11578">
      <c r="N11578" s="5"/>
    </row>
    <row r="11579">
      <c r="N11579" s="5"/>
    </row>
    <row r="11580">
      <c r="N11580" s="5"/>
    </row>
    <row r="11581">
      <c r="N11581" s="5"/>
    </row>
    <row r="11582">
      <c r="N11582" s="5"/>
    </row>
    <row r="11583">
      <c r="N11583" s="5"/>
    </row>
    <row r="11584">
      <c r="N11584" s="5"/>
    </row>
    <row r="11585">
      <c r="N11585" s="5"/>
    </row>
    <row r="11586">
      <c r="N11586" s="5"/>
    </row>
    <row r="11587">
      <c r="N11587" s="5"/>
    </row>
    <row r="11588">
      <c r="N11588" s="5"/>
    </row>
    <row r="11589">
      <c r="N11589" s="5"/>
    </row>
    <row r="11590">
      <c r="N11590" s="5"/>
    </row>
    <row r="11591">
      <c r="N11591" s="5"/>
    </row>
    <row r="11592">
      <c r="N11592" s="5"/>
    </row>
    <row r="11593">
      <c r="N11593" s="5"/>
    </row>
    <row r="11594">
      <c r="N11594" s="5"/>
    </row>
    <row r="11595">
      <c r="N11595" s="5"/>
    </row>
    <row r="11596">
      <c r="N11596" s="5"/>
    </row>
    <row r="11597">
      <c r="N11597" s="5"/>
    </row>
    <row r="11598">
      <c r="N11598" s="5"/>
    </row>
    <row r="11599">
      <c r="N11599" s="5"/>
    </row>
    <row r="11600">
      <c r="N11600" s="5"/>
    </row>
    <row r="11601">
      <c r="N11601" s="5"/>
    </row>
    <row r="11602">
      <c r="N11602" s="5"/>
    </row>
    <row r="11603">
      <c r="N11603" s="5"/>
    </row>
    <row r="11604">
      <c r="N11604" s="5"/>
    </row>
    <row r="11605">
      <c r="N11605" s="5"/>
    </row>
    <row r="11606">
      <c r="N11606" s="5"/>
    </row>
    <row r="11607">
      <c r="N11607" s="5"/>
    </row>
    <row r="11608">
      <c r="N11608" s="5"/>
    </row>
    <row r="11609">
      <c r="N11609" s="5"/>
    </row>
    <row r="11610">
      <c r="N11610" s="5"/>
    </row>
    <row r="11611">
      <c r="N11611" s="5"/>
    </row>
    <row r="11612">
      <c r="N11612" s="5"/>
    </row>
    <row r="11613">
      <c r="N11613" s="5"/>
    </row>
    <row r="11614">
      <c r="N11614" s="5"/>
    </row>
    <row r="11615">
      <c r="N11615" s="5"/>
    </row>
    <row r="11616">
      <c r="N11616" s="5"/>
    </row>
    <row r="11617">
      <c r="N11617" s="5"/>
    </row>
    <row r="11618">
      <c r="N11618" s="5"/>
    </row>
    <row r="11619">
      <c r="N11619" s="5"/>
    </row>
    <row r="11620">
      <c r="N11620" s="5"/>
    </row>
    <row r="11621">
      <c r="N11621" s="5"/>
    </row>
    <row r="11622">
      <c r="N11622" s="5"/>
    </row>
    <row r="11623">
      <c r="N11623" s="5"/>
    </row>
    <row r="11624">
      <c r="N11624" s="5"/>
    </row>
    <row r="11625">
      <c r="N11625" s="5"/>
    </row>
    <row r="11626">
      <c r="N11626" s="5"/>
    </row>
    <row r="11627">
      <c r="N11627" s="5"/>
    </row>
    <row r="11628">
      <c r="N11628" s="5"/>
    </row>
    <row r="11629">
      <c r="N11629" s="5"/>
    </row>
    <row r="11630">
      <c r="N11630" s="5"/>
    </row>
    <row r="11631">
      <c r="N11631" s="5"/>
    </row>
    <row r="11632">
      <c r="N11632" s="5"/>
    </row>
    <row r="11633">
      <c r="N11633" s="5"/>
    </row>
    <row r="11634">
      <c r="N11634" s="5"/>
    </row>
    <row r="11635">
      <c r="N11635" s="5"/>
    </row>
    <row r="11636">
      <c r="N11636" s="5"/>
    </row>
    <row r="11637">
      <c r="N11637" s="5"/>
    </row>
    <row r="11638">
      <c r="N11638" s="5"/>
    </row>
    <row r="11639">
      <c r="N11639" s="5"/>
    </row>
    <row r="11640">
      <c r="N11640" s="5"/>
    </row>
    <row r="11641">
      <c r="N11641" s="5"/>
    </row>
    <row r="11642">
      <c r="N11642" s="5"/>
    </row>
    <row r="11643">
      <c r="N11643" s="5"/>
    </row>
    <row r="11644">
      <c r="N11644" s="5"/>
    </row>
    <row r="11645">
      <c r="N11645" s="5"/>
    </row>
    <row r="11646">
      <c r="N11646" s="5"/>
    </row>
    <row r="11647">
      <c r="N11647" s="5"/>
    </row>
    <row r="11648">
      <c r="N11648" s="5"/>
    </row>
    <row r="11649">
      <c r="N11649" s="5"/>
    </row>
    <row r="11650">
      <c r="N11650" s="5"/>
    </row>
    <row r="11651">
      <c r="N11651" s="5"/>
    </row>
    <row r="11652">
      <c r="N11652" s="5"/>
    </row>
    <row r="11653">
      <c r="N11653" s="5"/>
    </row>
    <row r="11654">
      <c r="N11654" s="5"/>
    </row>
    <row r="11655">
      <c r="N11655" s="5"/>
    </row>
    <row r="11656">
      <c r="N11656" s="5"/>
    </row>
    <row r="11657">
      <c r="N11657" s="5"/>
    </row>
    <row r="11658">
      <c r="N11658" s="5"/>
    </row>
    <row r="11659">
      <c r="N11659" s="5"/>
    </row>
    <row r="11660">
      <c r="N11660" s="5"/>
    </row>
    <row r="11661">
      <c r="N11661" s="5"/>
    </row>
    <row r="11662">
      <c r="N11662" s="5"/>
    </row>
    <row r="11663">
      <c r="N11663" s="5"/>
    </row>
    <row r="11664">
      <c r="N11664" s="5"/>
    </row>
    <row r="11665">
      <c r="N11665" s="5"/>
    </row>
    <row r="11666">
      <c r="N11666" s="5"/>
    </row>
    <row r="11667">
      <c r="N11667" s="5"/>
    </row>
    <row r="11668">
      <c r="N11668" s="5"/>
    </row>
    <row r="11669">
      <c r="N11669" s="5"/>
    </row>
    <row r="11670">
      <c r="N11670" s="5"/>
    </row>
    <row r="11671">
      <c r="N11671" s="5"/>
    </row>
    <row r="11672">
      <c r="N11672" s="5"/>
    </row>
    <row r="11673">
      <c r="N11673" s="5"/>
    </row>
    <row r="11674">
      <c r="N11674" s="5"/>
    </row>
    <row r="11675">
      <c r="N11675" s="5"/>
    </row>
    <row r="11676">
      <c r="N11676" s="5"/>
    </row>
    <row r="11677">
      <c r="N11677" s="5"/>
    </row>
    <row r="11678">
      <c r="N11678" s="5"/>
    </row>
    <row r="11679">
      <c r="N11679" s="5"/>
    </row>
    <row r="11680">
      <c r="N11680" s="5"/>
    </row>
    <row r="11681">
      <c r="N11681" s="5"/>
    </row>
    <row r="11682">
      <c r="N11682" s="5"/>
    </row>
    <row r="11683">
      <c r="N11683" s="5"/>
    </row>
    <row r="11684">
      <c r="N11684" s="5"/>
    </row>
    <row r="11685">
      <c r="N11685" s="5"/>
    </row>
    <row r="11686">
      <c r="N11686" s="5"/>
    </row>
    <row r="11687">
      <c r="N11687" s="5"/>
    </row>
    <row r="11688">
      <c r="N11688" s="5"/>
    </row>
    <row r="11689">
      <c r="N11689" s="5"/>
    </row>
    <row r="11690">
      <c r="N11690" s="5"/>
    </row>
    <row r="11691">
      <c r="N11691" s="5"/>
    </row>
    <row r="11692">
      <c r="N11692" s="5"/>
    </row>
    <row r="11693">
      <c r="N11693" s="5"/>
    </row>
    <row r="11694">
      <c r="N11694" s="5"/>
    </row>
    <row r="11695">
      <c r="N11695" s="5"/>
    </row>
    <row r="11696">
      <c r="N11696" s="5"/>
    </row>
    <row r="11697">
      <c r="N11697" s="5"/>
    </row>
    <row r="11698">
      <c r="N11698" s="5"/>
    </row>
    <row r="11699">
      <c r="N11699" s="5"/>
    </row>
    <row r="11700">
      <c r="N11700" s="5"/>
    </row>
    <row r="11701">
      <c r="N11701" s="5"/>
    </row>
    <row r="11702">
      <c r="N11702" s="5"/>
    </row>
    <row r="11703">
      <c r="N11703" s="5"/>
    </row>
    <row r="11704">
      <c r="N11704" s="5"/>
    </row>
    <row r="11705">
      <c r="N11705" s="5"/>
    </row>
    <row r="11706">
      <c r="N11706" s="5"/>
    </row>
    <row r="11707">
      <c r="N11707" s="5"/>
    </row>
    <row r="11708">
      <c r="N11708" s="5"/>
    </row>
    <row r="11709">
      <c r="N11709" s="5"/>
    </row>
    <row r="11710">
      <c r="N11710" s="5"/>
    </row>
    <row r="11711">
      <c r="N11711" s="5"/>
    </row>
    <row r="11712">
      <c r="N11712" s="5"/>
    </row>
    <row r="11713">
      <c r="N11713" s="5"/>
    </row>
    <row r="11714">
      <c r="N11714" s="5"/>
    </row>
    <row r="11715">
      <c r="N11715" s="5"/>
    </row>
    <row r="11716">
      <c r="N11716" s="5"/>
    </row>
    <row r="11717">
      <c r="N11717" s="5"/>
    </row>
    <row r="11718">
      <c r="N11718" s="5"/>
    </row>
    <row r="11719">
      <c r="N11719" s="5"/>
    </row>
    <row r="11720">
      <c r="N11720" s="5"/>
    </row>
    <row r="11721">
      <c r="N11721" s="5"/>
    </row>
    <row r="11722">
      <c r="N11722" s="5"/>
    </row>
    <row r="11723">
      <c r="N11723" s="5"/>
    </row>
    <row r="11724">
      <c r="N11724" s="5"/>
    </row>
    <row r="11725">
      <c r="N11725" s="5"/>
    </row>
    <row r="11726">
      <c r="N11726" s="5"/>
    </row>
    <row r="11727">
      <c r="N11727" s="5"/>
    </row>
    <row r="11728">
      <c r="N11728" s="5"/>
    </row>
    <row r="11729">
      <c r="N11729" s="5"/>
    </row>
    <row r="11730">
      <c r="N11730" s="5"/>
    </row>
    <row r="11731">
      <c r="N11731" s="5"/>
    </row>
    <row r="11732">
      <c r="N11732" s="5"/>
    </row>
    <row r="11733">
      <c r="N11733" s="5"/>
    </row>
    <row r="11734">
      <c r="N11734" s="5"/>
    </row>
    <row r="11735">
      <c r="N11735" s="5"/>
    </row>
    <row r="11736">
      <c r="N11736" s="5"/>
    </row>
    <row r="11737">
      <c r="N11737" s="5"/>
    </row>
    <row r="11738">
      <c r="N11738" s="5"/>
    </row>
    <row r="11739">
      <c r="N11739" s="5"/>
    </row>
    <row r="11740">
      <c r="N11740" s="5"/>
    </row>
    <row r="11741">
      <c r="N11741" s="5"/>
    </row>
    <row r="11742">
      <c r="N11742" s="5"/>
    </row>
    <row r="11743">
      <c r="N11743" s="5"/>
    </row>
    <row r="11744">
      <c r="N11744" s="5"/>
    </row>
    <row r="11745">
      <c r="N11745" s="5"/>
    </row>
    <row r="11746">
      <c r="N11746" s="5"/>
    </row>
    <row r="11747">
      <c r="N11747" s="5"/>
    </row>
    <row r="11748">
      <c r="N11748" s="5"/>
    </row>
    <row r="11749">
      <c r="N11749" s="5"/>
    </row>
    <row r="11750">
      <c r="N11750" s="5"/>
    </row>
    <row r="11751">
      <c r="N11751" s="5"/>
    </row>
    <row r="11752">
      <c r="N11752" s="5"/>
    </row>
    <row r="11753">
      <c r="N11753" s="5"/>
    </row>
    <row r="11754">
      <c r="N11754" s="5"/>
    </row>
    <row r="11755">
      <c r="N11755" s="5"/>
    </row>
    <row r="11756">
      <c r="N11756" s="5"/>
    </row>
    <row r="11757">
      <c r="N11757" s="5"/>
    </row>
    <row r="11758">
      <c r="N11758" s="5"/>
    </row>
    <row r="11759">
      <c r="N11759" s="5"/>
    </row>
    <row r="11760">
      <c r="N11760" s="5"/>
    </row>
    <row r="11761">
      <c r="N11761" s="5"/>
    </row>
    <row r="11762">
      <c r="N11762" s="5"/>
    </row>
    <row r="11763">
      <c r="N11763" s="5"/>
    </row>
    <row r="11764">
      <c r="N11764" s="5"/>
    </row>
    <row r="11765">
      <c r="N11765" s="5"/>
    </row>
    <row r="11766">
      <c r="N11766" s="5"/>
    </row>
    <row r="11767">
      <c r="N11767" s="5"/>
    </row>
    <row r="11768">
      <c r="N11768" s="5"/>
    </row>
    <row r="11769">
      <c r="N11769" s="5"/>
    </row>
    <row r="11770">
      <c r="N11770" s="5"/>
    </row>
    <row r="11771">
      <c r="N11771" s="5"/>
    </row>
    <row r="11772">
      <c r="N11772" s="5"/>
    </row>
    <row r="11773">
      <c r="N11773" s="5"/>
    </row>
    <row r="11774">
      <c r="N11774" s="5"/>
    </row>
    <row r="11775">
      <c r="N11775" s="5"/>
    </row>
    <row r="11776">
      <c r="N11776" s="5"/>
    </row>
    <row r="11777">
      <c r="N11777" s="5"/>
    </row>
    <row r="11778">
      <c r="N11778" s="5"/>
    </row>
    <row r="11779">
      <c r="N11779" s="5"/>
    </row>
    <row r="11780">
      <c r="N11780" s="5"/>
    </row>
    <row r="11781">
      <c r="N11781" s="5"/>
    </row>
    <row r="11782">
      <c r="N11782" s="5"/>
    </row>
    <row r="11783">
      <c r="N11783" s="5"/>
    </row>
    <row r="11784">
      <c r="N11784" s="5"/>
    </row>
    <row r="11785">
      <c r="N11785" s="5"/>
    </row>
    <row r="11786">
      <c r="N11786" s="5"/>
    </row>
    <row r="11787">
      <c r="N11787" s="5"/>
    </row>
    <row r="11788">
      <c r="N11788" s="5"/>
    </row>
    <row r="11789">
      <c r="N11789" s="5"/>
    </row>
    <row r="11790">
      <c r="N11790" s="5"/>
    </row>
    <row r="11791">
      <c r="N11791" s="5"/>
    </row>
    <row r="11792">
      <c r="N11792" s="5"/>
    </row>
    <row r="11793">
      <c r="N11793" s="5"/>
    </row>
    <row r="11794">
      <c r="N11794" s="5"/>
    </row>
    <row r="11795">
      <c r="N11795" s="5"/>
    </row>
    <row r="11796">
      <c r="N11796" s="5"/>
    </row>
    <row r="11797">
      <c r="N11797" s="5"/>
    </row>
    <row r="11798">
      <c r="N11798" s="5"/>
    </row>
    <row r="11799">
      <c r="N11799" s="5"/>
    </row>
    <row r="11800">
      <c r="N11800" s="5"/>
    </row>
    <row r="11801">
      <c r="N11801" s="5"/>
    </row>
    <row r="11802">
      <c r="N11802" s="5"/>
    </row>
    <row r="11803">
      <c r="N11803" s="5"/>
    </row>
    <row r="11804">
      <c r="N11804" s="5"/>
    </row>
    <row r="11805">
      <c r="N11805" s="5"/>
    </row>
    <row r="11806">
      <c r="N11806" s="5"/>
    </row>
    <row r="11807">
      <c r="N11807" s="5"/>
    </row>
    <row r="11808">
      <c r="N11808" s="5"/>
    </row>
    <row r="11809">
      <c r="N11809" s="5"/>
    </row>
    <row r="11810">
      <c r="N11810" s="5"/>
    </row>
    <row r="11811">
      <c r="N11811" s="5"/>
    </row>
    <row r="11812">
      <c r="N11812" s="5"/>
    </row>
    <row r="11813">
      <c r="N11813" s="5"/>
    </row>
    <row r="11814">
      <c r="N11814" s="5"/>
    </row>
    <row r="11815">
      <c r="N11815" s="5"/>
    </row>
    <row r="11816">
      <c r="N11816" s="5"/>
    </row>
    <row r="11817">
      <c r="N11817" s="5"/>
    </row>
    <row r="11818">
      <c r="N11818" s="5"/>
    </row>
    <row r="11819">
      <c r="N11819" s="5"/>
    </row>
    <row r="11820">
      <c r="N11820" s="5"/>
    </row>
    <row r="11821">
      <c r="N11821" s="5"/>
    </row>
    <row r="11822">
      <c r="N11822" s="5"/>
    </row>
    <row r="11823">
      <c r="N11823" s="5"/>
    </row>
    <row r="11824">
      <c r="N11824" s="5"/>
    </row>
    <row r="11825">
      <c r="N11825" s="5"/>
    </row>
    <row r="11826">
      <c r="N11826" s="5"/>
    </row>
    <row r="11827">
      <c r="N11827" s="5"/>
    </row>
    <row r="11828">
      <c r="N11828" s="5"/>
    </row>
    <row r="11829">
      <c r="N11829" s="5"/>
    </row>
    <row r="11830">
      <c r="N11830" s="5"/>
    </row>
    <row r="11831">
      <c r="N11831" s="5"/>
    </row>
    <row r="11832">
      <c r="N11832" s="5"/>
    </row>
    <row r="11833">
      <c r="N11833" s="5"/>
    </row>
    <row r="11834">
      <c r="N11834" s="5"/>
    </row>
    <row r="11835">
      <c r="N11835" s="5"/>
    </row>
    <row r="11836">
      <c r="N11836" s="5"/>
    </row>
    <row r="11837">
      <c r="N11837" s="5"/>
    </row>
    <row r="11838">
      <c r="N11838" s="5"/>
    </row>
    <row r="11839">
      <c r="N11839" s="5"/>
    </row>
    <row r="11840">
      <c r="N11840" s="5"/>
    </row>
    <row r="11841">
      <c r="N11841" s="5"/>
    </row>
    <row r="11842">
      <c r="N11842" s="5"/>
    </row>
    <row r="11843">
      <c r="N11843" s="5"/>
    </row>
    <row r="11844">
      <c r="N11844" s="5"/>
    </row>
    <row r="11845">
      <c r="N11845" s="5"/>
    </row>
    <row r="11846">
      <c r="N11846" s="5"/>
    </row>
    <row r="11847">
      <c r="N11847" s="5"/>
    </row>
    <row r="11848">
      <c r="N11848" s="5"/>
    </row>
    <row r="11849">
      <c r="N11849" s="5"/>
    </row>
    <row r="11850">
      <c r="N11850" s="5"/>
    </row>
    <row r="11851">
      <c r="N11851" s="5"/>
    </row>
    <row r="11852">
      <c r="N11852" s="5"/>
    </row>
    <row r="11853">
      <c r="N11853" s="5"/>
    </row>
    <row r="11854">
      <c r="N11854" s="5"/>
    </row>
    <row r="11855">
      <c r="N11855" s="5"/>
    </row>
    <row r="11856">
      <c r="N11856" s="5"/>
    </row>
    <row r="11857">
      <c r="N11857" s="5"/>
    </row>
    <row r="11858">
      <c r="N11858" s="5"/>
    </row>
    <row r="11859">
      <c r="N11859" s="5"/>
    </row>
    <row r="11860">
      <c r="N11860" s="5"/>
    </row>
    <row r="11861">
      <c r="N11861" s="5"/>
    </row>
    <row r="11862">
      <c r="N11862" s="5"/>
    </row>
    <row r="11863">
      <c r="N11863" s="5"/>
    </row>
    <row r="11864">
      <c r="N11864" s="5"/>
    </row>
    <row r="11865">
      <c r="N11865" s="5"/>
    </row>
    <row r="11866">
      <c r="N11866" s="5"/>
    </row>
    <row r="11867">
      <c r="N11867" s="5"/>
    </row>
    <row r="11868">
      <c r="N11868" s="5"/>
    </row>
    <row r="11869">
      <c r="N11869" s="5"/>
    </row>
    <row r="11870">
      <c r="N11870" s="5"/>
    </row>
    <row r="11871">
      <c r="N11871" s="5"/>
    </row>
    <row r="11872">
      <c r="N11872" s="5"/>
    </row>
    <row r="11873">
      <c r="N11873" s="5"/>
    </row>
    <row r="11874">
      <c r="N11874" s="5"/>
    </row>
    <row r="11875">
      <c r="N11875" s="5"/>
    </row>
    <row r="11876">
      <c r="N11876" s="5"/>
    </row>
    <row r="11877">
      <c r="N11877" s="5"/>
    </row>
    <row r="11878">
      <c r="N11878" s="5"/>
    </row>
    <row r="11879">
      <c r="N11879" s="5"/>
    </row>
    <row r="11880">
      <c r="N11880" s="5"/>
    </row>
    <row r="11881">
      <c r="N11881" s="5"/>
    </row>
    <row r="11882">
      <c r="N11882" s="5"/>
    </row>
    <row r="11883">
      <c r="N11883" s="5"/>
    </row>
    <row r="11884">
      <c r="N11884" s="5"/>
    </row>
    <row r="11885">
      <c r="N11885" s="5"/>
    </row>
    <row r="11886">
      <c r="N11886" s="5"/>
    </row>
    <row r="11887">
      <c r="N11887" s="5"/>
    </row>
    <row r="11888">
      <c r="N11888" s="5"/>
    </row>
    <row r="11889">
      <c r="N11889" s="5"/>
    </row>
    <row r="11890">
      <c r="N11890" s="5"/>
    </row>
    <row r="11891">
      <c r="N11891" s="5"/>
    </row>
    <row r="11892">
      <c r="N11892" s="5"/>
    </row>
    <row r="11893">
      <c r="N11893" s="5"/>
    </row>
    <row r="11894">
      <c r="N11894" s="5"/>
    </row>
    <row r="11895">
      <c r="N11895" s="5"/>
    </row>
    <row r="11896">
      <c r="N11896" s="5"/>
    </row>
    <row r="11897">
      <c r="N11897" s="5"/>
    </row>
    <row r="11898">
      <c r="N11898" s="5"/>
    </row>
    <row r="11899">
      <c r="N11899" s="5"/>
    </row>
    <row r="11900">
      <c r="N11900" s="5"/>
    </row>
    <row r="11901">
      <c r="N11901" s="5"/>
    </row>
    <row r="11902">
      <c r="N11902" s="5"/>
    </row>
    <row r="11903">
      <c r="N11903" s="5"/>
    </row>
    <row r="11904">
      <c r="N11904" s="5"/>
    </row>
    <row r="11905">
      <c r="N11905" s="5"/>
    </row>
    <row r="11906">
      <c r="N11906" s="5"/>
    </row>
    <row r="11907">
      <c r="N11907" s="5"/>
    </row>
    <row r="11908">
      <c r="N11908" s="5"/>
    </row>
    <row r="11909">
      <c r="N11909" s="5"/>
    </row>
    <row r="11910">
      <c r="N11910" s="5"/>
    </row>
    <row r="11911">
      <c r="N11911" s="5"/>
    </row>
    <row r="11912">
      <c r="N11912" s="5"/>
    </row>
    <row r="11913">
      <c r="N11913" s="5"/>
    </row>
    <row r="11914">
      <c r="N11914" s="5"/>
    </row>
    <row r="11915">
      <c r="N11915" s="5"/>
    </row>
    <row r="11916">
      <c r="N11916" s="5"/>
    </row>
    <row r="11917">
      <c r="N11917" s="5"/>
    </row>
    <row r="11918">
      <c r="N11918" s="5"/>
    </row>
    <row r="11919">
      <c r="N11919" s="5"/>
    </row>
    <row r="11920">
      <c r="N11920" s="5"/>
    </row>
    <row r="11921">
      <c r="N11921" s="5"/>
    </row>
    <row r="11922">
      <c r="N11922" s="5"/>
    </row>
    <row r="11923">
      <c r="N11923" s="5"/>
    </row>
    <row r="11924">
      <c r="N11924" s="5"/>
    </row>
    <row r="11925">
      <c r="N11925" s="5"/>
    </row>
    <row r="11926">
      <c r="N11926" s="5"/>
    </row>
    <row r="11927">
      <c r="N11927" s="5"/>
    </row>
    <row r="11928">
      <c r="N11928" s="5"/>
    </row>
    <row r="11929">
      <c r="N11929" s="5"/>
    </row>
    <row r="11930">
      <c r="N11930" s="5"/>
    </row>
    <row r="11931">
      <c r="N11931" s="5"/>
    </row>
    <row r="11932">
      <c r="N11932" s="5"/>
    </row>
    <row r="11933">
      <c r="N11933" s="5"/>
    </row>
    <row r="11934">
      <c r="N11934" s="5"/>
    </row>
    <row r="11935">
      <c r="N11935" s="5"/>
    </row>
    <row r="11936">
      <c r="N11936" s="5"/>
    </row>
    <row r="11937">
      <c r="N11937" s="5"/>
    </row>
    <row r="11938">
      <c r="N11938" s="5"/>
    </row>
    <row r="11939">
      <c r="N11939" s="5"/>
    </row>
    <row r="11940">
      <c r="N11940" s="5"/>
    </row>
    <row r="11941">
      <c r="N11941" s="5"/>
    </row>
    <row r="11942">
      <c r="N11942" s="5"/>
    </row>
    <row r="11943">
      <c r="N11943" s="5"/>
    </row>
    <row r="11944">
      <c r="N11944" s="5"/>
    </row>
    <row r="11945">
      <c r="N11945" s="5"/>
    </row>
    <row r="11946">
      <c r="N11946" s="5"/>
    </row>
    <row r="11947">
      <c r="N11947" s="5"/>
    </row>
    <row r="11948">
      <c r="N11948" s="5"/>
    </row>
    <row r="11949">
      <c r="N11949" s="5"/>
    </row>
    <row r="11950">
      <c r="N11950" s="5"/>
    </row>
    <row r="11951">
      <c r="N11951" s="5"/>
    </row>
    <row r="11952">
      <c r="N11952" s="5"/>
    </row>
    <row r="11953">
      <c r="N11953" s="5"/>
    </row>
    <row r="11954">
      <c r="N11954" s="5"/>
    </row>
    <row r="11955">
      <c r="N11955" s="5"/>
    </row>
    <row r="11956">
      <c r="N11956" s="5"/>
    </row>
    <row r="11957">
      <c r="N11957" s="5"/>
    </row>
    <row r="11958">
      <c r="N11958" s="5"/>
    </row>
    <row r="11959">
      <c r="N11959" s="5"/>
    </row>
    <row r="11960">
      <c r="N11960" s="5"/>
    </row>
    <row r="11961">
      <c r="N11961" s="5"/>
    </row>
    <row r="11962">
      <c r="N11962" s="5"/>
    </row>
    <row r="11963">
      <c r="N11963" s="5"/>
    </row>
    <row r="11964">
      <c r="N11964" s="5"/>
    </row>
    <row r="11965">
      <c r="N11965" s="5"/>
    </row>
    <row r="11966">
      <c r="N11966" s="5"/>
    </row>
    <row r="11967">
      <c r="N11967" s="5"/>
    </row>
    <row r="11968">
      <c r="N11968" s="5"/>
    </row>
    <row r="11969">
      <c r="N11969" s="5"/>
    </row>
    <row r="11970">
      <c r="N11970" s="5"/>
    </row>
    <row r="11971">
      <c r="N11971" s="5"/>
    </row>
    <row r="11972">
      <c r="N11972" s="5"/>
    </row>
    <row r="11973">
      <c r="N11973" s="5"/>
    </row>
    <row r="11974">
      <c r="N11974" s="5"/>
    </row>
    <row r="11975">
      <c r="N11975" s="5"/>
    </row>
    <row r="11976">
      <c r="N11976" s="5"/>
    </row>
    <row r="11977">
      <c r="N11977" s="5"/>
    </row>
    <row r="11978">
      <c r="N11978" s="5"/>
    </row>
    <row r="11979">
      <c r="N11979" s="5"/>
    </row>
    <row r="11980">
      <c r="N11980" s="5"/>
    </row>
    <row r="11981">
      <c r="N11981" s="5"/>
    </row>
    <row r="11982">
      <c r="N11982" s="5"/>
    </row>
    <row r="11983">
      <c r="N11983" s="5"/>
    </row>
    <row r="11984">
      <c r="N11984" s="5"/>
    </row>
    <row r="11985">
      <c r="N11985" s="5"/>
    </row>
    <row r="11986">
      <c r="N11986" s="5"/>
    </row>
    <row r="11987">
      <c r="N11987" s="5"/>
    </row>
    <row r="11988">
      <c r="N11988" s="5"/>
    </row>
    <row r="11989">
      <c r="N11989" s="5"/>
    </row>
    <row r="11990">
      <c r="N11990" s="5"/>
    </row>
    <row r="11991">
      <c r="N11991" s="5"/>
    </row>
    <row r="11992">
      <c r="N11992" s="5"/>
    </row>
    <row r="11993">
      <c r="N11993" s="5"/>
    </row>
    <row r="11994">
      <c r="N11994" s="5"/>
    </row>
    <row r="11995">
      <c r="N11995" s="5"/>
    </row>
    <row r="11996">
      <c r="N11996" s="5"/>
    </row>
    <row r="11997">
      <c r="N11997" s="5"/>
    </row>
    <row r="11998">
      <c r="N11998" s="5"/>
    </row>
    <row r="11999">
      <c r="N11999" s="5"/>
    </row>
    <row r="12000">
      <c r="N12000" s="5"/>
    </row>
    <row r="12001">
      <c r="N12001" s="5"/>
    </row>
    <row r="12002">
      <c r="N12002" s="5"/>
    </row>
    <row r="12003">
      <c r="N12003" s="5"/>
    </row>
    <row r="12004">
      <c r="N12004" s="5"/>
    </row>
    <row r="12005">
      <c r="N12005" s="5"/>
    </row>
    <row r="12006">
      <c r="N12006" s="5"/>
    </row>
    <row r="12007">
      <c r="N12007" s="5"/>
    </row>
    <row r="12008">
      <c r="N12008" s="5"/>
    </row>
    <row r="12009">
      <c r="N12009" s="5"/>
    </row>
    <row r="12010">
      <c r="N12010" s="5"/>
    </row>
    <row r="12011">
      <c r="N12011" s="5"/>
    </row>
    <row r="12012">
      <c r="N12012" s="5"/>
    </row>
    <row r="12013">
      <c r="N12013" s="5"/>
    </row>
    <row r="12014">
      <c r="N12014" s="5"/>
    </row>
    <row r="12015">
      <c r="N12015" s="5"/>
    </row>
    <row r="12016">
      <c r="N12016" s="5"/>
    </row>
    <row r="12017">
      <c r="N12017" s="5"/>
    </row>
    <row r="12018">
      <c r="N12018" s="5"/>
    </row>
    <row r="12019">
      <c r="N12019" s="5"/>
    </row>
    <row r="12020">
      <c r="N12020" s="5"/>
    </row>
    <row r="12021">
      <c r="N12021" s="5"/>
    </row>
    <row r="12022">
      <c r="N12022" s="5"/>
    </row>
    <row r="12023">
      <c r="N12023" s="5"/>
    </row>
    <row r="12024">
      <c r="N12024" s="5"/>
    </row>
    <row r="12025">
      <c r="N12025" s="5"/>
    </row>
    <row r="12026">
      <c r="N12026" s="5"/>
    </row>
    <row r="12027">
      <c r="N12027" s="5"/>
    </row>
    <row r="12028">
      <c r="N12028" s="5"/>
    </row>
    <row r="12029">
      <c r="N12029" s="5"/>
    </row>
    <row r="12030">
      <c r="N12030" s="5"/>
    </row>
    <row r="12031">
      <c r="N12031" s="5"/>
    </row>
    <row r="12032">
      <c r="N12032" s="5"/>
    </row>
    <row r="12033">
      <c r="N12033" s="5"/>
    </row>
    <row r="12034">
      <c r="N12034" s="5"/>
    </row>
    <row r="12035">
      <c r="N12035" s="5"/>
    </row>
    <row r="12036">
      <c r="N12036" s="5"/>
    </row>
    <row r="12037">
      <c r="N12037" s="5"/>
    </row>
    <row r="12038">
      <c r="N12038" s="5"/>
    </row>
    <row r="12039">
      <c r="N12039" s="5"/>
    </row>
    <row r="12040">
      <c r="N12040" s="5"/>
    </row>
    <row r="12041">
      <c r="N12041" s="5"/>
    </row>
    <row r="12042">
      <c r="N12042" s="5"/>
    </row>
    <row r="12043">
      <c r="N12043" s="5"/>
    </row>
    <row r="12044">
      <c r="N12044" s="5"/>
    </row>
    <row r="12045">
      <c r="N12045" s="5"/>
    </row>
    <row r="12046">
      <c r="N12046" s="5"/>
    </row>
    <row r="12047">
      <c r="N12047" s="5"/>
    </row>
    <row r="12048">
      <c r="N12048" s="5"/>
    </row>
    <row r="12049">
      <c r="N12049" s="5"/>
    </row>
    <row r="12050">
      <c r="N12050" s="5"/>
    </row>
    <row r="12051">
      <c r="N12051" s="5"/>
    </row>
    <row r="12052">
      <c r="N12052" s="5"/>
    </row>
    <row r="12053">
      <c r="N12053" s="5"/>
    </row>
    <row r="12054">
      <c r="N12054" s="5"/>
    </row>
    <row r="12055">
      <c r="N12055" s="5"/>
    </row>
    <row r="12056">
      <c r="N12056" s="5"/>
    </row>
    <row r="12057">
      <c r="N12057" s="5"/>
    </row>
    <row r="12058">
      <c r="N12058" s="5"/>
    </row>
    <row r="12059">
      <c r="N12059" s="5"/>
    </row>
    <row r="12060">
      <c r="N12060" s="5"/>
    </row>
    <row r="12061">
      <c r="N12061" s="5"/>
    </row>
    <row r="12062">
      <c r="N12062" s="5"/>
    </row>
    <row r="12063">
      <c r="N12063" s="5"/>
    </row>
    <row r="12064">
      <c r="N12064" s="5"/>
    </row>
    <row r="12065">
      <c r="N12065" s="5"/>
    </row>
    <row r="12066">
      <c r="N12066" s="5"/>
    </row>
    <row r="12067">
      <c r="N12067" s="5"/>
    </row>
    <row r="12068">
      <c r="N12068" s="5"/>
    </row>
    <row r="12069">
      <c r="N12069" s="5"/>
    </row>
    <row r="12070">
      <c r="N12070" s="5"/>
    </row>
    <row r="12071">
      <c r="N12071" s="5"/>
    </row>
    <row r="12072">
      <c r="N12072" s="5"/>
    </row>
    <row r="12073">
      <c r="N12073" s="5"/>
    </row>
    <row r="12074">
      <c r="N12074" s="5"/>
    </row>
    <row r="12075">
      <c r="N12075" s="5"/>
    </row>
    <row r="12076">
      <c r="N12076" s="5"/>
    </row>
    <row r="12077">
      <c r="N12077" s="5"/>
    </row>
    <row r="12078">
      <c r="N12078" s="5"/>
    </row>
    <row r="12079">
      <c r="N12079" s="5"/>
    </row>
    <row r="12080">
      <c r="N12080" s="5"/>
    </row>
    <row r="12081">
      <c r="N12081" s="5"/>
    </row>
    <row r="12082">
      <c r="N12082" s="5"/>
    </row>
    <row r="12083">
      <c r="N12083" s="5"/>
    </row>
    <row r="12084">
      <c r="N12084" s="5"/>
    </row>
    <row r="12085">
      <c r="N12085" s="5"/>
    </row>
    <row r="12086">
      <c r="N12086" s="5"/>
    </row>
    <row r="12087">
      <c r="N12087" s="5"/>
    </row>
    <row r="12088">
      <c r="N12088" s="5"/>
    </row>
    <row r="12089">
      <c r="N12089" s="5"/>
    </row>
    <row r="12090">
      <c r="N12090" s="5"/>
    </row>
    <row r="12091">
      <c r="N12091" s="5"/>
    </row>
    <row r="12092">
      <c r="N12092" s="5"/>
    </row>
    <row r="12093">
      <c r="N12093" s="5"/>
    </row>
    <row r="12094">
      <c r="N12094" s="5"/>
    </row>
    <row r="12095">
      <c r="N12095" s="5"/>
    </row>
    <row r="12096">
      <c r="N12096" s="5"/>
    </row>
    <row r="12097">
      <c r="N12097" s="5"/>
    </row>
    <row r="12098">
      <c r="N12098" s="5"/>
    </row>
    <row r="12099">
      <c r="N12099" s="5"/>
    </row>
    <row r="12100">
      <c r="N12100" s="5"/>
    </row>
    <row r="12101">
      <c r="N12101" s="5"/>
    </row>
    <row r="12102">
      <c r="N12102" s="5"/>
    </row>
    <row r="12103">
      <c r="N12103" s="5"/>
    </row>
    <row r="12104">
      <c r="N12104" s="5"/>
    </row>
    <row r="12105">
      <c r="N12105" s="5"/>
    </row>
    <row r="12106">
      <c r="N12106" s="5"/>
    </row>
    <row r="12107">
      <c r="N12107" s="5"/>
    </row>
    <row r="12108">
      <c r="N12108" s="5"/>
    </row>
    <row r="12109">
      <c r="N12109" s="5"/>
    </row>
    <row r="12110">
      <c r="N12110" s="5"/>
    </row>
    <row r="12111">
      <c r="N12111" s="5"/>
    </row>
    <row r="12112">
      <c r="N12112" s="5"/>
    </row>
    <row r="12113">
      <c r="N12113" s="5"/>
    </row>
    <row r="12114">
      <c r="N12114" s="5"/>
    </row>
    <row r="12115">
      <c r="N12115" s="5"/>
    </row>
    <row r="12116">
      <c r="N12116" s="5"/>
    </row>
    <row r="12117">
      <c r="N12117" s="5"/>
    </row>
    <row r="12118">
      <c r="N12118" s="5"/>
    </row>
    <row r="12119">
      <c r="N12119" s="5"/>
    </row>
    <row r="12120">
      <c r="N12120" s="5"/>
    </row>
    <row r="12121">
      <c r="N12121" s="5"/>
    </row>
    <row r="12122">
      <c r="N12122" s="5"/>
    </row>
    <row r="12123">
      <c r="N12123" s="5"/>
    </row>
    <row r="12124">
      <c r="N12124" s="5"/>
    </row>
    <row r="12125">
      <c r="N12125" s="5"/>
    </row>
    <row r="12126">
      <c r="N12126" s="5"/>
    </row>
    <row r="12127">
      <c r="N12127" s="5"/>
    </row>
    <row r="12128">
      <c r="N12128" s="5"/>
    </row>
    <row r="12129">
      <c r="N12129" s="5"/>
    </row>
    <row r="12130">
      <c r="N12130" s="5"/>
    </row>
    <row r="12131">
      <c r="N12131" s="5"/>
    </row>
    <row r="12132">
      <c r="N12132" s="5"/>
    </row>
    <row r="12133">
      <c r="N12133" s="5"/>
    </row>
    <row r="12134">
      <c r="N12134" s="5"/>
    </row>
    <row r="12135">
      <c r="N12135" s="5"/>
    </row>
    <row r="12136">
      <c r="N12136" s="5"/>
    </row>
    <row r="12137">
      <c r="N12137" s="5"/>
    </row>
    <row r="12138">
      <c r="N12138" s="5"/>
    </row>
    <row r="12139">
      <c r="N12139" s="5"/>
    </row>
    <row r="12140">
      <c r="N12140" s="5"/>
    </row>
    <row r="12141">
      <c r="N12141" s="5"/>
    </row>
    <row r="12142">
      <c r="N12142" s="5"/>
    </row>
    <row r="12143">
      <c r="N12143" s="5"/>
    </row>
    <row r="12144">
      <c r="N12144" s="5"/>
    </row>
    <row r="12145">
      <c r="N12145" s="5"/>
    </row>
    <row r="12146">
      <c r="N12146" s="5"/>
    </row>
    <row r="12147">
      <c r="N12147" s="5"/>
    </row>
    <row r="12148">
      <c r="N12148" s="5"/>
    </row>
    <row r="12149">
      <c r="N12149" s="5"/>
    </row>
    <row r="12150">
      <c r="N12150" s="5"/>
    </row>
    <row r="12151">
      <c r="N12151" s="5"/>
    </row>
    <row r="12152">
      <c r="N12152" s="5"/>
    </row>
    <row r="12153">
      <c r="N12153" s="5"/>
    </row>
    <row r="12154">
      <c r="N12154" s="5"/>
    </row>
    <row r="12155">
      <c r="N12155" s="5"/>
    </row>
    <row r="12156">
      <c r="N12156" s="5"/>
    </row>
    <row r="12157">
      <c r="N12157" s="5"/>
    </row>
    <row r="12158">
      <c r="N12158" s="5"/>
    </row>
    <row r="12159">
      <c r="N12159" s="5"/>
    </row>
    <row r="12160">
      <c r="N12160" s="5"/>
    </row>
    <row r="12161">
      <c r="N12161" s="5"/>
    </row>
    <row r="12162">
      <c r="N12162" s="5"/>
    </row>
    <row r="12163">
      <c r="N12163" s="5"/>
    </row>
    <row r="12164">
      <c r="N12164" s="5"/>
    </row>
    <row r="12165">
      <c r="N12165" s="5"/>
    </row>
    <row r="12166">
      <c r="N12166" s="5"/>
    </row>
    <row r="12167">
      <c r="N12167" s="5"/>
    </row>
    <row r="12168">
      <c r="N12168" s="5"/>
    </row>
    <row r="12169">
      <c r="N12169" s="5"/>
    </row>
    <row r="12170">
      <c r="N12170" s="5"/>
    </row>
    <row r="12171">
      <c r="N12171" s="5"/>
    </row>
    <row r="12172">
      <c r="N12172" s="5"/>
    </row>
    <row r="12173">
      <c r="N12173" s="5"/>
    </row>
    <row r="12174">
      <c r="N12174" s="5"/>
    </row>
    <row r="12175">
      <c r="N12175" s="5"/>
    </row>
    <row r="12176">
      <c r="N12176" s="5"/>
    </row>
    <row r="12177">
      <c r="N12177" s="5"/>
    </row>
    <row r="12178">
      <c r="N12178" s="5"/>
    </row>
    <row r="12179">
      <c r="N12179" s="5"/>
    </row>
    <row r="12180">
      <c r="N12180" s="5"/>
    </row>
    <row r="12181">
      <c r="N12181" s="5"/>
    </row>
    <row r="12182">
      <c r="N12182" s="5"/>
    </row>
    <row r="12183">
      <c r="N12183" s="5"/>
    </row>
    <row r="12184">
      <c r="N12184" s="5"/>
    </row>
    <row r="12185">
      <c r="N12185" s="5"/>
    </row>
    <row r="12186">
      <c r="N12186" s="5"/>
    </row>
    <row r="12187">
      <c r="N12187" s="5"/>
    </row>
    <row r="12188">
      <c r="N12188" s="5"/>
    </row>
    <row r="12189">
      <c r="N12189" s="5"/>
    </row>
    <row r="12190">
      <c r="N12190" s="5"/>
    </row>
    <row r="12191">
      <c r="N12191" s="5"/>
    </row>
    <row r="12192">
      <c r="N12192" s="5"/>
    </row>
    <row r="12193">
      <c r="N12193" s="5"/>
    </row>
    <row r="12194">
      <c r="N12194" s="5"/>
    </row>
    <row r="12195">
      <c r="N12195" s="5"/>
    </row>
    <row r="12196">
      <c r="N12196" s="5"/>
    </row>
    <row r="12197">
      <c r="N12197" s="5"/>
    </row>
    <row r="12198">
      <c r="N12198" s="5"/>
    </row>
    <row r="12199">
      <c r="N12199" s="5"/>
    </row>
    <row r="12200">
      <c r="N12200" s="5"/>
    </row>
    <row r="12201">
      <c r="N12201" s="5"/>
    </row>
    <row r="12202">
      <c r="N12202" s="5"/>
    </row>
    <row r="12203">
      <c r="N12203" s="5"/>
    </row>
    <row r="12204">
      <c r="N12204" s="5"/>
    </row>
    <row r="12205">
      <c r="N12205" s="5"/>
    </row>
    <row r="12206">
      <c r="N12206" s="5"/>
    </row>
    <row r="12207">
      <c r="N12207" s="5"/>
    </row>
    <row r="12208">
      <c r="N12208" s="5"/>
    </row>
    <row r="12209">
      <c r="N12209" s="5"/>
    </row>
    <row r="12210">
      <c r="N12210" s="5"/>
    </row>
    <row r="12211">
      <c r="N12211" s="5"/>
    </row>
    <row r="12212">
      <c r="N12212" s="5"/>
    </row>
    <row r="12213">
      <c r="N12213" s="5"/>
    </row>
    <row r="12214">
      <c r="N12214" s="5"/>
    </row>
    <row r="12215">
      <c r="N12215" s="5"/>
    </row>
    <row r="12216">
      <c r="N12216" s="5"/>
    </row>
    <row r="12217">
      <c r="N12217" s="5"/>
    </row>
    <row r="12218">
      <c r="N12218" s="5"/>
    </row>
    <row r="12219">
      <c r="N12219" s="5"/>
    </row>
    <row r="12220">
      <c r="N12220" s="5"/>
    </row>
    <row r="12221">
      <c r="N12221" s="5"/>
    </row>
    <row r="12222">
      <c r="N12222" s="5"/>
    </row>
    <row r="12223">
      <c r="N12223" s="5"/>
    </row>
    <row r="12224">
      <c r="N12224" s="5"/>
    </row>
    <row r="12225">
      <c r="N12225" s="5"/>
    </row>
    <row r="12226">
      <c r="N12226" s="5"/>
    </row>
    <row r="12227">
      <c r="N12227" s="5"/>
    </row>
    <row r="12228">
      <c r="N12228" s="5"/>
    </row>
    <row r="12229">
      <c r="N12229" s="5"/>
    </row>
    <row r="12230">
      <c r="N12230" s="5"/>
    </row>
    <row r="12231">
      <c r="N12231" s="5"/>
    </row>
    <row r="12232">
      <c r="N12232" s="5"/>
    </row>
    <row r="12233">
      <c r="N12233" s="5"/>
    </row>
    <row r="12234">
      <c r="N12234" s="5"/>
    </row>
    <row r="12235">
      <c r="N12235" s="5"/>
    </row>
    <row r="12236">
      <c r="N12236" s="5"/>
    </row>
    <row r="12237">
      <c r="N12237" s="5"/>
    </row>
    <row r="12238">
      <c r="N12238" s="5"/>
    </row>
    <row r="12239">
      <c r="N12239" s="5"/>
    </row>
    <row r="12240">
      <c r="N12240" s="5"/>
    </row>
    <row r="12241">
      <c r="N12241" s="5"/>
    </row>
    <row r="12242">
      <c r="N12242" s="5"/>
    </row>
    <row r="12243">
      <c r="N12243" s="5"/>
    </row>
    <row r="12244">
      <c r="N12244" s="5"/>
    </row>
    <row r="12245">
      <c r="N12245" s="5"/>
    </row>
    <row r="12246">
      <c r="N12246" s="5"/>
    </row>
    <row r="12247">
      <c r="N12247" s="5"/>
    </row>
    <row r="12248">
      <c r="N12248" s="5"/>
    </row>
    <row r="12249">
      <c r="N12249" s="5"/>
    </row>
    <row r="12250">
      <c r="N12250" s="5"/>
    </row>
    <row r="12251">
      <c r="N12251" s="5"/>
    </row>
    <row r="12252">
      <c r="N12252" s="5"/>
    </row>
    <row r="12253">
      <c r="N12253" s="5"/>
    </row>
    <row r="12254">
      <c r="N12254" s="5"/>
    </row>
    <row r="12255">
      <c r="N12255" s="5"/>
    </row>
    <row r="12256">
      <c r="N12256" s="5"/>
    </row>
    <row r="12257">
      <c r="N12257" s="5"/>
    </row>
    <row r="12258">
      <c r="N12258" s="5"/>
    </row>
    <row r="12259">
      <c r="N12259" s="5"/>
    </row>
    <row r="12260">
      <c r="N12260" s="5"/>
    </row>
    <row r="12261">
      <c r="N12261" s="5"/>
    </row>
    <row r="12262">
      <c r="N12262" s="5"/>
    </row>
    <row r="12263">
      <c r="N12263" s="5"/>
    </row>
    <row r="12264">
      <c r="N12264" s="5"/>
    </row>
    <row r="12265">
      <c r="N12265" s="5"/>
    </row>
    <row r="12266">
      <c r="N12266" s="5"/>
    </row>
    <row r="12267">
      <c r="N12267" s="5"/>
    </row>
    <row r="12268">
      <c r="N12268" s="5"/>
    </row>
    <row r="12269">
      <c r="N12269" s="5"/>
    </row>
    <row r="12270">
      <c r="N12270" s="5"/>
    </row>
    <row r="12271">
      <c r="N12271" s="5"/>
    </row>
    <row r="12272">
      <c r="N12272" s="5"/>
    </row>
    <row r="12273">
      <c r="N12273" s="5"/>
    </row>
    <row r="12274">
      <c r="N12274" s="5"/>
    </row>
    <row r="12275">
      <c r="N12275" s="5"/>
    </row>
    <row r="12276">
      <c r="N12276" s="5"/>
    </row>
    <row r="12277">
      <c r="N12277" s="5"/>
    </row>
    <row r="12278">
      <c r="N12278" s="5"/>
    </row>
    <row r="12279">
      <c r="N12279" s="5"/>
    </row>
    <row r="12280">
      <c r="N12280" s="5"/>
    </row>
    <row r="12281">
      <c r="N12281" s="5"/>
    </row>
    <row r="12282">
      <c r="N12282" s="5"/>
    </row>
    <row r="12283">
      <c r="N12283" s="5"/>
    </row>
    <row r="12284">
      <c r="N12284" s="5"/>
    </row>
    <row r="12285">
      <c r="N12285" s="5"/>
    </row>
    <row r="12286">
      <c r="N12286" s="5"/>
    </row>
    <row r="12287">
      <c r="N12287" s="5"/>
    </row>
    <row r="12288">
      <c r="N12288" s="5"/>
    </row>
    <row r="12289">
      <c r="N12289" s="5"/>
    </row>
    <row r="12290">
      <c r="N12290" s="5"/>
    </row>
    <row r="12291">
      <c r="N12291" s="5"/>
    </row>
    <row r="12292">
      <c r="N12292" s="5"/>
    </row>
    <row r="12293">
      <c r="N12293" s="5"/>
    </row>
    <row r="12294">
      <c r="N12294" s="5"/>
    </row>
    <row r="12295">
      <c r="N12295" s="5"/>
    </row>
    <row r="12296">
      <c r="N12296" s="5"/>
    </row>
    <row r="12297">
      <c r="N12297" s="5"/>
    </row>
    <row r="12298">
      <c r="N12298" s="5"/>
    </row>
    <row r="12299">
      <c r="N12299" s="5"/>
    </row>
    <row r="12300">
      <c r="N12300" s="5"/>
    </row>
    <row r="12301">
      <c r="N12301" s="5"/>
    </row>
    <row r="12302">
      <c r="N12302" s="5"/>
    </row>
    <row r="12303">
      <c r="N12303" s="5"/>
    </row>
    <row r="12304">
      <c r="N12304" s="5"/>
    </row>
    <row r="12305">
      <c r="N12305" s="5"/>
    </row>
    <row r="12306">
      <c r="N12306" s="5"/>
    </row>
    <row r="12307">
      <c r="N12307" s="5"/>
    </row>
    <row r="12308">
      <c r="N12308" s="5"/>
    </row>
    <row r="12309">
      <c r="N12309" s="5"/>
    </row>
    <row r="12310">
      <c r="N12310" s="5"/>
    </row>
    <row r="12311">
      <c r="N12311" s="5"/>
    </row>
    <row r="12312">
      <c r="N12312" s="5"/>
    </row>
    <row r="12313">
      <c r="N12313" s="5"/>
    </row>
    <row r="12314">
      <c r="N12314" s="5"/>
    </row>
    <row r="12315">
      <c r="N12315" s="5"/>
    </row>
    <row r="12316">
      <c r="N12316" s="5"/>
    </row>
    <row r="12317">
      <c r="N12317" s="5"/>
    </row>
    <row r="12318">
      <c r="N12318" s="5"/>
    </row>
    <row r="12319">
      <c r="N12319" s="5"/>
    </row>
    <row r="12320">
      <c r="N12320" s="5"/>
    </row>
    <row r="12321">
      <c r="N12321" s="5"/>
    </row>
    <row r="12322">
      <c r="N12322" s="5"/>
    </row>
    <row r="12323">
      <c r="N12323" s="5"/>
    </row>
    <row r="12324">
      <c r="N12324" s="5"/>
    </row>
    <row r="12325">
      <c r="N12325" s="5"/>
    </row>
    <row r="12326">
      <c r="N12326" s="5"/>
    </row>
    <row r="12327">
      <c r="N12327" s="5"/>
    </row>
    <row r="12328">
      <c r="N12328" s="5"/>
    </row>
    <row r="12329">
      <c r="N12329" s="5"/>
    </row>
    <row r="12330">
      <c r="N12330" s="5"/>
    </row>
    <row r="12331">
      <c r="N12331" s="5"/>
    </row>
    <row r="12332">
      <c r="N12332" s="5"/>
    </row>
    <row r="12333">
      <c r="N12333" s="5"/>
    </row>
    <row r="12334">
      <c r="N12334" s="5"/>
    </row>
    <row r="12335">
      <c r="N12335" s="5"/>
    </row>
    <row r="12336">
      <c r="N12336" s="5"/>
    </row>
    <row r="12337">
      <c r="N12337" s="5"/>
    </row>
    <row r="12338">
      <c r="N12338" s="5"/>
    </row>
    <row r="12339">
      <c r="N12339" s="5"/>
    </row>
    <row r="12340">
      <c r="N12340" s="5"/>
    </row>
    <row r="12341">
      <c r="N12341" s="5"/>
    </row>
    <row r="12342">
      <c r="N12342" s="5"/>
    </row>
    <row r="12343">
      <c r="N12343" s="5"/>
    </row>
    <row r="12344">
      <c r="N12344" s="5"/>
    </row>
    <row r="12345">
      <c r="N12345" s="5"/>
    </row>
    <row r="12346">
      <c r="N12346" s="5"/>
    </row>
    <row r="12347">
      <c r="N12347" s="5"/>
    </row>
    <row r="12348">
      <c r="N12348" s="5"/>
    </row>
    <row r="12349">
      <c r="N12349" s="5"/>
    </row>
    <row r="12350">
      <c r="N12350" s="5"/>
    </row>
    <row r="12351">
      <c r="N12351" s="5"/>
    </row>
    <row r="12352">
      <c r="N12352" s="5"/>
    </row>
    <row r="12353">
      <c r="N12353" s="5"/>
    </row>
    <row r="12354">
      <c r="N12354" s="5"/>
    </row>
    <row r="12355">
      <c r="N12355" s="5"/>
    </row>
    <row r="12356">
      <c r="N12356" s="5"/>
    </row>
    <row r="12357">
      <c r="N12357" s="5"/>
    </row>
    <row r="12358">
      <c r="N12358" s="5"/>
    </row>
    <row r="12359">
      <c r="N12359" s="5"/>
    </row>
    <row r="12360">
      <c r="N12360" s="5"/>
    </row>
    <row r="12361">
      <c r="N12361" s="5"/>
    </row>
    <row r="12362">
      <c r="N12362" s="5"/>
    </row>
    <row r="12363">
      <c r="N12363" s="5"/>
    </row>
    <row r="12364">
      <c r="N12364" s="5"/>
    </row>
    <row r="12365">
      <c r="N12365" s="5"/>
    </row>
    <row r="12366">
      <c r="N12366" s="5"/>
    </row>
    <row r="12367">
      <c r="N12367" s="5"/>
    </row>
    <row r="12368">
      <c r="N12368" s="5"/>
    </row>
    <row r="12369">
      <c r="N12369" s="5"/>
    </row>
    <row r="12370">
      <c r="N12370" s="5"/>
    </row>
    <row r="12371">
      <c r="N12371" s="5"/>
    </row>
    <row r="12372">
      <c r="N12372" s="5"/>
    </row>
    <row r="12373">
      <c r="N12373" s="5"/>
    </row>
    <row r="12374">
      <c r="N12374" s="5"/>
    </row>
    <row r="12375">
      <c r="N12375" s="5"/>
    </row>
    <row r="12376">
      <c r="N12376" s="5"/>
    </row>
    <row r="12377">
      <c r="N12377" s="5"/>
    </row>
    <row r="12378">
      <c r="N12378" s="5"/>
    </row>
    <row r="12379">
      <c r="N12379" s="5"/>
    </row>
    <row r="12380">
      <c r="N12380" s="5"/>
    </row>
    <row r="12381">
      <c r="N12381" s="5"/>
    </row>
    <row r="12382">
      <c r="N12382" s="5"/>
    </row>
    <row r="12383">
      <c r="N12383" s="5"/>
    </row>
    <row r="12384">
      <c r="N12384" s="5"/>
    </row>
    <row r="12385">
      <c r="N12385" s="5"/>
    </row>
    <row r="12386">
      <c r="N12386" s="5"/>
    </row>
    <row r="12387">
      <c r="N12387" s="5"/>
    </row>
    <row r="12388">
      <c r="N12388" s="5"/>
    </row>
    <row r="12389">
      <c r="N12389" s="5"/>
    </row>
    <row r="12390">
      <c r="N12390" s="5"/>
    </row>
    <row r="12391">
      <c r="N12391" s="5"/>
    </row>
    <row r="12392">
      <c r="N12392" s="5"/>
    </row>
    <row r="12393">
      <c r="N12393" s="5"/>
    </row>
    <row r="12394">
      <c r="N12394" s="5"/>
    </row>
    <row r="12395">
      <c r="N12395" s="5"/>
    </row>
    <row r="12396">
      <c r="N12396" s="5"/>
    </row>
    <row r="12397">
      <c r="N12397" s="5"/>
    </row>
    <row r="12398">
      <c r="N12398" s="5"/>
    </row>
    <row r="12399">
      <c r="N12399" s="5"/>
    </row>
    <row r="12400">
      <c r="N12400" s="5"/>
    </row>
    <row r="12401">
      <c r="N12401" s="5"/>
    </row>
    <row r="12402">
      <c r="N12402" s="5"/>
    </row>
    <row r="12403">
      <c r="N12403" s="5"/>
    </row>
    <row r="12404">
      <c r="N12404" s="5"/>
    </row>
    <row r="12405">
      <c r="N12405" s="5"/>
    </row>
    <row r="12406">
      <c r="N12406" s="5"/>
    </row>
    <row r="12407">
      <c r="N12407" s="5"/>
    </row>
    <row r="12408">
      <c r="N12408" s="5"/>
    </row>
    <row r="12409">
      <c r="N12409" s="5"/>
    </row>
    <row r="12410">
      <c r="N12410" s="5"/>
    </row>
    <row r="12411">
      <c r="N12411" s="5"/>
    </row>
    <row r="12412">
      <c r="N12412" s="5"/>
    </row>
    <row r="12413">
      <c r="N12413" s="5"/>
    </row>
    <row r="12414">
      <c r="N12414" s="5"/>
    </row>
    <row r="12415">
      <c r="N12415" s="5"/>
    </row>
    <row r="12416">
      <c r="N12416" s="5"/>
    </row>
    <row r="12417">
      <c r="N12417" s="5"/>
    </row>
    <row r="12418">
      <c r="N12418" s="5"/>
    </row>
    <row r="12419">
      <c r="N12419" s="5"/>
    </row>
    <row r="12420">
      <c r="N12420" s="5"/>
    </row>
    <row r="12421">
      <c r="N12421" s="5"/>
    </row>
    <row r="12422">
      <c r="N12422" s="5"/>
    </row>
    <row r="12423">
      <c r="N12423" s="5"/>
    </row>
    <row r="12424">
      <c r="N12424" s="5"/>
    </row>
    <row r="12425">
      <c r="N12425" s="5"/>
    </row>
    <row r="12426">
      <c r="N12426" s="5"/>
    </row>
    <row r="12427">
      <c r="N12427" s="5"/>
    </row>
    <row r="12428">
      <c r="N12428" s="5"/>
    </row>
    <row r="12429">
      <c r="N12429" s="5"/>
    </row>
    <row r="12430">
      <c r="N12430" s="5"/>
    </row>
    <row r="12431">
      <c r="N12431" s="5"/>
    </row>
    <row r="12432">
      <c r="N12432" s="5"/>
    </row>
    <row r="12433">
      <c r="N12433" s="5"/>
    </row>
    <row r="12434">
      <c r="N12434" s="5"/>
    </row>
    <row r="12435">
      <c r="N12435" s="5"/>
    </row>
    <row r="12436">
      <c r="N12436" s="5"/>
    </row>
    <row r="12437">
      <c r="N12437" s="5"/>
    </row>
    <row r="12438">
      <c r="N12438" s="5"/>
    </row>
    <row r="12439">
      <c r="N12439" s="5"/>
    </row>
    <row r="12440">
      <c r="N12440" s="5"/>
    </row>
    <row r="12441">
      <c r="N12441" s="5"/>
    </row>
    <row r="12442">
      <c r="N12442" s="5"/>
    </row>
    <row r="12443">
      <c r="N12443" s="5"/>
    </row>
    <row r="12444">
      <c r="N12444" s="5"/>
    </row>
    <row r="12445">
      <c r="N12445" s="5"/>
    </row>
    <row r="12446">
      <c r="N12446" s="5"/>
    </row>
    <row r="12447">
      <c r="N12447" s="5"/>
    </row>
    <row r="12448">
      <c r="N12448" s="5"/>
    </row>
    <row r="12449">
      <c r="N12449" s="5"/>
    </row>
    <row r="12450">
      <c r="N12450" s="5"/>
    </row>
    <row r="12451">
      <c r="N12451" s="5"/>
    </row>
    <row r="12452">
      <c r="N12452" s="5"/>
    </row>
    <row r="12453">
      <c r="N12453" s="5"/>
    </row>
    <row r="12454">
      <c r="N12454" s="5"/>
    </row>
    <row r="12455">
      <c r="N12455" s="5"/>
    </row>
    <row r="12456">
      <c r="N12456" s="5"/>
    </row>
    <row r="12457">
      <c r="N12457" s="5"/>
    </row>
    <row r="12458">
      <c r="N12458" s="5"/>
    </row>
    <row r="12459">
      <c r="N12459" s="5"/>
    </row>
    <row r="12460">
      <c r="N12460" s="5"/>
    </row>
    <row r="12461">
      <c r="N12461" s="5"/>
    </row>
    <row r="12462">
      <c r="N12462" s="5"/>
    </row>
    <row r="12463">
      <c r="N12463" s="5"/>
    </row>
    <row r="12464">
      <c r="N12464" s="5"/>
    </row>
    <row r="12465">
      <c r="N12465" s="5"/>
    </row>
    <row r="12466">
      <c r="N12466" s="5"/>
    </row>
    <row r="12467">
      <c r="N12467" s="5"/>
    </row>
    <row r="12468">
      <c r="N12468" s="5"/>
    </row>
    <row r="12469">
      <c r="N12469" s="5"/>
    </row>
    <row r="12470">
      <c r="N12470" s="5"/>
    </row>
    <row r="12471">
      <c r="N12471" s="5"/>
    </row>
    <row r="12472">
      <c r="N12472" s="5"/>
    </row>
    <row r="12473">
      <c r="N12473" s="5"/>
    </row>
    <row r="12474">
      <c r="N12474" s="5"/>
    </row>
    <row r="12475">
      <c r="N12475" s="5"/>
    </row>
    <row r="12476">
      <c r="N12476" s="5"/>
    </row>
    <row r="12477">
      <c r="N12477" s="5"/>
    </row>
    <row r="12478">
      <c r="N12478" s="5"/>
    </row>
    <row r="12479">
      <c r="N12479" s="5"/>
    </row>
    <row r="12480">
      <c r="N12480" s="5"/>
    </row>
    <row r="12481">
      <c r="N12481" s="5"/>
    </row>
    <row r="12482">
      <c r="N12482" s="5"/>
    </row>
    <row r="12483">
      <c r="N12483" s="5"/>
    </row>
    <row r="12484">
      <c r="N12484" s="5"/>
    </row>
    <row r="12485">
      <c r="N12485" s="5"/>
    </row>
    <row r="12486">
      <c r="N12486" s="5"/>
    </row>
    <row r="12487">
      <c r="N12487" s="5"/>
    </row>
    <row r="12488">
      <c r="N12488" s="5"/>
    </row>
    <row r="12489">
      <c r="N12489" s="5"/>
    </row>
    <row r="12490">
      <c r="N12490" s="5"/>
    </row>
    <row r="12491">
      <c r="N12491" s="5"/>
    </row>
    <row r="12492">
      <c r="N12492" s="5"/>
    </row>
    <row r="12493">
      <c r="N12493" s="5"/>
    </row>
    <row r="12494">
      <c r="N12494" s="5"/>
    </row>
    <row r="12495">
      <c r="N12495" s="5"/>
    </row>
    <row r="12496">
      <c r="N12496" s="5"/>
    </row>
    <row r="12497">
      <c r="N12497" s="5"/>
    </row>
    <row r="12498">
      <c r="N12498" s="5"/>
    </row>
    <row r="12499">
      <c r="N12499" s="5"/>
    </row>
    <row r="12500">
      <c r="N12500" s="5"/>
    </row>
    <row r="12501">
      <c r="N12501" s="5"/>
    </row>
    <row r="12502">
      <c r="N12502" s="5"/>
    </row>
    <row r="12503">
      <c r="N12503" s="5"/>
    </row>
    <row r="12504">
      <c r="N12504" s="5"/>
    </row>
    <row r="12505">
      <c r="N12505" s="5"/>
    </row>
    <row r="12506">
      <c r="N12506" s="5"/>
    </row>
    <row r="12507">
      <c r="N12507" s="5"/>
    </row>
    <row r="12508">
      <c r="N12508" s="5"/>
    </row>
    <row r="12509">
      <c r="N12509" s="5"/>
    </row>
    <row r="12510">
      <c r="N12510" s="5"/>
    </row>
    <row r="12511">
      <c r="N12511" s="5"/>
    </row>
    <row r="12512">
      <c r="N12512" s="5"/>
    </row>
    <row r="12513">
      <c r="N12513" s="5"/>
    </row>
    <row r="12514">
      <c r="N12514" s="5"/>
    </row>
    <row r="12515">
      <c r="N12515" s="5"/>
    </row>
    <row r="12516">
      <c r="N12516" s="5"/>
    </row>
    <row r="12517">
      <c r="N12517" s="5"/>
    </row>
    <row r="12518">
      <c r="N12518" s="5"/>
    </row>
    <row r="12519">
      <c r="N12519" s="5"/>
    </row>
    <row r="12520">
      <c r="N12520" s="5"/>
    </row>
    <row r="12521">
      <c r="N12521" s="5"/>
    </row>
    <row r="12522">
      <c r="N12522" s="5"/>
    </row>
    <row r="12523">
      <c r="N12523" s="5"/>
    </row>
    <row r="12524">
      <c r="N12524" s="5"/>
    </row>
    <row r="12525">
      <c r="N12525" s="5"/>
    </row>
    <row r="12526">
      <c r="N12526" s="5"/>
    </row>
    <row r="12527">
      <c r="N12527" s="5"/>
    </row>
    <row r="12528">
      <c r="N12528" s="5"/>
    </row>
    <row r="12529">
      <c r="N12529" s="5"/>
    </row>
    <row r="12530">
      <c r="N12530" s="5"/>
    </row>
    <row r="12531">
      <c r="N12531" s="5"/>
    </row>
    <row r="12532">
      <c r="N12532" s="5"/>
    </row>
    <row r="12533">
      <c r="N12533" s="5"/>
    </row>
    <row r="12534">
      <c r="N12534" s="5"/>
    </row>
    <row r="12535">
      <c r="N12535" s="5"/>
    </row>
    <row r="12536">
      <c r="N12536" s="5"/>
    </row>
    <row r="12537">
      <c r="N12537" s="5"/>
    </row>
    <row r="12538">
      <c r="N12538" s="5"/>
    </row>
    <row r="12539">
      <c r="N12539" s="5"/>
    </row>
    <row r="12540">
      <c r="N12540" s="5"/>
    </row>
    <row r="12541">
      <c r="N12541" s="5"/>
    </row>
    <row r="12542">
      <c r="N12542" s="5"/>
    </row>
    <row r="12543">
      <c r="N12543" s="5"/>
    </row>
    <row r="12544">
      <c r="N12544" s="5"/>
    </row>
    <row r="12545">
      <c r="N12545" s="5"/>
    </row>
    <row r="12546">
      <c r="N12546" s="5"/>
    </row>
    <row r="12547">
      <c r="N12547" s="5"/>
    </row>
    <row r="12548">
      <c r="N12548" s="5"/>
    </row>
    <row r="12549">
      <c r="N12549" s="5"/>
    </row>
    <row r="12550">
      <c r="N12550" s="5"/>
    </row>
    <row r="12551">
      <c r="N12551" s="5"/>
    </row>
    <row r="12552">
      <c r="N12552" s="5"/>
    </row>
    <row r="12553">
      <c r="N12553" s="5"/>
    </row>
    <row r="12554">
      <c r="N12554" s="5"/>
    </row>
    <row r="12555">
      <c r="N12555" s="5"/>
    </row>
    <row r="12556">
      <c r="N12556" s="5"/>
    </row>
    <row r="12557">
      <c r="N12557" s="5"/>
    </row>
    <row r="12558">
      <c r="N12558" s="5"/>
    </row>
    <row r="12559">
      <c r="N12559" s="5"/>
    </row>
    <row r="12560">
      <c r="N12560" s="5"/>
    </row>
    <row r="12561">
      <c r="N12561" s="5"/>
    </row>
    <row r="12562">
      <c r="N12562" s="5"/>
    </row>
    <row r="12563">
      <c r="N12563" s="5"/>
    </row>
    <row r="12564">
      <c r="N12564" s="5"/>
    </row>
    <row r="12565">
      <c r="N12565" s="5"/>
    </row>
    <row r="12566">
      <c r="N12566" s="5"/>
    </row>
    <row r="12567">
      <c r="N12567" s="5"/>
    </row>
    <row r="12568">
      <c r="N12568" s="5"/>
    </row>
    <row r="12569">
      <c r="N12569" s="5"/>
    </row>
    <row r="12570">
      <c r="N12570" s="5"/>
    </row>
    <row r="12571">
      <c r="N12571" s="5"/>
    </row>
    <row r="12572">
      <c r="N12572" s="5"/>
    </row>
    <row r="12573">
      <c r="N12573" s="5"/>
    </row>
    <row r="12574">
      <c r="N12574" s="5"/>
    </row>
    <row r="12575">
      <c r="N12575" s="5"/>
    </row>
    <row r="12576">
      <c r="N12576" s="5"/>
    </row>
    <row r="12577">
      <c r="N12577" s="5"/>
    </row>
    <row r="12578">
      <c r="N12578" s="5"/>
    </row>
    <row r="12579">
      <c r="N12579" s="5"/>
    </row>
    <row r="12580">
      <c r="N12580" s="5"/>
    </row>
    <row r="12581">
      <c r="N12581" s="5"/>
    </row>
    <row r="12582">
      <c r="N12582" s="5"/>
    </row>
    <row r="12583">
      <c r="N12583" s="5"/>
    </row>
    <row r="12584">
      <c r="N12584" s="5"/>
    </row>
    <row r="12585">
      <c r="N12585" s="5"/>
    </row>
    <row r="12586">
      <c r="N12586" s="5"/>
    </row>
    <row r="12587">
      <c r="N12587" s="5"/>
    </row>
    <row r="12588">
      <c r="N12588" s="5"/>
    </row>
    <row r="12589">
      <c r="N12589" s="5"/>
    </row>
    <row r="12590">
      <c r="N12590" s="5"/>
    </row>
    <row r="12591">
      <c r="N12591" s="5"/>
    </row>
    <row r="12592">
      <c r="N12592" s="5"/>
    </row>
    <row r="12593">
      <c r="N12593" s="5"/>
    </row>
    <row r="12594">
      <c r="N12594" s="5"/>
    </row>
    <row r="12595">
      <c r="N12595" s="5"/>
    </row>
    <row r="12596">
      <c r="N12596" s="5"/>
    </row>
    <row r="12597">
      <c r="N12597" s="5"/>
    </row>
    <row r="12598">
      <c r="N12598" s="5"/>
    </row>
    <row r="12599">
      <c r="N12599" s="5"/>
    </row>
    <row r="12600">
      <c r="N12600" s="5"/>
    </row>
    <row r="12601">
      <c r="N12601" s="5"/>
    </row>
    <row r="12602">
      <c r="N12602" s="5"/>
    </row>
    <row r="12603">
      <c r="N12603" s="5"/>
    </row>
    <row r="12604">
      <c r="N12604" s="5"/>
    </row>
    <row r="12605">
      <c r="N12605" s="5"/>
    </row>
    <row r="12606">
      <c r="N12606" s="5"/>
    </row>
    <row r="12607">
      <c r="N12607" s="5"/>
    </row>
    <row r="12608">
      <c r="N12608" s="5"/>
    </row>
    <row r="12609">
      <c r="N12609" s="5"/>
    </row>
    <row r="12610">
      <c r="N12610" s="5"/>
    </row>
  </sheetData>
  <autoFilter ref="$A$1:$Z$1261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 t="s">
        <v>19</v>
      </c>
      <c r="C2" s="1" t="s">
        <v>21</v>
      </c>
      <c r="I2" s="4"/>
      <c r="K2" s="1">
        <v>20.0</v>
      </c>
      <c r="N2" s="5">
        <v>44282.0</v>
      </c>
      <c r="Q2" s="1" t="s">
        <v>33</v>
      </c>
    </row>
    <row r="3">
      <c r="A3" s="1">
        <v>2.0</v>
      </c>
      <c r="B3" s="1" t="s">
        <v>34</v>
      </c>
      <c r="C3" s="1" t="s">
        <v>21</v>
      </c>
      <c r="I3" s="4"/>
      <c r="K3" s="1">
        <v>30.0</v>
      </c>
      <c r="N3" s="5">
        <v>44592.0</v>
      </c>
      <c r="Q3" s="1" t="s">
        <v>35</v>
      </c>
    </row>
    <row r="4">
      <c r="A4" s="1">
        <v>3.0</v>
      </c>
      <c r="B4" s="1" t="s">
        <v>36</v>
      </c>
      <c r="C4" s="1" t="s">
        <v>21</v>
      </c>
      <c r="I4" s="4"/>
      <c r="K4" s="1">
        <v>250.0</v>
      </c>
      <c r="N4" s="5">
        <v>43860.0</v>
      </c>
      <c r="Q4" s="1" t="s">
        <v>37</v>
      </c>
    </row>
    <row r="5">
      <c r="A5" s="1">
        <v>4.0</v>
      </c>
      <c r="B5" s="1" t="s">
        <v>38</v>
      </c>
      <c r="C5" s="1" t="s">
        <v>21</v>
      </c>
      <c r="I5" s="4"/>
      <c r="N5" s="5">
        <v>43846.0</v>
      </c>
      <c r="Q5" s="1" t="s">
        <v>39</v>
      </c>
    </row>
    <row r="6">
      <c r="A6" s="1">
        <v>5.0</v>
      </c>
      <c r="B6" s="1" t="s">
        <v>40</v>
      </c>
      <c r="C6" s="1" t="s">
        <v>21</v>
      </c>
      <c r="I6" s="4"/>
      <c r="N6" s="5"/>
    </row>
    <row r="7">
      <c r="A7" s="1">
        <v>6.0</v>
      </c>
      <c r="B7" s="1" t="s">
        <v>42</v>
      </c>
      <c r="C7" s="1" t="s">
        <v>21</v>
      </c>
      <c r="I7" s="4"/>
      <c r="N7" s="5"/>
    </row>
    <row r="8">
      <c r="A8" s="1">
        <v>7.0</v>
      </c>
      <c r="B8" s="1" t="s">
        <v>43</v>
      </c>
      <c r="C8" s="1" t="s">
        <v>21</v>
      </c>
      <c r="I8" s="4"/>
      <c r="N8" s="5"/>
    </row>
    <row r="9">
      <c r="A9" s="1">
        <v>8.0</v>
      </c>
      <c r="B9" s="1" t="s">
        <v>45</v>
      </c>
      <c r="C9" s="1" t="s">
        <v>21</v>
      </c>
      <c r="I9" s="4"/>
      <c r="N9" s="5"/>
    </row>
    <row r="10">
      <c r="A10" s="1">
        <v>9.0</v>
      </c>
      <c r="B10" s="1" t="s">
        <v>47</v>
      </c>
      <c r="C10" s="1" t="s">
        <v>21</v>
      </c>
      <c r="I10" s="4"/>
      <c r="N10" s="5"/>
    </row>
    <row r="11">
      <c r="A11" s="1">
        <v>10.0</v>
      </c>
      <c r="B11" s="1" t="s">
        <v>48</v>
      </c>
      <c r="C11" s="1" t="s">
        <v>21</v>
      </c>
      <c r="I11" s="4"/>
      <c r="N11" s="5"/>
    </row>
    <row r="12">
      <c r="A12" s="1">
        <v>11.0</v>
      </c>
      <c r="B12" s="1" t="s">
        <v>49</v>
      </c>
      <c r="C12" s="1" t="s">
        <v>21</v>
      </c>
      <c r="I12" s="4"/>
      <c r="N12" s="5"/>
    </row>
    <row r="13">
      <c r="A13" s="1">
        <v>12.0</v>
      </c>
      <c r="B13" s="1" t="s">
        <v>50</v>
      </c>
      <c r="C13" s="1" t="s">
        <v>21</v>
      </c>
      <c r="I13" s="4"/>
      <c r="N13" s="5"/>
    </row>
    <row r="14">
      <c r="A14" s="1">
        <v>13.0</v>
      </c>
      <c r="B14" s="1" t="s">
        <v>51</v>
      </c>
      <c r="C14" s="1" t="s">
        <v>21</v>
      </c>
      <c r="I14" s="4"/>
      <c r="N14" s="5"/>
    </row>
    <row r="15">
      <c r="A15" s="1">
        <v>14.0</v>
      </c>
      <c r="B15" s="1" t="s">
        <v>52</v>
      </c>
      <c r="C15" s="1" t="s">
        <v>21</v>
      </c>
      <c r="I15" s="4"/>
      <c r="N15" s="5"/>
    </row>
    <row r="16">
      <c r="A16" s="1">
        <v>15.0</v>
      </c>
      <c r="B16" s="1" t="s">
        <v>53</v>
      </c>
      <c r="C16" s="1" t="s">
        <v>21</v>
      </c>
      <c r="I16" s="4"/>
      <c r="N16" s="5"/>
    </row>
    <row r="17">
      <c r="A17" s="1">
        <v>16.0</v>
      </c>
      <c r="B17" s="1" t="s">
        <v>54</v>
      </c>
      <c r="C17" s="1" t="s">
        <v>21</v>
      </c>
      <c r="I17" s="4"/>
      <c r="N17" s="5"/>
    </row>
    <row r="18">
      <c r="A18" s="1">
        <v>17.0</v>
      </c>
      <c r="B18" s="1" t="s">
        <v>55</v>
      </c>
      <c r="C18" s="1" t="s">
        <v>21</v>
      </c>
      <c r="I18" s="4"/>
      <c r="N18" s="5"/>
    </row>
    <row r="19">
      <c r="A19" s="1">
        <v>18.0</v>
      </c>
      <c r="B19" s="1" t="s">
        <v>57</v>
      </c>
      <c r="C19" s="1" t="s">
        <v>21</v>
      </c>
      <c r="I19" s="4"/>
      <c r="N19" s="5"/>
    </row>
    <row r="20">
      <c r="A20" s="1">
        <v>19.0</v>
      </c>
      <c r="B20" s="1" t="s">
        <v>58</v>
      </c>
      <c r="C20" s="1" t="s">
        <v>21</v>
      </c>
      <c r="I20" s="4"/>
      <c r="N20" s="5"/>
    </row>
    <row r="21">
      <c r="A21" s="1">
        <v>20.0</v>
      </c>
      <c r="B21" s="1" t="s">
        <v>60</v>
      </c>
      <c r="C21" s="1" t="s">
        <v>21</v>
      </c>
      <c r="I21" s="4"/>
      <c r="N21" s="5"/>
    </row>
    <row r="22">
      <c r="A22" s="1">
        <v>21.0</v>
      </c>
      <c r="B22" s="1" t="s">
        <v>62</v>
      </c>
      <c r="C22" s="1" t="s">
        <v>21</v>
      </c>
      <c r="I22" s="4"/>
      <c r="N22" s="5"/>
    </row>
    <row r="23">
      <c r="A23" s="1">
        <v>22.0</v>
      </c>
      <c r="B23" s="1" t="s">
        <v>63</v>
      </c>
      <c r="C23" s="1" t="s">
        <v>21</v>
      </c>
      <c r="I23" s="4"/>
      <c r="N23" s="5"/>
    </row>
    <row r="24">
      <c r="A24" s="1">
        <v>23.0</v>
      </c>
      <c r="B24" s="1" t="s">
        <v>64</v>
      </c>
      <c r="C24" s="1" t="s">
        <v>21</v>
      </c>
      <c r="I24" s="4"/>
      <c r="N24" s="5"/>
    </row>
    <row r="25">
      <c r="A25" s="1">
        <v>24.0</v>
      </c>
      <c r="B25" s="1" t="s">
        <v>65</v>
      </c>
      <c r="C25" s="1" t="s">
        <v>21</v>
      </c>
      <c r="I25" s="4"/>
      <c r="N25" s="5"/>
    </row>
    <row r="26">
      <c r="A26" s="1">
        <v>25.0</v>
      </c>
      <c r="B26" s="1" t="s">
        <v>66</v>
      </c>
      <c r="C26" s="1" t="s">
        <v>21</v>
      </c>
      <c r="I26" s="4"/>
      <c r="N26" s="5"/>
    </row>
    <row r="27">
      <c r="A27" s="1">
        <v>26.0</v>
      </c>
      <c r="B27" s="1" t="s">
        <v>67</v>
      </c>
      <c r="C27" s="1" t="s">
        <v>21</v>
      </c>
      <c r="I27" s="4"/>
      <c r="N27" s="5"/>
    </row>
    <row r="28">
      <c r="A28" s="1">
        <v>27.0</v>
      </c>
      <c r="B28" s="1" t="s">
        <v>68</v>
      </c>
      <c r="C28" s="1" t="s">
        <v>21</v>
      </c>
      <c r="I28" s="4"/>
      <c r="N28" s="5"/>
    </row>
    <row r="29">
      <c r="A29" s="1">
        <v>28.0</v>
      </c>
      <c r="B29" s="1" t="s">
        <v>69</v>
      </c>
      <c r="C29" s="1" t="s">
        <v>21</v>
      </c>
      <c r="I29" s="4"/>
      <c r="N29" s="5"/>
    </row>
    <row r="30">
      <c r="A30" s="1">
        <v>29.0</v>
      </c>
      <c r="B30" s="1" t="s">
        <v>70</v>
      </c>
      <c r="C30" s="1" t="s">
        <v>21</v>
      </c>
      <c r="I30" s="4"/>
      <c r="N30" s="5"/>
    </row>
    <row r="31">
      <c r="A31" s="1">
        <v>30.0</v>
      </c>
      <c r="B31" s="1" t="s">
        <v>71</v>
      </c>
      <c r="C31" s="1" t="s">
        <v>21</v>
      </c>
      <c r="I31" s="4"/>
      <c r="N31" s="5"/>
    </row>
    <row r="32">
      <c r="A32" s="1">
        <v>31.0</v>
      </c>
      <c r="B32" s="1" t="s">
        <v>73</v>
      </c>
      <c r="C32" s="1" t="s">
        <v>21</v>
      </c>
      <c r="I32" s="4"/>
      <c r="N32" s="5"/>
    </row>
    <row r="33">
      <c r="A33" s="1">
        <v>32.0</v>
      </c>
      <c r="B33" s="1" t="s">
        <v>74</v>
      </c>
      <c r="C33" s="1" t="s">
        <v>21</v>
      </c>
      <c r="I33" s="4"/>
      <c r="N33" s="5"/>
    </row>
    <row r="34">
      <c r="A34" s="1">
        <v>33.0</v>
      </c>
      <c r="B34" s="1" t="s">
        <v>75</v>
      </c>
      <c r="C34" s="1" t="s">
        <v>21</v>
      </c>
      <c r="I34" s="4"/>
      <c r="N34" s="5"/>
    </row>
    <row r="35">
      <c r="A35" s="1">
        <v>34.0</v>
      </c>
      <c r="B35" s="1" t="s">
        <v>76</v>
      </c>
      <c r="C35" s="1" t="s">
        <v>21</v>
      </c>
      <c r="I35" s="4"/>
      <c r="N35" s="5"/>
    </row>
    <row r="36">
      <c r="A36" s="1">
        <v>35.0</v>
      </c>
      <c r="B36" s="1" t="s">
        <v>77</v>
      </c>
      <c r="C36" s="1" t="s">
        <v>21</v>
      </c>
      <c r="I36" s="4"/>
      <c r="N36" s="5"/>
    </row>
    <row r="37">
      <c r="A37" s="1">
        <v>36.0</v>
      </c>
      <c r="B37" s="1" t="s">
        <v>78</v>
      </c>
      <c r="C37" s="1" t="s">
        <v>21</v>
      </c>
      <c r="I37" s="4"/>
      <c r="N37" s="5"/>
    </row>
    <row r="38">
      <c r="A38" s="1">
        <v>37.0</v>
      </c>
      <c r="B38" s="1" t="s">
        <v>80</v>
      </c>
      <c r="C38" s="1" t="s">
        <v>21</v>
      </c>
      <c r="I38" s="4"/>
      <c r="N38" s="5"/>
    </row>
    <row r="39">
      <c r="A39" s="1">
        <v>38.0</v>
      </c>
      <c r="B39" s="1" t="s">
        <v>81</v>
      </c>
      <c r="C39" s="1" t="s">
        <v>21</v>
      </c>
      <c r="I39" s="4"/>
      <c r="N39" s="5"/>
    </row>
    <row r="40">
      <c r="A40" s="1">
        <v>39.0</v>
      </c>
      <c r="B40" s="1" t="s">
        <v>82</v>
      </c>
      <c r="C40" s="1" t="s">
        <v>21</v>
      </c>
      <c r="I40" s="4"/>
      <c r="N40" s="5"/>
    </row>
    <row r="41">
      <c r="A41" s="1">
        <v>40.0</v>
      </c>
      <c r="B41" s="1" t="s">
        <v>83</v>
      </c>
      <c r="C41" s="1" t="s">
        <v>21</v>
      </c>
      <c r="I41" s="4"/>
      <c r="N41" s="5"/>
    </row>
    <row r="42">
      <c r="A42" s="1">
        <v>41.0</v>
      </c>
      <c r="B42" s="1" t="s">
        <v>84</v>
      </c>
      <c r="C42" s="1" t="s">
        <v>21</v>
      </c>
      <c r="N42" s="5"/>
    </row>
    <row r="43">
      <c r="A43" s="1">
        <v>42.0</v>
      </c>
      <c r="B43" s="1" t="s">
        <v>85</v>
      </c>
      <c r="C43" s="1" t="s">
        <v>21</v>
      </c>
      <c r="I43" s="4"/>
      <c r="N43" s="5"/>
    </row>
    <row r="44">
      <c r="A44" s="1">
        <v>43.0</v>
      </c>
      <c r="B44" s="1" t="s">
        <v>86</v>
      </c>
      <c r="C44" s="1" t="s">
        <v>21</v>
      </c>
      <c r="N44" s="5"/>
    </row>
    <row r="45">
      <c r="A45" s="1">
        <v>44.0</v>
      </c>
      <c r="B45" s="1" t="s">
        <v>87</v>
      </c>
      <c r="C45" s="1" t="s">
        <v>21</v>
      </c>
      <c r="I45" s="4"/>
      <c r="N45" s="5"/>
    </row>
    <row r="46">
      <c r="A46" s="1">
        <v>45.0</v>
      </c>
      <c r="B46" s="1" t="s">
        <v>88</v>
      </c>
      <c r="C46" s="1" t="s">
        <v>21</v>
      </c>
      <c r="I46" s="4"/>
      <c r="N46" s="5"/>
    </row>
    <row r="47">
      <c r="A47" s="1">
        <v>46.0</v>
      </c>
      <c r="B47" s="1" t="s">
        <v>89</v>
      </c>
      <c r="C47" s="1" t="s">
        <v>21</v>
      </c>
      <c r="I47" s="4"/>
      <c r="N47" s="5"/>
    </row>
    <row r="48">
      <c r="A48" s="1">
        <v>47.0</v>
      </c>
      <c r="B48" s="1" t="s">
        <v>90</v>
      </c>
      <c r="C48" s="1" t="s">
        <v>21</v>
      </c>
      <c r="I48" s="4"/>
      <c r="N48" s="5"/>
    </row>
    <row r="49">
      <c r="A49" s="1">
        <v>48.0</v>
      </c>
      <c r="B49" s="1" t="s">
        <v>91</v>
      </c>
      <c r="C49" s="1" t="s">
        <v>21</v>
      </c>
      <c r="I49" s="4"/>
      <c r="N49" s="5"/>
    </row>
    <row r="50">
      <c r="A50" s="1">
        <v>49.0</v>
      </c>
      <c r="B50" s="1" t="s">
        <v>92</v>
      </c>
      <c r="C50" s="1" t="s">
        <v>21</v>
      </c>
      <c r="I50" s="4"/>
      <c r="N50" s="5"/>
    </row>
    <row r="51">
      <c r="A51" s="1">
        <v>50.0</v>
      </c>
      <c r="B51" s="1" t="s">
        <v>93</v>
      </c>
      <c r="C51" s="1" t="s">
        <v>21</v>
      </c>
      <c r="I51" s="4"/>
      <c r="N51" s="5"/>
    </row>
    <row r="52">
      <c r="A52" s="1">
        <v>51.0</v>
      </c>
      <c r="B52" s="1" t="s">
        <v>94</v>
      </c>
      <c r="C52" s="1" t="s">
        <v>21</v>
      </c>
      <c r="I52" s="4"/>
      <c r="N52" s="5"/>
    </row>
    <row r="53">
      <c r="A53" s="1">
        <v>52.0</v>
      </c>
      <c r="B53" s="1" t="s">
        <v>95</v>
      </c>
      <c r="C53" s="1" t="s">
        <v>21</v>
      </c>
      <c r="N53" s="5"/>
    </row>
    <row r="54">
      <c r="A54" s="1">
        <v>53.0</v>
      </c>
      <c r="B54" s="1" t="s">
        <v>96</v>
      </c>
      <c r="C54" s="1" t="s">
        <v>21</v>
      </c>
      <c r="N54" s="5"/>
    </row>
    <row r="55">
      <c r="A55" s="1">
        <v>54.0</v>
      </c>
      <c r="B55" s="1" t="s">
        <v>97</v>
      </c>
      <c r="C55" s="1" t="s">
        <v>21</v>
      </c>
      <c r="I55" s="4"/>
      <c r="N55" s="5"/>
    </row>
    <row r="56">
      <c r="A56" s="1">
        <v>55.0</v>
      </c>
      <c r="B56" s="1" t="s">
        <v>98</v>
      </c>
      <c r="C56" s="1" t="s">
        <v>21</v>
      </c>
      <c r="I56" s="4"/>
      <c r="N56" s="5"/>
    </row>
    <row r="57">
      <c r="A57" s="1">
        <v>56.0</v>
      </c>
      <c r="B57" s="1" t="s">
        <v>99</v>
      </c>
      <c r="C57" s="1" t="s">
        <v>21</v>
      </c>
      <c r="I57" s="4"/>
      <c r="N57" s="5"/>
    </row>
    <row r="58">
      <c r="A58" s="1">
        <v>57.0</v>
      </c>
      <c r="B58" s="1" t="s">
        <v>100</v>
      </c>
      <c r="C58" s="1" t="s">
        <v>21</v>
      </c>
      <c r="N58" s="5"/>
    </row>
    <row r="59">
      <c r="A59" s="1">
        <v>58.0</v>
      </c>
      <c r="B59" s="1" t="s">
        <v>101</v>
      </c>
      <c r="C59" s="1" t="s">
        <v>21</v>
      </c>
      <c r="I59" s="4"/>
      <c r="N59" s="5"/>
    </row>
    <row r="60">
      <c r="A60" s="1">
        <v>59.0</v>
      </c>
      <c r="B60" s="1" t="s">
        <v>102</v>
      </c>
      <c r="C60" s="1" t="s">
        <v>21</v>
      </c>
      <c r="I60" s="4"/>
      <c r="N60" s="5"/>
    </row>
    <row r="61">
      <c r="A61" s="1">
        <v>60.0</v>
      </c>
      <c r="B61" s="1" t="s">
        <v>103</v>
      </c>
      <c r="C61" s="1" t="s">
        <v>21</v>
      </c>
      <c r="I61" s="4"/>
      <c r="N61" s="5"/>
    </row>
    <row r="62">
      <c r="A62" s="1">
        <v>61.0</v>
      </c>
      <c r="B62" s="1" t="s">
        <v>104</v>
      </c>
      <c r="C62" s="1" t="s">
        <v>21</v>
      </c>
      <c r="I62" s="4"/>
      <c r="N62" s="5"/>
    </row>
    <row r="63">
      <c r="A63" s="1">
        <v>62.0</v>
      </c>
      <c r="B63" s="1" t="s">
        <v>105</v>
      </c>
      <c r="C63" s="1" t="s">
        <v>21</v>
      </c>
      <c r="N63" s="5"/>
    </row>
    <row r="64">
      <c r="A64" s="1">
        <v>63.0</v>
      </c>
      <c r="B64" s="1" t="s">
        <v>106</v>
      </c>
      <c r="C64" s="1" t="s">
        <v>21</v>
      </c>
      <c r="I64" s="4"/>
      <c r="N64" s="5"/>
    </row>
    <row r="65">
      <c r="A65" s="1">
        <v>64.0</v>
      </c>
      <c r="B65" s="1" t="s">
        <v>107</v>
      </c>
      <c r="C65" s="1" t="s">
        <v>21</v>
      </c>
      <c r="N65" s="5"/>
    </row>
    <row r="66">
      <c r="A66" s="1">
        <v>65.0</v>
      </c>
      <c r="B66" s="1" t="s">
        <v>108</v>
      </c>
      <c r="C66" s="1" t="s">
        <v>21</v>
      </c>
      <c r="I66" s="4"/>
      <c r="N66" s="5"/>
    </row>
    <row r="67">
      <c r="A67" s="1">
        <v>66.0</v>
      </c>
      <c r="B67" s="1" t="s">
        <v>109</v>
      </c>
      <c r="C67" s="1" t="s">
        <v>21</v>
      </c>
      <c r="I67" s="4"/>
      <c r="N67" s="5"/>
    </row>
    <row r="68">
      <c r="A68" s="1">
        <v>67.0</v>
      </c>
      <c r="B68" s="1" t="s">
        <v>110</v>
      </c>
      <c r="C68" s="1" t="s">
        <v>21</v>
      </c>
      <c r="I68" s="4"/>
      <c r="N68" s="5"/>
    </row>
    <row r="69">
      <c r="A69" s="1">
        <v>68.0</v>
      </c>
      <c r="B69" s="1" t="s">
        <v>111</v>
      </c>
      <c r="C69" s="1" t="s">
        <v>21</v>
      </c>
      <c r="N69" s="5"/>
    </row>
    <row r="70">
      <c r="A70" s="1">
        <v>69.0</v>
      </c>
      <c r="B70" s="1" t="s">
        <v>112</v>
      </c>
      <c r="C70" s="1" t="s">
        <v>21</v>
      </c>
      <c r="I70" s="4"/>
      <c r="N70" s="5"/>
    </row>
    <row r="71">
      <c r="A71" s="1">
        <v>70.0</v>
      </c>
      <c r="B71" s="1" t="s">
        <v>113</v>
      </c>
      <c r="C71" s="1" t="s">
        <v>21</v>
      </c>
      <c r="I71" s="4"/>
      <c r="N71" s="5"/>
    </row>
    <row r="72">
      <c r="A72" s="1">
        <v>71.0</v>
      </c>
      <c r="B72" s="1" t="s">
        <v>114</v>
      </c>
      <c r="C72" s="1" t="s">
        <v>21</v>
      </c>
      <c r="I72" s="4"/>
      <c r="N72" s="5"/>
    </row>
    <row r="73">
      <c r="A73" s="1">
        <v>72.0</v>
      </c>
      <c r="B73" s="1" t="s">
        <v>115</v>
      </c>
      <c r="C73" s="1" t="s">
        <v>21</v>
      </c>
      <c r="N73" s="5"/>
    </row>
    <row r="74">
      <c r="A74" s="1">
        <v>73.0</v>
      </c>
      <c r="B74" s="1" t="s">
        <v>116</v>
      </c>
      <c r="C74" s="1" t="s">
        <v>21</v>
      </c>
      <c r="N74" s="5"/>
    </row>
    <row r="75">
      <c r="A75" s="1">
        <v>74.0</v>
      </c>
      <c r="B75" s="1" t="s">
        <v>117</v>
      </c>
      <c r="C75" s="1" t="s">
        <v>21</v>
      </c>
      <c r="I75" s="4"/>
      <c r="N75" s="5"/>
    </row>
    <row r="76">
      <c r="A76" s="1">
        <v>75.0</v>
      </c>
      <c r="B76" s="1" t="s">
        <v>118</v>
      </c>
      <c r="C76" s="1" t="s">
        <v>21</v>
      </c>
      <c r="N76" s="5"/>
    </row>
    <row r="77">
      <c r="A77" s="1">
        <v>76.0</v>
      </c>
      <c r="B77" s="1" t="s">
        <v>119</v>
      </c>
      <c r="C77" s="1" t="s">
        <v>21</v>
      </c>
      <c r="N77" s="5"/>
    </row>
    <row r="78">
      <c r="A78" s="1">
        <v>77.0</v>
      </c>
      <c r="B78" s="1" t="s">
        <v>120</v>
      </c>
      <c r="C78" s="1" t="s">
        <v>21</v>
      </c>
      <c r="I78" s="4"/>
      <c r="N78" s="5"/>
    </row>
    <row r="79">
      <c r="A79" s="1">
        <v>78.0</v>
      </c>
      <c r="B79" s="1" t="s">
        <v>121</v>
      </c>
      <c r="C79" s="1" t="s">
        <v>21</v>
      </c>
      <c r="N79" s="5"/>
    </row>
    <row r="80">
      <c r="A80" s="1">
        <v>79.0</v>
      </c>
      <c r="B80" s="1" t="s">
        <v>122</v>
      </c>
      <c r="C80" s="1" t="s">
        <v>21</v>
      </c>
      <c r="N80" s="5"/>
    </row>
    <row r="81">
      <c r="A81" s="1">
        <v>80.0</v>
      </c>
      <c r="B81" s="1" t="s">
        <v>123</v>
      </c>
      <c r="C81" s="1" t="s">
        <v>21</v>
      </c>
      <c r="N81" s="5"/>
    </row>
    <row r="82">
      <c r="A82" s="1">
        <v>81.0</v>
      </c>
      <c r="B82" s="1" t="s">
        <v>124</v>
      </c>
      <c r="C82" s="1" t="s">
        <v>21</v>
      </c>
      <c r="N82" s="5"/>
    </row>
    <row r="83">
      <c r="A83" s="1">
        <v>82.0</v>
      </c>
      <c r="B83" s="1" t="s">
        <v>125</v>
      </c>
      <c r="C83" s="1" t="s">
        <v>21</v>
      </c>
      <c r="N83" s="5"/>
    </row>
    <row r="84">
      <c r="A84" s="1">
        <v>83.0</v>
      </c>
      <c r="B84" s="1" t="s">
        <v>126</v>
      </c>
      <c r="C84" s="1" t="s">
        <v>21</v>
      </c>
      <c r="N84" s="5"/>
    </row>
    <row r="85">
      <c r="A85" s="1">
        <v>84.0</v>
      </c>
      <c r="B85" s="1" t="s">
        <v>127</v>
      </c>
      <c r="C85" s="1" t="s">
        <v>21</v>
      </c>
      <c r="I85" s="4"/>
      <c r="N85" s="5"/>
    </row>
    <row r="86">
      <c r="A86" s="1">
        <v>85.0</v>
      </c>
      <c r="B86" s="1" t="s">
        <v>128</v>
      </c>
      <c r="C86" s="1" t="s">
        <v>21</v>
      </c>
      <c r="N86" s="5"/>
    </row>
    <row r="87">
      <c r="A87" s="1">
        <v>86.0</v>
      </c>
      <c r="B87" s="1" t="s">
        <v>129</v>
      </c>
      <c r="C87" s="1" t="s">
        <v>21</v>
      </c>
      <c r="N87" s="5"/>
    </row>
    <row r="88">
      <c r="A88" s="1">
        <v>87.0</v>
      </c>
      <c r="B88" s="1" t="s">
        <v>130</v>
      </c>
      <c r="C88" s="1" t="s">
        <v>21</v>
      </c>
      <c r="N88" s="5"/>
    </row>
    <row r="89">
      <c r="A89" s="1">
        <v>88.0</v>
      </c>
      <c r="B89" s="1" t="s">
        <v>131</v>
      </c>
      <c r="C89" s="1" t="s">
        <v>21</v>
      </c>
      <c r="N89" s="5"/>
    </row>
    <row r="90">
      <c r="A90" s="1">
        <v>89.0</v>
      </c>
      <c r="B90" s="1" t="s">
        <v>132</v>
      </c>
      <c r="C90" s="1" t="s">
        <v>21</v>
      </c>
      <c r="I90" s="4"/>
      <c r="N90" s="5"/>
    </row>
    <row r="91">
      <c r="A91" s="1">
        <v>90.0</v>
      </c>
      <c r="B91" s="1" t="s">
        <v>133</v>
      </c>
      <c r="C91" s="1" t="s">
        <v>21</v>
      </c>
      <c r="N91" s="5"/>
    </row>
    <row r="92">
      <c r="A92" s="1">
        <v>91.0</v>
      </c>
      <c r="B92" s="1" t="s">
        <v>134</v>
      </c>
      <c r="C92" s="1" t="s">
        <v>21</v>
      </c>
      <c r="N92" s="5"/>
    </row>
    <row r="93">
      <c r="A93" s="1">
        <v>92.0</v>
      </c>
      <c r="B93" s="1" t="s">
        <v>135</v>
      </c>
      <c r="C93" s="1" t="s">
        <v>21</v>
      </c>
      <c r="N93" s="5"/>
    </row>
    <row r="94">
      <c r="A94" s="1">
        <v>93.0</v>
      </c>
      <c r="B94" s="1" t="s">
        <v>136</v>
      </c>
      <c r="C94" s="1" t="s">
        <v>21</v>
      </c>
      <c r="N94" s="5"/>
    </row>
    <row r="95">
      <c r="A95" s="1">
        <v>94.0</v>
      </c>
      <c r="B95" s="1" t="s">
        <v>137</v>
      </c>
      <c r="C95" s="1" t="s">
        <v>21</v>
      </c>
      <c r="I95" s="4"/>
      <c r="N95" s="5"/>
    </row>
    <row r="96">
      <c r="A96" s="1">
        <v>95.0</v>
      </c>
      <c r="B96" s="1" t="s">
        <v>138</v>
      </c>
      <c r="C96" s="1" t="s">
        <v>21</v>
      </c>
      <c r="I96" s="4"/>
      <c r="N96" s="5"/>
    </row>
    <row r="97">
      <c r="A97" s="1">
        <v>96.0</v>
      </c>
      <c r="B97" s="1" t="s">
        <v>139</v>
      </c>
      <c r="C97" s="1" t="s">
        <v>21</v>
      </c>
      <c r="N97" s="5"/>
    </row>
    <row r="98">
      <c r="A98" s="1">
        <v>97.0</v>
      </c>
      <c r="B98" s="1" t="s">
        <v>140</v>
      </c>
      <c r="C98" s="1" t="s">
        <v>21</v>
      </c>
      <c r="N98" s="5"/>
    </row>
    <row r="99">
      <c r="A99" s="1">
        <v>98.0</v>
      </c>
      <c r="B99" s="1" t="s">
        <v>141</v>
      </c>
      <c r="C99" s="1" t="s">
        <v>21</v>
      </c>
      <c r="N99" s="5"/>
    </row>
    <row r="100">
      <c r="A100" s="1">
        <v>99.0</v>
      </c>
      <c r="B100" s="1" t="s">
        <v>142</v>
      </c>
      <c r="C100" s="1" t="s">
        <v>21</v>
      </c>
      <c r="I100" s="4"/>
      <c r="N100" s="5"/>
    </row>
    <row r="101">
      <c r="A101" s="1">
        <v>100.0</v>
      </c>
      <c r="B101" s="1" t="s">
        <v>143</v>
      </c>
      <c r="C101" s="1" t="s">
        <v>21</v>
      </c>
      <c r="I101" s="4"/>
      <c r="N101" s="5"/>
    </row>
    <row r="102">
      <c r="A102" s="1">
        <v>101.0</v>
      </c>
      <c r="B102" s="1" t="s">
        <v>144</v>
      </c>
      <c r="C102" s="1" t="s">
        <v>21</v>
      </c>
      <c r="N102" s="5"/>
    </row>
    <row r="103">
      <c r="A103" s="1">
        <v>102.0</v>
      </c>
      <c r="B103" s="1" t="s">
        <v>145</v>
      </c>
      <c r="C103" s="1" t="s">
        <v>21</v>
      </c>
      <c r="N103" s="5"/>
    </row>
    <row r="104">
      <c r="A104" s="1">
        <v>103.0</v>
      </c>
      <c r="B104" s="1" t="s">
        <v>147</v>
      </c>
      <c r="C104" s="1" t="s">
        <v>21</v>
      </c>
      <c r="N104" s="5"/>
    </row>
    <row r="105">
      <c r="A105" s="1">
        <v>104.0</v>
      </c>
      <c r="B105" s="1" t="s">
        <v>148</v>
      </c>
      <c r="C105" s="1" t="s">
        <v>21</v>
      </c>
      <c r="N105" s="5"/>
    </row>
    <row r="106">
      <c r="A106" s="1">
        <v>105.0</v>
      </c>
      <c r="B106" s="1" t="s">
        <v>149</v>
      </c>
      <c r="C106" s="1" t="s">
        <v>21</v>
      </c>
      <c r="N106" s="5"/>
    </row>
    <row r="107">
      <c r="A107" s="1">
        <v>106.0</v>
      </c>
      <c r="B107" s="1" t="s">
        <v>150</v>
      </c>
      <c r="C107" s="1" t="s">
        <v>21</v>
      </c>
      <c r="N107" s="5"/>
    </row>
    <row r="108">
      <c r="A108" s="1">
        <v>107.0</v>
      </c>
      <c r="B108" s="1" t="s">
        <v>151</v>
      </c>
      <c r="C108" s="1" t="s">
        <v>21</v>
      </c>
      <c r="N108" s="5"/>
    </row>
    <row r="109">
      <c r="A109" s="1">
        <v>108.0</v>
      </c>
      <c r="B109" s="1" t="s">
        <v>152</v>
      </c>
      <c r="C109" s="1" t="s">
        <v>21</v>
      </c>
      <c r="N109" s="5"/>
    </row>
    <row r="110">
      <c r="A110" s="1">
        <v>109.0</v>
      </c>
      <c r="B110" s="1" t="s">
        <v>153</v>
      </c>
      <c r="C110" s="1" t="s">
        <v>21</v>
      </c>
      <c r="I110" s="4"/>
      <c r="N110" s="5"/>
    </row>
    <row r="111">
      <c r="A111" s="1">
        <v>110.0</v>
      </c>
      <c r="B111" s="1" t="s">
        <v>154</v>
      </c>
      <c r="C111" s="1" t="s">
        <v>21</v>
      </c>
      <c r="N111" s="5"/>
    </row>
    <row r="112">
      <c r="A112" s="1">
        <v>111.0</v>
      </c>
      <c r="B112" s="1" t="s">
        <v>155</v>
      </c>
      <c r="C112" s="1" t="s">
        <v>21</v>
      </c>
      <c r="N112" s="5"/>
    </row>
    <row r="113">
      <c r="A113" s="1">
        <v>112.0</v>
      </c>
      <c r="B113" s="1" t="s">
        <v>156</v>
      </c>
      <c r="C113" s="1" t="s">
        <v>21</v>
      </c>
      <c r="N113" s="5"/>
    </row>
    <row r="114">
      <c r="A114" s="1">
        <v>113.0</v>
      </c>
      <c r="B114" s="1" t="s">
        <v>157</v>
      </c>
      <c r="C114" s="1" t="s">
        <v>21</v>
      </c>
      <c r="N114" s="5"/>
    </row>
    <row r="115">
      <c r="A115" s="1">
        <v>114.0</v>
      </c>
      <c r="B115" s="1" t="s">
        <v>158</v>
      </c>
      <c r="C115" s="1" t="s">
        <v>21</v>
      </c>
      <c r="N115" s="5"/>
    </row>
    <row r="116">
      <c r="A116" s="1">
        <v>115.0</v>
      </c>
      <c r="B116" s="1" t="s">
        <v>159</v>
      </c>
      <c r="C116" s="1" t="s">
        <v>21</v>
      </c>
      <c r="N116" s="5"/>
    </row>
    <row r="117">
      <c r="A117" s="1">
        <v>116.0</v>
      </c>
      <c r="B117" s="1" t="s">
        <v>160</v>
      </c>
      <c r="C117" s="1" t="s">
        <v>21</v>
      </c>
      <c r="N117" s="5"/>
    </row>
    <row r="118">
      <c r="A118" s="1">
        <v>117.0</v>
      </c>
      <c r="B118" s="1" t="s">
        <v>161</v>
      </c>
      <c r="C118" s="1" t="s">
        <v>21</v>
      </c>
      <c r="N118" s="5"/>
    </row>
    <row r="119">
      <c r="A119" s="1">
        <v>118.0</v>
      </c>
      <c r="B119" s="1" t="s">
        <v>162</v>
      </c>
      <c r="C119" s="1" t="s">
        <v>21</v>
      </c>
      <c r="N119" s="5"/>
    </row>
    <row r="120">
      <c r="A120" s="1">
        <v>119.0</v>
      </c>
      <c r="B120" s="1" t="s">
        <v>163</v>
      </c>
      <c r="C120" s="1" t="s">
        <v>21</v>
      </c>
      <c r="N120" s="5"/>
    </row>
    <row r="121">
      <c r="A121" s="1">
        <v>120.0</v>
      </c>
      <c r="B121" s="1" t="s">
        <v>164</v>
      </c>
      <c r="C121" s="1" t="s">
        <v>21</v>
      </c>
      <c r="N121" s="5"/>
    </row>
    <row r="122">
      <c r="A122" s="1">
        <v>121.0</v>
      </c>
      <c r="B122" s="1" t="s">
        <v>165</v>
      </c>
      <c r="C122" s="1" t="s">
        <v>21</v>
      </c>
      <c r="N122" s="5"/>
    </row>
    <row r="123">
      <c r="A123" s="1">
        <v>122.0</v>
      </c>
      <c r="B123" s="1" t="s">
        <v>166</v>
      </c>
      <c r="C123" s="1" t="s">
        <v>21</v>
      </c>
      <c r="N123" s="5"/>
    </row>
    <row r="124">
      <c r="A124" s="1">
        <v>123.0</v>
      </c>
      <c r="B124" s="1" t="s">
        <v>167</v>
      </c>
      <c r="C124" s="1" t="s">
        <v>21</v>
      </c>
      <c r="N124" s="5"/>
    </row>
    <row r="125">
      <c r="A125" s="1">
        <v>124.0</v>
      </c>
      <c r="B125" s="1" t="s">
        <v>168</v>
      </c>
      <c r="C125" s="1" t="s">
        <v>21</v>
      </c>
      <c r="N125" s="5"/>
    </row>
    <row r="126">
      <c r="A126" s="1">
        <v>125.0</v>
      </c>
      <c r="B126" s="1" t="s">
        <v>169</v>
      </c>
      <c r="C126" s="1" t="s">
        <v>21</v>
      </c>
      <c r="I126" s="4"/>
      <c r="N126" s="5"/>
    </row>
    <row r="127">
      <c r="A127" s="1">
        <v>126.0</v>
      </c>
      <c r="B127" s="1" t="s">
        <v>170</v>
      </c>
      <c r="C127" s="1" t="s">
        <v>21</v>
      </c>
      <c r="N127" s="5"/>
    </row>
    <row r="128">
      <c r="A128" s="1">
        <v>127.0</v>
      </c>
      <c r="B128" s="1" t="s">
        <v>171</v>
      </c>
      <c r="C128" s="1" t="s">
        <v>21</v>
      </c>
      <c r="N128" s="5"/>
    </row>
    <row r="129">
      <c r="A129" s="1">
        <v>128.0</v>
      </c>
      <c r="B129" s="1" t="s">
        <v>172</v>
      </c>
      <c r="C129" s="1" t="s">
        <v>21</v>
      </c>
      <c r="N129" s="5"/>
    </row>
    <row r="130">
      <c r="A130" s="1">
        <v>129.0</v>
      </c>
      <c r="B130" s="1" t="s">
        <v>173</v>
      </c>
      <c r="C130" s="1" t="s">
        <v>21</v>
      </c>
      <c r="N130" s="5"/>
    </row>
    <row r="131">
      <c r="A131" s="1">
        <v>130.0</v>
      </c>
      <c r="B131" s="1" t="s">
        <v>174</v>
      </c>
      <c r="C131" s="1" t="s">
        <v>21</v>
      </c>
      <c r="N131" s="5"/>
    </row>
    <row r="132">
      <c r="A132" s="1">
        <v>131.0</v>
      </c>
      <c r="B132" s="1" t="s">
        <v>175</v>
      </c>
      <c r="C132" s="1" t="s">
        <v>21</v>
      </c>
      <c r="N132" s="5"/>
    </row>
    <row r="133">
      <c r="A133" s="1">
        <v>132.0</v>
      </c>
      <c r="B133" s="1" t="s">
        <v>176</v>
      </c>
      <c r="C133" s="1" t="s">
        <v>21</v>
      </c>
      <c r="N133" s="5"/>
    </row>
    <row r="134">
      <c r="A134" s="1">
        <v>133.0</v>
      </c>
      <c r="B134" s="1" t="s">
        <v>177</v>
      </c>
      <c r="C134" s="1" t="s">
        <v>21</v>
      </c>
      <c r="I134" s="4"/>
      <c r="N134" s="5"/>
    </row>
    <row r="135">
      <c r="A135" s="1">
        <v>134.0</v>
      </c>
      <c r="B135" s="1" t="s">
        <v>178</v>
      </c>
      <c r="C135" s="1" t="s">
        <v>21</v>
      </c>
      <c r="N135" s="5"/>
    </row>
    <row r="136">
      <c r="A136" s="1">
        <v>135.0</v>
      </c>
      <c r="B136" s="1" t="s">
        <v>179</v>
      </c>
      <c r="C136" s="1" t="s">
        <v>21</v>
      </c>
      <c r="N136" s="5"/>
    </row>
    <row r="137">
      <c r="A137" s="1">
        <v>136.0</v>
      </c>
      <c r="B137" s="1" t="s">
        <v>180</v>
      </c>
      <c r="C137" s="1" t="s">
        <v>21</v>
      </c>
      <c r="N137" s="5"/>
    </row>
    <row r="138">
      <c r="A138" s="1">
        <v>137.0</v>
      </c>
      <c r="B138" s="1" t="s">
        <v>181</v>
      </c>
      <c r="C138" s="1" t="s">
        <v>21</v>
      </c>
      <c r="N138" s="5"/>
    </row>
    <row r="139">
      <c r="A139" s="1">
        <v>138.0</v>
      </c>
      <c r="B139" s="1" t="s">
        <v>183</v>
      </c>
      <c r="C139" s="1" t="s">
        <v>21</v>
      </c>
      <c r="N139" s="5"/>
    </row>
    <row r="140">
      <c r="A140" s="1">
        <v>139.0</v>
      </c>
      <c r="B140" s="1" t="s">
        <v>184</v>
      </c>
      <c r="C140" s="1" t="s">
        <v>21</v>
      </c>
      <c r="N140" s="5"/>
    </row>
    <row r="141">
      <c r="A141" s="1">
        <v>140.0</v>
      </c>
      <c r="B141" s="1" t="s">
        <v>185</v>
      </c>
      <c r="C141" s="1" t="s">
        <v>21</v>
      </c>
      <c r="N141" s="5"/>
    </row>
    <row r="142">
      <c r="A142" s="1">
        <v>141.0</v>
      </c>
      <c r="B142" s="1" t="s">
        <v>186</v>
      </c>
      <c r="C142" s="1" t="s">
        <v>21</v>
      </c>
      <c r="N142" s="5"/>
    </row>
    <row r="143">
      <c r="A143" s="1">
        <v>142.0</v>
      </c>
      <c r="B143" s="1" t="s">
        <v>187</v>
      </c>
      <c r="C143" s="1" t="s">
        <v>21</v>
      </c>
      <c r="I143" s="4"/>
      <c r="N143" s="5"/>
    </row>
    <row r="144">
      <c r="A144" s="1">
        <v>143.0</v>
      </c>
      <c r="B144" s="1" t="s">
        <v>188</v>
      </c>
      <c r="C144" s="1" t="s">
        <v>21</v>
      </c>
      <c r="N144" s="5"/>
    </row>
    <row r="145">
      <c r="A145" s="1">
        <v>144.0</v>
      </c>
      <c r="B145" s="1" t="s">
        <v>189</v>
      </c>
      <c r="C145" s="1" t="s">
        <v>21</v>
      </c>
      <c r="I145" s="4"/>
      <c r="N145" s="5"/>
    </row>
    <row r="146">
      <c r="A146" s="1">
        <v>145.0</v>
      </c>
      <c r="B146" s="1" t="s">
        <v>190</v>
      </c>
      <c r="C146" s="1" t="s">
        <v>21</v>
      </c>
      <c r="N146" s="5"/>
    </row>
    <row r="147">
      <c r="A147" s="1">
        <v>146.0</v>
      </c>
      <c r="B147" s="1" t="s">
        <v>191</v>
      </c>
      <c r="C147" s="1" t="s">
        <v>21</v>
      </c>
      <c r="N147" s="5"/>
    </row>
    <row r="148">
      <c r="A148" s="1">
        <v>147.0</v>
      </c>
      <c r="B148" s="1" t="s">
        <v>192</v>
      </c>
      <c r="C148" s="1" t="s">
        <v>21</v>
      </c>
      <c r="N148" s="5"/>
    </row>
    <row r="149">
      <c r="A149" s="1">
        <v>148.0</v>
      </c>
      <c r="B149" s="1" t="s">
        <v>193</v>
      </c>
      <c r="C149" s="1" t="s">
        <v>21</v>
      </c>
      <c r="N149" s="5"/>
    </row>
    <row r="150">
      <c r="A150" s="1">
        <v>149.0</v>
      </c>
      <c r="B150" s="1" t="s">
        <v>194</v>
      </c>
      <c r="C150" s="1" t="s">
        <v>21</v>
      </c>
      <c r="I150" s="4"/>
      <c r="N150" s="5"/>
    </row>
    <row r="151">
      <c r="A151" s="1">
        <v>150.0</v>
      </c>
      <c r="B151" s="1" t="s">
        <v>195</v>
      </c>
      <c r="C151" s="1" t="s">
        <v>21</v>
      </c>
      <c r="N151" s="5"/>
    </row>
    <row r="152">
      <c r="A152" s="1">
        <v>151.0</v>
      </c>
      <c r="B152" s="1" t="s">
        <v>196</v>
      </c>
      <c r="C152" s="1" t="s">
        <v>21</v>
      </c>
      <c r="N152" s="5"/>
    </row>
    <row r="153">
      <c r="A153" s="1">
        <v>152.0</v>
      </c>
      <c r="B153" s="1" t="s">
        <v>197</v>
      </c>
      <c r="C153" s="1" t="s">
        <v>21</v>
      </c>
      <c r="N153" s="5"/>
    </row>
    <row r="154">
      <c r="A154" s="1">
        <v>153.0</v>
      </c>
      <c r="B154" s="1" t="s">
        <v>198</v>
      </c>
      <c r="C154" s="1" t="s">
        <v>21</v>
      </c>
      <c r="N154" s="5"/>
    </row>
    <row r="155">
      <c r="A155" s="1">
        <v>154.0</v>
      </c>
      <c r="B155" s="1" t="s">
        <v>199</v>
      </c>
      <c r="C155" s="1" t="s">
        <v>21</v>
      </c>
      <c r="N155" s="5"/>
    </row>
    <row r="156">
      <c r="A156" s="1">
        <v>155.0</v>
      </c>
      <c r="B156" s="1" t="s">
        <v>200</v>
      </c>
      <c r="C156" s="1" t="s">
        <v>21</v>
      </c>
      <c r="N156" s="5"/>
    </row>
    <row r="157">
      <c r="A157" s="1">
        <v>156.0</v>
      </c>
      <c r="B157" s="1" t="s">
        <v>201</v>
      </c>
      <c r="C157" s="1" t="s">
        <v>21</v>
      </c>
      <c r="N157" s="5"/>
    </row>
    <row r="158">
      <c r="A158" s="1">
        <v>157.0</v>
      </c>
      <c r="B158" s="1" t="s">
        <v>202</v>
      </c>
      <c r="C158" s="1" t="s">
        <v>21</v>
      </c>
      <c r="N158" s="5"/>
    </row>
    <row r="159">
      <c r="A159" s="1">
        <v>158.0</v>
      </c>
      <c r="B159" s="1" t="s">
        <v>203</v>
      </c>
      <c r="C159" s="1" t="s">
        <v>21</v>
      </c>
      <c r="N159" s="5"/>
    </row>
    <row r="160">
      <c r="A160" s="1">
        <v>159.0</v>
      </c>
      <c r="B160" s="1" t="s">
        <v>204</v>
      </c>
      <c r="C160" s="1" t="s">
        <v>21</v>
      </c>
      <c r="N160" s="5"/>
    </row>
    <row r="161">
      <c r="A161" s="1">
        <v>160.0</v>
      </c>
      <c r="B161" s="1" t="s">
        <v>205</v>
      </c>
      <c r="C161" s="1" t="s">
        <v>21</v>
      </c>
      <c r="I161" s="4"/>
      <c r="N161" s="5"/>
    </row>
    <row r="162">
      <c r="A162" s="1">
        <v>161.0</v>
      </c>
      <c r="B162" s="1" t="s">
        <v>206</v>
      </c>
      <c r="C162" s="1" t="s">
        <v>21</v>
      </c>
      <c r="N162" s="5"/>
    </row>
    <row r="163">
      <c r="A163" s="1">
        <v>162.0</v>
      </c>
      <c r="B163" s="1" t="s">
        <v>208</v>
      </c>
      <c r="C163" s="1" t="s">
        <v>21</v>
      </c>
      <c r="N163" s="5"/>
    </row>
    <row r="164">
      <c r="A164" s="1">
        <v>163.0</v>
      </c>
      <c r="B164" s="1" t="s">
        <v>209</v>
      </c>
      <c r="C164" s="1" t="s">
        <v>21</v>
      </c>
      <c r="N164" s="5"/>
    </row>
    <row r="165">
      <c r="A165" s="1">
        <v>164.0</v>
      </c>
      <c r="B165" s="1" t="s">
        <v>210</v>
      </c>
      <c r="C165" s="1" t="s">
        <v>21</v>
      </c>
      <c r="N165" s="5"/>
    </row>
    <row r="166">
      <c r="A166" s="1">
        <v>165.0</v>
      </c>
      <c r="B166" s="1" t="s">
        <v>211</v>
      </c>
      <c r="C166" s="1" t="s">
        <v>21</v>
      </c>
      <c r="N166" s="5"/>
    </row>
    <row r="167">
      <c r="A167" s="1">
        <v>166.0</v>
      </c>
      <c r="B167" s="1" t="s">
        <v>212</v>
      </c>
      <c r="C167" s="1" t="s">
        <v>21</v>
      </c>
      <c r="N167" s="5"/>
    </row>
    <row r="168">
      <c r="A168" s="1">
        <v>167.0</v>
      </c>
      <c r="B168" s="1" t="s">
        <v>213</v>
      </c>
      <c r="C168" s="1" t="s">
        <v>21</v>
      </c>
      <c r="N168" s="5"/>
    </row>
    <row r="169">
      <c r="A169" s="1">
        <v>168.0</v>
      </c>
      <c r="B169" s="1" t="s">
        <v>214</v>
      </c>
      <c r="C169" s="1" t="s">
        <v>21</v>
      </c>
      <c r="N169" s="5"/>
    </row>
    <row r="170">
      <c r="A170" s="1">
        <v>169.0</v>
      </c>
      <c r="B170" s="1" t="s">
        <v>215</v>
      </c>
      <c r="C170" s="1" t="s">
        <v>21</v>
      </c>
      <c r="N170" s="5"/>
    </row>
    <row r="171">
      <c r="A171" s="1">
        <v>170.0</v>
      </c>
      <c r="B171" s="1" t="s">
        <v>216</v>
      </c>
      <c r="C171" s="1" t="s">
        <v>21</v>
      </c>
      <c r="N171" s="5"/>
    </row>
    <row r="172">
      <c r="A172" s="1">
        <v>171.0</v>
      </c>
      <c r="B172" s="1" t="s">
        <v>217</v>
      </c>
      <c r="C172" s="1" t="s">
        <v>21</v>
      </c>
      <c r="N172" s="5"/>
    </row>
    <row r="173">
      <c r="A173" s="1">
        <v>172.0</v>
      </c>
      <c r="B173" s="1" t="s">
        <v>218</v>
      </c>
      <c r="C173" s="1" t="s">
        <v>21</v>
      </c>
      <c r="N173" s="5"/>
    </row>
    <row r="174">
      <c r="A174" s="1">
        <v>173.0</v>
      </c>
      <c r="B174" s="1" t="s">
        <v>219</v>
      </c>
      <c r="C174" s="1" t="s">
        <v>21</v>
      </c>
      <c r="N174" s="5"/>
    </row>
    <row r="175">
      <c r="A175" s="1">
        <v>174.0</v>
      </c>
      <c r="B175" s="1" t="s">
        <v>220</v>
      </c>
      <c r="C175" s="1" t="s">
        <v>21</v>
      </c>
      <c r="N175" s="5"/>
    </row>
    <row r="176">
      <c r="A176" s="1">
        <v>175.0</v>
      </c>
      <c r="B176" s="1" t="s">
        <v>221</v>
      </c>
      <c r="C176" s="1" t="s">
        <v>21</v>
      </c>
      <c r="N176" s="5"/>
    </row>
    <row r="177">
      <c r="A177" s="1">
        <v>176.0</v>
      </c>
      <c r="B177" s="1" t="s">
        <v>222</v>
      </c>
      <c r="C177" s="1" t="s">
        <v>21</v>
      </c>
      <c r="N177" s="5"/>
    </row>
    <row r="178">
      <c r="A178" s="1">
        <v>177.0</v>
      </c>
      <c r="B178" s="1" t="s">
        <v>223</v>
      </c>
      <c r="C178" s="1" t="s">
        <v>21</v>
      </c>
      <c r="N178" s="5"/>
    </row>
    <row r="179">
      <c r="A179" s="1">
        <v>178.0</v>
      </c>
      <c r="B179" s="1" t="s">
        <v>224</v>
      </c>
      <c r="C179" s="1" t="s">
        <v>21</v>
      </c>
      <c r="N179" s="5"/>
    </row>
    <row r="180">
      <c r="A180" s="1">
        <v>179.0</v>
      </c>
      <c r="B180" s="1" t="s">
        <v>225</v>
      </c>
      <c r="C180" s="1" t="s">
        <v>21</v>
      </c>
      <c r="I180" s="4"/>
      <c r="N180" s="5"/>
    </row>
    <row r="181">
      <c r="A181" s="1">
        <v>180.0</v>
      </c>
      <c r="B181" s="1" t="s">
        <v>226</v>
      </c>
      <c r="C181" s="1" t="s">
        <v>21</v>
      </c>
      <c r="N181" s="5"/>
    </row>
    <row r="182">
      <c r="A182" s="1">
        <v>181.0</v>
      </c>
      <c r="B182" s="1" t="s">
        <v>227</v>
      </c>
      <c r="C182" s="1" t="s">
        <v>21</v>
      </c>
      <c r="N182" s="5"/>
    </row>
    <row r="183">
      <c r="A183" s="1">
        <v>182.0</v>
      </c>
      <c r="B183" s="1" t="s">
        <v>228</v>
      </c>
      <c r="C183" s="1" t="s">
        <v>21</v>
      </c>
      <c r="N183" s="5"/>
    </row>
    <row r="184">
      <c r="A184" s="1">
        <v>183.0</v>
      </c>
      <c r="B184" s="1" t="s">
        <v>229</v>
      </c>
      <c r="C184" s="1" t="s">
        <v>21</v>
      </c>
      <c r="N184" s="5"/>
    </row>
    <row r="185">
      <c r="A185" s="1">
        <v>184.0</v>
      </c>
      <c r="B185" s="1" t="s">
        <v>230</v>
      </c>
      <c r="C185" s="1" t="s">
        <v>21</v>
      </c>
      <c r="N185" s="5"/>
    </row>
    <row r="186">
      <c r="A186" s="1">
        <v>185.0</v>
      </c>
      <c r="B186" s="1" t="s">
        <v>231</v>
      </c>
      <c r="C186" s="1" t="s">
        <v>21</v>
      </c>
      <c r="N186" s="5"/>
    </row>
    <row r="187">
      <c r="A187" s="1">
        <v>186.0</v>
      </c>
      <c r="B187" s="1" t="s">
        <v>232</v>
      </c>
      <c r="C187" s="1" t="s">
        <v>21</v>
      </c>
      <c r="N187" s="5"/>
    </row>
    <row r="188">
      <c r="A188" s="1">
        <v>187.0</v>
      </c>
      <c r="B188" s="1" t="s">
        <v>233</v>
      </c>
      <c r="C188" s="1" t="s">
        <v>21</v>
      </c>
      <c r="N188" s="5"/>
    </row>
    <row r="189">
      <c r="A189" s="1">
        <v>188.0</v>
      </c>
      <c r="B189" s="1" t="s">
        <v>234</v>
      </c>
      <c r="C189" s="1" t="s">
        <v>21</v>
      </c>
      <c r="N189" s="5"/>
    </row>
    <row r="190">
      <c r="A190" s="1">
        <v>189.0</v>
      </c>
      <c r="B190" s="1" t="s">
        <v>235</v>
      </c>
      <c r="C190" s="1" t="s">
        <v>21</v>
      </c>
      <c r="N190" s="5"/>
    </row>
    <row r="191">
      <c r="A191" s="1">
        <v>190.0</v>
      </c>
      <c r="B191" s="1" t="s">
        <v>236</v>
      </c>
      <c r="C191" s="1" t="s">
        <v>21</v>
      </c>
      <c r="N191" s="5"/>
    </row>
    <row r="192">
      <c r="A192" s="1">
        <v>191.0</v>
      </c>
      <c r="B192" s="1" t="s">
        <v>237</v>
      </c>
      <c r="C192" s="1" t="s">
        <v>21</v>
      </c>
      <c r="N192" s="5"/>
    </row>
    <row r="193">
      <c r="A193" s="1">
        <v>192.0</v>
      </c>
      <c r="B193" s="1" t="s">
        <v>239</v>
      </c>
      <c r="C193" s="1" t="s">
        <v>21</v>
      </c>
      <c r="N193" s="5"/>
    </row>
    <row r="194">
      <c r="A194" s="1">
        <v>193.0</v>
      </c>
      <c r="B194" s="1" t="s">
        <v>240</v>
      </c>
      <c r="C194" s="1" t="s">
        <v>21</v>
      </c>
      <c r="N194" s="5"/>
    </row>
    <row r="195">
      <c r="A195" s="1">
        <v>194.0</v>
      </c>
      <c r="B195" s="1" t="s">
        <v>241</v>
      </c>
      <c r="C195" s="1" t="s">
        <v>21</v>
      </c>
      <c r="N195" s="5"/>
    </row>
    <row r="196">
      <c r="A196" s="1">
        <v>195.0</v>
      </c>
      <c r="B196" s="1" t="s">
        <v>242</v>
      </c>
      <c r="C196" s="1" t="s">
        <v>21</v>
      </c>
      <c r="N196" s="5"/>
    </row>
    <row r="197">
      <c r="A197" s="1">
        <v>196.0</v>
      </c>
      <c r="B197" s="1" t="s">
        <v>243</v>
      </c>
      <c r="C197" s="1" t="s">
        <v>21</v>
      </c>
      <c r="N197" s="5"/>
    </row>
    <row r="198">
      <c r="A198" s="1">
        <v>197.0</v>
      </c>
      <c r="B198" s="1" t="s">
        <v>244</v>
      </c>
      <c r="C198" s="1" t="s">
        <v>21</v>
      </c>
      <c r="N198" s="5"/>
    </row>
    <row r="199">
      <c r="A199" s="1">
        <v>198.0</v>
      </c>
      <c r="B199" s="1" t="s">
        <v>245</v>
      </c>
      <c r="C199" s="1" t="s">
        <v>21</v>
      </c>
      <c r="N199" s="5"/>
    </row>
    <row r="200">
      <c r="A200" s="1">
        <v>199.0</v>
      </c>
      <c r="B200" s="1" t="s">
        <v>246</v>
      </c>
      <c r="C200" s="1" t="s">
        <v>21</v>
      </c>
      <c r="N200" s="5"/>
    </row>
    <row r="201">
      <c r="A201" s="1">
        <v>200.0</v>
      </c>
      <c r="B201" s="1" t="s">
        <v>247</v>
      </c>
      <c r="C201" s="1" t="s">
        <v>21</v>
      </c>
      <c r="N201" s="5"/>
    </row>
    <row r="202">
      <c r="I202" s="4"/>
      <c r="N202" s="5"/>
    </row>
    <row r="203">
      <c r="N203" s="5"/>
    </row>
    <row r="204">
      <c r="N204" s="5"/>
    </row>
    <row r="205">
      <c r="N205" s="5"/>
    </row>
    <row r="206">
      <c r="N206" s="5"/>
    </row>
    <row r="207">
      <c r="N207" s="5"/>
    </row>
    <row r="208">
      <c r="N208" s="5"/>
    </row>
    <row r="209">
      <c r="N209" s="5"/>
    </row>
    <row r="210">
      <c r="N210" s="5"/>
    </row>
    <row r="211">
      <c r="N211" s="5"/>
    </row>
    <row r="212">
      <c r="N212" s="5"/>
    </row>
    <row r="213">
      <c r="N213" s="5"/>
    </row>
    <row r="214">
      <c r="N214" s="5"/>
    </row>
    <row r="215">
      <c r="N215" s="5"/>
    </row>
    <row r="216">
      <c r="N216" s="5"/>
    </row>
    <row r="217">
      <c r="N217" s="5"/>
    </row>
    <row r="218">
      <c r="N218" s="5"/>
    </row>
    <row r="219">
      <c r="N219" s="5"/>
    </row>
    <row r="220">
      <c r="N220" s="5"/>
    </row>
    <row r="221">
      <c r="N221" s="5"/>
    </row>
    <row r="222">
      <c r="N222" s="5"/>
    </row>
    <row r="223">
      <c r="N223" s="5"/>
    </row>
    <row r="224">
      <c r="N224" s="5"/>
    </row>
    <row r="225">
      <c r="N225" s="5"/>
    </row>
    <row r="226">
      <c r="N226" s="5"/>
    </row>
    <row r="227">
      <c r="N227" s="5"/>
    </row>
    <row r="228">
      <c r="N228" s="5"/>
    </row>
    <row r="229">
      <c r="N229" s="5"/>
    </row>
    <row r="230">
      <c r="N230" s="5"/>
    </row>
    <row r="231">
      <c r="N231" s="5"/>
    </row>
    <row r="232">
      <c r="N232" s="5"/>
    </row>
    <row r="233">
      <c r="N233" s="5"/>
    </row>
    <row r="234">
      <c r="N234" s="5"/>
    </row>
    <row r="235">
      <c r="N235" s="5"/>
    </row>
    <row r="236">
      <c r="N236" s="5"/>
    </row>
    <row r="237">
      <c r="N237" s="5"/>
    </row>
    <row r="238">
      <c r="N238" s="5"/>
    </row>
    <row r="239">
      <c r="N239" s="5"/>
    </row>
    <row r="240">
      <c r="N240" s="5"/>
    </row>
    <row r="241">
      <c r="N241" s="5"/>
    </row>
    <row r="242">
      <c r="N242" s="5"/>
    </row>
    <row r="243">
      <c r="N243" s="5"/>
    </row>
    <row r="244">
      <c r="N244" s="5"/>
    </row>
    <row r="245">
      <c r="N245" s="5"/>
    </row>
    <row r="246">
      <c r="N246" s="5"/>
    </row>
    <row r="247">
      <c r="N247" s="5"/>
    </row>
    <row r="248">
      <c r="N248" s="5"/>
    </row>
    <row r="249">
      <c r="I249" s="4"/>
      <c r="N249" s="5"/>
    </row>
    <row r="250">
      <c r="N250" s="5"/>
    </row>
    <row r="251">
      <c r="N251" s="5"/>
    </row>
    <row r="252">
      <c r="N252" s="5"/>
    </row>
    <row r="253">
      <c r="N253" s="5"/>
    </row>
    <row r="254">
      <c r="N254" s="5"/>
    </row>
    <row r="255">
      <c r="N255" s="5"/>
    </row>
    <row r="256">
      <c r="N256" s="5"/>
    </row>
    <row r="257">
      <c r="N257" s="5"/>
    </row>
    <row r="258">
      <c r="N258" s="5"/>
    </row>
    <row r="259">
      <c r="N259" s="5"/>
    </row>
    <row r="260">
      <c r="N260" s="5"/>
    </row>
    <row r="261">
      <c r="I261" s="4"/>
      <c r="N261" s="5"/>
    </row>
    <row r="262">
      <c r="N262" s="5"/>
    </row>
    <row r="263">
      <c r="N263" s="5"/>
    </row>
    <row r="264">
      <c r="N264" s="5"/>
    </row>
    <row r="265">
      <c r="N265" s="5"/>
    </row>
    <row r="266">
      <c r="N266" s="5"/>
    </row>
    <row r="267">
      <c r="N267" s="5"/>
    </row>
    <row r="268">
      <c r="N268" s="5"/>
    </row>
    <row r="269">
      <c r="N269" s="5"/>
    </row>
    <row r="270">
      <c r="N270" s="5"/>
    </row>
    <row r="271">
      <c r="N271" s="5"/>
    </row>
    <row r="272">
      <c r="N272" s="5"/>
    </row>
    <row r="273">
      <c r="N273" s="5"/>
    </row>
    <row r="274">
      <c r="N274" s="5"/>
    </row>
    <row r="275">
      <c r="N275" s="5"/>
    </row>
    <row r="276">
      <c r="N276" s="5"/>
    </row>
    <row r="277">
      <c r="N277" s="5"/>
    </row>
    <row r="278">
      <c r="N278" s="5"/>
    </row>
    <row r="279">
      <c r="N279" s="5"/>
    </row>
    <row r="280">
      <c r="N280" s="5"/>
    </row>
    <row r="281">
      <c r="N281" s="5"/>
    </row>
    <row r="282">
      <c r="N282" s="5"/>
    </row>
    <row r="283">
      <c r="N283" s="5"/>
    </row>
    <row r="284">
      <c r="N284" s="5"/>
    </row>
    <row r="285">
      <c r="N285" s="5"/>
    </row>
    <row r="286">
      <c r="N286" s="5"/>
    </row>
    <row r="287">
      <c r="N287" s="5"/>
    </row>
    <row r="288">
      <c r="N288" s="5"/>
    </row>
    <row r="289">
      <c r="N289" s="5"/>
    </row>
    <row r="290">
      <c r="N290" s="5"/>
    </row>
    <row r="291">
      <c r="N291" s="5"/>
    </row>
    <row r="292">
      <c r="N292" s="5"/>
    </row>
    <row r="293">
      <c r="N293" s="5"/>
    </row>
    <row r="294">
      <c r="N294" s="5"/>
    </row>
    <row r="295">
      <c r="N295" s="5"/>
    </row>
    <row r="296">
      <c r="N296" s="5"/>
    </row>
    <row r="297">
      <c r="N297" s="5"/>
    </row>
    <row r="298">
      <c r="N298" s="5"/>
    </row>
    <row r="299">
      <c r="N299" s="5"/>
    </row>
    <row r="300">
      <c r="N300" s="5"/>
    </row>
    <row r="301">
      <c r="N301" s="5"/>
    </row>
    <row r="302">
      <c r="N302" s="5"/>
    </row>
    <row r="303">
      <c r="N303" s="5"/>
    </row>
    <row r="304">
      <c r="N304" s="5"/>
    </row>
    <row r="305">
      <c r="N305" s="5"/>
    </row>
    <row r="306">
      <c r="N306" s="5"/>
    </row>
    <row r="307">
      <c r="N307" s="5"/>
    </row>
    <row r="308">
      <c r="N308" s="5"/>
    </row>
    <row r="309">
      <c r="N309" s="5"/>
    </row>
    <row r="310">
      <c r="N310" s="5"/>
    </row>
    <row r="311">
      <c r="N311" s="5"/>
    </row>
    <row r="312">
      <c r="N312" s="5"/>
    </row>
    <row r="313">
      <c r="N313" s="5"/>
    </row>
    <row r="314">
      <c r="N314" s="5"/>
    </row>
    <row r="315">
      <c r="N315" s="5"/>
    </row>
    <row r="316">
      <c r="N316" s="5"/>
    </row>
    <row r="317">
      <c r="N317" s="5"/>
    </row>
    <row r="318">
      <c r="N318" s="5"/>
    </row>
    <row r="319">
      <c r="N319" s="5"/>
    </row>
    <row r="320">
      <c r="N320" s="5"/>
    </row>
    <row r="321">
      <c r="N321" s="5"/>
    </row>
    <row r="322">
      <c r="N322" s="5"/>
    </row>
    <row r="323">
      <c r="N323" s="5"/>
    </row>
    <row r="324">
      <c r="N324" s="5"/>
    </row>
    <row r="325">
      <c r="N325" s="5"/>
    </row>
    <row r="326">
      <c r="N326" s="5"/>
    </row>
    <row r="327">
      <c r="N327" s="5"/>
    </row>
    <row r="328">
      <c r="N328" s="5"/>
    </row>
    <row r="329">
      <c r="N329" s="5"/>
    </row>
    <row r="330">
      <c r="N330" s="5"/>
    </row>
    <row r="331">
      <c r="N331" s="5"/>
    </row>
    <row r="332">
      <c r="N332" s="5"/>
    </row>
    <row r="333">
      <c r="N333" s="5"/>
    </row>
    <row r="334">
      <c r="N334" s="5"/>
    </row>
    <row r="335">
      <c r="N335" s="5"/>
    </row>
    <row r="336">
      <c r="N336" s="5"/>
    </row>
    <row r="337">
      <c r="N337" s="5"/>
    </row>
    <row r="338">
      <c r="N338" s="5"/>
    </row>
    <row r="339">
      <c r="N339" s="5"/>
    </row>
    <row r="340">
      <c r="N340" s="5"/>
    </row>
    <row r="341">
      <c r="N341" s="5"/>
    </row>
    <row r="342">
      <c r="N342" s="5"/>
    </row>
    <row r="343">
      <c r="N343" s="5"/>
    </row>
    <row r="344">
      <c r="N344" s="5"/>
    </row>
    <row r="345">
      <c r="N345" s="5"/>
    </row>
    <row r="346">
      <c r="N346" s="5"/>
    </row>
    <row r="347">
      <c r="N347" s="5"/>
    </row>
    <row r="348">
      <c r="N348" s="5"/>
    </row>
    <row r="349">
      <c r="N349" s="5"/>
    </row>
    <row r="350">
      <c r="N350" s="5"/>
    </row>
    <row r="351">
      <c r="N351" s="5"/>
    </row>
    <row r="352">
      <c r="N352" s="5"/>
    </row>
    <row r="353">
      <c r="N353" s="5"/>
    </row>
    <row r="354">
      <c r="N354" s="5"/>
    </row>
    <row r="355">
      <c r="N355" s="5"/>
    </row>
    <row r="356">
      <c r="N356" s="5"/>
    </row>
    <row r="357">
      <c r="N357" s="5"/>
    </row>
    <row r="358">
      <c r="N358" s="5"/>
    </row>
    <row r="359">
      <c r="N359" s="5"/>
    </row>
    <row r="360">
      <c r="N360" s="5"/>
    </row>
    <row r="361">
      <c r="N361" s="5"/>
    </row>
    <row r="362">
      <c r="N362" s="5"/>
    </row>
    <row r="363">
      <c r="N363" s="5"/>
    </row>
    <row r="364">
      <c r="N364" s="5"/>
    </row>
    <row r="365">
      <c r="N365" s="5"/>
    </row>
    <row r="366">
      <c r="N366" s="5"/>
    </row>
    <row r="367">
      <c r="N367" s="5"/>
    </row>
    <row r="368">
      <c r="N368" s="5"/>
    </row>
    <row r="369">
      <c r="N369" s="5"/>
    </row>
    <row r="370">
      <c r="N370" s="5"/>
    </row>
    <row r="371">
      <c r="N371" s="5"/>
    </row>
    <row r="372">
      <c r="N372" s="5"/>
    </row>
    <row r="373">
      <c r="N373" s="5"/>
    </row>
    <row r="374">
      <c r="N374" s="5"/>
    </row>
    <row r="375">
      <c r="N375" s="5"/>
    </row>
    <row r="376">
      <c r="N376" s="5"/>
    </row>
    <row r="377">
      <c r="N377" s="5"/>
    </row>
    <row r="378">
      <c r="N378" s="5"/>
    </row>
    <row r="379">
      <c r="N379" s="5"/>
    </row>
    <row r="380">
      <c r="N380" s="5"/>
    </row>
    <row r="381">
      <c r="N381" s="5"/>
    </row>
    <row r="382">
      <c r="N382" s="5"/>
    </row>
    <row r="383">
      <c r="N383" s="5"/>
    </row>
    <row r="384">
      <c r="N384" s="5"/>
    </row>
    <row r="385">
      <c r="N385" s="5"/>
    </row>
    <row r="386">
      <c r="N386" s="5"/>
    </row>
    <row r="387">
      <c r="N387" s="5"/>
    </row>
    <row r="388">
      <c r="N388" s="5"/>
    </row>
    <row r="389">
      <c r="N389" s="5"/>
    </row>
    <row r="390">
      <c r="N390" s="5"/>
    </row>
    <row r="391">
      <c r="N391" s="5"/>
    </row>
    <row r="392">
      <c r="N392" s="5"/>
    </row>
    <row r="393">
      <c r="N393" s="5"/>
    </row>
    <row r="394">
      <c r="N394" s="5"/>
    </row>
    <row r="395">
      <c r="N395" s="5"/>
    </row>
    <row r="396">
      <c r="N396" s="5"/>
    </row>
    <row r="397">
      <c r="N397" s="5"/>
    </row>
    <row r="398">
      <c r="N398" s="5"/>
    </row>
    <row r="399">
      <c r="N399" s="5"/>
    </row>
    <row r="400">
      <c r="N400" s="5"/>
    </row>
    <row r="401">
      <c r="N401" s="5"/>
    </row>
    <row r="402">
      <c r="N402" s="5"/>
    </row>
    <row r="403">
      <c r="N403" s="5"/>
    </row>
    <row r="404">
      <c r="N404" s="5"/>
    </row>
    <row r="405">
      <c r="N405" s="5"/>
    </row>
    <row r="406">
      <c r="N406" s="5"/>
    </row>
    <row r="407">
      <c r="N407" s="5"/>
    </row>
    <row r="408">
      <c r="N408" s="5"/>
    </row>
    <row r="409">
      <c r="N409" s="5"/>
    </row>
    <row r="410">
      <c r="N410" s="5"/>
    </row>
    <row r="411">
      <c r="N411" s="5"/>
    </row>
    <row r="412">
      <c r="N412" s="5"/>
    </row>
    <row r="413">
      <c r="N413" s="5"/>
    </row>
    <row r="414">
      <c r="N414" s="5"/>
    </row>
    <row r="415">
      <c r="N415" s="5"/>
    </row>
    <row r="416">
      <c r="N416" s="5"/>
    </row>
    <row r="417">
      <c r="N417" s="5"/>
    </row>
    <row r="418">
      <c r="N418" s="5"/>
    </row>
    <row r="419">
      <c r="N419" s="5"/>
    </row>
    <row r="420">
      <c r="N420" s="5"/>
    </row>
    <row r="421">
      <c r="N421" s="5"/>
    </row>
    <row r="422">
      <c r="N422" s="5"/>
    </row>
    <row r="423">
      <c r="N423" s="5"/>
    </row>
    <row r="424">
      <c r="N424" s="5"/>
    </row>
    <row r="425">
      <c r="N425" s="5"/>
    </row>
    <row r="426">
      <c r="N426" s="5"/>
    </row>
    <row r="427">
      <c r="N427" s="5"/>
    </row>
    <row r="428">
      <c r="N428" s="5"/>
    </row>
    <row r="429">
      <c r="N429" s="5"/>
    </row>
    <row r="430">
      <c r="N430" s="5"/>
    </row>
    <row r="431">
      <c r="N431" s="5"/>
    </row>
    <row r="432">
      <c r="N432" s="5"/>
    </row>
    <row r="433">
      <c r="N433" s="5"/>
    </row>
    <row r="434">
      <c r="N434" s="5"/>
    </row>
    <row r="435">
      <c r="N435" s="5"/>
    </row>
    <row r="436">
      <c r="N436" s="5"/>
    </row>
    <row r="437">
      <c r="N437" s="5"/>
    </row>
    <row r="438">
      <c r="N438" s="5"/>
    </row>
    <row r="439">
      <c r="N439" s="5"/>
    </row>
    <row r="440">
      <c r="N440" s="5"/>
    </row>
    <row r="441">
      <c r="N441" s="5"/>
    </row>
    <row r="442">
      <c r="N442" s="5"/>
    </row>
    <row r="443">
      <c r="N443" s="5"/>
    </row>
    <row r="444">
      <c r="N444" s="5"/>
    </row>
    <row r="445">
      <c r="N445" s="5"/>
    </row>
    <row r="446">
      <c r="N446" s="5"/>
    </row>
    <row r="447">
      <c r="N447" s="5"/>
    </row>
    <row r="448">
      <c r="N448" s="5"/>
    </row>
    <row r="449">
      <c r="N449" s="5"/>
    </row>
    <row r="450">
      <c r="N450" s="5"/>
    </row>
    <row r="451">
      <c r="N451" s="5"/>
    </row>
    <row r="452">
      <c r="N452" s="5"/>
    </row>
    <row r="453">
      <c r="N453" s="5"/>
    </row>
    <row r="454">
      <c r="N454" s="5"/>
    </row>
    <row r="455">
      <c r="N455" s="5"/>
    </row>
    <row r="456">
      <c r="N456" s="5"/>
    </row>
    <row r="457">
      <c r="N457" s="5"/>
    </row>
    <row r="458">
      <c r="N458" s="5"/>
    </row>
    <row r="459">
      <c r="N459" s="5"/>
    </row>
    <row r="460">
      <c r="N460" s="5"/>
    </row>
    <row r="461">
      <c r="N461" s="5"/>
    </row>
    <row r="462">
      <c r="N462" s="5"/>
    </row>
    <row r="463">
      <c r="N463" s="5"/>
    </row>
    <row r="464">
      <c r="N464" s="5"/>
    </row>
    <row r="465">
      <c r="N465" s="5"/>
    </row>
    <row r="466">
      <c r="N466" s="5"/>
    </row>
    <row r="467">
      <c r="N467" s="5"/>
    </row>
    <row r="468">
      <c r="N468" s="5"/>
    </row>
    <row r="469">
      <c r="N469" s="5"/>
    </row>
    <row r="470">
      <c r="N470" s="5"/>
    </row>
    <row r="471">
      <c r="N471" s="5"/>
    </row>
    <row r="472">
      <c r="N472" s="5"/>
    </row>
    <row r="473">
      <c r="N473" s="5"/>
    </row>
    <row r="474">
      <c r="N474" s="5"/>
    </row>
    <row r="475">
      <c r="N475" s="5"/>
    </row>
    <row r="476">
      <c r="N476" s="5"/>
    </row>
    <row r="477">
      <c r="N477" s="5"/>
    </row>
    <row r="478">
      <c r="N478" s="5"/>
    </row>
    <row r="479">
      <c r="N479" s="5"/>
    </row>
    <row r="480">
      <c r="N480" s="5"/>
    </row>
    <row r="481">
      <c r="N481" s="5"/>
    </row>
    <row r="482">
      <c r="N482" s="5"/>
    </row>
    <row r="483">
      <c r="N483" s="5"/>
    </row>
    <row r="484">
      <c r="N484" s="5"/>
    </row>
    <row r="485">
      <c r="N485" s="5"/>
    </row>
    <row r="486">
      <c r="N486" s="5"/>
    </row>
    <row r="487">
      <c r="N487" s="5"/>
    </row>
    <row r="488">
      <c r="N488" s="5"/>
    </row>
    <row r="489">
      <c r="N489" s="5"/>
    </row>
    <row r="490">
      <c r="N490" s="5"/>
    </row>
    <row r="491">
      <c r="N491" s="5"/>
    </row>
    <row r="492">
      <c r="N492" s="5"/>
    </row>
    <row r="493">
      <c r="N493" s="5"/>
    </row>
    <row r="494">
      <c r="N494" s="5"/>
    </row>
    <row r="495">
      <c r="N495" s="5"/>
    </row>
    <row r="496">
      <c r="N496" s="5"/>
    </row>
    <row r="497">
      <c r="N497" s="5"/>
    </row>
    <row r="498">
      <c r="N498" s="5"/>
    </row>
    <row r="499">
      <c r="N499" s="5"/>
    </row>
    <row r="500">
      <c r="N500" s="5"/>
    </row>
    <row r="501">
      <c r="N501" s="5"/>
    </row>
    <row r="502">
      <c r="N502" s="5"/>
    </row>
    <row r="503">
      <c r="N503" s="5"/>
    </row>
    <row r="504">
      <c r="N504" s="5"/>
    </row>
    <row r="505">
      <c r="N505" s="5"/>
    </row>
    <row r="506">
      <c r="N506" s="5"/>
    </row>
    <row r="507">
      <c r="N507" s="5"/>
    </row>
    <row r="508">
      <c r="N508" s="5"/>
    </row>
    <row r="509">
      <c r="N509" s="5"/>
    </row>
    <row r="510">
      <c r="N510" s="5"/>
    </row>
    <row r="511">
      <c r="N511" s="5"/>
    </row>
    <row r="512">
      <c r="N512" s="5"/>
    </row>
    <row r="513">
      <c r="N513" s="5"/>
    </row>
    <row r="514">
      <c r="N514" s="5"/>
    </row>
    <row r="515">
      <c r="N515" s="5"/>
    </row>
    <row r="516">
      <c r="N516" s="5"/>
    </row>
    <row r="517">
      <c r="N517" s="5"/>
    </row>
    <row r="518">
      <c r="N518" s="5"/>
    </row>
    <row r="519">
      <c r="N519" s="5"/>
    </row>
    <row r="520">
      <c r="N520" s="5"/>
    </row>
    <row r="521">
      <c r="N521" s="5"/>
    </row>
    <row r="522">
      <c r="N522" s="5"/>
    </row>
    <row r="523">
      <c r="N523" s="5"/>
    </row>
    <row r="524">
      <c r="N524" s="5"/>
    </row>
    <row r="525">
      <c r="N525" s="5"/>
    </row>
    <row r="526">
      <c r="N526" s="5"/>
    </row>
    <row r="527">
      <c r="N527" s="5"/>
    </row>
    <row r="528">
      <c r="N528" s="5"/>
    </row>
    <row r="529">
      <c r="N529" s="5"/>
    </row>
    <row r="530">
      <c r="N530" s="5"/>
    </row>
    <row r="531">
      <c r="N531" s="5"/>
    </row>
    <row r="532">
      <c r="N532" s="5"/>
    </row>
    <row r="533">
      <c r="N533" s="5"/>
    </row>
    <row r="534">
      <c r="N534" s="5"/>
    </row>
    <row r="535">
      <c r="N535" s="5"/>
    </row>
    <row r="536">
      <c r="N536" s="5"/>
    </row>
    <row r="537">
      <c r="N537" s="5"/>
    </row>
    <row r="538">
      <c r="N538" s="5"/>
    </row>
    <row r="539">
      <c r="N539" s="5"/>
    </row>
    <row r="540">
      <c r="N540" s="5"/>
    </row>
    <row r="541">
      <c r="N541" s="5"/>
    </row>
    <row r="542">
      <c r="N542" s="5"/>
    </row>
    <row r="543">
      <c r="N543" s="5"/>
    </row>
    <row r="544">
      <c r="N544" s="5"/>
    </row>
    <row r="545">
      <c r="N545" s="5"/>
    </row>
    <row r="546">
      <c r="N546" s="5"/>
    </row>
    <row r="547">
      <c r="N547" s="5"/>
    </row>
    <row r="548">
      <c r="N548" s="5"/>
    </row>
    <row r="549">
      <c r="N549" s="5"/>
    </row>
    <row r="550">
      <c r="N550" s="5"/>
    </row>
    <row r="551">
      <c r="N551" s="5"/>
    </row>
    <row r="552">
      <c r="N552" s="5"/>
    </row>
    <row r="553">
      <c r="N553" s="5"/>
    </row>
    <row r="554">
      <c r="N554" s="5"/>
    </row>
    <row r="555">
      <c r="N555" s="5"/>
    </row>
    <row r="556">
      <c r="N556" s="5"/>
    </row>
    <row r="557">
      <c r="N557" s="5"/>
    </row>
    <row r="558">
      <c r="N558" s="5"/>
    </row>
    <row r="559">
      <c r="N559" s="5"/>
    </row>
    <row r="560">
      <c r="N560" s="5"/>
    </row>
    <row r="561">
      <c r="N561" s="5"/>
    </row>
    <row r="562">
      <c r="N562" s="5"/>
    </row>
    <row r="563">
      <c r="N563" s="5"/>
    </row>
    <row r="564">
      <c r="N564" s="5"/>
    </row>
    <row r="565">
      <c r="N565" s="5"/>
    </row>
    <row r="566">
      <c r="N566" s="5"/>
    </row>
    <row r="567">
      <c r="N567" s="5"/>
    </row>
    <row r="568">
      <c r="N568" s="5"/>
    </row>
    <row r="569">
      <c r="N569" s="5"/>
    </row>
    <row r="570">
      <c r="N570" s="5"/>
    </row>
    <row r="571">
      <c r="N571" s="5"/>
    </row>
    <row r="572">
      <c r="N572" s="5"/>
    </row>
    <row r="573">
      <c r="N573" s="5"/>
    </row>
    <row r="574">
      <c r="N574" s="5"/>
    </row>
    <row r="575">
      <c r="N575" s="5"/>
    </row>
    <row r="576">
      <c r="N576" s="5"/>
    </row>
    <row r="577">
      <c r="N577" s="5"/>
    </row>
    <row r="578">
      <c r="N578" s="5"/>
    </row>
    <row r="579">
      <c r="N579" s="5"/>
    </row>
    <row r="580">
      <c r="N580" s="5"/>
    </row>
    <row r="581">
      <c r="N581" s="5"/>
    </row>
    <row r="582">
      <c r="N582" s="5"/>
    </row>
    <row r="583">
      <c r="N583" s="5"/>
    </row>
    <row r="584">
      <c r="N584" s="5"/>
    </row>
    <row r="585">
      <c r="N585" s="5"/>
    </row>
    <row r="586">
      <c r="N586" s="5"/>
    </row>
    <row r="587">
      <c r="N587" s="5"/>
    </row>
    <row r="588">
      <c r="N588" s="5"/>
    </row>
    <row r="589">
      <c r="N589" s="5"/>
    </row>
    <row r="590">
      <c r="N590" s="5"/>
    </row>
    <row r="591">
      <c r="N591" s="5"/>
    </row>
    <row r="592">
      <c r="N592" s="5"/>
    </row>
    <row r="593">
      <c r="N593" s="5"/>
    </row>
    <row r="594">
      <c r="N594" s="5"/>
    </row>
    <row r="595">
      <c r="N595" s="5"/>
    </row>
    <row r="596">
      <c r="N596" s="5"/>
    </row>
    <row r="597">
      <c r="N597" s="5"/>
    </row>
    <row r="598">
      <c r="N598" s="5"/>
    </row>
    <row r="599">
      <c r="N599" s="5"/>
    </row>
    <row r="600">
      <c r="N600" s="5"/>
    </row>
    <row r="601">
      <c r="N601" s="5"/>
    </row>
    <row r="602">
      <c r="N602" s="5"/>
    </row>
    <row r="603">
      <c r="N603" s="5"/>
    </row>
    <row r="604">
      <c r="N604" s="5"/>
    </row>
    <row r="605">
      <c r="N605" s="5"/>
    </row>
    <row r="606">
      <c r="N606" s="5"/>
    </row>
    <row r="607">
      <c r="N607" s="5"/>
    </row>
    <row r="608">
      <c r="N608" s="5"/>
    </row>
    <row r="609">
      <c r="N609" s="5"/>
    </row>
    <row r="610">
      <c r="N610" s="5"/>
    </row>
    <row r="611">
      <c r="N611" s="5"/>
    </row>
    <row r="612">
      <c r="N612" s="5"/>
    </row>
    <row r="613">
      <c r="N613" s="5"/>
    </row>
    <row r="614">
      <c r="N614" s="5"/>
    </row>
    <row r="615">
      <c r="N615" s="5"/>
    </row>
    <row r="616">
      <c r="I616" s="4"/>
      <c r="N616" s="5"/>
    </row>
    <row r="617">
      <c r="N617" s="5"/>
    </row>
    <row r="618">
      <c r="N618" s="5"/>
    </row>
    <row r="619">
      <c r="N619" s="5"/>
    </row>
    <row r="620">
      <c r="N620" s="5"/>
    </row>
    <row r="621">
      <c r="N621" s="5"/>
    </row>
    <row r="622">
      <c r="N622" s="5"/>
    </row>
    <row r="623">
      <c r="N623" s="5"/>
    </row>
    <row r="624">
      <c r="N624" s="5"/>
    </row>
    <row r="625">
      <c r="N625" s="5"/>
    </row>
    <row r="626">
      <c r="N626" s="5"/>
    </row>
    <row r="627">
      <c r="N627" s="5"/>
    </row>
    <row r="628">
      <c r="N628" s="5"/>
    </row>
    <row r="629">
      <c r="N629" s="5"/>
    </row>
    <row r="630">
      <c r="N630" s="5"/>
    </row>
    <row r="631">
      <c r="N631" s="5"/>
    </row>
    <row r="632">
      <c r="N632" s="5"/>
    </row>
    <row r="633">
      <c r="N633" s="5"/>
    </row>
    <row r="634">
      <c r="N634" s="5"/>
    </row>
    <row r="635">
      <c r="N635" s="5"/>
    </row>
    <row r="636">
      <c r="N636" s="5"/>
    </row>
    <row r="637">
      <c r="N637" s="5"/>
    </row>
    <row r="638">
      <c r="N638" s="5"/>
    </row>
    <row r="639">
      <c r="N639" s="5"/>
    </row>
    <row r="640">
      <c r="N640" s="5"/>
    </row>
    <row r="641">
      <c r="N641" s="5"/>
    </row>
    <row r="642">
      <c r="N642" s="5"/>
    </row>
    <row r="643">
      <c r="N643" s="5"/>
    </row>
    <row r="644">
      <c r="N644" s="5"/>
    </row>
    <row r="645">
      <c r="N645" s="5"/>
    </row>
    <row r="646">
      <c r="N646" s="5"/>
    </row>
    <row r="647">
      <c r="N647" s="5"/>
    </row>
    <row r="648">
      <c r="N648" s="5"/>
    </row>
    <row r="649">
      <c r="N649" s="5"/>
    </row>
    <row r="650">
      <c r="N650" s="5"/>
    </row>
    <row r="651">
      <c r="N651" s="5"/>
    </row>
    <row r="652">
      <c r="N652" s="5"/>
    </row>
    <row r="653">
      <c r="N653" s="5"/>
    </row>
    <row r="654">
      <c r="N654" s="5"/>
    </row>
    <row r="655">
      <c r="N655" s="5"/>
    </row>
    <row r="656">
      <c r="N656" s="5"/>
    </row>
    <row r="657">
      <c r="N657" s="5"/>
    </row>
    <row r="658">
      <c r="N658" s="5"/>
    </row>
    <row r="659">
      <c r="N659" s="5"/>
    </row>
    <row r="660">
      <c r="N660" s="5"/>
    </row>
    <row r="661">
      <c r="N661" s="5"/>
    </row>
    <row r="662">
      <c r="N662" s="5"/>
    </row>
    <row r="663">
      <c r="N663" s="5"/>
    </row>
    <row r="664">
      <c r="N664" s="5"/>
    </row>
    <row r="665">
      <c r="N665" s="5"/>
    </row>
    <row r="666">
      <c r="N666" s="5"/>
    </row>
    <row r="667">
      <c r="N667" s="5"/>
    </row>
    <row r="668">
      <c r="N668" s="5"/>
    </row>
    <row r="669">
      <c r="N669" s="5"/>
    </row>
    <row r="670">
      <c r="N670" s="5"/>
    </row>
    <row r="671">
      <c r="N671" s="5"/>
    </row>
    <row r="672">
      <c r="N672" s="5"/>
    </row>
    <row r="673">
      <c r="N673" s="5"/>
    </row>
    <row r="674">
      <c r="N674" s="5"/>
    </row>
    <row r="675">
      <c r="N675" s="5"/>
    </row>
    <row r="676">
      <c r="N676" s="5"/>
    </row>
    <row r="677">
      <c r="N677" s="5"/>
    </row>
    <row r="678">
      <c r="N678" s="5"/>
    </row>
    <row r="679">
      <c r="N679" s="5"/>
    </row>
    <row r="680">
      <c r="N680" s="5"/>
    </row>
    <row r="681">
      <c r="N681" s="5"/>
    </row>
    <row r="682">
      <c r="N682" s="5"/>
    </row>
    <row r="683">
      <c r="N683" s="5"/>
    </row>
    <row r="684">
      <c r="N684" s="5"/>
    </row>
    <row r="685">
      <c r="N685" s="5"/>
    </row>
    <row r="686">
      <c r="N686" s="5"/>
    </row>
    <row r="687">
      <c r="N687" s="5"/>
    </row>
    <row r="688">
      <c r="N688" s="5"/>
    </row>
    <row r="689">
      <c r="N689" s="5"/>
    </row>
    <row r="690">
      <c r="N690" s="5"/>
    </row>
    <row r="691">
      <c r="N691" s="5"/>
    </row>
    <row r="692">
      <c r="N692" s="5"/>
    </row>
    <row r="693">
      <c r="N693" s="5"/>
    </row>
    <row r="694">
      <c r="N694" s="5"/>
    </row>
    <row r="695">
      <c r="N695" s="5"/>
    </row>
    <row r="696">
      <c r="N696" s="5"/>
    </row>
    <row r="697">
      <c r="N697" s="5"/>
    </row>
    <row r="698">
      <c r="N698" s="5"/>
    </row>
    <row r="699">
      <c r="N699" s="5"/>
    </row>
    <row r="700">
      <c r="N700" s="5"/>
    </row>
    <row r="701">
      <c r="N701" s="5"/>
    </row>
    <row r="702">
      <c r="N702" s="5"/>
    </row>
    <row r="703">
      <c r="N703" s="5"/>
    </row>
    <row r="704">
      <c r="N704" s="5"/>
    </row>
    <row r="705">
      <c r="N705" s="5"/>
    </row>
    <row r="706">
      <c r="N706" s="5"/>
    </row>
    <row r="707">
      <c r="N707" s="5"/>
    </row>
    <row r="708">
      <c r="N708" s="5"/>
    </row>
    <row r="709">
      <c r="N709" s="5"/>
    </row>
    <row r="710">
      <c r="N710" s="5"/>
    </row>
    <row r="711">
      <c r="N711" s="5"/>
    </row>
    <row r="712">
      <c r="N712" s="5"/>
    </row>
    <row r="713">
      <c r="N713" s="5"/>
    </row>
    <row r="714">
      <c r="N714" s="5"/>
    </row>
    <row r="715">
      <c r="N715" s="5"/>
    </row>
    <row r="716">
      <c r="N716" s="5"/>
    </row>
    <row r="717">
      <c r="N717" s="5"/>
    </row>
    <row r="718">
      <c r="N718" s="5"/>
    </row>
    <row r="719">
      <c r="N719" s="5"/>
    </row>
    <row r="720">
      <c r="N720" s="5"/>
    </row>
    <row r="721">
      <c r="N721" s="5"/>
    </row>
    <row r="722">
      <c r="N722" s="5"/>
    </row>
    <row r="723">
      <c r="N723" s="5"/>
    </row>
    <row r="724">
      <c r="N724" s="5"/>
    </row>
    <row r="725">
      <c r="N725" s="5"/>
    </row>
    <row r="726">
      <c r="N726" s="5"/>
    </row>
    <row r="727">
      <c r="N727" s="5"/>
    </row>
    <row r="728">
      <c r="N728" s="5"/>
    </row>
    <row r="729">
      <c r="N729" s="5"/>
    </row>
    <row r="730">
      <c r="N730" s="5"/>
    </row>
    <row r="731">
      <c r="N731" s="5"/>
    </row>
    <row r="732">
      <c r="N732" s="5"/>
    </row>
    <row r="733">
      <c r="N733" s="5"/>
    </row>
    <row r="734">
      <c r="N734" s="5"/>
    </row>
    <row r="735">
      <c r="N735" s="5"/>
    </row>
    <row r="736">
      <c r="N736" s="5"/>
    </row>
    <row r="737">
      <c r="N737" s="5"/>
    </row>
    <row r="738">
      <c r="N738" s="5"/>
    </row>
    <row r="739">
      <c r="N739" s="5"/>
    </row>
    <row r="740">
      <c r="N740" s="5"/>
    </row>
    <row r="741">
      <c r="N741" s="5"/>
    </row>
    <row r="742">
      <c r="N742" s="5"/>
    </row>
    <row r="743">
      <c r="N743" s="5"/>
    </row>
    <row r="744">
      <c r="N744" s="5"/>
    </row>
    <row r="745">
      <c r="N745" s="5"/>
    </row>
    <row r="746">
      <c r="N746" s="5"/>
    </row>
    <row r="747">
      <c r="N747" s="5"/>
    </row>
    <row r="748">
      <c r="N748" s="5"/>
    </row>
    <row r="749">
      <c r="N749" s="5"/>
    </row>
    <row r="750">
      <c r="N750" s="5"/>
    </row>
    <row r="751">
      <c r="N751" s="5"/>
    </row>
    <row r="752">
      <c r="N752" s="5"/>
    </row>
    <row r="753">
      <c r="N753" s="5"/>
    </row>
    <row r="754">
      <c r="N754" s="5"/>
    </row>
    <row r="755">
      <c r="N755" s="5"/>
    </row>
    <row r="756">
      <c r="N756" s="5"/>
    </row>
    <row r="757">
      <c r="N757" s="5"/>
    </row>
    <row r="758">
      <c r="N758" s="5"/>
    </row>
    <row r="759">
      <c r="N759" s="5"/>
    </row>
    <row r="760">
      <c r="N760" s="5"/>
    </row>
    <row r="761">
      <c r="N761" s="5"/>
    </row>
    <row r="762">
      <c r="N762" s="5"/>
    </row>
    <row r="763">
      <c r="N763" s="5"/>
    </row>
    <row r="764">
      <c r="N764" s="5"/>
    </row>
    <row r="765">
      <c r="N765" s="5"/>
    </row>
    <row r="766">
      <c r="N766" s="5"/>
    </row>
    <row r="767">
      <c r="N767" s="5"/>
    </row>
    <row r="768">
      <c r="N768" s="5"/>
    </row>
    <row r="769">
      <c r="N769" s="5"/>
    </row>
    <row r="770">
      <c r="N770" s="5"/>
    </row>
    <row r="771">
      <c r="N771" s="5"/>
    </row>
    <row r="772">
      <c r="N772" s="5"/>
    </row>
    <row r="773">
      <c r="N773" s="5"/>
    </row>
    <row r="774">
      <c r="N774" s="5"/>
    </row>
    <row r="775">
      <c r="N775" s="5"/>
    </row>
    <row r="776">
      <c r="N776" s="5"/>
    </row>
    <row r="777">
      <c r="N777" s="5"/>
    </row>
    <row r="778">
      <c r="N778" s="5"/>
    </row>
    <row r="779">
      <c r="N779" s="5"/>
    </row>
    <row r="780">
      <c r="N780" s="5"/>
    </row>
    <row r="781">
      <c r="N781" s="5"/>
    </row>
    <row r="782">
      <c r="N782" s="5"/>
    </row>
    <row r="783">
      <c r="N783" s="5"/>
    </row>
    <row r="784">
      <c r="N784" s="5"/>
    </row>
    <row r="785">
      <c r="N785" s="5"/>
    </row>
    <row r="786">
      <c r="N786" s="5"/>
    </row>
    <row r="787">
      <c r="N787" s="5"/>
    </row>
    <row r="788">
      <c r="N788" s="5"/>
    </row>
    <row r="789">
      <c r="N789" s="5"/>
    </row>
    <row r="790">
      <c r="N790" s="5"/>
    </row>
    <row r="791">
      <c r="N791" s="5"/>
    </row>
    <row r="792">
      <c r="N792" s="5"/>
    </row>
    <row r="793">
      <c r="N793" s="5"/>
    </row>
    <row r="794">
      <c r="N794" s="5"/>
    </row>
    <row r="795">
      <c r="N795" s="5"/>
    </row>
    <row r="796">
      <c r="N796" s="5"/>
    </row>
    <row r="797">
      <c r="N797" s="5"/>
    </row>
    <row r="798">
      <c r="N798" s="5"/>
    </row>
    <row r="799">
      <c r="N799" s="5"/>
    </row>
    <row r="800">
      <c r="N800" s="5"/>
    </row>
    <row r="801">
      <c r="N801" s="5"/>
    </row>
    <row r="802">
      <c r="N802" s="5"/>
    </row>
    <row r="803">
      <c r="N803" s="5"/>
    </row>
    <row r="804">
      <c r="N804" s="5"/>
    </row>
    <row r="805">
      <c r="N805" s="5"/>
    </row>
    <row r="806">
      <c r="N806" s="5"/>
    </row>
    <row r="807">
      <c r="N807" s="5"/>
    </row>
    <row r="808">
      <c r="N808" s="5"/>
    </row>
    <row r="809">
      <c r="N809" s="5"/>
    </row>
    <row r="810">
      <c r="N810" s="5"/>
    </row>
    <row r="811">
      <c r="N811" s="5"/>
    </row>
    <row r="812">
      <c r="N812" s="5"/>
    </row>
    <row r="813">
      <c r="N813" s="5"/>
    </row>
    <row r="814">
      <c r="N814" s="5"/>
    </row>
    <row r="815">
      <c r="N815" s="5"/>
    </row>
    <row r="816">
      <c r="N816" s="5"/>
    </row>
    <row r="817">
      <c r="N817" s="5"/>
    </row>
    <row r="818">
      <c r="N818" s="5"/>
    </row>
    <row r="819">
      <c r="N819" s="5"/>
    </row>
    <row r="820">
      <c r="N820" s="5"/>
    </row>
    <row r="821">
      <c r="N821" s="5"/>
    </row>
    <row r="822">
      <c r="N822" s="5"/>
    </row>
    <row r="823">
      <c r="N823" s="5"/>
    </row>
    <row r="824">
      <c r="N824" s="5"/>
    </row>
    <row r="825">
      <c r="N825" s="5"/>
    </row>
    <row r="826">
      <c r="N826" s="5"/>
    </row>
    <row r="827">
      <c r="N827" s="5"/>
    </row>
    <row r="828">
      <c r="N828" s="5"/>
    </row>
    <row r="829">
      <c r="N829" s="5"/>
    </row>
    <row r="830">
      <c r="N830" s="5"/>
    </row>
    <row r="831">
      <c r="N831" s="5"/>
    </row>
    <row r="832">
      <c r="N832" s="5"/>
    </row>
    <row r="833">
      <c r="N833" s="5"/>
    </row>
    <row r="834">
      <c r="N834" s="5"/>
    </row>
    <row r="835">
      <c r="N835" s="5"/>
    </row>
    <row r="836">
      <c r="N836" s="5"/>
    </row>
    <row r="837">
      <c r="N837" s="5"/>
    </row>
    <row r="838">
      <c r="N838" s="5"/>
    </row>
    <row r="839">
      <c r="N839" s="5"/>
    </row>
    <row r="840">
      <c r="N840" s="5"/>
    </row>
    <row r="841">
      <c r="N841" s="5"/>
    </row>
    <row r="842">
      <c r="N842" s="5"/>
    </row>
    <row r="843">
      <c r="N843" s="5"/>
    </row>
    <row r="844">
      <c r="N844" s="5"/>
    </row>
    <row r="845">
      <c r="N845" s="5"/>
    </row>
    <row r="846">
      <c r="N846" s="5"/>
    </row>
    <row r="847">
      <c r="N847" s="5"/>
    </row>
    <row r="848">
      <c r="N848" s="5"/>
    </row>
    <row r="849">
      <c r="N849" s="5"/>
    </row>
    <row r="850">
      <c r="N850" s="5"/>
    </row>
    <row r="851">
      <c r="N851" s="5"/>
    </row>
    <row r="852">
      <c r="N852" s="5"/>
    </row>
    <row r="853">
      <c r="N853" s="5"/>
    </row>
    <row r="854">
      <c r="N854" s="5"/>
    </row>
    <row r="855">
      <c r="N855" s="5"/>
    </row>
    <row r="856">
      <c r="N856" s="5"/>
    </row>
    <row r="857">
      <c r="N857" s="5"/>
    </row>
    <row r="858">
      <c r="N858" s="5"/>
    </row>
    <row r="859">
      <c r="N859" s="5"/>
    </row>
    <row r="860">
      <c r="N860" s="5"/>
    </row>
    <row r="861">
      <c r="N861" s="5"/>
    </row>
    <row r="862">
      <c r="N862" s="5"/>
    </row>
    <row r="863">
      <c r="N863" s="5"/>
    </row>
    <row r="864">
      <c r="N864" s="5"/>
    </row>
    <row r="865">
      <c r="N865" s="5"/>
    </row>
    <row r="866">
      <c r="N866" s="5"/>
    </row>
    <row r="867">
      <c r="N867" s="5"/>
    </row>
    <row r="868">
      <c r="N868" s="5"/>
    </row>
    <row r="869">
      <c r="N869" s="5"/>
    </row>
    <row r="870">
      <c r="N870" s="5"/>
    </row>
    <row r="871">
      <c r="N871" s="5"/>
    </row>
    <row r="872">
      <c r="N872" s="5"/>
    </row>
    <row r="873">
      <c r="N873" s="5"/>
    </row>
    <row r="874">
      <c r="N874" s="5"/>
    </row>
    <row r="875">
      <c r="N875" s="5"/>
    </row>
    <row r="876">
      <c r="N876" s="5"/>
    </row>
    <row r="877">
      <c r="N877" s="5"/>
    </row>
    <row r="878">
      <c r="N878" s="5"/>
    </row>
    <row r="879">
      <c r="N879" s="5"/>
    </row>
    <row r="880">
      <c r="N880" s="5"/>
    </row>
    <row r="881">
      <c r="N881" s="5"/>
    </row>
    <row r="882">
      <c r="N882" s="5"/>
    </row>
    <row r="883">
      <c r="N883" s="5"/>
    </row>
    <row r="884">
      <c r="N884" s="5"/>
    </row>
    <row r="885">
      <c r="N885" s="5"/>
    </row>
    <row r="886">
      <c r="N886" s="5"/>
    </row>
    <row r="887">
      <c r="N887" s="5"/>
    </row>
    <row r="888">
      <c r="N888" s="5"/>
    </row>
    <row r="889">
      <c r="N889" s="5"/>
    </row>
    <row r="890">
      <c r="N890" s="5"/>
    </row>
    <row r="891">
      <c r="N891" s="5"/>
    </row>
    <row r="892">
      <c r="N892" s="5"/>
    </row>
    <row r="893">
      <c r="N893" s="5"/>
    </row>
    <row r="894">
      <c r="N894" s="5"/>
    </row>
    <row r="895">
      <c r="N895" s="5"/>
    </row>
    <row r="896">
      <c r="N896" s="5"/>
    </row>
    <row r="897">
      <c r="N897" s="5"/>
    </row>
    <row r="898">
      <c r="N898" s="5"/>
    </row>
    <row r="899">
      <c r="N899" s="5"/>
    </row>
    <row r="900">
      <c r="N900" s="5"/>
    </row>
    <row r="901">
      <c r="N901" s="5"/>
    </row>
    <row r="902">
      <c r="N902" s="5"/>
    </row>
    <row r="903">
      <c r="N903" s="5"/>
    </row>
    <row r="904">
      <c r="N904" s="5"/>
    </row>
    <row r="905">
      <c r="N905" s="5"/>
    </row>
    <row r="906">
      <c r="N906" s="5"/>
    </row>
    <row r="907">
      <c r="N907" s="5"/>
    </row>
    <row r="908">
      <c r="N908" s="5"/>
    </row>
    <row r="909">
      <c r="N909" s="5"/>
    </row>
    <row r="910">
      <c r="N910" s="5"/>
    </row>
    <row r="911">
      <c r="N911" s="5"/>
    </row>
    <row r="912">
      <c r="N912" s="5"/>
    </row>
    <row r="913">
      <c r="N913" s="5"/>
    </row>
    <row r="914">
      <c r="N914" s="5"/>
    </row>
    <row r="915">
      <c r="N915" s="5"/>
    </row>
    <row r="916">
      <c r="N916" s="5"/>
    </row>
    <row r="917">
      <c r="N917" s="5"/>
    </row>
    <row r="918">
      <c r="N918" s="5"/>
    </row>
    <row r="919">
      <c r="N919" s="5"/>
    </row>
    <row r="920">
      <c r="N920" s="5"/>
    </row>
    <row r="921">
      <c r="N921" s="5"/>
    </row>
    <row r="922">
      <c r="N922" s="5"/>
    </row>
    <row r="923">
      <c r="N923" s="5"/>
    </row>
    <row r="924">
      <c r="N924" s="5"/>
    </row>
    <row r="925">
      <c r="N925" s="5"/>
    </row>
    <row r="926">
      <c r="N926" s="5"/>
    </row>
    <row r="927">
      <c r="N927" s="5"/>
    </row>
    <row r="928">
      <c r="N928" s="5"/>
    </row>
    <row r="929">
      <c r="N929" s="5"/>
    </row>
    <row r="930">
      <c r="N930" s="5"/>
    </row>
    <row r="931">
      <c r="N931" s="5"/>
    </row>
    <row r="932">
      <c r="N932" s="5"/>
    </row>
    <row r="933">
      <c r="N933" s="5"/>
    </row>
    <row r="934">
      <c r="N934" s="5"/>
    </row>
    <row r="935">
      <c r="N935" s="5"/>
    </row>
    <row r="936">
      <c r="N936" s="5"/>
    </row>
    <row r="937">
      <c r="N937" s="5"/>
    </row>
    <row r="938">
      <c r="N938" s="5"/>
    </row>
    <row r="939">
      <c r="N939" s="5"/>
    </row>
    <row r="940">
      <c r="N940" s="5"/>
    </row>
    <row r="941">
      <c r="N941" s="5"/>
    </row>
    <row r="942">
      <c r="N942" s="5"/>
    </row>
    <row r="943">
      <c r="N943" s="5"/>
    </row>
    <row r="944">
      <c r="N944" s="5"/>
    </row>
    <row r="945">
      <c r="N945" s="5"/>
    </row>
    <row r="946">
      <c r="N946" s="5"/>
    </row>
    <row r="947">
      <c r="N947" s="5"/>
    </row>
    <row r="948">
      <c r="N948" s="5"/>
    </row>
    <row r="949">
      <c r="N949" s="5"/>
    </row>
    <row r="950">
      <c r="N950" s="5"/>
    </row>
    <row r="951">
      <c r="N951" s="5"/>
    </row>
    <row r="952">
      <c r="N952" s="5"/>
    </row>
    <row r="953">
      <c r="N953" s="5"/>
    </row>
    <row r="954">
      <c r="N954" s="5"/>
    </row>
    <row r="955">
      <c r="N955" s="5"/>
    </row>
    <row r="956">
      <c r="N956" s="5"/>
    </row>
    <row r="957">
      <c r="N957" s="5"/>
    </row>
    <row r="958">
      <c r="N958" s="5"/>
    </row>
    <row r="959">
      <c r="N959" s="5"/>
    </row>
    <row r="960">
      <c r="N960" s="5"/>
    </row>
    <row r="961">
      <c r="N961" s="5"/>
    </row>
    <row r="962">
      <c r="N962" s="5"/>
    </row>
    <row r="963">
      <c r="N963" s="5"/>
    </row>
    <row r="964">
      <c r="N964" s="5"/>
    </row>
    <row r="965">
      <c r="N965" s="5"/>
    </row>
    <row r="966">
      <c r="N966" s="5"/>
    </row>
    <row r="967">
      <c r="N967" s="5"/>
    </row>
    <row r="968">
      <c r="N968" s="5"/>
    </row>
    <row r="969">
      <c r="N969" s="5"/>
    </row>
    <row r="970">
      <c r="N970" s="5"/>
    </row>
    <row r="971">
      <c r="N971" s="5"/>
    </row>
    <row r="972">
      <c r="N972" s="5"/>
    </row>
    <row r="973">
      <c r="N973" s="5"/>
    </row>
    <row r="974">
      <c r="N974" s="5"/>
    </row>
    <row r="975">
      <c r="N975" s="5"/>
    </row>
    <row r="976">
      <c r="N976" s="5"/>
    </row>
    <row r="977">
      <c r="N977" s="5"/>
    </row>
    <row r="978">
      <c r="N978" s="5"/>
    </row>
    <row r="979">
      <c r="N979" s="5"/>
    </row>
    <row r="980">
      <c r="N980" s="5"/>
    </row>
    <row r="981">
      <c r="N981" s="5"/>
    </row>
    <row r="982">
      <c r="N982" s="5"/>
    </row>
    <row r="983">
      <c r="N983" s="5"/>
    </row>
    <row r="984">
      <c r="N984" s="5"/>
    </row>
    <row r="985">
      <c r="N985" s="5"/>
    </row>
    <row r="986">
      <c r="N986" s="5"/>
    </row>
    <row r="987">
      <c r="N987" s="5"/>
    </row>
    <row r="988">
      <c r="N988" s="5"/>
    </row>
    <row r="989">
      <c r="N989" s="5"/>
    </row>
    <row r="990">
      <c r="N990" s="5"/>
    </row>
    <row r="991">
      <c r="N991" s="5"/>
    </row>
    <row r="992">
      <c r="N992" s="5"/>
    </row>
    <row r="993">
      <c r="N993" s="5"/>
    </row>
    <row r="994">
      <c r="N994" s="5"/>
    </row>
    <row r="995">
      <c r="N995" s="5"/>
    </row>
    <row r="996">
      <c r="N996" s="5"/>
    </row>
    <row r="997">
      <c r="N997" s="5"/>
    </row>
    <row r="998">
      <c r="N998" s="5"/>
    </row>
    <row r="999">
      <c r="N999" s="5"/>
    </row>
    <row r="1000">
      <c r="N1000" s="5"/>
    </row>
    <row r="1001">
      <c r="N1001" s="5"/>
    </row>
    <row r="1002">
      <c r="N1002" s="5"/>
    </row>
    <row r="1003">
      <c r="N1003" s="5"/>
    </row>
    <row r="1004">
      <c r="N1004" s="5"/>
    </row>
    <row r="1005">
      <c r="N1005" s="5"/>
    </row>
    <row r="1006">
      <c r="N1006" s="5"/>
    </row>
    <row r="1007">
      <c r="N1007" s="5"/>
    </row>
    <row r="1008">
      <c r="N1008" s="5"/>
    </row>
    <row r="1009">
      <c r="N1009" s="5"/>
    </row>
    <row r="1010">
      <c r="N1010" s="5"/>
    </row>
    <row r="1011">
      <c r="N1011" s="5"/>
    </row>
    <row r="1012">
      <c r="N1012" s="5"/>
    </row>
    <row r="1013">
      <c r="N1013" s="5"/>
    </row>
    <row r="1014">
      <c r="N1014" s="5"/>
    </row>
    <row r="1015">
      <c r="N1015" s="5"/>
    </row>
    <row r="1016">
      <c r="N1016" s="5"/>
    </row>
    <row r="1017">
      <c r="N1017" s="5"/>
    </row>
    <row r="1018">
      <c r="N1018" s="5"/>
    </row>
    <row r="1019">
      <c r="N1019" s="5"/>
    </row>
    <row r="1020">
      <c r="N1020" s="5"/>
    </row>
    <row r="1021">
      <c r="N1021" s="5"/>
    </row>
    <row r="1022">
      <c r="N1022" s="5"/>
    </row>
    <row r="1023">
      <c r="N1023" s="5"/>
    </row>
    <row r="1024">
      <c r="N1024" s="5"/>
    </row>
    <row r="1025">
      <c r="N1025" s="5"/>
    </row>
    <row r="1026">
      <c r="N1026" s="5"/>
    </row>
    <row r="1027">
      <c r="N1027" s="5"/>
    </row>
    <row r="1028">
      <c r="N1028" s="5"/>
    </row>
    <row r="1029">
      <c r="N1029" s="5"/>
    </row>
    <row r="1030">
      <c r="N1030" s="5"/>
    </row>
    <row r="1031">
      <c r="N1031" s="5"/>
    </row>
    <row r="1032">
      <c r="N1032" s="5"/>
    </row>
    <row r="1033">
      <c r="N1033" s="5"/>
    </row>
    <row r="1034">
      <c r="N1034" s="5"/>
    </row>
    <row r="1035">
      <c r="N1035" s="5"/>
    </row>
    <row r="1036">
      <c r="N1036" s="5"/>
    </row>
    <row r="1037">
      <c r="N1037" s="5"/>
    </row>
    <row r="1038">
      <c r="N1038" s="5"/>
    </row>
    <row r="1039">
      <c r="N1039" s="5"/>
    </row>
    <row r="1040">
      <c r="N1040" s="5"/>
    </row>
    <row r="1041">
      <c r="N1041" s="5"/>
    </row>
    <row r="1042">
      <c r="N1042" s="5"/>
    </row>
    <row r="1043">
      <c r="N1043" s="5"/>
    </row>
    <row r="1044">
      <c r="N1044" s="5"/>
    </row>
    <row r="1045">
      <c r="N1045" s="5"/>
    </row>
    <row r="1046">
      <c r="N1046" s="5"/>
    </row>
    <row r="1047">
      <c r="N1047" s="5"/>
    </row>
    <row r="1048">
      <c r="N1048" s="5"/>
    </row>
    <row r="1049">
      <c r="N1049" s="5"/>
    </row>
    <row r="1050">
      <c r="N1050" s="5"/>
    </row>
    <row r="1051">
      <c r="N1051" s="5"/>
    </row>
    <row r="1052">
      <c r="N1052" s="5"/>
    </row>
    <row r="1053">
      <c r="N1053" s="5"/>
    </row>
    <row r="1054">
      <c r="N1054" s="5"/>
    </row>
    <row r="1055">
      <c r="N1055" s="5"/>
    </row>
    <row r="1056">
      <c r="N1056" s="5"/>
    </row>
    <row r="1057">
      <c r="N1057" s="5"/>
    </row>
    <row r="1058">
      <c r="N1058" s="5"/>
    </row>
    <row r="1059">
      <c r="N1059" s="5"/>
    </row>
    <row r="1060">
      <c r="N1060" s="5"/>
    </row>
    <row r="1061">
      <c r="N1061" s="5"/>
    </row>
    <row r="1062">
      <c r="N1062" s="5"/>
    </row>
    <row r="1063">
      <c r="N1063" s="5"/>
    </row>
    <row r="1064">
      <c r="N1064" s="5"/>
    </row>
    <row r="1065">
      <c r="N1065" s="5"/>
    </row>
    <row r="1066">
      <c r="N1066" s="5"/>
    </row>
    <row r="1067">
      <c r="N1067" s="5"/>
    </row>
    <row r="1068">
      <c r="N1068" s="5"/>
    </row>
    <row r="1069">
      <c r="N1069" s="5"/>
    </row>
    <row r="1070">
      <c r="N1070" s="5"/>
    </row>
    <row r="1071">
      <c r="N1071" s="5"/>
    </row>
    <row r="1072">
      <c r="N1072" s="5"/>
    </row>
    <row r="1073">
      <c r="N1073" s="5"/>
    </row>
    <row r="1074">
      <c r="N1074" s="5"/>
    </row>
    <row r="1075">
      <c r="N1075" s="5"/>
    </row>
    <row r="1076">
      <c r="N1076" s="5"/>
    </row>
    <row r="1077">
      <c r="N1077" s="5"/>
    </row>
    <row r="1078">
      <c r="N1078" s="5"/>
    </row>
    <row r="1079">
      <c r="N1079" s="5"/>
    </row>
    <row r="1080">
      <c r="N1080" s="5"/>
    </row>
    <row r="1081">
      <c r="N1081" s="5"/>
    </row>
    <row r="1082">
      <c r="N1082" s="5"/>
    </row>
    <row r="1083">
      <c r="N1083" s="5"/>
    </row>
    <row r="1084">
      <c r="N1084" s="5"/>
    </row>
    <row r="1085">
      <c r="N1085" s="5"/>
    </row>
    <row r="1086">
      <c r="N1086" s="5"/>
    </row>
    <row r="1087">
      <c r="N1087" s="5"/>
    </row>
    <row r="1088">
      <c r="N1088" s="5"/>
    </row>
    <row r="1089">
      <c r="N1089" s="5"/>
    </row>
    <row r="1090">
      <c r="N1090" s="5"/>
    </row>
    <row r="1091">
      <c r="N1091" s="5"/>
    </row>
    <row r="1092">
      <c r="N1092" s="5"/>
    </row>
    <row r="1093">
      <c r="N1093" s="5"/>
    </row>
    <row r="1094">
      <c r="N1094" s="5"/>
    </row>
    <row r="1095">
      <c r="N1095" s="5"/>
    </row>
    <row r="1096">
      <c r="N1096" s="5"/>
    </row>
    <row r="1097">
      <c r="N1097" s="5"/>
    </row>
    <row r="1098">
      <c r="N1098" s="5"/>
    </row>
    <row r="1099">
      <c r="N1099" s="5"/>
    </row>
    <row r="1100">
      <c r="N1100" s="5"/>
    </row>
    <row r="1101">
      <c r="N1101" s="5"/>
    </row>
    <row r="1102">
      <c r="N1102" s="5"/>
    </row>
    <row r="1103">
      <c r="N1103" s="5"/>
    </row>
    <row r="1104">
      <c r="N1104" s="5"/>
    </row>
    <row r="1105">
      <c r="N1105" s="5"/>
    </row>
    <row r="1106">
      <c r="N1106" s="5"/>
    </row>
    <row r="1107">
      <c r="N1107" s="5"/>
    </row>
    <row r="1108">
      <c r="N1108" s="5"/>
    </row>
    <row r="1109">
      <c r="N1109" s="5"/>
    </row>
    <row r="1110">
      <c r="N1110" s="5"/>
    </row>
    <row r="1111">
      <c r="N1111" s="5"/>
    </row>
    <row r="1112">
      <c r="N1112" s="5"/>
    </row>
    <row r="1113">
      <c r="N1113" s="5"/>
    </row>
    <row r="1114">
      <c r="N1114" s="5"/>
    </row>
    <row r="1115">
      <c r="N1115" s="5"/>
    </row>
    <row r="1116">
      <c r="N1116" s="5"/>
    </row>
    <row r="1117">
      <c r="N1117" s="5"/>
    </row>
    <row r="1118">
      <c r="N1118" s="5"/>
    </row>
    <row r="1119">
      <c r="N1119" s="5"/>
    </row>
    <row r="1120">
      <c r="N1120" s="5"/>
    </row>
    <row r="1121">
      <c r="N1121" s="5"/>
    </row>
    <row r="1122">
      <c r="N1122" s="5"/>
    </row>
    <row r="1123">
      <c r="N1123" s="5"/>
    </row>
    <row r="1124">
      <c r="N1124" s="5"/>
    </row>
    <row r="1125">
      <c r="N1125" s="5"/>
    </row>
    <row r="1126">
      <c r="N1126" s="5"/>
    </row>
    <row r="1127">
      <c r="N1127" s="5"/>
    </row>
    <row r="1128">
      <c r="N1128" s="5"/>
    </row>
    <row r="1129">
      <c r="N1129" s="5"/>
    </row>
    <row r="1130">
      <c r="N1130" s="5"/>
    </row>
    <row r="1131">
      <c r="N1131" s="5"/>
    </row>
    <row r="1132">
      <c r="N1132" s="5"/>
    </row>
    <row r="1133">
      <c r="N1133" s="5"/>
    </row>
    <row r="1134">
      <c r="N1134" s="5"/>
    </row>
    <row r="1135">
      <c r="N1135" s="5"/>
    </row>
    <row r="1136">
      <c r="N1136" s="5"/>
    </row>
    <row r="1137">
      <c r="N1137" s="5"/>
    </row>
    <row r="1138">
      <c r="N1138" s="5"/>
    </row>
    <row r="1139">
      <c r="N1139" s="5"/>
    </row>
    <row r="1140">
      <c r="N1140" s="5"/>
    </row>
    <row r="1141">
      <c r="N1141" s="5"/>
    </row>
    <row r="1142">
      <c r="N1142" s="5"/>
    </row>
    <row r="1143">
      <c r="N1143" s="5"/>
    </row>
    <row r="1144">
      <c r="N1144" s="5"/>
    </row>
    <row r="1145">
      <c r="N1145" s="5"/>
    </row>
    <row r="1146">
      <c r="N1146" s="5"/>
    </row>
    <row r="1147">
      <c r="N1147" s="5"/>
    </row>
    <row r="1148">
      <c r="N1148" s="5"/>
    </row>
    <row r="1149">
      <c r="N1149" s="5"/>
    </row>
    <row r="1150">
      <c r="N1150" s="5"/>
    </row>
    <row r="1151">
      <c r="N1151" s="5"/>
    </row>
    <row r="1152">
      <c r="N1152" s="5"/>
    </row>
    <row r="1153">
      <c r="N1153" s="5"/>
    </row>
    <row r="1154">
      <c r="N1154" s="5"/>
    </row>
    <row r="1155">
      <c r="N1155" s="5"/>
    </row>
    <row r="1156">
      <c r="N1156" s="5"/>
    </row>
    <row r="1157">
      <c r="N1157" s="5"/>
    </row>
    <row r="1158">
      <c r="N1158" s="5"/>
    </row>
    <row r="1159">
      <c r="N1159" s="5"/>
    </row>
    <row r="1160">
      <c r="N1160" s="5"/>
    </row>
    <row r="1161">
      <c r="N1161" s="5"/>
    </row>
    <row r="1162">
      <c r="N1162" s="5"/>
    </row>
    <row r="1163">
      <c r="N1163" s="5"/>
    </row>
    <row r="1164">
      <c r="N1164" s="5"/>
    </row>
    <row r="1165">
      <c r="N1165" s="5"/>
    </row>
    <row r="1166">
      <c r="N1166" s="5"/>
    </row>
    <row r="1167">
      <c r="N1167" s="5"/>
    </row>
    <row r="1168">
      <c r="N1168" s="5"/>
    </row>
    <row r="1169">
      <c r="N1169" s="5"/>
    </row>
    <row r="1170">
      <c r="N1170" s="5"/>
    </row>
    <row r="1171">
      <c r="N1171" s="5"/>
    </row>
    <row r="1172">
      <c r="N1172" s="5"/>
    </row>
    <row r="1173">
      <c r="N1173" s="5"/>
    </row>
    <row r="1174">
      <c r="N1174" s="5"/>
    </row>
    <row r="1175">
      <c r="N1175" s="5"/>
    </row>
    <row r="1176">
      <c r="N1176" s="5"/>
    </row>
    <row r="1177">
      <c r="N1177" s="5"/>
    </row>
    <row r="1178">
      <c r="N1178" s="5"/>
    </row>
    <row r="1179">
      <c r="N1179" s="5"/>
    </row>
    <row r="1180">
      <c r="N1180" s="5"/>
    </row>
    <row r="1181">
      <c r="N1181" s="5"/>
    </row>
    <row r="1182">
      <c r="N1182" s="5"/>
    </row>
    <row r="1183">
      <c r="N1183" s="5"/>
    </row>
    <row r="1184">
      <c r="N1184" s="5"/>
    </row>
    <row r="1185">
      <c r="N1185" s="5"/>
    </row>
    <row r="1186">
      <c r="N1186" s="5"/>
    </row>
    <row r="1187">
      <c r="N1187" s="5"/>
    </row>
    <row r="1188">
      <c r="N1188" s="5"/>
    </row>
    <row r="1189">
      <c r="N1189" s="5"/>
    </row>
    <row r="1190">
      <c r="N1190" s="5"/>
    </row>
    <row r="1191">
      <c r="N1191" s="5"/>
    </row>
    <row r="1192">
      <c r="N1192" s="5"/>
    </row>
    <row r="1193">
      <c r="N1193" s="5"/>
    </row>
    <row r="1194">
      <c r="N1194" s="5"/>
    </row>
    <row r="1195">
      <c r="N1195" s="5"/>
    </row>
    <row r="1196">
      <c r="N1196" s="5"/>
    </row>
    <row r="1197">
      <c r="N1197" s="5"/>
    </row>
    <row r="1198">
      <c r="N1198" s="5"/>
    </row>
    <row r="1199">
      <c r="N1199" s="5"/>
    </row>
    <row r="1200">
      <c r="N1200" s="5"/>
    </row>
    <row r="1201">
      <c r="N1201" s="5"/>
    </row>
    <row r="1202">
      <c r="N1202" s="5"/>
    </row>
    <row r="1203">
      <c r="N1203" s="5"/>
    </row>
    <row r="1204">
      <c r="N1204" s="5"/>
    </row>
    <row r="1205">
      <c r="N1205" s="5"/>
    </row>
    <row r="1206">
      <c r="N1206" s="5"/>
    </row>
    <row r="1207">
      <c r="N1207" s="5"/>
    </row>
    <row r="1208">
      <c r="N1208" s="5"/>
    </row>
    <row r="1209">
      <c r="N1209" s="5"/>
    </row>
    <row r="1210">
      <c r="N1210" s="5"/>
    </row>
    <row r="1211">
      <c r="N1211" s="5"/>
    </row>
    <row r="1212">
      <c r="N1212" s="5"/>
    </row>
    <row r="1213">
      <c r="N1213" s="5"/>
    </row>
    <row r="1214">
      <c r="N1214" s="5"/>
    </row>
    <row r="1215">
      <c r="N1215" s="5"/>
    </row>
    <row r="1216">
      <c r="N1216" s="5"/>
    </row>
    <row r="1217">
      <c r="N1217" s="5"/>
    </row>
    <row r="1218">
      <c r="N1218" s="5"/>
    </row>
    <row r="1219">
      <c r="N1219" s="5"/>
    </row>
    <row r="1220">
      <c r="N1220" s="5"/>
    </row>
    <row r="1221">
      <c r="N1221" s="5"/>
    </row>
    <row r="1222">
      <c r="N1222" s="5"/>
    </row>
    <row r="1223">
      <c r="N1223" s="5"/>
    </row>
    <row r="1224">
      <c r="N1224" s="5"/>
    </row>
    <row r="1225">
      <c r="N1225" s="5"/>
    </row>
    <row r="1226">
      <c r="N1226" s="5"/>
    </row>
    <row r="1227">
      <c r="N1227" s="5"/>
    </row>
    <row r="1228">
      <c r="N1228" s="5"/>
    </row>
    <row r="1229">
      <c r="N1229" s="5"/>
    </row>
    <row r="1230">
      <c r="N1230" s="5"/>
    </row>
    <row r="1231">
      <c r="N1231" s="5"/>
    </row>
    <row r="1232">
      <c r="N1232" s="5"/>
    </row>
    <row r="1233">
      <c r="N1233" s="5"/>
    </row>
    <row r="1234">
      <c r="N1234" s="5"/>
    </row>
    <row r="1235">
      <c r="N1235" s="5"/>
    </row>
    <row r="1236">
      <c r="N1236" s="5"/>
    </row>
    <row r="1237">
      <c r="N1237" s="5"/>
    </row>
    <row r="1238">
      <c r="N1238" s="5"/>
    </row>
    <row r="1239">
      <c r="N1239" s="5"/>
    </row>
    <row r="1240">
      <c r="N1240" s="5"/>
    </row>
    <row r="1241">
      <c r="N1241" s="5"/>
    </row>
    <row r="1242">
      <c r="N1242" s="5"/>
    </row>
    <row r="1243">
      <c r="N1243" s="5"/>
    </row>
    <row r="1244">
      <c r="N1244" s="5"/>
    </row>
    <row r="1245">
      <c r="N1245" s="5"/>
    </row>
    <row r="1246">
      <c r="N1246" s="5"/>
    </row>
    <row r="1247">
      <c r="N1247" s="5"/>
    </row>
    <row r="1248">
      <c r="N1248" s="5"/>
    </row>
    <row r="1249">
      <c r="N1249" s="5"/>
    </row>
    <row r="1250">
      <c r="N1250" s="5"/>
    </row>
    <row r="1251">
      <c r="N1251" s="5"/>
    </row>
    <row r="1252">
      <c r="N1252" s="5"/>
    </row>
    <row r="1253">
      <c r="N1253" s="5"/>
    </row>
    <row r="1254">
      <c r="N1254" s="5"/>
    </row>
    <row r="1255">
      <c r="N1255" s="5"/>
    </row>
    <row r="1256">
      <c r="N1256" s="5"/>
    </row>
    <row r="1257">
      <c r="N1257" s="5"/>
    </row>
    <row r="1258">
      <c r="N1258" s="5"/>
    </row>
    <row r="1259">
      <c r="N1259" s="5"/>
    </row>
    <row r="1260">
      <c r="N1260" s="5"/>
    </row>
    <row r="1261">
      <c r="N1261" s="5"/>
    </row>
    <row r="1262">
      <c r="N1262" s="5"/>
    </row>
    <row r="1263">
      <c r="N1263" s="5"/>
    </row>
    <row r="1264">
      <c r="N1264" s="5"/>
    </row>
    <row r="1265">
      <c r="N1265" s="5"/>
    </row>
    <row r="1266">
      <c r="N1266" s="5"/>
    </row>
    <row r="1267">
      <c r="N1267" s="5"/>
    </row>
    <row r="1268">
      <c r="N1268" s="5"/>
    </row>
    <row r="1269">
      <c r="N1269" s="5"/>
    </row>
    <row r="1270">
      <c r="N1270" s="5"/>
    </row>
    <row r="1271">
      <c r="N1271" s="5"/>
    </row>
    <row r="1272">
      <c r="N1272" s="5"/>
    </row>
    <row r="1273">
      <c r="N1273" s="5"/>
    </row>
    <row r="1274">
      <c r="N1274" s="5"/>
    </row>
    <row r="1275">
      <c r="N1275" s="5"/>
    </row>
    <row r="1276">
      <c r="N1276" s="5"/>
    </row>
    <row r="1277">
      <c r="N1277" s="5"/>
    </row>
    <row r="1278">
      <c r="N1278" s="5"/>
    </row>
    <row r="1279">
      <c r="N1279" s="5"/>
    </row>
    <row r="1280">
      <c r="N1280" s="5"/>
    </row>
    <row r="1281">
      <c r="N1281" s="5"/>
    </row>
    <row r="1282">
      <c r="N1282" s="5"/>
    </row>
    <row r="1283">
      <c r="N1283" s="5"/>
    </row>
    <row r="1284">
      <c r="N1284" s="5"/>
    </row>
    <row r="1285">
      <c r="N1285" s="5"/>
    </row>
    <row r="1286">
      <c r="N1286" s="5"/>
    </row>
    <row r="1287">
      <c r="N1287" s="5"/>
    </row>
    <row r="1288">
      <c r="N1288" s="5"/>
    </row>
    <row r="1289">
      <c r="N1289" s="5"/>
    </row>
    <row r="1290">
      <c r="N1290" s="5"/>
    </row>
    <row r="1291">
      <c r="N1291" s="5"/>
    </row>
    <row r="1292">
      <c r="N1292" s="5"/>
    </row>
    <row r="1293">
      <c r="N1293" s="5"/>
    </row>
    <row r="1294">
      <c r="N1294" s="5"/>
    </row>
    <row r="1295">
      <c r="N1295" s="5"/>
    </row>
    <row r="1296">
      <c r="N1296" s="5"/>
    </row>
    <row r="1297">
      <c r="N1297" s="5"/>
    </row>
    <row r="1298">
      <c r="N1298" s="5"/>
    </row>
    <row r="1299">
      <c r="N1299" s="5"/>
    </row>
    <row r="1300">
      <c r="N1300" s="5"/>
    </row>
    <row r="1301">
      <c r="N1301" s="5"/>
    </row>
    <row r="1302">
      <c r="N1302" s="5"/>
    </row>
    <row r="1303">
      <c r="N1303" s="5"/>
    </row>
    <row r="1304">
      <c r="N1304" s="5"/>
    </row>
    <row r="1305">
      <c r="N1305" s="5"/>
    </row>
    <row r="1306">
      <c r="N1306" s="5"/>
    </row>
    <row r="1307">
      <c r="N1307" s="5"/>
    </row>
    <row r="1308">
      <c r="N1308" s="5"/>
    </row>
    <row r="1309">
      <c r="N1309" s="5"/>
    </row>
    <row r="1310">
      <c r="N1310" s="5"/>
    </row>
    <row r="1311">
      <c r="N1311" s="5"/>
    </row>
    <row r="1312">
      <c r="N1312" s="5"/>
    </row>
    <row r="1313">
      <c r="N1313" s="5"/>
    </row>
    <row r="1314">
      <c r="N1314" s="5"/>
    </row>
    <row r="1315">
      <c r="N1315" s="5"/>
    </row>
    <row r="1316">
      <c r="N1316" s="5"/>
    </row>
    <row r="1317">
      <c r="N1317" s="5"/>
    </row>
    <row r="1318">
      <c r="N1318" s="5"/>
    </row>
    <row r="1319">
      <c r="N1319" s="5"/>
    </row>
    <row r="1320">
      <c r="N1320" s="5"/>
    </row>
    <row r="1321">
      <c r="N1321" s="5"/>
    </row>
    <row r="1322">
      <c r="N1322" s="5"/>
    </row>
    <row r="1323">
      <c r="N1323" s="5"/>
    </row>
    <row r="1324">
      <c r="N1324" s="5"/>
    </row>
    <row r="1325">
      <c r="N1325" s="5"/>
    </row>
    <row r="1326">
      <c r="N1326" s="5"/>
    </row>
    <row r="1327">
      <c r="N1327" s="5"/>
    </row>
    <row r="1328">
      <c r="N1328" s="5"/>
    </row>
    <row r="1329">
      <c r="N1329" s="5"/>
    </row>
    <row r="1330">
      <c r="N1330" s="5"/>
    </row>
    <row r="1331">
      <c r="N1331" s="5"/>
    </row>
    <row r="1332">
      <c r="N1332" s="5"/>
    </row>
    <row r="1333">
      <c r="N1333" s="5"/>
    </row>
    <row r="1334">
      <c r="N1334" s="5"/>
    </row>
    <row r="1335">
      <c r="N1335" s="5"/>
    </row>
    <row r="1336">
      <c r="N1336" s="5"/>
    </row>
    <row r="1337">
      <c r="N1337" s="5"/>
    </row>
    <row r="1338">
      <c r="N1338" s="5"/>
    </row>
    <row r="1339">
      <c r="N1339" s="5"/>
    </row>
    <row r="1340">
      <c r="N1340" s="5"/>
    </row>
    <row r="1341">
      <c r="N1341" s="5"/>
    </row>
    <row r="1342">
      <c r="N1342" s="5"/>
    </row>
    <row r="1343">
      <c r="N1343" s="5"/>
    </row>
    <row r="1344">
      <c r="N1344" s="5"/>
    </row>
    <row r="1345">
      <c r="N1345" s="5"/>
    </row>
    <row r="1346">
      <c r="N1346" s="5"/>
    </row>
    <row r="1347">
      <c r="N1347" s="5"/>
    </row>
    <row r="1348">
      <c r="N1348" s="5"/>
    </row>
    <row r="1349">
      <c r="N1349" s="5"/>
    </row>
    <row r="1350">
      <c r="N1350" s="5"/>
    </row>
    <row r="1351">
      <c r="N1351" s="5"/>
    </row>
    <row r="1352">
      <c r="N1352" s="5"/>
    </row>
    <row r="1353">
      <c r="N1353" s="5"/>
    </row>
    <row r="1354">
      <c r="N1354" s="5"/>
    </row>
    <row r="1355">
      <c r="N1355" s="5"/>
    </row>
    <row r="1356">
      <c r="N1356" s="5"/>
    </row>
    <row r="1357">
      <c r="N1357" s="5"/>
    </row>
    <row r="1358">
      <c r="N1358" s="5"/>
    </row>
    <row r="1359">
      <c r="N1359" s="5"/>
    </row>
    <row r="1360">
      <c r="N1360" s="5"/>
    </row>
    <row r="1361">
      <c r="N1361" s="5"/>
    </row>
    <row r="1362">
      <c r="N1362" s="5"/>
    </row>
    <row r="1363">
      <c r="N1363" s="5"/>
    </row>
    <row r="1364">
      <c r="N1364" s="5"/>
    </row>
    <row r="1365">
      <c r="N1365" s="5"/>
    </row>
    <row r="1366">
      <c r="N1366" s="5"/>
    </row>
    <row r="1367">
      <c r="N1367" s="5"/>
    </row>
    <row r="1368">
      <c r="N1368" s="5"/>
    </row>
    <row r="1369">
      <c r="N1369" s="5"/>
    </row>
    <row r="1370">
      <c r="N1370" s="5"/>
    </row>
    <row r="1371">
      <c r="N1371" s="5"/>
    </row>
    <row r="1372">
      <c r="N1372" s="5"/>
    </row>
    <row r="1373">
      <c r="N1373" s="5"/>
    </row>
    <row r="1374">
      <c r="N1374" s="5"/>
    </row>
    <row r="1375">
      <c r="N1375" s="5"/>
    </row>
    <row r="1376">
      <c r="N1376" s="5"/>
    </row>
    <row r="1377">
      <c r="N1377" s="5"/>
    </row>
    <row r="1378">
      <c r="N1378" s="5"/>
    </row>
    <row r="1379">
      <c r="N1379" s="5"/>
    </row>
    <row r="1380">
      <c r="N1380" s="5"/>
    </row>
    <row r="1381">
      <c r="N1381" s="5"/>
    </row>
    <row r="1382">
      <c r="N1382" s="5"/>
    </row>
    <row r="1383">
      <c r="N1383" s="5"/>
    </row>
    <row r="1384">
      <c r="N1384" s="5"/>
    </row>
    <row r="1385">
      <c r="N1385" s="5"/>
    </row>
    <row r="1386">
      <c r="N1386" s="5"/>
    </row>
    <row r="1387">
      <c r="N1387" s="5"/>
    </row>
    <row r="1388">
      <c r="N1388" s="5"/>
    </row>
    <row r="1389">
      <c r="N1389" s="5"/>
    </row>
    <row r="1390">
      <c r="N1390" s="5"/>
    </row>
    <row r="1391">
      <c r="N1391" s="5"/>
    </row>
    <row r="1392">
      <c r="N1392" s="5"/>
    </row>
    <row r="1393">
      <c r="N1393" s="5"/>
    </row>
    <row r="1394">
      <c r="N1394" s="5"/>
    </row>
    <row r="1395">
      <c r="N1395" s="5"/>
    </row>
    <row r="1396">
      <c r="N1396" s="5"/>
    </row>
    <row r="1397">
      <c r="N1397" s="5"/>
    </row>
    <row r="1398">
      <c r="N1398" s="5"/>
    </row>
    <row r="1399">
      <c r="N1399" s="5"/>
    </row>
    <row r="1400">
      <c r="N1400" s="5"/>
    </row>
    <row r="1401">
      <c r="N1401" s="5"/>
    </row>
    <row r="1402">
      <c r="N1402" s="5"/>
    </row>
    <row r="1403">
      <c r="N1403" s="5"/>
    </row>
    <row r="1404">
      <c r="N1404" s="5"/>
    </row>
    <row r="1405">
      <c r="N1405" s="5"/>
    </row>
    <row r="1406">
      <c r="N1406" s="5"/>
    </row>
    <row r="1407">
      <c r="N1407" s="5"/>
    </row>
    <row r="1408">
      <c r="N1408" s="5"/>
    </row>
    <row r="1409">
      <c r="N1409" s="5"/>
    </row>
    <row r="1410">
      <c r="N1410" s="5"/>
    </row>
    <row r="1411">
      <c r="N1411" s="5"/>
    </row>
    <row r="1412">
      <c r="N1412" s="5"/>
    </row>
    <row r="1413">
      <c r="N1413" s="5"/>
    </row>
    <row r="1414">
      <c r="N1414" s="5"/>
    </row>
    <row r="1415">
      <c r="N1415" s="5"/>
    </row>
    <row r="1416">
      <c r="N1416" s="5"/>
    </row>
    <row r="1417">
      <c r="N1417" s="5"/>
    </row>
    <row r="1418">
      <c r="N1418" s="5"/>
    </row>
    <row r="1419">
      <c r="N1419" s="5"/>
    </row>
    <row r="1420">
      <c r="N1420" s="5"/>
    </row>
    <row r="1421">
      <c r="N1421" s="5"/>
    </row>
    <row r="1422">
      <c r="N1422" s="5"/>
    </row>
    <row r="1423">
      <c r="N1423" s="5"/>
    </row>
    <row r="1424">
      <c r="N1424" s="5"/>
    </row>
    <row r="1425">
      <c r="N1425" s="5"/>
    </row>
    <row r="1426">
      <c r="N1426" s="5"/>
    </row>
    <row r="1427">
      <c r="N1427" s="5"/>
    </row>
    <row r="1428">
      <c r="N1428" s="5"/>
    </row>
    <row r="1429">
      <c r="N1429" s="5"/>
    </row>
    <row r="1430">
      <c r="N1430" s="5"/>
    </row>
    <row r="1431">
      <c r="N1431" s="5"/>
    </row>
    <row r="1432">
      <c r="N1432" s="5"/>
    </row>
    <row r="1433">
      <c r="N1433" s="5"/>
    </row>
    <row r="1434">
      <c r="N1434" s="5"/>
    </row>
    <row r="1435">
      <c r="N1435" s="5"/>
    </row>
    <row r="1436">
      <c r="N1436" s="5"/>
    </row>
    <row r="1437">
      <c r="N1437" s="5"/>
    </row>
    <row r="1438">
      <c r="N1438" s="5"/>
    </row>
    <row r="1439">
      <c r="N1439" s="5"/>
    </row>
    <row r="1440">
      <c r="N1440" s="5"/>
    </row>
    <row r="1441">
      <c r="N1441" s="5"/>
    </row>
    <row r="1442">
      <c r="N1442" s="5"/>
    </row>
    <row r="1443">
      <c r="N1443" s="5"/>
    </row>
    <row r="1444">
      <c r="N1444" s="5"/>
    </row>
    <row r="1445">
      <c r="N1445" s="5"/>
    </row>
    <row r="1446">
      <c r="N1446" s="5"/>
    </row>
    <row r="1447">
      <c r="N1447" s="5"/>
    </row>
    <row r="1448">
      <c r="N1448" s="5"/>
    </row>
    <row r="1449">
      <c r="N1449" s="5"/>
    </row>
    <row r="1450">
      <c r="N1450" s="5"/>
    </row>
    <row r="1451">
      <c r="N1451" s="5"/>
    </row>
    <row r="1452">
      <c r="N1452" s="5"/>
    </row>
    <row r="1453">
      <c r="N1453" s="5"/>
    </row>
    <row r="1454">
      <c r="N1454" s="5"/>
    </row>
    <row r="1455">
      <c r="N1455" s="5"/>
    </row>
    <row r="1456">
      <c r="N1456" s="5"/>
    </row>
    <row r="1457">
      <c r="N1457" s="5"/>
    </row>
    <row r="1458">
      <c r="N1458" s="5"/>
    </row>
    <row r="1459">
      <c r="N1459" s="5"/>
    </row>
    <row r="1460">
      <c r="N1460" s="5"/>
    </row>
    <row r="1461">
      <c r="N1461" s="5"/>
    </row>
    <row r="1462">
      <c r="N1462" s="5"/>
    </row>
    <row r="1463">
      <c r="N1463" s="5"/>
    </row>
    <row r="1464">
      <c r="N1464" s="5"/>
    </row>
    <row r="1465">
      <c r="N1465" s="5"/>
    </row>
    <row r="1466">
      <c r="N1466" s="5"/>
    </row>
    <row r="1467">
      <c r="N1467" s="5"/>
    </row>
    <row r="1468">
      <c r="N1468" s="5"/>
    </row>
    <row r="1469">
      <c r="N1469" s="5"/>
    </row>
    <row r="1470">
      <c r="N1470" s="5"/>
    </row>
    <row r="1471">
      <c r="N1471" s="5"/>
    </row>
    <row r="1472">
      <c r="N1472" s="5"/>
    </row>
    <row r="1473">
      <c r="N1473" s="5"/>
    </row>
    <row r="1474">
      <c r="N1474" s="5"/>
    </row>
    <row r="1475">
      <c r="N1475" s="5"/>
    </row>
    <row r="1476">
      <c r="N1476" s="5"/>
    </row>
    <row r="1477">
      <c r="N1477" s="5"/>
    </row>
    <row r="1478">
      <c r="N1478" s="5"/>
    </row>
    <row r="1479">
      <c r="N1479" s="5"/>
    </row>
    <row r="1480">
      <c r="N1480" s="5"/>
    </row>
    <row r="1481">
      <c r="N1481" s="5"/>
    </row>
    <row r="1482">
      <c r="N1482" s="5"/>
    </row>
    <row r="1483">
      <c r="N1483" s="5"/>
    </row>
    <row r="1484">
      <c r="N1484" s="5"/>
    </row>
    <row r="1485">
      <c r="N1485" s="5"/>
    </row>
    <row r="1486">
      <c r="N1486" s="5"/>
    </row>
    <row r="1487">
      <c r="N1487" s="5"/>
    </row>
    <row r="1488">
      <c r="N1488" s="5"/>
    </row>
    <row r="1489">
      <c r="N1489" s="5"/>
    </row>
    <row r="1490">
      <c r="N1490" s="5"/>
    </row>
    <row r="1491">
      <c r="N1491" s="5"/>
    </row>
    <row r="1492">
      <c r="N1492" s="5"/>
    </row>
    <row r="1493">
      <c r="N1493" s="5"/>
    </row>
    <row r="1494">
      <c r="N1494" s="5"/>
    </row>
    <row r="1495">
      <c r="N1495" s="5"/>
    </row>
    <row r="1496">
      <c r="N1496" s="5"/>
    </row>
    <row r="1497">
      <c r="N1497" s="5"/>
    </row>
    <row r="1498">
      <c r="N1498" s="5"/>
    </row>
    <row r="1499">
      <c r="N1499" s="5"/>
    </row>
    <row r="1500">
      <c r="N1500" s="5"/>
    </row>
    <row r="1501">
      <c r="N1501" s="5"/>
    </row>
    <row r="1502">
      <c r="N1502" s="5"/>
    </row>
    <row r="1503">
      <c r="N1503" s="5"/>
    </row>
    <row r="1504">
      <c r="N1504" s="5"/>
    </row>
    <row r="1505">
      <c r="N1505" s="5"/>
    </row>
    <row r="1506">
      <c r="N1506" s="5"/>
    </row>
    <row r="1507">
      <c r="N1507" s="5"/>
    </row>
    <row r="1508">
      <c r="N1508" s="5"/>
    </row>
    <row r="1509">
      <c r="N1509" s="5"/>
    </row>
    <row r="1510">
      <c r="N1510" s="5"/>
    </row>
    <row r="1511">
      <c r="N1511" s="5"/>
    </row>
    <row r="1512">
      <c r="N1512" s="5"/>
    </row>
    <row r="1513">
      <c r="N1513" s="5"/>
    </row>
    <row r="1514">
      <c r="N1514" s="5"/>
    </row>
    <row r="1515">
      <c r="N1515" s="5"/>
    </row>
    <row r="1516">
      <c r="N1516" s="5"/>
    </row>
    <row r="1517">
      <c r="N1517" s="5"/>
    </row>
    <row r="1518">
      <c r="N1518" s="5"/>
    </row>
    <row r="1519">
      <c r="N1519" s="5"/>
    </row>
    <row r="1520">
      <c r="N1520" s="5"/>
    </row>
    <row r="1521">
      <c r="N1521" s="5"/>
    </row>
    <row r="1522">
      <c r="N1522" s="5"/>
    </row>
    <row r="1523">
      <c r="N1523" s="5"/>
    </row>
    <row r="1524">
      <c r="N1524" s="5"/>
    </row>
    <row r="1525">
      <c r="N1525" s="5"/>
    </row>
    <row r="1526">
      <c r="N1526" s="5"/>
    </row>
    <row r="1527">
      <c r="N1527" s="5"/>
    </row>
    <row r="1528">
      <c r="N1528" s="5"/>
    </row>
    <row r="1529">
      <c r="N1529" s="5"/>
    </row>
    <row r="1530">
      <c r="N1530" s="5"/>
    </row>
    <row r="1531">
      <c r="N1531" s="5"/>
    </row>
    <row r="1532">
      <c r="N1532" s="5"/>
    </row>
    <row r="1533">
      <c r="N1533" s="5"/>
    </row>
    <row r="1534">
      <c r="N1534" s="5"/>
    </row>
    <row r="1535">
      <c r="N1535" s="5"/>
    </row>
    <row r="1536">
      <c r="N1536" s="5"/>
    </row>
    <row r="1537">
      <c r="N1537" s="5"/>
    </row>
    <row r="1538">
      <c r="N1538" s="5"/>
    </row>
    <row r="1539">
      <c r="N1539" s="5"/>
    </row>
    <row r="1540">
      <c r="N1540" s="5"/>
    </row>
    <row r="1541">
      <c r="N1541" s="5"/>
    </row>
    <row r="1542">
      <c r="N1542" s="5"/>
    </row>
    <row r="1543">
      <c r="N1543" s="5"/>
    </row>
    <row r="1544">
      <c r="N1544" s="5"/>
    </row>
    <row r="1545">
      <c r="N1545" s="5"/>
    </row>
    <row r="1546">
      <c r="N1546" s="5"/>
    </row>
    <row r="1547">
      <c r="N1547" s="5"/>
    </row>
    <row r="1548">
      <c r="N1548" s="5"/>
    </row>
    <row r="1549">
      <c r="N1549" s="5"/>
    </row>
    <row r="1550">
      <c r="N1550" s="5"/>
    </row>
    <row r="1551">
      <c r="N1551" s="5"/>
    </row>
    <row r="1552">
      <c r="N1552" s="5"/>
    </row>
    <row r="1553">
      <c r="N1553" s="5"/>
    </row>
    <row r="1554">
      <c r="N1554" s="5"/>
    </row>
    <row r="1555">
      <c r="N1555" s="5"/>
    </row>
    <row r="1556">
      <c r="N1556" s="5"/>
    </row>
    <row r="1557">
      <c r="N1557" s="5"/>
    </row>
    <row r="1558">
      <c r="N1558" s="5"/>
    </row>
    <row r="1559">
      <c r="N1559" s="5"/>
    </row>
    <row r="1560">
      <c r="N1560" s="5"/>
    </row>
    <row r="1561">
      <c r="N1561" s="5"/>
    </row>
    <row r="1562">
      <c r="N1562" s="5"/>
    </row>
    <row r="1563">
      <c r="N1563" s="5"/>
    </row>
    <row r="1564">
      <c r="N1564" s="5"/>
    </row>
    <row r="1565">
      <c r="N1565" s="5"/>
    </row>
    <row r="1566">
      <c r="N1566" s="5"/>
    </row>
    <row r="1567">
      <c r="N1567" s="5"/>
    </row>
    <row r="1568">
      <c r="N1568" s="5"/>
    </row>
    <row r="1569">
      <c r="N1569" s="5"/>
    </row>
    <row r="1570">
      <c r="N1570" s="5"/>
    </row>
    <row r="1571">
      <c r="N1571" s="5"/>
    </row>
    <row r="1572">
      <c r="N1572" s="5"/>
    </row>
    <row r="1573">
      <c r="N1573" s="5"/>
    </row>
    <row r="1574">
      <c r="N1574" s="5"/>
    </row>
    <row r="1575">
      <c r="N1575" s="5"/>
    </row>
    <row r="1576">
      <c r="N1576" s="5"/>
    </row>
    <row r="1577">
      <c r="N1577" s="5"/>
    </row>
    <row r="1578">
      <c r="N1578" s="5"/>
    </row>
    <row r="1579">
      <c r="N1579" s="5"/>
    </row>
    <row r="1580">
      <c r="N1580" s="5"/>
    </row>
    <row r="1581">
      <c r="N1581" s="5"/>
    </row>
    <row r="1582">
      <c r="N1582" s="5"/>
    </row>
    <row r="1583">
      <c r="N1583" s="5"/>
    </row>
    <row r="1584">
      <c r="N1584" s="5"/>
    </row>
    <row r="1585">
      <c r="N1585" s="5"/>
    </row>
    <row r="1586">
      <c r="N1586" s="5"/>
    </row>
    <row r="1587">
      <c r="N1587" s="5"/>
    </row>
    <row r="1588">
      <c r="N1588" s="5"/>
    </row>
    <row r="1589">
      <c r="N1589" s="5"/>
    </row>
    <row r="1590">
      <c r="N1590" s="5"/>
    </row>
    <row r="1591">
      <c r="N1591" s="5"/>
    </row>
    <row r="1592">
      <c r="N1592" s="5"/>
    </row>
    <row r="1593">
      <c r="N1593" s="5"/>
    </row>
    <row r="1594">
      <c r="N1594" s="5"/>
    </row>
    <row r="1595">
      <c r="N1595" s="5"/>
    </row>
    <row r="1596">
      <c r="N1596" s="5"/>
    </row>
    <row r="1597">
      <c r="N1597" s="5"/>
    </row>
    <row r="1598">
      <c r="N1598" s="5"/>
    </row>
    <row r="1599">
      <c r="N1599" s="5"/>
    </row>
    <row r="1600">
      <c r="N1600" s="5"/>
    </row>
    <row r="1601">
      <c r="N1601" s="5"/>
    </row>
    <row r="1602">
      <c r="N1602" s="5"/>
    </row>
    <row r="1603">
      <c r="N1603" s="5"/>
    </row>
    <row r="1604">
      <c r="N1604" s="5"/>
    </row>
    <row r="1605">
      <c r="N1605" s="5"/>
    </row>
    <row r="1606">
      <c r="N1606" s="5"/>
    </row>
    <row r="1607">
      <c r="N1607" s="5"/>
    </row>
    <row r="1608">
      <c r="N1608" s="5"/>
    </row>
    <row r="1609">
      <c r="N1609" s="5"/>
    </row>
    <row r="1610">
      <c r="N1610" s="5"/>
    </row>
    <row r="1611">
      <c r="N1611" s="5"/>
    </row>
    <row r="1612">
      <c r="N1612" s="5"/>
    </row>
    <row r="1613">
      <c r="N1613" s="5"/>
    </row>
    <row r="1614">
      <c r="N1614" s="5"/>
    </row>
    <row r="1615">
      <c r="N1615" s="5"/>
    </row>
    <row r="1616">
      <c r="N1616" s="5"/>
    </row>
    <row r="1617">
      <c r="N1617" s="5"/>
    </row>
    <row r="1618">
      <c r="N1618" s="5"/>
    </row>
    <row r="1619">
      <c r="N1619" s="5"/>
    </row>
    <row r="1620">
      <c r="N1620" s="5"/>
    </row>
    <row r="1621">
      <c r="N1621" s="5"/>
    </row>
    <row r="1622">
      <c r="N1622" s="5"/>
    </row>
    <row r="1623">
      <c r="N1623" s="5"/>
    </row>
    <row r="1624">
      <c r="N1624" s="5"/>
    </row>
    <row r="1625">
      <c r="N1625" s="5"/>
    </row>
    <row r="1626">
      <c r="N1626" s="5"/>
    </row>
    <row r="1627">
      <c r="N1627" s="5"/>
    </row>
    <row r="1628">
      <c r="N1628" s="5"/>
    </row>
    <row r="1629">
      <c r="N1629" s="5"/>
    </row>
    <row r="1630">
      <c r="N1630" s="5"/>
    </row>
    <row r="1631">
      <c r="N1631" s="5"/>
    </row>
    <row r="1632">
      <c r="N1632" s="5"/>
    </row>
    <row r="1633">
      <c r="N1633" s="5"/>
    </row>
    <row r="1634">
      <c r="N1634" s="5"/>
    </row>
    <row r="1635">
      <c r="N1635" s="5"/>
    </row>
    <row r="1636">
      <c r="N1636" s="5"/>
    </row>
    <row r="1637">
      <c r="N1637" s="5"/>
    </row>
    <row r="1638">
      <c r="N1638" s="5"/>
    </row>
    <row r="1639">
      <c r="N1639" s="5"/>
    </row>
    <row r="1640">
      <c r="N1640" s="5"/>
    </row>
    <row r="1641">
      <c r="N1641" s="5"/>
    </row>
    <row r="1642">
      <c r="N1642" s="5"/>
    </row>
    <row r="1643">
      <c r="N1643" s="5"/>
    </row>
    <row r="1644">
      <c r="N1644" s="5"/>
    </row>
    <row r="1645">
      <c r="N1645" s="5"/>
    </row>
    <row r="1646">
      <c r="N1646" s="5"/>
    </row>
    <row r="1647">
      <c r="N1647" s="5"/>
    </row>
    <row r="1648">
      <c r="N1648" s="5"/>
    </row>
    <row r="1649">
      <c r="N1649" s="5"/>
    </row>
    <row r="1650">
      <c r="N1650" s="5"/>
    </row>
    <row r="1651">
      <c r="N1651" s="5"/>
    </row>
    <row r="1652">
      <c r="N1652" s="5"/>
    </row>
    <row r="1653">
      <c r="N1653" s="5"/>
    </row>
    <row r="1654">
      <c r="N1654" s="5"/>
    </row>
    <row r="1655">
      <c r="N1655" s="5"/>
    </row>
    <row r="1656">
      <c r="N1656" s="5"/>
    </row>
    <row r="1657">
      <c r="N1657" s="5"/>
    </row>
    <row r="1658">
      <c r="N1658" s="5"/>
    </row>
    <row r="1659">
      <c r="N1659" s="5"/>
    </row>
    <row r="1660">
      <c r="N1660" s="5"/>
    </row>
    <row r="1661">
      <c r="N1661" s="5"/>
    </row>
    <row r="1662">
      <c r="N1662" s="5"/>
    </row>
    <row r="1663">
      <c r="N1663" s="5"/>
    </row>
    <row r="1664">
      <c r="N1664" s="5"/>
    </row>
    <row r="1665">
      <c r="N1665" s="5"/>
    </row>
    <row r="1666">
      <c r="N1666" s="5"/>
    </row>
    <row r="1667">
      <c r="N1667" s="5"/>
    </row>
    <row r="1668">
      <c r="N1668" s="5"/>
    </row>
    <row r="1669">
      <c r="N1669" s="5"/>
    </row>
    <row r="1670">
      <c r="N1670" s="5"/>
    </row>
    <row r="1671">
      <c r="N1671" s="5"/>
    </row>
    <row r="1672">
      <c r="N1672" s="5"/>
    </row>
    <row r="1673">
      <c r="N1673" s="5"/>
    </row>
    <row r="1674">
      <c r="N1674" s="5"/>
    </row>
    <row r="1675">
      <c r="N1675" s="5"/>
    </row>
    <row r="1676">
      <c r="N1676" s="5"/>
    </row>
    <row r="1677">
      <c r="N1677" s="5"/>
    </row>
    <row r="1678">
      <c r="N1678" s="5"/>
    </row>
    <row r="1679">
      <c r="N1679" s="5"/>
    </row>
    <row r="1680">
      <c r="N1680" s="5"/>
    </row>
    <row r="1681">
      <c r="N1681" s="5"/>
    </row>
    <row r="1682">
      <c r="N1682" s="5"/>
    </row>
    <row r="1683">
      <c r="N1683" s="5"/>
    </row>
    <row r="1684">
      <c r="N1684" s="5"/>
    </row>
    <row r="1685">
      <c r="N1685" s="5"/>
    </row>
    <row r="1686">
      <c r="N1686" s="5"/>
    </row>
    <row r="1687">
      <c r="N1687" s="5"/>
    </row>
    <row r="1688">
      <c r="N1688" s="5"/>
    </row>
    <row r="1689">
      <c r="N1689" s="5"/>
    </row>
    <row r="1690">
      <c r="N1690" s="5"/>
    </row>
    <row r="1691">
      <c r="N1691" s="5"/>
    </row>
    <row r="1692">
      <c r="N1692" s="5"/>
    </row>
    <row r="1693">
      <c r="N1693" s="5"/>
    </row>
    <row r="1694">
      <c r="N1694" s="5"/>
    </row>
    <row r="1695">
      <c r="N1695" s="5"/>
    </row>
    <row r="1696">
      <c r="N1696" s="5"/>
    </row>
    <row r="1697">
      <c r="N1697" s="5"/>
    </row>
    <row r="1698">
      <c r="N1698" s="5"/>
    </row>
    <row r="1699">
      <c r="N1699" s="5"/>
    </row>
    <row r="1700">
      <c r="N1700" s="5"/>
    </row>
    <row r="1701">
      <c r="N1701" s="5"/>
    </row>
    <row r="1702">
      <c r="N1702" s="5"/>
    </row>
    <row r="1703">
      <c r="N1703" s="5"/>
    </row>
    <row r="1704">
      <c r="N1704" s="5"/>
    </row>
    <row r="1705">
      <c r="N1705" s="5"/>
    </row>
    <row r="1706">
      <c r="N1706" s="5"/>
    </row>
    <row r="1707">
      <c r="N1707" s="5"/>
    </row>
    <row r="1708">
      <c r="N1708" s="5"/>
    </row>
    <row r="1709">
      <c r="N1709" s="5"/>
    </row>
    <row r="1710">
      <c r="N1710" s="5"/>
    </row>
    <row r="1711">
      <c r="N1711" s="5"/>
    </row>
    <row r="1712">
      <c r="N1712" s="5"/>
    </row>
    <row r="1713">
      <c r="N1713" s="5"/>
    </row>
    <row r="1714">
      <c r="N1714" s="5"/>
    </row>
    <row r="1715">
      <c r="N1715" s="5"/>
    </row>
    <row r="1716">
      <c r="N1716" s="5"/>
    </row>
    <row r="1717">
      <c r="N1717" s="5"/>
    </row>
    <row r="1718">
      <c r="N1718" s="5"/>
    </row>
    <row r="1719">
      <c r="N1719" s="5"/>
    </row>
    <row r="1720">
      <c r="N1720" s="5"/>
    </row>
    <row r="1721">
      <c r="N1721" s="5"/>
    </row>
    <row r="1722">
      <c r="N1722" s="5"/>
    </row>
    <row r="1723">
      <c r="N1723" s="5"/>
    </row>
    <row r="1724">
      <c r="N1724" s="5"/>
    </row>
    <row r="1725">
      <c r="N1725" s="5"/>
    </row>
    <row r="1726">
      <c r="N1726" s="5"/>
    </row>
    <row r="1727">
      <c r="N1727" s="5"/>
    </row>
    <row r="1728">
      <c r="N1728" s="5"/>
    </row>
    <row r="1729">
      <c r="N1729" s="5"/>
    </row>
    <row r="1730">
      <c r="N1730" s="5"/>
    </row>
    <row r="1731">
      <c r="N1731" s="5"/>
    </row>
    <row r="1732">
      <c r="N1732" s="5"/>
    </row>
    <row r="1733">
      <c r="N1733" s="5"/>
    </row>
    <row r="1734">
      <c r="N1734" s="5"/>
    </row>
    <row r="1735">
      <c r="N1735" s="5"/>
    </row>
    <row r="1736">
      <c r="N1736" s="5"/>
    </row>
    <row r="1737">
      <c r="N1737" s="5"/>
    </row>
    <row r="1738">
      <c r="N1738" s="5"/>
    </row>
    <row r="1739">
      <c r="N1739" s="5"/>
    </row>
    <row r="1740">
      <c r="N1740" s="5"/>
    </row>
    <row r="1741">
      <c r="N1741" s="5"/>
    </row>
    <row r="1742">
      <c r="N1742" s="5"/>
    </row>
    <row r="1743">
      <c r="N1743" s="5"/>
    </row>
    <row r="1744">
      <c r="N1744" s="5"/>
    </row>
    <row r="1745">
      <c r="N1745" s="5"/>
    </row>
    <row r="1746">
      <c r="N1746" s="5"/>
    </row>
    <row r="1747">
      <c r="N1747" s="5"/>
    </row>
    <row r="1748">
      <c r="N1748" s="5"/>
    </row>
    <row r="1749">
      <c r="N1749" s="5"/>
    </row>
    <row r="1750">
      <c r="N1750" s="5"/>
    </row>
    <row r="1751">
      <c r="N1751" s="5"/>
    </row>
    <row r="1752">
      <c r="N1752" s="5"/>
    </row>
    <row r="1753">
      <c r="N1753" s="5"/>
    </row>
    <row r="1754">
      <c r="N1754" s="5"/>
    </row>
    <row r="1755">
      <c r="N1755" s="5"/>
    </row>
    <row r="1756">
      <c r="N1756" s="5"/>
    </row>
    <row r="1757">
      <c r="N1757" s="5"/>
    </row>
    <row r="1758">
      <c r="N1758" s="5"/>
    </row>
    <row r="1759">
      <c r="N1759" s="5"/>
    </row>
    <row r="1760">
      <c r="N1760" s="5"/>
    </row>
    <row r="1761">
      <c r="N1761" s="5"/>
    </row>
    <row r="1762">
      <c r="N1762" s="5"/>
    </row>
    <row r="1763">
      <c r="N1763" s="5"/>
    </row>
    <row r="1764">
      <c r="N1764" s="5"/>
    </row>
    <row r="1765">
      <c r="N1765" s="5"/>
    </row>
    <row r="1766">
      <c r="N1766" s="5"/>
    </row>
    <row r="1767">
      <c r="N1767" s="5"/>
    </row>
    <row r="1768">
      <c r="N1768" s="5"/>
    </row>
    <row r="1769">
      <c r="N1769" s="5"/>
    </row>
    <row r="1770">
      <c r="N1770" s="5"/>
    </row>
    <row r="1771">
      <c r="N1771" s="5"/>
    </row>
    <row r="1772">
      <c r="N1772" s="5"/>
    </row>
    <row r="1773">
      <c r="N1773" s="5"/>
    </row>
    <row r="1774">
      <c r="N1774" s="5"/>
    </row>
    <row r="1775">
      <c r="N1775" s="5"/>
    </row>
    <row r="1776">
      <c r="N1776" s="5"/>
    </row>
    <row r="1777">
      <c r="N1777" s="5"/>
    </row>
    <row r="1778">
      <c r="N1778" s="5"/>
    </row>
    <row r="1779">
      <c r="N1779" s="5"/>
    </row>
    <row r="1780">
      <c r="N1780" s="5"/>
    </row>
    <row r="1781">
      <c r="N1781" s="5"/>
    </row>
    <row r="1782">
      <c r="N1782" s="5"/>
    </row>
    <row r="1783">
      <c r="N1783" s="5"/>
    </row>
    <row r="1784">
      <c r="N1784" s="5"/>
    </row>
    <row r="1785">
      <c r="N1785" s="5"/>
    </row>
    <row r="1786">
      <c r="N1786" s="5"/>
    </row>
    <row r="1787">
      <c r="N1787" s="5"/>
    </row>
    <row r="1788">
      <c r="N1788" s="5"/>
    </row>
    <row r="1789">
      <c r="N1789" s="5"/>
    </row>
    <row r="1790">
      <c r="N1790" s="5"/>
    </row>
    <row r="1791">
      <c r="N1791" s="5"/>
    </row>
    <row r="1792">
      <c r="N1792" s="5"/>
    </row>
    <row r="1793">
      <c r="N1793" s="5"/>
    </row>
    <row r="1794">
      <c r="N1794" s="5"/>
    </row>
    <row r="1795">
      <c r="N1795" s="5"/>
    </row>
    <row r="1796">
      <c r="N1796" s="5"/>
    </row>
    <row r="1797">
      <c r="N1797" s="5"/>
    </row>
    <row r="1798">
      <c r="N1798" s="5"/>
    </row>
    <row r="1799">
      <c r="N1799" s="5"/>
    </row>
    <row r="1800">
      <c r="N1800" s="5"/>
    </row>
    <row r="1801">
      <c r="N1801" s="5"/>
    </row>
    <row r="1802">
      <c r="N1802" s="5"/>
    </row>
    <row r="1803">
      <c r="N1803" s="5"/>
    </row>
    <row r="1804">
      <c r="N1804" s="5"/>
    </row>
    <row r="1805">
      <c r="N1805" s="5"/>
    </row>
    <row r="1806">
      <c r="N1806" s="5"/>
    </row>
    <row r="1807">
      <c r="N1807" s="5"/>
    </row>
    <row r="1808">
      <c r="N1808" s="5"/>
    </row>
    <row r="1809">
      <c r="N1809" s="5"/>
    </row>
    <row r="1810">
      <c r="N1810" s="5"/>
    </row>
    <row r="1811">
      <c r="N1811" s="5"/>
    </row>
    <row r="1812">
      <c r="N1812" s="5"/>
    </row>
    <row r="1813">
      <c r="N1813" s="5"/>
    </row>
    <row r="1814">
      <c r="N1814" s="5"/>
    </row>
    <row r="1815">
      <c r="N1815" s="5"/>
    </row>
    <row r="1816">
      <c r="N1816" s="5"/>
    </row>
    <row r="1817">
      <c r="N1817" s="5"/>
    </row>
    <row r="1818">
      <c r="N1818" s="5"/>
    </row>
    <row r="1819">
      <c r="N1819" s="5"/>
    </row>
    <row r="1820">
      <c r="N1820" s="5"/>
    </row>
    <row r="1821">
      <c r="N1821" s="5"/>
    </row>
    <row r="1822">
      <c r="N1822" s="5"/>
    </row>
    <row r="1823">
      <c r="N1823" s="5"/>
    </row>
    <row r="1824">
      <c r="N1824" s="5"/>
    </row>
    <row r="1825">
      <c r="N1825" s="5"/>
    </row>
    <row r="1826">
      <c r="N1826" s="5"/>
    </row>
    <row r="1827">
      <c r="N1827" s="5"/>
    </row>
    <row r="1828">
      <c r="N1828" s="5"/>
    </row>
    <row r="1829">
      <c r="N1829" s="5"/>
    </row>
    <row r="1830">
      <c r="N1830" s="5"/>
    </row>
    <row r="1831">
      <c r="N1831" s="5"/>
    </row>
    <row r="1832">
      <c r="N1832" s="5"/>
    </row>
    <row r="1833">
      <c r="N1833" s="5"/>
    </row>
    <row r="1834">
      <c r="N1834" s="5"/>
    </row>
    <row r="1835">
      <c r="N1835" s="5"/>
    </row>
    <row r="1836">
      <c r="N1836" s="5"/>
    </row>
    <row r="1837">
      <c r="N1837" s="5"/>
    </row>
    <row r="1838">
      <c r="N1838" s="5"/>
    </row>
    <row r="1839">
      <c r="N1839" s="5"/>
    </row>
    <row r="1840">
      <c r="N1840" s="5"/>
    </row>
    <row r="1841">
      <c r="N1841" s="5"/>
    </row>
    <row r="1842">
      <c r="N1842" s="5"/>
    </row>
    <row r="1843">
      <c r="N1843" s="5"/>
    </row>
    <row r="1844">
      <c r="N1844" s="5"/>
    </row>
    <row r="1845">
      <c r="N1845" s="5"/>
    </row>
    <row r="1846">
      <c r="N1846" s="5"/>
    </row>
    <row r="1847">
      <c r="N1847" s="5"/>
    </row>
    <row r="1848">
      <c r="N1848" s="5"/>
    </row>
    <row r="1849">
      <c r="N1849" s="5"/>
    </row>
    <row r="1850">
      <c r="N1850" s="5"/>
    </row>
    <row r="1851">
      <c r="N1851" s="5"/>
    </row>
    <row r="1852">
      <c r="N1852" s="5"/>
    </row>
    <row r="1853">
      <c r="N1853" s="5"/>
    </row>
    <row r="1854">
      <c r="N1854" s="5"/>
    </row>
    <row r="1855">
      <c r="N1855" s="5"/>
    </row>
    <row r="1856">
      <c r="N1856" s="5"/>
    </row>
    <row r="1857">
      <c r="N1857" s="5"/>
    </row>
    <row r="1858">
      <c r="N1858" s="5"/>
    </row>
    <row r="1859">
      <c r="N1859" s="5"/>
    </row>
    <row r="1860">
      <c r="N1860" s="5"/>
    </row>
    <row r="1861">
      <c r="N1861" s="5"/>
    </row>
    <row r="1862">
      <c r="N1862" s="5"/>
    </row>
    <row r="1863">
      <c r="N1863" s="5"/>
    </row>
    <row r="1864">
      <c r="N1864" s="5"/>
    </row>
    <row r="1865">
      <c r="N1865" s="5"/>
    </row>
    <row r="1866">
      <c r="N1866" s="5"/>
    </row>
    <row r="1867">
      <c r="N1867" s="5"/>
    </row>
    <row r="1868">
      <c r="N1868" s="5"/>
    </row>
    <row r="1869">
      <c r="N1869" s="5"/>
    </row>
    <row r="1870">
      <c r="N1870" s="5"/>
    </row>
    <row r="1871">
      <c r="N1871" s="5"/>
    </row>
    <row r="1872">
      <c r="N1872" s="5"/>
    </row>
    <row r="1873">
      <c r="N1873" s="5"/>
    </row>
    <row r="1874">
      <c r="N1874" s="5"/>
    </row>
    <row r="1875">
      <c r="N1875" s="5"/>
    </row>
    <row r="1876">
      <c r="N1876" s="5"/>
    </row>
    <row r="1877">
      <c r="N1877" s="5"/>
    </row>
    <row r="1878">
      <c r="N1878" s="5"/>
    </row>
    <row r="1879">
      <c r="N1879" s="5"/>
    </row>
    <row r="1880">
      <c r="N1880" s="5"/>
    </row>
    <row r="1881">
      <c r="N1881" s="5"/>
    </row>
    <row r="1882">
      <c r="N1882" s="5"/>
    </row>
    <row r="1883">
      <c r="N1883" s="5"/>
    </row>
    <row r="1884">
      <c r="N1884" s="5"/>
    </row>
    <row r="1885">
      <c r="N1885" s="5"/>
    </row>
    <row r="1886">
      <c r="N1886" s="5"/>
    </row>
    <row r="1887">
      <c r="N1887" s="5"/>
    </row>
    <row r="1888">
      <c r="N1888" s="5"/>
    </row>
    <row r="1889">
      <c r="N1889" s="5"/>
    </row>
    <row r="1890">
      <c r="N1890" s="5"/>
    </row>
    <row r="1891">
      <c r="N1891" s="5"/>
    </row>
    <row r="1892">
      <c r="N1892" s="5"/>
    </row>
    <row r="1893">
      <c r="N1893" s="5"/>
    </row>
    <row r="1894">
      <c r="N1894" s="5"/>
    </row>
    <row r="1895">
      <c r="N1895" s="5"/>
    </row>
    <row r="1896">
      <c r="N1896" s="5"/>
    </row>
    <row r="1897">
      <c r="N1897" s="5"/>
    </row>
    <row r="1898">
      <c r="N1898" s="5"/>
    </row>
    <row r="1899">
      <c r="N1899" s="5"/>
    </row>
    <row r="1900">
      <c r="N1900" s="5"/>
    </row>
    <row r="1901">
      <c r="N1901" s="5"/>
    </row>
    <row r="1902">
      <c r="N1902" s="5"/>
    </row>
    <row r="1903">
      <c r="N1903" s="5"/>
    </row>
    <row r="1904">
      <c r="N1904" s="5"/>
    </row>
    <row r="1905">
      <c r="N1905" s="5"/>
    </row>
    <row r="1906">
      <c r="N1906" s="5"/>
    </row>
    <row r="1907">
      <c r="N1907" s="5"/>
    </row>
    <row r="1908">
      <c r="N1908" s="5"/>
    </row>
    <row r="1909">
      <c r="N1909" s="5"/>
    </row>
    <row r="1910">
      <c r="N1910" s="5"/>
    </row>
    <row r="1911">
      <c r="N1911" s="5"/>
    </row>
    <row r="1912">
      <c r="N1912" s="5"/>
    </row>
    <row r="1913">
      <c r="N1913" s="5"/>
    </row>
    <row r="1914">
      <c r="N1914" s="5"/>
    </row>
    <row r="1915">
      <c r="N1915" s="5"/>
    </row>
    <row r="1916">
      <c r="N1916" s="5"/>
    </row>
    <row r="1917">
      <c r="N1917" s="5"/>
    </row>
    <row r="1918">
      <c r="N1918" s="5"/>
    </row>
    <row r="1919">
      <c r="N1919" s="5"/>
    </row>
    <row r="1920">
      <c r="N1920" s="5"/>
    </row>
    <row r="1921">
      <c r="N1921" s="5"/>
    </row>
    <row r="1922">
      <c r="N1922" s="5"/>
    </row>
    <row r="1923">
      <c r="N1923" s="5"/>
    </row>
    <row r="1924">
      <c r="N1924" s="5"/>
    </row>
    <row r="1925">
      <c r="N1925" s="5"/>
    </row>
    <row r="1926">
      <c r="N1926" s="5"/>
    </row>
    <row r="1927">
      <c r="N1927" s="5"/>
    </row>
    <row r="1928">
      <c r="N1928" s="5"/>
    </row>
    <row r="1929">
      <c r="N1929" s="5"/>
    </row>
    <row r="1930">
      <c r="N1930" s="5"/>
    </row>
    <row r="1931">
      <c r="N1931" s="5"/>
    </row>
    <row r="1932">
      <c r="N1932" s="5"/>
    </row>
    <row r="1933">
      <c r="N1933" s="5"/>
    </row>
    <row r="1934">
      <c r="N1934" s="5"/>
    </row>
    <row r="1935">
      <c r="N1935" s="5"/>
    </row>
    <row r="1936">
      <c r="N1936" s="5"/>
    </row>
    <row r="1937">
      <c r="N1937" s="5"/>
    </row>
    <row r="1938">
      <c r="N1938" s="5"/>
    </row>
    <row r="1939">
      <c r="N1939" s="5"/>
    </row>
    <row r="1940">
      <c r="N1940" s="5"/>
    </row>
    <row r="1941">
      <c r="N1941" s="5"/>
    </row>
    <row r="1942">
      <c r="N1942" s="5"/>
    </row>
    <row r="1943">
      <c r="N1943" s="5"/>
    </row>
    <row r="1944">
      <c r="N1944" s="5"/>
    </row>
    <row r="1945">
      <c r="N1945" s="5"/>
    </row>
    <row r="1946">
      <c r="N1946" s="5"/>
    </row>
    <row r="1947">
      <c r="N1947" s="5"/>
    </row>
    <row r="1948">
      <c r="N1948" s="5"/>
    </row>
    <row r="1949">
      <c r="N1949" s="5"/>
    </row>
    <row r="1950">
      <c r="N1950" s="5"/>
    </row>
    <row r="1951">
      <c r="N1951" s="5"/>
    </row>
    <row r="1952">
      <c r="N1952" s="5"/>
    </row>
    <row r="1953">
      <c r="N1953" s="5"/>
    </row>
    <row r="1954">
      <c r="N1954" s="5"/>
    </row>
    <row r="1955">
      <c r="N1955" s="5"/>
    </row>
    <row r="1956">
      <c r="N1956" s="5"/>
    </row>
    <row r="1957">
      <c r="N1957" s="5"/>
    </row>
    <row r="1958">
      <c r="N1958" s="5"/>
    </row>
    <row r="1959">
      <c r="N1959" s="5"/>
    </row>
    <row r="1960">
      <c r="N1960" s="5"/>
    </row>
    <row r="1961">
      <c r="N1961" s="5"/>
    </row>
    <row r="1962">
      <c r="N1962" s="5"/>
    </row>
    <row r="1963">
      <c r="N1963" s="5"/>
    </row>
    <row r="1964">
      <c r="N1964" s="5"/>
    </row>
    <row r="1965">
      <c r="N1965" s="5"/>
    </row>
    <row r="1966">
      <c r="N1966" s="5"/>
    </row>
    <row r="1967">
      <c r="N1967" s="5"/>
    </row>
    <row r="1968">
      <c r="N1968" s="5"/>
    </row>
    <row r="1969">
      <c r="N1969" s="5"/>
    </row>
    <row r="1970">
      <c r="N1970" s="5"/>
    </row>
    <row r="1971">
      <c r="N1971" s="5"/>
    </row>
    <row r="1972">
      <c r="N1972" s="5"/>
    </row>
    <row r="1973">
      <c r="N1973" s="5"/>
    </row>
    <row r="1974">
      <c r="N1974" s="5"/>
    </row>
    <row r="1975">
      <c r="N1975" s="5"/>
    </row>
    <row r="1976">
      <c r="N1976" s="5"/>
    </row>
    <row r="1977">
      <c r="N1977" s="5"/>
    </row>
    <row r="1978">
      <c r="N1978" s="5"/>
    </row>
    <row r="1979">
      <c r="N1979" s="5"/>
    </row>
    <row r="1980">
      <c r="N1980" s="5"/>
    </row>
    <row r="1981">
      <c r="N1981" s="5"/>
    </row>
    <row r="1982">
      <c r="N1982" s="5"/>
    </row>
    <row r="1983">
      <c r="N1983" s="5"/>
    </row>
    <row r="1984">
      <c r="N1984" s="5"/>
    </row>
    <row r="1985">
      <c r="N1985" s="5"/>
    </row>
    <row r="1986">
      <c r="N1986" s="5"/>
    </row>
    <row r="1987">
      <c r="N1987" s="5"/>
    </row>
    <row r="1988">
      <c r="N1988" s="5"/>
    </row>
    <row r="1989">
      <c r="N1989" s="5"/>
    </row>
    <row r="1990">
      <c r="N1990" s="5"/>
    </row>
    <row r="1991">
      <c r="N1991" s="5"/>
    </row>
    <row r="1992">
      <c r="N1992" s="5"/>
    </row>
    <row r="1993">
      <c r="N1993" s="5"/>
    </row>
    <row r="1994">
      <c r="N1994" s="5"/>
    </row>
    <row r="1995">
      <c r="N1995" s="5"/>
    </row>
    <row r="1996">
      <c r="N1996" s="5"/>
    </row>
    <row r="1997">
      <c r="N1997" s="5"/>
    </row>
    <row r="1998">
      <c r="N1998" s="5"/>
    </row>
    <row r="1999">
      <c r="N1999" s="5"/>
    </row>
    <row r="2000">
      <c r="N2000" s="5"/>
    </row>
    <row r="2001">
      <c r="N2001" s="5"/>
    </row>
    <row r="2002">
      <c r="N2002" s="5"/>
    </row>
    <row r="2003">
      <c r="N2003" s="5"/>
    </row>
    <row r="2004">
      <c r="N2004" s="5"/>
    </row>
    <row r="2005">
      <c r="N2005" s="5"/>
    </row>
    <row r="2006">
      <c r="N2006" s="5"/>
    </row>
    <row r="2007">
      <c r="N2007" s="5"/>
    </row>
    <row r="2008">
      <c r="N2008" s="5"/>
    </row>
    <row r="2009">
      <c r="N2009" s="5"/>
    </row>
    <row r="2010">
      <c r="N2010" s="5"/>
    </row>
    <row r="2011">
      <c r="N2011" s="5"/>
    </row>
    <row r="2012">
      <c r="N2012" s="5"/>
    </row>
    <row r="2013">
      <c r="N2013" s="5"/>
    </row>
    <row r="2014">
      <c r="N2014" s="5"/>
    </row>
    <row r="2015">
      <c r="N2015" s="5"/>
    </row>
    <row r="2016">
      <c r="N2016" s="5"/>
    </row>
    <row r="2017">
      <c r="N2017" s="5"/>
    </row>
    <row r="2018">
      <c r="N2018" s="5"/>
    </row>
    <row r="2019">
      <c r="N2019" s="5"/>
    </row>
    <row r="2020">
      <c r="N2020" s="5"/>
    </row>
    <row r="2021">
      <c r="N2021" s="5"/>
    </row>
    <row r="2022">
      <c r="N2022" s="5"/>
    </row>
    <row r="2023">
      <c r="N2023" s="5"/>
    </row>
    <row r="2024">
      <c r="N2024" s="5"/>
    </row>
    <row r="2025">
      <c r="N2025" s="5"/>
    </row>
    <row r="2026">
      <c r="N2026" s="5"/>
    </row>
    <row r="2027">
      <c r="N2027" s="5"/>
    </row>
    <row r="2028">
      <c r="N2028" s="5"/>
    </row>
    <row r="2029">
      <c r="N2029" s="5"/>
    </row>
    <row r="2030">
      <c r="N2030" s="5"/>
    </row>
    <row r="2031">
      <c r="N2031" s="5"/>
    </row>
    <row r="2032">
      <c r="N2032" s="5"/>
    </row>
    <row r="2033">
      <c r="N2033" s="5"/>
    </row>
    <row r="2034">
      <c r="N2034" s="5"/>
    </row>
    <row r="2035">
      <c r="N2035" s="5"/>
    </row>
    <row r="2036">
      <c r="N2036" s="5"/>
    </row>
    <row r="2037">
      <c r="N2037" s="5"/>
    </row>
    <row r="2038">
      <c r="N2038" s="5"/>
    </row>
    <row r="2039">
      <c r="N2039" s="5"/>
    </row>
    <row r="2040">
      <c r="N2040" s="5"/>
    </row>
    <row r="2041">
      <c r="N2041" s="5"/>
    </row>
    <row r="2042">
      <c r="N2042" s="5"/>
    </row>
    <row r="2043">
      <c r="N2043" s="5"/>
    </row>
    <row r="2044">
      <c r="N2044" s="5"/>
    </row>
    <row r="2045">
      <c r="N2045" s="5"/>
    </row>
    <row r="2046">
      <c r="N2046" s="5"/>
    </row>
    <row r="2047">
      <c r="N2047" s="5"/>
    </row>
    <row r="2048">
      <c r="N2048" s="5"/>
    </row>
    <row r="2049">
      <c r="N2049" s="5"/>
    </row>
    <row r="2050">
      <c r="N2050" s="5"/>
    </row>
    <row r="2051">
      <c r="N2051" s="5"/>
    </row>
    <row r="2052">
      <c r="N2052" s="5"/>
    </row>
    <row r="2053">
      <c r="N2053" s="5"/>
    </row>
    <row r="2054">
      <c r="N2054" s="5"/>
    </row>
    <row r="2055">
      <c r="N2055" s="5"/>
    </row>
    <row r="2056">
      <c r="N2056" s="5"/>
    </row>
    <row r="2057">
      <c r="N2057" s="5"/>
    </row>
    <row r="2058">
      <c r="N2058" s="5"/>
    </row>
    <row r="2059">
      <c r="N2059" s="5"/>
    </row>
    <row r="2060">
      <c r="N2060" s="5"/>
    </row>
    <row r="2061">
      <c r="N2061" s="5"/>
    </row>
    <row r="2062">
      <c r="N2062" s="5"/>
    </row>
    <row r="2063">
      <c r="N2063" s="5"/>
    </row>
    <row r="2064">
      <c r="N2064" s="5"/>
    </row>
    <row r="2065">
      <c r="N2065" s="5"/>
    </row>
    <row r="2066">
      <c r="N2066" s="5"/>
    </row>
    <row r="2067">
      <c r="N2067" s="5"/>
    </row>
    <row r="2068">
      <c r="N2068" s="5"/>
    </row>
    <row r="2069">
      <c r="N2069" s="5"/>
    </row>
    <row r="2070">
      <c r="N2070" s="5"/>
    </row>
    <row r="2071">
      <c r="N2071" s="5"/>
    </row>
    <row r="2072">
      <c r="N2072" s="5"/>
    </row>
    <row r="2073">
      <c r="N2073" s="5"/>
    </row>
    <row r="2074">
      <c r="N2074" s="5"/>
    </row>
    <row r="2075">
      <c r="N2075" s="5"/>
    </row>
    <row r="2076">
      <c r="N2076" s="5"/>
    </row>
    <row r="2077">
      <c r="N2077" s="5"/>
    </row>
    <row r="2078">
      <c r="N2078" s="5"/>
    </row>
    <row r="2079">
      <c r="N2079" s="5"/>
    </row>
    <row r="2080">
      <c r="N2080" s="5"/>
    </row>
    <row r="2081">
      <c r="N2081" s="5"/>
    </row>
    <row r="2082">
      <c r="N2082" s="5"/>
    </row>
    <row r="2083">
      <c r="N2083" s="5"/>
    </row>
    <row r="2084">
      <c r="N2084" s="5"/>
    </row>
    <row r="2085">
      <c r="N2085" s="5"/>
    </row>
    <row r="2086">
      <c r="N2086" s="5"/>
    </row>
    <row r="2087">
      <c r="N2087" s="5"/>
    </row>
    <row r="2088">
      <c r="N2088" s="5"/>
    </row>
    <row r="2089">
      <c r="N2089" s="5"/>
    </row>
    <row r="2090">
      <c r="N2090" s="5"/>
    </row>
    <row r="2091">
      <c r="N2091" s="5"/>
    </row>
    <row r="2092">
      <c r="N2092" s="5"/>
    </row>
    <row r="2093">
      <c r="N2093" s="5"/>
    </row>
    <row r="2094">
      <c r="N2094" s="5"/>
    </row>
    <row r="2095">
      <c r="N2095" s="5"/>
    </row>
    <row r="2096">
      <c r="N2096" s="5"/>
    </row>
    <row r="2097">
      <c r="N2097" s="5"/>
    </row>
    <row r="2098">
      <c r="N2098" s="5"/>
    </row>
    <row r="2099">
      <c r="N2099" s="5"/>
    </row>
    <row r="2100">
      <c r="N2100" s="5"/>
    </row>
    <row r="2101">
      <c r="N2101" s="5"/>
    </row>
    <row r="2102">
      <c r="N2102" s="5"/>
    </row>
    <row r="2103">
      <c r="N2103" s="5"/>
    </row>
    <row r="2104">
      <c r="N2104" s="5"/>
    </row>
    <row r="2105">
      <c r="N2105" s="5"/>
    </row>
    <row r="2106">
      <c r="N2106" s="5"/>
    </row>
    <row r="2107">
      <c r="N2107" s="5"/>
    </row>
    <row r="2108">
      <c r="N2108" s="5"/>
    </row>
    <row r="2109">
      <c r="N2109" s="5"/>
    </row>
    <row r="2110">
      <c r="N2110" s="5"/>
    </row>
    <row r="2111">
      <c r="N2111" s="5"/>
    </row>
    <row r="2112">
      <c r="N2112" s="5"/>
    </row>
    <row r="2113">
      <c r="N2113" s="5"/>
    </row>
    <row r="2114">
      <c r="N2114" s="5"/>
    </row>
    <row r="2115">
      <c r="N2115" s="5"/>
    </row>
    <row r="2116">
      <c r="N2116" s="5"/>
    </row>
    <row r="2117">
      <c r="N2117" s="5"/>
    </row>
    <row r="2118">
      <c r="N2118" s="5"/>
    </row>
    <row r="2119">
      <c r="N2119" s="5"/>
    </row>
    <row r="2120">
      <c r="N2120" s="5"/>
    </row>
    <row r="2121">
      <c r="N2121" s="5"/>
    </row>
    <row r="2122">
      <c r="N2122" s="5"/>
    </row>
    <row r="2123">
      <c r="N2123" s="5"/>
    </row>
    <row r="2124">
      <c r="N2124" s="5"/>
    </row>
    <row r="2125">
      <c r="N2125" s="5"/>
    </row>
    <row r="2126">
      <c r="N2126" s="5"/>
    </row>
    <row r="2127">
      <c r="N2127" s="5"/>
    </row>
    <row r="2128">
      <c r="N2128" s="5"/>
    </row>
    <row r="2129">
      <c r="N2129" s="5"/>
    </row>
    <row r="2130">
      <c r="N2130" s="5"/>
    </row>
    <row r="2131">
      <c r="N2131" s="5"/>
    </row>
    <row r="2132">
      <c r="N2132" s="5"/>
    </row>
    <row r="2133">
      <c r="N2133" s="5"/>
    </row>
    <row r="2134">
      <c r="N2134" s="5"/>
    </row>
    <row r="2135">
      <c r="N2135" s="5"/>
    </row>
    <row r="2136">
      <c r="N2136" s="5"/>
    </row>
    <row r="2137">
      <c r="N2137" s="5"/>
    </row>
    <row r="2138">
      <c r="N2138" s="5"/>
    </row>
    <row r="2139">
      <c r="N2139" s="5"/>
    </row>
    <row r="2140">
      <c r="N2140" s="5"/>
    </row>
    <row r="2141">
      <c r="N2141" s="5"/>
    </row>
    <row r="2142">
      <c r="N2142" s="5"/>
    </row>
    <row r="2143">
      <c r="N2143" s="5"/>
    </row>
    <row r="2144">
      <c r="N2144" s="5"/>
    </row>
    <row r="2145">
      <c r="N2145" s="5"/>
    </row>
    <row r="2146">
      <c r="N2146" s="5"/>
    </row>
    <row r="2147">
      <c r="N2147" s="5"/>
    </row>
    <row r="2148">
      <c r="N2148" s="5"/>
    </row>
    <row r="2149">
      <c r="N2149" s="5"/>
    </row>
    <row r="2150">
      <c r="N2150" s="5"/>
    </row>
    <row r="2151">
      <c r="N2151" s="5"/>
    </row>
    <row r="2152">
      <c r="N2152" s="5"/>
    </row>
    <row r="2153">
      <c r="N2153" s="5"/>
    </row>
    <row r="2154">
      <c r="N2154" s="5"/>
    </row>
    <row r="2155">
      <c r="N2155" s="5"/>
    </row>
    <row r="2156">
      <c r="N2156" s="5"/>
    </row>
    <row r="2157">
      <c r="N2157" s="5"/>
    </row>
    <row r="2158">
      <c r="N2158" s="5"/>
    </row>
    <row r="2159">
      <c r="N2159" s="5"/>
    </row>
    <row r="2160">
      <c r="N2160" s="5"/>
    </row>
    <row r="2161">
      <c r="N2161" s="5"/>
    </row>
    <row r="2162">
      <c r="N2162" s="5"/>
    </row>
    <row r="2163">
      <c r="N2163" s="5"/>
    </row>
    <row r="2164">
      <c r="N2164" s="5"/>
    </row>
    <row r="2165">
      <c r="N2165" s="5"/>
    </row>
    <row r="2166">
      <c r="N2166" s="5"/>
    </row>
    <row r="2167">
      <c r="N2167" s="5"/>
    </row>
    <row r="2168">
      <c r="N2168" s="5"/>
    </row>
    <row r="2169">
      <c r="N2169" s="5"/>
    </row>
    <row r="2170">
      <c r="N2170" s="5"/>
    </row>
    <row r="2171">
      <c r="N2171" s="5"/>
    </row>
    <row r="2172">
      <c r="N2172" s="5"/>
    </row>
    <row r="2173">
      <c r="N2173" s="5"/>
    </row>
    <row r="2174">
      <c r="N2174" s="5"/>
    </row>
    <row r="2175">
      <c r="N2175" s="5"/>
    </row>
    <row r="2176">
      <c r="N2176" s="5"/>
    </row>
    <row r="2177">
      <c r="N2177" s="5"/>
    </row>
    <row r="2178">
      <c r="N2178" s="5"/>
    </row>
    <row r="2179">
      <c r="N2179" s="5"/>
    </row>
    <row r="2180">
      <c r="N2180" s="5"/>
    </row>
    <row r="2181">
      <c r="N2181" s="5"/>
    </row>
    <row r="2182">
      <c r="N2182" s="5"/>
    </row>
    <row r="2183">
      <c r="N2183" s="5"/>
    </row>
    <row r="2184">
      <c r="N2184" s="5"/>
    </row>
    <row r="2185">
      <c r="N2185" s="5"/>
    </row>
    <row r="2186">
      <c r="N2186" s="5"/>
    </row>
    <row r="2187">
      <c r="N2187" s="5"/>
    </row>
    <row r="2188">
      <c r="N2188" s="5"/>
    </row>
    <row r="2189">
      <c r="N2189" s="5"/>
    </row>
    <row r="2190">
      <c r="N2190" s="5"/>
    </row>
    <row r="2191">
      <c r="N2191" s="5"/>
    </row>
    <row r="2192">
      <c r="N2192" s="5"/>
    </row>
    <row r="2193">
      <c r="N2193" s="5"/>
    </row>
    <row r="2194">
      <c r="N2194" s="5"/>
    </row>
    <row r="2195">
      <c r="N2195" s="5"/>
    </row>
    <row r="2196">
      <c r="N2196" s="5"/>
    </row>
    <row r="2197">
      <c r="N2197" s="5"/>
    </row>
    <row r="2198">
      <c r="N2198" s="5"/>
    </row>
    <row r="2199">
      <c r="N2199" s="5"/>
    </row>
    <row r="2200">
      <c r="N2200" s="5"/>
    </row>
    <row r="2201">
      <c r="N2201" s="5"/>
    </row>
    <row r="2202">
      <c r="N2202" s="5"/>
    </row>
    <row r="2203">
      <c r="N2203" s="5"/>
    </row>
    <row r="2204">
      <c r="N2204" s="5"/>
    </row>
    <row r="2205">
      <c r="N2205" s="5"/>
    </row>
    <row r="2206">
      <c r="N2206" s="5"/>
    </row>
    <row r="2207">
      <c r="N2207" s="5"/>
    </row>
    <row r="2208">
      <c r="N2208" s="5"/>
    </row>
    <row r="2209">
      <c r="N2209" s="5"/>
    </row>
    <row r="2210">
      <c r="N2210" s="5"/>
    </row>
    <row r="2211">
      <c r="N2211" s="5"/>
    </row>
    <row r="2212">
      <c r="N2212" s="5"/>
    </row>
    <row r="2213">
      <c r="N2213" s="5"/>
    </row>
    <row r="2214">
      <c r="N2214" s="5"/>
    </row>
    <row r="2215">
      <c r="N2215" s="5"/>
    </row>
    <row r="2216">
      <c r="N2216" s="5"/>
    </row>
    <row r="2217">
      <c r="N2217" s="5"/>
    </row>
    <row r="2218">
      <c r="N2218" s="5"/>
    </row>
    <row r="2219">
      <c r="N2219" s="5"/>
    </row>
    <row r="2220">
      <c r="N2220" s="5"/>
    </row>
    <row r="2221">
      <c r="N2221" s="5"/>
    </row>
    <row r="2222">
      <c r="N2222" s="5"/>
    </row>
    <row r="2223">
      <c r="N2223" s="5"/>
    </row>
    <row r="2224">
      <c r="N2224" s="5"/>
    </row>
    <row r="2225">
      <c r="N2225" s="5"/>
    </row>
    <row r="2226">
      <c r="N2226" s="5"/>
    </row>
    <row r="2227">
      <c r="N2227" s="5"/>
    </row>
    <row r="2228">
      <c r="N2228" s="5"/>
    </row>
    <row r="2229">
      <c r="N2229" s="5"/>
    </row>
    <row r="2230">
      <c r="N2230" s="5"/>
    </row>
    <row r="2231">
      <c r="N2231" s="5"/>
    </row>
    <row r="2232">
      <c r="N2232" s="5"/>
    </row>
    <row r="2233">
      <c r="N2233" s="5"/>
    </row>
    <row r="2234">
      <c r="N2234" s="5"/>
    </row>
    <row r="2235">
      <c r="N2235" s="5"/>
    </row>
    <row r="2236">
      <c r="N2236" s="5"/>
    </row>
    <row r="2237">
      <c r="N2237" s="5"/>
    </row>
    <row r="2238">
      <c r="N2238" s="5"/>
    </row>
    <row r="2239">
      <c r="N2239" s="5"/>
    </row>
    <row r="2240">
      <c r="N2240" s="5"/>
    </row>
    <row r="2241">
      <c r="N2241" s="5"/>
    </row>
    <row r="2242">
      <c r="N2242" s="5"/>
    </row>
    <row r="2243">
      <c r="N2243" s="5"/>
    </row>
    <row r="2244">
      <c r="N2244" s="5"/>
    </row>
    <row r="2245">
      <c r="N2245" s="5"/>
    </row>
    <row r="2246">
      <c r="N2246" s="5"/>
    </row>
    <row r="2247">
      <c r="N2247" s="5"/>
    </row>
    <row r="2248">
      <c r="N2248" s="5"/>
    </row>
    <row r="2249">
      <c r="N2249" s="5"/>
    </row>
    <row r="2250">
      <c r="N2250" s="5"/>
    </row>
    <row r="2251">
      <c r="N2251" s="5"/>
    </row>
    <row r="2252">
      <c r="N2252" s="5"/>
    </row>
    <row r="2253">
      <c r="N2253" s="5"/>
    </row>
    <row r="2254">
      <c r="N2254" s="5"/>
    </row>
    <row r="2255">
      <c r="N2255" s="5"/>
    </row>
    <row r="2256">
      <c r="N2256" s="5"/>
    </row>
    <row r="2257">
      <c r="N2257" s="5"/>
    </row>
    <row r="2258">
      <c r="N2258" s="5"/>
    </row>
    <row r="2259">
      <c r="N2259" s="5"/>
    </row>
    <row r="2260">
      <c r="N2260" s="5"/>
    </row>
    <row r="2261">
      <c r="N2261" s="5"/>
    </row>
    <row r="2262">
      <c r="N2262" s="5"/>
    </row>
    <row r="2263">
      <c r="N2263" s="5"/>
    </row>
    <row r="2264">
      <c r="N2264" s="5"/>
    </row>
    <row r="2265">
      <c r="N2265" s="5"/>
    </row>
    <row r="2266">
      <c r="N2266" s="5"/>
    </row>
    <row r="2267">
      <c r="N2267" s="5"/>
    </row>
    <row r="2268">
      <c r="N2268" s="5"/>
    </row>
    <row r="2269">
      <c r="N2269" s="5"/>
    </row>
    <row r="2270">
      <c r="N2270" s="5"/>
    </row>
    <row r="2271">
      <c r="N2271" s="5"/>
    </row>
    <row r="2272">
      <c r="N2272" s="5"/>
    </row>
    <row r="2273">
      <c r="N2273" s="5"/>
    </row>
    <row r="2274">
      <c r="N2274" s="5"/>
    </row>
    <row r="2275">
      <c r="N2275" s="5"/>
    </row>
    <row r="2276">
      <c r="N2276" s="5"/>
    </row>
    <row r="2277">
      <c r="N2277" s="5"/>
    </row>
    <row r="2278">
      <c r="N2278" s="5"/>
    </row>
    <row r="2279">
      <c r="N2279" s="5"/>
    </row>
    <row r="2280">
      <c r="N2280" s="5"/>
    </row>
    <row r="2281">
      <c r="N2281" s="5"/>
    </row>
    <row r="2282">
      <c r="N2282" s="5"/>
    </row>
    <row r="2283">
      <c r="N2283" s="5"/>
    </row>
    <row r="2284">
      <c r="N2284" s="5"/>
    </row>
    <row r="2285">
      <c r="N2285" s="5"/>
    </row>
    <row r="2286">
      <c r="N2286" s="5"/>
    </row>
    <row r="2287">
      <c r="N2287" s="5"/>
    </row>
    <row r="2288">
      <c r="N2288" s="5"/>
    </row>
    <row r="2289">
      <c r="N2289" s="5"/>
    </row>
    <row r="2290">
      <c r="N2290" s="5"/>
    </row>
    <row r="2291">
      <c r="N2291" s="5"/>
    </row>
    <row r="2292">
      <c r="N2292" s="5"/>
    </row>
    <row r="2293">
      <c r="N2293" s="5"/>
    </row>
    <row r="2294">
      <c r="N2294" s="5"/>
    </row>
    <row r="2295">
      <c r="N2295" s="5"/>
    </row>
    <row r="2296">
      <c r="N2296" s="5"/>
    </row>
    <row r="2297">
      <c r="N2297" s="5"/>
    </row>
    <row r="2298">
      <c r="N2298" s="5"/>
    </row>
    <row r="2299">
      <c r="N2299" s="5"/>
    </row>
    <row r="2300">
      <c r="N2300" s="5"/>
    </row>
    <row r="2301">
      <c r="N2301" s="5"/>
    </row>
    <row r="2302">
      <c r="N2302" s="5"/>
    </row>
    <row r="2303">
      <c r="N2303" s="5"/>
    </row>
    <row r="2304">
      <c r="N2304" s="5"/>
    </row>
    <row r="2305">
      <c r="N2305" s="5"/>
    </row>
    <row r="2306">
      <c r="N2306" s="5"/>
    </row>
    <row r="2307">
      <c r="N2307" s="5"/>
    </row>
    <row r="2308">
      <c r="N2308" s="5"/>
    </row>
    <row r="2309">
      <c r="N2309" s="5"/>
    </row>
    <row r="2310">
      <c r="N2310" s="5"/>
    </row>
    <row r="2311">
      <c r="N2311" s="5"/>
    </row>
    <row r="2312">
      <c r="N2312" s="5"/>
    </row>
    <row r="2313">
      <c r="N2313" s="5"/>
    </row>
    <row r="2314">
      <c r="N2314" s="5"/>
    </row>
    <row r="2315">
      <c r="N2315" s="5"/>
    </row>
    <row r="2316">
      <c r="N2316" s="5"/>
    </row>
    <row r="2317">
      <c r="N2317" s="5"/>
    </row>
    <row r="2318">
      <c r="N2318" s="5"/>
    </row>
    <row r="2319">
      <c r="N2319" s="5"/>
    </row>
    <row r="2320">
      <c r="N2320" s="5"/>
    </row>
    <row r="2321">
      <c r="N2321" s="5"/>
    </row>
    <row r="2322">
      <c r="N2322" s="5"/>
    </row>
    <row r="2323">
      <c r="N2323" s="5"/>
    </row>
    <row r="2324">
      <c r="N2324" s="5"/>
    </row>
    <row r="2325">
      <c r="N2325" s="5"/>
    </row>
    <row r="2326">
      <c r="N2326" s="5"/>
    </row>
    <row r="2327">
      <c r="N2327" s="5"/>
    </row>
    <row r="2328">
      <c r="N2328" s="5"/>
    </row>
    <row r="2329">
      <c r="N2329" s="5"/>
    </row>
    <row r="2330">
      <c r="N2330" s="5"/>
    </row>
    <row r="2331">
      <c r="N2331" s="5"/>
    </row>
    <row r="2332">
      <c r="N2332" s="5"/>
    </row>
    <row r="2333">
      <c r="N2333" s="5"/>
    </row>
    <row r="2334">
      <c r="N2334" s="5"/>
    </row>
    <row r="2335">
      <c r="N2335" s="5"/>
    </row>
    <row r="2336">
      <c r="N2336" s="5"/>
    </row>
    <row r="2337">
      <c r="N2337" s="5"/>
    </row>
    <row r="2338">
      <c r="N2338" s="5"/>
    </row>
    <row r="2339">
      <c r="N2339" s="5"/>
    </row>
    <row r="2340">
      <c r="N2340" s="5"/>
    </row>
    <row r="2341">
      <c r="N2341" s="5"/>
    </row>
    <row r="2342">
      <c r="N2342" s="5"/>
    </row>
    <row r="2343">
      <c r="N2343" s="5"/>
    </row>
    <row r="2344">
      <c r="N2344" s="5"/>
    </row>
    <row r="2345">
      <c r="N2345" s="5"/>
    </row>
    <row r="2346">
      <c r="N2346" s="5"/>
    </row>
    <row r="2347">
      <c r="N2347" s="5"/>
    </row>
    <row r="2348">
      <c r="N2348" s="5"/>
    </row>
    <row r="2349">
      <c r="N2349" s="5"/>
    </row>
    <row r="2350">
      <c r="N2350" s="5"/>
    </row>
    <row r="2351">
      <c r="N2351" s="5"/>
    </row>
    <row r="2352">
      <c r="N2352" s="5"/>
    </row>
    <row r="2353">
      <c r="N2353" s="5"/>
    </row>
    <row r="2354">
      <c r="N2354" s="5"/>
    </row>
    <row r="2355">
      <c r="N2355" s="5"/>
    </row>
    <row r="2356">
      <c r="N2356" s="5"/>
    </row>
    <row r="2357">
      <c r="N2357" s="5"/>
    </row>
    <row r="2358">
      <c r="N2358" s="5"/>
    </row>
    <row r="2359">
      <c r="N2359" s="5"/>
    </row>
    <row r="2360">
      <c r="N2360" s="5"/>
    </row>
    <row r="2361">
      <c r="N2361" s="5"/>
    </row>
    <row r="2362">
      <c r="N2362" s="5"/>
    </row>
    <row r="2363">
      <c r="N2363" s="5"/>
    </row>
    <row r="2364">
      <c r="N2364" s="5"/>
    </row>
    <row r="2365">
      <c r="N2365" s="5"/>
    </row>
    <row r="2366">
      <c r="N2366" s="5"/>
    </row>
    <row r="2367">
      <c r="N2367" s="5"/>
    </row>
    <row r="2368">
      <c r="N2368" s="5"/>
    </row>
    <row r="2369">
      <c r="N2369" s="5"/>
    </row>
    <row r="2370">
      <c r="N2370" s="5"/>
    </row>
    <row r="2371">
      <c r="N2371" s="5"/>
    </row>
    <row r="2372">
      <c r="N2372" s="5"/>
    </row>
    <row r="2373">
      <c r="N2373" s="5"/>
    </row>
    <row r="2374">
      <c r="N2374" s="5"/>
    </row>
    <row r="2375">
      <c r="N2375" s="5"/>
    </row>
    <row r="2376">
      <c r="N2376" s="5"/>
    </row>
    <row r="2377">
      <c r="N2377" s="5"/>
    </row>
    <row r="2378">
      <c r="N2378" s="5"/>
    </row>
    <row r="2379">
      <c r="N2379" s="5"/>
    </row>
    <row r="2380">
      <c r="N2380" s="5"/>
    </row>
    <row r="2381">
      <c r="N2381" s="5"/>
    </row>
    <row r="2382">
      <c r="N2382" s="5"/>
    </row>
    <row r="2383">
      <c r="N2383" s="5"/>
    </row>
    <row r="2384">
      <c r="N2384" s="5"/>
    </row>
    <row r="2385">
      <c r="N2385" s="5"/>
    </row>
    <row r="2386">
      <c r="N2386" s="5"/>
    </row>
    <row r="2387">
      <c r="N2387" s="5"/>
    </row>
    <row r="2388">
      <c r="N2388" s="5"/>
    </row>
    <row r="2389">
      <c r="N2389" s="5"/>
    </row>
    <row r="2390">
      <c r="N2390" s="5"/>
    </row>
    <row r="2391">
      <c r="N2391" s="5"/>
    </row>
    <row r="2392">
      <c r="N2392" s="5"/>
    </row>
    <row r="2393">
      <c r="N2393" s="5"/>
    </row>
    <row r="2394">
      <c r="N2394" s="5"/>
    </row>
    <row r="2395">
      <c r="N2395" s="5"/>
    </row>
    <row r="2396">
      <c r="N2396" s="5"/>
    </row>
    <row r="2397">
      <c r="N2397" s="5"/>
    </row>
    <row r="2398">
      <c r="N2398" s="5"/>
    </row>
    <row r="2399">
      <c r="N2399" s="5"/>
    </row>
    <row r="2400">
      <c r="N2400" s="5"/>
    </row>
    <row r="2401">
      <c r="N2401" s="5"/>
    </row>
    <row r="2402">
      <c r="N2402" s="5"/>
    </row>
    <row r="2403">
      <c r="N2403" s="5"/>
    </row>
    <row r="2404">
      <c r="N2404" s="5"/>
    </row>
    <row r="2405">
      <c r="N2405" s="5"/>
    </row>
    <row r="2406">
      <c r="N2406" s="5"/>
    </row>
    <row r="2407">
      <c r="N2407" s="5"/>
    </row>
    <row r="2408">
      <c r="N2408" s="5"/>
    </row>
    <row r="2409">
      <c r="N2409" s="5"/>
    </row>
    <row r="2410">
      <c r="N2410" s="5"/>
    </row>
    <row r="2411">
      <c r="N2411" s="5"/>
    </row>
    <row r="2412">
      <c r="N2412" s="5"/>
    </row>
    <row r="2413">
      <c r="N2413" s="5"/>
    </row>
    <row r="2414">
      <c r="N2414" s="5"/>
    </row>
    <row r="2415">
      <c r="N2415" s="5"/>
    </row>
    <row r="2416">
      <c r="N2416" s="5"/>
    </row>
    <row r="2417">
      <c r="N2417" s="5"/>
    </row>
    <row r="2418">
      <c r="N2418" s="5"/>
    </row>
    <row r="2419">
      <c r="N2419" s="5"/>
    </row>
    <row r="2420">
      <c r="N2420" s="5"/>
    </row>
    <row r="2421">
      <c r="N2421" s="5"/>
    </row>
    <row r="2422">
      <c r="N2422" s="5"/>
    </row>
    <row r="2423">
      <c r="N2423" s="5"/>
    </row>
    <row r="2424">
      <c r="N2424" s="5"/>
    </row>
    <row r="2425">
      <c r="N2425" s="5"/>
    </row>
    <row r="2426">
      <c r="N2426" s="5"/>
    </row>
    <row r="2427">
      <c r="N2427" s="5"/>
    </row>
    <row r="2428">
      <c r="N2428" s="5"/>
    </row>
    <row r="2429">
      <c r="N2429" s="5"/>
    </row>
    <row r="2430">
      <c r="N2430" s="5"/>
    </row>
    <row r="2431">
      <c r="N2431" s="5"/>
    </row>
    <row r="2432">
      <c r="N2432" s="5"/>
    </row>
    <row r="2433">
      <c r="N2433" s="5"/>
    </row>
    <row r="2434">
      <c r="N2434" s="5"/>
    </row>
    <row r="2435">
      <c r="N2435" s="5"/>
    </row>
    <row r="2436">
      <c r="N2436" s="5"/>
    </row>
    <row r="2437">
      <c r="N2437" s="5"/>
    </row>
    <row r="2438">
      <c r="N2438" s="5"/>
    </row>
    <row r="2439">
      <c r="N2439" s="5"/>
    </row>
    <row r="2440">
      <c r="N2440" s="5"/>
    </row>
    <row r="2441">
      <c r="N2441" s="5"/>
    </row>
    <row r="2442">
      <c r="N2442" s="5"/>
    </row>
    <row r="2443">
      <c r="N2443" s="5"/>
    </row>
    <row r="2444">
      <c r="N2444" s="5"/>
    </row>
    <row r="2445">
      <c r="N2445" s="5"/>
    </row>
    <row r="2446">
      <c r="N2446" s="5"/>
    </row>
    <row r="2447">
      <c r="N2447" s="5"/>
    </row>
    <row r="2448">
      <c r="N2448" s="5"/>
    </row>
    <row r="2449">
      <c r="N2449" s="5"/>
    </row>
    <row r="2450">
      <c r="N2450" s="5"/>
    </row>
    <row r="2451">
      <c r="N2451" s="5"/>
    </row>
    <row r="2452">
      <c r="N2452" s="5"/>
    </row>
    <row r="2453">
      <c r="N2453" s="5"/>
    </row>
    <row r="2454">
      <c r="N2454" s="5"/>
    </row>
    <row r="2455">
      <c r="N2455" s="5"/>
    </row>
    <row r="2456">
      <c r="N2456" s="5"/>
    </row>
    <row r="2457">
      <c r="N2457" s="5"/>
    </row>
    <row r="2458">
      <c r="N2458" s="5"/>
    </row>
    <row r="2459">
      <c r="N2459" s="5"/>
    </row>
    <row r="2460">
      <c r="N2460" s="5"/>
    </row>
    <row r="2461">
      <c r="N2461" s="5"/>
    </row>
    <row r="2462">
      <c r="N2462" s="5"/>
    </row>
    <row r="2463">
      <c r="N2463" s="5"/>
    </row>
    <row r="2464">
      <c r="N2464" s="5"/>
    </row>
    <row r="2465">
      <c r="N2465" s="5"/>
    </row>
    <row r="2466">
      <c r="N2466" s="5"/>
    </row>
    <row r="2467">
      <c r="N2467" s="5"/>
    </row>
    <row r="2468">
      <c r="N2468" s="5"/>
    </row>
    <row r="2469">
      <c r="N2469" s="5"/>
    </row>
    <row r="2470">
      <c r="N2470" s="5"/>
    </row>
    <row r="2471">
      <c r="N2471" s="5"/>
    </row>
    <row r="2472">
      <c r="N2472" s="5"/>
    </row>
    <row r="2473">
      <c r="N2473" s="5"/>
    </row>
    <row r="2474">
      <c r="N2474" s="5"/>
    </row>
    <row r="2475">
      <c r="N2475" s="5"/>
    </row>
    <row r="2476">
      <c r="N2476" s="5"/>
    </row>
    <row r="2477">
      <c r="N2477" s="5"/>
    </row>
    <row r="2478">
      <c r="N2478" s="5"/>
    </row>
    <row r="2479">
      <c r="N2479" s="5"/>
    </row>
    <row r="2480">
      <c r="N2480" s="5"/>
    </row>
    <row r="2481">
      <c r="N2481" s="5"/>
    </row>
    <row r="2482">
      <c r="N2482" s="5"/>
    </row>
    <row r="2483">
      <c r="N2483" s="5"/>
    </row>
    <row r="2484">
      <c r="N2484" s="5"/>
    </row>
    <row r="2485">
      <c r="N2485" s="5"/>
    </row>
    <row r="2486">
      <c r="N2486" s="5"/>
    </row>
    <row r="2487">
      <c r="N2487" s="5"/>
    </row>
    <row r="2488">
      <c r="N2488" s="5"/>
    </row>
    <row r="2489">
      <c r="N2489" s="5"/>
    </row>
    <row r="2490">
      <c r="N2490" s="5"/>
    </row>
    <row r="2491">
      <c r="N2491" s="5"/>
    </row>
    <row r="2492">
      <c r="N2492" s="5"/>
    </row>
    <row r="2493">
      <c r="N2493" s="5"/>
    </row>
    <row r="2494">
      <c r="N2494" s="5"/>
    </row>
    <row r="2495">
      <c r="N2495" s="5"/>
    </row>
    <row r="2496">
      <c r="N2496" s="5"/>
    </row>
    <row r="2497">
      <c r="N2497" s="5"/>
    </row>
    <row r="2498">
      <c r="N2498" s="5"/>
    </row>
    <row r="2499">
      <c r="N2499" s="5"/>
    </row>
    <row r="2500">
      <c r="N2500" s="5"/>
    </row>
    <row r="2501">
      <c r="N2501" s="5"/>
    </row>
    <row r="2502">
      <c r="N2502" s="5"/>
    </row>
    <row r="2503">
      <c r="N2503" s="5"/>
    </row>
    <row r="2504">
      <c r="N2504" s="5"/>
    </row>
    <row r="2505">
      <c r="N2505" s="5"/>
    </row>
    <row r="2506">
      <c r="N2506" s="5"/>
    </row>
    <row r="2507">
      <c r="N2507" s="5"/>
    </row>
    <row r="2508">
      <c r="N2508" s="5"/>
    </row>
    <row r="2509">
      <c r="N2509" s="5"/>
    </row>
    <row r="2510">
      <c r="N2510" s="5"/>
    </row>
    <row r="2511">
      <c r="N2511" s="5"/>
    </row>
    <row r="2512">
      <c r="N2512" s="5"/>
    </row>
    <row r="2513">
      <c r="N2513" s="5"/>
    </row>
    <row r="2514">
      <c r="N2514" s="5"/>
    </row>
    <row r="2515">
      <c r="N2515" s="5"/>
    </row>
    <row r="2516">
      <c r="N2516" s="5"/>
    </row>
    <row r="2517">
      <c r="N2517" s="5"/>
    </row>
    <row r="2518">
      <c r="N2518" s="5"/>
    </row>
    <row r="2519">
      <c r="N2519" s="5"/>
    </row>
    <row r="2520">
      <c r="N2520" s="5"/>
    </row>
    <row r="2521">
      <c r="N2521" s="5"/>
    </row>
    <row r="2522">
      <c r="N2522" s="5"/>
    </row>
    <row r="2523">
      <c r="N2523" s="5"/>
    </row>
    <row r="2524">
      <c r="N2524" s="5"/>
    </row>
    <row r="2525">
      <c r="N2525" s="5"/>
    </row>
    <row r="2526">
      <c r="N2526" s="5"/>
    </row>
    <row r="2527">
      <c r="N2527" s="5"/>
    </row>
    <row r="2528">
      <c r="N2528" s="5"/>
    </row>
    <row r="2529">
      <c r="N2529" s="5"/>
    </row>
    <row r="2530">
      <c r="N2530" s="5"/>
    </row>
    <row r="2531">
      <c r="N2531" s="5"/>
    </row>
    <row r="2532">
      <c r="N2532" s="5"/>
    </row>
    <row r="2533">
      <c r="N2533" s="5"/>
    </row>
    <row r="2534">
      <c r="N2534" s="5"/>
    </row>
    <row r="2535">
      <c r="N2535" s="5"/>
    </row>
    <row r="2536">
      <c r="N2536" s="5"/>
    </row>
    <row r="2537">
      <c r="N2537" s="5"/>
    </row>
    <row r="2538">
      <c r="N2538" s="5"/>
    </row>
    <row r="2539">
      <c r="N2539" s="5"/>
    </row>
    <row r="2540">
      <c r="N2540" s="5"/>
    </row>
    <row r="2541">
      <c r="N2541" s="5"/>
    </row>
    <row r="2542">
      <c r="N2542" s="5"/>
    </row>
    <row r="2543">
      <c r="N2543" s="5"/>
    </row>
    <row r="2544">
      <c r="N2544" s="5"/>
    </row>
    <row r="2545">
      <c r="N2545" s="5"/>
    </row>
    <row r="2546">
      <c r="N2546" s="5"/>
    </row>
    <row r="2547">
      <c r="N2547" s="5"/>
    </row>
    <row r="2548">
      <c r="N2548" s="5"/>
    </row>
    <row r="2549">
      <c r="N2549" s="5"/>
    </row>
    <row r="2550">
      <c r="N2550" s="5"/>
    </row>
    <row r="2551">
      <c r="N2551" s="5"/>
    </row>
    <row r="2552">
      <c r="N2552" s="5"/>
    </row>
    <row r="2553">
      <c r="N2553" s="5"/>
    </row>
    <row r="2554">
      <c r="N2554" s="5"/>
    </row>
    <row r="2555">
      <c r="N2555" s="5"/>
    </row>
    <row r="2556">
      <c r="N2556" s="5"/>
    </row>
    <row r="2557">
      <c r="N2557" s="5"/>
    </row>
    <row r="2558">
      <c r="N2558" s="5"/>
    </row>
    <row r="2559">
      <c r="N2559" s="5"/>
    </row>
    <row r="2560">
      <c r="N2560" s="5"/>
    </row>
    <row r="2561">
      <c r="N2561" s="5"/>
    </row>
    <row r="2562">
      <c r="N2562" s="5"/>
    </row>
    <row r="2563">
      <c r="N2563" s="5"/>
    </row>
    <row r="2564">
      <c r="N2564" s="5"/>
    </row>
    <row r="2565">
      <c r="N2565" s="5"/>
    </row>
    <row r="2566">
      <c r="N2566" s="5"/>
    </row>
    <row r="2567">
      <c r="N2567" s="5"/>
    </row>
    <row r="2568">
      <c r="N2568" s="5"/>
    </row>
    <row r="2569">
      <c r="N2569" s="5"/>
    </row>
    <row r="2570">
      <c r="N2570" s="5"/>
    </row>
    <row r="2571">
      <c r="N2571" s="5"/>
    </row>
    <row r="2572">
      <c r="N2572" s="5"/>
    </row>
    <row r="2573">
      <c r="N2573" s="5"/>
    </row>
    <row r="2574">
      <c r="N2574" s="5"/>
    </row>
    <row r="2575">
      <c r="N2575" s="5"/>
    </row>
    <row r="2576">
      <c r="N2576" s="5"/>
    </row>
    <row r="2577">
      <c r="N2577" s="5"/>
    </row>
    <row r="2578">
      <c r="N2578" s="5"/>
    </row>
    <row r="2579">
      <c r="N2579" s="5"/>
    </row>
    <row r="2580">
      <c r="N2580" s="5"/>
    </row>
    <row r="2581">
      <c r="N2581" s="5"/>
    </row>
    <row r="2582">
      <c r="N2582" s="5"/>
    </row>
    <row r="2583">
      <c r="N2583" s="5"/>
    </row>
    <row r="2584">
      <c r="N2584" s="5"/>
    </row>
    <row r="2585">
      <c r="N2585" s="5"/>
    </row>
    <row r="2586">
      <c r="N2586" s="5"/>
    </row>
    <row r="2587">
      <c r="N2587" s="5"/>
    </row>
    <row r="2588">
      <c r="N2588" s="5"/>
    </row>
    <row r="2589">
      <c r="N2589" s="5"/>
    </row>
    <row r="2590">
      <c r="N2590" s="5"/>
    </row>
    <row r="2591">
      <c r="N2591" s="5"/>
    </row>
    <row r="2592">
      <c r="N2592" s="5"/>
    </row>
    <row r="2593">
      <c r="N2593" s="5"/>
    </row>
    <row r="2594">
      <c r="N2594" s="5"/>
    </row>
    <row r="2595">
      <c r="N2595" s="5"/>
    </row>
    <row r="2596">
      <c r="N2596" s="5"/>
    </row>
    <row r="2597">
      <c r="N2597" s="5"/>
    </row>
    <row r="2598">
      <c r="N2598" s="5"/>
    </row>
    <row r="2599">
      <c r="N2599" s="5"/>
    </row>
    <row r="2600">
      <c r="N2600" s="5"/>
    </row>
    <row r="2601">
      <c r="N2601" s="5"/>
    </row>
    <row r="2602">
      <c r="N2602" s="5"/>
    </row>
    <row r="2603">
      <c r="N2603" s="5"/>
    </row>
    <row r="2604">
      <c r="N2604" s="5"/>
    </row>
    <row r="2605">
      <c r="N2605" s="5"/>
    </row>
    <row r="2606">
      <c r="N2606" s="5"/>
    </row>
    <row r="2607">
      <c r="N2607" s="5"/>
    </row>
    <row r="2608">
      <c r="N2608" s="5"/>
    </row>
    <row r="2609">
      <c r="N2609" s="5"/>
    </row>
    <row r="2610">
      <c r="N2610" s="5"/>
    </row>
    <row r="2611">
      <c r="N2611" s="5"/>
    </row>
    <row r="2612">
      <c r="N2612" s="5"/>
    </row>
    <row r="2613">
      <c r="N2613" s="5"/>
    </row>
    <row r="2614">
      <c r="N2614" s="5"/>
    </row>
    <row r="2615">
      <c r="N2615" s="5"/>
    </row>
    <row r="2616">
      <c r="N2616" s="5"/>
    </row>
    <row r="2617">
      <c r="N2617" s="5"/>
    </row>
    <row r="2618">
      <c r="N2618" s="5"/>
    </row>
    <row r="2619">
      <c r="N2619" s="5"/>
    </row>
    <row r="2620">
      <c r="N2620" s="5"/>
    </row>
    <row r="2621">
      <c r="N2621" s="5"/>
    </row>
    <row r="2622">
      <c r="N2622" s="5"/>
    </row>
    <row r="2623">
      <c r="N2623" s="5"/>
    </row>
    <row r="2624">
      <c r="N2624" s="5"/>
    </row>
    <row r="2625">
      <c r="N2625" s="5"/>
    </row>
    <row r="2626">
      <c r="N2626" s="5"/>
    </row>
    <row r="2627">
      <c r="N2627" s="5"/>
    </row>
    <row r="2628">
      <c r="N2628" s="5"/>
    </row>
    <row r="2629">
      <c r="N2629" s="5"/>
    </row>
    <row r="2630">
      <c r="N2630" s="5"/>
    </row>
    <row r="2631">
      <c r="N2631" s="5"/>
    </row>
    <row r="2632">
      <c r="N2632" s="5"/>
    </row>
    <row r="2633">
      <c r="N2633" s="5"/>
    </row>
    <row r="2634">
      <c r="N2634" s="5"/>
    </row>
    <row r="2635">
      <c r="N2635" s="5"/>
    </row>
    <row r="2636">
      <c r="N2636" s="5"/>
    </row>
    <row r="2637">
      <c r="N2637" s="5"/>
    </row>
    <row r="2638">
      <c r="N2638" s="5"/>
    </row>
    <row r="2639">
      <c r="N2639" s="5"/>
    </row>
    <row r="2640">
      <c r="N2640" s="5"/>
    </row>
    <row r="2641">
      <c r="N2641" s="5"/>
    </row>
    <row r="2642">
      <c r="N2642" s="5"/>
    </row>
    <row r="2643">
      <c r="N2643" s="5"/>
    </row>
    <row r="2644">
      <c r="N2644" s="5"/>
    </row>
    <row r="2645">
      <c r="N2645" s="5"/>
    </row>
    <row r="2646">
      <c r="N2646" s="5"/>
    </row>
    <row r="2647">
      <c r="N2647" s="5"/>
    </row>
    <row r="2648">
      <c r="N2648" s="5"/>
    </row>
    <row r="2649">
      <c r="N2649" s="5"/>
    </row>
    <row r="2650">
      <c r="N2650" s="5"/>
    </row>
    <row r="2651">
      <c r="N2651" s="5"/>
    </row>
    <row r="2652">
      <c r="N2652" s="5"/>
    </row>
    <row r="2653">
      <c r="N2653" s="5"/>
    </row>
    <row r="2654">
      <c r="N2654" s="5"/>
    </row>
    <row r="2655">
      <c r="N2655" s="5"/>
    </row>
    <row r="2656">
      <c r="N2656" s="5"/>
    </row>
    <row r="2657">
      <c r="N2657" s="5"/>
    </row>
    <row r="2658">
      <c r="N2658" s="5"/>
    </row>
    <row r="2659">
      <c r="N2659" s="5"/>
    </row>
    <row r="2660">
      <c r="N2660" s="5"/>
    </row>
    <row r="2661">
      <c r="N2661" s="5"/>
    </row>
    <row r="2662">
      <c r="N2662" s="5"/>
    </row>
    <row r="2663">
      <c r="N2663" s="5"/>
    </row>
    <row r="2664">
      <c r="N2664" s="5"/>
    </row>
    <row r="2665">
      <c r="N2665" s="5"/>
    </row>
    <row r="2666">
      <c r="N2666" s="5"/>
    </row>
    <row r="2667">
      <c r="N2667" s="5"/>
    </row>
    <row r="2668">
      <c r="N2668" s="5"/>
    </row>
    <row r="2669">
      <c r="N2669" s="5"/>
    </row>
    <row r="2670">
      <c r="N2670" s="5"/>
    </row>
    <row r="2671">
      <c r="N2671" s="5"/>
    </row>
    <row r="2672">
      <c r="N2672" s="5"/>
    </row>
    <row r="2673">
      <c r="N2673" s="5"/>
    </row>
    <row r="2674">
      <c r="N2674" s="5"/>
    </row>
    <row r="2675">
      <c r="N2675" s="5"/>
    </row>
    <row r="2676">
      <c r="N2676" s="5"/>
    </row>
    <row r="2677">
      <c r="N2677" s="5"/>
    </row>
    <row r="2678">
      <c r="N2678" s="5"/>
    </row>
    <row r="2679">
      <c r="N2679" s="5"/>
    </row>
    <row r="2680">
      <c r="N2680" s="5"/>
    </row>
    <row r="2681">
      <c r="N2681" s="5"/>
    </row>
    <row r="2682">
      <c r="N2682" s="5"/>
    </row>
    <row r="2683">
      <c r="N2683" s="5"/>
    </row>
    <row r="2684">
      <c r="N2684" s="5"/>
    </row>
    <row r="2685">
      <c r="N2685" s="5"/>
    </row>
    <row r="2686">
      <c r="N2686" s="5"/>
    </row>
    <row r="2687">
      <c r="N2687" s="5"/>
    </row>
    <row r="2688">
      <c r="N2688" s="5"/>
    </row>
    <row r="2689">
      <c r="N2689" s="5"/>
    </row>
    <row r="2690">
      <c r="N2690" s="5"/>
    </row>
    <row r="2691">
      <c r="N2691" s="5"/>
    </row>
    <row r="2692">
      <c r="N2692" s="5"/>
    </row>
    <row r="2693">
      <c r="N2693" s="5"/>
    </row>
    <row r="2694">
      <c r="N2694" s="5"/>
    </row>
    <row r="2695">
      <c r="N2695" s="5"/>
    </row>
    <row r="2696">
      <c r="N2696" s="5"/>
    </row>
    <row r="2697">
      <c r="N2697" s="5"/>
    </row>
    <row r="2698">
      <c r="N2698" s="5"/>
    </row>
    <row r="2699">
      <c r="N2699" s="5"/>
    </row>
    <row r="2700">
      <c r="N2700" s="5"/>
    </row>
    <row r="2701">
      <c r="N2701" s="5"/>
    </row>
    <row r="2702">
      <c r="N2702" s="5"/>
    </row>
    <row r="2703">
      <c r="N2703" s="5"/>
    </row>
    <row r="2704">
      <c r="N2704" s="5"/>
    </row>
    <row r="2705">
      <c r="N2705" s="5"/>
    </row>
    <row r="2706">
      <c r="N2706" s="5"/>
    </row>
    <row r="2707">
      <c r="N2707" s="5"/>
    </row>
    <row r="2708">
      <c r="N2708" s="5"/>
    </row>
    <row r="2709">
      <c r="N2709" s="5"/>
    </row>
    <row r="2710">
      <c r="N2710" s="5"/>
    </row>
    <row r="2711">
      <c r="N2711" s="5"/>
    </row>
    <row r="2712">
      <c r="N2712" s="5"/>
    </row>
    <row r="2713">
      <c r="N2713" s="5"/>
    </row>
    <row r="2714">
      <c r="N2714" s="5"/>
    </row>
    <row r="2715">
      <c r="N2715" s="5"/>
    </row>
    <row r="2716">
      <c r="N2716" s="5"/>
    </row>
    <row r="2717">
      <c r="N2717" s="5"/>
    </row>
    <row r="2718">
      <c r="N2718" s="5"/>
    </row>
    <row r="2719">
      <c r="N2719" s="5"/>
    </row>
    <row r="2720">
      <c r="N2720" s="5"/>
    </row>
    <row r="2721">
      <c r="N2721" s="5"/>
    </row>
    <row r="2722">
      <c r="N2722" s="5"/>
    </row>
    <row r="2723">
      <c r="N2723" s="5"/>
    </row>
    <row r="2724">
      <c r="N2724" s="5"/>
    </row>
    <row r="2725">
      <c r="N2725" s="5"/>
    </row>
    <row r="2726">
      <c r="N2726" s="5"/>
    </row>
    <row r="2727">
      <c r="N2727" s="5"/>
    </row>
    <row r="2728">
      <c r="N2728" s="5"/>
    </row>
    <row r="2729">
      <c r="N2729" s="5"/>
    </row>
    <row r="2730">
      <c r="N2730" s="5"/>
    </row>
    <row r="2731">
      <c r="N2731" s="5"/>
    </row>
    <row r="2732">
      <c r="N2732" s="5"/>
    </row>
    <row r="2733">
      <c r="N2733" s="5"/>
    </row>
    <row r="2734">
      <c r="N2734" s="5"/>
    </row>
    <row r="2735">
      <c r="N2735" s="5"/>
    </row>
    <row r="2736">
      <c r="N2736" s="5"/>
    </row>
    <row r="2737">
      <c r="N2737" s="5"/>
    </row>
    <row r="2738">
      <c r="N2738" s="5"/>
    </row>
    <row r="2739">
      <c r="N2739" s="5"/>
    </row>
    <row r="2740">
      <c r="N2740" s="5"/>
    </row>
    <row r="2741">
      <c r="N2741" s="5"/>
    </row>
    <row r="2742">
      <c r="N2742" s="5"/>
    </row>
    <row r="2743">
      <c r="N2743" s="5"/>
    </row>
    <row r="2744">
      <c r="N2744" s="5"/>
    </row>
    <row r="2745">
      <c r="N2745" s="5"/>
    </row>
    <row r="2746">
      <c r="N2746" s="5"/>
    </row>
    <row r="2747">
      <c r="N2747" s="5"/>
    </row>
    <row r="2748">
      <c r="N2748" s="5"/>
    </row>
    <row r="2749">
      <c r="N2749" s="5"/>
    </row>
    <row r="2750">
      <c r="N2750" s="5"/>
    </row>
    <row r="2751">
      <c r="N2751" s="5"/>
    </row>
    <row r="2752">
      <c r="N2752" s="5"/>
    </row>
    <row r="2753">
      <c r="N2753" s="5"/>
    </row>
    <row r="2754">
      <c r="N2754" s="5"/>
    </row>
    <row r="2755">
      <c r="N2755" s="5"/>
    </row>
    <row r="2756">
      <c r="N2756" s="5"/>
    </row>
    <row r="2757">
      <c r="N2757" s="5"/>
    </row>
    <row r="2758">
      <c r="N2758" s="5"/>
    </row>
    <row r="2759">
      <c r="N2759" s="5"/>
    </row>
    <row r="2760">
      <c r="N2760" s="5"/>
    </row>
    <row r="2761">
      <c r="N2761" s="5"/>
    </row>
    <row r="2762">
      <c r="N2762" s="5"/>
    </row>
    <row r="2763">
      <c r="N2763" s="5"/>
    </row>
    <row r="2764">
      <c r="N2764" s="5"/>
    </row>
    <row r="2765">
      <c r="N2765" s="5"/>
    </row>
    <row r="2766">
      <c r="N2766" s="5"/>
    </row>
    <row r="2767">
      <c r="N2767" s="5"/>
    </row>
    <row r="2768">
      <c r="N2768" s="5"/>
    </row>
    <row r="2769">
      <c r="N2769" s="5"/>
    </row>
    <row r="2770">
      <c r="N2770" s="5"/>
    </row>
    <row r="2771">
      <c r="N2771" s="5"/>
    </row>
    <row r="2772">
      <c r="N2772" s="5"/>
    </row>
    <row r="2773">
      <c r="N2773" s="5"/>
    </row>
    <row r="2774">
      <c r="N2774" s="5"/>
    </row>
    <row r="2775">
      <c r="N2775" s="5"/>
    </row>
    <row r="2776">
      <c r="N2776" s="5"/>
    </row>
    <row r="2777">
      <c r="N2777" s="5"/>
    </row>
    <row r="2778">
      <c r="N2778" s="5"/>
    </row>
    <row r="2779">
      <c r="N2779" s="5"/>
    </row>
    <row r="2780">
      <c r="N2780" s="5"/>
    </row>
    <row r="2781">
      <c r="N2781" s="5"/>
    </row>
    <row r="2782">
      <c r="N2782" s="5"/>
    </row>
    <row r="2783">
      <c r="N2783" s="5"/>
    </row>
    <row r="2784">
      <c r="N2784" s="5"/>
    </row>
    <row r="2785">
      <c r="N2785" s="5"/>
    </row>
    <row r="2786">
      <c r="N2786" s="5"/>
    </row>
    <row r="2787">
      <c r="N2787" s="5"/>
    </row>
    <row r="2788">
      <c r="N2788" s="5"/>
    </row>
    <row r="2789">
      <c r="N2789" s="5"/>
    </row>
    <row r="2790">
      <c r="N2790" s="5"/>
    </row>
    <row r="2791">
      <c r="N2791" s="5"/>
    </row>
    <row r="2792">
      <c r="N2792" s="5"/>
    </row>
    <row r="2793">
      <c r="N2793" s="5"/>
    </row>
    <row r="2794">
      <c r="N2794" s="5"/>
    </row>
    <row r="2795">
      <c r="N2795" s="5"/>
    </row>
    <row r="2796">
      <c r="N2796" s="5"/>
    </row>
    <row r="2797">
      <c r="N2797" s="5"/>
    </row>
    <row r="2798">
      <c r="N2798" s="5"/>
    </row>
    <row r="2799">
      <c r="N2799" s="5"/>
    </row>
    <row r="2800">
      <c r="N2800" s="5"/>
    </row>
    <row r="2801">
      <c r="N2801" s="5"/>
    </row>
    <row r="2802">
      <c r="N2802" s="5"/>
    </row>
    <row r="2803">
      <c r="N2803" s="5"/>
    </row>
    <row r="2804">
      <c r="N2804" s="5"/>
    </row>
    <row r="2805">
      <c r="N2805" s="5"/>
    </row>
    <row r="2806">
      <c r="N2806" s="5"/>
    </row>
    <row r="2807">
      <c r="N2807" s="5"/>
    </row>
    <row r="2808">
      <c r="N2808" s="5"/>
    </row>
    <row r="2809">
      <c r="N2809" s="5"/>
    </row>
    <row r="2810">
      <c r="N2810" s="5"/>
    </row>
    <row r="2811">
      <c r="N2811" s="5"/>
    </row>
    <row r="2812">
      <c r="N2812" s="5"/>
    </row>
    <row r="2813">
      <c r="N2813" s="5"/>
    </row>
    <row r="2814">
      <c r="N2814" s="5"/>
    </row>
    <row r="2815">
      <c r="N2815" s="5"/>
    </row>
    <row r="2816">
      <c r="N2816" s="5"/>
    </row>
    <row r="2817">
      <c r="N2817" s="5"/>
    </row>
    <row r="2818">
      <c r="N2818" s="5"/>
    </row>
    <row r="2819">
      <c r="N2819" s="5"/>
    </row>
    <row r="2820">
      <c r="N2820" s="5"/>
    </row>
    <row r="2821">
      <c r="N2821" s="5"/>
    </row>
    <row r="2822">
      <c r="N2822" s="5"/>
    </row>
    <row r="2823">
      <c r="N2823" s="5"/>
    </row>
    <row r="2824">
      <c r="N2824" s="5"/>
    </row>
    <row r="2825">
      <c r="N2825" s="5"/>
    </row>
    <row r="2826">
      <c r="N2826" s="5"/>
    </row>
    <row r="2827">
      <c r="N2827" s="5"/>
    </row>
    <row r="2828">
      <c r="N2828" s="5"/>
    </row>
    <row r="2829">
      <c r="N2829" s="5"/>
    </row>
    <row r="2830">
      <c r="N2830" s="5"/>
    </row>
    <row r="2831">
      <c r="N2831" s="5"/>
    </row>
    <row r="2832">
      <c r="N2832" s="5"/>
    </row>
    <row r="2833">
      <c r="N2833" s="5"/>
    </row>
    <row r="2834">
      <c r="N2834" s="5"/>
    </row>
    <row r="2835">
      <c r="N2835" s="5"/>
    </row>
    <row r="2836">
      <c r="N2836" s="5"/>
    </row>
    <row r="2837">
      <c r="N2837" s="5"/>
    </row>
    <row r="2838">
      <c r="N2838" s="5"/>
    </row>
    <row r="2839">
      <c r="N2839" s="5"/>
    </row>
    <row r="2840">
      <c r="N2840" s="5"/>
    </row>
    <row r="2841">
      <c r="N2841" s="5"/>
    </row>
    <row r="2842">
      <c r="N2842" s="5"/>
    </row>
    <row r="2843">
      <c r="N2843" s="5"/>
    </row>
    <row r="2844">
      <c r="N2844" s="5"/>
    </row>
    <row r="2845">
      <c r="N2845" s="5"/>
    </row>
    <row r="2846">
      <c r="N2846" s="5"/>
    </row>
    <row r="2847">
      <c r="N2847" s="5"/>
    </row>
    <row r="2848">
      <c r="N2848" s="5"/>
    </row>
    <row r="2849">
      <c r="N2849" s="5"/>
    </row>
    <row r="2850">
      <c r="N2850" s="5"/>
    </row>
    <row r="2851">
      <c r="N2851" s="5"/>
    </row>
    <row r="2852">
      <c r="N2852" s="5"/>
    </row>
    <row r="2853">
      <c r="N2853" s="5"/>
    </row>
    <row r="2854">
      <c r="N2854" s="5"/>
    </row>
    <row r="2855">
      <c r="N2855" s="5"/>
    </row>
    <row r="2856">
      <c r="N2856" s="5"/>
    </row>
    <row r="2857">
      <c r="N2857" s="5"/>
    </row>
    <row r="2858">
      <c r="N2858" s="5"/>
    </row>
    <row r="2859">
      <c r="N2859" s="5"/>
    </row>
    <row r="2860">
      <c r="N2860" s="5"/>
    </row>
    <row r="2861">
      <c r="N2861" s="5"/>
    </row>
    <row r="2862">
      <c r="N2862" s="5"/>
    </row>
    <row r="2863">
      <c r="N2863" s="5"/>
    </row>
    <row r="2864">
      <c r="N2864" s="5"/>
    </row>
    <row r="2865">
      <c r="N2865" s="5"/>
    </row>
    <row r="2866">
      <c r="N2866" s="5"/>
    </row>
    <row r="2867">
      <c r="N2867" s="5"/>
    </row>
    <row r="2868">
      <c r="N2868" s="5"/>
    </row>
    <row r="2869">
      <c r="N2869" s="5"/>
    </row>
    <row r="2870">
      <c r="N2870" s="5"/>
    </row>
    <row r="2871">
      <c r="N2871" s="5"/>
    </row>
    <row r="2872">
      <c r="N2872" s="5"/>
    </row>
    <row r="2873">
      <c r="N2873" s="5"/>
    </row>
    <row r="2874">
      <c r="N2874" s="5"/>
    </row>
    <row r="2875">
      <c r="N2875" s="5"/>
    </row>
    <row r="2876">
      <c r="N2876" s="5"/>
    </row>
    <row r="2877">
      <c r="N2877" s="5"/>
    </row>
    <row r="2878">
      <c r="N2878" s="5"/>
    </row>
    <row r="2879">
      <c r="N2879" s="5"/>
    </row>
    <row r="2880">
      <c r="N2880" s="5"/>
    </row>
    <row r="2881">
      <c r="N2881" s="5"/>
    </row>
    <row r="2882">
      <c r="N2882" s="5"/>
    </row>
    <row r="2883">
      <c r="N2883" s="5"/>
    </row>
    <row r="2884">
      <c r="N2884" s="5"/>
    </row>
    <row r="2885">
      <c r="N2885" s="5"/>
    </row>
    <row r="2886">
      <c r="N2886" s="5"/>
    </row>
    <row r="2887">
      <c r="N2887" s="5"/>
    </row>
    <row r="2888">
      <c r="N2888" s="5"/>
    </row>
    <row r="2889">
      <c r="N2889" s="5"/>
    </row>
    <row r="2890">
      <c r="N2890" s="5"/>
    </row>
    <row r="2891">
      <c r="N2891" s="5"/>
    </row>
    <row r="2892">
      <c r="N2892" s="5"/>
    </row>
    <row r="2893">
      <c r="N2893" s="5"/>
    </row>
    <row r="2894">
      <c r="N2894" s="5"/>
    </row>
    <row r="2895">
      <c r="N2895" s="5"/>
    </row>
    <row r="2896">
      <c r="N2896" s="5"/>
    </row>
    <row r="2897">
      <c r="N2897" s="5"/>
    </row>
    <row r="2898">
      <c r="N2898" s="5"/>
    </row>
    <row r="2899">
      <c r="N2899" s="5"/>
    </row>
    <row r="2900">
      <c r="N2900" s="5"/>
    </row>
    <row r="2901">
      <c r="N2901" s="5"/>
    </row>
    <row r="2902">
      <c r="N2902" s="5"/>
    </row>
    <row r="2903">
      <c r="N2903" s="5"/>
    </row>
    <row r="2904">
      <c r="N2904" s="5"/>
    </row>
    <row r="2905">
      <c r="N2905" s="5"/>
    </row>
    <row r="2906">
      <c r="N2906" s="5"/>
    </row>
    <row r="2907">
      <c r="N2907" s="5"/>
    </row>
    <row r="2908">
      <c r="N2908" s="5"/>
    </row>
    <row r="2909">
      <c r="N2909" s="5"/>
    </row>
    <row r="2910">
      <c r="N2910" s="5"/>
    </row>
    <row r="2911">
      <c r="N2911" s="5"/>
    </row>
    <row r="2912">
      <c r="N2912" s="5"/>
    </row>
    <row r="2913">
      <c r="N2913" s="5"/>
    </row>
    <row r="2914">
      <c r="N2914" s="5"/>
    </row>
    <row r="2915">
      <c r="N2915" s="5"/>
    </row>
    <row r="2916">
      <c r="N2916" s="5"/>
    </row>
    <row r="2917">
      <c r="N2917" s="5"/>
    </row>
    <row r="2918">
      <c r="N2918" s="5"/>
    </row>
    <row r="2919">
      <c r="N2919" s="5"/>
    </row>
    <row r="2920">
      <c r="N2920" s="5"/>
    </row>
    <row r="2921">
      <c r="N2921" s="5"/>
    </row>
    <row r="2922">
      <c r="N2922" s="5"/>
    </row>
    <row r="2923">
      <c r="N2923" s="5"/>
    </row>
    <row r="2924">
      <c r="N2924" s="5"/>
    </row>
    <row r="2925">
      <c r="N2925" s="5"/>
    </row>
    <row r="2926">
      <c r="N2926" s="5"/>
    </row>
    <row r="2927">
      <c r="N2927" s="5"/>
    </row>
    <row r="2928">
      <c r="N2928" s="5"/>
    </row>
    <row r="2929">
      <c r="N2929" s="5"/>
    </row>
    <row r="2930">
      <c r="N2930" s="5"/>
    </row>
    <row r="2931">
      <c r="N2931" s="5"/>
    </row>
    <row r="2932">
      <c r="N2932" s="5"/>
    </row>
    <row r="2933">
      <c r="N2933" s="5"/>
    </row>
    <row r="2934">
      <c r="N2934" s="5"/>
    </row>
    <row r="2935">
      <c r="N2935" s="5"/>
    </row>
    <row r="2936">
      <c r="N2936" s="5"/>
    </row>
    <row r="2937">
      <c r="N2937" s="5"/>
    </row>
    <row r="2938">
      <c r="N2938" s="5"/>
    </row>
    <row r="2939">
      <c r="N2939" s="5"/>
    </row>
    <row r="2940">
      <c r="N2940" s="5"/>
    </row>
    <row r="2941">
      <c r="N2941" s="5"/>
    </row>
    <row r="2942">
      <c r="N2942" s="5"/>
    </row>
    <row r="2943">
      <c r="N2943" s="5"/>
    </row>
    <row r="2944">
      <c r="N2944" s="5"/>
    </row>
    <row r="2945">
      <c r="N2945" s="5"/>
    </row>
    <row r="2946">
      <c r="N2946" s="5"/>
    </row>
    <row r="2947">
      <c r="N2947" s="5"/>
    </row>
    <row r="2948">
      <c r="N2948" s="5"/>
    </row>
    <row r="2949">
      <c r="N2949" s="5"/>
    </row>
    <row r="2950">
      <c r="N2950" s="5"/>
    </row>
    <row r="2951">
      <c r="N2951" s="5"/>
    </row>
    <row r="2952">
      <c r="N2952" s="5"/>
    </row>
    <row r="2953">
      <c r="N2953" s="5"/>
    </row>
    <row r="2954">
      <c r="N2954" s="5"/>
    </row>
    <row r="2955">
      <c r="N2955" s="5"/>
    </row>
    <row r="2956">
      <c r="N2956" s="5"/>
    </row>
    <row r="2957">
      <c r="N2957" s="5"/>
    </row>
    <row r="2958">
      <c r="N2958" s="5"/>
    </row>
    <row r="2959">
      <c r="N2959" s="5"/>
    </row>
    <row r="2960">
      <c r="N2960" s="5"/>
    </row>
    <row r="2961">
      <c r="N2961" s="5"/>
    </row>
    <row r="2962">
      <c r="N2962" s="5"/>
    </row>
    <row r="2963">
      <c r="N2963" s="5"/>
    </row>
    <row r="2964">
      <c r="N2964" s="5"/>
    </row>
    <row r="2965">
      <c r="N2965" s="5"/>
    </row>
    <row r="2966">
      <c r="N2966" s="5"/>
    </row>
    <row r="2967">
      <c r="N2967" s="5"/>
    </row>
    <row r="2968">
      <c r="N2968" s="5"/>
    </row>
    <row r="2969">
      <c r="N2969" s="5"/>
    </row>
    <row r="2970">
      <c r="N2970" s="5"/>
    </row>
    <row r="2971">
      <c r="N2971" s="5"/>
    </row>
    <row r="2972">
      <c r="N2972" s="5"/>
    </row>
    <row r="2973">
      <c r="N2973" s="5"/>
    </row>
    <row r="2974">
      <c r="N2974" s="5"/>
    </row>
    <row r="2975">
      <c r="N2975" s="5"/>
    </row>
    <row r="2976">
      <c r="N2976" s="5"/>
    </row>
    <row r="2977">
      <c r="N2977" s="5"/>
    </row>
    <row r="2978">
      <c r="N2978" s="5"/>
    </row>
    <row r="2979">
      <c r="N2979" s="5"/>
    </row>
    <row r="2980">
      <c r="N2980" s="5"/>
    </row>
    <row r="2981">
      <c r="N2981" s="5"/>
    </row>
    <row r="2982">
      <c r="N2982" s="5"/>
    </row>
    <row r="2983">
      <c r="N2983" s="5"/>
    </row>
    <row r="2984">
      <c r="N2984" s="5"/>
    </row>
    <row r="2985">
      <c r="N2985" s="5"/>
    </row>
    <row r="2986">
      <c r="N2986" s="5"/>
    </row>
    <row r="2987">
      <c r="N2987" s="5"/>
    </row>
    <row r="2988">
      <c r="N2988" s="5"/>
    </row>
    <row r="2989">
      <c r="N2989" s="5"/>
    </row>
    <row r="2990">
      <c r="N2990" s="5"/>
    </row>
    <row r="2991">
      <c r="N2991" s="5"/>
    </row>
    <row r="2992">
      <c r="N2992" s="5"/>
    </row>
    <row r="2993">
      <c r="N2993" s="5"/>
    </row>
    <row r="2994">
      <c r="N2994" s="5"/>
    </row>
    <row r="2995">
      <c r="N2995" s="5"/>
    </row>
    <row r="2996">
      <c r="N2996" s="5"/>
    </row>
    <row r="2997">
      <c r="N2997" s="5"/>
    </row>
    <row r="2998">
      <c r="N2998" s="5"/>
    </row>
    <row r="2999">
      <c r="N2999" s="5"/>
    </row>
    <row r="3000">
      <c r="N3000" s="5"/>
    </row>
    <row r="3001">
      <c r="N3001" s="5"/>
    </row>
    <row r="3002">
      <c r="N3002" s="5"/>
    </row>
    <row r="3003">
      <c r="N3003" s="5"/>
    </row>
    <row r="3004">
      <c r="N3004" s="5"/>
    </row>
    <row r="3005">
      <c r="N3005" s="5"/>
    </row>
    <row r="3006">
      <c r="N3006" s="5"/>
    </row>
    <row r="3007">
      <c r="N3007" s="5"/>
    </row>
    <row r="3008">
      <c r="N3008" s="5"/>
    </row>
    <row r="3009">
      <c r="N3009" s="5"/>
    </row>
    <row r="3010">
      <c r="N3010" s="5"/>
    </row>
    <row r="3011">
      <c r="N3011" s="5"/>
    </row>
    <row r="3012">
      <c r="N3012" s="5"/>
    </row>
    <row r="3013">
      <c r="N3013" s="5"/>
    </row>
    <row r="3014">
      <c r="N3014" s="5"/>
    </row>
    <row r="3015">
      <c r="N3015" s="5"/>
    </row>
    <row r="3016">
      <c r="N3016" s="5"/>
    </row>
    <row r="3017">
      <c r="N3017" s="5"/>
    </row>
    <row r="3018">
      <c r="N3018" s="5"/>
    </row>
    <row r="3019">
      <c r="N3019" s="5"/>
    </row>
    <row r="3020">
      <c r="N3020" s="5"/>
    </row>
    <row r="3021">
      <c r="N3021" s="5"/>
    </row>
    <row r="3022">
      <c r="N3022" s="5"/>
    </row>
    <row r="3023">
      <c r="N3023" s="5"/>
    </row>
    <row r="3024">
      <c r="N3024" s="5"/>
    </row>
    <row r="3025">
      <c r="N3025" s="5"/>
    </row>
    <row r="3026">
      <c r="N3026" s="5"/>
    </row>
    <row r="3027">
      <c r="N3027" s="5"/>
    </row>
    <row r="3028">
      <c r="N3028" s="5"/>
    </row>
    <row r="3029">
      <c r="N3029" s="5"/>
    </row>
    <row r="3030">
      <c r="N3030" s="5"/>
    </row>
    <row r="3031">
      <c r="N3031" s="5"/>
    </row>
    <row r="3032">
      <c r="N3032" s="5"/>
    </row>
    <row r="3033">
      <c r="N3033" s="5"/>
    </row>
    <row r="3034">
      <c r="N3034" s="5"/>
    </row>
    <row r="3035">
      <c r="N3035" s="5"/>
    </row>
    <row r="3036">
      <c r="N3036" s="5"/>
    </row>
    <row r="3037">
      <c r="N3037" s="5"/>
    </row>
    <row r="3038">
      <c r="N3038" s="5"/>
    </row>
    <row r="3039">
      <c r="N3039" s="5"/>
    </row>
    <row r="3040">
      <c r="N3040" s="5"/>
    </row>
    <row r="3041">
      <c r="N3041" s="5"/>
    </row>
    <row r="3042">
      <c r="N3042" s="5"/>
    </row>
    <row r="3043">
      <c r="N3043" s="5"/>
    </row>
    <row r="3044">
      <c r="N3044" s="5"/>
    </row>
    <row r="3045">
      <c r="N3045" s="5"/>
    </row>
    <row r="3046">
      <c r="N3046" s="5"/>
    </row>
    <row r="3047">
      <c r="N3047" s="5"/>
    </row>
    <row r="3048">
      <c r="N3048" s="5"/>
    </row>
    <row r="3049">
      <c r="N3049" s="5"/>
    </row>
    <row r="3050">
      <c r="N3050" s="5"/>
    </row>
    <row r="3051">
      <c r="N3051" s="5"/>
    </row>
    <row r="3052">
      <c r="N3052" s="5"/>
    </row>
    <row r="3053">
      <c r="N3053" s="5"/>
    </row>
    <row r="3054">
      <c r="N3054" s="5"/>
    </row>
    <row r="3055">
      <c r="N3055" s="5"/>
    </row>
    <row r="3056">
      <c r="N3056" s="5"/>
    </row>
    <row r="3057">
      <c r="N3057" s="5"/>
    </row>
    <row r="3058">
      <c r="N3058" s="5"/>
    </row>
    <row r="3059">
      <c r="N3059" s="5"/>
    </row>
    <row r="3060">
      <c r="N3060" s="5"/>
    </row>
    <row r="3061">
      <c r="N3061" s="5"/>
    </row>
    <row r="3062">
      <c r="N3062" s="5"/>
    </row>
    <row r="3063">
      <c r="N3063" s="5"/>
    </row>
    <row r="3064">
      <c r="N3064" s="5"/>
    </row>
    <row r="3065">
      <c r="N3065" s="5"/>
    </row>
    <row r="3066">
      <c r="N3066" s="5"/>
    </row>
    <row r="3067">
      <c r="N3067" s="5"/>
    </row>
    <row r="3068">
      <c r="N3068" s="5"/>
    </row>
    <row r="3069">
      <c r="N3069" s="5"/>
    </row>
    <row r="3070">
      <c r="N3070" s="5"/>
    </row>
    <row r="3071">
      <c r="N3071" s="5"/>
    </row>
    <row r="3072">
      <c r="N3072" s="5"/>
    </row>
    <row r="3073">
      <c r="N3073" s="5"/>
    </row>
    <row r="3074">
      <c r="N3074" s="5"/>
    </row>
    <row r="3075">
      <c r="N3075" s="5"/>
    </row>
    <row r="3076">
      <c r="N3076" s="5"/>
    </row>
    <row r="3077">
      <c r="N3077" s="5"/>
    </row>
    <row r="3078">
      <c r="N3078" s="5"/>
    </row>
    <row r="3079">
      <c r="N3079" s="5"/>
    </row>
    <row r="3080">
      <c r="N3080" s="5"/>
    </row>
    <row r="3081">
      <c r="N3081" s="5"/>
    </row>
    <row r="3082">
      <c r="N3082" s="5"/>
    </row>
    <row r="3083">
      <c r="N3083" s="5"/>
    </row>
    <row r="3084">
      <c r="N3084" s="5"/>
    </row>
    <row r="3085">
      <c r="N3085" s="5"/>
    </row>
    <row r="3086">
      <c r="N3086" s="5"/>
    </row>
    <row r="3087">
      <c r="N3087" s="5"/>
    </row>
    <row r="3088">
      <c r="N3088" s="5"/>
    </row>
    <row r="3089">
      <c r="N3089" s="5"/>
    </row>
    <row r="3090">
      <c r="N3090" s="5"/>
    </row>
    <row r="3091">
      <c r="N3091" s="5"/>
    </row>
    <row r="3092">
      <c r="N3092" s="5"/>
    </row>
    <row r="3093">
      <c r="N3093" s="5"/>
    </row>
    <row r="3094">
      <c r="N3094" s="5"/>
    </row>
    <row r="3095">
      <c r="N3095" s="5"/>
    </row>
    <row r="3096">
      <c r="N3096" s="5"/>
    </row>
    <row r="3097">
      <c r="N3097" s="5"/>
    </row>
    <row r="3098">
      <c r="N3098" s="5"/>
    </row>
    <row r="3099">
      <c r="N3099" s="5"/>
    </row>
    <row r="3100">
      <c r="N3100" s="5"/>
    </row>
    <row r="3101">
      <c r="N3101" s="5"/>
    </row>
    <row r="3102">
      <c r="N3102" s="5"/>
    </row>
    <row r="3103">
      <c r="N3103" s="5"/>
    </row>
    <row r="3104">
      <c r="N3104" s="5"/>
    </row>
    <row r="3105">
      <c r="N3105" s="5"/>
    </row>
    <row r="3106">
      <c r="N3106" s="5"/>
    </row>
    <row r="3107">
      <c r="N3107" s="5"/>
    </row>
    <row r="3108">
      <c r="N3108" s="5"/>
    </row>
    <row r="3109">
      <c r="N3109" s="5"/>
    </row>
    <row r="3110">
      <c r="N3110" s="5"/>
    </row>
    <row r="3111">
      <c r="N3111" s="5"/>
    </row>
    <row r="3112">
      <c r="N3112" s="5"/>
    </row>
    <row r="3113">
      <c r="N3113" s="5"/>
    </row>
    <row r="3114">
      <c r="N3114" s="5"/>
    </row>
    <row r="3115">
      <c r="N3115" s="5"/>
    </row>
    <row r="3116">
      <c r="N3116" s="5"/>
    </row>
    <row r="3117">
      <c r="N3117" s="5"/>
    </row>
    <row r="3118">
      <c r="N3118" s="5"/>
    </row>
    <row r="3119">
      <c r="N3119" s="5"/>
    </row>
    <row r="3120">
      <c r="N3120" s="5"/>
    </row>
    <row r="3121">
      <c r="N3121" s="5"/>
    </row>
    <row r="3122">
      <c r="N3122" s="5"/>
    </row>
    <row r="3123">
      <c r="N3123" s="5"/>
    </row>
    <row r="3124">
      <c r="N3124" s="5"/>
    </row>
    <row r="3125">
      <c r="N3125" s="5"/>
    </row>
    <row r="3126">
      <c r="N3126" s="5"/>
    </row>
    <row r="3127">
      <c r="N3127" s="5"/>
    </row>
    <row r="3128">
      <c r="N3128" s="5"/>
    </row>
    <row r="3129">
      <c r="N3129" s="5"/>
    </row>
    <row r="3130">
      <c r="N3130" s="5"/>
    </row>
    <row r="3131">
      <c r="N3131" s="5"/>
    </row>
    <row r="3132">
      <c r="N3132" s="5"/>
    </row>
    <row r="3133">
      <c r="N3133" s="5"/>
    </row>
    <row r="3134">
      <c r="N3134" s="5"/>
    </row>
    <row r="3135">
      <c r="N3135" s="5"/>
    </row>
    <row r="3136">
      <c r="N3136" s="5"/>
    </row>
    <row r="3137">
      <c r="N3137" s="5"/>
    </row>
    <row r="3138">
      <c r="N3138" s="5"/>
    </row>
    <row r="3139">
      <c r="N3139" s="5"/>
    </row>
    <row r="3140">
      <c r="N3140" s="5"/>
    </row>
    <row r="3141">
      <c r="N3141" s="5"/>
    </row>
    <row r="3142">
      <c r="N3142" s="5"/>
    </row>
    <row r="3143">
      <c r="N3143" s="5"/>
    </row>
    <row r="3144">
      <c r="N3144" s="5"/>
    </row>
    <row r="3145">
      <c r="N3145" s="5"/>
    </row>
    <row r="3146">
      <c r="N3146" s="5"/>
    </row>
    <row r="3147">
      <c r="N3147" s="5"/>
    </row>
    <row r="3148">
      <c r="N3148" s="5"/>
    </row>
    <row r="3149">
      <c r="N3149" s="5"/>
    </row>
    <row r="3150">
      <c r="N3150" s="5"/>
    </row>
    <row r="3151">
      <c r="N3151" s="5"/>
    </row>
    <row r="3152">
      <c r="N3152" s="5"/>
    </row>
    <row r="3153">
      <c r="N3153" s="5"/>
    </row>
    <row r="3154">
      <c r="N3154" s="5"/>
    </row>
    <row r="3155">
      <c r="N3155" s="5"/>
    </row>
    <row r="3156">
      <c r="N3156" s="5"/>
    </row>
    <row r="3157">
      <c r="N3157" s="5"/>
    </row>
    <row r="3158">
      <c r="N3158" s="5"/>
    </row>
    <row r="3159">
      <c r="N3159" s="5"/>
    </row>
    <row r="3160">
      <c r="N3160" s="5"/>
    </row>
    <row r="3161">
      <c r="N3161" s="5"/>
    </row>
    <row r="3162">
      <c r="N3162" s="5"/>
    </row>
    <row r="3163">
      <c r="N3163" s="5"/>
    </row>
    <row r="3164">
      <c r="N3164" s="5"/>
    </row>
    <row r="3165">
      <c r="N3165" s="5"/>
    </row>
    <row r="3166">
      <c r="N3166" s="5"/>
    </row>
    <row r="3167">
      <c r="N3167" s="5"/>
    </row>
    <row r="3168">
      <c r="N3168" s="5"/>
    </row>
    <row r="3169">
      <c r="N3169" s="5"/>
    </row>
    <row r="3170">
      <c r="N3170" s="5"/>
    </row>
    <row r="3171">
      <c r="N3171" s="5"/>
    </row>
    <row r="3172">
      <c r="N3172" s="5"/>
    </row>
    <row r="3173">
      <c r="N3173" s="5"/>
    </row>
    <row r="3174">
      <c r="N3174" s="5"/>
    </row>
    <row r="3175">
      <c r="N3175" s="5"/>
    </row>
    <row r="3176">
      <c r="N3176" s="5"/>
    </row>
    <row r="3177">
      <c r="N3177" s="5"/>
    </row>
    <row r="3178">
      <c r="N3178" s="5"/>
    </row>
    <row r="3179">
      <c r="N3179" s="5"/>
    </row>
    <row r="3180">
      <c r="N3180" s="5"/>
    </row>
    <row r="3181">
      <c r="N3181" s="5"/>
    </row>
    <row r="3182">
      <c r="N3182" s="5"/>
    </row>
    <row r="3183">
      <c r="N3183" s="5"/>
    </row>
    <row r="3184">
      <c r="N3184" s="5"/>
    </row>
    <row r="3185">
      <c r="N3185" s="5"/>
    </row>
    <row r="3186">
      <c r="N3186" s="5"/>
    </row>
    <row r="3187">
      <c r="N3187" s="5"/>
    </row>
    <row r="3188">
      <c r="N3188" s="5"/>
    </row>
    <row r="3189">
      <c r="N3189" s="5"/>
    </row>
    <row r="3190">
      <c r="N3190" s="5"/>
    </row>
    <row r="3191">
      <c r="N3191" s="5"/>
    </row>
    <row r="3192">
      <c r="N3192" s="5"/>
    </row>
    <row r="3193">
      <c r="N3193" s="5"/>
    </row>
    <row r="3194">
      <c r="N3194" s="5"/>
    </row>
    <row r="3195">
      <c r="N3195" s="5"/>
    </row>
    <row r="3196">
      <c r="N3196" s="5"/>
    </row>
    <row r="3197">
      <c r="N3197" s="5"/>
    </row>
    <row r="3198">
      <c r="N3198" s="5"/>
    </row>
    <row r="3199">
      <c r="N3199" s="5"/>
    </row>
    <row r="3200">
      <c r="N3200" s="5"/>
    </row>
    <row r="3201">
      <c r="N3201" s="5"/>
    </row>
    <row r="3202">
      <c r="N3202" s="5"/>
    </row>
    <row r="3203">
      <c r="N3203" s="5"/>
    </row>
    <row r="3204">
      <c r="N3204" s="5"/>
    </row>
    <row r="3205">
      <c r="N3205" s="5"/>
    </row>
    <row r="3206">
      <c r="N3206" s="5"/>
    </row>
    <row r="3207">
      <c r="N3207" s="5"/>
    </row>
    <row r="3208">
      <c r="N3208" s="5"/>
    </row>
    <row r="3209">
      <c r="N3209" s="5"/>
    </row>
    <row r="3210">
      <c r="N3210" s="5"/>
    </row>
    <row r="3211">
      <c r="N3211" s="5"/>
    </row>
    <row r="3212">
      <c r="N3212" s="5"/>
    </row>
    <row r="3213">
      <c r="N3213" s="5"/>
    </row>
    <row r="3214">
      <c r="N3214" s="5"/>
    </row>
    <row r="3215">
      <c r="N3215" s="5"/>
    </row>
    <row r="3216">
      <c r="N3216" s="5"/>
    </row>
    <row r="3217">
      <c r="N3217" s="5"/>
    </row>
    <row r="3218">
      <c r="N3218" s="5"/>
    </row>
    <row r="3219">
      <c r="N3219" s="5"/>
    </row>
    <row r="3220">
      <c r="N3220" s="5"/>
    </row>
    <row r="3221">
      <c r="N3221" s="5"/>
    </row>
    <row r="3222">
      <c r="N3222" s="5"/>
    </row>
    <row r="3223">
      <c r="N3223" s="5"/>
    </row>
    <row r="3224">
      <c r="N3224" s="5"/>
    </row>
    <row r="3225">
      <c r="N3225" s="5"/>
    </row>
    <row r="3226">
      <c r="N3226" s="5"/>
    </row>
    <row r="3227">
      <c r="N3227" s="5"/>
    </row>
    <row r="3228">
      <c r="N3228" s="5"/>
    </row>
    <row r="3229">
      <c r="N3229" s="5"/>
    </row>
    <row r="3230">
      <c r="N3230" s="5"/>
    </row>
    <row r="3231">
      <c r="N3231" s="5"/>
    </row>
    <row r="3232">
      <c r="N3232" s="5"/>
    </row>
    <row r="3233">
      <c r="N3233" s="5"/>
    </row>
    <row r="3234">
      <c r="N3234" s="5"/>
    </row>
    <row r="3235">
      <c r="N3235" s="5"/>
    </row>
    <row r="3236">
      <c r="N3236" s="5"/>
    </row>
    <row r="3237">
      <c r="N3237" s="5"/>
    </row>
    <row r="3238">
      <c r="N3238" s="5"/>
    </row>
    <row r="3239">
      <c r="N3239" s="5"/>
    </row>
    <row r="3240">
      <c r="N3240" s="5"/>
    </row>
    <row r="3241">
      <c r="N3241" s="5"/>
    </row>
    <row r="3242">
      <c r="N3242" s="5"/>
    </row>
    <row r="3243">
      <c r="N3243" s="5"/>
    </row>
    <row r="3244">
      <c r="N3244" s="5"/>
    </row>
    <row r="3245">
      <c r="N3245" s="5"/>
    </row>
    <row r="3246">
      <c r="N3246" s="5"/>
    </row>
    <row r="3247">
      <c r="N3247" s="5"/>
    </row>
    <row r="3248">
      <c r="N3248" s="5"/>
    </row>
    <row r="3249">
      <c r="N3249" s="5"/>
    </row>
    <row r="3250">
      <c r="N3250" s="5"/>
    </row>
    <row r="3251">
      <c r="N3251" s="5"/>
    </row>
    <row r="3252">
      <c r="N3252" s="5"/>
    </row>
    <row r="3253">
      <c r="N3253" s="5"/>
    </row>
    <row r="3254">
      <c r="N3254" s="5"/>
    </row>
    <row r="3255">
      <c r="N3255" s="5"/>
    </row>
    <row r="3256">
      <c r="N3256" s="5"/>
    </row>
    <row r="3257">
      <c r="N3257" s="5"/>
    </row>
    <row r="3258">
      <c r="N3258" s="5"/>
    </row>
    <row r="3259">
      <c r="N3259" s="5"/>
    </row>
    <row r="3260">
      <c r="N3260" s="5"/>
    </row>
    <row r="3261">
      <c r="N3261" s="5"/>
    </row>
    <row r="3262">
      <c r="N3262" s="5"/>
    </row>
    <row r="3263">
      <c r="N3263" s="5"/>
    </row>
    <row r="3264">
      <c r="N3264" s="5"/>
    </row>
    <row r="3265">
      <c r="N3265" s="5"/>
    </row>
    <row r="3266">
      <c r="N3266" s="5"/>
    </row>
    <row r="3267">
      <c r="N3267" s="5"/>
    </row>
    <row r="3268">
      <c r="N3268" s="5"/>
    </row>
    <row r="3269">
      <c r="N3269" s="5"/>
    </row>
    <row r="3270">
      <c r="N3270" s="5"/>
    </row>
    <row r="3271">
      <c r="N3271" s="5"/>
    </row>
    <row r="3272">
      <c r="N3272" s="5"/>
    </row>
    <row r="3273">
      <c r="N3273" s="5"/>
    </row>
    <row r="3274">
      <c r="N3274" s="5"/>
    </row>
    <row r="3275">
      <c r="N3275" s="5"/>
    </row>
    <row r="3276">
      <c r="N3276" s="5"/>
    </row>
    <row r="3277">
      <c r="N3277" s="5"/>
    </row>
    <row r="3278">
      <c r="N3278" s="5"/>
    </row>
    <row r="3279">
      <c r="N3279" s="5"/>
    </row>
    <row r="3280">
      <c r="N3280" s="5"/>
    </row>
    <row r="3281">
      <c r="N3281" s="5"/>
    </row>
    <row r="3282">
      <c r="N3282" s="5"/>
    </row>
    <row r="3283">
      <c r="N3283" s="5"/>
    </row>
    <row r="3284">
      <c r="N3284" s="5"/>
    </row>
    <row r="3285">
      <c r="N3285" s="5"/>
    </row>
    <row r="3286">
      <c r="N3286" s="5"/>
    </row>
    <row r="3287">
      <c r="N3287" s="5"/>
    </row>
    <row r="3288">
      <c r="N3288" s="5"/>
    </row>
    <row r="3289">
      <c r="N3289" s="5"/>
    </row>
    <row r="3290">
      <c r="N3290" s="5"/>
    </row>
    <row r="3291">
      <c r="N3291" s="5"/>
    </row>
    <row r="3292">
      <c r="N3292" s="5"/>
    </row>
    <row r="3293">
      <c r="N3293" s="5"/>
    </row>
    <row r="3294">
      <c r="N3294" s="5"/>
    </row>
    <row r="3295">
      <c r="N3295" s="5"/>
    </row>
    <row r="3296">
      <c r="N3296" s="5"/>
    </row>
    <row r="3297">
      <c r="N3297" s="5"/>
    </row>
    <row r="3298">
      <c r="N3298" s="5"/>
    </row>
    <row r="3299">
      <c r="N3299" s="5"/>
    </row>
    <row r="3300">
      <c r="N3300" s="5"/>
    </row>
    <row r="3301">
      <c r="N3301" s="5"/>
    </row>
    <row r="3302">
      <c r="N3302" s="5"/>
    </row>
    <row r="3303">
      <c r="N3303" s="5"/>
    </row>
    <row r="3304">
      <c r="N3304" s="5"/>
    </row>
    <row r="3305">
      <c r="N3305" s="5"/>
    </row>
    <row r="3306">
      <c r="N3306" s="5"/>
    </row>
    <row r="3307">
      <c r="N3307" s="5"/>
    </row>
    <row r="3308">
      <c r="N3308" s="5"/>
    </row>
    <row r="3309">
      <c r="N3309" s="5"/>
    </row>
    <row r="3310">
      <c r="N3310" s="5"/>
    </row>
    <row r="3311">
      <c r="N3311" s="5"/>
    </row>
    <row r="3312">
      <c r="N3312" s="5"/>
    </row>
    <row r="3313">
      <c r="N3313" s="5"/>
    </row>
    <row r="3314">
      <c r="N3314" s="5"/>
    </row>
    <row r="3315">
      <c r="N3315" s="5"/>
    </row>
    <row r="3316">
      <c r="N3316" s="5"/>
    </row>
    <row r="3317">
      <c r="N3317" s="5"/>
    </row>
    <row r="3318">
      <c r="N3318" s="5"/>
    </row>
    <row r="3319">
      <c r="N3319" s="5"/>
    </row>
    <row r="3320">
      <c r="N3320" s="5"/>
    </row>
    <row r="3321">
      <c r="N3321" s="5"/>
    </row>
    <row r="3322">
      <c r="N3322" s="5"/>
    </row>
    <row r="3323">
      <c r="N3323" s="5"/>
    </row>
    <row r="3324">
      <c r="N3324" s="5"/>
    </row>
    <row r="3325">
      <c r="N3325" s="5"/>
    </row>
    <row r="3326">
      <c r="N3326" s="5"/>
    </row>
    <row r="3327">
      <c r="N3327" s="5"/>
    </row>
    <row r="3328">
      <c r="N3328" s="5"/>
    </row>
    <row r="3329">
      <c r="N3329" s="5"/>
    </row>
    <row r="3330">
      <c r="N3330" s="5"/>
    </row>
    <row r="3331">
      <c r="N3331" s="5"/>
    </row>
    <row r="3332">
      <c r="N3332" s="5"/>
    </row>
    <row r="3333">
      <c r="N3333" s="5"/>
    </row>
    <row r="3334">
      <c r="N3334" s="5"/>
    </row>
    <row r="3335">
      <c r="N3335" s="5"/>
    </row>
    <row r="3336">
      <c r="N3336" s="5"/>
    </row>
    <row r="3337">
      <c r="N3337" s="5"/>
    </row>
    <row r="3338">
      <c r="N3338" s="5"/>
    </row>
    <row r="3339">
      <c r="N3339" s="5"/>
    </row>
    <row r="3340">
      <c r="N3340" s="5"/>
    </row>
    <row r="3341">
      <c r="N3341" s="5"/>
    </row>
    <row r="3342">
      <c r="N3342" s="5"/>
    </row>
    <row r="3343">
      <c r="N3343" s="5"/>
    </row>
    <row r="3344">
      <c r="N3344" s="5"/>
    </row>
    <row r="3345">
      <c r="N3345" s="5"/>
    </row>
    <row r="3346">
      <c r="N3346" s="5"/>
    </row>
    <row r="3347">
      <c r="N3347" s="5"/>
    </row>
    <row r="3348">
      <c r="N3348" s="5"/>
    </row>
    <row r="3349">
      <c r="N3349" s="5"/>
    </row>
    <row r="3350">
      <c r="N3350" s="5"/>
    </row>
    <row r="3351">
      <c r="N3351" s="5"/>
    </row>
    <row r="3352">
      <c r="N3352" s="5"/>
    </row>
    <row r="3353">
      <c r="N3353" s="5"/>
    </row>
    <row r="3354">
      <c r="N3354" s="5"/>
    </row>
    <row r="3355">
      <c r="N3355" s="5"/>
    </row>
    <row r="3356">
      <c r="N3356" s="5"/>
    </row>
    <row r="3357">
      <c r="N3357" s="5"/>
    </row>
    <row r="3358">
      <c r="N3358" s="5"/>
    </row>
    <row r="3359">
      <c r="N3359" s="5"/>
    </row>
    <row r="3360">
      <c r="N3360" s="5"/>
    </row>
    <row r="3361">
      <c r="N3361" s="5"/>
    </row>
    <row r="3362">
      <c r="N3362" s="5"/>
    </row>
    <row r="3363">
      <c r="N3363" s="5"/>
    </row>
    <row r="3364">
      <c r="N3364" s="5"/>
    </row>
    <row r="3365">
      <c r="N3365" s="5"/>
    </row>
    <row r="3366">
      <c r="N3366" s="5"/>
    </row>
    <row r="3367">
      <c r="N3367" s="5"/>
    </row>
    <row r="3368">
      <c r="N3368" s="5"/>
    </row>
    <row r="3369">
      <c r="N3369" s="5"/>
    </row>
    <row r="3370">
      <c r="N3370" s="5"/>
    </row>
    <row r="3371">
      <c r="N3371" s="5"/>
    </row>
    <row r="3372">
      <c r="N3372" s="5"/>
    </row>
    <row r="3373">
      <c r="N3373" s="5"/>
    </row>
    <row r="3374">
      <c r="N3374" s="5"/>
    </row>
    <row r="3375">
      <c r="N3375" s="5"/>
    </row>
    <row r="3376">
      <c r="N3376" s="5"/>
    </row>
    <row r="3377">
      <c r="N3377" s="5"/>
    </row>
    <row r="3378">
      <c r="N3378" s="5"/>
    </row>
    <row r="3379">
      <c r="N3379" s="5"/>
    </row>
    <row r="3380">
      <c r="N3380" s="5"/>
    </row>
    <row r="3381">
      <c r="N3381" s="5"/>
    </row>
    <row r="3382">
      <c r="N3382" s="5"/>
    </row>
    <row r="3383">
      <c r="N3383" s="5"/>
    </row>
    <row r="3384">
      <c r="N3384" s="5"/>
    </row>
    <row r="3385">
      <c r="N3385" s="5"/>
    </row>
    <row r="3386">
      <c r="N3386" s="5"/>
    </row>
    <row r="3387">
      <c r="N3387" s="5"/>
    </row>
    <row r="3388">
      <c r="N3388" s="5"/>
    </row>
    <row r="3389">
      <c r="N3389" s="5"/>
    </row>
    <row r="3390">
      <c r="N3390" s="5"/>
    </row>
    <row r="3391">
      <c r="N3391" s="5"/>
    </row>
    <row r="3392">
      <c r="N3392" s="5"/>
    </row>
    <row r="3393">
      <c r="N3393" s="5"/>
    </row>
    <row r="3394">
      <c r="N3394" s="5"/>
    </row>
    <row r="3395">
      <c r="N3395" s="5"/>
    </row>
    <row r="3396">
      <c r="N3396" s="5"/>
    </row>
    <row r="3397">
      <c r="N3397" s="5"/>
    </row>
    <row r="3398">
      <c r="N3398" s="5"/>
    </row>
    <row r="3399">
      <c r="N3399" s="5"/>
    </row>
    <row r="3400">
      <c r="N3400" s="5"/>
    </row>
    <row r="3401">
      <c r="N3401" s="5"/>
    </row>
    <row r="3402">
      <c r="N3402" s="5"/>
    </row>
    <row r="3403">
      <c r="N3403" s="5"/>
    </row>
    <row r="3404">
      <c r="N3404" s="5"/>
    </row>
    <row r="3405">
      <c r="N3405" s="5"/>
    </row>
    <row r="3406">
      <c r="N3406" s="5"/>
    </row>
    <row r="3407">
      <c r="N3407" s="5"/>
    </row>
    <row r="3408">
      <c r="N3408" s="5"/>
    </row>
    <row r="3409">
      <c r="N3409" s="5"/>
    </row>
    <row r="3410">
      <c r="N3410" s="5"/>
    </row>
    <row r="3411">
      <c r="N3411" s="5"/>
    </row>
    <row r="3412">
      <c r="N3412" s="5"/>
    </row>
    <row r="3413">
      <c r="N3413" s="5"/>
    </row>
    <row r="3414">
      <c r="N3414" s="5"/>
    </row>
    <row r="3415">
      <c r="N3415" s="5"/>
    </row>
    <row r="3416">
      <c r="N3416" s="5"/>
    </row>
    <row r="3417">
      <c r="N3417" s="5"/>
    </row>
    <row r="3418">
      <c r="N3418" s="5"/>
    </row>
    <row r="3419">
      <c r="N3419" s="5"/>
    </row>
    <row r="3420">
      <c r="N3420" s="5"/>
    </row>
    <row r="3421">
      <c r="N3421" s="5"/>
    </row>
    <row r="3422">
      <c r="N3422" s="5"/>
    </row>
    <row r="3423">
      <c r="N3423" s="5"/>
    </row>
    <row r="3424">
      <c r="N3424" s="5"/>
    </row>
    <row r="3425">
      <c r="N3425" s="5"/>
    </row>
    <row r="3426">
      <c r="N3426" s="5"/>
    </row>
    <row r="3427">
      <c r="N3427" s="5"/>
    </row>
    <row r="3428">
      <c r="N3428" s="5"/>
    </row>
    <row r="3429">
      <c r="N3429" s="5"/>
    </row>
    <row r="3430">
      <c r="N3430" s="5"/>
    </row>
    <row r="3431">
      <c r="N3431" s="5"/>
    </row>
    <row r="3432">
      <c r="N3432" s="5"/>
    </row>
    <row r="3433">
      <c r="N3433" s="5"/>
    </row>
    <row r="3434">
      <c r="N3434" s="5"/>
    </row>
    <row r="3435">
      <c r="N3435" s="5"/>
    </row>
    <row r="3436">
      <c r="N3436" s="5"/>
    </row>
    <row r="3437">
      <c r="N3437" s="5"/>
    </row>
    <row r="3438">
      <c r="N3438" s="5"/>
    </row>
    <row r="3439">
      <c r="N3439" s="5"/>
    </row>
    <row r="3440">
      <c r="N3440" s="5"/>
    </row>
    <row r="3441">
      <c r="N3441" s="5"/>
    </row>
    <row r="3442">
      <c r="N3442" s="5"/>
    </row>
    <row r="3443">
      <c r="N3443" s="5"/>
    </row>
    <row r="3444">
      <c r="N3444" s="5"/>
    </row>
    <row r="3445">
      <c r="N3445" s="5"/>
    </row>
    <row r="3446">
      <c r="N3446" s="5"/>
    </row>
    <row r="3447">
      <c r="N3447" s="5"/>
    </row>
    <row r="3448">
      <c r="N3448" s="5"/>
    </row>
    <row r="3449">
      <c r="N3449" s="5"/>
    </row>
    <row r="3450">
      <c r="N3450" s="5"/>
    </row>
    <row r="3451">
      <c r="N3451" s="5"/>
    </row>
    <row r="3452">
      <c r="N3452" s="5"/>
    </row>
    <row r="3453">
      <c r="N3453" s="5"/>
    </row>
    <row r="3454">
      <c r="N3454" s="5"/>
    </row>
    <row r="3455">
      <c r="N3455" s="5"/>
    </row>
    <row r="3456">
      <c r="N3456" s="5"/>
    </row>
    <row r="3457">
      <c r="N3457" s="5"/>
    </row>
    <row r="3458">
      <c r="N3458" s="5"/>
    </row>
    <row r="3459">
      <c r="N3459" s="5"/>
    </row>
    <row r="3460">
      <c r="N3460" s="5"/>
    </row>
    <row r="3461">
      <c r="N3461" s="5"/>
    </row>
    <row r="3462">
      <c r="N3462" s="5"/>
    </row>
    <row r="3463">
      <c r="N3463" s="5"/>
    </row>
    <row r="3464">
      <c r="N3464" s="5"/>
    </row>
    <row r="3465">
      <c r="N3465" s="5"/>
    </row>
    <row r="3466">
      <c r="N3466" s="5"/>
    </row>
    <row r="3467">
      <c r="N3467" s="5"/>
    </row>
    <row r="3468">
      <c r="N3468" s="5"/>
    </row>
    <row r="3469">
      <c r="N3469" s="5"/>
    </row>
    <row r="3470">
      <c r="N3470" s="5"/>
    </row>
    <row r="3471">
      <c r="N3471" s="5"/>
    </row>
    <row r="3472">
      <c r="N3472" s="5"/>
    </row>
    <row r="3473">
      <c r="N3473" s="5"/>
    </row>
    <row r="3474">
      <c r="N3474" s="5"/>
    </row>
    <row r="3475">
      <c r="N3475" s="5"/>
    </row>
    <row r="3476">
      <c r="N3476" s="5"/>
    </row>
    <row r="3477">
      <c r="N3477" s="5"/>
    </row>
    <row r="3478">
      <c r="N3478" s="5"/>
    </row>
    <row r="3479">
      <c r="N3479" s="5"/>
    </row>
    <row r="3480">
      <c r="N3480" s="5"/>
    </row>
    <row r="3481">
      <c r="N3481" s="5"/>
    </row>
    <row r="3482">
      <c r="N3482" s="5"/>
    </row>
    <row r="3483">
      <c r="N3483" s="5"/>
    </row>
    <row r="3484">
      <c r="N3484" s="5"/>
    </row>
    <row r="3485">
      <c r="N3485" s="5"/>
    </row>
    <row r="3486">
      <c r="N3486" s="5"/>
    </row>
    <row r="3487">
      <c r="N3487" s="5"/>
    </row>
    <row r="3488">
      <c r="N3488" s="5"/>
    </row>
    <row r="3489">
      <c r="N3489" s="5"/>
    </row>
    <row r="3490">
      <c r="N3490" s="5"/>
    </row>
    <row r="3491">
      <c r="N3491" s="5"/>
    </row>
    <row r="3492">
      <c r="N3492" s="5"/>
    </row>
    <row r="3493">
      <c r="N3493" s="5"/>
    </row>
    <row r="3494">
      <c r="N3494" s="5"/>
    </row>
    <row r="3495">
      <c r="N3495" s="5"/>
    </row>
    <row r="3496">
      <c r="N3496" s="5"/>
    </row>
    <row r="3497">
      <c r="N3497" s="5"/>
    </row>
    <row r="3498">
      <c r="N3498" s="5"/>
    </row>
    <row r="3499">
      <c r="N3499" s="5"/>
    </row>
    <row r="3500">
      <c r="N3500" s="5"/>
    </row>
    <row r="3501">
      <c r="N3501" s="5"/>
    </row>
    <row r="3502">
      <c r="N3502" s="5"/>
    </row>
    <row r="3503">
      <c r="N3503" s="5"/>
    </row>
    <row r="3504">
      <c r="N3504" s="5"/>
    </row>
    <row r="3505">
      <c r="N3505" s="5"/>
    </row>
    <row r="3506">
      <c r="N3506" s="5"/>
    </row>
    <row r="3507">
      <c r="N3507" s="5"/>
    </row>
    <row r="3508">
      <c r="N3508" s="5"/>
    </row>
    <row r="3509">
      <c r="N3509" s="5"/>
    </row>
    <row r="3510">
      <c r="N3510" s="5"/>
    </row>
    <row r="3511">
      <c r="N3511" s="5"/>
    </row>
    <row r="3512">
      <c r="N3512" s="5"/>
    </row>
    <row r="3513">
      <c r="N3513" s="5"/>
    </row>
    <row r="3514">
      <c r="N3514" s="5"/>
    </row>
    <row r="3515">
      <c r="N3515" s="5"/>
    </row>
    <row r="3516">
      <c r="N3516" s="5"/>
    </row>
    <row r="3517">
      <c r="N3517" s="5"/>
    </row>
    <row r="3518">
      <c r="N3518" s="5"/>
    </row>
    <row r="3519">
      <c r="N3519" s="5"/>
    </row>
    <row r="3520">
      <c r="N3520" s="5"/>
    </row>
    <row r="3521">
      <c r="N3521" s="5"/>
    </row>
    <row r="3522">
      <c r="N3522" s="5"/>
    </row>
    <row r="3523">
      <c r="N3523" s="5"/>
    </row>
    <row r="3524">
      <c r="N3524" s="5"/>
    </row>
    <row r="3525">
      <c r="N3525" s="5"/>
    </row>
    <row r="3526">
      <c r="N3526" s="5"/>
    </row>
    <row r="3527">
      <c r="N3527" s="5"/>
    </row>
    <row r="3528">
      <c r="N3528" s="5"/>
    </row>
    <row r="3529">
      <c r="N3529" s="5"/>
    </row>
    <row r="3530">
      <c r="N3530" s="5"/>
    </row>
    <row r="3531">
      <c r="N3531" s="5"/>
    </row>
    <row r="3532">
      <c r="N3532" s="5"/>
    </row>
    <row r="3533">
      <c r="N3533" s="5"/>
    </row>
    <row r="3534">
      <c r="N3534" s="5"/>
    </row>
    <row r="3535">
      <c r="N3535" s="5"/>
    </row>
    <row r="3536">
      <c r="N3536" s="5"/>
    </row>
    <row r="3537">
      <c r="N3537" s="5"/>
    </row>
    <row r="3538">
      <c r="N3538" s="5"/>
    </row>
    <row r="3539">
      <c r="N3539" s="5"/>
    </row>
    <row r="3540">
      <c r="N3540" s="5"/>
    </row>
    <row r="3541">
      <c r="N3541" s="5"/>
    </row>
    <row r="3542">
      <c r="N3542" s="5"/>
    </row>
    <row r="3543">
      <c r="N3543" s="5"/>
    </row>
    <row r="3544">
      <c r="N3544" s="5"/>
    </row>
    <row r="3545">
      <c r="N3545" s="5"/>
    </row>
    <row r="3546">
      <c r="N3546" s="5"/>
    </row>
    <row r="3547">
      <c r="N3547" s="5"/>
    </row>
    <row r="3548">
      <c r="N3548" s="5"/>
    </row>
    <row r="3549">
      <c r="N3549" s="5"/>
    </row>
    <row r="3550">
      <c r="N3550" s="5"/>
    </row>
    <row r="3551">
      <c r="N3551" s="5"/>
    </row>
    <row r="3552">
      <c r="N3552" s="5"/>
    </row>
    <row r="3553">
      <c r="N3553" s="5"/>
    </row>
    <row r="3554">
      <c r="N3554" s="5"/>
    </row>
    <row r="3555">
      <c r="N3555" s="5"/>
    </row>
    <row r="3556">
      <c r="N3556" s="5"/>
    </row>
    <row r="3557">
      <c r="N3557" s="5"/>
    </row>
    <row r="3558">
      <c r="N3558" s="5"/>
    </row>
    <row r="3559">
      <c r="N3559" s="5"/>
    </row>
    <row r="3560">
      <c r="N3560" s="5"/>
    </row>
    <row r="3561">
      <c r="N3561" s="5"/>
    </row>
    <row r="3562">
      <c r="N3562" s="5"/>
    </row>
    <row r="3563">
      <c r="N3563" s="5"/>
    </row>
    <row r="3564">
      <c r="N3564" s="5"/>
    </row>
    <row r="3565">
      <c r="N3565" s="5"/>
    </row>
    <row r="3566">
      <c r="N3566" s="5"/>
    </row>
    <row r="3567">
      <c r="N3567" s="5"/>
    </row>
    <row r="3568">
      <c r="N3568" s="5"/>
    </row>
    <row r="3569">
      <c r="N3569" s="5"/>
    </row>
    <row r="3570">
      <c r="N3570" s="5"/>
    </row>
    <row r="3571">
      <c r="N3571" s="5"/>
    </row>
    <row r="3572">
      <c r="N3572" s="5"/>
    </row>
    <row r="3573">
      <c r="N3573" s="5"/>
    </row>
    <row r="3574">
      <c r="N3574" s="5"/>
    </row>
    <row r="3575">
      <c r="N3575" s="5"/>
    </row>
    <row r="3576">
      <c r="N3576" s="5"/>
    </row>
    <row r="3577">
      <c r="N3577" s="5"/>
    </row>
    <row r="3578">
      <c r="N3578" s="5"/>
    </row>
    <row r="3579">
      <c r="N3579" s="5"/>
    </row>
    <row r="3580">
      <c r="N3580" s="5"/>
    </row>
    <row r="3581">
      <c r="N3581" s="5"/>
    </row>
    <row r="3582">
      <c r="N3582" s="5"/>
    </row>
    <row r="3583">
      <c r="N3583" s="5"/>
    </row>
    <row r="3584">
      <c r="N3584" s="5"/>
    </row>
    <row r="3585">
      <c r="N3585" s="5"/>
    </row>
    <row r="3586">
      <c r="N3586" s="5"/>
    </row>
    <row r="3587">
      <c r="N3587" s="5"/>
    </row>
    <row r="3588">
      <c r="N3588" s="5"/>
    </row>
    <row r="3589">
      <c r="N3589" s="5"/>
    </row>
    <row r="3590">
      <c r="N3590" s="5"/>
    </row>
    <row r="3591">
      <c r="N3591" s="5"/>
    </row>
    <row r="3592">
      <c r="N3592" s="5"/>
    </row>
    <row r="3593">
      <c r="N3593" s="5"/>
    </row>
    <row r="3594">
      <c r="N3594" s="5"/>
    </row>
    <row r="3595">
      <c r="N3595" s="5"/>
    </row>
    <row r="3596">
      <c r="N3596" s="5"/>
    </row>
    <row r="3597">
      <c r="N3597" s="5"/>
    </row>
    <row r="3598">
      <c r="N3598" s="5"/>
    </row>
    <row r="3599">
      <c r="N3599" s="5"/>
    </row>
    <row r="3600">
      <c r="N3600" s="5"/>
    </row>
    <row r="3601">
      <c r="N3601" s="5"/>
    </row>
    <row r="3602">
      <c r="N3602" s="5"/>
    </row>
    <row r="3603">
      <c r="N3603" s="5"/>
    </row>
    <row r="3604">
      <c r="N3604" s="5"/>
    </row>
    <row r="3605">
      <c r="N3605" s="5"/>
    </row>
    <row r="3606">
      <c r="N3606" s="5"/>
    </row>
    <row r="3607">
      <c r="N3607" s="5"/>
    </row>
    <row r="3608">
      <c r="N3608" s="5"/>
    </row>
    <row r="3609">
      <c r="N3609" s="5"/>
    </row>
    <row r="3610">
      <c r="N3610" s="5"/>
    </row>
    <row r="3611">
      <c r="N3611" s="5"/>
    </row>
    <row r="3612">
      <c r="N3612" s="5"/>
    </row>
    <row r="3613">
      <c r="N3613" s="5"/>
    </row>
    <row r="3614">
      <c r="N3614" s="5"/>
    </row>
    <row r="3615">
      <c r="N3615" s="5"/>
    </row>
    <row r="3616">
      <c r="N3616" s="5"/>
    </row>
    <row r="3617">
      <c r="N3617" s="5"/>
    </row>
    <row r="3618">
      <c r="N3618" s="5"/>
    </row>
    <row r="3619">
      <c r="N3619" s="5"/>
    </row>
    <row r="3620">
      <c r="N3620" s="5"/>
    </row>
    <row r="3621">
      <c r="N3621" s="5"/>
    </row>
    <row r="3622">
      <c r="N3622" s="5"/>
    </row>
    <row r="3623">
      <c r="N3623" s="5"/>
    </row>
    <row r="3624">
      <c r="N3624" s="5"/>
    </row>
    <row r="3625">
      <c r="N3625" s="5"/>
    </row>
    <row r="3626">
      <c r="N3626" s="5"/>
    </row>
    <row r="3627">
      <c r="N3627" s="5"/>
    </row>
    <row r="3628">
      <c r="N3628" s="5"/>
    </row>
    <row r="3629">
      <c r="N3629" s="5"/>
    </row>
    <row r="3630">
      <c r="N3630" s="5"/>
    </row>
    <row r="3631">
      <c r="N3631" s="5"/>
    </row>
    <row r="3632">
      <c r="N3632" s="5"/>
    </row>
    <row r="3633">
      <c r="N3633" s="5"/>
    </row>
    <row r="3634">
      <c r="N3634" s="5"/>
    </row>
    <row r="3635">
      <c r="N3635" s="5"/>
    </row>
    <row r="3636">
      <c r="N3636" s="5"/>
    </row>
    <row r="3637">
      <c r="N3637" s="5"/>
    </row>
    <row r="3638">
      <c r="N3638" s="5"/>
    </row>
    <row r="3639">
      <c r="N3639" s="5"/>
    </row>
    <row r="3640">
      <c r="N3640" s="5"/>
    </row>
    <row r="3641">
      <c r="N3641" s="5"/>
    </row>
    <row r="3642">
      <c r="N3642" s="5"/>
    </row>
    <row r="3643">
      <c r="N3643" s="5"/>
    </row>
    <row r="3644">
      <c r="N3644" s="5"/>
    </row>
    <row r="3645">
      <c r="N3645" s="5"/>
    </row>
    <row r="3646">
      <c r="N3646" s="5"/>
    </row>
    <row r="3647">
      <c r="N3647" s="5"/>
    </row>
    <row r="3648">
      <c r="N3648" s="5"/>
    </row>
    <row r="3649">
      <c r="N3649" s="5"/>
    </row>
    <row r="3650">
      <c r="N3650" s="5"/>
    </row>
    <row r="3651">
      <c r="N3651" s="5"/>
    </row>
    <row r="3652">
      <c r="N3652" s="5"/>
    </row>
    <row r="3653">
      <c r="N3653" s="5"/>
    </row>
    <row r="3654">
      <c r="N3654" s="5"/>
    </row>
    <row r="3655">
      <c r="N3655" s="5"/>
    </row>
    <row r="3656">
      <c r="N3656" s="5"/>
    </row>
    <row r="3657">
      <c r="N3657" s="5"/>
    </row>
    <row r="3658">
      <c r="N3658" s="5"/>
    </row>
    <row r="3659">
      <c r="N3659" s="5"/>
    </row>
    <row r="3660">
      <c r="N3660" s="5"/>
    </row>
    <row r="3661">
      <c r="N3661" s="5"/>
    </row>
    <row r="3662">
      <c r="N3662" s="5"/>
    </row>
    <row r="3663">
      <c r="N3663" s="5"/>
    </row>
    <row r="3664">
      <c r="N3664" s="5"/>
    </row>
    <row r="3665">
      <c r="N3665" s="5"/>
    </row>
    <row r="3666">
      <c r="N3666" s="5"/>
    </row>
    <row r="3667">
      <c r="N3667" s="5"/>
    </row>
    <row r="3668">
      <c r="N3668" s="5"/>
    </row>
    <row r="3669">
      <c r="N3669" s="5"/>
    </row>
    <row r="3670">
      <c r="N3670" s="5"/>
    </row>
    <row r="3671">
      <c r="N3671" s="5"/>
    </row>
    <row r="3672">
      <c r="N3672" s="5"/>
    </row>
    <row r="3673">
      <c r="N3673" s="5"/>
    </row>
    <row r="3674">
      <c r="N3674" s="5"/>
    </row>
    <row r="3675">
      <c r="N3675" s="5"/>
    </row>
    <row r="3676">
      <c r="N3676" s="5"/>
    </row>
    <row r="3677">
      <c r="N3677" s="5"/>
    </row>
    <row r="3678">
      <c r="N3678" s="5"/>
    </row>
    <row r="3679">
      <c r="N3679" s="5"/>
    </row>
    <row r="3680">
      <c r="N3680" s="5"/>
    </row>
    <row r="3681">
      <c r="N3681" s="5"/>
    </row>
    <row r="3682">
      <c r="N3682" s="5"/>
    </row>
    <row r="3683">
      <c r="N3683" s="5"/>
    </row>
    <row r="3684">
      <c r="N3684" s="5"/>
    </row>
    <row r="3685">
      <c r="N3685" s="5"/>
    </row>
    <row r="3686">
      <c r="N3686" s="5"/>
    </row>
    <row r="3687">
      <c r="N3687" s="5"/>
    </row>
    <row r="3688">
      <c r="N3688" s="5"/>
    </row>
    <row r="3689">
      <c r="N3689" s="5"/>
    </row>
    <row r="3690">
      <c r="N3690" s="5"/>
    </row>
    <row r="3691">
      <c r="N3691" s="5"/>
    </row>
    <row r="3692">
      <c r="N3692" s="5"/>
    </row>
    <row r="3693">
      <c r="N3693" s="5"/>
    </row>
    <row r="3694">
      <c r="N3694" s="5"/>
    </row>
    <row r="3695">
      <c r="N3695" s="5"/>
    </row>
    <row r="3696">
      <c r="N3696" s="5"/>
    </row>
    <row r="3697">
      <c r="N3697" s="5"/>
    </row>
    <row r="3698">
      <c r="N3698" s="5"/>
    </row>
    <row r="3699">
      <c r="N3699" s="5"/>
    </row>
    <row r="3700">
      <c r="N3700" s="5"/>
    </row>
    <row r="3701">
      <c r="N3701" s="5"/>
    </row>
    <row r="3702">
      <c r="N3702" s="5"/>
    </row>
    <row r="3703">
      <c r="N3703" s="5"/>
    </row>
    <row r="3704">
      <c r="N3704" s="5"/>
    </row>
    <row r="3705">
      <c r="N3705" s="5"/>
    </row>
    <row r="3706">
      <c r="N3706" s="5"/>
    </row>
    <row r="3707">
      <c r="N3707" s="5"/>
    </row>
    <row r="3708">
      <c r="N3708" s="5"/>
    </row>
    <row r="3709">
      <c r="N3709" s="5"/>
    </row>
    <row r="3710">
      <c r="N3710" s="5"/>
    </row>
    <row r="3711">
      <c r="N3711" s="5"/>
    </row>
    <row r="3712">
      <c r="N3712" s="5"/>
    </row>
    <row r="3713">
      <c r="N3713" s="5"/>
    </row>
    <row r="3714">
      <c r="N3714" s="5"/>
    </row>
    <row r="3715">
      <c r="N3715" s="5"/>
    </row>
    <row r="3716">
      <c r="N3716" s="5"/>
    </row>
    <row r="3717">
      <c r="N3717" s="5"/>
    </row>
    <row r="3718">
      <c r="N3718" s="5"/>
    </row>
    <row r="3719">
      <c r="N3719" s="5"/>
    </row>
    <row r="3720">
      <c r="N3720" s="5"/>
    </row>
    <row r="3721">
      <c r="N3721" s="5"/>
    </row>
    <row r="3722">
      <c r="N3722" s="5"/>
    </row>
    <row r="3723">
      <c r="N3723" s="5"/>
    </row>
    <row r="3724">
      <c r="N3724" s="5"/>
    </row>
    <row r="3725">
      <c r="N3725" s="5"/>
    </row>
    <row r="3726">
      <c r="N3726" s="5"/>
    </row>
    <row r="3727">
      <c r="N3727" s="5"/>
    </row>
    <row r="3728">
      <c r="N3728" s="5"/>
    </row>
    <row r="3729">
      <c r="N3729" s="5"/>
    </row>
    <row r="3730">
      <c r="N3730" s="5"/>
    </row>
    <row r="3731">
      <c r="N3731" s="5"/>
    </row>
    <row r="3732">
      <c r="N3732" s="5"/>
    </row>
    <row r="3733">
      <c r="N3733" s="5"/>
    </row>
    <row r="3734">
      <c r="N3734" s="5"/>
    </row>
    <row r="3735">
      <c r="N3735" s="5"/>
    </row>
    <row r="3736">
      <c r="N3736" s="5"/>
    </row>
    <row r="3737">
      <c r="N3737" s="5"/>
    </row>
    <row r="3738">
      <c r="N3738" s="5"/>
    </row>
    <row r="3739">
      <c r="N3739" s="5"/>
    </row>
    <row r="3740">
      <c r="N3740" s="5"/>
    </row>
    <row r="3741">
      <c r="N3741" s="5"/>
    </row>
    <row r="3742">
      <c r="N3742" s="5"/>
    </row>
    <row r="3743">
      <c r="N3743" s="5"/>
    </row>
    <row r="3744">
      <c r="N3744" s="5"/>
    </row>
    <row r="3745">
      <c r="N3745" s="5"/>
    </row>
    <row r="3746">
      <c r="N3746" s="5"/>
    </row>
    <row r="3747">
      <c r="N3747" s="5"/>
    </row>
    <row r="3748">
      <c r="N3748" s="5"/>
    </row>
    <row r="3749">
      <c r="N3749" s="5"/>
    </row>
    <row r="3750">
      <c r="N3750" s="5"/>
    </row>
    <row r="3751">
      <c r="N3751" s="5"/>
    </row>
    <row r="3752">
      <c r="N3752" s="5"/>
    </row>
    <row r="3753">
      <c r="N3753" s="5"/>
    </row>
    <row r="3754">
      <c r="N3754" s="5"/>
    </row>
    <row r="3755">
      <c r="N3755" s="5"/>
    </row>
    <row r="3756">
      <c r="N3756" s="5"/>
    </row>
    <row r="3757">
      <c r="N3757" s="5"/>
    </row>
    <row r="3758">
      <c r="N3758" s="5"/>
    </row>
    <row r="3759">
      <c r="N3759" s="5"/>
    </row>
    <row r="3760">
      <c r="N3760" s="5"/>
    </row>
    <row r="3761">
      <c r="N3761" s="5"/>
    </row>
    <row r="3762">
      <c r="N3762" s="5"/>
    </row>
    <row r="3763">
      <c r="N3763" s="5"/>
    </row>
    <row r="3764">
      <c r="N3764" s="5"/>
    </row>
    <row r="3765">
      <c r="N3765" s="5"/>
    </row>
    <row r="3766">
      <c r="N3766" s="5"/>
    </row>
    <row r="3767">
      <c r="N3767" s="5"/>
    </row>
    <row r="3768">
      <c r="N3768" s="5"/>
    </row>
    <row r="3769">
      <c r="N3769" s="5"/>
    </row>
    <row r="3770">
      <c r="N3770" s="5"/>
    </row>
    <row r="3771">
      <c r="N3771" s="5"/>
    </row>
    <row r="3772">
      <c r="N3772" s="5"/>
    </row>
    <row r="3773">
      <c r="N3773" s="5"/>
    </row>
    <row r="3774">
      <c r="N3774" s="5"/>
    </row>
    <row r="3775">
      <c r="N3775" s="5"/>
    </row>
    <row r="3776">
      <c r="N3776" s="5"/>
    </row>
    <row r="3777">
      <c r="N3777" s="5"/>
    </row>
    <row r="3778">
      <c r="N3778" s="5"/>
    </row>
    <row r="3779">
      <c r="N3779" s="5"/>
    </row>
    <row r="3780">
      <c r="N3780" s="5"/>
    </row>
    <row r="3781">
      <c r="N3781" s="5"/>
    </row>
    <row r="3782">
      <c r="N3782" s="5"/>
    </row>
    <row r="3783">
      <c r="N3783" s="5"/>
    </row>
    <row r="3784">
      <c r="N3784" s="5"/>
    </row>
    <row r="3785">
      <c r="N3785" s="5"/>
    </row>
    <row r="3786">
      <c r="N3786" s="5"/>
    </row>
    <row r="3787">
      <c r="N3787" s="5"/>
    </row>
    <row r="3788">
      <c r="N3788" s="5"/>
    </row>
    <row r="3789">
      <c r="N3789" s="5"/>
    </row>
    <row r="3790">
      <c r="N3790" s="5"/>
    </row>
    <row r="3791">
      <c r="N3791" s="5"/>
    </row>
    <row r="3792">
      <c r="N3792" s="5"/>
    </row>
    <row r="3793">
      <c r="N3793" s="5"/>
    </row>
    <row r="3794">
      <c r="N3794" s="5"/>
    </row>
    <row r="3795">
      <c r="N3795" s="5"/>
    </row>
    <row r="3796">
      <c r="N3796" s="5"/>
    </row>
    <row r="3797">
      <c r="N3797" s="5"/>
    </row>
    <row r="3798">
      <c r="N3798" s="5"/>
    </row>
    <row r="3799">
      <c r="N3799" s="5"/>
    </row>
    <row r="3800">
      <c r="N3800" s="5"/>
    </row>
    <row r="3801">
      <c r="N3801" s="5"/>
    </row>
    <row r="3802">
      <c r="N3802" s="5"/>
    </row>
    <row r="3803">
      <c r="N3803" s="5"/>
    </row>
    <row r="3804">
      <c r="N3804" s="5"/>
    </row>
    <row r="3805">
      <c r="N3805" s="5"/>
    </row>
    <row r="3806">
      <c r="N3806" s="5"/>
    </row>
    <row r="3807">
      <c r="N3807" s="5"/>
    </row>
    <row r="3808">
      <c r="N3808" s="5"/>
    </row>
    <row r="3809">
      <c r="N3809" s="5"/>
    </row>
    <row r="3810">
      <c r="N3810" s="5"/>
    </row>
    <row r="3811">
      <c r="N3811" s="5"/>
    </row>
    <row r="3812">
      <c r="N3812" s="5"/>
    </row>
    <row r="3813">
      <c r="N3813" s="5"/>
    </row>
    <row r="3814">
      <c r="N3814" s="5"/>
    </row>
    <row r="3815">
      <c r="N3815" s="5"/>
    </row>
    <row r="3816">
      <c r="N3816" s="5"/>
    </row>
    <row r="3817">
      <c r="N3817" s="5"/>
    </row>
    <row r="3818">
      <c r="N3818" s="5"/>
    </row>
    <row r="3819">
      <c r="N3819" s="5"/>
    </row>
    <row r="3820">
      <c r="N3820" s="5"/>
    </row>
    <row r="3821">
      <c r="N3821" s="5"/>
    </row>
    <row r="3822">
      <c r="N3822" s="5"/>
    </row>
    <row r="3823">
      <c r="N3823" s="5"/>
    </row>
    <row r="3824">
      <c r="N3824" s="5"/>
    </row>
    <row r="3825">
      <c r="N3825" s="5"/>
    </row>
    <row r="3826">
      <c r="N3826" s="5"/>
    </row>
    <row r="3827">
      <c r="N3827" s="5"/>
    </row>
    <row r="3828">
      <c r="N3828" s="5"/>
    </row>
    <row r="3829">
      <c r="N3829" s="5"/>
    </row>
    <row r="3830">
      <c r="N3830" s="5"/>
    </row>
    <row r="3831">
      <c r="N3831" s="5"/>
    </row>
    <row r="3832">
      <c r="N3832" s="5"/>
    </row>
    <row r="3833">
      <c r="N3833" s="5"/>
    </row>
    <row r="3834">
      <c r="N3834" s="5"/>
    </row>
    <row r="3835">
      <c r="N3835" s="5"/>
    </row>
    <row r="3836">
      <c r="N3836" s="5"/>
    </row>
    <row r="3837">
      <c r="N3837" s="5"/>
    </row>
    <row r="3838">
      <c r="N3838" s="5"/>
    </row>
    <row r="3839">
      <c r="N3839" s="5"/>
    </row>
    <row r="3840">
      <c r="N3840" s="5"/>
    </row>
    <row r="3841">
      <c r="N3841" s="5"/>
    </row>
    <row r="3842">
      <c r="N3842" s="5"/>
    </row>
    <row r="3843">
      <c r="N3843" s="5"/>
    </row>
    <row r="3844">
      <c r="N3844" s="5"/>
    </row>
    <row r="3845">
      <c r="N3845" s="5"/>
    </row>
    <row r="3846">
      <c r="N3846" s="5"/>
    </row>
    <row r="3847">
      <c r="N3847" s="5"/>
    </row>
    <row r="3848">
      <c r="N3848" s="5"/>
    </row>
    <row r="3849">
      <c r="N3849" s="5"/>
    </row>
    <row r="3850">
      <c r="N3850" s="5"/>
    </row>
    <row r="3851">
      <c r="N3851" s="5"/>
    </row>
    <row r="3852">
      <c r="N3852" s="5"/>
    </row>
    <row r="3853">
      <c r="N3853" s="5"/>
    </row>
    <row r="3854">
      <c r="N3854" s="5"/>
    </row>
    <row r="3855">
      <c r="N3855" s="5"/>
    </row>
    <row r="3856">
      <c r="N3856" s="5"/>
    </row>
    <row r="3857">
      <c r="N3857" s="5"/>
    </row>
    <row r="3858">
      <c r="N3858" s="5"/>
    </row>
    <row r="3859">
      <c r="N3859" s="5"/>
    </row>
    <row r="3860">
      <c r="N3860" s="5"/>
    </row>
    <row r="3861">
      <c r="N3861" s="5"/>
    </row>
    <row r="3862">
      <c r="N3862" s="5"/>
    </row>
    <row r="3863">
      <c r="N3863" s="5"/>
    </row>
    <row r="3864">
      <c r="N3864" s="5"/>
    </row>
    <row r="3865">
      <c r="N3865" s="5"/>
    </row>
    <row r="3866">
      <c r="N3866" s="5"/>
    </row>
    <row r="3867">
      <c r="N3867" s="5"/>
    </row>
    <row r="3868">
      <c r="N3868" s="5"/>
    </row>
    <row r="3869">
      <c r="N3869" s="5"/>
    </row>
    <row r="3870">
      <c r="N3870" s="5"/>
    </row>
    <row r="3871">
      <c r="N3871" s="5"/>
    </row>
    <row r="3872">
      <c r="N3872" s="5"/>
    </row>
    <row r="3873">
      <c r="N3873" s="5"/>
    </row>
    <row r="3874">
      <c r="N3874" s="5"/>
    </row>
    <row r="3875">
      <c r="N3875" s="5"/>
    </row>
    <row r="3876">
      <c r="N3876" s="5"/>
    </row>
    <row r="3877">
      <c r="N3877" s="5"/>
    </row>
    <row r="3878">
      <c r="N3878" s="5"/>
    </row>
    <row r="3879">
      <c r="N3879" s="5"/>
    </row>
    <row r="3880">
      <c r="N3880" s="5"/>
    </row>
    <row r="3881">
      <c r="N3881" s="5"/>
    </row>
    <row r="3882">
      <c r="N3882" s="5"/>
    </row>
    <row r="3883">
      <c r="N3883" s="5"/>
    </row>
    <row r="3884">
      <c r="N3884" s="5"/>
    </row>
    <row r="3885">
      <c r="N3885" s="5"/>
    </row>
    <row r="3886">
      <c r="N3886" s="5"/>
    </row>
    <row r="3887">
      <c r="N3887" s="5"/>
    </row>
    <row r="3888">
      <c r="N3888" s="5"/>
    </row>
    <row r="3889">
      <c r="N3889" s="5"/>
    </row>
    <row r="3890">
      <c r="N3890" s="5"/>
    </row>
    <row r="3891">
      <c r="N3891" s="5"/>
    </row>
    <row r="3892">
      <c r="N3892" s="5"/>
    </row>
    <row r="3893">
      <c r="N3893" s="5"/>
    </row>
    <row r="3894">
      <c r="N3894" s="5"/>
    </row>
    <row r="3895">
      <c r="N3895" s="5"/>
    </row>
    <row r="3896">
      <c r="N3896" s="5"/>
    </row>
    <row r="3897">
      <c r="N3897" s="5"/>
    </row>
    <row r="3898">
      <c r="N3898" s="5"/>
    </row>
    <row r="3899">
      <c r="N3899" s="5"/>
    </row>
    <row r="3900">
      <c r="N3900" s="5"/>
    </row>
    <row r="3901">
      <c r="N3901" s="5"/>
    </row>
    <row r="3902">
      <c r="N3902" s="5"/>
    </row>
    <row r="3903">
      <c r="N3903" s="5"/>
    </row>
    <row r="3904">
      <c r="N3904" s="5"/>
    </row>
    <row r="3905">
      <c r="N3905" s="5"/>
    </row>
    <row r="3906">
      <c r="N3906" s="5"/>
    </row>
    <row r="3907">
      <c r="N3907" s="5"/>
    </row>
    <row r="3908">
      <c r="N3908" s="5"/>
    </row>
    <row r="3909">
      <c r="N3909" s="5"/>
    </row>
    <row r="3910">
      <c r="N3910" s="5"/>
    </row>
    <row r="3911">
      <c r="N3911" s="5"/>
    </row>
    <row r="3912">
      <c r="N3912" s="5"/>
    </row>
    <row r="3913">
      <c r="N3913" s="5"/>
    </row>
    <row r="3914">
      <c r="N3914" s="5"/>
    </row>
    <row r="3915">
      <c r="N3915" s="5"/>
    </row>
    <row r="3916">
      <c r="N3916" s="5"/>
    </row>
    <row r="3917">
      <c r="N3917" s="5"/>
    </row>
    <row r="3918">
      <c r="N3918" s="5"/>
    </row>
    <row r="3919">
      <c r="N3919" s="5"/>
    </row>
    <row r="3920">
      <c r="N3920" s="5"/>
    </row>
    <row r="3921">
      <c r="N3921" s="5"/>
    </row>
    <row r="3922">
      <c r="N3922" s="5"/>
    </row>
    <row r="3923">
      <c r="N3923" s="5"/>
    </row>
    <row r="3924">
      <c r="N3924" s="5"/>
    </row>
    <row r="3925">
      <c r="N3925" s="5"/>
    </row>
    <row r="3926">
      <c r="N3926" s="5"/>
    </row>
    <row r="3927">
      <c r="N3927" s="5"/>
    </row>
    <row r="3928">
      <c r="N3928" s="5"/>
    </row>
    <row r="3929">
      <c r="N3929" s="5"/>
    </row>
    <row r="3930">
      <c r="N3930" s="5"/>
    </row>
    <row r="3931">
      <c r="N3931" s="5"/>
    </row>
    <row r="3932">
      <c r="N3932" s="5"/>
    </row>
    <row r="3933">
      <c r="N3933" s="5"/>
    </row>
    <row r="3934">
      <c r="N3934" s="5"/>
    </row>
    <row r="3935">
      <c r="N3935" s="5"/>
    </row>
    <row r="3936">
      <c r="N3936" s="5"/>
    </row>
    <row r="3937">
      <c r="N3937" s="5"/>
    </row>
    <row r="3938">
      <c r="N3938" s="5"/>
    </row>
    <row r="3939">
      <c r="N3939" s="5"/>
    </row>
    <row r="3940">
      <c r="N3940" s="5"/>
    </row>
    <row r="3941">
      <c r="N3941" s="5"/>
    </row>
    <row r="3942">
      <c r="N3942" s="5"/>
    </row>
    <row r="3943">
      <c r="N3943" s="5"/>
    </row>
    <row r="3944">
      <c r="N3944" s="5"/>
    </row>
    <row r="3945">
      <c r="N3945" s="5"/>
    </row>
    <row r="3946">
      <c r="N3946" s="5"/>
    </row>
    <row r="3947">
      <c r="N3947" s="5"/>
    </row>
    <row r="3948">
      <c r="N3948" s="5"/>
    </row>
    <row r="3949">
      <c r="N3949" s="5"/>
    </row>
    <row r="3950">
      <c r="N3950" s="5"/>
    </row>
    <row r="3951">
      <c r="N3951" s="5"/>
    </row>
    <row r="3952">
      <c r="N3952" s="5"/>
    </row>
    <row r="3953">
      <c r="N3953" s="5"/>
    </row>
    <row r="3954">
      <c r="N3954" s="5"/>
    </row>
    <row r="3955">
      <c r="N3955" s="5"/>
    </row>
    <row r="3956">
      <c r="N3956" s="5"/>
    </row>
    <row r="3957">
      <c r="N3957" s="5"/>
    </row>
    <row r="3958">
      <c r="N3958" s="5"/>
    </row>
    <row r="3959">
      <c r="N3959" s="5"/>
    </row>
    <row r="3960">
      <c r="N3960" s="5"/>
    </row>
    <row r="3961">
      <c r="N3961" s="5"/>
    </row>
    <row r="3962">
      <c r="N3962" s="5"/>
    </row>
    <row r="3963">
      <c r="N3963" s="5"/>
    </row>
    <row r="3964">
      <c r="N3964" s="5"/>
    </row>
    <row r="3965">
      <c r="N3965" s="5"/>
    </row>
    <row r="3966">
      <c r="N3966" s="5"/>
    </row>
    <row r="3967">
      <c r="N3967" s="5"/>
    </row>
    <row r="3968">
      <c r="N3968" s="5"/>
    </row>
    <row r="3969">
      <c r="N3969" s="5"/>
    </row>
    <row r="3970">
      <c r="N3970" s="5"/>
    </row>
    <row r="3971">
      <c r="N3971" s="5"/>
    </row>
    <row r="3972">
      <c r="N3972" s="5"/>
    </row>
    <row r="3973">
      <c r="N3973" s="5"/>
    </row>
    <row r="3974">
      <c r="N3974" s="5"/>
    </row>
    <row r="3975">
      <c r="N3975" s="5"/>
    </row>
    <row r="3976">
      <c r="N3976" s="5"/>
    </row>
    <row r="3977">
      <c r="N3977" s="5"/>
    </row>
    <row r="3978">
      <c r="N3978" s="5"/>
    </row>
    <row r="3979">
      <c r="N3979" s="5"/>
    </row>
    <row r="3980">
      <c r="N3980" s="5"/>
    </row>
    <row r="3981">
      <c r="N3981" s="5"/>
    </row>
    <row r="3982">
      <c r="N3982" s="5"/>
    </row>
    <row r="3983">
      <c r="N3983" s="5"/>
    </row>
    <row r="3984">
      <c r="N3984" s="5"/>
    </row>
    <row r="3985">
      <c r="N3985" s="5"/>
    </row>
    <row r="3986">
      <c r="N3986" s="5"/>
    </row>
    <row r="3987">
      <c r="N3987" s="5"/>
    </row>
    <row r="3988">
      <c r="N3988" s="5"/>
    </row>
    <row r="3989">
      <c r="N3989" s="5"/>
    </row>
    <row r="3990">
      <c r="N3990" s="5"/>
    </row>
    <row r="3991">
      <c r="N3991" s="5"/>
    </row>
    <row r="3992">
      <c r="N3992" s="5"/>
    </row>
    <row r="3993">
      <c r="N3993" s="5"/>
    </row>
    <row r="3994">
      <c r="N3994" s="5"/>
    </row>
    <row r="3995">
      <c r="N3995" s="5"/>
    </row>
    <row r="3996">
      <c r="N3996" s="5"/>
    </row>
    <row r="3997">
      <c r="N3997" s="5"/>
    </row>
    <row r="3998">
      <c r="N3998" s="5"/>
    </row>
    <row r="3999">
      <c r="N3999" s="5"/>
    </row>
    <row r="4000">
      <c r="N4000" s="5"/>
    </row>
    <row r="4001">
      <c r="N4001" s="5"/>
    </row>
    <row r="4002">
      <c r="N4002" s="5"/>
    </row>
    <row r="4003">
      <c r="N4003" s="5"/>
    </row>
    <row r="4004">
      <c r="N4004" s="5"/>
    </row>
    <row r="4005">
      <c r="N4005" s="5"/>
    </row>
    <row r="4006">
      <c r="N4006" s="5"/>
    </row>
    <row r="4007">
      <c r="N4007" s="5"/>
    </row>
    <row r="4008">
      <c r="N4008" s="5"/>
    </row>
    <row r="4009">
      <c r="N4009" s="5"/>
    </row>
    <row r="4010">
      <c r="N4010" s="5"/>
    </row>
    <row r="4011">
      <c r="N4011" s="5"/>
    </row>
    <row r="4012">
      <c r="N4012" s="5"/>
    </row>
    <row r="4013">
      <c r="N4013" s="5"/>
    </row>
    <row r="4014">
      <c r="N4014" s="5"/>
    </row>
    <row r="4015">
      <c r="N4015" s="5"/>
    </row>
    <row r="4016">
      <c r="N4016" s="5"/>
    </row>
    <row r="4017">
      <c r="N4017" s="5"/>
    </row>
    <row r="4018">
      <c r="N4018" s="5"/>
    </row>
    <row r="4019">
      <c r="N4019" s="5"/>
    </row>
    <row r="4020">
      <c r="N4020" s="5"/>
    </row>
    <row r="4021">
      <c r="N4021" s="5"/>
    </row>
    <row r="4022">
      <c r="N4022" s="5"/>
    </row>
    <row r="4023">
      <c r="N4023" s="5"/>
    </row>
    <row r="4024">
      <c r="N4024" s="5"/>
    </row>
    <row r="4025">
      <c r="N4025" s="5"/>
    </row>
    <row r="4026">
      <c r="N4026" s="5"/>
    </row>
    <row r="4027">
      <c r="N4027" s="5"/>
    </row>
    <row r="4028">
      <c r="N4028" s="5"/>
    </row>
    <row r="4029">
      <c r="N4029" s="5"/>
    </row>
    <row r="4030">
      <c r="N4030" s="5"/>
    </row>
    <row r="4031">
      <c r="N4031" s="5"/>
    </row>
    <row r="4032">
      <c r="N4032" s="5"/>
    </row>
    <row r="4033">
      <c r="N4033" s="5"/>
    </row>
    <row r="4034">
      <c r="N4034" s="5"/>
    </row>
    <row r="4035">
      <c r="N4035" s="5"/>
    </row>
    <row r="4036">
      <c r="N4036" s="5"/>
    </row>
    <row r="4037">
      <c r="N4037" s="5"/>
    </row>
    <row r="4038">
      <c r="N4038" s="5"/>
    </row>
    <row r="4039">
      <c r="N4039" s="5"/>
    </row>
    <row r="4040">
      <c r="N4040" s="5"/>
    </row>
    <row r="4041">
      <c r="N4041" s="5"/>
    </row>
    <row r="4042">
      <c r="N4042" s="5"/>
    </row>
    <row r="4043">
      <c r="N4043" s="5"/>
    </row>
    <row r="4044">
      <c r="N4044" s="5"/>
    </row>
    <row r="4045">
      <c r="N4045" s="5"/>
    </row>
    <row r="4046">
      <c r="N4046" s="5"/>
    </row>
    <row r="4047">
      <c r="N4047" s="5"/>
    </row>
    <row r="4048">
      <c r="N4048" s="5"/>
    </row>
    <row r="4049">
      <c r="N4049" s="5"/>
    </row>
    <row r="4050">
      <c r="N4050" s="5"/>
    </row>
    <row r="4051">
      <c r="N4051" s="5"/>
    </row>
    <row r="4052">
      <c r="N4052" s="5"/>
    </row>
    <row r="4053">
      <c r="N4053" s="5"/>
    </row>
    <row r="4054">
      <c r="N4054" s="5"/>
    </row>
    <row r="4055">
      <c r="N4055" s="5"/>
    </row>
    <row r="4056">
      <c r="N4056" s="5"/>
    </row>
    <row r="4057">
      <c r="N4057" s="5"/>
    </row>
    <row r="4058">
      <c r="N4058" s="5"/>
    </row>
    <row r="4059">
      <c r="N4059" s="5"/>
    </row>
    <row r="4060">
      <c r="N4060" s="5"/>
    </row>
    <row r="4061">
      <c r="N4061" s="5"/>
    </row>
    <row r="4062">
      <c r="N4062" s="5"/>
    </row>
    <row r="4063">
      <c r="N4063" s="5"/>
    </row>
    <row r="4064">
      <c r="N4064" s="5"/>
    </row>
    <row r="4065">
      <c r="N4065" s="5"/>
    </row>
    <row r="4066">
      <c r="N4066" s="5"/>
    </row>
    <row r="4067">
      <c r="N4067" s="5"/>
    </row>
    <row r="4068">
      <c r="N4068" s="5"/>
    </row>
    <row r="4069">
      <c r="N4069" s="5"/>
    </row>
    <row r="4070">
      <c r="N4070" s="5"/>
    </row>
    <row r="4071">
      <c r="N4071" s="5"/>
    </row>
    <row r="4072">
      <c r="N4072" s="5"/>
    </row>
    <row r="4073">
      <c r="N4073" s="5"/>
    </row>
    <row r="4074">
      <c r="N4074" s="5"/>
    </row>
    <row r="4075">
      <c r="N4075" s="5"/>
    </row>
    <row r="4076">
      <c r="N4076" s="5"/>
    </row>
    <row r="4077">
      <c r="N4077" s="5"/>
    </row>
    <row r="4078">
      <c r="N4078" s="5"/>
    </row>
    <row r="4079">
      <c r="N4079" s="5"/>
    </row>
    <row r="4080">
      <c r="N4080" s="5"/>
    </row>
    <row r="4081">
      <c r="N4081" s="5"/>
    </row>
    <row r="4082">
      <c r="N4082" s="5"/>
    </row>
    <row r="4083">
      <c r="N4083" s="5"/>
    </row>
    <row r="4084">
      <c r="N4084" s="5"/>
    </row>
    <row r="4085">
      <c r="N4085" s="5"/>
    </row>
    <row r="4086">
      <c r="N4086" s="5"/>
    </row>
    <row r="4087">
      <c r="N4087" s="5"/>
    </row>
    <row r="4088">
      <c r="N4088" s="5"/>
    </row>
    <row r="4089">
      <c r="N4089" s="5"/>
    </row>
    <row r="4090">
      <c r="N4090" s="5"/>
    </row>
    <row r="4091">
      <c r="N4091" s="5"/>
    </row>
    <row r="4092">
      <c r="N4092" s="5"/>
    </row>
    <row r="4093">
      <c r="N4093" s="5"/>
    </row>
    <row r="4094">
      <c r="N4094" s="5"/>
    </row>
    <row r="4095">
      <c r="N4095" s="5"/>
    </row>
    <row r="4096">
      <c r="N4096" s="5"/>
    </row>
    <row r="4097">
      <c r="N4097" s="5"/>
    </row>
    <row r="4098">
      <c r="N4098" s="5"/>
    </row>
    <row r="4099">
      <c r="N4099" s="5"/>
    </row>
    <row r="4100">
      <c r="N4100" s="5"/>
    </row>
    <row r="4101">
      <c r="N4101" s="5"/>
    </row>
    <row r="4102">
      <c r="N4102" s="5"/>
    </row>
    <row r="4103">
      <c r="N4103" s="5"/>
    </row>
    <row r="4104">
      <c r="N4104" s="5"/>
    </row>
    <row r="4105">
      <c r="N4105" s="5"/>
    </row>
    <row r="4106">
      <c r="N4106" s="5"/>
    </row>
    <row r="4107">
      <c r="N4107" s="5"/>
    </row>
    <row r="4108">
      <c r="N4108" s="5"/>
    </row>
    <row r="4109">
      <c r="N4109" s="5"/>
    </row>
    <row r="4110">
      <c r="N4110" s="5"/>
    </row>
    <row r="4111">
      <c r="N4111" s="5"/>
    </row>
    <row r="4112">
      <c r="N4112" s="5"/>
    </row>
    <row r="4113">
      <c r="N4113" s="5"/>
    </row>
    <row r="4114">
      <c r="N4114" s="5"/>
    </row>
    <row r="4115">
      <c r="N4115" s="5"/>
    </row>
    <row r="4116">
      <c r="N4116" s="5"/>
    </row>
    <row r="4117">
      <c r="N4117" s="5"/>
    </row>
    <row r="4118">
      <c r="N4118" s="5"/>
    </row>
    <row r="4119">
      <c r="N4119" s="5"/>
    </row>
    <row r="4120">
      <c r="N4120" s="5"/>
    </row>
    <row r="4121">
      <c r="N4121" s="5"/>
    </row>
    <row r="4122">
      <c r="N4122" s="5"/>
    </row>
    <row r="4123">
      <c r="N4123" s="5"/>
    </row>
    <row r="4124">
      <c r="N4124" s="5"/>
    </row>
    <row r="4125">
      <c r="N4125" s="5"/>
    </row>
    <row r="4126">
      <c r="N4126" s="5"/>
    </row>
    <row r="4127">
      <c r="N4127" s="5"/>
    </row>
    <row r="4128">
      <c r="N4128" s="5"/>
    </row>
    <row r="4129">
      <c r="N4129" s="5"/>
    </row>
    <row r="4130">
      <c r="N4130" s="5"/>
    </row>
    <row r="4131">
      <c r="N4131" s="5"/>
    </row>
    <row r="4132">
      <c r="N4132" s="5"/>
    </row>
    <row r="4133">
      <c r="N4133" s="5"/>
    </row>
    <row r="4134">
      <c r="N4134" s="5"/>
    </row>
    <row r="4135">
      <c r="N4135" s="5"/>
    </row>
    <row r="4136">
      <c r="N4136" s="5"/>
    </row>
    <row r="4137">
      <c r="N4137" s="5"/>
    </row>
    <row r="4138">
      <c r="N4138" s="5"/>
    </row>
    <row r="4139">
      <c r="N4139" s="5"/>
    </row>
    <row r="4140">
      <c r="N4140" s="5"/>
    </row>
    <row r="4141">
      <c r="N4141" s="5"/>
    </row>
    <row r="4142">
      <c r="N4142" s="5"/>
    </row>
    <row r="4143">
      <c r="N4143" s="5"/>
    </row>
    <row r="4144">
      <c r="N4144" s="5"/>
    </row>
    <row r="4145">
      <c r="N4145" s="5"/>
    </row>
    <row r="4146">
      <c r="N4146" s="5"/>
    </row>
    <row r="4147">
      <c r="N4147" s="5"/>
    </row>
    <row r="4148">
      <c r="N4148" s="5"/>
    </row>
    <row r="4149">
      <c r="N4149" s="5"/>
    </row>
    <row r="4150">
      <c r="N4150" s="5"/>
    </row>
    <row r="4151">
      <c r="N4151" s="5"/>
    </row>
    <row r="4152">
      <c r="N4152" s="5"/>
    </row>
    <row r="4153">
      <c r="N4153" s="5"/>
    </row>
    <row r="4154">
      <c r="N4154" s="5"/>
    </row>
    <row r="4155">
      <c r="N4155" s="5"/>
    </row>
    <row r="4156">
      <c r="N4156" s="5"/>
    </row>
    <row r="4157">
      <c r="N4157" s="5"/>
    </row>
    <row r="4158">
      <c r="N4158" s="5"/>
    </row>
    <row r="4159">
      <c r="N4159" s="5"/>
    </row>
    <row r="4160">
      <c r="N4160" s="5"/>
    </row>
    <row r="4161">
      <c r="N4161" s="5"/>
    </row>
    <row r="4162">
      <c r="N4162" s="5"/>
    </row>
    <row r="4163">
      <c r="N4163" s="5"/>
    </row>
    <row r="4164">
      <c r="N4164" s="5"/>
    </row>
    <row r="4165">
      <c r="N4165" s="5"/>
    </row>
    <row r="4166">
      <c r="N4166" s="5"/>
    </row>
    <row r="4167">
      <c r="N4167" s="5"/>
    </row>
    <row r="4168">
      <c r="N4168" s="5"/>
    </row>
    <row r="4169">
      <c r="N4169" s="5"/>
    </row>
    <row r="4170">
      <c r="N4170" s="5"/>
    </row>
    <row r="4171">
      <c r="N4171" s="5"/>
    </row>
    <row r="4172">
      <c r="N4172" s="5"/>
    </row>
    <row r="4173">
      <c r="N4173" s="5"/>
    </row>
    <row r="4174">
      <c r="N4174" s="5"/>
    </row>
    <row r="4175">
      <c r="N4175" s="5"/>
    </row>
    <row r="4176">
      <c r="N4176" s="5"/>
    </row>
    <row r="4177">
      <c r="N4177" s="5"/>
    </row>
    <row r="4178">
      <c r="N4178" s="5"/>
    </row>
    <row r="4179">
      <c r="N4179" s="5"/>
    </row>
    <row r="4180">
      <c r="N4180" s="5"/>
    </row>
    <row r="4181">
      <c r="N4181" s="5"/>
    </row>
    <row r="4182">
      <c r="N4182" s="5"/>
    </row>
    <row r="4183">
      <c r="N4183" s="5"/>
    </row>
    <row r="4184">
      <c r="N4184" s="5"/>
    </row>
    <row r="4185">
      <c r="N4185" s="5"/>
    </row>
    <row r="4186">
      <c r="N4186" s="5"/>
    </row>
    <row r="4187">
      <c r="N4187" s="5"/>
    </row>
    <row r="4188">
      <c r="N4188" s="5"/>
    </row>
    <row r="4189">
      <c r="N4189" s="5"/>
    </row>
    <row r="4190">
      <c r="N4190" s="5"/>
    </row>
    <row r="4191">
      <c r="N4191" s="5"/>
    </row>
    <row r="4192">
      <c r="N4192" s="5"/>
    </row>
    <row r="4193">
      <c r="N4193" s="5"/>
    </row>
    <row r="4194">
      <c r="N4194" s="5"/>
    </row>
    <row r="4195">
      <c r="N4195" s="5"/>
    </row>
    <row r="4196">
      <c r="N4196" s="5"/>
    </row>
    <row r="4197">
      <c r="N4197" s="5"/>
    </row>
    <row r="4198">
      <c r="N4198" s="5"/>
    </row>
    <row r="4199">
      <c r="N4199" s="5"/>
    </row>
    <row r="4200">
      <c r="N4200" s="5"/>
    </row>
    <row r="4201">
      <c r="N4201" s="5"/>
    </row>
    <row r="4202">
      <c r="N4202" s="5"/>
    </row>
    <row r="4203">
      <c r="N4203" s="5"/>
    </row>
    <row r="4204">
      <c r="N4204" s="5"/>
    </row>
    <row r="4205">
      <c r="N4205" s="5"/>
    </row>
    <row r="4206">
      <c r="N4206" s="5"/>
    </row>
    <row r="4207">
      <c r="N4207" s="5"/>
    </row>
    <row r="4208">
      <c r="N4208" s="5"/>
    </row>
    <row r="4209">
      <c r="N4209" s="5"/>
    </row>
    <row r="4210">
      <c r="N4210" s="5"/>
    </row>
    <row r="4211">
      <c r="N4211" s="5"/>
    </row>
    <row r="4212">
      <c r="N4212" s="5"/>
    </row>
    <row r="4213">
      <c r="N4213" s="5"/>
    </row>
    <row r="4214">
      <c r="N4214" s="5"/>
    </row>
    <row r="4215">
      <c r="N4215" s="5"/>
    </row>
    <row r="4216">
      <c r="N4216" s="5"/>
    </row>
    <row r="4217">
      <c r="N4217" s="5"/>
    </row>
    <row r="4218">
      <c r="N4218" s="5"/>
    </row>
    <row r="4219">
      <c r="N4219" s="5"/>
    </row>
    <row r="4220">
      <c r="N4220" s="5"/>
    </row>
    <row r="4221">
      <c r="N4221" s="5"/>
    </row>
    <row r="4222">
      <c r="N4222" s="5"/>
    </row>
    <row r="4223">
      <c r="N4223" s="5"/>
    </row>
    <row r="4224">
      <c r="N4224" s="5"/>
    </row>
    <row r="4225">
      <c r="N4225" s="5"/>
    </row>
    <row r="4226">
      <c r="N4226" s="5"/>
    </row>
    <row r="4227">
      <c r="N4227" s="5"/>
    </row>
    <row r="4228">
      <c r="N4228" s="5"/>
    </row>
    <row r="4229">
      <c r="N4229" s="5"/>
    </row>
    <row r="4230">
      <c r="N4230" s="5"/>
    </row>
    <row r="4231">
      <c r="N4231" s="5"/>
    </row>
    <row r="4232">
      <c r="N4232" s="5"/>
    </row>
    <row r="4233">
      <c r="N4233" s="5"/>
    </row>
    <row r="4234">
      <c r="N4234" s="5"/>
    </row>
    <row r="4235">
      <c r="N4235" s="5"/>
    </row>
    <row r="4236">
      <c r="N4236" s="5"/>
    </row>
    <row r="4237">
      <c r="N4237" s="5"/>
    </row>
    <row r="4238">
      <c r="N4238" s="5"/>
    </row>
    <row r="4239">
      <c r="N4239" s="5"/>
    </row>
    <row r="4240">
      <c r="N4240" s="5"/>
    </row>
    <row r="4241">
      <c r="N4241" s="5"/>
    </row>
    <row r="4242">
      <c r="N4242" s="5"/>
    </row>
    <row r="4243">
      <c r="N4243" s="5"/>
    </row>
    <row r="4244">
      <c r="N4244" s="5"/>
    </row>
    <row r="4245">
      <c r="N4245" s="5"/>
    </row>
    <row r="4246">
      <c r="N4246" s="5"/>
    </row>
    <row r="4247">
      <c r="N4247" s="5"/>
    </row>
    <row r="4248">
      <c r="N4248" s="5"/>
    </row>
    <row r="4249">
      <c r="N4249" s="5"/>
    </row>
    <row r="4250">
      <c r="N4250" s="5"/>
    </row>
    <row r="4251">
      <c r="N4251" s="5"/>
    </row>
    <row r="4252">
      <c r="N4252" s="5"/>
    </row>
    <row r="4253">
      <c r="N4253" s="5"/>
    </row>
    <row r="4254">
      <c r="N4254" s="5"/>
    </row>
    <row r="4255">
      <c r="N4255" s="5"/>
    </row>
    <row r="4256">
      <c r="N4256" s="5"/>
    </row>
    <row r="4257">
      <c r="N4257" s="5"/>
    </row>
    <row r="4258">
      <c r="N4258" s="5"/>
    </row>
    <row r="4259">
      <c r="N4259" s="5"/>
    </row>
    <row r="4260">
      <c r="N4260" s="5"/>
    </row>
    <row r="4261">
      <c r="N4261" s="5"/>
    </row>
    <row r="4262">
      <c r="N4262" s="5"/>
    </row>
    <row r="4263">
      <c r="N4263" s="5"/>
    </row>
    <row r="4264">
      <c r="N4264" s="5"/>
    </row>
    <row r="4265">
      <c r="N4265" s="5"/>
    </row>
    <row r="4266">
      <c r="N4266" s="5"/>
    </row>
    <row r="4267">
      <c r="N4267" s="5"/>
    </row>
    <row r="4268">
      <c r="N4268" s="5"/>
    </row>
    <row r="4269">
      <c r="N4269" s="5"/>
    </row>
    <row r="4270">
      <c r="N4270" s="5"/>
    </row>
    <row r="4271">
      <c r="N4271" s="5"/>
    </row>
    <row r="4272">
      <c r="N4272" s="5"/>
    </row>
    <row r="4273">
      <c r="N4273" s="5"/>
    </row>
    <row r="4274">
      <c r="N4274" s="5"/>
    </row>
    <row r="4275">
      <c r="N4275" s="5"/>
    </row>
    <row r="4276">
      <c r="N4276" s="5"/>
    </row>
    <row r="4277">
      <c r="N4277" s="5"/>
    </row>
    <row r="4278">
      <c r="N4278" s="5"/>
    </row>
    <row r="4279">
      <c r="N4279" s="5"/>
    </row>
    <row r="4280">
      <c r="N4280" s="5"/>
    </row>
    <row r="4281">
      <c r="N4281" s="5"/>
    </row>
    <row r="4282">
      <c r="N4282" s="5"/>
    </row>
    <row r="4283">
      <c r="N4283" s="5"/>
    </row>
    <row r="4284">
      <c r="N4284" s="5"/>
    </row>
    <row r="4285">
      <c r="N4285" s="5"/>
    </row>
    <row r="4286">
      <c r="N4286" s="5"/>
    </row>
    <row r="4287">
      <c r="N4287" s="5"/>
    </row>
    <row r="4288">
      <c r="N4288" s="5"/>
    </row>
    <row r="4289">
      <c r="N4289" s="5"/>
    </row>
    <row r="4290">
      <c r="N4290" s="5"/>
    </row>
    <row r="4291">
      <c r="N4291" s="5"/>
    </row>
    <row r="4292">
      <c r="N4292" s="5"/>
    </row>
    <row r="4293">
      <c r="N4293" s="5"/>
    </row>
    <row r="4294">
      <c r="N4294" s="5"/>
    </row>
    <row r="4295">
      <c r="N4295" s="5"/>
    </row>
    <row r="4296">
      <c r="N4296" s="5"/>
    </row>
    <row r="4297">
      <c r="N4297" s="5"/>
    </row>
    <row r="4298">
      <c r="N4298" s="5"/>
    </row>
    <row r="4299">
      <c r="N4299" s="5"/>
    </row>
    <row r="4300">
      <c r="N4300" s="5"/>
    </row>
    <row r="4301">
      <c r="N4301" s="5"/>
    </row>
    <row r="4302">
      <c r="N4302" s="5"/>
    </row>
    <row r="4303">
      <c r="N4303" s="5"/>
    </row>
    <row r="4304">
      <c r="N4304" s="5"/>
    </row>
    <row r="4305">
      <c r="N4305" s="5"/>
    </row>
    <row r="4306">
      <c r="N4306" s="5"/>
    </row>
    <row r="4307">
      <c r="N4307" s="5"/>
    </row>
    <row r="4308">
      <c r="N4308" s="5"/>
    </row>
    <row r="4309">
      <c r="N4309" s="5"/>
    </row>
    <row r="4310">
      <c r="N4310" s="5"/>
    </row>
    <row r="4311">
      <c r="N4311" s="5"/>
    </row>
    <row r="4312">
      <c r="N4312" s="5"/>
    </row>
    <row r="4313">
      <c r="N4313" s="5"/>
    </row>
    <row r="4314">
      <c r="N4314" s="5"/>
    </row>
    <row r="4315">
      <c r="N4315" s="5"/>
    </row>
    <row r="4316">
      <c r="N4316" s="5"/>
    </row>
    <row r="4317">
      <c r="N4317" s="5"/>
    </row>
    <row r="4318">
      <c r="N4318" s="5"/>
    </row>
    <row r="4319">
      <c r="N4319" s="5"/>
    </row>
    <row r="4320">
      <c r="N4320" s="5"/>
    </row>
    <row r="4321">
      <c r="N4321" s="5"/>
    </row>
    <row r="4322">
      <c r="N4322" s="5"/>
    </row>
    <row r="4323">
      <c r="N4323" s="5"/>
    </row>
    <row r="4324">
      <c r="N4324" s="5"/>
    </row>
    <row r="4325">
      <c r="N4325" s="5"/>
    </row>
    <row r="4326">
      <c r="N4326" s="5"/>
    </row>
    <row r="4327">
      <c r="N4327" s="5"/>
    </row>
    <row r="4328">
      <c r="N4328" s="5"/>
    </row>
    <row r="4329">
      <c r="N4329" s="5"/>
    </row>
    <row r="4330">
      <c r="N4330" s="5"/>
    </row>
    <row r="4331">
      <c r="N4331" s="5"/>
    </row>
    <row r="4332">
      <c r="N4332" s="5"/>
    </row>
    <row r="4333">
      <c r="N4333" s="5"/>
    </row>
    <row r="4334">
      <c r="N4334" s="5"/>
    </row>
    <row r="4335">
      <c r="N4335" s="5"/>
    </row>
    <row r="4336">
      <c r="N4336" s="5"/>
    </row>
    <row r="4337">
      <c r="N4337" s="5"/>
    </row>
    <row r="4338">
      <c r="N4338" s="5"/>
    </row>
    <row r="4339">
      <c r="N4339" s="5"/>
    </row>
    <row r="4340">
      <c r="N4340" s="5"/>
    </row>
    <row r="4341">
      <c r="N4341" s="5"/>
    </row>
    <row r="4342">
      <c r="N4342" s="5"/>
    </row>
    <row r="4343">
      <c r="N4343" s="5"/>
    </row>
    <row r="4344">
      <c r="N4344" s="5"/>
    </row>
    <row r="4345">
      <c r="N4345" s="5"/>
    </row>
    <row r="4346">
      <c r="N4346" s="5"/>
    </row>
    <row r="4347">
      <c r="N4347" s="5"/>
    </row>
    <row r="4348">
      <c r="N4348" s="5"/>
    </row>
    <row r="4349">
      <c r="N4349" s="5"/>
    </row>
    <row r="4350">
      <c r="N4350" s="5"/>
    </row>
    <row r="4351">
      <c r="N4351" s="5"/>
    </row>
    <row r="4352">
      <c r="N4352" s="5"/>
    </row>
    <row r="4353">
      <c r="N4353" s="5"/>
    </row>
    <row r="4354">
      <c r="N4354" s="5"/>
    </row>
    <row r="4355">
      <c r="N4355" s="5"/>
    </row>
    <row r="4356">
      <c r="N4356" s="5"/>
    </row>
    <row r="4357">
      <c r="N4357" s="5"/>
    </row>
    <row r="4358">
      <c r="N4358" s="5"/>
    </row>
    <row r="4359">
      <c r="N4359" s="5"/>
    </row>
    <row r="4360">
      <c r="N4360" s="5"/>
    </row>
    <row r="4361">
      <c r="N4361" s="5"/>
    </row>
    <row r="4362">
      <c r="N4362" s="5"/>
    </row>
    <row r="4363">
      <c r="N4363" s="5"/>
    </row>
    <row r="4364">
      <c r="N4364" s="5"/>
    </row>
    <row r="4365">
      <c r="N4365" s="5"/>
    </row>
    <row r="4366">
      <c r="N4366" s="5"/>
    </row>
    <row r="4367">
      <c r="N4367" s="5"/>
    </row>
    <row r="4368">
      <c r="N4368" s="5"/>
    </row>
    <row r="4369">
      <c r="N4369" s="5"/>
    </row>
    <row r="4370">
      <c r="N4370" s="5"/>
    </row>
    <row r="4371">
      <c r="N4371" s="5"/>
    </row>
    <row r="4372">
      <c r="N4372" s="5"/>
    </row>
    <row r="4373">
      <c r="N4373" s="5"/>
    </row>
    <row r="4374">
      <c r="N4374" s="5"/>
    </row>
    <row r="4375">
      <c r="N4375" s="5"/>
    </row>
    <row r="4376">
      <c r="N4376" s="5"/>
    </row>
    <row r="4377">
      <c r="N4377" s="5"/>
    </row>
    <row r="4378">
      <c r="N4378" s="5"/>
    </row>
    <row r="4379">
      <c r="N4379" s="5"/>
    </row>
    <row r="4380">
      <c r="N4380" s="5"/>
    </row>
    <row r="4381">
      <c r="N4381" s="5"/>
    </row>
    <row r="4382">
      <c r="N4382" s="5"/>
    </row>
    <row r="4383">
      <c r="N4383" s="5"/>
    </row>
    <row r="4384">
      <c r="N4384" s="5"/>
    </row>
    <row r="4385">
      <c r="N4385" s="5"/>
    </row>
    <row r="4386">
      <c r="N4386" s="5"/>
    </row>
    <row r="4387">
      <c r="N4387" s="5"/>
    </row>
    <row r="4388">
      <c r="N4388" s="5"/>
    </row>
    <row r="4389">
      <c r="N4389" s="5"/>
    </row>
    <row r="4390">
      <c r="N4390" s="5"/>
    </row>
    <row r="4391">
      <c r="N4391" s="5"/>
    </row>
    <row r="4392">
      <c r="N4392" s="5"/>
    </row>
    <row r="4393">
      <c r="N4393" s="5"/>
    </row>
    <row r="4394">
      <c r="N4394" s="5"/>
    </row>
    <row r="4395">
      <c r="N4395" s="5"/>
    </row>
    <row r="4396">
      <c r="N4396" s="5"/>
    </row>
    <row r="4397">
      <c r="N4397" s="5"/>
    </row>
    <row r="4398">
      <c r="N4398" s="5"/>
    </row>
    <row r="4399">
      <c r="N4399" s="5"/>
    </row>
    <row r="4400">
      <c r="N4400" s="5"/>
    </row>
    <row r="4401">
      <c r="N4401" s="5"/>
    </row>
    <row r="4402">
      <c r="N4402" s="5"/>
    </row>
    <row r="4403">
      <c r="N4403" s="5"/>
    </row>
    <row r="4404">
      <c r="N4404" s="5"/>
    </row>
    <row r="4405">
      <c r="N4405" s="5"/>
    </row>
    <row r="4406">
      <c r="N4406" s="5"/>
    </row>
    <row r="4407">
      <c r="N4407" s="5"/>
    </row>
    <row r="4408">
      <c r="N4408" s="5"/>
    </row>
    <row r="4409">
      <c r="N4409" s="5"/>
    </row>
    <row r="4410">
      <c r="N4410" s="5"/>
    </row>
    <row r="4411">
      <c r="N4411" s="5"/>
    </row>
    <row r="4412">
      <c r="N4412" s="5"/>
    </row>
    <row r="4413">
      <c r="N4413" s="5"/>
    </row>
    <row r="4414">
      <c r="N4414" s="5"/>
    </row>
    <row r="4415">
      <c r="N4415" s="5"/>
    </row>
    <row r="4416">
      <c r="N4416" s="5"/>
    </row>
    <row r="4417">
      <c r="N4417" s="5"/>
    </row>
    <row r="4418">
      <c r="N4418" s="5"/>
    </row>
    <row r="4419">
      <c r="N4419" s="5"/>
    </row>
    <row r="4420">
      <c r="N4420" s="5"/>
    </row>
    <row r="4421">
      <c r="N4421" s="5"/>
    </row>
    <row r="4422">
      <c r="N4422" s="5"/>
    </row>
    <row r="4423">
      <c r="N4423" s="5"/>
    </row>
    <row r="4424">
      <c r="N4424" s="5"/>
    </row>
    <row r="4425">
      <c r="N4425" s="5"/>
    </row>
    <row r="4426">
      <c r="N4426" s="5"/>
    </row>
    <row r="4427">
      <c r="N4427" s="5"/>
    </row>
    <row r="4428">
      <c r="N4428" s="5"/>
    </row>
    <row r="4429">
      <c r="N4429" s="5"/>
    </row>
    <row r="4430">
      <c r="N4430" s="5"/>
    </row>
    <row r="4431">
      <c r="N4431" s="5"/>
    </row>
    <row r="4432">
      <c r="N4432" s="5"/>
    </row>
    <row r="4433">
      <c r="N4433" s="5"/>
    </row>
    <row r="4434">
      <c r="N4434" s="5"/>
    </row>
    <row r="4435">
      <c r="N4435" s="5"/>
    </row>
    <row r="4436">
      <c r="N4436" s="5"/>
    </row>
    <row r="4437">
      <c r="N4437" s="5"/>
    </row>
    <row r="4438">
      <c r="N4438" s="5"/>
    </row>
    <row r="4439">
      <c r="N4439" s="5"/>
    </row>
    <row r="4440">
      <c r="N4440" s="5"/>
    </row>
    <row r="4441">
      <c r="N4441" s="5"/>
    </row>
    <row r="4442">
      <c r="N4442" s="5"/>
    </row>
    <row r="4443">
      <c r="N4443" s="5"/>
    </row>
    <row r="4444">
      <c r="N4444" s="5"/>
    </row>
    <row r="4445">
      <c r="N4445" s="5"/>
    </row>
    <row r="4446">
      <c r="N4446" s="5"/>
    </row>
    <row r="4447">
      <c r="N4447" s="5"/>
    </row>
    <row r="4448">
      <c r="N4448" s="5"/>
    </row>
    <row r="4449">
      <c r="N4449" s="5"/>
    </row>
    <row r="4450">
      <c r="N4450" s="5"/>
    </row>
    <row r="4451">
      <c r="N4451" s="5"/>
    </row>
    <row r="4452">
      <c r="N4452" s="5"/>
    </row>
    <row r="4453">
      <c r="N4453" s="5"/>
    </row>
    <row r="4454">
      <c r="N4454" s="5"/>
    </row>
    <row r="4455">
      <c r="N4455" s="5"/>
    </row>
    <row r="4456">
      <c r="N4456" s="5"/>
    </row>
    <row r="4457">
      <c r="N4457" s="5"/>
    </row>
    <row r="4458">
      <c r="N4458" s="5"/>
    </row>
    <row r="4459">
      <c r="N4459" s="5"/>
    </row>
    <row r="4460">
      <c r="N4460" s="5"/>
    </row>
    <row r="4461">
      <c r="N4461" s="5"/>
    </row>
    <row r="4462">
      <c r="N4462" s="5"/>
    </row>
    <row r="4463">
      <c r="N4463" s="5"/>
    </row>
    <row r="4464">
      <c r="N4464" s="5"/>
    </row>
    <row r="4465">
      <c r="N4465" s="5"/>
    </row>
    <row r="4466">
      <c r="N4466" s="5"/>
    </row>
    <row r="4467">
      <c r="N4467" s="5"/>
    </row>
    <row r="4468">
      <c r="N4468" s="5"/>
    </row>
    <row r="4469">
      <c r="N4469" s="5"/>
    </row>
    <row r="4470">
      <c r="N4470" s="5"/>
    </row>
    <row r="4471">
      <c r="N4471" s="5"/>
    </row>
    <row r="4472">
      <c r="N4472" s="5"/>
    </row>
    <row r="4473">
      <c r="N4473" s="5"/>
    </row>
    <row r="4474">
      <c r="N4474" s="5"/>
    </row>
    <row r="4475">
      <c r="N4475" s="5"/>
    </row>
    <row r="4476">
      <c r="N4476" s="5"/>
    </row>
    <row r="4477">
      <c r="N4477" s="5"/>
    </row>
    <row r="4478">
      <c r="N4478" s="5"/>
    </row>
    <row r="4479">
      <c r="N4479" s="5"/>
    </row>
    <row r="4480">
      <c r="N4480" s="5"/>
    </row>
    <row r="4481">
      <c r="N4481" s="5"/>
    </row>
    <row r="4482">
      <c r="N4482" s="5"/>
    </row>
    <row r="4483">
      <c r="N4483" s="5"/>
    </row>
    <row r="4484">
      <c r="N4484" s="5"/>
    </row>
    <row r="4485">
      <c r="N4485" s="5"/>
    </row>
    <row r="4486">
      <c r="N4486" s="5"/>
    </row>
    <row r="4487">
      <c r="N4487" s="5"/>
    </row>
    <row r="4488">
      <c r="N4488" s="5"/>
    </row>
    <row r="4489">
      <c r="N4489" s="5"/>
    </row>
    <row r="4490">
      <c r="N4490" s="5"/>
    </row>
    <row r="4491">
      <c r="N4491" s="5"/>
    </row>
    <row r="4492">
      <c r="N4492" s="5"/>
    </row>
    <row r="4493">
      <c r="N4493" s="5"/>
    </row>
    <row r="4494">
      <c r="N4494" s="5"/>
    </row>
    <row r="4495">
      <c r="N4495" s="5"/>
    </row>
    <row r="4496">
      <c r="N4496" s="5"/>
    </row>
    <row r="4497">
      <c r="N4497" s="5"/>
    </row>
    <row r="4498">
      <c r="N4498" s="5"/>
    </row>
    <row r="4499">
      <c r="N4499" s="5"/>
    </row>
    <row r="4500">
      <c r="N4500" s="5"/>
    </row>
    <row r="4501">
      <c r="N4501" s="5"/>
    </row>
    <row r="4502">
      <c r="N4502" s="5"/>
    </row>
    <row r="4503">
      <c r="N4503" s="5"/>
    </row>
    <row r="4504">
      <c r="N4504" s="5"/>
    </row>
    <row r="4505">
      <c r="N4505" s="5"/>
    </row>
    <row r="4506">
      <c r="N4506" s="5"/>
    </row>
    <row r="4507">
      <c r="N4507" s="5"/>
    </row>
    <row r="4508">
      <c r="N4508" s="5"/>
    </row>
    <row r="4509">
      <c r="N4509" s="5"/>
    </row>
    <row r="4510">
      <c r="N4510" s="5"/>
    </row>
    <row r="4511">
      <c r="N4511" s="5"/>
    </row>
    <row r="4512">
      <c r="N4512" s="5"/>
    </row>
    <row r="4513">
      <c r="N4513" s="5"/>
    </row>
    <row r="4514">
      <c r="N4514" s="5"/>
    </row>
    <row r="4515">
      <c r="N4515" s="5"/>
    </row>
    <row r="4516">
      <c r="N4516" s="5"/>
    </row>
    <row r="4517">
      <c r="N4517" s="5"/>
    </row>
    <row r="4518">
      <c r="N4518" s="5"/>
    </row>
    <row r="4519">
      <c r="N4519" s="5"/>
    </row>
    <row r="4520">
      <c r="N4520" s="5"/>
    </row>
    <row r="4521">
      <c r="N4521" s="5"/>
    </row>
    <row r="4522">
      <c r="N4522" s="5"/>
    </row>
    <row r="4523">
      <c r="N4523" s="5"/>
    </row>
    <row r="4524">
      <c r="N4524" s="5"/>
    </row>
    <row r="4525">
      <c r="N4525" s="5"/>
    </row>
    <row r="4526">
      <c r="N4526" s="5"/>
    </row>
    <row r="4527">
      <c r="N4527" s="5"/>
    </row>
    <row r="4528">
      <c r="N4528" s="5"/>
    </row>
    <row r="4529">
      <c r="N4529" s="5"/>
    </row>
    <row r="4530">
      <c r="N4530" s="5"/>
    </row>
    <row r="4531">
      <c r="N4531" s="5"/>
    </row>
    <row r="4532">
      <c r="N4532" s="5"/>
    </row>
    <row r="4533">
      <c r="N4533" s="5"/>
    </row>
    <row r="4534">
      <c r="N4534" s="5"/>
    </row>
    <row r="4535">
      <c r="N4535" s="5"/>
    </row>
    <row r="4536">
      <c r="N4536" s="5"/>
    </row>
    <row r="4537">
      <c r="N4537" s="5"/>
    </row>
    <row r="4538">
      <c r="N4538" s="5"/>
    </row>
    <row r="4539">
      <c r="N4539" s="5"/>
    </row>
    <row r="4540">
      <c r="N4540" s="5"/>
    </row>
    <row r="4541">
      <c r="N4541" s="5"/>
    </row>
    <row r="4542">
      <c r="N4542" s="5"/>
    </row>
    <row r="4543">
      <c r="N4543" s="5"/>
    </row>
    <row r="4544">
      <c r="N4544" s="5"/>
    </row>
    <row r="4545">
      <c r="N4545" s="5"/>
    </row>
    <row r="4546">
      <c r="N4546" s="5"/>
    </row>
    <row r="4547">
      <c r="N4547" s="5"/>
    </row>
    <row r="4548">
      <c r="N4548" s="5"/>
    </row>
    <row r="4549">
      <c r="N4549" s="5"/>
    </row>
    <row r="4550">
      <c r="N4550" s="5"/>
    </row>
    <row r="4551">
      <c r="N4551" s="5"/>
    </row>
    <row r="4552">
      <c r="N4552" s="5"/>
    </row>
    <row r="4553">
      <c r="N4553" s="5"/>
    </row>
    <row r="4554">
      <c r="N4554" s="5"/>
    </row>
    <row r="4555">
      <c r="N4555" s="5"/>
    </row>
    <row r="4556">
      <c r="N4556" s="5"/>
    </row>
    <row r="4557">
      <c r="N4557" s="5"/>
    </row>
    <row r="4558">
      <c r="N4558" s="5"/>
    </row>
    <row r="4559">
      <c r="N4559" s="5"/>
    </row>
    <row r="4560">
      <c r="N4560" s="5"/>
    </row>
    <row r="4561">
      <c r="N4561" s="5"/>
    </row>
    <row r="4562">
      <c r="N4562" s="5"/>
    </row>
    <row r="4563">
      <c r="N4563" s="5"/>
    </row>
    <row r="4564">
      <c r="N4564" s="5"/>
    </row>
    <row r="4565">
      <c r="N4565" s="5"/>
    </row>
    <row r="4566">
      <c r="N4566" s="5"/>
    </row>
    <row r="4567">
      <c r="N4567" s="5"/>
    </row>
    <row r="4568">
      <c r="N4568" s="5"/>
    </row>
    <row r="4569">
      <c r="N4569" s="5"/>
    </row>
    <row r="4570">
      <c r="N4570" s="5"/>
    </row>
    <row r="4571">
      <c r="N4571" s="5"/>
    </row>
    <row r="4572">
      <c r="N4572" s="5"/>
    </row>
    <row r="4573">
      <c r="N4573" s="5"/>
    </row>
    <row r="4574">
      <c r="N4574" s="5"/>
    </row>
    <row r="4575">
      <c r="N4575" s="5"/>
    </row>
    <row r="4576">
      <c r="N4576" s="5"/>
    </row>
    <row r="4577">
      <c r="N4577" s="5"/>
    </row>
    <row r="4578">
      <c r="N4578" s="5"/>
    </row>
    <row r="4579">
      <c r="N4579" s="5"/>
    </row>
    <row r="4580">
      <c r="N4580" s="5"/>
    </row>
    <row r="4581">
      <c r="N4581" s="5"/>
    </row>
    <row r="4582">
      <c r="N4582" s="5"/>
    </row>
    <row r="4583">
      <c r="N4583" s="5"/>
    </row>
    <row r="4584">
      <c r="N4584" s="5"/>
    </row>
    <row r="4585">
      <c r="N4585" s="5"/>
    </row>
    <row r="4586">
      <c r="N4586" s="5"/>
    </row>
    <row r="4587">
      <c r="N4587" s="5"/>
    </row>
    <row r="4588">
      <c r="N4588" s="5"/>
    </row>
    <row r="4589">
      <c r="N4589" s="5"/>
    </row>
    <row r="4590">
      <c r="N4590" s="5"/>
    </row>
    <row r="4591">
      <c r="N4591" s="5"/>
    </row>
    <row r="4592">
      <c r="N4592" s="5"/>
    </row>
    <row r="4593">
      <c r="N4593" s="5"/>
    </row>
    <row r="4594">
      <c r="N4594" s="5"/>
    </row>
    <row r="4595">
      <c r="N4595" s="5"/>
    </row>
    <row r="4596">
      <c r="N4596" s="5"/>
    </row>
    <row r="4597">
      <c r="N4597" s="5"/>
    </row>
    <row r="4598">
      <c r="N4598" s="5"/>
    </row>
    <row r="4599">
      <c r="N4599" s="5"/>
    </row>
    <row r="4600">
      <c r="N4600" s="5"/>
    </row>
    <row r="4601">
      <c r="N4601" s="5"/>
    </row>
    <row r="4602">
      <c r="N4602" s="5"/>
    </row>
    <row r="4603">
      <c r="N4603" s="5"/>
    </row>
    <row r="4604">
      <c r="N4604" s="5"/>
    </row>
    <row r="4605">
      <c r="N4605" s="5"/>
    </row>
    <row r="4606">
      <c r="N4606" s="5"/>
    </row>
    <row r="4607">
      <c r="N4607" s="5"/>
    </row>
    <row r="4608">
      <c r="N4608" s="5"/>
    </row>
    <row r="4609">
      <c r="N4609" s="5"/>
    </row>
    <row r="4610">
      <c r="N4610" s="5"/>
    </row>
    <row r="4611">
      <c r="N4611" s="5"/>
    </row>
    <row r="4612">
      <c r="N4612" s="5"/>
    </row>
    <row r="4613">
      <c r="N4613" s="5"/>
    </row>
    <row r="4614">
      <c r="N4614" s="5"/>
    </row>
    <row r="4615">
      <c r="N4615" s="5"/>
    </row>
    <row r="4616">
      <c r="N4616" s="5"/>
    </row>
    <row r="4617">
      <c r="N4617" s="5"/>
    </row>
    <row r="4618">
      <c r="N4618" s="5"/>
    </row>
    <row r="4619">
      <c r="N4619" s="5"/>
    </row>
    <row r="4620">
      <c r="N4620" s="5"/>
    </row>
    <row r="4621">
      <c r="N4621" s="5"/>
    </row>
    <row r="4622">
      <c r="N4622" s="5"/>
    </row>
    <row r="4623">
      <c r="N4623" s="5"/>
    </row>
    <row r="4624">
      <c r="N4624" s="5"/>
    </row>
    <row r="4625">
      <c r="N4625" s="5"/>
    </row>
    <row r="4626">
      <c r="N4626" s="5"/>
    </row>
    <row r="4627">
      <c r="N4627" s="5"/>
    </row>
    <row r="4628">
      <c r="N4628" s="5"/>
    </row>
    <row r="4629">
      <c r="N4629" s="5"/>
    </row>
    <row r="4630">
      <c r="N4630" s="5"/>
    </row>
    <row r="4631">
      <c r="N4631" s="5"/>
    </row>
    <row r="4632">
      <c r="N4632" s="5"/>
    </row>
    <row r="4633">
      <c r="N4633" s="5"/>
    </row>
    <row r="4634">
      <c r="N4634" s="5"/>
    </row>
    <row r="4635">
      <c r="N4635" s="5"/>
    </row>
    <row r="4636">
      <c r="N4636" s="5"/>
    </row>
    <row r="4637">
      <c r="N4637" s="5"/>
    </row>
    <row r="4638">
      <c r="N4638" s="5"/>
    </row>
    <row r="4639">
      <c r="N4639" s="5"/>
    </row>
    <row r="4640">
      <c r="N4640" s="5"/>
    </row>
    <row r="4641">
      <c r="N4641" s="5"/>
    </row>
    <row r="4642">
      <c r="N4642" s="5"/>
    </row>
    <row r="4643">
      <c r="N4643" s="5"/>
    </row>
    <row r="4644">
      <c r="N4644" s="5"/>
    </row>
    <row r="4645">
      <c r="N4645" s="5"/>
    </row>
    <row r="4646">
      <c r="N4646" s="5"/>
    </row>
    <row r="4647">
      <c r="N4647" s="5"/>
    </row>
    <row r="4648">
      <c r="N4648" s="5"/>
    </row>
    <row r="4649">
      <c r="N4649" s="5"/>
    </row>
    <row r="4650">
      <c r="N4650" s="5"/>
    </row>
    <row r="4651">
      <c r="N4651" s="5"/>
    </row>
    <row r="4652">
      <c r="N4652" s="5"/>
    </row>
    <row r="4653">
      <c r="N4653" s="5"/>
    </row>
    <row r="4654">
      <c r="N4654" s="5"/>
    </row>
    <row r="4655">
      <c r="N4655" s="5"/>
    </row>
    <row r="4656">
      <c r="N4656" s="5"/>
    </row>
    <row r="4657">
      <c r="N4657" s="5"/>
    </row>
    <row r="4658">
      <c r="N4658" s="5"/>
    </row>
    <row r="4659">
      <c r="N4659" s="5"/>
    </row>
    <row r="4660">
      <c r="N4660" s="5"/>
    </row>
    <row r="4661">
      <c r="N4661" s="5"/>
    </row>
    <row r="4662">
      <c r="N4662" s="5"/>
    </row>
    <row r="4663">
      <c r="N4663" s="5"/>
    </row>
    <row r="4664">
      <c r="N4664" s="5"/>
    </row>
    <row r="4665">
      <c r="N4665" s="5"/>
    </row>
    <row r="4666">
      <c r="N4666" s="5"/>
    </row>
    <row r="4667">
      <c r="N4667" s="5"/>
    </row>
    <row r="4668">
      <c r="N4668" s="5"/>
    </row>
    <row r="4669">
      <c r="N4669" s="5"/>
    </row>
    <row r="4670">
      <c r="N4670" s="5"/>
    </row>
    <row r="4671">
      <c r="N4671" s="5"/>
    </row>
    <row r="4672">
      <c r="N4672" s="5"/>
    </row>
    <row r="4673">
      <c r="N4673" s="5"/>
    </row>
    <row r="4674">
      <c r="N4674" s="5"/>
    </row>
    <row r="4675">
      <c r="N4675" s="5"/>
    </row>
    <row r="4676">
      <c r="N4676" s="5"/>
    </row>
    <row r="4677">
      <c r="N4677" s="5"/>
    </row>
    <row r="4678">
      <c r="N4678" s="5"/>
    </row>
    <row r="4679">
      <c r="N4679" s="5"/>
    </row>
    <row r="4680">
      <c r="N4680" s="5"/>
    </row>
    <row r="4681">
      <c r="N4681" s="5"/>
    </row>
    <row r="4682">
      <c r="N4682" s="5"/>
    </row>
    <row r="4683">
      <c r="N4683" s="5"/>
    </row>
    <row r="4684">
      <c r="N4684" s="5"/>
    </row>
    <row r="4685">
      <c r="N4685" s="5"/>
    </row>
    <row r="4686">
      <c r="N4686" s="5"/>
    </row>
    <row r="4687">
      <c r="N4687" s="5"/>
    </row>
    <row r="4688">
      <c r="N4688" s="5"/>
    </row>
    <row r="4689">
      <c r="N4689" s="5"/>
    </row>
    <row r="4690">
      <c r="N4690" s="5"/>
    </row>
    <row r="4691">
      <c r="N4691" s="5"/>
    </row>
    <row r="4692">
      <c r="N4692" s="5"/>
    </row>
    <row r="4693">
      <c r="N4693" s="5"/>
    </row>
    <row r="4694">
      <c r="N4694" s="5"/>
    </row>
    <row r="4695">
      <c r="N4695" s="5"/>
    </row>
    <row r="4696">
      <c r="N4696" s="5"/>
    </row>
    <row r="4697">
      <c r="N4697" s="5"/>
    </row>
    <row r="4698">
      <c r="N4698" s="5"/>
    </row>
    <row r="4699">
      <c r="N4699" s="5"/>
    </row>
    <row r="4700">
      <c r="N4700" s="5"/>
    </row>
    <row r="4701">
      <c r="N4701" s="5"/>
    </row>
    <row r="4702">
      <c r="N4702" s="5"/>
    </row>
    <row r="4703">
      <c r="N4703" s="5"/>
    </row>
    <row r="4704">
      <c r="N4704" s="5"/>
    </row>
    <row r="4705">
      <c r="N4705" s="5"/>
    </row>
    <row r="4706">
      <c r="N4706" s="5"/>
    </row>
    <row r="4707">
      <c r="N4707" s="5"/>
    </row>
    <row r="4708">
      <c r="N4708" s="5"/>
    </row>
    <row r="4709">
      <c r="N4709" s="5"/>
    </row>
    <row r="4710">
      <c r="N4710" s="5"/>
    </row>
    <row r="4711">
      <c r="N4711" s="5"/>
    </row>
    <row r="4712">
      <c r="N4712" s="5"/>
    </row>
    <row r="4713">
      <c r="N4713" s="5"/>
    </row>
    <row r="4714">
      <c r="N4714" s="5"/>
    </row>
    <row r="4715">
      <c r="N4715" s="5"/>
    </row>
    <row r="4716">
      <c r="N4716" s="5"/>
    </row>
    <row r="4717">
      <c r="N4717" s="5"/>
    </row>
    <row r="4718">
      <c r="N4718" s="5"/>
    </row>
    <row r="4719">
      <c r="N4719" s="5"/>
    </row>
    <row r="4720">
      <c r="N4720" s="5"/>
    </row>
    <row r="4721">
      <c r="N4721" s="5"/>
    </row>
    <row r="4722">
      <c r="N4722" s="5"/>
    </row>
    <row r="4723">
      <c r="N4723" s="5"/>
    </row>
    <row r="4724">
      <c r="N4724" s="5"/>
    </row>
    <row r="4725">
      <c r="N4725" s="5"/>
    </row>
    <row r="4726">
      <c r="N4726" s="5"/>
    </row>
    <row r="4727">
      <c r="N4727" s="5"/>
    </row>
    <row r="4728">
      <c r="N4728" s="5"/>
    </row>
    <row r="4729">
      <c r="N4729" s="5"/>
    </row>
    <row r="4730">
      <c r="N4730" s="5"/>
    </row>
    <row r="4731">
      <c r="N4731" s="5"/>
    </row>
    <row r="4732">
      <c r="N4732" s="5"/>
    </row>
    <row r="4733">
      <c r="N4733" s="5"/>
    </row>
    <row r="4734">
      <c r="N4734" s="5"/>
    </row>
    <row r="4735">
      <c r="N4735" s="5"/>
    </row>
    <row r="4736">
      <c r="N4736" s="5"/>
    </row>
    <row r="4737">
      <c r="N4737" s="5"/>
    </row>
    <row r="4738">
      <c r="N4738" s="5"/>
    </row>
    <row r="4739">
      <c r="N4739" s="5"/>
    </row>
    <row r="4740">
      <c r="N4740" s="5"/>
    </row>
    <row r="4741">
      <c r="N4741" s="5"/>
    </row>
    <row r="4742">
      <c r="N4742" s="5"/>
    </row>
    <row r="4743">
      <c r="N4743" s="5"/>
    </row>
    <row r="4744">
      <c r="N4744" s="5"/>
    </row>
    <row r="4745">
      <c r="N4745" s="5"/>
    </row>
    <row r="4746">
      <c r="N4746" s="5"/>
    </row>
    <row r="4747">
      <c r="N4747" s="5"/>
    </row>
    <row r="4748">
      <c r="N4748" s="5"/>
    </row>
    <row r="4749">
      <c r="N4749" s="5"/>
    </row>
    <row r="4750">
      <c r="N4750" s="5"/>
    </row>
    <row r="4751">
      <c r="N4751" s="5"/>
    </row>
    <row r="4752">
      <c r="N4752" s="5"/>
    </row>
    <row r="4753">
      <c r="N4753" s="5"/>
    </row>
    <row r="4754">
      <c r="N4754" s="5"/>
    </row>
    <row r="4755">
      <c r="N4755" s="5"/>
    </row>
    <row r="4756">
      <c r="N4756" s="5"/>
    </row>
    <row r="4757">
      <c r="N4757" s="5"/>
    </row>
    <row r="4758">
      <c r="N4758" s="5"/>
    </row>
    <row r="4759">
      <c r="N4759" s="5"/>
    </row>
    <row r="4760">
      <c r="N4760" s="5"/>
    </row>
    <row r="4761">
      <c r="N4761" s="5"/>
    </row>
    <row r="4762">
      <c r="N4762" s="5"/>
    </row>
    <row r="4763">
      <c r="N4763" s="5"/>
    </row>
    <row r="4764">
      <c r="N4764" s="5"/>
    </row>
    <row r="4765">
      <c r="N4765" s="5"/>
    </row>
    <row r="4766">
      <c r="N4766" s="5"/>
    </row>
    <row r="4767">
      <c r="N4767" s="5"/>
    </row>
    <row r="4768">
      <c r="N4768" s="5"/>
    </row>
    <row r="4769">
      <c r="N4769" s="5"/>
    </row>
    <row r="4770">
      <c r="N4770" s="5"/>
    </row>
    <row r="4771">
      <c r="N4771" s="5"/>
    </row>
    <row r="4772">
      <c r="N4772" s="5"/>
    </row>
    <row r="4773">
      <c r="N4773" s="5"/>
    </row>
    <row r="4774">
      <c r="N4774" s="5"/>
    </row>
    <row r="4775">
      <c r="N4775" s="5"/>
    </row>
    <row r="4776">
      <c r="N4776" s="5"/>
    </row>
    <row r="4777">
      <c r="N4777" s="5"/>
    </row>
    <row r="4778">
      <c r="N4778" s="5"/>
    </row>
    <row r="4779">
      <c r="N4779" s="5"/>
    </row>
    <row r="4780">
      <c r="N4780" s="5"/>
    </row>
    <row r="4781">
      <c r="N4781" s="5"/>
    </row>
    <row r="4782">
      <c r="N4782" s="5"/>
    </row>
    <row r="4783">
      <c r="N4783" s="5"/>
    </row>
    <row r="4784">
      <c r="N4784" s="5"/>
    </row>
    <row r="4785">
      <c r="N4785" s="5"/>
    </row>
    <row r="4786">
      <c r="N4786" s="5"/>
    </row>
    <row r="4787">
      <c r="N4787" s="5"/>
    </row>
    <row r="4788">
      <c r="N4788" s="5"/>
    </row>
    <row r="4789">
      <c r="N4789" s="5"/>
    </row>
    <row r="4790">
      <c r="N4790" s="5"/>
    </row>
    <row r="4791">
      <c r="N4791" s="5"/>
    </row>
    <row r="4792">
      <c r="N4792" s="5"/>
    </row>
    <row r="4793">
      <c r="N4793" s="5"/>
    </row>
    <row r="4794">
      <c r="N4794" s="5"/>
    </row>
    <row r="4795">
      <c r="N4795" s="5"/>
    </row>
    <row r="4796">
      <c r="N4796" s="5"/>
    </row>
    <row r="4797">
      <c r="N4797" s="5"/>
    </row>
    <row r="4798">
      <c r="N4798" s="5"/>
    </row>
    <row r="4799">
      <c r="N4799" s="5"/>
    </row>
    <row r="4800">
      <c r="N4800" s="5"/>
    </row>
    <row r="4801">
      <c r="N4801" s="5"/>
    </row>
    <row r="4802">
      <c r="N4802" s="5"/>
    </row>
    <row r="4803">
      <c r="N4803" s="5"/>
    </row>
    <row r="4804">
      <c r="N4804" s="5"/>
    </row>
    <row r="4805">
      <c r="N4805" s="5"/>
    </row>
    <row r="4806">
      <c r="N4806" s="5"/>
    </row>
    <row r="4807">
      <c r="N4807" s="5"/>
    </row>
    <row r="4808">
      <c r="N4808" s="5"/>
    </row>
    <row r="4809">
      <c r="N4809" s="5"/>
    </row>
    <row r="4810">
      <c r="N4810" s="5"/>
    </row>
    <row r="4811">
      <c r="N4811" s="5"/>
    </row>
    <row r="4812">
      <c r="N4812" s="5"/>
    </row>
    <row r="4813">
      <c r="N4813" s="5"/>
    </row>
    <row r="4814">
      <c r="N4814" s="5"/>
    </row>
    <row r="4815">
      <c r="N4815" s="5"/>
    </row>
    <row r="4816">
      <c r="N4816" s="5"/>
    </row>
    <row r="4817">
      <c r="N4817" s="5"/>
    </row>
    <row r="4818">
      <c r="N4818" s="5"/>
    </row>
    <row r="4819">
      <c r="N4819" s="5"/>
    </row>
    <row r="4820">
      <c r="N4820" s="5"/>
    </row>
    <row r="4821">
      <c r="N4821" s="5"/>
    </row>
    <row r="4822">
      <c r="N4822" s="5"/>
    </row>
    <row r="4823">
      <c r="N4823" s="5"/>
    </row>
    <row r="4824">
      <c r="N4824" s="5"/>
    </row>
    <row r="4825">
      <c r="N4825" s="5"/>
    </row>
    <row r="4826">
      <c r="N4826" s="5"/>
    </row>
    <row r="4827">
      <c r="N4827" s="5"/>
    </row>
    <row r="4828">
      <c r="N4828" s="5"/>
    </row>
    <row r="4829">
      <c r="N4829" s="5"/>
    </row>
    <row r="4830">
      <c r="N4830" s="5"/>
    </row>
    <row r="4831">
      <c r="N4831" s="5"/>
    </row>
    <row r="4832">
      <c r="N4832" s="5"/>
    </row>
    <row r="4833">
      <c r="N4833" s="5"/>
    </row>
    <row r="4834">
      <c r="N4834" s="5"/>
    </row>
    <row r="4835">
      <c r="N4835" s="5"/>
    </row>
    <row r="4836">
      <c r="N4836" s="5"/>
    </row>
    <row r="4837">
      <c r="N4837" s="5"/>
    </row>
    <row r="4838">
      <c r="N4838" s="5"/>
    </row>
    <row r="4839">
      <c r="N4839" s="5"/>
    </row>
    <row r="4840">
      <c r="N4840" s="5"/>
    </row>
    <row r="4841">
      <c r="N4841" s="5"/>
    </row>
    <row r="4842">
      <c r="N4842" s="5"/>
    </row>
    <row r="4843">
      <c r="N4843" s="5"/>
    </row>
    <row r="4844">
      <c r="N4844" s="5"/>
    </row>
    <row r="4845">
      <c r="N4845" s="5"/>
    </row>
    <row r="4846">
      <c r="N4846" s="5"/>
    </row>
    <row r="4847">
      <c r="N4847" s="5"/>
    </row>
    <row r="4848">
      <c r="N4848" s="5"/>
    </row>
    <row r="4849">
      <c r="N4849" s="5"/>
    </row>
    <row r="4850">
      <c r="N4850" s="5"/>
    </row>
    <row r="4851">
      <c r="N4851" s="5"/>
    </row>
    <row r="4852">
      <c r="N4852" s="5"/>
    </row>
    <row r="4853">
      <c r="N4853" s="5"/>
    </row>
    <row r="4854">
      <c r="N4854" s="5"/>
    </row>
    <row r="4855">
      <c r="N4855" s="5"/>
    </row>
    <row r="4856">
      <c r="N4856" s="5"/>
    </row>
    <row r="4857">
      <c r="N4857" s="5"/>
    </row>
    <row r="4858">
      <c r="N4858" s="5"/>
    </row>
    <row r="4859">
      <c r="N4859" s="5"/>
    </row>
    <row r="4860">
      <c r="N4860" s="5"/>
    </row>
    <row r="4861">
      <c r="N4861" s="5"/>
    </row>
    <row r="4862">
      <c r="N4862" s="5"/>
    </row>
    <row r="4863">
      <c r="N4863" s="5"/>
    </row>
    <row r="4864">
      <c r="N4864" s="5"/>
    </row>
    <row r="4865">
      <c r="N4865" s="5"/>
    </row>
    <row r="4866">
      <c r="N4866" s="5"/>
    </row>
    <row r="4867">
      <c r="N4867" s="5"/>
    </row>
    <row r="4868">
      <c r="N4868" s="5"/>
    </row>
    <row r="4869">
      <c r="N4869" s="5"/>
    </row>
    <row r="4870">
      <c r="N4870" s="5"/>
    </row>
    <row r="4871">
      <c r="N4871" s="5"/>
    </row>
    <row r="4872">
      <c r="N4872" s="5"/>
    </row>
    <row r="4873">
      <c r="N4873" s="5"/>
    </row>
    <row r="4874">
      <c r="N4874" s="5"/>
    </row>
    <row r="4875">
      <c r="N4875" s="5"/>
    </row>
    <row r="4876">
      <c r="N4876" s="5"/>
    </row>
    <row r="4877">
      <c r="N4877" s="5"/>
    </row>
    <row r="4878">
      <c r="N4878" s="5"/>
    </row>
    <row r="4879">
      <c r="N4879" s="5"/>
    </row>
    <row r="4880">
      <c r="N4880" s="5"/>
    </row>
    <row r="4881">
      <c r="N4881" s="5"/>
    </row>
    <row r="4882">
      <c r="N4882" s="5"/>
    </row>
    <row r="4883">
      <c r="N4883" s="5"/>
    </row>
    <row r="4884">
      <c r="N4884" s="5"/>
    </row>
    <row r="4885">
      <c r="N4885" s="5"/>
    </row>
    <row r="4886">
      <c r="N4886" s="5"/>
    </row>
    <row r="4887">
      <c r="N4887" s="5"/>
    </row>
    <row r="4888">
      <c r="N4888" s="5"/>
    </row>
    <row r="4889">
      <c r="N4889" s="5"/>
    </row>
    <row r="4890">
      <c r="N4890" s="5"/>
    </row>
    <row r="4891">
      <c r="N4891" s="5"/>
    </row>
    <row r="4892">
      <c r="N4892" s="5"/>
    </row>
    <row r="4893">
      <c r="N4893" s="5"/>
    </row>
    <row r="4894">
      <c r="N4894" s="5"/>
    </row>
    <row r="4895">
      <c r="N4895" s="5"/>
    </row>
    <row r="4896">
      <c r="N4896" s="5"/>
    </row>
    <row r="4897">
      <c r="N4897" s="5"/>
    </row>
    <row r="4898">
      <c r="N4898" s="5"/>
    </row>
    <row r="4899">
      <c r="N4899" s="5"/>
    </row>
    <row r="4900">
      <c r="N4900" s="5"/>
    </row>
    <row r="4901">
      <c r="N4901" s="5"/>
    </row>
    <row r="4902">
      <c r="N4902" s="5"/>
    </row>
    <row r="4903">
      <c r="N4903" s="5"/>
    </row>
    <row r="4904">
      <c r="N4904" s="5"/>
    </row>
    <row r="4905">
      <c r="N4905" s="5"/>
    </row>
    <row r="4906">
      <c r="N4906" s="5"/>
    </row>
    <row r="4907">
      <c r="N4907" s="5"/>
    </row>
    <row r="4908">
      <c r="N4908" s="5"/>
    </row>
    <row r="4909">
      <c r="N4909" s="5"/>
    </row>
    <row r="4910">
      <c r="N4910" s="5"/>
    </row>
    <row r="4911">
      <c r="N4911" s="5"/>
    </row>
    <row r="4912">
      <c r="N4912" s="5"/>
    </row>
    <row r="4913">
      <c r="N4913" s="5"/>
    </row>
    <row r="4914">
      <c r="N4914" s="5"/>
    </row>
    <row r="4915">
      <c r="N4915" s="5"/>
    </row>
    <row r="4916">
      <c r="N4916" s="5"/>
    </row>
    <row r="4917">
      <c r="N4917" s="5"/>
    </row>
    <row r="4918">
      <c r="N4918" s="5"/>
    </row>
    <row r="4919">
      <c r="N4919" s="5"/>
    </row>
    <row r="4920">
      <c r="N4920" s="5"/>
    </row>
    <row r="4921">
      <c r="N4921" s="5"/>
    </row>
    <row r="4922">
      <c r="N4922" s="5"/>
    </row>
    <row r="4923">
      <c r="N4923" s="5"/>
    </row>
    <row r="4924">
      <c r="N4924" s="5"/>
    </row>
    <row r="4925">
      <c r="N4925" s="5"/>
    </row>
    <row r="4926">
      <c r="N4926" s="5"/>
    </row>
    <row r="4927">
      <c r="N4927" s="5"/>
    </row>
    <row r="4928">
      <c r="N4928" s="5"/>
    </row>
    <row r="4929">
      <c r="N4929" s="5"/>
    </row>
    <row r="4930">
      <c r="N4930" s="5"/>
    </row>
    <row r="4931">
      <c r="N4931" s="5"/>
    </row>
    <row r="4932">
      <c r="N4932" s="5"/>
    </row>
    <row r="4933">
      <c r="N4933" s="5"/>
    </row>
    <row r="4934">
      <c r="N4934" s="5"/>
    </row>
    <row r="4935">
      <c r="N4935" s="5"/>
    </row>
    <row r="4936">
      <c r="N4936" s="5"/>
    </row>
    <row r="4937">
      <c r="N4937" s="5"/>
    </row>
    <row r="4938">
      <c r="N4938" s="5"/>
    </row>
    <row r="4939">
      <c r="N4939" s="5"/>
    </row>
    <row r="4940">
      <c r="N4940" s="5"/>
    </row>
    <row r="4941">
      <c r="N4941" s="5"/>
    </row>
    <row r="4942">
      <c r="N4942" s="5"/>
    </row>
    <row r="4943">
      <c r="N4943" s="5"/>
    </row>
    <row r="4944">
      <c r="N4944" s="5"/>
    </row>
    <row r="4945">
      <c r="N4945" s="5"/>
    </row>
    <row r="4946">
      <c r="N4946" s="5"/>
    </row>
    <row r="4947">
      <c r="N4947" s="5"/>
    </row>
    <row r="4948">
      <c r="N4948" s="5"/>
    </row>
    <row r="4949">
      <c r="N4949" s="5"/>
    </row>
    <row r="4950">
      <c r="N4950" s="5"/>
    </row>
    <row r="4951">
      <c r="N4951" s="5"/>
    </row>
    <row r="4952">
      <c r="N4952" s="5"/>
    </row>
    <row r="4953">
      <c r="N4953" s="5"/>
    </row>
    <row r="4954">
      <c r="N4954" s="5"/>
    </row>
    <row r="4955">
      <c r="N4955" s="5"/>
    </row>
    <row r="4956">
      <c r="N4956" s="5"/>
    </row>
    <row r="4957">
      <c r="N4957" s="5"/>
    </row>
    <row r="4958">
      <c r="N4958" s="5"/>
    </row>
    <row r="4959">
      <c r="N4959" s="5"/>
    </row>
    <row r="4960">
      <c r="N4960" s="5"/>
    </row>
    <row r="4961">
      <c r="N4961" s="5"/>
    </row>
    <row r="4962">
      <c r="N4962" s="5"/>
    </row>
    <row r="4963">
      <c r="N4963" s="5"/>
    </row>
    <row r="4964">
      <c r="N4964" s="5"/>
    </row>
    <row r="4965">
      <c r="N4965" s="5"/>
    </row>
    <row r="4966">
      <c r="N4966" s="5"/>
    </row>
    <row r="4967">
      <c r="N4967" s="5"/>
    </row>
    <row r="4968">
      <c r="N4968" s="5"/>
    </row>
    <row r="4969">
      <c r="N4969" s="5"/>
    </row>
    <row r="4970">
      <c r="N4970" s="5"/>
    </row>
    <row r="4971">
      <c r="N4971" s="5"/>
    </row>
    <row r="4972">
      <c r="N4972" s="5"/>
    </row>
    <row r="4973">
      <c r="N4973" s="5"/>
    </row>
    <row r="4974">
      <c r="N4974" s="5"/>
    </row>
    <row r="4975">
      <c r="N4975" s="5"/>
    </row>
    <row r="4976">
      <c r="N4976" s="5"/>
    </row>
    <row r="4977">
      <c r="N4977" s="5"/>
    </row>
    <row r="4978">
      <c r="N4978" s="5"/>
    </row>
    <row r="4979">
      <c r="N4979" s="5"/>
    </row>
    <row r="4980">
      <c r="N4980" s="5"/>
    </row>
    <row r="4981">
      <c r="N4981" s="5"/>
    </row>
    <row r="4982">
      <c r="N4982" s="5"/>
    </row>
    <row r="4983">
      <c r="N4983" s="5"/>
    </row>
    <row r="4984">
      <c r="N4984" s="5"/>
    </row>
    <row r="4985">
      <c r="N4985" s="5"/>
    </row>
    <row r="4986">
      <c r="N4986" s="5"/>
    </row>
    <row r="4987">
      <c r="N4987" s="5"/>
    </row>
    <row r="4988">
      <c r="N4988" s="5"/>
    </row>
    <row r="4989">
      <c r="N4989" s="5"/>
    </row>
    <row r="4990">
      <c r="N4990" s="5"/>
    </row>
    <row r="4991">
      <c r="N4991" s="5"/>
    </row>
    <row r="4992">
      <c r="N4992" s="5"/>
    </row>
    <row r="4993">
      <c r="N4993" s="5"/>
    </row>
    <row r="4994">
      <c r="N4994" s="5"/>
    </row>
    <row r="4995">
      <c r="N4995" s="5"/>
    </row>
    <row r="4996">
      <c r="N4996" s="5"/>
    </row>
    <row r="4997">
      <c r="N4997" s="5"/>
    </row>
    <row r="4998">
      <c r="N4998" s="5"/>
    </row>
    <row r="4999">
      <c r="N4999" s="5"/>
    </row>
    <row r="5000">
      <c r="N5000" s="5"/>
    </row>
    <row r="5001">
      <c r="N5001" s="5"/>
    </row>
    <row r="5002">
      <c r="N5002" s="5"/>
    </row>
    <row r="5003">
      <c r="N5003" s="5"/>
    </row>
    <row r="5004">
      <c r="N5004" s="5"/>
    </row>
    <row r="5005">
      <c r="N5005" s="5"/>
    </row>
    <row r="5006">
      <c r="N5006" s="5"/>
    </row>
    <row r="5007">
      <c r="N5007" s="5"/>
    </row>
    <row r="5008">
      <c r="N5008" s="5"/>
    </row>
    <row r="5009">
      <c r="N5009" s="5"/>
    </row>
    <row r="5010">
      <c r="N5010" s="5"/>
    </row>
    <row r="5011">
      <c r="N5011" s="5"/>
    </row>
    <row r="5012">
      <c r="N5012" s="5"/>
    </row>
    <row r="5013">
      <c r="N5013" s="5"/>
    </row>
    <row r="5014">
      <c r="N5014" s="5"/>
    </row>
    <row r="5015">
      <c r="N5015" s="5"/>
    </row>
    <row r="5016">
      <c r="N5016" s="5"/>
    </row>
    <row r="5017">
      <c r="N5017" s="5"/>
    </row>
    <row r="5018">
      <c r="N5018" s="5"/>
    </row>
    <row r="5019">
      <c r="N5019" s="5"/>
    </row>
    <row r="5020">
      <c r="N5020" s="5"/>
    </row>
    <row r="5021">
      <c r="N5021" s="5"/>
    </row>
    <row r="5022">
      <c r="N5022" s="5"/>
    </row>
    <row r="5023">
      <c r="N5023" s="5"/>
    </row>
    <row r="5024">
      <c r="N5024" s="5"/>
    </row>
    <row r="5025">
      <c r="N5025" s="5"/>
    </row>
    <row r="5026">
      <c r="N5026" s="5"/>
    </row>
    <row r="5027">
      <c r="N5027" s="5"/>
    </row>
    <row r="5028">
      <c r="N5028" s="5"/>
    </row>
    <row r="5029">
      <c r="N5029" s="5"/>
    </row>
    <row r="5030">
      <c r="N5030" s="5"/>
    </row>
    <row r="5031">
      <c r="N5031" s="5"/>
    </row>
    <row r="5032">
      <c r="N5032" s="5"/>
    </row>
    <row r="5033">
      <c r="N5033" s="5"/>
    </row>
    <row r="5034">
      <c r="N5034" s="5"/>
    </row>
    <row r="5035">
      <c r="N5035" s="5"/>
    </row>
    <row r="5036">
      <c r="N5036" s="5"/>
    </row>
    <row r="5037">
      <c r="N5037" s="5"/>
    </row>
    <row r="5038">
      <c r="N5038" s="5"/>
    </row>
    <row r="5039">
      <c r="N5039" s="5"/>
    </row>
    <row r="5040">
      <c r="N5040" s="5"/>
    </row>
    <row r="5041">
      <c r="N5041" s="5"/>
    </row>
    <row r="5042">
      <c r="N5042" s="5"/>
    </row>
    <row r="5043">
      <c r="N5043" s="5"/>
    </row>
    <row r="5044">
      <c r="N5044" s="5"/>
    </row>
    <row r="5045">
      <c r="N5045" s="5"/>
    </row>
    <row r="5046">
      <c r="N5046" s="5"/>
    </row>
    <row r="5047">
      <c r="N5047" s="5"/>
    </row>
    <row r="5048">
      <c r="N5048" s="5"/>
    </row>
    <row r="5049">
      <c r="N5049" s="5"/>
    </row>
    <row r="5050">
      <c r="N5050" s="5"/>
    </row>
    <row r="5051">
      <c r="N5051" s="5"/>
    </row>
    <row r="5052">
      <c r="N5052" s="5"/>
    </row>
    <row r="5053">
      <c r="N5053" s="5"/>
    </row>
    <row r="5054">
      <c r="N5054" s="5"/>
    </row>
    <row r="5055">
      <c r="N5055" s="5"/>
    </row>
    <row r="5056">
      <c r="N5056" s="5"/>
    </row>
    <row r="5057">
      <c r="N5057" s="5"/>
    </row>
    <row r="5058">
      <c r="N5058" s="5"/>
    </row>
    <row r="5059">
      <c r="I5059" s="4"/>
      <c r="N5059" s="5"/>
    </row>
    <row r="5060">
      <c r="N5060" s="5"/>
    </row>
    <row r="5061">
      <c r="N5061" s="5"/>
    </row>
    <row r="5062">
      <c r="N5062" s="5"/>
    </row>
    <row r="5063">
      <c r="N5063" s="5"/>
    </row>
    <row r="5064">
      <c r="N5064" s="5"/>
    </row>
    <row r="5065">
      <c r="N5065" s="5"/>
    </row>
    <row r="5066">
      <c r="N5066" s="5"/>
    </row>
    <row r="5067">
      <c r="N5067" s="5"/>
    </row>
    <row r="5068">
      <c r="N5068" s="5"/>
    </row>
    <row r="5069">
      <c r="N5069" s="5"/>
    </row>
    <row r="5070">
      <c r="N5070" s="5"/>
    </row>
    <row r="5071">
      <c r="N5071" s="5"/>
    </row>
    <row r="5072">
      <c r="N5072" s="5"/>
    </row>
    <row r="5073">
      <c r="N5073" s="5"/>
    </row>
    <row r="5074">
      <c r="N5074" s="5"/>
    </row>
    <row r="5075">
      <c r="N5075" s="5"/>
    </row>
    <row r="5076">
      <c r="N5076" s="5"/>
    </row>
    <row r="5077">
      <c r="N5077" s="5"/>
    </row>
    <row r="5078">
      <c r="N5078" s="5"/>
    </row>
    <row r="5079">
      <c r="N5079" s="5"/>
    </row>
    <row r="5080">
      <c r="N5080" s="5"/>
    </row>
    <row r="5081">
      <c r="N5081" s="5"/>
    </row>
    <row r="5082">
      <c r="N5082" s="5"/>
    </row>
    <row r="5083">
      <c r="N5083" s="5"/>
    </row>
    <row r="5084">
      <c r="N5084" s="5"/>
    </row>
    <row r="5085">
      <c r="N5085" s="5"/>
    </row>
    <row r="5086">
      <c r="N5086" s="5"/>
    </row>
    <row r="5087">
      <c r="N5087" s="5"/>
    </row>
    <row r="5088">
      <c r="N5088" s="5"/>
    </row>
    <row r="5089">
      <c r="N5089" s="5"/>
    </row>
    <row r="5090">
      <c r="N5090" s="5"/>
    </row>
    <row r="5091">
      <c r="N5091" s="5"/>
    </row>
    <row r="5092">
      <c r="N5092" s="5"/>
    </row>
    <row r="5093">
      <c r="N5093" s="5"/>
    </row>
    <row r="5094">
      <c r="N5094" s="5"/>
    </row>
    <row r="5095">
      <c r="N5095" s="5"/>
    </row>
    <row r="5096">
      <c r="N5096" s="5"/>
    </row>
    <row r="5097">
      <c r="N5097" s="5"/>
    </row>
    <row r="5098">
      <c r="N5098" s="5"/>
    </row>
    <row r="5099">
      <c r="N5099" s="5"/>
    </row>
    <row r="5100">
      <c r="N5100" s="5"/>
    </row>
    <row r="5101">
      <c r="N5101" s="5"/>
    </row>
    <row r="5102">
      <c r="N5102" s="5"/>
    </row>
    <row r="5103">
      <c r="N5103" s="5"/>
    </row>
    <row r="5104">
      <c r="N5104" s="5"/>
    </row>
    <row r="5105">
      <c r="N5105" s="5"/>
    </row>
    <row r="5106">
      <c r="N5106" s="5"/>
    </row>
    <row r="5107">
      <c r="N5107" s="5"/>
    </row>
    <row r="5108">
      <c r="N5108" s="5"/>
    </row>
    <row r="5109">
      <c r="N5109" s="5"/>
    </row>
    <row r="5110">
      <c r="N5110" s="5"/>
    </row>
    <row r="5111">
      <c r="N5111" s="5"/>
    </row>
    <row r="5112">
      <c r="N5112" s="5"/>
    </row>
    <row r="5113">
      <c r="N5113" s="5"/>
    </row>
    <row r="5114">
      <c r="N5114" s="5"/>
    </row>
    <row r="5115">
      <c r="N5115" s="5"/>
    </row>
    <row r="5116">
      <c r="N5116" s="5"/>
    </row>
    <row r="5117">
      <c r="N5117" s="5"/>
    </row>
    <row r="5118">
      <c r="N5118" s="5"/>
    </row>
    <row r="5119">
      <c r="N5119" s="5"/>
    </row>
    <row r="5120">
      <c r="N5120" s="5"/>
    </row>
    <row r="5121">
      <c r="N5121" s="5"/>
    </row>
    <row r="5122">
      <c r="N5122" s="5"/>
    </row>
    <row r="5123">
      <c r="N5123" s="5"/>
    </row>
    <row r="5124">
      <c r="N5124" s="5"/>
    </row>
    <row r="5125">
      <c r="N5125" s="5"/>
    </row>
    <row r="5126">
      <c r="N5126" s="5"/>
    </row>
    <row r="5127">
      <c r="N5127" s="5"/>
    </row>
    <row r="5128">
      <c r="N5128" s="5"/>
    </row>
    <row r="5129">
      <c r="N5129" s="5"/>
    </row>
    <row r="5130">
      <c r="N5130" s="5"/>
    </row>
    <row r="5131">
      <c r="N5131" s="5"/>
    </row>
    <row r="5132">
      <c r="N5132" s="5"/>
    </row>
    <row r="5133">
      <c r="N5133" s="5"/>
    </row>
    <row r="5134">
      <c r="N5134" s="5"/>
    </row>
    <row r="5135">
      <c r="N5135" s="5"/>
    </row>
    <row r="5136">
      <c r="N5136" s="5"/>
    </row>
    <row r="5137">
      <c r="N5137" s="5"/>
    </row>
    <row r="5138">
      <c r="N5138" s="5"/>
    </row>
    <row r="5139">
      <c r="N5139" s="5"/>
    </row>
    <row r="5140">
      <c r="N5140" s="5"/>
    </row>
    <row r="5141">
      <c r="N5141" s="5"/>
    </row>
    <row r="5142">
      <c r="N5142" s="5"/>
    </row>
    <row r="5143">
      <c r="N5143" s="5"/>
    </row>
    <row r="5144">
      <c r="N5144" s="5"/>
    </row>
    <row r="5145">
      <c r="N5145" s="5"/>
    </row>
    <row r="5146">
      <c r="N5146" s="5"/>
    </row>
    <row r="5147">
      <c r="N5147" s="5"/>
    </row>
    <row r="5148">
      <c r="N5148" s="5"/>
    </row>
    <row r="5149">
      <c r="N5149" s="5"/>
    </row>
    <row r="5150">
      <c r="N5150" s="5"/>
    </row>
    <row r="5151">
      <c r="N5151" s="5"/>
    </row>
    <row r="5152">
      <c r="N5152" s="5"/>
    </row>
    <row r="5153">
      <c r="N5153" s="5"/>
    </row>
    <row r="5154">
      <c r="N5154" s="5"/>
    </row>
    <row r="5155">
      <c r="N5155" s="5"/>
    </row>
    <row r="5156">
      <c r="N5156" s="5"/>
    </row>
    <row r="5157">
      <c r="N5157" s="5"/>
    </row>
    <row r="5158">
      <c r="N5158" s="5"/>
    </row>
    <row r="5159">
      <c r="N5159" s="5"/>
    </row>
    <row r="5160">
      <c r="N5160" s="5"/>
    </row>
    <row r="5161">
      <c r="N5161" s="5"/>
    </row>
    <row r="5162">
      <c r="N5162" s="5"/>
    </row>
    <row r="5163">
      <c r="N5163" s="5"/>
    </row>
    <row r="5164">
      <c r="N5164" s="5"/>
    </row>
    <row r="5165">
      <c r="N5165" s="5"/>
    </row>
    <row r="5166">
      <c r="N5166" s="5"/>
    </row>
    <row r="5167">
      <c r="N5167" s="5"/>
    </row>
    <row r="5168">
      <c r="N5168" s="5"/>
    </row>
    <row r="5169">
      <c r="N5169" s="5"/>
    </row>
    <row r="5170">
      <c r="N5170" s="5"/>
    </row>
    <row r="5171">
      <c r="N5171" s="5"/>
    </row>
    <row r="5172">
      <c r="N5172" s="5"/>
    </row>
    <row r="5173">
      <c r="N5173" s="5"/>
    </row>
    <row r="5174">
      <c r="N5174" s="5"/>
    </row>
    <row r="5175">
      <c r="N5175" s="5"/>
    </row>
    <row r="5176">
      <c r="N5176" s="5"/>
    </row>
    <row r="5177">
      <c r="N5177" s="5"/>
    </row>
    <row r="5178">
      <c r="N5178" s="5"/>
    </row>
    <row r="5179">
      <c r="N5179" s="5"/>
    </row>
    <row r="5180">
      <c r="N5180" s="5"/>
    </row>
    <row r="5181">
      <c r="N5181" s="5"/>
    </row>
    <row r="5182">
      <c r="N5182" s="5"/>
    </row>
    <row r="5183">
      <c r="N5183" s="5"/>
    </row>
    <row r="5184">
      <c r="N5184" s="5"/>
    </row>
    <row r="5185">
      <c r="N5185" s="5"/>
    </row>
    <row r="5186">
      <c r="N5186" s="5"/>
    </row>
    <row r="5187">
      <c r="N5187" s="5"/>
    </row>
    <row r="5188">
      <c r="N5188" s="5"/>
    </row>
    <row r="5189">
      <c r="N5189" s="5"/>
    </row>
    <row r="5190">
      <c r="N5190" s="5"/>
    </row>
    <row r="5191">
      <c r="N5191" s="5"/>
    </row>
    <row r="5192">
      <c r="N5192" s="5"/>
    </row>
    <row r="5193">
      <c r="N5193" s="5"/>
    </row>
    <row r="5194">
      <c r="N5194" s="5"/>
    </row>
    <row r="5195">
      <c r="N5195" s="5"/>
    </row>
    <row r="5196">
      <c r="N5196" s="5"/>
    </row>
    <row r="5197">
      <c r="N5197" s="5"/>
    </row>
    <row r="5198">
      <c r="N5198" s="5"/>
    </row>
    <row r="5199">
      <c r="N5199" s="5"/>
    </row>
    <row r="5200">
      <c r="N5200" s="5"/>
    </row>
    <row r="5201">
      <c r="N5201" s="5"/>
    </row>
    <row r="5202">
      <c r="N5202" s="5"/>
    </row>
    <row r="5203">
      <c r="N5203" s="5"/>
    </row>
    <row r="5204">
      <c r="N5204" s="5"/>
    </row>
    <row r="5205">
      <c r="N5205" s="5"/>
    </row>
    <row r="5206">
      <c r="N5206" s="5"/>
    </row>
    <row r="5207">
      <c r="N5207" s="5"/>
    </row>
    <row r="5208">
      <c r="N5208" s="5"/>
    </row>
    <row r="5209">
      <c r="N5209" s="5"/>
    </row>
    <row r="5210">
      <c r="N5210" s="5"/>
    </row>
    <row r="5211">
      <c r="N5211" s="5"/>
    </row>
    <row r="5212">
      <c r="N5212" s="5"/>
    </row>
    <row r="5213">
      <c r="N5213" s="5"/>
    </row>
    <row r="5214">
      <c r="N5214" s="5"/>
    </row>
    <row r="5215">
      <c r="N5215" s="5"/>
    </row>
    <row r="5216">
      <c r="N5216" s="5"/>
    </row>
    <row r="5217">
      <c r="N5217" s="5"/>
    </row>
    <row r="5218">
      <c r="N5218" s="5"/>
    </row>
    <row r="5219">
      <c r="N5219" s="5"/>
    </row>
    <row r="5220">
      <c r="N5220" s="5"/>
    </row>
    <row r="5221">
      <c r="N5221" s="5"/>
    </row>
    <row r="5222">
      <c r="N5222" s="5"/>
    </row>
    <row r="5223">
      <c r="N5223" s="5"/>
    </row>
    <row r="5224">
      <c r="N5224" s="5"/>
    </row>
    <row r="5225">
      <c r="N5225" s="5"/>
    </row>
    <row r="5226">
      <c r="N5226" s="5"/>
    </row>
    <row r="5227">
      <c r="N5227" s="5"/>
    </row>
    <row r="5228">
      <c r="N5228" s="5"/>
    </row>
    <row r="5229">
      <c r="N5229" s="5"/>
    </row>
    <row r="5230">
      <c r="N5230" s="5"/>
    </row>
    <row r="5231">
      <c r="N5231" s="5"/>
    </row>
    <row r="5232">
      <c r="N5232" s="5"/>
    </row>
    <row r="5233">
      <c r="N5233" s="5"/>
    </row>
    <row r="5234">
      <c r="N5234" s="5"/>
    </row>
    <row r="5235">
      <c r="N5235" s="5"/>
    </row>
    <row r="5236">
      <c r="N5236" s="5"/>
    </row>
    <row r="5237">
      <c r="N5237" s="5"/>
    </row>
    <row r="5238">
      <c r="N5238" s="5"/>
    </row>
    <row r="5239">
      <c r="N5239" s="5"/>
    </row>
    <row r="5240">
      <c r="N5240" s="5"/>
    </row>
    <row r="5241">
      <c r="N5241" s="5"/>
    </row>
    <row r="5242">
      <c r="N5242" s="5"/>
    </row>
    <row r="5243">
      <c r="N5243" s="5"/>
    </row>
    <row r="5244">
      <c r="N5244" s="5"/>
    </row>
    <row r="5245">
      <c r="N5245" s="5"/>
    </row>
    <row r="5246">
      <c r="N5246" s="5"/>
    </row>
    <row r="5247">
      <c r="N5247" s="5"/>
    </row>
    <row r="5248">
      <c r="N5248" s="5"/>
    </row>
    <row r="5249">
      <c r="N5249" s="5"/>
    </row>
    <row r="5250">
      <c r="N5250" s="5"/>
    </row>
    <row r="5251">
      <c r="N5251" s="5"/>
    </row>
    <row r="5252">
      <c r="N5252" s="5"/>
    </row>
    <row r="5253">
      <c r="N5253" s="5"/>
    </row>
    <row r="5254">
      <c r="N5254" s="5"/>
    </row>
    <row r="5255">
      <c r="N5255" s="5"/>
    </row>
    <row r="5256">
      <c r="N5256" s="5"/>
    </row>
    <row r="5257">
      <c r="N5257" s="5"/>
    </row>
    <row r="5258">
      <c r="N5258" s="5"/>
    </row>
    <row r="5259">
      <c r="N5259" s="5"/>
    </row>
    <row r="5260">
      <c r="N5260" s="5"/>
    </row>
    <row r="5261">
      <c r="N5261" s="5"/>
    </row>
    <row r="5262">
      <c r="N5262" s="5"/>
    </row>
    <row r="5263">
      <c r="N5263" s="5"/>
    </row>
    <row r="5264">
      <c r="N5264" s="5"/>
    </row>
    <row r="5265">
      <c r="N5265" s="5"/>
    </row>
    <row r="5266">
      <c r="N5266" s="5"/>
    </row>
    <row r="5267">
      <c r="N5267" s="5"/>
    </row>
    <row r="5268">
      <c r="N5268" s="5"/>
    </row>
    <row r="5269">
      <c r="N5269" s="5"/>
    </row>
    <row r="5270">
      <c r="N5270" s="5"/>
    </row>
    <row r="5271">
      <c r="N5271" s="5"/>
    </row>
    <row r="5272">
      <c r="N5272" s="5"/>
    </row>
    <row r="5273">
      <c r="N5273" s="5"/>
    </row>
    <row r="5274">
      <c r="N5274" s="5"/>
    </row>
    <row r="5275">
      <c r="N5275" s="5"/>
    </row>
    <row r="5276">
      <c r="N5276" s="5"/>
    </row>
    <row r="5277">
      <c r="N5277" s="5"/>
    </row>
    <row r="5278">
      <c r="N5278" s="5"/>
    </row>
    <row r="5279">
      <c r="N5279" s="5"/>
    </row>
    <row r="5280">
      <c r="N5280" s="5"/>
    </row>
    <row r="5281">
      <c r="N5281" s="5"/>
    </row>
    <row r="5282">
      <c r="N5282" s="5"/>
    </row>
    <row r="5283">
      <c r="N5283" s="5"/>
    </row>
    <row r="5284">
      <c r="N5284" s="5"/>
    </row>
    <row r="5285">
      <c r="N5285" s="5"/>
    </row>
    <row r="5286">
      <c r="N5286" s="5"/>
    </row>
    <row r="5287">
      <c r="N5287" s="5"/>
    </row>
    <row r="5288">
      <c r="N5288" s="5"/>
    </row>
    <row r="5289">
      <c r="N5289" s="5"/>
    </row>
    <row r="5290">
      <c r="N5290" s="5"/>
    </row>
    <row r="5291">
      <c r="N5291" s="5"/>
    </row>
    <row r="5292">
      <c r="N5292" s="5"/>
    </row>
    <row r="5293">
      <c r="N5293" s="5"/>
    </row>
    <row r="5294">
      <c r="N5294" s="5"/>
    </row>
    <row r="5295">
      <c r="N5295" s="5"/>
    </row>
    <row r="5296">
      <c r="N5296" s="5"/>
    </row>
    <row r="5297">
      <c r="N5297" s="5"/>
    </row>
    <row r="5298">
      <c r="N5298" s="5"/>
    </row>
    <row r="5299">
      <c r="N5299" s="5"/>
    </row>
    <row r="5300">
      <c r="N5300" s="5"/>
    </row>
    <row r="5301">
      <c r="N5301" s="5"/>
    </row>
    <row r="5302">
      <c r="N5302" s="5"/>
    </row>
    <row r="5303">
      <c r="N5303" s="5"/>
    </row>
    <row r="5304">
      <c r="N5304" s="5"/>
    </row>
    <row r="5305">
      <c r="N5305" s="5"/>
    </row>
    <row r="5306">
      <c r="N5306" s="5"/>
    </row>
    <row r="5307">
      <c r="N5307" s="5"/>
    </row>
    <row r="5308">
      <c r="N5308" s="5"/>
    </row>
    <row r="5309">
      <c r="N5309" s="5"/>
    </row>
    <row r="5310">
      <c r="N5310" s="5"/>
    </row>
    <row r="5311">
      <c r="N5311" s="5"/>
    </row>
    <row r="5312">
      <c r="N5312" s="5"/>
    </row>
    <row r="5313">
      <c r="N5313" s="5"/>
    </row>
    <row r="5314">
      <c r="N5314" s="5"/>
    </row>
    <row r="5315">
      <c r="N5315" s="5"/>
    </row>
    <row r="5316">
      <c r="N5316" s="5"/>
    </row>
    <row r="5317">
      <c r="N5317" s="5"/>
    </row>
    <row r="5318">
      <c r="N5318" s="5"/>
    </row>
    <row r="5319">
      <c r="N5319" s="5"/>
    </row>
    <row r="5320">
      <c r="N5320" s="5"/>
    </row>
    <row r="5321">
      <c r="N5321" s="5"/>
    </row>
    <row r="5322">
      <c r="N5322" s="5"/>
    </row>
    <row r="5323">
      <c r="N5323" s="5"/>
    </row>
    <row r="5324">
      <c r="N5324" s="5"/>
    </row>
    <row r="5325">
      <c r="N5325" s="5"/>
    </row>
    <row r="5326">
      <c r="N5326" s="5"/>
    </row>
    <row r="5327">
      <c r="N5327" s="5"/>
    </row>
    <row r="5328">
      <c r="N5328" s="5"/>
    </row>
    <row r="5329">
      <c r="N5329" s="5"/>
    </row>
    <row r="5330">
      <c r="N5330" s="5"/>
    </row>
    <row r="5331">
      <c r="N5331" s="5"/>
    </row>
    <row r="5332">
      <c r="N5332" s="5"/>
    </row>
    <row r="5333">
      <c r="N5333" s="5"/>
    </row>
    <row r="5334">
      <c r="N5334" s="5"/>
    </row>
    <row r="5335">
      <c r="N5335" s="5"/>
    </row>
    <row r="5336">
      <c r="N5336" s="5"/>
    </row>
    <row r="5337">
      <c r="N5337" s="5"/>
    </row>
    <row r="5338">
      <c r="N5338" s="5"/>
    </row>
    <row r="5339">
      <c r="N5339" s="5"/>
    </row>
    <row r="5340">
      <c r="N5340" s="5"/>
    </row>
    <row r="5341">
      <c r="N5341" s="5"/>
    </row>
    <row r="5342">
      <c r="N5342" s="5"/>
    </row>
    <row r="5343">
      <c r="N5343" s="5"/>
    </row>
    <row r="5344">
      <c r="N5344" s="5"/>
    </row>
    <row r="5345">
      <c r="N5345" s="5"/>
    </row>
    <row r="5346">
      <c r="N5346" s="5"/>
    </row>
    <row r="5347">
      <c r="N5347" s="5"/>
    </row>
    <row r="5348">
      <c r="N5348" s="5"/>
    </row>
    <row r="5349">
      <c r="N5349" s="5"/>
    </row>
    <row r="5350">
      <c r="N5350" s="5"/>
    </row>
    <row r="5351">
      <c r="N5351" s="5"/>
    </row>
    <row r="5352">
      <c r="N5352" s="5"/>
    </row>
    <row r="5353">
      <c r="N5353" s="5"/>
    </row>
    <row r="5354">
      <c r="N5354" s="5"/>
    </row>
    <row r="5355">
      <c r="N5355" s="5"/>
    </row>
    <row r="5356">
      <c r="N5356" s="5"/>
    </row>
    <row r="5357">
      <c r="N5357" s="5"/>
    </row>
    <row r="5358">
      <c r="N5358" s="5"/>
    </row>
    <row r="5359">
      <c r="N5359" s="5"/>
    </row>
    <row r="5360">
      <c r="N5360" s="5"/>
    </row>
    <row r="5361">
      <c r="N5361" s="5"/>
    </row>
    <row r="5362">
      <c r="N5362" s="5"/>
    </row>
    <row r="5363">
      <c r="N5363" s="5"/>
    </row>
    <row r="5364">
      <c r="N5364" s="5"/>
    </row>
    <row r="5365">
      <c r="N5365" s="5"/>
    </row>
    <row r="5366">
      <c r="N5366" s="5"/>
    </row>
    <row r="5367">
      <c r="N5367" s="5"/>
    </row>
    <row r="5368">
      <c r="N5368" s="5"/>
    </row>
    <row r="5369">
      <c r="N5369" s="5"/>
    </row>
    <row r="5370">
      <c r="N5370" s="5"/>
    </row>
    <row r="5371">
      <c r="N5371" s="5"/>
    </row>
    <row r="5372">
      <c r="N5372" s="5"/>
    </row>
    <row r="5373">
      <c r="N5373" s="5"/>
    </row>
    <row r="5374">
      <c r="N5374" s="5"/>
    </row>
    <row r="5375">
      <c r="N5375" s="5"/>
    </row>
    <row r="5376">
      <c r="N5376" s="5"/>
    </row>
    <row r="5377">
      <c r="N5377" s="5"/>
    </row>
    <row r="5378">
      <c r="N5378" s="5"/>
    </row>
    <row r="5379">
      <c r="N5379" s="5"/>
    </row>
    <row r="5380">
      <c r="N5380" s="5"/>
    </row>
    <row r="5381">
      <c r="N5381" s="5"/>
    </row>
    <row r="5382">
      <c r="N5382" s="5"/>
    </row>
    <row r="5383">
      <c r="N5383" s="5"/>
    </row>
    <row r="5384">
      <c r="N5384" s="5"/>
    </row>
    <row r="5385">
      <c r="N5385" s="5"/>
    </row>
    <row r="5386">
      <c r="N5386" s="5"/>
    </row>
    <row r="5387">
      <c r="N5387" s="5"/>
    </row>
    <row r="5388">
      <c r="N5388" s="5"/>
    </row>
    <row r="5389">
      <c r="N5389" s="5"/>
    </row>
    <row r="5390">
      <c r="N5390" s="5"/>
    </row>
    <row r="5391">
      <c r="N5391" s="5"/>
    </row>
    <row r="5392">
      <c r="N5392" s="5"/>
    </row>
    <row r="5393">
      <c r="N5393" s="5"/>
    </row>
    <row r="5394">
      <c r="N5394" s="5"/>
    </row>
    <row r="5395">
      <c r="N5395" s="5"/>
    </row>
    <row r="5396">
      <c r="N5396" s="5"/>
    </row>
    <row r="5397">
      <c r="N5397" s="5"/>
    </row>
    <row r="5398">
      <c r="N5398" s="5"/>
    </row>
    <row r="5399">
      <c r="N5399" s="5"/>
    </row>
    <row r="5400">
      <c r="N5400" s="5"/>
    </row>
    <row r="5401">
      <c r="N5401" s="5"/>
    </row>
    <row r="5402">
      <c r="N5402" s="5"/>
    </row>
    <row r="5403">
      <c r="N5403" s="5"/>
    </row>
    <row r="5404">
      <c r="N5404" s="5"/>
    </row>
    <row r="5405">
      <c r="N5405" s="5"/>
    </row>
    <row r="5406">
      <c r="N5406" s="5"/>
    </row>
    <row r="5407">
      <c r="N5407" s="5"/>
    </row>
    <row r="5408">
      <c r="N5408" s="5"/>
    </row>
    <row r="5409">
      <c r="N5409" s="5"/>
    </row>
    <row r="5410">
      <c r="N5410" s="5"/>
    </row>
    <row r="5411">
      <c r="N5411" s="5"/>
    </row>
    <row r="5412">
      <c r="N5412" s="5"/>
    </row>
    <row r="5413">
      <c r="N5413" s="5"/>
    </row>
    <row r="5414">
      <c r="N5414" s="5"/>
    </row>
    <row r="5415">
      <c r="N5415" s="5"/>
    </row>
    <row r="5416">
      <c r="N5416" s="5"/>
    </row>
    <row r="5417">
      <c r="N5417" s="5"/>
    </row>
    <row r="5418">
      <c r="N5418" s="5"/>
    </row>
    <row r="5419">
      <c r="N5419" s="5"/>
    </row>
    <row r="5420">
      <c r="N5420" s="5"/>
    </row>
    <row r="5421">
      <c r="N5421" s="5"/>
    </row>
    <row r="5422">
      <c r="N5422" s="5"/>
    </row>
    <row r="5423">
      <c r="N5423" s="5"/>
    </row>
    <row r="5424">
      <c r="N5424" s="5"/>
    </row>
    <row r="5425">
      <c r="N5425" s="5"/>
    </row>
    <row r="5426">
      <c r="N5426" s="5"/>
    </row>
    <row r="5427">
      <c r="N5427" s="5"/>
    </row>
    <row r="5428">
      <c r="N5428" s="5"/>
    </row>
    <row r="5429">
      <c r="N5429" s="5"/>
    </row>
    <row r="5430">
      <c r="N5430" s="5"/>
    </row>
    <row r="5431">
      <c r="N5431" s="5"/>
    </row>
    <row r="5432">
      <c r="N5432" s="5"/>
    </row>
    <row r="5433">
      <c r="N5433" s="5"/>
    </row>
    <row r="5434">
      <c r="N5434" s="5"/>
    </row>
    <row r="5435">
      <c r="N5435" s="5"/>
    </row>
    <row r="5436">
      <c r="N5436" s="5"/>
    </row>
    <row r="5437">
      <c r="N5437" s="5"/>
    </row>
    <row r="5438">
      <c r="N5438" s="5"/>
    </row>
    <row r="5439">
      <c r="N5439" s="5"/>
    </row>
    <row r="5440">
      <c r="N5440" s="5"/>
    </row>
    <row r="5441">
      <c r="N5441" s="5"/>
    </row>
    <row r="5442">
      <c r="N5442" s="5"/>
    </row>
    <row r="5443">
      <c r="N5443" s="5"/>
    </row>
    <row r="5444">
      <c r="N5444" s="5"/>
    </row>
    <row r="5445">
      <c r="N5445" s="5"/>
    </row>
    <row r="5446">
      <c r="N5446" s="5"/>
    </row>
    <row r="5447">
      <c r="N5447" s="5"/>
    </row>
    <row r="5448">
      <c r="N5448" s="5"/>
    </row>
    <row r="5449">
      <c r="N5449" s="5"/>
    </row>
    <row r="5450">
      <c r="N5450" s="5"/>
    </row>
    <row r="5451">
      <c r="N5451" s="5"/>
    </row>
    <row r="5452">
      <c r="N5452" s="5"/>
    </row>
    <row r="5453">
      <c r="N5453" s="5"/>
    </row>
    <row r="5454">
      <c r="N5454" s="5"/>
    </row>
    <row r="5455">
      <c r="N5455" s="5"/>
    </row>
    <row r="5456">
      <c r="N5456" s="5"/>
    </row>
    <row r="5457">
      <c r="N5457" s="5"/>
    </row>
    <row r="5458">
      <c r="N5458" s="5"/>
    </row>
    <row r="5459">
      <c r="N5459" s="5"/>
    </row>
    <row r="5460">
      <c r="N5460" s="5"/>
    </row>
    <row r="5461">
      <c r="N5461" s="5"/>
    </row>
    <row r="5462">
      <c r="N5462" s="5"/>
    </row>
    <row r="5463">
      <c r="N5463" s="5"/>
    </row>
    <row r="5464">
      <c r="N5464" s="5"/>
    </row>
    <row r="5465">
      <c r="N5465" s="5"/>
    </row>
    <row r="5466">
      <c r="N5466" s="5"/>
    </row>
    <row r="5467">
      <c r="N5467" s="5"/>
    </row>
    <row r="5468">
      <c r="N5468" s="5"/>
    </row>
    <row r="5469">
      <c r="N5469" s="5"/>
    </row>
    <row r="5470">
      <c r="N5470" s="5"/>
    </row>
    <row r="5471">
      <c r="N5471" s="5"/>
    </row>
    <row r="5472">
      <c r="N5472" s="5"/>
    </row>
    <row r="5473">
      <c r="N5473" s="5"/>
    </row>
    <row r="5474">
      <c r="N5474" s="5"/>
    </row>
    <row r="5475">
      <c r="N5475" s="5"/>
    </row>
    <row r="5476">
      <c r="N5476" s="5"/>
    </row>
    <row r="5477">
      <c r="N5477" s="5"/>
    </row>
    <row r="5478">
      <c r="N5478" s="5"/>
    </row>
    <row r="5479">
      <c r="N5479" s="5"/>
    </row>
    <row r="5480">
      <c r="N5480" s="5"/>
    </row>
    <row r="5481">
      <c r="N5481" s="5"/>
    </row>
    <row r="5482">
      <c r="N5482" s="5"/>
    </row>
    <row r="5483">
      <c r="N5483" s="5"/>
    </row>
    <row r="5484">
      <c r="N5484" s="5"/>
    </row>
    <row r="5485">
      <c r="N5485" s="5"/>
    </row>
    <row r="5486">
      <c r="N5486" s="5"/>
    </row>
    <row r="5487">
      <c r="N5487" s="5"/>
    </row>
    <row r="5488">
      <c r="N5488" s="5"/>
    </row>
    <row r="5489">
      <c r="N5489" s="5"/>
    </row>
    <row r="5490">
      <c r="N5490" s="5"/>
    </row>
    <row r="5491">
      <c r="N5491" s="5"/>
    </row>
    <row r="5492">
      <c r="N5492" s="5"/>
    </row>
    <row r="5493">
      <c r="N5493" s="5"/>
    </row>
    <row r="5494">
      <c r="N5494" s="5"/>
    </row>
    <row r="5495">
      <c r="N5495" s="5"/>
    </row>
    <row r="5496">
      <c r="N5496" s="5"/>
    </row>
    <row r="5497">
      <c r="N5497" s="5"/>
    </row>
    <row r="5498">
      <c r="N5498" s="5"/>
    </row>
    <row r="5499">
      <c r="N5499" s="5"/>
    </row>
    <row r="5500">
      <c r="N5500" s="5"/>
    </row>
    <row r="5501">
      <c r="N5501" s="5"/>
    </row>
    <row r="5502">
      <c r="N5502" s="5"/>
    </row>
    <row r="5503">
      <c r="N5503" s="5"/>
    </row>
    <row r="5504">
      <c r="N5504" s="5"/>
    </row>
    <row r="5505">
      <c r="N5505" s="5"/>
    </row>
    <row r="5506">
      <c r="N5506" s="5"/>
    </row>
    <row r="5507">
      <c r="N5507" s="5"/>
    </row>
    <row r="5508">
      <c r="N5508" s="5"/>
    </row>
    <row r="5509">
      <c r="N5509" s="5"/>
    </row>
    <row r="5510">
      <c r="N5510" s="5"/>
    </row>
    <row r="5511">
      <c r="N5511" s="5"/>
    </row>
    <row r="5512">
      <c r="N5512" s="5"/>
    </row>
    <row r="5513">
      <c r="N5513" s="5"/>
    </row>
    <row r="5514">
      <c r="N5514" s="5"/>
    </row>
    <row r="5515">
      <c r="N5515" s="5"/>
    </row>
    <row r="5516">
      <c r="N5516" s="5"/>
    </row>
    <row r="5517">
      <c r="N5517" s="5"/>
    </row>
    <row r="5518">
      <c r="N5518" s="5"/>
    </row>
    <row r="5519">
      <c r="N5519" s="5"/>
    </row>
    <row r="5520">
      <c r="N5520" s="5"/>
    </row>
    <row r="5521">
      <c r="N5521" s="5"/>
    </row>
    <row r="5522">
      <c r="N5522" s="5"/>
    </row>
    <row r="5523">
      <c r="N5523" s="5"/>
    </row>
    <row r="5524">
      <c r="N5524" s="5"/>
    </row>
    <row r="5525">
      <c r="N5525" s="5"/>
    </row>
    <row r="5526">
      <c r="N5526" s="5"/>
    </row>
    <row r="5527">
      <c r="N5527" s="5"/>
    </row>
    <row r="5528">
      <c r="N5528" s="5"/>
    </row>
    <row r="5529">
      <c r="N5529" s="5"/>
    </row>
    <row r="5530">
      <c r="N5530" s="5"/>
    </row>
    <row r="5531">
      <c r="N5531" s="5"/>
    </row>
    <row r="5532">
      <c r="N5532" s="5"/>
    </row>
    <row r="5533">
      <c r="N5533" s="5"/>
    </row>
    <row r="5534">
      <c r="N5534" s="5"/>
    </row>
    <row r="5535">
      <c r="N5535" s="5"/>
    </row>
    <row r="5536">
      <c r="N5536" s="5"/>
    </row>
    <row r="5537">
      <c r="N5537" s="5"/>
    </row>
    <row r="5538">
      <c r="N5538" s="5"/>
    </row>
    <row r="5539">
      <c r="N5539" s="5"/>
    </row>
    <row r="5540">
      <c r="N5540" s="5"/>
    </row>
    <row r="5541">
      <c r="N5541" s="5"/>
    </row>
    <row r="5542">
      <c r="N5542" s="5"/>
    </row>
    <row r="5543">
      <c r="N5543" s="5"/>
    </row>
    <row r="5544">
      <c r="N5544" s="5"/>
    </row>
    <row r="5545">
      <c r="N5545" s="5"/>
    </row>
    <row r="5546">
      <c r="N5546" s="5"/>
    </row>
    <row r="5547">
      <c r="N5547" s="5"/>
    </row>
    <row r="5548">
      <c r="N5548" s="5"/>
    </row>
    <row r="5549">
      <c r="N5549" s="5"/>
    </row>
    <row r="5550">
      <c r="N5550" s="5"/>
    </row>
    <row r="5551">
      <c r="N5551" s="5"/>
    </row>
    <row r="5552">
      <c r="N5552" s="5"/>
    </row>
    <row r="5553">
      <c r="N5553" s="5"/>
    </row>
    <row r="5554">
      <c r="N5554" s="5"/>
    </row>
    <row r="5555">
      <c r="N5555" s="5"/>
    </row>
    <row r="5556">
      <c r="N5556" s="5"/>
    </row>
    <row r="5557">
      <c r="N5557" s="5"/>
    </row>
    <row r="5558">
      <c r="N5558" s="5"/>
    </row>
    <row r="5559">
      <c r="N5559" s="5"/>
    </row>
    <row r="5560">
      <c r="N5560" s="5"/>
    </row>
    <row r="5561">
      <c r="N5561" s="5"/>
    </row>
    <row r="5562">
      <c r="N5562" s="5"/>
    </row>
    <row r="5563">
      <c r="N5563" s="5"/>
    </row>
    <row r="5564">
      <c r="N5564" s="5"/>
    </row>
    <row r="5565">
      <c r="N5565" s="5"/>
    </row>
    <row r="5566">
      <c r="N5566" s="5"/>
    </row>
    <row r="5567">
      <c r="N5567" s="5"/>
    </row>
    <row r="5568">
      <c r="N5568" s="5"/>
    </row>
    <row r="5569">
      <c r="N5569" s="5"/>
    </row>
    <row r="5570">
      <c r="N5570" s="5"/>
    </row>
    <row r="5571">
      <c r="N5571" s="5"/>
    </row>
    <row r="5572">
      <c r="N5572" s="5"/>
    </row>
    <row r="5573">
      <c r="N5573" s="5"/>
    </row>
    <row r="5574">
      <c r="N5574" s="5"/>
    </row>
    <row r="5575">
      <c r="N5575" s="5"/>
    </row>
    <row r="5576">
      <c r="N5576" s="5"/>
    </row>
    <row r="5577">
      <c r="N5577" s="5"/>
    </row>
    <row r="5578">
      <c r="N5578" s="5"/>
    </row>
    <row r="5579">
      <c r="N5579" s="5"/>
    </row>
    <row r="5580">
      <c r="N5580" s="5"/>
    </row>
    <row r="5581">
      <c r="N5581" s="5"/>
    </row>
    <row r="5582">
      <c r="N5582" s="5"/>
    </row>
    <row r="5583">
      <c r="N5583" s="5"/>
    </row>
    <row r="5584">
      <c r="N5584" s="5"/>
    </row>
    <row r="5585">
      <c r="N5585" s="5"/>
    </row>
    <row r="5586">
      <c r="N5586" s="5"/>
    </row>
    <row r="5587">
      <c r="N5587" s="5"/>
    </row>
    <row r="5588">
      <c r="N5588" s="5"/>
    </row>
    <row r="5589">
      <c r="N5589" s="5"/>
    </row>
    <row r="5590">
      <c r="N5590" s="5"/>
    </row>
    <row r="5591">
      <c r="N5591" s="5"/>
    </row>
    <row r="5592">
      <c r="N5592" s="5"/>
    </row>
    <row r="5593">
      <c r="N5593" s="5"/>
    </row>
    <row r="5594">
      <c r="N5594" s="5"/>
    </row>
    <row r="5595">
      <c r="N5595" s="5"/>
    </row>
    <row r="5596">
      <c r="N5596" s="5"/>
    </row>
    <row r="5597">
      <c r="N5597" s="5"/>
    </row>
    <row r="5598">
      <c r="N5598" s="5"/>
    </row>
    <row r="5599">
      <c r="N5599" s="5"/>
    </row>
    <row r="5600">
      <c r="N5600" s="5"/>
    </row>
    <row r="5601">
      <c r="N5601" s="5"/>
    </row>
    <row r="5602">
      <c r="N5602" s="5"/>
    </row>
    <row r="5603">
      <c r="N5603" s="5"/>
    </row>
    <row r="5604">
      <c r="N5604" s="5"/>
    </row>
    <row r="5605">
      <c r="N5605" s="5"/>
    </row>
    <row r="5606">
      <c r="N5606" s="5"/>
    </row>
    <row r="5607">
      <c r="N5607" s="5"/>
    </row>
    <row r="5608">
      <c r="N5608" s="5"/>
    </row>
    <row r="5609">
      <c r="N5609" s="5"/>
    </row>
    <row r="5610">
      <c r="N5610" s="5"/>
    </row>
    <row r="5611">
      <c r="N5611" s="5"/>
    </row>
    <row r="5612">
      <c r="N5612" s="5"/>
    </row>
    <row r="5613">
      <c r="N5613" s="5"/>
    </row>
    <row r="5614">
      <c r="N5614" s="5"/>
    </row>
    <row r="5615">
      <c r="N5615" s="5"/>
    </row>
    <row r="5616">
      <c r="N5616" s="5"/>
    </row>
    <row r="5617">
      <c r="N5617" s="5"/>
    </row>
    <row r="5618">
      <c r="N5618" s="5"/>
    </row>
    <row r="5619">
      <c r="N5619" s="5"/>
    </row>
    <row r="5620">
      <c r="N5620" s="5"/>
    </row>
    <row r="5621">
      <c r="N5621" s="5"/>
    </row>
    <row r="5622">
      <c r="N5622" s="5"/>
    </row>
    <row r="5623">
      <c r="N5623" s="5"/>
    </row>
    <row r="5624">
      <c r="N5624" s="5"/>
    </row>
    <row r="5625">
      <c r="N5625" s="5"/>
    </row>
    <row r="5626">
      <c r="N5626" s="5"/>
    </row>
    <row r="5627">
      <c r="N5627" s="5"/>
    </row>
    <row r="5628">
      <c r="N5628" s="5"/>
    </row>
    <row r="5629">
      <c r="N5629" s="5"/>
    </row>
    <row r="5630">
      <c r="N5630" s="5"/>
    </row>
    <row r="5631">
      <c r="N5631" s="5"/>
    </row>
    <row r="5632">
      <c r="N5632" s="5"/>
    </row>
    <row r="5633">
      <c r="N5633" s="5"/>
    </row>
    <row r="5634">
      <c r="N5634" s="5"/>
    </row>
    <row r="5635">
      <c r="N5635" s="5"/>
    </row>
    <row r="5636">
      <c r="N5636" s="5"/>
    </row>
    <row r="5637">
      <c r="N5637" s="5"/>
    </row>
    <row r="5638">
      <c r="N5638" s="5"/>
    </row>
    <row r="5639">
      <c r="N5639" s="5"/>
    </row>
    <row r="5640">
      <c r="N5640" s="5"/>
    </row>
    <row r="5641">
      <c r="N5641" s="5"/>
    </row>
    <row r="5642">
      <c r="N5642" s="5"/>
    </row>
    <row r="5643">
      <c r="N5643" s="5"/>
    </row>
    <row r="5644">
      <c r="N5644" s="5"/>
    </row>
    <row r="5645">
      <c r="N5645" s="5"/>
    </row>
    <row r="5646">
      <c r="N5646" s="5"/>
    </row>
    <row r="5647">
      <c r="N5647" s="5"/>
    </row>
    <row r="5648">
      <c r="N5648" s="5"/>
    </row>
    <row r="5649">
      <c r="N5649" s="5"/>
    </row>
    <row r="5650">
      <c r="N5650" s="5"/>
    </row>
    <row r="5651">
      <c r="N5651" s="5"/>
    </row>
    <row r="5652">
      <c r="N5652" s="5"/>
    </row>
    <row r="5653">
      <c r="N5653" s="5"/>
    </row>
    <row r="5654">
      <c r="N5654" s="5"/>
    </row>
    <row r="5655">
      <c r="N5655" s="5"/>
    </row>
    <row r="5656">
      <c r="N5656" s="5"/>
    </row>
    <row r="5657">
      <c r="N5657" s="5"/>
    </row>
    <row r="5658">
      <c r="N5658" s="5"/>
    </row>
    <row r="5659">
      <c r="N5659" s="5"/>
    </row>
    <row r="5660">
      <c r="N5660" s="5"/>
    </row>
    <row r="5661">
      <c r="N5661" s="5"/>
    </row>
    <row r="5662">
      <c r="N5662" s="5"/>
    </row>
    <row r="5663">
      <c r="N5663" s="5"/>
    </row>
    <row r="5664">
      <c r="N5664" s="5"/>
    </row>
    <row r="5665">
      <c r="N5665" s="5"/>
    </row>
    <row r="5666">
      <c r="N5666" s="5"/>
    </row>
    <row r="5667">
      <c r="N5667" s="5"/>
    </row>
    <row r="5668">
      <c r="N5668" s="5"/>
    </row>
    <row r="5669">
      <c r="N5669" s="5"/>
    </row>
    <row r="5670">
      <c r="N5670" s="5"/>
    </row>
    <row r="5671">
      <c r="N5671" s="5"/>
    </row>
    <row r="5672">
      <c r="N5672" s="5"/>
    </row>
    <row r="5673">
      <c r="N5673" s="5"/>
    </row>
    <row r="5674">
      <c r="N5674" s="5"/>
    </row>
    <row r="5675">
      <c r="N5675" s="5"/>
    </row>
    <row r="5676">
      <c r="N5676" s="5"/>
    </row>
    <row r="5677">
      <c r="N5677" s="5"/>
    </row>
    <row r="5678">
      <c r="N5678" s="5"/>
    </row>
    <row r="5679">
      <c r="N5679" s="5"/>
    </row>
    <row r="5680">
      <c r="N5680" s="5"/>
    </row>
    <row r="5681">
      <c r="N5681" s="5"/>
    </row>
    <row r="5682">
      <c r="N5682" s="5"/>
    </row>
    <row r="5683">
      <c r="N5683" s="5"/>
    </row>
    <row r="5684">
      <c r="N5684" s="5"/>
    </row>
    <row r="5685">
      <c r="N5685" s="5"/>
    </row>
    <row r="5686">
      <c r="N5686" s="5"/>
    </row>
    <row r="5687">
      <c r="N5687" s="5"/>
    </row>
    <row r="5688">
      <c r="N5688" s="5"/>
    </row>
    <row r="5689">
      <c r="N5689" s="5"/>
    </row>
    <row r="5690">
      <c r="N5690" s="5"/>
    </row>
    <row r="5691">
      <c r="N5691" s="5"/>
    </row>
    <row r="5692">
      <c r="N5692" s="5"/>
    </row>
    <row r="5693">
      <c r="N5693" s="5"/>
    </row>
    <row r="5694">
      <c r="N5694" s="5"/>
    </row>
    <row r="5695">
      <c r="N5695" s="5"/>
    </row>
    <row r="5696">
      <c r="N5696" s="5"/>
    </row>
    <row r="5697">
      <c r="N5697" s="5"/>
    </row>
    <row r="5698">
      <c r="N5698" s="5"/>
    </row>
    <row r="5699">
      <c r="N5699" s="5"/>
    </row>
    <row r="5700">
      <c r="N5700" s="5"/>
    </row>
    <row r="5701">
      <c r="N5701" s="5"/>
    </row>
    <row r="5702">
      <c r="N5702" s="5"/>
    </row>
    <row r="5703">
      <c r="N5703" s="5"/>
    </row>
    <row r="5704">
      <c r="N5704" s="5"/>
    </row>
    <row r="5705">
      <c r="N5705" s="5"/>
    </row>
    <row r="5706">
      <c r="N5706" s="5"/>
    </row>
    <row r="5707">
      <c r="N5707" s="5"/>
    </row>
    <row r="5708">
      <c r="N5708" s="5"/>
    </row>
    <row r="5709">
      <c r="N5709" s="5"/>
    </row>
    <row r="5710">
      <c r="N5710" s="5"/>
    </row>
    <row r="5711">
      <c r="N5711" s="5"/>
    </row>
    <row r="5712">
      <c r="N5712" s="5"/>
    </row>
    <row r="5713">
      <c r="N5713" s="5"/>
    </row>
    <row r="5714">
      <c r="N5714" s="5"/>
    </row>
    <row r="5715">
      <c r="N5715" s="5"/>
    </row>
    <row r="5716">
      <c r="N5716" s="5"/>
    </row>
    <row r="5717">
      <c r="N5717" s="5"/>
    </row>
    <row r="5718">
      <c r="N5718" s="5"/>
    </row>
    <row r="5719">
      <c r="N5719" s="5"/>
    </row>
    <row r="5720">
      <c r="N5720" s="5"/>
    </row>
    <row r="5721">
      <c r="N5721" s="5"/>
    </row>
    <row r="5722">
      <c r="N5722" s="5"/>
    </row>
    <row r="5723">
      <c r="N5723" s="5"/>
    </row>
    <row r="5724">
      <c r="N5724" s="5"/>
    </row>
    <row r="5725">
      <c r="N5725" s="5"/>
    </row>
    <row r="5726">
      <c r="N5726" s="5"/>
    </row>
    <row r="5727">
      <c r="N5727" s="5"/>
    </row>
    <row r="5728">
      <c r="N5728" s="5"/>
    </row>
    <row r="5729">
      <c r="N5729" s="5"/>
    </row>
    <row r="5730">
      <c r="N5730" s="5"/>
    </row>
    <row r="5731">
      <c r="N5731" s="5"/>
    </row>
    <row r="5732">
      <c r="N5732" s="5"/>
    </row>
    <row r="5733">
      <c r="N5733" s="5"/>
    </row>
    <row r="5734">
      <c r="N5734" s="5"/>
    </row>
    <row r="5735">
      <c r="N5735" s="5"/>
    </row>
    <row r="5736">
      <c r="N5736" s="5"/>
    </row>
    <row r="5737">
      <c r="N5737" s="5"/>
    </row>
    <row r="5738">
      <c r="N5738" s="5"/>
    </row>
    <row r="5739">
      <c r="N5739" s="5"/>
    </row>
    <row r="5740">
      <c r="N5740" s="5"/>
    </row>
    <row r="5741">
      <c r="N5741" s="5"/>
    </row>
    <row r="5742">
      <c r="N5742" s="5"/>
    </row>
    <row r="5743">
      <c r="N5743" s="5"/>
    </row>
    <row r="5744">
      <c r="N5744" s="5"/>
    </row>
    <row r="5745">
      <c r="N5745" s="5"/>
    </row>
    <row r="5746">
      <c r="N5746" s="5"/>
    </row>
    <row r="5747">
      <c r="N5747" s="5"/>
    </row>
    <row r="5748">
      <c r="N5748" s="5"/>
    </row>
    <row r="5749">
      <c r="N5749" s="5"/>
    </row>
    <row r="5750">
      <c r="N5750" s="5"/>
    </row>
    <row r="5751">
      <c r="N5751" s="5"/>
    </row>
    <row r="5752">
      <c r="N5752" s="5"/>
    </row>
    <row r="5753">
      <c r="N5753" s="5"/>
    </row>
    <row r="5754">
      <c r="N5754" s="5"/>
    </row>
    <row r="5755">
      <c r="N5755" s="5"/>
    </row>
    <row r="5756">
      <c r="N5756" s="5"/>
    </row>
    <row r="5757">
      <c r="N5757" s="5"/>
    </row>
    <row r="5758">
      <c r="N5758" s="5"/>
    </row>
    <row r="5759">
      <c r="N5759" s="5"/>
    </row>
    <row r="5760">
      <c r="N5760" s="5"/>
    </row>
    <row r="5761">
      <c r="N5761" s="5"/>
    </row>
    <row r="5762">
      <c r="N5762" s="5"/>
    </row>
    <row r="5763">
      <c r="N5763" s="5"/>
    </row>
    <row r="5764">
      <c r="N5764" s="5"/>
    </row>
    <row r="5765">
      <c r="N5765" s="5"/>
    </row>
    <row r="5766">
      <c r="N5766" s="5"/>
    </row>
    <row r="5767">
      <c r="N5767" s="5"/>
    </row>
    <row r="5768">
      <c r="N5768" s="5"/>
    </row>
    <row r="5769">
      <c r="N5769" s="5"/>
    </row>
    <row r="5770">
      <c r="N5770" s="5"/>
    </row>
    <row r="5771">
      <c r="N5771" s="5"/>
    </row>
    <row r="5772">
      <c r="N5772" s="5"/>
    </row>
    <row r="5773">
      <c r="N5773" s="5"/>
    </row>
    <row r="5774">
      <c r="N5774" s="5"/>
    </row>
    <row r="5775">
      <c r="N5775" s="5"/>
    </row>
    <row r="5776">
      <c r="N5776" s="5"/>
    </row>
    <row r="5777">
      <c r="N5777" s="5"/>
    </row>
    <row r="5778">
      <c r="N5778" s="5"/>
    </row>
    <row r="5779">
      <c r="N5779" s="5"/>
    </row>
    <row r="5780">
      <c r="N5780" s="5"/>
    </row>
    <row r="5781">
      <c r="N5781" s="5"/>
    </row>
    <row r="5782">
      <c r="N5782" s="5"/>
    </row>
    <row r="5783">
      <c r="N5783" s="5"/>
    </row>
    <row r="5784">
      <c r="N5784" s="5"/>
    </row>
    <row r="5785">
      <c r="N5785" s="5"/>
    </row>
    <row r="5786">
      <c r="N5786" s="5"/>
    </row>
    <row r="5787">
      <c r="N5787" s="5"/>
    </row>
    <row r="5788">
      <c r="N5788" s="5"/>
    </row>
    <row r="5789">
      <c r="N5789" s="5"/>
    </row>
    <row r="5790">
      <c r="N5790" s="5"/>
    </row>
    <row r="5791">
      <c r="N5791" s="5"/>
    </row>
    <row r="5792">
      <c r="N5792" s="5"/>
    </row>
    <row r="5793">
      <c r="N5793" s="5"/>
    </row>
    <row r="5794">
      <c r="N5794" s="5"/>
    </row>
    <row r="5795">
      <c r="N5795" s="5"/>
    </row>
    <row r="5796">
      <c r="N5796" s="5"/>
    </row>
    <row r="5797">
      <c r="N5797" s="5"/>
    </row>
    <row r="5798">
      <c r="N5798" s="5"/>
    </row>
    <row r="5799">
      <c r="N5799" s="5"/>
    </row>
    <row r="5800">
      <c r="N5800" s="5"/>
    </row>
    <row r="5801">
      <c r="N5801" s="5"/>
    </row>
    <row r="5802">
      <c r="N5802" s="5"/>
    </row>
    <row r="5803">
      <c r="N5803" s="5"/>
    </row>
    <row r="5804">
      <c r="N5804" s="5"/>
    </row>
    <row r="5805">
      <c r="N5805" s="5"/>
    </row>
    <row r="5806">
      <c r="N5806" s="5"/>
    </row>
    <row r="5807">
      <c r="N5807" s="5"/>
    </row>
    <row r="5808">
      <c r="N5808" s="5"/>
    </row>
    <row r="5809">
      <c r="N5809" s="5"/>
    </row>
    <row r="5810">
      <c r="N5810" s="5"/>
    </row>
    <row r="5811">
      <c r="N5811" s="5"/>
    </row>
    <row r="5812">
      <c r="N5812" s="5"/>
    </row>
    <row r="5813">
      <c r="N5813" s="5"/>
    </row>
    <row r="5814">
      <c r="N5814" s="5"/>
    </row>
    <row r="5815">
      <c r="N5815" s="5"/>
    </row>
    <row r="5816">
      <c r="N5816" s="5"/>
    </row>
    <row r="5817">
      <c r="N5817" s="5"/>
    </row>
    <row r="5818">
      <c r="N5818" s="5"/>
    </row>
    <row r="5819">
      <c r="N5819" s="5"/>
    </row>
    <row r="5820">
      <c r="N5820" s="5"/>
    </row>
    <row r="5821">
      <c r="N5821" s="5"/>
    </row>
    <row r="5822">
      <c r="N5822" s="5"/>
    </row>
    <row r="5823">
      <c r="N5823" s="5"/>
    </row>
    <row r="5824">
      <c r="N5824" s="5"/>
    </row>
    <row r="5825">
      <c r="N5825" s="5"/>
    </row>
    <row r="5826">
      <c r="N5826" s="5"/>
    </row>
    <row r="5827">
      <c r="N5827" s="5"/>
    </row>
    <row r="5828">
      <c r="N5828" s="5"/>
    </row>
    <row r="5829">
      <c r="N5829" s="5"/>
    </row>
    <row r="5830">
      <c r="N5830" s="5"/>
    </row>
    <row r="5831">
      <c r="N5831" s="5"/>
    </row>
    <row r="5832">
      <c r="N5832" s="5"/>
    </row>
    <row r="5833">
      <c r="N5833" s="5"/>
    </row>
    <row r="5834">
      <c r="N5834" s="5"/>
    </row>
    <row r="5835">
      <c r="N5835" s="5"/>
    </row>
    <row r="5836">
      <c r="N5836" s="5"/>
    </row>
    <row r="5837">
      <c r="N5837" s="5"/>
    </row>
    <row r="5838">
      <c r="N5838" s="5"/>
    </row>
    <row r="5839">
      <c r="N5839" s="5"/>
    </row>
    <row r="5840">
      <c r="N5840" s="5"/>
    </row>
    <row r="5841">
      <c r="N5841" s="5"/>
    </row>
    <row r="5842">
      <c r="N5842" s="5"/>
    </row>
    <row r="5843">
      <c r="N5843" s="5"/>
    </row>
    <row r="5844">
      <c r="N5844" s="5"/>
    </row>
    <row r="5845">
      <c r="N5845" s="5"/>
    </row>
    <row r="5846">
      <c r="N5846" s="5"/>
    </row>
    <row r="5847">
      <c r="N5847" s="5"/>
    </row>
    <row r="5848">
      <c r="N5848" s="5"/>
    </row>
    <row r="5849">
      <c r="N5849" s="5"/>
    </row>
    <row r="5850">
      <c r="N5850" s="5"/>
    </row>
    <row r="5851">
      <c r="N5851" s="5"/>
    </row>
    <row r="5852">
      <c r="N5852" s="5"/>
    </row>
    <row r="5853">
      <c r="N5853" s="5"/>
    </row>
    <row r="5854">
      <c r="N5854" s="5"/>
    </row>
    <row r="5855">
      <c r="N5855" s="5"/>
    </row>
    <row r="5856">
      <c r="N5856" s="5"/>
    </row>
    <row r="5857">
      <c r="N5857" s="5"/>
    </row>
    <row r="5858">
      <c r="N5858" s="5"/>
    </row>
    <row r="5859">
      <c r="N5859" s="5"/>
    </row>
    <row r="5860">
      <c r="N5860" s="5"/>
    </row>
    <row r="5861">
      <c r="N5861" s="5"/>
    </row>
    <row r="5862">
      <c r="N5862" s="5"/>
    </row>
    <row r="5863">
      <c r="N5863" s="5"/>
    </row>
    <row r="5864">
      <c r="N5864" s="5"/>
    </row>
    <row r="5865">
      <c r="N5865" s="5"/>
    </row>
    <row r="5866">
      <c r="N5866" s="5"/>
    </row>
    <row r="5867">
      <c r="N5867" s="5"/>
    </row>
    <row r="5868">
      <c r="N5868" s="5"/>
    </row>
    <row r="5869">
      <c r="N5869" s="5"/>
    </row>
    <row r="5870">
      <c r="N5870" s="5"/>
    </row>
    <row r="5871">
      <c r="N5871" s="5"/>
    </row>
    <row r="5872">
      <c r="N5872" s="5"/>
    </row>
    <row r="5873">
      <c r="N5873" s="5"/>
    </row>
    <row r="5874">
      <c r="N5874" s="5"/>
    </row>
    <row r="5875">
      <c r="N5875" s="5"/>
    </row>
    <row r="5876">
      <c r="N5876" s="5"/>
    </row>
    <row r="5877">
      <c r="N5877" s="5"/>
    </row>
    <row r="5878">
      <c r="N5878" s="5"/>
    </row>
    <row r="5879">
      <c r="N5879" s="5"/>
    </row>
    <row r="5880">
      <c r="N5880" s="5"/>
    </row>
    <row r="5881">
      <c r="N5881" s="5"/>
    </row>
    <row r="5882">
      <c r="N5882" s="5"/>
    </row>
    <row r="5883">
      <c r="N5883" s="5"/>
    </row>
    <row r="5884">
      <c r="N5884" s="5"/>
    </row>
    <row r="5885">
      <c r="N5885" s="5"/>
    </row>
    <row r="5886">
      <c r="N5886" s="5"/>
    </row>
    <row r="5887">
      <c r="N5887" s="5"/>
    </row>
    <row r="5888">
      <c r="N5888" s="5"/>
    </row>
    <row r="5889">
      <c r="N5889" s="5"/>
    </row>
    <row r="5890">
      <c r="N5890" s="5"/>
    </row>
    <row r="5891">
      <c r="N5891" s="5"/>
    </row>
    <row r="5892">
      <c r="N5892" s="5"/>
    </row>
    <row r="5893">
      <c r="N5893" s="5"/>
    </row>
    <row r="5894">
      <c r="N5894" s="5"/>
    </row>
    <row r="5895">
      <c r="N5895" s="5"/>
    </row>
    <row r="5896">
      <c r="N5896" s="5"/>
    </row>
    <row r="5897">
      <c r="N5897" s="5"/>
    </row>
    <row r="5898">
      <c r="N5898" s="5"/>
    </row>
    <row r="5899">
      <c r="N5899" s="5"/>
    </row>
    <row r="5900">
      <c r="N5900" s="5"/>
    </row>
    <row r="5901">
      <c r="N5901" s="5"/>
    </row>
    <row r="5902">
      <c r="N5902" s="5"/>
    </row>
    <row r="5903">
      <c r="N5903" s="5"/>
    </row>
    <row r="5904">
      <c r="N5904" s="5"/>
    </row>
    <row r="5905">
      <c r="N5905" s="5"/>
    </row>
    <row r="5906">
      <c r="N5906" s="5"/>
    </row>
    <row r="5907">
      <c r="N5907" s="5"/>
    </row>
    <row r="5908">
      <c r="N5908" s="5"/>
    </row>
    <row r="5909">
      <c r="N5909" s="5"/>
    </row>
    <row r="5910">
      <c r="N5910" s="5"/>
    </row>
    <row r="5911">
      <c r="N5911" s="5"/>
    </row>
    <row r="5912">
      <c r="N5912" s="5"/>
    </row>
    <row r="5913">
      <c r="N5913" s="5"/>
    </row>
    <row r="5914">
      <c r="N5914" s="5"/>
    </row>
    <row r="5915">
      <c r="N5915" s="5"/>
    </row>
    <row r="5916">
      <c r="N5916" s="5"/>
    </row>
    <row r="5917">
      <c r="N5917" s="5"/>
    </row>
    <row r="5918">
      <c r="N5918" s="5"/>
    </row>
    <row r="5919">
      <c r="N5919" s="5"/>
    </row>
    <row r="5920">
      <c r="N5920" s="5"/>
    </row>
    <row r="5921">
      <c r="N5921" s="5"/>
    </row>
    <row r="5922">
      <c r="N5922" s="5"/>
    </row>
    <row r="5923">
      <c r="N5923" s="5"/>
    </row>
    <row r="5924">
      <c r="N5924" s="5"/>
    </row>
    <row r="5925">
      <c r="N5925" s="5"/>
    </row>
    <row r="5926">
      <c r="N5926" s="5"/>
    </row>
    <row r="5927">
      <c r="N5927" s="5"/>
    </row>
    <row r="5928">
      <c r="N5928" s="5"/>
    </row>
    <row r="5929">
      <c r="N5929" s="5"/>
    </row>
    <row r="5930">
      <c r="N5930" s="5"/>
    </row>
    <row r="5931">
      <c r="N5931" s="5"/>
    </row>
    <row r="5932">
      <c r="N5932" s="5"/>
    </row>
    <row r="5933">
      <c r="N5933" s="5"/>
    </row>
    <row r="5934">
      <c r="N5934" s="5"/>
    </row>
    <row r="5935">
      <c r="N5935" s="5"/>
    </row>
    <row r="5936">
      <c r="N5936" s="5"/>
    </row>
    <row r="5937">
      <c r="N5937" s="5"/>
    </row>
    <row r="5938">
      <c r="N5938" s="5"/>
    </row>
    <row r="5939">
      <c r="N5939" s="5"/>
    </row>
    <row r="5940">
      <c r="N5940" s="5"/>
    </row>
    <row r="5941">
      <c r="N5941" s="5"/>
    </row>
    <row r="5942">
      <c r="N5942" s="5"/>
    </row>
    <row r="5943">
      <c r="N5943" s="5"/>
    </row>
    <row r="5944">
      <c r="N5944" s="5"/>
    </row>
    <row r="5945">
      <c r="N5945" s="5"/>
    </row>
    <row r="5946">
      <c r="N5946" s="5"/>
    </row>
    <row r="5947">
      <c r="N5947" s="5"/>
    </row>
    <row r="5948">
      <c r="N5948" s="5"/>
    </row>
    <row r="5949">
      <c r="N5949" s="5"/>
    </row>
    <row r="5950">
      <c r="N5950" s="5"/>
    </row>
    <row r="5951">
      <c r="N5951" s="5"/>
    </row>
    <row r="5952">
      <c r="N5952" s="5"/>
    </row>
    <row r="5953">
      <c r="N5953" s="5"/>
    </row>
    <row r="5954">
      <c r="N5954" s="5"/>
    </row>
    <row r="5955">
      <c r="N5955" s="5"/>
    </row>
    <row r="5956">
      <c r="N5956" s="5"/>
    </row>
    <row r="5957">
      <c r="N5957" s="5"/>
    </row>
    <row r="5958">
      <c r="N5958" s="5"/>
    </row>
    <row r="5959">
      <c r="N5959" s="5"/>
    </row>
    <row r="5960">
      <c r="N5960" s="5"/>
    </row>
    <row r="5961">
      <c r="N5961" s="5"/>
    </row>
    <row r="5962">
      <c r="N5962" s="5"/>
    </row>
    <row r="5963">
      <c r="N5963" s="5"/>
    </row>
    <row r="5964">
      <c r="N5964" s="5"/>
    </row>
    <row r="5965">
      <c r="N5965" s="5"/>
    </row>
    <row r="5966">
      <c r="N5966" s="5"/>
    </row>
    <row r="5967">
      <c r="N5967" s="5"/>
    </row>
    <row r="5968">
      <c r="N5968" s="5"/>
    </row>
    <row r="5969">
      <c r="N5969" s="5"/>
    </row>
    <row r="5970">
      <c r="N5970" s="5"/>
    </row>
    <row r="5971">
      <c r="N5971" s="5"/>
    </row>
    <row r="5972">
      <c r="N5972" s="5"/>
    </row>
    <row r="5973">
      <c r="N5973" s="5"/>
    </row>
    <row r="5974">
      <c r="N5974" s="5"/>
    </row>
    <row r="5975">
      <c r="N5975" s="5"/>
    </row>
    <row r="5976">
      <c r="N5976" s="5"/>
    </row>
    <row r="5977">
      <c r="N5977" s="5"/>
    </row>
    <row r="5978">
      <c r="N5978" s="5"/>
    </row>
    <row r="5979">
      <c r="N5979" s="5"/>
    </row>
    <row r="5980">
      <c r="N5980" s="5"/>
    </row>
    <row r="5981">
      <c r="N5981" s="5"/>
    </row>
    <row r="5982">
      <c r="N5982" s="5"/>
    </row>
    <row r="5983">
      <c r="N5983" s="5"/>
    </row>
    <row r="5984">
      <c r="N5984" s="5"/>
    </row>
    <row r="5985">
      <c r="N5985" s="5"/>
    </row>
    <row r="5986">
      <c r="N5986" s="5"/>
    </row>
    <row r="5987">
      <c r="N5987" s="5"/>
    </row>
    <row r="5988">
      <c r="N5988" s="5"/>
    </row>
    <row r="5989">
      <c r="N5989" s="5"/>
    </row>
    <row r="5990">
      <c r="N5990" s="5"/>
    </row>
    <row r="5991">
      <c r="N5991" s="5"/>
    </row>
    <row r="5992">
      <c r="N5992" s="5"/>
    </row>
    <row r="5993">
      <c r="N5993" s="5"/>
    </row>
    <row r="5994">
      <c r="N5994" s="5"/>
    </row>
    <row r="5995">
      <c r="N5995" s="5"/>
    </row>
    <row r="5996">
      <c r="N5996" s="5"/>
    </row>
    <row r="5997">
      <c r="N5997" s="5"/>
    </row>
    <row r="5998">
      <c r="N5998" s="5"/>
    </row>
    <row r="5999">
      <c r="N5999" s="5"/>
    </row>
    <row r="6000">
      <c r="N6000" s="5"/>
    </row>
    <row r="6001">
      <c r="N6001" s="5"/>
    </row>
    <row r="6002">
      <c r="N6002" s="5"/>
    </row>
    <row r="6003">
      <c r="N6003" s="5"/>
    </row>
    <row r="6004">
      <c r="N6004" s="5"/>
    </row>
    <row r="6005">
      <c r="N6005" s="5"/>
    </row>
    <row r="6006">
      <c r="N6006" s="5"/>
    </row>
    <row r="6007">
      <c r="N6007" s="5"/>
    </row>
    <row r="6008">
      <c r="N6008" s="5"/>
    </row>
    <row r="6009">
      <c r="N6009" s="5"/>
    </row>
    <row r="6010">
      <c r="N6010" s="5"/>
    </row>
    <row r="6011">
      <c r="N6011" s="5"/>
    </row>
    <row r="6012">
      <c r="N6012" s="5"/>
    </row>
    <row r="6013">
      <c r="N6013" s="5"/>
    </row>
    <row r="6014">
      <c r="N6014" s="5"/>
    </row>
    <row r="6015">
      <c r="N6015" s="5"/>
    </row>
    <row r="6016">
      <c r="N6016" s="5"/>
    </row>
    <row r="6017">
      <c r="N6017" s="5"/>
    </row>
    <row r="6018">
      <c r="N6018" s="5"/>
    </row>
    <row r="6019">
      <c r="N6019" s="5"/>
    </row>
    <row r="6020">
      <c r="N6020" s="5"/>
    </row>
    <row r="6021">
      <c r="N6021" s="5"/>
    </row>
    <row r="6022">
      <c r="N6022" s="5"/>
    </row>
    <row r="6023">
      <c r="N6023" s="5"/>
    </row>
    <row r="6024">
      <c r="N6024" s="5"/>
    </row>
    <row r="6025">
      <c r="N6025" s="5"/>
    </row>
    <row r="6026">
      <c r="N6026" s="5"/>
    </row>
    <row r="6027">
      <c r="N6027" s="5"/>
    </row>
    <row r="6028">
      <c r="N6028" s="5"/>
    </row>
    <row r="6029">
      <c r="N6029" s="5"/>
    </row>
    <row r="6030">
      <c r="N6030" s="5"/>
    </row>
    <row r="6031">
      <c r="N6031" s="5"/>
    </row>
    <row r="6032">
      <c r="N6032" s="5"/>
    </row>
    <row r="6033">
      <c r="N6033" s="5"/>
    </row>
    <row r="6034">
      <c r="N6034" s="5"/>
    </row>
    <row r="6035">
      <c r="N6035" s="5"/>
    </row>
    <row r="6036">
      <c r="N6036" s="5"/>
    </row>
    <row r="6037">
      <c r="N6037" s="5"/>
    </row>
    <row r="6038">
      <c r="N6038" s="5"/>
    </row>
    <row r="6039">
      <c r="N6039" s="5"/>
    </row>
    <row r="6040">
      <c r="N6040" s="5"/>
    </row>
    <row r="6041">
      <c r="N6041" s="5"/>
    </row>
    <row r="6042">
      <c r="N6042" s="5"/>
    </row>
    <row r="6043">
      <c r="N6043" s="5"/>
    </row>
    <row r="6044">
      <c r="N6044" s="5"/>
    </row>
    <row r="6045">
      <c r="N6045" s="5"/>
    </row>
    <row r="6046">
      <c r="N6046" s="5"/>
    </row>
    <row r="6047">
      <c r="N6047" s="5"/>
    </row>
    <row r="6048">
      <c r="N6048" s="5"/>
    </row>
    <row r="6049">
      <c r="N6049" s="5"/>
    </row>
    <row r="6050">
      <c r="N6050" s="5"/>
    </row>
    <row r="6051">
      <c r="N6051" s="5"/>
    </row>
    <row r="6052">
      <c r="N6052" s="5"/>
    </row>
    <row r="6053">
      <c r="N6053" s="5"/>
    </row>
    <row r="6054">
      <c r="N6054" s="5"/>
    </row>
    <row r="6055">
      <c r="N6055" s="5"/>
    </row>
    <row r="6056">
      <c r="N6056" s="5"/>
    </row>
    <row r="6057">
      <c r="N6057" s="5"/>
    </row>
    <row r="6058">
      <c r="N6058" s="5"/>
    </row>
    <row r="6059">
      <c r="N6059" s="5"/>
    </row>
    <row r="6060">
      <c r="N6060" s="5"/>
    </row>
    <row r="6061">
      <c r="N6061" s="5"/>
    </row>
    <row r="6062">
      <c r="N6062" s="5"/>
    </row>
    <row r="6063">
      <c r="N6063" s="5"/>
    </row>
    <row r="6064">
      <c r="N6064" s="5"/>
    </row>
    <row r="6065">
      <c r="N6065" s="5"/>
    </row>
    <row r="6066">
      <c r="N6066" s="5"/>
    </row>
    <row r="6067">
      <c r="N6067" s="5"/>
    </row>
    <row r="6068">
      <c r="N6068" s="5"/>
    </row>
    <row r="6069">
      <c r="N6069" s="5"/>
    </row>
    <row r="6070">
      <c r="N6070" s="5"/>
    </row>
    <row r="6071">
      <c r="N6071" s="5"/>
    </row>
    <row r="6072">
      <c r="N6072" s="5"/>
    </row>
    <row r="6073">
      <c r="N6073" s="5"/>
    </row>
    <row r="6074">
      <c r="N6074" s="5"/>
    </row>
    <row r="6075">
      <c r="N6075" s="5"/>
    </row>
    <row r="6076">
      <c r="N6076" s="5"/>
    </row>
    <row r="6077">
      <c r="N6077" s="5"/>
    </row>
    <row r="6078">
      <c r="N6078" s="5"/>
    </row>
    <row r="6079">
      <c r="N6079" s="5"/>
    </row>
    <row r="6080">
      <c r="N6080" s="5"/>
    </row>
    <row r="6081">
      <c r="N6081" s="5"/>
    </row>
    <row r="6082">
      <c r="N6082" s="5"/>
    </row>
    <row r="6083">
      <c r="N6083" s="5"/>
    </row>
    <row r="6084">
      <c r="N6084" s="5"/>
    </row>
    <row r="6085">
      <c r="N6085" s="5"/>
    </row>
    <row r="6086">
      <c r="N6086" s="5"/>
    </row>
    <row r="6087">
      <c r="N6087" s="5"/>
    </row>
    <row r="6088">
      <c r="N6088" s="5"/>
    </row>
    <row r="6089">
      <c r="N6089" s="5"/>
    </row>
    <row r="6090">
      <c r="N6090" s="5"/>
    </row>
    <row r="6091">
      <c r="N6091" s="5"/>
    </row>
    <row r="6092">
      <c r="N6092" s="5"/>
    </row>
    <row r="6093">
      <c r="N6093" s="5"/>
    </row>
    <row r="6094">
      <c r="N6094" s="5"/>
    </row>
    <row r="6095">
      <c r="N6095" s="5"/>
    </row>
    <row r="6096">
      <c r="N6096" s="5"/>
    </row>
    <row r="6097">
      <c r="N6097" s="5"/>
    </row>
    <row r="6098">
      <c r="N6098" s="5"/>
    </row>
    <row r="6099">
      <c r="N6099" s="5"/>
    </row>
    <row r="6100">
      <c r="N6100" s="5"/>
    </row>
    <row r="6101">
      <c r="N6101" s="5"/>
    </row>
    <row r="6102">
      <c r="N6102" s="5"/>
    </row>
    <row r="6103">
      <c r="N6103" s="5"/>
    </row>
    <row r="6104">
      <c r="N6104" s="5"/>
    </row>
    <row r="6105">
      <c r="N6105" s="5"/>
    </row>
    <row r="6106">
      <c r="N6106" s="5"/>
    </row>
    <row r="6107">
      <c r="N6107" s="5"/>
    </row>
    <row r="6108">
      <c r="N6108" s="5"/>
    </row>
    <row r="6109">
      <c r="N6109" s="5"/>
    </row>
    <row r="6110">
      <c r="N6110" s="5"/>
    </row>
    <row r="6111">
      <c r="N6111" s="5"/>
    </row>
    <row r="6112">
      <c r="N6112" s="5"/>
    </row>
    <row r="6113">
      <c r="N6113" s="5"/>
    </row>
    <row r="6114">
      <c r="N6114" s="5"/>
    </row>
    <row r="6115">
      <c r="N6115" s="5"/>
    </row>
    <row r="6116">
      <c r="N6116" s="5"/>
    </row>
    <row r="6117">
      <c r="N6117" s="5"/>
    </row>
    <row r="6118">
      <c r="N6118" s="5"/>
    </row>
    <row r="6119">
      <c r="N6119" s="5"/>
    </row>
    <row r="6120">
      <c r="N6120" s="5"/>
    </row>
    <row r="6121">
      <c r="N6121" s="5"/>
    </row>
    <row r="6122">
      <c r="N6122" s="5"/>
    </row>
    <row r="6123">
      <c r="N6123" s="5"/>
    </row>
    <row r="6124">
      <c r="N6124" s="5"/>
    </row>
    <row r="6125">
      <c r="N6125" s="5"/>
    </row>
    <row r="6126">
      <c r="N6126" s="5"/>
    </row>
    <row r="6127">
      <c r="N6127" s="5"/>
    </row>
    <row r="6128">
      <c r="N6128" s="5"/>
    </row>
    <row r="6129">
      <c r="N6129" s="5"/>
    </row>
    <row r="6130">
      <c r="N6130" s="5"/>
    </row>
    <row r="6131">
      <c r="N6131" s="5"/>
    </row>
    <row r="6132">
      <c r="N6132" s="5"/>
    </row>
    <row r="6133">
      <c r="N6133" s="5"/>
    </row>
    <row r="6134">
      <c r="N6134" s="5"/>
    </row>
    <row r="6135">
      <c r="N6135" s="5"/>
    </row>
    <row r="6136">
      <c r="N6136" s="5"/>
    </row>
    <row r="6137">
      <c r="N6137" s="5"/>
    </row>
    <row r="6138">
      <c r="N6138" s="5"/>
    </row>
    <row r="6139">
      <c r="N6139" s="5"/>
    </row>
    <row r="6140">
      <c r="N6140" s="5"/>
    </row>
    <row r="6141">
      <c r="N6141" s="5"/>
    </row>
    <row r="6142">
      <c r="N6142" s="5"/>
    </row>
    <row r="6143">
      <c r="N6143" s="5"/>
    </row>
    <row r="6144">
      <c r="N6144" s="5"/>
    </row>
    <row r="6145">
      <c r="N6145" s="5"/>
    </row>
    <row r="6146">
      <c r="N6146" s="5"/>
    </row>
    <row r="6147">
      <c r="N6147" s="5"/>
    </row>
    <row r="6148">
      <c r="N6148" s="5"/>
    </row>
    <row r="6149">
      <c r="N6149" s="5"/>
    </row>
    <row r="6150">
      <c r="N6150" s="5"/>
    </row>
    <row r="6151">
      <c r="N6151" s="5"/>
    </row>
    <row r="6152">
      <c r="N6152" s="5"/>
    </row>
    <row r="6153">
      <c r="N6153" s="5"/>
    </row>
    <row r="6154">
      <c r="N6154" s="5"/>
    </row>
    <row r="6155">
      <c r="N6155" s="5"/>
    </row>
    <row r="6156">
      <c r="N6156" s="5"/>
    </row>
    <row r="6157">
      <c r="N6157" s="5"/>
    </row>
    <row r="6158">
      <c r="N6158" s="5"/>
    </row>
    <row r="6159">
      <c r="N6159" s="5"/>
    </row>
    <row r="6160">
      <c r="N6160" s="5"/>
    </row>
    <row r="6161">
      <c r="N6161" s="5"/>
    </row>
    <row r="6162">
      <c r="N6162" s="5"/>
    </row>
    <row r="6163">
      <c r="N6163" s="5"/>
    </row>
    <row r="6164">
      <c r="N6164" s="5"/>
    </row>
    <row r="6165">
      <c r="N6165" s="5"/>
    </row>
    <row r="6166">
      <c r="N6166" s="5"/>
    </row>
    <row r="6167">
      <c r="N6167" s="5"/>
    </row>
    <row r="6168">
      <c r="N6168" s="5"/>
    </row>
    <row r="6169">
      <c r="N6169" s="5"/>
    </row>
    <row r="6170">
      <c r="N6170" s="5"/>
    </row>
    <row r="6171">
      <c r="N6171" s="5"/>
    </row>
    <row r="6172">
      <c r="N6172" s="5"/>
    </row>
    <row r="6173">
      <c r="N6173" s="5"/>
    </row>
    <row r="6174">
      <c r="N6174" s="5"/>
    </row>
    <row r="6175">
      <c r="N6175" s="5"/>
    </row>
    <row r="6176">
      <c r="N6176" s="5"/>
    </row>
    <row r="6177">
      <c r="N6177" s="5"/>
    </row>
    <row r="6178">
      <c r="N6178" s="5"/>
    </row>
    <row r="6179">
      <c r="N6179" s="5"/>
    </row>
    <row r="6180">
      <c r="N6180" s="5"/>
    </row>
    <row r="6181">
      <c r="N6181" s="5"/>
    </row>
    <row r="6182">
      <c r="N6182" s="5"/>
    </row>
    <row r="6183">
      <c r="N6183" s="5"/>
    </row>
    <row r="6184">
      <c r="N6184" s="5"/>
    </row>
    <row r="6185">
      <c r="N6185" s="5"/>
    </row>
    <row r="6186">
      <c r="N6186" s="5"/>
    </row>
    <row r="6187">
      <c r="N6187" s="5"/>
    </row>
    <row r="6188">
      <c r="N6188" s="5"/>
    </row>
    <row r="6189">
      <c r="N6189" s="5"/>
    </row>
    <row r="6190">
      <c r="N6190" s="5"/>
    </row>
    <row r="6191">
      <c r="N6191" s="5"/>
    </row>
    <row r="6192">
      <c r="N6192" s="5"/>
    </row>
    <row r="6193">
      <c r="N6193" s="5"/>
    </row>
    <row r="6194">
      <c r="N6194" s="5"/>
    </row>
    <row r="6195">
      <c r="N6195" s="5"/>
    </row>
    <row r="6196">
      <c r="N6196" s="5"/>
    </row>
    <row r="6197">
      <c r="N6197" s="5"/>
    </row>
    <row r="6198">
      <c r="N6198" s="5"/>
    </row>
    <row r="6199">
      <c r="N6199" s="5"/>
    </row>
    <row r="6200">
      <c r="N6200" s="5"/>
    </row>
    <row r="6201">
      <c r="N6201" s="5"/>
    </row>
    <row r="6202">
      <c r="N6202" s="5"/>
    </row>
    <row r="6203">
      <c r="N6203" s="5"/>
    </row>
    <row r="6204">
      <c r="N6204" s="5"/>
    </row>
    <row r="6205">
      <c r="N6205" s="5"/>
    </row>
    <row r="6206">
      <c r="N6206" s="5"/>
    </row>
    <row r="6207">
      <c r="N6207" s="5"/>
    </row>
    <row r="6208">
      <c r="N6208" s="5"/>
    </row>
    <row r="6209">
      <c r="N6209" s="5"/>
    </row>
    <row r="6210">
      <c r="N6210" s="5"/>
    </row>
    <row r="6211">
      <c r="N6211" s="5"/>
    </row>
    <row r="6212">
      <c r="N6212" s="5"/>
    </row>
    <row r="6213">
      <c r="N6213" s="5"/>
    </row>
    <row r="6214">
      <c r="N6214" s="5"/>
    </row>
    <row r="6215">
      <c r="N6215" s="5"/>
    </row>
    <row r="6216">
      <c r="N6216" s="5"/>
    </row>
    <row r="6217">
      <c r="N6217" s="5"/>
    </row>
    <row r="6218">
      <c r="N6218" s="5"/>
    </row>
    <row r="6219">
      <c r="N6219" s="5"/>
    </row>
    <row r="6220">
      <c r="N6220" s="5"/>
    </row>
    <row r="6221">
      <c r="N6221" s="5"/>
    </row>
    <row r="6222">
      <c r="N6222" s="5"/>
    </row>
    <row r="6223">
      <c r="N6223" s="5"/>
    </row>
    <row r="6224">
      <c r="N6224" s="5"/>
    </row>
    <row r="6225">
      <c r="N6225" s="5"/>
    </row>
    <row r="6226">
      <c r="N6226" s="5"/>
    </row>
    <row r="6227">
      <c r="N6227" s="5"/>
    </row>
    <row r="6228">
      <c r="N6228" s="5"/>
    </row>
    <row r="6229">
      <c r="N6229" s="5"/>
    </row>
    <row r="6230">
      <c r="N6230" s="5"/>
    </row>
    <row r="6231">
      <c r="N6231" s="5"/>
    </row>
    <row r="6232">
      <c r="N6232" s="5"/>
    </row>
    <row r="6233">
      <c r="N6233" s="5"/>
    </row>
    <row r="6234">
      <c r="N6234" s="5"/>
    </row>
    <row r="6235">
      <c r="N6235" s="5"/>
    </row>
    <row r="6236">
      <c r="N6236" s="5"/>
    </row>
    <row r="6237">
      <c r="N6237" s="5"/>
    </row>
    <row r="6238">
      <c r="N6238" s="5"/>
    </row>
    <row r="6239">
      <c r="N6239" s="5"/>
    </row>
    <row r="6240">
      <c r="N6240" s="5"/>
    </row>
    <row r="6241">
      <c r="N6241" s="5"/>
    </row>
    <row r="6242">
      <c r="N6242" s="5"/>
    </row>
    <row r="6243">
      <c r="N6243" s="5"/>
    </row>
    <row r="6244">
      <c r="N6244" s="5"/>
    </row>
    <row r="6245">
      <c r="N6245" s="5"/>
    </row>
    <row r="6246">
      <c r="N6246" s="5"/>
    </row>
    <row r="6247">
      <c r="N6247" s="5"/>
    </row>
    <row r="6248">
      <c r="N6248" s="5"/>
    </row>
    <row r="6249">
      <c r="N6249" s="5"/>
    </row>
    <row r="6250">
      <c r="N6250" s="5"/>
    </row>
    <row r="6251">
      <c r="N6251" s="5"/>
    </row>
    <row r="6252">
      <c r="N6252" s="5"/>
    </row>
    <row r="6253">
      <c r="N6253" s="5"/>
    </row>
    <row r="6254">
      <c r="N6254" s="5"/>
    </row>
    <row r="6255">
      <c r="N6255" s="5"/>
    </row>
    <row r="6256">
      <c r="N6256" s="5"/>
    </row>
    <row r="6257">
      <c r="N6257" s="5"/>
    </row>
    <row r="6258">
      <c r="N6258" s="5"/>
    </row>
    <row r="6259">
      <c r="N6259" s="5"/>
    </row>
    <row r="6260">
      <c r="N6260" s="5"/>
    </row>
    <row r="6261">
      <c r="N6261" s="5"/>
    </row>
    <row r="6262">
      <c r="N6262" s="5"/>
    </row>
    <row r="6263">
      <c r="N6263" s="5"/>
    </row>
    <row r="6264">
      <c r="N6264" s="5"/>
    </row>
    <row r="6265">
      <c r="N6265" s="5"/>
    </row>
    <row r="6266">
      <c r="N6266" s="5"/>
    </row>
    <row r="6267">
      <c r="N6267" s="5"/>
    </row>
    <row r="6268">
      <c r="N6268" s="5"/>
    </row>
    <row r="6269">
      <c r="N6269" s="5"/>
    </row>
    <row r="6270">
      <c r="N6270" s="5"/>
    </row>
    <row r="6271">
      <c r="N6271" s="5"/>
    </row>
    <row r="6272">
      <c r="N6272" s="5"/>
    </row>
    <row r="6273">
      <c r="N6273" s="5"/>
    </row>
    <row r="6274">
      <c r="N6274" s="5"/>
    </row>
    <row r="6275">
      <c r="N6275" s="5"/>
    </row>
    <row r="6276">
      <c r="N6276" s="5"/>
    </row>
    <row r="6277">
      <c r="N6277" s="5"/>
    </row>
    <row r="6278">
      <c r="N6278" s="5"/>
    </row>
    <row r="6279">
      <c r="N6279" s="5"/>
    </row>
    <row r="6280">
      <c r="N6280" s="5"/>
    </row>
    <row r="6281">
      <c r="N6281" s="5"/>
    </row>
    <row r="6282">
      <c r="N6282" s="5"/>
    </row>
    <row r="6283">
      <c r="N6283" s="5"/>
    </row>
    <row r="6284">
      <c r="N6284" s="5"/>
    </row>
    <row r="6285">
      <c r="N6285" s="5"/>
    </row>
    <row r="6286">
      <c r="N6286" s="5"/>
    </row>
    <row r="6287">
      <c r="N6287" s="5"/>
    </row>
    <row r="6288">
      <c r="N6288" s="5"/>
    </row>
    <row r="6289">
      <c r="N6289" s="5"/>
    </row>
    <row r="6290">
      <c r="N6290" s="5"/>
    </row>
    <row r="6291">
      <c r="N6291" s="5"/>
    </row>
    <row r="6292">
      <c r="N6292" s="5"/>
    </row>
    <row r="6293">
      <c r="N6293" s="5"/>
    </row>
    <row r="6294">
      <c r="N6294" s="5"/>
    </row>
    <row r="6295">
      <c r="N6295" s="5"/>
    </row>
    <row r="6296">
      <c r="N6296" s="5"/>
    </row>
    <row r="6297">
      <c r="N6297" s="5"/>
    </row>
    <row r="6298">
      <c r="N6298" s="5"/>
    </row>
    <row r="6299">
      <c r="N6299" s="5"/>
    </row>
    <row r="6300">
      <c r="N6300" s="5"/>
    </row>
    <row r="6301">
      <c r="N6301" s="5"/>
    </row>
    <row r="6302">
      <c r="N6302" s="5"/>
    </row>
    <row r="6303">
      <c r="N6303" s="5"/>
    </row>
    <row r="6304">
      <c r="N6304" s="5"/>
    </row>
    <row r="6305">
      <c r="N6305" s="5"/>
    </row>
    <row r="6306">
      <c r="N6306" s="5"/>
    </row>
    <row r="6307">
      <c r="N6307" s="5"/>
    </row>
    <row r="6308">
      <c r="N6308" s="5"/>
    </row>
    <row r="6309">
      <c r="N6309" s="5"/>
    </row>
    <row r="6310">
      <c r="N6310" s="5"/>
    </row>
    <row r="6311">
      <c r="N6311" s="5"/>
    </row>
    <row r="6312">
      <c r="N6312" s="5"/>
    </row>
    <row r="6313">
      <c r="N6313" s="5"/>
    </row>
    <row r="6314">
      <c r="N6314" s="5"/>
    </row>
    <row r="6315">
      <c r="N6315" s="5"/>
    </row>
    <row r="6316">
      <c r="N6316" s="5"/>
    </row>
    <row r="6317">
      <c r="N6317" s="5"/>
    </row>
    <row r="6318">
      <c r="N6318" s="5"/>
    </row>
    <row r="6319">
      <c r="N6319" s="5"/>
    </row>
    <row r="6320">
      <c r="N6320" s="5"/>
    </row>
    <row r="6321">
      <c r="N6321" s="5"/>
    </row>
    <row r="6322">
      <c r="N6322" s="5"/>
    </row>
    <row r="6323">
      <c r="N6323" s="5"/>
    </row>
    <row r="6324">
      <c r="N6324" s="5"/>
    </row>
    <row r="6325">
      <c r="N6325" s="5"/>
    </row>
    <row r="6326">
      <c r="N6326" s="5"/>
    </row>
    <row r="6327">
      <c r="N6327" s="5"/>
    </row>
    <row r="6328">
      <c r="N6328" s="5"/>
    </row>
    <row r="6329">
      <c r="N6329" s="5"/>
    </row>
    <row r="6330">
      <c r="N6330" s="5"/>
    </row>
    <row r="6331">
      <c r="N6331" s="5"/>
    </row>
    <row r="6332">
      <c r="N6332" s="5"/>
    </row>
    <row r="6333">
      <c r="N6333" s="5"/>
    </row>
    <row r="6334">
      <c r="N6334" s="5"/>
    </row>
    <row r="6335">
      <c r="N6335" s="5"/>
    </row>
    <row r="6336">
      <c r="N6336" s="5"/>
    </row>
    <row r="6337">
      <c r="N6337" s="5"/>
    </row>
    <row r="6338">
      <c r="N6338" s="5"/>
    </row>
    <row r="6339">
      <c r="N6339" s="5"/>
    </row>
    <row r="6340">
      <c r="N6340" s="5"/>
    </row>
    <row r="6341">
      <c r="N6341" s="5"/>
    </row>
    <row r="6342">
      <c r="N6342" s="5"/>
    </row>
    <row r="6343">
      <c r="N6343" s="5"/>
    </row>
    <row r="6344">
      <c r="N6344" s="5"/>
    </row>
    <row r="6345">
      <c r="N6345" s="5"/>
    </row>
    <row r="6346">
      <c r="N6346" s="5"/>
    </row>
    <row r="6347">
      <c r="N6347" s="5"/>
    </row>
    <row r="6348">
      <c r="N6348" s="5"/>
    </row>
    <row r="6349">
      <c r="N6349" s="5"/>
    </row>
    <row r="6350">
      <c r="N6350" s="5"/>
    </row>
    <row r="6351">
      <c r="N6351" s="5"/>
    </row>
    <row r="6352">
      <c r="N6352" s="5"/>
    </row>
    <row r="6353">
      <c r="N6353" s="5"/>
    </row>
    <row r="6354">
      <c r="N6354" s="5"/>
    </row>
    <row r="6355">
      <c r="N6355" s="5"/>
    </row>
    <row r="6356">
      <c r="N6356" s="5"/>
    </row>
    <row r="6357">
      <c r="N6357" s="5"/>
    </row>
    <row r="6358">
      <c r="N6358" s="5"/>
    </row>
    <row r="6359">
      <c r="N6359" s="5"/>
    </row>
    <row r="6360">
      <c r="N6360" s="5"/>
    </row>
    <row r="6361">
      <c r="N6361" s="5"/>
    </row>
    <row r="6362">
      <c r="N6362" s="5"/>
    </row>
    <row r="6363">
      <c r="N6363" s="5"/>
    </row>
    <row r="6364">
      <c r="N6364" s="5"/>
    </row>
    <row r="6365">
      <c r="N6365" s="5"/>
    </row>
    <row r="6366">
      <c r="N6366" s="5"/>
    </row>
    <row r="6367">
      <c r="N6367" s="5"/>
    </row>
    <row r="6368">
      <c r="N6368" s="5"/>
    </row>
    <row r="6369">
      <c r="N6369" s="5"/>
    </row>
    <row r="6370">
      <c r="N6370" s="5"/>
    </row>
    <row r="6371">
      <c r="N6371" s="5"/>
    </row>
    <row r="6372">
      <c r="N6372" s="5"/>
    </row>
    <row r="6373">
      <c r="N6373" s="5"/>
    </row>
    <row r="6374">
      <c r="N6374" s="5"/>
    </row>
    <row r="6375">
      <c r="N6375" s="5"/>
    </row>
    <row r="6376">
      <c r="N6376" s="5"/>
    </row>
    <row r="6377">
      <c r="N6377" s="5"/>
    </row>
    <row r="6378">
      <c r="N6378" s="5"/>
    </row>
    <row r="6379">
      <c r="N6379" s="5"/>
    </row>
    <row r="6380">
      <c r="N6380" s="5"/>
    </row>
    <row r="6381">
      <c r="N6381" s="5"/>
    </row>
    <row r="6382">
      <c r="N6382" s="5"/>
    </row>
    <row r="6383">
      <c r="N6383" s="5"/>
    </row>
    <row r="6384">
      <c r="N6384" s="5"/>
    </row>
    <row r="6385">
      <c r="N6385" s="5"/>
    </row>
    <row r="6386">
      <c r="N6386" s="5"/>
    </row>
    <row r="6387">
      <c r="N6387" s="5"/>
    </row>
    <row r="6388">
      <c r="N6388" s="5"/>
    </row>
    <row r="6389">
      <c r="N6389" s="5"/>
    </row>
    <row r="6390">
      <c r="N6390" s="5"/>
    </row>
    <row r="6391">
      <c r="N6391" s="5"/>
    </row>
    <row r="6392">
      <c r="N6392" s="5"/>
    </row>
    <row r="6393">
      <c r="N6393" s="5"/>
    </row>
    <row r="6394">
      <c r="N6394" s="5"/>
    </row>
    <row r="6395">
      <c r="N6395" s="5"/>
    </row>
    <row r="6396">
      <c r="N6396" s="5"/>
    </row>
    <row r="6397">
      <c r="N6397" s="5"/>
    </row>
    <row r="6398">
      <c r="N6398" s="5"/>
    </row>
    <row r="6399">
      <c r="N6399" s="5"/>
    </row>
    <row r="6400">
      <c r="N6400" s="5"/>
    </row>
    <row r="6401">
      <c r="N6401" s="5"/>
    </row>
    <row r="6402">
      <c r="N6402" s="5"/>
    </row>
    <row r="6403">
      <c r="N6403" s="5"/>
    </row>
    <row r="6404">
      <c r="N6404" s="5"/>
    </row>
    <row r="6405">
      <c r="N6405" s="5"/>
    </row>
    <row r="6406">
      <c r="N6406" s="5"/>
    </row>
    <row r="6407">
      <c r="N6407" s="5"/>
    </row>
    <row r="6408">
      <c r="N6408" s="5"/>
    </row>
    <row r="6409">
      <c r="N6409" s="5"/>
    </row>
    <row r="6410">
      <c r="N6410" s="5"/>
    </row>
    <row r="6411">
      <c r="N6411" s="5"/>
    </row>
    <row r="6412">
      <c r="N6412" s="5"/>
    </row>
    <row r="6413">
      <c r="N6413" s="5"/>
    </row>
    <row r="6414">
      <c r="N6414" s="5"/>
    </row>
    <row r="6415">
      <c r="N6415" s="5"/>
    </row>
    <row r="6416">
      <c r="N6416" s="5"/>
    </row>
    <row r="6417">
      <c r="N6417" s="5"/>
    </row>
    <row r="6418">
      <c r="N6418" s="5"/>
    </row>
    <row r="6419">
      <c r="N6419" s="5"/>
    </row>
    <row r="6420">
      <c r="N6420" s="5"/>
    </row>
    <row r="6421">
      <c r="N6421" s="5"/>
    </row>
    <row r="6422">
      <c r="N6422" s="5"/>
    </row>
    <row r="6423">
      <c r="N6423" s="5"/>
    </row>
    <row r="6424">
      <c r="N6424" s="5"/>
    </row>
    <row r="6425">
      <c r="N6425" s="5"/>
    </row>
    <row r="6426">
      <c r="N6426" s="5"/>
    </row>
    <row r="6427">
      <c r="N6427" s="5"/>
    </row>
    <row r="6428">
      <c r="N6428" s="5"/>
    </row>
    <row r="6429">
      <c r="N6429" s="5"/>
    </row>
    <row r="6430">
      <c r="N6430" s="5"/>
    </row>
    <row r="6431">
      <c r="N6431" s="5"/>
    </row>
    <row r="6432">
      <c r="N6432" s="5"/>
    </row>
    <row r="6433">
      <c r="N6433" s="5"/>
    </row>
    <row r="6434">
      <c r="N6434" s="5"/>
    </row>
    <row r="6435">
      <c r="N6435" s="5"/>
    </row>
    <row r="6436">
      <c r="N6436" s="5"/>
    </row>
    <row r="6437">
      <c r="N6437" s="5"/>
    </row>
    <row r="6438">
      <c r="N6438" s="5"/>
    </row>
    <row r="6439">
      <c r="N6439" s="5"/>
    </row>
    <row r="6440">
      <c r="N6440" s="5"/>
    </row>
    <row r="6441">
      <c r="N6441" s="5"/>
    </row>
    <row r="6442">
      <c r="N6442" s="5"/>
    </row>
    <row r="6443">
      <c r="N6443" s="5"/>
    </row>
    <row r="6444">
      <c r="N6444" s="5"/>
    </row>
    <row r="6445">
      <c r="N6445" s="5"/>
    </row>
    <row r="6446">
      <c r="N6446" s="5"/>
    </row>
    <row r="6447">
      <c r="N6447" s="5"/>
    </row>
    <row r="6448">
      <c r="N6448" s="5"/>
    </row>
    <row r="6449">
      <c r="N6449" s="5"/>
    </row>
    <row r="6450">
      <c r="N6450" s="5"/>
    </row>
    <row r="6451">
      <c r="N6451" s="5"/>
    </row>
    <row r="6452">
      <c r="N6452" s="5"/>
    </row>
    <row r="6453">
      <c r="N6453" s="5"/>
    </row>
    <row r="6454">
      <c r="N6454" s="5"/>
    </row>
    <row r="6455">
      <c r="N6455" s="5"/>
    </row>
    <row r="6456">
      <c r="N6456" s="5"/>
    </row>
    <row r="6457">
      <c r="N6457" s="5"/>
    </row>
    <row r="6458">
      <c r="N6458" s="5"/>
    </row>
    <row r="6459">
      <c r="N6459" s="5"/>
    </row>
    <row r="6460">
      <c r="N6460" s="5"/>
    </row>
    <row r="6461">
      <c r="N6461" s="5"/>
    </row>
    <row r="6462">
      <c r="N6462" s="5"/>
    </row>
    <row r="6463">
      <c r="N6463" s="5"/>
    </row>
    <row r="6464">
      <c r="N6464" s="5"/>
    </row>
    <row r="6465">
      <c r="N6465" s="5"/>
    </row>
    <row r="6466">
      <c r="N6466" s="5"/>
    </row>
    <row r="6467">
      <c r="N6467" s="5"/>
    </row>
    <row r="6468">
      <c r="N6468" s="5"/>
    </row>
    <row r="6469">
      <c r="N6469" s="5"/>
    </row>
    <row r="6470">
      <c r="N6470" s="5"/>
    </row>
    <row r="6471">
      <c r="N6471" s="5"/>
    </row>
    <row r="6472">
      <c r="N6472" s="5"/>
    </row>
    <row r="6473">
      <c r="N6473" s="5"/>
    </row>
    <row r="6474">
      <c r="N6474" s="5"/>
    </row>
    <row r="6475">
      <c r="N6475" s="5"/>
    </row>
    <row r="6476">
      <c r="N6476" s="5"/>
    </row>
    <row r="6477">
      <c r="N6477" s="5"/>
    </row>
    <row r="6478">
      <c r="N6478" s="5"/>
    </row>
    <row r="6479">
      <c r="N6479" s="5"/>
    </row>
    <row r="6480">
      <c r="N6480" s="5"/>
    </row>
    <row r="6481">
      <c r="N6481" s="5"/>
    </row>
    <row r="6482">
      <c r="N6482" s="5"/>
    </row>
    <row r="6483">
      <c r="N6483" s="5"/>
    </row>
    <row r="6484">
      <c r="N6484" s="5"/>
    </row>
    <row r="6485">
      <c r="N6485" s="5"/>
    </row>
    <row r="6486">
      <c r="N6486" s="5"/>
    </row>
    <row r="6487">
      <c r="N6487" s="5"/>
    </row>
    <row r="6488">
      <c r="N6488" s="5"/>
    </row>
    <row r="6489">
      <c r="N6489" s="5"/>
    </row>
    <row r="6490">
      <c r="N6490" s="5"/>
    </row>
    <row r="6491">
      <c r="N6491" s="5"/>
    </row>
    <row r="6492">
      <c r="N6492" s="5"/>
    </row>
    <row r="6493">
      <c r="N6493" s="5"/>
    </row>
    <row r="6494">
      <c r="N6494" s="5"/>
    </row>
    <row r="6495">
      <c r="N6495" s="5"/>
    </row>
    <row r="6496">
      <c r="N6496" s="5"/>
    </row>
    <row r="6497">
      <c r="N6497" s="5"/>
    </row>
    <row r="6498">
      <c r="N6498" s="5"/>
    </row>
    <row r="6499">
      <c r="N6499" s="5"/>
    </row>
    <row r="6500">
      <c r="N6500" s="5"/>
    </row>
    <row r="6501">
      <c r="N6501" s="5"/>
    </row>
    <row r="6502">
      <c r="N6502" s="5"/>
    </row>
    <row r="6503">
      <c r="N6503" s="5"/>
    </row>
    <row r="6504">
      <c r="N6504" s="5"/>
    </row>
    <row r="6505">
      <c r="N6505" s="5"/>
    </row>
    <row r="6506">
      <c r="N6506" s="5"/>
    </row>
    <row r="6507">
      <c r="N6507" s="5"/>
    </row>
    <row r="6508">
      <c r="N6508" s="5"/>
    </row>
    <row r="6509">
      <c r="N6509" s="5"/>
    </row>
    <row r="6510">
      <c r="N6510" s="5"/>
    </row>
    <row r="6511">
      <c r="N6511" s="5"/>
    </row>
    <row r="6512">
      <c r="N6512" s="5"/>
    </row>
    <row r="6513">
      <c r="N6513" s="5"/>
    </row>
    <row r="6514">
      <c r="N6514" s="5"/>
    </row>
    <row r="6515">
      <c r="N6515" s="5"/>
    </row>
    <row r="6516">
      <c r="N6516" s="5"/>
    </row>
    <row r="6517">
      <c r="N6517" s="5"/>
    </row>
    <row r="6518">
      <c r="N6518" s="5"/>
    </row>
    <row r="6519">
      <c r="N6519" s="5"/>
    </row>
    <row r="6520">
      <c r="N6520" s="5"/>
    </row>
    <row r="6521">
      <c r="N6521" s="5"/>
    </row>
    <row r="6522">
      <c r="N6522" s="5"/>
    </row>
    <row r="6523">
      <c r="N6523" s="5"/>
    </row>
    <row r="6524">
      <c r="N6524" s="5"/>
    </row>
    <row r="6525">
      <c r="N6525" s="5"/>
    </row>
    <row r="6526">
      <c r="N6526" s="5"/>
    </row>
    <row r="6527">
      <c r="N6527" s="5"/>
    </row>
    <row r="6528">
      <c r="N6528" s="5"/>
    </row>
    <row r="6529">
      <c r="N6529" s="5"/>
    </row>
    <row r="6530">
      <c r="N6530" s="5"/>
    </row>
    <row r="6531">
      <c r="N6531" s="5"/>
    </row>
    <row r="6532">
      <c r="N6532" s="5"/>
    </row>
    <row r="6533">
      <c r="N6533" s="5"/>
    </row>
    <row r="6534">
      <c r="N6534" s="5"/>
    </row>
    <row r="6535">
      <c r="N6535" s="5"/>
    </row>
    <row r="6536">
      <c r="N6536" s="5"/>
    </row>
    <row r="6537">
      <c r="N6537" s="5"/>
    </row>
    <row r="6538">
      <c r="N6538" s="5"/>
    </row>
    <row r="6539">
      <c r="N6539" s="5"/>
    </row>
    <row r="6540">
      <c r="N6540" s="5"/>
    </row>
    <row r="6541">
      <c r="N6541" s="5"/>
    </row>
    <row r="6542">
      <c r="N6542" s="5"/>
    </row>
    <row r="6543">
      <c r="N6543" s="5"/>
    </row>
    <row r="6544">
      <c r="N6544" s="5"/>
    </row>
    <row r="6545">
      <c r="N6545" s="5"/>
    </row>
    <row r="6546">
      <c r="N6546" s="5"/>
    </row>
    <row r="6547">
      <c r="N6547" s="5"/>
    </row>
    <row r="6548">
      <c r="N6548" s="5"/>
    </row>
    <row r="6549">
      <c r="N6549" s="5"/>
    </row>
    <row r="6550">
      <c r="N6550" s="5"/>
    </row>
    <row r="6551">
      <c r="N6551" s="5"/>
    </row>
    <row r="6552">
      <c r="N6552" s="5"/>
    </row>
    <row r="6553">
      <c r="N6553" s="5"/>
    </row>
    <row r="6554">
      <c r="N6554" s="5"/>
    </row>
    <row r="6555">
      <c r="N6555" s="5"/>
    </row>
    <row r="6556">
      <c r="N6556" s="5"/>
    </row>
    <row r="6557">
      <c r="N6557" s="5"/>
    </row>
    <row r="6558">
      <c r="N6558" s="5"/>
    </row>
    <row r="6559">
      <c r="N6559" s="5"/>
    </row>
    <row r="6560">
      <c r="N6560" s="5"/>
    </row>
    <row r="6561">
      <c r="N6561" s="5"/>
    </row>
    <row r="6562">
      <c r="N6562" s="5"/>
    </row>
    <row r="6563">
      <c r="N6563" s="5"/>
    </row>
    <row r="6564">
      <c r="N6564" s="5"/>
    </row>
    <row r="6565">
      <c r="N6565" s="5"/>
    </row>
    <row r="6566">
      <c r="N6566" s="5"/>
    </row>
    <row r="6567">
      <c r="N6567" s="5"/>
    </row>
    <row r="6568">
      <c r="N6568" s="5"/>
    </row>
    <row r="6569">
      <c r="N6569" s="5"/>
    </row>
    <row r="6570">
      <c r="N6570" s="5"/>
    </row>
    <row r="6571">
      <c r="N6571" s="5"/>
    </row>
    <row r="6572">
      <c r="N6572" s="5"/>
    </row>
    <row r="6573">
      <c r="N6573" s="5"/>
    </row>
    <row r="6574">
      <c r="N6574" s="5"/>
    </row>
    <row r="6575">
      <c r="N6575" s="5"/>
    </row>
    <row r="6576">
      <c r="N6576" s="5"/>
    </row>
    <row r="6577">
      <c r="N6577" s="5"/>
    </row>
    <row r="6578">
      <c r="N6578" s="5"/>
    </row>
    <row r="6579">
      <c r="N6579" s="5"/>
    </row>
    <row r="6580">
      <c r="N6580" s="5"/>
    </row>
    <row r="6581">
      <c r="N6581" s="5"/>
    </row>
    <row r="6582">
      <c r="N6582" s="5"/>
    </row>
    <row r="6583">
      <c r="N6583" s="5"/>
    </row>
    <row r="6584">
      <c r="N6584" s="5"/>
    </row>
    <row r="6585">
      <c r="N6585" s="5"/>
    </row>
    <row r="6586">
      <c r="N6586" s="5"/>
    </row>
    <row r="6587">
      <c r="N6587" s="5"/>
    </row>
    <row r="6588">
      <c r="N6588" s="5"/>
    </row>
    <row r="6589">
      <c r="N6589" s="5"/>
    </row>
    <row r="6590">
      <c r="N6590" s="5"/>
    </row>
    <row r="6591">
      <c r="N6591" s="5"/>
    </row>
    <row r="6592">
      <c r="N6592" s="5"/>
    </row>
    <row r="6593">
      <c r="N6593" s="5"/>
    </row>
    <row r="6594">
      <c r="N6594" s="5"/>
    </row>
    <row r="6595">
      <c r="N6595" s="5"/>
    </row>
    <row r="6596">
      <c r="N6596" s="5"/>
    </row>
    <row r="6597">
      <c r="N6597" s="5"/>
    </row>
    <row r="6598">
      <c r="N6598" s="5"/>
    </row>
    <row r="6599">
      <c r="N6599" s="5"/>
    </row>
    <row r="6600">
      <c r="N6600" s="5"/>
    </row>
    <row r="6601">
      <c r="N6601" s="5"/>
    </row>
    <row r="6602">
      <c r="N6602" s="5"/>
    </row>
    <row r="6603">
      <c r="N6603" s="5"/>
    </row>
    <row r="6604">
      <c r="N6604" s="5"/>
    </row>
    <row r="6605">
      <c r="N6605" s="5"/>
    </row>
    <row r="6606">
      <c r="N6606" s="5"/>
    </row>
    <row r="6607">
      <c r="N6607" s="5"/>
    </row>
    <row r="6608">
      <c r="N6608" s="5"/>
    </row>
    <row r="6609">
      <c r="N6609" s="5"/>
    </row>
    <row r="6610">
      <c r="N6610" s="5"/>
    </row>
    <row r="6611">
      <c r="N6611" s="5"/>
    </row>
    <row r="6612">
      <c r="N6612" s="5"/>
    </row>
    <row r="6613">
      <c r="N6613" s="5"/>
    </row>
    <row r="6614">
      <c r="N6614" s="5"/>
    </row>
    <row r="6615">
      <c r="N6615" s="5"/>
    </row>
    <row r="6616">
      <c r="N6616" s="5"/>
    </row>
    <row r="6617">
      <c r="N6617" s="5"/>
    </row>
    <row r="6618">
      <c r="N6618" s="5"/>
    </row>
    <row r="6619">
      <c r="N6619" s="5"/>
    </row>
    <row r="6620">
      <c r="N6620" s="5"/>
    </row>
    <row r="6621">
      <c r="N6621" s="5"/>
    </row>
    <row r="6622">
      <c r="N6622" s="5"/>
    </row>
    <row r="6623">
      <c r="N6623" s="5"/>
    </row>
    <row r="6624">
      <c r="N6624" s="5"/>
    </row>
    <row r="6625">
      <c r="N6625" s="5"/>
    </row>
    <row r="6626">
      <c r="N6626" s="5"/>
    </row>
    <row r="6627">
      <c r="N6627" s="5"/>
    </row>
    <row r="6628">
      <c r="N6628" s="5"/>
    </row>
    <row r="6629">
      <c r="N6629" s="5"/>
    </row>
    <row r="6630">
      <c r="N6630" s="5"/>
    </row>
    <row r="6631">
      <c r="N6631" s="5"/>
    </row>
    <row r="6632">
      <c r="N6632" s="5"/>
    </row>
    <row r="6633">
      <c r="N6633" s="5"/>
    </row>
    <row r="6634">
      <c r="N6634" s="5"/>
    </row>
    <row r="6635">
      <c r="N6635" s="5"/>
    </row>
    <row r="6636">
      <c r="N6636" s="5"/>
    </row>
    <row r="6637">
      <c r="N6637" s="5"/>
    </row>
    <row r="6638">
      <c r="N6638" s="5"/>
    </row>
    <row r="6639">
      <c r="N6639" s="5"/>
    </row>
    <row r="6640">
      <c r="N6640" s="5"/>
    </row>
    <row r="6641">
      <c r="N6641" s="5"/>
    </row>
    <row r="6642">
      <c r="N6642" s="5"/>
    </row>
    <row r="6643">
      <c r="N6643" s="5"/>
    </row>
    <row r="6644">
      <c r="N6644" s="5"/>
    </row>
    <row r="6645">
      <c r="N6645" s="5"/>
    </row>
    <row r="6646">
      <c r="N6646" s="5"/>
    </row>
    <row r="6647">
      <c r="N6647" s="5"/>
    </row>
    <row r="6648">
      <c r="N6648" s="5"/>
    </row>
    <row r="6649">
      <c r="N6649" s="5"/>
    </row>
    <row r="6650">
      <c r="N6650" s="5"/>
    </row>
    <row r="6651">
      <c r="N6651" s="5"/>
    </row>
    <row r="6652">
      <c r="N6652" s="5"/>
    </row>
    <row r="6653">
      <c r="N6653" s="5"/>
    </row>
    <row r="6654">
      <c r="N6654" s="5"/>
    </row>
    <row r="6655">
      <c r="N6655" s="5"/>
    </row>
    <row r="6656">
      <c r="N6656" s="5"/>
    </row>
    <row r="6657">
      <c r="N6657" s="5"/>
    </row>
    <row r="6658">
      <c r="N6658" s="5"/>
    </row>
    <row r="6659">
      <c r="N6659" s="5"/>
    </row>
    <row r="6660">
      <c r="N6660" s="5"/>
    </row>
    <row r="6661">
      <c r="N6661" s="5"/>
    </row>
    <row r="6662">
      <c r="N6662" s="5"/>
    </row>
    <row r="6663">
      <c r="N6663" s="5"/>
    </row>
    <row r="6664">
      <c r="N6664" s="5"/>
    </row>
    <row r="6665">
      <c r="N6665" s="5"/>
    </row>
    <row r="6666">
      <c r="N6666" s="5"/>
    </row>
    <row r="6667">
      <c r="N6667" s="5"/>
    </row>
    <row r="6668">
      <c r="N6668" s="5"/>
    </row>
    <row r="6669">
      <c r="N6669" s="5"/>
    </row>
    <row r="6670">
      <c r="N6670" s="5"/>
    </row>
    <row r="6671">
      <c r="N6671" s="5"/>
    </row>
    <row r="6672">
      <c r="N6672" s="5"/>
    </row>
    <row r="6673">
      <c r="N6673" s="5"/>
    </row>
    <row r="6674">
      <c r="N6674" s="5"/>
    </row>
    <row r="6675">
      <c r="N6675" s="5"/>
    </row>
    <row r="6676">
      <c r="N6676" s="5"/>
    </row>
    <row r="6677">
      <c r="N6677" s="5"/>
    </row>
    <row r="6678">
      <c r="N6678" s="5"/>
    </row>
    <row r="6679">
      <c r="N6679" s="5"/>
    </row>
    <row r="6680">
      <c r="N6680" s="5"/>
    </row>
    <row r="6681">
      <c r="N6681" s="5"/>
    </row>
    <row r="6682">
      <c r="N6682" s="5"/>
    </row>
    <row r="6683">
      <c r="N6683" s="5"/>
    </row>
    <row r="6684">
      <c r="N6684" s="5"/>
    </row>
    <row r="6685">
      <c r="N6685" s="5"/>
    </row>
    <row r="6686">
      <c r="N6686" s="5"/>
    </row>
    <row r="6687">
      <c r="N6687" s="5"/>
    </row>
    <row r="6688">
      <c r="N6688" s="5"/>
    </row>
    <row r="6689">
      <c r="N6689" s="5"/>
    </row>
    <row r="6690">
      <c r="N6690" s="5"/>
    </row>
    <row r="6691">
      <c r="N6691" s="5"/>
    </row>
    <row r="6692">
      <c r="N6692" s="5"/>
    </row>
    <row r="6693">
      <c r="N6693" s="5"/>
    </row>
    <row r="6694">
      <c r="N6694" s="5"/>
    </row>
    <row r="6695">
      <c r="N6695" s="5"/>
    </row>
    <row r="6696">
      <c r="N6696" s="5"/>
    </row>
    <row r="6697">
      <c r="N6697" s="5"/>
    </row>
    <row r="6698">
      <c r="N6698" s="5"/>
    </row>
    <row r="6699">
      <c r="N6699" s="5"/>
    </row>
    <row r="6700">
      <c r="N6700" s="5"/>
    </row>
    <row r="6701">
      <c r="N6701" s="5"/>
    </row>
    <row r="6702">
      <c r="N6702" s="5"/>
    </row>
    <row r="6703">
      <c r="N6703" s="5"/>
    </row>
    <row r="6704">
      <c r="N6704" s="5"/>
    </row>
    <row r="6705">
      <c r="N6705" s="5"/>
    </row>
    <row r="6706">
      <c r="N6706" s="5"/>
    </row>
    <row r="6707">
      <c r="N6707" s="5"/>
    </row>
    <row r="6708">
      <c r="N6708" s="5"/>
    </row>
    <row r="6709">
      <c r="N6709" s="5"/>
    </row>
    <row r="6710">
      <c r="N6710" s="5"/>
    </row>
    <row r="6711">
      <c r="N6711" s="5"/>
    </row>
    <row r="6712">
      <c r="N6712" s="5"/>
    </row>
    <row r="6713">
      <c r="N6713" s="5"/>
    </row>
    <row r="6714">
      <c r="N6714" s="5"/>
    </row>
    <row r="6715">
      <c r="N6715" s="5"/>
    </row>
    <row r="6716">
      <c r="N6716" s="5"/>
    </row>
    <row r="6717">
      <c r="N6717" s="5"/>
    </row>
    <row r="6718">
      <c r="N6718" s="5"/>
    </row>
    <row r="6719">
      <c r="N6719" s="5"/>
    </row>
    <row r="6720">
      <c r="N6720" s="5"/>
    </row>
    <row r="6721">
      <c r="N6721" s="5"/>
    </row>
    <row r="6722">
      <c r="N6722" s="5"/>
    </row>
    <row r="6723">
      <c r="N6723" s="5"/>
    </row>
    <row r="6724">
      <c r="N6724" s="5"/>
    </row>
    <row r="6725">
      <c r="N6725" s="5"/>
    </row>
    <row r="6726">
      <c r="N6726" s="5"/>
    </row>
    <row r="6727">
      <c r="N6727" s="5"/>
    </row>
    <row r="6728">
      <c r="N6728" s="5"/>
    </row>
    <row r="6729">
      <c r="N6729" s="5"/>
    </row>
    <row r="6730">
      <c r="N6730" s="5"/>
    </row>
    <row r="6731">
      <c r="N6731" s="5"/>
    </row>
    <row r="6732">
      <c r="N6732" s="5"/>
    </row>
    <row r="6733">
      <c r="N6733" s="5"/>
    </row>
    <row r="6734">
      <c r="N6734" s="5"/>
    </row>
    <row r="6735">
      <c r="N6735" s="5"/>
    </row>
    <row r="6736">
      <c r="N6736" s="5"/>
    </row>
    <row r="6737">
      <c r="N6737" s="5"/>
    </row>
    <row r="6738">
      <c r="N6738" s="5"/>
    </row>
    <row r="6739">
      <c r="N6739" s="5"/>
    </row>
    <row r="6740">
      <c r="N6740" s="5"/>
    </row>
    <row r="6741">
      <c r="N6741" s="5"/>
    </row>
    <row r="6742">
      <c r="N6742" s="5"/>
    </row>
    <row r="6743">
      <c r="N6743" s="5"/>
    </row>
    <row r="6744">
      <c r="N6744" s="5"/>
    </row>
    <row r="6745">
      <c r="N6745" s="5"/>
    </row>
    <row r="6746">
      <c r="N6746" s="5"/>
    </row>
    <row r="6747">
      <c r="N6747" s="5"/>
    </row>
    <row r="6748">
      <c r="N6748" s="5"/>
    </row>
    <row r="6749">
      <c r="N6749" s="5"/>
    </row>
    <row r="6750">
      <c r="N6750" s="5"/>
    </row>
    <row r="6751">
      <c r="N6751" s="5"/>
    </row>
    <row r="6752">
      <c r="N6752" s="5"/>
    </row>
    <row r="6753">
      <c r="N6753" s="5"/>
    </row>
    <row r="6754">
      <c r="N6754" s="5"/>
    </row>
    <row r="6755">
      <c r="N6755" s="5"/>
    </row>
    <row r="6756">
      <c r="N6756" s="5"/>
    </row>
    <row r="6757">
      <c r="N6757" s="5"/>
    </row>
    <row r="6758">
      <c r="N6758" s="5"/>
    </row>
    <row r="6759">
      <c r="N6759" s="5"/>
    </row>
    <row r="6760">
      <c r="N6760" s="5"/>
    </row>
    <row r="6761">
      <c r="N6761" s="5"/>
    </row>
    <row r="6762">
      <c r="N6762" s="5"/>
    </row>
    <row r="6763">
      <c r="N6763" s="5"/>
    </row>
    <row r="6764">
      <c r="N6764" s="5"/>
    </row>
    <row r="6765">
      <c r="N6765" s="5"/>
    </row>
    <row r="6766">
      <c r="N6766" s="5"/>
    </row>
    <row r="6767">
      <c r="N6767" s="5"/>
    </row>
    <row r="6768">
      <c r="N6768" s="5"/>
    </row>
    <row r="6769">
      <c r="N6769" s="5"/>
    </row>
    <row r="6770">
      <c r="N6770" s="5"/>
    </row>
    <row r="6771">
      <c r="N6771" s="5"/>
    </row>
    <row r="6772">
      <c r="N6772" s="5"/>
    </row>
    <row r="6773">
      <c r="N6773" s="5"/>
    </row>
    <row r="6774">
      <c r="N6774" s="5"/>
    </row>
    <row r="6775">
      <c r="N6775" s="5"/>
    </row>
    <row r="6776">
      <c r="N6776" s="5"/>
    </row>
    <row r="6777">
      <c r="N6777" s="5"/>
    </row>
    <row r="6778">
      <c r="N6778" s="5"/>
    </row>
    <row r="6779">
      <c r="N6779" s="5"/>
    </row>
    <row r="6780">
      <c r="N6780" s="5"/>
    </row>
    <row r="6781">
      <c r="N6781" s="5"/>
    </row>
    <row r="6782">
      <c r="N6782" s="5"/>
    </row>
    <row r="6783">
      <c r="N6783" s="5"/>
    </row>
    <row r="6784">
      <c r="N6784" s="5"/>
    </row>
    <row r="6785">
      <c r="N6785" s="5"/>
    </row>
    <row r="6786">
      <c r="N6786" s="5"/>
    </row>
    <row r="6787">
      <c r="N6787" s="5"/>
    </row>
    <row r="6788">
      <c r="N6788" s="5"/>
    </row>
    <row r="6789">
      <c r="N6789" s="5"/>
    </row>
    <row r="6790">
      <c r="N6790" s="5"/>
    </row>
    <row r="6791">
      <c r="N6791" s="5"/>
    </row>
    <row r="6792">
      <c r="N6792" s="5"/>
    </row>
    <row r="6793">
      <c r="N6793" s="5"/>
    </row>
    <row r="6794">
      <c r="N6794" s="5"/>
    </row>
    <row r="6795">
      <c r="N6795" s="5"/>
    </row>
    <row r="6796">
      <c r="N6796" s="5"/>
    </row>
    <row r="6797">
      <c r="N6797" s="5"/>
    </row>
    <row r="6798">
      <c r="N6798" s="5"/>
    </row>
    <row r="6799">
      <c r="N6799" s="5"/>
    </row>
    <row r="6800">
      <c r="N6800" s="5"/>
    </row>
    <row r="6801">
      <c r="N6801" s="5"/>
    </row>
    <row r="6802">
      <c r="N6802" s="5"/>
    </row>
    <row r="6803">
      <c r="N6803" s="5"/>
    </row>
    <row r="6804">
      <c r="N6804" s="5"/>
    </row>
    <row r="6805">
      <c r="N6805" s="5"/>
    </row>
    <row r="6806">
      <c r="N6806" s="5"/>
    </row>
    <row r="6807">
      <c r="N6807" s="5"/>
    </row>
    <row r="6808">
      <c r="N6808" s="5"/>
    </row>
    <row r="6809">
      <c r="N6809" s="5"/>
    </row>
    <row r="6810">
      <c r="N6810" s="5"/>
    </row>
    <row r="6811">
      <c r="N6811" s="5"/>
    </row>
    <row r="6812">
      <c r="N6812" s="5"/>
    </row>
    <row r="6813">
      <c r="N6813" s="5"/>
    </row>
    <row r="6814">
      <c r="N6814" s="5"/>
    </row>
    <row r="6815">
      <c r="N6815" s="5"/>
    </row>
    <row r="6816">
      <c r="N6816" s="5"/>
    </row>
    <row r="6817">
      <c r="N6817" s="5"/>
    </row>
    <row r="6818">
      <c r="N6818" s="5"/>
    </row>
    <row r="6819">
      <c r="N6819" s="5"/>
    </row>
    <row r="6820">
      <c r="N6820" s="5"/>
    </row>
    <row r="6821">
      <c r="N6821" s="5"/>
    </row>
    <row r="6822">
      <c r="N6822" s="5"/>
    </row>
    <row r="6823">
      <c r="N6823" s="5"/>
    </row>
    <row r="6824">
      <c r="N6824" s="5"/>
    </row>
    <row r="6825">
      <c r="N6825" s="5"/>
    </row>
    <row r="6826">
      <c r="N6826" s="5"/>
    </row>
    <row r="6827">
      <c r="N6827" s="5"/>
    </row>
    <row r="6828">
      <c r="N6828" s="5"/>
    </row>
    <row r="6829">
      <c r="N6829" s="5"/>
    </row>
    <row r="6830">
      <c r="N6830" s="5"/>
    </row>
    <row r="6831">
      <c r="N6831" s="5"/>
    </row>
    <row r="6832">
      <c r="N6832" s="5"/>
    </row>
    <row r="6833">
      <c r="N6833" s="5"/>
    </row>
    <row r="6834">
      <c r="N6834" s="5"/>
    </row>
    <row r="6835">
      <c r="N6835" s="5"/>
    </row>
    <row r="6836">
      <c r="N6836" s="5"/>
    </row>
    <row r="6837">
      <c r="N6837" s="5"/>
    </row>
    <row r="6838">
      <c r="N6838" s="5"/>
    </row>
    <row r="6839">
      <c r="N6839" s="5"/>
    </row>
    <row r="6840">
      <c r="N6840" s="5"/>
    </row>
    <row r="6841">
      <c r="N6841" s="5"/>
    </row>
    <row r="6842">
      <c r="N6842" s="5"/>
    </row>
    <row r="6843">
      <c r="N6843" s="5"/>
    </row>
    <row r="6844">
      <c r="N6844" s="5"/>
    </row>
    <row r="6845">
      <c r="N6845" s="5"/>
    </row>
    <row r="6846">
      <c r="N6846" s="5"/>
    </row>
    <row r="6847">
      <c r="N6847" s="5"/>
    </row>
    <row r="6848">
      <c r="N6848" s="5"/>
    </row>
    <row r="6849">
      <c r="N6849" s="5"/>
    </row>
    <row r="6850">
      <c r="N6850" s="5"/>
    </row>
    <row r="6851">
      <c r="N6851" s="5"/>
    </row>
    <row r="6852">
      <c r="N6852" s="5"/>
    </row>
    <row r="6853">
      <c r="N6853" s="5"/>
    </row>
    <row r="6854">
      <c r="N6854" s="5"/>
    </row>
    <row r="6855">
      <c r="N6855" s="5"/>
    </row>
    <row r="6856">
      <c r="N6856" s="5"/>
    </row>
    <row r="6857">
      <c r="N6857" s="5"/>
    </row>
    <row r="6858">
      <c r="N6858" s="5"/>
    </row>
    <row r="6859">
      <c r="N6859" s="5"/>
    </row>
    <row r="6860">
      <c r="N6860" s="5"/>
    </row>
    <row r="6861">
      <c r="N6861" s="5"/>
    </row>
    <row r="6862">
      <c r="N6862" s="5"/>
    </row>
    <row r="6863">
      <c r="N6863" s="5"/>
    </row>
    <row r="6864">
      <c r="N6864" s="5"/>
    </row>
    <row r="6865">
      <c r="N6865" s="5"/>
    </row>
    <row r="6866">
      <c r="N6866" s="5"/>
    </row>
    <row r="6867">
      <c r="N6867" s="5"/>
    </row>
    <row r="6868">
      <c r="N6868" s="5"/>
    </row>
    <row r="6869">
      <c r="N6869" s="5"/>
    </row>
    <row r="6870">
      <c r="N6870" s="5"/>
    </row>
    <row r="6871">
      <c r="N6871" s="5"/>
    </row>
    <row r="6872">
      <c r="N6872" s="5"/>
    </row>
    <row r="6873">
      <c r="N6873" s="5"/>
    </row>
    <row r="6874">
      <c r="N6874" s="5"/>
    </row>
    <row r="6875">
      <c r="N6875" s="5"/>
    </row>
    <row r="6876">
      <c r="N6876" s="5"/>
    </row>
    <row r="6877">
      <c r="N6877" s="5"/>
    </row>
    <row r="6878">
      <c r="N6878" s="5"/>
    </row>
    <row r="6879">
      <c r="N6879" s="5"/>
    </row>
    <row r="6880">
      <c r="N6880" s="5"/>
    </row>
    <row r="6881">
      <c r="N6881" s="5"/>
    </row>
    <row r="6882">
      <c r="N6882" s="5"/>
    </row>
    <row r="6883">
      <c r="N6883" s="5"/>
    </row>
    <row r="6884">
      <c r="N6884" s="5"/>
    </row>
    <row r="6885">
      <c r="N6885" s="5"/>
    </row>
    <row r="6886">
      <c r="N6886" s="5"/>
    </row>
    <row r="6887">
      <c r="N6887" s="5"/>
    </row>
    <row r="6888">
      <c r="N6888" s="5"/>
    </row>
    <row r="6889">
      <c r="N6889" s="5"/>
    </row>
    <row r="6890">
      <c r="N6890" s="5"/>
    </row>
    <row r="6891">
      <c r="N6891" s="5"/>
    </row>
    <row r="6892">
      <c r="N6892" s="5"/>
    </row>
    <row r="6893">
      <c r="N6893" s="5"/>
    </row>
    <row r="6894">
      <c r="N6894" s="5"/>
    </row>
    <row r="6895">
      <c r="N6895" s="5"/>
    </row>
    <row r="6896">
      <c r="N6896" s="5"/>
    </row>
    <row r="6897">
      <c r="N6897" s="5"/>
    </row>
    <row r="6898">
      <c r="N6898" s="5"/>
    </row>
    <row r="6899">
      <c r="N6899" s="5"/>
    </row>
    <row r="6900">
      <c r="N6900" s="5"/>
    </row>
    <row r="6901">
      <c r="N6901" s="5"/>
    </row>
    <row r="6902">
      <c r="N6902" s="5"/>
    </row>
    <row r="6903">
      <c r="N6903" s="5"/>
    </row>
    <row r="6904">
      <c r="N6904" s="5"/>
    </row>
    <row r="6905">
      <c r="N6905" s="5"/>
    </row>
    <row r="6906">
      <c r="N6906" s="5"/>
    </row>
    <row r="6907">
      <c r="N6907" s="5"/>
    </row>
    <row r="6908">
      <c r="N6908" s="5"/>
    </row>
    <row r="6909">
      <c r="N6909" s="5"/>
    </row>
    <row r="6910">
      <c r="N6910" s="5"/>
    </row>
    <row r="6911">
      <c r="N6911" s="5"/>
    </row>
    <row r="6912">
      <c r="N6912" s="5"/>
    </row>
    <row r="6913">
      <c r="N6913" s="5"/>
    </row>
    <row r="6914">
      <c r="N6914" s="5"/>
    </row>
    <row r="6915">
      <c r="N6915" s="5"/>
    </row>
    <row r="6916">
      <c r="N6916" s="5"/>
    </row>
    <row r="6917">
      <c r="N6917" s="5"/>
    </row>
    <row r="6918">
      <c r="N6918" s="5"/>
    </row>
    <row r="6919">
      <c r="N6919" s="5"/>
    </row>
    <row r="6920">
      <c r="N6920" s="5"/>
    </row>
    <row r="6921">
      <c r="N6921" s="5"/>
    </row>
    <row r="6922">
      <c r="N6922" s="5"/>
    </row>
    <row r="6923">
      <c r="N6923" s="5"/>
    </row>
    <row r="6924">
      <c r="N6924" s="5"/>
    </row>
    <row r="6925">
      <c r="N6925" s="5"/>
    </row>
    <row r="6926">
      <c r="N6926" s="5"/>
    </row>
    <row r="6927">
      <c r="N6927" s="5"/>
    </row>
    <row r="6928">
      <c r="N6928" s="5"/>
    </row>
    <row r="6929">
      <c r="N6929" s="5"/>
    </row>
    <row r="6930">
      <c r="N6930" s="5"/>
    </row>
    <row r="6931">
      <c r="N6931" s="5"/>
    </row>
    <row r="6932">
      <c r="N6932" s="5"/>
    </row>
    <row r="6933">
      <c r="N6933" s="5"/>
    </row>
    <row r="6934">
      <c r="N6934" s="5"/>
    </row>
    <row r="6935">
      <c r="N6935" s="5"/>
    </row>
    <row r="6936">
      <c r="N6936" s="5"/>
    </row>
    <row r="6937">
      <c r="N6937" s="5"/>
    </row>
    <row r="6938">
      <c r="N6938" s="5"/>
    </row>
    <row r="6939">
      <c r="N6939" s="5"/>
    </row>
    <row r="6940">
      <c r="N6940" s="5"/>
    </row>
    <row r="6941">
      <c r="N6941" s="5"/>
    </row>
    <row r="6942">
      <c r="N6942" s="5"/>
    </row>
    <row r="6943">
      <c r="N6943" s="5"/>
    </row>
    <row r="6944">
      <c r="N6944" s="5"/>
    </row>
    <row r="6945">
      <c r="N6945" s="5"/>
    </row>
    <row r="6946">
      <c r="N6946" s="5"/>
    </row>
    <row r="6947">
      <c r="N6947" s="5"/>
    </row>
    <row r="6948">
      <c r="N6948" s="5"/>
    </row>
    <row r="6949">
      <c r="N6949" s="5"/>
    </row>
    <row r="6950">
      <c r="N6950" s="5"/>
    </row>
    <row r="6951">
      <c r="N6951" s="5"/>
    </row>
    <row r="6952">
      <c r="N6952" s="5"/>
    </row>
    <row r="6953">
      <c r="N6953" s="5"/>
    </row>
    <row r="6954">
      <c r="N6954" s="5"/>
    </row>
    <row r="6955">
      <c r="N6955" s="5"/>
    </row>
    <row r="6956">
      <c r="N6956" s="5"/>
    </row>
    <row r="6957">
      <c r="N6957" s="5"/>
    </row>
    <row r="6958">
      <c r="N6958" s="5"/>
    </row>
    <row r="6959">
      <c r="N6959" s="5"/>
    </row>
    <row r="6960">
      <c r="N6960" s="5"/>
    </row>
    <row r="6961">
      <c r="N6961" s="5"/>
    </row>
    <row r="6962">
      <c r="N6962" s="5"/>
    </row>
    <row r="6963">
      <c r="N6963" s="5"/>
    </row>
    <row r="6964">
      <c r="N6964" s="5"/>
    </row>
    <row r="6965">
      <c r="N6965" s="5"/>
    </row>
    <row r="6966">
      <c r="N6966" s="5"/>
    </row>
    <row r="6967">
      <c r="N6967" s="5"/>
    </row>
    <row r="6968">
      <c r="N6968" s="5"/>
    </row>
    <row r="6969">
      <c r="N6969" s="5"/>
    </row>
    <row r="6970">
      <c r="N6970" s="5"/>
    </row>
    <row r="6971">
      <c r="N6971" s="5"/>
    </row>
    <row r="6972">
      <c r="N6972" s="5"/>
    </row>
    <row r="6973">
      <c r="N6973" s="5"/>
    </row>
    <row r="6974">
      <c r="N6974" s="5"/>
    </row>
    <row r="6975">
      <c r="N6975" s="5"/>
    </row>
    <row r="6976">
      <c r="N6976" s="5"/>
    </row>
    <row r="6977">
      <c r="N6977" s="5"/>
    </row>
    <row r="6978">
      <c r="N6978" s="5"/>
    </row>
    <row r="6979">
      <c r="N6979" s="5"/>
    </row>
    <row r="6980">
      <c r="N6980" s="5"/>
    </row>
    <row r="6981">
      <c r="N6981" s="5"/>
    </row>
    <row r="6982">
      <c r="N6982" s="5"/>
    </row>
    <row r="6983">
      <c r="N6983" s="5"/>
    </row>
    <row r="6984">
      <c r="N6984" s="5"/>
    </row>
    <row r="6985">
      <c r="N6985" s="5"/>
    </row>
    <row r="6986">
      <c r="N6986" s="5"/>
    </row>
    <row r="6987">
      <c r="N6987" s="5"/>
    </row>
    <row r="6988">
      <c r="N6988" s="5"/>
    </row>
    <row r="6989">
      <c r="N6989" s="5"/>
    </row>
    <row r="6990">
      <c r="N6990" s="5"/>
    </row>
    <row r="6991">
      <c r="N6991" s="5"/>
    </row>
    <row r="6992">
      <c r="N6992" s="5"/>
    </row>
    <row r="6993">
      <c r="N6993" s="5"/>
    </row>
    <row r="6994">
      <c r="N6994" s="5"/>
    </row>
    <row r="6995">
      <c r="N6995" s="5"/>
    </row>
    <row r="6996">
      <c r="N6996" s="5"/>
    </row>
    <row r="6997">
      <c r="N6997" s="5"/>
    </row>
    <row r="6998">
      <c r="N6998" s="5"/>
    </row>
    <row r="6999">
      <c r="N6999" s="5"/>
    </row>
    <row r="7000">
      <c r="N7000" s="5"/>
    </row>
    <row r="7001">
      <c r="N7001" s="5"/>
    </row>
    <row r="7002">
      <c r="N7002" s="5"/>
    </row>
    <row r="7003">
      <c r="N7003" s="5"/>
    </row>
    <row r="7004">
      <c r="N7004" s="5"/>
    </row>
    <row r="7005">
      <c r="N7005" s="5"/>
    </row>
    <row r="7006">
      <c r="N7006" s="5"/>
    </row>
    <row r="7007">
      <c r="N7007" s="5"/>
    </row>
    <row r="7008">
      <c r="N7008" s="5"/>
    </row>
    <row r="7009">
      <c r="N7009" s="5"/>
    </row>
    <row r="7010">
      <c r="N7010" s="5"/>
    </row>
    <row r="7011">
      <c r="N7011" s="5"/>
    </row>
    <row r="7012">
      <c r="N7012" s="5"/>
    </row>
    <row r="7013">
      <c r="N7013" s="5"/>
    </row>
    <row r="7014">
      <c r="N7014" s="5"/>
    </row>
    <row r="7015">
      <c r="N7015" s="5"/>
    </row>
    <row r="7016">
      <c r="N7016" s="5"/>
    </row>
    <row r="7017">
      <c r="N7017" s="5"/>
    </row>
    <row r="7018">
      <c r="N7018" s="5"/>
    </row>
    <row r="7019">
      <c r="N7019" s="5"/>
    </row>
    <row r="7020">
      <c r="N7020" s="5"/>
    </row>
    <row r="7021">
      <c r="N7021" s="5"/>
    </row>
    <row r="7022">
      <c r="N7022" s="5"/>
    </row>
    <row r="7023">
      <c r="N7023" s="5"/>
    </row>
    <row r="7024">
      <c r="N7024" s="5"/>
    </row>
    <row r="7025">
      <c r="N7025" s="5"/>
    </row>
    <row r="7026">
      <c r="N7026" s="5"/>
    </row>
    <row r="7027">
      <c r="N7027" s="5"/>
    </row>
    <row r="7028">
      <c r="N7028" s="5"/>
    </row>
    <row r="7029">
      <c r="N7029" s="5"/>
    </row>
    <row r="7030">
      <c r="N7030" s="5"/>
    </row>
    <row r="7031">
      <c r="N7031" s="5"/>
    </row>
    <row r="7032">
      <c r="N7032" s="5"/>
    </row>
    <row r="7033">
      <c r="N7033" s="5"/>
    </row>
    <row r="7034">
      <c r="N7034" s="5"/>
    </row>
    <row r="7035">
      <c r="N7035" s="5"/>
    </row>
    <row r="7036">
      <c r="N7036" s="5"/>
    </row>
    <row r="7037">
      <c r="N7037" s="5"/>
    </row>
    <row r="7038">
      <c r="N7038" s="5"/>
    </row>
    <row r="7039">
      <c r="N7039" s="5"/>
    </row>
    <row r="7040">
      <c r="N7040" s="5"/>
    </row>
    <row r="7041">
      <c r="N7041" s="5"/>
    </row>
    <row r="7042">
      <c r="N7042" s="5"/>
    </row>
    <row r="7043">
      <c r="N7043" s="5"/>
    </row>
    <row r="7044">
      <c r="N7044" s="5"/>
    </row>
    <row r="7045">
      <c r="N7045" s="5"/>
    </row>
    <row r="7046">
      <c r="N7046" s="5"/>
    </row>
    <row r="7047">
      <c r="N7047" s="5"/>
    </row>
    <row r="7048">
      <c r="N7048" s="5"/>
    </row>
    <row r="7049">
      <c r="N7049" s="5"/>
    </row>
    <row r="7050">
      <c r="N7050" s="5"/>
    </row>
    <row r="7051">
      <c r="N7051" s="5"/>
    </row>
    <row r="7052">
      <c r="N7052" s="5"/>
    </row>
    <row r="7053">
      <c r="N7053" s="5"/>
    </row>
    <row r="7054">
      <c r="N7054" s="5"/>
    </row>
    <row r="7055">
      <c r="N7055" s="5"/>
    </row>
    <row r="7056">
      <c r="N7056" s="5"/>
    </row>
    <row r="7057">
      <c r="N7057" s="5"/>
    </row>
    <row r="7058">
      <c r="N7058" s="5"/>
    </row>
    <row r="7059">
      <c r="N7059" s="5"/>
    </row>
    <row r="7060">
      <c r="N7060" s="5"/>
    </row>
    <row r="7061">
      <c r="N7061" s="5"/>
    </row>
    <row r="7062">
      <c r="N7062" s="5"/>
    </row>
    <row r="7063">
      <c r="N7063" s="5"/>
    </row>
    <row r="7064">
      <c r="N7064" s="5"/>
    </row>
    <row r="7065">
      <c r="N7065" s="5"/>
    </row>
    <row r="7066">
      <c r="N7066" s="5"/>
    </row>
    <row r="7067">
      <c r="N7067" s="5"/>
    </row>
    <row r="7068">
      <c r="N7068" s="5"/>
    </row>
    <row r="7069">
      <c r="N7069" s="5"/>
    </row>
    <row r="7070">
      <c r="N7070" s="5"/>
    </row>
    <row r="7071">
      <c r="N7071" s="5"/>
    </row>
    <row r="7072">
      <c r="N7072" s="5"/>
    </row>
    <row r="7073">
      <c r="N7073" s="5"/>
    </row>
    <row r="7074">
      <c r="N7074" s="5"/>
    </row>
    <row r="7075">
      <c r="N7075" s="5"/>
    </row>
    <row r="7076">
      <c r="N7076" s="5"/>
    </row>
    <row r="7077">
      <c r="N7077" s="5"/>
    </row>
    <row r="7078">
      <c r="N7078" s="5"/>
    </row>
    <row r="7079">
      <c r="N7079" s="5"/>
    </row>
    <row r="7080">
      <c r="N7080" s="5"/>
    </row>
    <row r="7081">
      <c r="N7081" s="5"/>
    </row>
    <row r="7082">
      <c r="N7082" s="5"/>
    </row>
    <row r="7083">
      <c r="N7083" s="5"/>
    </row>
    <row r="7084">
      <c r="N7084" s="5"/>
    </row>
    <row r="7085">
      <c r="N7085" s="5"/>
    </row>
    <row r="7086">
      <c r="N7086" s="5"/>
    </row>
    <row r="7087">
      <c r="N7087" s="5"/>
    </row>
    <row r="7088">
      <c r="N7088" s="5"/>
    </row>
    <row r="7089">
      <c r="N7089" s="5"/>
    </row>
    <row r="7090">
      <c r="N7090" s="5"/>
    </row>
    <row r="7091">
      <c r="N7091" s="5"/>
    </row>
    <row r="7092">
      <c r="N7092" s="5"/>
    </row>
    <row r="7093">
      <c r="N7093" s="5"/>
    </row>
    <row r="7094">
      <c r="N7094" s="5"/>
    </row>
    <row r="7095">
      <c r="N7095" s="5"/>
    </row>
    <row r="7096">
      <c r="N7096" s="5"/>
    </row>
    <row r="7097">
      <c r="N7097" s="5"/>
    </row>
    <row r="7098">
      <c r="N7098" s="5"/>
    </row>
    <row r="7099">
      <c r="N7099" s="5"/>
    </row>
    <row r="7100">
      <c r="N7100" s="5"/>
    </row>
    <row r="7101">
      <c r="N7101" s="5"/>
    </row>
    <row r="7102">
      <c r="N7102" s="5"/>
    </row>
    <row r="7103">
      <c r="N7103" s="5"/>
    </row>
    <row r="7104">
      <c r="N7104" s="5"/>
    </row>
    <row r="7105">
      <c r="N7105" s="5"/>
    </row>
    <row r="7106">
      <c r="N7106" s="5"/>
    </row>
    <row r="7107">
      <c r="N7107" s="5"/>
    </row>
    <row r="7108">
      <c r="N7108" s="5"/>
    </row>
    <row r="7109">
      <c r="N7109" s="5"/>
    </row>
    <row r="7110">
      <c r="N7110" s="5"/>
    </row>
    <row r="7111">
      <c r="N7111" s="5"/>
    </row>
    <row r="7112">
      <c r="N7112" s="5"/>
    </row>
    <row r="7113">
      <c r="N7113" s="5"/>
    </row>
    <row r="7114">
      <c r="N7114" s="5"/>
    </row>
    <row r="7115">
      <c r="N7115" s="5"/>
    </row>
    <row r="7116">
      <c r="N7116" s="5"/>
    </row>
    <row r="7117">
      <c r="N7117" s="5"/>
    </row>
    <row r="7118">
      <c r="N7118" s="5"/>
    </row>
    <row r="7119">
      <c r="N7119" s="5"/>
    </row>
    <row r="7120">
      <c r="N7120" s="5"/>
    </row>
    <row r="7121">
      <c r="N7121" s="5"/>
    </row>
    <row r="7122">
      <c r="N7122" s="5"/>
    </row>
    <row r="7123">
      <c r="N7123" s="5"/>
    </row>
    <row r="7124">
      <c r="N7124" s="5"/>
    </row>
    <row r="7125">
      <c r="N7125" s="5"/>
    </row>
    <row r="7126">
      <c r="N7126" s="5"/>
    </row>
    <row r="7127">
      <c r="N7127" s="5"/>
    </row>
    <row r="7128">
      <c r="N7128" s="5"/>
    </row>
    <row r="7129">
      <c r="N7129" s="5"/>
    </row>
    <row r="7130">
      <c r="N7130" s="5"/>
    </row>
    <row r="7131">
      <c r="N7131" s="5"/>
    </row>
    <row r="7132">
      <c r="N7132" s="5"/>
    </row>
    <row r="7133">
      <c r="N7133" s="5"/>
    </row>
    <row r="7134">
      <c r="N7134" s="5"/>
    </row>
    <row r="7135">
      <c r="N7135" s="5"/>
    </row>
    <row r="7136">
      <c r="N7136" s="5"/>
    </row>
    <row r="7137">
      <c r="N7137" s="5"/>
    </row>
    <row r="7138">
      <c r="N7138" s="5"/>
    </row>
    <row r="7139">
      <c r="N7139" s="5"/>
    </row>
    <row r="7140">
      <c r="N7140" s="5"/>
    </row>
    <row r="7141">
      <c r="N7141" s="5"/>
    </row>
    <row r="7142">
      <c r="N7142" s="5"/>
    </row>
    <row r="7143">
      <c r="N7143" s="5"/>
    </row>
    <row r="7144">
      <c r="N7144" s="5"/>
    </row>
    <row r="7145">
      <c r="N7145" s="5"/>
    </row>
    <row r="7146">
      <c r="N7146" s="5"/>
    </row>
    <row r="7147">
      <c r="N7147" s="5"/>
    </row>
    <row r="7148">
      <c r="N7148" s="5"/>
    </row>
    <row r="7149">
      <c r="N7149" s="5"/>
    </row>
    <row r="7150">
      <c r="N7150" s="5"/>
    </row>
    <row r="7151">
      <c r="N7151" s="5"/>
    </row>
    <row r="7152">
      <c r="N7152" s="5"/>
    </row>
    <row r="7153">
      <c r="N7153" s="5"/>
    </row>
    <row r="7154">
      <c r="N7154" s="5"/>
    </row>
    <row r="7155">
      <c r="N7155" s="5"/>
    </row>
    <row r="7156">
      <c r="N7156" s="5"/>
    </row>
    <row r="7157">
      <c r="N7157" s="5"/>
    </row>
    <row r="7158">
      <c r="N7158" s="5"/>
    </row>
    <row r="7159">
      <c r="N7159" s="5"/>
    </row>
    <row r="7160">
      <c r="N7160" s="5"/>
    </row>
    <row r="7161">
      <c r="N7161" s="5"/>
    </row>
    <row r="7162">
      <c r="N7162" s="5"/>
    </row>
    <row r="7163">
      <c r="N7163" s="5"/>
    </row>
    <row r="7164">
      <c r="N7164" s="5"/>
    </row>
    <row r="7165">
      <c r="N7165" s="5"/>
    </row>
    <row r="7166">
      <c r="N7166" s="5"/>
    </row>
    <row r="7167">
      <c r="N7167" s="5"/>
    </row>
    <row r="7168">
      <c r="N7168" s="5"/>
    </row>
    <row r="7169">
      <c r="N7169" s="5"/>
    </row>
    <row r="7170">
      <c r="N7170" s="5"/>
    </row>
    <row r="7171">
      <c r="N7171" s="5"/>
    </row>
    <row r="7172">
      <c r="N7172" s="5"/>
    </row>
    <row r="7173">
      <c r="N7173" s="5"/>
    </row>
    <row r="7174">
      <c r="N7174" s="5"/>
    </row>
    <row r="7175">
      <c r="N7175" s="5"/>
    </row>
    <row r="7176">
      <c r="N7176" s="5"/>
    </row>
    <row r="7177">
      <c r="N7177" s="5"/>
    </row>
    <row r="7178">
      <c r="N7178" s="5"/>
    </row>
    <row r="7179">
      <c r="N7179" s="5"/>
    </row>
    <row r="7180">
      <c r="N7180" s="5"/>
    </row>
    <row r="7181">
      <c r="N7181" s="5"/>
    </row>
    <row r="7182">
      <c r="N7182" s="5"/>
    </row>
    <row r="7183">
      <c r="N7183" s="5"/>
    </row>
    <row r="7184">
      <c r="N7184" s="5"/>
    </row>
    <row r="7185">
      <c r="N7185" s="5"/>
    </row>
    <row r="7186">
      <c r="N7186" s="5"/>
    </row>
    <row r="7187">
      <c r="N7187" s="5"/>
    </row>
    <row r="7188">
      <c r="N7188" s="5"/>
    </row>
    <row r="7189">
      <c r="N7189" s="5"/>
    </row>
    <row r="7190">
      <c r="N7190" s="5"/>
    </row>
    <row r="7191">
      <c r="N7191" s="5"/>
    </row>
    <row r="7192">
      <c r="N7192" s="5"/>
    </row>
    <row r="7193">
      <c r="N7193" s="5"/>
    </row>
    <row r="7194">
      <c r="N7194" s="5"/>
    </row>
    <row r="7195">
      <c r="N7195" s="5"/>
    </row>
    <row r="7196">
      <c r="N7196" s="5"/>
    </row>
    <row r="7197">
      <c r="N7197" s="5"/>
    </row>
    <row r="7198">
      <c r="N7198" s="5"/>
    </row>
    <row r="7199">
      <c r="N7199" s="5"/>
    </row>
    <row r="7200">
      <c r="N7200" s="5"/>
    </row>
    <row r="7201">
      <c r="N7201" s="5"/>
    </row>
    <row r="7202">
      <c r="N7202" s="5"/>
    </row>
    <row r="7203">
      <c r="N7203" s="5"/>
    </row>
    <row r="7204">
      <c r="N7204" s="5"/>
    </row>
    <row r="7205">
      <c r="N7205" s="5"/>
    </row>
    <row r="7206">
      <c r="N7206" s="5"/>
    </row>
    <row r="7207">
      <c r="N7207" s="5"/>
    </row>
    <row r="7208">
      <c r="N7208" s="5"/>
    </row>
    <row r="7209">
      <c r="N7209" s="5"/>
    </row>
    <row r="7210">
      <c r="N7210" s="5"/>
    </row>
    <row r="7211">
      <c r="N7211" s="5"/>
    </row>
    <row r="7212">
      <c r="N7212" s="5"/>
    </row>
    <row r="7213">
      <c r="N7213" s="5"/>
    </row>
    <row r="7214">
      <c r="N7214" s="5"/>
    </row>
    <row r="7215">
      <c r="N7215" s="5"/>
    </row>
    <row r="7216">
      <c r="N7216" s="5"/>
    </row>
    <row r="7217">
      <c r="N7217" s="5"/>
    </row>
    <row r="7218">
      <c r="N7218" s="5"/>
    </row>
    <row r="7219">
      <c r="N7219" s="5"/>
    </row>
    <row r="7220">
      <c r="N7220" s="5"/>
    </row>
    <row r="7221">
      <c r="N7221" s="5"/>
    </row>
    <row r="7222">
      <c r="N7222" s="5"/>
    </row>
    <row r="7223">
      <c r="N7223" s="5"/>
    </row>
    <row r="7224">
      <c r="N7224" s="5"/>
    </row>
    <row r="7225">
      <c r="N7225" s="5"/>
    </row>
    <row r="7226">
      <c r="N7226" s="5"/>
    </row>
    <row r="7227">
      <c r="N7227" s="5"/>
    </row>
    <row r="7228">
      <c r="N7228" s="5"/>
    </row>
    <row r="7229">
      <c r="N7229" s="5"/>
    </row>
    <row r="7230">
      <c r="N7230" s="5"/>
    </row>
    <row r="7231">
      <c r="N7231" s="5"/>
    </row>
    <row r="7232">
      <c r="N7232" s="5"/>
    </row>
    <row r="7233">
      <c r="N7233" s="5"/>
    </row>
    <row r="7234">
      <c r="N7234" s="5"/>
    </row>
    <row r="7235">
      <c r="N7235" s="5"/>
    </row>
    <row r="7236">
      <c r="N7236" s="5"/>
    </row>
    <row r="7237">
      <c r="N7237" s="5"/>
    </row>
    <row r="7238">
      <c r="N7238" s="5"/>
    </row>
    <row r="7239">
      <c r="N7239" s="5"/>
    </row>
    <row r="7240">
      <c r="N7240" s="5"/>
    </row>
    <row r="7241">
      <c r="N7241" s="5"/>
    </row>
    <row r="7242">
      <c r="N7242" s="5"/>
    </row>
    <row r="7243">
      <c r="N7243" s="5"/>
    </row>
    <row r="7244">
      <c r="N7244" s="5"/>
    </row>
    <row r="7245">
      <c r="N7245" s="5"/>
    </row>
    <row r="7246">
      <c r="N7246" s="5"/>
    </row>
    <row r="7247">
      <c r="N7247" s="5"/>
    </row>
    <row r="7248">
      <c r="N7248" s="5"/>
    </row>
    <row r="7249">
      <c r="N7249" s="5"/>
    </row>
    <row r="7250">
      <c r="N7250" s="5"/>
    </row>
    <row r="7251">
      <c r="N7251" s="5"/>
    </row>
    <row r="7252">
      <c r="N7252" s="5"/>
    </row>
    <row r="7253">
      <c r="N7253" s="5"/>
    </row>
    <row r="7254">
      <c r="N7254" s="5"/>
    </row>
    <row r="7255">
      <c r="N7255" s="5"/>
    </row>
    <row r="7256">
      <c r="N7256" s="5"/>
    </row>
    <row r="7257">
      <c r="N7257" s="5"/>
    </row>
    <row r="7258">
      <c r="N7258" s="5"/>
    </row>
    <row r="7259">
      <c r="N7259" s="5"/>
    </row>
    <row r="7260">
      <c r="N7260" s="5"/>
    </row>
    <row r="7261">
      <c r="N7261" s="5"/>
    </row>
    <row r="7262">
      <c r="N7262" s="5"/>
    </row>
    <row r="7263">
      <c r="N7263" s="5"/>
    </row>
    <row r="7264">
      <c r="N7264" s="5"/>
    </row>
    <row r="7265">
      <c r="N7265" s="5"/>
    </row>
    <row r="7266">
      <c r="N7266" s="5"/>
    </row>
    <row r="7267">
      <c r="N7267" s="5"/>
    </row>
    <row r="7268">
      <c r="N7268" s="5"/>
    </row>
    <row r="7269">
      <c r="N7269" s="5"/>
    </row>
    <row r="7270">
      <c r="N7270" s="5"/>
    </row>
    <row r="7271">
      <c r="N7271" s="5"/>
    </row>
    <row r="7272">
      <c r="N7272" s="5"/>
    </row>
    <row r="7273">
      <c r="N7273" s="5"/>
    </row>
    <row r="7274">
      <c r="N7274" s="5"/>
    </row>
    <row r="7275">
      <c r="N7275" s="5"/>
    </row>
    <row r="7276">
      <c r="N7276" s="5"/>
    </row>
    <row r="7277">
      <c r="N7277" s="5"/>
    </row>
    <row r="7278">
      <c r="N7278" s="5"/>
    </row>
    <row r="7279">
      <c r="N7279" s="5"/>
    </row>
    <row r="7280">
      <c r="N7280" s="5"/>
    </row>
    <row r="7281">
      <c r="N7281" s="5"/>
    </row>
    <row r="7282">
      <c r="N7282" s="5"/>
    </row>
    <row r="7283">
      <c r="N7283" s="5"/>
    </row>
    <row r="7284">
      <c r="N7284" s="5"/>
    </row>
    <row r="7285">
      <c r="N7285" s="5"/>
    </row>
    <row r="7286">
      <c r="N7286" s="5"/>
    </row>
    <row r="7287">
      <c r="N7287" s="5"/>
    </row>
    <row r="7288">
      <c r="N7288" s="5"/>
    </row>
    <row r="7289">
      <c r="N7289" s="5"/>
    </row>
    <row r="7290">
      <c r="N7290" s="5"/>
    </row>
    <row r="7291">
      <c r="N7291" s="5"/>
    </row>
    <row r="7292">
      <c r="N7292" s="5"/>
    </row>
    <row r="7293">
      <c r="N7293" s="5"/>
    </row>
    <row r="7294">
      <c r="N7294" s="5"/>
    </row>
    <row r="7295">
      <c r="N7295" s="5"/>
    </row>
    <row r="7296">
      <c r="N7296" s="5"/>
    </row>
    <row r="7297">
      <c r="N7297" s="5"/>
    </row>
    <row r="7298">
      <c r="N7298" s="5"/>
    </row>
    <row r="7299">
      <c r="N7299" s="5"/>
    </row>
    <row r="7300">
      <c r="N7300" s="5"/>
    </row>
    <row r="7301">
      <c r="N7301" s="5"/>
    </row>
    <row r="7302">
      <c r="N7302" s="5"/>
    </row>
    <row r="7303">
      <c r="N7303" s="5"/>
    </row>
    <row r="7304">
      <c r="N7304" s="5"/>
    </row>
    <row r="7305">
      <c r="N7305" s="5"/>
    </row>
    <row r="7306">
      <c r="N7306" s="5"/>
    </row>
    <row r="7307">
      <c r="N7307" s="5"/>
    </row>
    <row r="7308">
      <c r="N7308" s="5"/>
    </row>
    <row r="7309">
      <c r="N7309" s="5"/>
    </row>
    <row r="7310">
      <c r="N7310" s="5"/>
    </row>
    <row r="7311">
      <c r="N7311" s="5"/>
    </row>
    <row r="7312">
      <c r="N7312" s="5"/>
    </row>
    <row r="7313">
      <c r="N7313" s="5"/>
    </row>
    <row r="7314">
      <c r="N7314" s="5"/>
    </row>
    <row r="7315">
      <c r="N7315" s="5"/>
    </row>
    <row r="7316">
      <c r="N7316" s="5"/>
    </row>
    <row r="7317">
      <c r="N7317" s="5"/>
    </row>
    <row r="7318">
      <c r="N7318" s="5"/>
    </row>
    <row r="7319">
      <c r="N7319" s="5"/>
    </row>
    <row r="7320">
      <c r="N7320" s="5"/>
    </row>
    <row r="7321">
      <c r="N7321" s="5"/>
    </row>
    <row r="7322">
      <c r="N7322" s="5"/>
    </row>
    <row r="7323">
      <c r="N7323" s="5"/>
    </row>
    <row r="7324">
      <c r="N7324" s="5"/>
    </row>
    <row r="7325">
      <c r="N7325" s="5"/>
    </row>
    <row r="7326">
      <c r="N7326" s="5"/>
    </row>
    <row r="7327">
      <c r="N7327" s="5"/>
    </row>
    <row r="7328">
      <c r="N7328" s="5"/>
    </row>
    <row r="7329">
      <c r="N7329" s="5"/>
    </row>
    <row r="7330">
      <c r="N7330" s="5"/>
    </row>
    <row r="7331">
      <c r="N7331" s="5"/>
    </row>
    <row r="7332">
      <c r="N7332" s="5"/>
    </row>
    <row r="7333">
      <c r="N7333" s="5"/>
    </row>
    <row r="7334">
      <c r="N7334" s="5"/>
    </row>
    <row r="7335">
      <c r="N7335" s="5"/>
    </row>
    <row r="7336">
      <c r="N7336" s="5"/>
    </row>
    <row r="7337">
      <c r="N7337" s="5"/>
    </row>
    <row r="7338">
      <c r="N7338" s="5"/>
    </row>
    <row r="7339">
      <c r="N7339" s="5"/>
    </row>
    <row r="7340">
      <c r="N7340" s="5"/>
    </row>
    <row r="7341">
      <c r="N7341" s="5"/>
    </row>
    <row r="7342">
      <c r="N7342" s="5"/>
    </row>
    <row r="7343">
      <c r="N7343" s="5"/>
    </row>
    <row r="7344">
      <c r="N7344" s="5"/>
    </row>
    <row r="7345">
      <c r="N7345" s="5"/>
    </row>
    <row r="7346">
      <c r="N7346" s="5"/>
    </row>
    <row r="7347">
      <c r="N7347" s="5"/>
    </row>
    <row r="7348">
      <c r="N7348" s="5"/>
    </row>
    <row r="7349">
      <c r="N7349" s="5"/>
    </row>
    <row r="7350">
      <c r="N7350" s="5"/>
    </row>
    <row r="7351">
      <c r="N7351" s="5"/>
    </row>
    <row r="7352">
      <c r="N7352" s="5"/>
    </row>
    <row r="7353">
      <c r="N7353" s="5"/>
    </row>
    <row r="7354">
      <c r="N7354" s="5"/>
    </row>
    <row r="7355">
      <c r="N7355" s="5"/>
    </row>
    <row r="7356">
      <c r="N7356" s="5"/>
    </row>
    <row r="7357">
      <c r="N7357" s="5"/>
    </row>
    <row r="7358">
      <c r="N7358" s="5"/>
    </row>
    <row r="7359">
      <c r="N7359" s="5"/>
    </row>
    <row r="7360">
      <c r="N7360" s="5"/>
    </row>
    <row r="7361">
      <c r="N7361" s="5"/>
    </row>
    <row r="7362">
      <c r="N7362" s="5"/>
    </row>
    <row r="7363">
      <c r="N7363" s="5"/>
    </row>
    <row r="7364">
      <c r="N7364" s="5"/>
    </row>
    <row r="7365">
      <c r="N7365" s="5"/>
    </row>
    <row r="7366">
      <c r="N7366" s="5"/>
    </row>
    <row r="7367">
      <c r="N7367" s="5"/>
    </row>
    <row r="7368">
      <c r="N7368" s="5"/>
    </row>
    <row r="7369">
      <c r="N7369" s="5"/>
    </row>
    <row r="7370">
      <c r="N7370" s="5"/>
    </row>
    <row r="7371">
      <c r="N7371" s="5"/>
    </row>
    <row r="7372">
      <c r="N7372" s="5"/>
    </row>
    <row r="7373">
      <c r="N7373" s="5"/>
    </row>
    <row r="7374">
      <c r="N7374" s="5"/>
    </row>
    <row r="7375">
      <c r="N7375" s="5"/>
    </row>
    <row r="7376">
      <c r="N7376" s="5"/>
    </row>
    <row r="7377">
      <c r="N7377" s="5"/>
    </row>
    <row r="7378">
      <c r="N7378" s="5"/>
    </row>
    <row r="7379">
      <c r="N7379" s="5"/>
    </row>
    <row r="7380">
      <c r="N7380" s="5"/>
    </row>
    <row r="7381">
      <c r="N7381" s="5"/>
    </row>
    <row r="7382">
      <c r="N7382" s="5"/>
    </row>
    <row r="7383">
      <c r="N7383" s="5"/>
    </row>
    <row r="7384">
      <c r="N7384" s="5"/>
    </row>
    <row r="7385">
      <c r="N7385" s="5"/>
    </row>
    <row r="7386">
      <c r="N7386" s="5"/>
    </row>
    <row r="7387">
      <c r="N7387" s="5"/>
    </row>
    <row r="7388">
      <c r="N7388" s="5"/>
    </row>
    <row r="7389">
      <c r="N7389" s="5"/>
    </row>
    <row r="7390">
      <c r="N7390" s="5"/>
    </row>
    <row r="7391">
      <c r="N7391" s="5"/>
    </row>
    <row r="7392">
      <c r="N7392" s="5"/>
    </row>
    <row r="7393">
      <c r="N7393" s="5"/>
    </row>
    <row r="7394">
      <c r="N7394" s="5"/>
    </row>
    <row r="7395">
      <c r="N7395" s="5"/>
    </row>
    <row r="7396">
      <c r="N7396" s="5"/>
    </row>
    <row r="7397">
      <c r="N7397" s="5"/>
    </row>
    <row r="7398">
      <c r="N7398" s="5"/>
    </row>
    <row r="7399">
      <c r="N7399" s="5"/>
    </row>
    <row r="7400">
      <c r="N7400" s="5"/>
    </row>
    <row r="7401">
      <c r="N7401" s="5"/>
    </row>
    <row r="7402">
      <c r="N7402" s="5"/>
    </row>
    <row r="7403">
      <c r="N7403" s="5"/>
    </row>
    <row r="7404">
      <c r="N7404" s="5"/>
    </row>
    <row r="7405">
      <c r="N7405" s="5"/>
    </row>
    <row r="7406">
      <c r="N7406" s="5"/>
    </row>
    <row r="7407">
      <c r="N7407" s="5"/>
    </row>
    <row r="7408">
      <c r="N7408" s="5"/>
    </row>
    <row r="7409">
      <c r="N7409" s="5"/>
    </row>
    <row r="7410">
      <c r="N7410" s="5"/>
    </row>
    <row r="7411">
      <c r="N7411" s="5"/>
    </row>
    <row r="7412">
      <c r="N7412" s="5"/>
    </row>
    <row r="7413">
      <c r="N7413" s="5"/>
    </row>
    <row r="7414">
      <c r="N7414" s="5"/>
    </row>
    <row r="7415">
      <c r="N7415" s="5"/>
    </row>
    <row r="7416">
      <c r="N7416" s="5"/>
    </row>
    <row r="7417">
      <c r="N7417" s="5"/>
    </row>
    <row r="7418">
      <c r="N7418" s="5"/>
    </row>
    <row r="7419">
      <c r="N7419" s="5"/>
    </row>
    <row r="7420">
      <c r="N7420" s="5"/>
    </row>
    <row r="7421">
      <c r="N7421" s="5"/>
    </row>
    <row r="7422">
      <c r="N7422" s="5"/>
    </row>
    <row r="7423">
      <c r="N7423" s="5"/>
    </row>
    <row r="7424">
      <c r="N7424" s="5"/>
    </row>
    <row r="7425">
      <c r="N7425" s="5"/>
    </row>
    <row r="7426">
      <c r="N7426" s="5"/>
    </row>
    <row r="7427">
      <c r="N7427" s="5"/>
    </row>
    <row r="7428">
      <c r="N7428" s="5"/>
    </row>
    <row r="7429">
      <c r="N7429" s="5"/>
    </row>
    <row r="7430">
      <c r="N7430" s="5"/>
    </row>
    <row r="7431">
      <c r="N7431" s="5"/>
    </row>
    <row r="7432">
      <c r="N7432" s="5"/>
    </row>
    <row r="7433">
      <c r="N7433" s="5"/>
    </row>
    <row r="7434">
      <c r="N7434" s="5"/>
    </row>
    <row r="7435">
      <c r="N7435" s="5"/>
    </row>
    <row r="7436">
      <c r="N7436" s="5"/>
    </row>
    <row r="7437">
      <c r="N7437" s="5"/>
    </row>
    <row r="7438">
      <c r="N7438" s="5"/>
    </row>
    <row r="7439">
      <c r="N7439" s="5"/>
    </row>
    <row r="7440">
      <c r="N7440" s="5"/>
    </row>
    <row r="7441">
      <c r="N7441" s="5"/>
    </row>
    <row r="7442">
      <c r="N7442" s="5"/>
    </row>
    <row r="7443">
      <c r="N7443" s="5"/>
    </row>
    <row r="7444">
      <c r="N7444" s="5"/>
    </row>
    <row r="7445">
      <c r="N7445" s="5"/>
    </row>
    <row r="7446">
      <c r="N7446" s="5"/>
    </row>
    <row r="7447">
      <c r="N7447" s="5"/>
    </row>
    <row r="7448">
      <c r="N7448" s="5"/>
    </row>
    <row r="7449">
      <c r="N7449" s="5"/>
    </row>
    <row r="7450">
      <c r="N7450" s="5"/>
    </row>
    <row r="7451">
      <c r="N7451" s="5"/>
    </row>
    <row r="7452">
      <c r="N7452" s="5"/>
    </row>
    <row r="7453">
      <c r="N7453" s="5"/>
    </row>
    <row r="7454">
      <c r="N7454" s="5"/>
    </row>
    <row r="7455">
      <c r="N7455" s="5"/>
    </row>
    <row r="7456">
      <c r="N7456" s="5"/>
    </row>
    <row r="7457">
      <c r="N7457" s="5"/>
    </row>
    <row r="7458">
      <c r="N7458" s="5"/>
    </row>
    <row r="7459">
      <c r="N7459" s="5"/>
    </row>
    <row r="7460">
      <c r="N7460" s="5"/>
    </row>
    <row r="7461">
      <c r="N7461" s="5"/>
    </row>
    <row r="7462">
      <c r="N7462" s="5"/>
    </row>
    <row r="7463">
      <c r="N7463" s="5"/>
    </row>
    <row r="7464">
      <c r="N7464" s="5"/>
    </row>
    <row r="7465">
      <c r="N7465" s="5"/>
    </row>
    <row r="7466">
      <c r="N7466" s="5"/>
    </row>
    <row r="7467">
      <c r="N7467" s="5"/>
    </row>
    <row r="7468">
      <c r="N7468" s="5"/>
    </row>
    <row r="7469">
      <c r="N7469" s="5"/>
    </row>
    <row r="7470">
      <c r="N7470" s="5"/>
    </row>
    <row r="7471">
      <c r="N7471" s="5"/>
    </row>
    <row r="7472">
      <c r="N7472" s="5"/>
    </row>
    <row r="7473">
      <c r="N7473" s="5"/>
    </row>
    <row r="7474">
      <c r="N7474" s="5"/>
    </row>
    <row r="7475">
      <c r="N7475" s="5"/>
    </row>
    <row r="7476">
      <c r="N7476" s="5"/>
    </row>
    <row r="7477">
      <c r="N7477" s="5"/>
    </row>
    <row r="7478">
      <c r="N7478" s="5"/>
    </row>
    <row r="7479">
      <c r="N7479" s="5"/>
    </row>
    <row r="7480">
      <c r="N7480" s="5"/>
    </row>
    <row r="7481">
      <c r="N7481" s="5"/>
    </row>
    <row r="7482">
      <c r="N7482" s="5"/>
    </row>
    <row r="7483">
      <c r="N7483" s="5"/>
    </row>
    <row r="7484">
      <c r="N7484" s="5"/>
    </row>
    <row r="7485">
      <c r="N7485" s="5"/>
    </row>
    <row r="7486">
      <c r="N7486" s="5"/>
    </row>
    <row r="7487">
      <c r="N7487" s="5"/>
    </row>
    <row r="7488">
      <c r="N7488" s="5"/>
    </row>
    <row r="7489">
      <c r="N7489" s="5"/>
    </row>
    <row r="7490">
      <c r="N7490" s="5"/>
    </row>
    <row r="7491">
      <c r="N7491" s="5"/>
    </row>
    <row r="7492">
      <c r="N7492" s="5"/>
    </row>
    <row r="7493">
      <c r="N7493" s="5"/>
    </row>
    <row r="7494">
      <c r="N7494" s="5"/>
    </row>
    <row r="7495">
      <c r="N7495" s="5"/>
    </row>
    <row r="7496">
      <c r="N7496" s="5"/>
    </row>
    <row r="7497">
      <c r="N7497" s="5"/>
    </row>
    <row r="7498">
      <c r="N7498" s="5"/>
    </row>
    <row r="7499">
      <c r="N7499" s="5"/>
    </row>
    <row r="7500">
      <c r="N7500" s="5"/>
    </row>
    <row r="7501">
      <c r="N7501" s="5"/>
    </row>
    <row r="7502">
      <c r="N7502" s="5"/>
    </row>
    <row r="7503">
      <c r="N7503" s="5"/>
    </row>
    <row r="7504">
      <c r="N7504" s="5"/>
    </row>
    <row r="7505">
      <c r="N7505" s="5"/>
    </row>
    <row r="7506">
      <c r="N7506" s="5"/>
    </row>
    <row r="7507">
      <c r="N7507" s="5"/>
    </row>
    <row r="7508">
      <c r="N7508" s="5"/>
    </row>
    <row r="7509">
      <c r="N7509" s="5"/>
    </row>
    <row r="7510">
      <c r="N7510" s="5"/>
    </row>
    <row r="7511">
      <c r="N7511" s="5"/>
    </row>
    <row r="7512">
      <c r="N7512" s="5"/>
    </row>
    <row r="7513">
      <c r="N7513" s="5"/>
    </row>
    <row r="7514">
      <c r="N7514" s="5"/>
    </row>
    <row r="7515">
      <c r="N7515" s="5"/>
    </row>
    <row r="7516">
      <c r="N7516" s="5"/>
    </row>
    <row r="7517">
      <c r="N7517" s="5"/>
    </row>
    <row r="7518">
      <c r="N7518" s="5"/>
    </row>
    <row r="7519">
      <c r="N7519" s="5"/>
    </row>
    <row r="7520">
      <c r="N7520" s="5"/>
    </row>
    <row r="7521">
      <c r="N7521" s="5"/>
    </row>
    <row r="7522">
      <c r="N7522" s="5"/>
    </row>
    <row r="7523">
      <c r="N7523" s="5"/>
    </row>
    <row r="7524">
      <c r="N7524" s="5"/>
    </row>
    <row r="7525">
      <c r="N7525" s="5"/>
    </row>
    <row r="7526">
      <c r="N7526" s="5"/>
    </row>
    <row r="7527">
      <c r="N7527" s="5"/>
    </row>
    <row r="7528">
      <c r="N7528" s="5"/>
    </row>
    <row r="7529">
      <c r="N7529" s="5"/>
    </row>
    <row r="7530">
      <c r="N7530" s="5"/>
    </row>
    <row r="7531">
      <c r="N7531" s="5"/>
    </row>
    <row r="7532">
      <c r="N7532" s="5"/>
    </row>
    <row r="7533">
      <c r="N7533" s="5"/>
    </row>
    <row r="7534">
      <c r="N7534" s="5"/>
    </row>
    <row r="7535">
      <c r="N7535" s="5"/>
    </row>
    <row r="7536">
      <c r="N7536" s="5"/>
    </row>
    <row r="7537">
      <c r="N7537" s="5"/>
    </row>
    <row r="7538">
      <c r="N7538" s="5"/>
    </row>
    <row r="7539">
      <c r="N7539" s="5"/>
    </row>
    <row r="7540">
      <c r="N7540" s="5"/>
    </row>
    <row r="7541">
      <c r="N7541" s="5"/>
    </row>
    <row r="7542">
      <c r="N7542" s="5"/>
    </row>
    <row r="7543">
      <c r="N7543" s="5"/>
    </row>
    <row r="7544">
      <c r="N7544" s="5"/>
    </row>
    <row r="7545">
      <c r="N7545" s="5"/>
    </row>
    <row r="7546">
      <c r="N7546" s="5"/>
    </row>
    <row r="7547">
      <c r="N7547" s="5"/>
    </row>
    <row r="7548">
      <c r="N7548" s="5"/>
    </row>
    <row r="7549">
      <c r="N7549" s="5"/>
    </row>
    <row r="7550">
      <c r="N7550" s="5"/>
    </row>
    <row r="7551">
      <c r="N7551" s="5"/>
    </row>
    <row r="7552">
      <c r="N7552" s="5"/>
    </row>
    <row r="7553">
      <c r="N7553" s="5"/>
    </row>
    <row r="7554">
      <c r="N7554" s="5"/>
    </row>
    <row r="7555">
      <c r="N7555" s="5"/>
    </row>
    <row r="7556">
      <c r="N7556" s="5"/>
    </row>
    <row r="7557">
      <c r="N7557" s="5"/>
    </row>
    <row r="7558">
      <c r="N7558" s="5"/>
    </row>
    <row r="7559">
      <c r="N7559" s="5"/>
    </row>
    <row r="7560">
      <c r="N7560" s="5"/>
    </row>
    <row r="7561">
      <c r="N7561" s="5"/>
    </row>
    <row r="7562">
      <c r="N7562" s="5"/>
    </row>
    <row r="7563">
      <c r="N7563" s="5"/>
    </row>
    <row r="7564">
      <c r="N7564" s="5"/>
    </row>
    <row r="7565">
      <c r="N7565" s="5"/>
    </row>
    <row r="7566">
      <c r="N7566" s="5"/>
    </row>
    <row r="7567">
      <c r="N7567" s="5"/>
    </row>
    <row r="7568">
      <c r="N7568" s="5"/>
    </row>
    <row r="7569">
      <c r="N7569" s="5"/>
    </row>
    <row r="7570">
      <c r="N7570" s="5"/>
    </row>
    <row r="7571">
      <c r="N7571" s="5"/>
    </row>
    <row r="7572">
      <c r="N7572" s="5"/>
    </row>
    <row r="7573">
      <c r="N7573" s="5"/>
    </row>
    <row r="7574">
      <c r="N7574" s="5"/>
    </row>
    <row r="7575">
      <c r="N7575" s="5"/>
    </row>
    <row r="7576">
      <c r="N7576" s="5"/>
    </row>
    <row r="7577">
      <c r="N7577" s="5"/>
    </row>
    <row r="7578">
      <c r="N7578" s="5"/>
    </row>
    <row r="7579">
      <c r="N7579" s="5"/>
    </row>
    <row r="7580">
      <c r="N7580" s="5"/>
    </row>
    <row r="7581">
      <c r="N7581" s="5"/>
    </row>
    <row r="7582">
      <c r="N7582" s="5"/>
    </row>
    <row r="7583">
      <c r="N7583" s="5"/>
    </row>
    <row r="7584">
      <c r="N7584" s="5"/>
    </row>
    <row r="7585">
      <c r="N7585" s="5"/>
    </row>
    <row r="7586">
      <c r="N7586" s="5"/>
    </row>
    <row r="7587">
      <c r="N7587" s="5"/>
    </row>
    <row r="7588">
      <c r="N7588" s="5"/>
    </row>
    <row r="7589">
      <c r="N7589" s="5"/>
    </row>
    <row r="7590">
      <c r="N7590" s="5"/>
    </row>
    <row r="7591">
      <c r="N7591" s="5"/>
    </row>
    <row r="7592">
      <c r="N7592" s="5"/>
    </row>
    <row r="7593">
      <c r="N7593" s="5"/>
    </row>
    <row r="7594">
      <c r="N7594" s="5"/>
    </row>
    <row r="7595">
      <c r="N7595" s="5"/>
    </row>
    <row r="7596">
      <c r="N7596" s="5"/>
    </row>
    <row r="7597">
      <c r="N7597" s="5"/>
    </row>
    <row r="7598">
      <c r="N7598" s="5"/>
    </row>
    <row r="7599">
      <c r="N7599" s="5"/>
    </row>
    <row r="7600">
      <c r="N7600" s="5"/>
    </row>
    <row r="7601">
      <c r="N7601" s="5"/>
    </row>
    <row r="7602">
      <c r="N7602" s="5"/>
    </row>
    <row r="7603">
      <c r="N7603" s="5"/>
    </row>
    <row r="7604">
      <c r="N7604" s="5"/>
    </row>
    <row r="7605">
      <c r="N7605" s="5"/>
    </row>
    <row r="7606">
      <c r="N7606" s="5"/>
    </row>
    <row r="7607">
      <c r="N7607" s="5"/>
    </row>
    <row r="7608">
      <c r="N7608" s="5"/>
    </row>
    <row r="7609">
      <c r="N7609" s="5"/>
    </row>
    <row r="7610">
      <c r="N7610" s="5"/>
    </row>
    <row r="7611">
      <c r="N7611" s="5"/>
    </row>
    <row r="7612">
      <c r="N7612" s="5"/>
    </row>
    <row r="7613">
      <c r="N7613" s="5"/>
    </row>
    <row r="7614">
      <c r="N7614" s="5"/>
    </row>
    <row r="7615">
      <c r="N7615" s="5"/>
    </row>
    <row r="7616">
      <c r="N7616" s="5"/>
    </row>
    <row r="7617">
      <c r="N7617" s="5"/>
    </row>
    <row r="7618">
      <c r="N7618" s="5"/>
    </row>
    <row r="7619">
      <c r="N7619" s="5"/>
    </row>
    <row r="7620">
      <c r="N7620" s="5"/>
    </row>
    <row r="7621">
      <c r="N7621" s="5"/>
    </row>
    <row r="7622">
      <c r="N7622" s="5"/>
    </row>
    <row r="7623">
      <c r="N7623" s="5"/>
    </row>
    <row r="7624">
      <c r="N7624" s="5"/>
    </row>
    <row r="7625">
      <c r="N7625" s="5"/>
    </row>
    <row r="7626">
      <c r="N7626" s="5"/>
    </row>
    <row r="7627">
      <c r="N7627" s="5"/>
    </row>
    <row r="7628">
      <c r="N7628" s="5"/>
    </row>
    <row r="7629">
      <c r="N7629" s="5"/>
    </row>
    <row r="7630">
      <c r="N7630" s="5"/>
    </row>
    <row r="7631">
      <c r="N7631" s="5"/>
    </row>
    <row r="7632">
      <c r="N7632" s="5"/>
    </row>
    <row r="7633">
      <c r="N7633" s="5"/>
    </row>
    <row r="7634">
      <c r="N7634" s="5"/>
    </row>
    <row r="7635">
      <c r="N7635" s="5"/>
    </row>
    <row r="7636">
      <c r="N7636" s="5"/>
    </row>
    <row r="7637">
      <c r="N7637" s="5"/>
    </row>
    <row r="7638">
      <c r="N7638" s="5"/>
    </row>
    <row r="7639">
      <c r="N7639" s="5"/>
    </row>
    <row r="7640">
      <c r="N7640" s="5"/>
    </row>
    <row r="7641">
      <c r="N7641" s="5"/>
    </row>
    <row r="7642">
      <c r="N7642" s="5"/>
    </row>
    <row r="7643">
      <c r="N7643" s="5"/>
    </row>
    <row r="7644">
      <c r="N7644" s="5"/>
    </row>
    <row r="7645">
      <c r="N7645" s="5"/>
    </row>
    <row r="7646">
      <c r="N7646" s="5"/>
    </row>
    <row r="7647">
      <c r="N7647" s="5"/>
    </row>
    <row r="7648">
      <c r="N7648" s="5"/>
    </row>
    <row r="7649">
      <c r="N7649" s="5"/>
    </row>
    <row r="7650">
      <c r="N7650" s="5"/>
    </row>
    <row r="7651">
      <c r="N7651" s="5"/>
    </row>
    <row r="7652">
      <c r="N7652" s="5"/>
    </row>
    <row r="7653">
      <c r="N7653" s="5"/>
    </row>
    <row r="7654">
      <c r="N7654" s="5"/>
    </row>
    <row r="7655">
      <c r="N7655" s="5"/>
    </row>
    <row r="7656">
      <c r="N7656" s="5"/>
    </row>
    <row r="7657">
      <c r="N7657" s="5"/>
    </row>
    <row r="7658">
      <c r="N7658" s="5"/>
    </row>
    <row r="7659">
      <c r="N7659" s="5"/>
    </row>
    <row r="7660">
      <c r="N7660" s="5"/>
    </row>
    <row r="7661">
      <c r="N7661" s="5"/>
    </row>
    <row r="7662">
      <c r="N7662" s="5"/>
    </row>
    <row r="7663">
      <c r="N7663" s="5"/>
    </row>
    <row r="7664">
      <c r="N7664" s="5"/>
    </row>
    <row r="7665">
      <c r="N7665" s="5"/>
    </row>
    <row r="7666">
      <c r="N7666" s="5"/>
    </row>
    <row r="7667">
      <c r="N7667" s="5"/>
    </row>
    <row r="7668">
      <c r="N7668" s="5"/>
    </row>
    <row r="7669">
      <c r="N7669" s="5"/>
    </row>
    <row r="7670">
      <c r="N7670" s="5"/>
    </row>
    <row r="7671">
      <c r="N7671" s="5"/>
    </row>
    <row r="7672">
      <c r="N7672" s="5"/>
    </row>
    <row r="7673">
      <c r="N7673" s="5"/>
    </row>
    <row r="7674">
      <c r="N7674" s="5"/>
    </row>
    <row r="7675">
      <c r="N7675" s="5"/>
    </row>
    <row r="7676">
      <c r="N7676" s="5"/>
    </row>
    <row r="7677">
      <c r="N7677" s="5"/>
    </row>
    <row r="7678">
      <c r="N7678" s="5"/>
    </row>
    <row r="7679">
      <c r="N7679" s="5"/>
    </row>
    <row r="7680">
      <c r="N7680" s="5"/>
    </row>
    <row r="7681">
      <c r="N7681" s="5"/>
    </row>
    <row r="7682">
      <c r="N7682" s="5"/>
    </row>
    <row r="7683">
      <c r="N7683" s="5"/>
    </row>
    <row r="7684">
      <c r="N7684" s="5"/>
    </row>
    <row r="7685">
      <c r="N7685" s="5"/>
    </row>
    <row r="7686">
      <c r="N7686" s="5"/>
    </row>
    <row r="7687">
      <c r="N7687" s="5"/>
    </row>
    <row r="7688">
      <c r="N7688" s="5"/>
    </row>
    <row r="7689">
      <c r="N7689" s="5"/>
    </row>
    <row r="7690">
      <c r="N7690" s="5"/>
    </row>
    <row r="7691">
      <c r="N7691" s="5"/>
    </row>
    <row r="7692">
      <c r="N7692" s="5"/>
    </row>
    <row r="7693">
      <c r="N7693" s="5"/>
    </row>
    <row r="7694">
      <c r="N7694" s="5"/>
    </row>
    <row r="7695">
      <c r="N7695" s="5"/>
    </row>
    <row r="7696">
      <c r="N7696" s="5"/>
    </row>
    <row r="7697">
      <c r="N7697" s="5"/>
    </row>
    <row r="7698">
      <c r="N7698" s="5"/>
    </row>
    <row r="7699">
      <c r="N7699" s="5"/>
    </row>
    <row r="7700">
      <c r="N7700" s="5"/>
    </row>
    <row r="7701">
      <c r="N7701" s="5"/>
    </row>
    <row r="7702">
      <c r="N7702" s="5"/>
    </row>
    <row r="7703">
      <c r="N7703" s="5"/>
    </row>
    <row r="7704">
      <c r="N7704" s="5"/>
    </row>
    <row r="7705">
      <c r="N7705" s="5"/>
    </row>
    <row r="7706">
      <c r="N7706" s="5"/>
    </row>
    <row r="7707">
      <c r="N7707" s="5"/>
    </row>
    <row r="7708">
      <c r="N7708" s="5"/>
    </row>
    <row r="7709">
      <c r="N7709" s="5"/>
    </row>
    <row r="7710">
      <c r="N7710" s="5"/>
    </row>
    <row r="7711">
      <c r="N7711" s="5"/>
    </row>
    <row r="7712">
      <c r="N7712" s="5"/>
    </row>
    <row r="7713">
      <c r="N7713" s="5"/>
    </row>
    <row r="7714">
      <c r="N7714" s="5"/>
    </row>
    <row r="7715">
      <c r="N7715" s="5"/>
    </row>
    <row r="7716">
      <c r="N7716" s="5"/>
    </row>
    <row r="7717">
      <c r="N7717" s="5"/>
    </row>
    <row r="7718">
      <c r="N7718" s="5"/>
    </row>
    <row r="7719">
      <c r="N7719" s="5"/>
    </row>
    <row r="7720">
      <c r="N7720" s="5"/>
    </row>
    <row r="7721">
      <c r="N7721" s="5"/>
    </row>
    <row r="7722">
      <c r="N7722" s="5"/>
    </row>
    <row r="7723">
      <c r="N7723" s="5"/>
    </row>
    <row r="7724">
      <c r="N7724" s="5"/>
    </row>
    <row r="7725">
      <c r="N7725" s="5"/>
    </row>
    <row r="7726">
      <c r="N7726" s="5"/>
    </row>
    <row r="7727">
      <c r="N7727" s="5"/>
    </row>
    <row r="7728">
      <c r="N7728" s="5"/>
    </row>
    <row r="7729">
      <c r="N7729" s="5"/>
    </row>
    <row r="7730">
      <c r="N7730" s="5"/>
    </row>
    <row r="7731">
      <c r="N7731" s="5"/>
    </row>
    <row r="7732">
      <c r="N7732" s="5"/>
    </row>
    <row r="7733">
      <c r="N7733" s="5"/>
    </row>
    <row r="7734">
      <c r="N7734" s="5"/>
    </row>
    <row r="7735">
      <c r="N7735" s="5"/>
    </row>
    <row r="7736">
      <c r="N7736" s="5"/>
    </row>
    <row r="7737">
      <c r="N7737" s="5"/>
    </row>
    <row r="7738">
      <c r="N7738" s="5"/>
    </row>
    <row r="7739">
      <c r="N7739" s="5"/>
    </row>
    <row r="7740">
      <c r="N7740" s="5"/>
    </row>
    <row r="7741">
      <c r="N7741" s="5"/>
    </row>
    <row r="7742">
      <c r="N7742" s="5"/>
    </row>
    <row r="7743">
      <c r="N7743" s="5"/>
    </row>
    <row r="7744">
      <c r="N7744" s="5"/>
    </row>
    <row r="7745">
      <c r="N7745" s="5"/>
    </row>
    <row r="7746">
      <c r="N7746" s="5"/>
    </row>
    <row r="7747">
      <c r="N7747" s="5"/>
    </row>
    <row r="7748">
      <c r="N7748" s="5"/>
    </row>
    <row r="7749">
      <c r="N7749" s="5"/>
    </row>
    <row r="7750">
      <c r="N7750" s="5"/>
    </row>
    <row r="7751">
      <c r="N7751" s="5"/>
    </row>
    <row r="7752">
      <c r="N7752" s="5"/>
    </row>
    <row r="7753">
      <c r="N7753" s="5"/>
    </row>
    <row r="7754">
      <c r="N7754" s="5"/>
    </row>
    <row r="7755">
      <c r="N7755" s="5"/>
    </row>
    <row r="7756">
      <c r="N7756" s="5"/>
    </row>
    <row r="7757">
      <c r="N7757" s="5"/>
    </row>
    <row r="7758">
      <c r="N7758" s="5"/>
    </row>
    <row r="7759">
      <c r="N7759" s="5"/>
    </row>
    <row r="7760">
      <c r="N7760" s="5"/>
    </row>
    <row r="7761">
      <c r="N7761" s="5"/>
    </row>
    <row r="7762">
      <c r="N7762" s="5"/>
    </row>
    <row r="7763">
      <c r="N7763" s="5"/>
    </row>
    <row r="7764">
      <c r="N7764" s="5"/>
    </row>
    <row r="7765">
      <c r="N7765" s="5"/>
    </row>
    <row r="7766">
      <c r="N7766" s="5"/>
    </row>
    <row r="7767">
      <c r="N7767" s="5"/>
    </row>
    <row r="7768">
      <c r="N7768" s="5"/>
    </row>
    <row r="7769">
      <c r="N7769" s="5"/>
    </row>
    <row r="7770">
      <c r="N7770" s="5"/>
    </row>
    <row r="7771">
      <c r="N7771" s="5"/>
    </row>
    <row r="7772">
      <c r="N7772" s="5"/>
    </row>
    <row r="7773">
      <c r="N7773" s="5"/>
    </row>
    <row r="7774">
      <c r="N7774" s="5"/>
    </row>
    <row r="7775">
      <c r="N7775" s="5"/>
    </row>
    <row r="7776">
      <c r="N7776" s="5"/>
    </row>
    <row r="7777">
      <c r="N7777" s="5"/>
    </row>
    <row r="7778">
      <c r="N7778" s="5"/>
    </row>
    <row r="7779">
      <c r="N7779" s="5"/>
    </row>
    <row r="7780">
      <c r="N7780" s="5"/>
    </row>
    <row r="7781">
      <c r="N7781" s="5"/>
    </row>
    <row r="7782">
      <c r="N7782" s="5"/>
    </row>
    <row r="7783">
      <c r="N7783" s="5"/>
    </row>
    <row r="7784">
      <c r="N7784" s="5"/>
    </row>
    <row r="7785">
      <c r="N7785" s="5"/>
    </row>
    <row r="7786">
      <c r="N7786" s="5"/>
    </row>
    <row r="7787">
      <c r="N7787" s="5"/>
    </row>
    <row r="7788">
      <c r="N7788" s="5"/>
    </row>
    <row r="7789">
      <c r="N7789" s="5"/>
    </row>
    <row r="7790">
      <c r="N7790" s="5"/>
    </row>
    <row r="7791">
      <c r="N7791" s="5"/>
    </row>
    <row r="7792">
      <c r="N7792" s="5"/>
    </row>
    <row r="7793">
      <c r="N7793" s="5"/>
    </row>
    <row r="7794">
      <c r="N7794" s="5"/>
    </row>
    <row r="7795">
      <c r="N7795" s="5"/>
    </row>
    <row r="7796">
      <c r="N7796" s="5"/>
    </row>
    <row r="7797">
      <c r="N7797" s="5"/>
    </row>
    <row r="7798">
      <c r="N7798" s="5"/>
    </row>
    <row r="7799">
      <c r="N7799" s="5"/>
    </row>
    <row r="7800">
      <c r="N7800" s="5"/>
    </row>
    <row r="7801">
      <c r="N7801" s="5"/>
    </row>
    <row r="7802">
      <c r="N7802" s="5"/>
    </row>
    <row r="7803">
      <c r="N7803" s="5"/>
    </row>
    <row r="7804">
      <c r="N7804" s="5"/>
    </row>
    <row r="7805">
      <c r="N7805" s="5"/>
    </row>
    <row r="7806">
      <c r="N7806" s="5"/>
    </row>
    <row r="7807">
      <c r="N7807" s="5"/>
    </row>
    <row r="7808">
      <c r="N7808" s="5"/>
    </row>
    <row r="7809">
      <c r="N7809" s="5"/>
    </row>
    <row r="7810">
      <c r="N7810" s="5"/>
    </row>
    <row r="7811">
      <c r="N7811" s="5"/>
    </row>
    <row r="7812">
      <c r="N7812" s="5"/>
    </row>
    <row r="7813">
      <c r="N7813" s="5"/>
    </row>
    <row r="7814">
      <c r="N7814" s="5"/>
    </row>
    <row r="7815">
      <c r="N7815" s="5"/>
    </row>
    <row r="7816">
      <c r="N7816" s="5"/>
    </row>
    <row r="7817">
      <c r="N7817" s="5"/>
    </row>
    <row r="7818">
      <c r="N7818" s="5"/>
    </row>
    <row r="7819">
      <c r="N7819" s="5"/>
    </row>
    <row r="7820">
      <c r="N7820" s="5"/>
    </row>
    <row r="7821">
      <c r="N7821" s="5"/>
    </row>
    <row r="7822">
      <c r="N7822" s="5"/>
    </row>
    <row r="7823">
      <c r="N7823" s="5"/>
    </row>
    <row r="7824">
      <c r="N7824" s="5"/>
    </row>
    <row r="7825">
      <c r="N7825" s="5"/>
    </row>
    <row r="7826">
      <c r="N7826" s="5"/>
    </row>
    <row r="7827">
      <c r="N7827" s="5"/>
    </row>
    <row r="7828">
      <c r="N7828" s="5"/>
    </row>
    <row r="7829">
      <c r="N7829" s="5"/>
    </row>
    <row r="7830">
      <c r="N7830" s="5"/>
    </row>
    <row r="7831">
      <c r="N7831" s="5"/>
    </row>
    <row r="7832">
      <c r="N7832" s="5"/>
    </row>
    <row r="7833">
      <c r="N7833" s="5"/>
    </row>
    <row r="7834">
      <c r="N7834" s="5"/>
    </row>
    <row r="7835">
      <c r="N7835" s="5"/>
    </row>
    <row r="7836">
      <c r="N7836" s="5"/>
    </row>
    <row r="7837">
      <c r="N7837" s="5"/>
    </row>
    <row r="7838">
      <c r="N7838" s="5"/>
    </row>
    <row r="7839">
      <c r="N7839" s="5"/>
    </row>
    <row r="7840">
      <c r="N7840" s="5"/>
    </row>
    <row r="7841">
      <c r="N7841" s="5"/>
    </row>
    <row r="7842">
      <c r="N7842" s="5"/>
    </row>
    <row r="7843">
      <c r="N7843" s="5"/>
    </row>
    <row r="7844">
      <c r="N7844" s="5"/>
    </row>
    <row r="7845">
      <c r="N7845" s="5"/>
    </row>
    <row r="7846">
      <c r="N7846" s="5"/>
    </row>
    <row r="7847">
      <c r="N7847" s="5"/>
    </row>
    <row r="7848">
      <c r="N7848" s="5"/>
    </row>
    <row r="7849">
      <c r="N7849" s="5"/>
    </row>
    <row r="7850">
      <c r="N7850" s="5"/>
    </row>
    <row r="7851">
      <c r="N7851" s="5"/>
    </row>
    <row r="7852">
      <c r="N7852" s="5"/>
    </row>
    <row r="7853">
      <c r="N7853" s="5"/>
    </row>
    <row r="7854">
      <c r="N7854" s="5"/>
    </row>
    <row r="7855">
      <c r="N7855" s="5"/>
    </row>
    <row r="7856">
      <c r="N7856" s="5"/>
    </row>
    <row r="7857">
      <c r="N7857" s="5"/>
    </row>
    <row r="7858">
      <c r="N7858" s="5"/>
    </row>
    <row r="7859">
      <c r="N7859" s="5"/>
    </row>
    <row r="7860">
      <c r="N7860" s="5"/>
    </row>
    <row r="7861">
      <c r="N7861" s="5"/>
    </row>
    <row r="7862">
      <c r="N7862" s="5"/>
    </row>
    <row r="7863">
      <c r="N7863" s="5"/>
    </row>
    <row r="7864">
      <c r="N7864" s="5"/>
    </row>
    <row r="7865">
      <c r="N7865" s="5"/>
    </row>
    <row r="7866">
      <c r="N7866" s="5"/>
    </row>
    <row r="7867">
      <c r="N7867" s="5"/>
    </row>
    <row r="7868">
      <c r="N7868" s="5"/>
    </row>
    <row r="7869">
      <c r="N7869" s="5"/>
    </row>
    <row r="7870">
      <c r="N7870" s="5"/>
    </row>
    <row r="7871">
      <c r="N7871" s="5"/>
    </row>
    <row r="7872">
      <c r="N7872" s="5"/>
    </row>
    <row r="7873">
      <c r="N7873" s="5"/>
    </row>
    <row r="7874">
      <c r="N7874" s="5"/>
    </row>
    <row r="7875">
      <c r="N7875" s="5"/>
    </row>
    <row r="7876">
      <c r="N7876" s="5"/>
    </row>
    <row r="7877">
      <c r="N7877" s="5"/>
    </row>
    <row r="7878">
      <c r="N7878" s="5"/>
    </row>
    <row r="7879">
      <c r="N7879" s="5"/>
    </row>
    <row r="7880">
      <c r="N7880" s="5"/>
    </row>
    <row r="7881">
      <c r="N7881" s="5"/>
    </row>
    <row r="7882">
      <c r="N7882" s="5"/>
    </row>
    <row r="7883">
      <c r="N7883" s="5"/>
    </row>
    <row r="7884">
      <c r="N7884" s="5"/>
    </row>
    <row r="7885">
      <c r="N7885" s="5"/>
    </row>
    <row r="7886">
      <c r="N7886" s="5"/>
    </row>
    <row r="7887">
      <c r="N7887" s="5"/>
    </row>
    <row r="7888">
      <c r="N7888" s="5"/>
    </row>
    <row r="7889">
      <c r="N7889" s="5"/>
    </row>
    <row r="7890">
      <c r="N7890" s="5"/>
    </row>
    <row r="7891">
      <c r="N7891" s="5"/>
    </row>
    <row r="7892">
      <c r="N7892" s="5"/>
    </row>
    <row r="7893">
      <c r="N7893" s="5"/>
    </row>
    <row r="7894">
      <c r="N7894" s="5"/>
    </row>
    <row r="7895">
      <c r="N7895" s="5"/>
    </row>
    <row r="7896">
      <c r="N7896" s="5"/>
    </row>
    <row r="7897">
      <c r="N7897" s="5"/>
    </row>
    <row r="7898">
      <c r="N7898" s="5"/>
    </row>
    <row r="7899">
      <c r="N7899" s="5"/>
    </row>
    <row r="7900">
      <c r="N7900" s="5"/>
    </row>
    <row r="7901">
      <c r="N7901" s="5"/>
    </row>
    <row r="7902">
      <c r="N7902" s="5"/>
    </row>
    <row r="7903">
      <c r="N7903" s="5"/>
    </row>
    <row r="7904">
      <c r="N7904" s="5"/>
    </row>
    <row r="7905">
      <c r="N7905" s="5"/>
    </row>
    <row r="7906">
      <c r="N7906" s="5"/>
    </row>
    <row r="7907">
      <c r="N7907" s="5"/>
    </row>
    <row r="7908">
      <c r="N7908" s="5"/>
    </row>
    <row r="7909">
      <c r="N7909" s="5"/>
    </row>
    <row r="7910">
      <c r="N7910" s="5"/>
    </row>
    <row r="7911">
      <c r="N7911" s="5"/>
    </row>
    <row r="7912">
      <c r="N7912" s="5"/>
    </row>
    <row r="7913">
      <c r="N7913" s="5"/>
    </row>
    <row r="7914">
      <c r="N7914" s="5"/>
    </row>
    <row r="7915">
      <c r="N7915" s="5"/>
    </row>
    <row r="7916">
      <c r="N7916" s="5"/>
    </row>
    <row r="7917">
      <c r="N7917" s="5"/>
    </row>
    <row r="7918">
      <c r="N7918" s="5"/>
    </row>
    <row r="7919">
      <c r="N7919" s="5"/>
    </row>
    <row r="7920">
      <c r="N7920" s="5"/>
    </row>
    <row r="7921">
      <c r="N7921" s="5"/>
    </row>
    <row r="7922">
      <c r="N7922" s="5"/>
    </row>
    <row r="7923">
      <c r="N7923" s="5"/>
    </row>
    <row r="7924">
      <c r="N7924" s="5"/>
    </row>
    <row r="7925">
      <c r="N7925" s="5"/>
    </row>
    <row r="7926">
      <c r="N7926" s="5"/>
    </row>
    <row r="7927">
      <c r="N7927" s="5"/>
    </row>
    <row r="7928">
      <c r="N7928" s="5"/>
    </row>
    <row r="7929">
      <c r="N7929" s="5"/>
    </row>
    <row r="7930">
      <c r="N7930" s="5"/>
    </row>
    <row r="7931">
      <c r="N7931" s="5"/>
    </row>
    <row r="7932">
      <c r="N7932" s="5"/>
    </row>
    <row r="7933">
      <c r="N7933" s="5"/>
    </row>
    <row r="7934">
      <c r="N7934" s="5"/>
    </row>
    <row r="7935">
      <c r="N7935" s="5"/>
    </row>
    <row r="7936">
      <c r="N7936" s="5"/>
    </row>
    <row r="7937">
      <c r="N7937" s="5"/>
    </row>
    <row r="7938">
      <c r="N7938" s="5"/>
    </row>
    <row r="7939">
      <c r="N7939" s="5"/>
    </row>
    <row r="7940">
      <c r="N7940" s="5"/>
    </row>
    <row r="7941">
      <c r="N7941" s="5"/>
    </row>
    <row r="7942">
      <c r="N7942" s="5"/>
    </row>
    <row r="7943">
      <c r="N7943" s="5"/>
    </row>
    <row r="7944">
      <c r="N7944" s="5"/>
    </row>
    <row r="7945">
      <c r="N7945" s="5"/>
    </row>
    <row r="7946">
      <c r="N7946" s="5"/>
    </row>
    <row r="7947">
      <c r="N7947" s="5"/>
    </row>
    <row r="7948">
      <c r="N7948" s="5"/>
    </row>
    <row r="7949">
      <c r="N7949" s="5"/>
    </row>
    <row r="7950">
      <c r="N7950" s="5"/>
    </row>
    <row r="7951">
      <c r="N7951" s="5"/>
    </row>
    <row r="7952">
      <c r="N7952" s="5"/>
    </row>
    <row r="7953">
      <c r="N7953" s="5"/>
    </row>
    <row r="7954">
      <c r="N7954" s="5"/>
    </row>
    <row r="7955">
      <c r="N7955" s="5"/>
    </row>
    <row r="7956">
      <c r="N7956" s="5"/>
    </row>
    <row r="7957">
      <c r="N7957" s="5"/>
    </row>
    <row r="7958">
      <c r="N7958" s="5"/>
    </row>
    <row r="7959">
      <c r="N7959" s="5"/>
    </row>
    <row r="7960">
      <c r="N7960" s="5"/>
    </row>
    <row r="7961">
      <c r="N7961" s="5"/>
    </row>
    <row r="7962">
      <c r="N7962" s="5"/>
    </row>
    <row r="7963">
      <c r="N7963" s="5"/>
    </row>
    <row r="7964">
      <c r="N7964" s="5"/>
    </row>
    <row r="7965">
      <c r="N7965" s="5"/>
    </row>
    <row r="7966">
      <c r="N7966" s="5"/>
    </row>
    <row r="7967">
      <c r="N7967" s="5"/>
    </row>
    <row r="7968">
      <c r="N7968" s="5"/>
    </row>
    <row r="7969">
      <c r="N7969" s="5"/>
    </row>
    <row r="7970">
      <c r="N7970" s="5"/>
    </row>
    <row r="7971">
      <c r="N7971" s="5"/>
    </row>
    <row r="7972">
      <c r="N7972" s="5"/>
    </row>
    <row r="7973">
      <c r="N7973" s="5"/>
    </row>
    <row r="7974">
      <c r="N7974" s="5"/>
    </row>
    <row r="7975">
      <c r="N7975" s="5"/>
    </row>
    <row r="7976">
      <c r="N7976" s="5"/>
    </row>
    <row r="7977">
      <c r="N7977" s="5"/>
    </row>
    <row r="7978">
      <c r="N7978" s="5"/>
    </row>
    <row r="7979">
      <c r="N7979" s="5"/>
    </row>
    <row r="7980">
      <c r="N7980" s="5"/>
    </row>
    <row r="7981">
      <c r="N7981" s="5"/>
    </row>
    <row r="7982">
      <c r="N7982" s="5"/>
    </row>
    <row r="7983">
      <c r="N7983" s="5"/>
    </row>
    <row r="7984">
      <c r="N7984" s="5"/>
    </row>
    <row r="7985">
      <c r="N7985" s="5"/>
    </row>
    <row r="7986">
      <c r="N7986" s="5"/>
    </row>
    <row r="7987">
      <c r="N7987" s="5"/>
    </row>
    <row r="7988">
      <c r="N7988" s="5"/>
    </row>
    <row r="7989">
      <c r="N7989" s="5"/>
    </row>
    <row r="7990">
      <c r="N7990" s="5"/>
    </row>
    <row r="7991">
      <c r="N7991" s="5"/>
    </row>
    <row r="7992">
      <c r="N7992" s="5"/>
    </row>
    <row r="7993">
      <c r="N7993" s="5"/>
    </row>
    <row r="7994">
      <c r="N7994" s="5"/>
    </row>
    <row r="7995">
      <c r="N7995" s="5"/>
    </row>
    <row r="7996">
      <c r="N7996" s="5"/>
    </row>
    <row r="7997">
      <c r="N7997" s="5"/>
    </row>
    <row r="7998">
      <c r="N7998" s="5"/>
    </row>
    <row r="7999">
      <c r="N7999" s="5"/>
    </row>
    <row r="8000">
      <c r="N8000" s="5"/>
    </row>
    <row r="8001">
      <c r="N8001" s="5"/>
    </row>
    <row r="8002">
      <c r="N8002" s="5"/>
    </row>
    <row r="8003">
      <c r="N8003" s="5"/>
    </row>
    <row r="8004">
      <c r="N8004" s="5"/>
    </row>
    <row r="8005">
      <c r="N8005" s="5"/>
    </row>
    <row r="8006">
      <c r="N8006" s="5"/>
    </row>
    <row r="8007">
      <c r="N8007" s="5"/>
    </row>
    <row r="8008">
      <c r="N8008" s="5"/>
    </row>
    <row r="8009">
      <c r="N8009" s="5"/>
    </row>
    <row r="8010">
      <c r="N8010" s="5"/>
    </row>
    <row r="8011">
      <c r="N8011" s="5"/>
    </row>
    <row r="8012">
      <c r="N8012" s="5"/>
    </row>
    <row r="8013">
      <c r="N8013" s="5"/>
    </row>
    <row r="8014">
      <c r="N8014" s="5"/>
    </row>
    <row r="8015">
      <c r="N8015" s="5"/>
    </row>
    <row r="8016">
      <c r="N8016" s="5"/>
    </row>
    <row r="8017">
      <c r="N8017" s="5"/>
    </row>
    <row r="8018">
      <c r="N8018" s="5"/>
    </row>
    <row r="8019">
      <c r="N8019" s="5"/>
    </row>
    <row r="8020">
      <c r="N8020" s="5"/>
    </row>
    <row r="8021">
      <c r="N8021" s="5"/>
    </row>
    <row r="8022">
      <c r="N8022" s="5"/>
    </row>
    <row r="8023">
      <c r="N8023" s="5"/>
    </row>
    <row r="8024">
      <c r="N8024" s="5"/>
    </row>
    <row r="8025">
      <c r="N8025" s="5"/>
    </row>
    <row r="8026">
      <c r="N8026" s="5"/>
    </row>
    <row r="8027">
      <c r="N8027" s="5"/>
    </row>
    <row r="8028">
      <c r="N8028" s="5"/>
    </row>
    <row r="8029">
      <c r="N8029" s="5"/>
    </row>
    <row r="8030">
      <c r="N8030" s="5"/>
    </row>
    <row r="8031">
      <c r="N8031" s="5"/>
    </row>
    <row r="8032">
      <c r="N8032" s="5"/>
    </row>
    <row r="8033">
      <c r="N8033" s="5"/>
    </row>
    <row r="8034">
      <c r="N8034" s="5"/>
    </row>
    <row r="8035">
      <c r="N8035" s="5"/>
    </row>
    <row r="8036">
      <c r="N8036" s="5"/>
    </row>
    <row r="8037">
      <c r="N8037" s="5"/>
    </row>
    <row r="8038">
      <c r="N8038" s="5"/>
    </row>
    <row r="8039">
      <c r="N8039" s="5"/>
    </row>
    <row r="8040">
      <c r="N8040" s="5"/>
    </row>
    <row r="8041">
      <c r="N8041" s="5"/>
    </row>
    <row r="8042">
      <c r="N8042" s="5"/>
    </row>
    <row r="8043">
      <c r="N8043" s="5"/>
    </row>
    <row r="8044">
      <c r="N8044" s="5"/>
    </row>
    <row r="8045">
      <c r="N8045" s="5"/>
    </row>
    <row r="8046">
      <c r="N8046" s="5"/>
    </row>
    <row r="8047">
      <c r="N8047" s="5"/>
    </row>
    <row r="8048">
      <c r="N8048" s="5"/>
    </row>
    <row r="8049">
      <c r="N8049" s="5"/>
    </row>
    <row r="8050">
      <c r="N8050" s="5"/>
    </row>
    <row r="8051">
      <c r="N8051" s="5"/>
    </row>
    <row r="8052">
      <c r="N8052" s="5"/>
    </row>
    <row r="8053">
      <c r="N8053" s="5"/>
    </row>
    <row r="8054">
      <c r="N8054" s="5"/>
    </row>
    <row r="8055">
      <c r="N8055" s="5"/>
    </row>
    <row r="8056">
      <c r="N8056" s="5"/>
    </row>
    <row r="8057">
      <c r="N8057" s="5"/>
    </row>
    <row r="8058">
      <c r="N8058" s="5"/>
    </row>
    <row r="8059">
      <c r="N8059" s="5"/>
    </row>
    <row r="8060">
      <c r="N8060" s="5"/>
    </row>
    <row r="8061">
      <c r="N8061" s="5"/>
    </row>
    <row r="8062">
      <c r="N8062" s="5"/>
    </row>
    <row r="8063">
      <c r="N8063" s="5"/>
    </row>
    <row r="8064">
      <c r="N8064" s="5"/>
    </row>
    <row r="8065">
      <c r="N8065" s="5"/>
    </row>
    <row r="8066">
      <c r="N8066" s="5"/>
    </row>
    <row r="8067">
      <c r="N8067" s="5"/>
    </row>
    <row r="8068">
      <c r="N8068" s="5"/>
    </row>
    <row r="8069">
      <c r="N8069" s="5"/>
    </row>
    <row r="8070">
      <c r="N8070" s="5"/>
    </row>
    <row r="8071">
      <c r="N8071" s="5"/>
    </row>
    <row r="8072">
      <c r="N8072" s="5"/>
    </row>
    <row r="8073">
      <c r="N8073" s="5"/>
    </row>
    <row r="8074">
      <c r="N8074" s="5"/>
    </row>
    <row r="8075">
      <c r="N8075" s="5"/>
    </row>
    <row r="8076">
      <c r="N8076" s="5"/>
    </row>
    <row r="8077">
      <c r="N8077" s="5"/>
    </row>
    <row r="8078">
      <c r="N8078" s="5"/>
    </row>
    <row r="8079">
      <c r="N8079" s="5"/>
    </row>
    <row r="8080">
      <c r="N8080" s="5"/>
    </row>
    <row r="8081">
      <c r="N8081" s="5"/>
    </row>
    <row r="8082">
      <c r="N8082" s="5"/>
    </row>
    <row r="8083">
      <c r="N8083" s="5"/>
    </row>
    <row r="8084">
      <c r="N8084" s="5"/>
    </row>
    <row r="8085">
      <c r="N8085" s="5"/>
    </row>
    <row r="8086">
      <c r="N8086" s="5"/>
    </row>
    <row r="8087">
      <c r="N8087" s="5"/>
    </row>
    <row r="8088">
      <c r="N8088" s="5"/>
    </row>
    <row r="8089">
      <c r="N8089" s="5"/>
    </row>
    <row r="8090">
      <c r="N8090" s="5"/>
    </row>
    <row r="8091">
      <c r="N8091" s="5"/>
    </row>
    <row r="8092">
      <c r="N8092" s="5"/>
    </row>
    <row r="8093">
      <c r="N8093" s="5"/>
    </row>
    <row r="8094">
      <c r="N8094" s="5"/>
    </row>
    <row r="8095">
      <c r="N8095" s="5"/>
    </row>
    <row r="8096">
      <c r="N8096" s="5"/>
    </row>
    <row r="8097">
      <c r="N8097" s="5"/>
    </row>
    <row r="8098">
      <c r="N8098" s="5"/>
    </row>
    <row r="8099">
      <c r="N8099" s="5"/>
    </row>
    <row r="8100">
      <c r="N8100" s="5"/>
    </row>
    <row r="8101">
      <c r="N8101" s="5"/>
    </row>
    <row r="8102">
      <c r="N8102" s="5"/>
    </row>
    <row r="8103">
      <c r="N8103" s="5"/>
    </row>
    <row r="8104">
      <c r="N8104" s="5"/>
    </row>
    <row r="8105">
      <c r="N8105" s="5"/>
    </row>
    <row r="8106">
      <c r="N8106" s="5"/>
    </row>
    <row r="8107">
      <c r="N8107" s="5"/>
    </row>
    <row r="8108">
      <c r="N8108" s="5"/>
    </row>
    <row r="8109">
      <c r="N8109" s="5"/>
    </row>
    <row r="8110">
      <c r="N8110" s="5"/>
    </row>
    <row r="8111">
      <c r="N8111" s="5"/>
    </row>
    <row r="8112">
      <c r="N8112" s="5"/>
    </row>
    <row r="8113">
      <c r="N8113" s="5"/>
    </row>
    <row r="8114">
      <c r="N8114" s="5"/>
    </row>
    <row r="8115">
      <c r="N8115" s="5"/>
    </row>
    <row r="8116">
      <c r="N8116" s="5"/>
    </row>
    <row r="8117">
      <c r="N8117" s="5"/>
    </row>
    <row r="8118">
      <c r="N8118" s="5"/>
    </row>
    <row r="8119">
      <c r="N8119" s="5"/>
    </row>
    <row r="8120">
      <c r="N8120" s="5"/>
    </row>
    <row r="8121">
      <c r="N8121" s="5"/>
    </row>
    <row r="8122">
      <c r="N8122" s="5"/>
    </row>
    <row r="8123">
      <c r="N8123" s="5"/>
    </row>
    <row r="8124">
      <c r="N8124" s="5"/>
    </row>
    <row r="8125">
      <c r="N8125" s="5"/>
    </row>
    <row r="8126">
      <c r="N8126" s="5"/>
    </row>
    <row r="8127">
      <c r="N8127" s="5"/>
    </row>
    <row r="8128">
      <c r="N8128" s="5"/>
    </row>
    <row r="8129">
      <c r="N8129" s="5"/>
    </row>
    <row r="8130">
      <c r="N8130" s="5"/>
    </row>
    <row r="8131">
      <c r="N8131" s="5"/>
    </row>
    <row r="8132">
      <c r="N8132" s="5"/>
    </row>
    <row r="8133">
      <c r="N8133" s="5"/>
    </row>
    <row r="8134">
      <c r="N8134" s="5"/>
    </row>
    <row r="8135">
      <c r="N8135" s="5"/>
    </row>
    <row r="8136">
      <c r="N8136" s="5"/>
    </row>
    <row r="8137">
      <c r="N8137" s="5"/>
    </row>
    <row r="8138">
      <c r="N8138" s="5"/>
    </row>
    <row r="8139">
      <c r="N8139" s="5"/>
    </row>
    <row r="8140">
      <c r="N8140" s="5"/>
    </row>
    <row r="8141">
      <c r="N8141" s="5"/>
    </row>
    <row r="8142">
      <c r="N8142" s="5"/>
    </row>
    <row r="8143">
      <c r="N8143" s="5"/>
    </row>
    <row r="8144">
      <c r="N8144" s="5"/>
    </row>
    <row r="8145">
      <c r="N8145" s="5"/>
    </row>
    <row r="8146">
      <c r="N8146" s="5"/>
    </row>
    <row r="8147">
      <c r="N8147" s="5"/>
    </row>
    <row r="8148">
      <c r="N8148" s="5"/>
    </row>
    <row r="8149">
      <c r="N8149" s="5"/>
    </row>
    <row r="8150">
      <c r="N8150" s="5"/>
    </row>
    <row r="8151">
      <c r="N8151" s="5"/>
    </row>
    <row r="8152">
      <c r="N8152" s="5"/>
    </row>
    <row r="8153">
      <c r="N8153" s="5"/>
    </row>
    <row r="8154">
      <c r="N8154" s="5"/>
    </row>
    <row r="8155">
      <c r="N8155" s="5"/>
    </row>
    <row r="8156">
      <c r="N8156" s="5"/>
    </row>
    <row r="8157">
      <c r="N8157" s="5"/>
    </row>
    <row r="8158">
      <c r="N8158" s="5"/>
    </row>
    <row r="8159">
      <c r="N8159" s="5"/>
    </row>
    <row r="8160">
      <c r="N8160" s="5"/>
    </row>
    <row r="8161">
      <c r="N8161" s="5"/>
    </row>
    <row r="8162">
      <c r="N8162" s="5"/>
    </row>
    <row r="8163">
      <c r="N8163" s="5"/>
    </row>
    <row r="8164">
      <c r="N8164" s="5"/>
    </row>
    <row r="8165">
      <c r="N8165" s="5"/>
    </row>
    <row r="8166">
      <c r="N8166" s="5"/>
    </row>
    <row r="8167">
      <c r="N8167" s="5"/>
    </row>
    <row r="8168">
      <c r="N8168" s="5"/>
    </row>
    <row r="8169">
      <c r="N8169" s="5"/>
    </row>
    <row r="8170">
      <c r="N8170" s="5"/>
    </row>
    <row r="8171">
      <c r="N8171" s="5"/>
    </row>
    <row r="8172">
      <c r="N8172" s="5"/>
    </row>
    <row r="8173">
      <c r="N8173" s="5"/>
    </row>
    <row r="8174">
      <c r="N8174" s="5"/>
    </row>
    <row r="8175">
      <c r="N8175" s="5"/>
    </row>
    <row r="8176">
      <c r="N8176" s="5"/>
    </row>
    <row r="8177">
      <c r="N8177" s="5"/>
    </row>
    <row r="8178">
      <c r="N8178" s="5"/>
    </row>
    <row r="8179">
      <c r="N8179" s="5"/>
    </row>
    <row r="8180">
      <c r="N8180" s="5"/>
    </row>
    <row r="8181">
      <c r="N8181" s="5"/>
    </row>
    <row r="8182">
      <c r="N8182" s="5"/>
    </row>
    <row r="8183">
      <c r="N8183" s="5"/>
    </row>
    <row r="8184">
      <c r="N8184" s="5"/>
    </row>
    <row r="8185">
      <c r="N8185" s="5"/>
    </row>
    <row r="8186">
      <c r="N8186" s="5"/>
    </row>
    <row r="8187">
      <c r="N8187" s="5"/>
    </row>
    <row r="8188">
      <c r="N8188" s="5"/>
    </row>
    <row r="8189">
      <c r="N8189" s="5"/>
    </row>
    <row r="8190">
      <c r="N8190" s="5"/>
    </row>
    <row r="8191">
      <c r="N8191" s="5"/>
    </row>
    <row r="8192">
      <c r="N8192" s="5"/>
    </row>
    <row r="8193">
      <c r="N8193" s="5"/>
    </row>
    <row r="8194">
      <c r="N8194" s="5"/>
    </row>
    <row r="8195">
      <c r="N8195" s="5"/>
    </row>
    <row r="8196">
      <c r="N8196" s="5"/>
    </row>
    <row r="8197">
      <c r="N8197" s="5"/>
    </row>
    <row r="8198">
      <c r="N8198" s="5"/>
    </row>
    <row r="8199">
      <c r="N8199" s="5"/>
    </row>
    <row r="8200">
      <c r="N8200" s="5"/>
    </row>
    <row r="8201">
      <c r="N8201" s="5"/>
    </row>
    <row r="8202">
      <c r="N8202" s="5"/>
    </row>
    <row r="8203">
      <c r="N8203" s="5"/>
    </row>
    <row r="8204">
      <c r="N8204" s="5"/>
    </row>
    <row r="8205">
      <c r="N8205" s="5"/>
    </row>
    <row r="8206">
      <c r="N8206" s="5"/>
    </row>
    <row r="8207">
      <c r="N8207" s="5"/>
    </row>
    <row r="8208">
      <c r="N8208" s="5"/>
    </row>
    <row r="8209">
      <c r="N8209" s="5"/>
    </row>
    <row r="8210">
      <c r="N8210" s="5"/>
    </row>
    <row r="8211">
      <c r="N8211" s="5"/>
    </row>
    <row r="8212">
      <c r="N8212" s="5"/>
    </row>
    <row r="8213">
      <c r="N8213" s="5"/>
    </row>
    <row r="8214">
      <c r="N8214" s="5"/>
    </row>
    <row r="8215">
      <c r="N8215" s="5"/>
    </row>
    <row r="8216">
      <c r="N8216" s="5"/>
    </row>
    <row r="8217">
      <c r="N8217" s="5"/>
    </row>
    <row r="8218">
      <c r="N8218" s="5"/>
    </row>
    <row r="8219">
      <c r="N8219" s="5"/>
    </row>
    <row r="8220">
      <c r="N8220" s="5"/>
    </row>
    <row r="8221">
      <c r="N8221" s="5"/>
    </row>
    <row r="8222">
      <c r="N8222" s="5"/>
    </row>
    <row r="8223">
      <c r="N8223" s="5"/>
    </row>
    <row r="8224">
      <c r="N8224" s="5"/>
    </row>
    <row r="8225">
      <c r="N8225" s="5"/>
    </row>
    <row r="8226">
      <c r="N8226" s="5"/>
    </row>
    <row r="8227">
      <c r="N8227" s="5"/>
    </row>
    <row r="8228">
      <c r="N8228" s="5"/>
    </row>
    <row r="8229">
      <c r="N8229" s="5"/>
    </row>
    <row r="8230">
      <c r="N8230" s="5"/>
    </row>
    <row r="8231">
      <c r="N8231" s="5"/>
    </row>
    <row r="8232">
      <c r="N8232" s="5"/>
    </row>
    <row r="8233">
      <c r="N8233" s="5"/>
    </row>
    <row r="8234">
      <c r="N8234" s="5"/>
    </row>
    <row r="8235">
      <c r="N8235" s="5"/>
    </row>
    <row r="8236">
      <c r="N8236" s="5"/>
    </row>
    <row r="8237">
      <c r="N8237" s="5"/>
    </row>
    <row r="8238">
      <c r="N8238" s="5"/>
    </row>
    <row r="8239">
      <c r="N8239" s="5"/>
    </row>
    <row r="8240">
      <c r="N8240" s="5"/>
    </row>
    <row r="8241">
      <c r="N8241" s="5"/>
    </row>
    <row r="8242">
      <c r="N8242" s="5"/>
    </row>
    <row r="8243">
      <c r="N8243" s="5"/>
    </row>
    <row r="8244">
      <c r="N8244" s="5"/>
    </row>
    <row r="8245">
      <c r="N8245" s="5"/>
    </row>
    <row r="8246">
      <c r="N8246" s="5"/>
    </row>
    <row r="8247">
      <c r="N8247" s="5"/>
    </row>
    <row r="8248">
      <c r="N8248" s="5"/>
    </row>
    <row r="8249">
      <c r="N8249" s="5"/>
    </row>
    <row r="8250">
      <c r="N8250" s="5"/>
    </row>
    <row r="8251">
      <c r="N8251" s="5"/>
    </row>
    <row r="8252">
      <c r="N8252" s="5"/>
    </row>
    <row r="8253">
      <c r="N8253" s="5"/>
    </row>
    <row r="8254">
      <c r="N8254" s="5"/>
    </row>
    <row r="8255">
      <c r="N8255" s="5"/>
    </row>
    <row r="8256">
      <c r="N8256" s="5"/>
    </row>
    <row r="8257">
      <c r="N8257" s="5"/>
    </row>
    <row r="8258">
      <c r="N8258" s="5"/>
    </row>
    <row r="8259">
      <c r="N8259" s="5"/>
    </row>
    <row r="8260">
      <c r="N8260" s="5"/>
    </row>
    <row r="8261">
      <c r="N8261" s="5"/>
    </row>
    <row r="8262">
      <c r="N8262" s="5"/>
    </row>
    <row r="8263">
      <c r="N8263" s="5"/>
    </row>
    <row r="8264">
      <c r="N8264" s="5"/>
    </row>
    <row r="8265">
      <c r="N8265" s="5"/>
    </row>
    <row r="8266">
      <c r="N8266" s="5"/>
    </row>
    <row r="8267">
      <c r="N8267" s="5"/>
    </row>
    <row r="8268">
      <c r="N8268" s="5"/>
    </row>
    <row r="8269">
      <c r="N8269" s="5"/>
    </row>
    <row r="8270">
      <c r="N8270" s="5"/>
    </row>
    <row r="8271">
      <c r="N8271" s="5"/>
    </row>
    <row r="8272">
      <c r="N8272" s="5"/>
    </row>
    <row r="8273">
      <c r="N8273" s="5"/>
    </row>
    <row r="8274">
      <c r="N8274" s="5"/>
    </row>
    <row r="8275">
      <c r="N8275" s="5"/>
    </row>
    <row r="8276">
      <c r="N8276" s="5"/>
    </row>
    <row r="8277">
      <c r="N8277" s="5"/>
    </row>
    <row r="8278">
      <c r="N8278" s="5"/>
    </row>
    <row r="8279">
      <c r="N8279" s="5"/>
    </row>
    <row r="8280">
      <c r="N8280" s="5"/>
    </row>
    <row r="8281">
      <c r="N8281" s="5"/>
    </row>
    <row r="8282">
      <c r="N8282" s="5"/>
    </row>
    <row r="8283">
      <c r="N8283" s="5"/>
    </row>
    <row r="8284">
      <c r="N8284" s="5"/>
    </row>
    <row r="8285">
      <c r="N8285" s="5"/>
    </row>
    <row r="8286">
      <c r="N8286" s="5"/>
    </row>
    <row r="8287">
      <c r="N8287" s="5"/>
    </row>
    <row r="8288">
      <c r="N8288" s="5"/>
    </row>
    <row r="8289">
      <c r="N8289" s="5"/>
    </row>
    <row r="8290">
      <c r="N8290" s="5"/>
    </row>
    <row r="8291">
      <c r="N8291" s="5"/>
    </row>
    <row r="8292">
      <c r="N8292" s="5"/>
    </row>
    <row r="8293">
      <c r="N8293" s="5"/>
    </row>
    <row r="8294">
      <c r="N8294" s="5"/>
    </row>
    <row r="8295">
      <c r="N8295" s="5"/>
    </row>
    <row r="8296">
      <c r="N8296" s="5"/>
    </row>
    <row r="8297">
      <c r="N8297" s="5"/>
    </row>
    <row r="8298">
      <c r="N8298" s="5"/>
    </row>
    <row r="8299">
      <c r="N8299" s="5"/>
    </row>
    <row r="8300">
      <c r="N8300" s="5"/>
    </row>
    <row r="8301">
      <c r="N8301" s="5"/>
    </row>
    <row r="8302">
      <c r="N8302" s="5"/>
    </row>
    <row r="8303">
      <c r="N8303" s="5"/>
    </row>
    <row r="8304">
      <c r="N8304" s="5"/>
    </row>
    <row r="8305">
      <c r="N8305" s="5"/>
    </row>
    <row r="8306">
      <c r="N8306" s="5"/>
    </row>
    <row r="8307">
      <c r="N8307" s="5"/>
    </row>
    <row r="8308">
      <c r="N8308" s="5"/>
    </row>
    <row r="8309">
      <c r="N8309" s="5"/>
    </row>
    <row r="8310">
      <c r="N8310" s="5"/>
    </row>
    <row r="8311">
      <c r="N8311" s="5"/>
    </row>
    <row r="8312">
      <c r="N8312" s="5"/>
    </row>
    <row r="8313">
      <c r="N8313" s="5"/>
    </row>
    <row r="8314">
      <c r="N8314" s="5"/>
    </row>
    <row r="8315">
      <c r="N8315" s="5"/>
    </row>
    <row r="8316">
      <c r="N8316" s="5"/>
    </row>
    <row r="8317">
      <c r="N8317" s="5"/>
    </row>
    <row r="8318">
      <c r="N8318" s="5"/>
    </row>
    <row r="8319">
      <c r="N8319" s="5"/>
    </row>
    <row r="8320">
      <c r="N8320" s="5"/>
    </row>
    <row r="8321">
      <c r="N8321" s="5"/>
    </row>
    <row r="8322">
      <c r="N8322" s="5"/>
    </row>
    <row r="8323">
      <c r="N8323" s="5"/>
    </row>
    <row r="8324">
      <c r="N8324" s="5"/>
    </row>
    <row r="8325">
      <c r="N8325" s="5"/>
    </row>
    <row r="8326">
      <c r="N8326" s="5"/>
    </row>
    <row r="8327">
      <c r="N8327" s="5"/>
    </row>
    <row r="8328">
      <c r="N8328" s="5"/>
    </row>
    <row r="8329">
      <c r="N8329" s="5"/>
    </row>
    <row r="8330">
      <c r="N8330" s="5"/>
    </row>
    <row r="8331">
      <c r="N8331" s="5"/>
    </row>
    <row r="8332">
      <c r="N8332" s="5"/>
    </row>
    <row r="8333">
      <c r="N8333" s="5"/>
    </row>
    <row r="8334">
      <c r="N8334" s="5"/>
    </row>
    <row r="8335">
      <c r="N8335" s="5"/>
    </row>
    <row r="8336">
      <c r="N8336" s="5"/>
    </row>
    <row r="8337">
      <c r="N8337" s="5"/>
    </row>
    <row r="8338">
      <c r="N8338" s="5"/>
    </row>
    <row r="8339">
      <c r="N8339" s="5"/>
    </row>
    <row r="8340">
      <c r="N8340" s="5"/>
    </row>
    <row r="8341">
      <c r="N8341" s="5"/>
    </row>
    <row r="8342">
      <c r="N8342" s="5"/>
    </row>
    <row r="8343">
      <c r="N8343" s="5"/>
    </row>
    <row r="8344">
      <c r="N8344" s="5"/>
    </row>
    <row r="8345">
      <c r="N8345" s="5"/>
    </row>
    <row r="8346">
      <c r="N8346" s="5"/>
    </row>
    <row r="8347">
      <c r="N8347" s="5"/>
    </row>
    <row r="8348">
      <c r="N8348" s="5"/>
    </row>
    <row r="8349">
      <c r="N8349" s="5"/>
    </row>
    <row r="8350">
      <c r="N8350" s="5"/>
    </row>
    <row r="8351">
      <c r="N8351" s="5"/>
    </row>
    <row r="8352">
      <c r="N8352" s="5"/>
    </row>
    <row r="8353">
      <c r="N8353" s="5"/>
    </row>
    <row r="8354">
      <c r="N8354" s="5"/>
    </row>
    <row r="8355">
      <c r="N8355" s="5"/>
    </row>
    <row r="8356">
      <c r="N8356" s="5"/>
    </row>
    <row r="8357">
      <c r="N8357" s="5"/>
    </row>
    <row r="8358">
      <c r="N8358" s="5"/>
    </row>
    <row r="8359">
      <c r="N8359" s="5"/>
    </row>
    <row r="8360">
      <c r="N8360" s="5"/>
    </row>
    <row r="8361">
      <c r="N8361" s="5"/>
    </row>
    <row r="8362">
      <c r="N8362" s="5"/>
    </row>
    <row r="8363">
      <c r="N8363" s="5"/>
    </row>
    <row r="8364">
      <c r="N8364" s="5"/>
    </row>
    <row r="8365">
      <c r="N8365" s="5"/>
    </row>
    <row r="8366">
      <c r="N8366" s="5"/>
    </row>
    <row r="8367">
      <c r="N8367" s="5"/>
    </row>
    <row r="8368">
      <c r="N8368" s="5"/>
    </row>
    <row r="8369">
      <c r="N8369" s="5"/>
    </row>
    <row r="8370">
      <c r="N8370" s="5"/>
    </row>
    <row r="8371">
      <c r="N8371" s="5"/>
    </row>
    <row r="8372">
      <c r="N8372" s="5"/>
    </row>
    <row r="8373">
      <c r="N8373" s="5"/>
    </row>
    <row r="8374">
      <c r="N8374" s="5"/>
    </row>
    <row r="8375">
      <c r="N8375" s="5"/>
    </row>
    <row r="8376">
      <c r="N8376" s="5"/>
    </row>
    <row r="8377">
      <c r="N8377" s="5"/>
    </row>
    <row r="8378">
      <c r="N8378" s="5"/>
    </row>
    <row r="8379">
      <c r="N8379" s="5"/>
    </row>
    <row r="8380">
      <c r="N8380" s="5"/>
    </row>
    <row r="8381">
      <c r="N8381" s="5"/>
    </row>
    <row r="8382">
      <c r="N8382" s="5"/>
    </row>
    <row r="8383">
      <c r="N8383" s="5"/>
    </row>
    <row r="8384">
      <c r="N8384" s="5"/>
    </row>
    <row r="8385">
      <c r="N8385" s="5"/>
    </row>
    <row r="8386">
      <c r="N8386" s="5"/>
    </row>
    <row r="8387">
      <c r="N8387" s="5"/>
    </row>
    <row r="8388">
      <c r="N8388" s="5"/>
    </row>
    <row r="8389">
      <c r="N8389" s="5"/>
    </row>
    <row r="8390">
      <c r="N8390" s="5"/>
    </row>
    <row r="8391">
      <c r="N8391" s="5"/>
    </row>
    <row r="8392">
      <c r="N8392" s="5"/>
    </row>
    <row r="8393">
      <c r="N8393" s="5"/>
    </row>
    <row r="8394">
      <c r="N8394" s="5"/>
    </row>
    <row r="8395">
      <c r="N8395" s="5"/>
    </row>
    <row r="8396">
      <c r="N8396" s="5"/>
    </row>
    <row r="8397">
      <c r="N8397" s="5"/>
    </row>
    <row r="8398">
      <c r="N8398" s="5"/>
    </row>
    <row r="8399">
      <c r="N8399" s="5"/>
    </row>
    <row r="8400">
      <c r="N8400" s="5"/>
    </row>
    <row r="8401">
      <c r="N8401" s="5"/>
    </row>
    <row r="8402">
      <c r="N8402" s="5"/>
    </row>
    <row r="8403">
      <c r="N8403" s="5"/>
    </row>
    <row r="8404">
      <c r="N8404" s="5"/>
    </row>
    <row r="8405">
      <c r="N8405" s="5"/>
    </row>
    <row r="8406">
      <c r="N8406" s="5"/>
    </row>
    <row r="8407">
      <c r="N8407" s="5"/>
    </row>
    <row r="8408">
      <c r="N8408" s="5"/>
    </row>
    <row r="8409">
      <c r="N8409" s="5"/>
    </row>
    <row r="8410">
      <c r="N8410" s="5"/>
    </row>
    <row r="8411">
      <c r="N8411" s="5"/>
    </row>
    <row r="8412">
      <c r="N8412" s="5"/>
    </row>
    <row r="8413">
      <c r="N8413" s="5"/>
    </row>
    <row r="8414">
      <c r="N8414" s="5"/>
    </row>
    <row r="8415">
      <c r="N8415" s="5"/>
    </row>
    <row r="8416">
      <c r="N8416" s="5"/>
    </row>
    <row r="8417">
      <c r="N8417" s="5"/>
    </row>
    <row r="8418">
      <c r="N8418" s="5"/>
    </row>
    <row r="8419">
      <c r="N8419" s="5"/>
    </row>
    <row r="8420">
      <c r="N8420" s="5"/>
    </row>
    <row r="8421">
      <c r="N8421" s="5"/>
    </row>
    <row r="8422">
      <c r="N8422" s="5"/>
    </row>
    <row r="8423">
      <c r="N8423" s="5"/>
    </row>
    <row r="8424">
      <c r="N8424" s="5"/>
    </row>
    <row r="8425">
      <c r="N8425" s="5"/>
    </row>
    <row r="8426">
      <c r="N8426" s="5"/>
    </row>
    <row r="8427">
      <c r="N8427" s="5"/>
    </row>
    <row r="8428">
      <c r="N8428" s="5"/>
    </row>
    <row r="8429">
      <c r="N8429" s="5"/>
    </row>
    <row r="8430">
      <c r="N8430" s="5"/>
    </row>
    <row r="8431">
      <c r="N8431" s="5"/>
    </row>
    <row r="8432">
      <c r="N8432" s="5"/>
    </row>
    <row r="8433">
      <c r="N8433" s="5"/>
    </row>
    <row r="8434">
      <c r="N8434" s="5"/>
    </row>
    <row r="8435">
      <c r="N8435" s="5"/>
    </row>
    <row r="8436">
      <c r="N8436" s="5"/>
    </row>
    <row r="8437">
      <c r="N8437" s="5"/>
    </row>
    <row r="8438">
      <c r="N8438" s="5"/>
    </row>
    <row r="8439">
      <c r="N8439" s="5"/>
    </row>
    <row r="8440">
      <c r="N8440" s="5"/>
    </row>
    <row r="8441">
      <c r="N8441" s="5"/>
    </row>
    <row r="8442">
      <c r="N8442" s="5"/>
    </row>
    <row r="8443">
      <c r="N8443" s="5"/>
    </row>
    <row r="8444">
      <c r="N8444" s="5"/>
    </row>
    <row r="8445">
      <c r="N8445" s="5"/>
    </row>
    <row r="8446">
      <c r="N8446" s="5"/>
    </row>
    <row r="8447">
      <c r="N8447" s="5"/>
    </row>
    <row r="8448">
      <c r="N8448" s="5"/>
    </row>
    <row r="8449">
      <c r="N8449" s="5"/>
    </row>
    <row r="8450">
      <c r="N8450" s="5"/>
    </row>
    <row r="8451">
      <c r="N8451" s="5"/>
    </row>
    <row r="8452">
      <c r="N8452" s="5"/>
    </row>
    <row r="8453">
      <c r="N8453" s="5"/>
    </row>
    <row r="8454">
      <c r="N8454" s="5"/>
    </row>
    <row r="8455">
      <c r="N8455" s="5"/>
    </row>
    <row r="8456">
      <c r="N8456" s="5"/>
    </row>
    <row r="8457">
      <c r="N8457" s="5"/>
    </row>
    <row r="8458">
      <c r="N8458" s="5"/>
    </row>
    <row r="8459">
      <c r="N8459" s="5"/>
    </row>
    <row r="8460">
      <c r="N8460" s="5"/>
    </row>
    <row r="8461">
      <c r="N8461" s="5"/>
    </row>
    <row r="8462">
      <c r="N8462" s="5"/>
    </row>
    <row r="8463">
      <c r="N8463" s="5"/>
    </row>
    <row r="8464">
      <c r="N8464" s="5"/>
    </row>
    <row r="8465">
      <c r="N8465" s="5"/>
    </row>
    <row r="8466">
      <c r="N8466" s="5"/>
    </row>
    <row r="8467">
      <c r="N8467" s="5"/>
    </row>
    <row r="8468">
      <c r="N8468" s="5"/>
    </row>
    <row r="8469">
      <c r="N8469" s="5"/>
    </row>
    <row r="8470">
      <c r="N8470" s="5"/>
    </row>
    <row r="8471">
      <c r="N8471" s="5"/>
    </row>
    <row r="8472">
      <c r="N8472" s="5"/>
    </row>
    <row r="8473">
      <c r="N8473" s="5"/>
    </row>
    <row r="8474">
      <c r="N8474" s="5"/>
    </row>
    <row r="8475">
      <c r="N8475" s="5"/>
    </row>
    <row r="8476">
      <c r="N8476" s="5"/>
    </row>
    <row r="8477">
      <c r="N8477" s="5"/>
    </row>
    <row r="8478">
      <c r="N8478" s="5"/>
    </row>
    <row r="8479">
      <c r="N8479" s="5"/>
    </row>
    <row r="8480">
      <c r="N8480" s="5"/>
    </row>
    <row r="8481">
      <c r="N8481" s="5"/>
    </row>
    <row r="8482">
      <c r="N8482" s="5"/>
    </row>
    <row r="8483">
      <c r="N8483" s="5"/>
    </row>
    <row r="8484">
      <c r="N8484" s="5"/>
    </row>
    <row r="8485">
      <c r="N8485" s="5"/>
    </row>
    <row r="8486">
      <c r="N8486" s="5"/>
    </row>
    <row r="8487">
      <c r="N8487" s="5"/>
    </row>
    <row r="8488">
      <c r="N8488" s="5"/>
    </row>
    <row r="8489">
      <c r="N8489" s="5"/>
    </row>
    <row r="8490">
      <c r="N8490" s="5"/>
    </row>
    <row r="8491">
      <c r="N8491" s="5"/>
    </row>
    <row r="8492">
      <c r="N8492" s="5"/>
    </row>
    <row r="8493">
      <c r="N8493" s="5"/>
    </row>
    <row r="8494">
      <c r="N8494" s="5"/>
    </row>
    <row r="8495">
      <c r="N8495" s="5"/>
    </row>
    <row r="8496">
      <c r="N8496" s="5"/>
    </row>
    <row r="8497">
      <c r="N8497" s="5"/>
    </row>
    <row r="8498">
      <c r="N8498" s="5"/>
    </row>
    <row r="8499">
      <c r="N8499" s="5"/>
    </row>
    <row r="8500">
      <c r="N8500" s="5"/>
    </row>
    <row r="8501">
      <c r="N8501" s="5"/>
    </row>
    <row r="8502">
      <c r="N8502" s="5"/>
    </row>
    <row r="8503">
      <c r="N8503" s="5"/>
    </row>
    <row r="8504">
      <c r="N8504" s="5"/>
    </row>
    <row r="8505">
      <c r="N8505" s="5"/>
    </row>
    <row r="8506">
      <c r="N8506" s="5"/>
    </row>
    <row r="8507">
      <c r="N8507" s="5"/>
    </row>
    <row r="8508">
      <c r="N8508" s="5"/>
    </row>
    <row r="8509">
      <c r="N8509" s="5"/>
    </row>
    <row r="8510">
      <c r="N8510" s="5"/>
    </row>
    <row r="8511">
      <c r="N8511" s="5"/>
    </row>
    <row r="8512">
      <c r="N8512" s="5"/>
    </row>
    <row r="8513">
      <c r="N8513" s="5"/>
    </row>
    <row r="8514">
      <c r="N8514" s="5"/>
    </row>
    <row r="8515">
      <c r="N8515" s="5"/>
    </row>
    <row r="8516">
      <c r="N8516" s="5"/>
    </row>
    <row r="8517">
      <c r="N8517" s="5"/>
    </row>
    <row r="8518">
      <c r="N8518" s="5"/>
    </row>
    <row r="8519">
      <c r="N8519" s="5"/>
    </row>
    <row r="8520">
      <c r="N8520" s="5"/>
    </row>
    <row r="8521">
      <c r="I8521" s="4"/>
      <c r="N8521" s="5"/>
    </row>
    <row r="8522">
      <c r="N8522" s="5"/>
    </row>
    <row r="8523">
      <c r="N8523" s="5"/>
    </row>
    <row r="8524">
      <c r="N8524" s="5"/>
    </row>
    <row r="8525">
      <c r="N8525" s="5"/>
    </row>
    <row r="8526">
      <c r="N8526" s="5"/>
    </row>
    <row r="8527">
      <c r="N8527" s="5"/>
    </row>
    <row r="8528">
      <c r="N8528" s="5"/>
    </row>
    <row r="8529">
      <c r="N8529" s="5"/>
    </row>
    <row r="8530">
      <c r="N8530" s="5"/>
    </row>
    <row r="8531">
      <c r="N8531" s="5"/>
    </row>
    <row r="8532">
      <c r="N8532" s="5"/>
    </row>
    <row r="8533">
      <c r="N8533" s="5"/>
    </row>
    <row r="8534">
      <c r="N8534" s="5"/>
    </row>
    <row r="8535">
      <c r="N8535" s="5"/>
    </row>
    <row r="8536">
      <c r="N8536" s="5"/>
    </row>
    <row r="8537">
      <c r="N8537" s="5"/>
    </row>
    <row r="8538">
      <c r="N8538" s="5"/>
    </row>
    <row r="8539">
      <c r="N8539" s="5"/>
    </row>
    <row r="8540">
      <c r="N8540" s="5"/>
    </row>
    <row r="8541">
      <c r="N8541" s="5"/>
    </row>
    <row r="8542">
      <c r="N8542" s="5"/>
    </row>
    <row r="8543">
      <c r="N8543" s="5"/>
    </row>
    <row r="8544">
      <c r="N8544" s="5"/>
    </row>
    <row r="8545">
      <c r="N8545" s="5"/>
    </row>
    <row r="8546">
      <c r="N8546" s="5"/>
    </row>
    <row r="8547">
      <c r="N8547" s="5"/>
    </row>
    <row r="8548">
      <c r="N8548" s="5"/>
    </row>
    <row r="8549">
      <c r="N8549" s="5"/>
    </row>
    <row r="8550">
      <c r="N8550" s="5"/>
    </row>
    <row r="8551">
      <c r="N8551" s="5"/>
    </row>
    <row r="8552">
      <c r="N8552" s="5"/>
    </row>
    <row r="8553">
      <c r="N8553" s="5"/>
    </row>
    <row r="8554">
      <c r="N8554" s="5"/>
    </row>
    <row r="8555">
      <c r="N8555" s="5"/>
    </row>
    <row r="8556">
      <c r="N8556" s="5"/>
    </row>
    <row r="8557">
      <c r="N8557" s="5"/>
    </row>
    <row r="8558">
      <c r="N8558" s="5"/>
    </row>
    <row r="8559">
      <c r="N8559" s="5"/>
    </row>
    <row r="8560">
      <c r="N8560" s="5"/>
    </row>
    <row r="8561">
      <c r="N8561" s="5"/>
    </row>
    <row r="8562">
      <c r="N8562" s="5"/>
    </row>
    <row r="8563">
      <c r="N8563" s="5"/>
    </row>
    <row r="8564">
      <c r="N8564" s="5"/>
    </row>
    <row r="8565">
      <c r="N8565" s="5"/>
    </row>
    <row r="8566">
      <c r="N8566" s="5"/>
    </row>
    <row r="8567">
      <c r="N8567" s="5"/>
    </row>
    <row r="8568">
      <c r="N8568" s="5"/>
    </row>
    <row r="8569">
      <c r="N8569" s="5"/>
    </row>
    <row r="8570">
      <c r="N8570" s="5"/>
    </row>
    <row r="8571">
      <c r="N8571" s="5"/>
    </row>
    <row r="8572">
      <c r="N8572" s="5"/>
    </row>
    <row r="8573">
      <c r="N8573" s="5"/>
    </row>
    <row r="8574">
      <c r="N8574" s="5"/>
    </row>
    <row r="8575">
      <c r="N8575" s="5"/>
    </row>
    <row r="8576">
      <c r="N8576" s="5"/>
    </row>
    <row r="8577">
      <c r="N8577" s="5"/>
    </row>
    <row r="8578">
      <c r="N8578" s="5"/>
    </row>
    <row r="8579">
      <c r="N8579" s="5"/>
    </row>
    <row r="8580">
      <c r="N8580" s="5"/>
    </row>
    <row r="8581">
      <c r="N8581" s="5"/>
    </row>
    <row r="8582">
      <c r="N8582" s="5"/>
    </row>
    <row r="8583">
      <c r="N8583" s="5"/>
    </row>
    <row r="8584">
      <c r="N8584" s="5"/>
    </row>
    <row r="8585">
      <c r="N8585" s="5"/>
    </row>
    <row r="8586">
      <c r="N8586" s="5"/>
    </row>
    <row r="8587">
      <c r="N8587" s="5"/>
    </row>
    <row r="8588">
      <c r="N8588" s="5"/>
    </row>
    <row r="8589">
      <c r="N8589" s="5"/>
    </row>
    <row r="8590">
      <c r="N8590" s="5"/>
    </row>
    <row r="8591">
      <c r="N8591" s="5"/>
    </row>
    <row r="8592">
      <c r="N8592" s="5"/>
    </row>
    <row r="8593">
      <c r="N8593" s="5"/>
    </row>
    <row r="8594">
      <c r="N8594" s="5"/>
    </row>
    <row r="8595">
      <c r="N8595" s="5"/>
    </row>
    <row r="8596">
      <c r="N8596" s="5"/>
    </row>
    <row r="8597">
      <c r="N8597" s="5"/>
    </row>
    <row r="8598">
      <c r="N8598" s="5"/>
    </row>
    <row r="8599">
      <c r="N8599" s="5"/>
    </row>
    <row r="8600">
      <c r="N8600" s="5"/>
    </row>
    <row r="8601">
      <c r="N8601" s="5"/>
    </row>
    <row r="8602">
      <c r="N8602" s="5"/>
    </row>
    <row r="8603">
      <c r="N8603" s="5"/>
    </row>
    <row r="8604">
      <c r="N8604" s="5"/>
    </row>
    <row r="8605">
      <c r="N8605" s="5"/>
    </row>
    <row r="8606">
      <c r="N8606" s="5"/>
    </row>
    <row r="8607">
      <c r="N8607" s="5"/>
    </row>
    <row r="8608">
      <c r="N8608" s="5"/>
    </row>
    <row r="8609">
      <c r="N8609" s="5"/>
    </row>
    <row r="8610">
      <c r="N8610" s="5"/>
    </row>
    <row r="8611">
      <c r="N8611" s="5"/>
    </row>
    <row r="8612">
      <c r="N8612" s="5"/>
    </row>
    <row r="8613">
      <c r="N8613" s="5"/>
    </row>
    <row r="8614">
      <c r="N8614" s="5"/>
    </row>
    <row r="8615">
      <c r="N8615" s="5"/>
    </row>
    <row r="8616">
      <c r="N8616" s="5"/>
    </row>
    <row r="8617">
      <c r="N8617" s="5"/>
    </row>
    <row r="8618">
      <c r="N8618" s="5"/>
    </row>
    <row r="8619">
      <c r="N8619" s="5"/>
    </row>
    <row r="8620">
      <c r="N8620" s="5"/>
    </row>
    <row r="8621">
      <c r="N8621" s="5"/>
    </row>
    <row r="8622">
      <c r="N8622" s="5"/>
    </row>
    <row r="8623">
      <c r="N8623" s="5"/>
    </row>
    <row r="8624">
      <c r="N8624" s="5"/>
    </row>
    <row r="8625">
      <c r="N8625" s="5"/>
    </row>
    <row r="8626">
      <c r="N8626" s="5"/>
    </row>
    <row r="8627">
      <c r="N8627" s="5"/>
    </row>
    <row r="8628">
      <c r="N8628" s="5"/>
    </row>
    <row r="8629">
      <c r="N8629" s="5"/>
    </row>
    <row r="8630">
      <c r="N8630" s="5"/>
    </row>
    <row r="8631">
      <c r="N8631" s="5"/>
    </row>
    <row r="8632">
      <c r="N8632" s="5"/>
    </row>
    <row r="8633">
      <c r="N8633" s="5"/>
    </row>
    <row r="8634">
      <c r="N8634" s="5"/>
    </row>
    <row r="8635">
      <c r="N8635" s="5"/>
    </row>
    <row r="8636">
      <c r="N8636" s="5"/>
    </row>
    <row r="8637">
      <c r="N8637" s="5"/>
    </row>
    <row r="8638">
      <c r="N8638" s="5"/>
    </row>
    <row r="8639">
      <c r="N8639" s="5"/>
    </row>
    <row r="8640">
      <c r="N8640" s="5"/>
    </row>
    <row r="8641">
      <c r="N8641" s="5"/>
    </row>
    <row r="8642">
      <c r="N8642" s="5"/>
    </row>
    <row r="8643">
      <c r="N8643" s="5"/>
    </row>
    <row r="8644">
      <c r="N8644" s="5"/>
    </row>
    <row r="8645">
      <c r="N8645" s="5"/>
    </row>
    <row r="8646">
      <c r="N8646" s="5"/>
    </row>
    <row r="8647">
      <c r="N8647" s="5"/>
    </row>
    <row r="8648">
      <c r="N8648" s="5"/>
    </row>
    <row r="8649">
      <c r="N8649" s="5"/>
    </row>
    <row r="8650">
      <c r="N8650" s="5"/>
    </row>
    <row r="8651">
      <c r="N8651" s="5"/>
    </row>
    <row r="8652">
      <c r="N8652" s="5"/>
    </row>
    <row r="8653">
      <c r="N8653" s="5"/>
    </row>
    <row r="8654">
      <c r="N8654" s="5"/>
    </row>
    <row r="8655">
      <c r="N8655" s="5"/>
    </row>
    <row r="8656">
      <c r="N8656" s="5"/>
    </row>
    <row r="8657">
      <c r="N8657" s="5"/>
    </row>
    <row r="8658">
      <c r="N8658" s="5"/>
    </row>
    <row r="8659">
      <c r="N8659" s="5"/>
    </row>
    <row r="8660">
      <c r="N8660" s="5"/>
    </row>
    <row r="8661">
      <c r="N8661" s="5"/>
    </row>
    <row r="8662">
      <c r="N8662" s="5"/>
    </row>
    <row r="8663">
      <c r="N8663" s="5"/>
    </row>
    <row r="8664">
      <c r="N8664" s="5"/>
    </row>
    <row r="8665">
      <c r="N8665" s="5"/>
    </row>
    <row r="8666">
      <c r="N8666" s="5"/>
    </row>
    <row r="8667">
      <c r="N8667" s="5"/>
    </row>
    <row r="8668">
      <c r="N8668" s="5"/>
    </row>
    <row r="8669">
      <c r="N8669" s="5"/>
    </row>
    <row r="8670">
      <c r="N8670" s="5"/>
    </row>
    <row r="8671">
      <c r="N8671" s="5"/>
    </row>
    <row r="8672">
      <c r="N8672" s="5"/>
    </row>
    <row r="8673">
      <c r="N8673" s="5"/>
    </row>
    <row r="8674">
      <c r="N8674" s="5"/>
    </row>
    <row r="8675">
      <c r="N8675" s="5"/>
    </row>
    <row r="8676">
      <c r="N8676" s="5"/>
    </row>
    <row r="8677">
      <c r="N8677" s="5"/>
    </row>
    <row r="8678">
      <c r="N8678" s="5"/>
    </row>
    <row r="8679">
      <c r="N8679" s="5"/>
    </row>
    <row r="8680">
      <c r="N8680" s="5"/>
    </row>
    <row r="8681">
      <c r="N8681" s="5"/>
    </row>
    <row r="8682">
      <c r="N8682" s="5"/>
    </row>
    <row r="8683">
      <c r="N8683" s="5"/>
    </row>
    <row r="8684">
      <c r="N8684" s="5"/>
    </row>
    <row r="8685">
      <c r="N8685" s="5"/>
    </row>
    <row r="8686">
      <c r="N8686" s="5"/>
    </row>
    <row r="8687">
      <c r="N8687" s="5"/>
    </row>
    <row r="8688">
      <c r="N8688" s="5"/>
    </row>
    <row r="8689">
      <c r="N8689" s="5"/>
    </row>
    <row r="8690">
      <c r="N8690" s="5"/>
    </row>
    <row r="8691">
      <c r="N8691" s="5"/>
    </row>
    <row r="8692">
      <c r="N8692" s="5"/>
    </row>
    <row r="8693">
      <c r="N8693" s="5"/>
    </row>
    <row r="8694">
      <c r="N8694" s="5"/>
    </row>
    <row r="8695">
      <c r="N8695" s="5"/>
    </row>
    <row r="8696">
      <c r="N8696" s="5"/>
    </row>
    <row r="8697">
      <c r="N8697" s="5"/>
    </row>
    <row r="8698">
      <c r="N8698" s="5"/>
    </row>
    <row r="8699">
      <c r="N8699" s="5"/>
    </row>
    <row r="8700">
      <c r="N8700" s="5"/>
    </row>
    <row r="8701">
      <c r="N8701" s="5"/>
    </row>
    <row r="8702">
      <c r="N8702" s="5"/>
    </row>
    <row r="8703">
      <c r="N8703" s="5"/>
    </row>
    <row r="8704">
      <c r="N8704" s="5"/>
    </row>
    <row r="8705">
      <c r="N8705" s="5"/>
    </row>
    <row r="8706">
      <c r="N8706" s="5"/>
    </row>
    <row r="8707">
      <c r="N8707" s="5"/>
    </row>
    <row r="8708">
      <c r="N8708" s="5"/>
    </row>
    <row r="8709">
      <c r="N8709" s="5"/>
    </row>
    <row r="8710">
      <c r="N8710" s="5"/>
    </row>
    <row r="8711">
      <c r="N8711" s="5"/>
    </row>
    <row r="8712">
      <c r="N8712" s="5"/>
    </row>
    <row r="8713">
      <c r="N8713" s="5"/>
    </row>
    <row r="8714">
      <c r="N8714" s="5"/>
    </row>
    <row r="8715">
      <c r="N8715" s="5"/>
    </row>
    <row r="8716">
      <c r="N8716" s="5"/>
    </row>
    <row r="8717">
      <c r="N8717" s="5"/>
    </row>
    <row r="8718">
      <c r="N8718" s="5"/>
    </row>
    <row r="8719">
      <c r="N8719" s="5"/>
    </row>
    <row r="8720">
      <c r="N8720" s="5"/>
    </row>
    <row r="8721">
      <c r="N8721" s="5"/>
    </row>
    <row r="8722">
      <c r="N8722" s="5"/>
    </row>
    <row r="8723">
      <c r="N8723" s="5"/>
    </row>
    <row r="8724">
      <c r="N8724" s="5"/>
    </row>
    <row r="8725">
      <c r="N8725" s="5"/>
    </row>
    <row r="8726">
      <c r="N8726" s="5"/>
    </row>
    <row r="8727">
      <c r="N8727" s="5"/>
    </row>
    <row r="8728">
      <c r="N8728" s="5"/>
    </row>
    <row r="8729">
      <c r="N8729" s="5"/>
    </row>
    <row r="8730">
      <c r="N8730" s="5"/>
    </row>
    <row r="8731">
      <c r="N8731" s="5"/>
    </row>
    <row r="8732">
      <c r="N8732" s="5"/>
    </row>
    <row r="8733">
      <c r="N8733" s="5"/>
    </row>
    <row r="8734">
      <c r="N8734" s="5"/>
    </row>
    <row r="8735">
      <c r="N8735" s="5"/>
    </row>
    <row r="8736">
      <c r="N8736" s="5"/>
    </row>
    <row r="8737">
      <c r="N8737" s="5"/>
    </row>
    <row r="8738">
      <c r="N8738" s="5"/>
    </row>
    <row r="8739">
      <c r="N8739" s="5"/>
    </row>
    <row r="8740">
      <c r="N8740" s="5"/>
    </row>
    <row r="8741">
      <c r="N8741" s="5"/>
    </row>
    <row r="8742">
      <c r="N8742" s="5"/>
    </row>
    <row r="8743">
      <c r="N8743" s="5"/>
    </row>
    <row r="8744">
      <c r="N8744" s="5"/>
    </row>
    <row r="8745">
      <c r="N8745" s="5"/>
    </row>
    <row r="8746">
      <c r="N8746" s="5"/>
    </row>
    <row r="8747">
      <c r="N8747" s="5"/>
    </row>
    <row r="8748">
      <c r="N8748" s="5"/>
    </row>
    <row r="8749">
      <c r="N8749" s="5"/>
    </row>
    <row r="8750">
      <c r="N8750" s="5"/>
    </row>
    <row r="8751">
      <c r="N8751" s="5"/>
    </row>
    <row r="8752">
      <c r="N8752" s="5"/>
    </row>
    <row r="8753">
      <c r="N8753" s="5"/>
    </row>
    <row r="8754">
      <c r="N8754" s="5"/>
    </row>
    <row r="8755">
      <c r="N8755" s="5"/>
    </row>
    <row r="8756">
      <c r="N8756" s="5"/>
    </row>
    <row r="8757">
      <c r="N8757" s="5"/>
    </row>
    <row r="8758">
      <c r="N8758" s="5"/>
    </row>
    <row r="8759">
      <c r="N8759" s="5"/>
    </row>
    <row r="8760">
      <c r="N8760" s="5"/>
    </row>
    <row r="8761">
      <c r="N8761" s="5"/>
    </row>
    <row r="8762">
      <c r="N8762" s="5"/>
    </row>
    <row r="8763">
      <c r="N8763" s="5"/>
    </row>
    <row r="8764">
      <c r="N8764" s="5"/>
    </row>
    <row r="8765">
      <c r="N8765" s="5"/>
    </row>
    <row r="8766">
      <c r="N8766" s="5"/>
    </row>
    <row r="8767">
      <c r="N8767" s="5"/>
    </row>
    <row r="8768">
      <c r="N8768" s="5"/>
    </row>
    <row r="8769">
      <c r="N8769" s="5"/>
    </row>
    <row r="8770">
      <c r="N8770" s="5"/>
    </row>
    <row r="8771">
      <c r="N8771" s="5"/>
    </row>
    <row r="8772">
      <c r="N8772" s="5"/>
    </row>
    <row r="8773">
      <c r="N8773" s="5"/>
    </row>
    <row r="8774">
      <c r="N8774" s="5"/>
    </row>
    <row r="8775">
      <c r="N8775" s="5"/>
    </row>
    <row r="8776">
      <c r="N8776" s="5"/>
    </row>
    <row r="8777">
      <c r="N8777" s="5"/>
    </row>
    <row r="8778">
      <c r="N8778" s="5"/>
    </row>
    <row r="8779">
      <c r="N8779" s="5"/>
    </row>
    <row r="8780">
      <c r="N8780" s="5"/>
    </row>
    <row r="8781">
      <c r="N8781" s="5"/>
    </row>
    <row r="8782">
      <c r="N8782" s="5"/>
    </row>
    <row r="8783">
      <c r="N8783" s="5"/>
    </row>
    <row r="8784">
      <c r="N8784" s="5"/>
    </row>
    <row r="8785">
      <c r="N8785" s="5"/>
    </row>
    <row r="8786">
      <c r="N8786" s="5"/>
    </row>
    <row r="8787">
      <c r="N8787" s="5"/>
    </row>
    <row r="8788">
      <c r="N8788" s="5"/>
    </row>
    <row r="8789">
      <c r="N8789" s="5"/>
    </row>
    <row r="8790">
      <c r="N8790" s="5"/>
    </row>
    <row r="8791">
      <c r="N8791" s="5"/>
    </row>
    <row r="8792">
      <c r="N8792" s="5"/>
    </row>
    <row r="8793">
      <c r="N8793" s="5"/>
    </row>
    <row r="8794">
      <c r="N8794" s="5"/>
    </row>
    <row r="8795">
      <c r="N8795" s="5"/>
    </row>
    <row r="8796">
      <c r="N8796" s="5"/>
    </row>
    <row r="8797">
      <c r="N8797" s="5"/>
    </row>
    <row r="8798">
      <c r="N8798" s="5"/>
    </row>
    <row r="8799">
      <c r="N8799" s="5"/>
    </row>
    <row r="8800">
      <c r="N8800" s="5"/>
    </row>
    <row r="8801">
      <c r="N8801" s="5"/>
    </row>
    <row r="8802">
      <c r="N8802" s="5"/>
    </row>
    <row r="8803">
      <c r="N8803" s="5"/>
    </row>
    <row r="8804">
      <c r="N8804" s="5"/>
    </row>
    <row r="8805">
      <c r="N8805" s="5"/>
    </row>
    <row r="8806">
      <c r="N8806" s="5"/>
    </row>
    <row r="8807">
      <c r="N8807" s="5"/>
    </row>
    <row r="8808">
      <c r="N8808" s="5"/>
    </row>
    <row r="8809">
      <c r="N8809" s="5"/>
    </row>
    <row r="8810">
      <c r="N8810" s="5"/>
    </row>
    <row r="8811">
      <c r="N8811" s="5"/>
    </row>
    <row r="8812">
      <c r="N8812" s="5"/>
    </row>
    <row r="8813">
      <c r="N8813" s="5"/>
    </row>
    <row r="8814">
      <c r="N8814" s="5"/>
    </row>
    <row r="8815">
      <c r="N8815" s="5"/>
    </row>
    <row r="8816">
      <c r="N8816" s="5"/>
    </row>
    <row r="8817">
      <c r="N8817" s="5"/>
    </row>
    <row r="8818">
      <c r="N8818" s="5"/>
    </row>
    <row r="8819">
      <c r="N8819" s="5"/>
    </row>
    <row r="8820">
      <c r="N8820" s="5"/>
    </row>
    <row r="8821">
      <c r="N8821" s="5"/>
    </row>
    <row r="8822">
      <c r="N8822" s="5"/>
    </row>
    <row r="8823">
      <c r="N8823" s="5"/>
    </row>
    <row r="8824">
      <c r="N8824" s="5"/>
    </row>
    <row r="8825">
      <c r="N8825" s="5"/>
    </row>
    <row r="8826">
      <c r="N8826" s="5"/>
    </row>
    <row r="8827">
      <c r="N8827" s="5"/>
    </row>
    <row r="8828">
      <c r="N8828" s="5"/>
    </row>
    <row r="8829">
      <c r="N8829" s="5"/>
    </row>
    <row r="8830">
      <c r="N8830" s="5"/>
    </row>
    <row r="8831">
      <c r="N8831" s="5"/>
    </row>
    <row r="8832">
      <c r="N8832" s="5"/>
    </row>
    <row r="8833">
      <c r="N8833" s="5"/>
    </row>
    <row r="8834">
      <c r="N8834" s="5"/>
    </row>
    <row r="8835">
      <c r="N8835" s="5"/>
    </row>
    <row r="8836">
      <c r="N8836" s="5"/>
    </row>
    <row r="8837">
      <c r="N8837" s="5"/>
    </row>
    <row r="8838">
      <c r="N8838" s="5"/>
    </row>
    <row r="8839">
      <c r="N8839" s="5"/>
    </row>
    <row r="8840">
      <c r="N8840" s="5"/>
    </row>
    <row r="8841">
      <c r="N8841" s="5"/>
    </row>
    <row r="8842">
      <c r="N8842" s="5"/>
    </row>
    <row r="8843">
      <c r="N8843" s="5"/>
    </row>
    <row r="8844">
      <c r="N8844" s="5"/>
    </row>
    <row r="8845">
      <c r="N8845" s="5"/>
    </row>
    <row r="8846">
      <c r="N8846" s="5"/>
    </row>
    <row r="8847">
      <c r="N8847" s="5"/>
    </row>
    <row r="8848">
      <c r="N8848" s="5"/>
    </row>
    <row r="8849">
      <c r="N8849" s="5"/>
    </row>
    <row r="8850">
      <c r="N8850" s="5"/>
    </row>
    <row r="8851">
      <c r="N8851" s="5"/>
    </row>
    <row r="8852">
      <c r="N8852" s="5"/>
    </row>
    <row r="8853">
      <c r="N8853" s="5"/>
    </row>
    <row r="8854">
      <c r="N8854" s="5"/>
    </row>
    <row r="8855">
      <c r="N8855" s="5"/>
    </row>
    <row r="8856">
      <c r="N8856" s="5"/>
    </row>
    <row r="8857">
      <c r="N8857" s="5"/>
    </row>
    <row r="8858">
      <c r="N8858" s="5"/>
    </row>
    <row r="8859">
      <c r="N8859" s="5"/>
    </row>
    <row r="8860">
      <c r="N8860" s="5"/>
    </row>
    <row r="8861">
      <c r="N8861" s="5"/>
    </row>
    <row r="8862">
      <c r="N8862" s="5"/>
    </row>
    <row r="8863">
      <c r="N8863" s="5"/>
    </row>
    <row r="8864">
      <c r="N8864" s="5"/>
    </row>
    <row r="8865">
      <c r="N8865" s="5"/>
    </row>
    <row r="8866">
      <c r="N8866" s="5"/>
    </row>
    <row r="8867">
      <c r="N8867" s="5"/>
    </row>
    <row r="8868">
      <c r="N8868" s="5"/>
    </row>
    <row r="8869">
      <c r="N8869" s="5"/>
    </row>
    <row r="8870">
      <c r="N8870" s="5"/>
    </row>
    <row r="8871">
      <c r="N8871" s="5"/>
    </row>
    <row r="8872">
      <c r="N8872" s="5"/>
    </row>
    <row r="8873">
      <c r="N8873" s="5"/>
    </row>
    <row r="8874">
      <c r="N8874" s="5"/>
    </row>
    <row r="8875">
      <c r="N8875" s="5"/>
    </row>
    <row r="8876">
      <c r="N8876" s="5"/>
    </row>
    <row r="8877">
      <c r="N8877" s="5"/>
    </row>
    <row r="8878">
      <c r="N8878" s="5"/>
    </row>
    <row r="8879">
      <c r="N8879" s="5"/>
    </row>
    <row r="8880">
      <c r="N8880" s="5"/>
    </row>
    <row r="8881">
      <c r="N8881" s="5"/>
    </row>
    <row r="8882">
      <c r="N8882" s="5"/>
    </row>
    <row r="8883">
      <c r="N8883" s="5"/>
    </row>
    <row r="8884">
      <c r="N8884" s="5"/>
    </row>
    <row r="8885">
      <c r="N8885" s="5"/>
    </row>
    <row r="8886">
      <c r="N8886" s="5"/>
    </row>
    <row r="8887">
      <c r="N8887" s="5"/>
    </row>
    <row r="8888">
      <c r="N8888" s="5"/>
    </row>
    <row r="8889">
      <c r="N8889" s="5"/>
    </row>
    <row r="8890">
      <c r="N8890" s="5"/>
    </row>
    <row r="8891">
      <c r="N8891" s="5"/>
    </row>
    <row r="8892">
      <c r="N8892" s="5"/>
    </row>
    <row r="8893">
      <c r="N8893" s="5"/>
    </row>
    <row r="8894">
      <c r="N8894" s="5"/>
    </row>
    <row r="8895">
      <c r="N8895" s="5"/>
    </row>
    <row r="8896">
      <c r="N8896" s="5"/>
    </row>
    <row r="8897">
      <c r="N8897" s="5"/>
    </row>
    <row r="8898">
      <c r="N8898" s="5"/>
    </row>
    <row r="8899">
      <c r="N8899" s="5"/>
    </row>
    <row r="8900">
      <c r="N8900" s="5"/>
    </row>
    <row r="8901">
      <c r="N8901" s="5"/>
    </row>
    <row r="8902">
      <c r="N8902" s="5"/>
    </row>
    <row r="8903">
      <c r="N8903" s="5"/>
    </row>
    <row r="8904">
      <c r="N8904" s="5"/>
    </row>
    <row r="8905">
      <c r="N8905" s="5"/>
    </row>
    <row r="8906">
      <c r="N8906" s="5"/>
    </row>
    <row r="8907">
      <c r="N8907" s="5"/>
    </row>
    <row r="8908">
      <c r="N8908" s="5"/>
    </row>
    <row r="8909">
      <c r="N8909" s="5"/>
    </row>
    <row r="8910">
      <c r="N8910" s="5"/>
    </row>
    <row r="8911">
      <c r="N8911" s="5"/>
    </row>
    <row r="8912">
      <c r="N8912" s="5"/>
    </row>
    <row r="8913">
      <c r="N8913" s="5"/>
    </row>
    <row r="8914">
      <c r="N8914" s="5"/>
    </row>
    <row r="8915">
      <c r="N8915" s="5"/>
    </row>
    <row r="8916">
      <c r="N8916" s="5"/>
    </row>
    <row r="8917">
      <c r="N8917" s="5"/>
    </row>
    <row r="8918">
      <c r="N8918" s="5"/>
    </row>
    <row r="8919">
      <c r="N8919" s="5"/>
    </row>
    <row r="8920">
      <c r="N8920" s="5"/>
    </row>
    <row r="8921">
      <c r="N8921" s="5"/>
    </row>
    <row r="8922">
      <c r="N8922" s="5"/>
    </row>
    <row r="8923">
      <c r="N8923" s="5"/>
    </row>
    <row r="8924">
      <c r="N8924" s="5"/>
    </row>
    <row r="8925">
      <c r="N8925" s="5"/>
    </row>
    <row r="8926">
      <c r="N8926" s="5"/>
    </row>
    <row r="8927">
      <c r="N8927" s="5"/>
    </row>
    <row r="8928">
      <c r="N8928" s="5"/>
    </row>
    <row r="8929">
      <c r="N8929" s="5"/>
    </row>
    <row r="8930">
      <c r="N8930" s="5"/>
    </row>
    <row r="8931">
      <c r="N8931" s="5"/>
    </row>
    <row r="8932">
      <c r="N8932" s="5"/>
    </row>
    <row r="8933">
      <c r="N8933" s="5"/>
    </row>
    <row r="8934">
      <c r="N8934" s="5"/>
    </row>
    <row r="8935">
      <c r="N8935" s="5"/>
    </row>
    <row r="8936">
      <c r="N8936" s="5"/>
    </row>
    <row r="8937">
      <c r="N8937" s="5"/>
    </row>
    <row r="8938">
      <c r="N8938" s="5"/>
    </row>
    <row r="8939">
      <c r="N8939" s="5"/>
    </row>
    <row r="8940">
      <c r="N8940" s="5"/>
    </row>
    <row r="8941">
      <c r="N8941" s="5"/>
    </row>
    <row r="8942">
      <c r="N8942" s="5"/>
    </row>
    <row r="8943">
      <c r="N8943" s="5"/>
    </row>
    <row r="8944">
      <c r="N8944" s="5"/>
    </row>
    <row r="8945">
      <c r="N8945" s="5"/>
    </row>
    <row r="8946">
      <c r="N8946" s="5"/>
    </row>
    <row r="8947">
      <c r="N8947" s="5"/>
    </row>
    <row r="8948">
      <c r="N8948" s="5"/>
    </row>
    <row r="8949">
      <c r="N8949" s="5"/>
    </row>
    <row r="8950">
      <c r="N8950" s="5"/>
    </row>
    <row r="8951">
      <c r="N8951" s="5"/>
    </row>
    <row r="8952">
      <c r="N8952" s="5"/>
    </row>
    <row r="8953">
      <c r="N8953" s="5"/>
    </row>
    <row r="8954">
      <c r="N8954" s="5"/>
    </row>
    <row r="8955">
      <c r="N8955" s="5"/>
    </row>
    <row r="8956">
      <c r="N8956" s="5"/>
    </row>
    <row r="8957">
      <c r="N8957" s="5"/>
    </row>
    <row r="8958">
      <c r="N8958" s="5"/>
    </row>
    <row r="8959">
      <c r="N8959" s="5"/>
    </row>
    <row r="8960">
      <c r="N8960" s="5"/>
    </row>
    <row r="8961">
      <c r="N8961" s="5"/>
    </row>
    <row r="8962">
      <c r="N8962" s="5"/>
    </row>
    <row r="8963">
      <c r="N8963" s="5"/>
    </row>
    <row r="8964">
      <c r="N8964" s="5"/>
    </row>
    <row r="8965">
      <c r="N8965" s="5"/>
    </row>
    <row r="8966">
      <c r="N8966" s="5"/>
    </row>
    <row r="8967">
      <c r="N8967" s="5"/>
    </row>
    <row r="8968">
      <c r="N8968" s="5"/>
    </row>
    <row r="8969">
      <c r="N8969" s="5"/>
    </row>
    <row r="8970">
      <c r="N8970" s="5"/>
    </row>
    <row r="8971">
      <c r="N8971" s="5"/>
    </row>
    <row r="8972">
      <c r="N8972" s="5"/>
    </row>
    <row r="8973">
      <c r="N8973" s="5"/>
    </row>
    <row r="8974">
      <c r="N8974" s="5"/>
    </row>
    <row r="8975">
      <c r="N8975" s="5"/>
    </row>
    <row r="8976">
      <c r="N8976" s="5"/>
    </row>
    <row r="8977">
      <c r="N8977" s="5"/>
    </row>
    <row r="8978">
      <c r="N8978" s="5"/>
    </row>
    <row r="8979">
      <c r="N8979" s="5"/>
    </row>
    <row r="8980">
      <c r="N8980" s="5"/>
    </row>
    <row r="8981">
      <c r="N8981" s="5"/>
    </row>
    <row r="8982">
      <c r="N8982" s="5"/>
    </row>
    <row r="8983">
      <c r="N8983" s="5"/>
    </row>
    <row r="8984">
      <c r="N8984" s="5"/>
    </row>
    <row r="8985">
      <c r="N8985" s="5"/>
    </row>
    <row r="8986">
      <c r="N8986" s="5"/>
    </row>
    <row r="8987">
      <c r="N8987" s="5"/>
    </row>
    <row r="8988">
      <c r="N8988" s="5"/>
    </row>
    <row r="8989">
      <c r="N8989" s="5"/>
    </row>
    <row r="8990">
      <c r="N8990" s="5"/>
    </row>
    <row r="8991">
      <c r="N8991" s="5"/>
    </row>
    <row r="8992">
      <c r="N8992" s="5"/>
    </row>
    <row r="8993">
      <c r="N8993" s="5"/>
    </row>
    <row r="8994">
      <c r="N8994" s="5"/>
    </row>
    <row r="8995">
      <c r="N8995" s="5"/>
    </row>
    <row r="8996">
      <c r="N8996" s="5"/>
    </row>
    <row r="8997">
      <c r="N8997" s="5"/>
    </row>
    <row r="8998">
      <c r="N8998" s="5"/>
    </row>
    <row r="8999">
      <c r="N8999" s="5"/>
    </row>
    <row r="9000">
      <c r="N9000" s="5"/>
    </row>
    <row r="9001">
      <c r="N9001" s="5"/>
    </row>
    <row r="9002">
      <c r="N9002" s="5"/>
    </row>
    <row r="9003">
      <c r="N9003" s="5"/>
    </row>
    <row r="9004">
      <c r="N9004" s="5"/>
    </row>
    <row r="9005">
      <c r="N9005" s="5"/>
    </row>
    <row r="9006">
      <c r="N9006" s="5"/>
    </row>
    <row r="9007">
      <c r="N9007" s="5"/>
    </row>
    <row r="9008">
      <c r="N9008" s="5"/>
    </row>
    <row r="9009">
      <c r="N9009" s="5"/>
    </row>
    <row r="9010">
      <c r="N9010" s="5"/>
    </row>
    <row r="9011">
      <c r="N9011" s="5"/>
    </row>
    <row r="9012">
      <c r="N9012" s="5"/>
    </row>
    <row r="9013">
      <c r="N9013" s="5"/>
    </row>
    <row r="9014">
      <c r="N9014" s="5"/>
    </row>
    <row r="9015">
      <c r="N9015" s="5"/>
    </row>
    <row r="9016">
      <c r="N9016" s="5"/>
    </row>
    <row r="9017">
      <c r="N9017" s="5"/>
    </row>
    <row r="9018">
      <c r="N9018" s="5"/>
    </row>
    <row r="9019">
      <c r="N9019" s="5"/>
    </row>
    <row r="9020">
      <c r="N9020" s="5"/>
    </row>
    <row r="9021">
      <c r="N9021" s="5"/>
    </row>
    <row r="9022">
      <c r="N9022" s="5"/>
    </row>
    <row r="9023">
      <c r="N9023" s="5"/>
    </row>
    <row r="9024">
      <c r="N9024" s="5"/>
    </row>
    <row r="9025">
      <c r="N9025" s="5"/>
    </row>
    <row r="9026">
      <c r="N9026" s="5"/>
    </row>
    <row r="9027">
      <c r="N9027" s="5"/>
    </row>
    <row r="9028">
      <c r="N9028" s="5"/>
    </row>
    <row r="9029">
      <c r="N9029" s="5"/>
    </row>
    <row r="9030">
      <c r="N9030" s="5"/>
    </row>
    <row r="9031">
      <c r="N9031" s="5"/>
    </row>
    <row r="9032">
      <c r="N9032" s="5"/>
    </row>
    <row r="9033">
      <c r="N9033" s="5"/>
    </row>
    <row r="9034">
      <c r="N9034" s="5"/>
    </row>
    <row r="9035">
      <c r="N9035" s="5"/>
    </row>
    <row r="9036">
      <c r="N9036" s="5"/>
    </row>
    <row r="9037">
      <c r="N9037" s="5"/>
    </row>
    <row r="9038">
      <c r="N9038" s="5"/>
    </row>
    <row r="9039">
      <c r="N9039" s="5"/>
    </row>
    <row r="9040">
      <c r="N9040" s="5"/>
    </row>
    <row r="9041">
      <c r="N9041" s="5"/>
    </row>
    <row r="9042">
      <c r="N9042" s="5"/>
    </row>
    <row r="9043">
      <c r="N9043" s="5"/>
    </row>
    <row r="9044">
      <c r="N9044" s="5"/>
    </row>
    <row r="9045">
      <c r="N9045" s="5"/>
    </row>
    <row r="9046">
      <c r="N9046" s="5"/>
    </row>
    <row r="9047">
      <c r="N9047" s="5"/>
    </row>
    <row r="9048">
      <c r="N9048" s="5"/>
    </row>
    <row r="9049">
      <c r="N9049" s="5"/>
    </row>
    <row r="9050">
      <c r="N9050" s="5"/>
    </row>
    <row r="9051">
      <c r="N9051" s="5"/>
    </row>
    <row r="9052">
      <c r="N9052" s="5"/>
    </row>
    <row r="9053">
      <c r="N9053" s="5"/>
    </row>
    <row r="9054">
      <c r="N9054" s="5"/>
    </row>
    <row r="9055">
      <c r="N9055" s="5"/>
    </row>
    <row r="9056">
      <c r="N9056" s="5"/>
    </row>
    <row r="9057">
      <c r="N9057" s="5"/>
    </row>
    <row r="9058">
      <c r="N9058" s="5"/>
    </row>
    <row r="9059">
      <c r="N9059" s="5"/>
    </row>
    <row r="9060">
      <c r="N9060" s="5"/>
    </row>
    <row r="9061">
      <c r="N9061" s="5"/>
    </row>
    <row r="9062">
      <c r="N9062" s="5"/>
    </row>
    <row r="9063">
      <c r="N9063" s="5"/>
    </row>
    <row r="9064">
      <c r="N9064" s="5"/>
    </row>
    <row r="9065">
      <c r="N9065" s="5"/>
    </row>
    <row r="9066">
      <c r="N9066" s="5"/>
    </row>
    <row r="9067">
      <c r="N9067" s="5"/>
    </row>
    <row r="9068">
      <c r="N9068" s="5"/>
    </row>
    <row r="9069">
      <c r="N9069" s="5"/>
    </row>
    <row r="9070">
      <c r="N9070" s="5"/>
    </row>
    <row r="9071">
      <c r="N9071" s="5"/>
    </row>
    <row r="9072">
      <c r="N9072" s="5"/>
    </row>
    <row r="9073">
      <c r="N9073" s="5"/>
    </row>
    <row r="9074">
      <c r="N9074" s="5"/>
    </row>
    <row r="9075">
      <c r="N9075" s="5"/>
    </row>
    <row r="9076">
      <c r="N9076" s="5"/>
    </row>
    <row r="9077">
      <c r="N9077" s="5"/>
    </row>
    <row r="9078">
      <c r="N9078" s="5"/>
    </row>
    <row r="9079">
      <c r="N9079" s="5"/>
    </row>
    <row r="9080">
      <c r="N9080" s="5"/>
    </row>
    <row r="9081">
      <c r="N9081" s="5"/>
    </row>
    <row r="9082">
      <c r="N9082" s="5"/>
    </row>
    <row r="9083">
      <c r="N9083" s="5"/>
    </row>
    <row r="9084">
      <c r="N9084" s="5"/>
    </row>
    <row r="9085">
      <c r="N9085" s="5"/>
    </row>
    <row r="9086">
      <c r="N9086" s="5"/>
    </row>
    <row r="9087">
      <c r="N9087" s="5"/>
    </row>
    <row r="9088">
      <c r="N9088" s="5"/>
    </row>
    <row r="9089">
      <c r="N9089" s="5"/>
    </row>
    <row r="9090">
      <c r="N9090" s="5"/>
    </row>
    <row r="9091">
      <c r="N9091" s="5"/>
    </row>
    <row r="9092">
      <c r="N9092" s="5"/>
    </row>
    <row r="9093">
      <c r="N9093" s="5"/>
    </row>
    <row r="9094">
      <c r="N9094" s="5"/>
    </row>
    <row r="9095">
      <c r="N9095" s="5"/>
    </row>
    <row r="9096">
      <c r="N9096" s="5"/>
    </row>
    <row r="9097">
      <c r="N9097" s="5"/>
    </row>
    <row r="9098">
      <c r="N9098" s="5"/>
    </row>
    <row r="9099">
      <c r="N9099" s="5"/>
    </row>
    <row r="9100">
      <c r="N9100" s="5"/>
    </row>
    <row r="9101">
      <c r="N9101" s="5"/>
    </row>
    <row r="9102">
      <c r="N9102" s="5"/>
    </row>
    <row r="9103">
      <c r="N9103" s="5"/>
    </row>
    <row r="9104">
      <c r="N9104" s="5"/>
    </row>
    <row r="9105">
      <c r="N9105" s="5"/>
    </row>
    <row r="9106">
      <c r="N9106" s="5"/>
    </row>
    <row r="9107">
      <c r="N9107" s="5"/>
    </row>
    <row r="9108">
      <c r="N9108" s="5"/>
    </row>
    <row r="9109">
      <c r="N9109" s="5"/>
    </row>
    <row r="9110">
      <c r="N9110" s="5"/>
    </row>
    <row r="9111">
      <c r="N9111" s="5"/>
    </row>
    <row r="9112">
      <c r="N9112" s="5"/>
    </row>
    <row r="9113">
      <c r="N9113" s="5"/>
    </row>
    <row r="9114">
      <c r="N9114" s="5"/>
    </row>
    <row r="9115">
      <c r="N9115" s="5"/>
    </row>
    <row r="9116">
      <c r="N9116" s="5"/>
    </row>
    <row r="9117">
      <c r="N9117" s="5"/>
    </row>
    <row r="9118">
      <c r="N9118" s="5"/>
    </row>
    <row r="9119">
      <c r="N9119" s="5"/>
    </row>
    <row r="9120">
      <c r="N9120" s="5"/>
    </row>
    <row r="9121">
      <c r="N9121" s="5"/>
    </row>
    <row r="9122">
      <c r="N9122" s="5"/>
    </row>
    <row r="9123">
      <c r="N9123" s="5"/>
    </row>
    <row r="9124">
      <c r="N9124" s="5"/>
    </row>
    <row r="9125">
      <c r="N9125" s="5"/>
    </row>
    <row r="9126">
      <c r="N9126" s="5"/>
    </row>
    <row r="9127">
      <c r="N9127" s="5"/>
    </row>
    <row r="9128">
      <c r="N9128" s="5"/>
    </row>
    <row r="9129">
      <c r="N9129" s="5"/>
    </row>
    <row r="9130">
      <c r="N9130" s="5"/>
    </row>
    <row r="9131">
      <c r="N9131" s="5"/>
    </row>
    <row r="9132">
      <c r="N9132" s="5"/>
    </row>
    <row r="9133">
      <c r="N9133" s="5"/>
    </row>
    <row r="9134">
      <c r="N9134" s="5"/>
    </row>
    <row r="9135">
      <c r="N9135" s="5"/>
    </row>
    <row r="9136">
      <c r="N9136" s="5"/>
    </row>
    <row r="9137">
      <c r="N9137" s="5"/>
    </row>
    <row r="9138">
      <c r="N9138" s="5"/>
    </row>
    <row r="9139">
      <c r="N9139" s="5"/>
    </row>
    <row r="9140">
      <c r="N9140" s="5"/>
    </row>
    <row r="9141">
      <c r="N9141" s="5"/>
    </row>
    <row r="9142">
      <c r="N9142" s="5"/>
    </row>
    <row r="9143">
      <c r="N9143" s="5"/>
    </row>
    <row r="9144">
      <c r="N9144" s="5"/>
    </row>
    <row r="9145">
      <c r="N9145" s="5"/>
    </row>
    <row r="9146">
      <c r="N9146" s="5"/>
    </row>
    <row r="9147">
      <c r="N9147" s="5"/>
    </row>
    <row r="9148">
      <c r="N9148" s="5"/>
    </row>
    <row r="9149">
      <c r="N9149" s="5"/>
    </row>
    <row r="9150">
      <c r="N9150" s="5"/>
    </row>
    <row r="9151">
      <c r="N9151" s="5"/>
    </row>
    <row r="9152">
      <c r="N9152" s="5"/>
    </row>
    <row r="9153">
      <c r="N9153" s="5"/>
    </row>
    <row r="9154">
      <c r="N9154" s="5"/>
    </row>
    <row r="9155">
      <c r="N9155" s="5"/>
    </row>
    <row r="9156">
      <c r="N9156" s="5"/>
    </row>
    <row r="9157">
      <c r="N9157" s="5"/>
    </row>
    <row r="9158">
      <c r="N9158" s="5"/>
    </row>
    <row r="9159">
      <c r="N9159" s="5"/>
    </row>
    <row r="9160">
      <c r="N9160" s="5"/>
    </row>
    <row r="9161">
      <c r="N9161" s="5"/>
    </row>
    <row r="9162">
      <c r="N9162" s="5"/>
    </row>
    <row r="9163">
      <c r="N9163" s="5"/>
    </row>
    <row r="9164">
      <c r="N9164" s="5"/>
    </row>
    <row r="9165">
      <c r="N9165" s="5"/>
    </row>
    <row r="9166">
      <c r="N9166" s="5"/>
    </row>
    <row r="9167">
      <c r="N9167" s="5"/>
    </row>
    <row r="9168">
      <c r="N9168" s="5"/>
    </row>
    <row r="9169">
      <c r="N9169" s="5"/>
    </row>
    <row r="9170">
      <c r="N9170" s="5"/>
    </row>
    <row r="9171">
      <c r="N9171" s="5"/>
    </row>
    <row r="9172">
      <c r="N9172" s="5"/>
    </row>
    <row r="9173">
      <c r="N9173" s="5"/>
    </row>
    <row r="9174">
      <c r="N9174" s="5"/>
    </row>
    <row r="9175">
      <c r="N9175" s="5"/>
    </row>
    <row r="9176">
      <c r="N9176" s="5"/>
    </row>
    <row r="9177">
      <c r="N9177" s="5"/>
    </row>
    <row r="9178">
      <c r="N9178" s="5"/>
    </row>
    <row r="9179">
      <c r="N9179" s="5"/>
    </row>
    <row r="9180">
      <c r="N9180" s="5"/>
    </row>
    <row r="9181">
      <c r="N9181" s="5"/>
    </row>
    <row r="9182">
      <c r="N9182" s="5"/>
    </row>
    <row r="9183">
      <c r="N9183" s="5"/>
    </row>
    <row r="9184">
      <c r="N9184" s="5"/>
    </row>
    <row r="9185">
      <c r="N9185" s="5"/>
    </row>
    <row r="9186">
      <c r="N9186" s="5"/>
    </row>
    <row r="9187">
      <c r="N9187" s="5"/>
    </row>
    <row r="9188">
      <c r="N9188" s="5"/>
    </row>
    <row r="9189">
      <c r="N9189" s="5"/>
    </row>
    <row r="9190">
      <c r="N9190" s="5"/>
    </row>
    <row r="9191">
      <c r="N9191" s="5"/>
    </row>
    <row r="9192">
      <c r="N9192" s="5"/>
    </row>
    <row r="9193">
      <c r="N9193" s="5"/>
    </row>
    <row r="9194">
      <c r="N9194" s="5"/>
    </row>
    <row r="9195">
      <c r="N9195" s="5"/>
    </row>
    <row r="9196">
      <c r="N9196" s="5"/>
    </row>
    <row r="9197">
      <c r="N9197" s="5"/>
    </row>
    <row r="9198">
      <c r="N9198" s="5"/>
    </row>
    <row r="9199">
      <c r="N9199" s="5"/>
    </row>
    <row r="9200">
      <c r="N9200" s="5"/>
    </row>
    <row r="9201">
      <c r="N9201" s="5"/>
    </row>
    <row r="9202">
      <c r="N9202" s="5"/>
    </row>
    <row r="9203">
      <c r="N9203" s="5"/>
    </row>
    <row r="9204">
      <c r="N9204" s="5"/>
    </row>
    <row r="9205">
      <c r="N9205" s="5"/>
    </row>
    <row r="9206">
      <c r="N9206" s="5"/>
    </row>
    <row r="9207">
      <c r="N9207" s="5"/>
    </row>
    <row r="9208">
      <c r="N9208" s="5"/>
    </row>
    <row r="9209">
      <c r="N9209" s="5"/>
    </row>
    <row r="9210">
      <c r="N9210" s="5"/>
    </row>
    <row r="9211">
      <c r="N9211" s="5"/>
    </row>
    <row r="9212">
      <c r="N9212" s="5"/>
    </row>
    <row r="9213">
      <c r="N9213" s="5"/>
    </row>
    <row r="9214">
      <c r="N9214" s="5"/>
    </row>
    <row r="9215">
      <c r="N9215" s="5"/>
    </row>
    <row r="9216">
      <c r="N9216" s="5"/>
    </row>
    <row r="9217">
      <c r="N9217" s="5"/>
    </row>
    <row r="9218">
      <c r="N9218" s="5"/>
    </row>
    <row r="9219">
      <c r="N9219" s="5"/>
    </row>
    <row r="9220">
      <c r="N9220" s="5"/>
    </row>
    <row r="9221">
      <c r="N9221" s="5"/>
    </row>
    <row r="9222">
      <c r="N9222" s="5"/>
    </row>
    <row r="9223">
      <c r="N9223" s="5"/>
    </row>
    <row r="9224">
      <c r="N9224" s="5"/>
    </row>
    <row r="9225">
      <c r="N9225" s="5"/>
    </row>
    <row r="9226">
      <c r="N9226" s="5"/>
    </row>
    <row r="9227">
      <c r="N9227" s="5"/>
    </row>
    <row r="9228">
      <c r="N9228" s="5"/>
    </row>
    <row r="9229">
      <c r="N9229" s="5"/>
    </row>
    <row r="9230">
      <c r="N9230" s="5"/>
    </row>
    <row r="9231">
      <c r="N9231" s="5"/>
    </row>
    <row r="9232">
      <c r="N9232" s="5"/>
    </row>
    <row r="9233">
      <c r="N9233" s="5"/>
    </row>
    <row r="9234">
      <c r="N9234" s="5"/>
    </row>
    <row r="9235">
      <c r="N9235" s="5"/>
    </row>
    <row r="9236">
      <c r="N9236" s="5"/>
    </row>
    <row r="9237">
      <c r="N9237" s="5"/>
    </row>
    <row r="9238">
      <c r="N9238" s="5"/>
    </row>
    <row r="9239">
      <c r="N9239" s="5"/>
    </row>
    <row r="9240">
      <c r="N9240" s="5"/>
    </row>
    <row r="9241">
      <c r="N9241" s="5"/>
    </row>
    <row r="9242">
      <c r="N9242" s="5"/>
    </row>
    <row r="9243">
      <c r="N9243" s="5"/>
    </row>
    <row r="9244">
      <c r="N9244" s="5"/>
    </row>
    <row r="9245">
      <c r="N9245" s="5"/>
    </row>
    <row r="9246">
      <c r="N9246" s="5"/>
    </row>
    <row r="9247">
      <c r="N9247" s="5"/>
    </row>
    <row r="9248">
      <c r="N9248" s="5"/>
    </row>
    <row r="9249">
      <c r="N9249" s="5"/>
    </row>
    <row r="9250">
      <c r="N9250" s="5"/>
    </row>
    <row r="9251">
      <c r="N9251" s="5"/>
    </row>
    <row r="9252">
      <c r="N9252" s="5"/>
    </row>
    <row r="9253">
      <c r="N9253" s="5"/>
    </row>
    <row r="9254">
      <c r="N9254" s="5"/>
    </row>
    <row r="9255">
      <c r="N9255" s="5"/>
    </row>
    <row r="9256">
      <c r="N9256" s="5"/>
    </row>
    <row r="9257">
      <c r="N9257" s="5"/>
    </row>
    <row r="9258">
      <c r="N9258" s="5"/>
    </row>
    <row r="9259">
      <c r="N9259" s="5"/>
    </row>
    <row r="9260">
      <c r="N9260" s="5"/>
    </row>
    <row r="9261">
      <c r="N9261" s="5"/>
    </row>
    <row r="9262">
      <c r="N9262" s="5"/>
    </row>
    <row r="9263">
      <c r="N9263" s="5"/>
    </row>
    <row r="9264">
      <c r="N9264" s="5"/>
    </row>
    <row r="9265">
      <c r="N9265" s="5"/>
    </row>
    <row r="9266">
      <c r="N9266" s="5"/>
    </row>
    <row r="9267">
      <c r="N9267" s="5"/>
    </row>
    <row r="9268">
      <c r="N9268" s="5"/>
    </row>
    <row r="9269">
      <c r="N9269" s="5"/>
    </row>
    <row r="9270">
      <c r="N9270" s="5"/>
    </row>
    <row r="9271">
      <c r="N9271" s="5"/>
    </row>
    <row r="9272">
      <c r="N9272" s="5"/>
    </row>
    <row r="9273">
      <c r="N9273" s="5"/>
    </row>
    <row r="9274">
      <c r="N9274" s="5"/>
    </row>
    <row r="9275">
      <c r="N9275" s="5"/>
    </row>
    <row r="9276">
      <c r="N9276" s="5"/>
    </row>
    <row r="9277">
      <c r="N9277" s="5"/>
    </row>
    <row r="9278">
      <c r="N9278" s="5"/>
    </row>
    <row r="9279">
      <c r="N9279" s="5"/>
    </row>
    <row r="9280">
      <c r="N9280" s="5"/>
    </row>
    <row r="9281">
      <c r="N9281" s="5"/>
    </row>
    <row r="9282">
      <c r="N9282" s="5"/>
    </row>
    <row r="9283">
      <c r="N9283" s="5"/>
    </row>
    <row r="9284">
      <c r="N9284" s="5"/>
    </row>
    <row r="9285">
      <c r="N9285" s="5"/>
    </row>
    <row r="9286">
      <c r="N9286" s="5"/>
    </row>
    <row r="9287">
      <c r="N9287" s="5"/>
    </row>
    <row r="9288">
      <c r="N9288" s="5"/>
    </row>
    <row r="9289">
      <c r="N9289" s="5"/>
    </row>
    <row r="9290">
      <c r="N9290" s="5"/>
    </row>
    <row r="9291">
      <c r="N9291" s="5"/>
    </row>
    <row r="9292">
      <c r="N9292" s="5"/>
    </row>
    <row r="9293">
      <c r="N9293" s="5"/>
    </row>
    <row r="9294">
      <c r="N9294" s="5"/>
    </row>
    <row r="9295">
      <c r="N9295" s="5"/>
    </row>
    <row r="9296">
      <c r="N9296" s="5"/>
    </row>
    <row r="9297">
      <c r="N9297" s="5"/>
    </row>
    <row r="9298">
      <c r="N9298" s="5"/>
    </row>
    <row r="9299">
      <c r="N9299" s="5"/>
    </row>
    <row r="9300">
      <c r="N9300" s="5"/>
    </row>
    <row r="9301">
      <c r="N9301" s="5"/>
    </row>
    <row r="9302">
      <c r="N9302" s="5"/>
    </row>
    <row r="9303">
      <c r="N9303" s="5"/>
    </row>
    <row r="9304">
      <c r="N9304" s="5"/>
    </row>
    <row r="9305">
      <c r="N9305" s="5"/>
    </row>
    <row r="9306">
      <c r="N9306" s="5"/>
    </row>
    <row r="9307">
      <c r="N9307" s="5"/>
    </row>
    <row r="9308">
      <c r="N9308" s="5"/>
    </row>
    <row r="9309">
      <c r="N9309" s="5"/>
    </row>
    <row r="9310">
      <c r="N9310" s="5"/>
    </row>
    <row r="9311">
      <c r="N9311" s="5"/>
    </row>
    <row r="9312">
      <c r="N9312" s="5"/>
    </row>
    <row r="9313">
      <c r="N9313" s="5"/>
    </row>
    <row r="9314">
      <c r="N9314" s="5"/>
    </row>
    <row r="9315">
      <c r="N9315" s="5"/>
    </row>
    <row r="9316">
      <c r="N9316" s="5"/>
    </row>
    <row r="9317">
      <c r="N9317" s="5"/>
    </row>
    <row r="9318">
      <c r="N9318" s="5"/>
    </row>
    <row r="9319">
      <c r="N9319" s="5"/>
    </row>
    <row r="9320">
      <c r="N9320" s="5"/>
    </row>
    <row r="9321">
      <c r="N9321" s="5"/>
    </row>
    <row r="9322">
      <c r="N9322" s="5"/>
    </row>
    <row r="9323">
      <c r="N9323" s="5"/>
    </row>
    <row r="9324">
      <c r="N9324" s="5"/>
    </row>
    <row r="9325">
      <c r="N9325" s="5"/>
    </row>
    <row r="9326">
      <c r="N9326" s="5"/>
    </row>
    <row r="9327">
      <c r="N9327" s="5"/>
    </row>
    <row r="9328">
      <c r="N9328" s="5"/>
    </row>
    <row r="9329">
      <c r="N9329" s="5"/>
    </row>
    <row r="9330">
      <c r="N9330" s="5"/>
    </row>
    <row r="9331">
      <c r="N9331" s="5"/>
    </row>
    <row r="9332">
      <c r="N9332" s="5"/>
    </row>
    <row r="9333">
      <c r="N9333" s="5"/>
    </row>
    <row r="9334">
      <c r="N9334" s="5"/>
    </row>
    <row r="9335">
      <c r="N9335" s="5"/>
    </row>
    <row r="9336">
      <c r="N9336" s="5"/>
    </row>
    <row r="9337">
      <c r="N9337" s="5"/>
    </row>
    <row r="9338">
      <c r="N9338" s="5"/>
    </row>
    <row r="9339">
      <c r="N9339" s="5"/>
    </row>
    <row r="9340">
      <c r="N9340" s="5"/>
    </row>
    <row r="9341">
      <c r="N9341" s="5"/>
    </row>
    <row r="9342">
      <c r="N9342" s="5"/>
    </row>
    <row r="9343">
      <c r="N9343" s="5"/>
    </row>
    <row r="9344">
      <c r="N9344" s="5"/>
    </row>
    <row r="9345">
      <c r="N9345" s="5"/>
    </row>
    <row r="9346">
      <c r="N9346" s="5"/>
    </row>
    <row r="9347">
      <c r="N9347" s="5"/>
    </row>
    <row r="9348">
      <c r="N9348" s="5"/>
    </row>
    <row r="9349">
      <c r="N9349" s="5"/>
    </row>
    <row r="9350">
      <c r="N9350" s="5"/>
    </row>
    <row r="9351">
      <c r="N9351" s="5"/>
    </row>
    <row r="9352">
      <c r="N9352" s="5"/>
    </row>
    <row r="9353">
      <c r="N9353" s="5"/>
    </row>
    <row r="9354">
      <c r="N9354" s="5"/>
    </row>
    <row r="9355">
      <c r="N9355" s="5"/>
    </row>
    <row r="9356">
      <c r="N9356" s="5"/>
    </row>
    <row r="9357">
      <c r="N9357" s="5"/>
    </row>
    <row r="9358">
      <c r="N9358" s="5"/>
    </row>
    <row r="9359">
      <c r="N9359" s="5"/>
    </row>
    <row r="9360">
      <c r="N9360" s="5"/>
    </row>
    <row r="9361">
      <c r="N9361" s="5"/>
    </row>
    <row r="9362">
      <c r="N9362" s="5"/>
    </row>
    <row r="9363">
      <c r="N9363" s="5"/>
    </row>
    <row r="9364">
      <c r="N9364" s="5"/>
    </row>
    <row r="9365">
      <c r="N9365" s="5"/>
    </row>
    <row r="9366">
      <c r="N9366" s="5"/>
    </row>
    <row r="9367">
      <c r="N9367" s="5"/>
    </row>
    <row r="9368">
      <c r="N9368" s="5"/>
    </row>
    <row r="9369">
      <c r="N9369" s="5"/>
    </row>
    <row r="9370">
      <c r="N9370" s="5"/>
    </row>
    <row r="9371">
      <c r="N9371" s="5"/>
    </row>
    <row r="9372">
      <c r="N9372" s="5"/>
    </row>
    <row r="9373">
      <c r="N9373" s="5"/>
    </row>
    <row r="9374">
      <c r="N9374" s="5"/>
    </row>
    <row r="9375">
      <c r="N9375" s="5"/>
    </row>
    <row r="9376">
      <c r="N9376" s="5"/>
    </row>
    <row r="9377">
      <c r="N9377" s="5"/>
    </row>
    <row r="9378">
      <c r="N9378" s="5"/>
    </row>
    <row r="9379">
      <c r="N9379" s="5"/>
    </row>
    <row r="9380">
      <c r="N9380" s="5"/>
    </row>
    <row r="9381">
      <c r="N9381" s="5"/>
    </row>
    <row r="9382">
      <c r="N9382" s="5"/>
    </row>
    <row r="9383">
      <c r="N9383" s="5"/>
    </row>
    <row r="9384">
      <c r="N9384" s="5"/>
    </row>
    <row r="9385">
      <c r="N9385" s="5"/>
    </row>
    <row r="9386">
      <c r="N9386" s="5"/>
    </row>
    <row r="9387">
      <c r="N9387" s="5"/>
    </row>
    <row r="9388">
      <c r="N9388" s="5"/>
    </row>
    <row r="9389">
      <c r="N9389" s="5"/>
    </row>
    <row r="9390">
      <c r="N9390" s="5"/>
    </row>
    <row r="9391">
      <c r="N9391" s="5"/>
    </row>
    <row r="9392">
      <c r="N9392" s="5"/>
    </row>
    <row r="9393">
      <c r="N9393" s="5"/>
    </row>
    <row r="9394">
      <c r="N9394" s="5"/>
    </row>
    <row r="9395">
      <c r="N9395" s="5"/>
    </row>
    <row r="9396">
      <c r="N9396" s="5"/>
    </row>
    <row r="9397">
      <c r="N9397" s="5"/>
    </row>
    <row r="9398">
      <c r="N9398" s="5"/>
    </row>
    <row r="9399">
      <c r="N9399" s="5"/>
    </row>
    <row r="9400">
      <c r="N9400" s="5"/>
    </row>
    <row r="9401">
      <c r="N9401" s="5"/>
    </row>
    <row r="9402">
      <c r="N9402" s="5"/>
    </row>
    <row r="9403">
      <c r="N9403" s="5"/>
    </row>
    <row r="9404">
      <c r="N9404" s="5"/>
    </row>
    <row r="9405">
      <c r="N9405" s="5"/>
    </row>
    <row r="9406">
      <c r="N9406" s="5"/>
    </row>
    <row r="9407">
      <c r="N9407" s="5"/>
    </row>
    <row r="9408">
      <c r="N9408" s="5"/>
    </row>
    <row r="9409">
      <c r="N9409" s="5"/>
    </row>
    <row r="9410">
      <c r="N9410" s="5"/>
    </row>
    <row r="9411">
      <c r="N9411" s="5"/>
    </row>
    <row r="9412">
      <c r="N9412" s="5"/>
    </row>
    <row r="9413">
      <c r="N9413" s="5"/>
    </row>
    <row r="9414">
      <c r="N9414" s="5"/>
    </row>
    <row r="9415">
      <c r="N9415" s="5"/>
    </row>
    <row r="9416">
      <c r="N9416" s="5"/>
    </row>
    <row r="9417">
      <c r="N9417" s="5"/>
    </row>
    <row r="9418">
      <c r="N9418" s="5"/>
    </row>
    <row r="9419">
      <c r="N9419" s="5"/>
    </row>
    <row r="9420">
      <c r="N9420" s="5"/>
    </row>
    <row r="9421">
      <c r="N9421" s="5"/>
    </row>
    <row r="9422">
      <c r="N9422" s="5"/>
    </row>
    <row r="9423">
      <c r="N9423" s="5"/>
    </row>
    <row r="9424">
      <c r="N9424" s="5"/>
    </row>
    <row r="9425">
      <c r="N9425" s="5"/>
    </row>
    <row r="9426">
      <c r="N9426" s="5"/>
    </row>
    <row r="9427">
      <c r="N9427" s="5"/>
    </row>
    <row r="9428">
      <c r="N9428" s="5"/>
    </row>
    <row r="9429">
      <c r="N9429" s="5"/>
    </row>
    <row r="9430">
      <c r="N9430" s="5"/>
    </row>
    <row r="9431">
      <c r="N9431" s="5"/>
    </row>
    <row r="9432">
      <c r="N9432" s="5"/>
    </row>
    <row r="9433">
      <c r="N9433" s="5"/>
    </row>
    <row r="9434">
      <c r="N9434" s="5"/>
    </row>
    <row r="9435">
      <c r="N9435" s="5"/>
    </row>
    <row r="9436">
      <c r="N9436" s="5"/>
    </row>
    <row r="9437">
      <c r="N9437" s="5"/>
    </row>
    <row r="9438">
      <c r="N9438" s="5"/>
    </row>
    <row r="9439">
      <c r="N9439" s="5"/>
    </row>
    <row r="9440">
      <c r="N9440" s="5"/>
    </row>
    <row r="9441">
      <c r="N9441" s="5"/>
    </row>
    <row r="9442">
      <c r="N9442" s="5"/>
    </row>
    <row r="9443">
      <c r="N9443" s="5"/>
    </row>
    <row r="9444">
      <c r="N9444" s="5"/>
    </row>
    <row r="9445">
      <c r="N9445" s="5"/>
    </row>
    <row r="9446">
      <c r="N9446" s="5"/>
    </row>
    <row r="9447">
      <c r="N9447" s="5"/>
    </row>
    <row r="9448">
      <c r="N9448" s="5"/>
    </row>
    <row r="9449">
      <c r="N9449" s="5"/>
    </row>
    <row r="9450">
      <c r="N9450" s="5"/>
    </row>
    <row r="9451">
      <c r="N9451" s="5"/>
    </row>
    <row r="9452">
      <c r="N9452" s="5"/>
    </row>
    <row r="9453">
      <c r="N9453" s="5"/>
    </row>
    <row r="9454">
      <c r="N9454" s="5"/>
    </row>
    <row r="9455">
      <c r="N9455" s="5"/>
    </row>
    <row r="9456">
      <c r="N9456" s="5"/>
    </row>
    <row r="9457">
      <c r="N9457" s="5"/>
    </row>
    <row r="9458">
      <c r="N9458" s="5"/>
    </row>
    <row r="9459">
      <c r="N9459" s="5"/>
    </row>
    <row r="9460">
      <c r="N9460" s="5"/>
    </row>
    <row r="9461">
      <c r="N9461" s="5"/>
    </row>
    <row r="9462">
      <c r="N9462" s="5"/>
    </row>
    <row r="9463">
      <c r="N9463" s="5"/>
    </row>
    <row r="9464">
      <c r="N9464" s="5"/>
    </row>
    <row r="9465">
      <c r="N9465" s="5"/>
    </row>
    <row r="9466">
      <c r="N9466" s="5"/>
    </row>
    <row r="9467">
      <c r="N9467" s="5"/>
    </row>
    <row r="9468">
      <c r="N9468" s="5"/>
    </row>
    <row r="9469">
      <c r="N9469" s="5"/>
    </row>
    <row r="9470">
      <c r="N9470" s="5"/>
    </row>
    <row r="9471">
      <c r="N9471" s="5"/>
    </row>
    <row r="9472">
      <c r="N9472" s="5"/>
    </row>
    <row r="9473">
      <c r="N9473" s="5"/>
    </row>
    <row r="9474">
      <c r="N9474" s="5"/>
    </row>
    <row r="9475">
      <c r="N9475" s="5"/>
    </row>
    <row r="9476">
      <c r="N9476" s="5"/>
    </row>
    <row r="9477">
      <c r="I9477" s="4"/>
      <c r="N9477" s="5"/>
    </row>
    <row r="9478">
      <c r="N9478" s="5"/>
    </row>
    <row r="9479">
      <c r="N9479" s="5"/>
    </row>
    <row r="9480">
      <c r="N9480" s="5"/>
    </row>
    <row r="9481">
      <c r="N9481" s="5"/>
    </row>
    <row r="9482">
      <c r="N9482" s="5"/>
    </row>
    <row r="9483">
      <c r="N9483" s="5"/>
    </row>
    <row r="9484">
      <c r="N9484" s="5"/>
    </row>
    <row r="9485">
      <c r="N9485" s="5"/>
    </row>
    <row r="9486">
      <c r="N9486" s="5"/>
    </row>
    <row r="9487">
      <c r="N9487" s="5"/>
    </row>
    <row r="9488">
      <c r="N9488" s="5"/>
    </row>
    <row r="9489">
      <c r="N9489" s="5"/>
    </row>
    <row r="9490">
      <c r="N9490" s="5"/>
    </row>
    <row r="9491">
      <c r="N9491" s="5"/>
    </row>
    <row r="9492">
      <c r="N9492" s="5"/>
    </row>
    <row r="9493">
      <c r="N9493" s="5"/>
    </row>
    <row r="9494">
      <c r="N9494" s="5"/>
    </row>
    <row r="9495">
      <c r="N9495" s="5"/>
    </row>
    <row r="9496">
      <c r="N9496" s="5"/>
    </row>
    <row r="9497">
      <c r="N9497" s="5"/>
    </row>
    <row r="9498">
      <c r="N9498" s="5"/>
    </row>
    <row r="9499">
      <c r="N9499" s="5"/>
    </row>
    <row r="9500">
      <c r="N9500" s="5"/>
    </row>
    <row r="9501">
      <c r="N9501" s="5"/>
    </row>
    <row r="9502">
      <c r="N9502" s="5"/>
    </row>
    <row r="9503">
      <c r="N9503" s="5"/>
    </row>
    <row r="9504">
      <c r="N9504" s="5"/>
    </row>
    <row r="9505">
      <c r="N9505" s="5"/>
    </row>
    <row r="9506">
      <c r="N9506" s="5"/>
    </row>
    <row r="9507">
      <c r="N9507" s="5"/>
    </row>
    <row r="9508">
      <c r="N9508" s="5"/>
    </row>
    <row r="9509">
      <c r="N9509" s="5"/>
    </row>
    <row r="9510">
      <c r="N9510" s="5"/>
    </row>
    <row r="9511">
      <c r="N9511" s="5"/>
    </row>
    <row r="9512">
      <c r="N9512" s="5"/>
    </row>
    <row r="9513">
      <c r="N9513" s="5"/>
    </row>
    <row r="9514">
      <c r="N9514" s="5"/>
    </row>
    <row r="9515">
      <c r="N9515" s="5"/>
    </row>
    <row r="9516">
      <c r="N9516" s="5"/>
    </row>
    <row r="9517">
      <c r="N9517" s="5"/>
    </row>
    <row r="9518">
      <c r="N9518" s="5"/>
    </row>
    <row r="9519">
      <c r="N9519" s="5"/>
    </row>
    <row r="9520">
      <c r="N9520" s="5"/>
    </row>
    <row r="9521">
      <c r="N9521" s="5"/>
    </row>
    <row r="9522">
      <c r="N9522" s="5"/>
    </row>
    <row r="9523">
      <c r="N9523" s="5"/>
    </row>
    <row r="9524">
      <c r="N9524" s="5"/>
    </row>
    <row r="9525">
      <c r="N9525" s="5"/>
    </row>
    <row r="9526">
      <c r="N9526" s="5"/>
    </row>
    <row r="9527">
      <c r="N9527" s="5"/>
    </row>
    <row r="9528">
      <c r="N9528" s="5"/>
    </row>
    <row r="9529">
      <c r="N9529" s="5"/>
    </row>
    <row r="9530">
      <c r="N9530" s="5"/>
    </row>
    <row r="9531">
      <c r="N9531" s="5"/>
    </row>
    <row r="9532">
      <c r="N9532" s="5"/>
    </row>
    <row r="9533">
      <c r="N9533" s="5"/>
    </row>
    <row r="9534">
      <c r="N9534" s="5"/>
    </row>
    <row r="9535">
      <c r="N9535" s="5"/>
    </row>
    <row r="9536">
      <c r="N9536" s="5"/>
    </row>
    <row r="9537">
      <c r="N9537" s="5"/>
    </row>
    <row r="9538">
      <c r="N9538" s="5"/>
    </row>
    <row r="9539">
      <c r="N9539" s="5"/>
    </row>
    <row r="9540">
      <c r="N9540" s="5"/>
    </row>
    <row r="9541">
      <c r="N9541" s="5"/>
    </row>
    <row r="9542">
      <c r="N9542" s="5"/>
    </row>
    <row r="9543">
      <c r="N9543" s="5"/>
    </row>
    <row r="9544">
      <c r="N9544" s="5"/>
    </row>
    <row r="9545">
      <c r="N9545" s="5"/>
    </row>
    <row r="9546">
      <c r="N9546" s="5"/>
    </row>
    <row r="9547">
      <c r="N9547" s="5"/>
    </row>
    <row r="9548">
      <c r="N9548" s="5"/>
    </row>
    <row r="9549">
      <c r="N9549" s="5"/>
    </row>
    <row r="9550">
      <c r="N9550" s="5"/>
    </row>
    <row r="9551">
      <c r="N9551" s="5"/>
    </row>
    <row r="9552">
      <c r="N9552" s="5"/>
    </row>
    <row r="9553">
      <c r="N9553" s="5"/>
    </row>
    <row r="9554">
      <c r="N9554" s="5"/>
    </row>
    <row r="9555">
      <c r="N9555" s="5"/>
    </row>
    <row r="9556">
      <c r="N9556" s="5"/>
    </row>
    <row r="9557">
      <c r="N9557" s="5"/>
    </row>
    <row r="9558">
      <c r="N9558" s="5"/>
    </row>
    <row r="9559">
      <c r="N9559" s="5"/>
    </row>
    <row r="9560">
      <c r="N9560" s="5"/>
    </row>
    <row r="9561">
      <c r="N9561" s="5"/>
    </row>
    <row r="9562">
      <c r="N9562" s="5"/>
    </row>
    <row r="9563">
      <c r="N9563" s="5"/>
    </row>
    <row r="9564">
      <c r="N9564" s="5"/>
    </row>
    <row r="9565">
      <c r="N9565" s="5"/>
    </row>
    <row r="9566">
      <c r="N9566" s="5"/>
    </row>
    <row r="9567">
      <c r="N9567" s="5"/>
    </row>
    <row r="9568">
      <c r="N9568" s="5"/>
    </row>
    <row r="9569">
      <c r="N9569" s="5"/>
    </row>
    <row r="9570">
      <c r="N9570" s="5"/>
    </row>
    <row r="9571">
      <c r="N9571" s="5"/>
    </row>
    <row r="9572">
      <c r="N9572" s="5"/>
    </row>
    <row r="9573">
      <c r="N9573" s="5"/>
    </row>
    <row r="9574">
      <c r="N9574" s="5"/>
    </row>
    <row r="9575">
      <c r="N9575" s="5"/>
    </row>
    <row r="9576">
      <c r="N9576" s="5"/>
    </row>
    <row r="9577">
      <c r="N9577" s="5"/>
    </row>
    <row r="9578">
      <c r="N9578" s="5"/>
    </row>
    <row r="9579">
      <c r="N9579" s="5"/>
    </row>
    <row r="9580">
      <c r="N9580" s="5"/>
    </row>
    <row r="9581">
      <c r="N9581" s="5"/>
    </row>
    <row r="9582">
      <c r="N9582" s="5"/>
    </row>
    <row r="9583">
      <c r="N9583" s="5"/>
    </row>
    <row r="9584">
      <c r="N9584" s="5"/>
    </row>
    <row r="9585">
      <c r="N9585" s="5"/>
    </row>
    <row r="9586">
      <c r="N9586" s="5"/>
    </row>
    <row r="9587">
      <c r="N9587" s="5"/>
    </row>
    <row r="9588">
      <c r="N9588" s="5"/>
    </row>
    <row r="9589">
      <c r="N9589" s="5"/>
    </row>
    <row r="9590">
      <c r="N9590" s="5"/>
    </row>
    <row r="9591">
      <c r="N9591" s="5"/>
    </row>
    <row r="9592">
      <c r="N9592" s="5"/>
    </row>
    <row r="9593">
      <c r="N9593" s="5"/>
    </row>
    <row r="9594">
      <c r="N9594" s="5"/>
    </row>
    <row r="9595">
      <c r="N9595" s="5"/>
    </row>
    <row r="9596">
      <c r="N9596" s="5"/>
    </row>
    <row r="9597">
      <c r="N9597" s="5"/>
    </row>
    <row r="9598">
      <c r="N9598" s="5"/>
    </row>
    <row r="9599">
      <c r="N9599" s="5"/>
    </row>
    <row r="9600">
      <c r="N9600" s="5"/>
    </row>
    <row r="9601">
      <c r="N9601" s="5"/>
    </row>
    <row r="9602">
      <c r="N9602" s="5"/>
    </row>
    <row r="9603">
      <c r="N9603" s="5"/>
    </row>
    <row r="9604">
      <c r="N9604" s="5"/>
    </row>
    <row r="9605">
      <c r="N9605" s="5"/>
    </row>
    <row r="9606">
      <c r="N9606" s="5"/>
    </row>
    <row r="9607">
      <c r="N9607" s="5"/>
    </row>
    <row r="9608">
      <c r="N9608" s="5"/>
    </row>
    <row r="9609">
      <c r="N9609" s="5"/>
    </row>
    <row r="9610">
      <c r="N9610" s="5"/>
    </row>
    <row r="9611">
      <c r="N9611" s="5"/>
    </row>
    <row r="9612">
      <c r="N9612" s="5"/>
    </row>
    <row r="9613">
      <c r="N9613" s="5"/>
    </row>
    <row r="9614">
      <c r="N9614" s="5"/>
    </row>
    <row r="9615">
      <c r="N9615" s="5"/>
    </row>
    <row r="9616">
      <c r="N9616" s="5"/>
    </row>
    <row r="9617">
      <c r="N9617" s="5"/>
    </row>
    <row r="9618">
      <c r="N9618" s="5"/>
    </row>
    <row r="9619">
      <c r="N9619" s="5"/>
    </row>
    <row r="9620">
      <c r="N9620" s="5"/>
    </row>
    <row r="9621">
      <c r="N9621" s="5"/>
    </row>
    <row r="9622">
      <c r="N9622" s="5"/>
    </row>
    <row r="9623">
      <c r="N9623" s="5"/>
    </row>
    <row r="9624">
      <c r="N9624" s="5"/>
    </row>
    <row r="9625">
      <c r="N9625" s="5"/>
    </row>
    <row r="9626">
      <c r="N9626" s="5"/>
    </row>
    <row r="9627">
      <c r="N9627" s="5"/>
    </row>
    <row r="9628">
      <c r="N9628" s="5"/>
    </row>
    <row r="9629">
      <c r="N9629" s="5"/>
    </row>
    <row r="9630">
      <c r="N9630" s="5"/>
    </row>
    <row r="9631">
      <c r="N9631" s="5"/>
    </row>
    <row r="9632">
      <c r="N9632" s="5"/>
    </row>
    <row r="9633">
      <c r="N9633" s="5"/>
    </row>
    <row r="9634">
      <c r="N9634" s="5"/>
    </row>
    <row r="9635">
      <c r="N9635" s="5"/>
    </row>
    <row r="9636">
      <c r="N9636" s="5"/>
    </row>
    <row r="9637">
      <c r="N9637" s="5"/>
    </row>
    <row r="9638">
      <c r="N9638" s="5"/>
    </row>
    <row r="9639">
      <c r="N9639" s="5"/>
    </row>
    <row r="9640">
      <c r="N9640" s="5"/>
    </row>
    <row r="9641">
      <c r="N9641" s="5"/>
    </row>
    <row r="9642">
      <c r="N9642" s="5"/>
    </row>
    <row r="9643">
      <c r="N9643" s="5"/>
    </row>
    <row r="9644">
      <c r="N9644" s="5"/>
    </row>
    <row r="9645">
      <c r="N9645" s="5"/>
    </row>
    <row r="9646">
      <c r="N9646" s="5"/>
    </row>
    <row r="9647">
      <c r="N9647" s="5"/>
    </row>
    <row r="9648">
      <c r="N9648" s="5"/>
    </row>
    <row r="9649">
      <c r="N9649" s="5"/>
    </row>
    <row r="9650">
      <c r="N9650" s="5"/>
    </row>
    <row r="9651">
      <c r="N9651" s="5"/>
    </row>
    <row r="9652">
      <c r="N9652" s="5"/>
    </row>
    <row r="9653">
      <c r="N9653" s="5"/>
    </row>
    <row r="9654">
      <c r="N9654" s="5"/>
    </row>
    <row r="9655">
      <c r="N9655" s="5"/>
    </row>
    <row r="9656">
      <c r="N9656" s="5"/>
    </row>
    <row r="9657">
      <c r="N9657" s="5"/>
    </row>
    <row r="9658">
      <c r="N9658" s="5"/>
    </row>
    <row r="9659">
      <c r="N9659" s="5"/>
    </row>
    <row r="9660">
      <c r="N9660" s="5"/>
    </row>
    <row r="9661">
      <c r="N9661" s="5"/>
    </row>
    <row r="9662">
      <c r="N9662" s="5"/>
    </row>
    <row r="9663">
      <c r="N9663" s="5"/>
    </row>
    <row r="9664">
      <c r="N9664" s="5"/>
    </row>
    <row r="9665">
      <c r="N9665" s="5"/>
    </row>
    <row r="9666">
      <c r="N9666" s="5"/>
    </row>
    <row r="9667">
      <c r="N9667" s="5"/>
    </row>
    <row r="9668">
      <c r="N9668" s="5"/>
    </row>
    <row r="9669">
      <c r="N9669" s="5"/>
    </row>
    <row r="9670">
      <c r="N9670" s="5"/>
    </row>
    <row r="9671">
      <c r="N9671" s="5"/>
    </row>
    <row r="9672">
      <c r="N9672" s="5"/>
    </row>
    <row r="9673">
      <c r="N9673" s="5"/>
    </row>
    <row r="9674">
      <c r="N9674" s="5"/>
    </row>
    <row r="9675">
      <c r="N9675" s="5"/>
    </row>
    <row r="9676">
      <c r="N9676" s="5"/>
    </row>
    <row r="9677">
      <c r="N9677" s="5"/>
    </row>
    <row r="9678">
      <c r="N9678" s="5"/>
    </row>
    <row r="9679">
      <c r="N9679" s="5"/>
    </row>
    <row r="9680">
      <c r="N9680" s="5"/>
    </row>
    <row r="9681">
      <c r="N9681" s="5"/>
    </row>
    <row r="9682">
      <c r="N9682" s="5"/>
    </row>
    <row r="9683">
      <c r="N9683" s="5"/>
    </row>
    <row r="9684">
      <c r="N9684" s="5"/>
    </row>
    <row r="9685">
      <c r="N9685" s="5"/>
    </row>
    <row r="9686">
      <c r="N9686" s="5"/>
    </row>
    <row r="9687">
      <c r="N9687" s="5"/>
    </row>
    <row r="9688">
      <c r="N9688" s="5"/>
    </row>
    <row r="9689">
      <c r="N9689" s="5"/>
    </row>
    <row r="9690">
      <c r="N9690" s="5"/>
    </row>
    <row r="9691">
      <c r="N9691" s="5"/>
    </row>
    <row r="9692">
      <c r="N9692" s="5"/>
    </row>
    <row r="9693">
      <c r="N9693" s="5"/>
    </row>
    <row r="9694">
      <c r="N9694" s="5"/>
    </row>
    <row r="9695">
      <c r="N9695" s="5"/>
    </row>
    <row r="9696">
      <c r="N9696" s="5"/>
    </row>
    <row r="9697">
      <c r="N9697" s="5"/>
    </row>
    <row r="9698">
      <c r="N9698" s="5"/>
    </row>
    <row r="9699">
      <c r="N9699" s="5"/>
    </row>
    <row r="9700">
      <c r="N9700" s="5"/>
    </row>
    <row r="9701">
      <c r="N9701" s="5"/>
    </row>
    <row r="9702">
      <c r="N9702" s="5"/>
    </row>
    <row r="9703">
      <c r="N9703" s="5"/>
    </row>
    <row r="9704">
      <c r="N9704" s="5"/>
    </row>
    <row r="9705">
      <c r="N9705" s="5"/>
    </row>
    <row r="9706">
      <c r="N9706" s="5"/>
    </row>
    <row r="9707">
      <c r="N9707" s="5"/>
    </row>
    <row r="9708">
      <c r="N9708" s="5"/>
    </row>
    <row r="9709">
      <c r="N9709" s="5"/>
    </row>
    <row r="9710">
      <c r="N9710" s="5"/>
    </row>
    <row r="9711">
      <c r="N9711" s="5"/>
    </row>
    <row r="9712">
      <c r="N9712" s="5"/>
    </row>
    <row r="9713">
      <c r="N9713" s="5"/>
    </row>
    <row r="9714">
      <c r="N9714" s="5"/>
    </row>
    <row r="9715">
      <c r="N9715" s="5"/>
    </row>
    <row r="9716">
      <c r="N9716" s="5"/>
    </row>
    <row r="9717">
      <c r="N9717" s="5"/>
    </row>
    <row r="9718">
      <c r="N9718" s="5"/>
    </row>
    <row r="9719">
      <c r="N9719" s="5"/>
    </row>
    <row r="9720">
      <c r="N9720" s="5"/>
    </row>
    <row r="9721">
      <c r="N9721" s="5"/>
    </row>
    <row r="9722">
      <c r="N9722" s="5"/>
    </row>
    <row r="9723">
      <c r="N9723" s="5"/>
    </row>
    <row r="9724">
      <c r="N9724" s="5"/>
    </row>
    <row r="9725">
      <c r="N9725" s="5"/>
    </row>
    <row r="9726">
      <c r="N9726" s="5"/>
    </row>
    <row r="9727">
      <c r="N9727" s="5"/>
    </row>
    <row r="9728">
      <c r="N9728" s="5"/>
    </row>
    <row r="9729">
      <c r="N9729" s="5"/>
    </row>
    <row r="9730">
      <c r="N9730" s="5"/>
    </row>
    <row r="9731">
      <c r="N9731" s="5"/>
    </row>
    <row r="9732">
      <c r="N9732" s="5"/>
    </row>
    <row r="9733">
      <c r="N9733" s="5"/>
    </row>
    <row r="9734">
      <c r="N9734" s="5"/>
    </row>
    <row r="9735">
      <c r="N9735" s="5"/>
    </row>
    <row r="9736">
      <c r="N9736" s="5"/>
    </row>
    <row r="9737">
      <c r="N9737" s="5"/>
    </row>
    <row r="9738">
      <c r="N9738" s="5"/>
    </row>
    <row r="9739">
      <c r="N9739" s="5"/>
    </row>
    <row r="9740">
      <c r="N9740" s="5"/>
    </row>
    <row r="9741">
      <c r="N9741" s="5"/>
    </row>
    <row r="9742">
      <c r="N9742" s="5"/>
    </row>
    <row r="9743">
      <c r="N9743" s="5"/>
    </row>
    <row r="9744">
      <c r="N9744" s="5"/>
    </row>
    <row r="9745">
      <c r="N9745" s="5"/>
    </row>
    <row r="9746">
      <c r="N9746" s="5"/>
    </row>
    <row r="9747">
      <c r="N9747" s="5"/>
    </row>
    <row r="9748">
      <c r="N9748" s="5"/>
    </row>
    <row r="9749">
      <c r="N9749" s="5"/>
    </row>
    <row r="9750">
      <c r="N9750" s="5"/>
    </row>
    <row r="9751">
      <c r="N9751" s="5"/>
    </row>
    <row r="9752">
      <c r="N9752" s="5"/>
    </row>
    <row r="9753">
      <c r="N9753" s="5"/>
    </row>
    <row r="9754">
      <c r="N9754" s="5"/>
    </row>
    <row r="9755">
      <c r="N9755" s="5"/>
    </row>
    <row r="9756">
      <c r="N9756" s="5"/>
    </row>
    <row r="9757">
      <c r="N9757" s="5"/>
    </row>
    <row r="9758">
      <c r="N9758" s="5"/>
    </row>
    <row r="9759">
      <c r="N9759" s="5"/>
    </row>
    <row r="9760">
      <c r="N9760" s="5"/>
    </row>
    <row r="9761">
      <c r="N9761" s="5"/>
    </row>
    <row r="9762">
      <c r="N9762" s="5"/>
    </row>
    <row r="9763">
      <c r="N9763" s="5"/>
    </row>
    <row r="9764">
      <c r="N9764" s="5"/>
    </row>
    <row r="9765">
      <c r="N9765" s="5"/>
    </row>
    <row r="9766">
      <c r="N9766" s="5"/>
    </row>
    <row r="9767">
      <c r="N9767" s="5"/>
    </row>
    <row r="9768">
      <c r="N9768" s="5"/>
    </row>
    <row r="9769">
      <c r="N9769" s="5"/>
    </row>
    <row r="9770">
      <c r="N9770" s="5"/>
    </row>
    <row r="9771">
      <c r="N9771" s="5"/>
    </row>
    <row r="9772">
      <c r="N9772" s="5"/>
    </row>
    <row r="9773">
      <c r="N9773" s="5"/>
    </row>
    <row r="9774">
      <c r="N9774" s="5"/>
    </row>
    <row r="9775">
      <c r="N9775" s="5"/>
    </row>
    <row r="9776">
      <c r="N9776" s="5"/>
    </row>
    <row r="9777">
      <c r="N9777" s="5"/>
    </row>
    <row r="9778">
      <c r="N9778" s="5"/>
    </row>
    <row r="9779">
      <c r="N9779" s="5"/>
    </row>
    <row r="9780">
      <c r="N9780" s="5"/>
    </row>
    <row r="9781">
      <c r="N9781" s="5"/>
    </row>
    <row r="9782">
      <c r="N9782" s="5"/>
    </row>
    <row r="9783">
      <c r="N9783" s="5"/>
    </row>
    <row r="9784">
      <c r="N9784" s="5"/>
    </row>
    <row r="9785">
      <c r="N9785" s="5"/>
    </row>
    <row r="9786">
      <c r="N9786" s="5"/>
    </row>
    <row r="9787">
      <c r="N9787" s="5"/>
    </row>
    <row r="9788">
      <c r="N9788" s="5"/>
    </row>
    <row r="9789">
      <c r="N9789" s="5"/>
    </row>
    <row r="9790">
      <c r="N9790" s="5"/>
    </row>
    <row r="9791">
      <c r="N9791" s="5"/>
    </row>
    <row r="9792">
      <c r="N9792" s="5"/>
    </row>
    <row r="9793">
      <c r="N9793" s="5"/>
    </row>
    <row r="9794">
      <c r="N9794" s="5"/>
    </row>
    <row r="9795">
      <c r="N9795" s="5"/>
    </row>
    <row r="9796">
      <c r="N9796" s="5"/>
    </row>
    <row r="9797">
      <c r="N9797" s="5"/>
    </row>
    <row r="9798">
      <c r="N9798" s="5"/>
    </row>
    <row r="9799">
      <c r="N9799" s="5"/>
    </row>
    <row r="9800">
      <c r="N9800" s="5"/>
    </row>
    <row r="9801">
      <c r="N9801" s="5"/>
    </row>
    <row r="9802">
      <c r="N9802" s="5"/>
    </row>
    <row r="9803">
      <c r="N9803" s="5"/>
    </row>
    <row r="9804">
      <c r="N9804" s="5"/>
    </row>
    <row r="9805">
      <c r="N9805" s="5"/>
    </row>
    <row r="9806">
      <c r="N9806" s="5"/>
    </row>
    <row r="9807">
      <c r="N9807" s="5"/>
    </row>
    <row r="9808">
      <c r="N9808" s="5"/>
    </row>
    <row r="9809">
      <c r="N9809" s="5"/>
    </row>
    <row r="9810">
      <c r="N9810" s="5"/>
    </row>
    <row r="9811">
      <c r="N9811" s="5"/>
    </row>
    <row r="9812">
      <c r="N9812" s="5"/>
    </row>
    <row r="9813">
      <c r="N9813" s="5"/>
    </row>
    <row r="9814">
      <c r="N9814" s="5"/>
    </row>
    <row r="9815">
      <c r="N9815" s="5"/>
    </row>
    <row r="9816">
      <c r="N9816" s="5"/>
    </row>
    <row r="9817">
      <c r="N9817" s="5"/>
    </row>
    <row r="9818">
      <c r="N9818" s="5"/>
    </row>
    <row r="9819">
      <c r="N9819" s="5"/>
    </row>
    <row r="9820">
      <c r="N9820" s="5"/>
    </row>
    <row r="9821">
      <c r="N9821" s="5"/>
    </row>
    <row r="9822">
      <c r="N9822" s="5"/>
    </row>
    <row r="9823">
      <c r="N9823" s="5"/>
    </row>
    <row r="9824">
      <c r="N9824" s="5"/>
    </row>
    <row r="9825">
      <c r="N9825" s="5"/>
    </row>
    <row r="9826">
      <c r="N9826" s="5"/>
    </row>
    <row r="9827">
      <c r="N9827" s="5"/>
    </row>
    <row r="9828">
      <c r="N9828" s="5"/>
    </row>
    <row r="9829">
      <c r="N9829" s="5"/>
    </row>
    <row r="9830">
      <c r="N9830" s="5"/>
    </row>
    <row r="9831">
      <c r="N9831" s="5"/>
    </row>
    <row r="9832">
      <c r="N9832" s="5"/>
    </row>
    <row r="9833">
      <c r="N9833" s="5"/>
    </row>
    <row r="9834">
      <c r="N9834" s="5"/>
    </row>
    <row r="9835">
      <c r="N9835" s="5"/>
    </row>
    <row r="9836">
      <c r="N9836" s="5"/>
    </row>
    <row r="9837">
      <c r="N9837" s="5"/>
    </row>
    <row r="9838">
      <c r="N9838" s="5"/>
    </row>
    <row r="9839">
      <c r="N9839" s="5"/>
    </row>
    <row r="9840">
      <c r="N9840" s="5"/>
    </row>
    <row r="9841">
      <c r="N9841" s="5"/>
    </row>
    <row r="9842">
      <c r="N9842" s="5"/>
    </row>
    <row r="9843">
      <c r="N9843" s="5"/>
    </row>
    <row r="9844">
      <c r="N9844" s="5"/>
    </row>
    <row r="9845">
      <c r="N9845" s="5"/>
    </row>
    <row r="9846">
      <c r="N9846" s="5"/>
    </row>
    <row r="9847">
      <c r="N9847" s="5"/>
    </row>
    <row r="9848">
      <c r="N9848" s="5"/>
    </row>
    <row r="9849">
      <c r="N9849" s="5"/>
    </row>
    <row r="9850">
      <c r="N9850" s="5"/>
    </row>
    <row r="9851">
      <c r="N9851" s="5"/>
    </row>
    <row r="9852">
      <c r="N9852" s="5"/>
    </row>
    <row r="9853">
      <c r="N9853" s="5"/>
    </row>
    <row r="9854">
      <c r="N9854" s="5"/>
    </row>
    <row r="9855">
      <c r="N9855" s="5"/>
    </row>
    <row r="9856">
      <c r="N9856" s="5"/>
    </row>
    <row r="9857">
      <c r="N9857" s="5"/>
    </row>
    <row r="9858">
      <c r="N9858" s="5"/>
    </row>
    <row r="9859">
      <c r="N9859" s="5"/>
    </row>
    <row r="9860">
      <c r="N9860" s="5"/>
    </row>
    <row r="9861">
      <c r="N9861" s="5"/>
    </row>
    <row r="9862">
      <c r="N9862" s="5"/>
    </row>
    <row r="9863">
      <c r="N9863" s="5"/>
    </row>
    <row r="9864">
      <c r="N9864" s="5"/>
    </row>
    <row r="9865">
      <c r="N9865" s="5"/>
    </row>
    <row r="9866">
      <c r="N9866" s="5"/>
    </row>
    <row r="9867">
      <c r="N9867" s="5"/>
    </row>
    <row r="9868">
      <c r="N9868" s="5"/>
    </row>
    <row r="9869">
      <c r="N9869" s="5"/>
    </row>
    <row r="9870">
      <c r="N9870" s="5"/>
    </row>
    <row r="9871">
      <c r="N9871" s="5"/>
    </row>
    <row r="9872">
      <c r="N9872" s="5"/>
    </row>
    <row r="9873">
      <c r="N9873" s="5"/>
    </row>
    <row r="9874">
      <c r="N9874" s="5"/>
    </row>
    <row r="9875">
      <c r="N9875" s="5"/>
    </row>
    <row r="9876">
      <c r="N9876" s="5"/>
    </row>
    <row r="9877">
      <c r="N9877" s="5"/>
    </row>
    <row r="9878">
      <c r="N9878" s="5"/>
    </row>
    <row r="9879">
      <c r="N9879" s="5"/>
    </row>
    <row r="9880">
      <c r="N9880" s="5"/>
    </row>
    <row r="9881">
      <c r="N9881" s="5"/>
    </row>
    <row r="9882">
      <c r="N9882" s="5"/>
    </row>
    <row r="9883">
      <c r="N9883" s="5"/>
    </row>
    <row r="9884">
      <c r="N9884" s="5"/>
    </row>
    <row r="9885">
      <c r="N9885" s="5"/>
    </row>
    <row r="9886">
      <c r="N9886" s="5"/>
    </row>
    <row r="9887">
      <c r="N9887" s="5"/>
    </row>
    <row r="9888">
      <c r="N9888" s="5"/>
    </row>
    <row r="9889">
      <c r="N9889" s="5"/>
    </row>
    <row r="9890">
      <c r="N9890" s="5"/>
    </row>
    <row r="9891">
      <c r="N9891" s="5"/>
    </row>
    <row r="9892">
      <c r="N9892" s="5"/>
    </row>
    <row r="9893">
      <c r="N9893" s="5"/>
    </row>
    <row r="9894">
      <c r="N9894" s="5"/>
    </row>
    <row r="9895">
      <c r="N9895" s="5"/>
    </row>
    <row r="9896">
      <c r="N9896" s="5"/>
    </row>
    <row r="9897">
      <c r="N9897" s="5"/>
    </row>
    <row r="9898">
      <c r="N9898" s="5"/>
    </row>
    <row r="9899">
      <c r="N9899" s="5"/>
    </row>
    <row r="9900">
      <c r="N9900" s="5"/>
    </row>
    <row r="9901">
      <c r="N9901" s="5"/>
    </row>
    <row r="9902">
      <c r="N9902" s="5"/>
    </row>
    <row r="9903">
      <c r="N9903" s="5"/>
    </row>
    <row r="9904">
      <c r="N9904" s="5"/>
    </row>
    <row r="9905">
      <c r="N9905" s="5"/>
    </row>
    <row r="9906">
      <c r="N9906" s="5"/>
    </row>
    <row r="9907">
      <c r="N9907" s="5"/>
    </row>
    <row r="9908">
      <c r="N9908" s="5"/>
    </row>
    <row r="9909">
      <c r="N9909" s="5"/>
    </row>
    <row r="9910">
      <c r="N9910" s="5"/>
    </row>
    <row r="9911">
      <c r="N9911" s="5"/>
    </row>
    <row r="9912">
      <c r="N9912" s="5"/>
    </row>
    <row r="9913">
      <c r="N9913" s="5"/>
    </row>
    <row r="9914">
      <c r="N9914" s="5"/>
    </row>
    <row r="9915">
      <c r="N9915" s="5"/>
    </row>
    <row r="9916">
      <c r="N9916" s="5"/>
    </row>
    <row r="9917">
      <c r="N9917" s="5"/>
    </row>
    <row r="9918">
      <c r="N9918" s="5"/>
    </row>
    <row r="9919">
      <c r="N9919" s="5"/>
    </row>
    <row r="9920">
      <c r="N9920" s="5"/>
    </row>
    <row r="9921">
      <c r="N9921" s="5"/>
    </row>
    <row r="9922">
      <c r="N9922" s="5"/>
    </row>
    <row r="9923">
      <c r="N9923" s="5"/>
    </row>
    <row r="9924">
      <c r="N9924" s="5"/>
    </row>
    <row r="9925">
      <c r="N9925" s="5"/>
    </row>
    <row r="9926">
      <c r="N9926" s="5"/>
    </row>
    <row r="9927">
      <c r="N9927" s="5"/>
    </row>
    <row r="9928">
      <c r="N9928" s="5"/>
    </row>
    <row r="9929">
      <c r="N9929" s="5"/>
    </row>
    <row r="9930">
      <c r="N9930" s="5"/>
    </row>
    <row r="9931">
      <c r="N9931" s="5"/>
    </row>
    <row r="9932">
      <c r="N9932" s="5"/>
    </row>
    <row r="9933">
      <c r="N9933" s="5"/>
    </row>
    <row r="9934">
      <c r="N9934" s="5"/>
    </row>
    <row r="9935">
      <c r="N9935" s="5"/>
    </row>
    <row r="9936">
      <c r="N9936" s="5"/>
    </row>
    <row r="9937">
      <c r="N9937" s="5"/>
    </row>
    <row r="9938">
      <c r="N9938" s="5"/>
    </row>
    <row r="9939">
      <c r="N9939" s="5"/>
    </row>
    <row r="9940">
      <c r="N9940" s="5"/>
    </row>
    <row r="9941">
      <c r="N9941" s="5"/>
    </row>
    <row r="9942">
      <c r="N9942" s="5"/>
    </row>
    <row r="9943">
      <c r="N9943" s="5"/>
    </row>
    <row r="9944">
      <c r="N9944" s="5"/>
    </row>
    <row r="9945">
      <c r="N9945" s="5"/>
    </row>
    <row r="9946">
      <c r="N9946" s="5"/>
    </row>
    <row r="9947">
      <c r="N9947" s="5"/>
    </row>
    <row r="9948">
      <c r="N9948" s="5"/>
    </row>
    <row r="9949">
      <c r="N9949" s="5"/>
    </row>
    <row r="9950">
      <c r="N9950" s="5"/>
    </row>
    <row r="9951">
      <c r="N9951" s="5"/>
    </row>
    <row r="9952">
      <c r="N9952" s="5"/>
    </row>
    <row r="9953">
      <c r="N9953" s="5"/>
    </row>
    <row r="9954">
      <c r="N9954" s="5"/>
    </row>
    <row r="9955">
      <c r="N9955" s="5"/>
    </row>
    <row r="9956">
      <c r="N9956" s="5"/>
    </row>
    <row r="9957">
      <c r="N9957" s="5"/>
    </row>
    <row r="9958">
      <c r="N9958" s="5"/>
    </row>
    <row r="9959">
      <c r="N9959" s="5"/>
    </row>
    <row r="9960">
      <c r="N9960" s="5"/>
    </row>
    <row r="9961">
      <c r="N9961" s="5"/>
    </row>
    <row r="9962">
      <c r="N9962" s="5"/>
    </row>
    <row r="9963">
      <c r="N9963" s="5"/>
    </row>
    <row r="9964">
      <c r="N9964" s="5"/>
    </row>
    <row r="9965">
      <c r="N9965" s="5"/>
    </row>
    <row r="9966">
      <c r="N9966" s="5"/>
    </row>
    <row r="9967">
      <c r="N9967" s="5"/>
    </row>
    <row r="9968">
      <c r="N9968" s="5"/>
    </row>
    <row r="9969">
      <c r="N9969" s="5"/>
    </row>
    <row r="9970">
      <c r="N9970" s="5"/>
    </row>
    <row r="9971">
      <c r="N9971" s="5"/>
    </row>
    <row r="9972">
      <c r="N9972" s="5"/>
    </row>
    <row r="9973">
      <c r="N9973" s="5"/>
    </row>
    <row r="9974">
      <c r="N9974" s="5"/>
    </row>
    <row r="9975">
      <c r="N9975" s="5"/>
    </row>
    <row r="9976">
      <c r="N9976" s="5"/>
    </row>
    <row r="9977">
      <c r="N9977" s="5"/>
    </row>
    <row r="9978">
      <c r="N9978" s="5"/>
    </row>
    <row r="9979">
      <c r="N9979" s="5"/>
    </row>
    <row r="9980">
      <c r="N9980" s="5"/>
    </row>
    <row r="9981">
      <c r="N9981" s="5"/>
    </row>
    <row r="9982">
      <c r="N9982" s="5"/>
    </row>
    <row r="9983">
      <c r="N9983" s="5"/>
    </row>
    <row r="9984">
      <c r="N9984" s="5"/>
    </row>
    <row r="9985">
      <c r="N9985" s="5"/>
    </row>
    <row r="9986">
      <c r="N9986" s="5"/>
    </row>
    <row r="9987">
      <c r="N9987" s="5"/>
    </row>
    <row r="9988">
      <c r="N9988" s="5"/>
    </row>
    <row r="9989">
      <c r="N9989" s="5"/>
    </row>
    <row r="9990">
      <c r="N9990" s="5"/>
    </row>
    <row r="9991">
      <c r="N9991" s="5"/>
    </row>
    <row r="9992">
      <c r="N9992" s="5"/>
    </row>
    <row r="9993">
      <c r="N9993" s="5"/>
    </row>
    <row r="9994">
      <c r="N9994" s="5"/>
    </row>
    <row r="9995">
      <c r="N9995" s="5"/>
    </row>
    <row r="9996">
      <c r="N9996" s="5"/>
    </row>
    <row r="9997">
      <c r="N9997" s="5"/>
    </row>
    <row r="9998">
      <c r="N9998" s="5"/>
    </row>
    <row r="9999">
      <c r="N9999" s="5"/>
    </row>
    <row r="10000">
      <c r="N10000" s="5"/>
    </row>
    <row r="10001">
      <c r="N10001" s="5"/>
    </row>
    <row r="10002">
      <c r="N10002" s="5"/>
    </row>
    <row r="10003">
      <c r="N10003" s="5"/>
    </row>
    <row r="10004">
      <c r="N10004" s="5"/>
    </row>
    <row r="10005">
      <c r="N10005" s="5"/>
    </row>
    <row r="10006">
      <c r="N10006" s="5"/>
    </row>
    <row r="10007">
      <c r="N10007" s="5"/>
    </row>
    <row r="10008">
      <c r="N10008" s="5"/>
    </row>
    <row r="10009">
      <c r="N10009" s="5"/>
    </row>
    <row r="10010">
      <c r="N10010" s="5"/>
    </row>
    <row r="10011">
      <c r="N10011" s="5"/>
    </row>
    <row r="10012">
      <c r="N10012" s="5"/>
    </row>
    <row r="10013">
      <c r="N10013" s="5"/>
    </row>
    <row r="10014">
      <c r="N10014" s="5"/>
    </row>
    <row r="10015">
      <c r="N10015" s="5"/>
    </row>
    <row r="10016">
      <c r="N10016" s="5"/>
    </row>
    <row r="10017">
      <c r="N10017" s="5"/>
    </row>
    <row r="10018">
      <c r="N10018" s="5"/>
    </row>
    <row r="10019">
      <c r="N10019" s="5"/>
    </row>
    <row r="10020">
      <c r="N10020" s="5"/>
    </row>
    <row r="10021">
      <c r="N10021" s="5"/>
    </row>
    <row r="10022">
      <c r="N10022" s="5"/>
    </row>
    <row r="10023">
      <c r="N10023" s="5"/>
    </row>
    <row r="10024">
      <c r="N10024" s="5"/>
    </row>
    <row r="10025">
      <c r="N10025" s="5"/>
    </row>
    <row r="10026">
      <c r="N10026" s="5"/>
    </row>
    <row r="10027">
      <c r="N10027" s="5"/>
    </row>
    <row r="10028">
      <c r="N10028" s="5"/>
    </row>
    <row r="10029">
      <c r="N10029" s="5"/>
    </row>
    <row r="10030">
      <c r="N10030" s="5"/>
    </row>
    <row r="10031">
      <c r="N10031" s="5"/>
    </row>
    <row r="10032">
      <c r="N10032" s="5"/>
    </row>
    <row r="10033">
      <c r="N10033" s="5"/>
    </row>
    <row r="10034">
      <c r="N10034" s="5"/>
    </row>
    <row r="10035">
      <c r="N10035" s="5"/>
    </row>
    <row r="10036">
      <c r="N10036" s="5"/>
    </row>
    <row r="10037">
      <c r="N10037" s="5"/>
    </row>
    <row r="10038">
      <c r="N10038" s="5"/>
    </row>
    <row r="10039">
      <c r="N10039" s="5"/>
    </row>
    <row r="10040">
      <c r="N10040" s="5"/>
    </row>
    <row r="10041">
      <c r="N10041" s="5"/>
    </row>
    <row r="10042">
      <c r="N10042" s="5"/>
    </row>
    <row r="10043">
      <c r="N10043" s="5"/>
    </row>
    <row r="10044">
      <c r="N10044" s="5"/>
    </row>
    <row r="10045">
      <c r="N10045" s="5"/>
    </row>
    <row r="10046">
      <c r="N10046" s="5"/>
    </row>
    <row r="10047">
      <c r="N10047" s="5"/>
    </row>
    <row r="10048">
      <c r="N10048" s="5"/>
    </row>
    <row r="10049">
      <c r="N10049" s="5"/>
    </row>
    <row r="10050">
      <c r="N10050" s="5"/>
    </row>
    <row r="10051">
      <c r="N10051" s="5"/>
    </row>
    <row r="10052">
      <c r="N10052" s="5"/>
    </row>
    <row r="10053">
      <c r="N10053" s="5"/>
    </row>
    <row r="10054">
      <c r="N10054" s="5"/>
    </row>
    <row r="10055">
      <c r="N10055" s="5"/>
    </row>
    <row r="10056">
      <c r="N10056" s="5"/>
    </row>
    <row r="10057">
      <c r="N10057" s="5"/>
    </row>
    <row r="10058">
      <c r="N10058" s="5"/>
    </row>
    <row r="10059">
      <c r="N10059" s="5"/>
    </row>
    <row r="10060">
      <c r="N10060" s="5"/>
    </row>
    <row r="10061">
      <c r="N10061" s="5"/>
    </row>
    <row r="10062">
      <c r="N10062" s="5"/>
    </row>
    <row r="10063">
      <c r="N10063" s="5"/>
    </row>
    <row r="10064">
      <c r="N10064" s="5"/>
    </row>
    <row r="10065">
      <c r="N10065" s="5"/>
    </row>
    <row r="10066">
      <c r="N10066" s="5"/>
    </row>
    <row r="10067">
      <c r="N10067" s="5"/>
    </row>
    <row r="10068">
      <c r="N10068" s="5"/>
    </row>
    <row r="10069">
      <c r="N10069" s="5"/>
    </row>
    <row r="10070">
      <c r="N10070" s="5"/>
    </row>
    <row r="10071">
      <c r="N10071" s="5"/>
    </row>
    <row r="10072">
      <c r="N10072" s="5"/>
    </row>
    <row r="10073">
      <c r="N10073" s="5"/>
    </row>
    <row r="10074">
      <c r="N10074" s="5"/>
    </row>
    <row r="10075">
      <c r="N10075" s="5"/>
    </row>
    <row r="10076">
      <c r="N10076" s="5"/>
    </row>
    <row r="10077">
      <c r="N10077" s="5"/>
    </row>
    <row r="10078">
      <c r="N10078" s="5"/>
    </row>
    <row r="10079">
      <c r="N10079" s="5"/>
    </row>
    <row r="10080">
      <c r="N10080" s="5"/>
    </row>
    <row r="10081">
      <c r="N10081" s="5"/>
    </row>
    <row r="10082">
      <c r="N10082" s="5"/>
    </row>
    <row r="10083">
      <c r="N10083" s="5"/>
    </row>
    <row r="10084">
      <c r="N10084" s="5"/>
    </row>
    <row r="10085">
      <c r="N10085" s="5"/>
    </row>
    <row r="10086">
      <c r="N10086" s="5"/>
    </row>
    <row r="10087">
      <c r="N10087" s="5"/>
    </row>
    <row r="10088">
      <c r="N10088" s="5"/>
    </row>
    <row r="10089">
      <c r="N10089" s="5"/>
    </row>
    <row r="10090">
      <c r="N10090" s="5"/>
    </row>
    <row r="10091">
      <c r="N10091" s="5"/>
    </row>
    <row r="10092">
      <c r="N10092" s="5"/>
    </row>
    <row r="10093">
      <c r="N10093" s="5"/>
    </row>
    <row r="10094">
      <c r="N10094" s="5"/>
    </row>
    <row r="10095">
      <c r="N10095" s="5"/>
    </row>
    <row r="10096">
      <c r="N10096" s="5"/>
    </row>
    <row r="10097">
      <c r="N10097" s="5"/>
    </row>
    <row r="10098">
      <c r="N10098" s="5"/>
    </row>
    <row r="10099">
      <c r="N10099" s="5"/>
    </row>
    <row r="10100">
      <c r="N10100" s="5"/>
    </row>
    <row r="10101">
      <c r="N10101" s="5"/>
    </row>
    <row r="10102">
      <c r="N10102" s="5"/>
    </row>
    <row r="10103">
      <c r="N10103" s="5"/>
    </row>
    <row r="10104">
      <c r="N10104" s="5"/>
    </row>
    <row r="10105">
      <c r="N10105" s="5"/>
    </row>
    <row r="10106">
      <c r="N10106" s="5"/>
    </row>
    <row r="10107">
      <c r="N10107" s="5"/>
    </row>
    <row r="10108">
      <c r="N10108" s="5"/>
    </row>
    <row r="10109">
      <c r="N10109" s="5"/>
    </row>
    <row r="10110">
      <c r="N10110" s="5"/>
    </row>
    <row r="10111">
      <c r="N10111" s="5"/>
    </row>
    <row r="10112">
      <c r="N10112" s="5"/>
    </row>
    <row r="10113">
      <c r="N10113" s="5"/>
    </row>
    <row r="10114">
      <c r="N10114" s="5"/>
    </row>
    <row r="10115">
      <c r="N10115" s="5"/>
    </row>
    <row r="10116">
      <c r="N10116" s="5"/>
    </row>
    <row r="10117">
      <c r="N10117" s="5"/>
    </row>
    <row r="10118">
      <c r="N10118" s="5"/>
    </row>
    <row r="10119">
      <c r="N10119" s="5"/>
    </row>
    <row r="10120">
      <c r="N10120" s="5"/>
    </row>
    <row r="10121">
      <c r="N10121" s="5"/>
    </row>
    <row r="10122">
      <c r="N10122" s="5"/>
    </row>
    <row r="10123">
      <c r="N10123" s="5"/>
    </row>
    <row r="10124">
      <c r="N10124" s="5"/>
    </row>
    <row r="10125">
      <c r="N10125" s="5"/>
    </row>
    <row r="10126">
      <c r="N10126" s="5"/>
    </row>
    <row r="10127">
      <c r="N10127" s="5"/>
    </row>
    <row r="10128">
      <c r="N10128" s="5"/>
    </row>
    <row r="10129">
      <c r="N10129" s="5"/>
    </row>
    <row r="10130">
      <c r="N10130" s="5"/>
    </row>
    <row r="10131">
      <c r="N10131" s="5"/>
    </row>
    <row r="10132">
      <c r="N10132" s="5"/>
    </row>
    <row r="10133">
      <c r="N10133" s="5"/>
    </row>
    <row r="10134">
      <c r="N10134" s="5"/>
    </row>
    <row r="10135">
      <c r="N10135" s="5"/>
    </row>
    <row r="10136">
      <c r="N10136" s="5"/>
    </row>
    <row r="10137">
      <c r="N10137" s="5"/>
    </row>
    <row r="10138">
      <c r="N10138" s="5"/>
    </row>
    <row r="10139">
      <c r="N10139" s="5"/>
    </row>
    <row r="10140">
      <c r="N10140" s="5"/>
    </row>
    <row r="10141">
      <c r="N10141" s="5"/>
    </row>
    <row r="10142">
      <c r="N10142" s="5"/>
    </row>
    <row r="10143">
      <c r="N10143" s="5"/>
    </row>
    <row r="10144">
      <c r="N10144" s="5"/>
    </row>
    <row r="10145">
      <c r="N10145" s="5"/>
    </row>
    <row r="10146">
      <c r="N10146" s="5"/>
    </row>
    <row r="10147">
      <c r="N10147" s="5"/>
    </row>
    <row r="10148">
      <c r="N10148" s="5"/>
    </row>
    <row r="10149">
      <c r="N10149" s="5"/>
    </row>
    <row r="10150">
      <c r="N10150" s="5"/>
    </row>
    <row r="10151">
      <c r="N10151" s="5"/>
    </row>
    <row r="10152">
      <c r="N10152" s="5"/>
    </row>
    <row r="10153">
      <c r="N10153" s="5"/>
    </row>
    <row r="10154">
      <c r="N10154" s="5"/>
    </row>
    <row r="10155">
      <c r="N10155" s="5"/>
    </row>
    <row r="10156">
      <c r="N10156" s="5"/>
    </row>
    <row r="10157">
      <c r="N10157" s="5"/>
    </row>
    <row r="10158">
      <c r="N10158" s="5"/>
    </row>
    <row r="10159">
      <c r="N10159" s="5"/>
    </row>
    <row r="10160">
      <c r="N10160" s="5"/>
    </row>
    <row r="10161">
      <c r="N10161" s="5"/>
    </row>
    <row r="10162">
      <c r="N10162" s="5"/>
    </row>
    <row r="10163">
      <c r="N10163" s="5"/>
    </row>
    <row r="10164">
      <c r="N10164" s="5"/>
    </row>
    <row r="10165">
      <c r="N10165" s="5"/>
    </row>
    <row r="10166">
      <c r="N10166" s="5"/>
    </row>
    <row r="10167">
      <c r="N10167" s="5"/>
    </row>
    <row r="10168">
      <c r="N10168" s="5"/>
    </row>
    <row r="10169">
      <c r="N10169" s="5"/>
    </row>
    <row r="10170">
      <c r="N10170" s="5"/>
    </row>
    <row r="10171">
      <c r="N10171" s="5"/>
    </row>
    <row r="10172">
      <c r="N10172" s="5"/>
    </row>
    <row r="10173">
      <c r="N10173" s="5"/>
    </row>
    <row r="10174">
      <c r="N10174" s="5"/>
    </row>
    <row r="10175">
      <c r="N10175" s="5"/>
    </row>
    <row r="10176">
      <c r="N10176" s="5"/>
    </row>
    <row r="10177">
      <c r="N10177" s="5"/>
    </row>
    <row r="10178">
      <c r="N10178" s="5"/>
    </row>
    <row r="10179">
      <c r="N10179" s="5"/>
    </row>
    <row r="10180">
      <c r="N10180" s="5"/>
    </row>
    <row r="10181">
      <c r="N10181" s="5"/>
    </row>
    <row r="10182">
      <c r="N10182" s="5"/>
    </row>
    <row r="10183">
      <c r="N10183" s="5"/>
    </row>
    <row r="10184">
      <c r="N10184" s="5"/>
    </row>
    <row r="10185">
      <c r="N10185" s="5"/>
    </row>
    <row r="10186">
      <c r="N10186" s="5"/>
    </row>
    <row r="10187">
      <c r="N10187" s="5"/>
    </row>
    <row r="10188">
      <c r="N10188" s="5"/>
    </row>
    <row r="10189">
      <c r="N10189" s="5"/>
    </row>
    <row r="10190">
      <c r="N10190" s="5"/>
    </row>
    <row r="10191">
      <c r="N10191" s="5"/>
    </row>
    <row r="10192">
      <c r="N10192" s="5"/>
    </row>
    <row r="10193">
      <c r="N10193" s="5"/>
    </row>
    <row r="10194">
      <c r="N10194" s="5"/>
    </row>
    <row r="10195">
      <c r="N10195" s="5"/>
    </row>
    <row r="10196">
      <c r="N10196" s="5"/>
    </row>
    <row r="10197">
      <c r="N10197" s="5"/>
    </row>
    <row r="10198">
      <c r="N10198" s="5"/>
    </row>
    <row r="10199">
      <c r="N10199" s="5"/>
    </row>
    <row r="10200">
      <c r="N10200" s="5"/>
    </row>
    <row r="10201">
      <c r="N10201" s="5"/>
    </row>
    <row r="10202">
      <c r="N10202" s="5"/>
    </row>
    <row r="10203">
      <c r="N10203" s="5"/>
    </row>
    <row r="10204">
      <c r="N10204" s="5"/>
    </row>
    <row r="10205">
      <c r="N10205" s="5"/>
    </row>
    <row r="10206">
      <c r="N10206" s="5"/>
    </row>
    <row r="10207">
      <c r="N10207" s="5"/>
    </row>
    <row r="10208">
      <c r="N10208" s="5"/>
    </row>
    <row r="10209">
      <c r="N10209" s="5"/>
    </row>
    <row r="10210">
      <c r="N10210" s="5"/>
    </row>
    <row r="10211">
      <c r="N10211" s="5"/>
    </row>
    <row r="10212">
      <c r="N10212" s="5"/>
    </row>
    <row r="10213">
      <c r="N10213" s="5"/>
    </row>
    <row r="10214">
      <c r="N10214" s="5"/>
    </row>
    <row r="10215">
      <c r="N10215" s="5"/>
    </row>
    <row r="10216">
      <c r="N10216" s="5"/>
    </row>
    <row r="10217">
      <c r="N10217" s="5"/>
    </row>
    <row r="10218">
      <c r="N10218" s="5"/>
    </row>
    <row r="10219">
      <c r="N10219" s="5"/>
    </row>
    <row r="10220">
      <c r="N10220" s="5"/>
    </row>
    <row r="10221">
      <c r="N10221" s="5"/>
    </row>
    <row r="10222">
      <c r="N10222" s="5"/>
    </row>
    <row r="10223">
      <c r="N10223" s="5"/>
    </row>
    <row r="10224">
      <c r="N10224" s="5"/>
    </row>
    <row r="10225">
      <c r="N10225" s="5"/>
    </row>
    <row r="10226">
      <c r="N10226" s="5"/>
    </row>
    <row r="10227">
      <c r="N10227" s="5"/>
    </row>
    <row r="10228">
      <c r="N10228" s="5"/>
    </row>
    <row r="10229">
      <c r="N10229" s="5"/>
    </row>
    <row r="10230">
      <c r="N10230" s="5"/>
    </row>
    <row r="10231">
      <c r="N10231" s="5"/>
    </row>
    <row r="10232">
      <c r="N10232" s="5"/>
    </row>
    <row r="10233">
      <c r="N10233" s="5"/>
    </row>
    <row r="10234">
      <c r="N10234" s="5"/>
    </row>
    <row r="10235">
      <c r="N10235" s="5"/>
    </row>
    <row r="10236">
      <c r="N10236" s="5"/>
    </row>
    <row r="10237">
      <c r="N10237" s="5"/>
    </row>
    <row r="10238">
      <c r="N10238" s="5"/>
    </row>
    <row r="10239">
      <c r="N10239" s="5"/>
    </row>
    <row r="10240">
      <c r="N10240" s="5"/>
    </row>
    <row r="10241">
      <c r="N10241" s="5"/>
    </row>
    <row r="10242">
      <c r="N10242" s="5"/>
    </row>
    <row r="10243">
      <c r="N10243" s="5"/>
    </row>
    <row r="10244">
      <c r="N10244" s="5"/>
    </row>
    <row r="10245">
      <c r="N10245" s="5"/>
    </row>
    <row r="10246">
      <c r="N10246" s="5"/>
    </row>
    <row r="10247">
      <c r="N10247" s="5"/>
    </row>
    <row r="10248">
      <c r="N10248" s="5"/>
    </row>
    <row r="10249">
      <c r="N10249" s="5"/>
    </row>
    <row r="10250">
      <c r="N10250" s="5"/>
    </row>
    <row r="10251">
      <c r="N10251" s="5"/>
    </row>
    <row r="10252">
      <c r="N10252" s="5"/>
    </row>
    <row r="10253">
      <c r="N10253" s="5"/>
    </row>
    <row r="10254">
      <c r="N10254" s="5"/>
    </row>
    <row r="10255">
      <c r="N10255" s="5"/>
    </row>
    <row r="10256">
      <c r="N10256" s="5"/>
    </row>
    <row r="10257">
      <c r="N10257" s="5"/>
    </row>
    <row r="10258">
      <c r="N10258" s="5"/>
    </row>
    <row r="10259">
      <c r="N10259" s="5"/>
    </row>
    <row r="10260">
      <c r="N10260" s="5"/>
    </row>
    <row r="10261">
      <c r="N10261" s="5"/>
    </row>
    <row r="10262">
      <c r="N10262" s="5"/>
    </row>
    <row r="10263">
      <c r="N10263" s="5"/>
    </row>
    <row r="10264">
      <c r="N10264" s="5"/>
    </row>
    <row r="10265">
      <c r="N10265" s="5"/>
    </row>
    <row r="10266">
      <c r="N10266" s="5"/>
    </row>
    <row r="10267">
      <c r="N10267" s="5"/>
    </row>
    <row r="10268">
      <c r="N10268" s="5"/>
    </row>
    <row r="10269">
      <c r="N10269" s="5"/>
    </row>
    <row r="10270">
      <c r="N10270" s="5"/>
    </row>
    <row r="10271">
      <c r="N10271" s="5"/>
    </row>
    <row r="10272">
      <c r="N10272" s="5"/>
    </row>
    <row r="10273">
      <c r="N10273" s="5"/>
    </row>
    <row r="10274">
      <c r="N10274" s="5"/>
    </row>
    <row r="10275">
      <c r="N10275" s="5"/>
    </row>
    <row r="10276">
      <c r="N10276" s="5"/>
    </row>
    <row r="10277">
      <c r="N10277" s="5"/>
    </row>
    <row r="10278">
      <c r="N10278" s="5"/>
    </row>
    <row r="10279">
      <c r="N10279" s="5"/>
    </row>
    <row r="10280">
      <c r="N10280" s="5"/>
    </row>
    <row r="10281">
      <c r="N10281" s="5"/>
    </row>
    <row r="10282">
      <c r="N10282" s="5"/>
    </row>
    <row r="10283">
      <c r="N10283" s="5"/>
    </row>
    <row r="10284">
      <c r="N10284" s="5"/>
    </row>
    <row r="10285">
      <c r="N10285" s="5"/>
    </row>
    <row r="10286">
      <c r="N10286" s="5"/>
    </row>
    <row r="10287">
      <c r="N10287" s="5"/>
    </row>
    <row r="10288">
      <c r="N10288" s="5"/>
    </row>
    <row r="10289">
      <c r="N10289" s="5"/>
    </row>
    <row r="10290">
      <c r="N10290" s="5"/>
    </row>
    <row r="10291">
      <c r="N10291" s="5"/>
    </row>
    <row r="10292">
      <c r="N10292" s="5"/>
    </row>
    <row r="10293">
      <c r="N10293" s="5"/>
    </row>
    <row r="10294">
      <c r="N10294" s="5"/>
    </row>
    <row r="10295">
      <c r="N10295" s="5"/>
    </row>
    <row r="10296">
      <c r="N10296" s="5"/>
    </row>
    <row r="10297">
      <c r="N10297" s="5"/>
    </row>
    <row r="10298">
      <c r="N10298" s="5"/>
    </row>
    <row r="10299">
      <c r="N10299" s="5"/>
    </row>
    <row r="10300">
      <c r="N10300" s="5"/>
    </row>
    <row r="10301">
      <c r="N10301" s="5"/>
    </row>
    <row r="10302">
      <c r="N10302" s="5"/>
    </row>
    <row r="10303">
      <c r="N10303" s="5"/>
    </row>
    <row r="10304">
      <c r="N10304" s="5"/>
    </row>
    <row r="10305">
      <c r="N10305" s="5"/>
    </row>
    <row r="10306">
      <c r="N10306" s="5"/>
    </row>
    <row r="10307">
      <c r="N10307" s="5"/>
    </row>
    <row r="10308">
      <c r="N10308" s="5"/>
    </row>
    <row r="10309">
      <c r="N10309" s="5"/>
    </row>
    <row r="10310">
      <c r="N10310" s="5"/>
    </row>
    <row r="10311">
      <c r="N10311" s="5"/>
    </row>
    <row r="10312">
      <c r="N10312" s="5"/>
    </row>
    <row r="10313">
      <c r="N10313" s="5"/>
    </row>
    <row r="10314">
      <c r="N10314" s="5"/>
    </row>
    <row r="10315">
      <c r="N10315" s="5"/>
    </row>
    <row r="10316">
      <c r="N10316" s="5"/>
    </row>
    <row r="10317">
      <c r="N10317" s="5"/>
    </row>
    <row r="10318">
      <c r="N10318" s="5"/>
    </row>
    <row r="10319">
      <c r="N10319" s="5"/>
    </row>
    <row r="10320">
      <c r="N10320" s="5"/>
    </row>
    <row r="10321">
      <c r="N10321" s="5"/>
    </row>
    <row r="10322">
      <c r="N10322" s="5"/>
    </row>
    <row r="10323">
      <c r="N10323" s="5"/>
    </row>
    <row r="10324">
      <c r="N10324" s="5"/>
    </row>
    <row r="10325">
      <c r="N10325" s="5"/>
    </row>
    <row r="10326">
      <c r="N10326" s="5"/>
    </row>
    <row r="10327">
      <c r="N10327" s="5"/>
    </row>
    <row r="10328">
      <c r="N10328" s="5"/>
    </row>
    <row r="10329">
      <c r="N10329" s="5"/>
    </row>
    <row r="10330">
      <c r="N10330" s="5"/>
    </row>
    <row r="10331">
      <c r="N10331" s="5"/>
    </row>
    <row r="10332">
      <c r="N10332" s="5"/>
    </row>
    <row r="10333">
      <c r="N10333" s="5"/>
    </row>
    <row r="10334">
      <c r="N10334" s="5"/>
    </row>
    <row r="10335">
      <c r="N10335" s="5"/>
    </row>
    <row r="10336">
      <c r="N10336" s="5"/>
    </row>
    <row r="10337">
      <c r="N10337" s="5"/>
    </row>
    <row r="10338">
      <c r="N10338" s="5"/>
    </row>
    <row r="10339">
      <c r="N10339" s="5"/>
    </row>
    <row r="10340">
      <c r="N10340" s="5"/>
    </row>
    <row r="10341">
      <c r="N10341" s="5"/>
    </row>
    <row r="10342">
      <c r="N10342" s="5"/>
    </row>
    <row r="10343">
      <c r="N10343" s="5"/>
    </row>
    <row r="10344">
      <c r="N10344" s="5"/>
    </row>
    <row r="10345">
      <c r="N10345" s="5"/>
    </row>
    <row r="10346">
      <c r="N10346" s="5"/>
    </row>
    <row r="10347">
      <c r="N10347" s="5"/>
    </row>
    <row r="10348">
      <c r="N10348" s="5"/>
    </row>
    <row r="10349">
      <c r="N10349" s="5"/>
    </row>
    <row r="10350">
      <c r="N10350" s="5"/>
    </row>
    <row r="10351">
      <c r="N10351" s="5"/>
    </row>
    <row r="10352">
      <c r="N10352" s="5"/>
    </row>
    <row r="10353">
      <c r="N10353" s="5"/>
    </row>
    <row r="10354">
      <c r="N10354" s="5"/>
    </row>
    <row r="10355">
      <c r="N10355" s="5"/>
    </row>
    <row r="10356">
      <c r="N10356" s="5"/>
    </row>
    <row r="10357">
      <c r="N10357" s="5"/>
    </row>
    <row r="10358">
      <c r="N10358" s="5"/>
    </row>
    <row r="10359">
      <c r="N10359" s="5"/>
    </row>
    <row r="10360">
      <c r="N10360" s="5"/>
    </row>
    <row r="10361">
      <c r="N10361" s="5"/>
    </row>
    <row r="10362">
      <c r="N10362" s="5"/>
    </row>
    <row r="10363">
      <c r="N10363" s="5"/>
    </row>
    <row r="10364">
      <c r="N10364" s="5"/>
    </row>
    <row r="10365">
      <c r="N10365" s="5"/>
    </row>
    <row r="10366">
      <c r="N10366" s="5"/>
    </row>
    <row r="10367">
      <c r="N10367" s="5"/>
    </row>
    <row r="10368">
      <c r="N10368" s="5"/>
    </row>
    <row r="10369">
      <c r="N10369" s="5"/>
    </row>
    <row r="10370">
      <c r="N10370" s="5"/>
    </row>
    <row r="10371">
      <c r="N10371" s="5"/>
    </row>
    <row r="10372">
      <c r="N10372" s="5"/>
    </row>
    <row r="10373">
      <c r="N10373" s="5"/>
    </row>
    <row r="10374">
      <c r="N10374" s="5"/>
    </row>
    <row r="10375">
      <c r="N10375" s="5"/>
    </row>
    <row r="10376">
      <c r="N10376" s="5"/>
    </row>
    <row r="10377">
      <c r="N10377" s="5"/>
    </row>
    <row r="10378">
      <c r="N10378" s="5"/>
    </row>
    <row r="10379">
      <c r="N10379" s="5"/>
    </row>
    <row r="10380">
      <c r="N10380" s="5"/>
    </row>
    <row r="10381">
      <c r="N10381" s="5"/>
    </row>
    <row r="10382">
      <c r="N10382" s="5"/>
    </row>
    <row r="10383">
      <c r="N10383" s="5"/>
    </row>
    <row r="10384">
      <c r="N10384" s="5"/>
    </row>
    <row r="10385">
      <c r="N10385" s="5"/>
    </row>
    <row r="10386">
      <c r="N10386" s="5"/>
    </row>
    <row r="10387">
      <c r="N10387" s="5"/>
    </row>
    <row r="10388">
      <c r="N10388" s="5"/>
    </row>
    <row r="10389">
      <c r="N10389" s="5"/>
    </row>
    <row r="10390">
      <c r="N10390" s="5"/>
    </row>
    <row r="10391">
      <c r="N10391" s="5"/>
    </row>
    <row r="10392">
      <c r="N10392" s="5"/>
    </row>
    <row r="10393">
      <c r="N10393" s="5"/>
    </row>
    <row r="10394">
      <c r="N10394" s="5"/>
    </row>
    <row r="10395">
      <c r="N10395" s="5"/>
    </row>
    <row r="10396">
      <c r="N10396" s="5"/>
    </row>
    <row r="10397">
      <c r="N10397" s="5"/>
    </row>
    <row r="10398">
      <c r="N10398" s="5"/>
    </row>
    <row r="10399">
      <c r="N10399" s="5"/>
    </row>
    <row r="10400">
      <c r="N10400" s="5"/>
    </row>
    <row r="10401">
      <c r="N10401" s="5"/>
    </row>
    <row r="10402">
      <c r="N10402" s="5"/>
    </row>
    <row r="10403">
      <c r="N10403" s="5"/>
    </row>
    <row r="10404">
      <c r="N10404" s="5"/>
    </row>
    <row r="10405">
      <c r="N10405" s="5"/>
    </row>
    <row r="10406">
      <c r="N10406" s="5"/>
    </row>
    <row r="10407">
      <c r="N10407" s="5"/>
    </row>
    <row r="10408">
      <c r="N10408" s="5"/>
    </row>
    <row r="10409">
      <c r="N10409" s="5"/>
    </row>
    <row r="10410">
      <c r="N10410" s="5"/>
    </row>
    <row r="10411">
      <c r="N10411" s="5"/>
    </row>
    <row r="10412">
      <c r="N10412" s="5"/>
    </row>
    <row r="10413">
      <c r="N10413" s="5"/>
    </row>
    <row r="10414">
      <c r="N10414" s="5"/>
    </row>
    <row r="10415">
      <c r="N10415" s="5"/>
    </row>
    <row r="10416">
      <c r="N10416" s="5"/>
    </row>
    <row r="10417">
      <c r="N10417" s="5"/>
    </row>
    <row r="10418">
      <c r="N10418" s="5"/>
    </row>
    <row r="10419">
      <c r="N10419" s="5"/>
    </row>
    <row r="10420">
      <c r="N10420" s="5"/>
    </row>
    <row r="10421">
      <c r="N10421" s="5"/>
    </row>
    <row r="10422">
      <c r="N10422" s="5"/>
    </row>
    <row r="10423">
      <c r="N10423" s="5"/>
    </row>
    <row r="10424">
      <c r="N10424" s="5"/>
    </row>
    <row r="10425">
      <c r="N10425" s="5"/>
    </row>
    <row r="10426">
      <c r="N10426" s="5"/>
    </row>
    <row r="10427">
      <c r="N10427" s="5"/>
    </row>
    <row r="10428">
      <c r="N10428" s="5"/>
    </row>
    <row r="10429">
      <c r="N10429" s="5"/>
    </row>
    <row r="10430">
      <c r="N10430" s="5"/>
    </row>
    <row r="10431">
      <c r="N10431" s="5"/>
    </row>
    <row r="10432">
      <c r="N10432" s="5"/>
    </row>
    <row r="10433">
      <c r="N10433" s="5"/>
    </row>
    <row r="10434">
      <c r="N10434" s="5"/>
    </row>
    <row r="10435">
      <c r="N10435" s="5"/>
    </row>
    <row r="10436">
      <c r="N10436" s="5"/>
    </row>
    <row r="10437">
      <c r="N10437" s="5"/>
    </row>
    <row r="10438">
      <c r="N10438" s="5"/>
    </row>
    <row r="10439">
      <c r="N10439" s="5"/>
    </row>
    <row r="10440">
      <c r="N10440" s="5"/>
    </row>
    <row r="10441">
      <c r="N10441" s="5"/>
    </row>
    <row r="10442">
      <c r="N10442" s="5"/>
    </row>
    <row r="10443">
      <c r="N10443" s="5"/>
    </row>
    <row r="10444">
      <c r="N10444" s="5"/>
    </row>
    <row r="10445">
      <c r="N10445" s="5"/>
    </row>
    <row r="10446">
      <c r="N10446" s="5"/>
    </row>
    <row r="10447">
      <c r="N10447" s="5"/>
    </row>
    <row r="10448">
      <c r="N10448" s="5"/>
    </row>
    <row r="10449">
      <c r="N10449" s="5"/>
    </row>
    <row r="10450">
      <c r="N10450" s="5"/>
    </row>
    <row r="10451">
      <c r="N10451" s="5"/>
    </row>
    <row r="10452">
      <c r="N10452" s="5"/>
    </row>
    <row r="10453">
      <c r="N10453" s="5"/>
    </row>
    <row r="10454">
      <c r="N10454" s="5"/>
    </row>
    <row r="10455">
      <c r="N10455" s="5"/>
    </row>
    <row r="10456">
      <c r="N10456" s="5"/>
    </row>
    <row r="10457">
      <c r="N10457" s="5"/>
    </row>
    <row r="10458">
      <c r="N10458" s="5"/>
    </row>
    <row r="10459">
      <c r="N10459" s="5"/>
    </row>
    <row r="10460">
      <c r="N10460" s="5"/>
    </row>
    <row r="10461">
      <c r="N10461" s="5"/>
    </row>
    <row r="10462">
      <c r="N10462" s="5"/>
    </row>
    <row r="10463">
      <c r="N10463" s="5"/>
    </row>
    <row r="10464">
      <c r="N10464" s="5"/>
    </row>
    <row r="10465">
      <c r="N10465" s="5"/>
    </row>
    <row r="10466">
      <c r="N10466" s="5"/>
    </row>
    <row r="10467">
      <c r="N10467" s="5"/>
    </row>
    <row r="10468">
      <c r="N10468" s="5"/>
    </row>
    <row r="10469">
      <c r="N10469" s="5"/>
    </row>
    <row r="10470">
      <c r="N10470" s="5"/>
    </row>
    <row r="10471">
      <c r="N10471" s="5"/>
    </row>
    <row r="10472">
      <c r="N10472" s="5"/>
    </row>
    <row r="10473">
      <c r="N10473" s="5"/>
    </row>
    <row r="10474">
      <c r="N10474" s="5"/>
    </row>
    <row r="10475">
      <c r="N10475" s="5"/>
    </row>
    <row r="10476">
      <c r="N10476" s="5"/>
    </row>
    <row r="10477">
      <c r="N10477" s="5"/>
    </row>
    <row r="10478">
      <c r="N10478" s="5"/>
    </row>
    <row r="10479">
      <c r="N10479" s="5"/>
    </row>
    <row r="10480">
      <c r="N10480" s="5"/>
    </row>
    <row r="10481">
      <c r="N10481" s="5"/>
    </row>
    <row r="10482">
      <c r="N10482" s="5"/>
    </row>
    <row r="10483">
      <c r="N10483" s="5"/>
    </row>
    <row r="10484">
      <c r="N10484" s="5"/>
    </row>
    <row r="10485">
      <c r="N10485" s="5"/>
    </row>
    <row r="10486">
      <c r="N10486" s="5"/>
    </row>
    <row r="10487">
      <c r="N10487" s="5"/>
    </row>
    <row r="10488">
      <c r="N10488" s="5"/>
    </row>
    <row r="10489">
      <c r="N10489" s="5"/>
    </row>
    <row r="10490">
      <c r="N10490" s="5"/>
    </row>
    <row r="10491">
      <c r="N10491" s="5"/>
    </row>
    <row r="10492">
      <c r="N10492" s="5"/>
    </row>
    <row r="10493">
      <c r="N10493" s="5"/>
    </row>
    <row r="10494">
      <c r="N10494" s="5"/>
    </row>
    <row r="10495">
      <c r="N10495" s="5"/>
    </row>
    <row r="10496">
      <c r="N10496" s="5"/>
    </row>
    <row r="10497">
      <c r="N10497" s="5"/>
    </row>
    <row r="10498">
      <c r="N10498" s="5"/>
    </row>
    <row r="10499">
      <c r="N10499" s="5"/>
    </row>
    <row r="10500">
      <c r="N10500" s="5"/>
    </row>
    <row r="10501">
      <c r="N10501" s="5"/>
    </row>
    <row r="10502">
      <c r="N10502" s="5"/>
    </row>
    <row r="10503">
      <c r="N10503" s="5"/>
    </row>
    <row r="10504">
      <c r="N10504" s="5"/>
    </row>
    <row r="10505">
      <c r="N10505" s="5"/>
    </row>
    <row r="10506">
      <c r="N10506" s="5"/>
    </row>
    <row r="10507">
      <c r="N10507" s="5"/>
    </row>
    <row r="10508">
      <c r="N10508" s="5"/>
    </row>
    <row r="10509">
      <c r="N10509" s="5"/>
    </row>
    <row r="10510">
      <c r="N10510" s="5"/>
    </row>
    <row r="10511">
      <c r="N10511" s="5"/>
    </row>
    <row r="10512">
      <c r="N10512" s="5"/>
    </row>
    <row r="10513">
      <c r="N10513" s="5"/>
    </row>
    <row r="10514">
      <c r="N10514" s="5"/>
    </row>
    <row r="10515">
      <c r="N10515" s="5"/>
    </row>
    <row r="10516">
      <c r="N10516" s="5"/>
    </row>
    <row r="10517">
      <c r="N10517" s="5"/>
    </row>
    <row r="10518">
      <c r="N10518" s="5"/>
    </row>
    <row r="10519">
      <c r="N10519" s="5"/>
    </row>
    <row r="10520">
      <c r="N10520" s="5"/>
    </row>
    <row r="10521">
      <c r="N10521" s="5"/>
    </row>
    <row r="10522">
      <c r="N10522" s="5"/>
    </row>
    <row r="10523">
      <c r="N10523" s="5"/>
    </row>
    <row r="10524">
      <c r="N10524" s="5"/>
    </row>
    <row r="10525">
      <c r="N10525" s="5"/>
    </row>
    <row r="10526">
      <c r="N10526" s="5"/>
    </row>
    <row r="10527">
      <c r="N10527" s="5"/>
    </row>
    <row r="10528">
      <c r="N10528" s="5"/>
    </row>
    <row r="10529">
      <c r="N10529" s="5"/>
    </row>
    <row r="10530">
      <c r="N10530" s="5"/>
    </row>
    <row r="10531">
      <c r="N10531" s="5"/>
    </row>
    <row r="10532">
      <c r="N10532" s="5"/>
    </row>
    <row r="10533">
      <c r="N10533" s="5"/>
    </row>
    <row r="10534">
      <c r="N10534" s="5"/>
    </row>
    <row r="10535">
      <c r="N10535" s="5"/>
    </row>
    <row r="10536">
      <c r="N10536" s="5"/>
    </row>
    <row r="10537">
      <c r="N10537" s="5"/>
    </row>
    <row r="10538">
      <c r="N10538" s="5"/>
    </row>
    <row r="10539">
      <c r="N10539" s="5"/>
    </row>
    <row r="10540">
      <c r="N10540" s="5"/>
    </row>
    <row r="10541">
      <c r="N10541" s="5"/>
    </row>
    <row r="10542">
      <c r="N10542" s="5"/>
    </row>
    <row r="10543">
      <c r="N10543" s="5"/>
    </row>
    <row r="10544">
      <c r="N10544" s="5"/>
    </row>
    <row r="10545">
      <c r="N10545" s="5"/>
    </row>
    <row r="10546">
      <c r="N10546" s="5"/>
    </row>
    <row r="10547">
      <c r="N10547" s="5"/>
    </row>
    <row r="10548">
      <c r="N10548" s="5"/>
    </row>
    <row r="10549">
      <c r="N10549" s="5"/>
    </row>
    <row r="10550">
      <c r="N10550" s="5"/>
    </row>
    <row r="10551">
      <c r="N10551" s="5"/>
    </row>
    <row r="10552">
      <c r="N10552" s="5"/>
    </row>
    <row r="10553">
      <c r="N10553" s="5"/>
    </row>
    <row r="10554">
      <c r="N10554" s="5"/>
    </row>
    <row r="10555">
      <c r="N10555" s="5"/>
    </row>
    <row r="10556">
      <c r="N10556" s="5"/>
    </row>
    <row r="10557">
      <c r="N10557" s="5"/>
    </row>
    <row r="10558">
      <c r="N10558" s="5"/>
    </row>
    <row r="10559">
      <c r="N10559" s="5"/>
    </row>
    <row r="10560">
      <c r="N10560" s="5"/>
    </row>
    <row r="10561">
      <c r="N10561" s="5"/>
    </row>
    <row r="10562">
      <c r="N10562" s="5"/>
    </row>
    <row r="10563">
      <c r="N10563" s="5"/>
    </row>
    <row r="10564">
      <c r="N10564" s="5"/>
    </row>
    <row r="10565">
      <c r="N10565" s="5"/>
    </row>
    <row r="10566">
      <c r="N10566" s="5"/>
    </row>
    <row r="10567">
      <c r="N10567" s="5"/>
    </row>
    <row r="10568">
      <c r="N10568" s="5"/>
    </row>
    <row r="10569">
      <c r="N10569" s="5"/>
    </row>
    <row r="10570">
      <c r="N10570" s="5"/>
    </row>
    <row r="10571">
      <c r="N10571" s="5"/>
    </row>
    <row r="10572">
      <c r="N10572" s="5"/>
    </row>
    <row r="10573">
      <c r="N10573" s="5"/>
    </row>
    <row r="10574">
      <c r="N10574" s="5"/>
    </row>
    <row r="10575">
      <c r="N10575" s="5"/>
    </row>
    <row r="10576">
      <c r="N10576" s="5"/>
    </row>
    <row r="10577">
      <c r="N10577" s="5"/>
    </row>
    <row r="10578">
      <c r="N10578" s="5"/>
    </row>
    <row r="10579">
      <c r="N10579" s="5"/>
    </row>
    <row r="10580">
      <c r="N10580" s="5"/>
    </row>
    <row r="10581">
      <c r="N10581" s="5"/>
    </row>
    <row r="10582">
      <c r="N10582" s="5"/>
    </row>
    <row r="10583">
      <c r="N10583" s="5"/>
    </row>
    <row r="10584">
      <c r="N10584" s="5"/>
    </row>
    <row r="10585">
      <c r="N10585" s="5"/>
    </row>
    <row r="10586">
      <c r="N10586" s="5"/>
    </row>
    <row r="10587">
      <c r="N10587" s="5"/>
    </row>
    <row r="10588">
      <c r="N10588" s="5"/>
    </row>
    <row r="10589">
      <c r="N10589" s="5"/>
    </row>
    <row r="10590">
      <c r="N10590" s="5"/>
    </row>
    <row r="10591">
      <c r="N10591" s="5"/>
    </row>
    <row r="10592">
      <c r="N10592" s="5"/>
    </row>
    <row r="10593">
      <c r="N10593" s="5"/>
    </row>
    <row r="10594">
      <c r="N10594" s="5"/>
    </row>
    <row r="10595">
      <c r="N10595" s="5"/>
    </row>
    <row r="10596">
      <c r="N10596" s="5"/>
    </row>
    <row r="10597">
      <c r="N10597" s="5"/>
    </row>
    <row r="10598">
      <c r="N10598" s="5"/>
    </row>
    <row r="10599">
      <c r="N10599" s="5"/>
    </row>
    <row r="10600">
      <c r="N10600" s="5"/>
    </row>
    <row r="10601">
      <c r="N10601" s="5"/>
    </row>
    <row r="10602">
      <c r="N10602" s="5"/>
    </row>
    <row r="10603">
      <c r="N10603" s="5"/>
    </row>
    <row r="10604">
      <c r="N10604" s="5"/>
    </row>
    <row r="10605">
      <c r="N10605" s="5"/>
    </row>
    <row r="10606">
      <c r="N10606" s="5"/>
    </row>
    <row r="10607">
      <c r="N10607" s="5"/>
    </row>
    <row r="10608">
      <c r="N10608" s="5"/>
    </row>
    <row r="10609">
      <c r="N10609" s="5"/>
    </row>
    <row r="10610">
      <c r="N10610" s="5"/>
    </row>
    <row r="10611">
      <c r="N10611" s="5"/>
    </row>
    <row r="10612">
      <c r="N10612" s="5"/>
    </row>
    <row r="10613">
      <c r="N10613" s="5"/>
    </row>
    <row r="10614">
      <c r="N10614" s="5"/>
    </row>
    <row r="10615">
      <c r="N10615" s="5"/>
    </row>
    <row r="10616">
      <c r="N10616" s="5"/>
    </row>
    <row r="10617">
      <c r="N10617" s="5"/>
    </row>
    <row r="10618">
      <c r="N10618" s="5"/>
    </row>
    <row r="10619">
      <c r="N10619" s="5"/>
    </row>
    <row r="10620">
      <c r="N10620" s="5"/>
    </row>
    <row r="10621">
      <c r="N10621" s="5"/>
    </row>
    <row r="10622">
      <c r="N10622" s="5"/>
    </row>
    <row r="10623">
      <c r="N10623" s="5"/>
    </row>
    <row r="10624">
      <c r="N10624" s="5"/>
    </row>
    <row r="10625">
      <c r="N10625" s="5"/>
    </row>
    <row r="10626">
      <c r="N10626" s="5"/>
    </row>
    <row r="10627">
      <c r="N10627" s="5"/>
    </row>
    <row r="10628">
      <c r="N10628" s="5"/>
    </row>
    <row r="10629">
      <c r="N10629" s="5"/>
    </row>
    <row r="10630">
      <c r="N10630" s="5"/>
    </row>
    <row r="10631">
      <c r="N10631" s="5"/>
    </row>
    <row r="10632">
      <c r="N10632" s="5"/>
    </row>
    <row r="10633">
      <c r="N10633" s="5"/>
    </row>
    <row r="10634">
      <c r="N10634" s="5"/>
    </row>
    <row r="10635">
      <c r="N10635" s="5"/>
    </row>
    <row r="10636">
      <c r="N10636" s="5"/>
    </row>
    <row r="10637">
      <c r="N10637" s="5"/>
    </row>
    <row r="10638">
      <c r="N10638" s="5"/>
    </row>
    <row r="10639">
      <c r="N10639" s="5"/>
    </row>
    <row r="10640">
      <c r="N10640" s="5"/>
    </row>
    <row r="10641">
      <c r="N10641" s="5"/>
    </row>
    <row r="10642">
      <c r="N10642" s="5"/>
    </row>
    <row r="10643">
      <c r="N10643" s="5"/>
    </row>
    <row r="10644">
      <c r="N10644" s="5"/>
    </row>
    <row r="10645">
      <c r="N10645" s="5"/>
    </row>
    <row r="10646">
      <c r="N10646" s="5"/>
    </row>
    <row r="10647">
      <c r="N10647" s="5"/>
    </row>
    <row r="10648">
      <c r="N10648" s="5"/>
    </row>
    <row r="10649">
      <c r="N10649" s="5"/>
    </row>
    <row r="10650">
      <c r="N10650" s="5"/>
    </row>
    <row r="10651">
      <c r="N10651" s="5"/>
    </row>
    <row r="10652">
      <c r="N10652" s="5"/>
    </row>
    <row r="10653">
      <c r="N10653" s="5"/>
    </row>
    <row r="10654">
      <c r="N10654" s="5"/>
    </row>
    <row r="10655">
      <c r="N10655" s="5"/>
    </row>
    <row r="10656">
      <c r="N10656" s="5"/>
    </row>
    <row r="10657">
      <c r="N10657" s="5"/>
    </row>
    <row r="10658">
      <c r="N10658" s="5"/>
    </row>
    <row r="10659">
      <c r="N10659" s="5"/>
    </row>
    <row r="10660">
      <c r="N10660" s="5"/>
    </row>
    <row r="10661">
      <c r="N10661" s="5"/>
    </row>
    <row r="10662">
      <c r="N10662" s="5"/>
    </row>
    <row r="10663">
      <c r="N10663" s="5"/>
    </row>
    <row r="10664">
      <c r="N10664" s="5"/>
    </row>
    <row r="10665">
      <c r="N10665" s="5"/>
    </row>
    <row r="10666">
      <c r="N10666" s="5"/>
    </row>
    <row r="10667">
      <c r="N10667" s="5"/>
    </row>
    <row r="10668">
      <c r="N10668" s="5"/>
    </row>
    <row r="10669">
      <c r="N10669" s="5"/>
    </row>
    <row r="10670">
      <c r="N10670" s="5"/>
    </row>
    <row r="10671">
      <c r="N10671" s="5"/>
    </row>
    <row r="10672">
      <c r="N10672" s="5"/>
    </row>
    <row r="10673">
      <c r="N10673" s="5"/>
    </row>
    <row r="10674">
      <c r="N10674" s="5"/>
    </row>
    <row r="10675">
      <c r="N10675" s="5"/>
    </row>
    <row r="10676">
      <c r="N10676" s="5"/>
    </row>
    <row r="10677">
      <c r="N10677" s="5"/>
    </row>
    <row r="10678">
      <c r="N10678" s="5"/>
    </row>
    <row r="10679">
      <c r="N10679" s="5"/>
    </row>
    <row r="10680">
      <c r="N10680" s="5"/>
    </row>
    <row r="10681">
      <c r="N10681" s="5"/>
    </row>
    <row r="10682">
      <c r="N10682" s="5"/>
    </row>
    <row r="10683">
      <c r="N10683" s="5"/>
    </row>
    <row r="10684">
      <c r="N10684" s="5"/>
    </row>
    <row r="10685">
      <c r="N10685" s="5"/>
    </row>
    <row r="10686">
      <c r="N10686" s="5"/>
    </row>
    <row r="10687">
      <c r="N10687" s="5"/>
    </row>
    <row r="10688">
      <c r="N10688" s="5"/>
    </row>
    <row r="10689">
      <c r="N10689" s="5"/>
    </row>
    <row r="10690">
      <c r="N10690" s="5"/>
    </row>
    <row r="10691">
      <c r="N10691" s="5"/>
    </row>
    <row r="10692">
      <c r="N10692" s="5"/>
    </row>
    <row r="10693">
      <c r="N10693" s="5"/>
    </row>
    <row r="10694">
      <c r="N10694" s="5"/>
    </row>
    <row r="10695">
      <c r="N10695" s="5"/>
    </row>
    <row r="10696">
      <c r="N10696" s="5"/>
    </row>
    <row r="10697">
      <c r="N10697" s="5"/>
    </row>
    <row r="10698">
      <c r="N10698" s="5"/>
    </row>
    <row r="10699">
      <c r="N10699" s="5"/>
    </row>
    <row r="10700">
      <c r="N10700" s="5"/>
    </row>
    <row r="10701">
      <c r="N10701" s="5"/>
    </row>
    <row r="10702">
      <c r="N10702" s="5"/>
    </row>
    <row r="10703">
      <c r="N10703" s="5"/>
    </row>
    <row r="10704">
      <c r="N10704" s="5"/>
    </row>
    <row r="10705">
      <c r="N10705" s="5"/>
    </row>
    <row r="10706">
      <c r="N10706" s="5"/>
    </row>
    <row r="10707">
      <c r="N10707" s="5"/>
    </row>
    <row r="10708">
      <c r="N10708" s="5"/>
    </row>
    <row r="10709">
      <c r="N10709" s="5"/>
    </row>
    <row r="10710">
      <c r="N10710" s="5"/>
    </row>
    <row r="10711">
      <c r="N10711" s="5"/>
    </row>
    <row r="10712">
      <c r="N10712" s="5"/>
    </row>
    <row r="10713">
      <c r="N10713" s="5"/>
    </row>
    <row r="10714">
      <c r="N10714" s="5"/>
    </row>
    <row r="10715">
      <c r="N10715" s="5"/>
    </row>
    <row r="10716">
      <c r="N10716" s="5"/>
    </row>
    <row r="10717">
      <c r="N10717" s="5"/>
    </row>
    <row r="10718">
      <c r="N10718" s="5"/>
    </row>
    <row r="10719">
      <c r="N10719" s="5"/>
    </row>
    <row r="10720">
      <c r="N10720" s="5"/>
    </row>
    <row r="10721">
      <c r="N10721" s="5"/>
    </row>
    <row r="10722">
      <c r="N10722" s="5"/>
    </row>
    <row r="10723">
      <c r="N10723" s="5"/>
    </row>
    <row r="10724">
      <c r="N10724" s="5"/>
    </row>
    <row r="10725">
      <c r="N10725" s="5"/>
    </row>
    <row r="10726">
      <c r="N10726" s="5"/>
    </row>
    <row r="10727">
      <c r="N10727" s="5"/>
    </row>
    <row r="10728">
      <c r="N10728" s="5"/>
    </row>
    <row r="10729">
      <c r="N10729" s="5"/>
    </row>
    <row r="10730">
      <c r="N10730" s="5"/>
    </row>
    <row r="10731">
      <c r="N10731" s="5"/>
    </row>
    <row r="10732">
      <c r="N10732" s="5"/>
    </row>
    <row r="10733">
      <c r="N10733" s="5"/>
    </row>
    <row r="10734">
      <c r="N10734" s="5"/>
    </row>
    <row r="10735">
      <c r="N10735" s="5"/>
    </row>
    <row r="10736">
      <c r="N10736" s="5"/>
    </row>
    <row r="10737">
      <c r="N10737" s="5"/>
    </row>
    <row r="10738">
      <c r="N10738" s="5"/>
    </row>
    <row r="10739">
      <c r="N10739" s="5"/>
    </row>
    <row r="10740">
      <c r="N10740" s="5"/>
    </row>
    <row r="10741">
      <c r="N10741" s="5"/>
    </row>
    <row r="10742">
      <c r="N10742" s="5"/>
    </row>
    <row r="10743">
      <c r="N10743" s="5"/>
    </row>
    <row r="10744">
      <c r="N10744" s="5"/>
    </row>
    <row r="10745">
      <c r="N10745" s="5"/>
    </row>
    <row r="10746">
      <c r="N10746" s="5"/>
    </row>
    <row r="10747">
      <c r="N10747" s="5"/>
    </row>
    <row r="10748">
      <c r="N10748" s="5"/>
    </row>
    <row r="10749">
      <c r="N10749" s="5"/>
    </row>
    <row r="10750">
      <c r="N10750" s="5"/>
    </row>
    <row r="10751">
      <c r="N10751" s="5"/>
    </row>
    <row r="10752">
      <c r="N10752" s="5"/>
    </row>
    <row r="10753">
      <c r="N10753" s="5"/>
    </row>
    <row r="10754">
      <c r="N10754" s="5"/>
    </row>
    <row r="10755">
      <c r="N10755" s="5"/>
    </row>
    <row r="10756">
      <c r="N10756" s="5"/>
    </row>
    <row r="10757">
      <c r="N10757" s="5"/>
    </row>
    <row r="10758">
      <c r="N10758" s="5"/>
    </row>
    <row r="10759">
      <c r="N10759" s="5"/>
    </row>
    <row r="10760">
      <c r="N10760" s="5"/>
    </row>
    <row r="10761">
      <c r="N10761" s="5"/>
    </row>
    <row r="10762">
      <c r="N10762" s="5"/>
    </row>
    <row r="10763">
      <c r="N10763" s="5"/>
    </row>
    <row r="10764">
      <c r="N10764" s="5"/>
    </row>
    <row r="10765">
      <c r="N10765" s="5"/>
    </row>
    <row r="10766">
      <c r="N10766" s="5"/>
    </row>
    <row r="10767">
      <c r="N10767" s="5"/>
    </row>
    <row r="10768">
      <c r="N10768" s="5"/>
    </row>
    <row r="10769">
      <c r="N10769" s="5"/>
    </row>
    <row r="10770">
      <c r="N10770" s="5"/>
    </row>
    <row r="10771">
      <c r="N10771" s="5"/>
    </row>
    <row r="10772">
      <c r="N10772" s="5"/>
    </row>
    <row r="10773">
      <c r="N10773" s="5"/>
    </row>
    <row r="10774">
      <c r="N10774" s="5"/>
    </row>
    <row r="10775">
      <c r="N10775" s="5"/>
    </row>
    <row r="10776">
      <c r="N10776" s="5"/>
    </row>
    <row r="10777">
      <c r="N10777" s="5"/>
    </row>
    <row r="10778">
      <c r="N10778" s="5"/>
    </row>
    <row r="10779">
      <c r="N10779" s="5"/>
    </row>
    <row r="10780">
      <c r="N10780" s="5"/>
    </row>
    <row r="10781">
      <c r="N10781" s="5"/>
    </row>
    <row r="10782">
      <c r="N10782" s="5"/>
    </row>
    <row r="10783">
      <c r="N10783" s="5"/>
    </row>
    <row r="10784">
      <c r="N10784" s="5"/>
    </row>
    <row r="10785">
      <c r="N10785" s="5"/>
    </row>
    <row r="10786">
      <c r="N10786" s="5"/>
    </row>
    <row r="10787">
      <c r="N10787" s="5"/>
    </row>
    <row r="10788">
      <c r="N10788" s="5"/>
    </row>
    <row r="10789">
      <c r="N10789" s="5"/>
    </row>
    <row r="10790">
      <c r="N10790" s="5"/>
    </row>
    <row r="10791">
      <c r="N10791" s="5"/>
    </row>
    <row r="10792">
      <c r="N10792" s="5"/>
    </row>
    <row r="10793">
      <c r="N10793" s="5"/>
    </row>
    <row r="10794">
      <c r="N10794" s="5"/>
    </row>
    <row r="10795">
      <c r="N10795" s="5"/>
    </row>
    <row r="10796">
      <c r="N10796" s="5"/>
    </row>
    <row r="10797">
      <c r="N10797" s="5"/>
    </row>
    <row r="10798">
      <c r="N10798" s="5"/>
    </row>
    <row r="10799">
      <c r="N10799" s="5"/>
    </row>
    <row r="10800">
      <c r="N10800" s="5"/>
    </row>
    <row r="10801">
      <c r="N10801" s="5"/>
    </row>
    <row r="10802">
      <c r="N10802" s="5"/>
    </row>
    <row r="10803">
      <c r="N10803" s="5"/>
    </row>
    <row r="10804">
      <c r="N10804" s="5"/>
    </row>
    <row r="10805">
      <c r="N10805" s="5"/>
    </row>
    <row r="10806">
      <c r="N10806" s="5"/>
    </row>
    <row r="10807">
      <c r="N10807" s="5"/>
    </row>
    <row r="10808">
      <c r="N10808" s="5"/>
    </row>
    <row r="10809">
      <c r="N10809" s="5"/>
    </row>
    <row r="10810">
      <c r="N10810" s="5"/>
    </row>
    <row r="10811">
      <c r="N10811" s="5"/>
    </row>
    <row r="10812">
      <c r="N10812" s="5"/>
    </row>
    <row r="10813">
      <c r="N10813" s="5"/>
    </row>
    <row r="10814">
      <c r="N10814" s="5"/>
    </row>
    <row r="10815">
      <c r="N10815" s="5"/>
    </row>
    <row r="10816">
      <c r="N10816" s="5"/>
    </row>
    <row r="10817">
      <c r="N10817" s="5"/>
    </row>
    <row r="10818">
      <c r="N10818" s="5"/>
    </row>
    <row r="10819">
      <c r="N10819" s="5"/>
    </row>
    <row r="10820">
      <c r="N10820" s="5"/>
    </row>
    <row r="10821">
      <c r="N10821" s="5"/>
    </row>
    <row r="10822">
      <c r="N10822" s="5"/>
    </row>
    <row r="10823">
      <c r="N10823" s="5"/>
    </row>
    <row r="10824">
      <c r="N10824" s="5"/>
    </row>
    <row r="10825">
      <c r="N10825" s="5"/>
    </row>
    <row r="10826">
      <c r="N10826" s="5"/>
    </row>
    <row r="10827">
      <c r="N10827" s="5"/>
    </row>
    <row r="10828">
      <c r="N10828" s="5"/>
    </row>
    <row r="10829">
      <c r="N10829" s="5"/>
    </row>
    <row r="10830">
      <c r="N10830" s="5"/>
    </row>
    <row r="10831">
      <c r="N10831" s="5"/>
    </row>
    <row r="10832">
      <c r="N10832" s="5"/>
    </row>
    <row r="10833">
      <c r="N10833" s="5"/>
    </row>
    <row r="10834">
      <c r="N10834" s="5"/>
    </row>
    <row r="10835">
      <c r="N10835" s="5"/>
    </row>
    <row r="10836">
      <c r="N10836" s="5"/>
    </row>
    <row r="10837">
      <c r="N10837" s="5"/>
    </row>
    <row r="10838">
      <c r="N10838" s="5"/>
    </row>
    <row r="10839">
      <c r="N10839" s="5"/>
    </row>
    <row r="10840">
      <c r="N10840" s="5"/>
    </row>
    <row r="10841">
      <c r="N10841" s="5"/>
    </row>
    <row r="10842">
      <c r="N10842" s="5"/>
    </row>
    <row r="10843">
      <c r="N10843" s="5"/>
    </row>
    <row r="10844">
      <c r="N10844" s="5"/>
    </row>
    <row r="10845">
      <c r="N10845" s="5"/>
    </row>
    <row r="10846">
      <c r="N10846" s="5"/>
    </row>
    <row r="10847">
      <c r="N10847" s="5"/>
    </row>
    <row r="10848">
      <c r="N10848" s="5"/>
    </row>
    <row r="10849">
      <c r="N10849" s="5"/>
    </row>
    <row r="10850">
      <c r="N10850" s="5"/>
    </row>
    <row r="10851">
      <c r="N10851" s="5"/>
    </row>
    <row r="10852">
      <c r="N10852" s="5"/>
    </row>
    <row r="10853">
      <c r="N10853" s="5"/>
    </row>
    <row r="10854">
      <c r="N10854" s="5"/>
    </row>
    <row r="10855">
      <c r="N10855" s="5"/>
    </row>
    <row r="10856">
      <c r="N10856" s="5"/>
    </row>
    <row r="10857">
      <c r="N10857" s="5"/>
    </row>
    <row r="10858">
      <c r="N10858" s="5"/>
    </row>
    <row r="10859">
      <c r="N10859" s="5"/>
    </row>
    <row r="10860">
      <c r="N10860" s="5"/>
    </row>
    <row r="10861">
      <c r="N10861" s="5"/>
    </row>
    <row r="10862">
      <c r="N10862" s="5"/>
    </row>
    <row r="10863">
      <c r="N10863" s="5"/>
    </row>
    <row r="10864">
      <c r="N10864" s="5"/>
    </row>
    <row r="10865">
      <c r="N10865" s="5"/>
    </row>
    <row r="10866">
      <c r="N10866" s="5"/>
    </row>
    <row r="10867">
      <c r="N10867" s="5"/>
    </row>
    <row r="10868">
      <c r="N10868" s="5"/>
    </row>
    <row r="10869">
      <c r="N10869" s="5"/>
    </row>
    <row r="10870">
      <c r="N10870" s="5"/>
    </row>
    <row r="10871">
      <c r="N10871" s="5"/>
    </row>
    <row r="10872">
      <c r="N10872" s="5"/>
    </row>
    <row r="10873">
      <c r="N10873" s="5"/>
    </row>
    <row r="10874">
      <c r="N10874" s="5"/>
    </row>
    <row r="10875">
      <c r="N10875" s="5"/>
    </row>
    <row r="10876">
      <c r="N10876" s="5"/>
    </row>
    <row r="10877">
      <c r="N10877" s="5"/>
    </row>
    <row r="10878">
      <c r="N10878" s="5"/>
    </row>
    <row r="10879">
      <c r="N10879" s="5"/>
    </row>
    <row r="10880">
      <c r="N10880" s="5"/>
    </row>
    <row r="10881">
      <c r="N10881" s="5"/>
    </row>
    <row r="10882">
      <c r="N10882" s="5"/>
    </row>
    <row r="10883">
      <c r="N10883" s="5"/>
    </row>
    <row r="10884">
      <c r="N10884" s="5"/>
    </row>
    <row r="10885">
      <c r="N10885" s="5"/>
    </row>
    <row r="10886">
      <c r="N10886" s="5"/>
    </row>
    <row r="10887">
      <c r="N10887" s="5"/>
    </row>
    <row r="10888">
      <c r="N10888" s="5"/>
    </row>
    <row r="10889">
      <c r="N10889" s="5"/>
    </row>
    <row r="10890">
      <c r="N10890" s="5"/>
    </row>
    <row r="10891">
      <c r="N10891" s="5"/>
    </row>
    <row r="10892">
      <c r="N10892" s="5"/>
    </row>
    <row r="10893">
      <c r="N10893" s="5"/>
    </row>
    <row r="10894">
      <c r="N10894" s="5"/>
    </row>
    <row r="10895">
      <c r="N10895" s="5"/>
    </row>
    <row r="10896">
      <c r="N10896" s="5"/>
    </row>
    <row r="10897">
      <c r="N10897" s="5"/>
    </row>
    <row r="10898">
      <c r="N10898" s="5"/>
    </row>
    <row r="10899">
      <c r="N10899" s="5"/>
    </row>
    <row r="10900">
      <c r="N10900" s="5"/>
    </row>
    <row r="10901">
      <c r="N10901" s="5"/>
    </row>
    <row r="10902">
      <c r="N10902" s="5"/>
    </row>
    <row r="10903">
      <c r="N10903" s="5"/>
    </row>
    <row r="10904">
      <c r="N10904" s="5"/>
    </row>
    <row r="10905">
      <c r="N10905" s="5"/>
    </row>
    <row r="10906">
      <c r="N10906" s="5"/>
    </row>
    <row r="10907">
      <c r="N10907" s="5"/>
    </row>
    <row r="10908">
      <c r="N10908" s="5"/>
    </row>
    <row r="10909">
      <c r="N10909" s="5"/>
    </row>
    <row r="10910">
      <c r="N10910" s="5"/>
    </row>
    <row r="10911">
      <c r="N10911" s="5"/>
    </row>
    <row r="10912">
      <c r="N10912" s="5"/>
    </row>
    <row r="10913">
      <c r="N10913" s="5"/>
    </row>
    <row r="10914">
      <c r="N10914" s="5"/>
    </row>
    <row r="10915">
      <c r="N10915" s="5"/>
    </row>
    <row r="10916">
      <c r="N10916" s="5"/>
    </row>
    <row r="10917">
      <c r="N10917" s="5"/>
    </row>
    <row r="10918">
      <c r="N10918" s="5"/>
    </row>
    <row r="10919">
      <c r="N10919" s="5"/>
    </row>
    <row r="10920">
      <c r="N10920" s="5"/>
    </row>
    <row r="10921">
      <c r="N10921" s="5"/>
    </row>
    <row r="10922">
      <c r="N10922" s="5"/>
    </row>
    <row r="10923">
      <c r="N10923" s="5"/>
    </row>
    <row r="10924">
      <c r="N10924" s="5"/>
    </row>
    <row r="10925">
      <c r="N10925" s="5"/>
    </row>
    <row r="10926">
      <c r="N10926" s="5"/>
    </row>
    <row r="10927">
      <c r="N10927" s="5"/>
    </row>
    <row r="10928">
      <c r="N10928" s="5"/>
    </row>
    <row r="10929">
      <c r="N10929" s="5"/>
    </row>
    <row r="10930">
      <c r="N10930" s="5"/>
    </row>
    <row r="10931">
      <c r="N10931" s="5"/>
    </row>
    <row r="10932">
      <c r="N10932" s="5"/>
    </row>
    <row r="10933">
      <c r="N10933" s="5"/>
    </row>
    <row r="10934">
      <c r="N10934" s="5"/>
    </row>
    <row r="10935">
      <c r="N10935" s="5"/>
    </row>
    <row r="10936">
      <c r="N10936" s="5"/>
    </row>
    <row r="10937">
      <c r="N10937" s="5"/>
    </row>
    <row r="10938">
      <c r="N10938" s="5"/>
    </row>
    <row r="10939">
      <c r="N10939" s="5"/>
    </row>
    <row r="10940">
      <c r="N10940" s="5"/>
    </row>
    <row r="10941">
      <c r="N10941" s="5"/>
    </row>
    <row r="10942">
      <c r="N10942" s="5"/>
    </row>
    <row r="10943">
      <c r="N10943" s="5"/>
    </row>
    <row r="10944">
      <c r="N10944" s="5"/>
    </row>
    <row r="10945">
      <c r="N10945" s="5"/>
    </row>
    <row r="10946">
      <c r="N10946" s="5"/>
    </row>
    <row r="10947">
      <c r="N10947" s="5"/>
    </row>
    <row r="10948">
      <c r="N10948" s="5"/>
    </row>
    <row r="10949">
      <c r="N10949" s="5"/>
    </row>
    <row r="10950">
      <c r="N10950" s="5"/>
    </row>
    <row r="10951">
      <c r="N10951" s="5"/>
    </row>
    <row r="10952">
      <c r="N10952" s="5"/>
    </row>
    <row r="10953">
      <c r="N10953" s="5"/>
    </row>
    <row r="10954">
      <c r="N10954" s="5"/>
    </row>
    <row r="10955">
      <c r="N10955" s="5"/>
    </row>
    <row r="10956">
      <c r="N10956" s="5"/>
    </row>
    <row r="10957">
      <c r="N10957" s="5"/>
    </row>
    <row r="10958">
      <c r="N10958" s="5"/>
    </row>
    <row r="10959">
      <c r="N10959" s="5"/>
    </row>
    <row r="10960">
      <c r="N10960" s="5"/>
    </row>
    <row r="10961">
      <c r="N10961" s="5"/>
    </row>
    <row r="10962">
      <c r="N10962" s="5"/>
    </row>
    <row r="10963">
      <c r="N10963" s="5"/>
    </row>
    <row r="10964">
      <c r="N10964" s="5"/>
    </row>
    <row r="10965">
      <c r="N10965" s="5"/>
    </row>
    <row r="10966">
      <c r="N10966" s="5"/>
    </row>
    <row r="10967">
      <c r="N10967" s="5"/>
    </row>
    <row r="10968">
      <c r="N10968" s="5"/>
    </row>
    <row r="10969">
      <c r="N10969" s="5"/>
    </row>
    <row r="10970">
      <c r="N10970" s="5"/>
    </row>
    <row r="10971">
      <c r="N10971" s="5"/>
    </row>
    <row r="10972">
      <c r="N10972" s="5"/>
    </row>
    <row r="10973">
      <c r="N10973" s="5"/>
    </row>
    <row r="10974">
      <c r="N10974" s="5"/>
    </row>
    <row r="10975">
      <c r="N10975" s="5"/>
    </row>
    <row r="10976">
      <c r="N10976" s="5"/>
    </row>
    <row r="10977">
      <c r="N10977" s="5"/>
    </row>
    <row r="10978">
      <c r="N10978" s="5"/>
    </row>
    <row r="10979">
      <c r="N10979" s="5"/>
    </row>
    <row r="10980">
      <c r="N10980" s="5"/>
    </row>
    <row r="10981">
      <c r="N10981" s="5"/>
    </row>
    <row r="10982">
      <c r="N10982" s="5"/>
    </row>
    <row r="10983">
      <c r="N10983" s="5"/>
    </row>
    <row r="10984">
      <c r="N10984" s="5"/>
    </row>
    <row r="10985">
      <c r="N10985" s="5"/>
    </row>
    <row r="10986">
      <c r="N10986" s="5"/>
    </row>
    <row r="10987">
      <c r="N10987" s="5"/>
    </row>
    <row r="10988">
      <c r="N10988" s="5"/>
    </row>
    <row r="10989">
      <c r="N10989" s="5"/>
    </row>
    <row r="10990">
      <c r="N10990" s="5"/>
    </row>
    <row r="10991">
      <c r="N10991" s="5"/>
    </row>
    <row r="10992">
      <c r="N10992" s="5"/>
    </row>
    <row r="10993">
      <c r="N10993" s="5"/>
    </row>
    <row r="10994">
      <c r="N10994" s="5"/>
    </row>
    <row r="10995">
      <c r="N10995" s="5"/>
    </row>
    <row r="10996">
      <c r="N10996" s="5"/>
    </row>
    <row r="10997">
      <c r="N10997" s="5"/>
    </row>
    <row r="10998">
      <c r="N10998" s="5"/>
    </row>
    <row r="10999">
      <c r="N10999" s="5"/>
    </row>
    <row r="11000">
      <c r="N11000" s="5"/>
    </row>
    <row r="11001">
      <c r="N11001" s="5"/>
    </row>
    <row r="11002">
      <c r="N11002" s="5"/>
    </row>
    <row r="11003">
      <c r="N11003" s="5"/>
    </row>
    <row r="11004">
      <c r="N11004" s="5"/>
    </row>
    <row r="11005">
      <c r="N11005" s="5"/>
    </row>
    <row r="11006">
      <c r="N11006" s="5"/>
    </row>
    <row r="11007">
      <c r="N11007" s="5"/>
    </row>
    <row r="11008">
      <c r="N11008" s="5"/>
    </row>
    <row r="11009">
      <c r="N11009" s="5"/>
    </row>
    <row r="11010">
      <c r="N11010" s="5"/>
    </row>
    <row r="11011">
      <c r="N11011" s="5"/>
    </row>
    <row r="11012">
      <c r="N11012" s="5"/>
    </row>
    <row r="11013">
      <c r="N11013" s="5"/>
    </row>
    <row r="11014">
      <c r="N11014" s="5"/>
    </row>
    <row r="11015">
      <c r="N11015" s="5"/>
    </row>
    <row r="11016">
      <c r="N11016" s="5"/>
    </row>
    <row r="11017">
      <c r="N11017" s="5"/>
    </row>
    <row r="11018">
      <c r="N11018" s="5"/>
    </row>
    <row r="11019">
      <c r="N11019" s="5"/>
    </row>
    <row r="11020">
      <c r="N11020" s="5"/>
    </row>
    <row r="11021">
      <c r="N11021" s="5"/>
    </row>
    <row r="11022">
      <c r="N11022" s="5"/>
    </row>
    <row r="11023">
      <c r="N11023" s="5"/>
    </row>
    <row r="11024">
      <c r="N11024" s="5"/>
    </row>
    <row r="11025">
      <c r="N11025" s="5"/>
    </row>
    <row r="11026">
      <c r="N11026" s="5"/>
    </row>
    <row r="11027">
      <c r="N11027" s="5"/>
    </row>
    <row r="11028">
      <c r="N11028" s="5"/>
    </row>
    <row r="11029">
      <c r="N11029" s="5"/>
    </row>
    <row r="11030">
      <c r="N11030" s="5"/>
    </row>
    <row r="11031">
      <c r="N11031" s="5"/>
    </row>
    <row r="11032">
      <c r="N11032" s="5"/>
    </row>
    <row r="11033">
      <c r="N11033" s="5"/>
    </row>
    <row r="11034">
      <c r="N11034" s="5"/>
    </row>
    <row r="11035">
      <c r="N11035" s="5"/>
    </row>
    <row r="11036">
      <c r="N11036" s="5"/>
    </row>
    <row r="11037">
      <c r="N11037" s="5"/>
    </row>
    <row r="11038">
      <c r="N11038" s="5"/>
    </row>
    <row r="11039">
      <c r="N11039" s="5"/>
    </row>
    <row r="11040">
      <c r="N11040" s="5"/>
    </row>
    <row r="11041">
      <c r="N11041" s="5"/>
    </row>
    <row r="11042">
      <c r="N11042" s="5"/>
    </row>
    <row r="11043">
      <c r="N11043" s="5"/>
    </row>
    <row r="11044">
      <c r="N11044" s="5"/>
    </row>
    <row r="11045">
      <c r="N11045" s="5"/>
    </row>
    <row r="11046">
      <c r="N11046" s="5"/>
    </row>
    <row r="11047">
      <c r="N11047" s="5"/>
    </row>
    <row r="11048">
      <c r="N11048" s="5"/>
    </row>
    <row r="11049">
      <c r="N11049" s="5"/>
    </row>
    <row r="11050">
      <c r="N11050" s="5"/>
    </row>
    <row r="11051">
      <c r="N11051" s="5"/>
    </row>
    <row r="11052">
      <c r="N11052" s="5"/>
    </row>
    <row r="11053">
      <c r="N11053" s="5"/>
    </row>
    <row r="11054">
      <c r="N11054" s="5"/>
    </row>
    <row r="11055">
      <c r="N11055" s="5"/>
    </row>
    <row r="11056">
      <c r="N11056" s="5"/>
    </row>
    <row r="11057">
      <c r="N11057" s="5"/>
    </row>
    <row r="11058">
      <c r="N11058" s="5"/>
    </row>
    <row r="11059">
      <c r="N11059" s="5"/>
    </row>
    <row r="11060">
      <c r="N11060" s="5"/>
    </row>
    <row r="11061">
      <c r="N11061" s="5"/>
    </row>
    <row r="11062">
      <c r="N11062" s="5"/>
    </row>
    <row r="11063">
      <c r="N11063" s="5"/>
    </row>
    <row r="11064">
      <c r="N11064" s="5"/>
    </row>
    <row r="11065">
      <c r="N11065" s="5"/>
    </row>
    <row r="11066">
      <c r="N11066" s="5"/>
    </row>
    <row r="11067">
      <c r="N11067" s="5"/>
    </row>
    <row r="11068">
      <c r="N11068" s="5"/>
    </row>
    <row r="11069">
      <c r="N11069" s="5"/>
    </row>
    <row r="11070">
      <c r="N11070" s="5"/>
    </row>
    <row r="11071">
      <c r="N11071" s="5"/>
    </row>
    <row r="11072">
      <c r="N11072" s="5"/>
    </row>
    <row r="11073">
      <c r="N11073" s="5"/>
    </row>
    <row r="11074">
      <c r="N11074" s="5"/>
    </row>
    <row r="11075">
      <c r="N11075" s="5"/>
    </row>
    <row r="11076">
      <c r="N11076" s="5"/>
    </row>
    <row r="11077">
      <c r="N11077" s="5"/>
    </row>
    <row r="11078">
      <c r="N11078" s="5"/>
    </row>
    <row r="11079">
      <c r="N11079" s="5"/>
    </row>
    <row r="11080">
      <c r="N11080" s="5"/>
    </row>
    <row r="11081">
      <c r="N11081" s="5"/>
    </row>
    <row r="11082">
      <c r="N11082" s="5"/>
    </row>
    <row r="11083">
      <c r="N11083" s="5"/>
    </row>
    <row r="11084">
      <c r="N11084" s="5"/>
    </row>
    <row r="11085">
      <c r="N11085" s="5"/>
    </row>
    <row r="11086">
      <c r="N11086" s="5"/>
    </row>
    <row r="11087">
      <c r="N11087" s="5"/>
    </row>
    <row r="11088">
      <c r="N11088" s="5"/>
    </row>
    <row r="11089">
      <c r="N11089" s="5"/>
    </row>
    <row r="11090">
      <c r="N11090" s="5"/>
    </row>
    <row r="11091">
      <c r="N11091" s="5"/>
    </row>
    <row r="11092">
      <c r="N11092" s="5"/>
    </row>
    <row r="11093">
      <c r="N11093" s="5"/>
    </row>
    <row r="11094">
      <c r="N11094" s="5"/>
    </row>
    <row r="11095">
      <c r="N11095" s="5"/>
    </row>
    <row r="11096">
      <c r="N11096" s="5"/>
    </row>
    <row r="11097">
      <c r="N11097" s="5"/>
    </row>
    <row r="11098">
      <c r="N11098" s="5"/>
    </row>
    <row r="11099">
      <c r="N11099" s="5"/>
    </row>
    <row r="11100">
      <c r="N11100" s="5"/>
    </row>
    <row r="11101">
      <c r="N11101" s="5"/>
    </row>
    <row r="11102">
      <c r="N11102" s="5"/>
    </row>
    <row r="11103">
      <c r="N11103" s="5"/>
    </row>
    <row r="11104">
      <c r="N11104" s="5"/>
    </row>
    <row r="11105">
      <c r="N11105" s="5"/>
    </row>
    <row r="11106">
      <c r="N11106" s="5"/>
    </row>
    <row r="11107">
      <c r="N11107" s="5"/>
    </row>
    <row r="11108">
      <c r="N11108" s="5"/>
    </row>
    <row r="11109">
      <c r="N11109" s="5"/>
    </row>
    <row r="11110">
      <c r="N11110" s="5"/>
    </row>
    <row r="11111">
      <c r="N11111" s="5"/>
    </row>
    <row r="11112">
      <c r="N11112" s="5"/>
    </row>
    <row r="11113">
      <c r="N11113" s="5"/>
    </row>
    <row r="11114">
      <c r="N11114" s="5"/>
    </row>
    <row r="11115">
      <c r="N11115" s="5"/>
    </row>
    <row r="11116">
      <c r="N11116" s="5"/>
    </row>
    <row r="11117">
      <c r="N11117" s="5"/>
    </row>
    <row r="11118">
      <c r="N11118" s="5"/>
    </row>
    <row r="11119">
      <c r="N11119" s="5"/>
    </row>
    <row r="11120">
      <c r="N11120" s="5"/>
    </row>
    <row r="11121">
      <c r="N11121" s="5"/>
    </row>
    <row r="11122">
      <c r="N11122" s="5"/>
    </row>
    <row r="11123">
      <c r="N11123" s="5"/>
    </row>
    <row r="11124">
      <c r="N11124" s="5"/>
    </row>
    <row r="11125">
      <c r="N11125" s="5"/>
    </row>
    <row r="11126">
      <c r="N11126" s="5"/>
    </row>
    <row r="11127">
      <c r="N11127" s="5"/>
    </row>
    <row r="11128">
      <c r="N11128" s="5"/>
    </row>
    <row r="11129">
      <c r="N11129" s="5"/>
    </row>
    <row r="11130">
      <c r="N11130" s="5"/>
    </row>
    <row r="11131">
      <c r="N11131" s="5"/>
    </row>
    <row r="11132">
      <c r="N11132" s="5"/>
    </row>
    <row r="11133">
      <c r="N11133" s="5"/>
    </row>
    <row r="11134">
      <c r="N11134" s="5"/>
    </row>
    <row r="11135">
      <c r="N11135" s="5"/>
    </row>
    <row r="11136">
      <c r="N11136" s="5"/>
    </row>
    <row r="11137">
      <c r="N11137" s="5"/>
    </row>
    <row r="11138">
      <c r="N11138" s="5"/>
    </row>
    <row r="11139">
      <c r="N11139" s="5"/>
    </row>
    <row r="11140">
      <c r="N11140" s="5"/>
    </row>
    <row r="11141">
      <c r="N11141" s="5"/>
    </row>
    <row r="11142">
      <c r="N11142" s="5"/>
    </row>
    <row r="11143">
      <c r="N11143" s="5"/>
    </row>
    <row r="11144">
      <c r="N11144" s="5"/>
    </row>
    <row r="11145">
      <c r="N11145" s="5"/>
    </row>
    <row r="11146">
      <c r="N11146" s="5"/>
    </row>
    <row r="11147">
      <c r="N11147" s="5"/>
    </row>
    <row r="11148">
      <c r="N11148" s="5"/>
    </row>
    <row r="11149">
      <c r="N11149" s="5"/>
    </row>
    <row r="11150">
      <c r="N11150" s="5"/>
    </row>
    <row r="11151">
      <c r="N11151" s="5"/>
    </row>
    <row r="11152">
      <c r="N11152" s="5"/>
    </row>
    <row r="11153">
      <c r="N11153" s="5"/>
    </row>
    <row r="11154">
      <c r="N11154" s="5"/>
    </row>
    <row r="11155">
      <c r="N11155" s="5"/>
    </row>
    <row r="11156">
      <c r="N11156" s="5"/>
    </row>
    <row r="11157">
      <c r="N11157" s="5"/>
    </row>
    <row r="11158">
      <c r="N11158" s="5"/>
    </row>
    <row r="11159">
      <c r="N11159" s="5"/>
    </row>
    <row r="11160">
      <c r="N11160" s="5"/>
    </row>
    <row r="11161">
      <c r="N11161" s="5"/>
    </row>
    <row r="11162">
      <c r="N11162" s="5"/>
    </row>
    <row r="11163">
      <c r="N11163" s="5"/>
    </row>
    <row r="11164">
      <c r="N11164" s="5"/>
    </row>
    <row r="11165">
      <c r="N11165" s="5"/>
    </row>
    <row r="11166">
      <c r="N11166" s="5"/>
    </row>
    <row r="11167">
      <c r="N11167" s="5"/>
    </row>
    <row r="11168">
      <c r="N11168" s="5"/>
    </row>
    <row r="11169">
      <c r="N11169" s="5"/>
    </row>
    <row r="11170">
      <c r="N11170" s="5"/>
    </row>
    <row r="11171">
      <c r="N11171" s="5"/>
    </row>
    <row r="11172">
      <c r="N11172" s="5"/>
    </row>
    <row r="11173">
      <c r="N11173" s="5"/>
    </row>
    <row r="11174">
      <c r="N11174" s="5"/>
    </row>
    <row r="11175">
      <c r="N11175" s="5"/>
    </row>
    <row r="11176">
      <c r="N11176" s="5"/>
    </row>
    <row r="11177">
      <c r="N11177" s="5"/>
    </row>
    <row r="11178">
      <c r="N11178" s="5"/>
    </row>
    <row r="11179">
      <c r="N11179" s="5"/>
    </row>
    <row r="11180">
      <c r="N11180" s="5"/>
    </row>
    <row r="11181">
      <c r="N11181" s="5"/>
    </row>
    <row r="11182">
      <c r="N11182" s="5"/>
    </row>
    <row r="11183">
      <c r="N11183" s="5"/>
    </row>
    <row r="11184">
      <c r="N11184" s="5"/>
    </row>
    <row r="11185">
      <c r="N11185" s="5"/>
    </row>
    <row r="11186">
      <c r="N11186" s="5"/>
    </row>
    <row r="11187">
      <c r="N11187" s="5"/>
    </row>
    <row r="11188">
      <c r="N11188" s="5"/>
    </row>
    <row r="11189">
      <c r="N11189" s="5"/>
    </row>
    <row r="11190">
      <c r="N11190" s="5"/>
    </row>
    <row r="11191">
      <c r="N11191" s="5"/>
    </row>
    <row r="11192">
      <c r="N11192" s="5"/>
    </row>
    <row r="11193">
      <c r="N11193" s="5"/>
    </row>
    <row r="11194">
      <c r="N11194" s="5"/>
    </row>
    <row r="11195">
      <c r="N11195" s="5"/>
    </row>
    <row r="11196">
      <c r="N11196" s="5"/>
    </row>
    <row r="11197">
      <c r="N11197" s="5"/>
    </row>
    <row r="11198">
      <c r="N11198" s="5"/>
    </row>
    <row r="11199">
      <c r="N11199" s="5"/>
    </row>
    <row r="11200">
      <c r="N11200" s="5"/>
    </row>
    <row r="11201">
      <c r="N11201" s="5"/>
    </row>
    <row r="11202">
      <c r="N11202" s="5"/>
    </row>
    <row r="11203">
      <c r="N11203" s="5"/>
    </row>
    <row r="11204">
      <c r="N11204" s="5"/>
    </row>
    <row r="11205">
      <c r="N11205" s="5"/>
    </row>
    <row r="11206">
      <c r="N11206" s="5"/>
    </row>
    <row r="11207">
      <c r="N11207" s="5"/>
    </row>
    <row r="11208">
      <c r="N11208" s="5"/>
    </row>
    <row r="11209">
      <c r="N11209" s="5"/>
    </row>
    <row r="11210">
      <c r="N11210" s="5"/>
    </row>
    <row r="11211">
      <c r="N11211" s="5"/>
    </row>
    <row r="11212">
      <c r="N11212" s="5"/>
    </row>
    <row r="11213">
      <c r="N11213" s="5"/>
    </row>
    <row r="11214">
      <c r="N11214" s="5"/>
    </row>
    <row r="11215">
      <c r="N11215" s="5"/>
    </row>
    <row r="11216">
      <c r="N11216" s="5"/>
    </row>
    <row r="11217">
      <c r="N11217" s="5"/>
    </row>
    <row r="11218">
      <c r="N11218" s="5"/>
    </row>
    <row r="11219">
      <c r="N11219" s="5"/>
    </row>
    <row r="11220">
      <c r="N11220" s="5"/>
    </row>
    <row r="11221">
      <c r="N11221" s="5"/>
    </row>
    <row r="11222">
      <c r="N11222" s="5"/>
    </row>
    <row r="11223">
      <c r="N11223" s="5"/>
    </row>
    <row r="11224">
      <c r="N11224" s="5"/>
    </row>
    <row r="11225">
      <c r="N11225" s="5"/>
    </row>
    <row r="11226">
      <c r="N11226" s="5"/>
    </row>
    <row r="11227">
      <c r="N11227" s="5"/>
    </row>
    <row r="11228">
      <c r="N11228" s="5"/>
    </row>
    <row r="11229">
      <c r="N11229" s="5"/>
    </row>
    <row r="11230">
      <c r="N11230" s="5"/>
    </row>
    <row r="11231">
      <c r="N11231" s="5"/>
    </row>
    <row r="11232">
      <c r="N11232" s="5"/>
    </row>
    <row r="11233">
      <c r="N11233" s="5"/>
    </row>
    <row r="11234">
      <c r="N11234" s="5"/>
    </row>
    <row r="11235">
      <c r="N11235" s="5"/>
    </row>
    <row r="11236">
      <c r="N11236" s="5"/>
    </row>
    <row r="11237">
      <c r="N11237" s="5"/>
    </row>
    <row r="11238">
      <c r="N11238" s="5"/>
    </row>
    <row r="11239">
      <c r="N11239" s="5"/>
    </row>
    <row r="11240">
      <c r="N11240" s="5"/>
    </row>
    <row r="11241">
      <c r="N11241" s="5"/>
    </row>
    <row r="11242">
      <c r="N11242" s="5"/>
    </row>
    <row r="11243">
      <c r="N11243" s="5"/>
    </row>
    <row r="11244">
      <c r="N11244" s="5"/>
    </row>
    <row r="11245">
      <c r="N11245" s="5"/>
    </row>
    <row r="11246">
      <c r="N11246" s="5"/>
    </row>
    <row r="11247">
      <c r="N11247" s="5"/>
    </row>
    <row r="11248">
      <c r="N11248" s="5"/>
    </row>
    <row r="11249">
      <c r="N11249" s="5"/>
    </row>
    <row r="11250">
      <c r="N11250" s="5"/>
    </row>
    <row r="11251">
      <c r="N11251" s="5"/>
    </row>
    <row r="11252">
      <c r="N11252" s="5"/>
    </row>
    <row r="11253">
      <c r="N11253" s="5"/>
    </row>
    <row r="11254">
      <c r="N11254" s="5"/>
    </row>
    <row r="11255">
      <c r="N11255" s="5"/>
    </row>
    <row r="11256">
      <c r="N11256" s="5"/>
    </row>
    <row r="11257">
      <c r="N11257" s="5"/>
    </row>
    <row r="11258">
      <c r="N11258" s="5"/>
    </row>
    <row r="11259">
      <c r="N11259" s="5"/>
    </row>
    <row r="11260">
      <c r="N11260" s="5"/>
    </row>
    <row r="11261">
      <c r="N11261" s="5"/>
    </row>
    <row r="11262">
      <c r="N11262" s="5"/>
    </row>
    <row r="11263">
      <c r="N11263" s="5"/>
    </row>
    <row r="11264">
      <c r="N11264" s="5"/>
    </row>
    <row r="11265">
      <c r="N11265" s="5"/>
    </row>
    <row r="11266">
      <c r="N11266" s="5"/>
    </row>
    <row r="11267">
      <c r="N11267" s="5"/>
    </row>
    <row r="11268">
      <c r="N11268" s="5"/>
    </row>
    <row r="11269">
      <c r="N11269" s="5"/>
    </row>
    <row r="11270">
      <c r="N11270" s="5"/>
    </row>
    <row r="11271">
      <c r="N11271" s="5"/>
    </row>
    <row r="11272">
      <c r="N11272" s="5"/>
    </row>
    <row r="11273">
      <c r="N11273" s="5"/>
    </row>
    <row r="11274">
      <c r="N11274" s="5"/>
    </row>
    <row r="11275">
      <c r="N11275" s="5"/>
    </row>
    <row r="11276">
      <c r="N11276" s="5"/>
    </row>
    <row r="11277">
      <c r="N11277" s="5"/>
    </row>
    <row r="11278">
      <c r="N11278" s="5"/>
    </row>
    <row r="11279">
      <c r="N11279" s="5"/>
    </row>
    <row r="11280">
      <c r="N11280" s="5"/>
    </row>
    <row r="11281">
      <c r="N11281" s="5"/>
    </row>
    <row r="11282">
      <c r="N11282" s="5"/>
    </row>
    <row r="11283">
      <c r="N11283" s="5"/>
    </row>
    <row r="11284">
      <c r="N11284" s="5"/>
    </row>
    <row r="11285">
      <c r="N11285" s="5"/>
    </row>
    <row r="11286">
      <c r="N11286" s="5"/>
    </row>
    <row r="11287">
      <c r="N11287" s="5"/>
    </row>
    <row r="11288">
      <c r="N11288" s="5"/>
    </row>
    <row r="11289">
      <c r="N11289" s="5"/>
    </row>
    <row r="11290">
      <c r="N11290" s="5"/>
    </row>
    <row r="11291">
      <c r="N11291" s="5"/>
    </row>
    <row r="11292">
      <c r="N11292" s="5"/>
    </row>
    <row r="11293">
      <c r="N11293" s="5"/>
    </row>
    <row r="11294">
      <c r="N11294" s="5"/>
    </row>
    <row r="11295">
      <c r="N11295" s="5"/>
    </row>
    <row r="11296">
      <c r="N11296" s="5"/>
    </row>
    <row r="11297">
      <c r="N11297" s="5"/>
    </row>
    <row r="11298">
      <c r="N11298" s="5"/>
    </row>
    <row r="11299">
      <c r="N11299" s="5"/>
    </row>
    <row r="11300">
      <c r="N11300" s="5"/>
    </row>
    <row r="11301">
      <c r="N11301" s="5"/>
    </row>
    <row r="11302">
      <c r="N11302" s="5"/>
    </row>
    <row r="11303">
      <c r="N11303" s="5"/>
    </row>
    <row r="11304">
      <c r="N11304" s="5"/>
    </row>
    <row r="11305">
      <c r="N11305" s="5"/>
    </row>
    <row r="11306">
      <c r="N11306" s="5"/>
    </row>
    <row r="11307">
      <c r="N11307" s="5"/>
    </row>
    <row r="11308">
      <c r="N11308" s="5"/>
    </row>
    <row r="11309">
      <c r="N11309" s="5"/>
    </row>
    <row r="11310">
      <c r="N11310" s="5"/>
    </row>
    <row r="11311">
      <c r="N11311" s="5"/>
    </row>
    <row r="11312">
      <c r="N11312" s="5"/>
    </row>
    <row r="11313">
      <c r="N11313" s="5"/>
    </row>
    <row r="11314">
      <c r="N11314" s="5"/>
    </row>
    <row r="11315">
      <c r="N11315" s="5"/>
    </row>
    <row r="11316">
      <c r="N11316" s="5"/>
    </row>
    <row r="11317">
      <c r="N11317" s="5"/>
    </row>
    <row r="11318">
      <c r="N11318" s="5"/>
    </row>
    <row r="11319">
      <c r="N11319" s="5"/>
    </row>
    <row r="11320">
      <c r="N11320" s="5"/>
    </row>
    <row r="11321">
      <c r="N11321" s="5"/>
    </row>
    <row r="11322">
      <c r="N11322" s="5"/>
    </row>
    <row r="11323">
      <c r="N11323" s="5"/>
    </row>
    <row r="11324">
      <c r="N11324" s="5"/>
    </row>
    <row r="11325">
      <c r="N11325" s="5"/>
    </row>
    <row r="11326">
      <c r="N11326" s="5"/>
    </row>
    <row r="11327">
      <c r="N11327" s="5"/>
    </row>
    <row r="11328">
      <c r="N11328" s="5"/>
    </row>
    <row r="11329">
      <c r="N11329" s="5"/>
    </row>
    <row r="11330">
      <c r="N11330" s="5"/>
    </row>
    <row r="11331">
      <c r="N11331" s="5"/>
    </row>
    <row r="11332">
      <c r="N11332" s="5"/>
    </row>
    <row r="11333">
      <c r="N11333" s="5"/>
    </row>
    <row r="11334">
      <c r="N11334" s="5"/>
    </row>
    <row r="11335">
      <c r="N11335" s="5"/>
    </row>
    <row r="11336">
      <c r="N11336" s="5"/>
    </row>
    <row r="11337">
      <c r="N11337" s="5"/>
    </row>
    <row r="11338">
      <c r="N11338" s="5"/>
    </row>
    <row r="11339">
      <c r="N11339" s="5"/>
    </row>
    <row r="11340">
      <c r="N11340" s="5"/>
    </row>
    <row r="11341">
      <c r="N11341" s="5"/>
    </row>
    <row r="11342">
      <c r="N11342" s="5"/>
    </row>
    <row r="11343">
      <c r="N11343" s="5"/>
    </row>
    <row r="11344">
      <c r="N11344" s="5"/>
    </row>
    <row r="11345">
      <c r="N11345" s="5"/>
    </row>
    <row r="11346">
      <c r="N11346" s="5"/>
    </row>
    <row r="11347">
      <c r="N11347" s="5"/>
    </row>
    <row r="11348">
      <c r="N11348" s="5"/>
    </row>
    <row r="11349">
      <c r="N11349" s="5"/>
    </row>
    <row r="11350">
      <c r="N11350" s="5"/>
    </row>
    <row r="11351">
      <c r="N11351" s="5"/>
    </row>
    <row r="11352">
      <c r="N11352" s="5"/>
    </row>
    <row r="11353">
      <c r="N11353" s="5"/>
    </row>
    <row r="11354">
      <c r="N11354" s="5"/>
    </row>
    <row r="11355">
      <c r="N11355" s="5"/>
    </row>
    <row r="11356">
      <c r="N11356" s="5"/>
    </row>
    <row r="11357">
      <c r="N11357" s="5"/>
    </row>
    <row r="11358">
      <c r="N11358" s="5"/>
    </row>
    <row r="11359">
      <c r="N11359" s="5"/>
    </row>
    <row r="11360">
      <c r="N11360" s="5"/>
    </row>
    <row r="11361">
      <c r="N11361" s="5"/>
    </row>
    <row r="11362">
      <c r="N11362" s="5"/>
    </row>
    <row r="11363">
      <c r="N11363" s="5"/>
    </row>
    <row r="11364">
      <c r="N11364" s="5"/>
    </row>
    <row r="11365">
      <c r="N11365" s="5"/>
    </row>
    <row r="11366">
      <c r="N11366" s="5"/>
    </row>
    <row r="11367">
      <c r="N11367" s="5"/>
    </row>
    <row r="11368">
      <c r="N11368" s="5"/>
    </row>
    <row r="11369">
      <c r="N11369" s="5"/>
    </row>
    <row r="11370">
      <c r="N11370" s="5"/>
    </row>
    <row r="11371">
      <c r="N11371" s="5"/>
    </row>
    <row r="11372">
      <c r="N11372" s="5"/>
    </row>
    <row r="11373">
      <c r="N11373" s="5"/>
    </row>
    <row r="11374">
      <c r="N11374" s="5"/>
    </row>
    <row r="11375">
      <c r="N11375" s="5"/>
    </row>
    <row r="11376">
      <c r="N11376" s="5"/>
    </row>
    <row r="11377">
      <c r="N11377" s="5"/>
    </row>
    <row r="11378">
      <c r="N11378" s="5"/>
    </row>
    <row r="11379">
      <c r="N11379" s="5"/>
    </row>
    <row r="11380">
      <c r="N11380" s="5"/>
    </row>
    <row r="11381">
      <c r="N11381" s="5"/>
    </row>
    <row r="11382">
      <c r="N11382" s="5"/>
    </row>
    <row r="11383">
      <c r="N11383" s="5"/>
    </row>
    <row r="11384">
      <c r="N11384" s="5"/>
    </row>
    <row r="11385">
      <c r="N11385" s="5"/>
    </row>
    <row r="11386">
      <c r="N11386" s="5"/>
    </row>
    <row r="11387">
      <c r="N11387" s="5"/>
    </row>
    <row r="11388">
      <c r="N11388" s="5"/>
    </row>
    <row r="11389">
      <c r="N11389" s="5"/>
    </row>
    <row r="11390">
      <c r="N11390" s="5"/>
    </row>
    <row r="11391">
      <c r="N11391" s="5"/>
    </row>
    <row r="11392">
      <c r="N11392" s="5"/>
    </row>
    <row r="11393">
      <c r="N11393" s="5"/>
    </row>
    <row r="11394">
      <c r="N11394" s="5"/>
    </row>
    <row r="11395">
      <c r="N11395" s="5"/>
    </row>
    <row r="11396">
      <c r="N11396" s="5"/>
    </row>
    <row r="11397">
      <c r="N11397" s="5"/>
    </row>
    <row r="11398">
      <c r="N11398" s="5"/>
    </row>
    <row r="11399">
      <c r="N11399" s="5"/>
    </row>
    <row r="11400">
      <c r="N11400" s="5"/>
    </row>
    <row r="11401">
      <c r="N11401" s="5"/>
    </row>
    <row r="11402">
      <c r="N11402" s="5"/>
    </row>
    <row r="11403">
      <c r="N11403" s="5"/>
    </row>
    <row r="11404">
      <c r="N11404" s="5"/>
    </row>
    <row r="11405">
      <c r="N11405" s="5"/>
    </row>
    <row r="11406">
      <c r="N11406" s="5"/>
    </row>
    <row r="11407">
      <c r="N11407" s="5"/>
    </row>
    <row r="11408">
      <c r="N11408" s="5"/>
    </row>
    <row r="11409">
      <c r="N11409" s="5"/>
    </row>
    <row r="11410">
      <c r="N11410" s="5"/>
    </row>
    <row r="11411">
      <c r="N11411" s="5"/>
    </row>
    <row r="11412">
      <c r="N11412" s="5"/>
    </row>
    <row r="11413">
      <c r="N11413" s="5"/>
    </row>
    <row r="11414">
      <c r="N11414" s="5"/>
    </row>
    <row r="11415">
      <c r="N11415" s="5"/>
    </row>
    <row r="11416">
      <c r="N11416" s="5"/>
    </row>
    <row r="11417">
      <c r="N11417" s="5"/>
    </row>
    <row r="11418">
      <c r="N11418" s="5"/>
    </row>
    <row r="11419">
      <c r="N11419" s="5"/>
    </row>
    <row r="11420">
      <c r="N11420" s="5"/>
    </row>
    <row r="11421">
      <c r="N11421" s="5"/>
    </row>
    <row r="11422">
      <c r="N11422" s="5"/>
    </row>
    <row r="11423">
      <c r="N11423" s="5"/>
    </row>
    <row r="11424">
      <c r="N11424" s="5"/>
    </row>
    <row r="11425">
      <c r="N11425" s="5"/>
    </row>
    <row r="11426">
      <c r="N11426" s="5"/>
    </row>
    <row r="11427">
      <c r="N11427" s="5"/>
    </row>
    <row r="11428">
      <c r="N11428" s="5"/>
    </row>
    <row r="11429">
      <c r="N11429" s="5"/>
    </row>
    <row r="11430">
      <c r="N11430" s="5"/>
    </row>
    <row r="11431">
      <c r="N11431" s="5"/>
    </row>
    <row r="11432">
      <c r="N11432" s="5"/>
    </row>
    <row r="11433">
      <c r="N11433" s="5"/>
    </row>
    <row r="11434">
      <c r="N11434" s="5"/>
    </row>
    <row r="11435">
      <c r="N11435" s="5"/>
    </row>
    <row r="11436">
      <c r="N11436" s="5"/>
    </row>
    <row r="11437">
      <c r="N11437" s="5"/>
    </row>
    <row r="11438">
      <c r="N11438" s="5"/>
    </row>
    <row r="11439">
      <c r="N11439" s="5"/>
    </row>
    <row r="11440">
      <c r="N11440" s="5"/>
    </row>
    <row r="11441">
      <c r="N11441" s="5"/>
    </row>
    <row r="11442">
      <c r="N11442" s="5"/>
    </row>
    <row r="11443">
      <c r="N11443" s="5"/>
    </row>
    <row r="11444">
      <c r="N11444" s="5"/>
    </row>
    <row r="11445">
      <c r="N11445" s="5"/>
    </row>
    <row r="11446">
      <c r="N11446" s="5"/>
    </row>
    <row r="11447">
      <c r="N11447" s="5"/>
    </row>
    <row r="11448">
      <c r="N11448" s="5"/>
    </row>
    <row r="11449">
      <c r="N11449" s="5"/>
    </row>
    <row r="11450">
      <c r="N11450" s="5"/>
    </row>
    <row r="11451">
      <c r="N11451" s="5"/>
    </row>
    <row r="11452">
      <c r="N11452" s="5"/>
    </row>
    <row r="11453">
      <c r="N11453" s="5"/>
    </row>
    <row r="11454">
      <c r="N11454" s="5"/>
    </row>
    <row r="11455">
      <c r="N11455" s="5"/>
    </row>
    <row r="11456">
      <c r="N11456" s="5"/>
    </row>
    <row r="11457">
      <c r="N11457" s="5"/>
    </row>
    <row r="11458">
      <c r="N11458" s="5"/>
    </row>
    <row r="11459">
      <c r="N11459" s="5"/>
    </row>
    <row r="11460">
      <c r="N11460" s="5"/>
    </row>
    <row r="11461">
      <c r="N11461" s="5"/>
    </row>
    <row r="11462">
      <c r="N11462" s="5"/>
    </row>
    <row r="11463">
      <c r="N11463" s="5"/>
    </row>
    <row r="11464">
      <c r="N11464" s="5"/>
    </row>
    <row r="11465">
      <c r="N11465" s="5"/>
    </row>
    <row r="11466">
      <c r="N11466" s="5"/>
    </row>
    <row r="11467">
      <c r="N11467" s="5"/>
    </row>
    <row r="11468">
      <c r="N11468" s="5"/>
    </row>
    <row r="11469">
      <c r="N11469" s="5"/>
    </row>
    <row r="11470">
      <c r="N11470" s="5"/>
    </row>
    <row r="11471">
      <c r="N11471" s="5"/>
    </row>
    <row r="11472">
      <c r="N11472" s="5"/>
    </row>
    <row r="11473">
      <c r="N11473" s="5"/>
    </row>
    <row r="11474">
      <c r="N11474" s="5"/>
    </row>
    <row r="11475">
      <c r="N11475" s="5"/>
    </row>
    <row r="11476">
      <c r="N11476" s="5"/>
    </row>
    <row r="11477">
      <c r="N11477" s="5"/>
    </row>
    <row r="11478">
      <c r="N11478" s="5"/>
    </row>
    <row r="11479">
      <c r="N11479" s="5"/>
    </row>
    <row r="11480">
      <c r="N11480" s="5"/>
    </row>
    <row r="11481">
      <c r="N11481" s="5"/>
    </row>
    <row r="11482">
      <c r="N11482" s="5"/>
    </row>
    <row r="11483">
      <c r="N11483" s="5"/>
    </row>
    <row r="11484">
      <c r="N11484" s="5"/>
    </row>
    <row r="11485">
      <c r="N11485" s="5"/>
    </row>
    <row r="11486">
      <c r="N11486" s="5"/>
    </row>
    <row r="11487">
      <c r="N11487" s="5"/>
    </row>
    <row r="11488">
      <c r="N11488" s="5"/>
    </row>
    <row r="11489">
      <c r="N11489" s="5"/>
    </row>
    <row r="11490">
      <c r="N11490" s="5"/>
    </row>
    <row r="11491">
      <c r="N11491" s="5"/>
    </row>
    <row r="11492">
      <c r="N11492" s="5"/>
    </row>
    <row r="11493">
      <c r="N11493" s="5"/>
    </row>
    <row r="11494">
      <c r="N11494" s="5"/>
    </row>
    <row r="11495">
      <c r="N11495" s="5"/>
    </row>
    <row r="11496">
      <c r="N11496" s="5"/>
    </row>
    <row r="11497">
      <c r="N11497" s="5"/>
    </row>
    <row r="11498">
      <c r="N11498" s="5"/>
    </row>
    <row r="11499">
      <c r="N11499" s="5"/>
    </row>
    <row r="11500">
      <c r="N11500" s="5"/>
    </row>
    <row r="11501">
      <c r="N11501" s="5"/>
    </row>
    <row r="11502">
      <c r="N11502" s="5"/>
    </row>
    <row r="11503">
      <c r="N11503" s="5"/>
    </row>
    <row r="11504">
      <c r="N11504" s="5"/>
    </row>
    <row r="11505">
      <c r="N11505" s="5"/>
    </row>
    <row r="11506">
      <c r="N11506" s="5"/>
    </row>
    <row r="11507">
      <c r="N11507" s="5"/>
    </row>
    <row r="11508">
      <c r="N11508" s="5"/>
    </row>
    <row r="11509">
      <c r="N11509" s="5"/>
    </row>
    <row r="11510">
      <c r="N11510" s="5"/>
    </row>
    <row r="11511">
      <c r="N11511" s="5"/>
    </row>
    <row r="11512">
      <c r="N11512" s="5"/>
    </row>
    <row r="11513">
      <c r="N11513" s="5"/>
    </row>
    <row r="11514">
      <c r="N11514" s="5"/>
    </row>
    <row r="11515">
      <c r="N11515" s="5"/>
    </row>
    <row r="11516">
      <c r="N11516" s="5"/>
    </row>
    <row r="11517">
      <c r="N11517" s="5"/>
    </row>
    <row r="11518">
      <c r="N11518" s="5"/>
    </row>
    <row r="11519">
      <c r="N11519" s="5"/>
    </row>
    <row r="11520">
      <c r="N11520" s="5"/>
    </row>
    <row r="11521">
      <c r="N11521" s="5"/>
    </row>
    <row r="11522">
      <c r="N11522" s="5"/>
    </row>
    <row r="11523">
      <c r="N11523" s="5"/>
    </row>
    <row r="11524">
      <c r="N11524" s="5"/>
    </row>
    <row r="11525">
      <c r="N11525" s="5"/>
    </row>
    <row r="11526">
      <c r="N11526" s="5"/>
    </row>
    <row r="11527">
      <c r="N11527" s="5"/>
    </row>
    <row r="11528">
      <c r="N11528" s="5"/>
    </row>
    <row r="11529">
      <c r="N11529" s="5"/>
    </row>
    <row r="11530">
      <c r="N11530" s="5"/>
    </row>
    <row r="11531">
      <c r="N11531" s="5"/>
    </row>
    <row r="11532">
      <c r="N11532" s="5"/>
    </row>
    <row r="11533">
      <c r="N11533" s="5"/>
    </row>
    <row r="11534">
      <c r="N11534" s="5"/>
    </row>
    <row r="11535">
      <c r="N11535" s="5"/>
    </row>
    <row r="11536">
      <c r="N11536" s="5"/>
    </row>
    <row r="11537">
      <c r="N11537" s="5"/>
    </row>
    <row r="11538">
      <c r="N11538" s="5"/>
    </row>
    <row r="11539">
      <c r="N11539" s="5"/>
    </row>
    <row r="11540">
      <c r="N11540" s="5"/>
    </row>
    <row r="11541">
      <c r="N11541" s="5"/>
    </row>
    <row r="11542">
      <c r="N11542" s="5"/>
    </row>
    <row r="11543">
      <c r="N11543" s="5"/>
    </row>
    <row r="11544">
      <c r="N11544" s="5"/>
    </row>
    <row r="11545">
      <c r="N11545" s="5"/>
    </row>
    <row r="11546">
      <c r="N11546" s="5"/>
    </row>
    <row r="11547">
      <c r="N11547" s="5"/>
    </row>
    <row r="11548">
      <c r="N11548" s="5"/>
    </row>
    <row r="11549">
      <c r="N11549" s="5"/>
    </row>
    <row r="11550">
      <c r="N11550" s="5"/>
    </row>
    <row r="11551">
      <c r="N11551" s="5"/>
    </row>
    <row r="11552">
      <c r="N11552" s="5"/>
    </row>
    <row r="11553">
      <c r="N11553" s="5"/>
    </row>
    <row r="11554">
      <c r="N11554" s="5"/>
    </row>
    <row r="11555">
      <c r="N11555" s="5"/>
    </row>
    <row r="11556">
      <c r="N11556" s="5"/>
    </row>
    <row r="11557">
      <c r="N11557" s="5"/>
    </row>
    <row r="11558">
      <c r="N11558" s="5"/>
    </row>
    <row r="11559">
      <c r="N11559" s="5"/>
    </row>
    <row r="11560">
      <c r="N11560" s="5"/>
    </row>
    <row r="11561">
      <c r="N11561" s="5"/>
    </row>
    <row r="11562">
      <c r="N11562" s="5"/>
    </row>
    <row r="11563">
      <c r="N11563" s="5"/>
    </row>
    <row r="11564">
      <c r="N11564" s="5"/>
    </row>
    <row r="11565">
      <c r="N11565" s="5"/>
    </row>
    <row r="11566">
      <c r="N11566" s="5"/>
    </row>
    <row r="11567">
      <c r="N11567" s="5"/>
    </row>
    <row r="11568">
      <c r="N11568" s="5"/>
    </row>
    <row r="11569">
      <c r="N11569" s="5"/>
    </row>
    <row r="11570">
      <c r="N11570" s="5"/>
    </row>
    <row r="11571">
      <c r="N11571" s="5"/>
    </row>
    <row r="11572">
      <c r="N11572" s="5"/>
    </row>
    <row r="11573">
      <c r="N11573" s="5"/>
    </row>
    <row r="11574">
      <c r="N11574" s="5"/>
    </row>
    <row r="11575">
      <c r="N11575" s="5"/>
    </row>
    <row r="11576">
      <c r="N11576" s="5"/>
    </row>
    <row r="11577">
      <c r="N11577" s="5"/>
    </row>
    <row r="11578">
      <c r="N11578" s="5"/>
    </row>
    <row r="11579">
      <c r="N11579" s="5"/>
    </row>
    <row r="11580">
      <c r="N11580" s="5"/>
    </row>
    <row r="11581">
      <c r="N11581" s="5"/>
    </row>
    <row r="11582">
      <c r="N11582" s="5"/>
    </row>
    <row r="11583">
      <c r="N11583" s="5"/>
    </row>
    <row r="11584">
      <c r="N11584" s="5"/>
    </row>
    <row r="11585">
      <c r="N11585" s="5"/>
    </row>
    <row r="11586">
      <c r="N11586" s="5"/>
    </row>
    <row r="11587">
      <c r="N11587" s="5"/>
    </row>
    <row r="11588">
      <c r="N11588" s="5"/>
    </row>
    <row r="11589">
      <c r="N11589" s="5"/>
    </row>
    <row r="11590">
      <c r="N11590" s="5"/>
    </row>
    <row r="11591">
      <c r="N11591" s="5"/>
    </row>
    <row r="11592">
      <c r="N11592" s="5"/>
    </row>
    <row r="11593">
      <c r="N11593" s="5"/>
    </row>
    <row r="11594">
      <c r="N11594" s="5"/>
    </row>
    <row r="11595">
      <c r="N11595" s="5"/>
    </row>
    <row r="11596">
      <c r="N11596" s="5"/>
    </row>
    <row r="11597">
      <c r="N11597" s="5"/>
    </row>
    <row r="11598">
      <c r="N11598" s="5"/>
    </row>
    <row r="11599">
      <c r="N11599" s="5"/>
    </row>
    <row r="11600">
      <c r="N11600" s="5"/>
    </row>
    <row r="11601">
      <c r="N11601" s="5"/>
    </row>
    <row r="11602">
      <c r="N11602" s="5"/>
    </row>
    <row r="11603">
      <c r="N11603" s="5"/>
    </row>
    <row r="11604">
      <c r="N11604" s="5"/>
    </row>
    <row r="11605">
      <c r="N11605" s="5"/>
    </row>
    <row r="11606">
      <c r="N11606" s="5"/>
    </row>
    <row r="11607">
      <c r="N11607" s="5"/>
    </row>
    <row r="11608">
      <c r="N11608" s="5"/>
    </row>
    <row r="11609">
      <c r="N11609" s="5"/>
    </row>
    <row r="11610">
      <c r="N11610" s="5"/>
    </row>
    <row r="11611">
      <c r="N11611" s="5"/>
    </row>
    <row r="11612">
      <c r="N11612" s="5"/>
    </row>
    <row r="11613">
      <c r="N11613" s="5"/>
    </row>
    <row r="11614">
      <c r="N11614" s="5"/>
    </row>
    <row r="11615">
      <c r="N11615" s="5"/>
    </row>
    <row r="11616">
      <c r="N11616" s="5"/>
    </row>
    <row r="11617">
      <c r="N11617" s="5"/>
    </row>
    <row r="11618">
      <c r="N11618" s="5"/>
    </row>
    <row r="11619">
      <c r="N11619" s="5"/>
    </row>
    <row r="11620">
      <c r="N11620" s="5"/>
    </row>
    <row r="11621">
      <c r="N11621" s="5"/>
    </row>
    <row r="11622">
      <c r="N11622" s="5"/>
    </row>
    <row r="11623">
      <c r="N11623" s="5"/>
    </row>
    <row r="11624">
      <c r="N11624" s="5"/>
    </row>
    <row r="11625">
      <c r="N11625" s="5"/>
    </row>
    <row r="11626">
      <c r="N11626" s="5"/>
    </row>
    <row r="11627">
      <c r="N11627" s="5"/>
    </row>
    <row r="11628">
      <c r="N11628" s="5"/>
    </row>
    <row r="11629">
      <c r="N11629" s="5"/>
    </row>
    <row r="11630">
      <c r="N11630" s="5"/>
    </row>
    <row r="11631">
      <c r="N11631" s="5"/>
    </row>
    <row r="11632">
      <c r="N11632" s="5"/>
    </row>
    <row r="11633">
      <c r="N11633" s="5"/>
    </row>
    <row r="11634">
      <c r="N11634" s="5"/>
    </row>
    <row r="11635">
      <c r="N11635" s="5"/>
    </row>
    <row r="11636">
      <c r="N11636" s="5"/>
    </row>
    <row r="11637">
      <c r="N11637" s="5"/>
    </row>
    <row r="11638">
      <c r="N11638" s="5"/>
    </row>
    <row r="11639">
      <c r="N11639" s="5"/>
    </row>
    <row r="11640">
      <c r="N11640" s="5"/>
    </row>
    <row r="11641">
      <c r="N11641" s="5"/>
    </row>
    <row r="11642">
      <c r="N11642" s="5"/>
    </row>
    <row r="11643">
      <c r="N11643" s="5"/>
    </row>
    <row r="11644">
      <c r="N11644" s="5"/>
    </row>
    <row r="11645">
      <c r="N11645" s="5"/>
    </row>
    <row r="11646">
      <c r="N11646" s="5"/>
    </row>
    <row r="11647">
      <c r="N11647" s="5"/>
    </row>
    <row r="11648">
      <c r="N11648" s="5"/>
    </row>
    <row r="11649">
      <c r="N11649" s="5"/>
    </row>
    <row r="11650">
      <c r="N11650" s="5"/>
    </row>
    <row r="11651">
      <c r="N11651" s="5"/>
    </row>
    <row r="11652">
      <c r="N11652" s="5"/>
    </row>
    <row r="11653">
      <c r="N11653" s="5"/>
    </row>
    <row r="11654">
      <c r="N11654" s="5"/>
    </row>
    <row r="11655">
      <c r="N11655" s="5"/>
    </row>
    <row r="11656">
      <c r="N11656" s="5"/>
    </row>
    <row r="11657">
      <c r="N11657" s="5"/>
    </row>
    <row r="11658">
      <c r="N11658" s="5"/>
    </row>
    <row r="11659">
      <c r="N11659" s="5"/>
    </row>
    <row r="11660">
      <c r="N11660" s="5"/>
    </row>
    <row r="11661">
      <c r="N11661" s="5"/>
    </row>
    <row r="11662">
      <c r="N11662" s="5"/>
    </row>
    <row r="11663">
      <c r="N11663" s="5"/>
    </row>
    <row r="11664">
      <c r="N11664" s="5"/>
    </row>
    <row r="11665">
      <c r="N11665" s="5"/>
    </row>
    <row r="11666">
      <c r="N11666" s="5"/>
    </row>
    <row r="11667">
      <c r="N11667" s="5"/>
    </row>
    <row r="11668">
      <c r="N11668" s="5"/>
    </row>
    <row r="11669">
      <c r="N11669" s="5"/>
    </row>
    <row r="11670">
      <c r="N11670" s="5"/>
    </row>
    <row r="11671">
      <c r="N11671" s="5"/>
    </row>
    <row r="11672">
      <c r="N11672" s="5"/>
    </row>
    <row r="11673">
      <c r="N11673" s="5"/>
    </row>
    <row r="11674">
      <c r="N11674" s="5"/>
    </row>
    <row r="11675">
      <c r="N11675" s="5"/>
    </row>
    <row r="11676">
      <c r="N11676" s="5"/>
    </row>
    <row r="11677">
      <c r="N11677" s="5"/>
    </row>
    <row r="11678">
      <c r="N11678" s="5"/>
    </row>
    <row r="11679">
      <c r="N11679" s="5"/>
    </row>
    <row r="11680">
      <c r="N11680" s="5"/>
    </row>
    <row r="11681">
      <c r="N11681" s="5"/>
    </row>
    <row r="11682">
      <c r="N11682" s="5"/>
    </row>
    <row r="11683">
      <c r="N11683" s="5"/>
    </row>
    <row r="11684">
      <c r="N11684" s="5"/>
    </row>
    <row r="11685">
      <c r="N11685" s="5"/>
    </row>
    <row r="11686">
      <c r="N11686" s="5"/>
    </row>
    <row r="11687">
      <c r="N11687" s="5"/>
    </row>
    <row r="11688">
      <c r="N11688" s="5"/>
    </row>
    <row r="11689">
      <c r="N11689" s="5"/>
    </row>
    <row r="11690">
      <c r="N11690" s="5"/>
    </row>
    <row r="11691">
      <c r="N11691" s="5"/>
    </row>
    <row r="11692">
      <c r="N11692" s="5"/>
    </row>
    <row r="11693">
      <c r="N11693" s="5"/>
    </row>
    <row r="11694">
      <c r="N11694" s="5"/>
    </row>
    <row r="11695">
      <c r="N11695" s="5"/>
    </row>
    <row r="11696">
      <c r="N11696" s="5"/>
    </row>
    <row r="11697">
      <c r="N11697" s="5"/>
    </row>
    <row r="11698">
      <c r="N11698" s="5"/>
    </row>
    <row r="11699">
      <c r="N11699" s="5"/>
    </row>
    <row r="11700">
      <c r="N11700" s="5"/>
    </row>
    <row r="11701">
      <c r="N11701" s="5"/>
    </row>
    <row r="11702">
      <c r="N11702" s="5"/>
    </row>
    <row r="11703">
      <c r="N11703" s="5"/>
    </row>
    <row r="11704">
      <c r="N11704" s="5"/>
    </row>
    <row r="11705">
      <c r="N11705" s="5"/>
    </row>
    <row r="11706">
      <c r="N11706" s="5"/>
    </row>
    <row r="11707">
      <c r="N11707" s="5"/>
    </row>
    <row r="11708">
      <c r="N11708" s="5"/>
    </row>
    <row r="11709">
      <c r="N11709" s="5"/>
    </row>
    <row r="11710">
      <c r="N11710" s="5"/>
    </row>
    <row r="11711">
      <c r="N11711" s="5"/>
    </row>
    <row r="11712">
      <c r="N11712" s="5"/>
    </row>
    <row r="11713">
      <c r="N11713" s="5"/>
    </row>
    <row r="11714">
      <c r="N11714" s="5"/>
    </row>
    <row r="11715">
      <c r="N11715" s="5"/>
    </row>
    <row r="11716">
      <c r="N11716" s="5"/>
    </row>
    <row r="11717">
      <c r="N11717" s="5"/>
    </row>
    <row r="11718">
      <c r="N11718" s="5"/>
    </row>
    <row r="11719">
      <c r="N11719" s="5"/>
    </row>
    <row r="11720">
      <c r="N11720" s="5"/>
    </row>
    <row r="11721">
      <c r="N11721" s="5"/>
    </row>
    <row r="11722">
      <c r="N11722" s="5"/>
    </row>
    <row r="11723">
      <c r="N11723" s="5"/>
    </row>
    <row r="11724">
      <c r="N11724" s="5"/>
    </row>
    <row r="11725">
      <c r="N11725" s="5"/>
    </row>
    <row r="11726">
      <c r="N11726" s="5"/>
    </row>
    <row r="11727">
      <c r="N11727" s="5"/>
    </row>
    <row r="11728">
      <c r="N11728" s="5"/>
    </row>
    <row r="11729">
      <c r="N11729" s="5"/>
    </row>
    <row r="11730">
      <c r="N11730" s="5"/>
    </row>
    <row r="11731">
      <c r="N11731" s="5"/>
    </row>
    <row r="11732">
      <c r="N11732" s="5"/>
    </row>
    <row r="11733">
      <c r="N11733" s="5"/>
    </row>
    <row r="11734">
      <c r="N11734" s="5"/>
    </row>
    <row r="11735">
      <c r="N11735" s="5"/>
    </row>
    <row r="11736">
      <c r="N11736" s="5"/>
    </row>
    <row r="11737">
      <c r="N11737" s="5"/>
    </row>
    <row r="11738">
      <c r="N11738" s="5"/>
    </row>
    <row r="11739">
      <c r="N11739" s="5"/>
    </row>
    <row r="11740">
      <c r="N11740" s="5"/>
    </row>
    <row r="11741">
      <c r="N11741" s="5"/>
    </row>
    <row r="11742">
      <c r="N11742" s="5"/>
    </row>
    <row r="11743">
      <c r="N11743" s="5"/>
    </row>
    <row r="11744">
      <c r="N11744" s="5"/>
    </row>
    <row r="11745">
      <c r="N11745" s="5"/>
    </row>
    <row r="11746">
      <c r="N11746" s="5"/>
    </row>
    <row r="11747">
      <c r="N11747" s="5"/>
    </row>
    <row r="11748">
      <c r="N11748" s="5"/>
    </row>
    <row r="11749">
      <c r="N11749" s="5"/>
    </row>
    <row r="11750">
      <c r="N11750" s="5"/>
    </row>
    <row r="11751">
      <c r="N11751" s="5"/>
    </row>
    <row r="11752">
      <c r="N11752" s="5"/>
    </row>
    <row r="11753">
      <c r="N11753" s="5"/>
    </row>
    <row r="11754">
      <c r="N11754" s="5"/>
    </row>
    <row r="11755">
      <c r="N11755" s="5"/>
    </row>
    <row r="11756">
      <c r="N11756" s="5"/>
    </row>
    <row r="11757">
      <c r="N11757" s="5"/>
    </row>
    <row r="11758">
      <c r="N11758" s="5"/>
    </row>
    <row r="11759">
      <c r="N11759" s="5"/>
    </row>
    <row r="11760">
      <c r="N11760" s="5"/>
    </row>
    <row r="11761">
      <c r="N11761" s="5"/>
    </row>
    <row r="11762">
      <c r="N11762" s="5"/>
    </row>
    <row r="11763">
      <c r="N11763" s="5"/>
    </row>
    <row r="11764">
      <c r="N11764" s="5"/>
    </row>
    <row r="11765">
      <c r="N11765" s="5"/>
    </row>
    <row r="11766">
      <c r="N11766" s="5"/>
    </row>
    <row r="11767">
      <c r="N11767" s="5"/>
    </row>
    <row r="11768">
      <c r="N11768" s="5"/>
    </row>
    <row r="11769">
      <c r="N11769" s="5"/>
    </row>
    <row r="11770">
      <c r="N11770" s="5"/>
    </row>
    <row r="11771">
      <c r="N11771" s="5"/>
    </row>
    <row r="11772">
      <c r="N11772" s="5"/>
    </row>
    <row r="11773">
      <c r="N11773" s="5"/>
    </row>
    <row r="11774">
      <c r="N11774" s="5"/>
    </row>
    <row r="11775">
      <c r="N11775" s="5"/>
    </row>
    <row r="11776">
      <c r="N11776" s="5"/>
    </row>
    <row r="11777">
      <c r="N11777" s="5"/>
    </row>
    <row r="11778">
      <c r="N11778" s="5"/>
    </row>
    <row r="11779">
      <c r="N11779" s="5"/>
    </row>
    <row r="11780">
      <c r="N11780" s="5"/>
    </row>
    <row r="11781">
      <c r="N11781" s="5"/>
    </row>
    <row r="11782">
      <c r="N11782" s="5"/>
    </row>
    <row r="11783">
      <c r="N11783" s="5"/>
    </row>
    <row r="11784">
      <c r="N11784" s="5"/>
    </row>
    <row r="11785">
      <c r="N11785" s="5"/>
    </row>
    <row r="11786">
      <c r="N11786" s="5"/>
    </row>
    <row r="11787">
      <c r="N11787" s="5"/>
    </row>
    <row r="11788">
      <c r="N11788" s="5"/>
    </row>
    <row r="11789">
      <c r="N11789" s="5"/>
    </row>
    <row r="11790">
      <c r="N11790" s="5"/>
    </row>
    <row r="11791">
      <c r="N11791" s="5"/>
    </row>
    <row r="11792">
      <c r="N11792" s="5"/>
    </row>
    <row r="11793">
      <c r="N11793" s="5"/>
    </row>
    <row r="11794">
      <c r="N11794" s="5"/>
    </row>
    <row r="11795">
      <c r="N11795" s="5"/>
    </row>
    <row r="11796">
      <c r="N11796" s="5"/>
    </row>
    <row r="11797">
      <c r="N11797" s="5"/>
    </row>
    <row r="11798">
      <c r="N11798" s="5"/>
    </row>
    <row r="11799">
      <c r="N11799" s="5"/>
    </row>
    <row r="11800">
      <c r="N11800" s="5"/>
    </row>
    <row r="11801">
      <c r="N11801" s="5"/>
    </row>
    <row r="11802">
      <c r="N11802" s="5"/>
    </row>
    <row r="11803">
      <c r="N11803" s="5"/>
    </row>
    <row r="11804">
      <c r="N11804" s="5"/>
    </row>
    <row r="11805">
      <c r="N11805" s="5"/>
    </row>
    <row r="11806">
      <c r="N11806" s="5"/>
    </row>
    <row r="11807">
      <c r="N11807" s="5"/>
    </row>
    <row r="11808">
      <c r="N11808" s="5"/>
    </row>
    <row r="11809">
      <c r="N11809" s="5"/>
    </row>
    <row r="11810">
      <c r="N11810" s="5"/>
    </row>
    <row r="11811">
      <c r="N11811" s="5"/>
    </row>
    <row r="11812">
      <c r="N11812" s="5"/>
    </row>
    <row r="11813">
      <c r="N11813" s="5"/>
    </row>
    <row r="11814">
      <c r="N11814" s="5"/>
    </row>
    <row r="11815">
      <c r="N11815" s="5"/>
    </row>
    <row r="11816">
      <c r="N11816" s="5"/>
    </row>
    <row r="11817">
      <c r="N11817" s="5"/>
    </row>
    <row r="11818">
      <c r="N11818" s="5"/>
    </row>
    <row r="11819">
      <c r="N11819" s="5"/>
    </row>
    <row r="11820">
      <c r="N11820" s="5"/>
    </row>
    <row r="11821">
      <c r="N11821" s="5"/>
    </row>
    <row r="11822">
      <c r="N11822" s="5"/>
    </row>
    <row r="11823">
      <c r="N11823" s="5"/>
    </row>
    <row r="11824">
      <c r="N11824" s="5"/>
    </row>
    <row r="11825">
      <c r="N11825" s="5"/>
    </row>
    <row r="11826">
      <c r="N11826" s="5"/>
    </row>
    <row r="11827">
      <c r="N11827" s="5"/>
    </row>
    <row r="11828">
      <c r="N11828" s="5"/>
    </row>
    <row r="11829">
      <c r="N11829" s="5"/>
    </row>
    <row r="11830">
      <c r="N11830" s="5"/>
    </row>
    <row r="11831">
      <c r="N11831" s="5"/>
    </row>
    <row r="11832">
      <c r="N11832" s="5"/>
    </row>
    <row r="11833">
      <c r="N11833" s="5"/>
    </row>
    <row r="11834">
      <c r="N11834" s="5"/>
    </row>
    <row r="11835">
      <c r="N11835" s="5"/>
    </row>
    <row r="11836">
      <c r="N11836" s="5"/>
    </row>
    <row r="11837">
      <c r="N11837" s="5"/>
    </row>
    <row r="11838">
      <c r="N11838" s="5"/>
    </row>
    <row r="11839">
      <c r="N11839" s="5"/>
    </row>
    <row r="11840">
      <c r="N11840" s="5"/>
    </row>
    <row r="11841">
      <c r="N11841" s="5"/>
    </row>
    <row r="11842">
      <c r="N11842" s="5"/>
    </row>
    <row r="11843">
      <c r="N11843" s="5"/>
    </row>
    <row r="11844">
      <c r="N11844" s="5"/>
    </row>
    <row r="11845">
      <c r="N11845" s="5"/>
    </row>
    <row r="11846">
      <c r="N11846" s="5"/>
    </row>
    <row r="11847">
      <c r="N11847" s="5"/>
    </row>
    <row r="11848">
      <c r="N11848" s="5"/>
    </row>
    <row r="11849">
      <c r="N11849" s="5"/>
    </row>
    <row r="11850">
      <c r="N11850" s="5"/>
    </row>
    <row r="11851">
      <c r="N11851" s="5"/>
    </row>
    <row r="11852">
      <c r="N11852" s="5"/>
    </row>
    <row r="11853">
      <c r="N11853" s="5"/>
    </row>
    <row r="11854">
      <c r="N11854" s="5"/>
    </row>
    <row r="11855">
      <c r="N11855" s="5"/>
    </row>
    <row r="11856">
      <c r="N11856" s="5"/>
    </row>
    <row r="11857">
      <c r="N11857" s="5"/>
    </row>
    <row r="11858">
      <c r="N11858" s="5"/>
    </row>
    <row r="11859">
      <c r="N11859" s="5"/>
    </row>
    <row r="11860">
      <c r="N11860" s="5"/>
    </row>
    <row r="11861">
      <c r="N11861" s="5"/>
    </row>
    <row r="11862">
      <c r="N11862" s="5"/>
    </row>
    <row r="11863">
      <c r="N11863" s="5"/>
    </row>
    <row r="11864">
      <c r="N11864" s="5"/>
    </row>
    <row r="11865">
      <c r="N11865" s="5"/>
    </row>
    <row r="11866">
      <c r="N11866" s="5"/>
    </row>
    <row r="11867">
      <c r="N11867" s="5"/>
    </row>
    <row r="11868">
      <c r="N11868" s="5"/>
    </row>
    <row r="11869">
      <c r="N11869" s="5"/>
    </row>
    <row r="11870">
      <c r="N11870" s="5"/>
    </row>
    <row r="11871">
      <c r="N11871" s="5"/>
    </row>
    <row r="11872">
      <c r="N11872" s="5"/>
    </row>
    <row r="11873">
      <c r="N11873" s="5"/>
    </row>
    <row r="11874">
      <c r="N11874" s="5"/>
    </row>
    <row r="11875">
      <c r="N11875" s="5"/>
    </row>
    <row r="11876">
      <c r="N11876" s="5"/>
    </row>
    <row r="11877">
      <c r="N11877" s="5"/>
    </row>
    <row r="11878">
      <c r="N11878" s="5"/>
    </row>
    <row r="11879">
      <c r="N11879" s="5"/>
    </row>
    <row r="11880">
      <c r="N11880" s="5"/>
    </row>
    <row r="11881">
      <c r="N11881" s="5"/>
    </row>
    <row r="11882">
      <c r="N11882" s="5"/>
    </row>
    <row r="11883">
      <c r="N11883" s="5"/>
    </row>
    <row r="11884">
      <c r="N11884" s="5"/>
    </row>
    <row r="11885">
      <c r="N11885" s="5"/>
    </row>
    <row r="11886">
      <c r="N11886" s="5"/>
    </row>
    <row r="11887">
      <c r="N11887" s="5"/>
    </row>
    <row r="11888">
      <c r="N11888" s="5"/>
    </row>
    <row r="11889">
      <c r="N11889" s="5"/>
    </row>
    <row r="11890">
      <c r="N11890" s="5"/>
    </row>
    <row r="11891">
      <c r="N11891" s="5"/>
    </row>
    <row r="11892">
      <c r="N11892" s="5"/>
    </row>
    <row r="11893">
      <c r="N11893" s="5"/>
    </row>
    <row r="11894">
      <c r="N11894" s="5"/>
    </row>
    <row r="11895">
      <c r="N11895" s="5"/>
    </row>
    <row r="11896">
      <c r="N11896" s="5"/>
    </row>
    <row r="11897">
      <c r="N11897" s="5"/>
    </row>
    <row r="11898">
      <c r="N11898" s="5"/>
    </row>
    <row r="11899">
      <c r="N11899" s="5"/>
    </row>
    <row r="11900">
      <c r="N11900" s="5"/>
    </row>
    <row r="11901">
      <c r="N11901" s="5"/>
    </row>
    <row r="11902">
      <c r="N11902" s="5"/>
    </row>
    <row r="11903">
      <c r="N11903" s="5"/>
    </row>
    <row r="11904">
      <c r="N11904" s="5"/>
    </row>
    <row r="11905">
      <c r="N11905" s="5"/>
    </row>
    <row r="11906">
      <c r="N11906" s="5"/>
    </row>
    <row r="11907">
      <c r="N11907" s="5"/>
    </row>
    <row r="11908">
      <c r="N11908" s="5"/>
    </row>
    <row r="11909">
      <c r="N11909" s="5"/>
    </row>
    <row r="11910">
      <c r="N11910" s="5"/>
    </row>
    <row r="11911">
      <c r="N11911" s="5"/>
    </row>
    <row r="11912">
      <c r="N11912" s="5"/>
    </row>
    <row r="11913">
      <c r="N11913" s="5"/>
    </row>
    <row r="11914">
      <c r="N11914" s="5"/>
    </row>
    <row r="11915">
      <c r="N11915" s="5"/>
    </row>
    <row r="11916">
      <c r="N11916" s="5"/>
    </row>
    <row r="11917">
      <c r="N11917" s="5"/>
    </row>
    <row r="11918">
      <c r="N11918" s="5"/>
    </row>
    <row r="11919">
      <c r="N11919" s="5"/>
    </row>
    <row r="11920">
      <c r="N11920" s="5"/>
    </row>
    <row r="11921">
      <c r="N11921" s="5"/>
    </row>
    <row r="11922">
      <c r="N11922" s="5"/>
    </row>
    <row r="11923">
      <c r="N11923" s="5"/>
    </row>
    <row r="11924">
      <c r="N11924" s="5"/>
    </row>
    <row r="11925">
      <c r="N11925" s="5"/>
    </row>
    <row r="11926">
      <c r="N11926" s="5"/>
    </row>
    <row r="11927">
      <c r="N11927" s="5"/>
    </row>
    <row r="11928">
      <c r="N11928" s="5"/>
    </row>
    <row r="11929">
      <c r="N11929" s="5"/>
    </row>
    <row r="11930">
      <c r="N11930" s="5"/>
    </row>
    <row r="11931">
      <c r="N11931" s="5"/>
    </row>
    <row r="11932">
      <c r="N11932" s="5"/>
    </row>
    <row r="11933">
      <c r="N11933" s="5"/>
    </row>
    <row r="11934">
      <c r="N11934" s="5"/>
    </row>
    <row r="11935">
      <c r="N11935" s="5"/>
    </row>
    <row r="11936">
      <c r="N11936" s="5"/>
    </row>
    <row r="11937">
      <c r="N11937" s="5"/>
    </row>
    <row r="11938">
      <c r="N11938" s="5"/>
    </row>
    <row r="11939">
      <c r="N11939" s="5"/>
    </row>
    <row r="11940">
      <c r="N11940" s="5"/>
    </row>
    <row r="11941">
      <c r="N11941" s="5"/>
    </row>
    <row r="11942">
      <c r="N11942" s="5"/>
    </row>
    <row r="11943">
      <c r="N11943" s="5"/>
    </row>
    <row r="11944">
      <c r="N11944" s="5"/>
    </row>
    <row r="11945">
      <c r="N11945" s="5"/>
    </row>
    <row r="11946">
      <c r="N11946" s="5"/>
    </row>
    <row r="11947">
      <c r="N11947" s="5"/>
    </row>
    <row r="11948">
      <c r="N11948" s="5"/>
    </row>
    <row r="11949">
      <c r="N11949" s="5"/>
    </row>
    <row r="11950">
      <c r="N11950" s="5"/>
    </row>
    <row r="11951">
      <c r="N11951" s="5"/>
    </row>
    <row r="11952">
      <c r="N11952" s="5"/>
    </row>
    <row r="11953">
      <c r="N11953" s="5"/>
    </row>
    <row r="11954">
      <c r="N11954" s="5"/>
    </row>
    <row r="11955">
      <c r="N11955" s="5"/>
    </row>
    <row r="11956">
      <c r="N11956" s="5"/>
    </row>
    <row r="11957">
      <c r="N11957" s="5"/>
    </row>
    <row r="11958">
      <c r="N11958" s="5"/>
    </row>
    <row r="11959">
      <c r="N11959" s="5"/>
    </row>
    <row r="11960">
      <c r="N11960" s="5"/>
    </row>
    <row r="11961">
      <c r="N11961" s="5"/>
    </row>
    <row r="11962">
      <c r="N11962" s="5"/>
    </row>
    <row r="11963">
      <c r="N11963" s="5"/>
    </row>
    <row r="11964">
      <c r="N11964" s="5"/>
    </row>
    <row r="11965">
      <c r="N11965" s="5"/>
    </row>
    <row r="11966">
      <c r="N11966" s="5"/>
    </row>
    <row r="11967">
      <c r="N11967" s="5"/>
    </row>
    <row r="11968">
      <c r="N11968" s="5"/>
    </row>
    <row r="11969">
      <c r="N11969" s="5"/>
    </row>
    <row r="11970">
      <c r="N11970" s="5"/>
    </row>
    <row r="11971">
      <c r="N11971" s="5"/>
    </row>
    <row r="11972">
      <c r="N11972" s="5"/>
    </row>
    <row r="11973">
      <c r="N11973" s="5"/>
    </row>
    <row r="11974">
      <c r="N11974" s="5"/>
    </row>
    <row r="11975">
      <c r="N11975" s="5"/>
    </row>
    <row r="11976">
      <c r="N11976" s="5"/>
    </row>
    <row r="11977">
      <c r="N11977" s="5"/>
    </row>
    <row r="11978">
      <c r="N11978" s="5"/>
    </row>
    <row r="11979">
      <c r="N11979" s="5"/>
    </row>
    <row r="11980">
      <c r="N11980" s="5"/>
    </row>
    <row r="11981">
      <c r="N11981" s="5"/>
    </row>
    <row r="11982">
      <c r="N11982" s="5"/>
    </row>
    <row r="11983">
      <c r="N11983" s="5"/>
    </row>
    <row r="11984">
      <c r="N11984" s="5"/>
    </row>
    <row r="11985">
      <c r="N11985" s="5"/>
    </row>
    <row r="11986">
      <c r="N11986" s="5"/>
    </row>
    <row r="11987">
      <c r="N11987" s="5"/>
    </row>
    <row r="11988">
      <c r="N11988" s="5"/>
    </row>
    <row r="11989">
      <c r="N11989" s="5"/>
    </row>
    <row r="11990">
      <c r="N11990" s="5"/>
    </row>
    <row r="11991">
      <c r="N11991" s="5"/>
    </row>
    <row r="11992">
      <c r="N11992" s="5"/>
    </row>
    <row r="11993">
      <c r="N11993" s="5"/>
    </row>
    <row r="11994">
      <c r="N11994" s="5"/>
    </row>
    <row r="11995">
      <c r="N11995" s="5"/>
    </row>
    <row r="11996">
      <c r="N11996" s="5"/>
    </row>
    <row r="11997">
      <c r="N11997" s="5"/>
    </row>
    <row r="11998">
      <c r="N11998" s="5"/>
    </row>
    <row r="11999">
      <c r="N11999" s="5"/>
    </row>
    <row r="12000">
      <c r="N12000" s="5"/>
    </row>
    <row r="12001">
      <c r="N12001" s="5"/>
    </row>
    <row r="12002">
      <c r="N12002" s="5"/>
    </row>
    <row r="12003">
      <c r="N12003" s="5"/>
    </row>
    <row r="12004">
      <c r="N12004" s="5"/>
    </row>
    <row r="12005">
      <c r="N12005" s="5"/>
    </row>
    <row r="12006">
      <c r="N12006" s="5"/>
    </row>
    <row r="12007">
      <c r="N12007" s="5"/>
    </row>
    <row r="12008">
      <c r="N12008" s="5"/>
    </row>
    <row r="12009">
      <c r="N12009" s="5"/>
    </row>
    <row r="12010">
      <c r="N12010" s="5"/>
    </row>
    <row r="12011">
      <c r="N12011" s="5"/>
    </row>
    <row r="12012">
      <c r="N12012" s="5"/>
    </row>
    <row r="12013">
      <c r="N12013" s="5"/>
    </row>
    <row r="12014">
      <c r="N12014" s="5"/>
    </row>
    <row r="12015">
      <c r="N12015" s="5"/>
    </row>
    <row r="12016">
      <c r="N12016" s="5"/>
    </row>
    <row r="12017">
      <c r="N12017" s="5"/>
    </row>
    <row r="12018">
      <c r="N12018" s="5"/>
    </row>
    <row r="12019">
      <c r="N12019" s="5"/>
    </row>
    <row r="12020">
      <c r="N12020" s="5"/>
    </row>
    <row r="12021">
      <c r="N12021" s="5"/>
    </row>
    <row r="12022">
      <c r="N12022" s="5"/>
    </row>
    <row r="12023">
      <c r="N12023" s="5"/>
    </row>
    <row r="12024">
      <c r="N12024" s="5"/>
    </row>
    <row r="12025">
      <c r="N12025" s="5"/>
    </row>
    <row r="12026">
      <c r="N12026" s="5"/>
    </row>
    <row r="12027">
      <c r="N12027" s="5"/>
    </row>
    <row r="12028">
      <c r="N12028" s="5"/>
    </row>
    <row r="12029">
      <c r="N12029" s="5"/>
    </row>
    <row r="12030">
      <c r="N12030" s="5"/>
    </row>
    <row r="12031">
      <c r="N12031" s="5"/>
    </row>
    <row r="12032">
      <c r="N12032" s="5"/>
    </row>
    <row r="12033">
      <c r="N12033" s="5"/>
    </row>
    <row r="12034">
      <c r="N12034" s="5"/>
    </row>
    <row r="12035">
      <c r="N12035" s="5"/>
    </row>
    <row r="12036">
      <c r="N12036" s="5"/>
    </row>
    <row r="12037">
      <c r="N12037" s="5"/>
    </row>
    <row r="12038">
      <c r="N12038" s="5"/>
    </row>
    <row r="12039">
      <c r="N12039" s="5"/>
    </row>
    <row r="12040">
      <c r="N12040" s="5"/>
    </row>
    <row r="12041">
      <c r="N12041" s="5"/>
    </row>
    <row r="12042">
      <c r="N12042" s="5"/>
    </row>
    <row r="12043">
      <c r="N12043" s="5"/>
    </row>
    <row r="12044">
      <c r="N12044" s="5"/>
    </row>
    <row r="12045">
      <c r="N12045" s="5"/>
    </row>
    <row r="12046">
      <c r="N12046" s="5"/>
    </row>
    <row r="12047">
      <c r="N12047" s="5"/>
    </row>
    <row r="12048">
      <c r="N12048" s="5"/>
    </row>
    <row r="12049">
      <c r="N12049" s="5"/>
    </row>
    <row r="12050">
      <c r="N12050" s="5"/>
    </row>
    <row r="12051">
      <c r="N12051" s="5"/>
    </row>
    <row r="12052">
      <c r="N12052" s="5"/>
    </row>
    <row r="12053">
      <c r="N12053" s="5"/>
    </row>
    <row r="12054">
      <c r="N12054" s="5"/>
    </row>
    <row r="12055">
      <c r="N12055" s="5"/>
    </row>
    <row r="12056">
      <c r="N12056" s="5"/>
    </row>
    <row r="12057">
      <c r="N12057" s="5"/>
    </row>
    <row r="12058">
      <c r="N12058" s="5"/>
    </row>
    <row r="12059">
      <c r="N12059" s="5"/>
    </row>
    <row r="12060">
      <c r="N12060" s="5"/>
    </row>
    <row r="12061">
      <c r="N12061" s="5"/>
    </row>
    <row r="12062">
      <c r="N12062" s="5"/>
    </row>
    <row r="12063">
      <c r="N12063" s="5"/>
    </row>
    <row r="12064">
      <c r="N12064" s="5"/>
    </row>
    <row r="12065">
      <c r="N12065" s="5"/>
    </row>
    <row r="12066">
      <c r="N12066" s="5"/>
    </row>
    <row r="12067">
      <c r="N12067" s="5"/>
    </row>
    <row r="12068">
      <c r="N12068" s="5"/>
    </row>
    <row r="12069">
      <c r="N12069" s="5"/>
    </row>
    <row r="12070">
      <c r="N12070" s="5"/>
    </row>
    <row r="12071">
      <c r="N12071" s="5"/>
    </row>
    <row r="12072">
      <c r="N12072" s="5"/>
    </row>
    <row r="12073">
      <c r="N12073" s="5"/>
    </row>
    <row r="12074">
      <c r="N12074" s="5"/>
    </row>
    <row r="12075">
      <c r="N12075" s="5"/>
    </row>
    <row r="12076">
      <c r="N12076" s="5"/>
    </row>
    <row r="12077">
      <c r="N12077" s="5"/>
    </row>
    <row r="12078">
      <c r="N12078" s="5"/>
    </row>
    <row r="12079">
      <c r="N12079" s="5"/>
    </row>
    <row r="12080">
      <c r="N12080" s="5"/>
    </row>
    <row r="12081">
      <c r="N12081" s="5"/>
    </row>
    <row r="12082">
      <c r="N12082" s="5"/>
    </row>
    <row r="12083">
      <c r="N12083" s="5"/>
    </row>
    <row r="12084">
      <c r="N12084" s="5"/>
    </row>
    <row r="12085">
      <c r="N12085" s="5"/>
    </row>
    <row r="12086">
      <c r="N12086" s="5"/>
    </row>
    <row r="12087">
      <c r="N12087" s="5"/>
    </row>
    <row r="12088">
      <c r="N12088" s="5"/>
    </row>
    <row r="12089">
      <c r="N12089" s="5"/>
    </row>
    <row r="12090">
      <c r="N12090" s="5"/>
    </row>
    <row r="12091">
      <c r="N12091" s="5"/>
    </row>
    <row r="12092">
      <c r="N12092" s="5"/>
    </row>
    <row r="12093">
      <c r="N12093" s="5"/>
    </row>
    <row r="12094">
      <c r="N12094" s="5"/>
    </row>
    <row r="12095">
      <c r="N12095" s="5"/>
    </row>
    <row r="12096">
      <c r="N12096" s="5"/>
    </row>
    <row r="12097">
      <c r="N12097" s="5"/>
    </row>
    <row r="12098">
      <c r="N12098" s="5"/>
    </row>
    <row r="12099">
      <c r="N12099" s="5"/>
    </row>
    <row r="12100">
      <c r="N12100" s="5"/>
    </row>
    <row r="12101">
      <c r="N12101" s="5"/>
    </row>
    <row r="12102">
      <c r="N12102" s="5"/>
    </row>
    <row r="12103">
      <c r="N12103" s="5"/>
    </row>
    <row r="12104">
      <c r="N12104" s="5"/>
    </row>
    <row r="12105">
      <c r="N12105" s="5"/>
    </row>
    <row r="12106">
      <c r="N12106" s="5"/>
    </row>
    <row r="12107">
      <c r="N12107" s="5"/>
    </row>
    <row r="12108">
      <c r="N12108" s="5"/>
    </row>
    <row r="12109">
      <c r="N12109" s="5"/>
    </row>
    <row r="12110">
      <c r="N12110" s="5"/>
    </row>
    <row r="12111">
      <c r="N12111" s="5"/>
    </row>
    <row r="12112">
      <c r="N12112" s="5"/>
    </row>
    <row r="12113">
      <c r="N12113" s="5"/>
    </row>
    <row r="12114">
      <c r="N12114" s="5"/>
    </row>
    <row r="12115">
      <c r="N12115" s="5"/>
    </row>
    <row r="12116">
      <c r="N12116" s="5"/>
    </row>
    <row r="12117">
      <c r="N12117" s="5"/>
    </row>
    <row r="12118">
      <c r="N12118" s="5"/>
    </row>
    <row r="12119">
      <c r="N12119" s="5"/>
    </row>
    <row r="12120">
      <c r="N12120" s="5"/>
    </row>
    <row r="12121">
      <c r="N12121" s="5"/>
    </row>
    <row r="12122">
      <c r="N12122" s="5"/>
    </row>
    <row r="12123">
      <c r="N12123" s="5"/>
    </row>
    <row r="12124">
      <c r="N12124" s="5"/>
    </row>
    <row r="12125">
      <c r="N12125" s="5"/>
    </row>
    <row r="12126">
      <c r="N12126" s="5"/>
    </row>
    <row r="12127">
      <c r="N12127" s="5"/>
    </row>
    <row r="12128">
      <c r="N12128" s="5"/>
    </row>
    <row r="12129">
      <c r="N12129" s="5"/>
    </row>
    <row r="12130">
      <c r="N12130" s="5"/>
    </row>
    <row r="12131">
      <c r="N12131" s="5"/>
    </row>
    <row r="12132">
      <c r="N12132" s="5"/>
    </row>
    <row r="12133">
      <c r="N12133" s="5"/>
    </row>
    <row r="12134">
      <c r="N12134" s="5"/>
    </row>
    <row r="12135">
      <c r="N12135" s="5"/>
    </row>
    <row r="12136">
      <c r="N12136" s="5"/>
    </row>
    <row r="12137">
      <c r="N12137" s="5"/>
    </row>
    <row r="12138">
      <c r="N12138" s="5"/>
    </row>
    <row r="12139">
      <c r="N12139" s="5"/>
    </row>
    <row r="12140">
      <c r="N12140" s="5"/>
    </row>
    <row r="12141">
      <c r="N12141" s="5"/>
    </row>
    <row r="12142">
      <c r="N12142" s="5"/>
    </row>
    <row r="12143">
      <c r="N12143" s="5"/>
    </row>
    <row r="12144">
      <c r="N12144" s="5"/>
    </row>
    <row r="12145">
      <c r="N12145" s="5"/>
    </row>
    <row r="12146">
      <c r="N12146" s="5"/>
    </row>
    <row r="12147">
      <c r="N12147" s="5"/>
    </row>
    <row r="12148">
      <c r="N12148" s="5"/>
    </row>
    <row r="12149">
      <c r="N12149" s="5"/>
    </row>
    <row r="12150">
      <c r="N12150" s="5"/>
    </row>
    <row r="12151">
      <c r="N12151" s="5"/>
    </row>
    <row r="12152">
      <c r="N12152" s="5"/>
    </row>
    <row r="12153">
      <c r="N12153" s="5"/>
    </row>
    <row r="12154">
      <c r="N12154" s="5"/>
    </row>
    <row r="12155">
      <c r="N12155" s="5"/>
    </row>
    <row r="12156">
      <c r="N12156" s="5"/>
    </row>
    <row r="12157">
      <c r="N12157" s="5"/>
    </row>
    <row r="12158">
      <c r="N12158" s="5"/>
    </row>
    <row r="12159">
      <c r="N12159" s="5"/>
    </row>
    <row r="12160">
      <c r="N12160" s="5"/>
    </row>
    <row r="12161">
      <c r="N12161" s="5"/>
    </row>
    <row r="12162">
      <c r="N12162" s="5"/>
    </row>
    <row r="12163">
      <c r="N12163" s="5"/>
    </row>
    <row r="12164">
      <c r="N12164" s="5"/>
    </row>
    <row r="12165">
      <c r="N12165" s="5"/>
    </row>
    <row r="12166">
      <c r="N12166" s="5"/>
    </row>
    <row r="12167">
      <c r="N12167" s="5"/>
    </row>
    <row r="12168">
      <c r="N12168" s="5"/>
    </row>
    <row r="12169">
      <c r="N12169" s="5"/>
    </row>
    <row r="12170">
      <c r="N12170" s="5"/>
    </row>
    <row r="12171">
      <c r="N12171" s="5"/>
    </row>
    <row r="12172">
      <c r="N12172" s="5"/>
    </row>
    <row r="12173">
      <c r="N12173" s="5"/>
    </row>
    <row r="12174">
      <c r="N12174" s="5"/>
    </row>
    <row r="12175">
      <c r="N12175" s="5"/>
    </row>
    <row r="12176">
      <c r="N12176" s="5"/>
    </row>
    <row r="12177">
      <c r="N12177" s="5"/>
    </row>
    <row r="12178">
      <c r="N12178" s="5"/>
    </row>
    <row r="12179">
      <c r="N12179" s="5"/>
    </row>
    <row r="12180">
      <c r="N12180" s="5"/>
    </row>
    <row r="12181">
      <c r="N12181" s="5"/>
    </row>
    <row r="12182">
      <c r="N12182" s="5"/>
    </row>
    <row r="12183">
      <c r="N12183" s="5"/>
    </row>
    <row r="12184">
      <c r="N12184" s="5"/>
    </row>
    <row r="12185">
      <c r="N12185" s="5"/>
    </row>
    <row r="12186">
      <c r="N12186" s="5"/>
    </row>
    <row r="12187">
      <c r="N12187" s="5"/>
    </row>
    <row r="12188">
      <c r="N12188" s="5"/>
    </row>
    <row r="12189">
      <c r="N12189" s="5"/>
    </row>
    <row r="12190">
      <c r="N12190" s="5"/>
    </row>
    <row r="12191">
      <c r="N12191" s="5"/>
    </row>
    <row r="12192">
      <c r="N12192" s="5"/>
    </row>
    <row r="12193">
      <c r="N12193" s="5"/>
    </row>
    <row r="12194">
      <c r="N12194" s="5"/>
    </row>
    <row r="12195">
      <c r="N12195" s="5"/>
    </row>
    <row r="12196">
      <c r="N12196" s="5"/>
    </row>
    <row r="12197">
      <c r="N12197" s="5"/>
    </row>
    <row r="12198">
      <c r="N12198" s="5"/>
    </row>
    <row r="12199">
      <c r="N12199" s="5"/>
    </row>
    <row r="12200">
      <c r="N12200" s="5"/>
    </row>
    <row r="12201">
      <c r="N12201" s="5"/>
    </row>
    <row r="12202">
      <c r="N12202" s="5"/>
    </row>
    <row r="12203">
      <c r="N12203" s="5"/>
    </row>
    <row r="12204">
      <c r="N12204" s="5"/>
    </row>
    <row r="12205">
      <c r="N12205" s="5"/>
    </row>
    <row r="12206">
      <c r="N12206" s="5"/>
    </row>
    <row r="12207">
      <c r="N12207" s="5"/>
    </row>
    <row r="12208">
      <c r="N12208" s="5"/>
    </row>
    <row r="12209">
      <c r="N12209" s="5"/>
    </row>
    <row r="12210">
      <c r="N12210" s="5"/>
    </row>
    <row r="12211">
      <c r="N12211" s="5"/>
    </row>
    <row r="12212">
      <c r="N12212" s="5"/>
    </row>
    <row r="12213">
      <c r="N12213" s="5"/>
    </row>
    <row r="12214">
      <c r="N12214" s="5"/>
    </row>
    <row r="12215">
      <c r="N12215" s="5"/>
    </row>
    <row r="12216">
      <c r="N12216" s="5"/>
    </row>
    <row r="12217">
      <c r="N12217" s="5"/>
    </row>
    <row r="12218">
      <c r="N12218" s="5"/>
    </row>
    <row r="12219">
      <c r="N12219" s="5"/>
    </row>
    <row r="12220">
      <c r="N12220" s="5"/>
    </row>
    <row r="12221">
      <c r="N12221" s="5"/>
    </row>
    <row r="12222">
      <c r="N12222" s="5"/>
    </row>
    <row r="12223">
      <c r="N12223" s="5"/>
    </row>
    <row r="12224">
      <c r="N12224" s="5"/>
    </row>
    <row r="12225">
      <c r="N12225" s="5"/>
    </row>
    <row r="12226">
      <c r="N12226" s="5"/>
    </row>
    <row r="12227">
      <c r="N12227" s="5"/>
    </row>
    <row r="12228">
      <c r="N12228" s="5"/>
    </row>
    <row r="12229">
      <c r="N12229" s="5"/>
    </row>
    <row r="12230">
      <c r="N12230" s="5"/>
    </row>
    <row r="12231">
      <c r="N12231" s="5"/>
    </row>
    <row r="12232">
      <c r="N12232" s="5"/>
    </row>
    <row r="12233">
      <c r="N12233" s="5"/>
    </row>
    <row r="12234">
      <c r="N12234" s="5"/>
    </row>
    <row r="12235">
      <c r="N12235" s="5"/>
    </row>
    <row r="12236">
      <c r="N12236" s="5"/>
    </row>
    <row r="12237">
      <c r="N12237" s="5"/>
    </row>
    <row r="12238">
      <c r="N12238" s="5"/>
    </row>
    <row r="12239">
      <c r="N12239" s="5"/>
    </row>
    <row r="12240">
      <c r="N12240" s="5"/>
    </row>
    <row r="12241">
      <c r="N12241" s="5"/>
    </row>
    <row r="12242">
      <c r="N12242" s="5"/>
    </row>
    <row r="12243">
      <c r="N12243" s="5"/>
    </row>
    <row r="12244">
      <c r="N12244" s="5"/>
    </row>
    <row r="12245">
      <c r="N12245" s="5"/>
    </row>
    <row r="12246">
      <c r="N12246" s="5"/>
    </row>
    <row r="12247">
      <c r="N12247" s="5"/>
    </row>
    <row r="12248">
      <c r="N12248" s="5"/>
    </row>
    <row r="12249">
      <c r="N12249" s="5"/>
    </row>
    <row r="12250">
      <c r="N12250" s="5"/>
    </row>
    <row r="12251">
      <c r="N12251" s="5"/>
    </row>
    <row r="12252">
      <c r="N12252" s="5"/>
    </row>
    <row r="12253">
      <c r="N12253" s="5"/>
    </row>
    <row r="12254">
      <c r="N12254" s="5"/>
    </row>
    <row r="12255">
      <c r="N12255" s="5"/>
    </row>
    <row r="12256">
      <c r="N12256" s="5"/>
    </row>
    <row r="12257">
      <c r="N12257" s="5"/>
    </row>
    <row r="12258">
      <c r="N12258" s="5"/>
    </row>
    <row r="12259">
      <c r="N12259" s="5"/>
    </row>
    <row r="12260">
      <c r="N12260" s="5"/>
    </row>
    <row r="12261">
      <c r="N12261" s="5"/>
    </row>
    <row r="12262">
      <c r="N12262" s="5"/>
    </row>
    <row r="12263">
      <c r="N12263" s="5"/>
    </row>
    <row r="12264">
      <c r="N12264" s="5"/>
    </row>
    <row r="12265">
      <c r="N12265" s="5"/>
    </row>
    <row r="12266">
      <c r="N12266" s="5"/>
    </row>
    <row r="12267">
      <c r="N12267" s="5"/>
    </row>
    <row r="12268">
      <c r="N12268" s="5"/>
    </row>
    <row r="12269">
      <c r="N12269" s="5"/>
    </row>
    <row r="12270">
      <c r="N12270" s="5"/>
    </row>
    <row r="12271">
      <c r="N12271" s="5"/>
    </row>
    <row r="12272">
      <c r="N12272" s="5"/>
    </row>
    <row r="12273">
      <c r="N12273" s="5"/>
    </row>
    <row r="12274">
      <c r="N12274" s="5"/>
    </row>
    <row r="12275">
      <c r="N12275" s="5"/>
    </row>
    <row r="12276">
      <c r="N12276" s="5"/>
    </row>
    <row r="12277">
      <c r="N12277" s="5"/>
    </row>
    <row r="12278">
      <c r="N12278" s="5"/>
    </row>
    <row r="12279">
      <c r="N12279" s="5"/>
    </row>
    <row r="12280">
      <c r="N12280" s="5"/>
    </row>
    <row r="12281">
      <c r="N12281" s="5"/>
    </row>
    <row r="12282">
      <c r="N12282" s="5"/>
    </row>
    <row r="12283">
      <c r="N12283" s="5"/>
    </row>
    <row r="12284">
      <c r="N12284" s="5"/>
    </row>
    <row r="12285">
      <c r="N12285" s="5"/>
    </row>
    <row r="12286">
      <c r="N12286" s="5"/>
    </row>
    <row r="12287">
      <c r="N12287" s="5"/>
    </row>
    <row r="12288">
      <c r="N12288" s="5"/>
    </row>
    <row r="12289">
      <c r="N12289" s="5"/>
    </row>
    <row r="12290">
      <c r="N12290" s="5"/>
    </row>
    <row r="12291">
      <c r="N12291" s="5"/>
    </row>
    <row r="12292">
      <c r="N12292" s="5"/>
    </row>
    <row r="12293">
      <c r="N12293" s="5"/>
    </row>
    <row r="12294">
      <c r="N12294" s="5"/>
    </row>
    <row r="12295">
      <c r="N12295" s="5"/>
    </row>
    <row r="12296">
      <c r="N12296" s="5"/>
    </row>
    <row r="12297">
      <c r="N12297" s="5"/>
    </row>
    <row r="12298">
      <c r="N12298" s="5"/>
    </row>
    <row r="12299">
      <c r="N12299" s="5"/>
    </row>
    <row r="12300">
      <c r="N12300" s="5"/>
    </row>
    <row r="12301">
      <c r="N12301" s="5"/>
    </row>
    <row r="12302">
      <c r="N12302" s="5"/>
    </row>
    <row r="12303">
      <c r="N12303" s="5"/>
    </row>
    <row r="12304">
      <c r="N12304" s="5"/>
    </row>
    <row r="12305">
      <c r="N12305" s="5"/>
    </row>
    <row r="12306">
      <c r="N12306" s="5"/>
    </row>
    <row r="12307">
      <c r="N12307" s="5"/>
    </row>
    <row r="12308">
      <c r="N12308" s="5"/>
    </row>
    <row r="12309">
      <c r="N12309" s="5"/>
    </row>
    <row r="12310">
      <c r="N12310" s="5"/>
    </row>
    <row r="12311">
      <c r="N12311" s="5"/>
    </row>
    <row r="12312">
      <c r="N12312" s="5"/>
    </row>
    <row r="12313">
      <c r="N12313" s="5"/>
    </row>
    <row r="12314">
      <c r="N12314" s="5"/>
    </row>
    <row r="12315">
      <c r="N12315" s="5"/>
    </row>
    <row r="12316">
      <c r="N12316" s="5"/>
    </row>
    <row r="12317">
      <c r="N12317" s="5"/>
    </row>
    <row r="12318">
      <c r="N12318" s="5"/>
    </row>
    <row r="12319">
      <c r="N12319" s="5"/>
    </row>
    <row r="12320">
      <c r="N12320" s="5"/>
    </row>
    <row r="12321">
      <c r="N12321" s="5"/>
    </row>
    <row r="12322">
      <c r="N12322" s="5"/>
    </row>
    <row r="12323">
      <c r="N12323" s="5"/>
    </row>
    <row r="12324">
      <c r="N12324" s="5"/>
    </row>
    <row r="12325">
      <c r="N12325" s="5"/>
    </row>
    <row r="12326">
      <c r="N12326" s="5"/>
    </row>
    <row r="12327">
      <c r="N12327" s="5"/>
    </row>
    <row r="12328">
      <c r="N12328" s="5"/>
    </row>
    <row r="12329">
      <c r="N12329" s="5"/>
    </row>
    <row r="12330">
      <c r="N12330" s="5"/>
    </row>
    <row r="12331">
      <c r="N12331" s="5"/>
    </row>
    <row r="12332">
      <c r="N12332" s="5"/>
    </row>
    <row r="12333">
      <c r="N12333" s="5"/>
    </row>
    <row r="12334">
      <c r="N12334" s="5"/>
    </row>
    <row r="12335">
      <c r="N12335" s="5"/>
    </row>
    <row r="12336">
      <c r="N12336" s="5"/>
    </row>
    <row r="12337">
      <c r="N12337" s="5"/>
    </row>
    <row r="12338">
      <c r="N12338" s="5"/>
    </row>
    <row r="12339">
      <c r="N12339" s="5"/>
    </row>
    <row r="12340">
      <c r="N12340" s="5"/>
    </row>
    <row r="12341">
      <c r="N12341" s="5"/>
    </row>
    <row r="12342">
      <c r="N12342" s="5"/>
    </row>
    <row r="12343">
      <c r="N12343" s="5"/>
    </row>
    <row r="12344">
      <c r="N12344" s="5"/>
    </row>
    <row r="12345">
      <c r="N12345" s="5"/>
    </row>
    <row r="12346">
      <c r="N12346" s="5"/>
    </row>
    <row r="12347">
      <c r="N12347" s="5"/>
    </row>
    <row r="12348">
      <c r="N12348" s="5"/>
    </row>
    <row r="12349">
      <c r="N12349" s="5"/>
    </row>
    <row r="12350">
      <c r="N12350" s="5"/>
    </row>
    <row r="12351">
      <c r="N12351" s="5"/>
    </row>
    <row r="12352">
      <c r="N12352" s="5"/>
    </row>
    <row r="12353">
      <c r="N12353" s="5"/>
    </row>
    <row r="12354">
      <c r="N12354" s="5"/>
    </row>
    <row r="12355">
      <c r="N12355" s="5"/>
    </row>
    <row r="12356">
      <c r="N12356" s="5"/>
    </row>
    <row r="12357">
      <c r="N12357" s="5"/>
    </row>
    <row r="12358">
      <c r="N12358" s="5"/>
    </row>
    <row r="12359">
      <c r="N12359" s="5"/>
    </row>
    <row r="12360">
      <c r="N12360" s="5"/>
    </row>
    <row r="12361">
      <c r="N12361" s="5"/>
    </row>
    <row r="12362">
      <c r="N12362" s="5"/>
    </row>
    <row r="12363">
      <c r="N12363" s="5"/>
    </row>
    <row r="12364">
      <c r="N12364" s="5"/>
    </row>
    <row r="12365">
      <c r="N12365" s="5"/>
    </row>
    <row r="12366">
      <c r="N12366" s="5"/>
    </row>
    <row r="12367">
      <c r="N12367" s="5"/>
    </row>
    <row r="12368">
      <c r="N12368" s="5"/>
    </row>
    <row r="12369">
      <c r="N12369" s="5"/>
    </row>
    <row r="12370">
      <c r="N12370" s="5"/>
    </row>
    <row r="12371">
      <c r="N12371" s="5"/>
    </row>
    <row r="12372">
      <c r="N12372" s="5"/>
    </row>
    <row r="12373">
      <c r="N12373" s="5"/>
    </row>
    <row r="12374">
      <c r="N12374" s="5"/>
    </row>
    <row r="12375">
      <c r="N12375" s="5"/>
    </row>
    <row r="12376">
      <c r="N12376" s="5"/>
    </row>
    <row r="12377">
      <c r="N12377" s="5"/>
    </row>
    <row r="12378">
      <c r="N12378" s="5"/>
    </row>
    <row r="12379">
      <c r="N12379" s="5"/>
    </row>
    <row r="12380">
      <c r="N12380" s="5"/>
    </row>
    <row r="12381">
      <c r="N12381" s="5"/>
    </row>
    <row r="12382">
      <c r="N12382" s="5"/>
    </row>
    <row r="12383">
      <c r="N12383" s="5"/>
    </row>
    <row r="12384">
      <c r="N12384" s="5"/>
    </row>
    <row r="12385">
      <c r="N12385" s="5"/>
    </row>
    <row r="12386">
      <c r="N12386" s="5"/>
    </row>
    <row r="12387">
      <c r="N12387" s="5"/>
    </row>
    <row r="12388">
      <c r="N12388" s="5"/>
    </row>
    <row r="12389">
      <c r="N12389" s="5"/>
    </row>
    <row r="12390">
      <c r="N12390" s="5"/>
    </row>
    <row r="12391">
      <c r="N12391" s="5"/>
    </row>
    <row r="12392">
      <c r="N12392" s="5"/>
    </row>
    <row r="12393">
      <c r="N12393" s="5"/>
    </row>
    <row r="12394">
      <c r="N12394" s="5"/>
    </row>
    <row r="12395">
      <c r="N12395" s="5"/>
    </row>
    <row r="12396">
      <c r="N12396" s="5"/>
    </row>
    <row r="12397">
      <c r="N12397" s="5"/>
    </row>
    <row r="12398">
      <c r="N12398" s="5"/>
    </row>
    <row r="12399">
      <c r="N12399" s="5"/>
    </row>
    <row r="12400">
      <c r="N12400" s="5"/>
    </row>
    <row r="12401">
      <c r="N12401" s="5"/>
    </row>
    <row r="12402">
      <c r="N12402" s="5"/>
    </row>
    <row r="12403">
      <c r="N12403" s="5"/>
    </row>
    <row r="12404">
      <c r="N12404" s="5"/>
    </row>
    <row r="12405">
      <c r="N12405" s="5"/>
    </row>
    <row r="12406">
      <c r="N12406" s="5"/>
    </row>
    <row r="12407">
      <c r="N12407" s="5"/>
    </row>
    <row r="12408">
      <c r="N12408" s="5"/>
    </row>
    <row r="12409">
      <c r="N12409" s="5"/>
    </row>
    <row r="12410">
      <c r="N12410" s="5"/>
    </row>
    <row r="12411">
      <c r="N12411" s="5"/>
    </row>
    <row r="12412">
      <c r="N12412" s="5"/>
    </row>
    <row r="12413">
      <c r="N12413" s="5"/>
    </row>
    <row r="12414">
      <c r="N12414" s="5"/>
    </row>
    <row r="12415">
      <c r="N12415" s="5"/>
    </row>
    <row r="12416">
      <c r="N12416" s="5"/>
    </row>
    <row r="12417">
      <c r="N12417" s="5"/>
    </row>
    <row r="12418">
      <c r="N12418" s="5"/>
    </row>
    <row r="12419">
      <c r="N12419" s="5"/>
    </row>
    <row r="12420">
      <c r="N12420" s="5"/>
    </row>
    <row r="12421">
      <c r="N12421" s="5"/>
    </row>
    <row r="12422">
      <c r="N12422" s="5"/>
    </row>
    <row r="12423">
      <c r="N12423" s="5"/>
    </row>
    <row r="12424">
      <c r="N12424" s="5"/>
    </row>
    <row r="12425">
      <c r="N12425" s="5"/>
    </row>
    <row r="12426">
      <c r="N12426" s="5"/>
    </row>
    <row r="12427">
      <c r="N12427" s="5"/>
    </row>
    <row r="12428">
      <c r="N12428" s="5"/>
    </row>
    <row r="12429">
      <c r="N12429" s="5"/>
    </row>
    <row r="12430">
      <c r="N12430" s="5"/>
    </row>
    <row r="12431">
      <c r="N12431" s="5"/>
    </row>
    <row r="12432">
      <c r="N12432" s="5"/>
    </row>
    <row r="12433">
      <c r="N12433" s="5"/>
    </row>
    <row r="12434">
      <c r="N12434" s="5"/>
    </row>
    <row r="12435">
      <c r="N12435" s="5"/>
    </row>
    <row r="12436">
      <c r="N12436" s="5"/>
    </row>
    <row r="12437">
      <c r="N12437" s="5"/>
    </row>
    <row r="12438">
      <c r="N12438" s="5"/>
    </row>
    <row r="12439">
      <c r="N12439" s="5"/>
    </row>
    <row r="12440">
      <c r="N12440" s="5"/>
    </row>
    <row r="12441">
      <c r="N12441" s="5"/>
    </row>
    <row r="12442">
      <c r="N12442" s="5"/>
    </row>
    <row r="12443">
      <c r="N12443" s="5"/>
    </row>
    <row r="12444">
      <c r="N12444" s="5"/>
    </row>
    <row r="12445">
      <c r="N12445" s="5"/>
    </row>
    <row r="12446">
      <c r="N12446" s="5"/>
    </row>
    <row r="12447">
      <c r="N12447" s="5"/>
    </row>
    <row r="12448">
      <c r="N12448" s="5"/>
    </row>
    <row r="12449">
      <c r="N12449" s="5"/>
    </row>
    <row r="12450">
      <c r="N12450" s="5"/>
    </row>
    <row r="12451">
      <c r="N12451" s="5"/>
    </row>
    <row r="12452">
      <c r="N12452" s="5"/>
    </row>
    <row r="12453">
      <c r="N12453" s="5"/>
    </row>
    <row r="12454">
      <c r="N12454" s="5"/>
    </row>
    <row r="12455">
      <c r="N12455" s="5"/>
    </row>
    <row r="12456">
      <c r="N12456" s="5"/>
    </row>
    <row r="12457">
      <c r="N12457" s="5"/>
    </row>
    <row r="12458">
      <c r="N12458" s="5"/>
    </row>
    <row r="12459">
      <c r="N12459" s="5"/>
    </row>
    <row r="12460">
      <c r="N12460" s="5"/>
    </row>
    <row r="12461">
      <c r="N12461" s="5"/>
    </row>
    <row r="12462">
      <c r="N12462" s="5"/>
    </row>
    <row r="12463">
      <c r="N12463" s="5"/>
    </row>
    <row r="12464">
      <c r="N12464" s="5"/>
    </row>
    <row r="12465">
      <c r="N12465" s="5"/>
    </row>
    <row r="12466">
      <c r="N12466" s="5"/>
    </row>
    <row r="12467">
      <c r="N12467" s="5"/>
    </row>
    <row r="12468">
      <c r="N12468" s="5"/>
    </row>
    <row r="12469">
      <c r="N12469" s="5"/>
    </row>
    <row r="12470">
      <c r="N12470" s="5"/>
    </row>
    <row r="12471">
      <c r="N12471" s="5"/>
    </row>
    <row r="12472">
      <c r="N12472" s="5"/>
    </row>
    <row r="12473">
      <c r="N12473" s="5"/>
    </row>
    <row r="12474">
      <c r="N12474" s="5"/>
    </row>
    <row r="12475">
      <c r="N12475" s="5"/>
    </row>
    <row r="12476">
      <c r="N12476" s="5"/>
    </row>
    <row r="12477">
      <c r="N12477" s="5"/>
    </row>
    <row r="12478">
      <c r="N12478" s="5"/>
    </row>
    <row r="12479">
      <c r="N12479" s="5"/>
    </row>
    <row r="12480">
      <c r="N12480" s="5"/>
    </row>
    <row r="12481">
      <c r="N12481" s="5"/>
    </row>
    <row r="12482">
      <c r="N12482" s="5"/>
    </row>
    <row r="12483">
      <c r="N12483" s="5"/>
    </row>
    <row r="12484">
      <c r="N12484" s="5"/>
    </row>
    <row r="12485">
      <c r="N12485" s="5"/>
    </row>
    <row r="12486">
      <c r="N12486" s="5"/>
    </row>
    <row r="12487">
      <c r="N12487" s="5"/>
    </row>
    <row r="12488">
      <c r="N12488" s="5"/>
    </row>
    <row r="12489">
      <c r="N12489" s="5"/>
    </row>
    <row r="12490">
      <c r="N12490" s="5"/>
    </row>
    <row r="12491">
      <c r="N12491" s="5"/>
    </row>
    <row r="12492">
      <c r="N12492" s="5"/>
    </row>
    <row r="12493">
      <c r="N12493" s="5"/>
    </row>
    <row r="12494">
      <c r="N12494" s="5"/>
    </row>
    <row r="12495">
      <c r="N12495" s="5"/>
    </row>
    <row r="12496">
      <c r="N12496" s="5"/>
    </row>
    <row r="12497">
      <c r="N12497" s="5"/>
    </row>
    <row r="12498">
      <c r="N12498" s="5"/>
    </row>
    <row r="12499">
      <c r="N12499" s="5"/>
    </row>
    <row r="12500">
      <c r="N12500" s="5"/>
    </row>
    <row r="12501">
      <c r="N12501" s="5"/>
    </row>
    <row r="12502">
      <c r="N12502" s="5"/>
    </row>
    <row r="12503">
      <c r="N12503" s="5"/>
    </row>
    <row r="12504">
      <c r="N12504" s="5"/>
    </row>
    <row r="12505">
      <c r="N12505" s="5"/>
    </row>
    <row r="12506">
      <c r="N12506" s="5"/>
    </row>
    <row r="12507">
      <c r="N12507" s="5"/>
    </row>
    <row r="12508">
      <c r="N12508" s="5"/>
    </row>
    <row r="12509">
      <c r="N12509" s="5"/>
    </row>
    <row r="12510">
      <c r="N12510" s="5"/>
    </row>
    <row r="12511">
      <c r="N12511" s="5"/>
    </row>
    <row r="12512">
      <c r="N12512" s="5"/>
    </row>
    <row r="12513">
      <c r="N12513" s="5"/>
    </row>
    <row r="12514">
      <c r="N12514" s="5"/>
    </row>
    <row r="12515">
      <c r="N12515" s="5"/>
    </row>
    <row r="12516">
      <c r="N12516" s="5"/>
    </row>
    <row r="12517">
      <c r="N12517" s="5"/>
    </row>
    <row r="12518">
      <c r="N12518" s="5"/>
    </row>
    <row r="12519">
      <c r="N12519" s="5"/>
    </row>
    <row r="12520">
      <c r="N12520" s="5"/>
    </row>
    <row r="12521">
      <c r="N12521" s="5"/>
    </row>
    <row r="12522">
      <c r="N12522" s="5"/>
    </row>
    <row r="12523">
      <c r="N12523" s="5"/>
    </row>
    <row r="12524">
      <c r="N12524" s="5"/>
    </row>
    <row r="12525">
      <c r="N12525" s="5"/>
    </row>
    <row r="12526">
      <c r="N12526" s="5"/>
    </row>
    <row r="12527">
      <c r="N12527" s="5"/>
    </row>
    <row r="12528">
      <c r="N12528" s="5"/>
    </row>
    <row r="12529">
      <c r="N12529" s="5"/>
    </row>
    <row r="12530">
      <c r="N12530" s="5"/>
    </row>
    <row r="12531">
      <c r="N12531" s="5"/>
    </row>
    <row r="12532">
      <c r="N12532" s="5"/>
    </row>
    <row r="12533">
      <c r="N12533" s="5"/>
    </row>
    <row r="12534">
      <c r="N12534" s="5"/>
    </row>
    <row r="12535">
      <c r="N12535" s="5"/>
    </row>
    <row r="12536">
      <c r="N12536" s="5"/>
    </row>
    <row r="12537">
      <c r="N12537" s="5"/>
    </row>
    <row r="12538">
      <c r="N12538" s="5"/>
    </row>
    <row r="12539">
      <c r="N12539" s="5"/>
    </row>
    <row r="12540">
      <c r="N12540" s="5"/>
    </row>
    <row r="12541">
      <c r="N12541" s="5"/>
    </row>
    <row r="12542">
      <c r="N12542" s="5"/>
    </row>
    <row r="12543">
      <c r="N12543" s="5"/>
    </row>
    <row r="12544">
      <c r="N12544" s="5"/>
    </row>
    <row r="12545">
      <c r="N12545" s="5"/>
    </row>
    <row r="12546">
      <c r="N12546" s="5"/>
    </row>
    <row r="12547">
      <c r="N12547" s="5"/>
    </row>
    <row r="12548">
      <c r="N12548" s="5"/>
    </row>
    <row r="12549">
      <c r="N12549" s="5"/>
    </row>
    <row r="12550">
      <c r="N12550" s="5"/>
    </row>
    <row r="12551">
      <c r="N12551" s="5"/>
    </row>
    <row r="12552">
      <c r="N12552" s="5"/>
    </row>
    <row r="12553">
      <c r="N12553" s="5"/>
    </row>
    <row r="12554">
      <c r="N12554" s="5"/>
    </row>
    <row r="12555">
      <c r="N12555" s="5"/>
    </row>
    <row r="12556">
      <c r="N12556" s="5"/>
    </row>
    <row r="12557">
      <c r="N12557" s="5"/>
    </row>
    <row r="12558">
      <c r="N12558" s="5"/>
    </row>
    <row r="12559">
      <c r="N12559" s="5"/>
    </row>
    <row r="12560">
      <c r="N12560" s="5"/>
    </row>
    <row r="12561">
      <c r="N12561" s="5"/>
    </row>
    <row r="12562">
      <c r="N12562" s="5"/>
    </row>
    <row r="12563">
      <c r="N12563" s="5"/>
    </row>
    <row r="12564">
      <c r="N12564" s="5"/>
    </row>
    <row r="12565">
      <c r="N12565" s="5"/>
    </row>
    <row r="12566">
      <c r="N12566" s="5"/>
    </row>
    <row r="12567">
      <c r="N12567" s="5"/>
    </row>
    <row r="12568">
      <c r="N12568" s="5"/>
    </row>
    <row r="12569">
      <c r="N12569" s="5"/>
    </row>
    <row r="12570">
      <c r="N12570" s="5"/>
    </row>
    <row r="12571">
      <c r="N12571" s="5"/>
    </row>
    <row r="12572">
      <c r="N12572" s="5"/>
    </row>
    <row r="12573">
      <c r="N12573" s="5"/>
    </row>
    <row r="12574">
      <c r="N12574" s="5"/>
    </row>
    <row r="12575">
      <c r="N12575" s="5"/>
    </row>
    <row r="12576">
      <c r="N12576" s="5"/>
    </row>
    <row r="12577">
      <c r="N12577" s="5"/>
    </row>
    <row r="12578">
      <c r="N12578" s="5"/>
    </row>
    <row r="12579">
      <c r="N12579" s="5"/>
    </row>
    <row r="12580">
      <c r="N12580" s="5"/>
    </row>
    <row r="12581">
      <c r="N12581" s="5"/>
    </row>
    <row r="12582">
      <c r="N12582" s="5"/>
    </row>
    <row r="12583">
      <c r="N12583" s="5"/>
    </row>
    <row r="12584">
      <c r="N12584" s="5"/>
    </row>
    <row r="12585">
      <c r="N12585" s="5"/>
    </row>
    <row r="12586">
      <c r="N12586" s="5"/>
    </row>
    <row r="12587">
      <c r="N12587" s="5"/>
    </row>
    <row r="12588">
      <c r="N12588" s="5"/>
    </row>
    <row r="12589">
      <c r="N12589" s="5"/>
    </row>
    <row r="12590">
      <c r="N12590" s="5"/>
    </row>
    <row r="12591">
      <c r="N12591" s="5"/>
    </row>
    <row r="12592">
      <c r="N12592" s="5"/>
    </row>
    <row r="12593">
      <c r="N12593" s="5"/>
    </row>
    <row r="12594">
      <c r="N12594" s="5"/>
    </row>
    <row r="12595">
      <c r="N12595" s="5"/>
    </row>
    <row r="12596">
      <c r="N12596" s="5"/>
    </row>
    <row r="12597">
      <c r="N12597" s="5"/>
    </row>
    <row r="12598">
      <c r="N12598" s="5"/>
    </row>
    <row r="12599">
      <c r="N12599" s="5"/>
    </row>
    <row r="12600">
      <c r="N12600" s="5"/>
    </row>
    <row r="12601">
      <c r="N12601" s="5"/>
    </row>
    <row r="12602">
      <c r="N12602" s="5"/>
    </row>
    <row r="12603">
      <c r="N12603" s="5"/>
    </row>
    <row r="12604">
      <c r="N12604" s="5"/>
    </row>
    <row r="12605">
      <c r="N12605" s="5"/>
    </row>
    <row r="12606">
      <c r="N12606" s="5"/>
    </row>
    <row r="12607">
      <c r="N12607" s="5"/>
    </row>
    <row r="12608">
      <c r="N12608" s="5"/>
    </row>
    <row r="12609">
      <c r="N12609" s="5"/>
    </row>
    <row r="12610">
      <c r="N12610" s="5"/>
    </row>
  </sheetData>
  <autoFilter ref="$A$1:$Z$10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 t="s">
        <v>22</v>
      </c>
      <c r="C2" s="1" t="s">
        <v>21</v>
      </c>
      <c r="I2" s="4"/>
      <c r="K2" s="1">
        <v>50.0</v>
      </c>
      <c r="N2" s="5">
        <v>43912.0</v>
      </c>
      <c r="Q2" s="1" t="s">
        <v>41</v>
      </c>
    </row>
    <row r="3">
      <c r="A3" s="1">
        <v>2.0</v>
      </c>
      <c r="B3" s="1" t="s">
        <v>44</v>
      </c>
      <c r="C3" s="1" t="s">
        <v>21</v>
      </c>
      <c r="I3" s="4"/>
      <c r="K3" s="1">
        <v>30.0</v>
      </c>
      <c r="N3" s="5">
        <v>44208.0</v>
      </c>
      <c r="Q3" s="1" t="s">
        <v>46</v>
      </c>
    </row>
    <row r="4">
      <c r="I4" s="4"/>
      <c r="N4" s="5"/>
    </row>
    <row r="5">
      <c r="I5" s="4"/>
      <c r="N5" s="5"/>
    </row>
    <row r="6">
      <c r="I6" s="4"/>
      <c r="N6" s="5"/>
    </row>
    <row r="7">
      <c r="I7" s="4"/>
      <c r="N7" s="5"/>
    </row>
    <row r="8">
      <c r="I8" s="4"/>
      <c r="N8" s="5"/>
    </row>
    <row r="9">
      <c r="I9" s="4"/>
      <c r="N9" s="5"/>
    </row>
    <row r="10">
      <c r="N10" s="5"/>
    </row>
    <row r="11">
      <c r="I11" s="4"/>
      <c r="N11" s="5"/>
    </row>
    <row r="12">
      <c r="I12" s="4"/>
      <c r="N12" s="5"/>
    </row>
    <row r="13">
      <c r="N13" s="5"/>
    </row>
    <row r="14">
      <c r="I14" s="4"/>
      <c r="N14" s="5"/>
    </row>
    <row r="15">
      <c r="I15" s="4"/>
      <c r="N15" s="5"/>
    </row>
    <row r="16">
      <c r="I16" s="4"/>
      <c r="N16" s="5"/>
    </row>
    <row r="17">
      <c r="I17" s="4"/>
      <c r="N17" s="5"/>
    </row>
    <row r="18">
      <c r="I18" s="4"/>
      <c r="N18" s="5"/>
    </row>
    <row r="19">
      <c r="I19" s="4"/>
      <c r="N19" s="5"/>
    </row>
    <row r="20">
      <c r="N20" s="5"/>
    </row>
    <row r="21">
      <c r="N21" s="5"/>
    </row>
    <row r="22">
      <c r="N22" s="5"/>
    </row>
    <row r="23">
      <c r="N23" s="5"/>
    </row>
    <row r="24">
      <c r="I24" s="4"/>
      <c r="N24" s="5"/>
    </row>
    <row r="25">
      <c r="N25" s="5"/>
    </row>
    <row r="26">
      <c r="N26" s="5"/>
    </row>
    <row r="27">
      <c r="N27" s="5"/>
    </row>
    <row r="28">
      <c r="N28" s="5"/>
    </row>
    <row r="29">
      <c r="I29" s="4"/>
      <c r="N29" s="5"/>
    </row>
    <row r="30">
      <c r="I30" s="4"/>
      <c r="N30" s="5"/>
    </row>
    <row r="31">
      <c r="N31" s="5"/>
    </row>
    <row r="32">
      <c r="I32" s="4"/>
      <c r="N32" s="5"/>
    </row>
    <row r="33">
      <c r="N33" s="5"/>
    </row>
    <row r="34">
      <c r="I34" s="4"/>
      <c r="N34" s="5"/>
    </row>
    <row r="35">
      <c r="N35" s="5"/>
    </row>
    <row r="36">
      <c r="N36" s="5"/>
    </row>
    <row r="37">
      <c r="I37" s="4"/>
      <c r="N37" s="5"/>
    </row>
    <row r="38">
      <c r="N38" s="5"/>
    </row>
    <row r="39">
      <c r="I39" s="4"/>
      <c r="N39" s="5"/>
    </row>
    <row r="40">
      <c r="I40" s="4"/>
      <c r="N40" s="5"/>
    </row>
    <row r="41">
      <c r="N41" s="5"/>
    </row>
    <row r="42">
      <c r="N42" s="5"/>
    </row>
    <row r="43">
      <c r="I43" s="4"/>
      <c r="N43" s="5"/>
    </row>
    <row r="44">
      <c r="N44" s="5"/>
    </row>
    <row r="45">
      <c r="N45" s="5"/>
    </row>
    <row r="46">
      <c r="I46" s="4"/>
      <c r="N46" s="5"/>
    </row>
    <row r="47">
      <c r="N47" s="5"/>
    </row>
    <row r="48">
      <c r="N48" s="5"/>
    </row>
    <row r="49">
      <c r="I49" s="4"/>
      <c r="N49" s="5"/>
    </row>
    <row r="50">
      <c r="N50" s="5"/>
    </row>
    <row r="51">
      <c r="N51" s="5"/>
    </row>
    <row r="52">
      <c r="N52" s="5"/>
    </row>
    <row r="53">
      <c r="N53" s="5"/>
    </row>
    <row r="54">
      <c r="N54" s="5"/>
    </row>
    <row r="55">
      <c r="N55" s="5"/>
    </row>
    <row r="56">
      <c r="N56" s="5"/>
    </row>
    <row r="57">
      <c r="N57" s="5"/>
    </row>
    <row r="58">
      <c r="N58" s="5"/>
    </row>
    <row r="59">
      <c r="I59" s="4"/>
      <c r="N59" s="5"/>
    </row>
    <row r="60">
      <c r="I60" s="4"/>
      <c r="N60" s="5"/>
    </row>
    <row r="61">
      <c r="N61" s="5"/>
    </row>
    <row r="62">
      <c r="I62" s="4"/>
      <c r="N62" s="5"/>
    </row>
    <row r="63">
      <c r="N63" s="5"/>
    </row>
    <row r="64">
      <c r="I64" s="4"/>
      <c r="N64" s="5"/>
    </row>
    <row r="65">
      <c r="N65" s="5"/>
    </row>
    <row r="66">
      <c r="N66" s="5"/>
    </row>
    <row r="67">
      <c r="N67" s="5"/>
    </row>
    <row r="68">
      <c r="N68" s="5"/>
    </row>
    <row r="69">
      <c r="N69" s="5"/>
    </row>
    <row r="70">
      <c r="I70" s="4"/>
      <c r="N70" s="5"/>
    </row>
    <row r="71">
      <c r="N71" s="5"/>
    </row>
    <row r="72">
      <c r="N72" s="5"/>
    </row>
    <row r="73">
      <c r="N73" s="5"/>
    </row>
    <row r="74">
      <c r="N74" s="5"/>
    </row>
    <row r="75">
      <c r="N75" s="5"/>
    </row>
    <row r="76">
      <c r="N76" s="5"/>
    </row>
    <row r="77">
      <c r="N77" s="5"/>
    </row>
    <row r="78">
      <c r="I78" s="4"/>
      <c r="N78" s="5"/>
    </row>
    <row r="79">
      <c r="N79" s="5"/>
    </row>
    <row r="80">
      <c r="N80" s="5"/>
    </row>
    <row r="81">
      <c r="N81" s="5"/>
    </row>
    <row r="82">
      <c r="N82" s="5"/>
    </row>
    <row r="83">
      <c r="N83" s="5"/>
    </row>
    <row r="84">
      <c r="N84" s="5"/>
    </row>
    <row r="85">
      <c r="N85" s="5"/>
    </row>
    <row r="86">
      <c r="N86" s="5"/>
    </row>
    <row r="87">
      <c r="N87" s="5"/>
    </row>
    <row r="88">
      <c r="N88" s="5"/>
    </row>
    <row r="89">
      <c r="N89" s="5"/>
    </row>
    <row r="90">
      <c r="N90" s="5"/>
    </row>
    <row r="91">
      <c r="N91" s="5"/>
    </row>
    <row r="92">
      <c r="N92" s="5"/>
    </row>
    <row r="93">
      <c r="N93" s="5"/>
    </row>
    <row r="94">
      <c r="N94" s="5"/>
    </row>
    <row r="95">
      <c r="N95" s="5"/>
    </row>
    <row r="96">
      <c r="N96" s="5"/>
    </row>
    <row r="97">
      <c r="N97" s="5"/>
    </row>
    <row r="98">
      <c r="N98" s="5"/>
    </row>
    <row r="99">
      <c r="N99" s="5"/>
    </row>
    <row r="100">
      <c r="I100" s="4"/>
      <c r="N100" s="5"/>
    </row>
    <row r="101">
      <c r="N101" s="5"/>
    </row>
    <row r="102">
      <c r="N102" s="5"/>
    </row>
    <row r="103">
      <c r="N103" s="5"/>
    </row>
    <row r="104">
      <c r="N104" s="5"/>
    </row>
    <row r="105">
      <c r="N105" s="5"/>
    </row>
    <row r="106">
      <c r="N106" s="5"/>
    </row>
    <row r="107">
      <c r="N107" s="5"/>
    </row>
    <row r="108">
      <c r="N108" s="5"/>
    </row>
    <row r="109">
      <c r="N109" s="5"/>
    </row>
    <row r="110">
      <c r="N110" s="5"/>
    </row>
    <row r="111">
      <c r="N111" s="5"/>
    </row>
    <row r="112">
      <c r="N112" s="5"/>
    </row>
    <row r="113">
      <c r="N113" s="5"/>
    </row>
    <row r="114">
      <c r="N114" s="5"/>
    </row>
    <row r="115">
      <c r="N115" s="5"/>
    </row>
    <row r="116">
      <c r="N116" s="5"/>
    </row>
    <row r="117">
      <c r="N117" s="5"/>
    </row>
    <row r="118">
      <c r="N118" s="5"/>
    </row>
    <row r="119">
      <c r="N119" s="5"/>
    </row>
    <row r="120">
      <c r="N120" s="5"/>
    </row>
    <row r="121">
      <c r="N121" s="5"/>
    </row>
    <row r="122">
      <c r="N122" s="5"/>
    </row>
    <row r="123">
      <c r="N123" s="5"/>
    </row>
    <row r="124">
      <c r="N124" s="5"/>
    </row>
    <row r="125">
      <c r="N125" s="5"/>
    </row>
    <row r="126">
      <c r="N126" s="5"/>
    </row>
    <row r="127">
      <c r="N127" s="5"/>
    </row>
    <row r="128">
      <c r="N128" s="5"/>
    </row>
    <row r="129">
      <c r="N129" s="5"/>
    </row>
    <row r="130">
      <c r="N130" s="5"/>
    </row>
    <row r="131">
      <c r="N131" s="5"/>
    </row>
    <row r="132">
      <c r="N132" s="5"/>
    </row>
    <row r="133">
      <c r="N133" s="5"/>
    </row>
    <row r="134">
      <c r="N134" s="5"/>
    </row>
    <row r="135">
      <c r="N135" s="5"/>
    </row>
    <row r="136">
      <c r="N136" s="5"/>
    </row>
    <row r="137">
      <c r="N137" s="5"/>
    </row>
    <row r="138">
      <c r="N138" s="5"/>
    </row>
    <row r="139">
      <c r="N139" s="5"/>
    </row>
    <row r="140">
      <c r="N140" s="5"/>
    </row>
    <row r="141">
      <c r="N141" s="5"/>
    </row>
    <row r="142">
      <c r="N142" s="5"/>
    </row>
    <row r="143">
      <c r="N143" s="5"/>
    </row>
    <row r="144">
      <c r="N144" s="5"/>
    </row>
    <row r="145">
      <c r="N145" s="5"/>
    </row>
    <row r="146">
      <c r="N146" s="5"/>
    </row>
    <row r="147">
      <c r="N147" s="5"/>
    </row>
    <row r="148">
      <c r="N148" s="5"/>
    </row>
    <row r="149">
      <c r="N149" s="5"/>
    </row>
    <row r="150">
      <c r="N150" s="5"/>
    </row>
    <row r="151">
      <c r="N151" s="5"/>
    </row>
    <row r="152">
      <c r="N152" s="5"/>
    </row>
    <row r="153">
      <c r="N153" s="5"/>
    </row>
    <row r="154">
      <c r="N154" s="5"/>
    </row>
    <row r="155">
      <c r="N155" s="5"/>
    </row>
    <row r="156">
      <c r="N156" s="5"/>
    </row>
    <row r="157">
      <c r="N157" s="5"/>
    </row>
    <row r="158">
      <c r="N158" s="5"/>
    </row>
    <row r="159">
      <c r="N159" s="5"/>
    </row>
    <row r="160">
      <c r="N160" s="5"/>
    </row>
    <row r="161">
      <c r="N161" s="5"/>
    </row>
    <row r="162">
      <c r="N162" s="5"/>
    </row>
    <row r="163">
      <c r="N163" s="5"/>
    </row>
    <row r="164">
      <c r="N164" s="5"/>
    </row>
    <row r="165">
      <c r="N165" s="5"/>
    </row>
    <row r="166">
      <c r="N166" s="5"/>
    </row>
    <row r="167">
      <c r="N167" s="5"/>
    </row>
    <row r="168">
      <c r="N168" s="5"/>
    </row>
    <row r="169">
      <c r="N169" s="5"/>
    </row>
    <row r="170">
      <c r="N170" s="5"/>
    </row>
    <row r="171">
      <c r="N171" s="5"/>
    </row>
    <row r="172">
      <c r="N172" s="5"/>
    </row>
    <row r="173">
      <c r="N173" s="5"/>
    </row>
    <row r="174">
      <c r="N174" s="5"/>
    </row>
    <row r="175">
      <c r="N175" s="5"/>
    </row>
    <row r="176">
      <c r="N176" s="5"/>
    </row>
    <row r="177">
      <c r="N177" s="5"/>
    </row>
    <row r="178">
      <c r="N178" s="5"/>
    </row>
    <row r="179">
      <c r="N179" s="5"/>
    </row>
    <row r="180">
      <c r="N180" s="5"/>
    </row>
    <row r="181">
      <c r="N181" s="5"/>
    </row>
    <row r="182">
      <c r="N182" s="5"/>
    </row>
    <row r="183">
      <c r="N183" s="5"/>
    </row>
    <row r="184">
      <c r="N184" s="5"/>
    </row>
    <row r="185">
      <c r="N185" s="5"/>
    </row>
    <row r="186">
      <c r="N186" s="5"/>
    </row>
    <row r="187">
      <c r="N187" s="5"/>
    </row>
    <row r="188">
      <c r="N188" s="5"/>
    </row>
    <row r="189">
      <c r="N189" s="5"/>
    </row>
    <row r="190">
      <c r="N190" s="5"/>
    </row>
    <row r="191">
      <c r="N191" s="5"/>
    </row>
    <row r="192">
      <c r="N192" s="5"/>
    </row>
    <row r="193">
      <c r="N193" s="5"/>
    </row>
    <row r="194">
      <c r="N194" s="5"/>
    </row>
    <row r="195">
      <c r="N195" s="5"/>
    </row>
    <row r="196">
      <c r="N196" s="5"/>
    </row>
    <row r="197">
      <c r="N197" s="5"/>
    </row>
    <row r="198">
      <c r="N198" s="5"/>
    </row>
    <row r="199">
      <c r="N199" s="5"/>
    </row>
    <row r="200">
      <c r="N200" s="5"/>
    </row>
    <row r="201">
      <c r="N201" s="5"/>
    </row>
    <row r="202">
      <c r="N202" s="5"/>
    </row>
    <row r="203">
      <c r="N203" s="5"/>
    </row>
    <row r="204">
      <c r="N204" s="5"/>
    </row>
    <row r="205">
      <c r="N205" s="5"/>
    </row>
    <row r="206">
      <c r="N206" s="5"/>
    </row>
    <row r="207">
      <c r="N207" s="5"/>
    </row>
    <row r="208">
      <c r="N208" s="5"/>
    </row>
    <row r="209">
      <c r="N209" s="5"/>
    </row>
    <row r="210">
      <c r="N210" s="5"/>
    </row>
    <row r="211">
      <c r="N211" s="5"/>
    </row>
    <row r="212">
      <c r="N212" s="5"/>
    </row>
    <row r="213">
      <c r="N213" s="5"/>
    </row>
    <row r="214">
      <c r="N214" s="5"/>
    </row>
    <row r="215">
      <c r="N215" s="5"/>
    </row>
    <row r="216">
      <c r="N216" s="5"/>
    </row>
    <row r="217">
      <c r="N217" s="5"/>
    </row>
    <row r="218">
      <c r="N218" s="5"/>
    </row>
    <row r="219">
      <c r="N219" s="5"/>
    </row>
    <row r="220">
      <c r="N220" s="5"/>
    </row>
    <row r="221">
      <c r="N221" s="5"/>
    </row>
    <row r="222">
      <c r="N222" s="5"/>
    </row>
    <row r="223">
      <c r="N223" s="5"/>
    </row>
    <row r="224">
      <c r="N224" s="5"/>
    </row>
    <row r="225">
      <c r="N225" s="5"/>
    </row>
    <row r="226">
      <c r="N226" s="5"/>
    </row>
    <row r="227">
      <c r="N227" s="5"/>
    </row>
    <row r="228">
      <c r="N228" s="5"/>
    </row>
    <row r="229">
      <c r="N229" s="5"/>
    </row>
    <row r="230">
      <c r="N230" s="5"/>
    </row>
    <row r="231">
      <c r="N231" s="5"/>
    </row>
    <row r="232">
      <c r="N232" s="5"/>
    </row>
    <row r="233">
      <c r="N233" s="5"/>
    </row>
    <row r="234">
      <c r="N234" s="5"/>
    </row>
    <row r="235">
      <c r="N235" s="5"/>
    </row>
    <row r="236">
      <c r="N236" s="5"/>
    </row>
    <row r="237">
      <c r="N237" s="5"/>
    </row>
    <row r="238">
      <c r="N238" s="5"/>
    </row>
    <row r="239">
      <c r="N239" s="5"/>
    </row>
    <row r="240">
      <c r="N240" s="5"/>
    </row>
    <row r="241">
      <c r="N241" s="5"/>
    </row>
    <row r="242">
      <c r="N242" s="5"/>
    </row>
    <row r="243">
      <c r="N243" s="5"/>
    </row>
    <row r="244">
      <c r="N244" s="5"/>
    </row>
    <row r="245">
      <c r="N245" s="5"/>
    </row>
    <row r="246">
      <c r="N246" s="5"/>
    </row>
    <row r="247">
      <c r="N247" s="5"/>
    </row>
    <row r="248">
      <c r="N248" s="5"/>
    </row>
    <row r="249">
      <c r="N249" s="5"/>
    </row>
    <row r="250">
      <c r="N250" s="5"/>
    </row>
    <row r="251">
      <c r="N251" s="5"/>
    </row>
    <row r="252">
      <c r="N252" s="5"/>
    </row>
    <row r="253">
      <c r="N253" s="5"/>
    </row>
    <row r="254">
      <c r="N254" s="5"/>
    </row>
    <row r="255">
      <c r="N255" s="5"/>
    </row>
    <row r="256">
      <c r="N256" s="5"/>
    </row>
    <row r="257">
      <c r="N257" s="5"/>
    </row>
    <row r="258">
      <c r="N258" s="5"/>
    </row>
    <row r="259">
      <c r="N259" s="5"/>
    </row>
    <row r="260">
      <c r="N260" s="5"/>
    </row>
    <row r="261">
      <c r="I261" s="4"/>
    </row>
    <row r="262">
      <c r="N262" s="5"/>
    </row>
    <row r="263">
      <c r="N263" s="5"/>
    </row>
    <row r="264">
      <c r="N264" s="5"/>
    </row>
    <row r="265">
      <c r="N265" s="5"/>
    </row>
    <row r="266">
      <c r="N266" s="5"/>
    </row>
    <row r="267">
      <c r="N267" s="5"/>
    </row>
    <row r="268">
      <c r="N268" s="5"/>
    </row>
    <row r="269">
      <c r="N269" s="5"/>
    </row>
    <row r="270">
      <c r="N270" s="5"/>
    </row>
    <row r="271">
      <c r="N271" s="5"/>
    </row>
    <row r="272">
      <c r="N272" s="5"/>
    </row>
    <row r="273">
      <c r="N273" s="5"/>
    </row>
    <row r="274">
      <c r="N274" s="5"/>
    </row>
    <row r="275">
      <c r="N275" s="5"/>
    </row>
    <row r="276">
      <c r="N276" s="5"/>
    </row>
    <row r="277">
      <c r="N277" s="5"/>
    </row>
    <row r="278">
      <c r="N278" s="5"/>
    </row>
    <row r="279">
      <c r="N279" s="5"/>
    </row>
    <row r="280">
      <c r="N280" s="5"/>
    </row>
    <row r="281">
      <c r="N281" s="5"/>
    </row>
    <row r="282">
      <c r="N282" s="5"/>
    </row>
    <row r="283">
      <c r="N283" s="5"/>
    </row>
    <row r="284">
      <c r="N284" s="5"/>
    </row>
    <row r="285">
      <c r="N285" s="5"/>
    </row>
    <row r="286">
      <c r="N286" s="5"/>
    </row>
    <row r="287">
      <c r="N287" s="5"/>
    </row>
    <row r="288">
      <c r="N288" s="5"/>
    </row>
    <row r="289">
      <c r="N289" s="5"/>
    </row>
    <row r="290">
      <c r="N290" s="5"/>
    </row>
    <row r="291">
      <c r="N291" s="5"/>
    </row>
    <row r="292">
      <c r="N292" s="5"/>
    </row>
    <row r="293">
      <c r="N293" s="5"/>
    </row>
    <row r="294">
      <c r="N294" s="5"/>
    </row>
    <row r="295">
      <c r="N295" s="5"/>
    </row>
    <row r="296">
      <c r="N296" s="5"/>
    </row>
    <row r="297">
      <c r="N297" s="5"/>
    </row>
    <row r="298">
      <c r="N298" s="5"/>
    </row>
    <row r="299">
      <c r="N299" s="5"/>
    </row>
    <row r="300">
      <c r="N300" s="5"/>
    </row>
    <row r="301">
      <c r="N301" s="5"/>
    </row>
    <row r="302">
      <c r="N302" s="5"/>
    </row>
    <row r="303">
      <c r="N303" s="5"/>
    </row>
    <row r="304">
      <c r="N304" s="5"/>
    </row>
    <row r="305">
      <c r="N305" s="5"/>
    </row>
    <row r="306">
      <c r="N306" s="5"/>
    </row>
    <row r="307">
      <c r="N307" s="5"/>
    </row>
    <row r="308">
      <c r="N308" s="5"/>
    </row>
    <row r="309">
      <c r="N309" s="5"/>
    </row>
    <row r="310">
      <c r="N310" s="5"/>
    </row>
    <row r="311">
      <c r="N311" s="5"/>
    </row>
    <row r="312">
      <c r="N312" s="5"/>
    </row>
    <row r="313">
      <c r="N313" s="5"/>
    </row>
    <row r="314">
      <c r="N314" s="5"/>
    </row>
    <row r="315">
      <c r="N315" s="5"/>
    </row>
    <row r="316">
      <c r="N316" s="5"/>
    </row>
    <row r="317">
      <c r="N317" s="5"/>
    </row>
    <row r="318">
      <c r="N318" s="5"/>
    </row>
    <row r="319">
      <c r="N319" s="5"/>
    </row>
    <row r="320">
      <c r="N320" s="5"/>
    </row>
    <row r="321">
      <c r="N321" s="5"/>
    </row>
    <row r="322">
      <c r="N322" s="5"/>
    </row>
    <row r="323">
      <c r="N323" s="5"/>
    </row>
    <row r="324">
      <c r="N324" s="5"/>
    </row>
    <row r="325">
      <c r="N325" s="5"/>
    </row>
    <row r="326">
      <c r="N326" s="5"/>
    </row>
    <row r="327">
      <c r="N327" s="5"/>
    </row>
    <row r="328">
      <c r="N328" s="5"/>
    </row>
    <row r="329">
      <c r="N329" s="5"/>
    </row>
    <row r="330">
      <c r="N330" s="5"/>
    </row>
    <row r="331">
      <c r="N331" s="5"/>
    </row>
    <row r="332">
      <c r="N332" s="5"/>
    </row>
    <row r="333">
      <c r="N333" s="5"/>
    </row>
    <row r="334">
      <c r="N334" s="5"/>
    </row>
    <row r="335">
      <c r="N335" s="5"/>
    </row>
    <row r="336">
      <c r="N336" s="5"/>
    </row>
    <row r="337">
      <c r="N337" s="5"/>
    </row>
    <row r="338">
      <c r="N338" s="5"/>
    </row>
    <row r="339">
      <c r="N339" s="5"/>
    </row>
    <row r="340">
      <c r="N340" s="5"/>
    </row>
    <row r="341">
      <c r="N341" s="5"/>
    </row>
    <row r="342">
      <c r="N342" s="5"/>
    </row>
    <row r="343">
      <c r="N343" s="5"/>
    </row>
    <row r="344">
      <c r="N344" s="5"/>
    </row>
    <row r="345">
      <c r="N345" s="5"/>
    </row>
    <row r="346">
      <c r="N346" s="5"/>
    </row>
    <row r="347">
      <c r="N347" s="5"/>
    </row>
    <row r="348">
      <c r="N348" s="5"/>
    </row>
    <row r="349">
      <c r="N349" s="5"/>
    </row>
    <row r="350">
      <c r="N350" s="5"/>
    </row>
    <row r="351">
      <c r="N351" s="5"/>
    </row>
    <row r="352">
      <c r="N352" s="5"/>
    </row>
    <row r="353">
      <c r="N353" s="5"/>
    </row>
    <row r="354">
      <c r="N354" s="5"/>
    </row>
    <row r="355">
      <c r="N355" s="5"/>
    </row>
    <row r="356">
      <c r="N356" s="5"/>
    </row>
  </sheetData>
  <autoFilter ref="$A$1:$Z$10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 t="s">
        <v>251</v>
      </c>
      <c r="C2" s="1" t="s">
        <v>21</v>
      </c>
      <c r="D2" s="1">
        <v>23.0</v>
      </c>
      <c r="E2" s="1">
        <v>3500.0</v>
      </c>
      <c r="F2" s="1">
        <v>1.2</v>
      </c>
      <c r="G2" s="1">
        <v>0.59</v>
      </c>
      <c r="H2" s="1" t="s">
        <v>251</v>
      </c>
      <c r="I2" s="4">
        <v>46235.28936342592</v>
      </c>
      <c r="J2" s="1" t="s">
        <v>253</v>
      </c>
      <c r="K2" s="1">
        <v>392000.0</v>
      </c>
      <c r="L2" s="1">
        <v>1300.0</v>
      </c>
      <c r="M2" s="1">
        <v>1400.0</v>
      </c>
      <c r="N2" s="5">
        <v>42496.0</v>
      </c>
      <c r="O2" s="1" t="s">
        <v>254</v>
      </c>
      <c r="P2" s="1" t="s">
        <v>255</v>
      </c>
      <c r="Q2" s="1" t="s">
        <v>256</v>
      </c>
      <c r="R2" s="1" t="s">
        <v>257</v>
      </c>
      <c r="S2" s="1" t="s">
        <v>258</v>
      </c>
    </row>
    <row r="3">
      <c r="A3" s="1">
        <v>2.0</v>
      </c>
      <c r="B3" s="1" t="s">
        <v>259</v>
      </c>
      <c r="C3" s="1" t="s">
        <v>21</v>
      </c>
      <c r="D3" s="1">
        <v>9.0</v>
      </c>
      <c r="E3" s="1">
        <v>2100.0</v>
      </c>
      <c r="F3" s="1">
        <v>1.2</v>
      </c>
      <c r="G3" s="1">
        <v>0.49</v>
      </c>
      <c r="H3" s="1" t="s">
        <v>259</v>
      </c>
      <c r="I3" s="4">
        <v>46230.68956018519</v>
      </c>
      <c r="J3" s="1" t="s">
        <v>260</v>
      </c>
      <c r="K3" s="1">
        <v>578000.0</v>
      </c>
      <c r="L3" s="1">
        <v>600.0</v>
      </c>
      <c r="M3" s="1">
        <v>700.0</v>
      </c>
      <c r="N3" s="5">
        <v>42445.0</v>
      </c>
      <c r="O3" s="1" t="s">
        <v>254</v>
      </c>
      <c r="P3" s="1" t="s">
        <v>255</v>
      </c>
      <c r="Q3" s="1" t="s">
        <v>261</v>
      </c>
      <c r="R3" s="1" t="s">
        <v>262</v>
      </c>
      <c r="S3" s="1" t="s">
        <v>258</v>
      </c>
    </row>
    <row r="4">
      <c r="A4" s="1">
        <v>3.0</v>
      </c>
      <c r="B4" s="1" t="s">
        <v>263</v>
      </c>
      <c r="C4" s="1" t="s">
        <v>21</v>
      </c>
      <c r="D4" s="1">
        <v>35.0</v>
      </c>
      <c r="E4" s="1">
        <v>400.0</v>
      </c>
      <c r="F4" s="1">
        <v>0.35</v>
      </c>
      <c r="G4" s="1">
        <v>0.58</v>
      </c>
      <c r="H4" s="1" t="s">
        <v>263</v>
      </c>
      <c r="I4" s="4">
        <v>46214.563425925924</v>
      </c>
      <c r="J4" s="1" t="s">
        <v>264</v>
      </c>
      <c r="K4" s="1">
        <v>54000.0</v>
      </c>
      <c r="L4" s="1">
        <v>60.0</v>
      </c>
      <c r="M4" s="1">
        <v>60.0</v>
      </c>
      <c r="N4" s="5">
        <v>42249.0</v>
      </c>
      <c r="O4" s="1" t="s">
        <v>265</v>
      </c>
      <c r="P4" s="1" t="s">
        <v>255</v>
      </c>
      <c r="Q4" s="1" t="s">
        <v>266</v>
      </c>
      <c r="R4" s="1" t="s">
        <v>267</v>
      </c>
      <c r="S4" s="1" t="s">
        <v>258</v>
      </c>
    </row>
    <row r="5">
      <c r="A5" s="1">
        <v>4.0</v>
      </c>
      <c r="B5" s="1" t="s">
        <v>20</v>
      </c>
      <c r="C5" s="1" t="s">
        <v>21</v>
      </c>
      <c r="D5" s="1">
        <v>0.0</v>
      </c>
      <c r="E5" s="1">
        <v>400.0</v>
      </c>
      <c r="F5" s="1">
        <v>0.7</v>
      </c>
      <c r="G5" s="1">
        <v>0.81</v>
      </c>
      <c r="H5" s="1" t="s">
        <v>20</v>
      </c>
      <c r="I5" s="4">
        <v>46217.51079861111</v>
      </c>
      <c r="J5" s="1" t="s">
        <v>268</v>
      </c>
      <c r="K5" s="1">
        <v>97000.0</v>
      </c>
      <c r="L5" s="1">
        <v>30.0</v>
      </c>
      <c r="M5" s="1">
        <v>30.0</v>
      </c>
      <c r="N5" s="5">
        <v>42258.0</v>
      </c>
      <c r="O5" s="1" t="s">
        <v>269</v>
      </c>
      <c r="P5" s="1" t="s">
        <v>255</v>
      </c>
      <c r="Q5" s="1" t="s">
        <v>270</v>
      </c>
      <c r="R5" s="1" t="s">
        <v>271</v>
      </c>
      <c r="S5" s="1" t="s">
        <v>272</v>
      </c>
    </row>
    <row r="6">
      <c r="A6" s="1">
        <v>5.0</v>
      </c>
      <c r="B6" s="1" t="s">
        <v>273</v>
      </c>
      <c r="C6" s="1" t="s">
        <v>21</v>
      </c>
      <c r="D6" s="1">
        <v>5.0</v>
      </c>
      <c r="E6" s="1">
        <v>250.0</v>
      </c>
      <c r="F6" s="1">
        <v>1.0</v>
      </c>
      <c r="H6" s="1" t="s">
        <v>251</v>
      </c>
      <c r="I6" s="4">
        <v>46204.878020833334</v>
      </c>
      <c r="J6" s="1" t="s">
        <v>274</v>
      </c>
      <c r="K6" s="1">
        <v>104000.0</v>
      </c>
      <c r="L6" s="1">
        <v>1400.0</v>
      </c>
      <c r="M6" s="1">
        <v>1500.0</v>
      </c>
      <c r="N6" s="5">
        <v>42555.0</v>
      </c>
      <c r="O6" s="1" t="s">
        <v>269</v>
      </c>
      <c r="P6" s="1" t="s">
        <v>255</v>
      </c>
      <c r="Q6" s="1" t="s">
        <v>275</v>
      </c>
      <c r="R6" s="1" t="s">
        <v>276</v>
      </c>
      <c r="S6" s="1" t="s">
        <v>258</v>
      </c>
    </row>
    <row r="7">
      <c r="A7" s="1">
        <v>6.0</v>
      </c>
      <c r="B7" s="1" t="s">
        <v>277</v>
      </c>
      <c r="C7" s="1" t="s">
        <v>21</v>
      </c>
      <c r="D7" s="1">
        <v>24.0</v>
      </c>
      <c r="E7" s="1">
        <v>250.0</v>
      </c>
      <c r="F7" s="1">
        <v>0.8</v>
      </c>
      <c r="G7" s="1">
        <v>0.79</v>
      </c>
      <c r="H7" s="1" t="s">
        <v>278</v>
      </c>
      <c r="I7" s="4">
        <v>46217.82287037037</v>
      </c>
      <c r="J7" s="1" t="s">
        <v>264</v>
      </c>
      <c r="K7" s="1">
        <v>300.0</v>
      </c>
      <c r="L7" s="1">
        <v>350.0</v>
      </c>
      <c r="M7" s="1">
        <v>350.0</v>
      </c>
      <c r="N7" s="5">
        <v>42248.0</v>
      </c>
      <c r="O7" s="1" t="s">
        <v>269</v>
      </c>
      <c r="P7" s="1" t="s">
        <v>255</v>
      </c>
      <c r="Q7" s="1" t="s">
        <v>279</v>
      </c>
      <c r="R7" s="1" t="s">
        <v>280</v>
      </c>
      <c r="S7" s="1" t="s">
        <v>258</v>
      </c>
    </row>
    <row r="8">
      <c r="A8" s="1">
        <v>7.0</v>
      </c>
      <c r="B8" s="1" t="s">
        <v>281</v>
      </c>
      <c r="C8" s="1" t="s">
        <v>21</v>
      </c>
      <c r="D8" s="1">
        <v>23.0</v>
      </c>
      <c r="E8" s="1">
        <v>250.0</v>
      </c>
      <c r="F8" s="1">
        <v>1.1</v>
      </c>
      <c r="H8" s="1" t="s">
        <v>282</v>
      </c>
      <c r="I8" s="4">
        <v>46209.38826388889</v>
      </c>
      <c r="J8" s="1" t="s">
        <v>264</v>
      </c>
      <c r="K8" s="1">
        <v>34000.0</v>
      </c>
      <c r="L8" s="1">
        <v>900.0</v>
      </c>
      <c r="M8" s="1">
        <v>1000.0</v>
      </c>
      <c r="N8" s="5">
        <v>42289.0</v>
      </c>
      <c r="O8" s="1" t="s">
        <v>254</v>
      </c>
      <c r="P8" s="1" t="s">
        <v>255</v>
      </c>
      <c r="Q8" s="1" t="s">
        <v>283</v>
      </c>
      <c r="R8" s="1" t="s">
        <v>284</v>
      </c>
      <c r="S8" s="1" t="s">
        <v>272</v>
      </c>
    </row>
    <row r="9">
      <c r="A9" s="1">
        <v>8.0</v>
      </c>
      <c r="B9" s="1" t="s">
        <v>278</v>
      </c>
      <c r="C9" s="1" t="s">
        <v>21</v>
      </c>
      <c r="D9" s="1">
        <v>33.0</v>
      </c>
      <c r="E9" s="1">
        <v>200.0</v>
      </c>
      <c r="F9" s="1">
        <v>0.8</v>
      </c>
      <c r="G9" s="1">
        <v>2.13</v>
      </c>
      <c r="H9" s="1" t="s">
        <v>251</v>
      </c>
      <c r="I9" s="4">
        <v>46217.32796296296</v>
      </c>
      <c r="J9" s="1" t="s">
        <v>264</v>
      </c>
      <c r="K9" s="1">
        <v>200.0</v>
      </c>
      <c r="L9" s="1">
        <v>350.0</v>
      </c>
      <c r="M9" s="1">
        <v>350.0</v>
      </c>
      <c r="N9" s="5">
        <v>42253.0</v>
      </c>
      <c r="O9" s="1" t="s">
        <v>269</v>
      </c>
      <c r="P9" s="1" t="s">
        <v>255</v>
      </c>
      <c r="Q9" s="1" t="s">
        <v>285</v>
      </c>
      <c r="S9" s="1" t="s">
        <v>258</v>
      </c>
    </row>
    <row r="10">
      <c r="A10" s="1">
        <v>9.0</v>
      </c>
      <c r="B10" s="1" t="s">
        <v>286</v>
      </c>
      <c r="C10" s="1" t="s">
        <v>21</v>
      </c>
      <c r="D10" s="1">
        <v>0.0</v>
      </c>
      <c r="E10" s="1">
        <v>150.0</v>
      </c>
      <c r="F10" s="1">
        <v>1.2</v>
      </c>
      <c r="G10" s="1">
        <v>0.78</v>
      </c>
      <c r="H10" s="1" t="s">
        <v>287</v>
      </c>
      <c r="I10" s="4">
        <v>46233.618738425925</v>
      </c>
      <c r="J10" s="1" t="s">
        <v>264</v>
      </c>
      <c r="K10" s="1">
        <v>150.0</v>
      </c>
      <c r="L10" s="1">
        <v>20.0</v>
      </c>
      <c r="M10" s="1">
        <v>20.0</v>
      </c>
      <c r="N10" s="5">
        <v>42334.0</v>
      </c>
      <c r="O10" s="1" t="s">
        <v>269</v>
      </c>
      <c r="P10" s="1" t="s">
        <v>255</v>
      </c>
      <c r="Q10" s="1" t="s">
        <v>289</v>
      </c>
      <c r="S10" s="1" t="s">
        <v>258</v>
      </c>
    </row>
    <row r="11">
      <c r="A11" s="1">
        <v>10.0</v>
      </c>
      <c r="B11" s="1" t="s">
        <v>290</v>
      </c>
      <c r="C11" s="1" t="s">
        <v>21</v>
      </c>
      <c r="D11" s="1">
        <v>19.0</v>
      </c>
      <c r="E11" s="1">
        <v>150.0</v>
      </c>
      <c r="F11" s="1">
        <v>0.8</v>
      </c>
      <c r="G11" s="1">
        <v>0.52</v>
      </c>
      <c r="H11" s="1" t="s">
        <v>281</v>
      </c>
      <c r="I11" s="4">
        <v>46234.227326388886</v>
      </c>
      <c r="J11" s="1" t="s">
        <v>291</v>
      </c>
      <c r="K11" s="1">
        <v>15000.0</v>
      </c>
      <c r="L11" s="1">
        <v>450.0</v>
      </c>
      <c r="M11" s="1">
        <v>500.0</v>
      </c>
      <c r="N11" s="5">
        <v>42256.0</v>
      </c>
      <c r="O11" s="1" t="s">
        <v>265</v>
      </c>
      <c r="P11" s="1" t="s">
        <v>255</v>
      </c>
      <c r="Q11" s="1" t="s">
        <v>292</v>
      </c>
      <c r="R11" s="1" t="s">
        <v>293</v>
      </c>
      <c r="S11" s="1" t="s">
        <v>258</v>
      </c>
    </row>
    <row r="12">
      <c r="A12" s="1">
        <v>11.0</v>
      </c>
      <c r="B12" s="1" t="s">
        <v>294</v>
      </c>
      <c r="C12" s="1" t="s">
        <v>21</v>
      </c>
      <c r="D12" s="1">
        <v>1.0</v>
      </c>
      <c r="E12" s="1">
        <v>150.0</v>
      </c>
      <c r="F12" s="1">
        <v>1.2</v>
      </c>
      <c r="G12" s="1">
        <v>0.68</v>
      </c>
      <c r="H12" s="1" t="s">
        <v>295</v>
      </c>
      <c r="I12" s="4">
        <v>46223.562789351854</v>
      </c>
      <c r="J12" s="1" t="s">
        <v>264</v>
      </c>
      <c r="K12" s="1">
        <v>150.0</v>
      </c>
      <c r="L12" s="1">
        <v>90.0</v>
      </c>
      <c r="M12" s="1">
        <v>90.0</v>
      </c>
      <c r="N12" s="5">
        <v>42265.0</v>
      </c>
      <c r="O12" s="1" t="s">
        <v>265</v>
      </c>
      <c r="P12" s="1" t="s">
        <v>255</v>
      </c>
      <c r="Q12" s="1" t="s">
        <v>296</v>
      </c>
      <c r="S12" s="1" t="s">
        <v>258</v>
      </c>
    </row>
    <row r="13">
      <c r="A13" s="1">
        <v>12.0</v>
      </c>
      <c r="B13" s="1" t="s">
        <v>297</v>
      </c>
      <c r="C13" s="1" t="s">
        <v>21</v>
      </c>
      <c r="D13" s="1">
        <v>13.0</v>
      </c>
      <c r="E13" s="1">
        <v>100.0</v>
      </c>
      <c r="F13" s="1">
        <v>0.08</v>
      </c>
      <c r="H13" s="1" t="s">
        <v>282</v>
      </c>
      <c r="I13" s="4">
        <v>46224.258206018516</v>
      </c>
      <c r="J13" s="1" t="s">
        <v>264</v>
      </c>
      <c r="K13" s="1">
        <v>7400.0</v>
      </c>
      <c r="L13" s="1">
        <v>900.0</v>
      </c>
      <c r="M13" s="1">
        <v>1200.0</v>
      </c>
      <c r="N13" s="5">
        <v>42829.0</v>
      </c>
      <c r="O13" s="1" t="s">
        <v>254</v>
      </c>
      <c r="P13" s="1" t="s">
        <v>255</v>
      </c>
      <c r="Q13" s="1" t="s">
        <v>298</v>
      </c>
      <c r="S13" s="1" t="s">
        <v>258</v>
      </c>
    </row>
    <row r="14">
      <c r="A14" s="1">
        <v>13.0</v>
      </c>
      <c r="B14" s="1" t="s">
        <v>299</v>
      </c>
      <c r="C14" s="1" t="s">
        <v>21</v>
      </c>
      <c r="D14" s="1">
        <v>24.0</v>
      </c>
      <c r="E14" s="1">
        <v>100.0</v>
      </c>
      <c r="F14" s="1">
        <v>0.4</v>
      </c>
      <c r="H14" s="1" t="s">
        <v>251</v>
      </c>
      <c r="I14" s="4">
        <v>46208.84013888889</v>
      </c>
      <c r="J14" s="1" t="s">
        <v>264</v>
      </c>
      <c r="K14" s="1">
        <v>150.0</v>
      </c>
      <c r="L14" s="1">
        <v>200.0</v>
      </c>
      <c r="M14" s="1">
        <v>200.0</v>
      </c>
      <c r="N14" s="5">
        <v>42282.0</v>
      </c>
      <c r="O14" s="1" t="s">
        <v>269</v>
      </c>
      <c r="P14" s="1" t="s">
        <v>255</v>
      </c>
      <c r="Q14" s="1" t="s">
        <v>300</v>
      </c>
      <c r="S14" s="1" t="s">
        <v>258</v>
      </c>
    </row>
    <row r="15">
      <c r="A15" s="1">
        <v>14.0</v>
      </c>
      <c r="B15" s="1" t="s">
        <v>301</v>
      </c>
      <c r="C15" s="1" t="s">
        <v>21</v>
      </c>
      <c r="D15" s="1">
        <v>40.0</v>
      </c>
      <c r="E15" s="1">
        <v>100.0</v>
      </c>
      <c r="F15" s="1">
        <v>0.4</v>
      </c>
      <c r="H15" s="1" t="s">
        <v>302</v>
      </c>
      <c r="I15" s="4">
        <v>46229.95581018519</v>
      </c>
      <c r="J15" s="1" t="s">
        <v>264</v>
      </c>
      <c r="K15" s="1">
        <v>5800.0</v>
      </c>
      <c r="L15" s="1">
        <v>150.0</v>
      </c>
      <c r="M15" s="1">
        <v>150.0</v>
      </c>
      <c r="N15" s="5">
        <v>42254.0</v>
      </c>
      <c r="O15" s="1" t="s">
        <v>269</v>
      </c>
      <c r="P15" s="1" t="s">
        <v>255</v>
      </c>
      <c r="Q15" s="1" t="s">
        <v>303</v>
      </c>
      <c r="S15" s="1" t="s">
        <v>258</v>
      </c>
    </row>
    <row r="16">
      <c r="A16" s="1">
        <v>15.0</v>
      </c>
      <c r="B16" s="1" t="s">
        <v>304</v>
      </c>
      <c r="C16" s="1" t="s">
        <v>21</v>
      </c>
      <c r="D16" s="1">
        <v>17.0</v>
      </c>
      <c r="E16" s="1">
        <v>100.0</v>
      </c>
      <c r="F16" s="1">
        <v>0.3</v>
      </c>
      <c r="H16" s="1" t="s">
        <v>278</v>
      </c>
      <c r="I16" s="4">
        <v>46228.00738425926</v>
      </c>
      <c r="J16" s="1" t="s">
        <v>264</v>
      </c>
      <c r="K16" s="1">
        <v>81000.0</v>
      </c>
      <c r="L16" s="1">
        <v>500.0</v>
      </c>
      <c r="M16" s="1">
        <v>500.0</v>
      </c>
      <c r="N16" s="5">
        <v>43612.0</v>
      </c>
      <c r="O16" s="1" t="s">
        <v>254</v>
      </c>
      <c r="P16" s="1" t="s">
        <v>255</v>
      </c>
      <c r="Q16" s="1" t="s">
        <v>305</v>
      </c>
      <c r="S16" s="1" t="s">
        <v>258</v>
      </c>
    </row>
    <row r="17">
      <c r="A17" s="1">
        <v>16.0</v>
      </c>
      <c r="B17" s="1" t="s">
        <v>306</v>
      </c>
      <c r="C17" s="1" t="s">
        <v>21</v>
      </c>
      <c r="D17" s="1">
        <v>31.0</v>
      </c>
      <c r="E17" s="1">
        <v>90.0</v>
      </c>
      <c r="F17" s="1">
        <v>0.7</v>
      </c>
      <c r="G17" s="1">
        <v>0.97</v>
      </c>
      <c r="H17" s="1" t="s">
        <v>278</v>
      </c>
      <c r="I17" s="4">
        <v>46211.27212962963</v>
      </c>
      <c r="J17" s="1" t="s">
        <v>307</v>
      </c>
      <c r="K17" s="1">
        <v>100.0</v>
      </c>
      <c r="L17" s="1">
        <v>300.0</v>
      </c>
      <c r="M17" s="1">
        <v>300.0</v>
      </c>
      <c r="N17" s="5">
        <v>42278.0</v>
      </c>
      <c r="O17" s="1" t="s">
        <v>269</v>
      </c>
      <c r="P17" s="1" t="s">
        <v>255</v>
      </c>
      <c r="Q17" s="1" t="s">
        <v>308</v>
      </c>
      <c r="R17" s="1" t="s">
        <v>309</v>
      </c>
      <c r="S17" s="1" t="s">
        <v>258</v>
      </c>
    </row>
    <row r="18">
      <c r="A18" s="1">
        <v>17.0</v>
      </c>
      <c r="B18" s="1" t="s">
        <v>287</v>
      </c>
      <c r="C18" s="1" t="s">
        <v>21</v>
      </c>
      <c r="D18" s="1">
        <v>0.0</v>
      </c>
      <c r="E18" s="1">
        <v>80.0</v>
      </c>
      <c r="F18" s="1">
        <v>1.6</v>
      </c>
      <c r="G18" s="1">
        <v>0.93</v>
      </c>
      <c r="H18" s="1" t="s">
        <v>287</v>
      </c>
      <c r="I18" s="4">
        <v>46219.04363425926</v>
      </c>
      <c r="J18" s="1" t="s">
        <v>264</v>
      </c>
      <c r="K18" s="1">
        <v>90.0</v>
      </c>
      <c r="L18" s="1">
        <v>10.0</v>
      </c>
      <c r="M18" s="1">
        <v>10.0</v>
      </c>
      <c r="N18" s="5">
        <v>42258.0</v>
      </c>
      <c r="O18" s="1" t="s">
        <v>265</v>
      </c>
      <c r="P18" s="1" t="s">
        <v>255</v>
      </c>
      <c r="Q18" s="1" t="s">
        <v>311</v>
      </c>
      <c r="R18" s="1" t="s">
        <v>312</v>
      </c>
      <c r="S18" s="1" t="s">
        <v>272</v>
      </c>
    </row>
    <row r="19">
      <c r="A19" s="1">
        <v>18.0</v>
      </c>
      <c r="B19" s="1" t="s">
        <v>313</v>
      </c>
      <c r="C19" s="1" t="s">
        <v>21</v>
      </c>
      <c r="D19" s="1">
        <v>0.0</v>
      </c>
      <c r="E19" s="1">
        <v>80.0</v>
      </c>
      <c r="F19" s="1">
        <v>0.6</v>
      </c>
      <c r="H19" s="1" t="s">
        <v>313</v>
      </c>
      <c r="I19" s="4">
        <v>46230.61384259259</v>
      </c>
      <c r="J19" s="1" t="s">
        <v>264</v>
      </c>
      <c r="K19" s="1">
        <v>4700.0</v>
      </c>
      <c r="L19" s="1">
        <v>20.0</v>
      </c>
      <c r="M19" s="1">
        <v>20.0</v>
      </c>
      <c r="N19" s="5">
        <v>43889.0</v>
      </c>
      <c r="O19" s="1" t="s">
        <v>269</v>
      </c>
      <c r="P19" s="1" t="s">
        <v>255</v>
      </c>
      <c r="Q19" s="1" t="s">
        <v>314</v>
      </c>
      <c r="S19" s="1" t="s">
        <v>258</v>
      </c>
    </row>
    <row r="20">
      <c r="A20" s="1">
        <v>19.0</v>
      </c>
      <c r="B20" s="1" t="s">
        <v>315</v>
      </c>
      <c r="C20" s="1" t="s">
        <v>21</v>
      </c>
      <c r="D20" s="1">
        <v>13.0</v>
      </c>
      <c r="E20" s="1">
        <v>70.0</v>
      </c>
      <c r="F20" s="1">
        <v>1.0</v>
      </c>
      <c r="H20" s="1" t="s">
        <v>316</v>
      </c>
      <c r="I20" s="4">
        <v>46228.50609953704</v>
      </c>
      <c r="J20" s="1" t="s">
        <v>264</v>
      </c>
      <c r="K20" s="1">
        <v>3900.0</v>
      </c>
      <c r="L20" s="1">
        <v>11000.0</v>
      </c>
      <c r="M20" s="1">
        <v>11000.0</v>
      </c>
      <c r="N20" s="5">
        <v>42718.0</v>
      </c>
      <c r="O20" s="1" t="s">
        <v>265</v>
      </c>
      <c r="P20" s="1" t="s">
        <v>255</v>
      </c>
      <c r="Q20" s="1" t="s">
        <v>317</v>
      </c>
      <c r="S20" s="1" t="s">
        <v>258</v>
      </c>
    </row>
    <row r="21">
      <c r="A21" s="1">
        <v>20.0</v>
      </c>
      <c r="B21" s="1" t="s">
        <v>318</v>
      </c>
      <c r="C21" s="1" t="s">
        <v>21</v>
      </c>
      <c r="D21" s="1">
        <v>12.0</v>
      </c>
      <c r="E21" s="1">
        <v>70.0</v>
      </c>
      <c r="H21" s="1" t="s">
        <v>278</v>
      </c>
      <c r="I21" s="4">
        <v>46219.06949074074</v>
      </c>
      <c r="J21" s="1" t="s">
        <v>264</v>
      </c>
      <c r="K21" s="1">
        <v>80.0</v>
      </c>
      <c r="L21" s="1">
        <v>450.0</v>
      </c>
      <c r="M21" s="1">
        <v>450.0</v>
      </c>
      <c r="N21" s="5">
        <v>42275.0</v>
      </c>
      <c r="O21" s="1" t="s">
        <v>265</v>
      </c>
      <c r="P21" s="1" t="s">
        <v>255</v>
      </c>
      <c r="Q21" s="1" t="s">
        <v>319</v>
      </c>
      <c r="S21" s="1" t="s">
        <v>272</v>
      </c>
    </row>
    <row r="22">
      <c r="A22" s="1">
        <v>21.0</v>
      </c>
      <c r="B22" s="1" t="s">
        <v>320</v>
      </c>
      <c r="C22" s="1" t="s">
        <v>21</v>
      </c>
      <c r="D22" s="1">
        <v>0.0</v>
      </c>
      <c r="E22" s="1">
        <v>60.0</v>
      </c>
      <c r="F22" s="1">
        <v>0.8</v>
      </c>
      <c r="H22" s="1" t="s">
        <v>321</v>
      </c>
      <c r="I22" s="4">
        <v>46237.215625</v>
      </c>
      <c r="J22" s="1" t="s">
        <v>322</v>
      </c>
      <c r="K22" s="1">
        <v>17000.0</v>
      </c>
      <c r="L22" s="1">
        <v>20.0</v>
      </c>
      <c r="M22" s="1">
        <v>30.0</v>
      </c>
      <c r="N22" s="5">
        <v>43841.0</v>
      </c>
      <c r="O22" s="1" t="s">
        <v>269</v>
      </c>
      <c r="P22" s="1" t="s">
        <v>255</v>
      </c>
      <c r="Q22" s="1" t="s">
        <v>323</v>
      </c>
      <c r="S22" s="1" t="s">
        <v>258</v>
      </c>
    </row>
    <row r="23">
      <c r="A23" s="1">
        <v>22.0</v>
      </c>
      <c r="B23" s="1" t="s">
        <v>324</v>
      </c>
      <c r="C23" s="1" t="s">
        <v>21</v>
      </c>
      <c r="D23" s="1">
        <v>0.0</v>
      </c>
      <c r="E23" s="1">
        <v>60.0</v>
      </c>
      <c r="F23" s="1">
        <v>0.7</v>
      </c>
      <c r="H23" s="1" t="s">
        <v>251</v>
      </c>
      <c r="I23" s="4">
        <v>46209.547314814816</v>
      </c>
      <c r="J23" s="1" t="s">
        <v>322</v>
      </c>
      <c r="K23" s="1">
        <v>6400.0</v>
      </c>
      <c r="L23" s="1">
        <v>200.0</v>
      </c>
      <c r="M23" s="1">
        <v>200.0</v>
      </c>
      <c r="N23" s="5">
        <v>42553.0</v>
      </c>
      <c r="O23" s="1" t="s">
        <v>254</v>
      </c>
      <c r="P23" s="1" t="s">
        <v>255</v>
      </c>
      <c r="Q23" s="1" t="s">
        <v>325</v>
      </c>
      <c r="S23" s="1" t="s">
        <v>272</v>
      </c>
    </row>
    <row r="24">
      <c r="A24" s="1">
        <v>23.0</v>
      </c>
      <c r="B24" s="1" t="s">
        <v>326</v>
      </c>
      <c r="C24" s="1" t="s">
        <v>21</v>
      </c>
      <c r="D24" s="1">
        <v>0.0</v>
      </c>
      <c r="E24" s="1">
        <v>60.0</v>
      </c>
      <c r="F24" s="1">
        <v>0.6</v>
      </c>
      <c r="H24" s="1" t="s">
        <v>327</v>
      </c>
      <c r="I24" s="4">
        <v>46204.76923611111</v>
      </c>
      <c r="J24" s="1" t="s">
        <v>264</v>
      </c>
      <c r="K24" s="1">
        <v>500.0</v>
      </c>
      <c r="L24" s="1">
        <v>150.0</v>
      </c>
      <c r="M24" s="1">
        <v>200.0</v>
      </c>
      <c r="N24" s="5">
        <v>43844.0</v>
      </c>
      <c r="O24" s="1" t="s">
        <v>269</v>
      </c>
      <c r="P24" s="1" t="s">
        <v>255</v>
      </c>
      <c r="Q24" s="1" t="s">
        <v>328</v>
      </c>
      <c r="S24" s="1" t="s">
        <v>258</v>
      </c>
    </row>
    <row r="25">
      <c r="A25" s="1">
        <v>24.0</v>
      </c>
      <c r="B25" s="1" t="s">
        <v>329</v>
      </c>
      <c r="C25" s="1" t="s">
        <v>21</v>
      </c>
      <c r="D25" s="1">
        <v>31.0</v>
      </c>
      <c r="E25" s="1">
        <v>50.0</v>
      </c>
      <c r="F25" s="1">
        <v>0.45</v>
      </c>
      <c r="H25" s="1" t="s">
        <v>278</v>
      </c>
      <c r="I25" s="4">
        <v>46201.62321759259</v>
      </c>
      <c r="J25" s="1" t="s">
        <v>264</v>
      </c>
      <c r="K25" s="1">
        <v>50.0</v>
      </c>
      <c r="L25" s="1">
        <v>350.0</v>
      </c>
      <c r="M25" s="1">
        <v>350.0</v>
      </c>
      <c r="N25" s="5">
        <v>42422.0</v>
      </c>
      <c r="O25" s="1" t="s">
        <v>269</v>
      </c>
      <c r="P25" s="1" t="s">
        <v>255</v>
      </c>
      <c r="Q25" s="1" t="s">
        <v>330</v>
      </c>
      <c r="S25" s="1" t="s">
        <v>258</v>
      </c>
    </row>
    <row r="26">
      <c r="A26" s="1">
        <v>25.0</v>
      </c>
      <c r="B26" s="1" t="s">
        <v>332</v>
      </c>
      <c r="C26" s="1" t="s">
        <v>21</v>
      </c>
      <c r="D26" s="1">
        <v>52.0</v>
      </c>
      <c r="E26" s="1">
        <v>40.0</v>
      </c>
      <c r="F26" s="1">
        <v>0.6</v>
      </c>
      <c r="G26" s="1">
        <v>1.03</v>
      </c>
      <c r="H26" s="1" t="s">
        <v>277</v>
      </c>
      <c r="I26" s="4">
        <v>46232.67596064815</v>
      </c>
      <c r="J26" s="1" t="s">
        <v>333</v>
      </c>
      <c r="K26" s="1">
        <v>40.0</v>
      </c>
      <c r="L26" s="1">
        <v>200.0</v>
      </c>
      <c r="M26" s="1">
        <v>200.0</v>
      </c>
      <c r="N26" s="5">
        <v>42253.0</v>
      </c>
      <c r="O26" s="1" t="s">
        <v>269</v>
      </c>
      <c r="P26" s="1" t="s">
        <v>255</v>
      </c>
      <c r="Q26" s="1" t="s">
        <v>334</v>
      </c>
      <c r="S26" s="1" t="s">
        <v>258</v>
      </c>
    </row>
    <row r="27">
      <c r="A27" s="1">
        <v>26.0</v>
      </c>
      <c r="B27" s="1" t="s">
        <v>335</v>
      </c>
      <c r="C27" s="1" t="s">
        <v>21</v>
      </c>
      <c r="D27" s="1">
        <v>13.0</v>
      </c>
      <c r="E27" s="1">
        <v>40.0</v>
      </c>
      <c r="F27" s="1">
        <v>0.6</v>
      </c>
      <c r="G27" s="1">
        <v>0.59</v>
      </c>
      <c r="H27" s="1" t="s">
        <v>336</v>
      </c>
      <c r="I27" s="4">
        <v>46211.41296296296</v>
      </c>
      <c r="J27" s="1" t="s">
        <v>337</v>
      </c>
      <c r="K27" s="1">
        <v>5100.0</v>
      </c>
      <c r="L27" s="1">
        <v>50.0</v>
      </c>
      <c r="M27" s="1">
        <v>50.0</v>
      </c>
      <c r="N27" s="5">
        <v>42275.0</v>
      </c>
      <c r="O27" s="1" t="s">
        <v>269</v>
      </c>
      <c r="P27" s="1" t="s">
        <v>255</v>
      </c>
      <c r="Q27" s="1" t="s">
        <v>338</v>
      </c>
      <c r="S27" s="1" t="s">
        <v>258</v>
      </c>
    </row>
    <row r="28">
      <c r="A28" s="1">
        <v>27.0</v>
      </c>
      <c r="B28" s="1" t="s">
        <v>339</v>
      </c>
      <c r="C28" s="1" t="s">
        <v>21</v>
      </c>
      <c r="D28" s="1">
        <v>16.0</v>
      </c>
      <c r="E28" s="1">
        <v>40.0</v>
      </c>
      <c r="F28" s="1">
        <v>0.6</v>
      </c>
      <c r="H28" s="1" t="s">
        <v>263</v>
      </c>
      <c r="I28" s="4">
        <v>46235.771099537036</v>
      </c>
      <c r="J28" s="1" t="s">
        <v>264</v>
      </c>
      <c r="K28" s="1">
        <v>6900.0</v>
      </c>
      <c r="L28" s="1">
        <v>80.0</v>
      </c>
      <c r="M28" s="1">
        <v>80.0</v>
      </c>
      <c r="N28" s="5">
        <v>42648.0</v>
      </c>
      <c r="O28" s="1" t="s">
        <v>269</v>
      </c>
      <c r="P28" s="1" t="s">
        <v>255</v>
      </c>
      <c r="Q28" s="1" t="s">
        <v>340</v>
      </c>
      <c r="S28" s="1" t="s">
        <v>272</v>
      </c>
    </row>
    <row r="29">
      <c r="A29" s="1">
        <v>28.0</v>
      </c>
      <c r="B29" s="1" t="s">
        <v>341</v>
      </c>
      <c r="C29" s="1" t="s">
        <v>21</v>
      </c>
      <c r="D29" s="1">
        <v>9.0</v>
      </c>
      <c r="E29" s="1">
        <v>30.0</v>
      </c>
      <c r="F29" s="1">
        <v>0.8</v>
      </c>
      <c r="H29" s="1" t="s">
        <v>321</v>
      </c>
      <c r="I29" s="4">
        <v>46228.46876157408</v>
      </c>
      <c r="J29" s="1" t="s">
        <v>342</v>
      </c>
      <c r="K29" s="1">
        <v>1600.0</v>
      </c>
      <c r="L29" s="1">
        <v>20.0</v>
      </c>
      <c r="M29" s="1">
        <v>20.0</v>
      </c>
      <c r="N29" s="5">
        <v>42530.0</v>
      </c>
      <c r="O29" s="1" t="s">
        <v>269</v>
      </c>
      <c r="P29" s="1" t="s">
        <v>255</v>
      </c>
      <c r="Q29" s="1" t="s">
        <v>343</v>
      </c>
      <c r="S29" s="1" t="s">
        <v>258</v>
      </c>
    </row>
    <row r="30">
      <c r="A30" s="1">
        <v>29.0</v>
      </c>
      <c r="B30" s="1" t="s">
        <v>344</v>
      </c>
      <c r="C30" s="1" t="s">
        <v>21</v>
      </c>
      <c r="D30" s="1">
        <v>10.0</v>
      </c>
      <c r="E30" s="1">
        <v>10.0</v>
      </c>
      <c r="F30" s="1">
        <v>0.6</v>
      </c>
      <c r="H30" s="1" t="s">
        <v>251</v>
      </c>
      <c r="I30" s="4">
        <v>46225.053402777776</v>
      </c>
      <c r="J30" s="1" t="s">
        <v>264</v>
      </c>
      <c r="K30" s="1">
        <v>900.0</v>
      </c>
      <c r="L30" s="1">
        <v>100.0</v>
      </c>
      <c r="M30" s="1">
        <v>100.0</v>
      </c>
      <c r="N30" s="5">
        <v>43574.0</v>
      </c>
      <c r="O30" s="1" t="s">
        <v>269</v>
      </c>
      <c r="P30" s="1" t="s">
        <v>255</v>
      </c>
      <c r="Q30" s="1" t="s">
        <v>345</v>
      </c>
      <c r="S30" s="1" t="s">
        <v>272</v>
      </c>
    </row>
    <row r="31">
      <c r="A31" s="1">
        <v>30.0</v>
      </c>
      <c r="B31" s="1" t="s">
        <v>346</v>
      </c>
      <c r="C31" s="1" t="s">
        <v>21</v>
      </c>
      <c r="D31" s="1">
        <v>42.0</v>
      </c>
      <c r="G31" s="1">
        <v>0.27</v>
      </c>
      <c r="H31" s="1" t="s">
        <v>347</v>
      </c>
      <c r="I31" s="4">
        <v>46223.2987037037</v>
      </c>
      <c r="J31" s="1" t="s">
        <v>348</v>
      </c>
      <c r="K31" s="1">
        <v>250.0</v>
      </c>
      <c r="L31" s="1">
        <v>10.0</v>
      </c>
      <c r="M31" s="1">
        <v>10.0</v>
      </c>
      <c r="N31" s="5">
        <v>42272.0</v>
      </c>
      <c r="O31" s="1" t="s">
        <v>349</v>
      </c>
      <c r="P31" s="1" t="s">
        <v>255</v>
      </c>
      <c r="Q31" s="1" t="s">
        <v>350</v>
      </c>
      <c r="S31" s="1" t="s">
        <v>258</v>
      </c>
    </row>
    <row r="32">
      <c r="I32" s="4"/>
      <c r="N32" s="5"/>
    </row>
    <row r="33">
      <c r="I33" s="4"/>
      <c r="N33" s="5"/>
    </row>
    <row r="34">
      <c r="I34" s="4"/>
      <c r="N34" s="5"/>
    </row>
    <row r="35">
      <c r="I35" s="4"/>
      <c r="N35" s="5"/>
    </row>
    <row r="36">
      <c r="I36" s="4"/>
      <c r="N36" s="5"/>
    </row>
    <row r="37">
      <c r="I37" s="4"/>
      <c r="N37" s="5"/>
    </row>
    <row r="38">
      <c r="I38" s="4"/>
      <c r="N38" s="5"/>
    </row>
    <row r="39">
      <c r="I39" s="4"/>
      <c r="N39" s="5"/>
    </row>
    <row r="40">
      <c r="I40" s="4"/>
      <c r="N40" s="5"/>
    </row>
    <row r="41">
      <c r="I41" s="4"/>
      <c r="N41" s="5"/>
    </row>
    <row r="42">
      <c r="I42" s="4"/>
      <c r="N42" s="5"/>
    </row>
    <row r="43">
      <c r="I43" s="4"/>
      <c r="N43" s="5"/>
    </row>
    <row r="44">
      <c r="I44" s="4"/>
      <c r="N44" s="5"/>
    </row>
    <row r="45">
      <c r="I45" s="4"/>
      <c r="N45" s="5"/>
    </row>
    <row r="46">
      <c r="I46" s="4"/>
      <c r="N46" s="5"/>
    </row>
    <row r="47">
      <c r="I47" s="4"/>
      <c r="N47" s="5"/>
    </row>
    <row r="48">
      <c r="I48" s="4"/>
      <c r="N48" s="5"/>
    </row>
    <row r="49">
      <c r="I49" s="4"/>
      <c r="N49" s="5"/>
    </row>
    <row r="50">
      <c r="I50" s="4"/>
      <c r="N50" s="5"/>
    </row>
    <row r="51">
      <c r="I51" s="4"/>
      <c r="N51" s="5"/>
    </row>
    <row r="52">
      <c r="I52" s="4"/>
      <c r="N52" s="5"/>
    </row>
    <row r="53">
      <c r="I53" s="4"/>
      <c r="N53" s="5"/>
    </row>
    <row r="54">
      <c r="I54" s="4"/>
      <c r="N54" s="5"/>
    </row>
    <row r="55">
      <c r="I55" s="4"/>
      <c r="N55" s="5"/>
    </row>
    <row r="56">
      <c r="I56" s="4"/>
      <c r="N56" s="5"/>
    </row>
    <row r="57">
      <c r="I57" s="4"/>
      <c r="N57" s="5"/>
    </row>
    <row r="58">
      <c r="I58" s="4"/>
      <c r="N58" s="5"/>
    </row>
    <row r="59">
      <c r="I59" s="4"/>
      <c r="N59" s="5"/>
    </row>
    <row r="60">
      <c r="I60" s="4"/>
      <c r="N60" s="5"/>
    </row>
    <row r="61">
      <c r="I61" s="4"/>
      <c r="N61" s="5"/>
    </row>
    <row r="62">
      <c r="I62" s="4"/>
      <c r="N62" s="5"/>
    </row>
    <row r="63">
      <c r="I63" s="4"/>
      <c r="N63" s="5"/>
    </row>
    <row r="64">
      <c r="I64" s="4"/>
      <c r="N64" s="5"/>
    </row>
    <row r="65">
      <c r="I65" s="4"/>
      <c r="N65" s="5"/>
    </row>
    <row r="66">
      <c r="I66" s="4"/>
      <c r="N66" s="5"/>
    </row>
    <row r="67">
      <c r="I67" s="4"/>
      <c r="N67" s="5"/>
    </row>
    <row r="68">
      <c r="I68" s="4"/>
      <c r="N68" s="5"/>
    </row>
    <row r="69">
      <c r="I69" s="4"/>
      <c r="N69" s="5"/>
    </row>
    <row r="70">
      <c r="I70" s="4"/>
      <c r="N70" s="5"/>
    </row>
    <row r="71">
      <c r="I71" s="4"/>
      <c r="N71" s="5"/>
    </row>
    <row r="72">
      <c r="I72" s="4"/>
      <c r="N72" s="5"/>
    </row>
    <row r="73">
      <c r="I73" s="4"/>
      <c r="N73" s="5"/>
    </row>
    <row r="74">
      <c r="I74" s="4"/>
      <c r="N74" s="5"/>
    </row>
    <row r="75">
      <c r="I75" s="4"/>
      <c r="N75" s="5"/>
    </row>
    <row r="76">
      <c r="I76" s="4"/>
      <c r="N76" s="5"/>
    </row>
    <row r="77">
      <c r="I77" s="4"/>
      <c r="N77" s="5"/>
    </row>
    <row r="78">
      <c r="I78" s="4"/>
      <c r="N78" s="5"/>
    </row>
    <row r="79">
      <c r="I79" s="4"/>
      <c r="N79" s="5"/>
    </row>
    <row r="80">
      <c r="I80" s="4"/>
      <c r="N80" s="5"/>
    </row>
    <row r="81">
      <c r="I81" s="4"/>
      <c r="N81" s="5"/>
    </row>
    <row r="82">
      <c r="I82" s="4"/>
      <c r="N82" s="5"/>
    </row>
    <row r="83">
      <c r="I83" s="4"/>
      <c r="N83" s="5"/>
    </row>
    <row r="84">
      <c r="I84" s="4"/>
      <c r="N84" s="5"/>
    </row>
    <row r="85">
      <c r="I85" s="4"/>
      <c r="N85" s="5"/>
    </row>
    <row r="86">
      <c r="I86" s="4"/>
      <c r="N86" s="5"/>
    </row>
    <row r="87">
      <c r="I87" s="4"/>
      <c r="N87" s="5"/>
    </row>
    <row r="88">
      <c r="I88" s="4"/>
      <c r="N88" s="5"/>
    </row>
    <row r="89">
      <c r="I89" s="4"/>
      <c r="N89" s="5"/>
    </row>
    <row r="90">
      <c r="I90" s="4"/>
      <c r="N90" s="5"/>
    </row>
    <row r="91">
      <c r="I91" s="4"/>
      <c r="N91" s="5"/>
    </row>
    <row r="92">
      <c r="I92" s="4"/>
      <c r="N92" s="5"/>
    </row>
    <row r="93">
      <c r="I93" s="4"/>
      <c r="N93" s="5"/>
    </row>
    <row r="94">
      <c r="I94" s="4"/>
      <c r="N94" s="5"/>
    </row>
    <row r="95">
      <c r="I95" s="4"/>
      <c r="N95" s="5"/>
    </row>
    <row r="96">
      <c r="I96" s="4"/>
      <c r="N96" s="5"/>
    </row>
    <row r="97">
      <c r="I97" s="4"/>
      <c r="N97" s="5"/>
    </row>
    <row r="98">
      <c r="I98" s="4"/>
      <c r="N98" s="5"/>
    </row>
    <row r="99">
      <c r="I99" s="4"/>
      <c r="N99" s="5"/>
    </row>
    <row r="100">
      <c r="I100" s="4"/>
      <c r="N100" s="5"/>
    </row>
    <row r="101">
      <c r="I101" s="4"/>
      <c r="N101" s="5"/>
    </row>
    <row r="102">
      <c r="I102" s="4"/>
      <c r="N102" s="5"/>
    </row>
    <row r="103">
      <c r="I103" s="4"/>
      <c r="N103" s="5"/>
    </row>
    <row r="104">
      <c r="I104" s="4"/>
      <c r="N104" s="5"/>
    </row>
    <row r="105">
      <c r="I105" s="4"/>
      <c r="N105" s="5"/>
    </row>
    <row r="106">
      <c r="I106" s="4"/>
      <c r="N106" s="5"/>
    </row>
    <row r="107">
      <c r="I107" s="4"/>
      <c r="N107" s="5"/>
    </row>
    <row r="108">
      <c r="I108" s="4"/>
      <c r="N108" s="5"/>
    </row>
    <row r="109">
      <c r="I109" s="4"/>
      <c r="N109" s="5"/>
    </row>
    <row r="110">
      <c r="I110" s="4"/>
      <c r="N110" s="5"/>
    </row>
    <row r="111">
      <c r="I111" s="4"/>
      <c r="N111" s="5"/>
    </row>
    <row r="112">
      <c r="I112" s="4"/>
      <c r="N112" s="5"/>
    </row>
    <row r="113">
      <c r="I113" s="4"/>
      <c r="N113" s="5"/>
    </row>
    <row r="114">
      <c r="I114" s="4"/>
      <c r="N114" s="5"/>
    </row>
    <row r="115">
      <c r="I115" s="4"/>
      <c r="N115" s="5"/>
    </row>
    <row r="116">
      <c r="I116" s="4"/>
      <c r="N116" s="5"/>
    </row>
    <row r="117">
      <c r="I117" s="4"/>
      <c r="N117" s="5"/>
    </row>
    <row r="118">
      <c r="I118" s="4"/>
      <c r="N118" s="5"/>
    </row>
    <row r="119">
      <c r="I119" s="4"/>
      <c r="N119" s="5"/>
    </row>
    <row r="120">
      <c r="I120" s="4"/>
      <c r="N120" s="5"/>
    </row>
    <row r="121">
      <c r="I121" s="4"/>
      <c r="N121" s="5"/>
    </row>
    <row r="122">
      <c r="I122" s="4"/>
      <c r="N122" s="5"/>
    </row>
    <row r="123">
      <c r="I123" s="4"/>
      <c r="N123" s="5"/>
    </row>
    <row r="124">
      <c r="I124" s="4"/>
      <c r="N124" s="5"/>
    </row>
    <row r="125">
      <c r="I125" s="4"/>
      <c r="N125" s="5"/>
    </row>
    <row r="126">
      <c r="I126" s="4"/>
      <c r="N126" s="5"/>
    </row>
    <row r="127">
      <c r="I127" s="4"/>
      <c r="N127" s="5"/>
    </row>
    <row r="128">
      <c r="I128" s="4"/>
      <c r="N128" s="5"/>
    </row>
    <row r="129">
      <c r="I129" s="4"/>
      <c r="N129" s="5"/>
    </row>
    <row r="130">
      <c r="I130" s="4"/>
      <c r="N130" s="5"/>
    </row>
    <row r="131">
      <c r="I131" s="4"/>
      <c r="N131" s="5"/>
    </row>
    <row r="132">
      <c r="I132" s="4"/>
      <c r="N132" s="5"/>
    </row>
    <row r="133">
      <c r="I133" s="4"/>
      <c r="N133" s="5"/>
    </row>
    <row r="134">
      <c r="I134" s="4"/>
      <c r="N134" s="5"/>
    </row>
    <row r="135">
      <c r="I135" s="4"/>
      <c r="N135" s="5"/>
    </row>
    <row r="136">
      <c r="I136" s="4"/>
      <c r="N136" s="5"/>
    </row>
    <row r="137">
      <c r="I137" s="4"/>
      <c r="N137" s="5"/>
    </row>
    <row r="138">
      <c r="I138" s="4"/>
      <c r="N138" s="5"/>
    </row>
    <row r="139">
      <c r="I139" s="4"/>
      <c r="N139" s="5"/>
    </row>
    <row r="140">
      <c r="I140" s="4"/>
      <c r="N140" s="5"/>
    </row>
    <row r="141">
      <c r="I141" s="4"/>
      <c r="N141" s="5"/>
    </row>
    <row r="142">
      <c r="I142" s="4"/>
      <c r="N142" s="5"/>
    </row>
    <row r="143">
      <c r="I143" s="4"/>
      <c r="N143" s="5"/>
    </row>
    <row r="144">
      <c r="I144" s="4"/>
      <c r="N144" s="5"/>
    </row>
    <row r="145">
      <c r="I145" s="4"/>
      <c r="N145" s="5"/>
    </row>
    <row r="146">
      <c r="I146" s="4"/>
      <c r="N146" s="5"/>
    </row>
    <row r="147">
      <c r="I147" s="4"/>
      <c r="N147" s="5"/>
    </row>
    <row r="148">
      <c r="I148" s="4"/>
      <c r="N148" s="5"/>
    </row>
    <row r="149">
      <c r="I149" s="4"/>
      <c r="N149" s="5"/>
    </row>
    <row r="150">
      <c r="I150" s="4"/>
      <c r="N150" s="5"/>
    </row>
    <row r="151">
      <c r="I151" s="4"/>
      <c r="N151" s="5"/>
    </row>
    <row r="152">
      <c r="I152" s="4"/>
      <c r="N152" s="5"/>
    </row>
    <row r="153">
      <c r="I153" s="4"/>
      <c r="N153" s="5"/>
    </row>
    <row r="154">
      <c r="I154" s="4"/>
      <c r="N154" s="5"/>
    </row>
    <row r="155">
      <c r="I155" s="4"/>
      <c r="N155" s="5"/>
    </row>
    <row r="156">
      <c r="I156" s="4"/>
      <c r="N156" s="5"/>
    </row>
    <row r="157">
      <c r="I157" s="4"/>
      <c r="N157" s="5"/>
    </row>
    <row r="158">
      <c r="I158" s="4"/>
      <c r="N158" s="5"/>
    </row>
    <row r="159">
      <c r="I159" s="4"/>
      <c r="N159" s="5"/>
    </row>
    <row r="160">
      <c r="I160" s="4"/>
      <c r="N160" s="5"/>
    </row>
    <row r="161">
      <c r="I161" s="4"/>
      <c r="N161" s="5"/>
    </row>
    <row r="162">
      <c r="I162" s="4"/>
      <c r="N162" s="5"/>
    </row>
    <row r="163">
      <c r="I163" s="4"/>
      <c r="N163" s="5"/>
    </row>
    <row r="164">
      <c r="I164" s="4"/>
      <c r="N164" s="5"/>
    </row>
    <row r="165">
      <c r="I165" s="4"/>
      <c r="N165" s="5"/>
    </row>
    <row r="166">
      <c r="I166" s="4"/>
      <c r="N166" s="5"/>
    </row>
    <row r="167">
      <c r="I167" s="4"/>
      <c r="N167" s="5"/>
    </row>
    <row r="168">
      <c r="I168" s="4"/>
      <c r="N168" s="5"/>
    </row>
    <row r="169">
      <c r="I169" s="4"/>
      <c r="N169" s="5"/>
    </row>
    <row r="170">
      <c r="I170" s="4"/>
      <c r="N170" s="5"/>
    </row>
    <row r="171">
      <c r="I171" s="4"/>
      <c r="N171" s="5"/>
    </row>
    <row r="172">
      <c r="I172" s="4"/>
      <c r="N172" s="5"/>
    </row>
    <row r="173">
      <c r="I173" s="4"/>
      <c r="N173" s="5"/>
    </row>
    <row r="174">
      <c r="I174" s="4"/>
      <c r="N174" s="5"/>
    </row>
    <row r="175">
      <c r="I175" s="4"/>
      <c r="N175" s="5"/>
    </row>
    <row r="176">
      <c r="I176" s="4"/>
      <c r="N176" s="5"/>
    </row>
    <row r="177">
      <c r="I177" s="4"/>
      <c r="N177" s="5"/>
    </row>
    <row r="178">
      <c r="I178" s="4"/>
      <c r="N178" s="5"/>
    </row>
    <row r="179">
      <c r="I179" s="4"/>
      <c r="N179" s="5"/>
    </row>
    <row r="180">
      <c r="I180" s="4"/>
      <c r="N180" s="5"/>
    </row>
    <row r="181">
      <c r="I181" s="4"/>
      <c r="N181" s="5"/>
    </row>
    <row r="182">
      <c r="I182" s="4"/>
      <c r="N182" s="5"/>
    </row>
    <row r="183">
      <c r="I183" s="4"/>
      <c r="N183" s="5"/>
    </row>
    <row r="184">
      <c r="I184" s="4"/>
      <c r="N184" s="5"/>
    </row>
    <row r="185">
      <c r="I185" s="4"/>
      <c r="N185" s="5"/>
    </row>
    <row r="186">
      <c r="I186" s="4"/>
      <c r="N186" s="5"/>
    </row>
    <row r="187">
      <c r="I187" s="4"/>
      <c r="N187" s="5"/>
    </row>
    <row r="188">
      <c r="I188" s="4"/>
      <c r="N188" s="5"/>
    </row>
    <row r="189">
      <c r="I189" s="4"/>
      <c r="N189" s="5"/>
    </row>
    <row r="190">
      <c r="I190" s="4"/>
      <c r="N190" s="5"/>
    </row>
    <row r="191">
      <c r="I191" s="4"/>
      <c r="N191" s="5"/>
    </row>
    <row r="192">
      <c r="I192" s="4"/>
      <c r="N192" s="5"/>
    </row>
    <row r="193">
      <c r="I193" s="4"/>
      <c r="N193" s="5"/>
    </row>
    <row r="194">
      <c r="I194" s="4"/>
      <c r="N194" s="5"/>
    </row>
    <row r="195">
      <c r="I195" s="4"/>
      <c r="N195" s="5"/>
    </row>
    <row r="196">
      <c r="I196" s="4"/>
      <c r="N196" s="5"/>
    </row>
    <row r="197">
      <c r="I197" s="4"/>
      <c r="N197" s="5"/>
    </row>
    <row r="198">
      <c r="I198" s="4"/>
      <c r="N198" s="5"/>
    </row>
    <row r="199">
      <c r="I199" s="4"/>
      <c r="N199" s="5"/>
    </row>
    <row r="200">
      <c r="I200" s="4"/>
      <c r="N200" s="5"/>
    </row>
    <row r="201">
      <c r="I201" s="4"/>
      <c r="N201" s="5"/>
    </row>
    <row r="202">
      <c r="I202" s="4"/>
      <c r="N202" s="5"/>
    </row>
    <row r="203">
      <c r="I203" s="4"/>
      <c r="N203" s="5"/>
    </row>
    <row r="204">
      <c r="I204" s="4"/>
      <c r="N204" s="5"/>
    </row>
    <row r="205">
      <c r="I205" s="4"/>
      <c r="N205" s="5"/>
    </row>
    <row r="206">
      <c r="I206" s="4"/>
      <c r="N206" s="5"/>
    </row>
    <row r="207">
      <c r="I207" s="4"/>
      <c r="N207" s="5"/>
    </row>
    <row r="208">
      <c r="I208" s="4"/>
      <c r="N208" s="5"/>
    </row>
    <row r="209">
      <c r="I209" s="4"/>
      <c r="N209" s="5"/>
    </row>
    <row r="210">
      <c r="I210" s="4"/>
      <c r="N210" s="5"/>
    </row>
    <row r="211">
      <c r="I211" s="4"/>
      <c r="N211" s="5"/>
    </row>
    <row r="212">
      <c r="I212" s="4"/>
      <c r="N212" s="5"/>
    </row>
    <row r="213">
      <c r="I213" s="4"/>
      <c r="N213" s="5"/>
    </row>
    <row r="214">
      <c r="I214" s="4"/>
      <c r="N214" s="5"/>
    </row>
    <row r="215">
      <c r="I215" s="4"/>
      <c r="N215" s="5"/>
    </row>
    <row r="216">
      <c r="I216" s="4"/>
      <c r="N216" s="5"/>
    </row>
    <row r="217">
      <c r="I217" s="4"/>
      <c r="N217" s="5"/>
    </row>
    <row r="218">
      <c r="I218" s="4"/>
      <c r="N218" s="5"/>
    </row>
    <row r="219">
      <c r="I219" s="4"/>
      <c r="N219" s="5"/>
    </row>
    <row r="220">
      <c r="I220" s="4"/>
      <c r="N220" s="5"/>
    </row>
    <row r="221">
      <c r="I221" s="4"/>
      <c r="N221" s="5"/>
    </row>
    <row r="222">
      <c r="I222" s="4"/>
      <c r="N222" s="5"/>
    </row>
    <row r="223">
      <c r="I223" s="4"/>
      <c r="N223" s="5"/>
    </row>
    <row r="224">
      <c r="I224" s="4"/>
      <c r="N224" s="5"/>
    </row>
    <row r="225">
      <c r="I225" s="4"/>
      <c r="N225" s="5"/>
    </row>
    <row r="226">
      <c r="I226" s="4"/>
      <c r="N226" s="5"/>
    </row>
    <row r="227">
      <c r="I227" s="4"/>
      <c r="N227" s="5"/>
    </row>
    <row r="228">
      <c r="I228" s="4"/>
      <c r="N228" s="5"/>
    </row>
    <row r="229">
      <c r="I229" s="4"/>
      <c r="N229" s="5"/>
    </row>
    <row r="230">
      <c r="I230" s="4"/>
      <c r="N230" s="5"/>
    </row>
    <row r="231">
      <c r="I231" s="4"/>
      <c r="N231" s="5"/>
    </row>
    <row r="232">
      <c r="I232" s="4"/>
      <c r="N232" s="5"/>
    </row>
    <row r="233">
      <c r="I233" s="4"/>
      <c r="N233" s="5"/>
    </row>
    <row r="234">
      <c r="I234" s="4"/>
      <c r="N234" s="5"/>
    </row>
    <row r="235">
      <c r="I235" s="4"/>
      <c r="N235" s="5"/>
    </row>
    <row r="236">
      <c r="I236" s="4"/>
      <c r="N236" s="5"/>
    </row>
    <row r="237">
      <c r="I237" s="4"/>
      <c r="N237" s="5"/>
    </row>
    <row r="238">
      <c r="I238" s="4"/>
      <c r="N238" s="5"/>
    </row>
    <row r="239">
      <c r="I239" s="4"/>
      <c r="N239" s="5"/>
    </row>
    <row r="240">
      <c r="I240" s="4"/>
      <c r="N240" s="5"/>
    </row>
    <row r="241">
      <c r="I241" s="4"/>
      <c r="N241" s="5"/>
    </row>
    <row r="242">
      <c r="I242" s="4"/>
      <c r="N242" s="5"/>
    </row>
    <row r="243">
      <c r="I243" s="4"/>
      <c r="N243" s="5"/>
    </row>
    <row r="244">
      <c r="I244" s="4"/>
      <c r="N244" s="5"/>
    </row>
    <row r="245">
      <c r="I245" s="4"/>
      <c r="N245" s="5"/>
    </row>
    <row r="246">
      <c r="I246" s="4"/>
      <c r="N246" s="5"/>
    </row>
    <row r="247">
      <c r="I247" s="4"/>
      <c r="N247" s="5"/>
    </row>
    <row r="248">
      <c r="I248" s="4"/>
      <c r="N248" s="5"/>
    </row>
    <row r="249">
      <c r="I249" s="4"/>
      <c r="N249" s="5"/>
    </row>
    <row r="250">
      <c r="I250" s="4"/>
      <c r="N250" s="5"/>
    </row>
    <row r="251">
      <c r="I251" s="4"/>
      <c r="N251" s="5"/>
    </row>
    <row r="252">
      <c r="I252" s="4"/>
      <c r="N252" s="5"/>
    </row>
    <row r="253">
      <c r="I253" s="4"/>
      <c r="N253" s="5"/>
    </row>
    <row r="254">
      <c r="I254" s="4"/>
      <c r="N254" s="5"/>
    </row>
    <row r="255">
      <c r="I255" s="4"/>
      <c r="N255" s="5"/>
    </row>
    <row r="256">
      <c r="I256" s="4"/>
      <c r="N256" s="5"/>
    </row>
    <row r="257">
      <c r="I257" s="4"/>
      <c r="N257" s="5"/>
    </row>
    <row r="258">
      <c r="I258" s="4"/>
      <c r="N258" s="5"/>
    </row>
    <row r="259">
      <c r="I259" s="4"/>
      <c r="N259" s="5"/>
    </row>
    <row r="260">
      <c r="I260" s="4"/>
      <c r="N260" s="5"/>
    </row>
    <row r="261">
      <c r="I261" s="4"/>
      <c r="N261" s="5"/>
    </row>
    <row r="262">
      <c r="I262" s="4"/>
      <c r="N262" s="5"/>
    </row>
    <row r="263">
      <c r="I263" s="4"/>
      <c r="N263" s="5"/>
    </row>
    <row r="264">
      <c r="I264" s="4"/>
      <c r="N264" s="5"/>
    </row>
    <row r="265">
      <c r="I265" s="4"/>
      <c r="N265" s="5"/>
    </row>
    <row r="266">
      <c r="I266" s="4"/>
      <c r="N266" s="5"/>
    </row>
    <row r="267">
      <c r="I267" s="4"/>
      <c r="N267" s="5"/>
    </row>
    <row r="268">
      <c r="I268" s="4"/>
      <c r="N268" s="5"/>
    </row>
    <row r="269">
      <c r="I269" s="4"/>
      <c r="N269" s="5"/>
    </row>
    <row r="270">
      <c r="I270" s="4"/>
      <c r="N270" s="5"/>
    </row>
    <row r="271">
      <c r="I271" s="4"/>
      <c r="N271" s="5"/>
    </row>
    <row r="272">
      <c r="I272" s="4"/>
      <c r="N272" s="5"/>
    </row>
    <row r="273">
      <c r="I273" s="4"/>
      <c r="N273" s="5"/>
    </row>
    <row r="274">
      <c r="I274" s="4"/>
      <c r="N274" s="5"/>
    </row>
    <row r="275">
      <c r="I275" s="4"/>
      <c r="N275" s="5"/>
    </row>
    <row r="276">
      <c r="I276" s="4"/>
      <c r="N276" s="5"/>
    </row>
    <row r="277">
      <c r="I277" s="4"/>
      <c r="N277" s="5"/>
    </row>
    <row r="278">
      <c r="I278" s="4"/>
      <c r="N278" s="5"/>
    </row>
    <row r="279">
      <c r="I279" s="4"/>
      <c r="N279" s="5"/>
    </row>
    <row r="280">
      <c r="I280" s="4"/>
      <c r="N280" s="5"/>
    </row>
    <row r="281">
      <c r="I281" s="4"/>
      <c r="N281" s="5"/>
    </row>
    <row r="282">
      <c r="I282" s="4"/>
      <c r="N282" s="5"/>
    </row>
    <row r="283">
      <c r="I283" s="4"/>
      <c r="N283" s="5"/>
    </row>
    <row r="284">
      <c r="I284" s="4"/>
      <c r="N284" s="5"/>
    </row>
    <row r="285">
      <c r="I285" s="4"/>
      <c r="N285" s="5"/>
    </row>
    <row r="286">
      <c r="I286" s="4"/>
      <c r="N286" s="5"/>
    </row>
    <row r="287">
      <c r="I287" s="4"/>
      <c r="N287" s="5"/>
    </row>
    <row r="288">
      <c r="I288" s="4"/>
      <c r="N288" s="5"/>
    </row>
    <row r="289">
      <c r="I289" s="4"/>
      <c r="N289" s="5"/>
    </row>
    <row r="290">
      <c r="I290" s="4"/>
      <c r="N290" s="5"/>
    </row>
    <row r="291">
      <c r="I291" s="4"/>
      <c r="N291" s="5"/>
    </row>
    <row r="292">
      <c r="I292" s="4"/>
      <c r="N292" s="5"/>
    </row>
    <row r="293">
      <c r="I293" s="4"/>
      <c r="N293" s="5"/>
    </row>
    <row r="294">
      <c r="I294" s="4"/>
      <c r="N294" s="5"/>
    </row>
    <row r="295">
      <c r="I295" s="4"/>
      <c r="N295" s="5"/>
    </row>
    <row r="296">
      <c r="I296" s="4"/>
      <c r="N296" s="5"/>
    </row>
    <row r="297">
      <c r="I297" s="4"/>
      <c r="N297" s="5"/>
    </row>
    <row r="298">
      <c r="I298" s="4"/>
      <c r="N298" s="5"/>
    </row>
    <row r="299">
      <c r="I299" s="4"/>
      <c r="N299" s="5"/>
    </row>
    <row r="300">
      <c r="I300" s="4"/>
      <c r="N300" s="5"/>
    </row>
    <row r="301">
      <c r="I301" s="4"/>
      <c r="N301" s="5"/>
    </row>
    <row r="302">
      <c r="I302" s="4"/>
      <c r="N302" s="5"/>
    </row>
    <row r="303">
      <c r="I303" s="4"/>
      <c r="N303" s="5"/>
    </row>
    <row r="304">
      <c r="I304" s="4"/>
      <c r="N304" s="5"/>
    </row>
    <row r="305">
      <c r="I305" s="4"/>
      <c r="N305" s="5"/>
    </row>
    <row r="306">
      <c r="I306" s="4"/>
      <c r="N306" s="5"/>
    </row>
    <row r="307">
      <c r="I307" s="4"/>
      <c r="N307" s="5"/>
    </row>
    <row r="308">
      <c r="I308" s="4"/>
      <c r="N308" s="5"/>
    </row>
    <row r="309">
      <c r="I309" s="4"/>
      <c r="N309" s="5"/>
    </row>
    <row r="310">
      <c r="I310" s="4"/>
      <c r="N310" s="5"/>
    </row>
    <row r="311">
      <c r="I311" s="4"/>
      <c r="N311" s="5"/>
    </row>
    <row r="312">
      <c r="I312" s="4"/>
      <c r="N312" s="5"/>
    </row>
    <row r="313">
      <c r="I313" s="4"/>
      <c r="N313" s="5"/>
    </row>
    <row r="314">
      <c r="I314" s="4"/>
      <c r="N314" s="5"/>
    </row>
    <row r="315">
      <c r="I315" s="4"/>
      <c r="N315" s="5"/>
    </row>
    <row r="316">
      <c r="I316" s="4"/>
      <c r="N316" s="5"/>
    </row>
    <row r="317">
      <c r="I317" s="4"/>
      <c r="N317" s="5"/>
    </row>
    <row r="318">
      <c r="I318" s="4"/>
      <c r="N318" s="5"/>
    </row>
    <row r="319">
      <c r="I319" s="4"/>
      <c r="N319" s="5"/>
    </row>
    <row r="320">
      <c r="I320" s="4"/>
      <c r="N320" s="5"/>
    </row>
    <row r="321">
      <c r="I321" s="4"/>
      <c r="N321" s="5"/>
    </row>
    <row r="322">
      <c r="I322" s="4"/>
      <c r="N322" s="5"/>
    </row>
    <row r="323">
      <c r="I323" s="4"/>
      <c r="N323" s="5"/>
    </row>
    <row r="324">
      <c r="I324" s="4"/>
      <c r="N324" s="5"/>
    </row>
    <row r="325">
      <c r="I325" s="4"/>
      <c r="N325" s="5"/>
    </row>
    <row r="326">
      <c r="I326" s="4"/>
      <c r="N326" s="5"/>
    </row>
    <row r="327">
      <c r="I327" s="4"/>
      <c r="N327" s="5"/>
    </row>
    <row r="328">
      <c r="I328" s="4"/>
      <c r="N328" s="5"/>
    </row>
    <row r="329">
      <c r="I329" s="4"/>
      <c r="N329" s="5"/>
    </row>
    <row r="330">
      <c r="I330" s="4"/>
      <c r="N330" s="5"/>
    </row>
    <row r="331">
      <c r="I331" s="4"/>
      <c r="N331" s="5"/>
    </row>
    <row r="332">
      <c r="I332" s="4"/>
      <c r="N332" s="5"/>
    </row>
    <row r="333">
      <c r="I333" s="4"/>
      <c r="N333" s="5"/>
    </row>
    <row r="334">
      <c r="I334" s="4"/>
      <c r="N334" s="5"/>
    </row>
    <row r="335">
      <c r="I335" s="4"/>
      <c r="N335" s="5"/>
    </row>
    <row r="336">
      <c r="I336" s="4"/>
      <c r="N336" s="5"/>
    </row>
    <row r="337">
      <c r="I337" s="4"/>
      <c r="N337" s="5"/>
    </row>
    <row r="338">
      <c r="I338" s="4"/>
      <c r="N338" s="5"/>
    </row>
    <row r="339">
      <c r="I339" s="4"/>
      <c r="N339" s="5"/>
    </row>
    <row r="340">
      <c r="I340" s="4"/>
      <c r="N340" s="5"/>
    </row>
    <row r="341">
      <c r="I341" s="4"/>
      <c r="N341" s="5"/>
    </row>
    <row r="342">
      <c r="I342" s="4"/>
      <c r="N342" s="5"/>
    </row>
    <row r="343">
      <c r="I343" s="4"/>
      <c r="N343" s="5"/>
    </row>
    <row r="344">
      <c r="I344" s="4"/>
      <c r="N344" s="5"/>
    </row>
    <row r="345">
      <c r="I345" s="4"/>
      <c r="N345" s="5"/>
    </row>
    <row r="346">
      <c r="I346" s="4"/>
      <c r="N346" s="5"/>
    </row>
    <row r="347">
      <c r="I347" s="4"/>
      <c r="N347" s="5"/>
    </row>
    <row r="348">
      <c r="I348" s="4"/>
      <c r="N348" s="5"/>
    </row>
    <row r="349">
      <c r="I349" s="4"/>
      <c r="N349" s="5"/>
    </row>
    <row r="350">
      <c r="I350" s="4"/>
      <c r="N350" s="5"/>
    </row>
    <row r="351">
      <c r="I351" s="4"/>
      <c r="N351" s="5"/>
    </row>
    <row r="352">
      <c r="I352" s="4"/>
      <c r="N352" s="5"/>
    </row>
    <row r="353">
      <c r="I353" s="4"/>
      <c r="N353" s="5"/>
    </row>
    <row r="354">
      <c r="I354" s="4"/>
      <c r="N354" s="5"/>
    </row>
    <row r="355">
      <c r="I355" s="4"/>
      <c r="N355" s="5"/>
    </row>
    <row r="356">
      <c r="I356" s="4"/>
      <c r="N356" s="5"/>
    </row>
    <row r="357">
      <c r="I357" s="4"/>
      <c r="N357" s="5"/>
    </row>
    <row r="358">
      <c r="I358" s="4"/>
      <c r="N358" s="5"/>
    </row>
    <row r="359">
      <c r="I359" s="4"/>
      <c r="N359" s="5"/>
    </row>
    <row r="360">
      <c r="I360" s="4"/>
      <c r="N360" s="5"/>
    </row>
    <row r="361">
      <c r="I361" s="4"/>
      <c r="N361" s="5"/>
    </row>
    <row r="362">
      <c r="I362" s="4"/>
      <c r="N362" s="5"/>
    </row>
    <row r="363">
      <c r="I363" s="4"/>
      <c r="N363" s="5"/>
    </row>
    <row r="364">
      <c r="I364" s="4"/>
      <c r="N364" s="5"/>
    </row>
    <row r="365">
      <c r="I365" s="4"/>
      <c r="N365" s="5"/>
    </row>
    <row r="366">
      <c r="I366" s="4"/>
      <c r="N366" s="5"/>
    </row>
    <row r="367">
      <c r="I367" s="4"/>
      <c r="N367" s="5"/>
    </row>
    <row r="368">
      <c r="I368" s="4"/>
      <c r="N368" s="5"/>
    </row>
    <row r="369">
      <c r="I369" s="4"/>
      <c r="N369" s="5"/>
    </row>
    <row r="370">
      <c r="I370" s="4"/>
      <c r="N370" s="5"/>
    </row>
    <row r="371">
      <c r="I371" s="4"/>
      <c r="N371" s="5"/>
    </row>
    <row r="372">
      <c r="I372" s="4"/>
      <c r="N372" s="5"/>
    </row>
    <row r="373">
      <c r="I373" s="4"/>
      <c r="N373" s="5"/>
    </row>
    <row r="374">
      <c r="I374" s="4"/>
      <c r="N374" s="5"/>
    </row>
    <row r="375">
      <c r="I375" s="4"/>
      <c r="N375" s="5"/>
    </row>
    <row r="376">
      <c r="I376" s="4"/>
      <c r="N376" s="5"/>
    </row>
    <row r="377">
      <c r="I377" s="4"/>
      <c r="N377" s="5"/>
    </row>
    <row r="378">
      <c r="I378" s="4"/>
      <c r="N378" s="5"/>
    </row>
    <row r="379">
      <c r="I379" s="4"/>
      <c r="N379" s="5"/>
    </row>
    <row r="380">
      <c r="I380" s="4"/>
      <c r="N380" s="5"/>
    </row>
    <row r="381">
      <c r="I381" s="4"/>
      <c r="N381" s="5"/>
    </row>
    <row r="382">
      <c r="I382" s="4"/>
      <c r="N382" s="5"/>
    </row>
    <row r="383">
      <c r="I383" s="4"/>
      <c r="N383" s="5"/>
    </row>
    <row r="384">
      <c r="I384" s="4"/>
      <c r="N384" s="5"/>
    </row>
    <row r="385">
      <c r="I385" s="4"/>
      <c r="N385" s="5"/>
    </row>
    <row r="386">
      <c r="I386" s="4"/>
      <c r="N386" s="5"/>
    </row>
    <row r="387">
      <c r="I387" s="4"/>
      <c r="N387" s="5"/>
    </row>
    <row r="388">
      <c r="I388" s="4"/>
      <c r="N388" s="5"/>
    </row>
    <row r="389">
      <c r="I389" s="4"/>
      <c r="N389" s="5"/>
    </row>
    <row r="390">
      <c r="I390" s="4"/>
      <c r="N390" s="5"/>
    </row>
    <row r="391">
      <c r="I391" s="4"/>
      <c r="N391" s="5"/>
    </row>
  </sheetData>
  <autoFilter ref="$A$1:$Z$1000"/>
  <drawing r:id="rId1"/>
</worksheet>
</file>